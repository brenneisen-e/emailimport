
<file path=[Content_Types].xml><?xml version="1.0" encoding="utf-8"?>
<Types xmlns="http://schemas.openxmlformats.org/package/2006/content-types">
  <Default Extension="rels" ContentType="application/vnd.openxmlformats-package.relationships+xml"/>
  <Default Extension="xml" ContentType="application/xml"/>
  <Default Extension="jpeg" ContentType="image/jpeg"/>
  <Default Extension="png" ContentType="image/png"/>
  <Default Extension="bin" ContentType="application/vnd.ms-office.vbaProject"/>
  <Override PartName="/docProps/app.xml" ContentType="application/vnd.openxmlformats-officedocument.extended-properties+xml"/>
  <Override PartName="/docProps/core.xml" ContentType="application/vnd.openxmlformats-package.core-propertie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sharedStrings.xml" ContentType="application/vnd.openxmlformats-officedocument.spreadsheetml.sharedStrings+xml"/>
  <Override PartName="/xl/externalLinks/externalLink1.xml" ContentType="application/vnd.openxmlformats-officedocument.spreadsheetml.externalLink+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240" yWindow="15" windowWidth="16095" windowHeight="9660"/>
  </bookViews>
  <sheets>
    <sheet name="Start" sheetId="1" r:id="rId1"/>
    <sheet name="Übersicht" sheetId="2" r:id="rId2"/>
    <sheet name="Deckblatt" sheetId="3" r:id="rId3"/>
    <sheet name="PPT_2" sheetId="4" r:id="rId4"/>
    <sheet name="PPT_3" sheetId="5" r:id="rId5"/>
    <sheet name="Rohdaten" sheetId="6" r:id="rId6"/>
    <sheet name="Kommentare" sheetId="7" r:id="rId7"/>
    <sheet name="Zuständigkeiten" sheetId="8" r:id="rId8"/>
    <sheet name="Konfiguration" sheetId="9" r:id="rId9"/>
    <sheet name="BUE_Serviceparameter" sheetId="10" r:id="rId10"/>
    <sheet name="Dashboard_Daten" sheetId="11" r:id="rId11"/>
    <sheet name="Feiertage" sheetId="12" r:id="rId12"/>
    <sheet name="Wertstand" sheetId="13" state="hidden" r:id="rId13"/>
  </sheets>
  <externalReferences>
    <externalReference r:id="rIdExt1"/>
  </externalReferences>
  <definedNames>
    <definedName name="Berichtstag">Konfiguration!$C$6</definedName>
    <definedName name="BUE_O_OK">Dashboard_Daten!$D$313</definedName>
    <definedName name="BUE_O_TEXT">Dashboard_Daten!$E$313</definedName>
    <definedName name="BUE_V_OK">Dashboard_Daten!$D$312</definedName>
    <definedName name="BUE_V_TEXT">Dashboard_Daten!$E$312</definedName>
    <definedName name="FeiertageBT">Feiertage!$T$3:$T$58</definedName>
    <definedName name="KWFreitag">IF(N(Konfiguration!$C$5)&gt;0,Konfiguration!$H$7,Konfiguration!$H$6)</definedName>
    <definedName name="Personen">Konfiguration!$B$28:$B$57</definedName>
    <definedName name="RD_Kopf">Rohdaten!$A$1:$LJ$1</definedName>
    <definedName name="RD_Monate">Rohdaten!$A$159:$LJ$159</definedName>
    <definedName name="SLA_PV">Konfiguration!$C$9</definedName>
    <definedName name="Stichtag">IFERROR(1/(1/_xlfn.MAXIFS(RD_Kopf,RD_Kopf,"&gt;="&amp;KWFreitag,RD_Kopf,"&lt;"&amp;KWFreitag+7)),KWFreitag)</definedName>
    <definedName name="VorStichtag">IFERROR(1/(1/_xlfn.MAXIFS(RD_Kopf,RD_Kopf,"&lt;"&amp;Stichtag)),Stichtag-7)</definedName>
    <definedName name="ZuordnungOffen">Konfiguration!$C$59</definedName>
  </definedNames>
  <calcPr calcId="124519" fullCalcOnLoad="1"/>
</workbook>
</file>

<file path=xl/sharedStrings.xml><?xml version="1.0" encoding="utf-8"?>
<sst xmlns="http://schemas.openxmlformats.org/spreadsheetml/2006/main" count="4150" uniqueCount="1423">
  <si>
    <t>Dashboard_Daten – Datenreihen der Kacheln (wird berechnet, nicht ändern)</t>
  </si>
  <si>
    <t>Wochen: 27 Berichtstage bis zum Berichtstag (Konfiguration), die Diagramme zeigen davon die letzten 4 bis 26 KW (Knopf „KW je Diagramm“). Monate: zehn Monate bis zum Vormonat des Berichtstags; Mitarbeiter-Kapazitäten: Vormonat, laufender Monat und Januar der beiden Folgejahre (Plan). Fehlende Werte erscheinen als #NV und bleiben im Diagramm leer.</t>
  </si>
  <si>
    <t>Datum</t>
  </si>
  <si>
    <t>Achse</t>
  </si>
  <si>
    <t>Achse (Folie)</t>
  </si>
  <si>
    <t>Schlüssel</t>
  </si>
  <si>
    <t>Reihe</t>
  </si>
  <si>
    <t>Quelle</t>
  </si>
  <si>
    <t>Woche 1</t>
  </si>
  <si>
    <t>Woche 2</t>
  </si>
  <si>
    <t>Woche 3</t>
  </si>
  <si>
    <t>Woche 4</t>
  </si>
  <si>
    <t>Woche 5</t>
  </si>
  <si>
    <t>Woche 6</t>
  </si>
  <si>
    <t>Woche 7</t>
  </si>
  <si>
    <t>Woche 8</t>
  </si>
  <si>
    <t>Woche 9</t>
  </si>
  <si>
    <t>Woche 10</t>
  </si>
  <si>
    <t>Woche 11</t>
  </si>
  <si>
    <t>Woche 12</t>
  </si>
  <si>
    <t>Woche 13</t>
  </si>
  <si>
    <t>Woche 14</t>
  </si>
  <si>
    <t>Woche 15</t>
  </si>
  <si>
    <t>Woche 16</t>
  </si>
  <si>
    <t>Woche 17</t>
  </si>
  <si>
    <t>Woche 18</t>
  </si>
  <si>
    <t>Woche 19</t>
  </si>
  <si>
    <t>Woche 20</t>
  </si>
  <si>
    <t>Woche 21</t>
  </si>
  <si>
    <t>Woche 22</t>
  </si>
  <si>
    <t>Woche 23</t>
  </si>
  <si>
    <t>Woche 24</t>
  </si>
  <si>
    <t>Woche 25</t>
  </si>
  <si>
    <t>Woche 26</t>
  </si>
  <si>
    <t>Woche 27</t>
  </si>
  <si>
    <t>Monat 1</t>
  </si>
  <si>
    <t>Monat 2</t>
  </si>
  <si>
    <t>Monat 3</t>
  </si>
  <si>
    <t>Monat 4</t>
  </si>
  <si>
    <t>Monat 5</t>
  </si>
  <si>
    <t>Monat 6</t>
  </si>
  <si>
    <t>Monat 7</t>
  </si>
  <si>
    <t>Monat 8</t>
  </si>
  <si>
    <t>Monat 9</t>
  </si>
  <si>
    <t>Monat 10</t>
  </si>
  <si>
    <t>Platz 1</t>
  </si>
  <si>
    <t>Platz 2</t>
  </si>
  <si>
    <t>Platz 3</t>
  </si>
  <si>
    <t>Platz 4</t>
  </si>
  <si>
    <t>Platz 5</t>
  </si>
  <si>
    <t>Platz 6</t>
  </si>
  <si>
    <t>Platz 7</t>
  </si>
  <si>
    <t>Platz 8</t>
  </si>
  <si>
    <t>Platz 9</t>
  </si>
  <si>
    <t>Platz 10</t>
  </si>
  <si>
    <t>Platz 11</t>
  </si>
  <si>
    <t>Platz 12</t>
  </si>
  <si>
    <t>Platz 13</t>
  </si>
  <si>
    <t>Platz 14</t>
  </si>
  <si>
    <t>Platz 15</t>
  </si>
  <si>
    <t>Platz 16</t>
  </si>
  <si>
    <t>Platz 17</t>
  </si>
  <si>
    <t>Platz 18</t>
  </si>
  <si>
    <t>Platz 19</t>
  </si>
  <si>
    <t>Platz 20</t>
  </si>
  <si>
    <t>Platz 21</t>
  </si>
  <si>
    <t>Platz 22</t>
  </si>
  <si>
    <t>Platz 23</t>
  </si>
  <si>
    <t>Platz 24</t>
  </si>
  <si>
    <t>Platz 25</t>
  </si>
  <si>
    <t>Platz 26</t>
  </si>
  <si>
    <t>Fenster 1</t>
  </si>
  <si>
    <t>Fenster 2</t>
  </si>
  <si>
    <t>Fenster 3</t>
  </si>
  <si>
    <t>Fenster 4</t>
  </si>
  <si>
    <t>Fenster 5</t>
  </si>
  <si>
    <t>Fenster 6</t>
  </si>
  <si>
    <t>Fenster 7</t>
  </si>
  <si>
    <t>Fenster 8</t>
  </si>
  <si>
    <t>Fenster 9</t>
  </si>
  <si>
    <t>Fenster 10</t>
  </si>
  <si>
    <t>Fenster 11</t>
  </si>
  <si>
    <t>Fenster 12</t>
  </si>
  <si>
    <t>Fenster 13</t>
  </si>
  <si>
    <t>Fenster 14</t>
  </si>
  <si>
    <t>Fenster 15</t>
  </si>
  <si>
    <t>Fenster 16</t>
  </si>
  <si>
    <t>Fenster 17</t>
  </si>
  <si>
    <t>Fenster 18</t>
  </si>
  <si>
    <t>Fenster 19</t>
  </si>
  <si>
    <t>Fenster 20</t>
  </si>
  <si>
    <t>Fenster 21</t>
  </si>
  <si>
    <t>Fenster 22</t>
  </si>
  <si>
    <t>Fenster 23</t>
  </si>
  <si>
    <t>Fenster 24</t>
  </si>
  <si>
    <t>Fenster 25</t>
  </si>
  <si>
    <t>Fenster 26</t>
  </si>
  <si>
    <t>Vormonat</t>
  </si>
  <si>
    <t>Lfd. Monat</t>
  </si>
  <si>
    <t>Plan Jan +1</t>
  </si>
  <si>
    <t>Plan Jan +2</t>
  </si>
  <si>
    <t>← KW auf den Folien (max.)</t>
  </si>
  <si>
    <t>6a</t>
  </si>
  <si>
    <t>Rohdaten</t>
  </si>
  <si>
    <t>10b</t>
  </si>
  <si>
    <t>8a</t>
  </si>
  <si>
    <t>8b</t>
  </si>
  <si>
    <t>8c</t>
  </si>
  <si>
    <t>8e</t>
  </si>
  <si>
    <t>19</t>
  </si>
  <si>
    <t>20</t>
  </si>
  <si>
    <t>18c</t>
  </si>
  <si>
    <t>13a</t>
  </si>
  <si>
    <t>13b</t>
  </si>
  <si>
    <t>13c</t>
  </si>
  <si>
    <t>13d</t>
  </si>
  <si>
    <t>11a</t>
  </si>
  <si>
    <t>11b</t>
  </si>
  <si>
    <t>11c</t>
  </si>
  <si>
    <t>11d</t>
  </si>
  <si>
    <t>11e</t>
  </si>
  <si>
    <t>11f</t>
  </si>
  <si>
    <t>11g</t>
  </si>
  <si>
    <t>11h</t>
  </si>
  <si>
    <t>11i</t>
  </si>
  <si>
    <t>11j</t>
  </si>
  <si>
    <t>11k</t>
  </si>
  <si>
    <t>11l</t>
  </si>
  <si>
    <t>3</t>
  </si>
  <si>
    <t>5</t>
  </si>
  <si>
    <t>9</t>
  </si>
  <si>
    <t>15</t>
  </si>
  <si>
    <t>KW_7V</t>
  </si>
  <si>
    <t>BÜ-Kachel 7V: angezeigte KW</t>
  </si>
  <si>
    <t>modKW</t>
  </si>
  <si>
    <t>_L7V</t>
  </si>
  <si>
    <t>BÜ-Kachel 7V: letzte KW mit Daten (Woche 1..27)</t>
  </si>
  <si>
    <t>berechnet</t>
  </si>
  <si>
    <t>_H7V</t>
  </si>
  <si>
    <t>BÜ-Kachel 7V: KW mit Daten (Hilfszeile)</t>
  </si>
  <si>
    <t>_off7V</t>
  </si>
  <si>
    <t>BÜ-Kachel 7V: Woche des Platzes</t>
  </si>
  <si>
    <t>7V_kat</t>
  </si>
  <si>
    <t>BÜ Verbund: KW unter der Säule</t>
  </si>
  <si>
    <t>Folie, KW je Kachel</t>
  </si>
  <si>
    <t>7VA</t>
  </si>
  <si>
    <t>BÜ Verbund Rückstand</t>
  </si>
  <si>
    <t>7VB</t>
  </si>
  <si>
    <t>BÜ Verbund Rückstand Gesundheit</t>
  </si>
  <si>
    <t>7VC</t>
  </si>
  <si>
    <t>BÜ Verbund Rückstand Komposit</t>
  </si>
  <si>
    <t>7VD</t>
  </si>
  <si>
    <t>BÜ Verbund Rückstand Leben</t>
  </si>
  <si>
    <t>7VF</t>
  </si>
  <si>
    <t>BÜ Verbund Eingänge Gesundheit</t>
  </si>
  <si>
    <t>7VJ</t>
  </si>
  <si>
    <t>BÜ Verbund Abgänge Gesundheit</t>
  </si>
  <si>
    <t>7VG</t>
  </si>
  <si>
    <t>BÜ Verbund Eingänge Komposit</t>
  </si>
  <si>
    <t>7VK</t>
  </si>
  <si>
    <t>BÜ Verbund Abgänge Komposit</t>
  </si>
  <si>
    <t>7VH</t>
  </si>
  <si>
    <t>BÜ Verbund Eingänge Leben</t>
  </si>
  <si>
    <t>7VL</t>
  </si>
  <si>
    <t>BÜ Verbund Abgänge Leben</t>
  </si>
  <si>
    <t>alt7a</t>
  </si>
  <si>
    <t>BÜ Verbund bisheriges Reporting 7a</t>
  </si>
  <si>
    <t>alt7e</t>
  </si>
  <si>
    <t>BÜ Verbund bisheriges Reporting 7e</t>
  </si>
  <si>
    <t>alt7f</t>
  </si>
  <si>
    <t>BÜ Verbund bisheriges Reporting 7f</t>
  </si>
  <si>
    <t>7V_ein</t>
  </si>
  <si>
    <t>BÜ Verbund Eingänge Summe (ohne Split: bisheriges Reporting)</t>
  </si>
  <si>
    <t>7V_ab</t>
  </si>
  <si>
    <t>BÜ Verbund Abgänge Summe (ohne Split: bisheriges Reporting)</t>
  </si>
  <si>
    <t>7V_rs</t>
  </si>
  <si>
    <t>BÜ Verbund Rückstand Summe Sparten (ohne Split: bisheriges Reporting)</t>
  </si>
  <si>
    <t>7V_og</t>
  </si>
  <si>
    <t>BÜ Verbund Gesamt ohne Spartensplit (bisheriges Reporting)</t>
  </si>
  <si>
    <t>7V_d</t>
  </si>
  <si>
    <t>BÜ Verbund Saldo Eingänge minus Abgänge</t>
  </si>
  <si>
    <t>7V_mb</t>
  </si>
  <si>
    <t>BÜ Verbund offene Vorgänge: Bezug (höchste Säule oder SLA)</t>
  </si>
  <si>
    <t>7V_sC</t>
  </si>
  <si>
    <t>BÜ Verbund offene Vorgänge Komposit (Säule, normiert)</t>
  </si>
  <si>
    <t>7V_sB</t>
  </si>
  <si>
    <t>BÜ Verbund offene Vorgänge Gesundheit (Säule, normiert)</t>
  </si>
  <si>
    <t>7V_sD</t>
  </si>
  <si>
    <t>BÜ Verbund offene Vorgänge Leben (Säule, normiert)</t>
  </si>
  <si>
    <t>7V_sO</t>
  </si>
  <si>
    <t>BÜ Verbund Gesamt ohne Spartensplit (Säule, normiert)</t>
  </si>
  <si>
    <t>7V_rC</t>
  </si>
  <si>
    <t>BÜ Verbund Komposit: Lage im Stapel von oben</t>
  </si>
  <si>
    <t>7V_tC</t>
  </si>
  <si>
    <t>BÜ Verbund offene Vorgänge Komposit (Wert, Tsd.)</t>
  </si>
  <si>
    <t>7V_rB</t>
  </si>
  <si>
    <t>BÜ Verbund Gesundheit: Lage im Stapel von oben</t>
  </si>
  <si>
    <t>7V_tB</t>
  </si>
  <si>
    <t>BÜ Verbund offene Vorgänge Gesundheit (Wert, Tsd.)</t>
  </si>
  <si>
    <t>7V_rD</t>
  </si>
  <si>
    <t>BÜ Verbund Leben: Lage im Stapel von oben</t>
  </si>
  <si>
    <t>7V_tD</t>
  </si>
  <si>
    <t>BÜ Verbund offene Vorgänge Leben (Wert, Tsd.)</t>
  </si>
  <si>
    <t>7V_cC</t>
  </si>
  <si>
    <t>BÜ Verbund Komposit: Mitte des Segments (normiert)</t>
  </si>
  <si>
    <t>7V_cB</t>
  </si>
  <si>
    <t>BÜ Verbund Gesundheit: Mitte des Segments (normiert)</t>
  </si>
  <si>
    <t>7V_cD</t>
  </si>
  <si>
    <t>BÜ Verbund Leben: Mitte des Segments (normiert)</t>
  </si>
  <si>
    <t>7V_lC</t>
  </si>
  <si>
    <t>BÜ Verbund Komposit: Lage des Wertkastens</t>
  </si>
  <si>
    <t>7V_lB</t>
  </si>
  <si>
    <t>BÜ Verbund Gesundheit: Lage des Wertkastens</t>
  </si>
  <si>
    <t>7V_lD</t>
  </si>
  <si>
    <t>BÜ Verbund Leben: Lage des Wertkastens</t>
  </si>
  <si>
    <t>7V_sum</t>
  </si>
  <si>
    <t>BÜ Verbund offene Vorgänge Summe (Lage, normiert)</t>
  </si>
  <si>
    <t>7V_sum_t</t>
  </si>
  <si>
    <t>BÜ Verbund offene Vorgänge Summe (Tsd.)</t>
  </si>
  <si>
    <t>7V_sla</t>
  </si>
  <si>
    <t>BÜ Verbund SLA (Linie, normiert)</t>
  </si>
  <si>
    <t>7V_mv</t>
  </si>
  <si>
    <t>BÜ Verbund Zu-/Abnahmen: Bezug (höchster Balken)</t>
  </si>
  <si>
    <t>7V_se</t>
  </si>
  <si>
    <t>BÜ Verbund Zunahmen (Balken, normiert)</t>
  </si>
  <si>
    <t>7V_te</t>
  </si>
  <si>
    <t>BÜ Verbund Zunahmen (Wert, Tsd.)</t>
  </si>
  <si>
    <t>7V_sa</t>
  </si>
  <si>
    <t>BÜ Verbund Abnahmen (Balken, normiert)</t>
  </si>
  <si>
    <t>7V_ta</t>
  </si>
  <si>
    <t>BÜ Verbund Abnahmen (Wert, Tsd.)</t>
  </si>
  <si>
    <t>7V_ce</t>
  </si>
  <si>
    <t>BÜ Verbund Zunahmen (Träger der Zahl über dem Balken)</t>
  </si>
  <si>
    <t>7V_ca</t>
  </si>
  <si>
    <t>BÜ Verbund Abnahmen (Träger der Zahl über dem Balken)</t>
  </si>
  <si>
    <t>7V_pauf</t>
  </si>
  <si>
    <t>BÜ Verbund Saldo (auf)</t>
  </si>
  <si>
    <t>7V_pab</t>
  </si>
  <si>
    <t>BÜ Verbund Saldo (ab)</t>
  </si>
  <si>
    <t>7V_pnull</t>
  </si>
  <si>
    <t>BÜ Verbund Saldo (null)</t>
  </si>
  <si>
    <t>7V_pt</t>
  </si>
  <si>
    <t>BÜ Verbund Saldo (Text, Tsd.)</t>
  </si>
  <si>
    <t>KW_7O</t>
  </si>
  <si>
    <t>BÜ-Kachel 7O: angezeigte KW</t>
  </si>
  <si>
    <t>_L7O</t>
  </si>
  <si>
    <t>BÜ-Kachel 7O: letzte KW mit Daten (Woche 1..27)</t>
  </si>
  <si>
    <t>_H7O</t>
  </si>
  <si>
    <t>BÜ-Kachel 7O: KW mit Daten (Hilfszeile)</t>
  </si>
  <si>
    <t>_off7O</t>
  </si>
  <si>
    <t>BÜ-Kachel 7O: Woche des Platzes</t>
  </si>
  <si>
    <t>7O_kat</t>
  </si>
  <si>
    <t>BÜ OPAG: KW unter der Säule</t>
  </si>
  <si>
    <t>7OA</t>
  </si>
  <si>
    <t>BÜ OPAG Rückstand</t>
  </si>
  <si>
    <t>7OB</t>
  </si>
  <si>
    <t>BÜ OPAG Rückstand Gesundheit</t>
  </si>
  <si>
    <t>7OC</t>
  </si>
  <si>
    <t>BÜ OPAG Rückstand Komposit</t>
  </si>
  <si>
    <t>7OD</t>
  </si>
  <si>
    <t>BÜ OPAG Rückstand Leben</t>
  </si>
  <si>
    <t>7OF</t>
  </si>
  <si>
    <t>BÜ OPAG Eingänge Gesundheit</t>
  </si>
  <si>
    <t>7OJ</t>
  </si>
  <si>
    <t>BÜ OPAG Abgänge Gesundheit</t>
  </si>
  <si>
    <t>7OG</t>
  </si>
  <si>
    <t>BÜ OPAG Eingänge Komposit</t>
  </si>
  <si>
    <t>7OK</t>
  </si>
  <si>
    <t>BÜ OPAG Abgänge Komposit</t>
  </si>
  <si>
    <t>7OH</t>
  </si>
  <si>
    <t>BÜ OPAG Eingänge Leben</t>
  </si>
  <si>
    <t>7OL</t>
  </si>
  <si>
    <t>BÜ OPAG Abgänge Leben</t>
  </si>
  <si>
    <t>7O_ein</t>
  </si>
  <si>
    <t>BÜ OPAG Eingänge Summe</t>
  </si>
  <si>
    <t>7O_ab</t>
  </si>
  <si>
    <t>BÜ OPAG Abgänge Summe</t>
  </si>
  <si>
    <t>7O_rs</t>
  </si>
  <si>
    <t>BÜ OPAG Rückstand Summe Sparten</t>
  </si>
  <si>
    <t>7O_d</t>
  </si>
  <si>
    <t>BÜ OPAG Saldo Eingänge minus Abgänge</t>
  </si>
  <si>
    <t>7O_mb</t>
  </si>
  <si>
    <t>BÜ OPAG offene Vorgänge: Bezug (höchste Säule oder SLA)</t>
  </si>
  <si>
    <t>7O_sC</t>
  </si>
  <si>
    <t>BÜ OPAG offene Vorgänge Komposit (Säule, normiert)</t>
  </si>
  <si>
    <t>7O_sB</t>
  </si>
  <si>
    <t>BÜ OPAG offene Vorgänge Gesundheit (Säule, normiert)</t>
  </si>
  <si>
    <t>7O_sD</t>
  </si>
  <si>
    <t>BÜ OPAG offene Vorgänge Leben (Säule, normiert)</t>
  </si>
  <si>
    <t>7O_rC</t>
  </si>
  <si>
    <t>BÜ OPAG Komposit: Lage im Stapel von oben</t>
  </si>
  <si>
    <t>7O_tC</t>
  </si>
  <si>
    <t>BÜ OPAG offene Vorgänge Komposit (Wert, Tsd.)</t>
  </si>
  <si>
    <t>7O_rB</t>
  </si>
  <si>
    <t>BÜ OPAG Gesundheit: Lage im Stapel von oben</t>
  </si>
  <si>
    <t>7O_tB</t>
  </si>
  <si>
    <t>BÜ OPAG offene Vorgänge Gesundheit (Wert, Tsd.)</t>
  </si>
  <si>
    <t>7O_rD</t>
  </si>
  <si>
    <t>BÜ OPAG Leben: Lage im Stapel von oben</t>
  </si>
  <si>
    <t>7O_tD</t>
  </si>
  <si>
    <t>BÜ OPAG offene Vorgänge Leben (Wert, Tsd.)</t>
  </si>
  <si>
    <t>7O_cC</t>
  </si>
  <si>
    <t>BÜ OPAG Komposit: Mitte des Segments (normiert)</t>
  </si>
  <si>
    <t>7O_cB</t>
  </si>
  <si>
    <t>BÜ OPAG Gesundheit: Mitte des Segments (normiert)</t>
  </si>
  <si>
    <t>7O_cD</t>
  </si>
  <si>
    <t>BÜ OPAG Leben: Mitte des Segments (normiert)</t>
  </si>
  <si>
    <t>7O_lC</t>
  </si>
  <si>
    <t>BÜ OPAG Komposit: Lage des Wertkastens</t>
  </si>
  <si>
    <t>7O_lB</t>
  </si>
  <si>
    <t>BÜ OPAG Gesundheit: Lage des Wertkastens</t>
  </si>
  <si>
    <t>7O_lD</t>
  </si>
  <si>
    <t>BÜ OPAG Leben: Lage des Wertkastens</t>
  </si>
  <si>
    <t>7O_sum</t>
  </si>
  <si>
    <t>BÜ OPAG offene Vorgänge Summe (Lage, normiert)</t>
  </si>
  <si>
    <t>7O_sum_t</t>
  </si>
  <si>
    <t>BÜ OPAG offene Vorgänge Summe (Tsd.)</t>
  </si>
  <si>
    <t>7O_sla</t>
  </si>
  <si>
    <t>BÜ OPAG SLA (Linie, normiert)</t>
  </si>
  <si>
    <t>7O_mv</t>
  </si>
  <si>
    <t>BÜ OPAG Zu-/Abnahmen: Bezug (höchster Balken)</t>
  </si>
  <si>
    <t>7O_se</t>
  </si>
  <si>
    <t>BÜ OPAG Zunahmen (Balken, normiert)</t>
  </si>
  <si>
    <t>7O_te</t>
  </si>
  <si>
    <t>BÜ OPAG Zunahmen (Wert, Tsd.)</t>
  </si>
  <si>
    <t>7O_sa</t>
  </si>
  <si>
    <t>BÜ OPAG Abnahmen (Balken, normiert)</t>
  </si>
  <si>
    <t>7O_ta</t>
  </si>
  <si>
    <t>BÜ OPAG Abnahmen (Wert, Tsd.)</t>
  </si>
  <si>
    <t>7O_ce</t>
  </si>
  <si>
    <t>BÜ OPAG Zunahmen (Träger der Zahl über dem Balken)</t>
  </si>
  <si>
    <t>7O_ca</t>
  </si>
  <si>
    <t>BÜ OPAG Abnahmen (Träger der Zahl über dem Balken)</t>
  </si>
  <si>
    <t>7O_pauf</t>
  </si>
  <si>
    <t>BÜ OPAG Saldo (auf)</t>
  </si>
  <si>
    <t>7O_pab</t>
  </si>
  <si>
    <t>BÜ OPAG Saldo (ab)</t>
  </si>
  <si>
    <t>7O_pnull</t>
  </si>
  <si>
    <t>BÜ OPAG Saldo (null)</t>
  </si>
  <si>
    <t>7O_pt</t>
  </si>
  <si>
    <t>BÜ OPAG Saldo (Text, Tsd.)</t>
  </si>
  <si>
    <t>7_quote</t>
  </si>
  <si>
    <t>BÜ Verhältnis Rückstand OPAG / Verbund</t>
  </si>
  <si>
    <t>6a_t</t>
  </si>
  <si>
    <t>Schwebefälle in Tausend</t>
  </si>
  <si>
    <t>13a_t</t>
  </si>
  <si>
    <t>Überwachte VNRs in Tausend</t>
  </si>
  <si>
    <t>13b_1</t>
  </si>
  <si>
    <t>Watchlist Treffer VNRs: Platz des Kastens</t>
  </si>
  <si>
    <t>13b_t</t>
  </si>
  <si>
    <t>Watchlist Treffer VNRs (Text im Kasten)</t>
  </si>
  <si>
    <t>13c_1</t>
  </si>
  <si>
    <t>Watchlist In Bearbeitung: Platz des Kastens</t>
  </si>
  <si>
    <t>13c_t</t>
  </si>
  <si>
    <t>Watchlist In Bearbeitung (Text im Kasten)</t>
  </si>
  <si>
    <t>13d_1</t>
  </si>
  <si>
    <t>Watchlist Erledigt: Platz des Kastens</t>
  </si>
  <si>
    <t>13d_t</t>
  </si>
  <si>
    <t>Watchlist Erledigt (Text im Kasten)</t>
  </si>
  <si>
    <t>11a_sum</t>
  </si>
  <si>
    <t>Defect Fixing Summe Stapel</t>
  </si>
  <si>
    <t>11a_t</t>
  </si>
  <si>
    <t>Defect Fixing Beschriftung</t>
  </si>
  <si>
    <t>11a_pos</t>
  </si>
  <si>
    <t>Defect Fixing Lage der Summe (etwas über dem Stapel)</t>
  </si>
  <si>
    <t>11g_sum</t>
  </si>
  <si>
    <t>Defects op. Betrieb Summe Stapel</t>
  </si>
  <si>
    <t>11g_t</t>
  </si>
  <si>
    <t>Defects op. Betrieb Beschriftung</t>
  </si>
  <si>
    <t>11g_pos</t>
  </si>
  <si>
    <t>Defects op. Betrieb Lage der Summe (etwas über dem Stapel)</t>
  </si>
  <si>
    <t>SLA</t>
  </si>
  <si>
    <t>SLA Provisionsreklamation</t>
  </si>
  <si>
    <t>18D</t>
  </si>
  <si>
    <t>Neuverpflichtungen gesamt</t>
  </si>
  <si>
    <t>18D_f</t>
  </si>
  <si>
    <t>Neuverpflichtungen fristgerecht erledigt</t>
  </si>
  <si>
    <t>18E_w</t>
  </si>
  <si>
    <t>Erledigungsquote (Zellinhalt)</t>
  </si>
  <si>
    <t>18E_z</t>
  </si>
  <si>
    <t>Erledigungsquote als Zahl</t>
  </si>
  <si>
    <t>18E</t>
  </si>
  <si>
    <t>Erledigungsquote</t>
  </si>
  <si>
    <t>18E_t</t>
  </si>
  <si>
    <t>Erledigungsquote Beschriftung</t>
  </si>
  <si>
    <t>21b</t>
  </si>
  <si>
    <t>MAK Soll</t>
  </si>
  <si>
    <t>21c</t>
  </si>
  <si>
    <t>MAK (V)Ist</t>
  </si>
  <si>
    <t>21b_r</t>
  </si>
  <si>
    <t>MAK Soll gerundet</t>
  </si>
  <si>
    <t>21c_r</t>
  </si>
  <si>
    <t>MAK (V)Ist gerundet</t>
  </si>
  <si>
    <t>Titelfolie. Titel, Untertitel und Stand kommen aus der Konfiguration (C15:C17).</t>
  </si>
  <si>
    <t>Ansicht wie auf der Folie (ERGO-Vorlage, Layout 3/4). Kommentare über den Knopf links pflegen – das Feld rechts ordnet sich selbst.</t>
  </si>
  <si>
    <t>_S7V</t>
  </si>
  <si>
    <t>BÜ-Kachel 7V: Stand der Werte (Datum, Text)</t>
  </si>
  <si>
    <t>Wertstand</t>
  </si>
  <si>
    <t>_S7O</t>
  </si>
  <si>
    <t>BÜ-Kachel 7O: Stand der Werte (Datum, Text)</t>
  </si>
  <si>
    <t>_LPPT_2_3</t>
  </si>
  <si>
    <t>PPT_2 3 Neueinstellungen: letzte KW mit Daten (Woche 1..27)</t>
  </si>
  <si>
    <t>_HPPT_2_3</t>
  </si>
  <si>
    <t>PPT_2 3 Neueinstellungen: KW mit Daten (Hilfszeile)</t>
  </si>
  <si>
    <t>_SPPT_2_3</t>
  </si>
  <si>
    <t>PPT_2 3 Neueinstellungen: Stand der Werte (Datum, Text)</t>
  </si>
  <si>
    <t>F_PPT_2_3|_kat</t>
  </si>
  <si>
    <t>PPT_2 3 Neueinstellungen: KW im Zeitfenster</t>
  </si>
  <si>
    <t>Fenster</t>
  </si>
  <si>
    <t>F_PPT_2_3|18c</t>
  </si>
  <si>
    <t>PPT_2 3 Neueinstellungen: 18c im Zeitfenster</t>
  </si>
  <si>
    <t>_LPPT_2_4</t>
  </si>
  <si>
    <t>PPT_2 4 Provisionsreklamation AO: letzte KW mit Daten (Woche 1..27)</t>
  </si>
  <si>
    <t>_HPPT_2_4</t>
  </si>
  <si>
    <t>PPT_2 4 Provisionsreklamation AO: KW mit Daten (Hilfszeile)</t>
  </si>
  <si>
    <t>_SPPT_2_4</t>
  </si>
  <si>
    <t>PPT_2 4 Provisionsreklamation AO: Stand der Werte (Datum, Text)</t>
  </si>
  <si>
    <t>PV_M</t>
  </si>
  <si>
    <t>Provisionsreklamation AO/Makler: gemeinsamer Bezug der Werteachse (höchster gezeigter Wert oder SLA)</t>
  </si>
  <si>
    <t>SLA_pv</t>
  </si>
  <si>
    <t>SLA Provisionsreklamation (Linie, normiert auf PV_M)</t>
  </si>
  <si>
    <t>8a_pv</t>
  </si>
  <si>
    <t>Provisionsreklamation AO: Offene Vorgänge (Linie, normiert auf PV_M)</t>
  </si>
  <si>
    <t>8a_pvt</t>
  </si>
  <si>
    <t>Provisionsreklamation AO: Offene Vorgänge (Text)</t>
  </si>
  <si>
    <t>F_PPT_2_4|_kat</t>
  </si>
  <si>
    <t>PPT_2 4 Provisionsreklamation AO: KW im Zeitfenster</t>
  </si>
  <si>
    <t>F_PPT_2_4|8a_pv</t>
  </si>
  <si>
    <t>PPT_2 4 Provisionsreklamation AO: 8a_pv im Zeitfenster</t>
  </si>
  <si>
    <t>F_PPT_2_4|8a_pvt</t>
  </si>
  <si>
    <t>PPT_2 4 Provisionsreklamation AO: 8a_pvt im Zeitfenster</t>
  </si>
  <si>
    <t>F_PPT_2_4|SLA_pv</t>
  </si>
  <si>
    <t>PPT_2 4 Provisionsreklamation AO: SLA_pv im Zeitfenster</t>
  </si>
  <si>
    <t>BW_PPT_2_4_kw</t>
  </si>
  <si>
    <t>Provisionsreklamation AO: angezeigte KW</t>
  </si>
  <si>
    <t>BW_PPT_2_4_8b_n</t>
  </si>
  <si>
    <t>Provisionsreklamation AO: Zunahmen (Balken, normiert)</t>
  </si>
  <si>
    <t>BW_PPT_2_4_8b_t</t>
  </si>
  <si>
    <t>Provisionsreklamation AO: Zunahmen (Text)</t>
  </si>
  <si>
    <t>BW_PPT_2_4_8c_n</t>
  </si>
  <si>
    <t>Provisionsreklamation AO: Abnahmen (Balken, normiert)</t>
  </si>
  <si>
    <t>BW_PPT_2_4_8c_t</t>
  </si>
  <si>
    <t>Provisionsreklamation AO: Abnahmen (Text)</t>
  </si>
  <si>
    <t>BW_PPT_2_4_8b_c</t>
  </si>
  <si>
    <t>Provisionsreklamation AO: Zunahmen (Träger der Zahl über dem Balken)</t>
  </si>
  <si>
    <t>BW_PPT_2_4_8c_c</t>
  </si>
  <si>
    <t>Provisionsreklamation AO: Abnahmen (Träger der Zahl über dem Balken)</t>
  </si>
  <si>
    <t>BW_PPT_2_4_an</t>
  </si>
  <si>
    <t>Provisionsreklamation AO: Delta-Zeile an (1) / aus (0)</t>
  </si>
  <si>
    <t>BW_PPT_2_4_dauf</t>
  </si>
  <si>
    <t>Provisionsreklamation AO: Delta-Zeile (auf)</t>
  </si>
  <si>
    <t>BW_PPT_2_4_dab</t>
  </si>
  <si>
    <t>Provisionsreklamation AO: Delta-Zeile (ab)</t>
  </si>
  <si>
    <t>BW_PPT_2_4_dnull</t>
  </si>
  <si>
    <t>Provisionsreklamation AO: Delta-Zeile (null)</t>
  </si>
  <si>
    <t>BW_PPT_2_4_dt</t>
  </si>
  <si>
    <t>Provisionsreklamation AO: Zunahmen minus Abnahmen (Text)</t>
  </si>
  <si>
    <t>F_PPT_2_4|BW_PPT_2_4_8b_n</t>
  </si>
  <si>
    <t>PPT_2 4 Provisionsreklamation AO: BW_PPT_2_4_8b_n im Zeitfenster</t>
  </si>
  <si>
    <t>F_PPT_2_4|BW_PPT_2_4_8c_n</t>
  </si>
  <si>
    <t>PPT_2 4 Provisionsreklamation AO: BW_PPT_2_4_8c_n im Zeitfenster</t>
  </si>
  <si>
    <t>F_PPT_2_4|BW_PPT_2_4_8b_c</t>
  </si>
  <si>
    <t>PPT_2 4 Provisionsreklamation AO: BW_PPT_2_4_8b_c im Zeitfenster</t>
  </si>
  <si>
    <t>F_PPT_2_4|BW_PPT_2_4_8b_t</t>
  </si>
  <si>
    <t>PPT_2 4 Provisionsreklamation AO: BW_PPT_2_4_8b_t im Zeitfenster</t>
  </si>
  <si>
    <t>F_PPT_2_4|BW_PPT_2_4_8c_c</t>
  </si>
  <si>
    <t>PPT_2 4 Provisionsreklamation AO: BW_PPT_2_4_8c_c im Zeitfenster</t>
  </si>
  <si>
    <t>F_PPT_2_4|BW_PPT_2_4_8c_t</t>
  </si>
  <si>
    <t>PPT_2 4 Provisionsreklamation AO: BW_PPT_2_4_8c_t im Zeitfenster</t>
  </si>
  <si>
    <t>F_PPT_2_4|BW_PPT_2_4_dauf</t>
  </si>
  <si>
    <t>PPT_2 4 Provisionsreklamation AO: BW_PPT_2_4_dauf im Zeitfenster</t>
  </si>
  <si>
    <t>F_PPT_2_4|BW_PPT_2_4_dab</t>
  </si>
  <si>
    <t>PPT_2 4 Provisionsreklamation AO: BW_PPT_2_4_dab im Zeitfenster</t>
  </si>
  <si>
    <t>F_PPT_2_4|BW_PPT_2_4_dnull</t>
  </si>
  <si>
    <t>PPT_2 4 Provisionsreklamation AO: BW_PPT_2_4_dnull im Zeitfenster</t>
  </si>
  <si>
    <t>F_PPT_2_4|BW_PPT_2_4_dt</t>
  </si>
  <si>
    <t>PPT_2 4 Provisionsreklamation AO: BW_PPT_2_4_dt im Zeitfenster</t>
  </si>
  <si>
    <t>_LPPT_2_5</t>
  </si>
  <si>
    <t>PPT_2 5 Provisionsreklamation Makler: letzte KW mit Daten (Woche 1..27)</t>
  </si>
  <si>
    <t>_HPPT_2_5</t>
  </si>
  <si>
    <t>PPT_2 5 Provisionsreklamation Makler: KW mit Daten (Hilfszeile)</t>
  </si>
  <si>
    <t>_SPPT_2_5</t>
  </si>
  <si>
    <t>PPT_2 5 Provisionsreklamation Makler: Stand der Werte (Datum, Text)</t>
  </si>
  <si>
    <t>PV_F_5</t>
  </si>
  <si>
    <t>Provisionsreklamation Makler: Faktor je Vorgang (SLA auf Höhe der AO-SLA, Grundlinie unten)</t>
  </si>
  <si>
    <t>8e_pv</t>
  </si>
  <si>
    <t>Provisionsreklamation Makler: Offene Vorgänge (Linie, Faktor PV_F)</t>
  </si>
  <si>
    <t>SLA_pv_5</t>
  </si>
  <si>
    <t>Provisionsreklamation Makler: SLA (Linie, Faktor PV_F)</t>
  </si>
  <si>
    <t>8e_pvt</t>
  </si>
  <si>
    <t>Provisionsreklamation Makler: Offene Vorgänge (Text)</t>
  </si>
  <si>
    <t>PV_PPT_2_5_kw</t>
  </si>
  <si>
    <t>Provisionsreklamation Makler: angezeigte KW</t>
  </si>
  <si>
    <t>F_PPT_2_5|_kat</t>
  </si>
  <si>
    <t>PPT_2 5 Provisionsreklamation Makler: KW im Zeitfenster</t>
  </si>
  <si>
    <t>F_PPT_2_5|8e_pv</t>
  </si>
  <si>
    <t>PPT_2 5 Provisionsreklamation Makler: 8e_pv im Zeitfenster</t>
  </si>
  <si>
    <t>F_PPT_2_5|8e_pvt</t>
  </si>
  <si>
    <t>PPT_2 5 Provisionsreklamation Makler: 8e_pvt im Zeitfenster</t>
  </si>
  <si>
    <t>F_PPT_2_5|SLA_pv_5</t>
  </si>
  <si>
    <t>PPT_2 5 Provisionsreklamation Makler: SLA_pv_5 im Zeitfenster</t>
  </si>
  <si>
    <t>_LPPT_2_6</t>
  </si>
  <si>
    <t>PPT_2 6 Buchauszug: letzte KW mit Daten (Woche 1..27)</t>
  </si>
  <si>
    <t>_HPPT_2_6</t>
  </si>
  <si>
    <t>PPT_2 6 Buchauszug: KW mit Daten (Hilfszeile)</t>
  </si>
  <si>
    <t>_SPPT_2_6</t>
  </si>
  <si>
    <t>PPT_2 6 Buchauszug: Stand der Werte (Datum, Text)</t>
  </si>
  <si>
    <t>F_PPT_2_6|_kat</t>
  </si>
  <si>
    <t>PPT_2 6 Buchauszug: KW im Zeitfenster</t>
  </si>
  <si>
    <t>F_PPT_2_6|19</t>
  </si>
  <si>
    <t>PPT_2 6 Buchauszug: 19 im Zeitfenster</t>
  </si>
  <si>
    <t>_LPPT_2_7</t>
  </si>
  <si>
    <t>PPT_2 7 Ausgleichsanspruch: letzte KW mit Daten (Woche 1..27)</t>
  </si>
  <si>
    <t>_HPPT_2_7</t>
  </si>
  <si>
    <t>PPT_2 7 Ausgleichsanspruch: KW mit Daten (Hilfszeile)</t>
  </si>
  <si>
    <t>_SPPT_2_7</t>
  </si>
  <si>
    <t>PPT_2 7 Ausgleichsanspruch: Stand der Werte (Datum, Text)</t>
  </si>
  <si>
    <t>F_PPT_2_7|_kat</t>
  </si>
  <si>
    <t>PPT_2 7 Ausgleichsanspruch: KW im Zeitfenster</t>
  </si>
  <si>
    <t>F_PPT_2_7|20</t>
  </si>
  <si>
    <t>PPT_2 7 Ausgleichsanspruch: 20 im Zeitfenster</t>
  </si>
  <si>
    <t>_LPPT_3_1</t>
  </si>
  <si>
    <t>PPT_3 1 Schwebefallbearbeitung: letzte KW mit Daten (Woche 1..27)</t>
  </si>
  <si>
    <t>_HPPT_3_1</t>
  </si>
  <si>
    <t>PPT_3 1 Schwebefallbearbeitung: KW mit Daten (Hilfszeile)</t>
  </si>
  <si>
    <t>_SPPT_3_1</t>
  </si>
  <si>
    <t>PPT_3 1 Schwebefallbearbeitung: Stand der Werte (Datum, Text)</t>
  </si>
  <si>
    <t>F_PPT_3_1|_kat</t>
  </si>
  <si>
    <t>PPT_3 1 Schwebefallbearbeitung: KW im Zeitfenster</t>
  </si>
  <si>
    <t>F_PPT_3_1|6a_t</t>
  </si>
  <si>
    <t>PPT_3 1 Schwebefallbearbeitung: 6a_t im Zeitfenster</t>
  </si>
  <si>
    <t>_LPPT_3_2</t>
  </si>
  <si>
    <t>PPT_3 2 Watchlist: letzte KW mit Daten (Woche 1..27)</t>
  </si>
  <si>
    <t>_HPPT_3_2</t>
  </si>
  <si>
    <t>PPT_3 2 Watchlist: KW mit Daten (Hilfszeile)</t>
  </si>
  <si>
    <t>_SPPT_3_2</t>
  </si>
  <si>
    <t>PPT_3 2 Watchlist: Stand der Werte (Datum, Text)</t>
  </si>
  <si>
    <t>F_PPT_3_2|_kat</t>
  </si>
  <si>
    <t>PPT_3 2 Watchlist: KW im Zeitfenster</t>
  </si>
  <si>
    <t>F_PPT_3_2|13a_t</t>
  </si>
  <si>
    <t>PPT_3 2 Watchlist: 13a_t im Zeitfenster</t>
  </si>
  <si>
    <t>F_PPT_3_2|13b</t>
  </si>
  <si>
    <t>PPT_3 2 Watchlist: 13b im Zeitfenster</t>
  </si>
  <si>
    <t>F_PPT_3_2|13b_t</t>
  </si>
  <si>
    <t>PPT_3 2 Watchlist: 13b_t im Zeitfenster</t>
  </si>
  <si>
    <t>F_PPT_3_2|13c</t>
  </si>
  <si>
    <t>PPT_3 2 Watchlist: 13c im Zeitfenster</t>
  </si>
  <si>
    <t>F_PPT_3_2|13c_t</t>
  </si>
  <si>
    <t>PPT_3 2 Watchlist: 13c_t im Zeitfenster</t>
  </si>
  <si>
    <t>F_PPT_3_2|13d</t>
  </si>
  <si>
    <t>PPT_3 2 Watchlist: 13d im Zeitfenster</t>
  </si>
  <si>
    <t>F_PPT_3_2|13d_t</t>
  </si>
  <si>
    <t>PPT_3 2 Watchlist: 13d_t im Zeitfenster</t>
  </si>
  <si>
    <t>_LPPT_3_3</t>
  </si>
  <si>
    <t>PPT_3 3 Technische Arbeitsanweisungen: letzte KW mit Daten (Woche 1..27)</t>
  </si>
  <si>
    <t>_HPPT_3_3</t>
  </si>
  <si>
    <t>PPT_3 3 Technische Arbeitsanweisungen: KW mit Daten (Hilfszeile)</t>
  </si>
  <si>
    <t>_SPPT_3_3</t>
  </si>
  <si>
    <t>PPT_3 3 Technische Arbeitsanweisungen: Stand der Werte (Datum, Text)</t>
  </si>
  <si>
    <t>F_PPT_3_3|_kat</t>
  </si>
  <si>
    <t>PPT_3 3 Technische Arbeitsanweisungen: KW im Zeitfenster</t>
  </si>
  <si>
    <t>F_PPT_3_3|10b</t>
  </si>
  <si>
    <t>PPT_3 3 Technische Arbeitsanweisungen: 10b im Zeitfenster</t>
  </si>
  <si>
    <t>_LPPT_3_4</t>
  </si>
  <si>
    <t>PPT_3 4 Defect Fixing (CPE): letzte KW mit Daten (Woche 1..27)</t>
  </si>
  <si>
    <t>_HPPT_3_4</t>
  </si>
  <si>
    <t>PPT_3 4 Defect Fixing (CPE): KW mit Daten (Hilfszeile)</t>
  </si>
  <si>
    <t>_SPPT_3_4</t>
  </si>
  <si>
    <t>PPT_3 4 Defect Fixing (CPE): Stand der Werte (Datum, Text)</t>
  </si>
  <si>
    <t>F_PPT_3_4|_kat</t>
  </si>
  <si>
    <t>PPT_3 4 Defect Fixing (CPE): KW im Zeitfenster</t>
  </si>
  <si>
    <t>F_PPT_3_4|11d</t>
  </si>
  <si>
    <t>PPT_3 4 Defect Fixing (CPE): 11d im Zeitfenster</t>
  </si>
  <si>
    <t>F_PPT_3_4|11c</t>
  </si>
  <si>
    <t>PPT_3 4 Defect Fixing (CPE): 11c im Zeitfenster</t>
  </si>
  <si>
    <t>F_PPT_3_4|11b</t>
  </si>
  <si>
    <t>PPT_3 4 Defect Fixing (CPE): 11b im Zeitfenster</t>
  </si>
  <si>
    <t>F_PPT_3_4|11a_pos</t>
  </si>
  <si>
    <t>PPT_3 4 Defect Fixing (CPE): 11a_pos im Zeitfenster</t>
  </si>
  <si>
    <t>F_PPT_3_4|11a_t</t>
  </si>
  <si>
    <t>PPT_3 4 Defect Fixing (CPE): 11a_t im Zeitfenster</t>
  </si>
  <si>
    <t>BW_PPT_3_4_kw</t>
  </si>
  <si>
    <t>Defect Fixing (CPE): angezeigte KW</t>
  </si>
  <si>
    <t>BW_PPT_3_4_11e_n</t>
  </si>
  <si>
    <t>Defect Fixing (CPE): Zunahmen (Balken, normiert)</t>
  </si>
  <si>
    <t>BW_PPT_3_4_11e_t</t>
  </si>
  <si>
    <t>Defect Fixing (CPE): Zunahmen (Text)</t>
  </si>
  <si>
    <t>BW_PPT_3_4_11f_n</t>
  </si>
  <si>
    <t>Defect Fixing (CPE): Abnahmen (Balken, normiert)</t>
  </si>
  <si>
    <t>BW_PPT_3_4_11f_t</t>
  </si>
  <si>
    <t>Defect Fixing (CPE): Abnahmen (Text)</t>
  </si>
  <si>
    <t>BW_PPT_3_4_11e_c</t>
  </si>
  <si>
    <t>Defect Fixing (CPE): Zunahmen (Träger der Zahl über dem Balken)</t>
  </si>
  <si>
    <t>BW_PPT_3_4_11f_c</t>
  </si>
  <si>
    <t>Defect Fixing (CPE): Abnahmen (Träger der Zahl über dem Balken)</t>
  </si>
  <si>
    <t>BW_PPT_3_4_an</t>
  </si>
  <si>
    <t>Defect Fixing (CPE): Delta-Zeile an (1) / aus (0)</t>
  </si>
  <si>
    <t>BW_PPT_3_4_dauf</t>
  </si>
  <si>
    <t>Defect Fixing (CPE): Delta-Zeile (auf)</t>
  </si>
  <si>
    <t>BW_PPT_3_4_dab</t>
  </si>
  <si>
    <t>Defect Fixing (CPE): Delta-Zeile (ab)</t>
  </si>
  <si>
    <t>BW_PPT_3_4_dnull</t>
  </si>
  <si>
    <t>Defect Fixing (CPE): Delta-Zeile (null)</t>
  </si>
  <si>
    <t>BW_PPT_3_4_dt</t>
  </si>
  <si>
    <t>Defect Fixing (CPE): Zunahmen minus Abnahmen (Text)</t>
  </si>
  <si>
    <t>F_PPT_3_4|BW_PPT_3_4_11e_n</t>
  </si>
  <si>
    <t>PPT_3 4 Defect Fixing (CPE): BW_PPT_3_4_11e_n im Zeitfenster</t>
  </si>
  <si>
    <t>F_PPT_3_4|BW_PPT_3_4_11f_n</t>
  </si>
  <si>
    <t>PPT_3 4 Defect Fixing (CPE): BW_PPT_3_4_11f_n im Zeitfenster</t>
  </si>
  <si>
    <t>F_PPT_3_4|BW_PPT_3_4_11e_c</t>
  </si>
  <si>
    <t>PPT_3 4 Defect Fixing (CPE): BW_PPT_3_4_11e_c im Zeitfenster</t>
  </si>
  <si>
    <t>F_PPT_3_4|BW_PPT_3_4_11e_t</t>
  </si>
  <si>
    <t>PPT_3 4 Defect Fixing (CPE): BW_PPT_3_4_11e_t im Zeitfenster</t>
  </si>
  <si>
    <t>F_PPT_3_4|BW_PPT_3_4_11f_c</t>
  </si>
  <si>
    <t>PPT_3 4 Defect Fixing (CPE): BW_PPT_3_4_11f_c im Zeitfenster</t>
  </si>
  <si>
    <t>F_PPT_3_4|BW_PPT_3_4_11f_t</t>
  </si>
  <si>
    <t>PPT_3 4 Defect Fixing (CPE): BW_PPT_3_4_11f_t im Zeitfenster</t>
  </si>
  <si>
    <t>F_PPT_3_4|BW_PPT_3_4_dauf</t>
  </si>
  <si>
    <t>PPT_3 4 Defect Fixing (CPE): BW_PPT_3_4_dauf im Zeitfenster</t>
  </si>
  <si>
    <t>F_PPT_3_4|BW_PPT_3_4_dab</t>
  </si>
  <si>
    <t>PPT_3 4 Defect Fixing (CPE): BW_PPT_3_4_dab im Zeitfenster</t>
  </si>
  <si>
    <t>F_PPT_3_4|BW_PPT_3_4_dnull</t>
  </si>
  <si>
    <t>PPT_3 4 Defect Fixing (CPE): BW_PPT_3_4_dnull im Zeitfenster</t>
  </si>
  <si>
    <t>F_PPT_3_4|BW_PPT_3_4_dt</t>
  </si>
  <si>
    <t>PPT_3 4 Defect Fixing (CPE): BW_PPT_3_4_dt im Zeitfenster</t>
  </si>
  <si>
    <t>_LPPT_3_5</t>
  </si>
  <si>
    <t>PPT_3 5 Defects im operativen Betrieb: letzte KW mit Daten (Woche 1..27)</t>
  </si>
  <si>
    <t>_HPPT_3_5</t>
  </si>
  <si>
    <t>PPT_3 5 Defects im operativen Betrieb: KW mit Daten (Hilfszeile)</t>
  </si>
  <si>
    <t>_SPPT_3_5</t>
  </si>
  <si>
    <t>PPT_3 5 Defects im operativen Betrieb: Stand der Werte (Datum, Text)</t>
  </si>
  <si>
    <t>F_PPT_3_5|_kat</t>
  </si>
  <si>
    <t>PPT_3 5 Defects im operativen Betrieb: KW im Zeitfenster</t>
  </si>
  <si>
    <t>F_PPT_3_5|11j</t>
  </si>
  <si>
    <t>PPT_3 5 Defects im operativen Betrieb: 11j im Zeitfenster</t>
  </si>
  <si>
    <t>F_PPT_3_5|11i</t>
  </si>
  <si>
    <t>PPT_3 5 Defects im operativen Betrieb: 11i im Zeitfenster</t>
  </si>
  <si>
    <t>F_PPT_3_5|11h</t>
  </si>
  <si>
    <t>PPT_3 5 Defects im operativen Betrieb: 11h im Zeitfenster</t>
  </si>
  <si>
    <t>F_PPT_3_5|11g_pos</t>
  </si>
  <si>
    <t>PPT_3 5 Defects im operativen Betrieb: 11g_pos im Zeitfenster</t>
  </si>
  <si>
    <t>F_PPT_3_5|11g_t</t>
  </si>
  <si>
    <t>PPT_3 5 Defects im operativen Betrieb: 11g_t im Zeitfenster</t>
  </si>
  <si>
    <t>BW_PPT_3_5_kw</t>
  </si>
  <si>
    <t>Defects im operativen Betrieb: angezeigte KW</t>
  </si>
  <si>
    <t>BW_PPT_3_5_11k_n</t>
  </si>
  <si>
    <t>Defects im operativen Betrieb: Zunahmen (Balken, normiert)</t>
  </si>
  <si>
    <t>BW_PPT_3_5_11k_t</t>
  </si>
  <si>
    <t>Defects im operativen Betrieb: Zunahmen (Text)</t>
  </si>
  <si>
    <t>BW_PPT_3_5_11l_n</t>
  </si>
  <si>
    <t>Defects im operativen Betrieb: Abnahmen (Balken, normiert)</t>
  </si>
  <si>
    <t>BW_PPT_3_5_11l_t</t>
  </si>
  <si>
    <t>Defects im operativen Betrieb: Abnahmen (Text)</t>
  </si>
  <si>
    <t>BW_PPT_3_5_11k_c</t>
  </si>
  <si>
    <t>Defects im operativen Betrieb: Zunahmen (Träger der Zahl über dem Balken)</t>
  </si>
  <si>
    <t>BW_PPT_3_5_11l_c</t>
  </si>
  <si>
    <t>Defects im operativen Betrieb: Abnahmen (Träger der Zahl über dem Balken)</t>
  </si>
  <si>
    <t>BW_PPT_3_5_an</t>
  </si>
  <si>
    <t>Defects im operativen Betrieb: Delta-Zeile an (1) / aus (0)</t>
  </si>
  <si>
    <t>BW_PPT_3_5_dauf</t>
  </si>
  <si>
    <t>Defects im operativen Betrieb: Delta-Zeile (auf)</t>
  </si>
  <si>
    <t>BW_PPT_3_5_dab</t>
  </si>
  <si>
    <t>Defects im operativen Betrieb: Delta-Zeile (ab)</t>
  </si>
  <si>
    <t>BW_PPT_3_5_dnull</t>
  </si>
  <si>
    <t>Defects im operativen Betrieb: Delta-Zeile (null)</t>
  </si>
  <si>
    <t>BW_PPT_3_5_dt</t>
  </si>
  <si>
    <t>Defects im operativen Betrieb: Zunahmen minus Abnahmen (Text)</t>
  </si>
  <si>
    <t>F_PPT_3_5|BW_PPT_3_5_11k_n</t>
  </si>
  <si>
    <t>PPT_3 5 Defects im operativen Betrieb: BW_PPT_3_5_11k_n im Zeitfenster</t>
  </si>
  <si>
    <t>F_PPT_3_5|BW_PPT_3_5_11l_n</t>
  </si>
  <si>
    <t>PPT_3 5 Defects im operativen Betrieb: BW_PPT_3_5_11l_n im Zeitfenster</t>
  </si>
  <si>
    <t>F_PPT_3_5|BW_PPT_3_5_11k_c</t>
  </si>
  <si>
    <t>PPT_3 5 Defects im operativen Betrieb: BW_PPT_3_5_11k_c im Zeitfenster</t>
  </si>
  <si>
    <t>F_PPT_3_5|BW_PPT_3_5_11k_t</t>
  </si>
  <si>
    <t>PPT_3 5 Defects im operativen Betrieb: BW_PPT_3_5_11k_t im Zeitfenster</t>
  </si>
  <si>
    <t>F_PPT_3_5|BW_PPT_3_5_11l_c</t>
  </si>
  <si>
    <t>PPT_3 5 Defects im operativen Betrieb: BW_PPT_3_5_11l_c im Zeitfenster</t>
  </si>
  <si>
    <t>F_PPT_3_5|BW_PPT_3_5_11l_t</t>
  </si>
  <si>
    <t>PPT_3 5 Defects im operativen Betrieb: BW_PPT_3_5_11l_t im Zeitfenster</t>
  </si>
  <si>
    <t>F_PPT_3_5|BW_PPT_3_5_dauf</t>
  </si>
  <si>
    <t>PPT_3 5 Defects im operativen Betrieb: BW_PPT_3_5_dauf im Zeitfenster</t>
  </si>
  <si>
    <t>F_PPT_3_5|BW_PPT_3_5_dab</t>
  </si>
  <si>
    <t>PPT_3 5 Defects im operativen Betrieb: BW_PPT_3_5_dab im Zeitfenster</t>
  </si>
  <si>
    <t>F_PPT_3_5|BW_PPT_3_5_dnull</t>
  </si>
  <si>
    <t>PPT_3 5 Defects im operativen Betrieb: BW_PPT_3_5_dnull im Zeitfenster</t>
  </si>
  <si>
    <t>F_PPT_3_5|BW_PPT_3_5_dt</t>
  </si>
  <si>
    <t>PPT_3 5 Defects im operativen Betrieb: BW_PPT_3_5_dt im Zeitfenster</t>
  </si>
  <si>
    <t>_LPPT_3_6</t>
  </si>
  <si>
    <t>PPT_3 6 Mitarbeiter-Kapazitäten: letzte KW mit Daten (Woche 1..27)</t>
  </si>
  <si>
    <t>_HPPT_3_6</t>
  </si>
  <si>
    <t>PPT_3 6 Mitarbeiter-Kapazitäten: KW mit Daten (Hilfszeile)</t>
  </si>
  <si>
    <t>Zuständigkeiten · wer liefert welchen Wert?</t>
  </si>
  <si>
    <t>Pflicht = auf PPT_2 oder PPT_3 berichtet; BÜ und MAK automatisch. Zyklus bestimmt, wann ein Wert offen ist: wöchentlich = Spalte des Berichtstags, monatlich = Vormonat (Monatswerte) bzw. ein Wert im laufenden Monat, quartalsweise = Vorquartal. Nicht berichtete Werte zeigen grau „nicht berichtet“, Themen ohne Pflichtwert sind eingeklappt (+).</t>
  </si>
  <si>
    <t>Zeile</t>
  </si>
  <si>
    <t>Code</t>
  </si>
  <si>
    <t>Kennzahl</t>
  </si>
  <si>
    <t>Laut Rohdaten (Spalte E)</t>
  </si>
  <si>
    <t>Personen (aus den Punkten)</t>
  </si>
  <si>
    <t>Pflicht</t>
  </si>
  <si>
    <t>Zyklus</t>
  </si>
  <si>
    <t>Berichtstag</t>
  </si>
  <si>
    <t>Kennzahl (voll, für den Assistenten)</t>
  </si>
  <si>
    <t>Code (Zeile oder Kategorie)</t>
  </si>
  <si>
    <t>Art (T/K/W)</t>
  </si>
  <si>
    <t>1   Nachträge / Vertragsverlängerungen, Garantien, Zuschüsse</t>
  </si>
  <si>
    <t>T</t>
  </si>
  <si>
    <t>K</t>
  </si>
  <si>
    <t>1a</t>
  </si>
  <si>
    <t>Gesamtvorgänge pro Woche</t>
  </si>
  <si>
    <t>W</t>
  </si>
  <si>
    <t>PVA9M und PVA10M</t>
  </si>
  <si>
    <t>nein</t>
  </si>
  <si>
    <t>wöchentlich</t>
  </si>
  <si>
    <t>Nachträge / Vertragsverlängerungen, Garantien, Zuschüsse · Gesamtvorgänge pro Woche · PVA9M und PVA10M</t>
  </si>
  <si>
    <t>●</t>
  </si>
  <si>
    <t>PVA7K</t>
  </si>
  <si>
    <t>Nachträge / Vertragsverlängerungen, Garantien, Zuschüsse · Gesamtvorgänge pro Woche · PVA7K</t>
  </si>
  <si>
    <t>PVA8K</t>
  </si>
  <si>
    <t>Nachträge / Vertragsverlängerungen, Garantien, Zuschüsse · Gesamtvorgänge pro Woche · PVA8K</t>
  </si>
  <si>
    <t>PVA15B (ehem. PVB2B und PVB3B)</t>
  </si>
  <si>
    <t>Nachträge / Vertragsverlängerungen, Garantien, Zuschüsse · Gesamtvorgänge pro Woche · PVA15B (ehem. PVB2B und PVB3B)</t>
  </si>
  <si>
    <t>PVA17K (ehem. PVB4K)</t>
  </si>
  <si>
    <t>Nachträge / Vertragsverlängerungen, Garantien, Zuschüsse · Gesamtvorgänge pro Woche · PVA17K (ehem. PVB4K)</t>
  </si>
  <si>
    <t>PVA18K (ehem. PVB5K)</t>
  </si>
  <si>
    <t>Nachträge / Vertragsverlängerungen, Garantien, Zuschüsse · Gesamtvorgänge pro Woche · PVA18K (ehem. PVB5K)</t>
  </si>
  <si>
    <t>PVA21HH</t>
  </si>
  <si>
    <t>Nachträge / Vertragsverlängerungen, Garantien, Zuschüsse · Gesamtvorgänge pro Woche · PVA21HH</t>
  </si>
  <si>
    <t>1b</t>
  </si>
  <si>
    <t>Offene Vorgänge</t>
  </si>
  <si>
    <t>Nachträge / Vertragsverlängerungen, Garantien, Zuschüsse · Offene Vorgänge · PVA9M und PVA10M</t>
  </si>
  <si>
    <t>Nachträge / Vertragsverlängerungen, Garantien, Zuschüsse · Offene Vorgänge · PVA7K</t>
  </si>
  <si>
    <t>Nachträge / Vertragsverlängerungen, Garantien, Zuschüsse · Offene Vorgänge · PVA8K</t>
  </si>
  <si>
    <t>Nachträge / Vertragsverlängerungen, Garantien, Zuschüsse · Offene Vorgänge · PVA15B (ehem. PVB2B und PVB3B)</t>
  </si>
  <si>
    <t>Nachträge / Vertragsverlängerungen, Garantien, Zuschüsse · Offene Vorgänge · PVA17K (ehem. PVB4K)</t>
  </si>
  <si>
    <t>Nachträge / Vertragsverlängerungen, Garantien, Zuschüsse · Offene Vorgänge · PVA18K (ehem. PVB5K)</t>
  </si>
  <si>
    <t>Nachträge / Vertragsverlängerungen, Garantien, Zuschüsse · Offene Vorgänge · PVA21HH</t>
  </si>
  <si>
    <t>2   Unterstellungsänderungen / Umstrukturierung</t>
  </si>
  <si>
    <t>2a</t>
  </si>
  <si>
    <t>Unterstellungsänderungen / Umstrukturierung · Gesamtvorgänge pro Woche · PVA9M und PVA10M</t>
  </si>
  <si>
    <t>Unterstellungsänderungen / Umstrukturierung · Gesamtvorgänge pro Woche · PVA7K</t>
  </si>
  <si>
    <t>Unterstellungsänderungen / Umstrukturierung · Gesamtvorgänge pro Woche · PVA8K</t>
  </si>
  <si>
    <t>Unterstellungsänderungen / Umstrukturierung · Gesamtvorgänge pro Woche · PVA15B (ehem. PVB2B und PVB3B)</t>
  </si>
  <si>
    <t>Unterstellungsänderungen / Umstrukturierung · Gesamtvorgänge pro Woche · PVA17K (ehem. PVB4K)</t>
  </si>
  <si>
    <t>Unterstellungsänderungen / Umstrukturierung · Gesamtvorgänge pro Woche · PVA18K (ehem. PVB5K)</t>
  </si>
  <si>
    <t>Unterstellungsänderungen / Umstrukturierung · Gesamtvorgänge pro Woche · PVA21HH</t>
  </si>
  <si>
    <t>2b</t>
  </si>
  <si>
    <t>Unterstellungsänderungen / Umstrukturierung · Offene Vorgänge · PVA9M und PVA10M</t>
  </si>
  <si>
    <t>Unterstellungsänderungen / Umstrukturierung · Offene Vorgänge · PVA7K</t>
  </si>
  <si>
    <t>Unterstellungsänderungen / Umstrukturierung · Offene Vorgänge · PVA8K</t>
  </si>
  <si>
    <t>Unterstellungsänderungen / Umstrukturierung · Offene Vorgänge · PVA15B (ehem. PVB2B und PVB3B)</t>
  </si>
  <si>
    <t>Unterstellungsänderungen / Umstrukturierung · Offene Vorgänge · PVA17K (ehem. PVB4K)</t>
  </si>
  <si>
    <t>Unterstellungsänderungen / Umstrukturierung · Offene Vorgänge · PVA18K (ehem. PVB5K)</t>
  </si>
  <si>
    <t>Unterstellungsänderungen / Umstrukturierung · Offene Vorgänge · PVA21HH</t>
  </si>
  <si>
    <t>3   ID-Kräfte An-/Abmeldung</t>
  </si>
  <si>
    <t>ID-Kräfte An-/Abmeldung · Offene Vorgänge · PVA9M und PVA10M</t>
  </si>
  <si>
    <t>ID-Kräfte An-/Abmeldung · Offene Vorgänge · PVA7K</t>
  </si>
  <si>
    <t>ID-Kräfte An-/Abmeldung · Offene Vorgänge · PVA8K</t>
  </si>
  <si>
    <t>ID-Kräfte An-/Abmeldung · Offene Vorgänge · PVA15B (ehem. PVB2B und PVB3B)</t>
  </si>
  <si>
    <t>ID-Kräfte An-/Abmeldung · Offene Vorgänge · PVA17K (ehem. PVB4K)</t>
  </si>
  <si>
    <t>ID-Kräfte An-/Abmeldung · Offene Vorgänge · PVA18K (ehem. PVB5K)</t>
  </si>
  <si>
    <t>ID-Kräfte An-/Abmeldung · Offene Vorgänge · PVA21HH</t>
  </si>
  <si>
    <t>4   Stammdatenänderungen</t>
  </si>
  <si>
    <t>4a</t>
  </si>
  <si>
    <t>Stammdatenänderungen · Gesamtvorgänge pro Woche · PVA9M und PVA10M</t>
  </si>
  <si>
    <t>Stammdatenänderungen · Gesamtvorgänge pro Woche · PVA7K</t>
  </si>
  <si>
    <t>Stammdatenänderungen · Gesamtvorgänge pro Woche · PVA8K</t>
  </si>
  <si>
    <t>Stammdatenänderungen · Gesamtvorgänge pro Woche · PVA15B (ehem. PVB2B und PVB3B)</t>
  </si>
  <si>
    <t>Stammdatenänderungen · Gesamtvorgänge pro Woche · PVA17K (ehem. PVB4K)</t>
  </si>
  <si>
    <t>Stammdatenänderungen · Gesamtvorgänge pro Woche · PVA18K (ehem. PVB5K)</t>
  </si>
  <si>
    <t>Stammdatenänderungen · Gesamtvorgänge pro Woche · PVA21HH</t>
  </si>
  <si>
    <t>4b</t>
  </si>
  <si>
    <t>Stammdatenänderungen · Offene Vorgänge · PVA9M und PVA10M</t>
  </si>
  <si>
    <t>Stammdatenänderungen · Offene Vorgänge · PVA7K</t>
  </si>
  <si>
    <t>Stammdatenänderungen · Offene Vorgänge · PVA8K</t>
  </si>
  <si>
    <t>Stammdatenänderungen · Offene Vorgänge · PVA15B (ehem. PVB2B und PVB3B)</t>
  </si>
  <si>
    <t>Stammdatenänderungen · Offene Vorgänge · PVA17K (ehem. PVB4K)</t>
  </si>
  <si>
    <t>Stammdatenänderungen · Offene Vorgänge · PVA18K (ehem. PVB5K)</t>
  </si>
  <si>
    <t>Stammdatenänderungen · Offene Vorgänge · PVA21HH</t>
  </si>
  <si>
    <t>5   Bestandszugriffe</t>
  </si>
  <si>
    <t>Bestandszugriffe · Offene Vorgänge</t>
  </si>
  <si>
    <t>6   Schwebefallbearbeitung</t>
  </si>
  <si>
    <t>ja</t>
  </si>
  <si>
    <t>Schwebefallbearbeitung · Offene Vorgänge</t>
  </si>
  <si>
    <t>Zugänge</t>
  </si>
  <si>
    <t>Schwebefallbearbeitung · Zugänge</t>
  </si>
  <si>
    <t>6b</t>
  </si>
  <si>
    <t>Abgänge</t>
  </si>
  <si>
    <t>Schwebefallbearbeitung · Abgänge</t>
  </si>
  <si>
    <t>6c</t>
  </si>
  <si>
    <t>7   Bestandsübertragung</t>
  </si>
  <si>
    <t>Offene Vorgänge Gesamt · Verbund | Gesamt</t>
  </si>
  <si>
    <t>automatisch</t>
  </si>
  <si>
    <t>Bestandsübertragung · Offene Vorgänge Gesamt · Verbund | Gesamt</t>
  </si>
  <si>
    <t>Verbund | Gesundheit</t>
  </si>
  <si>
    <t>Bestandsübertragung · Offene Vorgänge · Verbund | Gesundheit</t>
  </si>
  <si>
    <t>Verbund | Komposit</t>
  </si>
  <si>
    <t>Bestandsübertragung · Offene Vorgänge · Verbund | Komposit</t>
  </si>
  <si>
    <t>Verbund | Leben</t>
  </si>
  <si>
    <t>Bestandsübertragung · Offene Vorgänge · Verbund | Leben</t>
  </si>
  <si>
    <t>Zugänge Gesamt · Verbund | Gesamt</t>
  </si>
  <si>
    <t>Bestandsübertragung · Zugänge Gesamt · Verbund | Gesamt</t>
  </si>
  <si>
    <t>7VE</t>
  </si>
  <si>
    <t>Bestandsübertragung · Zugänge · Verbund | Gesundheit</t>
  </si>
  <si>
    <t>Bestandsübertragung · Zugänge · Verbund | Komposit</t>
  </si>
  <si>
    <t>Bestandsübertragung · Zugänge · Verbund | Leben</t>
  </si>
  <si>
    <t>Abgänge Gesamt · Verbund | Gesamt</t>
  </si>
  <si>
    <t>Bestandsübertragung · Abgänge Gesamt · Verbund | Gesamt</t>
  </si>
  <si>
    <t>7VI</t>
  </si>
  <si>
    <t>Bestandsübertragung · Abgänge · Verbund | Gesundheit</t>
  </si>
  <si>
    <t>Bestandsübertragung · Abgänge · Verbund | Komposit</t>
  </si>
  <si>
    <t>Bestandsübertragung · Abgänge · Verbund | Leben</t>
  </si>
  <si>
    <t>Offene Arbeitsgüter Gesamt · OPAG | Gesamt</t>
  </si>
  <si>
    <t>Bestandsübertragung · Offene Arbeitsgüter Gesamt · OPAG | Gesamt</t>
  </si>
  <si>
    <t>Offene Arbeitsgüter</t>
  </si>
  <si>
    <t>OPAG | Gesundheit</t>
  </si>
  <si>
    <t>Bestandsübertragung · Offene Arbeitsgüter · OPAG | Gesundheit</t>
  </si>
  <si>
    <t>OPAG | Komposit</t>
  </si>
  <si>
    <t>Bestandsübertragung · Offene Arbeitsgüter · OPAG | Komposit</t>
  </si>
  <si>
    <t>OPAG | Leben</t>
  </si>
  <si>
    <t>Bestandsübertragung · Offene Arbeitsgüter · OPAG | Leben</t>
  </si>
  <si>
    <t>Zugänge Gesamt · OPAG | Gesamt</t>
  </si>
  <si>
    <t>Bestandsübertragung · Zugänge Gesamt · OPAG | Gesamt</t>
  </si>
  <si>
    <t>7OE</t>
  </si>
  <si>
    <t>Bestandsübertragung · Zugänge · OPAG | Gesundheit</t>
  </si>
  <si>
    <t>Bestandsübertragung · Zugänge · OPAG | Komposit</t>
  </si>
  <si>
    <t>Bestandsübertragung · Zugänge · OPAG | Leben</t>
  </si>
  <si>
    <t>Abgänge Gesamt · OPAG | Gesamt</t>
  </si>
  <si>
    <t>Bestandsübertragung · Abgänge Gesamt · OPAG | Gesamt</t>
  </si>
  <si>
    <t>7OI</t>
  </si>
  <si>
    <t>Bestandsübertragung · Abgänge · OPAG | Gesundheit</t>
  </si>
  <si>
    <t>Bestandsübertragung · Abgänge · OPAG | Komposit</t>
  </si>
  <si>
    <t>Bestandsübertragung · Abgänge · OPAG | Leben</t>
  </si>
  <si>
    <t>Gesamt</t>
  </si>
  <si>
    <t>Bestandsübertragung · Offene Vorgänge · Gesamt</t>
  </si>
  <si>
    <t>7a</t>
  </si>
  <si>
    <t>HSB 4 K (Gesundheit)</t>
  </si>
  <si>
    <t>Bestandsübertragung · Offene Vorgänge · HSB 4 K (Gesundheit)</t>
  </si>
  <si>
    <t>7b</t>
  </si>
  <si>
    <t>HSB 4 K # (Kombo/LV)</t>
  </si>
  <si>
    <t>Bestandsübertragung · Offene Vorgänge · HSB 4 K # (Kombo/LV)</t>
  </si>
  <si>
    <t>7c</t>
  </si>
  <si>
    <t>Maklervertrieb (OD)</t>
  </si>
  <si>
    <t>Bestandsübertragung · Offene Vorgänge · Maklervertrieb (OD)</t>
  </si>
  <si>
    <t>7d</t>
  </si>
  <si>
    <t>Zugänge Gesamt · Gesamt</t>
  </si>
  <si>
    <t>Bestandsübertragung · Zugänge Gesamt · Gesamt</t>
  </si>
  <si>
    <t>7e</t>
  </si>
  <si>
    <t>Bestandsübertragung · Zugänge · HSB 4 K (Gesundheit)</t>
  </si>
  <si>
    <t>HSB 4 K (Kombo/LV)</t>
  </si>
  <si>
    <t>Bestandsübertragung · Zugänge · HSB 4 K (Kombo/LV)</t>
  </si>
  <si>
    <t>Maklervertrieb</t>
  </si>
  <si>
    <t>Bestandsübertragung · Zugänge · Maklervertrieb</t>
  </si>
  <si>
    <t>Abgänge Gesamt · Gesamt</t>
  </si>
  <si>
    <t>Bestandsübertragung · Abgänge Gesamt · Gesamt</t>
  </si>
  <si>
    <t>7f</t>
  </si>
  <si>
    <t>Bestandsübertragung · Abgänge · HSB 4 K (Gesundheit)</t>
  </si>
  <si>
    <t>Bestandsübertragung · Abgänge · HSB 4 K (Kombo/LV)</t>
  </si>
  <si>
    <t>Bestandsübertragung · Abgänge · Maklervertrieb</t>
  </si>
  <si>
    <t>8   Provisionsreklamation AO</t>
  </si>
  <si>
    <t>Provisionsreklamation EASY (ab 01.2024 - heute)</t>
  </si>
  <si>
    <t>Provisionsreklamation AO · Offene Vorgänge · Provisionsreklamation EASY (ab 01.2024 - heute)</t>
  </si>
  <si>
    <t>Provisionsreklamation Online-Formular (ab 02.06.2025 - heute)</t>
  </si>
  <si>
    <t>Provisionsreklamation AO · Offene Vorgänge · Provisionsreklamation Online-Formular (ab 02.06.2025 - heute)</t>
  </si>
  <si>
    <t>Provisionsreklamation AO · Offene Vorgänge · Gesamt</t>
  </si>
  <si>
    <t>Provisionsreklamation AO · Zugänge · Provisionsreklamation EASY (ab 01.2024 - heute)</t>
  </si>
  <si>
    <t>Provisionsreklamation AO · Zugänge · Provisionsreklamation Online-Formular (ab 02.06.2025 - heute)</t>
  </si>
  <si>
    <t>Provisionsreklamation AO · Zugänge · Gesamt</t>
  </si>
  <si>
    <t>Provisionsreklamation AO · Abgänge · Provisionsreklamation EASY (ab 01.2024 - heute)</t>
  </si>
  <si>
    <t>Provisionsreklamation AO · Abgänge · Provisionsreklamation Online-Formular (ab 02.06.2025 - heute)</t>
  </si>
  <si>
    <t>Provisionsreklamation AO · Abgänge · Gesamt</t>
  </si>
  <si>
    <t>Offene Vorgänge · Provisionsreklamation Ticket-System (ab 12.2023 – 06.2024)</t>
  </si>
  <si>
    <t>Provisionsreklamation AO · Offene Vorgänge · Provisionsreklamation Ticket-System (ab 12.2023 – 06.2024)</t>
  </si>
  <si>
    <t>8d</t>
  </si>
  <si>
    <t>8   Provisionsreklamation Makler</t>
  </si>
  <si>
    <t>Provisionsreklamation Makler · Offene Vorgänge</t>
  </si>
  <si>
    <t>9   Haftungsdach</t>
  </si>
  <si>
    <t>Haftungsdach · Offene Vorgänge</t>
  </si>
  <si>
    <t>10   Arbeitsanweisung</t>
  </si>
  <si>
    <t>Arbeitsanweisung · Offene Vorgänge</t>
  </si>
  <si>
    <t>10a</t>
  </si>
  <si>
    <t>10   techn. Arbeitsanweisung</t>
  </si>
  <si>
    <t>techn. Arbeitsanweisung · Offene Vorgänge</t>
  </si>
  <si>
    <t>11   Defekt Fixing Sev 2+3+4 (CPE)</t>
  </si>
  <si>
    <t>Defekt Fixing Sev 2+3+4 (CPE) · Offene Vorgänge</t>
  </si>
  <si>
    <t>Sev 1+2</t>
  </si>
  <si>
    <t>Defekt Fixing Sev 2+3+4 (CPE) · Sev 1+2</t>
  </si>
  <si>
    <t>Sev 3</t>
  </si>
  <si>
    <t>Defekt Fixing Sev 2+3+4 (CPE) · Sev 3</t>
  </si>
  <si>
    <t>Sev 4</t>
  </si>
  <si>
    <t>Defekt Fixing Sev 2+3+4 (CPE) · Sev 4</t>
  </si>
  <si>
    <t>Defekt Fixing Sev 2+3+4 (CPE) · Zugänge</t>
  </si>
  <si>
    <t>Sev 1+2 Zugänge</t>
  </si>
  <si>
    <t>Defekt Fixing Sev 2+3+4 (CPE) · Sev 1+2 Zugänge</t>
  </si>
  <si>
    <t>Sev 3 Zugänge</t>
  </si>
  <si>
    <t>Defekt Fixing Sev 2+3+4 (CPE) · Sev 3 Zugänge</t>
  </si>
  <si>
    <t>Sev 4 Zugänge</t>
  </si>
  <si>
    <t>Defekt Fixing Sev 2+3+4 (CPE) · Sev 4 Zugänge</t>
  </si>
  <si>
    <t>Defekt Fixing Sev 2+3+4 (CPE) · Abgänge</t>
  </si>
  <si>
    <t>Sev 1+2 Abgänge</t>
  </si>
  <si>
    <t>Defekt Fixing Sev 2+3+4 (CPE) · Sev 1+2 Abgänge</t>
  </si>
  <si>
    <t>Sev 3 Abgänge</t>
  </si>
  <si>
    <t>Defekt Fixing Sev 2+3+4 (CPE) · Sev 3 Abgänge</t>
  </si>
  <si>
    <t>Sev 4 Abgänge</t>
  </si>
  <si>
    <t>Defekt Fixing Sev 2+3+4 (CPE) · Sev 4 Abgänge</t>
  </si>
  <si>
    <t>11   Defects operativer Betrieb</t>
  </si>
  <si>
    <t>Summe offene Vorgäne</t>
  </si>
  <si>
    <t>Defects operativer Betrieb · Summe offene Vorgäne</t>
  </si>
  <si>
    <t>Sev1+2</t>
  </si>
  <si>
    <t>Defects operativer Betrieb · Sev1+2</t>
  </si>
  <si>
    <t>Sev3 (Linie &amp; nicht Reporting relevant)</t>
  </si>
  <si>
    <t>Defects operativer Betrieb · Sev3 (Linie &amp; nicht Reporting relevant)</t>
  </si>
  <si>
    <t>Sev 4 (unkritisch/ undefiniert, ab 24.01.2026)</t>
  </si>
  <si>
    <t>Defects operativer Betrieb · Sev 4 (unkritisch/ undefiniert, ab 24.01.2026)</t>
  </si>
  <si>
    <t>Summe Zugänge</t>
  </si>
  <si>
    <t>Defects operativer Betrieb · Summe Zugänge</t>
  </si>
  <si>
    <t>Sev1+2 - Zugänge</t>
  </si>
  <si>
    <t>Defects operativer Betrieb · Sev1+2 - Zugänge</t>
  </si>
  <si>
    <t>Sev3 (Linie &amp; nicht Reporting relevant) - Zugänge</t>
  </si>
  <si>
    <t>Defects operativer Betrieb · Sev3 (Linie &amp; nicht Reporting relevant) - Zugänge</t>
  </si>
  <si>
    <t>Sev 4 (unkritisch/ undefiniert, ab 24.01.2026) - Zugänge</t>
  </si>
  <si>
    <t>Defects operativer Betrieb · Sev 4 (unkritisch/ undefiniert, ab 24.01.2026) - Zugänge</t>
  </si>
  <si>
    <t>Summe Abgänge</t>
  </si>
  <si>
    <t>Defects operativer Betrieb · Summe Abgänge</t>
  </si>
  <si>
    <t>Sev1+2 - Abgänge</t>
  </si>
  <si>
    <t>Defects operativer Betrieb · Sev1+2 - Abgänge</t>
  </si>
  <si>
    <t>Sev3 (Linie &amp; nicht Reporting relevant) - Abgänge</t>
  </si>
  <si>
    <t>Defects operativer Betrieb · Sev3 (Linie &amp; nicht Reporting relevant) - Abgänge</t>
  </si>
  <si>
    <t>Sev 4 (unkritisch/ undefinier, ab 24.01.2026) - Abgänge</t>
  </si>
  <si>
    <t>Defects operativer Betrieb · Sev 4 (unkritisch/ undefinier, ab 24.01.2026) - Abgänge</t>
  </si>
  <si>
    <t>12   Revisionsanforderungen (Sonderuntersuchungs- &amp; Revisionsbereichte)</t>
  </si>
  <si>
    <t>Maßnahmen</t>
  </si>
  <si>
    <t>Revisionsanforderungen (Sonderuntersuchungs- &amp; Revisionsbereichte) · Maßnahmen</t>
  </si>
  <si>
    <t>12</t>
  </si>
  <si>
    <t>13   Watchlist</t>
  </si>
  <si>
    <t>Überwachte VNR´s</t>
  </si>
  <si>
    <t>Watchlist · Überwachte VNR´s</t>
  </si>
  <si>
    <t>VNR-Treffer</t>
  </si>
  <si>
    <t>Watchlist · VNR-Treffer</t>
  </si>
  <si>
    <t>In Arbeit (NEW und IN WORK)</t>
  </si>
  <si>
    <t>Watchlist · In Arbeit (NEW und IN WORK)</t>
  </si>
  <si>
    <t>Erledigt (DONE_OK/_NR/_COR)</t>
  </si>
  <si>
    <t>Watchlist · Erledigt (DONE_OK/_NR/_COR)</t>
  </si>
  <si>
    <t>14   Workaround</t>
  </si>
  <si>
    <t>Workaround · Offene Vorgänge</t>
  </si>
  <si>
    <t>14</t>
  </si>
  <si>
    <t>15   Generalquittung - Restantenmanagement</t>
  </si>
  <si>
    <t>Generalquittung - Restantenmanagement · Offene Vorgänge</t>
  </si>
  <si>
    <t>(ohne Beschriftung)</t>
  </si>
  <si>
    <t>Generalquittung - Restantenmanagement · (ohne Beschriftung)</t>
  </si>
  <si>
    <t>16</t>
  </si>
  <si>
    <t>17</t>
  </si>
  <si>
    <t>18   Neueinstellungen</t>
  </si>
  <si>
    <t>Vorgänge in Bearbeitung</t>
  </si>
  <si>
    <t>Neueinstellungen · Vorgänge in Bearbeitung</t>
  </si>
  <si>
    <t>18a</t>
  </si>
  <si>
    <t>Neueinstellungen · Offene Vorgänge</t>
  </si>
  <si>
    <t>18b</t>
  </si>
  <si>
    <t>Eingang</t>
  </si>
  <si>
    <t>Neueinstellungen · Eingang</t>
  </si>
  <si>
    <t>Neueinstellungen · (ohne Beschriftung)</t>
  </si>
  <si>
    <t>18d</t>
  </si>
  <si>
    <t>Rückgabe an RD</t>
  </si>
  <si>
    <t>Neueinstellungen · Rückgabe an RD</t>
  </si>
  <si>
    <t>18e</t>
  </si>
  <si>
    <t>warten auf Unterschrift</t>
  </si>
  <si>
    <t>Neueinstellungen · warten auf Unterschrift</t>
  </si>
  <si>
    <t>18f</t>
  </si>
  <si>
    <t>19   Buchauszug</t>
  </si>
  <si>
    <t>Buchauszug · Offene Vorgänge</t>
  </si>
  <si>
    <t>20   Ausgleichsanspruch</t>
  </si>
  <si>
    <t>Ausgleichsanspruch · Offene Vorgänge</t>
  </si>
  <si>
    <t>21   MAK</t>
  </si>
  <si>
    <t>Ist · HSA1D</t>
  </si>
  <si>
    <t>monatlich</t>
  </si>
  <si>
    <t>MAK · Ist · HSA1D</t>
  </si>
  <si>
    <t>21a</t>
  </si>
  <si>
    <t>Soll · HSA1D</t>
  </si>
  <si>
    <t>MAK · Soll · HSA1D</t>
  </si>
  <si>
    <t>Vist · HSA1D</t>
  </si>
  <si>
    <t>MAK · Vist · HSA1D</t>
  </si>
  <si>
    <t>18   Neuverpflichtung</t>
  </si>
  <si>
    <t>Gesamt (Stück) · HSA1</t>
  </si>
  <si>
    <t>Neuverpflichtung · Gesamt (Stück) · HSA1</t>
  </si>
  <si>
    <t>Fristgerecht erledigt · HSA1</t>
  </si>
  <si>
    <t>Neuverpflichtung · Fristgerecht erledigt · HSA1</t>
  </si>
  <si>
    <t>Erledigungsquote in % · HSA1</t>
  </si>
  <si>
    <t>Neuverpflichtung · Erledigungsquote in % · HSA1</t>
  </si>
  <si>
    <t>nicht Fristgerecht erledigt · HSA1</t>
  </si>
  <si>
    <t>Neuverpflichtung · nicht Fristgerecht erledigt · HSA1</t>
  </si>
  <si>
    <t>Zurückgezogen/ Rückgabe an RD · HSA1</t>
  </si>
  <si>
    <t>Neuverpflichtung · Zurückgezogen/ Rückgabe an RD · HSA1</t>
  </si>
  <si>
    <t>Konfiguration</t>
  </si>
  <si>
    <t>Weiße Felder mit Rahmen = Eingaben · graue Felder = berechnet</t>
  </si>
  <si>
    <t>BERICHTSTAG</t>
  </si>
  <si>
    <t>Berichtstag automatisch (Wochentag F4 nach dem Freitag der KW; Feiertag am Standort F5 → nächster Werktag)</t>
  </si>
  <si>
    <t>Hilfswerte</t>
  </si>
  <si>
    <t>Wochentag des Berichtstags</t>
  </si>
  <si>
    <t>Montag</t>
  </si>
  <si>
    <t>Feiertage nach Standort (Blatt Feiertage)</t>
  </si>
  <si>
    <t>D</t>
  </si>
  <si>
    <t>Spalte der gemeldeten KW in Rohdaten (ab KW 42 Montag)</t>
  </si>
  <si>
    <t>Wochentag gilt ab (davor Meldung am Freitag)</t>
  </si>
  <si>
    <t>Berichtstag von Hand (leer = automatisch)</t>
  </si>
  <si>
    <t>Berichtstag (verwendet)</t>
  </si>
  <si>
    <t>KACHELN</t>
  </si>
  <si>
    <t>SLA Provisionsreklamation (Vorgänge)</t>
  </si>
  <si>
    <t>SLA BÜ (RÜCKSTAND)</t>
  </si>
  <si>
    <t>SLA Verbund (Vorgänge)</t>
  </si>
  <si>
    <t>SLA OPAG (Arbeitsgüter; leer = Vorschlag)</t>
  </si>
  <si>
    <t>SLA OPAG verwendet (Vorschlag = SLA Verbund × Faktor Ø OPAG/Verbund, TBC)</t>
  </si>
  <si>
    <t>BÜ-Reporting-Datei (Knopf „BÜ-Reporting verknüpfen“)</t>
  </si>
  <si>
    <t>https://myergo.sharepoint.com/sites/PVDashboard/Shared Documents/BÜ - HS/BUE_Reporting_Master.xlsm</t>
  </si>
  <si>
    <t>ORDNER</t>
  </si>
  <si>
    <t>Ordner dieser Datei (nur nötig bei OneDrive/SharePoint)</t>
  </si>
  <si>
    <t>PowerPoint-Vorlage (leer = H:\MaklerBUe\Reporting MISO\Vorlage\ERGO_Vorlage.pptx; Knopf „Vorlage wählen …“ im PowerPoint-Fenster)</t>
  </si>
  <si>
    <t>POWERPOINT · TITELFOLIE</t>
  </si>
  <si>
    <t>Titel</t>
  </si>
  <si>
    <t>Dashboard HR Sales</t>
  </si>
  <si>
    <t>Untertitel</t>
  </si>
  <si>
    <t>Kennzahlen zur Stabilisierungsphase</t>
  </si>
  <si>
    <t>Stand (berechnet)</t>
  </si>
  <si>
    <t>POWERPOINT · DASHBOARD-FOLIEN</t>
  </si>
  <si>
    <t>Blatt</t>
  </si>
  <si>
    <t>Überschrift (Titel der Folie)</t>
  </si>
  <si>
    <t>Zeile über dem Titel</t>
  </si>
  <si>
    <t>Im Export vorausgewählt</t>
  </si>
  <si>
    <t>Deckblatt</t>
  </si>
  <si>
    <t>Titelfolie</t>
  </si>
  <si>
    <t>PPT_2</t>
  </si>
  <si>
    <t>HR Sales | Dashboard Serviceparameter</t>
  </si>
  <si>
    <t>DASHBOARDS</t>
  </si>
  <si>
    <t>PPT_3</t>
  </si>
  <si>
    <t>HR Sales | Dashboard ext. Faktoren &amp; HS-Ressourcen</t>
  </si>
  <si>
    <t>Fußnote der Dashboard-Folien (berechnet)</t>
  </si>
  <si>
    <t>PERSONEN (Startassistent)</t>
  </si>
  <si>
    <t>Wer im Assistenten zur Auswahl steht (alphabetisch). Hinzufügen und Entfernen im Blatt Zuständigkeiten; Umbenennen hier.</t>
  </si>
  <si>
    <t>Amend</t>
  </si>
  <si>
    <t>Bauer</t>
  </si>
  <si>
    <t>Beizerov</t>
  </si>
  <si>
    <t>Brückner</t>
  </si>
  <si>
    <t>Buchkremer</t>
  </si>
  <si>
    <t>Burnik</t>
  </si>
  <si>
    <t>Förster</t>
  </si>
  <si>
    <t>Freytag</t>
  </si>
  <si>
    <t>Fröhlich</t>
  </si>
  <si>
    <t>Göddertz</t>
  </si>
  <si>
    <t>Greß</t>
  </si>
  <si>
    <t>Gress</t>
  </si>
  <si>
    <t>Kinnert</t>
  </si>
  <si>
    <t>Kirsten</t>
  </si>
  <si>
    <t>Kneissler</t>
  </si>
  <si>
    <t>Köster</t>
  </si>
  <si>
    <t>Kraus</t>
  </si>
  <si>
    <t>Kyriakidis</t>
  </si>
  <si>
    <t>Lürken</t>
  </si>
  <si>
    <t>Mey</t>
  </si>
  <si>
    <t>Müßigbrodt</t>
  </si>
  <si>
    <t>Richartz</t>
  </si>
  <si>
    <t>Schneider</t>
  </si>
  <si>
    <t>Streich</t>
  </si>
  <si>
    <t>Westrich</t>
  </si>
  <si>
    <t>Wielpütz</t>
  </si>
  <si>
    <t>Zeitz</t>
  </si>
  <si>
    <t>Zuordnung in Bearbeitung (1 = ja; „Zuständigkeiten bearbeiten“ / „Fertig“)</t>
  </si>
  <si>
    <t>HS-DASHBOARD 2025 · WERTE HOLEN</t>
  </si>
  <si>
    <t>HS-Dashboard 2025 (Werte holen)</t>
  </si>
  <si>
    <t>https://myergo.sharepoint.com/sites/PVDashboard/Shared Documents/Allgemein/2025_Dashboard HS.xlsm</t>
  </si>
  <si>
    <t>Zuletzt übernommen (setzt das Makro)</t>
  </si>
  <si>
    <t>Datei oder Browser-Adresse; leer = im Ordner dieser Datei „2025_Dashboard HS.xlsm“ suchen. Bestandsübertragung bleibt unberührt (kommt automatisch aus dem BÜ-Reporting).</t>
  </si>
  <si>
    <t>#</t>
  </si>
  <si>
    <t>Thema / Datum</t>
  </si>
  <si>
    <t>Kategorie</t>
  </si>
  <si>
    <t>Abteilung</t>
  </si>
  <si>
    <t>Verantwortlich</t>
  </si>
  <si>
    <t>Ältester Vorgang der offenen Vorgänge</t>
  </si>
  <si>
    <t>Erläuterung</t>
  </si>
  <si>
    <t>PV (extern / intern</t>
  </si>
  <si>
    <t>Δ</t>
  </si>
  <si>
    <t>-</t>
  </si>
  <si>
    <t>Kommentar</t>
  </si>
  <si>
    <t>Nachträge / Vertragsverlängerungen, Garantien, Zuschüsse</t>
  </si>
  <si>
    <t>[siehe Unterstruktur]</t>
  </si>
  <si>
    <t>Externe Serviceparameter</t>
  </si>
  <si>
    <t>Förster / Greß</t>
  </si>
  <si>
    <t>55 VVL diese Woche , Garantienverlängerungen / 66 Unterschussbuchungen incl. Belege</t>
  </si>
  <si>
    <t>Zahlen 5.9. sind vom 12.9. von daher identisch mit dem 12.9.</t>
  </si>
  <si>
    <t>Summe der vollständig erfassten Werte</t>
  </si>
  <si>
    <t>25.6.25</t>
  </si>
  <si>
    <t>nicht erfasst</t>
  </si>
  <si>
    <t>Unterstellungsänderungen / Umstrukturierung</t>
  </si>
  <si>
    <t>.</t>
  </si>
  <si>
    <t>8</t>
  </si>
  <si>
    <t>05.09. keine VVl eingereicht-Unterstellungswechsel wegen LAT</t>
  </si>
  <si>
    <t>16.6.25</t>
  </si>
  <si>
    <t>2</t>
  </si>
  <si>
    <t>ID-Kräfte An-/Abmeldung</t>
  </si>
  <si>
    <t>TBD</t>
  </si>
  <si>
    <t>15.05.2025</t>
  </si>
  <si>
    <t>Stammdatenänderungen</t>
  </si>
  <si>
    <t>Förster / Kyriakidis</t>
  </si>
  <si>
    <t>EOS - Fehlerhinweis bei Postalnutzung_64 Erfassungen nur diese Woche, Gut Beraten, Telefonverkauf, Bankdaten , 4 Austritte, 5 RD Azubis</t>
  </si>
  <si>
    <t>10.7.25</t>
  </si>
  <si>
    <t>Bestandszugriffe</t>
  </si>
  <si>
    <t>Schwebefallbearbeitung</t>
  </si>
  <si>
    <t>Isa Kinnert /Olaf Göddertz
COMMAS-REPORT</t>
  </si>
  <si>
    <t>Externe Einflussparameter</t>
  </si>
  <si>
    <t>Siehe Deep Dive mit JP</t>
  </si>
  <si>
    <t>Bestandsübertragung</t>
  </si>
  <si>
    <t>Offene Vorgänge Gesamt</t>
  </si>
  <si>
    <t>Verbund | Gesamt</t>
  </si>
  <si>
    <t>Zugänge Gesamt</t>
  </si>
  <si>
    <t>Abgänge Gesamt</t>
  </si>
  <si>
    <t>Offene Arbeitsgüter Gesamt</t>
  </si>
  <si>
    <t>OPAG | Gesamt</t>
  </si>
  <si>
    <t>HSB 4 K  (Gesundheit)</t>
  </si>
  <si>
    <t>Ohne PVA4K Meldung! Botprozess gestartet, ~6000 für PVA und PVB ready für Bot bis Mitte September abgebaut (Inflow ~2400/Woche)</t>
  </si>
  <si>
    <t>[folgt]</t>
  </si>
  <si>
    <t>H:\MaklerBUe\Reporting Makler BÜ.xlsx</t>
  </si>
  <si>
    <t>H:\MaklerBUe</t>
  </si>
  <si>
    <t>HSB 4 K  (Kombo/LV)</t>
  </si>
  <si>
    <t>Miso fehlt</t>
  </si>
  <si>
    <t>miso fehlt</t>
  </si>
  <si>
    <t>Provisionsreklamation AO</t>
  </si>
  <si>
    <t>Kneissler/ Freytag</t>
  </si>
  <si>
    <t>Prov. Reklamationen ab 05.2024 (Quelle Online-Formularsystem)</t>
  </si>
  <si>
    <t>Provisionsreklamation Ticket-System 
(ab 12.2023 – 06.2024)</t>
  </si>
  <si>
    <t>Tickets zu Prov.-Reklemationen aus 2023 - 2024 (Quelle Tickt-System)</t>
  </si>
  <si>
    <t>Provisionsreklamation Makler</t>
  </si>
  <si>
    <t>Freytag / Kneissler</t>
  </si>
  <si>
    <t>Haftungsdach</t>
  </si>
  <si>
    <t>Lürken/Kraus</t>
  </si>
  <si>
    <t>davon 17 Wechslerprozesse bei eUV in Wartestellung wegen nicht möglicher technischer Umsetzung</t>
  </si>
  <si>
    <t>Arbeitsanweisung</t>
  </si>
  <si>
    <t>Mey/ Bauer</t>
  </si>
  <si>
    <t>Intern</t>
  </si>
  <si>
    <t>Start 02.10.24</t>
  </si>
  <si>
    <t>Fertigstellung der restlichen AAW für Ende Q1 2025 geplant</t>
  </si>
  <si>
    <t>techn. Arbeitsanweisung</t>
  </si>
  <si>
    <t>Defekt Fixing Sev 2+3+4 (CPE)</t>
  </si>
  <si>
    <t>Richartz/ Mey</t>
  </si>
  <si>
    <t>Defects operativer Betrieb</t>
  </si>
  <si>
    <t>Revisionsanforderungen
(Sonderuntersuchungs- &amp; Revisionsbereichte)</t>
  </si>
  <si>
    <t>Start 15.10.24</t>
  </si>
  <si>
    <t>es handelt sich um keinen Rückstand im eigentlichen Sinne, sondern um Maßnahmenumsetzungen innerhalb der vorgegebenen Fristen</t>
  </si>
  <si>
    <t>Watchlist</t>
  </si>
  <si>
    <t>Workaround</t>
  </si>
  <si>
    <t>Bauer/ Richartz</t>
  </si>
  <si>
    <t>Übergabe am 26.09. mit Stand 68 Workarounds, 
nach Neubewertung (PT) am 18.10. sind es noch 48 aktive Workarounds. Alle Workarunds die keine PT Aufwende haben, werden nicht mehr aufgeführt</t>
  </si>
  <si>
    <t>Generalquittung - Restantenmanagement</t>
  </si>
  <si>
    <t>davon verweigern 14 
die Unterschrift</t>
  </si>
  <si>
    <t>Extern Sonderaktionen</t>
  </si>
  <si>
    <t>Es liegen keine Daten vor</t>
  </si>
  <si>
    <t>- Beginn war der 10.10.2024 
(erfasst werden die noch offenen Vorgänge - noch nicht unterschrieben)
 - Am 15.11 wurden 126 Nachträge ergänzt (daher der Anstieg vom 14.11. auf den 21.11)
 - inkl. VP, die die Unterschrift verweigern: 12</t>
  </si>
  <si>
    <t>Neueinstellungen</t>
  </si>
  <si>
    <t>Mey/ Richartz</t>
  </si>
  <si>
    <t>Buchauszug</t>
  </si>
  <si>
    <t>Zeitz/ Köster</t>
  </si>
  <si>
    <t>Ausgleichsanspruch</t>
  </si>
  <si>
    <t>Kneissler/ Kirsten</t>
  </si>
  <si>
    <t>Monat</t>
  </si>
  <si>
    <t>MONATSWERTE · Mitarbeiter-Kapazitäten  (Spalten = Monate)</t>
  </si>
  <si>
    <t>Rohdaten_2</t>
  </si>
  <si>
    <t>MAK</t>
  </si>
  <si>
    <t>Ist</t>
  </si>
  <si>
    <t>HSA1D</t>
  </si>
  <si>
    <t>Soll</t>
  </si>
  <si>
    <t>Vist</t>
  </si>
  <si>
    <t>MONATSWERTE · Neuverpflichtung  (Spalten = Monate)</t>
  </si>
  <si>
    <t>Rohdaten_3</t>
  </si>
  <si>
    <t>Neuverpflichtung</t>
  </si>
  <si>
    <t>Gesamt (Stück)</t>
  </si>
  <si>
    <t>HSA1</t>
  </si>
  <si>
    <t>Fristgerecht erledigt</t>
  </si>
  <si>
    <t>Erledigungsquote in %</t>
  </si>
  <si>
    <t>nicht Fristgerecht erledigt</t>
  </si>
  <si>
    <t>Zurückgezogen/ Rückgabe an RD</t>
  </si>
  <si>
    <t>Stand der Werte (Datum der Zahl in Rohdaten, gleiche Zelle)</t>
  </si>
  <si>
    <t>Kommentare</t>
  </si>
  <si>
    <t>Je Kachel ein Kommentar für das graue Feld der Folie. Am einfachsten über „Kommentare bearbeiten“ im PPT-Blatt. Jede Zeile wird ein Punkt („•“ davor ist erlaubt), Zeilen mit „–“ oder „-“ am Anfang werden Unterpunkte. Leerer Text = Kachel erscheint nicht im Kommentarfeld.</t>
  </si>
  <si>
    <t>Kachel</t>
  </si>
  <si>
    <t>Nr. im Kommentarfeld</t>
  </si>
  <si>
    <t>Überschrift</t>
  </si>
  <si>
    <t>Text</t>
  </si>
  <si>
    <t>Kachel (zur Orientierung)</t>
  </si>
  <si>
    <t>1</t>
  </si>
  <si>
    <t>Bestandsübertragung Makler</t>
  </si>
  <si>
    <t>Mit +0,1 T im Vergleich zur Vorwoche sind die offenen Makler BÜ Vorgänge leicht gestiegen. Die Gründe für die weiterhin hohe Anzahl von offnen Vorgängen sind im Wesentlichen folgende:
- reduzierte Bearbeitungskapazitäten (insg. 4 MAK) durch parallele Projektarbeit (Makler meets KI, Buchauszug) und 3 AU-Fälle
- erhöhter Eingang von Erinnerungsmails, die offenen Vorgänge in Summe erhöhen
- technischer Fehler bei der Erfassung von KV Makler BÜ, führt zur Nachbuchung von 900 offen Positionen
- weitere technische Effekte führen ebenfalls zu einer doppelten Zählung im Emaileingang
Im Ergebnis führte dieser technische Fehler dazu, dass das ausgewiesene Bruttoarbeitsgut ~ 2000 Vorgänge höher liegt als der eigentliche Netto-Rückstand.
Um die Rückstände weiter abzuarbeiten ist Samstagsarbeit und die parallele Realisierung der KI-gestützten Datenerfassung (Makler meets KI) geplant.</t>
  </si>
  <si>
    <t>Bestandsübertragung Verbund</t>
  </si>
  <si>
    <t>Bestandsübertragung OPAG</t>
  </si>
  <si>
    <t>Kachel 2 zeigt denselben Bestand wie Kachel 1, gezählt in der für Operations typischen Zählweise nach Arbeitsgütern statt nach Vorgängen. Die Werte liegen deshalb höher, beschreiben aber dieselbe Arbeitslage.
Beide Sichten werden bis auf Weiteres parallel ausgewiesen; perspektivisch wird das BÜ-Reporting auf diese Zählweise umgestellt.
Das SLA von 5.500 Vorgängen wird dafür über einen Umrechnungsfaktor angepasst: im Schnitt zuletzt 2,16, aktuell also rund 11.900 Arbeitsgüter.</t>
  </si>
  <si>
    <t>Dargestellt werden reine Neueinstellungen aber auch Wechsel Vorgänge, wie z. B. Azubiübernahmen oder VP wird Untervertreter.
Die fristgerechte Umsetzung erfolgt, sofern alle notwendigen Unterlagen rechtzeitig und vollständig vorlagen. Für die abschließende Bearbeitung fehlt dann lediglich der vom VP unterzeichnete Vertrag.
Für den Verpflichtungsmonat September 2026 gab es 161 Vorgänge, 94 % wurden fristgerecht umgesetzt. Die übrigen 6 % wurden seitens RD zurückgezogen oder konnten auf Grund fehlender Unterlagen nicht fristgerecht umgesetzt werden.</t>
  </si>
  <si>
    <t>4/5</t>
  </si>
  <si>
    <t>Provisionsreklamation AO und Makler</t>
  </si>
  <si>
    <t>Der angestrebte Service-Level wird nach wie vor deutlich erfüllt.</t>
  </si>
  <si>
    <t>6</t>
  </si>
  <si>
    <t>Derzeit arbeitet das Team intensiv an der Finalisierung des Buchauszugs nach OLG Standard. Da für den Buchauszug keine Testumgebung zur Verfügung steht, erfolgen Weiterentwicklung und die Produktion der operativen Buchauszüge auf dem gleichen Produktionssystem.
Aufgrund verspäteter Change-Anmeldungen zur Produktivsetzung der Spartenanbindungen und Fehlern in der Datenlieferung kommt es zu einer weiteren Verschiebung des Umsetzungstermines (von Ende 08/2026 auf 10/2026 statt Ende Mitte 07/2026) und zu Verzögerungen in der Bearbeitung der BAZ.</t>
  </si>
  <si>
    <t>7</t>
  </si>
  <si>
    <t>Eine Task-Force kümmert sich um die weitere Abarbeitung der entstandenen Rückstände. Auch hier steht keine Testumgebung zur Verfügung, Weiterentwicklung und die Produktion der operativen Erstellung der AA erfolgt auf dem gleichen Produktionssystem.</t>
  </si>
  <si>
    <t>Im Vergleich zur Vorwoche ist die Anzahl der Schweben leicht gestiegen.</t>
  </si>
  <si>
    <t>Die Anzahl der überwachten Versicherungsnummern wird langsam aber stetig reduziert.</t>
  </si>
  <si>
    <t>Techn. Arbeitsanweisung</t>
  </si>
  <si>
    <t>Geplant ist der Rückstandsabbau bis Q4 2026.</t>
  </si>
  <si>
    <t>Technische Arbeitsanweisungen</t>
  </si>
  <si>
    <t>4</t>
  </si>
  <si>
    <t>Defect Fixing (CPE)</t>
  </si>
  <si>
    <t>Im Vergleich zur Woche konnten je ein Defect in Sev 3 und Sev 4 geschlossen werden.</t>
  </si>
  <si>
    <t>Defects im operativen Betrieb</t>
  </si>
  <si>
    <t>Im Vergleich zur Vorwoche sind zwei Defects hinzu gekommen.
Der INC5754365 "Falsche Anzeige im Bew.Korr.Faktor (Beleg) " wurde wieder als Sev 3 eingestuft.
Die reporteten Defekts beziehen sich auf das System FS-ICM.</t>
  </si>
  <si>
    <t>Mitarbeiter-Kapazitäten</t>
  </si>
  <si>
    <t>HR Sales · Übersicht</t>
  </si>
  <si>
    <t>Letzter Eintrag</t>
  </si>
  <si>
    <t>Wert</t>
  </si>
  <si>
    <t>Davor</t>
  </si>
  <si>
    <t>Veränderung</t>
  </si>
  <si>
    <t>Bestandsübertragungen PVA</t>
  </si>
  <si>
    <t>Bestandsübertragungen PVB (Kompo/LV)</t>
  </si>
  <si>
    <t>Provisionsreklamationen AO</t>
  </si>
  <si>
    <t>Provisionsreklamationen - 2023 und früher</t>
  </si>
  <si>
    <t>Provisonsreklamation Makler</t>
  </si>
  <si>
    <t>Defekt Fixing Offene Vorgänge Sev 2+3+4</t>
  </si>
  <si>
    <t>Defekt Fixing Zugänge Sev 2+3+4</t>
  </si>
  <si>
    <t>Defekt Fixing Abgänge Sev 2+3+4</t>
  </si>
  <si>
    <t>Summe</t>
  </si>
  <si>
    <t>Defects operativer Betrieb: Nicht Reporting relevant</t>
  </si>
  <si>
    <t>Defects operativer Betrieb: Linie</t>
  </si>
  <si>
    <t>Defects operativer Betrieb: Unkritisch (Sev4) oder noch nicht definiert</t>
  </si>
  <si>
    <t>Watchlist (Überwachte VNRs)</t>
  </si>
  <si>
    <t>Watchlist (Treffer VNRs)</t>
  </si>
  <si>
    <t>Watchlist (In Arbeit)</t>
  </si>
  <si>
    <t>Watchlist (erledigt)</t>
  </si>
  <si>
    <t>Neueinstellungen (in Bearbeitung)</t>
  </si>
  <si>
    <t>Neueinstellungen (Rückgabe an RD)</t>
  </si>
  <si>
    <t>Neueinstellungen (warten auf Unterschrift)</t>
  </si>
  <si>
    <t>MAK (SOLL)</t>
  </si>
  <si>
    <t>MAK ((V)IST)</t>
  </si>
  <si>
    <t>BÜ Verbund | Rückstand</t>
  </si>
  <si>
    <t>BÜ Verbund | Eingänge</t>
  </si>
  <si>
    <t>BÜ Verbund | Abgänge</t>
  </si>
  <si>
    <t>BÜ OPAG | Rückstand</t>
  </si>
  <si>
    <t>BÜ OPAG | Eingänge</t>
  </si>
  <si>
    <t>BÜ OPAG | Abgänge</t>
  </si>
  <si>
    <t>Grau und kursiv = letzter Eintrag älter als die Vorwoche der gemeldeten KW. Rot = gestiegen, grün = gesunken.</t>
  </si>
  <si>
    <t>BÜ-Serviceparameter · Verbund und OPAG am Berichtstag</t>
  </si>
  <si>
    <t>VERBUND · Vorgänge</t>
  </si>
  <si>
    <t>Gesundheit</t>
  </si>
  <si>
    <t>Komposit</t>
  </si>
  <si>
    <t>Leben</t>
  </si>
  <si>
    <t>Rückstand</t>
  </si>
  <si>
    <t>Eingänge</t>
  </si>
  <si>
    <t>Veränderung Rückstand zur Vorwoche</t>
  </si>
  <si>
    <t>OPAG · Arbeitsgüter</t>
  </si>
  <si>
    <t>Leere Felder („–“) füllen sich, sobald die Werte in Rohdaten stehen.</t>
  </si>
  <si>
    <t>Standorte</t>
  </si>
  <si>
    <t>Feiertage</t>
  </si>
  <si>
    <t>Datum in 2024</t>
  </si>
  <si>
    <t>Termintyp</t>
  </si>
  <si>
    <t>Berechnung</t>
  </si>
  <si>
    <t>M</t>
  </si>
  <si>
    <t>HH</t>
  </si>
  <si>
    <t>B</t>
  </si>
  <si>
    <t>MA</t>
  </si>
  <si>
    <t>Neujahr</t>
  </si>
  <si>
    <t>01.01.2024</t>
  </si>
  <si>
    <t>fester Termin</t>
  </si>
  <si>
    <t>Heilige Drei Könige</t>
  </si>
  <si>
    <t>06.01.2024</t>
  </si>
  <si>
    <t>Internationaler Frauentag</t>
  </si>
  <si>
    <t>08.03.2024</t>
  </si>
  <si>
    <t>Tag der Arbeit</t>
  </si>
  <si>
    <t>01.05.2024</t>
  </si>
  <si>
    <t>Augsburger Hohes Friedenfest</t>
  </si>
  <si>
    <t>08.08.2024</t>
  </si>
  <si>
    <t>Maria Himmelfahrt</t>
  </si>
  <si>
    <t>15.08.2024</t>
  </si>
  <si>
    <t>Weltkindertag</t>
  </si>
  <si>
    <t>20.09.2024</t>
  </si>
  <si>
    <t>Tag der Deutschen Einheit</t>
  </si>
  <si>
    <t>03.10.2024</t>
  </si>
  <si>
    <t>Reformationstag</t>
  </si>
  <si>
    <t>31.10.2024</t>
  </si>
  <si>
    <t>Allerheiligen</t>
  </si>
  <si>
    <t>01.11.2024</t>
  </si>
  <si>
    <t>Heiligabend</t>
  </si>
  <si>
    <t>24.12.2024</t>
  </si>
  <si>
    <t>1. Weihnachtsfeiertag</t>
  </si>
  <si>
    <t>25.12.2024</t>
  </si>
  <si>
    <t>2. Weihnachtsfeiertag</t>
  </si>
  <si>
    <t>26.12.2024</t>
  </si>
  <si>
    <t>Silvester</t>
  </si>
  <si>
    <t>31.12.2024</t>
  </si>
  <si>
    <t>Buß- und Bettag</t>
  </si>
  <si>
    <t>20.11.2024</t>
  </si>
  <si>
    <t>Formel</t>
  </si>
  <si>
    <t>Ostersonntag</t>
  </si>
  <si>
    <t>31.03.2024</t>
  </si>
  <si>
    <t>Formel (Anker)</t>
  </si>
  <si>
    <t>Karfreitag</t>
  </si>
  <si>
    <t>29.03.2024</t>
  </si>
  <si>
    <t>Ostersonntag - 2</t>
  </si>
  <si>
    <t>Ostermontag</t>
  </si>
  <si>
    <t>01.04.2024</t>
  </si>
  <si>
    <t>Ostersonntag + 1</t>
  </si>
  <si>
    <t>Christi Himmelfahrt</t>
  </si>
  <si>
    <t>09.05.2024</t>
  </si>
  <si>
    <t>Ostersonntag + 39</t>
  </si>
  <si>
    <t>Pfingstsonntag</t>
  </si>
  <si>
    <t>19.05.2024</t>
  </si>
  <si>
    <t>Ostersonntag + 49</t>
  </si>
  <si>
    <t>Pfingstmontag</t>
  </si>
  <si>
    <t>20.05.2024</t>
  </si>
  <si>
    <t>Ostersonntag + 50</t>
  </si>
  <si>
    <t>Fronleichnam</t>
  </si>
  <si>
    <t>30.05.2024</t>
  </si>
  <si>
    <t>Ostersonntag + 60</t>
  </si>
  <si>
    <t>Rosenmontag</t>
  </si>
  <si>
    <t>12.02.2024</t>
  </si>
  <si>
    <t>Ostersonntag - 48</t>
  </si>
  <si>
    <t>Faschingsdienstag</t>
  </si>
  <si>
    <t>13.02.2024</t>
  </si>
  <si>
    <t>Rosenmontag + 1</t>
  </si>
  <si>
    <t>Tag der Befreiung</t>
  </si>
  <si>
    <t>einmaliger Termin</t>
  </si>
  <si>
    <t>01.01.2025</t>
  </si>
  <si>
    <t>06.01.2025</t>
  </si>
  <si>
    <t>Für den Berichtstag (Standort Konfiguration F5)</t>
  </si>
  <si>
    <t>HR Sales Dashboard</t>
  </si>
  <si>
    <t>Wer bist du? Der Assistent führt dich zu deinen offenen Werten.</t>
  </si>
  <si>
    <t>SO FUNKTIONIERT ES</t>
  </si>
  <si>
    <t>1  Start klicken und dich auswählen.</t>
  </si>
  <si>
    <t>2  Der Assistent zeigt die Zelle und fragt im Fenster.</t>
  </si>
  <si>
    <t>3  Wert eintippen und „Übernehmen“ klicken.</t>
  </si>
  <si>
    <t>4  Kommentare pflegen, PowerPoint erzeugen.</t>
  </si>
  <si>
    <t>STAND DER WERTE FÜR DEN BERICHTSTAG</t>
  </si>
  <si>
    <t>Personen ohne Pflichtwerte erscheinen nicht („Zuordnung anpassen“).</t>
  </si>
  <si>
    <t>BÜ Verbund und OPAG: je ein Wert bei der BÜ-zuständigen Person.</t>
  </si>
  <si>
    <t>Mehrere Zuständige: je Person gezählt, in „Gesamt (Werte)“ einmal.</t>
  </si>
  <si>
    <t>Person</t>
  </si>
  <si>
    <t>Offen</t>
  </si>
  <si>
    <t>Erledigt</t>
  </si>
  <si>
    <t>Pflichtwerte</t>
  </si>
  <si>
    <t>_BUE7V</t>
  </si>
  <si>
    <t>BÜ Verbund: KW des Berichtstags da (1/0) und Hinweis (Startseite, Assistent)</t>
  </si>
  <si>
    <t>Start</t>
  </si>
  <si>
    <t>_BUE7O</t>
  </si>
  <si>
    <t>BÜ OPAG: KW des Berichtstags da (1/0) und Hinweis (Startseite, Assistent)</t>
  </si>
  <si>
    <t>Hilfsspalten (Stand der Werte)</t>
  </si>
  <si>
    <t>Anzahl</t>
  </si>
  <si>
    <t>Name</t>
  </si>
  <si>
    <t>hat Pflicht</t>
  </si>
  <si>
    <t>Nr.</t>
  </si>
  <si>
    <t>Art</t>
  </si>
  <si>
    <t>Woche von</t>
  </si>
  <si>
    <t>Woche bis</t>
  </si>
  <si>
    <t>Monat bis</t>
  </si>
  <si>
    <t>Platz von</t>
  </si>
  <si>
    <t>KW min</t>
  </si>
  <si>
    <t>KW max</t>
  </si>
  <si>
    <t>Monate max</t>
  </si>
  <si>
    <t>Fest von</t>
  </si>
  <si>
    <t>Fest Anzahl</t>
  </si>
  <si>
    <t>Verzeichnis: Blatt</t>
  </si>
  <si>
    <t>Diagramme (Name:Art)</t>
  </si>
  <si>
    <t>KW-Zelle (BÜ)</t>
  </si>
  <si>
    <t>Werte (Anzeige|Diagramm&gt;Reihe&gt;Zeile,…|Schalter)</t>
  </si>
  <si>
    <t>K1_Rueckstand:B;K1_Vorgaenge:B;K1_Saldo:B</t>
  </si>
  <si>
    <t>Dashboard_Daten!$D$36</t>
  </si>
  <si>
    <t>Summe über der Säule|K1_Rueckstand&gt;Summe&gt;77|</t>
  </si>
  <si>
    <t>Werte je Sparte im Balken|K1_Rueckstand&gt;Wert Komposit&gt;65,K1_Rueckstand&gt;Wert Gesundheit&gt;67,K1_Rueckstand&gt;Wert Leben&gt;69|</t>
  </si>
  <si>
    <t>Zunahmen/Abnahmen über dem Balken|K1_Vorgaenge&gt;Wert Zunahmen&gt;81,K1_Vorgaenge&gt;Wert Abnahmen&gt;83|</t>
  </si>
  <si>
    <t>Saldo unter der KW|K1_Saldo&gt;Delta auf&gt;89,K1_Saldo&gt;Delta ab&gt;89,K1_Saldo&gt;Delta null&gt;89|</t>
  </si>
  <si>
    <t>K2_Rueckstand:B;K2_Vorgaenge:B;K2_Saldo:B</t>
  </si>
  <si>
    <t>Dashboard_Daten!$D$90</t>
  </si>
  <si>
    <t>Summe über der Säule|K2_Rueckstand&gt;Summe&gt;126|</t>
  </si>
  <si>
    <t>Werte je Sparte im Balken|K2_Rueckstand&gt;Wert Komposit&gt;114,K2_Rueckstand&gt;Wert Gesundheit&gt;116,K2_Rueckstand&gt;Wert Leben&gt;118|</t>
  </si>
  <si>
    <t>Zunahmen/Abnahmen über dem Balken|K2_Vorgaenge&gt;Wert Zunahmen&gt;130,K2_Vorgaenge&gt;Wert Abnahmen&gt;132|</t>
  </si>
  <si>
    <t>Saldo unter der KW|K2_Saldo&gt;Delta auf&gt;138,K2_Saldo&gt;Delta ab&gt;138,K2_Saldo&gt;Delta null&gt;138|</t>
  </si>
  <si>
    <t>K3_Linie:W;K3_Monate:M</t>
  </si>
  <si>
    <t>Eingang in HS|K3_Linie&gt;Eingang in HS&gt;0|</t>
  </si>
  <si>
    <t>Verpflichtungen (Anzahl)|K3_Monate&gt;Verpflichtungen je Monat&gt;0|</t>
  </si>
  <si>
    <t>Erledigungsquote|K3_Monate&gt;Erledigungsquote&gt;160|</t>
  </si>
  <si>
    <t>K4_Linie:W;K4_Bewegung:W;K4_BewegungDelta:W</t>
  </si>
  <si>
    <t>Dashboard_Daten!$D$183</t>
  </si>
  <si>
    <t>Offene Vorgänge|K4_Linie&gt;Offene Vorgänge&gt;181|</t>
  </si>
  <si>
    <t>Zunahmen|K4_Bewegung&gt;Wert Zunahmen&gt;198|</t>
  </si>
  <si>
    <t>Abnahmen|K4_Bewegung&gt;Wert Abnahmen&gt;200|</t>
  </si>
  <si>
    <t>Δ Zunahmen − Abnahmen unter der KW|K4_BewegungDelta&gt;Delta auf&gt;204,K4_BewegungDelta&gt;Delta ab&gt;204,K4_BewegungDelta&gt;Delta null&gt;204|Dashboard_Daten!$D$190</t>
  </si>
  <si>
    <t>K5_Linie:W</t>
  </si>
  <si>
    <t>Dashboard_Daten!$D$212</t>
  </si>
  <si>
    <t>Offene Vorgänge|K5_Linie&gt;Offene Vorgänge&gt;215|</t>
  </si>
  <si>
    <t>K6_Linie:W</t>
  </si>
  <si>
    <t>Offene Vorgänge|K6_Linie&gt;Offene Vorgänge&gt;0|</t>
  </si>
  <si>
    <t>K7_Linie:W</t>
  </si>
  <si>
    <t>Offene Vorgänge|K7_Linie&gt;Offene Vorgänge&gt;0|</t>
  </si>
  <si>
    <t>K1_Linie:W</t>
  </si>
  <si>
    <t>Offene Vorgänge|K1_Linie&gt;Offene Vorgänge&gt;0|</t>
  </si>
  <si>
    <t>K2_Linie:W;K2_Treffer:W</t>
  </si>
  <si>
    <t>Überwachte VNRs|K2_Linie&gt;Überwachte VNRs&gt;0|</t>
  </si>
  <si>
    <t>Treffer VNRs|K2_Treffer&gt;Treffer VNRs&gt;238|</t>
  </si>
  <si>
    <t>In Bearbeitung|K2_Treffer&gt;In Bearbeitung&gt;240|</t>
  </si>
  <si>
    <t>Erledigt|K2_Treffer&gt;Erledigt&gt;242|</t>
  </si>
  <si>
    <t>K3_Linie:W</t>
  </si>
  <si>
    <t>Offene Arbeitsanweisungen|K3_Linie&gt;Offene Arbeitsanweisungen&gt;0|</t>
  </si>
  <si>
    <t>K4_Offen:W;K4_Bewegung:W;K4_BewegungDelta:W</t>
  </si>
  <si>
    <t>Dashboard_Daten!$D$257</t>
  </si>
  <si>
    <t>Sev 4|K4_Offen&gt;Sev 4&gt;0|</t>
  </si>
  <si>
    <t>Sev 3|K4_Offen&gt;Sev 3&gt;0|</t>
  </si>
  <si>
    <t>Sev 1+2|K4_Offen&gt;Sev 1+2&gt;0|</t>
  </si>
  <si>
    <t>Summe über dem Stapel|K4_Offen&gt;Summe&gt;256|</t>
  </si>
  <si>
    <t>Zunahmen|K4_Bewegung&gt;Wert Zunahmen&gt;272|</t>
  </si>
  <si>
    <t>Abnahmen|K4_Bewegung&gt;Wert Abnahmen&gt;274|</t>
  </si>
  <si>
    <t>Δ Zunahmen − Abnahmen unter der KW|K4_BewegungDelta&gt;Delta auf&gt;278,K4_BewegungDelta&gt;Delta ab&gt;278,K4_BewegungDelta&gt;Delta null&gt;278|Dashboard_Daten!$D$264</t>
  </si>
  <si>
    <t>K5_Offen:W;K5_Bewegung:W;K5_BewegungDelta:W</t>
  </si>
  <si>
    <t>Dashboard_Daten!$D$288</t>
  </si>
  <si>
    <t>Sev 4|K5_Offen&gt;Sev 4&gt;0|</t>
  </si>
  <si>
    <t>Sev 3|K5_Offen&gt;Sev 3&gt;0|</t>
  </si>
  <si>
    <t>Sev 1+2|K5_Offen&gt;Sev 1+2&gt;0|</t>
  </si>
  <si>
    <t>Summe über dem Stapel|K5_Offen&gt;Summe&gt;287|</t>
  </si>
  <si>
    <t>Zunahmen|K5_Bewegung&gt;Wert Zunahmen&gt;303|</t>
  </si>
  <si>
    <t>Abnahmen|K5_Bewegung&gt;Wert Abnahmen&gt;305|</t>
  </si>
  <si>
    <t>Δ Zunahmen − Abnahmen unter der KW|K5_BewegungDelta&gt;Delta auf&gt;309,K5_BewegungDelta&gt;Delta ab&gt;309,K5_BewegungDelta&gt;Delta null&gt;309|Dashboard_Daten!$D$295</t>
  </si>
  <si>
    <t>K6_MAK:F</t>
  </si>
  <si>
    <t>SOLL MAK|K6_MAK&gt;SOLL MAK&gt;0|</t>
  </si>
  <si>
    <t>(V)IST MAK|K6_MAK&gt;(V)IST MAK&gt;0|</t>
  </si>
</sst>
</file>

<file path=xl/styles.xml><?xml version="1.0" encoding="utf-8"?>
<styleSheet xmlns="http://schemas.openxmlformats.org/spreadsheetml/2006/main">
  <numFmts count="11">
    <numFmt numFmtId="164" formatCode="#,##0"/>
    <numFmt numFmtId="165" formatCode="[$-407]dddd, dd.mm.yyyy"/>
    <numFmt numFmtId="166" formatCode="dd.mm.yyyy"/>
    <numFmt numFmtId="167" formatCode="[Red]+#,##0;[Color10]-#,##0;0"/>
    <numFmt numFmtId="168" formatCode="dd.mm.yy"/>
    <numFmt numFmtId="169" formatCode="mm.yyyy"/>
    <numFmt numFmtId="170" formatCode="#,##0.##"/>
    <numFmt numFmtId="171" formatCode="#,##0.00"/>
    <numFmt numFmtId="172" formatCode="0%"/>
    <numFmt numFmtId="173" formatCode="[Red]+0%;[Color10]-0%;0%"/>
    <numFmt numFmtId="174" formatCode="#,##0.0"/>
  </numFmts>
  <fonts count="26">
    <font>
      <sz val="10"/>
      <color theme="1"/>
      <name val="Liberation Sans"/>
      <family val="2"/>
    </font>
    <font>
      <b/>
      <sz val="24"/>
      <color rgb="FFBF1528"/>
      <name val="Liberation Sans"/>
      <family val="2"/>
    </font>
    <font>
      <sz val="10.5"/>
      <color rgb="FF6B6B6B"/>
      <name val="Liberation Sans"/>
      <family val="2"/>
    </font>
    <font>
      <sz val="8"/>
      <color rgb="FF6B6B6B"/>
      <name val="Liberation Sans"/>
      <family val="2"/>
    </font>
    <font>
      <b/>
      <sz val="8"/>
      <color rgb="FF0B6F7D"/>
      <name val="Liberation Sans"/>
      <family val="2"/>
    </font>
    <font>
      <sz val="9.5"/>
      <color theme="1"/>
      <name val="Liberation Sans"/>
      <family val="2"/>
    </font>
    <font>
      <b/>
      <sz val="10.5"/>
      <color theme="1"/>
      <name val="Liberation Sans"/>
      <family val="2"/>
    </font>
    <font>
      <b/>
      <sz val="11"/>
      <color rgb="FF0B6F7D"/>
      <name val="Liberation Sans"/>
      <family val="2"/>
    </font>
    <font>
      <i/>
      <sz val="9"/>
      <color rgb="FF6B6B6B"/>
      <name val="Liberation Sans"/>
      <family val="2"/>
    </font>
    <font>
      <b/>
      <sz val="9"/>
      <color rgb="FFFFFFFF"/>
      <name val="Liberation Sans"/>
      <family val="2"/>
    </font>
    <font>
      <b/>
      <sz val="20"/>
      <color rgb="FFBF1528"/>
      <name val="Liberation Sans"/>
      <family val="2"/>
    </font>
    <font>
      <b/>
      <sz val="9"/>
      <color rgb="FF1A1A1A"/>
      <name val="Liberation Sans"/>
      <family val="2"/>
    </font>
    <font>
      <sz val="9"/>
      <color rgb="FF1A1A1A"/>
      <name val="Liberation Sans"/>
      <family val="2"/>
    </font>
    <font>
      <sz val="9"/>
      <color theme="1"/>
      <name val="Liberation Sans"/>
      <family val="2"/>
    </font>
    <font>
      <b/>
      <sz val="9"/>
      <color rgb="FF6B6B6B"/>
      <name val="Liberation Sans"/>
      <family val="2"/>
    </font>
    <font>
      <sz val="7"/>
      <color rgb="FF9AA3AD"/>
      <name val="Liberation Sans"/>
      <family val="2"/>
    </font>
    <font>
      <sz val="9"/>
      <color rgb="FF4A4A4A"/>
      <name val="Liberation Sans"/>
      <family val="2"/>
    </font>
    <font>
      <sz val="7.5"/>
      <color rgb="FF6B6B6B"/>
      <name val="Liberation Sans"/>
      <family val="2"/>
    </font>
    <font>
      <b/>
      <sz val="9"/>
      <color theme="1"/>
      <name val="Liberation Sans"/>
      <family val="2"/>
    </font>
    <font>
      <sz val="9"/>
      <color rgb="FF1A1A1A"/>
      <name val="Liberation Sans"/>
      <family val="2"/>
    </font>
    <font>
      <sz val="8"/>
      <color rgb="FF4A4A4A"/>
      <name val="Liberation Sans"/>
      <family val="2"/>
    </font>
    <font>
      <sz val="9"/>
      <color rgb="FF4A4A4A"/>
      <name val="Liberation Sans"/>
      <family val="2"/>
    </font>
    <font>
      <b/>
      <sz val="10.5"/>
      <color rgb="FF0B6F7D"/>
      <name val="Liberation Sans"/>
      <family val="2"/>
    </font>
    <font>
      <b/>
      <sz val="9.5"/>
      <color rgb="FF1A1A1A"/>
      <name val="Liberation Sans"/>
      <family val="2"/>
    </font>
    <font>
      <sz val="8.5"/>
      <color rgb="FF9AA3AD"/>
      <name val="Liberation Sans"/>
      <family val="2"/>
    </font>
    <font>
      <sz val="9"/>
      <color rgb="FF6B6B6B"/>
      <name val="Liberation Sans"/>
      <family val="2"/>
    </font>
  </fonts>
  <fills count="9">
    <fill>
      <patternFill patternType="none"/>
    </fill>
    <fill>
      <patternFill patternType="gray125"/>
    </fill>
    <fill>
      <patternFill patternType="solid">
        <fgColor rgb="FFF3F4F6"/>
        <bgColor indexed="64"/>
      </patternFill>
    </fill>
    <fill>
      <patternFill patternType="solid">
        <fgColor rgb="FF0B6F7D"/>
        <bgColor indexed="64"/>
      </patternFill>
    </fill>
    <fill>
      <patternFill patternType="solid">
        <fgColor rgb="FFD0D5DA"/>
        <bgColor indexed="64"/>
      </patternFill>
    </fill>
    <fill>
      <patternFill patternType="solid">
        <fgColor rgb="FFFFFFFF"/>
        <bgColor indexed="64"/>
      </patternFill>
    </fill>
    <fill>
      <patternFill patternType="solid">
        <fgColor rgb="FFFAFAFA"/>
        <bgColor indexed="64"/>
      </patternFill>
    </fill>
    <fill>
      <patternFill patternType="solid">
        <fgColor rgb="FFD7ECEE"/>
        <bgColor indexed="64"/>
      </patternFill>
    </fill>
    <fill>
      <patternFill patternType="solid">
        <fgColor rgb="FFEEF2F5"/>
        <bgColor indexed="64"/>
      </patternFill>
    </fill>
  </fills>
  <borders count="7">
    <border>
      <left/>
      <right/>
      <top/>
      <bottom/>
      <diagonal/>
    </border>
    <border>
      <left style="thin">
        <color rgb="FFD0D5DA"/>
      </left>
      <right style="thin">
        <color rgb="FFD0D5DA"/>
      </right>
      <top style="thin">
        <color rgb="FFD0D5DA"/>
      </top>
      <bottom style="thin">
        <color rgb="FFD0D5DA"/>
      </bottom>
      <diagonal/>
    </border>
    <border>
      <left style="thin">
        <color rgb="FF0B6F7D"/>
      </left>
      <right style="thin">
        <color rgb="FF0B6F7D"/>
      </right>
      <top style="thin">
        <color rgb="FF0B6F7D"/>
      </top>
      <bottom style="thin">
        <color rgb="FF0B6F7D"/>
      </bottom>
      <diagonal/>
    </border>
    <border>
      <left/>
      <right/>
      <top style="medium">
        <color rgb="FF9AA3AD"/>
      </top>
      <bottom/>
      <diagonal/>
    </border>
    <border>
      <left style="thin">
        <color rgb="FFD0D5DA"/>
      </left>
      <right style="thin">
        <color rgb="FFD0D5DA"/>
      </right>
      <top style="medium">
        <color rgb="FF9AA3AD"/>
      </top>
      <bottom style="thin">
        <color rgb="FFD0D5DA"/>
      </bottom>
      <diagonal/>
    </border>
    <border>
      <left style="thin">
        <color rgb="FFFFFFFF"/>
      </left>
      <right style="thin">
        <color rgb="FFFFFFFF"/>
      </right>
      <top style="thin">
        <color rgb="FFFFFFFF"/>
      </top>
      <bottom style="thin">
        <color rgb="FFFFFFFF"/>
      </bottom>
      <diagonal/>
    </border>
    <border>
      <left/>
      <right/>
      <top style="thin">
        <color rgb="FF0B6F7D"/>
      </top>
      <bottom/>
      <diagonal/>
    </border>
  </borders>
  <cellStyleXfs count="1">
    <xf numFmtId="0" fontId="0" fillId="0" borderId="0"/>
  </cellStyleXfs>
  <cellXfs count="81">
    <xf numFmtId="0" fontId="0" fillId="0" borderId="0" xfId="0"/>
    <xf numFmtId="0" fontId="1" fillId="0" borderId="0" xfId="0" applyFont="1" applyAlignment="1">
      <alignment vertical="center"/>
    </xf>
    <xf numFmtId="0" fontId="2" fillId="0" borderId="0" xfId="0" applyFont="1"/>
    <xf numFmtId="0" fontId="3" fillId="0" borderId="0" xfId="0" applyFont="1"/>
    <xf numFmtId="0" fontId="4" fillId="0" borderId="0" xfId="0" applyFont="1"/>
    <xf numFmtId="164" fontId="5" fillId="0" borderId="0" xfId="0" applyNumberFormat="1" applyFont="1"/>
    <xf numFmtId="165" fontId="6" fillId="2" borderId="1" xfId="0" applyNumberFormat="1" applyFont="1" applyFill="1" applyBorder="1" applyAlignment="1">
      <alignment horizontal="left" vertical="center" indent="1"/>
    </xf>
    <xf numFmtId="0" fontId="7" fillId="0" borderId="0" xfId="0" applyFont="1" applyAlignment="1">
      <alignment horizontal="left" vertical="center" indent="1"/>
    </xf>
    <xf numFmtId="0" fontId="8" fillId="0" borderId="0" xfId="0" applyFont="1"/>
    <xf numFmtId="0" fontId="9" fillId="3" borderId="2" xfId="0" applyFont="1" applyFill="1" applyBorder="1" applyAlignment="1">
      <alignment vertical="center" wrapText="1"/>
    </xf>
    <xf numFmtId="0" fontId="9" fillId="3" borderId="2" xfId="0" applyFont="1" applyFill="1" applyBorder="1" applyAlignment="1">
      <alignment horizontal="center" vertical="center"/>
    </xf>
    <xf numFmtId="0" fontId="5" fillId="0" borderId="0" xfId="0" applyFont="1" applyAlignment="1">
      <alignment vertical="center"/>
    </xf>
    <xf numFmtId="164" fontId="5" fillId="0" borderId="0" xfId="0" applyNumberFormat="1" applyFont="1" applyAlignment="1">
      <alignment horizontal="right" vertical="center"/>
    </xf>
    <xf numFmtId="0" fontId="10" fillId="0" borderId="0" xfId="0" applyFont="1"/>
    <xf numFmtId="0" fontId="11" fillId="0" borderId="1" xfId="0" applyFont="1" applyBorder="1"/>
    <xf numFmtId="0" fontId="12" fillId="0" borderId="1" xfId="0" applyFont="1" applyBorder="1"/>
    <xf numFmtId="166" fontId="5" fillId="2" borderId="1" xfId="0" applyNumberFormat="1" applyFont="1" applyFill="1" applyBorder="1" applyAlignment="1">
      <alignment horizontal="center" vertical="center"/>
    </xf>
    <xf numFmtId="164" fontId="5" fillId="2" borderId="1" xfId="0" applyNumberFormat="1" applyFont="1" applyFill="1" applyBorder="1" applyAlignment="1">
      <alignment horizontal="right" vertical="center"/>
    </xf>
    <xf numFmtId="167" fontId="13" fillId="2" borderId="1" xfId="0" applyNumberFormat="1" applyFont="1" applyFill="1" applyBorder="1" applyAlignment="1">
      <alignment horizontal="right"/>
    </xf>
    <xf numFmtId="168" fontId="9" fillId="3" borderId="2" xfId="0" applyNumberFormat="1" applyFont="1" applyFill="1" applyBorder="1" applyAlignment="1">
      <alignment horizontal="center" vertical="center"/>
    </xf>
    <xf numFmtId="0" fontId="14" fillId="4" borderId="0" xfId="0" applyFont="1" applyFill="1" applyAlignment="1">
      <alignment horizontal="center" vertical="center"/>
    </xf>
    <xf numFmtId="0" fontId="15" fillId="0" borderId="0" xfId="0" applyFont="1" applyAlignment="1">
      <alignment horizontal="center"/>
    </xf>
    <xf numFmtId="0" fontId="11" fillId="0" borderId="3" xfId="0" applyFont="1" applyBorder="1" applyAlignment="1">
      <alignment horizontal="left" vertical="top"/>
    </xf>
    <xf numFmtId="0" fontId="11" fillId="0" borderId="3" xfId="0" applyFont="1" applyBorder="1" applyAlignment="1">
      <alignment vertical="top" wrapText="1"/>
    </xf>
    <xf numFmtId="0" fontId="11" fillId="0" borderId="3" xfId="0" applyFont="1" applyBorder="1" applyAlignment="1">
      <alignment vertical="top"/>
    </xf>
    <xf numFmtId="0" fontId="16" fillId="0" borderId="3" xfId="0" applyFont="1" applyBorder="1" applyAlignment="1">
      <alignment vertical="top"/>
    </xf>
    <xf numFmtId="0" fontId="3" fillId="0" borderId="3" xfId="0" applyFont="1" applyBorder="1" applyAlignment="1">
      <alignment vertical="top"/>
    </xf>
    <xf numFmtId="164" fontId="13" fillId="5" borderId="4" xfId="0" applyNumberFormat="1" applyFont="1" applyFill="1" applyBorder="1"/>
    <xf numFmtId="167" fontId="17" fillId="6" borderId="3" xfId="0" applyNumberFormat="1" applyFont="1" applyFill="1" applyBorder="1"/>
    <xf numFmtId="164" fontId="18" fillId="2" borderId="4" xfId="0" applyNumberFormat="1" applyFont="1" applyFill="1" applyBorder="1"/>
    <xf numFmtId="0" fontId="13" fillId="0" borderId="3" xfId="0" applyFont="1" applyBorder="1"/>
    <xf numFmtId="0" fontId="19" fillId="0" borderId="0" xfId="0" applyFont="1" applyAlignment="1">
      <alignment vertical="top"/>
    </xf>
    <xf numFmtId="0" fontId="16" fillId="0" borderId="0" xfId="0" applyFont="1" applyAlignment="1">
      <alignment vertical="top"/>
    </xf>
    <xf numFmtId="164" fontId="13" fillId="5" borderId="1" xfId="0" applyNumberFormat="1" applyFont="1" applyFill="1" applyBorder="1"/>
    <xf numFmtId="167" fontId="17" fillId="6" borderId="0" xfId="0" applyNumberFormat="1" applyFont="1" applyFill="1"/>
    <xf numFmtId="0" fontId="20" fillId="0" borderId="0" xfId="0" applyFont="1"/>
    <xf numFmtId="0" fontId="11" fillId="0" borderId="0" xfId="0" applyFont="1" applyAlignment="1">
      <alignment horizontal="left" vertical="top"/>
    </xf>
    <xf numFmtId="0" fontId="11" fillId="0" borderId="0" xfId="0" applyFont="1" applyAlignment="1">
      <alignment vertical="top"/>
    </xf>
    <xf numFmtId="0" fontId="3" fillId="0" borderId="0" xfId="0" applyFont="1" applyAlignment="1">
      <alignment vertical="top"/>
    </xf>
    <xf numFmtId="164" fontId="18" fillId="2" borderId="1" xfId="0" applyNumberFormat="1" applyFont="1" applyFill="1" applyBorder="1"/>
    <xf numFmtId="0" fontId="8" fillId="5" borderId="1" xfId="0" applyFont="1" applyFill="1" applyBorder="1"/>
    <xf numFmtId="0" fontId="20" fillId="0" borderId="3" xfId="0" applyFont="1" applyBorder="1"/>
    <xf numFmtId="0" fontId="8" fillId="5" borderId="4" xfId="0" applyFont="1" applyFill="1" applyBorder="1"/>
    <xf numFmtId="0" fontId="19" fillId="0" borderId="3" xfId="0" applyFont="1" applyBorder="1" applyAlignment="1">
      <alignment vertical="top"/>
    </xf>
    <xf numFmtId="0" fontId="9" fillId="3" borderId="2" xfId="0" applyFont="1" applyFill="1" applyBorder="1" applyAlignment="1">
      <alignment vertical="center"/>
    </xf>
    <xf numFmtId="0" fontId="15" fillId="0" borderId="0" xfId="0" applyFont="1"/>
    <xf numFmtId="169" fontId="9" fillId="3" borderId="2" xfId="0" applyNumberFormat="1" applyFont="1" applyFill="1" applyBorder="1" applyAlignment="1">
      <alignment horizontal="center" vertical="center"/>
    </xf>
    <xf numFmtId="0" fontId="21" fillId="0" borderId="3" xfId="0" applyFont="1" applyBorder="1" applyAlignment="1">
      <alignment vertical="top"/>
    </xf>
    <xf numFmtId="170" fontId="13" fillId="5" borderId="4" xfId="0" applyNumberFormat="1" applyFont="1" applyFill="1" applyBorder="1"/>
    <xf numFmtId="0" fontId="21" fillId="0" borderId="0" xfId="0" applyFont="1" applyAlignment="1">
      <alignment vertical="top"/>
    </xf>
    <xf numFmtId="171" fontId="13" fillId="2" borderId="1" xfId="0" applyNumberFormat="1" applyFont="1" applyFill="1" applyBorder="1"/>
    <xf numFmtId="170" fontId="13" fillId="5" borderId="1" xfId="0" applyNumberFormat="1" applyFont="1" applyFill="1" applyBorder="1"/>
    <xf numFmtId="170" fontId="18" fillId="2" borderId="1" xfId="0" applyNumberFormat="1" applyFont="1" applyFill="1" applyBorder="1"/>
    <xf numFmtId="172" fontId="18" fillId="2" borderId="1" xfId="0" applyNumberFormat="1" applyFont="1" applyFill="1" applyBorder="1"/>
    <xf numFmtId="173" fontId="17" fillId="6" borderId="0" xfId="0" applyNumberFormat="1" applyFont="1" applyFill="1"/>
    <xf numFmtId="0" fontId="5" fillId="2" borderId="1" xfId="0" applyFont="1" applyFill="1" applyBorder="1" applyAlignment="1">
      <alignment vertical="center"/>
    </xf>
    <xf numFmtId="0" fontId="5" fillId="5" borderId="1" xfId="0" applyFont="1" applyFill="1" applyBorder="1" applyAlignment="1">
      <alignment horizontal="center" vertical="center"/>
    </xf>
    <xf numFmtId="0" fontId="5" fillId="5" borderId="1" xfId="0" applyFont="1" applyFill="1" applyBorder="1" applyAlignment="1">
      <alignment vertical="center"/>
    </xf>
    <xf numFmtId="0" fontId="5" fillId="5" borderId="1" xfId="0" applyFont="1" applyFill="1" applyBorder="1" applyAlignment="1">
      <alignment vertical="top" wrapText="1"/>
    </xf>
    <xf numFmtId="0" fontId="9" fillId="3" borderId="5" xfId="0" applyFont="1" applyFill="1" applyBorder="1" applyAlignment="1">
      <alignment horizontal="center" textRotation="90"/>
    </xf>
    <xf numFmtId="0" fontId="22" fillId="7" borderId="6" xfId="0" applyFont="1" applyFill="1" applyBorder="1" applyAlignment="1">
      <alignment vertical="center"/>
    </xf>
    <xf numFmtId="0" fontId="13" fillId="7" borderId="6" xfId="0" applyFont="1" applyFill="1" applyBorder="1"/>
    <xf numFmtId="0" fontId="14" fillId="8" borderId="1" xfId="0" applyFont="1" applyFill="1" applyBorder="1" applyAlignment="1">
      <alignment vertical="center"/>
    </xf>
    <xf numFmtId="0" fontId="23" fillId="8" borderId="1" xfId="0" applyFont="1" applyFill="1" applyBorder="1" applyAlignment="1">
      <alignment horizontal="left" vertical="center" indent="1"/>
    </xf>
    <xf numFmtId="0" fontId="13" fillId="8" borderId="1" xfId="0" applyFont="1" applyFill="1" applyBorder="1"/>
    <xf numFmtId="0" fontId="24" fillId="0" borderId="1" xfId="0" applyFont="1" applyBorder="1" applyAlignment="1">
      <alignment horizontal="center" vertical="center"/>
    </xf>
    <xf numFmtId="0" fontId="25" fillId="0" borderId="1" xfId="0" applyFont="1" applyBorder="1" applyAlignment="1">
      <alignment vertical="center"/>
    </xf>
    <xf numFmtId="0" fontId="13" fillId="0" borderId="1" xfId="0" applyFont="1" applyBorder="1" applyAlignment="1">
      <alignment horizontal="left" vertical="center" indent="3"/>
    </xf>
    <xf numFmtId="0" fontId="3" fillId="0" borderId="1" xfId="0" applyFont="1" applyBorder="1" applyAlignment="1">
      <alignment vertical="center"/>
    </xf>
    <xf numFmtId="0" fontId="5" fillId="0" borderId="1" xfId="0" applyFont="1" applyBorder="1" applyAlignment="1">
      <alignment vertical="center"/>
    </xf>
    <xf numFmtId="0" fontId="18" fillId="0" borderId="1" xfId="0" applyFont="1" applyBorder="1" applyAlignment="1">
      <alignment horizontal="center" vertical="center"/>
    </xf>
    <xf numFmtId="0" fontId="16" fillId="0" borderId="1" xfId="0" applyFont="1" applyBorder="1" applyAlignment="1">
      <alignment horizontal="center" vertical="center"/>
    </xf>
    <xf numFmtId="0" fontId="13" fillId="0" borderId="1" xfId="0" applyFont="1" applyBorder="1" applyAlignment="1">
      <alignment vertical="center"/>
    </xf>
    <xf numFmtId="0" fontId="7" fillId="0" borderId="1" xfId="0" applyFont="1" applyBorder="1" applyAlignment="1">
      <alignment horizontal="center" vertical="center"/>
    </xf>
    <xf numFmtId="0" fontId="13" fillId="0" borderId="1" xfId="0" applyFont="1" applyBorder="1" applyAlignment="1">
      <alignment horizontal="left" vertical="center" indent="1"/>
    </xf>
    <xf numFmtId="0" fontId="13" fillId="0" borderId="1" xfId="0" applyFont="1" applyBorder="1" applyAlignment="1">
      <alignment horizontal="left" vertical="center" indent="3" wrapText="1"/>
    </xf>
    <xf numFmtId="0" fontId="13" fillId="0" borderId="1" xfId="0" applyFont="1" applyBorder="1" applyAlignment="1">
      <alignment horizontal="left" vertical="center" indent="1" wrapText="1"/>
    </xf>
    <xf numFmtId="166" fontId="5" fillId="5" borderId="1" xfId="0" applyNumberFormat="1" applyFont="1" applyFill="1" applyBorder="1" applyAlignment="1">
      <alignment horizontal="center" vertical="center"/>
    </xf>
    <xf numFmtId="164" fontId="5" fillId="5" borderId="1" xfId="0" applyNumberFormat="1" applyFont="1" applyFill="1" applyBorder="1" applyAlignment="1">
      <alignment vertical="center"/>
    </xf>
    <xf numFmtId="174" fontId="5" fillId="0" borderId="0" xfId="0" applyNumberFormat="1" applyFont="1"/>
    <xf numFmtId="166" fontId="5" fillId="0" borderId="0" xfId="0" applyNumberFormat="1" applyFont="1" applyAlignment="1">
      <alignment horizontal="center"/>
    </xf>
  </cellXfs>
  <cellStyles count="1">
    <cellStyle name="Normal" xfId="0" builtinId="0"/>
  </cellStyles>
  <dxfs count="16">
    <dxf>
      <font>
        <b/>
        <color rgb="FFBF1528"/>
      </font>
      <fill>
        <patternFill>
          <bgColor rgb="FFFBE9EB"/>
        </patternFill>
      </fill>
    </dxf>
    <dxf>
      <font>
        <b/>
        <color rgb="FF1E7F4F"/>
      </font>
      <fill>
        <patternFill>
          <bgColor rgb="FFDDF3E4"/>
        </patternFill>
      </fill>
    </dxf>
    <dxf>
      <font>
        <color rgb="FF0B6F7D"/>
      </font>
      <fill>
        <patternFill>
          <bgColor rgb="FFCCEBED"/>
        </patternFill>
      </fill>
    </dxf>
    <dxf>
      <font>
        <color rgb="FF9AA3AD"/>
      </font>
    </dxf>
    <dxf>
      <font>
        <i/>
        <color rgb="FF9AA3AD"/>
      </font>
    </dxf>
    <dxf>
      <font>
        <i/>
        <color rgb="FF0B6F7D"/>
      </font>
    </dxf>
    <dxf>
      <fill>
        <patternFill>
          <bgColor rgb="FFCCEBED"/>
        </patternFill>
      </fill>
    </dxf>
    <dxf>
      <fill>
        <patternFill>
          <bgColor rgb="FFFBEFC7"/>
        </patternFill>
      </fill>
    </dxf>
    <dxf>
      <fill>
        <patternFill>
          <bgColor rgb="FFF3F4F6"/>
        </patternFill>
      </fill>
    </dxf>
    <dxf>
      <border>
        <left style="medium">
          <color rgb="FFC99A00"/>
        </left>
        <right style="medium">
          <color rgb="FFC99A00"/>
        </right>
        <top style="medium">
          <color rgb="FFC99A00"/>
        </top>
        <bottom style="medium">
          <color rgb="FFC99A00"/>
        </bottom>
        <vertical/>
        <horizontal/>
      </border>
    </dxf>
    <dxf>
      <font>
        <color rgb="FF1A1A1A"/>
      </font>
      <fill>
        <patternFill>
          <bgColor rgb="FFF2B600"/>
        </patternFill>
      </fill>
    </dxf>
    <dxf>
      <fill>
        <patternFill>
          <bgColor rgb="FFFFF6DA"/>
        </patternFill>
      </fill>
    </dxf>
    <dxf>
      <font>
        <b/>
        <color rgb="FFBF1528"/>
      </font>
      <fill>
        <patternFill>
          <bgColor rgb="FFFBE9EB"/>
        </patternFill>
      </fill>
      <border>
        <left style="thin">
          <color rgb="FFD0D5DA"/>
        </left>
        <right style="thin">
          <color rgb="FFD0D5DA"/>
        </right>
        <top style="thin">
          <color rgb="FFD0D5DA"/>
        </top>
        <bottom style="thin">
          <color rgb="FFD0D5DA"/>
        </bottom>
        <vertical/>
        <horizontal/>
      </border>
    </dxf>
    <dxf>
      <fill>
        <patternFill>
          <bgColor rgb="FFF3F4F6"/>
        </patternFill>
      </fill>
      <border>
        <left style="thin">
          <color rgb="FFD0D5DA"/>
        </left>
        <right style="thin">
          <color rgb="FFD0D5DA"/>
        </right>
        <top style="thin">
          <color rgb="FFD0D5DA"/>
        </top>
        <bottom style="thin">
          <color rgb="FFD0D5DA"/>
        </bottom>
        <vertical/>
        <horizontal/>
      </border>
    </dxf>
    <dxf>
      <font>
        <b/>
        <color rgb="FFBF1528"/>
      </font>
      <border>
        <left/>
        <right/>
        <top style="thin">
          <color rgb="FF9AA3AD"/>
        </top>
        <bottom/>
        <vertical/>
        <horizontal/>
      </border>
    </dxf>
    <dxf>
      <font>
        <b/>
      </font>
      <border>
        <left/>
        <right/>
        <top style="thin">
          <color rgb="FF9AA3AD"/>
        </top>
        <bottom/>
        <vertical/>
        <horizontal/>
      </border>
    </dxf>
  </dxfs>
  <tableStyles count="0" defaultTableStyle="TableStyleMedium9" defaultPivotStyle="PivotStyleLight16"/>
</styleSheet>
</file>

<file path=xl/_rels/workbook.xml.rels><?xml version="1.0" encoding="UTF-8" standalone="yes"?>
<Relationships xmlns="http://schemas.openxmlformats.org/package/2006/relationships"><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theme" Target="theme/theme1.xml"/><Relationship Id="rId15" Type="http://schemas.openxmlformats.org/officeDocument/2006/relationships/styles" Target="styles.xml"/><Relationship Id="rId16" Type="http://schemas.openxmlformats.org/officeDocument/2006/relationships/sharedStrings" Target="sharedStrings.xml"/><Relationship Id="rId17" Type="http://schemas.microsoft.com/office/2006/relationships/vbaProject" Target="vbaProject.bin"/><Relationship Id="rIdExt1" Type="http://schemas.openxmlformats.org/officeDocument/2006/relationships/externalLink" Target="externalLinks/externalLink1.xml"/></Relationships>
</file>

<file path=xl/charts/chart1.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35000000000000003"/>
          <c:y val="0"/>
          <c:w val="0.94499999999999995"/>
          <c:h val="0.81818181818181823"/>
        </c:manualLayout>
      </c:layout>
      <c:barChart>
        <c:barDir val="col"/>
        <c:grouping val="stacked"/>
        <c:ser>
          <c:idx val="0"/>
          <c:order val="0"/>
          <c:tx>
            <c:v>Komposit</c:v>
          </c:tx>
          <c:spPr>
            <a:solidFill>
              <a:srgbClr val="B31767"/>
            </a:solidFill>
            <a:ln w="6350">
              <a:solidFill>
                <a:srgbClr val="F2F2F2"/>
              </a:solidFill>
            </a:ln>
          </c:spPr>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Dashboard_Daten!$AQ$60:$AZ$60</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Gesundheit</c:v>
          </c:tx>
          <c:spPr>
            <a:solidFill>
              <a:srgbClr val="808080"/>
            </a:solidFill>
            <a:ln w="6350">
              <a:solidFill>
                <a:srgbClr val="F2F2F2"/>
              </a:solidFill>
            </a:ln>
          </c:spPr>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Dashboard_Daten!$AQ$61:$AZ$61</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Leben</c:v>
          </c:tx>
          <c:spPr>
            <a:solidFill>
              <a:srgbClr val="1A1A1A"/>
            </a:solidFill>
            <a:ln w="6350">
              <a:solidFill>
                <a:srgbClr val="F2F2F2"/>
              </a:solidFill>
            </a:ln>
          </c:spPr>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Dashboard_Daten!$AQ$62:$AZ$62</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3"/>
          <c:order val="3"/>
          <c:tx>
            <c:v>Gesamt (bisher, ohne Sparten)</c:v>
          </c:tx>
          <c:spPr>
            <a:solidFill>
              <a:srgbClr val="D6A3BE"/>
            </a:solidFill>
            <a:ln w="6350">
              <a:solidFill>
                <a:srgbClr val="F2F2F2"/>
              </a:solidFill>
            </a:ln>
          </c:spPr>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Dashboard_Daten!$AQ$63:$AZ$63</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45"/>
        <c:overlap val="100"/>
        <c:axId val="50010001"/>
        <c:axId val="50010002"/>
      </c:barChart>
      <c:lineChart>
        <c:grouping val="standard"/>
        <c:ser>
          <c:idx val="4"/>
          <c:order val="4"/>
          <c:tx>
            <c:v>SLA</c:v>
          </c:tx>
          <c:spPr>
            <a:ln w="12700">
              <a:solidFill>
                <a:srgbClr val="4A4A4A"/>
              </a:solidFill>
              <a:prstDash val="dash"/>
            </a:ln>
          </c:spPr>
          <c:marker>
            <c:symbol val="none"/>
          </c:marker>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Dashboard_Daten!$AQ$78:$AZ$78</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5"/>
          <c:order val="5"/>
          <c:tx>
            <c:v>Summe</c:v>
          </c:tx>
          <c:spPr>
            <a:ln>
              <a:noFill/>
            </a:ln>
          </c:spPr>
          <c:marker>
            <c:symbol val="none"/>
          </c:marker>
          <c:dLbls>
            <c:dLbl>
              <c:idx val="0"/>
              <c:layout/>
              <c:tx>
                <c:strRef>
                  <c:f>Dashboard_Daten!$AQ$77</c:f>
                  <c:strCache>
                    <c:ptCount val="1"/>
                    <c:pt idx="0">
                      <c:v>0</c:v>
                    </c:pt>
                  </c:strCache>
                </c:strRef>
              </c:tx>
              <c:dLblPos val="t"/>
              <c:showVal val="1"/>
            </c:dLbl>
            <c:dLbl>
              <c:idx val="1"/>
              <c:layout/>
              <c:tx>
                <c:strRef>
                  <c:f>Dashboard_Daten!$AR$77</c:f>
                  <c:strCache>
                    <c:ptCount val="1"/>
                    <c:pt idx="0">
                      <c:v>0</c:v>
                    </c:pt>
                  </c:strCache>
                </c:strRef>
              </c:tx>
              <c:dLblPos val="t"/>
              <c:showVal val="1"/>
            </c:dLbl>
            <c:dLbl>
              <c:idx val="2"/>
              <c:layout/>
              <c:tx>
                <c:strRef>
                  <c:f>Dashboard_Daten!$AS$77</c:f>
                  <c:strCache>
                    <c:ptCount val="1"/>
                    <c:pt idx="0">
                      <c:v>0</c:v>
                    </c:pt>
                  </c:strCache>
                </c:strRef>
              </c:tx>
              <c:dLblPos val="t"/>
              <c:showVal val="1"/>
            </c:dLbl>
            <c:dLbl>
              <c:idx val="3"/>
              <c:layout/>
              <c:tx>
                <c:strRef>
                  <c:f>Dashboard_Daten!$AT$77</c:f>
                  <c:strCache>
                    <c:ptCount val="1"/>
                    <c:pt idx="0">
                      <c:v>0</c:v>
                    </c:pt>
                  </c:strCache>
                </c:strRef>
              </c:tx>
              <c:dLblPos val="t"/>
              <c:showVal val="1"/>
            </c:dLbl>
            <c:dLbl>
              <c:idx val="4"/>
              <c:layout/>
              <c:tx>
                <c:strRef>
                  <c:f>Dashboard_Daten!$AU$77</c:f>
                  <c:strCache>
                    <c:ptCount val="1"/>
                    <c:pt idx="0">
                      <c:v>0</c:v>
                    </c:pt>
                  </c:strCache>
                </c:strRef>
              </c:tx>
              <c:dLblPos val="t"/>
              <c:showVal val="1"/>
            </c:dLbl>
            <c:dLbl>
              <c:idx val="5"/>
              <c:layout/>
              <c:tx>
                <c:strRef>
                  <c:f>Dashboard_Daten!$AV$77</c:f>
                  <c:strCache>
                    <c:ptCount val="1"/>
                    <c:pt idx="0">
                      <c:v>0</c:v>
                    </c:pt>
                  </c:strCache>
                </c:strRef>
              </c:tx>
              <c:dLblPos val="t"/>
              <c:showVal val="1"/>
            </c:dLbl>
            <c:dLbl>
              <c:idx val="6"/>
              <c:layout/>
              <c:tx>
                <c:strRef>
                  <c:f>Dashboard_Daten!$AW$77</c:f>
                  <c:strCache>
                    <c:ptCount val="1"/>
                    <c:pt idx="0">
                      <c:v>0</c:v>
                    </c:pt>
                  </c:strCache>
                </c:strRef>
              </c:tx>
              <c:dLblPos val="t"/>
              <c:showVal val="1"/>
            </c:dLbl>
            <c:dLbl>
              <c:idx val="7"/>
              <c:layout/>
              <c:tx>
                <c:strRef>
                  <c:f>Dashboard_Daten!$AX$77</c:f>
                  <c:strCache>
                    <c:ptCount val="1"/>
                    <c:pt idx="0">
                      <c:v>0</c:v>
                    </c:pt>
                  </c:strCache>
                </c:strRef>
              </c:tx>
              <c:dLblPos val="t"/>
              <c:showVal val="1"/>
            </c:dLbl>
            <c:dLbl>
              <c:idx val="8"/>
              <c:layout/>
              <c:tx>
                <c:strRef>
                  <c:f>Dashboard_Daten!$AY$77</c:f>
                  <c:strCache>
                    <c:ptCount val="1"/>
                    <c:pt idx="0">
                      <c:v>0</c:v>
                    </c:pt>
                  </c:strCache>
                </c:strRef>
              </c:tx>
              <c:dLblPos val="t"/>
              <c:showVal val="1"/>
            </c:dLbl>
            <c:dLbl>
              <c:idx val="9"/>
              <c:layout/>
              <c:tx>
                <c:strRef>
                  <c:f>Dashboard_Daten!$AZ$77</c:f>
                  <c:strCache>
                    <c:ptCount val="1"/>
                    <c:pt idx="0">
                      <c:v>0</c:v>
                    </c:pt>
                  </c:strCache>
                </c:strRef>
              </c:tx>
              <c:dLblPos val="t"/>
              <c:showVal val="1"/>
            </c:dLbl>
            <c:txPr>
              <a:bodyPr wrap="none" lIns="18000" tIns="0" rIns="18000" bIns="0" anchor="ctr" anchorCtr="1">
                <a:spAutoFit/>
              </a:bodyPr>
              <a:lstStyle/>
              <a:p>
                <a:pPr>
                  <a:defRPr sz="650" b="1" baseline="0">
                    <a:solidFill>
                      <a:srgbClr val="1A1A1A"/>
                    </a:solidFill>
                    <a:latin typeface="Liberation Sans"/>
                  </a:defRPr>
                </a:pPr>
                <a:endParaRPr lang="en-US"/>
              </a:p>
            </c:txPr>
            <c:dLblPos val="t"/>
            <c:showVal val="1"/>
          </c:dLbls>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Dashboard_Daten!$AQ$76:$AZ$76</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6"/>
          <c:order val="6"/>
          <c:tx>
            <c:v>Wert Komposit</c:v>
          </c:tx>
          <c:spPr>
            <a:ln>
              <a:noFill/>
            </a:ln>
          </c:spPr>
          <c:marker>
            <c:symbol val="none"/>
          </c:marker>
          <c:dLbls>
            <c:dLbl>
              <c:idx val="0"/>
              <c:layout/>
              <c:tx>
                <c:strRef>
                  <c:f>Dashboard_Daten!$AQ$65</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1"/>
              <c:layout/>
              <c:tx>
                <c:strRef>
                  <c:f>Dashboard_Daten!$AR$65</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2"/>
              <c:layout/>
              <c:tx>
                <c:strRef>
                  <c:f>Dashboard_Daten!$AS$65</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3"/>
              <c:layout/>
              <c:tx>
                <c:strRef>
                  <c:f>Dashboard_Daten!$AT$65</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4"/>
              <c:layout/>
              <c:tx>
                <c:strRef>
                  <c:f>Dashboard_Daten!$AU$65</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5"/>
              <c:layout/>
              <c:tx>
                <c:strRef>
                  <c:f>Dashboard_Daten!$AV$65</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6"/>
              <c:layout/>
              <c:tx>
                <c:strRef>
                  <c:f>Dashboard_Daten!$AW$65</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7"/>
              <c:layout/>
              <c:tx>
                <c:strRef>
                  <c:f>Dashboard_Daten!$AX$65</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8"/>
              <c:layout/>
              <c:tx>
                <c:strRef>
                  <c:f>Dashboard_Daten!$AY$65</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9"/>
              <c:layout/>
              <c:tx>
                <c:strRef>
                  <c:f>Dashboard_Daten!$AZ$65</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s>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Dashboard_Daten!$AQ$73:$AZ$73</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7"/>
          <c:order val="7"/>
          <c:tx>
            <c:v>Wert Gesundheit</c:v>
          </c:tx>
          <c:spPr>
            <a:ln>
              <a:noFill/>
            </a:ln>
          </c:spPr>
          <c:marker>
            <c:symbol val="none"/>
          </c:marker>
          <c:dLbls>
            <c:dLbl>
              <c:idx val="0"/>
              <c:layout/>
              <c:tx>
                <c:strRef>
                  <c:f>Dashboard_Daten!$AQ$67</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1"/>
              <c:layout/>
              <c:tx>
                <c:strRef>
                  <c:f>Dashboard_Daten!$AR$67</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2"/>
              <c:layout/>
              <c:tx>
                <c:strRef>
                  <c:f>Dashboard_Daten!$AS$67</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3"/>
              <c:layout/>
              <c:tx>
                <c:strRef>
                  <c:f>Dashboard_Daten!$AT$67</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4"/>
              <c:layout/>
              <c:tx>
                <c:strRef>
                  <c:f>Dashboard_Daten!$AU$67</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5"/>
              <c:layout/>
              <c:tx>
                <c:strRef>
                  <c:f>Dashboard_Daten!$AV$67</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6"/>
              <c:layout/>
              <c:tx>
                <c:strRef>
                  <c:f>Dashboard_Daten!$AW$67</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7"/>
              <c:layout/>
              <c:tx>
                <c:strRef>
                  <c:f>Dashboard_Daten!$AX$67</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8"/>
              <c:layout/>
              <c:tx>
                <c:strRef>
                  <c:f>Dashboard_Daten!$AY$67</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9"/>
              <c:layout/>
              <c:tx>
                <c:strRef>
                  <c:f>Dashboard_Daten!$AZ$67</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s>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Dashboard_Daten!$AQ$74:$AZ$74</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8"/>
          <c:order val="8"/>
          <c:tx>
            <c:v>Wert Leben</c:v>
          </c:tx>
          <c:spPr>
            <a:ln>
              <a:noFill/>
            </a:ln>
          </c:spPr>
          <c:marker>
            <c:symbol val="none"/>
          </c:marker>
          <c:dLbls>
            <c:dLbl>
              <c:idx val="0"/>
              <c:layout/>
              <c:tx>
                <c:strRef>
                  <c:f>Dashboard_Daten!$AQ$69</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1"/>
              <c:layout/>
              <c:tx>
                <c:strRef>
                  <c:f>Dashboard_Daten!$AR$69</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2"/>
              <c:layout/>
              <c:tx>
                <c:strRef>
                  <c:f>Dashboard_Daten!$AS$69</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3"/>
              <c:layout/>
              <c:tx>
                <c:strRef>
                  <c:f>Dashboard_Daten!$AT$69</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4"/>
              <c:layout/>
              <c:tx>
                <c:strRef>
                  <c:f>Dashboard_Daten!$AU$69</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5"/>
              <c:layout/>
              <c:tx>
                <c:strRef>
                  <c:f>Dashboard_Daten!$AV$69</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6"/>
              <c:layout/>
              <c:tx>
                <c:strRef>
                  <c:f>Dashboard_Daten!$AW$69</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7"/>
              <c:layout/>
              <c:tx>
                <c:strRef>
                  <c:f>Dashboard_Daten!$AX$69</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8"/>
              <c:layout/>
              <c:tx>
                <c:strRef>
                  <c:f>Dashboard_Daten!$AY$69</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9"/>
              <c:layout/>
              <c:tx>
                <c:strRef>
                  <c:f>Dashboard_Daten!$AZ$69</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s>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Dashboard_Daten!$AQ$75:$AZ$75</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10001"/>
        <c:axId val="50010002"/>
      </c:lineChart>
      <c:catAx>
        <c:axId val="5001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010002"/>
        <c:crosses val="autoZero"/>
        <c:auto val="1"/>
        <c:lblAlgn val="ctr"/>
        <c:lblOffset val="100"/>
        <c:tickLblSkip val="1"/>
      </c:catAx>
      <c:valAx>
        <c:axId val="50010002"/>
        <c:scaling>
          <c:orientation val="minMax"/>
          <c:max val="1.255813953488372"/>
          <c:min val="0"/>
        </c:scaling>
        <c:delete val="1"/>
        <c:axPos val="l"/>
        <c:numFmt formatCode="General" sourceLinked="1"/>
        <c:tickLblPos val="nextTo"/>
        <c:crossAx val="5001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35000000000000003"/>
          <c:y val="0"/>
          <c:w val="0.94499999999999995"/>
          <c:h val="0.6271186440677966"/>
        </c:manualLayout>
      </c:layout>
      <c:barChart>
        <c:barDir val="col"/>
        <c:grouping val="clustered"/>
        <c:ser>
          <c:idx val="0"/>
          <c:order val="0"/>
          <c:tx>
            <c:v>Zunahmen</c:v>
          </c:tx>
          <c:spPr>
            <a:solidFill>
              <a:srgbClr val="BF1528"/>
            </a:solidFill>
            <a:ln>
              <a:noFill/>
            </a:ln>
          </c:spPr>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Dashboard_Daten!$AQ$80:$AZ$80</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Abnahmen</c:v>
          </c:tx>
          <c:spPr>
            <a:solidFill>
              <a:srgbClr val="009284"/>
            </a:solidFill>
            <a:ln>
              <a:noFill/>
            </a:ln>
          </c:spPr>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Dashboard_Daten!$AQ$82:$AZ$82</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131"/>
        <c:overlap val="-5"/>
        <c:axId val="50020001"/>
        <c:axId val="50020002"/>
      </c:barChart>
      <c:barChart>
        <c:barDir val="col"/>
        <c:grouping val="clustered"/>
        <c:ser>
          <c:idx val="2"/>
          <c:order val="2"/>
          <c:tx>
            <c:v>Wert Zunahmen</c:v>
          </c:tx>
          <c:spPr>
            <a:noFill/>
            <a:ln>
              <a:noFill/>
            </a:ln>
          </c:spPr>
          <c:dLbls>
            <c:dLbl>
              <c:idx val="0"/>
              <c:layout/>
              <c:tx>
                <c:strRef>
                  <c:f>Dashboard_Daten!$AQ$81</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1"/>
              <c:layout/>
              <c:tx>
                <c:strRef>
                  <c:f>Dashboard_Daten!$AR$81</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2"/>
              <c:layout/>
              <c:tx>
                <c:strRef>
                  <c:f>Dashboard_Daten!$AS$81</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3"/>
              <c:layout/>
              <c:tx>
                <c:strRef>
                  <c:f>Dashboard_Daten!$AT$81</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4"/>
              <c:layout/>
              <c:tx>
                <c:strRef>
                  <c:f>Dashboard_Daten!$AU$81</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5"/>
              <c:layout/>
              <c:tx>
                <c:strRef>
                  <c:f>Dashboard_Daten!$AV$81</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6"/>
              <c:layout/>
              <c:tx>
                <c:strRef>
                  <c:f>Dashboard_Daten!$AW$81</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7"/>
              <c:layout/>
              <c:tx>
                <c:strRef>
                  <c:f>Dashboard_Daten!$AX$81</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8"/>
              <c:layout/>
              <c:tx>
                <c:strRef>
                  <c:f>Dashboard_Daten!$AY$81</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9"/>
              <c:layout/>
              <c:tx>
                <c:strRef>
                  <c:f>Dashboard_Daten!$AZ$81</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s>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Dashboard_Daten!$AQ$84:$AZ$84</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3"/>
          <c:order val="3"/>
          <c:tx>
            <c:v>Wert Abnahmen</c:v>
          </c:tx>
          <c:spPr>
            <a:noFill/>
            <a:ln>
              <a:noFill/>
            </a:ln>
          </c:spPr>
          <c:dLbls>
            <c:dLbl>
              <c:idx val="0"/>
              <c:layout/>
              <c:tx>
                <c:strRef>
                  <c:f>Dashboard_Daten!$AQ$83</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1"/>
              <c:layout/>
              <c:tx>
                <c:strRef>
                  <c:f>Dashboard_Daten!$AR$83</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2"/>
              <c:layout/>
              <c:tx>
                <c:strRef>
                  <c:f>Dashboard_Daten!$AS$83</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3"/>
              <c:layout/>
              <c:tx>
                <c:strRef>
                  <c:f>Dashboard_Daten!$AT$83</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4"/>
              <c:layout/>
              <c:tx>
                <c:strRef>
                  <c:f>Dashboard_Daten!$AU$83</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5"/>
              <c:layout/>
              <c:tx>
                <c:strRef>
                  <c:f>Dashboard_Daten!$AV$83</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6"/>
              <c:layout/>
              <c:tx>
                <c:strRef>
                  <c:f>Dashboard_Daten!$AW$83</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7"/>
              <c:layout/>
              <c:tx>
                <c:strRef>
                  <c:f>Dashboard_Daten!$AX$83</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8"/>
              <c:layout/>
              <c:tx>
                <c:strRef>
                  <c:f>Dashboard_Daten!$AY$83</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9"/>
              <c:layout/>
              <c:tx>
                <c:strRef>
                  <c:f>Dashboard_Daten!$AZ$83</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s>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Dashboard_Daten!$AQ$85:$AZ$85</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131"/>
        <c:overlap val="-5"/>
        <c:axId val="60020001"/>
        <c:axId val="60020002"/>
      </c:barChart>
      <c:catAx>
        <c:axId val="5002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020002"/>
        <c:crosses val="autoZero"/>
        <c:auto val="1"/>
        <c:lblAlgn val="ctr"/>
        <c:lblOffset val="100"/>
        <c:tickLblSkip val="1"/>
      </c:catAx>
      <c:valAx>
        <c:axId val="50020002"/>
        <c:scaling>
          <c:orientation val="minMax"/>
          <c:max val="1.608695652173913"/>
          <c:min val="0"/>
        </c:scaling>
        <c:delete val="1"/>
        <c:axPos val="l"/>
        <c:numFmt formatCode="General" sourceLinked="1"/>
        <c:tickLblPos val="nextTo"/>
        <c:crossAx val="50020001"/>
        <c:crosses val="autoZero"/>
        <c:crossBetween val="between"/>
      </c:valAx>
      <c:valAx>
        <c:axId val="60020002"/>
        <c:scaling>
          <c:orientation val="minMax"/>
          <c:max val="1.608695652173913"/>
          <c:min val="0"/>
        </c:scaling>
        <c:delete val="1"/>
        <c:axPos val="r"/>
        <c:numFmt formatCode="General" sourceLinked="1"/>
        <c:tickLblPos val="nextTo"/>
        <c:crossAx val="60020001"/>
        <c:crosses val="max"/>
        <c:crossBetween val="between"/>
      </c:valAx>
      <c:catAx>
        <c:axId val="60020001"/>
        <c:scaling>
          <c:orientation val="minMax"/>
        </c:scaling>
        <c:delete val="1"/>
        <c:axPos val="b"/>
        <c:numFmt formatCode="General" sourceLinked="1"/>
        <c:tickLblPos val="none"/>
        <c:crossAx val="60020002"/>
        <c:crosses val="autoZero"/>
        <c:auto val="1"/>
        <c:lblAlgn val="ctr"/>
        <c:lblOffset val="100"/>
      </c:cat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35000000000000003"/>
          <c:y val="0"/>
          <c:w val="0.94499999999999995"/>
          <c:h val="1"/>
        </c:manualLayout>
      </c:layout>
      <c:lineChart>
        <c:grouping val="standard"/>
        <c:ser>
          <c:idx val="0"/>
          <c:order val="0"/>
          <c:tx>
            <c:v>Delta auf</c:v>
          </c:tx>
          <c:spPr>
            <a:ln>
              <a:noFill/>
            </a:ln>
          </c:spPr>
          <c:marker>
            <c:symbol val="none"/>
          </c:marker>
          <c:dLbls>
            <c:dLbl>
              <c:idx val="0"/>
              <c:layout/>
              <c:tx>
                <c:strRef>
                  <c:f>Dashboard_Daten!$AQ$89</c:f>
                  <c:strCache>
                    <c:ptCount val="1"/>
                    <c:pt idx="0">
                      <c:v>0</c:v>
                    </c:pt>
                  </c:strCache>
                </c:strRef>
              </c:tx>
              <c:dLblPos val="ctr"/>
              <c:showVal val="1"/>
            </c:dLbl>
            <c:dLbl>
              <c:idx val="1"/>
              <c:layout/>
              <c:tx>
                <c:strRef>
                  <c:f>Dashboard_Daten!$AR$89</c:f>
                  <c:strCache>
                    <c:ptCount val="1"/>
                    <c:pt idx="0">
                      <c:v>0</c:v>
                    </c:pt>
                  </c:strCache>
                </c:strRef>
              </c:tx>
              <c:dLblPos val="ctr"/>
              <c:showVal val="1"/>
            </c:dLbl>
            <c:dLbl>
              <c:idx val="2"/>
              <c:layout/>
              <c:tx>
                <c:strRef>
                  <c:f>Dashboard_Daten!$AS$89</c:f>
                  <c:strCache>
                    <c:ptCount val="1"/>
                    <c:pt idx="0">
                      <c:v>0</c:v>
                    </c:pt>
                  </c:strCache>
                </c:strRef>
              </c:tx>
              <c:dLblPos val="ctr"/>
              <c:showVal val="1"/>
            </c:dLbl>
            <c:dLbl>
              <c:idx val="3"/>
              <c:layout/>
              <c:tx>
                <c:strRef>
                  <c:f>Dashboard_Daten!$AT$89</c:f>
                  <c:strCache>
                    <c:ptCount val="1"/>
                    <c:pt idx="0">
                      <c:v>0</c:v>
                    </c:pt>
                  </c:strCache>
                </c:strRef>
              </c:tx>
              <c:dLblPos val="ctr"/>
              <c:showVal val="1"/>
            </c:dLbl>
            <c:dLbl>
              <c:idx val="4"/>
              <c:layout/>
              <c:tx>
                <c:strRef>
                  <c:f>Dashboard_Daten!$AU$89</c:f>
                  <c:strCache>
                    <c:ptCount val="1"/>
                    <c:pt idx="0">
                      <c:v>0</c:v>
                    </c:pt>
                  </c:strCache>
                </c:strRef>
              </c:tx>
              <c:dLblPos val="ctr"/>
              <c:showVal val="1"/>
            </c:dLbl>
            <c:dLbl>
              <c:idx val="5"/>
              <c:layout/>
              <c:tx>
                <c:strRef>
                  <c:f>Dashboard_Daten!$AV$89</c:f>
                  <c:strCache>
                    <c:ptCount val="1"/>
                    <c:pt idx="0">
                      <c:v>0</c:v>
                    </c:pt>
                  </c:strCache>
                </c:strRef>
              </c:tx>
              <c:dLblPos val="ctr"/>
              <c:showVal val="1"/>
            </c:dLbl>
            <c:dLbl>
              <c:idx val="6"/>
              <c:layout/>
              <c:tx>
                <c:strRef>
                  <c:f>Dashboard_Daten!$AW$89</c:f>
                  <c:strCache>
                    <c:ptCount val="1"/>
                    <c:pt idx="0">
                      <c:v>0</c:v>
                    </c:pt>
                  </c:strCache>
                </c:strRef>
              </c:tx>
              <c:dLblPos val="ctr"/>
              <c:showVal val="1"/>
            </c:dLbl>
            <c:dLbl>
              <c:idx val="7"/>
              <c:layout/>
              <c:tx>
                <c:strRef>
                  <c:f>Dashboard_Daten!$AX$89</c:f>
                  <c:strCache>
                    <c:ptCount val="1"/>
                    <c:pt idx="0">
                      <c:v>0</c:v>
                    </c:pt>
                  </c:strCache>
                </c:strRef>
              </c:tx>
              <c:dLblPos val="ctr"/>
              <c:showVal val="1"/>
            </c:dLbl>
            <c:dLbl>
              <c:idx val="8"/>
              <c:layout/>
              <c:tx>
                <c:strRef>
                  <c:f>Dashboard_Daten!$AY$89</c:f>
                  <c:strCache>
                    <c:ptCount val="1"/>
                    <c:pt idx="0">
                      <c:v>0</c:v>
                    </c:pt>
                  </c:strCache>
                </c:strRef>
              </c:tx>
              <c:dLblPos val="ctr"/>
              <c:showVal val="1"/>
            </c:dLbl>
            <c:dLbl>
              <c:idx val="9"/>
              <c:layout/>
              <c:tx>
                <c:strRef>
                  <c:f>Dashboard_Daten!$AZ$89</c:f>
                  <c:strCache>
                    <c:ptCount val="1"/>
                    <c:pt idx="0">
                      <c:v>0</c:v>
                    </c:pt>
                  </c:strCache>
                </c:strRef>
              </c:tx>
              <c:dLblPos val="ctr"/>
              <c:showVal val="1"/>
            </c:dLbl>
            <c:txPr>
              <a:bodyPr wrap="none" lIns="18000" tIns="0" rIns="18000" bIns="0" anchor="ctr" anchorCtr="1">
                <a:spAutoFit/>
              </a:bodyPr>
              <a:lstStyle/>
              <a:p>
                <a:pPr>
                  <a:defRPr sz="600" b="1" baseline="0">
                    <a:solidFill>
                      <a:srgbClr val="8A5A00"/>
                    </a:solidFill>
                    <a:latin typeface="Liberation Sans"/>
                  </a:defRPr>
                </a:pPr>
                <a:endParaRPr lang="en-US"/>
              </a:p>
            </c:txPr>
            <c:dLblPos val="ctr"/>
            <c:showVal val="1"/>
          </c:dLbls>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Dashboard_Daten!$AQ$86:$AZ$86</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Delta ab</c:v>
          </c:tx>
          <c:spPr>
            <a:ln>
              <a:noFill/>
            </a:ln>
          </c:spPr>
          <c:marker>
            <c:symbol val="none"/>
          </c:marker>
          <c:dLbls>
            <c:dLbl>
              <c:idx val="0"/>
              <c:layout/>
              <c:tx>
                <c:strRef>
                  <c:f>Dashboard_Daten!$AQ$89</c:f>
                  <c:strCache>
                    <c:ptCount val="1"/>
                    <c:pt idx="0">
                      <c:v>0</c:v>
                    </c:pt>
                  </c:strCache>
                </c:strRef>
              </c:tx>
              <c:dLblPos val="ctr"/>
              <c:showVal val="1"/>
            </c:dLbl>
            <c:dLbl>
              <c:idx val="1"/>
              <c:layout/>
              <c:tx>
                <c:strRef>
                  <c:f>Dashboard_Daten!$AR$89</c:f>
                  <c:strCache>
                    <c:ptCount val="1"/>
                    <c:pt idx="0">
                      <c:v>0</c:v>
                    </c:pt>
                  </c:strCache>
                </c:strRef>
              </c:tx>
              <c:dLblPos val="ctr"/>
              <c:showVal val="1"/>
            </c:dLbl>
            <c:dLbl>
              <c:idx val="2"/>
              <c:layout/>
              <c:tx>
                <c:strRef>
                  <c:f>Dashboard_Daten!$AS$89</c:f>
                  <c:strCache>
                    <c:ptCount val="1"/>
                    <c:pt idx="0">
                      <c:v>0</c:v>
                    </c:pt>
                  </c:strCache>
                </c:strRef>
              </c:tx>
              <c:dLblPos val="ctr"/>
              <c:showVal val="1"/>
            </c:dLbl>
            <c:dLbl>
              <c:idx val="3"/>
              <c:layout/>
              <c:tx>
                <c:strRef>
                  <c:f>Dashboard_Daten!$AT$89</c:f>
                  <c:strCache>
                    <c:ptCount val="1"/>
                    <c:pt idx="0">
                      <c:v>0</c:v>
                    </c:pt>
                  </c:strCache>
                </c:strRef>
              </c:tx>
              <c:dLblPos val="ctr"/>
              <c:showVal val="1"/>
            </c:dLbl>
            <c:dLbl>
              <c:idx val="4"/>
              <c:layout/>
              <c:tx>
                <c:strRef>
                  <c:f>Dashboard_Daten!$AU$89</c:f>
                  <c:strCache>
                    <c:ptCount val="1"/>
                    <c:pt idx="0">
                      <c:v>0</c:v>
                    </c:pt>
                  </c:strCache>
                </c:strRef>
              </c:tx>
              <c:dLblPos val="ctr"/>
              <c:showVal val="1"/>
            </c:dLbl>
            <c:dLbl>
              <c:idx val="5"/>
              <c:layout/>
              <c:tx>
                <c:strRef>
                  <c:f>Dashboard_Daten!$AV$89</c:f>
                  <c:strCache>
                    <c:ptCount val="1"/>
                    <c:pt idx="0">
                      <c:v>0</c:v>
                    </c:pt>
                  </c:strCache>
                </c:strRef>
              </c:tx>
              <c:dLblPos val="ctr"/>
              <c:showVal val="1"/>
            </c:dLbl>
            <c:dLbl>
              <c:idx val="6"/>
              <c:layout/>
              <c:tx>
                <c:strRef>
                  <c:f>Dashboard_Daten!$AW$89</c:f>
                  <c:strCache>
                    <c:ptCount val="1"/>
                    <c:pt idx="0">
                      <c:v>0</c:v>
                    </c:pt>
                  </c:strCache>
                </c:strRef>
              </c:tx>
              <c:dLblPos val="ctr"/>
              <c:showVal val="1"/>
            </c:dLbl>
            <c:dLbl>
              <c:idx val="7"/>
              <c:layout/>
              <c:tx>
                <c:strRef>
                  <c:f>Dashboard_Daten!$AX$89</c:f>
                  <c:strCache>
                    <c:ptCount val="1"/>
                    <c:pt idx="0">
                      <c:v>0</c:v>
                    </c:pt>
                  </c:strCache>
                </c:strRef>
              </c:tx>
              <c:dLblPos val="ctr"/>
              <c:showVal val="1"/>
            </c:dLbl>
            <c:dLbl>
              <c:idx val="8"/>
              <c:layout/>
              <c:tx>
                <c:strRef>
                  <c:f>Dashboard_Daten!$AY$89</c:f>
                  <c:strCache>
                    <c:ptCount val="1"/>
                    <c:pt idx="0">
                      <c:v>0</c:v>
                    </c:pt>
                  </c:strCache>
                </c:strRef>
              </c:tx>
              <c:dLblPos val="ctr"/>
              <c:showVal val="1"/>
            </c:dLbl>
            <c:dLbl>
              <c:idx val="9"/>
              <c:layout/>
              <c:tx>
                <c:strRef>
                  <c:f>Dashboard_Daten!$AZ$89</c:f>
                  <c:strCache>
                    <c:ptCount val="1"/>
                    <c:pt idx="0">
                      <c:v>0</c:v>
                    </c:pt>
                  </c:strCache>
                </c:strRef>
              </c:tx>
              <c:dLblPos val="ctr"/>
              <c:showVal val="1"/>
            </c:dLbl>
            <c:txPr>
              <a:bodyPr wrap="none" lIns="18000" tIns="0" rIns="18000" bIns="0" anchor="ctr" anchorCtr="1">
                <a:spAutoFit/>
              </a:bodyPr>
              <a:lstStyle/>
              <a:p>
                <a:pPr>
                  <a:defRPr sz="600" b="1" baseline="0">
                    <a:solidFill>
                      <a:srgbClr val="1E7F4F"/>
                    </a:solidFill>
                    <a:latin typeface="Liberation Sans"/>
                  </a:defRPr>
                </a:pPr>
                <a:endParaRPr lang="en-US"/>
              </a:p>
            </c:txPr>
            <c:dLblPos val="ctr"/>
            <c:showVal val="1"/>
          </c:dLbls>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Dashboard_Daten!$AQ$87:$AZ$87</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Delta null</c:v>
          </c:tx>
          <c:spPr>
            <a:ln>
              <a:noFill/>
            </a:ln>
          </c:spPr>
          <c:marker>
            <c:symbol val="none"/>
          </c:marker>
          <c:dLbls>
            <c:dLbl>
              <c:idx val="0"/>
              <c:layout/>
              <c:tx>
                <c:strRef>
                  <c:f>Dashboard_Daten!$AQ$89</c:f>
                  <c:strCache>
                    <c:ptCount val="1"/>
                    <c:pt idx="0">
                      <c:v>0</c:v>
                    </c:pt>
                  </c:strCache>
                </c:strRef>
              </c:tx>
              <c:dLblPos val="ctr"/>
              <c:showVal val="1"/>
            </c:dLbl>
            <c:dLbl>
              <c:idx val="1"/>
              <c:layout/>
              <c:tx>
                <c:strRef>
                  <c:f>Dashboard_Daten!$AR$89</c:f>
                  <c:strCache>
                    <c:ptCount val="1"/>
                    <c:pt idx="0">
                      <c:v>0</c:v>
                    </c:pt>
                  </c:strCache>
                </c:strRef>
              </c:tx>
              <c:dLblPos val="ctr"/>
              <c:showVal val="1"/>
            </c:dLbl>
            <c:dLbl>
              <c:idx val="2"/>
              <c:layout/>
              <c:tx>
                <c:strRef>
                  <c:f>Dashboard_Daten!$AS$89</c:f>
                  <c:strCache>
                    <c:ptCount val="1"/>
                    <c:pt idx="0">
                      <c:v>0</c:v>
                    </c:pt>
                  </c:strCache>
                </c:strRef>
              </c:tx>
              <c:dLblPos val="ctr"/>
              <c:showVal val="1"/>
            </c:dLbl>
            <c:dLbl>
              <c:idx val="3"/>
              <c:layout/>
              <c:tx>
                <c:strRef>
                  <c:f>Dashboard_Daten!$AT$89</c:f>
                  <c:strCache>
                    <c:ptCount val="1"/>
                    <c:pt idx="0">
                      <c:v>0</c:v>
                    </c:pt>
                  </c:strCache>
                </c:strRef>
              </c:tx>
              <c:dLblPos val="ctr"/>
              <c:showVal val="1"/>
            </c:dLbl>
            <c:dLbl>
              <c:idx val="4"/>
              <c:layout/>
              <c:tx>
                <c:strRef>
                  <c:f>Dashboard_Daten!$AU$89</c:f>
                  <c:strCache>
                    <c:ptCount val="1"/>
                    <c:pt idx="0">
                      <c:v>0</c:v>
                    </c:pt>
                  </c:strCache>
                </c:strRef>
              </c:tx>
              <c:dLblPos val="ctr"/>
              <c:showVal val="1"/>
            </c:dLbl>
            <c:dLbl>
              <c:idx val="5"/>
              <c:layout/>
              <c:tx>
                <c:strRef>
                  <c:f>Dashboard_Daten!$AV$89</c:f>
                  <c:strCache>
                    <c:ptCount val="1"/>
                    <c:pt idx="0">
                      <c:v>0</c:v>
                    </c:pt>
                  </c:strCache>
                </c:strRef>
              </c:tx>
              <c:dLblPos val="ctr"/>
              <c:showVal val="1"/>
            </c:dLbl>
            <c:dLbl>
              <c:idx val="6"/>
              <c:layout/>
              <c:tx>
                <c:strRef>
                  <c:f>Dashboard_Daten!$AW$89</c:f>
                  <c:strCache>
                    <c:ptCount val="1"/>
                    <c:pt idx="0">
                      <c:v>0</c:v>
                    </c:pt>
                  </c:strCache>
                </c:strRef>
              </c:tx>
              <c:dLblPos val="ctr"/>
              <c:showVal val="1"/>
            </c:dLbl>
            <c:dLbl>
              <c:idx val="7"/>
              <c:layout/>
              <c:tx>
                <c:strRef>
                  <c:f>Dashboard_Daten!$AX$89</c:f>
                  <c:strCache>
                    <c:ptCount val="1"/>
                    <c:pt idx="0">
                      <c:v>0</c:v>
                    </c:pt>
                  </c:strCache>
                </c:strRef>
              </c:tx>
              <c:dLblPos val="ctr"/>
              <c:showVal val="1"/>
            </c:dLbl>
            <c:dLbl>
              <c:idx val="8"/>
              <c:layout/>
              <c:tx>
                <c:strRef>
                  <c:f>Dashboard_Daten!$AY$89</c:f>
                  <c:strCache>
                    <c:ptCount val="1"/>
                    <c:pt idx="0">
                      <c:v>0</c:v>
                    </c:pt>
                  </c:strCache>
                </c:strRef>
              </c:tx>
              <c:dLblPos val="ctr"/>
              <c:showVal val="1"/>
            </c:dLbl>
            <c:dLbl>
              <c:idx val="9"/>
              <c:layout/>
              <c:tx>
                <c:strRef>
                  <c:f>Dashboard_Daten!$AZ$89</c:f>
                  <c:strCache>
                    <c:ptCount val="1"/>
                    <c:pt idx="0">
                      <c:v>0</c:v>
                    </c:pt>
                  </c:strCache>
                </c:strRef>
              </c:tx>
              <c:dLblPos val="ctr"/>
              <c:showVal val="1"/>
            </c:dLbl>
            <c:txPr>
              <a:bodyPr wrap="none" lIns="18000" tIns="0" rIns="18000" bIns="0" anchor="ctr" anchorCtr="1">
                <a:spAutoFit/>
              </a:bodyPr>
              <a:lstStyle/>
              <a:p>
                <a:pPr>
                  <a:defRPr sz="600" b="1" baseline="0">
                    <a:solidFill>
                      <a:srgbClr val="6B6B6B"/>
                    </a:solidFill>
                    <a:latin typeface="Liberation Sans"/>
                  </a:defRPr>
                </a:pPr>
                <a:endParaRPr lang="en-US"/>
              </a:p>
            </c:txPr>
            <c:dLblPos val="ctr"/>
            <c:showVal val="1"/>
          </c:dLbls>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Dashboard_Daten!$AQ$88:$AZ$88</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30001"/>
        <c:axId val="50030002"/>
      </c:lineChart>
      <c:catAx>
        <c:axId val="50030001"/>
        <c:scaling>
          <c:orientation val="minMax"/>
        </c:scaling>
        <c:axPos val="b"/>
        <c:numFmt formatCode="General" sourceLinked="1"/>
        <c:majorTickMark val="none"/>
        <c:minorTickMark val="none"/>
        <c:tickLblPos val="none"/>
        <c:spPr>
          <a:ln>
            <a:noFill/>
          </a:ln>
        </c:spPr>
        <c:crossAx val="50030002"/>
        <c:crosses val="autoZero"/>
        <c:auto val="1"/>
        <c:lblAlgn val="ctr"/>
        <c:lblOffset val="100"/>
      </c:catAx>
      <c:valAx>
        <c:axId val="50030002"/>
        <c:scaling>
          <c:orientation val="minMax"/>
          <c:max val="1"/>
          <c:min val="0"/>
        </c:scaling>
        <c:delete val="1"/>
        <c:axPos val="l"/>
        <c:numFmt formatCode="General" sourceLinked="1"/>
        <c:tickLblPos val="nextTo"/>
        <c:crossAx val="5003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35000000000000003"/>
          <c:y val="0"/>
          <c:w val="0.94499999999999995"/>
          <c:h val="0.81818181818181823"/>
        </c:manualLayout>
      </c:layout>
      <c:barChart>
        <c:barDir val="col"/>
        <c:grouping val="stacked"/>
        <c:ser>
          <c:idx val="0"/>
          <c:order val="0"/>
          <c:tx>
            <c:v>Komposit</c:v>
          </c:tx>
          <c:spPr>
            <a:solidFill>
              <a:srgbClr val="B31767"/>
            </a:solidFill>
            <a:ln w="6350">
              <a:solidFill>
                <a:srgbClr val="F2F2F2"/>
              </a:solidFill>
            </a:ln>
          </c:spPr>
          <c:cat>
            <c:numRef>
              <c:f>Dashboard_Daten!$AQ$94:$AZ$94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Dashboard_Daten!$AQ$110:$AZ$110</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Gesundheit</c:v>
          </c:tx>
          <c:spPr>
            <a:solidFill>
              <a:srgbClr val="808080"/>
            </a:solidFill>
            <a:ln w="6350">
              <a:solidFill>
                <a:srgbClr val="F2F2F2"/>
              </a:solidFill>
            </a:ln>
          </c:spPr>
          <c:cat>
            <c:numRef>
              <c:f>Dashboard_Daten!$AQ$94:$AZ$94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Dashboard_Daten!$AQ$111:$AZ$111</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Leben</c:v>
          </c:tx>
          <c:spPr>
            <a:solidFill>
              <a:srgbClr val="1A1A1A"/>
            </a:solidFill>
            <a:ln w="6350">
              <a:solidFill>
                <a:srgbClr val="F2F2F2"/>
              </a:solidFill>
            </a:ln>
          </c:spPr>
          <c:cat>
            <c:numRef>
              <c:f>Dashboard_Daten!$AQ$94:$AZ$94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Dashboard_Daten!$AQ$112:$AZ$112</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45"/>
        <c:overlap val="100"/>
        <c:axId val="50040001"/>
        <c:axId val="50040002"/>
      </c:barChart>
      <c:lineChart>
        <c:grouping val="standard"/>
        <c:ser>
          <c:idx val="3"/>
          <c:order val="3"/>
          <c:tx>
            <c:v>SLA</c:v>
          </c:tx>
          <c:spPr>
            <a:ln w="12700">
              <a:solidFill>
                <a:srgbClr val="4A4A4A"/>
              </a:solidFill>
              <a:prstDash val="dash"/>
            </a:ln>
          </c:spPr>
          <c:marker>
            <c:symbol val="none"/>
          </c:marker>
          <c:cat>
            <c:numRef>
              <c:f>Dashboard_Daten!$AQ$94:$AZ$94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Dashboard_Daten!$AQ$127:$AZ$127</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4"/>
          <c:order val="4"/>
          <c:tx>
            <c:v>Summe</c:v>
          </c:tx>
          <c:spPr>
            <a:ln>
              <a:noFill/>
            </a:ln>
          </c:spPr>
          <c:marker>
            <c:symbol val="none"/>
          </c:marker>
          <c:dLbls>
            <c:dLbl>
              <c:idx val="0"/>
              <c:layout/>
              <c:tx>
                <c:strRef>
                  <c:f>Dashboard_Daten!$AQ$126</c:f>
                  <c:strCache>
                    <c:ptCount val="1"/>
                    <c:pt idx="0">
                      <c:v>0</c:v>
                    </c:pt>
                  </c:strCache>
                </c:strRef>
              </c:tx>
              <c:dLblPos val="t"/>
              <c:showVal val="1"/>
            </c:dLbl>
            <c:dLbl>
              <c:idx val="1"/>
              <c:layout/>
              <c:tx>
                <c:strRef>
                  <c:f>Dashboard_Daten!$AR$126</c:f>
                  <c:strCache>
                    <c:ptCount val="1"/>
                    <c:pt idx="0">
                      <c:v>0</c:v>
                    </c:pt>
                  </c:strCache>
                </c:strRef>
              </c:tx>
              <c:dLblPos val="t"/>
              <c:showVal val="1"/>
            </c:dLbl>
            <c:dLbl>
              <c:idx val="2"/>
              <c:layout/>
              <c:tx>
                <c:strRef>
                  <c:f>Dashboard_Daten!$AS$126</c:f>
                  <c:strCache>
                    <c:ptCount val="1"/>
                    <c:pt idx="0">
                      <c:v>0</c:v>
                    </c:pt>
                  </c:strCache>
                </c:strRef>
              </c:tx>
              <c:dLblPos val="t"/>
              <c:showVal val="1"/>
            </c:dLbl>
            <c:dLbl>
              <c:idx val="3"/>
              <c:layout/>
              <c:tx>
                <c:strRef>
                  <c:f>Dashboard_Daten!$AT$126</c:f>
                  <c:strCache>
                    <c:ptCount val="1"/>
                    <c:pt idx="0">
                      <c:v>0</c:v>
                    </c:pt>
                  </c:strCache>
                </c:strRef>
              </c:tx>
              <c:dLblPos val="t"/>
              <c:showVal val="1"/>
            </c:dLbl>
            <c:dLbl>
              <c:idx val="4"/>
              <c:layout/>
              <c:tx>
                <c:strRef>
                  <c:f>Dashboard_Daten!$AU$126</c:f>
                  <c:strCache>
                    <c:ptCount val="1"/>
                    <c:pt idx="0">
                      <c:v>0</c:v>
                    </c:pt>
                  </c:strCache>
                </c:strRef>
              </c:tx>
              <c:dLblPos val="t"/>
              <c:showVal val="1"/>
            </c:dLbl>
            <c:dLbl>
              <c:idx val="5"/>
              <c:layout/>
              <c:tx>
                <c:strRef>
                  <c:f>Dashboard_Daten!$AV$126</c:f>
                  <c:strCache>
                    <c:ptCount val="1"/>
                    <c:pt idx="0">
                      <c:v>0</c:v>
                    </c:pt>
                  </c:strCache>
                </c:strRef>
              </c:tx>
              <c:dLblPos val="t"/>
              <c:showVal val="1"/>
            </c:dLbl>
            <c:dLbl>
              <c:idx val="6"/>
              <c:layout/>
              <c:tx>
                <c:strRef>
                  <c:f>Dashboard_Daten!$AW$126</c:f>
                  <c:strCache>
                    <c:ptCount val="1"/>
                    <c:pt idx="0">
                      <c:v>0</c:v>
                    </c:pt>
                  </c:strCache>
                </c:strRef>
              </c:tx>
              <c:dLblPos val="t"/>
              <c:showVal val="1"/>
            </c:dLbl>
            <c:dLbl>
              <c:idx val="7"/>
              <c:layout/>
              <c:tx>
                <c:strRef>
                  <c:f>Dashboard_Daten!$AX$126</c:f>
                  <c:strCache>
                    <c:ptCount val="1"/>
                    <c:pt idx="0">
                      <c:v>0</c:v>
                    </c:pt>
                  </c:strCache>
                </c:strRef>
              </c:tx>
              <c:dLblPos val="t"/>
              <c:showVal val="1"/>
            </c:dLbl>
            <c:dLbl>
              <c:idx val="8"/>
              <c:layout/>
              <c:tx>
                <c:strRef>
                  <c:f>Dashboard_Daten!$AY$126</c:f>
                  <c:strCache>
                    <c:ptCount val="1"/>
                    <c:pt idx="0">
                      <c:v>0</c:v>
                    </c:pt>
                  </c:strCache>
                </c:strRef>
              </c:tx>
              <c:dLblPos val="t"/>
              <c:showVal val="1"/>
            </c:dLbl>
            <c:dLbl>
              <c:idx val="9"/>
              <c:layout/>
              <c:tx>
                <c:strRef>
                  <c:f>Dashboard_Daten!$AZ$126</c:f>
                  <c:strCache>
                    <c:ptCount val="1"/>
                    <c:pt idx="0">
                      <c:v>0</c:v>
                    </c:pt>
                  </c:strCache>
                </c:strRef>
              </c:tx>
              <c:dLblPos val="t"/>
              <c:showVal val="1"/>
            </c:dLbl>
            <c:txPr>
              <a:bodyPr wrap="none" lIns="18000" tIns="0" rIns="18000" bIns="0" anchor="ctr" anchorCtr="1">
                <a:spAutoFit/>
              </a:bodyPr>
              <a:lstStyle/>
              <a:p>
                <a:pPr>
                  <a:defRPr sz="650" b="1" baseline="0">
                    <a:solidFill>
                      <a:srgbClr val="1A1A1A"/>
                    </a:solidFill>
                    <a:latin typeface="Liberation Sans"/>
                  </a:defRPr>
                </a:pPr>
                <a:endParaRPr lang="en-US"/>
              </a:p>
            </c:txPr>
            <c:dLblPos val="t"/>
            <c:showVal val="1"/>
          </c:dLbls>
          <c:cat>
            <c:numRef>
              <c:f>Dashboard_Daten!$AQ$94:$AZ$94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Dashboard_Daten!$AQ$125:$AZ$125</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5"/>
          <c:order val="5"/>
          <c:tx>
            <c:v>Wert Komposit</c:v>
          </c:tx>
          <c:spPr>
            <a:ln>
              <a:noFill/>
            </a:ln>
          </c:spPr>
          <c:marker>
            <c:symbol val="none"/>
          </c:marker>
          <c:dLbls>
            <c:dLbl>
              <c:idx val="0"/>
              <c:layout/>
              <c:tx>
                <c:strRef>
                  <c:f>Dashboard_Daten!$AQ$114</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1"/>
              <c:layout/>
              <c:tx>
                <c:strRef>
                  <c:f>Dashboard_Daten!$AR$114</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2"/>
              <c:layout/>
              <c:tx>
                <c:strRef>
                  <c:f>Dashboard_Daten!$AS$114</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3"/>
              <c:layout/>
              <c:tx>
                <c:strRef>
                  <c:f>Dashboard_Daten!$AT$114</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4"/>
              <c:layout/>
              <c:tx>
                <c:strRef>
                  <c:f>Dashboard_Daten!$AU$114</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5"/>
              <c:layout/>
              <c:tx>
                <c:strRef>
                  <c:f>Dashboard_Daten!$AV$114</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6"/>
              <c:layout/>
              <c:tx>
                <c:strRef>
                  <c:f>Dashboard_Daten!$AW$114</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7"/>
              <c:layout/>
              <c:tx>
                <c:strRef>
                  <c:f>Dashboard_Daten!$AX$114</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8"/>
              <c:layout/>
              <c:tx>
                <c:strRef>
                  <c:f>Dashboard_Daten!$AY$114</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9"/>
              <c:layout/>
              <c:tx>
                <c:strRef>
                  <c:f>Dashboard_Daten!$AZ$114</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s>
          <c:cat>
            <c:numRef>
              <c:f>Dashboard_Daten!$AQ$94:$AZ$94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Dashboard_Daten!$AQ$122:$AZ$122</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6"/>
          <c:order val="6"/>
          <c:tx>
            <c:v>Wert Gesundheit</c:v>
          </c:tx>
          <c:spPr>
            <a:ln>
              <a:noFill/>
            </a:ln>
          </c:spPr>
          <c:marker>
            <c:symbol val="none"/>
          </c:marker>
          <c:dLbls>
            <c:dLbl>
              <c:idx val="0"/>
              <c:layout/>
              <c:tx>
                <c:strRef>
                  <c:f>Dashboard_Daten!$AQ$116</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1"/>
              <c:layout/>
              <c:tx>
                <c:strRef>
                  <c:f>Dashboard_Daten!$AR$116</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2"/>
              <c:layout/>
              <c:tx>
                <c:strRef>
                  <c:f>Dashboard_Daten!$AS$116</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3"/>
              <c:layout/>
              <c:tx>
                <c:strRef>
                  <c:f>Dashboard_Daten!$AT$116</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4"/>
              <c:layout/>
              <c:tx>
                <c:strRef>
                  <c:f>Dashboard_Daten!$AU$116</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5"/>
              <c:layout/>
              <c:tx>
                <c:strRef>
                  <c:f>Dashboard_Daten!$AV$116</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6"/>
              <c:layout/>
              <c:tx>
                <c:strRef>
                  <c:f>Dashboard_Daten!$AW$116</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7"/>
              <c:layout/>
              <c:tx>
                <c:strRef>
                  <c:f>Dashboard_Daten!$AX$116</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8"/>
              <c:layout/>
              <c:tx>
                <c:strRef>
                  <c:f>Dashboard_Daten!$AY$116</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9"/>
              <c:layout/>
              <c:tx>
                <c:strRef>
                  <c:f>Dashboard_Daten!$AZ$116</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s>
          <c:cat>
            <c:numRef>
              <c:f>Dashboard_Daten!$AQ$94:$AZ$94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Dashboard_Daten!$AQ$123:$AZ$123</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7"/>
          <c:order val="7"/>
          <c:tx>
            <c:v>Wert Leben</c:v>
          </c:tx>
          <c:spPr>
            <a:ln>
              <a:noFill/>
            </a:ln>
          </c:spPr>
          <c:marker>
            <c:symbol val="none"/>
          </c:marker>
          <c:dLbls>
            <c:dLbl>
              <c:idx val="0"/>
              <c:layout/>
              <c:tx>
                <c:strRef>
                  <c:f>Dashboard_Daten!$AQ$118</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1"/>
              <c:layout/>
              <c:tx>
                <c:strRef>
                  <c:f>Dashboard_Daten!$AR$118</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2"/>
              <c:layout/>
              <c:tx>
                <c:strRef>
                  <c:f>Dashboard_Daten!$AS$118</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3"/>
              <c:layout/>
              <c:tx>
                <c:strRef>
                  <c:f>Dashboard_Daten!$AT$118</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4"/>
              <c:layout/>
              <c:tx>
                <c:strRef>
                  <c:f>Dashboard_Daten!$AU$118</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5"/>
              <c:layout/>
              <c:tx>
                <c:strRef>
                  <c:f>Dashboard_Daten!$AV$118</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6"/>
              <c:layout/>
              <c:tx>
                <c:strRef>
                  <c:f>Dashboard_Daten!$AW$118</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7"/>
              <c:layout/>
              <c:tx>
                <c:strRef>
                  <c:f>Dashboard_Daten!$AX$118</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8"/>
              <c:layout/>
              <c:tx>
                <c:strRef>
                  <c:f>Dashboard_Daten!$AY$118</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9"/>
              <c:layout/>
              <c:tx>
                <c:strRef>
                  <c:f>Dashboard_Daten!$AZ$118</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s>
          <c:cat>
            <c:numRef>
              <c:f>Dashboard_Daten!$AQ$94:$AZ$94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Dashboard_Daten!$AQ$124:$AZ$124</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40001"/>
        <c:axId val="50040002"/>
      </c:lineChart>
      <c:catAx>
        <c:axId val="5004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040002"/>
        <c:crosses val="autoZero"/>
        <c:auto val="1"/>
        <c:lblAlgn val="ctr"/>
        <c:lblOffset val="100"/>
        <c:tickLblSkip val="1"/>
      </c:catAx>
      <c:valAx>
        <c:axId val="50040002"/>
        <c:scaling>
          <c:orientation val="minMax"/>
          <c:max val="1.255813953488372"/>
          <c:min val="0"/>
        </c:scaling>
        <c:delete val="1"/>
        <c:axPos val="l"/>
        <c:numFmt formatCode="General" sourceLinked="1"/>
        <c:tickLblPos val="nextTo"/>
        <c:crossAx val="5004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35000000000000003"/>
          <c:y val="0"/>
          <c:w val="0.94499999999999995"/>
          <c:h val="0.6271186440677966"/>
        </c:manualLayout>
      </c:layout>
      <c:barChart>
        <c:barDir val="col"/>
        <c:grouping val="clustered"/>
        <c:ser>
          <c:idx val="0"/>
          <c:order val="0"/>
          <c:tx>
            <c:v>Zunahmen</c:v>
          </c:tx>
          <c:spPr>
            <a:solidFill>
              <a:srgbClr val="BF1528"/>
            </a:solidFill>
            <a:ln>
              <a:noFill/>
            </a:ln>
          </c:spPr>
          <c:cat>
            <c:numRef>
              <c:f>Dashboard_Daten!$AQ$94:$AZ$94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Dashboard_Daten!$AQ$129:$AZ$129</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Abnahmen</c:v>
          </c:tx>
          <c:spPr>
            <a:solidFill>
              <a:srgbClr val="009284"/>
            </a:solidFill>
            <a:ln>
              <a:noFill/>
            </a:ln>
          </c:spPr>
          <c:cat>
            <c:numRef>
              <c:f>Dashboard_Daten!$AQ$94:$AZ$94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Dashboard_Daten!$AQ$131:$AZ$131</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131"/>
        <c:overlap val="-5"/>
        <c:axId val="50050001"/>
        <c:axId val="50050002"/>
      </c:barChart>
      <c:barChart>
        <c:barDir val="col"/>
        <c:grouping val="clustered"/>
        <c:ser>
          <c:idx val="2"/>
          <c:order val="2"/>
          <c:tx>
            <c:v>Wert Zunahmen</c:v>
          </c:tx>
          <c:spPr>
            <a:noFill/>
            <a:ln>
              <a:noFill/>
            </a:ln>
          </c:spPr>
          <c:dLbls>
            <c:dLbl>
              <c:idx val="0"/>
              <c:layout/>
              <c:tx>
                <c:strRef>
                  <c:f>Dashboard_Daten!$AQ$130</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1"/>
              <c:layout/>
              <c:tx>
                <c:strRef>
                  <c:f>Dashboard_Daten!$AR$130</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2"/>
              <c:layout/>
              <c:tx>
                <c:strRef>
                  <c:f>Dashboard_Daten!$AS$130</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3"/>
              <c:layout/>
              <c:tx>
                <c:strRef>
                  <c:f>Dashboard_Daten!$AT$130</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4"/>
              <c:layout/>
              <c:tx>
                <c:strRef>
                  <c:f>Dashboard_Daten!$AU$130</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5"/>
              <c:layout/>
              <c:tx>
                <c:strRef>
                  <c:f>Dashboard_Daten!$AV$130</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6"/>
              <c:layout/>
              <c:tx>
                <c:strRef>
                  <c:f>Dashboard_Daten!$AW$130</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7"/>
              <c:layout/>
              <c:tx>
                <c:strRef>
                  <c:f>Dashboard_Daten!$AX$130</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8"/>
              <c:layout/>
              <c:tx>
                <c:strRef>
                  <c:f>Dashboard_Daten!$AY$130</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9"/>
              <c:layout/>
              <c:tx>
                <c:strRef>
                  <c:f>Dashboard_Daten!$AZ$130</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s>
          <c:cat>
            <c:numRef>
              <c:f>Dashboard_Daten!$AQ$94:$AZ$94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Dashboard_Daten!$AQ$133:$AZ$133</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3"/>
          <c:order val="3"/>
          <c:tx>
            <c:v>Wert Abnahmen</c:v>
          </c:tx>
          <c:spPr>
            <a:noFill/>
            <a:ln>
              <a:noFill/>
            </a:ln>
          </c:spPr>
          <c:dLbls>
            <c:dLbl>
              <c:idx val="0"/>
              <c:layout/>
              <c:tx>
                <c:strRef>
                  <c:f>Dashboard_Daten!$AQ$132</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1"/>
              <c:layout/>
              <c:tx>
                <c:strRef>
                  <c:f>Dashboard_Daten!$AR$132</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2"/>
              <c:layout/>
              <c:tx>
                <c:strRef>
                  <c:f>Dashboard_Daten!$AS$132</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3"/>
              <c:layout/>
              <c:tx>
                <c:strRef>
                  <c:f>Dashboard_Daten!$AT$132</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4"/>
              <c:layout/>
              <c:tx>
                <c:strRef>
                  <c:f>Dashboard_Daten!$AU$132</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5"/>
              <c:layout/>
              <c:tx>
                <c:strRef>
                  <c:f>Dashboard_Daten!$AV$132</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6"/>
              <c:layout/>
              <c:tx>
                <c:strRef>
                  <c:f>Dashboard_Daten!$AW$132</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7"/>
              <c:layout/>
              <c:tx>
                <c:strRef>
                  <c:f>Dashboard_Daten!$AX$132</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8"/>
              <c:layout/>
              <c:tx>
                <c:strRef>
                  <c:f>Dashboard_Daten!$AY$132</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9"/>
              <c:layout/>
              <c:tx>
                <c:strRef>
                  <c:f>Dashboard_Daten!$AZ$132</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s>
          <c:cat>
            <c:numRef>
              <c:f>Dashboard_Daten!$AQ$94:$AZ$94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Dashboard_Daten!$AQ$134:$AZ$134</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131"/>
        <c:overlap val="-5"/>
        <c:axId val="60050001"/>
        <c:axId val="60050002"/>
      </c:barChart>
      <c:catAx>
        <c:axId val="5005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050002"/>
        <c:crosses val="autoZero"/>
        <c:auto val="1"/>
        <c:lblAlgn val="ctr"/>
        <c:lblOffset val="100"/>
        <c:tickLblSkip val="1"/>
      </c:catAx>
      <c:valAx>
        <c:axId val="50050002"/>
        <c:scaling>
          <c:orientation val="minMax"/>
          <c:max val="1.608695652173913"/>
          <c:min val="0"/>
        </c:scaling>
        <c:delete val="1"/>
        <c:axPos val="l"/>
        <c:numFmt formatCode="General" sourceLinked="1"/>
        <c:tickLblPos val="nextTo"/>
        <c:crossAx val="50050001"/>
        <c:crosses val="autoZero"/>
        <c:crossBetween val="between"/>
      </c:valAx>
      <c:valAx>
        <c:axId val="60050002"/>
        <c:scaling>
          <c:orientation val="minMax"/>
          <c:max val="1.608695652173913"/>
          <c:min val="0"/>
        </c:scaling>
        <c:delete val="1"/>
        <c:axPos val="r"/>
        <c:numFmt formatCode="General" sourceLinked="1"/>
        <c:tickLblPos val="nextTo"/>
        <c:crossAx val="60050001"/>
        <c:crosses val="max"/>
        <c:crossBetween val="between"/>
      </c:valAx>
      <c:catAx>
        <c:axId val="60050001"/>
        <c:scaling>
          <c:orientation val="minMax"/>
        </c:scaling>
        <c:delete val="1"/>
        <c:axPos val="b"/>
        <c:numFmt formatCode="General" sourceLinked="1"/>
        <c:tickLblPos val="none"/>
        <c:crossAx val="60050002"/>
        <c:crosses val="autoZero"/>
        <c:auto val="1"/>
        <c:lblAlgn val="ctr"/>
        <c:lblOffset val="100"/>
      </c:cat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35000000000000003"/>
          <c:y val="0"/>
          <c:w val="0.94499999999999995"/>
          <c:h val="1"/>
        </c:manualLayout>
      </c:layout>
      <c:lineChart>
        <c:grouping val="standard"/>
        <c:ser>
          <c:idx val="0"/>
          <c:order val="0"/>
          <c:tx>
            <c:v>Delta auf</c:v>
          </c:tx>
          <c:spPr>
            <a:ln>
              <a:noFill/>
            </a:ln>
          </c:spPr>
          <c:marker>
            <c:symbol val="none"/>
          </c:marker>
          <c:dLbls>
            <c:dLbl>
              <c:idx val="0"/>
              <c:layout/>
              <c:tx>
                <c:strRef>
                  <c:f>Dashboard_Daten!$AQ$138</c:f>
                  <c:strCache>
                    <c:ptCount val="1"/>
                    <c:pt idx="0">
                      <c:v>0</c:v>
                    </c:pt>
                  </c:strCache>
                </c:strRef>
              </c:tx>
              <c:dLblPos val="ctr"/>
              <c:showVal val="1"/>
            </c:dLbl>
            <c:dLbl>
              <c:idx val="1"/>
              <c:layout/>
              <c:tx>
                <c:strRef>
                  <c:f>Dashboard_Daten!$AR$138</c:f>
                  <c:strCache>
                    <c:ptCount val="1"/>
                    <c:pt idx="0">
                      <c:v>0</c:v>
                    </c:pt>
                  </c:strCache>
                </c:strRef>
              </c:tx>
              <c:dLblPos val="ctr"/>
              <c:showVal val="1"/>
            </c:dLbl>
            <c:dLbl>
              <c:idx val="2"/>
              <c:layout/>
              <c:tx>
                <c:strRef>
                  <c:f>Dashboard_Daten!$AS$138</c:f>
                  <c:strCache>
                    <c:ptCount val="1"/>
                    <c:pt idx="0">
                      <c:v>0</c:v>
                    </c:pt>
                  </c:strCache>
                </c:strRef>
              </c:tx>
              <c:dLblPos val="ctr"/>
              <c:showVal val="1"/>
            </c:dLbl>
            <c:dLbl>
              <c:idx val="3"/>
              <c:layout/>
              <c:tx>
                <c:strRef>
                  <c:f>Dashboard_Daten!$AT$138</c:f>
                  <c:strCache>
                    <c:ptCount val="1"/>
                    <c:pt idx="0">
                      <c:v>0</c:v>
                    </c:pt>
                  </c:strCache>
                </c:strRef>
              </c:tx>
              <c:dLblPos val="ctr"/>
              <c:showVal val="1"/>
            </c:dLbl>
            <c:dLbl>
              <c:idx val="4"/>
              <c:layout/>
              <c:tx>
                <c:strRef>
                  <c:f>Dashboard_Daten!$AU$138</c:f>
                  <c:strCache>
                    <c:ptCount val="1"/>
                    <c:pt idx="0">
                      <c:v>0</c:v>
                    </c:pt>
                  </c:strCache>
                </c:strRef>
              </c:tx>
              <c:dLblPos val="ctr"/>
              <c:showVal val="1"/>
            </c:dLbl>
            <c:dLbl>
              <c:idx val="5"/>
              <c:layout/>
              <c:tx>
                <c:strRef>
                  <c:f>Dashboard_Daten!$AV$138</c:f>
                  <c:strCache>
                    <c:ptCount val="1"/>
                    <c:pt idx="0">
                      <c:v>0</c:v>
                    </c:pt>
                  </c:strCache>
                </c:strRef>
              </c:tx>
              <c:dLblPos val="ctr"/>
              <c:showVal val="1"/>
            </c:dLbl>
            <c:dLbl>
              <c:idx val="6"/>
              <c:layout/>
              <c:tx>
                <c:strRef>
                  <c:f>Dashboard_Daten!$AW$138</c:f>
                  <c:strCache>
                    <c:ptCount val="1"/>
                    <c:pt idx="0">
                      <c:v>0</c:v>
                    </c:pt>
                  </c:strCache>
                </c:strRef>
              </c:tx>
              <c:dLblPos val="ctr"/>
              <c:showVal val="1"/>
            </c:dLbl>
            <c:dLbl>
              <c:idx val="7"/>
              <c:layout/>
              <c:tx>
                <c:strRef>
                  <c:f>Dashboard_Daten!$AX$138</c:f>
                  <c:strCache>
                    <c:ptCount val="1"/>
                    <c:pt idx="0">
                      <c:v>0</c:v>
                    </c:pt>
                  </c:strCache>
                </c:strRef>
              </c:tx>
              <c:dLblPos val="ctr"/>
              <c:showVal val="1"/>
            </c:dLbl>
            <c:dLbl>
              <c:idx val="8"/>
              <c:layout/>
              <c:tx>
                <c:strRef>
                  <c:f>Dashboard_Daten!$AY$138</c:f>
                  <c:strCache>
                    <c:ptCount val="1"/>
                    <c:pt idx="0">
                      <c:v>0</c:v>
                    </c:pt>
                  </c:strCache>
                </c:strRef>
              </c:tx>
              <c:dLblPos val="ctr"/>
              <c:showVal val="1"/>
            </c:dLbl>
            <c:dLbl>
              <c:idx val="9"/>
              <c:layout/>
              <c:tx>
                <c:strRef>
                  <c:f>Dashboard_Daten!$AZ$138</c:f>
                  <c:strCache>
                    <c:ptCount val="1"/>
                    <c:pt idx="0">
                      <c:v>0</c:v>
                    </c:pt>
                  </c:strCache>
                </c:strRef>
              </c:tx>
              <c:dLblPos val="ctr"/>
              <c:showVal val="1"/>
            </c:dLbl>
            <c:txPr>
              <a:bodyPr wrap="none" lIns="18000" tIns="0" rIns="18000" bIns="0" anchor="ctr" anchorCtr="1">
                <a:spAutoFit/>
              </a:bodyPr>
              <a:lstStyle/>
              <a:p>
                <a:pPr>
                  <a:defRPr sz="600" b="1" baseline="0">
                    <a:solidFill>
                      <a:srgbClr val="8A5A00"/>
                    </a:solidFill>
                    <a:latin typeface="Liberation Sans"/>
                  </a:defRPr>
                </a:pPr>
                <a:endParaRPr lang="en-US"/>
              </a:p>
            </c:txPr>
            <c:dLblPos val="ctr"/>
            <c:showVal val="1"/>
          </c:dLbls>
          <c:cat>
            <c:numRef>
              <c:f>Dashboard_Daten!$AQ$94:$AZ$94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Dashboard_Daten!$AQ$135:$AZ$135</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Delta ab</c:v>
          </c:tx>
          <c:spPr>
            <a:ln>
              <a:noFill/>
            </a:ln>
          </c:spPr>
          <c:marker>
            <c:symbol val="none"/>
          </c:marker>
          <c:dLbls>
            <c:dLbl>
              <c:idx val="0"/>
              <c:layout/>
              <c:tx>
                <c:strRef>
                  <c:f>Dashboard_Daten!$AQ$138</c:f>
                  <c:strCache>
                    <c:ptCount val="1"/>
                    <c:pt idx="0">
                      <c:v>0</c:v>
                    </c:pt>
                  </c:strCache>
                </c:strRef>
              </c:tx>
              <c:dLblPos val="ctr"/>
              <c:showVal val="1"/>
            </c:dLbl>
            <c:dLbl>
              <c:idx val="1"/>
              <c:layout/>
              <c:tx>
                <c:strRef>
                  <c:f>Dashboard_Daten!$AR$138</c:f>
                  <c:strCache>
                    <c:ptCount val="1"/>
                    <c:pt idx="0">
                      <c:v>0</c:v>
                    </c:pt>
                  </c:strCache>
                </c:strRef>
              </c:tx>
              <c:dLblPos val="ctr"/>
              <c:showVal val="1"/>
            </c:dLbl>
            <c:dLbl>
              <c:idx val="2"/>
              <c:layout/>
              <c:tx>
                <c:strRef>
                  <c:f>Dashboard_Daten!$AS$138</c:f>
                  <c:strCache>
                    <c:ptCount val="1"/>
                    <c:pt idx="0">
                      <c:v>0</c:v>
                    </c:pt>
                  </c:strCache>
                </c:strRef>
              </c:tx>
              <c:dLblPos val="ctr"/>
              <c:showVal val="1"/>
            </c:dLbl>
            <c:dLbl>
              <c:idx val="3"/>
              <c:layout/>
              <c:tx>
                <c:strRef>
                  <c:f>Dashboard_Daten!$AT$138</c:f>
                  <c:strCache>
                    <c:ptCount val="1"/>
                    <c:pt idx="0">
                      <c:v>0</c:v>
                    </c:pt>
                  </c:strCache>
                </c:strRef>
              </c:tx>
              <c:dLblPos val="ctr"/>
              <c:showVal val="1"/>
            </c:dLbl>
            <c:dLbl>
              <c:idx val="4"/>
              <c:layout/>
              <c:tx>
                <c:strRef>
                  <c:f>Dashboard_Daten!$AU$138</c:f>
                  <c:strCache>
                    <c:ptCount val="1"/>
                    <c:pt idx="0">
                      <c:v>0</c:v>
                    </c:pt>
                  </c:strCache>
                </c:strRef>
              </c:tx>
              <c:dLblPos val="ctr"/>
              <c:showVal val="1"/>
            </c:dLbl>
            <c:dLbl>
              <c:idx val="5"/>
              <c:layout/>
              <c:tx>
                <c:strRef>
                  <c:f>Dashboard_Daten!$AV$138</c:f>
                  <c:strCache>
                    <c:ptCount val="1"/>
                    <c:pt idx="0">
                      <c:v>0</c:v>
                    </c:pt>
                  </c:strCache>
                </c:strRef>
              </c:tx>
              <c:dLblPos val="ctr"/>
              <c:showVal val="1"/>
            </c:dLbl>
            <c:dLbl>
              <c:idx val="6"/>
              <c:layout/>
              <c:tx>
                <c:strRef>
                  <c:f>Dashboard_Daten!$AW$138</c:f>
                  <c:strCache>
                    <c:ptCount val="1"/>
                    <c:pt idx="0">
                      <c:v>0</c:v>
                    </c:pt>
                  </c:strCache>
                </c:strRef>
              </c:tx>
              <c:dLblPos val="ctr"/>
              <c:showVal val="1"/>
            </c:dLbl>
            <c:dLbl>
              <c:idx val="7"/>
              <c:layout/>
              <c:tx>
                <c:strRef>
                  <c:f>Dashboard_Daten!$AX$138</c:f>
                  <c:strCache>
                    <c:ptCount val="1"/>
                    <c:pt idx="0">
                      <c:v>0</c:v>
                    </c:pt>
                  </c:strCache>
                </c:strRef>
              </c:tx>
              <c:dLblPos val="ctr"/>
              <c:showVal val="1"/>
            </c:dLbl>
            <c:dLbl>
              <c:idx val="8"/>
              <c:layout/>
              <c:tx>
                <c:strRef>
                  <c:f>Dashboard_Daten!$AY$138</c:f>
                  <c:strCache>
                    <c:ptCount val="1"/>
                    <c:pt idx="0">
                      <c:v>0</c:v>
                    </c:pt>
                  </c:strCache>
                </c:strRef>
              </c:tx>
              <c:dLblPos val="ctr"/>
              <c:showVal val="1"/>
            </c:dLbl>
            <c:dLbl>
              <c:idx val="9"/>
              <c:layout/>
              <c:tx>
                <c:strRef>
                  <c:f>Dashboard_Daten!$AZ$138</c:f>
                  <c:strCache>
                    <c:ptCount val="1"/>
                    <c:pt idx="0">
                      <c:v>0</c:v>
                    </c:pt>
                  </c:strCache>
                </c:strRef>
              </c:tx>
              <c:dLblPos val="ctr"/>
              <c:showVal val="1"/>
            </c:dLbl>
            <c:txPr>
              <a:bodyPr wrap="none" lIns="18000" tIns="0" rIns="18000" bIns="0" anchor="ctr" anchorCtr="1">
                <a:spAutoFit/>
              </a:bodyPr>
              <a:lstStyle/>
              <a:p>
                <a:pPr>
                  <a:defRPr sz="600" b="1" baseline="0">
                    <a:solidFill>
                      <a:srgbClr val="1E7F4F"/>
                    </a:solidFill>
                    <a:latin typeface="Liberation Sans"/>
                  </a:defRPr>
                </a:pPr>
                <a:endParaRPr lang="en-US"/>
              </a:p>
            </c:txPr>
            <c:dLblPos val="ctr"/>
            <c:showVal val="1"/>
          </c:dLbls>
          <c:cat>
            <c:numRef>
              <c:f>Dashboard_Daten!$AQ$94:$AZ$94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Dashboard_Daten!$AQ$136:$AZ$136</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Delta null</c:v>
          </c:tx>
          <c:spPr>
            <a:ln>
              <a:noFill/>
            </a:ln>
          </c:spPr>
          <c:marker>
            <c:symbol val="none"/>
          </c:marker>
          <c:dLbls>
            <c:dLbl>
              <c:idx val="0"/>
              <c:layout/>
              <c:tx>
                <c:strRef>
                  <c:f>Dashboard_Daten!$AQ$138</c:f>
                  <c:strCache>
                    <c:ptCount val="1"/>
                    <c:pt idx="0">
                      <c:v>0</c:v>
                    </c:pt>
                  </c:strCache>
                </c:strRef>
              </c:tx>
              <c:dLblPos val="ctr"/>
              <c:showVal val="1"/>
            </c:dLbl>
            <c:dLbl>
              <c:idx val="1"/>
              <c:layout/>
              <c:tx>
                <c:strRef>
                  <c:f>Dashboard_Daten!$AR$138</c:f>
                  <c:strCache>
                    <c:ptCount val="1"/>
                    <c:pt idx="0">
                      <c:v>0</c:v>
                    </c:pt>
                  </c:strCache>
                </c:strRef>
              </c:tx>
              <c:dLblPos val="ctr"/>
              <c:showVal val="1"/>
            </c:dLbl>
            <c:dLbl>
              <c:idx val="2"/>
              <c:layout/>
              <c:tx>
                <c:strRef>
                  <c:f>Dashboard_Daten!$AS$138</c:f>
                  <c:strCache>
                    <c:ptCount val="1"/>
                    <c:pt idx="0">
                      <c:v>0</c:v>
                    </c:pt>
                  </c:strCache>
                </c:strRef>
              </c:tx>
              <c:dLblPos val="ctr"/>
              <c:showVal val="1"/>
            </c:dLbl>
            <c:dLbl>
              <c:idx val="3"/>
              <c:layout/>
              <c:tx>
                <c:strRef>
                  <c:f>Dashboard_Daten!$AT$138</c:f>
                  <c:strCache>
                    <c:ptCount val="1"/>
                    <c:pt idx="0">
                      <c:v>0</c:v>
                    </c:pt>
                  </c:strCache>
                </c:strRef>
              </c:tx>
              <c:dLblPos val="ctr"/>
              <c:showVal val="1"/>
            </c:dLbl>
            <c:dLbl>
              <c:idx val="4"/>
              <c:layout/>
              <c:tx>
                <c:strRef>
                  <c:f>Dashboard_Daten!$AU$138</c:f>
                  <c:strCache>
                    <c:ptCount val="1"/>
                    <c:pt idx="0">
                      <c:v>0</c:v>
                    </c:pt>
                  </c:strCache>
                </c:strRef>
              </c:tx>
              <c:dLblPos val="ctr"/>
              <c:showVal val="1"/>
            </c:dLbl>
            <c:dLbl>
              <c:idx val="5"/>
              <c:layout/>
              <c:tx>
                <c:strRef>
                  <c:f>Dashboard_Daten!$AV$138</c:f>
                  <c:strCache>
                    <c:ptCount val="1"/>
                    <c:pt idx="0">
                      <c:v>0</c:v>
                    </c:pt>
                  </c:strCache>
                </c:strRef>
              </c:tx>
              <c:dLblPos val="ctr"/>
              <c:showVal val="1"/>
            </c:dLbl>
            <c:dLbl>
              <c:idx val="6"/>
              <c:layout/>
              <c:tx>
                <c:strRef>
                  <c:f>Dashboard_Daten!$AW$138</c:f>
                  <c:strCache>
                    <c:ptCount val="1"/>
                    <c:pt idx="0">
                      <c:v>0</c:v>
                    </c:pt>
                  </c:strCache>
                </c:strRef>
              </c:tx>
              <c:dLblPos val="ctr"/>
              <c:showVal val="1"/>
            </c:dLbl>
            <c:dLbl>
              <c:idx val="7"/>
              <c:layout/>
              <c:tx>
                <c:strRef>
                  <c:f>Dashboard_Daten!$AX$138</c:f>
                  <c:strCache>
                    <c:ptCount val="1"/>
                    <c:pt idx="0">
                      <c:v>0</c:v>
                    </c:pt>
                  </c:strCache>
                </c:strRef>
              </c:tx>
              <c:dLblPos val="ctr"/>
              <c:showVal val="1"/>
            </c:dLbl>
            <c:dLbl>
              <c:idx val="8"/>
              <c:layout/>
              <c:tx>
                <c:strRef>
                  <c:f>Dashboard_Daten!$AY$138</c:f>
                  <c:strCache>
                    <c:ptCount val="1"/>
                    <c:pt idx="0">
                      <c:v>0</c:v>
                    </c:pt>
                  </c:strCache>
                </c:strRef>
              </c:tx>
              <c:dLblPos val="ctr"/>
              <c:showVal val="1"/>
            </c:dLbl>
            <c:dLbl>
              <c:idx val="9"/>
              <c:layout/>
              <c:tx>
                <c:strRef>
                  <c:f>Dashboard_Daten!$AZ$138</c:f>
                  <c:strCache>
                    <c:ptCount val="1"/>
                    <c:pt idx="0">
                      <c:v>0</c:v>
                    </c:pt>
                  </c:strCache>
                </c:strRef>
              </c:tx>
              <c:dLblPos val="ctr"/>
              <c:showVal val="1"/>
            </c:dLbl>
            <c:txPr>
              <a:bodyPr wrap="none" lIns="18000" tIns="0" rIns="18000" bIns="0" anchor="ctr" anchorCtr="1">
                <a:spAutoFit/>
              </a:bodyPr>
              <a:lstStyle/>
              <a:p>
                <a:pPr>
                  <a:defRPr sz="600" b="1" baseline="0">
                    <a:solidFill>
                      <a:srgbClr val="6B6B6B"/>
                    </a:solidFill>
                    <a:latin typeface="Liberation Sans"/>
                  </a:defRPr>
                </a:pPr>
                <a:endParaRPr lang="en-US"/>
              </a:p>
            </c:txPr>
            <c:dLblPos val="ctr"/>
            <c:showVal val="1"/>
          </c:dLbls>
          <c:cat>
            <c:numRef>
              <c:f>Dashboard_Daten!$AQ$94:$AZ$94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Dashboard_Daten!$AQ$137:$AZ$137</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60001"/>
        <c:axId val="50060002"/>
      </c:lineChart>
      <c:catAx>
        <c:axId val="50060001"/>
        <c:scaling>
          <c:orientation val="minMax"/>
        </c:scaling>
        <c:axPos val="b"/>
        <c:numFmt formatCode="General" sourceLinked="1"/>
        <c:majorTickMark val="none"/>
        <c:minorTickMark val="none"/>
        <c:tickLblPos val="none"/>
        <c:spPr>
          <a:ln>
            <a:noFill/>
          </a:ln>
        </c:spPr>
        <c:crossAx val="50060002"/>
        <c:crosses val="autoZero"/>
        <c:auto val="1"/>
        <c:lblAlgn val="ctr"/>
        <c:lblOffset val="100"/>
      </c:catAx>
      <c:valAx>
        <c:axId val="50060002"/>
        <c:scaling>
          <c:orientation val="minMax"/>
          <c:max val="1"/>
          <c:min val="0"/>
        </c:scaling>
        <c:delete val="1"/>
        <c:axPos val="l"/>
        <c:numFmt formatCode="General" sourceLinked="1"/>
        <c:tickLblPos val="nextTo"/>
        <c:crossAx val="5006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lineChart>
        <c:grouping val="standard"/>
        <c:ser>
          <c:idx val="0"/>
          <c:order val="0"/>
          <c:tx>
            <c:v>Eingang in HS</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s>
          <c:cat>
            <c:numRef>
              <c:f>Dashboard_Daten!$CH$170:$CQ$170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Dashboard_Daten!$CH$171:$CQ$171</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70001"/>
        <c:axId val="50070002"/>
      </c:lineChart>
      <c:catAx>
        <c:axId val="5007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070002"/>
        <c:crosses val="autoZero"/>
        <c:auto val="1"/>
        <c:lblAlgn val="ctr"/>
        <c:lblOffset val="100"/>
        <c:tickLblSkip val="1"/>
      </c:catAx>
      <c:valAx>
        <c:axId val="50070002"/>
        <c:scaling>
          <c:orientation val="minMax"/>
          <c:min val="0"/>
        </c:scaling>
        <c:delete val="1"/>
        <c:axPos val="l"/>
        <c:numFmt formatCode="General" sourceLinked="1"/>
        <c:tickLblPos val="nextTo"/>
        <c:crossAx val="5007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5842857142857143"/>
        </c:manualLayout>
      </c:layout>
      <c:barChart>
        <c:barDir val="col"/>
        <c:grouping val="clustered"/>
        <c:ser>
          <c:idx val="0"/>
          <c:order val="0"/>
          <c:tx>
            <c:v>Verpflichtungen je Monat</c:v>
          </c:tx>
          <c:spPr>
            <a:solidFill>
              <a:srgbClr val="808080"/>
            </a:solidFill>
            <a:ln>
              <a:noFill/>
            </a:ln>
          </c:spPr>
          <c:dLbls>
            <c:numFmt formatCode="#,##0;-#,##0;;" sourceLinked="0"/>
            <c:txPr>
              <a:bodyPr wrap="none" lIns="18000" tIns="0" rIns="18000" bIns="0" anchor="ctr" anchorCtr="1">
                <a:spAutoFit/>
              </a:bodyPr>
              <a:lstStyle/>
              <a:p>
                <a:pPr>
                  <a:defRPr sz="600" b="1" baseline="0">
                    <a:solidFill>
                      <a:srgbClr val="FFFFFF"/>
                    </a:solidFill>
                    <a:latin typeface="Liberation Sans"/>
                  </a:defRPr>
                </a:pPr>
                <a:endParaRPr lang="en-US"/>
              </a:p>
            </c:txPr>
            <c:dLblPos val="inBase"/>
            <c:showVal val="1"/>
          </c:dLbls>
          <c:cat>
            <c:numRef>
              <c:f>Dashboard_Daten!$AJ$5:$AO$5</c:f>
              <c:numCache>
                <c:formatCode>General</c:formatCode>
                <c:ptCount val="6"/>
                <c:pt idx="0">
                  <c:v>0</c:v>
                </c:pt>
                <c:pt idx="1">
                  <c:v>0</c:v>
                </c:pt>
                <c:pt idx="2">
                  <c:v>0</c:v>
                </c:pt>
                <c:pt idx="3">
                  <c:v>0</c:v>
                </c:pt>
                <c:pt idx="4">
                  <c:v>0</c:v>
                </c:pt>
                <c:pt idx="5">
                  <c:v>0</c:v>
                </c:pt>
              </c:numCache>
            </c:numRef>
          </c:cat>
          <c:val>
            <c:numRef>
              <c:f>Dashboard_Daten!$AJ$155:$AO$155</c:f>
              <c:numCache>
                <c:formatCode>General</c:formatCode>
                <c:ptCount val="6"/>
                <c:pt idx="0">
                  <c:v>0</c:v>
                </c:pt>
                <c:pt idx="1">
                  <c:v>0</c:v>
                </c:pt>
                <c:pt idx="2">
                  <c:v>0</c:v>
                </c:pt>
                <c:pt idx="3">
                  <c:v>0</c:v>
                </c:pt>
                <c:pt idx="4">
                  <c:v>0</c:v>
                </c:pt>
                <c:pt idx="5">
                  <c:v>0</c:v>
                </c:pt>
              </c:numCache>
            </c:numRef>
          </c:val>
        </c:ser>
        <c:ser>
          <c:idx val="1"/>
          <c:order val="1"/>
          <c:tx>
            <c:v>Erledigungsquote</c:v>
          </c:tx>
          <c:spPr>
            <a:noFill/>
            <a:ln>
              <a:noFill/>
            </a:ln>
          </c:spPr>
          <c:dLbls>
            <c:dLbl>
              <c:idx val="0"/>
              <c:layout/>
              <c:tx>
                <c:strRef>
                  <c:f>Dashboard_Daten!$AJ$160</c:f>
                  <c:strCache>
                    <c:ptCount val="1"/>
                    <c:pt idx="0">
                      <c:v>0</c:v>
                    </c:pt>
                  </c:strCache>
                </c:strRef>
              </c:tx>
              <c:showVal val="1"/>
            </c:dLbl>
            <c:dLbl>
              <c:idx val="1"/>
              <c:layout/>
              <c:tx>
                <c:strRef>
                  <c:f>Dashboard_Daten!$AK$160</c:f>
                  <c:strCache>
                    <c:ptCount val="1"/>
                    <c:pt idx="0">
                      <c:v>0</c:v>
                    </c:pt>
                  </c:strCache>
                </c:strRef>
              </c:tx>
              <c:showVal val="1"/>
            </c:dLbl>
            <c:dLbl>
              <c:idx val="2"/>
              <c:layout/>
              <c:tx>
                <c:strRef>
                  <c:f>Dashboard_Daten!$AL$160</c:f>
                  <c:strCache>
                    <c:ptCount val="1"/>
                    <c:pt idx="0">
                      <c:v>0</c:v>
                    </c:pt>
                  </c:strCache>
                </c:strRef>
              </c:tx>
              <c:showVal val="1"/>
            </c:dLbl>
            <c:dLbl>
              <c:idx val="3"/>
              <c:layout/>
              <c:tx>
                <c:strRef>
                  <c:f>Dashboard_Daten!$AM$160</c:f>
                  <c:strCache>
                    <c:ptCount val="1"/>
                    <c:pt idx="0">
                      <c:v>0</c:v>
                    </c:pt>
                  </c:strCache>
                </c:strRef>
              </c:tx>
              <c:showVal val="1"/>
            </c:dLbl>
            <c:dLbl>
              <c:idx val="4"/>
              <c:layout/>
              <c:tx>
                <c:strRef>
                  <c:f>Dashboard_Daten!$AN$160</c:f>
                  <c:strCache>
                    <c:ptCount val="1"/>
                    <c:pt idx="0">
                      <c:v>0</c:v>
                    </c:pt>
                  </c:strCache>
                </c:strRef>
              </c:tx>
              <c:showVal val="1"/>
            </c:dLbl>
            <c:dLbl>
              <c:idx val="5"/>
              <c:layout/>
              <c:tx>
                <c:strRef>
                  <c:f>Dashboard_Daten!$AO$160</c:f>
                  <c:strCache>
                    <c:ptCount val="1"/>
                    <c:pt idx="0">
                      <c:v>0</c:v>
                    </c:pt>
                  </c:strCache>
                </c:strRef>
              </c:tx>
              <c:showVal val="1"/>
            </c:dLbl>
            <c:txPr>
              <a:bodyPr wrap="none" lIns="18000" tIns="0" rIns="18000" bIns="0" anchor="ctr" anchorCtr="1">
                <a:spAutoFit/>
              </a:bodyPr>
              <a:lstStyle/>
              <a:p>
                <a:pPr>
                  <a:defRPr sz="650" b="1" baseline="0">
                    <a:solidFill>
                      <a:srgbClr val="1A1A1A"/>
                    </a:solidFill>
                    <a:latin typeface="Liberation Sans"/>
                  </a:defRPr>
                </a:pPr>
                <a:endParaRPr lang="en-US"/>
              </a:p>
            </c:txPr>
            <c:showVal val="1"/>
          </c:dLbls>
          <c:cat>
            <c:numRef>
              <c:f>Dashboard_Daten!$AJ$5:$AO$5</c:f>
              <c:numCache>
                <c:formatCode>General</c:formatCode>
                <c:ptCount val="6"/>
                <c:pt idx="0">
                  <c:v>0</c:v>
                </c:pt>
                <c:pt idx="1">
                  <c:v>0</c:v>
                </c:pt>
                <c:pt idx="2">
                  <c:v>0</c:v>
                </c:pt>
                <c:pt idx="3">
                  <c:v>0</c:v>
                </c:pt>
                <c:pt idx="4">
                  <c:v>0</c:v>
                </c:pt>
                <c:pt idx="5">
                  <c:v>0</c:v>
                </c:pt>
              </c:numCache>
            </c:numRef>
          </c:cat>
          <c:val>
            <c:numRef>
              <c:f>Dashboard_Daten!$AJ$155:$AO$155</c:f>
              <c:numCache>
                <c:formatCode>General</c:formatCode>
                <c:ptCount val="6"/>
                <c:pt idx="0">
                  <c:v>0</c:v>
                </c:pt>
                <c:pt idx="1">
                  <c:v>0</c:v>
                </c:pt>
                <c:pt idx="2">
                  <c:v>0</c:v>
                </c:pt>
                <c:pt idx="3">
                  <c:v>0</c:v>
                </c:pt>
                <c:pt idx="4">
                  <c:v>0</c:v>
                </c:pt>
                <c:pt idx="5">
                  <c:v>0</c:v>
                </c:pt>
              </c:numCache>
            </c:numRef>
          </c:val>
        </c:ser>
        <c:gapWidth val="70"/>
        <c:overlap val="100"/>
        <c:axId val="50080001"/>
        <c:axId val="50080002"/>
      </c:barChart>
      <c:catAx>
        <c:axId val="5008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080002"/>
        <c:crosses val="autoZero"/>
        <c:auto val="1"/>
        <c:lblAlgn val="ctr"/>
        <c:lblOffset val="100"/>
      </c:catAx>
      <c:valAx>
        <c:axId val="50080002"/>
        <c:scaling>
          <c:orientation val="minMax"/>
          <c:min val="0"/>
        </c:scaling>
        <c:delete val="1"/>
        <c:axPos val="l"/>
        <c:numFmt formatCode="General" sourceLinked="1"/>
        <c:tickLblPos val="nextTo"/>
        <c:crossAx val="5008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6"/>
          <c:w val="0.95999999999999996"/>
          <c:h val="0.80000000000000004"/>
        </c:manualLayout>
      </c:layout>
      <c:lineChart>
        <c:grouping val="standard"/>
        <c:ser>
          <c:idx val="0"/>
          <c:order val="0"/>
          <c:tx>
            <c:v>Offene Vorgänge</c:v>
          </c:tx>
          <c:spPr>
            <a:ln w="28575">
              <a:solidFill>
                <a:srgbClr val="B31767"/>
              </a:solidFill>
            </a:ln>
          </c:spPr>
          <c:marker>
            <c:symbol val="circle"/>
            <c:size val="5"/>
            <c:spPr>
              <a:solidFill>
                <a:srgbClr val="FFFFFF"/>
              </a:solidFill>
              <a:ln w="15875">
                <a:solidFill>
                  <a:srgbClr val="B31767"/>
                </a:solidFill>
              </a:ln>
            </c:spPr>
          </c:marker>
          <c:dLbls>
            <c:dLbl>
              <c:idx val="0"/>
              <c:layout/>
              <c:tx>
                <c:strRef>
                  <c:f>Dashboard_Daten!$CH$181</c:f>
                  <c:strCache>
                    <c:ptCount val="1"/>
                    <c:pt idx="0">
                      <c:v>0</c:v>
                    </c:pt>
                  </c:strCache>
                </c:strRef>
              </c:tx>
              <c:spPr>
                <a:noFill/>
                <a:ln>
                  <a:noFill/>
                </a:ln>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1"/>
              <c:layout/>
              <c:tx>
                <c:strRef>
                  <c:f>Dashboard_Daten!$CI$181</c:f>
                  <c:strCache>
                    <c:ptCount val="1"/>
                    <c:pt idx="0">
                      <c:v>0</c:v>
                    </c:pt>
                  </c:strCache>
                </c:strRef>
              </c:tx>
              <c:spPr>
                <a:noFill/>
                <a:ln>
                  <a:noFill/>
                </a:ln>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2"/>
              <c:layout/>
              <c:tx>
                <c:strRef>
                  <c:f>Dashboard_Daten!$CJ$181</c:f>
                  <c:strCache>
                    <c:ptCount val="1"/>
                    <c:pt idx="0">
                      <c:v>0</c:v>
                    </c:pt>
                  </c:strCache>
                </c:strRef>
              </c:tx>
              <c:spPr>
                <a:noFill/>
                <a:ln>
                  <a:noFill/>
                </a:ln>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3"/>
              <c:layout/>
              <c:tx>
                <c:strRef>
                  <c:f>Dashboard_Daten!$CK$181</c:f>
                  <c:strCache>
                    <c:ptCount val="1"/>
                    <c:pt idx="0">
                      <c:v>0</c:v>
                    </c:pt>
                  </c:strCache>
                </c:strRef>
              </c:tx>
              <c:spPr>
                <a:noFill/>
                <a:ln>
                  <a:noFill/>
                </a:ln>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4"/>
              <c:layout/>
              <c:tx>
                <c:strRef>
                  <c:f>Dashboard_Daten!$CL$181</c:f>
                  <c:strCache>
                    <c:ptCount val="1"/>
                    <c:pt idx="0">
                      <c:v>0</c:v>
                    </c:pt>
                  </c:strCache>
                </c:strRef>
              </c:tx>
              <c:spPr>
                <a:noFill/>
                <a:ln>
                  <a:noFill/>
                </a:ln>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5"/>
              <c:layout/>
              <c:tx>
                <c:strRef>
                  <c:f>Dashboard_Daten!$CM$181</c:f>
                  <c:strCache>
                    <c:ptCount val="1"/>
                    <c:pt idx="0">
                      <c:v>0</c:v>
                    </c:pt>
                  </c:strCache>
                </c:strRef>
              </c:tx>
              <c:spPr>
                <a:noFill/>
                <a:ln>
                  <a:noFill/>
                </a:ln>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6"/>
              <c:layout/>
              <c:tx>
                <c:strRef>
                  <c:f>Dashboard_Daten!$CN$181</c:f>
                  <c:strCache>
                    <c:ptCount val="1"/>
                    <c:pt idx="0">
                      <c:v>0</c:v>
                    </c:pt>
                  </c:strCache>
                </c:strRef>
              </c:tx>
              <c:spPr>
                <a:noFill/>
                <a:ln>
                  <a:noFill/>
                </a:ln>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7"/>
              <c:layout/>
              <c:tx>
                <c:strRef>
                  <c:f>Dashboard_Daten!$CO$181</c:f>
                  <c:strCache>
                    <c:ptCount val="1"/>
                    <c:pt idx="0">
                      <c:v>0</c:v>
                    </c:pt>
                  </c:strCache>
                </c:strRef>
              </c:tx>
              <c:spPr>
                <a:noFill/>
                <a:ln>
                  <a:noFill/>
                </a:ln>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8"/>
              <c:layout/>
              <c:tx>
                <c:strRef>
                  <c:f>Dashboard_Daten!$CP$181</c:f>
                  <c:strCache>
                    <c:ptCount val="1"/>
                    <c:pt idx="0">
                      <c:v>0</c:v>
                    </c:pt>
                  </c:strCache>
                </c:strRef>
              </c:tx>
              <c:spPr>
                <a:noFill/>
                <a:ln>
                  <a:noFill/>
                </a:ln>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9"/>
              <c:layout/>
              <c:tx>
                <c:strRef>
                  <c:f>Dashboard_Daten!$CQ$181</c:f>
                  <c:strCache>
                    <c:ptCount val="1"/>
                    <c:pt idx="0">
                      <c:v>0</c:v>
                    </c:pt>
                  </c:strCache>
                </c:strRef>
              </c:tx>
              <c:spPr>
                <a:noFill/>
                <a:ln>
                  <a:noFill/>
                </a:ln>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spPr>
              <a:noFill/>
              <a:ln>
                <a:noFill/>
              </a:ln>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s>
          <c:cat>
            <c:numRef>
              <c:f>Dashboard_Daten!$CH$179:$CQ$179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Dashboard_Daten!$CH$180:$CQ$180</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SLA</c:v>
          </c:tx>
          <c:spPr>
            <a:ln w="12700">
              <a:solidFill>
                <a:srgbClr val="B31767"/>
              </a:solidFill>
              <a:prstDash val="dash"/>
            </a:ln>
          </c:spPr>
          <c:marker>
            <c:symbol val="none"/>
          </c:marker>
          <c:cat>
            <c:numRef>
              <c:f>Dashboard_Daten!$CH$179:$CQ$179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Dashboard_Daten!$CH$182:$CQ$182</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90001"/>
        <c:axId val="50090002"/>
      </c:lineChart>
      <c:catAx>
        <c:axId val="50090001"/>
        <c:scaling>
          <c:orientation val="minMax"/>
        </c:scaling>
        <c:axPos val="b"/>
        <c:numFmt formatCode="General" sourceLinked="1"/>
        <c:majorTickMark val="none"/>
        <c:minorTickMark val="none"/>
        <c:tickLblPos val="none"/>
        <c:spPr>
          <a:ln w="9525">
            <a:solidFill>
              <a:srgbClr val="BFBFBF"/>
            </a:solidFill>
          </a:ln>
        </c:spPr>
        <c:crossAx val="50090002"/>
        <c:crosses val="autoZero"/>
        <c:auto val="1"/>
        <c:lblAlgn val="ctr"/>
        <c:lblOffset val="100"/>
      </c:catAx>
      <c:valAx>
        <c:axId val="50090002"/>
        <c:scaling>
          <c:orientation val="minMax"/>
          <c:max val="1.20991"/>
          <c:min val="0.0"/>
        </c:scaling>
        <c:delete val="1"/>
        <c:axPos val="l"/>
        <c:numFmt formatCode="General" sourceLinked="1"/>
        <c:tickLblPos val="nextTo"/>
        <c:crossAx val="5009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
          <c:w val="0.95999999999999996"/>
          <c:h val="0.62680237489397783"/>
        </c:manualLayout>
      </c:layout>
      <c:barChart>
        <c:barDir val="col"/>
        <c:grouping val="clustered"/>
        <c:ser>
          <c:idx val="0"/>
          <c:order val="0"/>
          <c:tx>
            <c:v>Zunahmen</c:v>
          </c:tx>
          <c:spPr>
            <a:solidFill>
              <a:srgbClr val="BF1528"/>
            </a:solidFill>
            <a:ln>
              <a:noFill/>
            </a:ln>
          </c:spPr>
          <c:cat>
            <c:numRef>
              <c:f>Dashboard_Daten!$CH$179:$CQ$179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Dashboard_Daten!$CH$195:$CQ$195</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Abnahmen</c:v>
          </c:tx>
          <c:spPr>
            <a:solidFill>
              <a:srgbClr val="009284"/>
            </a:solidFill>
            <a:ln>
              <a:noFill/>
            </a:ln>
          </c:spPr>
          <c:cat>
            <c:numRef>
              <c:f>Dashboard_Daten!$CH$179:$CQ$179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Dashboard_Daten!$CH$196:$CQ$196</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73"/>
        <c:overlap val="-5"/>
        <c:axId val="50100001"/>
        <c:axId val="50100002"/>
      </c:barChart>
      <c:barChart>
        <c:barDir val="col"/>
        <c:grouping val="clustered"/>
        <c:ser>
          <c:idx val="2"/>
          <c:order val="2"/>
          <c:tx>
            <c:v>Wert Zunahmen</c:v>
          </c:tx>
          <c:spPr>
            <a:noFill/>
            <a:ln>
              <a:noFill/>
            </a:ln>
          </c:spPr>
          <c:dLbls>
            <c:dLbl>
              <c:idx val="0"/>
              <c:layout/>
              <c:tx>
                <c:strRef>
                  <c:f>Dashboard_Daten!$CH$198</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1"/>
              <c:layout/>
              <c:tx>
                <c:strRef>
                  <c:f>Dashboard_Daten!$CI$198</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2"/>
              <c:layout/>
              <c:tx>
                <c:strRef>
                  <c:f>Dashboard_Daten!$CJ$198</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3"/>
              <c:layout/>
              <c:tx>
                <c:strRef>
                  <c:f>Dashboard_Daten!$CK$198</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4"/>
              <c:layout/>
              <c:tx>
                <c:strRef>
                  <c:f>Dashboard_Daten!$CL$198</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5"/>
              <c:layout/>
              <c:tx>
                <c:strRef>
                  <c:f>Dashboard_Daten!$CM$198</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6"/>
              <c:layout/>
              <c:tx>
                <c:strRef>
                  <c:f>Dashboard_Daten!$CN$198</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7"/>
              <c:layout/>
              <c:tx>
                <c:strRef>
                  <c:f>Dashboard_Daten!$CO$198</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8"/>
              <c:layout/>
              <c:tx>
                <c:strRef>
                  <c:f>Dashboard_Daten!$CP$198</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9"/>
              <c:layout/>
              <c:tx>
                <c:strRef>
                  <c:f>Dashboard_Daten!$CQ$198</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s>
          <c:cat>
            <c:numRef>
              <c:f>Dashboard_Daten!$CH$179:$CQ$179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Dashboard_Daten!$CH$197:$CQ$197</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3"/>
          <c:order val="3"/>
          <c:tx>
            <c:v>Wert Abnahmen</c:v>
          </c:tx>
          <c:spPr>
            <a:noFill/>
            <a:ln>
              <a:noFill/>
            </a:ln>
          </c:spPr>
          <c:dLbls>
            <c:dLbl>
              <c:idx val="0"/>
              <c:layout/>
              <c:tx>
                <c:strRef>
                  <c:f>Dashboard_Daten!$CH$200</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1"/>
              <c:layout/>
              <c:tx>
                <c:strRef>
                  <c:f>Dashboard_Daten!$CI$200</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2"/>
              <c:layout/>
              <c:tx>
                <c:strRef>
                  <c:f>Dashboard_Daten!$CJ$200</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3"/>
              <c:layout/>
              <c:tx>
                <c:strRef>
                  <c:f>Dashboard_Daten!$CK$200</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4"/>
              <c:layout/>
              <c:tx>
                <c:strRef>
                  <c:f>Dashboard_Daten!$CL$200</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5"/>
              <c:layout/>
              <c:tx>
                <c:strRef>
                  <c:f>Dashboard_Daten!$CM$200</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6"/>
              <c:layout/>
              <c:tx>
                <c:strRef>
                  <c:f>Dashboard_Daten!$CN$200</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7"/>
              <c:layout/>
              <c:tx>
                <c:strRef>
                  <c:f>Dashboard_Daten!$CO$200</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8"/>
              <c:layout/>
              <c:tx>
                <c:strRef>
                  <c:f>Dashboard_Daten!$CP$200</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9"/>
              <c:layout/>
              <c:tx>
                <c:strRef>
                  <c:f>Dashboard_Daten!$CQ$200</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s>
          <c:cat>
            <c:numRef>
              <c:f>Dashboard_Daten!$CH$179:$CQ$179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Dashboard_Daten!$CH$199:$CQ$199</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73"/>
        <c:overlap val="-5"/>
        <c:axId val="60100001"/>
        <c:axId val="60100002"/>
      </c:barChart>
      <c:catAx>
        <c:axId val="5010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00002"/>
        <c:crosses val="autoZero"/>
        <c:auto val="1"/>
        <c:lblAlgn val="ctr"/>
        <c:lblOffset val="100"/>
        <c:tickLblSkip val="1"/>
      </c:catAx>
      <c:valAx>
        <c:axId val="50100002"/>
        <c:scaling>
          <c:orientation val="minMax"/>
          <c:max val="1.610021786492375"/>
          <c:min val="0"/>
        </c:scaling>
        <c:delete val="1"/>
        <c:axPos val="l"/>
        <c:numFmt formatCode="General" sourceLinked="1"/>
        <c:tickLblPos val="nextTo"/>
        <c:crossAx val="50100001"/>
        <c:crosses val="autoZero"/>
        <c:crossBetween val="between"/>
      </c:valAx>
      <c:valAx>
        <c:axId val="60100002"/>
        <c:scaling>
          <c:orientation val="minMax"/>
          <c:max val="1.610021786492375"/>
          <c:min val="0"/>
        </c:scaling>
        <c:delete val="1"/>
        <c:axPos val="r"/>
        <c:numFmt formatCode="General" sourceLinked="1"/>
        <c:tickLblPos val="nextTo"/>
        <c:crossAx val="60100001"/>
        <c:crosses val="max"/>
        <c:crossBetween val="between"/>
      </c:valAx>
      <c:catAx>
        <c:axId val="60100001"/>
        <c:scaling>
          <c:orientation val="minMax"/>
        </c:scaling>
        <c:delete val="1"/>
        <c:axPos val="b"/>
        <c:numFmt formatCode="General" sourceLinked="1"/>
        <c:tickLblPos val="none"/>
        <c:crossAx val="60100002"/>
        <c:crosses val="autoZero"/>
        <c:auto val="1"/>
        <c:lblAlgn val="ctr"/>
        <c:lblOffset val="100"/>
      </c:cat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
          <c:w val="0.95999999999999996"/>
          <c:h val="1"/>
        </c:manualLayout>
      </c:layout>
      <c:lineChart>
        <c:grouping val="standard"/>
        <c:ser>
          <c:idx val="0"/>
          <c:order val="0"/>
          <c:tx>
            <c:v>Delta auf</c:v>
          </c:tx>
          <c:spPr>
            <a:ln>
              <a:noFill/>
            </a:ln>
          </c:spPr>
          <c:marker>
            <c:symbol val="none"/>
          </c:marker>
          <c:dLbls>
            <c:dLbl>
              <c:idx val="0"/>
              <c:layout/>
              <c:tx>
                <c:strRef>
                  <c:f>Dashboard_Daten!$CH$204</c:f>
                  <c:strCache>
                    <c:ptCount val="1"/>
                    <c:pt idx="0">
                      <c:v>0</c:v>
                    </c:pt>
                  </c:strCache>
                </c:strRef>
              </c:tx>
              <c:dLblPos val="ctr"/>
              <c:showVal val="1"/>
            </c:dLbl>
            <c:dLbl>
              <c:idx val="1"/>
              <c:layout/>
              <c:tx>
                <c:strRef>
                  <c:f>Dashboard_Daten!$CI$204</c:f>
                  <c:strCache>
                    <c:ptCount val="1"/>
                    <c:pt idx="0">
                      <c:v>0</c:v>
                    </c:pt>
                  </c:strCache>
                </c:strRef>
              </c:tx>
              <c:dLblPos val="ctr"/>
              <c:showVal val="1"/>
            </c:dLbl>
            <c:dLbl>
              <c:idx val="2"/>
              <c:layout/>
              <c:tx>
                <c:strRef>
                  <c:f>Dashboard_Daten!$CJ$204</c:f>
                  <c:strCache>
                    <c:ptCount val="1"/>
                    <c:pt idx="0">
                      <c:v>0</c:v>
                    </c:pt>
                  </c:strCache>
                </c:strRef>
              </c:tx>
              <c:dLblPos val="ctr"/>
              <c:showVal val="1"/>
            </c:dLbl>
            <c:dLbl>
              <c:idx val="3"/>
              <c:layout/>
              <c:tx>
                <c:strRef>
                  <c:f>Dashboard_Daten!$CK$204</c:f>
                  <c:strCache>
                    <c:ptCount val="1"/>
                    <c:pt idx="0">
                      <c:v>0</c:v>
                    </c:pt>
                  </c:strCache>
                </c:strRef>
              </c:tx>
              <c:dLblPos val="ctr"/>
              <c:showVal val="1"/>
            </c:dLbl>
            <c:dLbl>
              <c:idx val="4"/>
              <c:layout/>
              <c:tx>
                <c:strRef>
                  <c:f>Dashboard_Daten!$CL$204</c:f>
                  <c:strCache>
                    <c:ptCount val="1"/>
                    <c:pt idx="0">
                      <c:v>0</c:v>
                    </c:pt>
                  </c:strCache>
                </c:strRef>
              </c:tx>
              <c:dLblPos val="ctr"/>
              <c:showVal val="1"/>
            </c:dLbl>
            <c:dLbl>
              <c:idx val="5"/>
              <c:layout/>
              <c:tx>
                <c:strRef>
                  <c:f>Dashboard_Daten!$CM$204</c:f>
                  <c:strCache>
                    <c:ptCount val="1"/>
                    <c:pt idx="0">
                      <c:v>0</c:v>
                    </c:pt>
                  </c:strCache>
                </c:strRef>
              </c:tx>
              <c:dLblPos val="ctr"/>
              <c:showVal val="1"/>
            </c:dLbl>
            <c:dLbl>
              <c:idx val="6"/>
              <c:layout/>
              <c:tx>
                <c:strRef>
                  <c:f>Dashboard_Daten!$CN$204</c:f>
                  <c:strCache>
                    <c:ptCount val="1"/>
                    <c:pt idx="0">
                      <c:v>0</c:v>
                    </c:pt>
                  </c:strCache>
                </c:strRef>
              </c:tx>
              <c:dLblPos val="ctr"/>
              <c:showVal val="1"/>
            </c:dLbl>
            <c:dLbl>
              <c:idx val="7"/>
              <c:layout/>
              <c:tx>
                <c:strRef>
                  <c:f>Dashboard_Daten!$CO$204</c:f>
                  <c:strCache>
                    <c:ptCount val="1"/>
                    <c:pt idx="0">
                      <c:v>0</c:v>
                    </c:pt>
                  </c:strCache>
                </c:strRef>
              </c:tx>
              <c:dLblPos val="ctr"/>
              <c:showVal val="1"/>
            </c:dLbl>
            <c:dLbl>
              <c:idx val="8"/>
              <c:layout/>
              <c:tx>
                <c:strRef>
                  <c:f>Dashboard_Daten!$CP$204</c:f>
                  <c:strCache>
                    <c:ptCount val="1"/>
                    <c:pt idx="0">
                      <c:v>0</c:v>
                    </c:pt>
                  </c:strCache>
                </c:strRef>
              </c:tx>
              <c:dLblPos val="ctr"/>
              <c:showVal val="1"/>
            </c:dLbl>
            <c:dLbl>
              <c:idx val="9"/>
              <c:layout/>
              <c:tx>
                <c:strRef>
                  <c:f>Dashboard_Daten!$CQ$204</c:f>
                  <c:strCache>
                    <c:ptCount val="1"/>
                    <c:pt idx="0">
                      <c:v>0</c:v>
                    </c:pt>
                  </c:strCache>
                </c:strRef>
              </c:tx>
              <c:dLblPos val="ctr"/>
              <c:showVal val="1"/>
            </c:dLbl>
            <c:txPr>
              <a:bodyPr wrap="none" lIns="18000" tIns="0" rIns="18000" bIns="0" anchor="ctr" anchorCtr="1">
                <a:spAutoFit/>
              </a:bodyPr>
              <a:lstStyle/>
              <a:p>
                <a:pPr>
                  <a:defRPr sz="600" b="1" baseline="0">
                    <a:solidFill>
                      <a:srgbClr val="8A5A00"/>
                    </a:solidFill>
                    <a:latin typeface="Liberation Sans"/>
                  </a:defRPr>
                </a:pPr>
                <a:endParaRPr lang="en-US"/>
              </a:p>
            </c:txPr>
            <c:dLblPos val="ctr"/>
            <c:showVal val="1"/>
          </c:dLbls>
          <c:cat>
            <c:numRef>
              <c:f>Dashboard_Daten!$CH$179:$CQ$179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Dashboard_Daten!$CH$201:$CQ$201</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Delta ab</c:v>
          </c:tx>
          <c:spPr>
            <a:ln>
              <a:noFill/>
            </a:ln>
          </c:spPr>
          <c:marker>
            <c:symbol val="none"/>
          </c:marker>
          <c:dLbls>
            <c:dLbl>
              <c:idx val="0"/>
              <c:layout/>
              <c:tx>
                <c:strRef>
                  <c:f>Dashboard_Daten!$CH$204</c:f>
                  <c:strCache>
                    <c:ptCount val="1"/>
                    <c:pt idx="0">
                      <c:v>0</c:v>
                    </c:pt>
                  </c:strCache>
                </c:strRef>
              </c:tx>
              <c:dLblPos val="ctr"/>
              <c:showVal val="1"/>
            </c:dLbl>
            <c:dLbl>
              <c:idx val="1"/>
              <c:layout/>
              <c:tx>
                <c:strRef>
                  <c:f>Dashboard_Daten!$CI$204</c:f>
                  <c:strCache>
                    <c:ptCount val="1"/>
                    <c:pt idx="0">
                      <c:v>0</c:v>
                    </c:pt>
                  </c:strCache>
                </c:strRef>
              </c:tx>
              <c:dLblPos val="ctr"/>
              <c:showVal val="1"/>
            </c:dLbl>
            <c:dLbl>
              <c:idx val="2"/>
              <c:layout/>
              <c:tx>
                <c:strRef>
                  <c:f>Dashboard_Daten!$CJ$204</c:f>
                  <c:strCache>
                    <c:ptCount val="1"/>
                    <c:pt idx="0">
                      <c:v>0</c:v>
                    </c:pt>
                  </c:strCache>
                </c:strRef>
              </c:tx>
              <c:dLblPos val="ctr"/>
              <c:showVal val="1"/>
            </c:dLbl>
            <c:dLbl>
              <c:idx val="3"/>
              <c:layout/>
              <c:tx>
                <c:strRef>
                  <c:f>Dashboard_Daten!$CK$204</c:f>
                  <c:strCache>
                    <c:ptCount val="1"/>
                    <c:pt idx="0">
                      <c:v>0</c:v>
                    </c:pt>
                  </c:strCache>
                </c:strRef>
              </c:tx>
              <c:dLblPos val="ctr"/>
              <c:showVal val="1"/>
            </c:dLbl>
            <c:dLbl>
              <c:idx val="4"/>
              <c:layout/>
              <c:tx>
                <c:strRef>
                  <c:f>Dashboard_Daten!$CL$204</c:f>
                  <c:strCache>
                    <c:ptCount val="1"/>
                    <c:pt idx="0">
                      <c:v>0</c:v>
                    </c:pt>
                  </c:strCache>
                </c:strRef>
              </c:tx>
              <c:dLblPos val="ctr"/>
              <c:showVal val="1"/>
            </c:dLbl>
            <c:dLbl>
              <c:idx val="5"/>
              <c:layout/>
              <c:tx>
                <c:strRef>
                  <c:f>Dashboard_Daten!$CM$204</c:f>
                  <c:strCache>
                    <c:ptCount val="1"/>
                    <c:pt idx="0">
                      <c:v>0</c:v>
                    </c:pt>
                  </c:strCache>
                </c:strRef>
              </c:tx>
              <c:dLblPos val="ctr"/>
              <c:showVal val="1"/>
            </c:dLbl>
            <c:dLbl>
              <c:idx val="6"/>
              <c:layout/>
              <c:tx>
                <c:strRef>
                  <c:f>Dashboard_Daten!$CN$204</c:f>
                  <c:strCache>
                    <c:ptCount val="1"/>
                    <c:pt idx="0">
                      <c:v>0</c:v>
                    </c:pt>
                  </c:strCache>
                </c:strRef>
              </c:tx>
              <c:dLblPos val="ctr"/>
              <c:showVal val="1"/>
            </c:dLbl>
            <c:dLbl>
              <c:idx val="7"/>
              <c:layout/>
              <c:tx>
                <c:strRef>
                  <c:f>Dashboard_Daten!$CO$204</c:f>
                  <c:strCache>
                    <c:ptCount val="1"/>
                    <c:pt idx="0">
                      <c:v>0</c:v>
                    </c:pt>
                  </c:strCache>
                </c:strRef>
              </c:tx>
              <c:dLblPos val="ctr"/>
              <c:showVal val="1"/>
            </c:dLbl>
            <c:dLbl>
              <c:idx val="8"/>
              <c:layout/>
              <c:tx>
                <c:strRef>
                  <c:f>Dashboard_Daten!$CP$204</c:f>
                  <c:strCache>
                    <c:ptCount val="1"/>
                    <c:pt idx="0">
                      <c:v>0</c:v>
                    </c:pt>
                  </c:strCache>
                </c:strRef>
              </c:tx>
              <c:dLblPos val="ctr"/>
              <c:showVal val="1"/>
            </c:dLbl>
            <c:dLbl>
              <c:idx val="9"/>
              <c:layout/>
              <c:tx>
                <c:strRef>
                  <c:f>Dashboard_Daten!$CQ$204</c:f>
                  <c:strCache>
                    <c:ptCount val="1"/>
                    <c:pt idx="0">
                      <c:v>0</c:v>
                    </c:pt>
                  </c:strCache>
                </c:strRef>
              </c:tx>
              <c:dLblPos val="ctr"/>
              <c:showVal val="1"/>
            </c:dLbl>
            <c:txPr>
              <a:bodyPr wrap="none" lIns="18000" tIns="0" rIns="18000" bIns="0" anchor="ctr" anchorCtr="1">
                <a:spAutoFit/>
              </a:bodyPr>
              <a:lstStyle/>
              <a:p>
                <a:pPr>
                  <a:defRPr sz="600" b="1" baseline="0">
                    <a:solidFill>
                      <a:srgbClr val="1E7F4F"/>
                    </a:solidFill>
                    <a:latin typeface="Liberation Sans"/>
                  </a:defRPr>
                </a:pPr>
                <a:endParaRPr lang="en-US"/>
              </a:p>
            </c:txPr>
            <c:dLblPos val="ctr"/>
            <c:showVal val="1"/>
          </c:dLbls>
          <c:cat>
            <c:numRef>
              <c:f>Dashboard_Daten!$CH$179:$CQ$179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Dashboard_Daten!$CH$202:$CQ$202</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Delta null</c:v>
          </c:tx>
          <c:spPr>
            <a:ln>
              <a:noFill/>
            </a:ln>
          </c:spPr>
          <c:marker>
            <c:symbol val="none"/>
          </c:marker>
          <c:dLbls>
            <c:dLbl>
              <c:idx val="0"/>
              <c:layout/>
              <c:tx>
                <c:strRef>
                  <c:f>Dashboard_Daten!$CH$204</c:f>
                  <c:strCache>
                    <c:ptCount val="1"/>
                    <c:pt idx="0">
                      <c:v>0</c:v>
                    </c:pt>
                  </c:strCache>
                </c:strRef>
              </c:tx>
              <c:dLblPos val="ctr"/>
              <c:showVal val="1"/>
            </c:dLbl>
            <c:dLbl>
              <c:idx val="1"/>
              <c:layout/>
              <c:tx>
                <c:strRef>
                  <c:f>Dashboard_Daten!$CI$204</c:f>
                  <c:strCache>
                    <c:ptCount val="1"/>
                    <c:pt idx="0">
                      <c:v>0</c:v>
                    </c:pt>
                  </c:strCache>
                </c:strRef>
              </c:tx>
              <c:dLblPos val="ctr"/>
              <c:showVal val="1"/>
            </c:dLbl>
            <c:dLbl>
              <c:idx val="2"/>
              <c:layout/>
              <c:tx>
                <c:strRef>
                  <c:f>Dashboard_Daten!$CJ$204</c:f>
                  <c:strCache>
                    <c:ptCount val="1"/>
                    <c:pt idx="0">
                      <c:v>0</c:v>
                    </c:pt>
                  </c:strCache>
                </c:strRef>
              </c:tx>
              <c:dLblPos val="ctr"/>
              <c:showVal val="1"/>
            </c:dLbl>
            <c:dLbl>
              <c:idx val="3"/>
              <c:layout/>
              <c:tx>
                <c:strRef>
                  <c:f>Dashboard_Daten!$CK$204</c:f>
                  <c:strCache>
                    <c:ptCount val="1"/>
                    <c:pt idx="0">
                      <c:v>0</c:v>
                    </c:pt>
                  </c:strCache>
                </c:strRef>
              </c:tx>
              <c:dLblPos val="ctr"/>
              <c:showVal val="1"/>
            </c:dLbl>
            <c:dLbl>
              <c:idx val="4"/>
              <c:layout/>
              <c:tx>
                <c:strRef>
                  <c:f>Dashboard_Daten!$CL$204</c:f>
                  <c:strCache>
                    <c:ptCount val="1"/>
                    <c:pt idx="0">
                      <c:v>0</c:v>
                    </c:pt>
                  </c:strCache>
                </c:strRef>
              </c:tx>
              <c:dLblPos val="ctr"/>
              <c:showVal val="1"/>
            </c:dLbl>
            <c:dLbl>
              <c:idx val="5"/>
              <c:layout/>
              <c:tx>
                <c:strRef>
                  <c:f>Dashboard_Daten!$CM$204</c:f>
                  <c:strCache>
                    <c:ptCount val="1"/>
                    <c:pt idx="0">
                      <c:v>0</c:v>
                    </c:pt>
                  </c:strCache>
                </c:strRef>
              </c:tx>
              <c:dLblPos val="ctr"/>
              <c:showVal val="1"/>
            </c:dLbl>
            <c:dLbl>
              <c:idx val="6"/>
              <c:layout/>
              <c:tx>
                <c:strRef>
                  <c:f>Dashboard_Daten!$CN$204</c:f>
                  <c:strCache>
                    <c:ptCount val="1"/>
                    <c:pt idx="0">
                      <c:v>0</c:v>
                    </c:pt>
                  </c:strCache>
                </c:strRef>
              </c:tx>
              <c:dLblPos val="ctr"/>
              <c:showVal val="1"/>
            </c:dLbl>
            <c:dLbl>
              <c:idx val="7"/>
              <c:layout/>
              <c:tx>
                <c:strRef>
                  <c:f>Dashboard_Daten!$CO$204</c:f>
                  <c:strCache>
                    <c:ptCount val="1"/>
                    <c:pt idx="0">
                      <c:v>0</c:v>
                    </c:pt>
                  </c:strCache>
                </c:strRef>
              </c:tx>
              <c:dLblPos val="ctr"/>
              <c:showVal val="1"/>
            </c:dLbl>
            <c:dLbl>
              <c:idx val="8"/>
              <c:layout/>
              <c:tx>
                <c:strRef>
                  <c:f>Dashboard_Daten!$CP$204</c:f>
                  <c:strCache>
                    <c:ptCount val="1"/>
                    <c:pt idx="0">
                      <c:v>0</c:v>
                    </c:pt>
                  </c:strCache>
                </c:strRef>
              </c:tx>
              <c:dLblPos val="ctr"/>
              <c:showVal val="1"/>
            </c:dLbl>
            <c:dLbl>
              <c:idx val="9"/>
              <c:layout/>
              <c:tx>
                <c:strRef>
                  <c:f>Dashboard_Daten!$CQ$204</c:f>
                  <c:strCache>
                    <c:ptCount val="1"/>
                    <c:pt idx="0">
                      <c:v>0</c:v>
                    </c:pt>
                  </c:strCache>
                </c:strRef>
              </c:tx>
              <c:dLblPos val="ctr"/>
              <c:showVal val="1"/>
            </c:dLbl>
            <c:txPr>
              <a:bodyPr wrap="none" lIns="18000" tIns="0" rIns="18000" bIns="0" anchor="ctr" anchorCtr="1">
                <a:spAutoFit/>
              </a:bodyPr>
              <a:lstStyle/>
              <a:p>
                <a:pPr>
                  <a:defRPr sz="600" b="1" baseline="0">
                    <a:solidFill>
                      <a:srgbClr val="6B6B6B"/>
                    </a:solidFill>
                    <a:latin typeface="Liberation Sans"/>
                  </a:defRPr>
                </a:pPr>
                <a:endParaRPr lang="en-US"/>
              </a:p>
            </c:txPr>
            <c:dLblPos val="ctr"/>
            <c:showVal val="1"/>
          </c:dLbls>
          <c:cat>
            <c:numRef>
              <c:f>Dashboard_Daten!$CH$179:$CQ$179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Dashboard_Daten!$CH$203:$CQ$203</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10001"/>
        <c:axId val="50110002"/>
      </c:lineChart>
      <c:catAx>
        <c:axId val="50110001"/>
        <c:scaling>
          <c:orientation val="minMax"/>
        </c:scaling>
        <c:axPos val="b"/>
        <c:numFmt formatCode="General" sourceLinked="1"/>
        <c:majorTickMark val="none"/>
        <c:minorTickMark val="none"/>
        <c:tickLblPos val="none"/>
        <c:spPr>
          <a:ln>
            <a:noFill/>
          </a:ln>
        </c:spPr>
        <c:crossAx val="50110002"/>
        <c:crosses val="autoZero"/>
        <c:auto val="1"/>
        <c:lblAlgn val="ctr"/>
        <c:lblOffset val="100"/>
      </c:catAx>
      <c:valAx>
        <c:axId val="50110002"/>
        <c:scaling>
          <c:orientation val="minMax"/>
          <c:max val="1"/>
          <c:min val="0"/>
        </c:scaling>
        <c:delete val="1"/>
        <c:axPos val="l"/>
        <c:numFmt formatCode="General" sourceLinked="1"/>
        <c:tickLblPos val="nextTo"/>
        <c:crossAx val="5011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1285714285714286"/>
        </c:manualLayout>
      </c:layout>
      <c:lineChart>
        <c:grouping val="standard"/>
        <c:ser>
          <c:idx val="0"/>
          <c:order val="0"/>
          <c:tx>
            <c:v>Offene Vorgänge</c:v>
          </c:tx>
          <c:spPr>
            <a:ln w="28575">
              <a:solidFill>
                <a:srgbClr val="B31767"/>
              </a:solidFill>
            </a:ln>
          </c:spPr>
          <c:marker>
            <c:symbol val="circle"/>
            <c:size val="5"/>
            <c:spPr>
              <a:solidFill>
                <a:srgbClr val="FFFFFF"/>
              </a:solidFill>
              <a:ln w="15875">
                <a:solidFill>
                  <a:srgbClr val="B31767"/>
                </a:solidFill>
              </a:ln>
            </c:spPr>
          </c:marker>
          <c:dLbls>
            <c:dLbl>
              <c:idx val="0"/>
              <c:layout/>
              <c:tx>
                <c:strRef>
                  <c:f>Dashboard_Daten!$CH$215</c:f>
                  <c:strCache>
                    <c:ptCount val="1"/>
                    <c:pt idx="0">
                      <c:v>0</c:v>
                    </c:pt>
                  </c:strCache>
                </c:strRef>
              </c:tx>
              <c:spPr>
                <a:noFill/>
                <a:ln>
                  <a:noFill/>
                </a:ln>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1"/>
              <c:layout/>
              <c:tx>
                <c:strRef>
                  <c:f>Dashboard_Daten!$CI$215</c:f>
                  <c:strCache>
                    <c:ptCount val="1"/>
                    <c:pt idx="0">
                      <c:v>0</c:v>
                    </c:pt>
                  </c:strCache>
                </c:strRef>
              </c:tx>
              <c:spPr>
                <a:noFill/>
                <a:ln>
                  <a:noFill/>
                </a:ln>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2"/>
              <c:layout/>
              <c:tx>
                <c:strRef>
                  <c:f>Dashboard_Daten!$CJ$215</c:f>
                  <c:strCache>
                    <c:ptCount val="1"/>
                    <c:pt idx="0">
                      <c:v>0</c:v>
                    </c:pt>
                  </c:strCache>
                </c:strRef>
              </c:tx>
              <c:spPr>
                <a:noFill/>
                <a:ln>
                  <a:noFill/>
                </a:ln>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3"/>
              <c:layout/>
              <c:tx>
                <c:strRef>
                  <c:f>Dashboard_Daten!$CK$215</c:f>
                  <c:strCache>
                    <c:ptCount val="1"/>
                    <c:pt idx="0">
                      <c:v>0</c:v>
                    </c:pt>
                  </c:strCache>
                </c:strRef>
              </c:tx>
              <c:spPr>
                <a:noFill/>
                <a:ln>
                  <a:noFill/>
                </a:ln>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4"/>
              <c:layout/>
              <c:tx>
                <c:strRef>
                  <c:f>Dashboard_Daten!$CL$215</c:f>
                  <c:strCache>
                    <c:ptCount val="1"/>
                    <c:pt idx="0">
                      <c:v>0</c:v>
                    </c:pt>
                  </c:strCache>
                </c:strRef>
              </c:tx>
              <c:spPr>
                <a:noFill/>
                <a:ln>
                  <a:noFill/>
                </a:ln>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5"/>
              <c:layout/>
              <c:tx>
                <c:strRef>
                  <c:f>Dashboard_Daten!$CM$215</c:f>
                  <c:strCache>
                    <c:ptCount val="1"/>
                    <c:pt idx="0">
                      <c:v>0</c:v>
                    </c:pt>
                  </c:strCache>
                </c:strRef>
              </c:tx>
              <c:spPr>
                <a:noFill/>
                <a:ln>
                  <a:noFill/>
                </a:ln>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6"/>
              <c:layout/>
              <c:tx>
                <c:strRef>
                  <c:f>Dashboard_Daten!$CN$215</c:f>
                  <c:strCache>
                    <c:ptCount val="1"/>
                    <c:pt idx="0">
                      <c:v>0</c:v>
                    </c:pt>
                  </c:strCache>
                </c:strRef>
              </c:tx>
              <c:spPr>
                <a:noFill/>
                <a:ln>
                  <a:noFill/>
                </a:ln>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7"/>
              <c:layout/>
              <c:tx>
                <c:strRef>
                  <c:f>Dashboard_Daten!$CO$215</c:f>
                  <c:strCache>
                    <c:ptCount val="1"/>
                    <c:pt idx="0">
                      <c:v>0</c:v>
                    </c:pt>
                  </c:strCache>
                </c:strRef>
              </c:tx>
              <c:spPr>
                <a:noFill/>
                <a:ln>
                  <a:noFill/>
                </a:ln>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8"/>
              <c:layout/>
              <c:tx>
                <c:strRef>
                  <c:f>Dashboard_Daten!$CP$215</c:f>
                  <c:strCache>
                    <c:ptCount val="1"/>
                    <c:pt idx="0">
                      <c:v>0</c:v>
                    </c:pt>
                  </c:strCache>
                </c:strRef>
              </c:tx>
              <c:spPr>
                <a:noFill/>
                <a:ln>
                  <a:noFill/>
                </a:ln>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9"/>
              <c:layout/>
              <c:tx>
                <c:strRef>
                  <c:f>Dashboard_Daten!$CQ$215</c:f>
                  <c:strCache>
                    <c:ptCount val="1"/>
                    <c:pt idx="0">
                      <c:v>0</c:v>
                    </c:pt>
                  </c:strCache>
                </c:strRef>
              </c:tx>
              <c:spPr>
                <a:noFill/>
                <a:ln>
                  <a:noFill/>
                </a:ln>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spPr>
              <a:noFill/>
              <a:ln>
                <a:noFill/>
              </a:ln>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s>
          <c:cat>
            <c:numRef>
              <c:f>Dashboard_Daten!$CH$213:$CQ$213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Dashboard_Daten!$CH$214:$CQ$214</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SLA</c:v>
          </c:tx>
          <c:spPr>
            <a:ln w="12700">
              <a:solidFill>
                <a:srgbClr val="B31767"/>
              </a:solidFill>
              <a:prstDash val="dash"/>
            </a:ln>
          </c:spPr>
          <c:marker>
            <c:symbol val="none"/>
          </c:marker>
          <c:cat>
            <c:numRef>
              <c:f>Dashboard_Daten!$CH$213:$CQ$213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Dashboard_Daten!$CH$216:$CQ$216</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20001"/>
        <c:axId val="50120002"/>
      </c:lineChart>
      <c:catAx>
        <c:axId val="5012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20002"/>
        <c:crosses val="autoZero"/>
        <c:auto val="1"/>
        <c:lblAlgn val="ctr"/>
        <c:lblOffset val="100"/>
        <c:tickLblSkip val="1"/>
      </c:catAx>
      <c:valAx>
        <c:axId val="50120002"/>
        <c:scaling>
          <c:orientation val="minMax"/>
          <c:max val="2.09488"/>
          <c:min val="0.0"/>
        </c:scaling>
        <c:delete val="1"/>
        <c:axPos val="l"/>
        <c:numFmt formatCode="General" sourceLinked="1"/>
        <c:tickLblPos val="nextTo"/>
        <c:crossAx val="5012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2234899328859059"/>
        </c:manualLayout>
      </c:layout>
      <c:lineChart>
        <c:grouping val="standard"/>
        <c:ser>
          <c:idx val="0"/>
          <c:order val="0"/>
          <c:tx>
            <c:v>Offene Vorgänge</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s>
          <c:cat>
            <c:numRef>
              <c:f>Dashboard_Daten!$CH$220:$CQ$220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Dashboard_Daten!$CH$221:$CQ$221</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30001"/>
        <c:axId val="50130002"/>
      </c:lineChart>
      <c:catAx>
        <c:axId val="5013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30002"/>
        <c:crosses val="autoZero"/>
        <c:auto val="1"/>
        <c:lblAlgn val="ctr"/>
        <c:lblOffset val="100"/>
        <c:tickLblSkip val="1"/>
      </c:catAx>
      <c:valAx>
        <c:axId val="50130002"/>
        <c:scaling>
          <c:orientation val="minMax"/>
          <c:min val="0"/>
        </c:scaling>
        <c:delete val="1"/>
        <c:axPos val="l"/>
        <c:numFmt formatCode="General" sourceLinked="1"/>
        <c:tickLblPos val="nextTo"/>
        <c:crossAx val="5013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2234899328859059"/>
        </c:manualLayout>
      </c:layout>
      <c:lineChart>
        <c:grouping val="standard"/>
        <c:ser>
          <c:idx val="0"/>
          <c:order val="0"/>
          <c:tx>
            <c:v>Offene Vorgänge</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s>
          <c:cat>
            <c:numRef>
              <c:f>Dashboard_Daten!$CH$225:$CQ$225</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Dashboard_Daten!$CH$226:$CQ$226</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40001"/>
        <c:axId val="50140002"/>
      </c:lineChart>
      <c:catAx>
        <c:axId val="5014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40002"/>
        <c:crosses val="autoZero"/>
        <c:auto val="1"/>
        <c:lblAlgn val="ctr"/>
        <c:lblOffset val="100"/>
        <c:tickLblSkip val="1"/>
      </c:catAx>
      <c:valAx>
        <c:axId val="50140002"/>
        <c:scaling>
          <c:orientation val="minMax"/>
          <c:min val="0"/>
        </c:scaling>
        <c:delete val="1"/>
        <c:axPos val="l"/>
        <c:numFmt formatCode="General" sourceLinked="1"/>
        <c:tickLblPos val="nextTo"/>
        <c:crossAx val="5014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2234899328859059"/>
        </c:manualLayout>
      </c:layout>
      <c:lineChart>
        <c:grouping val="standard"/>
        <c:ser>
          <c:idx val="0"/>
          <c:order val="0"/>
          <c:tx>
            <c:v>Offene Vorgänge</c:v>
          </c:tx>
          <c:spPr>
            <a:ln w="28575">
              <a:solidFill>
                <a:srgbClr val="B31767"/>
              </a:solidFill>
            </a:ln>
          </c:spPr>
          <c:marker>
            <c:symbol val="circle"/>
            <c:size val="5"/>
            <c:spPr>
              <a:solidFill>
                <a:srgbClr val="FFFFFF"/>
              </a:solidFill>
              <a:ln w="15875">
                <a:solidFill>
                  <a:srgbClr val="B31767"/>
                </a:solidFill>
              </a:ln>
            </c:spPr>
          </c:marker>
          <c:dLbls>
            <c:numFmt formatCode="#,##0.0" sourceLinked="0"/>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s>
          <c:cat>
            <c:numRef>
              <c:f>Dashboard_Daten!$CH$230:$CQ$230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Dashboard_Daten!$CH$231:$CQ$231</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50001"/>
        <c:axId val="50150002"/>
      </c:lineChart>
      <c:catAx>
        <c:axId val="5015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50002"/>
        <c:crosses val="autoZero"/>
        <c:auto val="1"/>
        <c:lblAlgn val="ctr"/>
        <c:lblOffset val="100"/>
        <c:tickLblSkip val="1"/>
      </c:catAx>
      <c:valAx>
        <c:axId val="50150002"/>
        <c:scaling>
          <c:orientation val="minMax"/>
          <c:min val="0"/>
        </c:scaling>
        <c:delete val="1"/>
        <c:axPos val="l"/>
        <c:numFmt formatCode="General" sourceLinked="1"/>
        <c:tickLblPos val="nextTo"/>
        <c:crossAx val="5015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6"/>
          <c:w val="0.95999999999999996"/>
          <c:h val="0.80000000000000004"/>
        </c:manualLayout>
      </c:layout>
      <c:lineChart>
        <c:grouping val="standard"/>
        <c:ser>
          <c:idx val="0"/>
          <c:order val="0"/>
          <c:tx>
            <c:v>Überwachte VNRs</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s>
          <c:cat>
            <c:numRef>
              <c:f>Dashboard_Daten!$CH$235:$CQ$235</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Dashboard_Daten!$CH$236:$CQ$236</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60001"/>
        <c:axId val="50160002"/>
      </c:lineChart>
      <c:catAx>
        <c:axId val="50160001"/>
        <c:scaling>
          <c:orientation val="minMax"/>
        </c:scaling>
        <c:axPos val="b"/>
        <c:numFmt formatCode="General" sourceLinked="1"/>
        <c:majorTickMark val="none"/>
        <c:minorTickMark val="none"/>
        <c:tickLblPos val="none"/>
        <c:spPr>
          <a:ln>
            <a:noFill/>
          </a:ln>
        </c:spPr>
        <c:crossAx val="50160002"/>
        <c:crosses val="autoZero"/>
        <c:auto val="1"/>
        <c:lblAlgn val="ctr"/>
        <c:lblOffset val="100"/>
      </c:catAx>
      <c:valAx>
        <c:axId val="50160002"/>
        <c:scaling>
          <c:orientation val="minMax"/>
          <c:min val="0"/>
        </c:scaling>
        <c:delete val="1"/>
        <c:axPos val="l"/>
        <c:numFmt formatCode="General" sourceLinked="1"/>
        <c:tickLblPos val="nextTo"/>
        <c:crossAx val="5016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063492063492063489"/>
          <c:w val="0.95999999999999996"/>
          <c:h val="0.58730158730158732"/>
        </c:manualLayout>
      </c:layout>
      <c:barChart>
        <c:barDir val="col"/>
        <c:grouping val="percentStacked"/>
        <c:ser>
          <c:idx val="0"/>
          <c:order val="0"/>
          <c:tx>
            <c:v>Treffer VNRs</c:v>
          </c:tx>
          <c:spPr>
            <a:solidFill>
              <a:srgbClr val="B31767"/>
            </a:solidFill>
            <a:ln>
              <a:noFill/>
            </a:ln>
          </c:spPr>
          <c:dLbls>
            <c:dLbl>
              <c:idx val="0"/>
              <c:layout/>
              <c:tx>
                <c:strRef>
                  <c:f>Dashboard_Daten!$CH$238</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1"/>
              <c:layout/>
              <c:tx>
                <c:strRef>
                  <c:f>Dashboard_Daten!$CI$238</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2"/>
              <c:layout/>
              <c:tx>
                <c:strRef>
                  <c:f>Dashboard_Daten!$CJ$238</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3"/>
              <c:layout/>
              <c:tx>
                <c:strRef>
                  <c:f>Dashboard_Daten!$CK$238</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4"/>
              <c:layout/>
              <c:tx>
                <c:strRef>
                  <c:f>Dashboard_Daten!$CL$238</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5"/>
              <c:layout/>
              <c:tx>
                <c:strRef>
                  <c:f>Dashboard_Daten!$CM$238</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6"/>
              <c:layout/>
              <c:tx>
                <c:strRef>
                  <c:f>Dashboard_Daten!$CN$238</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7"/>
              <c:layout/>
              <c:tx>
                <c:strRef>
                  <c:f>Dashboard_Daten!$CO$238</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8"/>
              <c:layout/>
              <c:tx>
                <c:strRef>
                  <c:f>Dashboard_Daten!$CP$238</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9"/>
              <c:layout/>
              <c:tx>
                <c:strRef>
                  <c:f>Dashboard_Daten!$CQ$238</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s>
          <c:cat>
            <c:numRef>
              <c:f>Dashboard_Daten!$CH$235:$CQ$235</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Dashboard_Daten!$CH$237:$CQ$237</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In Bearbeitung</c:v>
          </c:tx>
          <c:spPr>
            <a:solidFill>
              <a:srgbClr val="808080"/>
            </a:solidFill>
            <a:ln>
              <a:noFill/>
            </a:ln>
          </c:spPr>
          <c:dLbls>
            <c:dLbl>
              <c:idx val="0"/>
              <c:layout/>
              <c:tx>
                <c:strRef>
                  <c:f>Dashboard_Daten!$CH$240</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1"/>
              <c:layout/>
              <c:tx>
                <c:strRef>
                  <c:f>Dashboard_Daten!$CI$240</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2"/>
              <c:layout/>
              <c:tx>
                <c:strRef>
                  <c:f>Dashboard_Daten!$CJ$240</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3"/>
              <c:layout/>
              <c:tx>
                <c:strRef>
                  <c:f>Dashboard_Daten!$CK$240</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4"/>
              <c:layout/>
              <c:tx>
                <c:strRef>
                  <c:f>Dashboard_Daten!$CL$240</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5"/>
              <c:layout/>
              <c:tx>
                <c:strRef>
                  <c:f>Dashboard_Daten!$CM$240</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6"/>
              <c:layout/>
              <c:tx>
                <c:strRef>
                  <c:f>Dashboard_Daten!$CN$240</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7"/>
              <c:layout/>
              <c:tx>
                <c:strRef>
                  <c:f>Dashboard_Daten!$CO$240</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8"/>
              <c:layout/>
              <c:tx>
                <c:strRef>
                  <c:f>Dashboard_Daten!$CP$240</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9"/>
              <c:layout/>
              <c:tx>
                <c:strRef>
                  <c:f>Dashboard_Daten!$CQ$240</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s>
          <c:cat>
            <c:numRef>
              <c:f>Dashboard_Daten!$CH$235:$CQ$235</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Dashboard_Daten!$CH$239:$CQ$239</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Erledigt</c:v>
          </c:tx>
          <c:spPr>
            <a:solidFill>
              <a:srgbClr val="1A1A1A"/>
            </a:solidFill>
            <a:ln>
              <a:noFill/>
            </a:ln>
          </c:spPr>
          <c:dLbls>
            <c:dLbl>
              <c:idx val="0"/>
              <c:layout/>
              <c:tx>
                <c:strRef>
                  <c:f>Dashboard_Daten!$CH$242</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1"/>
              <c:layout/>
              <c:tx>
                <c:strRef>
                  <c:f>Dashboard_Daten!$CI$242</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2"/>
              <c:layout/>
              <c:tx>
                <c:strRef>
                  <c:f>Dashboard_Daten!$CJ$242</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3"/>
              <c:layout/>
              <c:tx>
                <c:strRef>
                  <c:f>Dashboard_Daten!$CK$242</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4"/>
              <c:layout/>
              <c:tx>
                <c:strRef>
                  <c:f>Dashboard_Daten!$CL$242</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5"/>
              <c:layout/>
              <c:tx>
                <c:strRef>
                  <c:f>Dashboard_Daten!$CM$242</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6"/>
              <c:layout/>
              <c:tx>
                <c:strRef>
                  <c:f>Dashboard_Daten!$CN$242</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7"/>
              <c:layout/>
              <c:tx>
                <c:strRef>
                  <c:f>Dashboard_Daten!$CO$242</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8"/>
              <c:layout/>
              <c:tx>
                <c:strRef>
                  <c:f>Dashboard_Daten!$CP$242</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9"/>
              <c:layout/>
              <c:tx>
                <c:strRef>
                  <c:f>Dashboard_Daten!$CQ$242</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s>
          <c:cat>
            <c:numRef>
              <c:f>Dashboard_Daten!$CH$235:$CQ$235</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Dashboard_Daten!$CH$241:$CQ$241</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45"/>
        <c:overlap val="100"/>
        <c:axId val="50170001"/>
        <c:axId val="50170002"/>
      </c:barChart>
      <c:catAx>
        <c:axId val="5017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70002"/>
        <c:crosses val="autoZero"/>
        <c:auto val="1"/>
        <c:lblAlgn val="ctr"/>
        <c:lblOffset val="100"/>
        <c:tickLblSkip val="1"/>
      </c:catAx>
      <c:valAx>
        <c:axId val="50170002"/>
        <c:scaling>
          <c:orientation val="minMax"/>
          <c:max val="1"/>
          <c:min val="0"/>
        </c:scaling>
        <c:delete val="1"/>
        <c:axPos val="l"/>
        <c:numFmt formatCode="0%" sourceLinked="1"/>
        <c:tickLblPos val="nextTo"/>
        <c:crossAx val="5017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2234899328859059"/>
        </c:manualLayout>
      </c:layout>
      <c:lineChart>
        <c:grouping val="standard"/>
        <c:ser>
          <c:idx val="0"/>
          <c:order val="0"/>
          <c:tx>
            <c:v>Offene Arbeitsanweisungen</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s>
          <c:cat>
            <c:numRef>
              <c:f>Dashboard_Daten!$CH$246:$CQ$246</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Dashboard_Daten!$CH$247:$CQ$247</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80001"/>
        <c:axId val="50180002"/>
      </c:lineChart>
      <c:catAx>
        <c:axId val="5018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80002"/>
        <c:crosses val="autoZero"/>
        <c:auto val="1"/>
        <c:lblAlgn val="ctr"/>
        <c:lblOffset val="100"/>
        <c:tickLblSkip val="1"/>
      </c:catAx>
      <c:valAx>
        <c:axId val="50180002"/>
        <c:scaling>
          <c:orientation val="minMax"/>
          <c:min val="0"/>
        </c:scaling>
        <c:delete val="1"/>
        <c:axPos val="l"/>
        <c:numFmt formatCode="General" sourceLinked="1"/>
        <c:tickLblPos val="nextTo"/>
        <c:crossAx val="5018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6"/>
          <c:w val="0.95999999999999996"/>
          <c:h val="0.80000000000000004"/>
        </c:manualLayout>
      </c:layout>
      <c:barChart>
        <c:barDir val="col"/>
        <c:grouping val="stacked"/>
        <c:ser>
          <c:idx val="0"/>
          <c:order val="0"/>
          <c:tx>
            <c:v>Sev 4</c:v>
          </c:tx>
          <c:spPr>
            <a:solidFill>
              <a:srgbClr val="B31767"/>
            </a:solidFill>
            <a:ln>
              <a:noFill/>
            </a:ln>
          </c:spPr>
          <c:dLbls>
            <c:numFmt formatCode="#,##0" sourceLinked="0"/>
            <c:spPr>
              <a:solidFill>
                <a:srgbClr val="B31767"/>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s>
          <c:cat>
            <c:numRef>
              <c:f>Dashboard_Daten!$CH$251:$CQ$251</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Dashboard_Daten!$CH$252:$CQ$252</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Sev 3</c:v>
          </c:tx>
          <c:spPr>
            <a:solidFill>
              <a:srgbClr val="808080"/>
            </a:solidFill>
            <a:ln>
              <a:noFill/>
            </a:ln>
          </c:spPr>
          <c:dLbls>
            <c:numFmt formatCode="#,##0" sourceLinked="0"/>
            <c:spPr>
              <a:solidFill>
                <a:srgbClr val="808080"/>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s>
          <c:cat>
            <c:numRef>
              <c:f>Dashboard_Daten!$CH$251:$CQ$251</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Dashboard_Daten!$CH$253:$CQ$253</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Sev 1+2</c:v>
          </c:tx>
          <c:spPr>
            <a:solidFill>
              <a:srgbClr val="1A1A1A"/>
            </a:solidFill>
            <a:ln>
              <a:noFill/>
            </a:ln>
          </c:spPr>
          <c:dLbls>
            <c:numFmt formatCode="#,##0" sourceLinked="0"/>
            <c:spPr>
              <a:solidFill>
                <a:srgbClr val="1A1A1A"/>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s>
          <c:cat>
            <c:numRef>
              <c:f>Dashboard_Daten!$CH$251:$CQ$251</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Dashboard_Daten!$CH$254:$CQ$254</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45"/>
        <c:overlap val="100"/>
        <c:axId val="50190001"/>
        <c:axId val="50190002"/>
      </c:barChart>
      <c:lineChart>
        <c:grouping val="standard"/>
        <c:ser>
          <c:idx val="3"/>
          <c:order val="3"/>
          <c:tx>
            <c:v>Summe</c:v>
          </c:tx>
          <c:spPr>
            <a:ln>
              <a:noFill/>
            </a:ln>
          </c:spPr>
          <c:marker>
            <c:symbol val="none"/>
          </c:marker>
          <c:dLbls>
            <c:dLbl>
              <c:idx val="0"/>
              <c:layout/>
              <c:tx>
                <c:strRef>
                  <c:f>Dashboard_Daten!$CH$256</c:f>
                  <c:strCache>
                    <c:ptCount val="1"/>
                    <c:pt idx="0">
                      <c:v>0</c:v>
                    </c:pt>
                  </c:strCache>
                </c:strRef>
              </c:tx>
              <c:dLblPos val="t"/>
              <c:showVal val="1"/>
            </c:dLbl>
            <c:dLbl>
              <c:idx val="1"/>
              <c:layout/>
              <c:tx>
                <c:strRef>
                  <c:f>Dashboard_Daten!$CI$256</c:f>
                  <c:strCache>
                    <c:ptCount val="1"/>
                    <c:pt idx="0">
                      <c:v>0</c:v>
                    </c:pt>
                  </c:strCache>
                </c:strRef>
              </c:tx>
              <c:dLblPos val="t"/>
              <c:showVal val="1"/>
            </c:dLbl>
            <c:dLbl>
              <c:idx val="2"/>
              <c:layout/>
              <c:tx>
                <c:strRef>
                  <c:f>Dashboard_Daten!$CJ$256</c:f>
                  <c:strCache>
                    <c:ptCount val="1"/>
                    <c:pt idx="0">
                      <c:v>0</c:v>
                    </c:pt>
                  </c:strCache>
                </c:strRef>
              </c:tx>
              <c:dLblPos val="t"/>
              <c:showVal val="1"/>
            </c:dLbl>
            <c:dLbl>
              <c:idx val="3"/>
              <c:layout/>
              <c:tx>
                <c:strRef>
                  <c:f>Dashboard_Daten!$CK$256</c:f>
                  <c:strCache>
                    <c:ptCount val="1"/>
                    <c:pt idx="0">
                      <c:v>0</c:v>
                    </c:pt>
                  </c:strCache>
                </c:strRef>
              </c:tx>
              <c:dLblPos val="t"/>
              <c:showVal val="1"/>
            </c:dLbl>
            <c:dLbl>
              <c:idx val="4"/>
              <c:layout/>
              <c:tx>
                <c:strRef>
                  <c:f>Dashboard_Daten!$CL$256</c:f>
                  <c:strCache>
                    <c:ptCount val="1"/>
                    <c:pt idx="0">
                      <c:v>0</c:v>
                    </c:pt>
                  </c:strCache>
                </c:strRef>
              </c:tx>
              <c:dLblPos val="t"/>
              <c:showVal val="1"/>
            </c:dLbl>
            <c:dLbl>
              <c:idx val="5"/>
              <c:layout/>
              <c:tx>
                <c:strRef>
                  <c:f>Dashboard_Daten!$CM$256</c:f>
                  <c:strCache>
                    <c:ptCount val="1"/>
                    <c:pt idx="0">
                      <c:v>0</c:v>
                    </c:pt>
                  </c:strCache>
                </c:strRef>
              </c:tx>
              <c:dLblPos val="t"/>
              <c:showVal val="1"/>
            </c:dLbl>
            <c:dLbl>
              <c:idx val="6"/>
              <c:layout/>
              <c:tx>
                <c:strRef>
                  <c:f>Dashboard_Daten!$CN$256</c:f>
                  <c:strCache>
                    <c:ptCount val="1"/>
                    <c:pt idx="0">
                      <c:v>0</c:v>
                    </c:pt>
                  </c:strCache>
                </c:strRef>
              </c:tx>
              <c:dLblPos val="t"/>
              <c:showVal val="1"/>
            </c:dLbl>
            <c:dLbl>
              <c:idx val="7"/>
              <c:layout/>
              <c:tx>
                <c:strRef>
                  <c:f>Dashboard_Daten!$CO$256</c:f>
                  <c:strCache>
                    <c:ptCount val="1"/>
                    <c:pt idx="0">
                      <c:v>0</c:v>
                    </c:pt>
                  </c:strCache>
                </c:strRef>
              </c:tx>
              <c:dLblPos val="t"/>
              <c:showVal val="1"/>
            </c:dLbl>
            <c:dLbl>
              <c:idx val="8"/>
              <c:layout/>
              <c:tx>
                <c:strRef>
                  <c:f>Dashboard_Daten!$CP$256</c:f>
                  <c:strCache>
                    <c:ptCount val="1"/>
                    <c:pt idx="0">
                      <c:v>0</c:v>
                    </c:pt>
                  </c:strCache>
                </c:strRef>
              </c:tx>
              <c:dLblPos val="t"/>
              <c:showVal val="1"/>
            </c:dLbl>
            <c:dLbl>
              <c:idx val="9"/>
              <c:layout/>
              <c:tx>
                <c:strRef>
                  <c:f>Dashboard_Daten!$CQ$256</c:f>
                  <c:strCache>
                    <c:ptCount val="1"/>
                    <c:pt idx="0">
                      <c:v>0</c:v>
                    </c:pt>
                  </c:strCache>
                </c:strRef>
              </c:tx>
              <c:dLblPos val="t"/>
              <c:showVal val="1"/>
            </c:dLbl>
            <c:txPr>
              <a:bodyPr wrap="none" lIns="18000" tIns="0" rIns="18000" bIns="0" anchor="ctr" anchorCtr="1">
                <a:spAutoFit/>
              </a:bodyPr>
              <a:lstStyle/>
              <a:p>
                <a:pPr>
                  <a:defRPr sz="650" b="1" baseline="0">
                    <a:solidFill>
                      <a:srgbClr val="1A1A1A"/>
                    </a:solidFill>
                    <a:latin typeface="Liberation Sans"/>
                  </a:defRPr>
                </a:pPr>
                <a:endParaRPr lang="en-US"/>
              </a:p>
            </c:txPr>
            <c:dLblPos val="t"/>
            <c:showVal val="1"/>
          </c:dLbls>
          <c:cat>
            <c:numRef>
              <c:f>Dashboard_Daten!$CH$251:$CQ$251</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Dashboard_Daten!$CH$255:$CQ$255</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90001"/>
        <c:axId val="50190002"/>
      </c:lineChart>
      <c:catAx>
        <c:axId val="50190001"/>
        <c:scaling>
          <c:orientation val="minMax"/>
        </c:scaling>
        <c:axPos val="b"/>
        <c:numFmt formatCode="General" sourceLinked="1"/>
        <c:majorTickMark val="none"/>
        <c:minorTickMark val="none"/>
        <c:tickLblPos val="none"/>
        <c:spPr>
          <a:ln w="9525">
            <a:solidFill>
              <a:srgbClr val="BFBFBF"/>
            </a:solidFill>
          </a:ln>
        </c:spPr>
        <c:crossAx val="50190002"/>
        <c:crosses val="autoZero"/>
        <c:auto val="1"/>
        <c:lblAlgn val="ctr"/>
        <c:lblOffset val="100"/>
      </c:catAx>
      <c:valAx>
        <c:axId val="50190002"/>
        <c:scaling>
          <c:orientation val="minMax"/>
          <c:min val="0"/>
        </c:scaling>
        <c:delete val="1"/>
        <c:axPos val="l"/>
        <c:numFmt formatCode="General" sourceLinked="1"/>
        <c:tickLblPos val="nextTo"/>
        <c:crossAx val="5019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
          <c:w val="0.95999999999999996"/>
          <c:h val="0.62585034013605445"/>
        </c:manualLayout>
      </c:layout>
      <c:barChart>
        <c:barDir val="col"/>
        <c:grouping val="clustered"/>
        <c:ser>
          <c:idx val="0"/>
          <c:order val="0"/>
          <c:tx>
            <c:v>Zunahmen</c:v>
          </c:tx>
          <c:spPr>
            <a:solidFill>
              <a:srgbClr val="BF1528"/>
            </a:solidFill>
            <a:ln>
              <a:noFill/>
            </a:ln>
          </c:spPr>
          <c:cat>
            <c:numRef>
              <c:f>Dashboard_Daten!$CH$251:$CQ$251</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Dashboard_Daten!$CH$269:$CQ$269</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Abnahmen</c:v>
          </c:tx>
          <c:spPr>
            <a:solidFill>
              <a:srgbClr val="009284"/>
            </a:solidFill>
            <a:ln>
              <a:noFill/>
            </a:ln>
          </c:spPr>
          <c:cat>
            <c:numRef>
              <c:f>Dashboard_Daten!$CH$251:$CQ$251</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Dashboard_Daten!$CH$270:$CQ$270</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135"/>
        <c:overlap val="-5"/>
        <c:axId val="50200001"/>
        <c:axId val="50200002"/>
      </c:barChart>
      <c:barChart>
        <c:barDir val="col"/>
        <c:grouping val="clustered"/>
        <c:ser>
          <c:idx val="2"/>
          <c:order val="2"/>
          <c:tx>
            <c:v>Wert Zunahmen</c:v>
          </c:tx>
          <c:spPr>
            <a:noFill/>
            <a:ln>
              <a:noFill/>
            </a:ln>
          </c:spPr>
          <c:dLbls>
            <c:dLbl>
              <c:idx val="0"/>
              <c:layout/>
              <c:tx>
                <c:strRef>
                  <c:f>Dashboard_Daten!$CH$272</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1"/>
              <c:layout/>
              <c:tx>
                <c:strRef>
                  <c:f>Dashboard_Daten!$CI$272</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2"/>
              <c:layout/>
              <c:tx>
                <c:strRef>
                  <c:f>Dashboard_Daten!$CJ$272</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3"/>
              <c:layout/>
              <c:tx>
                <c:strRef>
                  <c:f>Dashboard_Daten!$CK$272</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4"/>
              <c:layout/>
              <c:tx>
                <c:strRef>
                  <c:f>Dashboard_Daten!$CL$272</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5"/>
              <c:layout/>
              <c:tx>
                <c:strRef>
                  <c:f>Dashboard_Daten!$CM$272</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6"/>
              <c:layout/>
              <c:tx>
                <c:strRef>
                  <c:f>Dashboard_Daten!$CN$272</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7"/>
              <c:layout/>
              <c:tx>
                <c:strRef>
                  <c:f>Dashboard_Daten!$CO$272</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8"/>
              <c:layout/>
              <c:tx>
                <c:strRef>
                  <c:f>Dashboard_Daten!$CP$272</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9"/>
              <c:layout/>
              <c:tx>
                <c:strRef>
                  <c:f>Dashboard_Daten!$CQ$272</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s>
          <c:cat>
            <c:numRef>
              <c:f>Dashboard_Daten!$CH$251:$CQ$251</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Dashboard_Daten!$CH$271:$CQ$271</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3"/>
          <c:order val="3"/>
          <c:tx>
            <c:v>Wert Abnahmen</c:v>
          </c:tx>
          <c:spPr>
            <a:noFill/>
            <a:ln>
              <a:noFill/>
            </a:ln>
          </c:spPr>
          <c:dLbls>
            <c:dLbl>
              <c:idx val="0"/>
              <c:layout/>
              <c:tx>
                <c:strRef>
                  <c:f>Dashboard_Daten!$CH$274</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1"/>
              <c:layout/>
              <c:tx>
                <c:strRef>
                  <c:f>Dashboard_Daten!$CI$274</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2"/>
              <c:layout/>
              <c:tx>
                <c:strRef>
                  <c:f>Dashboard_Daten!$CJ$274</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3"/>
              <c:layout/>
              <c:tx>
                <c:strRef>
                  <c:f>Dashboard_Daten!$CK$274</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4"/>
              <c:layout/>
              <c:tx>
                <c:strRef>
                  <c:f>Dashboard_Daten!$CL$274</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5"/>
              <c:layout/>
              <c:tx>
                <c:strRef>
                  <c:f>Dashboard_Daten!$CM$274</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6"/>
              <c:layout/>
              <c:tx>
                <c:strRef>
                  <c:f>Dashboard_Daten!$CN$274</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7"/>
              <c:layout/>
              <c:tx>
                <c:strRef>
                  <c:f>Dashboard_Daten!$CO$274</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8"/>
              <c:layout/>
              <c:tx>
                <c:strRef>
                  <c:f>Dashboard_Daten!$CP$274</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9"/>
              <c:layout/>
              <c:tx>
                <c:strRef>
                  <c:f>Dashboard_Daten!$CQ$274</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s>
          <c:cat>
            <c:numRef>
              <c:f>Dashboard_Daten!$CH$251:$CQ$251</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Dashboard_Daten!$CH$273:$CQ$273</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135"/>
        <c:overlap val="-5"/>
        <c:axId val="60200001"/>
        <c:axId val="60200002"/>
      </c:barChart>
      <c:catAx>
        <c:axId val="5020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200002"/>
        <c:crosses val="autoZero"/>
        <c:auto val="1"/>
        <c:lblAlgn val="ctr"/>
        <c:lblOffset val="100"/>
        <c:tickLblSkip val="1"/>
      </c:catAx>
      <c:valAx>
        <c:axId val="50200002"/>
        <c:scaling>
          <c:orientation val="minMax"/>
          <c:max val="1.614035087719298"/>
          <c:min val="0"/>
        </c:scaling>
        <c:delete val="1"/>
        <c:axPos val="l"/>
        <c:numFmt formatCode="General" sourceLinked="1"/>
        <c:tickLblPos val="nextTo"/>
        <c:crossAx val="50200001"/>
        <c:crosses val="autoZero"/>
        <c:crossBetween val="between"/>
      </c:valAx>
      <c:valAx>
        <c:axId val="60200002"/>
        <c:scaling>
          <c:orientation val="minMax"/>
          <c:max val="1.614035087719298"/>
          <c:min val="0"/>
        </c:scaling>
        <c:delete val="1"/>
        <c:axPos val="r"/>
        <c:numFmt formatCode="General" sourceLinked="1"/>
        <c:tickLblPos val="nextTo"/>
        <c:crossAx val="60200001"/>
        <c:crosses val="max"/>
        <c:crossBetween val="between"/>
      </c:valAx>
      <c:catAx>
        <c:axId val="60200001"/>
        <c:scaling>
          <c:orientation val="minMax"/>
        </c:scaling>
        <c:delete val="1"/>
        <c:axPos val="b"/>
        <c:numFmt formatCode="General" sourceLinked="1"/>
        <c:tickLblPos val="none"/>
        <c:crossAx val="60200002"/>
        <c:crosses val="autoZero"/>
        <c:auto val="1"/>
        <c:lblAlgn val="ctr"/>
        <c:lblOffset val="100"/>
      </c:cat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
          <c:w val="0.95999999999999996"/>
          <c:h val="1"/>
        </c:manualLayout>
      </c:layout>
      <c:lineChart>
        <c:grouping val="standard"/>
        <c:ser>
          <c:idx val="0"/>
          <c:order val="0"/>
          <c:tx>
            <c:v>Delta auf</c:v>
          </c:tx>
          <c:spPr>
            <a:ln>
              <a:noFill/>
            </a:ln>
          </c:spPr>
          <c:marker>
            <c:symbol val="none"/>
          </c:marker>
          <c:dLbls>
            <c:dLbl>
              <c:idx val="0"/>
              <c:layout/>
              <c:tx>
                <c:strRef>
                  <c:f>Dashboard_Daten!$CH$278</c:f>
                  <c:strCache>
                    <c:ptCount val="1"/>
                    <c:pt idx="0">
                      <c:v>0</c:v>
                    </c:pt>
                  </c:strCache>
                </c:strRef>
              </c:tx>
              <c:dLblPos val="ctr"/>
              <c:showVal val="1"/>
            </c:dLbl>
            <c:dLbl>
              <c:idx val="1"/>
              <c:layout/>
              <c:tx>
                <c:strRef>
                  <c:f>Dashboard_Daten!$CI$278</c:f>
                  <c:strCache>
                    <c:ptCount val="1"/>
                    <c:pt idx="0">
                      <c:v>0</c:v>
                    </c:pt>
                  </c:strCache>
                </c:strRef>
              </c:tx>
              <c:dLblPos val="ctr"/>
              <c:showVal val="1"/>
            </c:dLbl>
            <c:dLbl>
              <c:idx val="2"/>
              <c:layout/>
              <c:tx>
                <c:strRef>
                  <c:f>Dashboard_Daten!$CJ$278</c:f>
                  <c:strCache>
                    <c:ptCount val="1"/>
                    <c:pt idx="0">
                      <c:v>0</c:v>
                    </c:pt>
                  </c:strCache>
                </c:strRef>
              </c:tx>
              <c:dLblPos val="ctr"/>
              <c:showVal val="1"/>
            </c:dLbl>
            <c:dLbl>
              <c:idx val="3"/>
              <c:layout/>
              <c:tx>
                <c:strRef>
                  <c:f>Dashboard_Daten!$CK$278</c:f>
                  <c:strCache>
                    <c:ptCount val="1"/>
                    <c:pt idx="0">
                      <c:v>0</c:v>
                    </c:pt>
                  </c:strCache>
                </c:strRef>
              </c:tx>
              <c:dLblPos val="ctr"/>
              <c:showVal val="1"/>
            </c:dLbl>
            <c:dLbl>
              <c:idx val="4"/>
              <c:layout/>
              <c:tx>
                <c:strRef>
                  <c:f>Dashboard_Daten!$CL$278</c:f>
                  <c:strCache>
                    <c:ptCount val="1"/>
                    <c:pt idx="0">
                      <c:v>0</c:v>
                    </c:pt>
                  </c:strCache>
                </c:strRef>
              </c:tx>
              <c:dLblPos val="ctr"/>
              <c:showVal val="1"/>
            </c:dLbl>
            <c:dLbl>
              <c:idx val="5"/>
              <c:layout/>
              <c:tx>
                <c:strRef>
                  <c:f>Dashboard_Daten!$CM$278</c:f>
                  <c:strCache>
                    <c:ptCount val="1"/>
                    <c:pt idx="0">
                      <c:v>0</c:v>
                    </c:pt>
                  </c:strCache>
                </c:strRef>
              </c:tx>
              <c:dLblPos val="ctr"/>
              <c:showVal val="1"/>
            </c:dLbl>
            <c:dLbl>
              <c:idx val="6"/>
              <c:layout/>
              <c:tx>
                <c:strRef>
                  <c:f>Dashboard_Daten!$CN$278</c:f>
                  <c:strCache>
                    <c:ptCount val="1"/>
                    <c:pt idx="0">
                      <c:v>0</c:v>
                    </c:pt>
                  </c:strCache>
                </c:strRef>
              </c:tx>
              <c:dLblPos val="ctr"/>
              <c:showVal val="1"/>
            </c:dLbl>
            <c:dLbl>
              <c:idx val="7"/>
              <c:layout/>
              <c:tx>
                <c:strRef>
                  <c:f>Dashboard_Daten!$CO$278</c:f>
                  <c:strCache>
                    <c:ptCount val="1"/>
                    <c:pt idx="0">
                      <c:v>0</c:v>
                    </c:pt>
                  </c:strCache>
                </c:strRef>
              </c:tx>
              <c:dLblPos val="ctr"/>
              <c:showVal val="1"/>
            </c:dLbl>
            <c:dLbl>
              <c:idx val="8"/>
              <c:layout/>
              <c:tx>
                <c:strRef>
                  <c:f>Dashboard_Daten!$CP$278</c:f>
                  <c:strCache>
                    <c:ptCount val="1"/>
                    <c:pt idx="0">
                      <c:v>0</c:v>
                    </c:pt>
                  </c:strCache>
                </c:strRef>
              </c:tx>
              <c:dLblPos val="ctr"/>
              <c:showVal val="1"/>
            </c:dLbl>
            <c:dLbl>
              <c:idx val="9"/>
              <c:layout/>
              <c:tx>
                <c:strRef>
                  <c:f>Dashboard_Daten!$CQ$278</c:f>
                  <c:strCache>
                    <c:ptCount val="1"/>
                    <c:pt idx="0">
                      <c:v>0</c:v>
                    </c:pt>
                  </c:strCache>
                </c:strRef>
              </c:tx>
              <c:dLblPos val="ctr"/>
              <c:showVal val="1"/>
            </c:dLbl>
            <c:txPr>
              <a:bodyPr wrap="none" lIns="18000" tIns="0" rIns="18000" bIns="0" anchor="ctr" anchorCtr="1">
                <a:spAutoFit/>
              </a:bodyPr>
              <a:lstStyle/>
              <a:p>
                <a:pPr>
                  <a:defRPr sz="600" b="1" baseline="0">
                    <a:solidFill>
                      <a:srgbClr val="8A5A00"/>
                    </a:solidFill>
                    <a:latin typeface="Liberation Sans"/>
                  </a:defRPr>
                </a:pPr>
                <a:endParaRPr lang="en-US"/>
              </a:p>
            </c:txPr>
            <c:dLblPos val="ctr"/>
            <c:showVal val="1"/>
          </c:dLbls>
          <c:cat>
            <c:numRef>
              <c:f>Dashboard_Daten!$CH$251:$CQ$251</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Dashboard_Daten!$CH$275:$CQ$275</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Delta ab</c:v>
          </c:tx>
          <c:spPr>
            <a:ln>
              <a:noFill/>
            </a:ln>
          </c:spPr>
          <c:marker>
            <c:symbol val="none"/>
          </c:marker>
          <c:dLbls>
            <c:dLbl>
              <c:idx val="0"/>
              <c:layout/>
              <c:tx>
                <c:strRef>
                  <c:f>Dashboard_Daten!$CH$278</c:f>
                  <c:strCache>
                    <c:ptCount val="1"/>
                    <c:pt idx="0">
                      <c:v>0</c:v>
                    </c:pt>
                  </c:strCache>
                </c:strRef>
              </c:tx>
              <c:dLblPos val="ctr"/>
              <c:showVal val="1"/>
            </c:dLbl>
            <c:dLbl>
              <c:idx val="1"/>
              <c:layout/>
              <c:tx>
                <c:strRef>
                  <c:f>Dashboard_Daten!$CI$278</c:f>
                  <c:strCache>
                    <c:ptCount val="1"/>
                    <c:pt idx="0">
                      <c:v>0</c:v>
                    </c:pt>
                  </c:strCache>
                </c:strRef>
              </c:tx>
              <c:dLblPos val="ctr"/>
              <c:showVal val="1"/>
            </c:dLbl>
            <c:dLbl>
              <c:idx val="2"/>
              <c:layout/>
              <c:tx>
                <c:strRef>
                  <c:f>Dashboard_Daten!$CJ$278</c:f>
                  <c:strCache>
                    <c:ptCount val="1"/>
                    <c:pt idx="0">
                      <c:v>0</c:v>
                    </c:pt>
                  </c:strCache>
                </c:strRef>
              </c:tx>
              <c:dLblPos val="ctr"/>
              <c:showVal val="1"/>
            </c:dLbl>
            <c:dLbl>
              <c:idx val="3"/>
              <c:layout/>
              <c:tx>
                <c:strRef>
                  <c:f>Dashboard_Daten!$CK$278</c:f>
                  <c:strCache>
                    <c:ptCount val="1"/>
                    <c:pt idx="0">
                      <c:v>0</c:v>
                    </c:pt>
                  </c:strCache>
                </c:strRef>
              </c:tx>
              <c:dLblPos val="ctr"/>
              <c:showVal val="1"/>
            </c:dLbl>
            <c:dLbl>
              <c:idx val="4"/>
              <c:layout/>
              <c:tx>
                <c:strRef>
                  <c:f>Dashboard_Daten!$CL$278</c:f>
                  <c:strCache>
                    <c:ptCount val="1"/>
                    <c:pt idx="0">
                      <c:v>0</c:v>
                    </c:pt>
                  </c:strCache>
                </c:strRef>
              </c:tx>
              <c:dLblPos val="ctr"/>
              <c:showVal val="1"/>
            </c:dLbl>
            <c:dLbl>
              <c:idx val="5"/>
              <c:layout/>
              <c:tx>
                <c:strRef>
                  <c:f>Dashboard_Daten!$CM$278</c:f>
                  <c:strCache>
                    <c:ptCount val="1"/>
                    <c:pt idx="0">
                      <c:v>0</c:v>
                    </c:pt>
                  </c:strCache>
                </c:strRef>
              </c:tx>
              <c:dLblPos val="ctr"/>
              <c:showVal val="1"/>
            </c:dLbl>
            <c:dLbl>
              <c:idx val="6"/>
              <c:layout/>
              <c:tx>
                <c:strRef>
                  <c:f>Dashboard_Daten!$CN$278</c:f>
                  <c:strCache>
                    <c:ptCount val="1"/>
                    <c:pt idx="0">
                      <c:v>0</c:v>
                    </c:pt>
                  </c:strCache>
                </c:strRef>
              </c:tx>
              <c:dLblPos val="ctr"/>
              <c:showVal val="1"/>
            </c:dLbl>
            <c:dLbl>
              <c:idx val="7"/>
              <c:layout/>
              <c:tx>
                <c:strRef>
                  <c:f>Dashboard_Daten!$CO$278</c:f>
                  <c:strCache>
                    <c:ptCount val="1"/>
                    <c:pt idx="0">
                      <c:v>0</c:v>
                    </c:pt>
                  </c:strCache>
                </c:strRef>
              </c:tx>
              <c:dLblPos val="ctr"/>
              <c:showVal val="1"/>
            </c:dLbl>
            <c:dLbl>
              <c:idx val="8"/>
              <c:layout/>
              <c:tx>
                <c:strRef>
                  <c:f>Dashboard_Daten!$CP$278</c:f>
                  <c:strCache>
                    <c:ptCount val="1"/>
                    <c:pt idx="0">
                      <c:v>0</c:v>
                    </c:pt>
                  </c:strCache>
                </c:strRef>
              </c:tx>
              <c:dLblPos val="ctr"/>
              <c:showVal val="1"/>
            </c:dLbl>
            <c:dLbl>
              <c:idx val="9"/>
              <c:layout/>
              <c:tx>
                <c:strRef>
                  <c:f>Dashboard_Daten!$CQ$278</c:f>
                  <c:strCache>
                    <c:ptCount val="1"/>
                    <c:pt idx="0">
                      <c:v>0</c:v>
                    </c:pt>
                  </c:strCache>
                </c:strRef>
              </c:tx>
              <c:dLblPos val="ctr"/>
              <c:showVal val="1"/>
            </c:dLbl>
            <c:txPr>
              <a:bodyPr wrap="none" lIns="18000" tIns="0" rIns="18000" bIns="0" anchor="ctr" anchorCtr="1">
                <a:spAutoFit/>
              </a:bodyPr>
              <a:lstStyle/>
              <a:p>
                <a:pPr>
                  <a:defRPr sz="600" b="1" baseline="0">
                    <a:solidFill>
                      <a:srgbClr val="1E7F4F"/>
                    </a:solidFill>
                    <a:latin typeface="Liberation Sans"/>
                  </a:defRPr>
                </a:pPr>
                <a:endParaRPr lang="en-US"/>
              </a:p>
            </c:txPr>
            <c:dLblPos val="ctr"/>
            <c:showVal val="1"/>
          </c:dLbls>
          <c:cat>
            <c:numRef>
              <c:f>Dashboard_Daten!$CH$251:$CQ$251</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Dashboard_Daten!$CH$276:$CQ$276</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Delta null</c:v>
          </c:tx>
          <c:spPr>
            <a:ln>
              <a:noFill/>
            </a:ln>
          </c:spPr>
          <c:marker>
            <c:symbol val="none"/>
          </c:marker>
          <c:dLbls>
            <c:dLbl>
              <c:idx val="0"/>
              <c:layout/>
              <c:tx>
                <c:strRef>
                  <c:f>Dashboard_Daten!$CH$278</c:f>
                  <c:strCache>
                    <c:ptCount val="1"/>
                    <c:pt idx="0">
                      <c:v>0</c:v>
                    </c:pt>
                  </c:strCache>
                </c:strRef>
              </c:tx>
              <c:dLblPos val="ctr"/>
              <c:showVal val="1"/>
            </c:dLbl>
            <c:dLbl>
              <c:idx val="1"/>
              <c:layout/>
              <c:tx>
                <c:strRef>
                  <c:f>Dashboard_Daten!$CI$278</c:f>
                  <c:strCache>
                    <c:ptCount val="1"/>
                    <c:pt idx="0">
                      <c:v>0</c:v>
                    </c:pt>
                  </c:strCache>
                </c:strRef>
              </c:tx>
              <c:dLblPos val="ctr"/>
              <c:showVal val="1"/>
            </c:dLbl>
            <c:dLbl>
              <c:idx val="2"/>
              <c:layout/>
              <c:tx>
                <c:strRef>
                  <c:f>Dashboard_Daten!$CJ$278</c:f>
                  <c:strCache>
                    <c:ptCount val="1"/>
                    <c:pt idx="0">
                      <c:v>0</c:v>
                    </c:pt>
                  </c:strCache>
                </c:strRef>
              </c:tx>
              <c:dLblPos val="ctr"/>
              <c:showVal val="1"/>
            </c:dLbl>
            <c:dLbl>
              <c:idx val="3"/>
              <c:layout/>
              <c:tx>
                <c:strRef>
                  <c:f>Dashboard_Daten!$CK$278</c:f>
                  <c:strCache>
                    <c:ptCount val="1"/>
                    <c:pt idx="0">
                      <c:v>0</c:v>
                    </c:pt>
                  </c:strCache>
                </c:strRef>
              </c:tx>
              <c:dLblPos val="ctr"/>
              <c:showVal val="1"/>
            </c:dLbl>
            <c:dLbl>
              <c:idx val="4"/>
              <c:layout/>
              <c:tx>
                <c:strRef>
                  <c:f>Dashboard_Daten!$CL$278</c:f>
                  <c:strCache>
                    <c:ptCount val="1"/>
                    <c:pt idx="0">
                      <c:v>0</c:v>
                    </c:pt>
                  </c:strCache>
                </c:strRef>
              </c:tx>
              <c:dLblPos val="ctr"/>
              <c:showVal val="1"/>
            </c:dLbl>
            <c:dLbl>
              <c:idx val="5"/>
              <c:layout/>
              <c:tx>
                <c:strRef>
                  <c:f>Dashboard_Daten!$CM$278</c:f>
                  <c:strCache>
                    <c:ptCount val="1"/>
                    <c:pt idx="0">
                      <c:v>0</c:v>
                    </c:pt>
                  </c:strCache>
                </c:strRef>
              </c:tx>
              <c:dLblPos val="ctr"/>
              <c:showVal val="1"/>
            </c:dLbl>
            <c:dLbl>
              <c:idx val="6"/>
              <c:layout/>
              <c:tx>
                <c:strRef>
                  <c:f>Dashboard_Daten!$CN$278</c:f>
                  <c:strCache>
                    <c:ptCount val="1"/>
                    <c:pt idx="0">
                      <c:v>0</c:v>
                    </c:pt>
                  </c:strCache>
                </c:strRef>
              </c:tx>
              <c:dLblPos val="ctr"/>
              <c:showVal val="1"/>
            </c:dLbl>
            <c:dLbl>
              <c:idx val="7"/>
              <c:layout/>
              <c:tx>
                <c:strRef>
                  <c:f>Dashboard_Daten!$CO$278</c:f>
                  <c:strCache>
                    <c:ptCount val="1"/>
                    <c:pt idx="0">
                      <c:v>0</c:v>
                    </c:pt>
                  </c:strCache>
                </c:strRef>
              </c:tx>
              <c:dLblPos val="ctr"/>
              <c:showVal val="1"/>
            </c:dLbl>
            <c:dLbl>
              <c:idx val="8"/>
              <c:layout/>
              <c:tx>
                <c:strRef>
                  <c:f>Dashboard_Daten!$CP$278</c:f>
                  <c:strCache>
                    <c:ptCount val="1"/>
                    <c:pt idx="0">
                      <c:v>0</c:v>
                    </c:pt>
                  </c:strCache>
                </c:strRef>
              </c:tx>
              <c:dLblPos val="ctr"/>
              <c:showVal val="1"/>
            </c:dLbl>
            <c:dLbl>
              <c:idx val="9"/>
              <c:layout/>
              <c:tx>
                <c:strRef>
                  <c:f>Dashboard_Daten!$CQ$278</c:f>
                  <c:strCache>
                    <c:ptCount val="1"/>
                    <c:pt idx="0">
                      <c:v>0</c:v>
                    </c:pt>
                  </c:strCache>
                </c:strRef>
              </c:tx>
              <c:dLblPos val="ctr"/>
              <c:showVal val="1"/>
            </c:dLbl>
            <c:txPr>
              <a:bodyPr wrap="none" lIns="18000" tIns="0" rIns="18000" bIns="0" anchor="ctr" anchorCtr="1">
                <a:spAutoFit/>
              </a:bodyPr>
              <a:lstStyle/>
              <a:p>
                <a:pPr>
                  <a:defRPr sz="600" b="1" baseline="0">
                    <a:solidFill>
                      <a:srgbClr val="6B6B6B"/>
                    </a:solidFill>
                    <a:latin typeface="Liberation Sans"/>
                  </a:defRPr>
                </a:pPr>
                <a:endParaRPr lang="en-US"/>
              </a:p>
            </c:txPr>
            <c:dLblPos val="ctr"/>
            <c:showVal val="1"/>
          </c:dLbls>
          <c:cat>
            <c:numRef>
              <c:f>Dashboard_Daten!$CH$251:$CQ$251</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Dashboard_Daten!$CH$277:$CQ$277</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210001"/>
        <c:axId val="50210002"/>
      </c:lineChart>
      <c:catAx>
        <c:axId val="50210001"/>
        <c:scaling>
          <c:orientation val="minMax"/>
        </c:scaling>
        <c:axPos val="b"/>
        <c:numFmt formatCode="General" sourceLinked="1"/>
        <c:majorTickMark val="none"/>
        <c:minorTickMark val="none"/>
        <c:tickLblPos val="none"/>
        <c:spPr>
          <a:ln>
            <a:noFill/>
          </a:ln>
        </c:spPr>
        <c:crossAx val="50210002"/>
        <c:crosses val="autoZero"/>
        <c:auto val="1"/>
        <c:lblAlgn val="ctr"/>
        <c:lblOffset val="100"/>
      </c:catAx>
      <c:valAx>
        <c:axId val="50210002"/>
        <c:scaling>
          <c:orientation val="minMax"/>
          <c:max val="1"/>
          <c:min val="0"/>
        </c:scaling>
        <c:delete val="1"/>
        <c:axPos val="l"/>
        <c:numFmt formatCode="General" sourceLinked="1"/>
        <c:tickLblPos val="nextTo"/>
        <c:crossAx val="5021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6"/>
          <c:w val="0.95999999999999996"/>
          <c:h val="0.80000000000000004"/>
        </c:manualLayout>
      </c:layout>
      <c:barChart>
        <c:barDir val="col"/>
        <c:grouping val="stacked"/>
        <c:ser>
          <c:idx val="0"/>
          <c:order val="0"/>
          <c:tx>
            <c:v>Sev 4</c:v>
          </c:tx>
          <c:spPr>
            <a:solidFill>
              <a:srgbClr val="B31767"/>
            </a:solidFill>
            <a:ln>
              <a:noFill/>
            </a:ln>
          </c:spPr>
          <c:dLbls>
            <c:numFmt formatCode="#,##0" sourceLinked="0"/>
            <c:spPr>
              <a:solidFill>
                <a:srgbClr val="B31767"/>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s>
          <c:cat>
            <c:numRef>
              <c:f>Dashboard_Daten!$CH$282:$CQ$282</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Dashboard_Daten!$CH$283:$CQ$283</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Sev 3</c:v>
          </c:tx>
          <c:spPr>
            <a:solidFill>
              <a:srgbClr val="808080"/>
            </a:solidFill>
            <a:ln>
              <a:noFill/>
            </a:ln>
          </c:spPr>
          <c:dLbls>
            <c:numFmt formatCode="#,##0" sourceLinked="0"/>
            <c:spPr>
              <a:solidFill>
                <a:srgbClr val="808080"/>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s>
          <c:cat>
            <c:numRef>
              <c:f>Dashboard_Daten!$CH$282:$CQ$282</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Dashboard_Daten!$CH$284:$CQ$284</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Sev 1+2</c:v>
          </c:tx>
          <c:spPr>
            <a:solidFill>
              <a:srgbClr val="1A1A1A"/>
            </a:solidFill>
            <a:ln>
              <a:noFill/>
            </a:ln>
          </c:spPr>
          <c:dLbls>
            <c:numFmt formatCode="#,##0" sourceLinked="0"/>
            <c:spPr>
              <a:solidFill>
                <a:srgbClr val="1A1A1A"/>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s>
          <c:cat>
            <c:numRef>
              <c:f>Dashboard_Daten!$CH$282:$CQ$282</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Dashboard_Daten!$CH$285:$CQ$285</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45"/>
        <c:overlap val="100"/>
        <c:axId val="50220001"/>
        <c:axId val="50220002"/>
      </c:barChart>
      <c:lineChart>
        <c:grouping val="standard"/>
        <c:ser>
          <c:idx val="3"/>
          <c:order val="3"/>
          <c:tx>
            <c:v>Summe</c:v>
          </c:tx>
          <c:spPr>
            <a:ln>
              <a:noFill/>
            </a:ln>
          </c:spPr>
          <c:marker>
            <c:symbol val="none"/>
          </c:marker>
          <c:dLbls>
            <c:dLbl>
              <c:idx val="0"/>
              <c:layout/>
              <c:tx>
                <c:strRef>
                  <c:f>Dashboard_Daten!$CH$287</c:f>
                  <c:strCache>
                    <c:ptCount val="1"/>
                    <c:pt idx="0">
                      <c:v>0</c:v>
                    </c:pt>
                  </c:strCache>
                </c:strRef>
              </c:tx>
              <c:dLblPos val="t"/>
              <c:showVal val="1"/>
            </c:dLbl>
            <c:dLbl>
              <c:idx val="1"/>
              <c:layout/>
              <c:tx>
                <c:strRef>
                  <c:f>Dashboard_Daten!$CI$287</c:f>
                  <c:strCache>
                    <c:ptCount val="1"/>
                    <c:pt idx="0">
                      <c:v>0</c:v>
                    </c:pt>
                  </c:strCache>
                </c:strRef>
              </c:tx>
              <c:dLblPos val="t"/>
              <c:showVal val="1"/>
            </c:dLbl>
            <c:dLbl>
              <c:idx val="2"/>
              <c:layout/>
              <c:tx>
                <c:strRef>
                  <c:f>Dashboard_Daten!$CJ$287</c:f>
                  <c:strCache>
                    <c:ptCount val="1"/>
                    <c:pt idx="0">
                      <c:v>0</c:v>
                    </c:pt>
                  </c:strCache>
                </c:strRef>
              </c:tx>
              <c:dLblPos val="t"/>
              <c:showVal val="1"/>
            </c:dLbl>
            <c:dLbl>
              <c:idx val="3"/>
              <c:layout/>
              <c:tx>
                <c:strRef>
                  <c:f>Dashboard_Daten!$CK$287</c:f>
                  <c:strCache>
                    <c:ptCount val="1"/>
                    <c:pt idx="0">
                      <c:v>0</c:v>
                    </c:pt>
                  </c:strCache>
                </c:strRef>
              </c:tx>
              <c:dLblPos val="t"/>
              <c:showVal val="1"/>
            </c:dLbl>
            <c:dLbl>
              <c:idx val="4"/>
              <c:layout/>
              <c:tx>
                <c:strRef>
                  <c:f>Dashboard_Daten!$CL$287</c:f>
                  <c:strCache>
                    <c:ptCount val="1"/>
                    <c:pt idx="0">
                      <c:v>0</c:v>
                    </c:pt>
                  </c:strCache>
                </c:strRef>
              </c:tx>
              <c:dLblPos val="t"/>
              <c:showVal val="1"/>
            </c:dLbl>
            <c:dLbl>
              <c:idx val="5"/>
              <c:layout/>
              <c:tx>
                <c:strRef>
                  <c:f>Dashboard_Daten!$CM$287</c:f>
                  <c:strCache>
                    <c:ptCount val="1"/>
                    <c:pt idx="0">
                      <c:v>0</c:v>
                    </c:pt>
                  </c:strCache>
                </c:strRef>
              </c:tx>
              <c:dLblPos val="t"/>
              <c:showVal val="1"/>
            </c:dLbl>
            <c:dLbl>
              <c:idx val="6"/>
              <c:layout/>
              <c:tx>
                <c:strRef>
                  <c:f>Dashboard_Daten!$CN$287</c:f>
                  <c:strCache>
                    <c:ptCount val="1"/>
                    <c:pt idx="0">
                      <c:v>0</c:v>
                    </c:pt>
                  </c:strCache>
                </c:strRef>
              </c:tx>
              <c:dLblPos val="t"/>
              <c:showVal val="1"/>
            </c:dLbl>
            <c:dLbl>
              <c:idx val="7"/>
              <c:layout/>
              <c:tx>
                <c:strRef>
                  <c:f>Dashboard_Daten!$CO$287</c:f>
                  <c:strCache>
                    <c:ptCount val="1"/>
                    <c:pt idx="0">
                      <c:v>0</c:v>
                    </c:pt>
                  </c:strCache>
                </c:strRef>
              </c:tx>
              <c:dLblPos val="t"/>
              <c:showVal val="1"/>
            </c:dLbl>
            <c:dLbl>
              <c:idx val="8"/>
              <c:layout/>
              <c:tx>
                <c:strRef>
                  <c:f>Dashboard_Daten!$CP$287</c:f>
                  <c:strCache>
                    <c:ptCount val="1"/>
                    <c:pt idx="0">
                      <c:v>0</c:v>
                    </c:pt>
                  </c:strCache>
                </c:strRef>
              </c:tx>
              <c:dLblPos val="t"/>
              <c:showVal val="1"/>
            </c:dLbl>
            <c:dLbl>
              <c:idx val="9"/>
              <c:layout/>
              <c:tx>
                <c:strRef>
                  <c:f>Dashboard_Daten!$CQ$287</c:f>
                  <c:strCache>
                    <c:ptCount val="1"/>
                    <c:pt idx="0">
                      <c:v>0</c:v>
                    </c:pt>
                  </c:strCache>
                </c:strRef>
              </c:tx>
              <c:dLblPos val="t"/>
              <c:showVal val="1"/>
            </c:dLbl>
            <c:txPr>
              <a:bodyPr wrap="none" lIns="18000" tIns="0" rIns="18000" bIns="0" anchor="ctr" anchorCtr="1">
                <a:spAutoFit/>
              </a:bodyPr>
              <a:lstStyle/>
              <a:p>
                <a:pPr>
                  <a:defRPr sz="650" b="1" baseline="0">
                    <a:solidFill>
                      <a:srgbClr val="1A1A1A"/>
                    </a:solidFill>
                    <a:latin typeface="Liberation Sans"/>
                  </a:defRPr>
                </a:pPr>
                <a:endParaRPr lang="en-US"/>
              </a:p>
            </c:txPr>
            <c:dLblPos val="t"/>
            <c:showVal val="1"/>
          </c:dLbls>
          <c:cat>
            <c:numRef>
              <c:f>Dashboard_Daten!$CH$282:$CQ$282</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Dashboard_Daten!$CH$286:$CQ$286</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220001"/>
        <c:axId val="50220002"/>
      </c:lineChart>
      <c:catAx>
        <c:axId val="50220001"/>
        <c:scaling>
          <c:orientation val="minMax"/>
        </c:scaling>
        <c:axPos val="b"/>
        <c:numFmt formatCode="General" sourceLinked="1"/>
        <c:majorTickMark val="none"/>
        <c:minorTickMark val="none"/>
        <c:tickLblPos val="none"/>
        <c:spPr>
          <a:ln w="9525">
            <a:solidFill>
              <a:srgbClr val="BFBFBF"/>
            </a:solidFill>
          </a:ln>
        </c:spPr>
        <c:crossAx val="50220002"/>
        <c:crosses val="autoZero"/>
        <c:auto val="1"/>
        <c:lblAlgn val="ctr"/>
        <c:lblOffset val="100"/>
      </c:catAx>
      <c:valAx>
        <c:axId val="50220002"/>
        <c:scaling>
          <c:orientation val="minMax"/>
          <c:min val="0"/>
        </c:scaling>
        <c:delete val="1"/>
        <c:axPos val="l"/>
        <c:numFmt formatCode="General" sourceLinked="1"/>
        <c:tickLblPos val="nextTo"/>
        <c:crossAx val="5022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
          <c:w val="0.95999999999999996"/>
          <c:h val="0.62585034013605445"/>
        </c:manualLayout>
      </c:layout>
      <c:barChart>
        <c:barDir val="col"/>
        <c:grouping val="clustered"/>
        <c:ser>
          <c:idx val="0"/>
          <c:order val="0"/>
          <c:tx>
            <c:v>Zunahmen</c:v>
          </c:tx>
          <c:spPr>
            <a:solidFill>
              <a:srgbClr val="BF1528"/>
            </a:solidFill>
            <a:ln>
              <a:noFill/>
            </a:ln>
          </c:spPr>
          <c:cat>
            <c:numRef>
              <c:f>Dashboard_Daten!$CH$282:$CQ$282</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Dashboard_Daten!$CH$300:$CQ$300</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Abnahmen</c:v>
          </c:tx>
          <c:spPr>
            <a:solidFill>
              <a:srgbClr val="009284"/>
            </a:solidFill>
            <a:ln>
              <a:noFill/>
            </a:ln>
          </c:spPr>
          <c:cat>
            <c:numRef>
              <c:f>Dashboard_Daten!$CH$282:$CQ$282</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Dashboard_Daten!$CH$301:$CQ$301</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135"/>
        <c:overlap val="-5"/>
        <c:axId val="50230001"/>
        <c:axId val="50230002"/>
      </c:barChart>
      <c:barChart>
        <c:barDir val="col"/>
        <c:grouping val="clustered"/>
        <c:ser>
          <c:idx val="2"/>
          <c:order val="2"/>
          <c:tx>
            <c:v>Wert Zunahmen</c:v>
          </c:tx>
          <c:spPr>
            <a:noFill/>
            <a:ln>
              <a:noFill/>
            </a:ln>
          </c:spPr>
          <c:dLbls>
            <c:dLbl>
              <c:idx val="0"/>
              <c:layout/>
              <c:tx>
                <c:strRef>
                  <c:f>Dashboard_Daten!$CH$303</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1"/>
              <c:layout/>
              <c:tx>
                <c:strRef>
                  <c:f>Dashboard_Daten!$CI$303</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2"/>
              <c:layout/>
              <c:tx>
                <c:strRef>
                  <c:f>Dashboard_Daten!$CJ$303</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3"/>
              <c:layout/>
              <c:tx>
                <c:strRef>
                  <c:f>Dashboard_Daten!$CK$303</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4"/>
              <c:layout/>
              <c:tx>
                <c:strRef>
                  <c:f>Dashboard_Daten!$CL$303</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5"/>
              <c:layout/>
              <c:tx>
                <c:strRef>
                  <c:f>Dashboard_Daten!$CM$303</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6"/>
              <c:layout/>
              <c:tx>
                <c:strRef>
                  <c:f>Dashboard_Daten!$CN$303</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7"/>
              <c:layout/>
              <c:tx>
                <c:strRef>
                  <c:f>Dashboard_Daten!$CO$303</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8"/>
              <c:layout/>
              <c:tx>
                <c:strRef>
                  <c:f>Dashboard_Daten!$CP$303</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9"/>
              <c:layout/>
              <c:tx>
                <c:strRef>
                  <c:f>Dashboard_Daten!$CQ$303</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s>
          <c:cat>
            <c:numRef>
              <c:f>Dashboard_Daten!$CH$282:$CQ$282</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Dashboard_Daten!$CH$302:$CQ$302</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3"/>
          <c:order val="3"/>
          <c:tx>
            <c:v>Wert Abnahmen</c:v>
          </c:tx>
          <c:spPr>
            <a:noFill/>
            <a:ln>
              <a:noFill/>
            </a:ln>
          </c:spPr>
          <c:dLbls>
            <c:dLbl>
              <c:idx val="0"/>
              <c:layout/>
              <c:tx>
                <c:strRef>
                  <c:f>Dashboard_Daten!$CH$305</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1"/>
              <c:layout/>
              <c:tx>
                <c:strRef>
                  <c:f>Dashboard_Daten!$CI$305</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2"/>
              <c:layout/>
              <c:tx>
                <c:strRef>
                  <c:f>Dashboard_Daten!$CJ$305</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3"/>
              <c:layout/>
              <c:tx>
                <c:strRef>
                  <c:f>Dashboard_Daten!$CK$305</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4"/>
              <c:layout/>
              <c:tx>
                <c:strRef>
                  <c:f>Dashboard_Daten!$CL$305</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5"/>
              <c:layout/>
              <c:tx>
                <c:strRef>
                  <c:f>Dashboard_Daten!$CM$305</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6"/>
              <c:layout/>
              <c:tx>
                <c:strRef>
                  <c:f>Dashboard_Daten!$CN$305</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7"/>
              <c:layout/>
              <c:tx>
                <c:strRef>
                  <c:f>Dashboard_Daten!$CO$305</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8"/>
              <c:layout/>
              <c:tx>
                <c:strRef>
                  <c:f>Dashboard_Daten!$CP$305</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9"/>
              <c:layout/>
              <c:tx>
                <c:strRef>
                  <c:f>Dashboard_Daten!$CQ$305</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s>
          <c:cat>
            <c:numRef>
              <c:f>Dashboard_Daten!$CH$282:$CQ$282</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Dashboard_Daten!$CH$304:$CQ$304</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135"/>
        <c:overlap val="-5"/>
        <c:axId val="60230001"/>
        <c:axId val="60230002"/>
      </c:barChart>
      <c:catAx>
        <c:axId val="5023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230002"/>
        <c:crosses val="autoZero"/>
        <c:auto val="1"/>
        <c:lblAlgn val="ctr"/>
        <c:lblOffset val="100"/>
        <c:tickLblSkip val="1"/>
      </c:catAx>
      <c:valAx>
        <c:axId val="50230002"/>
        <c:scaling>
          <c:orientation val="minMax"/>
          <c:max val="1.614035087719298"/>
          <c:min val="0"/>
        </c:scaling>
        <c:delete val="1"/>
        <c:axPos val="l"/>
        <c:numFmt formatCode="General" sourceLinked="1"/>
        <c:tickLblPos val="nextTo"/>
        <c:crossAx val="50230001"/>
        <c:crosses val="autoZero"/>
        <c:crossBetween val="between"/>
      </c:valAx>
      <c:valAx>
        <c:axId val="60230002"/>
        <c:scaling>
          <c:orientation val="minMax"/>
          <c:max val="1.614035087719298"/>
          <c:min val="0"/>
        </c:scaling>
        <c:delete val="1"/>
        <c:axPos val="r"/>
        <c:numFmt formatCode="General" sourceLinked="1"/>
        <c:tickLblPos val="nextTo"/>
        <c:crossAx val="60230001"/>
        <c:crosses val="max"/>
        <c:crossBetween val="between"/>
      </c:valAx>
      <c:catAx>
        <c:axId val="60230001"/>
        <c:scaling>
          <c:orientation val="minMax"/>
        </c:scaling>
        <c:delete val="1"/>
        <c:axPos val="b"/>
        <c:numFmt formatCode="General" sourceLinked="1"/>
        <c:tickLblPos val="none"/>
        <c:crossAx val="60230002"/>
        <c:crosses val="autoZero"/>
        <c:auto val="1"/>
        <c:lblAlgn val="ctr"/>
        <c:lblOffset val="100"/>
      </c:cat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
          <c:w val="0.95999999999999996"/>
          <c:h val="1"/>
        </c:manualLayout>
      </c:layout>
      <c:lineChart>
        <c:grouping val="standard"/>
        <c:ser>
          <c:idx val="0"/>
          <c:order val="0"/>
          <c:tx>
            <c:v>Delta auf</c:v>
          </c:tx>
          <c:spPr>
            <a:ln>
              <a:noFill/>
            </a:ln>
          </c:spPr>
          <c:marker>
            <c:symbol val="none"/>
          </c:marker>
          <c:dLbls>
            <c:dLbl>
              <c:idx val="0"/>
              <c:layout/>
              <c:tx>
                <c:strRef>
                  <c:f>Dashboard_Daten!$CH$309</c:f>
                  <c:strCache>
                    <c:ptCount val="1"/>
                    <c:pt idx="0">
                      <c:v>0</c:v>
                    </c:pt>
                  </c:strCache>
                </c:strRef>
              </c:tx>
              <c:dLblPos val="ctr"/>
              <c:showVal val="1"/>
            </c:dLbl>
            <c:dLbl>
              <c:idx val="1"/>
              <c:layout/>
              <c:tx>
                <c:strRef>
                  <c:f>Dashboard_Daten!$CI$309</c:f>
                  <c:strCache>
                    <c:ptCount val="1"/>
                    <c:pt idx="0">
                      <c:v>0</c:v>
                    </c:pt>
                  </c:strCache>
                </c:strRef>
              </c:tx>
              <c:dLblPos val="ctr"/>
              <c:showVal val="1"/>
            </c:dLbl>
            <c:dLbl>
              <c:idx val="2"/>
              <c:layout/>
              <c:tx>
                <c:strRef>
                  <c:f>Dashboard_Daten!$CJ$309</c:f>
                  <c:strCache>
                    <c:ptCount val="1"/>
                    <c:pt idx="0">
                      <c:v>0</c:v>
                    </c:pt>
                  </c:strCache>
                </c:strRef>
              </c:tx>
              <c:dLblPos val="ctr"/>
              <c:showVal val="1"/>
            </c:dLbl>
            <c:dLbl>
              <c:idx val="3"/>
              <c:layout/>
              <c:tx>
                <c:strRef>
                  <c:f>Dashboard_Daten!$CK$309</c:f>
                  <c:strCache>
                    <c:ptCount val="1"/>
                    <c:pt idx="0">
                      <c:v>0</c:v>
                    </c:pt>
                  </c:strCache>
                </c:strRef>
              </c:tx>
              <c:dLblPos val="ctr"/>
              <c:showVal val="1"/>
            </c:dLbl>
            <c:dLbl>
              <c:idx val="4"/>
              <c:layout/>
              <c:tx>
                <c:strRef>
                  <c:f>Dashboard_Daten!$CL$309</c:f>
                  <c:strCache>
                    <c:ptCount val="1"/>
                    <c:pt idx="0">
                      <c:v>0</c:v>
                    </c:pt>
                  </c:strCache>
                </c:strRef>
              </c:tx>
              <c:dLblPos val="ctr"/>
              <c:showVal val="1"/>
            </c:dLbl>
            <c:dLbl>
              <c:idx val="5"/>
              <c:layout/>
              <c:tx>
                <c:strRef>
                  <c:f>Dashboard_Daten!$CM$309</c:f>
                  <c:strCache>
                    <c:ptCount val="1"/>
                    <c:pt idx="0">
                      <c:v>0</c:v>
                    </c:pt>
                  </c:strCache>
                </c:strRef>
              </c:tx>
              <c:dLblPos val="ctr"/>
              <c:showVal val="1"/>
            </c:dLbl>
            <c:dLbl>
              <c:idx val="6"/>
              <c:layout/>
              <c:tx>
                <c:strRef>
                  <c:f>Dashboard_Daten!$CN$309</c:f>
                  <c:strCache>
                    <c:ptCount val="1"/>
                    <c:pt idx="0">
                      <c:v>0</c:v>
                    </c:pt>
                  </c:strCache>
                </c:strRef>
              </c:tx>
              <c:dLblPos val="ctr"/>
              <c:showVal val="1"/>
            </c:dLbl>
            <c:dLbl>
              <c:idx val="7"/>
              <c:layout/>
              <c:tx>
                <c:strRef>
                  <c:f>Dashboard_Daten!$CO$309</c:f>
                  <c:strCache>
                    <c:ptCount val="1"/>
                    <c:pt idx="0">
                      <c:v>0</c:v>
                    </c:pt>
                  </c:strCache>
                </c:strRef>
              </c:tx>
              <c:dLblPos val="ctr"/>
              <c:showVal val="1"/>
            </c:dLbl>
            <c:dLbl>
              <c:idx val="8"/>
              <c:layout/>
              <c:tx>
                <c:strRef>
                  <c:f>Dashboard_Daten!$CP$309</c:f>
                  <c:strCache>
                    <c:ptCount val="1"/>
                    <c:pt idx="0">
                      <c:v>0</c:v>
                    </c:pt>
                  </c:strCache>
                </c:strRef>
              </c:tx>
              <c:dLblPos val="ctr"/>
              <c:showVal val="1"/>
            </c:dLbl>
            <c:dLbl>
              <c:idx val="9"/>
              <c:layout/>
              <c:tx>
                <c:strRef>
                  <c:f>Dashboard_Daten!$CQ$309</c:f>
                  <c:strCache>
                    <c:ptCount val="1"/>
                    <c:pt idx="0">
                      <c:v>0</c:v>
                    </c:pt>
                  </c:strCache>
                </c:strRef>
              </c:tx>
              <c:dLblPos val="ctr"/>
              <c:showVal val="1"/>
            </c:dLbl>
            <c:txPr>
              <a:bodyPr wrap="none" lIns="18000" tIns="0" rIns="18000" bIns="0" anchor="ctr" anchorCtr="1">
                <a:spAutoFit/>
              </a:bodyPr>
              <a:lstStyle/>
              <a:p>
                <a:pPr>
                  <a:defRPr sz="600" b="1" baseline="0">
                    <a:solidFill>
                      <a:srgbClr val="8A5A00"/>
                    </a:solidFill>
                    <a:latin typeface="Liberation Sans"/>
                  </a:defRPr>
                </a:pPr>
                <a:endParaRPr lang="en-US"/>
              </a:p>
            </c:txPr>
            <c:dLblPos val="ctr"/>
            <c:showVal val="1"/>
          </c:dLbls>
          <c:cat>
            <c:numRef>
              <c:f>Dashboard_Daten!$CH$282:$CQ$282</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Dashboard_Daten!$CH$306:$CQ$306</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Delta ab</c:v>
          </c:tx>
          <c:spPr>
            <a:ln>
              <a:noFill/>
            </a:ln>
          </c:spPr>
          <c:marker>
            <c:symbol val="none"/>
          </c:marker>
          <c:dLbls>
            <c:dLbl>
              <c:idx val="0"/>
              <c:layout/>
              <c:tx>
                <c:strRef>
                  <c:f>Dashboard_Daten!$CH$309</c:f>
                  <c:strCache>
                    <c:ptCount val="1"/>
                    <c:pt idx="0">
                      <c:v>0</c:v>
                    </c:pt>
                  </c:strCache>
                </c:strRef>
              </c:tx>
              <c:dLblPos val="ctr"/>
              <c:showVal val="1"/>
            </c:dLbl>
            <c:dLbl>
              <c:idx val="1"/>
              <c:layout/>
              <c:tx>
                <c:strRef>
                  <c:f>Dashboard_Daten!$CI$309</c:f>
                  <c:strCache>
                    <c:ptCount val="1"/>
                    <c:pt idx="0">
                      <c:v>0</c:v>
                    </c:pt>
                  </c:strCache>
                </c:strRef>
              </c:tx>
              <c:dLblPos val="ctr"/>
              <c:showVal val="1"/>
            </c:dLbl>
            <c:dLbl>
              <c:idx val="2"/>
              <c:layout/>
              <c:tx>
                <c:strRef>
                  <c:f>Dashboard_Daten!$CJ$309</c:f>
                  <c:strCache>
                    <c:ptCount val="1"/>
                    <c:pt idx="0">
                      <c:v>0</c:v>
                    </c:pt>
                  </c:strCache>
                </c:strRef>
              </c:tx>
              <c:dLblPos val="ctr"/>
              <c:showVal val="1"/>
            </c:dLbl>
            <c:dLbl>
              <c:idx val="3"/>
              <c:layout/>
              <c:tx>
                <c:strRef>
                  <c:f>Dashboard_Daten!$CK$309</c:f>
                  <c:strCache>
                    <c:ptCount val="1"/>
                    <c:pt idx="0">
                      <c:v>0</c:v>
                    </c:pt>
                  </c:strCache>
                </c:strRef>
              </c:tx>
              <c:dLblPos val="ctr"/>
              <c:showVal val="1"/>
            </c:dLbl>
            <c:dLbl>
              <c:idx val="4"/>
              <c:layout/>
              <c:tx>
                <c:strRef>
                  <c:f>Dashboard_Daten!$CL$309</c:f>
                  <c:strCache>
                    <c:ptCount val="1"/>
                    <c:pt idx="0">
                      <c:v>0</c:v>
                    </c:pt>
                  </c:strCache>
                </c:strRef>
              </c:tx>
              <c:dLblPos val="ctr"/>
              <c:showVal val="1"/>
            </c:dLbl>
            <c:dLbl>
              <c:idx val="5"/>
              <c:layout/>
              <c:tx>
                <c:strRef>
                  <c:f>Dashboard_Daten!$CM$309</c:f>
                  <c:strCache>
                    <c:ptCount val="1"/>
                    <c:pt idx="0">
                      <c:v>0</c:v>
                    </c:pt>
                  </c:strCache>
                </c:strRef>
              </c:tx>
              <c:dLblPos val="ctr"/>
              <c:showVal val="1"/>
            </c:dLbl>
            <c:dLbl>
              <c:idx val="6"/>
              <c:layout/>
              <c:tx>
                <c:strRef>
                  <c:f>Dashboard_Daten!$CN$309</c:f>
                  <c:strCache>
                    <c:ptCount val="1"/>
                    <c:pt idx="0">
                      <c:v>0</c:v>
                    </c:pt>
                  </c:strCache>
                </c:strRef>
              </c:tx>
              <c:dLblPos val="ctr"/>
              <c:showVal val="1"/>
            </c:dLbl>
            <c:dLbl>
              <c:idx val="7"/>
              <c:layout/>
              <c:tx>
                <c:strRef>
                  <c:f>Dashboard_Daten!$CO$309</c:f>
                  <c:strCache>
                    <c:ptCount val="1"/>
                    <c:pt idx="0">
                      <c:v>0</c:v>
                    </c:pt>
                  </c:strCache>
                </c:strRef>
              </c:tx>
              <c:dLblPos val="ctr"/>
              <c:showVal val="1"/>
            </c:dLbl>
            <c:dLbl>
              <c:idx val="8"/>
              <c:layout/>
              <c:tx>
                <c:strRef>
                  <c:f>Dashboard_Daten!$CP$309</c:f>
                  <c:strCache>
                    <c:ptCount val="1"/>
                    <c:pt idx="0">
                      <c:v>0</c:v>
                    </c:pt>
                  </c:strCache>
                </c:strRef>
              </c:tx>
              <c:dLblPos val="ctr"/>
              <c:showVal val="1"/>
            </c:dLbl>
            <c:dLbl>
              <c:idx val="9"/>
              <c:layout/>
              <c:tx>
                <c:strRef>
                  <c:f>Dashboard_Daten!$CQ$309</c:f>
                  <c:strCache>
                    <c:ptCount val="1"/>
                    <c:pt idx="0">
                      <c:v>0</c:v>
                    </c:pt>
                  </c:strCache>
                </c:strRef>
              </c:tx>
              <c:dLblPos val="ctr"/>
              <c:showVal val="1"/>
            </c:dLbl>
            <c:txPr>
              <a:bodyPr wrap="none" lIns="18000" tIns="0" rIns="18000" bIns="0" anchor="ctr" anchorCtr="1">
                <a:spAutoFit/>
              </a:bodyPr>
              <a:lstStyle/>
              <a:p>
                <a:pPr>
                  <a:defRPr sz="600" b="1" baseline="0">
                    <a:solidFill>
                      <a:srgbClr val="1E7F4F"/>
                    </a:solidFill>
                    <a:latin typeface="Liberation Sans"/>
                  </a:defRPr>
                </a:pPr>
                <a:endParaRPr lang="en-US"/>
              </a:p>
            </c:txPr>
            <c:dLblPos val="ctr"/>
            <c:showVal val="1"/>
          </c:dLbls>
          <c:cat>
            <c:numRef>
              <c:f>Dashboard_Daten!$CH$282:$CQ$282</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Dashboard_Daten!$CH$307:$CQ$307</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Delta null</c:v>
          </c:tx>
          <c:spPr>
            <a:ln>
              <a:noFill/>
            </a:ln>
          </c:spPr>
          <c:marker>
            <c:symbol val="none"/>
          </c:marker>
          <c:dLbls>
            <c:dLbl>
              <c:idx val="0"/>
              <c:layout/>
              <c:tx>
                <c:strRef>
                  <c:f>Dashboard_Daten!$CH$309</c:f>
                  <c:strCache>
                    <c:ptCount val="1"/>
                    <c:pt idx="0">
                      <c:v>0</c:v>
                    </c:pt>
                  </c:strCache>
                </c:strRef>
              </c:tx>
              <c:dLblPos val="ctr"/>
              <c:showVal val="1"/>
            </c:dLbl>
            <c:dLbl>
              <c:idx val="1"/>
              <c:layout/>
              <c:tx>
                <c:strRef>
                  <c:f>Dashboard_Daten!$CI$309</c:f>
                  <c:strCache>
                    <c:ptCount val="1"/>
                    <c:pt idx="0">
                      <c:v>0</c:v>
                    </c:pt>
                  </c:strCache>
                </c:strRef>
              </c:tx>
              <c:dLblPos val="ctr"/>
              <c:showVal val="1"/>
            </c:dLbl>
            <c:dLbl>
              <c:idx val="2"/>
              <c:layout/>
              <c:tx>
                <c:strRef>
                  <c:f>Dashboard_Daten!$CJ$309</c:f>
                  <c:strCache>
                    <c:ptCount val="1"/>
                    <c:pt idx="0">
                      <c:v>0</c:v>
                    </c:pt>
                  </c:strCache>
                </c:strRef>
              </c:tx>
              <c:dLblPos val="ctr"/>
              <c:showVal val="1"/>
            </c:dLbl>
            <c:dLbl>
              <c:idx val="3"/>
              <c:layout/>
              <c:tx>
                <c:strRef>
                  <c:f>Dashboard_Daten!$CK$309</c:f>
                  <c:strCache>
                    <c:ptCount val="1"/>
                    <c:pt idx="0">
                      <c:v>0</c:v>
                    </c:pt>
                  </c:strCache>
                </c:strRef>
              </c:tx>
              <c:dLblPos val="ctr"/>
              <c:showVal val="1"/>
            </c:dLbl>
            <c:dLbl>
              <c:idx val="4"/>
              <c:layout/>
              <c:tx>
                <c:strRef>
                  <c:f>Dashboard_Daten!$CL$309</c:f>
                  <c:strCache>
                    <c:ptCount val="1"/>
                    <c:pt idx="0">
                      <c:v>0</c:v>
                    </c:pt>
                  </c:strCache>
                </c:strRef>
              </c:tx>
              <c:dLblPos val="ctr"/>
              <c:showVal val="1"/>
            </c:dLbl>
            <c:dLbl>
              <c:idx val="5"/>
              <c:layout/>
              <c:tx>
                <c:strRef>
                  <c:f>Dashboard_Daten!$CM$309</c:f>
                  <c:strCache>
                    <c:ptCount val="1"/>
                    <c:pt idx="0">
                      <c:v>0</c:v>
                    </c:pt>
                  </c:strCache>
                </c:strRef>
              </c:tx>
              <c:dLblPos val="ctr"/>
              <c:showVal val="1"/>
            </c:dLbl>
            <c:dLbl>
              <c:idx val="6"/>
              <c:layout/>
              <c:tx>
                <c:strRef>
                  <c:f>Dashboard_Daten!$CN$309</c:f>
                  <c:strCache>
                    <c:ptCount val="1"/>
                    <c:pt idx="0">
                      <c:v>0</c:v>
                    </c:pt>
                  </c:strCache>
                </c:strRef>
              </c:tx>
              <c:dLblPos val="ctr"/>
              <c:showVal val="1"/>
            </c:dLbl>
            <c:dLbl>
              <c:idx val="7"/>
              <c:layout/>
              <c:tx>
                <c:strRef>
                  <c:f>Dashboard_Daten!$CO$309</c:f>
                  <c:strCache>
                    <c:ptCount val="1"/>
                    <c:pt idx="0">
                      <c:v>0</c:v>
                    </c:pt>
                  </c:strCache>
                </c:strRef>
              </c:tx>
              <c:dLblPos val="ctr"/>
              <c:showVal val="1"/>
            </c:dLbl>
            <c:dLbl>
              <c:idx val="8"/>
              <c:layout/>
              <c:tx>
                <c:strRef>
                  <c:f>Dashboard_Daten!$CP$309</c:f>
                  <c:strCache>
                    <c:ptCount val="1"/>
                    <c:pt idx="0">
                      <c:v>0</c:v>
                    </c:pt>
                  </c:strCache>
                </c:strRef>
              </c:tx>
              <c:dLblPos val="ctr"/>
              <c:showVal val="1"/>
            </c:dLbl>
            <c:dLbl>
              <c:idx val="9"/>
              <c:layout/>
              <c:tx>
                <c:strRef>
                  <c:f>Dashboard_Daten!$CQ$309</c:f>
                  <c:strCache>
                    <c:ptCount val="1"/>
                    <c:pt idx="0">
                      <c:v>0</c:v>
                    </c:pt>
                  </c:strCache>
                </c:strRef>
              </c:tx>
              <c:dLblPos val="ctr"/>
              <c:showVal val="1"/>
            </c:dLbl>
            <c:txPr>
              <a:bodyPr wrap="none" lIns="18000" tIns="0" rIns="18000" bIns="0" anchor="ctr" anchorCtr="1">
                <a:spAutoFit/>
              </a:bodyPr>
              <a:lstStyle/>
              <a:p>
                <a:pPr>
                  <a:defRPr sz="600" b="1" baseline="0">
                    <a:solidFill>
                      <a:srgbClr val="6B6B6B"/>
                    </a:solidFill>
                    <a:latin typeface="Liberation Sans"/>
                  </a:defRPr>
                </a:pPr>
                <a:endParaRPr lang="en-US"/>
              </a:p>
            </c:txPr>
            <c:dLblPos val="ctr"/>
            <c:showVal val="1"/>
          </c:dLbls>
          <c:cat>
            <c:numRef>
              <c:f>Dashboard_Daten!$CH$282:$CQ$282</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Dashboard_Daten!$CH$308:$CQ$308</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240001"/>
        <c:axId val="50240002"/>
      </c:lineChart>
      <c:catAx>
        <c:axId val="50240001"/>
        <c:scaling>
          <c:orientation val="minMax"/>
        </c:scaling>
        <c:axPos val="b"/>
        <c:numFmt formatCode="General" sourceLinked="1"/>
        <c:majorTickMark val="none"/>
        <c:minorTickMark val="none"/>
        <c:tickLblPos val="none"/>
        <c:spPr>
          <a:ln>
            <a:noFill/>
          </a:ln>
        </c:spPr>
        <c:crossAx val="50240002"/>
        <c:crosses val="autoZero"/>
        <c:auto val="1"/>
        <c:lblAlgn val="ctr"/>
        <c:lblOffset val="100"/>
      </c:catAx>
      <c:valAx>
        <c:axId val="50240002"/>
        <c:scaling>
          <c:orientation val="minMax"/>
          <c:max val="1"/>
          <c:min val="0"/>
        </c:scaling>
        <c:delete val="1"/>
        <c:axPos val="l"/>
        <c:numFmt formatCode="General" sourceLinked="1"/>
        <c:tickLblPos val="nextTo"/>
        <c:crossAx val="5024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2234899328859059"/>
        </c:manualLayout>
      </c:layout>
      <c:barChart>
        <c:barDir val="col"/>
        <c:grouping val="clustered"/>
        <c:ser>
          <c:idx val="0"/>
          <c:order val="0"/>
          <c:tx>
            <c:v>SOLL MAK</c:v>
          </c:tx>
          <c:spPr>
            <a:solidFill>
              <a:srgbClr val="B31767"/>
            </a:solidFill>
            <a:ln>
              <a:noFill/>
            </a:ln>
          </c:spPr>
          <c:dLbls>
            <c:numFmt formatCode="#,##0;-#,##0;;" sourceLinked="0"/>
            <c:txPr>
              <a:bodyPr wrap="none" lIns="18000" tIns="0" rIns="18000" bIns="0" anchor="ctr" anchorCtr="1">
                <a:spAutoFit/>
              </a:bodyPr>
              <a:lstStyle/>
              <a:p>
                <a:pPr>
                  <a:defRPr sz="600" b="1" baseline="0">
                    <a:solidFill>
                      <a:srgbClr val="B31767"/>
                    </a:solidFill>
                    <a:latin typeface="Liberation Sans"/>
                  </a:defRPr>
                </a:pPr>
                <a:endParaRPr lang="en-US"/>
              </a:p>
            </c:txPr>
            <c:showVal val="1"/>
          </c:dLbls>
          <c:cat>
            <c:numRef>
              <c:f>Dashboard_Daten!$CS$5:$CV$5</c:f>
              <c:numCache>
                <c:formatCode>General</c:formatCode>
                <c:ptCount val="4"/>
                <c:pt idx="0">
                  <c:v>0</c:v>
                </c:pt>
                <c:pt idx="1">
                  <c:v>0</c:v>
                </c:pt>
                <c:pt idx="2">
                  <c:v>0</c:v>
                </c:pt>
                <c:pt idx="3">
                  <c:v>0</c:v>
                </c:pt>
              </c:numCache>
            </c:numRef>
          </c:cat>
          <c:val>
            <c:numRef>
              <c:f>Dashboard_Daten!$CS$163:$CV$163</c:f>
              <c:numCache>
                <c:formatCode>General</c:formatCode>
                <c:ptCount val="4"/>
                <c:pt idx="0">
                  <c:v>0</c:v>
                </c:pt>
                <c:pt idx="1">
                  <c:v>0</c:v>
                </c:pt>
                <c:pt idx="2">
                  <c:v>0</c:v>
                </c:pt>
                <c:pt idx="3">
                  <c:v>0</c:v>
                </c:pt>
              </c:numCache>
            </c:numRef>
          </c:val>
        </c:ser>
        <c:ser>
          <c:idx val="1"/>
          <c:order val="1"/>
          <c:tx>
            <c:v>(V)IST MAK</c:v>
          </c:tx>
          <c:spPr>
            <a:solidFill>
              <a:srgbClr val="1A1A1A"/>
            </a:solidFill>
            <a:ln>
              <a:noFill/>
            </a:ln>
          </c:spPr>
          <c:dLbls>
            <c:numFmt formatCode="#,##0;-#,##0;;" sourceLinked="0"/>
            <c:txPr>
              <a:bodyPr wrap="none" lIns="18000" tIns="0" rIns="18000" bIns="0" anchor="ctr" anchorCtr="1">
                <a:spAutoFit/>
              </a:bodyPr>
              <a:lstStyle/>
              <a:p>
                <a:pPr>
                  <a:defRPr sz="600" b="1" baseline="0">
                    <a:solidFill>
                      <a:srgbClr val="1A1A1A"/>
                    </a:solidFill>
                    <a:latin typeface="Liberation Sans"/>
                  </a:defRPr>
                </a:pPr>
                <a:endParaRPr lang="en-US"/>
              </a:p>
            </c:txPr>
            <c:showVal val="1"/>
          </c:dLbls>
          <c:cat>
            <c:numRef>
              <c:f>Dashboard_Daten!$CS$5:$CV$5</c:f>
              <c:numCache>
                <c:formatCode>General</c:formatCode>
                <c:ptCount val="4"/>
                <c:pt idx="0">
                  <c:v>0</c:v>
                </c:pt>
                <c:pt idx="1">
                  <c:v>0</c:v>
                </c:pt>
                <c:pt idx="2">
                  <c:v>0</c:v>
                </c:pt>
                <c:pt idx="3">
                  <c:v>0</c:v>
                </c:pt>
              </c:numCache>
            </c:numRef>
          </c:cat>
          <c:val>
            <c:numRef>
              <c:f>Dashboard_Daten!$CS$164:$CV$164</c:f>
              <c:numCache>
                <c:formatCode>General</c:formatCode>
                <c:ptCount val="4"/>
                <c:pt idx="0">
                  <c:v>0</c:v>
                </c:pt>
                <c:pt idx="1">
                  <c:v>0</c:v>
                </c:pt>
                <c:pt idx="2">
                  <c:v>0</c:v>
                </c:pt>
                <c:pt idx="3">
                  <c:v>0</c:v>
                </c:pt>
              </c:numCache>
            </c:numRef>
          </c:val>
        </c:ser>
        <c:gapWidth val="70"/>
        <c:overlap val="-5"/>
        <c:axId val="50250001"/>
        <c:axId val="50250002"/>
      </c:barChart>
      <c:catAx>
        <c:axId val="5025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250002"/>
        <c:crosses val="autoZero"/>
        <c:auto val="1"/>
        <c:lblAlgn val="ctr"/>
        <c:lblOffset val="100"/>
        <c:tickLblSkip val="1"/>
      </c:catAx>
      <c:valAx>
        <c:axId val="50250002"/>
        <c:scaling>
          <c:orientation val="minMax"/>
          <c:min val="0"/>
        </c:scaling>
        <c:delete val="1"/>
        <c:axPos val="l"/>
        <c:numFmt formatCode="General" sourceLinked="1"/>
        <c:tickLblPos val="nextTo"/>
        <c:crossAx val="5025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image" Target="../media/image1.jpeg"/><Relationship Id="rId2"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 Id="rId2" Type="http://schemas.openxmlformats.org/officeDocument/2006/relationships/chart" Target="../charts/chart1.xml"/><Relationship Id="rId3" Type="http://schemas.openxmlformats.org/officeDocument/2006/relationships/chart" Target="../charts/chart2.xml"/><Relationship Id="rId4" Type="http://schemas.openxmlformats.org/officeDocument/2006/relationships/chart" Target="../charts/chart3.xml"/><Relationship Id="rId5" Type="http://schemas.openxmlformats.org/officeDocument/2006/relationships/chart" Target="../charts/chart4.xml"/><Relationship Id="rId6" Type="http://schemas.openxmlformats.org/officeDocument/2006/relationships/chart" Target="../charts/chart5.xml"/><Relationship Id="rId7" Type="http://schemas.openxmlformats.org/officeDocument/2006/relationships/chart" Target="../charts/chart6.xml"/><Relationship Id="rId8" Type="http://schemas.openxmlformats.org/officeDocument/2006/relationships/chart" Target="../charts/chart7.xml"/><Relationship Id="rId9" Type="http://schemas.openxmlformats.org/officeDocument/2006/relationships/chart" Target="../charts/chart8.xml"/><Relationship Id="rId10" Type="http://schemas.openxmlformats.org/officeDocument/2006/relationships/chart" Target="../charts/chart9.xml"/><Relationship Id="rId11" Type="http://schemas.openxmlformats.org/officeDocument/2006/relationships/chart" Target="../charts/chart10.xml"/><Relationship Id="rId12" Type="http://schemas.openxmlformats.org/officeDocument/2006/relationships/chart" Target="../charts/chart11.xml"/><Relationship Id="rId13" Type="http://schemas.openxmlformats.org/officeDocument/2006/relationships/chart" Target="../charts/chart12.xml"/><Relationship Id="rId14" Type="http://schemas.openxmlformats.org/officeDocument/2006/relationships/chart" Target="../charts/chart13.xml"/><Relationship Id="rId15" Type="http://schemas.openxmlformats.org/officeDocument/2006/relationships/chart" Target="../charts/chart14.xml"/></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 Id="rId2" Type="http://schemas.openxmlformats.org/officeDocument/2006/relationships/chart" Target="../charts/chart15.xml"/><Relationship Id="rId3" Type="http://schemas.openxmlformats.org/officeDocument/2006/relationships/chart" Target="../charts/chart16.xml"/><Relationship Id="rId4" Type="http://schemas.openxmlformats.org/officeDocument/2006/relationships/chart" Target="../charts/chart17.xml"/><Relationship Id="rId5" Type="http://schemas.openxmlformats.org/officeDocument/2006/relationships/chart" Target="../charts/chart18.xml"/><Relationship Id="rId6" Type="http://schemas.openxmlformats.org/officeDocument/2006/relationships/chart" Target="../charts/chart19.xml"/><Relationship Id="rId7" Type="http://schemas.openxmlformats.org/officeDocument/2006/relationships/chart" Target="../charts/chart20.xml"/><Relationship Id="rId8" Type="http://schemas.openxmlformats.org/officeDocument/2006/relationships/chart" Target="../charts/chart21.xml"/><Relationship Id="rId9" Type="http://schemas.openxmlformats.org/officeDocument/2006/relationships/chart" Target="../charts/chart22.xml"/><Relationship Id="rId10" Type="http://schemas.openxmlformats.org/officeDocument/2006/relationships/chart" Target="../charts/chart23.xml"/><Relationship Id="rId11" Type="http://schemas.openxmlformats.org/officeDocument/2006/relationships/chart" Target="../charts/chart24.xml"/><Relationship Id="rId12" Type="http://schemas.openxmlformats.org/officeDocument/2006/relationships/chart" Target="../charts/chart25.xml"/></Relationships>
</file>

<file path=xl/drawings/drawing1.xml><?xml version="1.0" encoding="utf-8"?>
<xdr:wsDr xmlns:xdr="http://schemas.openxmlformats.org/drawingml/2006/spreadsheetDrawing" xmlns:a="http://schemas.openxmlformats.org/drawingml/2006/main">
  <xdr:twoCellAnchor editAs="absolute">
    <xdr:from>
      <xdr:col>1</xdr:col>
      <xdr:colOff>0</xdr:colOff>
      <xdr:row>7</xdr:row>
      <xdr:rowOff>57150</xdr:rowOff>
    </xdr:from>
    <xdr:to>
      <xdr:col>1</xdr:col>
      <xdr:colOff>342900</xdr:colOff>
      <xdr:row>8</xdr:row>
      <xdr:rowOff>114300</xdr:rowOff>
    </xdr:to>
    <xdr:sp macro="[0]!modStart.BerichtstagZurueck" textlink="">
      <xdr:nvSpPr>
        <xdr:cNvPr id="2" name="BTN_Zurueck"/>
        <xdr:cNvSpPr txBox="1"/>
      </xdr:nvSpPr>
      <xdr:spPr>
        <a:xfrm>
          <a:off x="247650" y="1638300"/>
          <a:ext cx="342900" cy="2667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a:t>
          </a:r>
        </a:p>
      </xdr:txBody>
    </xdr:sp>
    <xdr:clientData/>
  </xdr:twoCellAnchor>
  <xdr:twoCellAnchor editAs="absolute">
    <xdr:from>
      <xdr:col>1</xdr:col>
      <xdr:colOff>400050</xdr:colOff>
      <xdr:row>7</xdr:row>
      <xdr:rowOff>57150</xdr:rowOff>
    </xdr:from>
    <xdr:to>
      <xdr:col>1</xdr:col>
      <xdr:colOff>742950</xdr:colOff>
      <xdr:row>8</xdr:row>
      <xdr:rowOff>114300</xdr:rowOff>
    </xdr:to>
    <xdr:sp macro="[0]!modStart.BerichtstagVor" textlink="">
      <xdr:nvSpPr>
        <xdr:cNvPr id="3" name="BTN_Vor"/>
        <xdr:cNvSpPr txBox="1"/>
      </xdr:nvSpPr>
      <xdr:spPr>
        <a:xfrm>
          <a:off x="647700" y="1638300"/>
          <a:ext cx="342900" cy="2667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a:t>
          </a:r>
        </a:p>
      </xdr:txBody>
    </xdr:sp>
    <xdr:clientData/>
  </xdr:twoCellAnchor>
  <xdr:twoCellAnchor editAs="absolute">
    <xdr:from>
      <xdr:col>1</xdr:col>
      <xdr:colOff>800100</xdr:colOff>
      <xdr:row>7</xdr:row>
      <xdr:rowOff>57150</xdr:rowOff>
    </xdr:from>
    <xdr:to>
      <xdr:col>1</xdr:col>
      <xdr:colOff>1847850</xdr:colOff>
      <xdr:row>8</xdr:row>
      <xdr:rowOff>114300</xdr:rowOff>
    </xdr:to>
    <xdr:sp macro="[0]!modStart.BerichtstagAuto" textlink="">
      <xdr:nvSpPr>
        <xdr:cNvPr id="4" name="BTN_Auto"/>
        <xdr:cNvSpPr txBox="1"/>
      </xdr:nvSpPr>
      <xdr:spPr>
        <a:xfrm>
          <a:off x="1047750" y="1638300"/>
          <a:ext cx="1047750" cy="2667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850" b="1">
              <a:solidFill>
                <a:srgbClr val="1A1A1A"/>
              </a:solidFill>
              <a:latin typeface="Liberation Sans"/>
              <a:cs typeface="Liberation Sans"/>
            </a:rPr>
            <a:t>Automatisch</a:t>
          </a:r>
        </a:p>
      </xdr:txBody>
    </xdr:sp>
    <xdr:clientData/>
  </xdr:twoCellAnchor>
  <xdr:twoCellAnchor editAs="absolute">
    <xdr:from>
      <xdr:col>1</xdr:col>
      <xdr:colOff>0</xdr:colOff>
      <xdr:row>10</xdr:row>
      <xdr:rowOff>0</xdr:rowOff>
    </xdr:from>
    <xdr:to>
      <xdr:col>3</xdr:col>
      <xdr:colOff>0</xdr:colOff>
      <xdr:row>12</xdr:row>
      <xdr:rowOff>152400</xdr:rowOff>
    </xdr:to>
    <xdr:sp macro="[0]!modStart.Start" textlink="">
      <xdr:nvSpPr>
        <xdr:cNvPr id="5" name="BTN_Start"/>
        <xdr:cNvSpPr txBox="1"/>
      </xdr:nvSpPr>
      <xdr:spPr>
        <a:xfrm>
          <a:off x="247650" y="2209800"/>
          <a:ext cx="3162300" cy="57150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1300" b="1">
              <a:solidFill>
                <a:srgbClr val="FFFFFF"/>
              </a:solidFill>
              <a:latin typeface="Liberation Sans"/>
              <a:cs typeface="Liberation Sans"/>
            </a:rPr>
            <a:t>Start  ·  Werte eintragen</a:t>
          </a:r>
        </a:p>
      </xdr:txBody>
    </xdr:sp>
    <xdr:clientData/>
  </xdr:twoCellAnchor>
  <xdr:twoCellAnchor editAs="absolute">
    <xdr:from>
      <xdr:col>1</xdr:col>
      <xdr:colOff>0</xdr:colOff>
      <xdr:row>15</xdr:row>
      <xdr:rowOff>0</xdr:rowOff>
    </xdr:from>
    <xdr:to>
      <xdr:col>1</xdr:col>
      <xdr:colOff>1524000</xdr:colOff>
      <xdr:row>16</xdr:row>
      <xdr:rowOff>95250</xdr:rowOff>
    </xdr:to>
    <xdr:sp macro="[0]!modKommentar.ZeigenAuswahl" textlink="">
      <xdr:nvSpPr>
        <xdr:cNvPr id="6" name="BTN_Kommentare"/>
        <xdr:cNvSpPr txBox="1"/>
      </xdr:nvSpPr>
      <xdr:spPr>
        <a:xfrm>
          <a:off x="247650" y="32575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Kommentare</a:t>
          </a:r>
        </a:p>
      </xdr:txBody>
    </xdr:sp>
    <xdr:clientData/>
  </xdr:twoCellAnchor>
  <xdr:twoCellAnchor editAs="absolute">
    <xdr:from>
      <xdr:col>1</xdr:col>
      <xdr:colOff>1638300</xdr:colOff>
      <xdr:row>15</xdr:row>
      <xdr:rowOff>0</xdr:rowOff>
    </xdr:from>
    <xdr:to>
      <xdr:col>3</xdr:col>
      <xdr:colOff>0</xdr:colOff>
      <xdr:row>16</xdr:row>
      <xdr:rowOff>95250</xdr:rowOff>
    </xdr:to>
    <xdr:sp macro="[0]!modPPT.Zeigen" textlink="">
      <xdr:nvSpPr>
        <xdr:cNvPr id="7" name="BTN_PPT"/>
        <xdr:cNvSpPr txBox="1"/>
      </xdr:nvSpPr>
      <xdr:spPr>
        <a:xfrm>
          <a:off x="1885950" y="3257550"/>
          <a:ext cx="1524000" cy="30480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PowerPoint erzeugen</a:t>
          </a:r>
        </a:p>
      </xdr:txBody>
    </xdr:sp>
    <xdr:clientData/>
  </xdr:twoCellAnchor>
  <xdr:twoCellAnchor editAs="absolute">
    <xdr:from>
      <xdr:col>1</xdr:col>
      <xdr:colOff>0</xdr:colOff>
      <xdr:row>17</xdr:row>
      <xdr:rowOff>0</xdr:rowOff>
    </xdr:from>
    <xdr:to>
      <xdr:col>1</xdr:col>
      <xdr:colOff>1524000</xdr:colOff>
      <xdr:row>18</xdr:row>
      <xdr:rowOff>95250</xdr:rowOff>
    </xdr:to>
    <xdr:sp macro="[0]!modStart.ZurUebersicht" textlink="">
      <xdr:nvSpPr>
        <xdr:cNvPr id="8" name="BTN_Uebersicht"/>
        <xdr:cNvSpPr txBox="1"/>
      </xdr:nvSpPr>
      <xdr:spPr>
        <a:xfrm>
          <a:off x="247650" y="36766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Übersicht</a:t>
          </a:r>
        </a:p>
      </xdr:txBody>
    </xdr:sp>
    <xdr:clientData/>
  </xdr:twoCellAnchor>
  <xdr:twoCellAnchor editAs="absolute">
    <xdr:from>
      <xdr:col>1</xdr:col>
      <xdr:colOff>1638300</xdr:colOff>
      <xdr:row>17</xdr:row>
      <xdr:rowOff>0</xdr:rowOff>
    </xdr:from>
    <xdr:to>
      <xdr:col>3</xdr:col>
      <xdr:colOff>0</xdr:colOff>
      <xdr:row>18</xdr:row>
      <xdr:rowOff>95250</xdr:rowOff>
    </xdr:to>
    <xdr:sp macro="[0]!modStart.ZuRohdaten" textlink="">
      <xdr:nvSpPr>
        <xdr:cNvPr id="9" name="BTN_Rohdaten"/>
        <xdr:cNvSpPr txBox="1"/>
      </xdr:nvSpPr>
      <xdr:spPr>
        <a:xfrm>
          <a:off x="1885950" y="36766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Rohdaten</a:t>
          </a:r>
        </a:p>
      </xdr:txBody>
    </xdr:sp>
    <xdr:clientData/>
  </xdr:twoCellAnchor>
  <xdr:twoCellAnchor editAs="absolute">
    <xdr:from>
      <xdr:col>1</xdr:col>
      <xdr:colOff>0</xdr:colOff>
      <xdr:row>19</xdr:row>
      <xdr:rowOff>0</xdr:rowOff>
    </xdr:from>
    <xdr:to>
      <xdr:col>1</xdr:col>
      <xdr:colOff>1524000</xdr:colOff>
      <xdr:row>20</xdr:row>
      <xdr:rowOff>95250</xdr:rowOff>
    </xdr:to>
    <xdr:sp macro="[0]!modStart.ZurZuordnung" textlink="">
      <xdr:nvSpPr>
        <xdr:cNvPr id="10" name="BTN_Zuordnung"/>
        <xdr:cNvSpPr txBox="1"/>
      </xdr:nvSpPr>
      <xdr:spPr>
        <a:xfrm>
          <a:off x="247650" y="40957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Liberation Sans"/>
              <a:cs typeface="Liberation Sans"/>
            </a:rPr>
            <a:t>Zuordnung anpassen</a:t>
          </a:r>
        </a:p>
      </xdr:txBody>
    </xdr:sp>
    <xdr:clientData/>
  </xdr:twoCellAnchor>
  <xdr:twoCellAnchor editAs="absolute">
    <xdr:from>
      <xdr:col>1</xdr:col>
      <xdr:colOff>1638300</xdr:colOff>
      <xdr:row>19</xdr:row>
      <xdr:rowOff>0</xdr:rowOff>
    </xdr:from>
    <xdr:to>
      <xdr:col>3</xdr:col>
      <xdr:colOff>0</xdr:colOff>
      <xdr:row>20</xdr:row>
      <xdr:rowOff>95250</xdr:rowOff>
    </xdr:to>
    <xdr:sp macro="[0]!modVerknuepfung.Verknuepfen" textlink="">
      <xdr:nvSpPr>
        <xdr:cNvPr id="11" name="BTN_BUE"/>
        <xdr:cNvSpPr txBox="1"/>
      </xdr:nvSpPr>
      <xdr:spPr>
        <a:xfrm>
          <a:off x="1885950" y="40957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Liberation Sans"/>
              <a:cs typeface="Liberation Sans"/>
            </a:rPr>
            <a:t>BÜ-Datei verknüpfen</a:t>
          </a:r>
        </a:p>
      </xdr:txBody>
    </xdr:sp>
    <xdr:clientData/>
  </xdr:twoCellAnchor>
  <xdr:twoCellAnchor editAs="absolute">
    <xdr:from>
      <xdr:col>1</xdr:col>
      <xdr:colOff>0</xdr:colOff>
      <xdr:row>21</xdr:row>
      <xdr:rowOff>0</xdr:rowOff>
    </xdr:from>
    <xdr:to>
      <xdr:col>1</xdr:col>
      <xdr:colOff>1524000</xdr:colOff>
      <xdr:row>22</xdr:row>
      <xdr:rowOff>95250</xdr:rowOff>
    </xdr:to>
    <xdr:sp macro="[0]!modPPT.VorlageVonStart" textlink="">
      <xdr:nvSpPr>
        <xdr:cNvPr id="12" name="BTN_Vorlage"/>
        <xdr:cNvSpPr txBox="1"/>
      </xdr:nvSpPr>
      <xdr:spPr>
        <a:xfrm>
          <a:off x="247650" y="45148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Liberation Sans"/>
              <a:cs typeface="Liberation Sans"/>
            </a:rPr>
            <a:t>PPT-Vorlage verknüpfen</a:t>
          </a:r>
        </a:p>
      </xdr:txBody>
    </xdr:sp>
    <xdr:clientData/>
  </xdr:twoCellAnchor>
  <xdr:twoCellAnchor editAs="absolute">
    <xdr:from>
      <xdr:col>1</xdr:col>
      <xdr:colOff>1638300</xdr:colOff>
      <xdr:row>21</xdr:row>
      <xdr:rowOff>0</xdr:rowOff>
    </xdr:from>
    <xdr:to>
      <xdr:col>3</xdr:col>
      <xdr:colOff>0</xdr:colOff>
      <xdr:row>22</xdr:row>
      <xdr:rowOff>95250</xdr:rowOff>
    </xdr:to>
    <xdr:sp macro="[0]!modAltWerte.Zeigen" textlink="">
      <xdr:nvSpPr>
        <xdr:cNvPr id="13" name="BTN_AltWerte"/>
        <xdr:cNvSpPr txBox="1"/>
      </xdr:nvSpPr>
      <xdr:spPr>
        <a:xfrm>
          <a:off x="1885950" y="45148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850" b="1">
              <a:solidFill>
                <a:srgbClr val="1A1A1A"/>
              </a:solidFill>
              <a:latin typeface="Liberation Sans"/>
              <a:cs typeface="Liberation Sans"/>
            </a:rPr>
            <a:t>Werte aus</a:t>
          </a:r>
        </a:p>
        <a:p>
          <a:r>
            <a:rPr lang="en-US" sz="850" b="1">
              <a:solidFill>
                <a:srgbClr val="1A1A1A"/>
              </a:solidFill>
              <a:latin typeface="Liberation Sans"/>
              <a:cs typeface="Liberation Sans"/>
            </a:rPr>
            <a:t>HS-Dashboard 2025</a:t>
          </a:r>
        </a:p>
      </xdr:txBody>
    </xdr:sp>
    <xdr:clientData/>
  </xdr:twoCellAnchor>
</xdr:wsDr>
</file>

<file path=xl/drawings/drawing2.xml><?xml version="1.0" encoding="utf-8"?>
<xdr:wsDr xmlns:xdr="http://schemas.openxmlformats.org/drawingml/2006/spreadsheetDrawing" xmlns:a="http://schemas.openxmlformats.org/drawingml/2006/main">
  <xdr:absoluteAnchor>
    <xdr:pos x="228600" y="685800"/>
    <xdr:ext cx="12192000" cy="6858000"/>
    <xdr:sp macro="" textlink="">
      <xdr:nvSpPr>
        <xdr:cNvPr id="4" name="DEKO_Folie"/>
        <xdr:cNvSpPr txBox="1"/>
      </xdr:nvSpPr>
      <xdr:spPr>
        <a:xfrm>
          <a:off x="228600" y="685800"/>
          <a:ext cx="12192000" cy="6858000"/>
        </a:xfrm>
        <a:prstGeom prst="rect">
          <a:avLst/>
        </a:prstGeom>
        <a:solidFill>
          <a:srgbClr val="FFFFFF"/>
        </a:solidFill>
        <a:ln w="9525"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28600" y="685800"/>
    <xdr:ext cx="12192000" cy="6858000"/>
    <xdr:pic>
      <xdr:nvPicPr>
        <xdr:cNvPr id="2" name="TITEL_Bild"/>
        <xdr:cNvPicPr>
          <a:picLocks noChangeAspect="1"/>
        </xdr:cNvPicPr>
      </xdr:nvPicPr>
      <xdr:blipFill>
        <a:blip xmlns:r="http://schemas.openxmlformats.org/officeDocument/2006/relationships" r:embed="rId1"/>
        <a:srcRect t="2768" b="12943"/>
        <a:stretch>
          <a:fillRect/>
        </a:stretch>
      </xdr:blipFill>
      <xdr:spPr>
        <a:xfrm>
          <a:off x="228600" y="685800"/>
          <a:ext cx="12192000" cy="6858000"/>
        </a:xfrm>
        <a:prstGeom prst="rect">
          <a:avLst/>
        </a:prstGeom>
      </xdr:spPr>
    </xdr:pic>
    <xdr:clientData/>
  </xdr:absoluteAnchor>
  <xdr:absoluteAnchor>
    <xdr:pos x="4657725" y="2162175"/>
    <xdr:ext cx="7077075" cy="2200275"/>
    <xdr:sp macro="" textlink="">
      <xdr:nvSpPr>
        <xdr:cNvPr id="5" name="TITEL_Flaeche"/>
        <xdr:cNvSpPr txBox="1"/>
      </xdr:nvSpPr>
      <xdr:spPr>
        <a:xfrm>
          <a:off x="4657725" y="2162175"/>
          <a:ext cx="7077075" cy="2200275"/>
        </a:xfrm>
        <a:prstGeom prst="rect">
          <a:avLst/>
        </a:prstGeom>
        <a:solidFill>
          <a:srgbClr val="FFFFFF">
            <a:alpha val="44000"/>
          </a:srgbClr>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657725" y="4438650"/>
    <xdr:ext cx="5362575" cy="561975"/>
    <xdr:sp macro="" textlink="">
      <xdr:nvSpPr>
        <xdr:cNvPr id="8" name="TITEL_Flaeche2"/>
        <xdr:cNvSpPr txBox="1"/>
      </xdr:nvSpPr>
      <xdr:spPr>
        <a:xfrm>
          <a:off x="4657725" y="4438650"/>
          <a:ext cx="5362575" cy="561975"/>
        </a:xfrm>
        <a:prstGeom prst="rect">
          <a:avLst/>
        </a:prstGeom>
        <a:solidFill>
          <a:srgbClr val="FFFFFF">
            <a:alpha val="44000"/>
          </a:srgbClr>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0334625" y="1171575"/>
    <xdr:ext cx="1552575" cy="857250"/>
    <xdr:pic>
      <xdr:nvPicPr>
        <xdr:cNvPr id="3" name="DEKO_Logo"/>
        <xdr:cNvPicPr>
          <a:picLocks noChangeAspect="1"/>
        </xdr:cNvPicPr>
      </xdr:nvPicPr>
      <xdr:blipFill>
        <a:blip xmlns:r="http://schemas.openxmlformats.org/officeDocument/2006/relationships" r:embed="rId2"/>
        <a:stretch>
          <a:fillRect/>
        </a:stretch>
      </xdr:blipFill>
      <xdr:spPr>
        <a:xfrm>
          <a:off x="10334625" y="1171575"/>
          <a:ext cx="1552575" cy="857250"/>
        </a:xfrm>
        <a:prstGeom prst="rect">
          <a:avLst/>
        </a:prstGeom>
      </xdr:spPr>
    </xdr:pic>
    <xdr:clientData/>
  </xdr:absoluteAnchor>
  <xdr:absoluteAnchor>
    <xdr:pos x="4657725" y="2162175"/>
    <xdr:ext cx="7077075" cy="504825"/>
    <xdr:sp macro="" textlink="Konfiguration!$C$15">
      <xdr:nvSpPr>
        <xdr:cNvPr id="6" name="DEKO_Titel"/>
        <xdr:cNvSpPr txBox="1"/>
      </xdr:nvSpPr>
      <xdr:spPr>
        <a:xfrm>
          <a:off x="4657725" y="2162175"/>
          <a:ext cx="7077075" cy="504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t" lIns="0" tIns="0" rIns="0" bIns="0"/>
        <a:lstStyle/>
        <a:p>
          <a:fld id="{B8ADDEFE-BF52-4FD4-8C5D-6B85EF6FF707}" type="TxLink">
            <a:rPr lang="en-US" sz="3200" b="1">
              <a:solidFill>
                <a:srgbClr val="B31767"/>
              </a:solidFill>
              <a:latin typeface="Calibri"/>
              <a:cs typeface="Calibri"/>
            </a:rPr>
            <a:t>Dashboard HR Sales</a:t>
          </a:fld>
          <a:endParaRPr lang="en-US" sz="3200" b="1">
            <a:solidFill>
              <a:srgbClr val="B31767"/>
            </a:solidFill>
            <a:latin typeface="Calibri"/>
            <a:cs typeface="Calibri"/>
          </a:endParaRPr>
        </a:p>
      </xdr:txBody>
    </xdr:sp>
    <xdr:clientData/>
  </xdr:absoluteAnchor>
  <xdr:absoluteAnchor>
    <xdr:pos x="4657725" y="3152775"/>
    <xdr:ext cx="7077075" cy="504825"/>
    <xdr:sp macro="" textlink="Konfiguration!$C$16">
      <xdr:nvSpPr>
        <xdr:cNvPr id="7" name="DEKO_Untertitel"/>
        <xdr:cNvSpPr txBox="1"/>
      </xdr:nvSpPr>
      <xdr:spPr>
        <a:xfrm>
          <a:off x="4657725" y="3152775"/>
          <a:ext cx="7077075" cy="504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t" lIns="0" tIns="0" rIns="0" bIns="0"/>
        <a:lstStyle/>
        <a:p>
          <a:fld id="{B8ADDEFE-BF52-4FD4-8C5D-6B85EF6FF707}" type="TxLink">
            <a:rPr lang="en-US" sz="3200" b="1">
              <a:solidFill>
                <a:srgbClr val="B31767"/>
              </a:solidFill>
              <a:latin typeface="Calibri"/>
              <a:cs typeface="Calibri"/>
            </a:rPr>
            <a:t>Kennzahlen zur Stabilisierungsphase</a:t>
          </a:fld>
          <a:endParaRPr lang="en-US" sz="3200" b="1">
            <a:solidFill>
              <a:srgbClr val="B31767"/>
            </a:solidFill>
            <a:latin typeface="Calibri"/>
            <a:cs typeface="Calibri"/>
          </a:endParaRPr>
        </a:p>
      </xdr:txBody>
    </xdr:sp>
    <xdr:clientData/>
  </xdr:absoluteAnchor>
  <xdr:absoluteAnchor>
    <xdr:pos x="4657725" y="4438650"/>
    <xdr:ext cx="5362575" cy="276225"/>
    <xdr:sp macro="" textlink="Konfiguration!$C$17">
      <xdr:nvSpPr>
        <xdr:cNvPr id="9" name="DEKO_Stand"/>
        <xdr:cNvSpPr txBox="1"/>
      </xdr:nvSpPr>
      <xdr:spPr>
        <a:xfrm>
          <a:off x="4657725" y="4438650"/>
          <a:ext cx="5362575"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t" lIns="0" tIns="0" rIns="0" bIns="0"/>
        <a:lstStyle/>
        <a:p>
          <a:fld id="{B8ADDEFE-BF52-4FD4-8C5D-6B85EF6FF707}" type="TxLink">
            <a:rPr lang="en-US" sz="1600">
              <a:solidFill>
                <a:srgbClr val="B31767"/>
              </a:solidFill>
              <a:latin typeface="Calibri"/>
              <a:cs typeface="Calibri"/>
            </a:rPr>
            <a:t>Stand  19.10.2026</a:t>
          </a:fld>
          <a:endParaRPr lang="en-US" sz="1600">
            <a:solidFill>
              <a:srgbClr val="B31767"/>
            </a:solidFill>
            <a:latin typeface="Calibri"/>
            <a:cs typeface="Calibri"/>
          </a:endParaRPr>
        </a:p>
      </xdr:txBody>
    </xdr:sp>
    <xdr:clientData/>
  </xdr:absoluteAnchor>
  <xdr:absoluteAnchor>
    <xdr:pos x="9886950" y="4362450"/>
    <xdr:ext cx="2190750" cy="2038350"/>
    <xdr:sp macro="" textlink="">
      <xdr:nvSpPr>
        <xdr:cNvPr id="10" name="DEKO_Vertraulich"/>
        <xdr:cNvSpPr txBox="1"/>
      </xdr:nvSpPr>
      <xdr:spPr>
        <a:xfrm rot="20700000">
          <a:off x="9886950" y="4362450"/>
          <a:ext cx="2190750" cy="2038350"/>
        </a:xfrm>
        <a:prstGeom prst="ellipse">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2200" b="1">
              <a:solidFill>
                <a:srgbClr val="FFFFFF"/>
              </a:solidFill>
              <a:latin typeface="Calibri"/>
              <a:cs typeface="Calibri"/>
            </a:rPr>
            <a:t>Vertraulich</a:t>
          </a:r>
        </a:p>
      </xdr:txBody>
    </xdr:sp>
    <xdr:clientData/>
  </xdr:absoluteAnchor>
  <xdr:absoluteAnchor>
    <xdr:pos x="228600" y="152400"/>
    <xdr:ext cx="1905000" cy="342900"/>
    <xdr:sp macro="[0]!modPPT.Zeigen" textlink="">
      <xdr:nvSpPr>
        <xdr:cNvPr id="11" name="BTN_PPT"/>
        <xdr:cNvSpPr txBox="1"/>
      </xdr:nvSpPr>
      <xdr:spPr>
        <a:xfrm>
          <a:off x="228600" y="152400"/>
          <a:ext cx="1905000" cy="34290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PowerPoint erzeugen</a:t>
          </a:r>
        </a:p>
      </xdr:txBody>
    </xdr:sp>
    <xdr:clientData/>
  </xdr:absoluteAnchor>
  <xdr:absoluteAnchor>
    <xdr:pos x="2247900" y="152400"/>
    <xdr:ext cx="1428750" cy="342900"/>
    <xdr:sp macro="[0]!modStart.ZurStartseite" textlink="">
      <xdr:nvSpPr>
        <xdr:cNvPr id="12" name="BTN_Start"/>
        <xdr:cNvSpPr txBox="1"/>
      </xdr:nvSpPr>
      <xdr:spPr>
        <a:xfrm>
          <a:off x="2247900" y="152400"/>
          <a:ext cx="1428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Zur Startseite</a:t>
          </a:r>
        </a:p>
      </xdr:txBody>
    </xdr:sp>
    <xdr:clientData/>
  </xdr:absoluteAnchor>
</xdr:wsDr>
</file>

<file path=xl/drawings/drawing3.xml><?xml version="1.0" encoding="utf-8"?>
<xdr:wsDr xmlns:xdr="http://schemas.openxmlformats.org/drawingml/2006/spreadsheetDrawing" xmlns:a="http://schemas.openxmlformats.org/drawingml/2006/main">
  <xdr:absoluteAnchor>
    <xdr:pos x="228600" y="685800"/>
    <xdr:ext cx="12192000" cy="6858000"/>
    <xdr:sp macro="" textlink="">
      <xdr:nvSpPr>
        <xdr:cNvPr id="17" name="DEKO_Folie"/>
        <xdr:cNvSpPr txBox="1"/>
      </xdr:nvSpPr>
      <xdr:spPr>
        <a:xfrm>
          <a:off x="228600" y="685800"/>
          <a:ext cx="12192000" cy="6858000"/>
        </a:xfrm>
        <a:prstGeom prst="rect">
          <a:avLst/>
        </a:prstGeom>
        <a:solidFill>
          <a:srgbClr val="FFFFFF"/>
        </a:solidFill>
        <a:ln w="9525"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8963025" y="685800"/>
    <xdr:ext cx="3457575" cy="6858000"/>
    <xdr:sp macro="" textlink="">
      <xdr:nvSpPr>
        <xdr:cNvPr id="18" name="DEKO_Panel"/>
        <xdr:cNvSpPr txBox="1"/>
      </xdr:nvSpPr>
      <xdr:spPr>
        <a:xfrm>
          <a:off x="8963025" y="685800"/>
          <a:ext cx="3457575" cy="6858000"/>
        </a:xfrm>
        <a:prstGeom prst="rect">
          <a:avLst/>
        </a:prstGeom>
        <a:solidFill>
          <a:srgbClr val="EBEBE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33425" y="2009775"/>
    <xdr:ext cx="2600325" cy="257175"/>
    <xdr:sp macro="" textlink="">
      <xdr:nvSpPr>
        <xdr:cNvPr id="28" name="K1_Kopf"/>
        <xdr:cNvSpPr txBox="1"/>
      </xdr:nvSpPr>
      <xdr:spPr>
        <a:xfrm>
          <a:off x="733425" y="2009775"/>
          <a:ext cx="2600325"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33425" y="2257425"/>
    <xdr:ext cx="2600325" cy="2105025"/>
    <xdr:sp macro="" textlink="">
      <xdr:nvSpPr>
        <xdr:cNvPr id="32" name="K1_Grund"/>
        <xdr:cNvSpPr txBox="1"/>
      </xdr:nvSpPr>
      <xdr:spPr>
        <a:xfrm>
          <a:off x="733425"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438525" y="2009775"/>
    <xdr:ext cx="2600325" cy="257175"/>
    <xdr:sp macro="" textlink="">
      <xdr:nvSpPr>
        <xdr:cNvPr id="52" name="K2_Kopf"/>
        <xdr:cNvSpPr txBox="1"/>
      </xdr:nvSpPr>
      <xdr:spPr>
        <a:xfrm>
          <a:off x="3438525" y="2009775"/>
          <a:ext cx="2600325"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438525" y="2257425"/>
    <xdr:ext cx="2600325" cy="2105025"/>
    <xdr:sp macro="" textlink="">
      <xdr:nvSpPr>
        <xdr:cNvPr id="56" name="K2_Grund"/>
        <xdr:cNvSpPr txBox="1"/>
      </xdr:nvSpPr>
      <xdr:spPr>
        <a:xfrm>
          <a:off x="3438525"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134100" y="2009775"/>
    <xdr:ext cx="2600325" cy="257175"/>
    <xdr:sp macro="" textlink="">
      <xdr:nvSpPr>
        <xdr:cNvPr id="74" name="K3_Kopf"/>
        <xdr:cNvSpPr txBox="1"/>
      </xdr:nvSpPr>
      <xdr:spPr>
        <a:xfrm>
          <a:off x="6134100" y="2009775"/>
          <a:ext cx="2600325"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134100" y="2257425"/>
    <xdr:ext cx="2600325" cy="2105025"/>
    <xdr:sp macro="" textlink="">
      <xdr:nvSpPr>
        <xdr:cNvPr id="78" name="K3_Grund"/>
        <xdr:cNvSpPr txBox="1"/>
      </xdr:nvSpPr>
      <xdr:spPr>
        <a:xfrm>
          <a:off x="6134100"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33425" y="4467225"/>
    <xdr:ext cx="1924050" cy="257175"/>
    <xdr:sp macro="" textlink="">
      <xdr:nvSpPr>
        <xdr:cNvPr id="84" name="K4_Kopf"/>
        <xdr:cNvSpPr txBox="1"/>
      </xdr:nvSpPr>
      <xdr:spPr>
        <a:xfrm>
          <a:off x="733425" y="4467225"/>
          <a:ext cx="1924050"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33425" y="4724400"/>
    <xdr:ext cx="1924050" cy="2105025"/>
    <xdr:sp macro="" textlink="">
      <xdr:nvSpPr>
        <xdr:cNvPr id="88" name="K4_Grund"/>
        <xdr:cNvSpPr txBox="1"/>
      </xdr:nvSpPr>
      <xdr:spPr>
        <a:xfrm>
          <a:off x="733425" y="4724400"/>
          <a:ext cx="1924050"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762250" y="4467225"/>
    <xdr:ext cx="1924050" cy="257175"/>
    <xdr:sp macro="" textlink="">
      <xdr:nvSpPr>
        <xdr:cNvPr id="99" name="K5_Kopf"/>
        <xdr:cNvSpPr txBox="1"/>
      </xdr:nvSpPr>
      <xdr:spPr>
        <a:xfrm>
          <a:off x="2762250" y="4467225"/>
          <a:ext cx="1924050"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762250" y="4724400"/>
    <xdr:ext cx="1924050" cy="2105025"/>
    <xdr:sp macro="" textlink="">
      <xdr:nvSpPr>
        <xdr:cNvPr id="103" name="K5_Grund"/>
        <xdr:cNvSpPr txBox="1"/>
      </xdr:nvSpPr>
      <xdr:spPr>
        <a:xfrm>
          <a:off x="2762250" y="4724400"/>
          <a:ext cx="1924050"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791075" y="4467225"/>
    <xdr:ext cx="1924050" cy="257175"/>
    <xdr:sp macro="" textlink="">
      <xdr:nvSpPr>
        <xdr:cNvPr id="110" name="K6_Kopf"/>
        <xdr:cNvSpPr txBox="1"/>
      </xdr:nvSpPr>
      <xdr:spPr>
        <a:xfrm>
          <a:off x="4791075" y="4467225"/>
          <a:ext cx="1924050"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791075" y="4724400"/>
    <xdr:ext cx="1924050" cy="2105025"/>
    <xdr:sp macro="" textlink="">
      <xdr:nvSpPr>
        <xdr:cNvPr id="114" name="K6_Grund"/>
        <xdr:cNvSpPr txBox="1"/>
      </xdr:nvSpPr>
      <xdr:spPr>
        <a:xfrm>
          <a:off x="4791075" y="4724400"/>
          <a:ext cx="1924050"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810375" y="4467225"/>
    <xdr:ext cx="1924050" cy="257175"/>
    <xdr:sp macro="" textlink="">
      <xdr:nvSpPr>
        <xdr:cNvPr id="117" name="K7_Kopf"/>
        <xdr:cNvSpPr txBox="1"/>
      </xdr:nvSpPr>
      <xdr:spPr>
        <a:xfrm>
          <a:off x="6810375" y="4467225"/>
          <a:ext cx="1924050"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810375" y="4724400"/>
    <xdr:ext cx="1924050" cy="2105025"/>
    <xdr:sp macro="" textlink="">
      <xdr:nvSpPr>
        <xdr:cNvPr id="121" name="K7_Grund"/>
        <xdr:cNvSpPr txBox="1"/>
      </xdr:nvSpPr>
      <xdr:spPr>
        <a:xfrm>
          <a:off x="6810375" y="4724400"/>
          <a:ext cx="1924050"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0677525" y="1171575"/>
    <xdr:ext cx="1219200" cy="676275"/>
    <xdr:pic>
      <xdr:nvPicPr>
        <xdr:cNvPr id="2" name="DEKO_Logo"/>
        <xdr:cNvPicPr>
          <a:picLocks noChangeAspect="1"/>
        </xdr:cNvPicPr>
      </xdr:nvPicPr>
      <xdr:blipFill>
        <a:blip xmlns:r="http://schemas.openxmlformats.org/officeDocument/2006/relationships" r:embed="rId1"/>
        <a:stretch>
          <a:fillRect/>
        </a:stretch>
      </xdr:blipFill>
      <xdr:spPr>
        <a:xfrm>
          <a:off x="10677525" y="1171575"/>
          <a:ext cx="1219200" cy="676275"/>
        </a:xfrm>
        <a:prstGeom prst="rect">
          <a:avLst/>
        </a:prstGeom>
      </xdr:spPr>
    </xdr:pic>
    <xdr:clientData/>
  </xdr:absoluteAnchor>
  <xdr:absoluteAnchor>
    <xdr:pos x="762000" y="2514600"/>
    <xdr:ext cx="2552700" cy="838200"/>
    <xdr:graphicFrame macro="">
      <xdr:nvGraphicFramePr>
        <xdr:cNvPr id="3" name="K1_Rueckstan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absoluteAnchor>
  <xdr:absoluteAnchor>
    <xdr:pos x="762000" y="3590925"/>
    <xdr:ext cx="2552700" cy="752475"/>
    <xdr:graphicFrame macro="">
      <xdr:nvGraphicFramePr>
        <xdr:cNvPr id="4" name="K1_Vorgaeng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absoluteAnchor>
  <xdr:absoluteAnchor>
    <xdr:pos x="762000" y="4219575"/>
    <xdr:ext cx="2552700" cy="142875"/>
    <xdr:graphicFrame macro="">
      <xdr:nvGraphicFramePr>
        <xdr:cNvPr id="5" name="K1_Sald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absoluteAnchor>
  <xdr:absoluteAnchor>
    <xdr:pos x="3467100" y="2514600"/>
    <xdr:ext cx="2552700" cy="838200"/>
    <xdr:graphicFrame macro="">
      <xdr:nvGraphicFramePr>
        <xdr:cNvPr id="6" name="K2_Rueckstan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absoluteAnchor>
  <xdr:absoluteAnchor>
    <xdr:pos x="3467100" y="3590925"/>
    <xdr:ext cx="2552700" cy="752475"/>
    <xdr:graphicFrame macro="">
      <xdr:nvGraphicFramePr>
        <xdr:cNvPr id="7" name="K2_Vorgaeng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absoluteAnchor>
  <xdr:absoluteAnchor>
    <xdr:pos x="3467100" y="4219575"/>
    <xdr:ext cx="2552700" cy="142875"/>
    <xdr:graphicFrame macro="">
      <xdr:nvGraphicFramePr>
        <xdr:cNvPr id="8" name="K2_Sald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absoluteAnchor>
  <xdr:absoluteAnchor>
    <xdr:pos x="6162675" y="2562225"/>
    <xdr:ext cx="2552700" cy="800100"/>
    <xdr:graphicFrame macro="">
      <xdr:nvGraphicFramePr>
        <xdr:cNvPr id="9" name="K3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absoluteAnchor>
  <xdr:absoluteAnchor>
    <xdr:pos x="6162675" y="3362325"/>
    <xdr:ext cx="2552700" cy="981075"/>
    <xdr:graphicFrame macro="">
      <xdr:nvGraphicFramePr>
        <xdr:cNvPr id="10" name="K3_Monat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absoluteAnchor>
  <xdr:absoluteAnchor>
    <xdr:pos x="762000" y="5143500"/>
    <xdr:ext cx="1876425" cy="914400"/>
    <xdr:graphicFrame macro="">
      <xdr:nvGraphicFramePr>
        <xdr:cNvPr id="11" name="K4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absoluteAnchor>
  <xdr:absoluteAnchor>
    <xdr:pos x="762000" y="6057900"/>
    <xdr:ext cx="1876425" cy="752475"/>
    <xdr:graphicFrame macro="">
      <xdr:nvGraphicFramePr>
        <xdr:cNvPr id="12" name="K4_Bewegung"/>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absoluteAnchor>
  <xdr:absoluteAnchor>
    <xdr:pos x="762000" y="6686550"/>
    <xdr:ext cx="1876425" cy="142875"/>
    <xdr:graphicFrame macro="">
      <xdr:nvGraphicFramePr>
        <xdr:cNvPr id="13" name="K4_BewegungDelta"/>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absoluteAnchor>
  <xdr:absoluteAnchor>
    <xdr:pos x="2790825" y="5029200"/>
    <xdr:ext cx="1876425" cy="1781175"/>
    <xdr:graphicFrame macro="">
      <xdr:nvGraphicFramePr>
        <xdr:cNvPr id="14" name="K5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absoluteAnchor>
  <xdr:absoluteAnchor>
    <xdr:pos x="4810125" y="4914900"/>
    <xdr:ext cx="1876425" cy="1895475"/>
    <xdr:graphicFrame macro="">
      <xdr:nvGraphicFramePr>
        <xdr:cNvPr id="15" name="K6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absoluteAnchor>
  <xdr:absoluteAnchor>
    <xdr:pos x="6838950" y="4914900"/>
    <xdr:ext cx="1876425" cy="1895475"/>
    <xdr:graphicFrame macro="">
      <xdr:nvGraphicFramePr>
        <xdr:cNvPr id="16" name="K7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absoluteAnchor>
  <xdr:absoluteAnchor>
    <xdr:pos x="7953375" y="685800"/>
    <xdr:ext cx="2057400" cy="390525"/>
    <xdr:sp macro="" textlink="">
      <xdr:nvSpPr>
        <xdr:cNvPr id="19" name="DEKO_Vertraulich"/>
        <xdr:cNvSpPr txBox="1"/>
      </xdr:nvSpPr>
      <xdr:spPr>
        <a:xfrm>
          <a:off x="7953375" y="685800"/>
          <a:ext cx="2057400" cy="390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000" b="1">
              <a:solidFill>
                <a:srgbClr val="FFFFFF"/>
              </a:solidFill>
              <a:latin typeface="Liberation Sans"/>
              <a:cs typeface="Liberation Sans"/>
            </a:rPr>
            <a:t>Vertraulich</a:t>
          </a:r>
        </a:p>
      </xdr:txBody>
    </xdr:sp>
    <xdr:clientData/>
  </xdr:absoluteAnchor>
  <xdr:absoluteAnchor>
    <xdr:pos x="733425" y="885825"/>
    <xdr:ext cx="7115175" cy="180975"/>
    <xdr:sp macro="" textlink="Konfiguration!$G$22">
      <xdr:nvSpPr>
        <xdr:cNvPr id="20" name="DEKO_Kicker"/>
        <xdr:cNvSpPr txBox="1"/>
      </xdr:nvSpPr>
      <xdr:spPr>
        <a:xfrm>
          <a:off x="733425" y="885825"/>
          <a:ext cx="71151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900">
              <a:solidFill>
                <a:srgbClr val="1A1A1A"/>
              </a:solidFill>
              <a:latin typeface="Liberation Sans"/>
              <a:cs typeface="Liberation Sans"/>
            </a:rPr>
            <a:t>DASHBOARDS  ·  STAND 19.10.2026</a:t>
          </a:fld>
          <a:endParaRPr lang="en-US" sz="900">
            <a:solidFill>
              <a:srgbClr val="1A1A1A"/>
            </a:solidFill>
            <a:latin typeface="Liberation Sans"/>
            <a:cs typeface="Liberation Sans"/>
          </a:endParaRPr>
        </a:p>
      </xdr:txBody>
    </xdr:sp>
    <xdr:clientData/>
  </xdr:absoluteAnchor>
  <xdr:absoluteAnchor>
    <xdr:pos x="733425" y="1152525"/>
    <xdr:ext cx="8124825" cy="504825"/>
    <xdr:sp macro="" textlink="Konfiguration!$C$22">
      <xdr:nvSpPr>
        <xdr:cNvPr id="21" name="DEKO_Titel"/>
        <xdr:cNvSpPr txBox="1"/>
      </xdr:nvSpPr>
      <xdr:spPr>
        <a:xfrm>
          <a:off x="733425" y="1152525"/>
          <a:ext cx="8124825" cy="504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2000" b="1">
              <a:solidFill>
                <a:srgbClr val="BF1528"/>
              </a:solidFill>
              <a:latin typeface="Liberation Sans"/>
              <a:cs typeface="Liberation Sans"/>
            </a:rPr>
            <a:t>HR Sales | Dashboard Serviceparameter</a:t>
          </a:fld>
          <a:endParaRPr lang="en-US" sz="2000" b="1">
            <a:solidFill>
              <a:srgbClr val="BF1528"/>
            </a:solidFill>
            <a:latin typeface="Liberation Sans"/>
            <a:cs typeface="Liberation Sans"/>
          </a:endParaRPr>
        </a:p>
      </xdr:txBody>
    </xdr:sp>
    <xdr:clientData/>
  </xdr:absoluteAnchor>
  <xdr:absoluteAnchor>
    <xdr:pos x="733425" y="6924675"/>
    <xdr:ext cx="7277100" cy="123825"/>
    <xdr:sp macro="" textlink="Konfiguration!$C$25">
      <xdr:nvSpPr>
        <xdr:cNvPr id="22" name="DEKO_Fussnote"/>
        <xdr:cNvSpPr txBox="1"/>
      </xdr:nvSpPr>
      <xdr:spPr>
        <a:xfrm>
          <a:off x="733425" y="6924675"/>
          <a:ext cx="7277100" cy="123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700">
              <a:solidFill>
                <a:srgbClr val="6B6B6B"/>
              </a:solidFill>
              <a:latin typeface="Liberation Sans"/>
              <a:cs typeface="Liberation Sans"/>
            </a:rPr>
            <a:t>Wochenwerte: je Kachel die letzten KW mit Daten, höchstens bis KW 42 (Berichtstag 19.10.2026)  ·  Monatswerte bis September 2026  ·  MAK bis Oktober 2026 und Plan Jan 27/28</a:t>
          </a:fld>
          <a:endParaRPr lang="en-US" sz="700">
            <a:solidFill>
              <a:srgbClr val="6B6B6B"/>
            </a:solidFill>
            <a:latin typeface="Liberation Sans"/>
            <a:cs typeface="Liberation Sans"/>
          </a:endParaRPr>
        </a:p>
      </xdr:txBody>
    </xdr:sp>
    <xdr:clientData/>
  </xdr:absoluteAnchor>
  <xdr:absoluteAnchor>
    <xdr:pos x="228600" y="152400"/>
    <xdr:ext cx="1905000" cy="342900"/>
    <xdr:sp macro="[0]!modKommentar.Zeigen" textlink="">
      <xdr:nvSpPr>
        <xdr:cNvPr id="23" name="BTN_Kommentare"/>
        <xdr:cNvSpPr txBox="1"/>
      </xdr:nvSpPr>
      <xdr:spPr>
        <a:xfrm>
          <a:off x="228600" y="152400"/>
          <a:ext cx="1905000" cy="34290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Kommentare bearbeiten</a:t>
          </a:r>
        </a:p>
      </xdr:txBody>
    </xdr:sp>
    <xdr:clientData/>
  </xdr:absoluteAnchor>
  <xdr:absoluteAnchor>
    <xdr:pos x="2247900" y="152400"/>
    <xdr:ext cx="1905000" cy="342900"/>
    <xdr:sp macro="[0]!modPPT.Zeigen" textlink="">
      <xdr:nvSpPr>
        <xdr:cNvPr id="24" name="BTN_PPT"/>
        <xdr:cNvSpPr txBox="1"/>
      </xdr:nvSpPr>
      <xdr:spPr>
        <a:xfrm>
          <a:off x="2247900" y="152400"/>
          <a:ext cx="1905000" cy="34290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PowerPoint erzeugen</a:t>
          </a:r>
        </a:p>
      </xdr:txBody>
    </xdr:sp>
    <xdr:clientData/>
  </xdr:absoluteAnchor>
  <xdr:absoluteAnchor>
    <xdr:pos x="4267200" y="152400"/>
    <xdr:ext cx="1428750" cy="342900"/>
    <xdr:sp macro="[0]!modStart.ZurStartseite" textlink="">
      <xdr:nvSpPr>
        <xdr:cNvPr id="25" name="BTN_Start"/>
        <xdr:cNvSpPr txBox="1"/>
      </xdr:nvSpPr>
      <xdr:spPr>
        <a:xfrm>
          <a:off x="4267200" y="152400"/>
          <a:ext cx="1428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Zur Startseite</a:t>
          </a:r>
        </a:p>
      </xdr:txBody>
    </xdr:sp>
    <xdr:clientData/>
  </xdr:absoluteAnchor>
  <xdr:absoluteAnchor>
    <xdr:pos x="5810250" y="152400"/>
    <xdr:ext cx="1809750" cy="342900"/>
    <xdr:sp macro="[0]!modKW.Zeigen" textlink="">
      <xdr:nvSpPr>
        <xdr:cNvPr id="26" name="BTN_Diagramm"/>
        <xdr:cNvSpPr txBox="1"/>
      </xdr:nvSpPr>
      <xdr:spPr>
        <a:xfrm>
          <a:off x="5810250" y="152400"/>
          <a:ext cx="1809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Diagramm anpassen</a:t>
          </a:r>
        </a:p>
      </xdr:txBody>
    </xdr:sp>
    <xdr:clientData/>
  </xdr:absoluteAnchor>
  <xdr:absoluteAnchor>
    <xdr:pos x="7734300" y="152400"/>
    <xdr:ext cx="2190750" cy="342900"/>
    <xdr:sp macro="[0]!modKacheln.Zeigen" textlink="">
      <xdr:nvSpPr>
        <xdr:cNvPr id="27" name="BTN_Kacheln"/>
        <xdr:cNvSpPr txBox="1"/>
      </xdr:nvSpPr>
      <xdr:spPr>
        <a:xfrm>
          <a:off x="7734300" y="152400"/>
          <a:ext cx="2190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Kacheln ein-/ausblenden</a:t>
          </a:r>
        </a:p>
      </xdr:txBody>
    </xdr:sp>
    <xdr:clientData/>
  </xdr:absoluteAnchor>
  <xdr:absoluteAnchor>
    <xdr:pos x="2581275" y="2009775"/>
    <xdr:ext cx="676275" cy="257175"/>
    <xdr:sp macro="" textlink="Dashboard_Daten!$E$165">
      <xdr:nvSpPr>
        <xdr:cNvPr id="29" name="K1_Stand"/>
        <xdr:cNvSpPr txBox="1"/>
      </xdr:nvSpPr>
      <xdr:spPr>
        <a:xfrm>
          <a:off x="2581275" y="2009775"/>
          <a:ext cx="6762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700">
              <a:solidFill>
                <a:srgbClr val="FFFFFF"/>
              </a:solidFill>
              <a:latin typeface="Liberation Sans"/>
              <a:cs typeface="Liberation Sans"/>
            </a:rPr>
            <a:t>Stand: 19.10.26</a:t>
          </a:fld>
          <a:endParaRPr lang="en-US" sz="700">
            <a:solidFill>
              <a:srgbClr val="FFFFFF"/>
            </a:solidFill>
            <a:latin typeface="Liberation Sans"/>
            <a:cs typeface="Liberation Sans"/>
          </a:endParaRPr>
        </a:p>
      </xdr:txBody>
    </xdr:sp>
    <xdr:clientData/>
  </xdr:absoluteAnchor>
  <xdr:absoluteAnchor>
    <xdr:pos x="1057275" y="2009775"/>
    <xdr:ext cx="1466850" cy="257175"/>
    <xdr:sp macro="" textlink="">
      <xdr:nvSpPr>
        <xdr:cNvPr id="30" name="K1_Titel"/>
        <xdr:cNvSpPr txBox="1"/>
      </xdr:nvSpPr>
      <xdr:spPr>
        <a:xfrm>
          <a:off x="1057275" y="2009775"/>
          <a:ext cx="14668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775" b="1">
              <a:solidFill>
                <a:srgbClr val="FFFFFF"/>
              </a:solidFill>
              <a:latin typeface="Liberation Sans"/>
              <a:cs typeface="Liberation Sans"/>
            </a:rPr>
            <a:t>Bestandsübertragung Verbund</a:t>
          </a:r>
        </a:p>
      </xdr:txBody>
    </xdr:sp>
    <xdr:clientData/>
  </xdr:absoluteAnchor>
  <xdr:absoluteAnchor>
    <xdr:pos x="809625" y="2047875"/>
    <xdr:ext cx="161925" cy="161925"/>
    <xdr:sp macro="" textlink="">
      <xdr:nvSpPr>
        <xdr:cNvPr id="31" name="K1_Nr"/>
        <xdr:cNvSpPr txBox="1"/>
      </xdr:nvSpPr>
      <xdr:spPr>
        <a:xfrm>
          <a:off x="80962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1</a:t>
          </a:r>
        </a:p>
      </xdr:txBody>
    </xdr:sp>
    <xdr:clientData/>
  </xdr:absoluteAnchor>
  <xdr:absoluteAnchor>
    <xdr:pos x="809625" y="2286000"/>
    <xdr:ext cx="2447925" cy="114300"/>
    <xdr:sp macro="" textlink="">
      <xdr:nvSpPr>
        <xdr:cNvPr id="33" name="K1_UT1"/>
        <xdr:cNvSpPr txBox="1"/>
      </xdr:nvSpPr>
      <xdr:spPr>
        <a:xfrm>
          <a:off x="809625" y="2286000"/>
          <a:ext cx="2447925" cy="114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700" b="1">
              <a:solidFill>
                <a:srgbClr val="1A1A1A"/>
              </a:solidFill>
              <a:latin typeface="Liberation Sans"/>
              <a:cs typeface="Liberation Sans"/>
            </a:rPr>
            <a:t>Offene Vorgänge (Tsd.)</a:t>
          </a:r>
        </a:p>
      </xdr:txBody>
    </xdr:sp>
    <xdr:clientData/>
  </xdr:absoluteAnchor>
  <xdr:absoluteAnchor>
    <xdr:pos x="2705100" y="2324100"/>
    <xdr:ext cx="38100" cy="19050"/>
    <xdr:sp macro="" textlink="">
      <xdr:nvSpPr>
        <xdr:cNvPr id="34" name="K1_SLA_S0"/>
        <xdr:cNvSpPr txBox="1"/>
      </xdr:nvSpPr>
      <xdr:spPr>
        <a:xfrm>
          <a:off x="2705100" y="2324100"/>
          <a:ext cx="38100" cy="190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752725" y="2324100"/>
    <xdr:ext cx="38100" cy="19050"/>
    <xdr:sp macro="" textlink="">
      <xdr:nvSpPr>
        <xdr:cNvPr id="35" name="K1_SLA_S1"/>
        <xdr:cNvSpPr txBox="1"/>
      </xdr:nvSpPr>
      <xdr:spPr>
        <a:xfrm>
          <a:off x="2752725" y="2324100"/>
          <a:ext cx="38100" cy="190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800350" y="2324100"/>
    <xdr:ext cx="38100" cy="19050"/>
    <xdr:sp macro="" textlink="">
      <xdr:nvSpPr>
        <xdr:cNvPr id="36" name="K1_SLA_S2"/>
        <xdr:cNvSpPr txBox="1"/>
      </xdr:nvSpPr>
      <xdr:spPr>
        <a:xfrm>
          <a:off x="2800350" y="2324100"/>
          <a:ext cx="38100" cy="190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867025" y="2286000"/>
    <xdr:ext cx="390525" cy="104775"/>
    <xdr:sp macro="" textlink="Konfiguration!$G$9">
      <xdr:nvSpPr>
        <xdr:cNvPr id="37" name="K1_SLA_T"/>
        <xdr:cNvSpPr txBox="1"/>
      </xdr:nvSpPr>
      <xdr:spPr>
        <a:xfrm>
          <a:off x="2867025" y="2286000"/>
          <a:ext cx="3905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650">
              <a:solidFill>
                <a:srgbClr val="4A4A4A"/>
              </a:solidFill>
              <a:latin typeface="Liberation Sans"/>
              <a:cs typeface="Liberation Sans"/>
            </a:rPr>
            <a:t>SLA 5,5</a:t>
          </a:fld>
          <a:endParaRPr lang="en-US" sz="650">
            <a:solidFill>
              <a:srgbClr val="4A4A4A"/>
            </a:solidFill>
            <a:latin typeface="Liberation Sans"/>
            <a:cs typeface="Liberation Sans"/>
          </a:endParaRPr>
        </a:p>
      </xdr:txBody>
    </xdr:sp>
    <xdr:clientData/>
  </xdr:absoluteAnchor>
  <xdr:absoluteAnchor>
    <xdr:pos x="809625" y="2419350"/>
    <xdr:ext cx="66675" cy="66675"/>
    <xdr:sp macro="" textlink="">
      <xdr:nvSpPr>
        <xdr:cNvPr id="38" name="K1_Leg135_0S"/>
        <xdr:cNvSpPr txBox="1"/>
      </xdr:nvSpPr>
      <xdr:spPr>
        <a:xfrm>
          <a:off x="809625" y="2419350"/>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14400" y="2400300"/>
    <xdr:ext cx="419100" cy="104775"/>
    <xdr:sp macro="" textlink="">
      <xdr:nvSpPr>
        <xdr:cNvPr id="39" name="K1_Leg135_0"/>
        <xdr:cNvSpPr txBox="1"/>
      </xdr:nvSpPr>
      <xdr:spPr>
        <a:xfrm>
          <a:off x="914400" y="2400300"/>
          <a:ext cx="4191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Komposit</a:t>
          </a:r>
        </a:p>
      </xdr:txBody>
    </xdr:sp>
    <xdr:clientData/>
  </xdr:absoluteAnchor>
  <xdr:absoluteAnchor>
    <xdr:pos x="1419225" y="2419350"/>
    <xdr:ext cx="66675" cy="66675"/>
    <xdr:sp macro="" textlink="">
      <xdr:nvSpPr>
        <xdr:cNvPr id="40" name="K1_Leg135_1S"/>
        <xdr:cNvSpPr txBox="1"/>
      </xdr:nvSpPr>
      <xdr:spPr>
        <a:xfrm>
          <a:off x="1419225" y="2419350"/>
          <a:ext cx="66675" cy="66675"/>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524000" y="2400300"/>
    <xdr:ext cx="495300" cy="104775"/>
    <xdr:sp macro="" textlink="">
      <xdr:nvSpPr>
        <xdr:cNvPr id="41" name="K1_Leg135_1"/>
        <xdr:cNvSpPr txBox="1"/>
      </xdr:nvSpPr>
      <xdr:spPr>
        <a:xfrm>
          <a:off x="1524000" y="2400300"/>
          <a:ext cx="4953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Gesundheit</a:t>
          </a:r>
        </a:p>
      </xdr:txBody>
    </xdr:sp>
    <xdr:clientData/>
  </xdr:absoluteAnchor>
  <xdr:absoluteAnchor>
    <xdr:pos x="2114550" y="2419350"/>
    <xdr:ext cx="66675" cy="66675"/>
    <xdr:sp macro="" textlink="">
      <xdr:nvSpPr>
        <xdr:cNvPr id="42" name="K1_Leg135_2S"/>
        <xdr:cNvSpPr txBox="1"/>
      </xdr:nvSpPr>
      <xdr:spPr>
        <a:xfrm>
          <a:off x="2114550" y="2419350"/>
          <a:ext cx="66675" cy="66675"/>
        </a:xfrm>
        <a:prstGeom prst="rect">
          <a:avLst/>
        </a:prstGeom>
        <a:solidFill>
          <a:srgbClr val="1A1A1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209800" y="2400300"/>
    <xdr:ext cx="304800" cy="104775"/>
    <xdr:sp macro="" textlink="">
      <xdr:nvSpPr>
        <xdr:cNvPr id="43" name="K1_Leg135_2"/>
        <xdr:cNvSpPr txBox="1"/>
      </xdr:nvSpPr>
      <xdr:spPr>
        <a:xfrm>
          <a:off x="2209800" y="2400300"/>
          <a:ext cx="3048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Leben</a:t>
          </a:r>
        </a:p>
      </xdr:txBody>
    </xdr:sp>
    <xdr:clientData/>
  </xdr:absoluteAnchor>
  <xdr:absoluteAnchor>
    <xdr:pos x="809625" y="2533650"/>
    <xdr:ext cx="66675" cy="66675"/>
    <xdr:sp macro="" textlink="">
      <xdr:nvSpPr>
        <xdr:cNvPr id="44" name="K1_Leg144_3S"/>
        <xdr:cNvSpPr txBox="1"/>
      </xdr:nvSpPr>
      <xdr:spPr>
        <a:xfrm>
          <a:off x="809625" y="2533650"/>
          <a:ext cx="66675" cy="66675"/>
        </a:xfrm>
        <a:prstGeom prst="rect">
          <a:avLst/>
        </a:prstGeom>
        <a:solidFill>
          <a:srgbClr val="D6A3BE"/>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14400" y="2514600"/>
    <xdr:ext cx="609600" cy="104775"/>
    <xdr:sp macro="" textlink="">
      <xdr:nvSpPr>
        <xdr:cNvPr id="45" name="K1_Leg144_3"/>
        <xdr:cNvSpPr txBox="1"/>
      </xdr:nvSpPr>
      <xdr:spPr>
        <a:xfrm>
          <a:off x="914400" y="2514600"/>
          <a:ext cx="6096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Gesamt bisher</a:t>
          </a:r>
        </a:p>
      </xdr:txBody>
    </xdr:sp>
    <xdr:clientData/>
  </xdr:absoluteAnchor>
  <xdr:absoluteAnchor>
    <xdr:pos x="809625" y="3362325"/>
    <xdr:ext cx="2447925" cy="114300"/>
    <xdr:sp macro="" textlink="">
      <xdr:nvSpPr>
        <xdr:cNvPr id="46" name="K1_UT2"/>
        <xdr:cNvSpPr txBox="1"/>
      </xdr:nvSpPr>
      <xdr:spPr>
        <a:xfrm>
          <a:off x="809625" y="3362325"/>
          <a:ext cx="2447925" cy="114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700" b="1">
              <a:solidFill>
                <a:srgbClr val="1A1A1A"/>
              </a:solidFill>
              <a:latin typeface="Liberation Sans"/>
              <a:cs typeface="Liberation Sans"/>
            </a:rPr>
            <a:t>Vorgänge je KW (Tsd.)</a:t>
          </a:r>
        </a:p>
      </xdr:txBody>
    </xdr:sp>
    <xdr:clientData/>
  </xdr:absoluteAnchor>
  <xdr:absoluteAnchor>
    <xdr:pos x="1828800" y="3371850"/>
    <xdr:ext cx="409575" cy="104775"/>
    <xdr:sp macro="" textlink="">
      <xdr:nvSpPr>
        <xdr:cNvPr id="47" name="K1_UT2b"/>
        <xdr:cNvSpPr txBox="1"/>
      </xdr:nvSpPr>
      <xdr:spPr>
        <a:xfrm>
          <a:off x="1828800" y="3371850"/>
          <a:ext cx="4095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6B6B6B"/>
              </a:solidFill>
              <a:latin typeface="Liberation Sans"/>
              <a:cs typeface="Liberation Sans"/>
            </a:rPr>
            <a:t>· Δ Saldo</a:t>
          </a:r>
        </a:p>
      </xdr:txBody>
    </xdr:sp>
    <xdr:clientData/>
  </xdr:absoluteAnchor>
  <xdr:absoluteAnchor>
    <xdr:pos x="809625" y="3495675"/>
    <xdr:ext cx="66675" cy="66675"/>
    <xdr:sp macro="" textlink="">
      <xdr:nvSpPr>
        <xdr:cNvPr id="48" name="K1_Leg220_0S"/>
        <xdr:cNvSpPr txBox="1"/>
      </xdr:nvSpPr>
      <xdr:spPr>
        <a:xfrm>
          <a:off x="809625" y="3495675"/>
          <a:ext cx="66675" cy="6667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14400" y="3476625"/>
    <xdr:ext cx="1047750" cy="104775"/>
    <xdr:sp macro="" textlink="">
      <xdr:nvSpPr>
        <xdr:cNvPr id="49" name="K1_Leg220_0"/>
        <xdr:cNvSpPr txBox="1"/>
      </xdr:nvSpPr>
      <xdr:spPr>
        <a:xfrm>
          <a:off x="914400" y="3476625"/>
          <a:ext cx="1047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Zunahmen in aktueller KW</a:t>
          </a:r>
        </a:p>
      </xdr:txBody>
    </xdr:sp>
    <xdr:clientData/>
  </xdr:absoluteAnchor>
  <xdr:absoluteAnchor>
    <xdr:pos x="2047875" y="3495675"/>
    <xdr:ext cx="66675" cy="66675"/>
    <xdr:sp macro="" textlink="">
      <xdr:nvSpPr>
        <xdr:cNvPr id="50" name="K1_Leg220_1S"/>
        <xdr:cNvSpPr txBox="1"/>
      </xdr:nvSpPr>
      <xdr:spPr>
        <a:xfrm>
          <a:off x="2047875" y="3495675"/>
          <a:ext cx="66675" cy="66675"/>
        </a:xfrm>
        <a:prstGeom prst="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152650" y="3476625"/>
    <xdr:ext cx="1057275" cy="104775"/>
    <xdr:sp macro="" textlink="">
      <xdr:nvSpPr>
        <xdr:cNvPr id="51" name="K1_Leg220_1"/>
        <xdr:cNvSpPr txBox="1"/>
      </xdr:nvSpPr>
      <xdr:spPr>
        <a:xfrm>
          <a:off x="2152650" y="3476625"/>
          <a:ext cx="10572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Abnahmen in aktueller KW</a:t>
          </a:r>
        </a:p>
      </xdr:txBody>
    </xdr:sp>
    <xdr:clientData/>
  </xdr:absoluteAnchor>
  <xdr:absoluteAnchor>
    <xdr:pos x="5286375" y="2009775"/>
    <xdr:ext cx="676275" cy="257175"/>
    <xdr:sp macro="" textlink="Dashboard_Daten!$E$166">
      <xdr:nvSpPr>
        <xdr:cNvPr id="53" name="K2_Stand"/>
        <xdr:cNvSpPr txBox="1"/>
      </xdr:nvSpPr>
      <xdr:spPr>
        <a:xfrm>
          <a:off x="5286375" y="2009775"/>
          <a:ext cx="6762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700">
              <a:solidFill>
                <a:srgbClr val="FFFFFF"/>
              </a:solidFill>
              <a:latin typeface="Liberation Sans"/>
              <a:cs typeface="Liberation Sans"/>
            </a:rPr>
            <a:t>Stand: 19.10.26</a:t>
          </a:fld>
          <a:endParaRPr lang="en-US" sz="700">
            <a:solidFill>
              <a:srgbClr val="FFFFFF"/>
            </a:solidFill>
            <a:latin typeface="Liberation Sans"/>
            <a:cs typeface="Liberation Sans"/>
          </a:endParaRPr>
        </a:p>
      </xdr:txBody>
    </xdr:sp>
    <xdr:clientData/>
  </xdr:absoluteAnchor>
  <xdr:absoluteAnchor>
    <xdr:pos x="3752850" y="2009775"/>
    <xdr:ext cx="1466850" cy="257175"/>
    <xdr:sp macro="" textlink="">
      <xdr:nvSpPr>
        <xdr:cNvPr id="54" name="K2_Titel"/>
        <xdr:cNvSpPr txBox="1"/>
      </xdr:nvSpPr>
      <xdr:spPr>
        <a:xfrm>
          <a:off x="3752850" y="2009775"/>
          <a:ext cx="14668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850" b="1">
              <a:solidFill>
                <a:srgbClr val="FFFFFF"/>
              </a:solidFill>
              <a:latin typeface="Liberation Sans"/>
              <a:cs typeface="Liberation Sans"/>
            </a:rPr>
            <a:t>Bestandsübertragung OPAG</a:t>
          </a:r>
        </a:p>
      </xdr:txBody>
    </xdr:sp>
    <xdr:clientData/>
  </xdr:absoluteAnchor>
  <xdr:absoluteAnchor>
    <xdr:pos x="3514725" y="2047875"/>
    <xdr:ext cx="161925" cy="161925"/>
    <xdr:sp macro="" textlink="">
      <xdr:nvSpPr>
        <xdr:cNvPr id="55" name="K2_Nr"/>
        <xdr:cNvSpPr txBox="1"/>
      </xdr:nvSpPr>
      <xdr:spPr>
        <a:xfrm>
          <a:off x="351472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2</a:t>
          </a:r>
        </a:p>
      </xdr:txBody>
    </xdr:sp>
    <xdr:clientData/>
  </xdr:absoluteAnchor>
  <xdr:absoluteAnchor>
    <xdr:pos x="3514725" y="2286000"/>
    <xdr:ext cx="2447925" cy="114300"/>
    <xdr:sp macro="" textlink="">
      <xdr:nvSpPr>
        <xdr:cNvPr id="57" name="K2_UT1"/>
        <xdr:cNvSpPr txBox="1"/>
      </xdr:nvSpPr>
      <xdr:spPr>
        <a:xfrm>
          <a:off x="3514725" y="2286000"/>
          <a:ext cx="2447925" cy="114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700" b="1">
              <a:solidFill>
                <a:srgbClr val="1A1A1A"/>
              </a:solidFill>
              <a:latin typeface="Liberation Sans"/>
              <a:cs typeface="Liberation Sans"/>
            </a:rPr>
            <a:t>Offene Vorgänge (Tsd.)</a:t>
          </a:r>
        </a:p>
      </xdr:txBody>
    </xdr:sp>
    <xdr:clientData/>
  </xdr:absoluteAnchor>
  <xdr:absoluteAnchor>
    <xdr:pos x="4676775" y="2324100"/>
    <xdr:ext cx="38100" cy="19050"/>
    <xdr:sp macro="" textlink="">
      <xdr:nvSpPr>
        <xdr:cNvPr id="58" name="K2_SLA_S0"/>
        <xdr:cNvSpPr txBox="1"/>
      </xdr:nvSpPr>
      <xdr:spPr>
        <a:xfrm>
          <a:off x="4676775" y="2324100"/>
          <a:ext cx="38100" cy="190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724400" y="2324100"/>
    <xdr:ext cx="38100" cy="19050"/>
    <xdr:sp macro="" textlink="">
      <xdr:nvSpPr>
        <xdr:cNvPr id="59" name="K2_SLA_S1"/>
        <xdr:cNvSpPr txBox="1"/>
      </xdr:nvSpPr>
      <xdr:spPr>
        <a:xfrm>
          <a:off x="4724400" y="2324100"/>
          <a:ext cx="38100" cy="190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772025" y="2324100"/>
    <xdr:ext cx="38100" cy="19050"/>
    <xdr:sp macro="" textlink="">
      <xdr:nvSpPr>
        <xdr:cNvPr id="60" name="K2_SLA_S2"/>
        <xdr:cNvSpPr txBox="1"/>
      </xdr:nvSpPr>
      <xdr:spPr>
        <a:xfrm>
          <a:off x="4772025" y="2324100"/>
          <a:ext cx="38100" cy="190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838700" y="2286000"/>
    <xdr:ext cx="1114425" cy="104775"/>
    <xdr:sp macro="" textlink="Konfiguration!$G$11">
      <xdr:nvSpPr>
        <xdr:cNvPr id="61" name="K2_SLA_T"/>
        <xdr:cNvSpPr txBox="1"/>
      </xdr:nvSpPr>
      <xdr:spPr>
        <a:xfrm>
          <a:off x="4838700" y="2286000"/>
          <a:ext cx="11144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650">
              <a:solidFill>
                <a:srgbClr val="4A4A4A"/>
              </a:solidFill>
              <a:latin typeface="Liberation Sans"/>
              <a:cs typeface="Liberation Sans"/>
            </a:rPr>
            <a:t>SLA 12,3 (Faktor 2,24) TBC</a:t>
          </a:fld>
          <a:endParaRPr lang="en-US" sz="650">
            <a:solidFill>
              <a:srgbClr val="4A4A4A"/>
            </a:solidFill>
            <a:latin typeface="Liberation Sans"/>
            <a:cs typeface="Liberation Sans"/>
          </a:endParaRPr>
        </a:p>
      </xdr:txBody>
    </xdr:sp>
    <xdr:clientData/>
  </xdr:absoluteAnchor>
  <xdr:absoluteAnchor>
    <xdr:pos x="3514725" y="2419350"/>
    <xdr:ext cx="66675" cy="66675"/>
    <xdr:sp macro="" textlink="">
      <xdr:nvSpPr>
        <xdr:cNvPr id="62" name="K2_Leg135_0S"/>
        <xdr:cNvSpPr txBox="1"/>
      </xdr:nvSpPr>
      <xdr:spPr>
        <a:xfrm>
          <a:off x="3514725" y="2419350"/>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619500" y="2400300"/>
    <xdr:ext cx="419100" cy="104775"/>
    <xdr:sp macro="" textlink="">
      <xdr:nvSpPr>
        <xdr:cNvPr id="63" name="K2_Leg135_0"/>
        <xdr:cNvSpPr txBox="1"/>
      </xdr:nvSpPr>
      <xdr:spPr>
        <a:xfrm>
          <a:off x="3619500" y="2400300"/>
          <a:ext cx="4191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Komposit</a:t>
          </a:r>
        </a:p>
      </xdr:txBody>
    </xdr:sp>
    <xdr:clientData/>
  </xdr:absoluteAnchor>
  <xdr:absoluteAnchor>
    <xdr:pos x="4124325" y="2419350"/>
    <xdr:ext cx="66675" cy="66675"/>
    <xdr:sp macro="" textlink="">
      <xdr:nvSpPr>
        <xdr:cNvPr id="64" name="K2_Leg135_1S"/>
        <xdr:cNvSpPr txBox="1"/>
      </xdr:nvSpPr>
      <xdr:spPr>
        <a:xfrm>
          <a:off x="4124325" y="2419350"/>
          <a:ext cx="66675" cy="66675"/>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229100" y="2400300"/>
    <xdr:ext cx="495300" cy="104775"/>
    <xdr:sp macro="" textlink="">
      <xdr:nvSpPr>
        <xdr:cNvPr id="65" name="K2_Leg135_1"/>
        <xdr:cNvSpPr txBox="1"/>
      </xdr:nvSpPr>
      <xdr:spPr>
        <a:xfrm>
          <a:off x="4229100" y="2400300"/>
          <a:ext cx="4953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Gesundheit</a:t>
          </a:r>
        </a:p>
      </xdr:txBody>
    </xdr:sp>
    <xdr:clientData/>
  </xdr:absoluteAnchor>
  <xdr:absoluteAnchor>
    <xdr:pos x="4810125" y="2419350"/>
    <xdr:ext cx="66675" cy="66675"/>
    <xdr:sp macro="" textlink="">
      <xdr:nvSpPr>
        <xdr:cNvPr id="66" name="K2_Leg135_2S"/>
        <xdr:cNvSpPr txBox="1"/>
      </xdr:nvSpPr>
      <xdr:spPr>
        <a:xfrm>
          <a:off x="4810125" y="2419350"/>
          <a:ext cx="66675" cy="66675"/>
        </a:xfrm>
        <a:prstGeom prst="rect">
          <a:avLst/>
        </a:prstGeom>
        <a:solidFill>
          <a:srgbClr val="1A1A1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914900" y="2400300"/>
    <xdr:ext cx="304800" cy="104775"/>
    <xdr:sp macro="" textlink="">
      <xdr:nvSpPr>
        <xdr:cNvPr id="67" name="K2_Leg135_2"/>
        <xdr:cNvSpPr txBox="1"/>
      </xdr:nvSpPr>
      <xdr:spPr>
        <a:xfrm>
          <a:off x="4914900" y="2400300"/>
          <a:ext cx="3048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Leben</a:t>
          </a:r>
        </a:p>
      </xdr:txBody>
    </xdr:sp>
    <xdr:clientData/>
  </xdr:absoluteAnchor>
  <xdr:absoluteAnchor>
    <xdr:pos x="3514725" y="3362325"/>
    <xdr:ext cx="2447925" cy="114300"/>
    <xdr:sp macro="" textlink="">
      <xdr:nvSpPr>
        <xdr:cNvPr id="68" name="K2_UT2"/>
        <xdr:cNvSpPr txBox="1"/>
      </xdr:nvSpPr>
      <xdr:spPr>
        <a:xfrm>
          <a:off x="3514725" y="3362325"/>
          <a:ext cx="2447925" cy="114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700" b="1">
              <a:solidFill>
                <a:srgbClr val="1A1A1A"/>
              </a:solidFill>
              <a:latin typeface="Liberation Sans"/>
              <a:cs typeface="Liberation Sans"/>
            </a:rPr>
            <a:t>Vorgänge je KW (Tsd.)</a:t>
          </a:r>
        </a:p>
      </xdr:txBody>
    </xdr:sp>
    <xdr:clientData/>
  </xdr:absoluteAnchor>
  <xdr:absoluteAnchor>
    <xdr:pos x="4533900" y="3371850"/>
    <xdr:ext cx="409575" cy="104775"/>
    <xdr:sp macro="" textlink="">
      <xdr:nvSpPr>
        <xdr:cNvPr id="69" name="K2_UT2b"/>
        <xdr:cNvSpPr txBox="1"/>
      </xdr:nvSpPr>
      <xdr:spPr>
        <a:xfrm>
          <a:off x="4533900" y="3371850"/>
          <a:ext cx="4095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6B6B6B"/>
              </a:solidFill>
              <a:latin typeface="Liberation Sans"/>
              <a:cs typeface="Liberation Sans"/>
            </a:rPr>
            <a:t>· Δ Saldo</a:t>
          </a:r>
        </a:p>
      </xdr:txBody>
    </xdr:sp>
    <xdr:clientData/>
  </xdr:absoluteAnchor>
  <xdr:absoluteAnchor>
    <xdr:pos x="3514725" y="3495675"/>
    <xdr:ext cx="66675" cy="66675"/>
    <xdr:sp macro="" textlink="">
      <xdr:nvSpPr>
        <xdr:cNvPr id="70" name="K2_Leg220_0S"/>
        <xdr:cNvSpPr txBox="1"/>
      </xdr:nvSpPr>
      <xdr:spPr>
        <a:xfrm>
          <a:off x="3514725" y="3495675"/>
          <a:ext cx="66675" cy="6667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619500" y="3476625"/>
    <xdr:ext cx="1047750" cy="104775"/>
    <xdr:sp macro="" textlink="">
      <xdr:nvSpPr>
        <xdr:cNvPr id="71" name="K2_Leg220_0"/>
        <xdr:cNvSpPr txBox="1"/>
      </xdr:nvSpPr>
      <xdr:spPr>
        <a:xfrm>
          <a:off x="3619500" y="3476625"/>
          <a:ext cx="1047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Zunahmen in aktueller KW</a:t>
          </a:r>
        </a:p>
      </xdr:txBody>
    </xdr:sp>
    <xdr:clientData/>
  </xdr:absoluteAnchor>
  <xdr:absoluteAnchor>
    <xdr:pos x="4752975" y="3495675"/>
    <xdr:ext cx="66675" cy="66675"/>
    <xdr:sp macro="" textlink="">
      <xdr:nvSpPr>
        <xdr:cNvPr id="72" name="K2_Leg220_1S"/>
        <xdr:cNvSpPr txBox="1"/>
      </xdr:nvSpPr>
      <xdr:spPr>
        <a:xfrm>
          <a:off x="4752975" y="3495675"/>
          <a:ext cx="66675" cy="66675"/>
        </a:xfrm>
        <a:prstGeom prst="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857750" y="3476625"/>
    <xdr:ext cx="1057275" cy="104775"/>
    <xdr:sp macro="" textlink="">
      <xdr:nvSpPr>
        <xdr:cNvPr id="73" name="K2_Leg220_1"/>
        <xdr:cNvSpPr txBox="1"/>
      </xdr:nvSpPr>
      <xdr:spPr>
        <a:xfrm>
          <a:off x="4857750" y="3476625"/>
          <a:ext cx="10572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Abnahmen in aktueller KW</a:t>
          </a:r>
        </a:p>
      </xdr:txBody>
    </xdr:sp>
    <xdr:clientData/>
  </xdr:absoluteAnchor>
  <xdr:absoluteAnchor>
    <xdr:pos x="7981950" y="2009775"/>
    <xdr:ext cx="676275" cy="257175"/>
    <xdr:sp macro="" textlink="Dashboard_Daten!$E$169">
      <xdr:nvSpPr>
        <xdr:cNvPr id="75" name="K3_Stand"/>
        <xdr:cNvSpPr txBox="1"/>
      </xdr:nvSpPr>
      <xdr:spPr>
        <a:xfrm>
          <a:off x="7981950" y="2009775"/>
          <a:ext cx="6762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700">
              <a:solidFill>
                <a:srgbClr val="FFFFFF"/>
              </a:solidFill>
              <a:latin typeface="Liberation Sans"/>
              <a:cs typeface="Liberation Sans"/>
            </a:rPr>
            <a:t>Stand: 19.10.26</a:t>
          </a:fld>
          <a:endParaRPr lang="en-US" sz="700">
            <a:solidFill>
              <a:srgbClr val="FFFFFF"/>
            </a:solidFill>
            <a:latin typeface="Liberation Sans"/>
            <a:cs typeface="Liberation Sans"/>
          </a:endParaRPr>
        </a:p>
      </xdr:txBody>
    </xdr:sp>
    <xdr:clientData/>
  </xdr:absoluteAnchor>
  <xdr:absoluteAnchor>
    <xdr:pos x="6457950" y="2009775"/>
    <xdr:ext cx="1466850" cy="257175"/>
    <xdr:sp macro="" textlink="">
      <xdr:nvSpPr>
        <xdr:cNvPr id="76" name="K3_Titel"/>
        <xdr:cNvSpPr txBox="1"/>
      </xdr:nvSpPr>
      <xdr:spPr>
        <a:xfrm>
          <a:off x="6457950" y="2009775"/>
          <a:ext cx="14668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850" b="1">
              <a:solidFill>
                <a:srgbClr val="FFFFFF"/>
              </a:solidFill>
              <a:latin typeface="Liberation Sans"/>
              <a:cs typeface="Liberation Sans"/>
            </a:rPr>
            <a:t>Neueinstellungen</a:t>
          </a:r>
        </a:p>
      </xdr:txBody>
    </xdr:sp>
    <xdr:clientData/>
  </xdr:absoluteAnchor>
  <xdr:absoluteAnchor>
    <xdr:pos x="6210300" y="2047875"/>
    <xdr:ext cx="161925" cy="161925"/>
    <xdr:sp macro="" textlink="">
      <xdr:nvSpPr>
        <xdr:cNvPr id="77" name="K3_Nr"/>
        <xdr:cNvSpPr txBox="1"/>
      </xdr:nvSpPr>
      <xdr:spPr>
        <a:xfrm>
          <a:off x="6210300"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3</a:t>
          </a:r>
        </a:p>
      </xdr:txBody>
    </xdr:sp>
    <xdr:clientData/>
  </xdr:absoluteAnchor>
  <xdr:absoluteAnchor>
    <xdr:pos x="6210300" y="2352675"/>
    <xdr:ext cx="123825" cy="19050"/>
    <xdr:sp macro="" textlink="">
      <xdr:nvSpPr>
        <xdr:cNvPr id="79" name="K3_Leg128_0S"/>
        <xdr:cNvSpPr txBox="1"/>
      </xdr:nvSpPr>
      <xdr:spPr>
        <a:xfrm>
          <a:off x="6210300" y="2352675"/>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381750" y="2314575"/>
    <xdr:ext cx="600075" cy="104775"/>
    <xdr:sp macro="" textlink="">
      <xdr:nvSpPr>
        <xdr:cNvPr id="80" name="K3_Leg128_0"/>
        <xdr:cNvSpPr txBox="1"/>
      </xdr:nvSpPr>
      <xdr:spPr>
        <a:xfrm>
          <a:off x="6381750" y="2314575"/>
          <a:ext cx="6000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Eingang in HS</a:t>
          </a:r>
        </a:p>
      </xdr:txBody>
    </xdr:sp>
    <xdr:clientData/>
  </xdr:absoluteAnchor>
  <xdr:absoluteAnchor>
    <xdr:pos x="7077075" y="2333625"/>
    <xdr:ext cx="66675" cy="66675"/>
    <xdr:sp macro="" textlink="">
      <xdr:nvSpPr>
        <xdr:cNvPr id="81" name="K3_Leg128_1S"/>
        <xdr:cNvSpPr txBox="1"/>
      </xdr:nvSpPr>
      <xdr:spPr>
        <a:xfrm>
          <a:off x="7077075" y="2333625"/>
          <a:ext cx="66675" cy="66675"/>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172325" y="2314575"/>
    <xdr:ext cx="981075" cy="104775"/>
    <xdr:sp macro="" textlink="">
      <xdr:nvSpPr>
        <xdr:cNvPr id="82" name="K3_Leg128_1"/>
        <xdr:cNvSpPr txBox="1"/>
      </xdr:nvSpPr>
      <xdr:spPr>
        <a:xfrm>
          <a:off x="7172325" y="2314575"/>
          <a:ext cx="9810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Verpflichtungen je Monat</a:t>
          </a:r>
        </a:p>
      </xdr:txBody>
    </xdr:sp>
    <xdr:clientData/>
  </xdr:absoluteAnchor>
  <xdr:absoluteAnchor>
    <xdr:pos x="6210300" y="2428875"/>
    <xdr:ext cx="2095500" cy="104775"/>
    <xdr:sp macro="" textlink="">
      <xdr:nvSpPr>
        <xdr:cNvPr id="83" name="K3_Leg137_2"/>
        <xdr:cNvSpPr txBox="1"/>
      </xdr:nvSpPr>
      <xdr:spPr>
        <a:xfrm>
          <a:off x="6210300" y="2428875"/>
          <a:ext cx="20955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Prozent über der Säule = Erledigungsquote fristgerecht</a:t>
          </a:r>
        </a:p>
      </xdr:txBody>
    </xdr:sp>
    <xdr:clientData/>
  </xdr:absoluteAnchor>
  <xdr:absoluteAnchor>
    <xdr:pos x="2209800" y="4486275"/>
    <xdr:ext cx="371475" cy="228600"/>
    <xdr:sp macro="" textlink="Dashboard_Daten!$F$174">
      <xdr:nvSpPr>
        <xdr:cNvPr id="85" name="K4_Stand"/>
        <xdr:cNvSpPr txBox="1"/>
      </xdr:nvSpPr>
      <xdr:spPr>
        <a:xfrm>
          <a:off x="2209800" y="4486275"/>
          <a:ext cx="37147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650">
              <a:solidFill>
                <a:srgbClr val="FFFFFF"/>
              </a:solidFill>
              <a:latin typeface="Liberation Sans"/>
              <a:cs typeface="Liberation Sans"/>
            </a:rPr>
            <a:t>Stand:
19.10.26</a:t>
          </a:fld>
          <a:endParaRPr lang="en-US" sz="650">
            <a:solidFill>
              <a:srgbClr val="FFFFFF"/>
            </a:solidFill>
            <a:latin typeface="Liberation Sans"/>
            <a:cs typeface="Liberation Sans"/>
          </a:endParaRPr>
        </a:p>
      </xdr:txBody>
    </xdr:sp>
    <xdr:clientData/>
  </xdr:absoluteAnchor>
  <xdr:absoluteAnchor>
    <xdr:pos x="1057275" y="4467225"/>
    <xdr:ext cx="1095375" cy="257175"/>
    <xdr:sp macro="" textlink="">
      <xdr:nvSpPr>
        <xdr:cNvPr id="86" name="K4_Titel"/>
        <xdr:cNvSpPr txBox="1"/>
      </xdr:nvSpPr>
      <xdr:spPr>
        <a:xfrm>
          <a:off x="1057275" y="4467225"/>
          <a:ext cx="10953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75" b="1">
              <a:solidFill>
                <a:srgbClr val="FFFFFF"/>
              </a:solidFill>
              <a:latin typeface="Liberation Sans"/>
              <a:cs typeface="Liberation Sans"/>
            </a:rPr>
            <a:t>Provisionsreklamation AO</a:t>
          </a:r>
        </a:p>
      </xdr:txBody>
    </xdr:sp>
    <xdr:clientData/>
  </xdr:absoluteAnchor>
  <xdr:absoluteAnchor>
    <xdr:pos x="809625" y="4514850"/>
    <xdr:ext cx="161925" cy="161925"/>
    <xdr:sp macro="" textlink="">
      <xdr:nvSpPr>
        <xdr:cNvPr id="87" name="K4_Nr"/>
        <xdr:cNvSpPr txBox="1"/>
      </xdr:nvSpPr>
      <xdr:spPr>
        <a:xfrm>
          <a:off x="80962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4</a:t>
          </a:r>
        </a:p>
      </xdr:txBody>
    </xdr:sp>
    <xdr:clientData/>
  </xdr:absoluteAnchor>
  <xdr:absoluteAnchor>
    <xdr:pos x="809625" y="4819650"/>
    <xdr:ext cx="123825" cy="19050"/>
    <xdr:sp macro="" textlink="">
      <xdr:nvSpPr>
        <xdr:cNvPr id="89" name="K4_Leg322_0S"/>
        <xdr:cNvSpPr txBox="1"/>
      </xdr:nvSpPr>
      <xdr:spPr>
        <a:xfrm>
          <a:off x="809625" y="4819650"/>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81075" y="4772025"/>
    <xdr:ext cx="695325" cy="104775"/>
    <xdr:sp macro="" textlink="">
      <xdr:nvSpPr>
        <xdr:cNvPr id="90" name="K4_Leg322_0"/>
        <xdr:cNvSpPr txBox="1"/>
      </xdr:nvSpPr>
      <xdr:spPr>
        <a:xfrm>
          <a:off x="981075" y="4772025"/>
          <a:ext cx="6953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Vorgänge</a:t>
          </a:r>
        </a:p>
      </xdr:txBody>
    </xdr:sp>
    <xdr:clientData/>
  </xdr:absoluteAnchor>
  <xdr:absoluteAnchor>
    <xdr:pos x="1762125" y="4819650"/>
    <xdr:ext cx="38100" cy="19050"/>
    <xdr:sp macro="" textlink="">
      <xdr:nvSpPr>
        <xdr:cNvPr id="91" name="K4_Leg322_1S0"/>
        <xdr:cNvSpPr txBox="1"/>
      </xdr:nvSpPr>
      <xdr:spPr>
        <a:xfrm>
          <a:off x="1762125" y="48196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809750" y="4819650"/>
    <xdr:ext cx="38100" cy="19050"/>
    <xdr:sp macro="" textlink="">
      <xdr:nvSpPr>
        <xdr:cNvPr id="92" name="K4_Leg322_1S1"/>
        <xdr:cNvSpPr txBox="1"/>
      </xdr:nvSpPr>
      <xdr:spPr>
        <a:xfrm>
          <a:off x="1809750" y="48196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857375" y="4819650"/>
    <xdr:ext cx="38100" cy="19050"/>
    <xdr:sp macro="" textlink="">
      <xdr:nvSpPr>
        <xdr:cNvPr id="93" name="K4_Leg322_1S2"/>
        <xdr:cNvSpPr txBox="1"/>
      </xdr:nvSpPr>
      <xdr:spPr>
        <a:xfrm>
          <a:off x="1857375" y="48196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933575" y="4772025"/>
    <xdr:ext cx="581025" cy="104775"/>
    <xdr:sp macro="" textlink="">
      <xdr:nvSpPr>
        <xdr:cNvPr id="94" name="K4_Leg322_1"/>
        <xdr:cNvSpPr txBox="1"/>
      </xdr:nvSpPr>
      <xdr:spPr>
        <a:xfrm>
          <a:off x="1933575" y="4772025"/>
          <a:ext cx="5810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SLA HS (500)</a:t>
          </a:r>
        </a:p>
      </xdr:txBody>
    </xdr:sp>
    <xdr:clientData/>
  </xdr:absoluteAnchor>
  <xdr:absoluteAnchor>
    <xdr:pos x="809625" y="4905375"/>
    <xdr:ext cx="66675" cy="66675"/>
    <xdr:sp macro="" textlink="">
      <xdr:nvSpPr>
        <xdr:cNvPr id="95" name="K4_Leg331_2S"/>
        <xdr:cNvSpPr txBox="1"/>
      </xdr:nvSpPr>
      <xdr:spPr>
        <a:xfrm>
          <a:off x="809625" y="4905375"/>
          <a:ext cx="66675" cy="6667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14400" y="4886325"/>
    <xdr:ext cx="1047750" cy="104775"/>
    <xdr:sp macro="" textlink="">
      <xdr:nvSpPr>
        <xdr:cNvPr id="96" name="K4_Leg331_2"/>
        <xdr:cNvSpPr txBox="1"/>
      </xdr:nvSpPr>
      <xdr:spPr>
        <a:xfrm>
          <a:off x="914400" y="4886325"/>
          <a:ext cx="1047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Zunahmen in aktueller KW</a:t>
          </a:r>
        </a:p>
      </xdr:txBody>
    </xdr:sp>
    <xdr:clientData/>
  </xdr:absoluteAnchor>
  <xdr:absoluteAnchor>
    <xdr:pos x="809625" y="5019675"/>
    <xdr:ext cx="66675" cy="66675"/>
    <xdr:sp macro="" textlink="">
      <xdr:nvSpPr>
        <xdr:cNvPr id="97" name="K4_Leg340_3S"/>
        <xdr:cNvSpPr txBox="1"/>
      </xdr:nvSpPr>
      <xdr:spPr>
        <a:xfrm>
          <a:off x="809625" y="5019675"/>
          <a:ext cx="66675" cy="66675"/>
        </a:xfrm>
        <a:prstGeom prst="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14400" y="5000625"/>
    <xdr:ext cx="1057275" cy="104775"/>
    <xdr:sp macro="" textlink="">
      <xdr:nvSpPr>
        <xdr:cNvPr id="98" name="K4_Leg340_3"/>
        <xdr:cNvSpPr txBox="1"/>
      </xdr:nvSpPr>
      <xdr:spPr>
        <a:xfrm>
          <a:off x="914400" y="5000625"/>
          <a:ext cx="10572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Abnahmen in aktueller KW</a:t>
          </a:r>
        </a:p>
      </xdr:txBody>
    </xdr:sp>
    <xdr:clientData/>
  </xdr:absoluteAnchor>
  <xdr:absoluteAnchor>
    <xdr:pos x="4238625" y="4486275"/>
    <xdr:ext cx="371475" cy="228600"/>
    <xdr:sp macro="" textlink="Dashboard_Daten!$F$207">
      <xdr:nvSpPr>
        <xdr:cNvPr id="100" name="K5_Stand"/>
        <xdr:cNvSpPr txBox="1"/>
      </xdr:nvSpPr>
      <xdr:spPr>
        <a:xfrm>
          <a:off x="4238625" y="4486275"/>
          <a:ext cx="37147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650">
              <a:solidFill>
                <a:srgbClr val="FFFFFF"/>
              </a:solidFill>
              <a:latin typeface="Liberation Sans"/>
              <a:cs typeface="Liberation Sans"/>
            </a:rPr>
            <a:t>Stand:
19.10.26</a:t>
          </a:fld>
          <a:endParaRPr lang="en-US" sz="650">
            <a:solidFill>
              <a:srgbClr val="FFFFFF"/>
            </a:solidFill>
            <a:latin typeface="Liberation Sans"/>
            <a:cs typeface="Liberation Sans"/>
          </a:endParaRPr>
        </a:p>
      </xdr:txBody>
    </xdr:sp>
    <xdr:clientData/>
  </xdr:absoluteAnchor>
  <xdr:absoluteAnchor>
    <xdr:pos x="3076575" y="4467225"/>
    <xdr:ext cx="1095375" cy="257175"/>
    <xdr:sp macro="" textlink="">
      <xdr:nvSpPr>
        <xdr:cNvPr id="101" name="K5_Titel"/>
        <xdr:cNvSpPr txBox="1"/>
      </xdr:nvSpPr>
      <xdr:spPr>
        <a:xfrm>
          <a:off x="3076575" y="4467225"/>
          <a:ext cx="10953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00" b="1">
              <a:solidFill>
                <a:srgbClr val="FFFFFF"/>
              </a:solidFill>
              <a:latin typeface="Liberation Sans"/>
              <a:cs typeface="Liberation Sans"/>
            </a:rPr>
            <a:t>Provisionsreklamation Makler</a:t>
          </a:r>
        </a:p>
      </xdr:txBody>
    </xdr:sp>
    <xdr:clientData/>
  </xdr:absoluteAnchor>
  <xdr:absoluteAnchor>
    <xdr:pos x="2838450" y="4514850"/>
    <xdr:ext cx="161925" cy="161925"/>
    <xdr:sp macro="" textlink="">
      <xdr:nvSpPr>
        <xdr:cNvPr id="102" name="K5_Nr"/>
        <xdr:cNvSpPr txBox="1"/>
      </xdr:nvSpPr>
      <xdr:spPr>
        <a:xfrm>
          <a:off x="2838450"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5</a:t>
          </a:r>
        </a:p>
      </xdr:txBody>
    </xdr:sp>
    <xdr:clientData/>
  </xdr:absoluteAnchor>
  <xdr:absoluteAnchor>
    <xdr:pos x="2838450" y="4819650"/>
    <xdr:ext cx="123825" cy="19050"/>
    <xdr:sp macro="" textlink="">
      <xdr:nvSpPr>
        <xdr:cNvPr id="104" name="K5_Leg322_0S"/>
        <xdr:cNvSpPr txBox="1"/>
      </xdr:nvSpPr>
      <xdr:spPr>
        <a:xfrm>
          <a:off x="2838450" y="4819650"/>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000375" y="4772025"/>
    <xdr:ext cx="838200" cy="104775"/>
    <xdr:sp macro="" textlink="">
      <xdr:nvSpPr>
        <xdr:cNvPr id="105" name="K5_Leg322_0"/>
        <xdr:cNvSpPr txBox="1"/>
      </xdr:nvSpPr>
      <xdr:spPr>
        <a:xfrm>
          <a:off x="3000375" y="4772025"/>
          <a:ext cx="8382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Vorgänge HS</a:t>
          </a:r>
        </a:p>
      </xdr:txBody>
    </xdr:sp>
    <xdr:clientData/>
  </xdr:absoluteAnchor>
  <xdr:absoluteAnchor>
    <xdr:pos x="2838450" y="4933950"/>
    <xdr:ext cx="38100" cy="19050"/>
    <xdr:sp macro="" textlink="">
      <xdr:nvSpPr>
        <xdr:cNvPr id="106" name="K5_Leg331_1S0"/>
        <xdr:cNvSpPr txBox="1"/>
      </xdr:nvSpPr>
      <xdr:spPr>
        <a:xfrm>
          <a:off x="2838450" y="49339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886075" y="4933950"/>
    <xdr:ext cx="38100" cy="19050"/>
    <xdr:sp macro="" textlink="">
      <xdr:nvSpPr>
        <xdr:cNvPr id="107" name="K5_Leg331_1S1"/>
        <xdr:cNvSpPr txBox="1"/>
      </xdr:nvSpPr>
      <xdr:spPr>
        <a:xfrm>
          <a:off x="2886075" y="49339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933700" y="4933950"/>
    <xdr:ext cx="38100" cy="19050"/>
    <xdr:sp macro="" textlink="">
      <xdr:nvSpPr>
        <xdr:cNvPr id="108" name="K5_Leg331_1S2"/>
        <xdr:cNvSpPr txBox="1"/>
      </xdr:nvSpPr>
      <xdr:spPr>
        <a:xfrm>
          <a:off x="2933700" y="49339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000375" y="4886325"/>
    <xdr:ext cx="962025" cy="104775"/>
    <xdr:sp macro="" textlink="">
      <xdr:nvSpPr>
        <xdr:cNvPr id="109" name="K5_Leg331_1"/>
        <xdr:cNvSpPr txBox="1"/>
      </xdr:nvSpPr>
      <xdr:spPr>
        <a:xfrm>
          <a:off x="3000375" y="4886325"/>
          <a:ext cx="9620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SLA HS (500 Vorgänge)</a:t>
          </a:r>
        </a:p>
      </xdr:txBody>
    </xdr:sp>
    <xdr:clientData/>
  </xdr:absoluteAnchor>
  <xdr:absoluteAnchor>
    <xdr:pos x="5953125" y="4467225"/>
    <xdr:ext cx="676275" cy="257175"/>
    <xdr:sp macro="" textlink="Dashboard_Daten!$E$219">
      <xdr:nvSpPr>
        <xdr:cNvPr id="111" name="K6_Stand"/>
        <xdr:cNvSpPr txBox="1"/>
      </xdr:nvSpPr>
      <xdr:spPr>
        <a:xfrm>
          <a:off x="5953125" y="4467225"/>
          <a:ext cx="6762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700">
              <a:solidFill>
                <a:srgbClr val="FFFFFF"/>
              </a:solidFill>
              <a:latin typeface="Liberation Sans"/>
              <a:cs typeface="Liberation Sans"/>
            </a:rPr>
            <a:t>Stand: 19.10.26</a:t>
          </a:fld>
          <a:endParaRPr lang="en-US" sz="700">
            <a:solidFill>
              <a:srgbClr val="FFFFFF"/>
            </a:solidFill>
            <a:latin typeface="Liberation Sans"/>
            <a:cs typeface="Liberation Sans"/>
          </a:endParaRPr>
        </a:p>
      </xdr:txBody>
    </xdr:sp>
    <xdr:clientData/>
  </xdr:absoluteAnchor>
  <xdr:absoluteAnchor>
    <xdr:pos x="5105400" y="4467225"/>
    <xdr:ext cx="790575" cy="257175"/>
    <xdr:sp macro="" textlink="">
      <xdr:nvSpPr>
        <xdr:cNvPr id="112" name="K6_Titel"/>
        <xdr:cNvSpPr txBox="1"/>
      </xdr:nvSpPr>
      <xdr:spPr>
        <a:xfrm>
          <a:off x="5105400" y="4467225"/>
          <a:ext cx="7905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850" b="1">
              <a:solidFill>
                <a:srgbClr val="FFFFFF"/>
              </a:solidFill>
              <a:latin typeface="Liberation Sans"/>
              <a:cs typeface="Liberation Sans"/>
            </a:rPr>
            <a:t>Buchauszug</a:t>
          </a:r>
        </a:p>
      </xdr:txBody>
    </xdr:sp>
    <xdr:clientData/>
  </xdr:absoluteAnchor>
  <xdr:absoluteAnchor>
    <xdr:pos x="4867275" y="4514850"/>
    <xdr:ext cx="161925" cy="161925"/>
    <xdr:sp macro="" textlink="">
      <xdr:nvSpPr>
        <xdr:cNvPr id="113" name="K6_Nr"/>
        <xdr:cNvSpPr txBox="1"/>
      </xdr:nvSpPr>
      <xdr:spPr>
        <a:xfrm>
          <a:off x="486727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6</a:t>
          </a:r>
        </a:p>
      </xdr:txBody>
    </xdr:sp>
    <xdr:clientData/>
  </xdr:absoluteAnchor>
  <xdr:absoluteAnchor>
    <xdr:pos x="4867275" y="4819650"/>
    <xdr:ext cx="123825" cy="19050"/>
    <xdr:sp macro="" textlink="">
      <xdr:nvSpPr>
        <xdr:cNvPr id="115" name="K6_Leg322_0S"/>
        <xdr:cNvSpPr txBox="1"/>
      </xdr:nvSpPr>
      <xdr:spPr>
        <a:xfrm>
          <a:off x="4867275" y="4819650"/>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5029200" y="4772025"/>
    <xdr:ext cx="695325" cy="104775"/>
    <xdr:sp macro="" textlink="">
      <xdr:nvSpPr>
        <xdr:cNvPr id="116" name="K6_Leg322_0"/>
        <xdr:cNvSpPr txBox="1"/>
      </xdr:nvSpPr>
      <xdr:spPr>
        <a:xfrm>
          <a:off x="5029200" y="4772025"/>
          <a:ext cx="6953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Vorgänge</a:t>
          </a:r>
        </a:p>
      </xdr:txBody>
    </xdr:sp>
    <xdr:clientData/>
  </xdr:absoluteAnchor>
  <xdr:absoluteAnchor>
    <xdr:pos x="8286750" y="4486275"/>
    <xdr:ext cx="371475" cy="228600"/>
    <xdr:sp macro="" textlink="Dashboard_Daten!$F$224">
      <xdr:nvSpPr>
        <xdr:cNvPr id="118" name="K7_Stand"/>
        <xdr:cNvSpPr txBox="1"/>
      </xdr:nvSpPr>
      <xdr:spPr>
        <a:xfrm>
          <a:off x="8286750" y="4486275"/>
          <a:ext cx="37147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650">
              <a:solidFill>
                <a:srgbClr val="FFFFFF"/>
              </a:solidFill>
              <a:latin typeface="Liberation Sans"/>
              <a:cs typeface="Liberation Sans"/>
            </a:rPr>
            <a:t>Stand:
19.10.26</a:t>
          </a:fld>
          <a:endParaRPr lang="en-US" sz="650">
            <a:solidFill>
              <a:srgbClr val="FFFFFF"/>
            </a:solidFill>
            <a:latin typeface="Liberation Sans"/>
            <a:cs typeface="Liberation Sans"/>
          </a:endParaRPr>
        </a:p>
      </xdr:txBody>
    </xdr:sp>
    <xdr:clientData/>
  </xdr:absoluteAnchor>
  <xdr:absoluteAnchor>
    <xdr:pos x="7134225" y="4467225"/>
    <xdr:ext cx="1095375" cy="257175"/>
    <xdr:sp macro="" textlink="">
      <xdr:nvSpPr>
        <xdr:cNvPr id="119" name="K7_Titel"/>
        <xdr:cNvSpPr txBox="1"/>
      </xdr:nvSpPr>
      <xdr:spPr>
        <a:xfrm>
          <a:off x="7134225" y="4467225"/>
          <a:ext cx="10953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850" b="1">
              <a:solidFill>
                <a:srgbClr val="FFFFFF"/>
              </a:solidFill>
              <a:latin typeface="Liberation Sans"/>
              <a:cs typeface="Liberation Sans"/>
            </a:rPr>
            <a:t>Ausgleichsanspruch</a:t>
          </a:r>
        </a:p>
      </xdr:txBody>
    </xdr:sp>
    <xdr:clientData/>
  </xdr:absoluteAnchor>
  <xdr:absoluteAnchor>
    <xdr:pos x="6886575" y="4514850"/>
    <xdr:ext cx="161925" cy="161925"/>
    <xdr:sp macro="" textlink="">
      <xdr:nvSpPr>
        <xdr:cNvPr id="120" name="K7_Nr"/>
        <xdr:cNvSpPr txBox="1"/>
      </xdr:nvSpPr>
      <xdr:spPr>
        <a:xfrm>
          <a:off x="688657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7</a:t>
          </a:r>
        </a:p>
      </xdr:txBody>
    </xdr:sp>
    <xdr:clientData/>
  </xdr:absoluteAnchor>
  <xdr:absoluteAnchor>
    <xdr:pos x="6886575" y="4819650"/>
    <xdr:ext cx="123825" cy="19050"/>
    <xdr:sp macro="" textlink="">
      <xdr:nvSpPr>
        <xdr:cNvPr id="122" name="K7_Leg322_0S"/>
        <xdr:cNvSpPr txBox="1"/>
      </xdr:nvSpPr>
      <xdr:spPr>
        <a:xfrm>
          <a:off x="6886575" y="4819650"/>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058025" y="4772025"/>
    <xdr:ext cx="695325" cy="104775"/>
    <xdr:sp macro="" textlink="">
      <xdr:nvSpPr>
        <xdr:cNvPr id="123" name="K7_Leg322_0"/>
        <xdr:cNvSpPr txBox="1"/>
      </xdr:nvSpPr>
      <xdr:spPr>
        <a:xfrm>
          <a:off x="7058025" y="4772025"/>
          <a:ext cx="6953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Vorgänge</a:t>
          </a:r>
        </a:p>
      </xdr:txBody>
    </xdr:sp>
    <xdr:clientData/>
  </xdr:absoluteAnchor>
  <xdr:absoluteAnchor>
    <xdr:pos x="9629775" y="1876425"/>
    <xdr:ext cx="2028825" cy="200025"/>
    <xdr:sp macro="" textlink="">
      <xdr:nvSpPr>
        <xdr:cNvPr id="124" name="KOM_Titel"/>
        <xdr:cNvSpPr txBox="1"/>
      </xdr:nvSpPr>
      <xdr:spPr>
        <a:xfrm>
          <a:off x="9629775" y="1876425"/>
          <a:ext cx="2028825"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100" b="1">
              <a:solidFill>
                <a:srgbClr val="1A1A1A"/>
              </a:solidFill>
              <a:latin typeface="Liberation Sans"/>
              <a:cs typeface="Liberation Sans"/>
            </a:rPr>
            <a:t>Kommentare</a:t>
          </a:r>
        </a:p>
      </xdr:txBody>
    </xdr:sp>
    <xdr:clientData/>
  </xdr:absoluteAnchor>
  <xdr:absoluteAnchor>
    <xdr:pos x="9248775" y="2105025"/>
    <xdr:ext cx="2847975" cy="9525"/>
    <xdr:sp macro="" textlink="">
      <xdr:nvSpPr>
        <xdr:cNvPr id="125" name="KOM_Linie"/>
        <xdr:cNvSpPr txBox="1"/>
      </xdr:nvSpPr>
      <xdr:spPr>
        <a:xfrm>
          <a:off x="9248775" y="2105025"/>
          <a:ext cx="2847975" cy="9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115425" y="2209800"/>
    <xdr:ext cx="276225" cy="161925"/>
    <xdr:sp macro="" textlink="">
      <xdr:nvSpPr>
        <xdr:cNvPr id="126" name="KOM_0_Nr"/>
        <xdr:cNvSpPr txBox="1"/>
      </xdr:nvSpPr>
      <xdr:spPr>
        <a:xfrm>
          <a:off x="9115425" y="2209800"/>
          <a:ext cx="276225" cy="161925"/>
        </a:xfrm>
        <a:prstGeom prst="roundRect">
          <a:avLst>
            <a:gd name="adj" fmla="val 50000"/>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1</a:t>
          </a:r>
        </a:p>
      </xdr:txBody>
    </xdr:sp>
    <xdr:clientData/>
  </xdr:absoluteAnchor>
  <xdr:absoluteAnchor>
    <xdr:pos x="9448800" y="2209800"/>
    <xdr:ext cx="2771775" cy="161925"/>
    <xdr:sp macro="" textlink="">
      <xdr:nvSpPr>
        <xdr:cNvPr id="127" name="KOM_0_Ueb"/>
        <xdr:cNvSpPr txBox="1"/>
      </xdr:nvSpPr>
      <xdr:spPr>
        <a:xfrm>
          <a:off x="9448800" y="220980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650" b="1">
              <a:solidFill>
                <a:srgbClr val="1A1A1A"/>
              </a:solidFill>
              <a:latin typeface="Liberation Sans"/>
              <a:cs typeface="Liberation Sans"/>
            </a:rPr>
            <a:t>Bestandsübertragung Makler</a:t>
          </a:r>
        </a:p>
      </xdr:txBody>
    </xdr:sp>
    <xdr:clientData/>
  </xdr:absoluteAnchor>
  <xdr:absoluteAnchor>
    <xdr:pos x="9448800" y="2371725"/>
    <xdr:ext cx="2771775" cy="1181100"/>
    <xdr:sp macro="" textlink="">
      <xdr:nvSpPr>
        <xdr:cNvPr id="128" name="KOM_0_Text"/>
        <xdr:cNvSpPr txBox="1"/>
      </xdr:nvSpPr>
      <xdr:spPr>
        <a:xfrm>
          <a:off x="9448800" y="2371725"/>
          <a:ext cx="2771775" cy="1181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600"/>
            </a:lnSpc>
            <a:spcAft>
              <a:spcPts val="100"/>
            </a:spcAft>
            <a:buFont typeface="Liberation Sans"/>
            <a:buChar char="•"/>
          </a:pPr>
          <a:r>
            <a:rPr lang="de-DE" sz="500">
              <a:solidFill>
                <a:srgbClr val="4A4A4A"/>
              </a:solidFill>
              <a:latin typeface="Liberation Sans"/>
              <a:cs typeface="Liberation Sans"/>
            </a:rPr>
            <a:t>Mit +0,1 T im Vergleich zur Vorwoche sind die offenen Makler BÜ Vorgänge leicht gestiegen. Die Gründe für die weiterhin hohe Anzahl von offnen Vorgängen sind im Wesentlichen folgende:</a:t>
          </a:r>
        </a:p>
        <a:p>
          <a:pPr marL="228600" indent="-101600">
            <a:lnSpc>
              <a:spcPts val="600"/>
            </a:lnSpc>
            <a:spcAft>
              <a:spcPts val="100"/>
            </a:spcAft>
            <a:buFont typeface="Liberation Sans"/>
            <a:buChar char="–"/>
          </a:pPr>
          <a:r>
            <a:rPr lang="de-DE" sz="500">
              <a:solidFill>
                <a:srgbClr val="4A4A4A"/>
              </a:solidFill>
              <a:latin typeface="Liberation Sans"/>
              <a:cs typeface="Liberation Sans"/>
            </a:rPr>
            <a:t>reduzierte Bearbeitungskapazitäten (insg. 4 MAK) durch parallele Projektarbeit (Makler meets KI, Buchauszug) und 3 AU-Fälle</a:t>
          </a:r>
        </a:p>
        <a:p>
          <a:pPr marL="228600" indent="-101600">
            <a:lnSpc>
              <a:spcPts val="600"/>
            </a:lnSpc>
            <a:spcAft>
              <a:spcPts val="100"/>
            </a:spcAft>
            <a:buFont typeface="Liberation Sans"/>
            <a:buChar char="–"/>
          </a:pPr>
          <a:r>
            <a:rPr lang="de-DE" sz="500">
              <a:solidFill>
                <a:srgbClr val="4A4A4A"/>
              </a:solidFill>
              <a:latin typeface="Liberation Sans"/>
              <a:cs typeface="Liberation Sans"/>
            </a:rPr>
            <a:t>erhöhter Eingang von Erinnerungsmails, die offenen Vorgänge in Summe erhöhen</a:t>
          </a:r>
        </a:p>
        <a:p>
          <a:pPr marL="228600" indent="-101600">
            <a:lnSpc>
              <a:spcPts val="600"/>
            </a:lnSpc>
            <a:spcAft>
              <a:spcPts val="100"/>
            </a:spcAft>
            <a:buFont typeface="Liberation Sans"/>
            <a:buChar char="–"/>
          </a:pPr>
          <a:r>
            <a:rPr lang="de-DE" sz="500">
              <a:solidFill>
                <a:srgbClr val="4A4A4A"/>
              </a:solidFill>
              <a:latin typeface="Liberation Sans"/>
              <a:cs typeface="Liberation Sans"/>
            </a:rPr>
            <a:t>technischer Fehler bei der Erfassung von KV Makler BÜ, führt zur Nachbuchung von 900 offen Positionen</a:t>
          </a:r>
        </a:p>
        <a:p>
          <a:pPr marL="228600" indent="-101600">
            <a:lnSpc>
              <a:spcPts val="600"/>
            </a:lnSpc>
            <a:spcAft>
              <a:spcPts val="100"/>
            </a:spcAft>
            <a:buFont typeface="Liberation Sans"/>
            <a:buChar char="–"/>
          </a:pPr>
          <a:r>
            <a:rPr lang="de-DE" sz="500">
              <a:solidFill>
                <a:srgbClr val="4A4A4A"/>
              </a:solidFill>
              <a:latin typeface="Liberation Sans"/>
              <a:cs typeface="Liberation Sans"/>
            </a:rPr>
            <a:t>weitere technische Effekte führen ebenfalls zu einer doppelten Zählung im Emaileingang</a:t>
          </a:r>
        </a:p>
        <a:p>
          <a:pPr marL="101600" indent="-101600">
            <a:lnSpc>
              <a:spcPts val="600"/>
            </a:lnSpc>
            <a:spcAft>
              <a:spcPts val="100"/>
            </a:spcAft>
            <a:buFont typeface="Liberation Sans"/>
            <a:buChar char="•"/>
          </a:pPr>
          <a:r>
            <a:rPr lang="de-DE" sz="500">
              <a:solidFill>
                <a:srgbClr val="4A4A4A"/>
              </a:solidFill>
              <a:latin typeface="Liberation Sans"/>
              <a:cs typeface="Liberation Sans"/>
            </a:rPr>
            <a:t>Im Ergebnis führte dieser technische Fehler dazu, dass das ausgewiesene Bruttoarbeitsgut ~ 2000 Vorgänge höher liegt als der eigentliche Netto-Rückstand.</a:t>
          </a:r>
        </a:p>
        <a:p>
          <a:pPr marL="101600" indent="-101600">
            <a:lnSpc>
              <a:spcPts val="600"/>
            </a:lnSpc>
            <a:spcAft>
              <a:spcPts val="100"/>
            </a:spcAft>
            <a:buFont typeface="Liberation Sans"/>
            <a:buChar char="•"/>
          </a:pPr>
          <a:r>
            <a:rPr lang="de-DE" sz="500">
              <a:solidFill>
                <a:srgbClr val="4A4A4A"/>
              </a:solidFill>
              <a:latin typeface="Liberation Sans"/>
              <a:cs typeface="Liberation Sans"/>
            </a:rPr>
            <a:t>Um die Rückstände weiter abzuarbeiten ist Samstagsarbeit und die parallele Realisierung der KI-gestützten Datenerfassung (Makler meets KI) geplant.</a:t>
          </a:r>
        </a:p>
      </xdr:txBody>
    </xdr:sp>
    <xdr:clientData/>
  </xdr:absoluteAnchor>
  <xdr:absoluteAnchor>
    <xdr:pos x="9115425" y="3590925"/>
    <xdr:ext cx="276225" cy="161925"/>
    <xdr:sp macro="" textlink="">
      <xdr:nvSpPr>
        <xdr:cNvPr id="129" name="KOM_1_Nr"/>
        <xdr:cNvSpPr txBox="1"/>
      </xdr:nvSpPr>
      <xdr:spPr>
        <a:xfrm>
          <a:off x="9115425" y="3590925"/>
          <a:ext cx="276225" cy="161925"/>
        </a:xfrm>
        <a:prstGeom prst="roundRect">
          <a:avLst>
            <a:gd name="adj" fmla="val 50000"/>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2</a:t>
          </a:r>
        </a:p>
      </xdr:txBody>
    </xdr:sp>
    <xdr:clientData/>
  </xdr:absoluteAnchor>
  <xdr:absoluteAnchor>
    <xdr:pos x="9448800" y="3590925"/>
    <xdr:ext cx="2771775" cy="161925"/>
    <xdr:sp macro="" textlink="">
      <xdr:nvSpPr>
        <xdr:cNvPr id="130" name="KOM_1_Ueb"/>
        <xdr:cNvSpPr txBox="1"/>
      </xdr:nvSpPr>
      <xdr:spPr>
        <a:xfrm>
          <a:off x="9448800" y="3590925"/>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650" b="1">
              <a:solidFill>
                <a:srgbClr val="1A1A1A"/>
              </a:solidFill>
              <a:latin typeface="Liberation Sans"/>
              <a:cs typeface="Liberation Sans"/>
            </a:rPr>
            <a:t>Bestandsübertragung OPAG</a:t>
          </a:r>
        </a:p>
      </xdr:txBody>
    </xdr:sp>
    <xdr:clientData/>
  </xdr:absoluteAnchor>
  <xdr:absoluteAnchor>
    <xdr:pos x="9448800" y="3762375"/>
    <xdr:ext cx="2771775" cy="600075"/>
    <xdr:sp macro="" textlink="">
      <xdr:nvSpPr>
        <xdr:cNvPr id="131" name="KOM_1_Text"/>
        <xdr:cNvSpPr txBox="1"/>
      </xdr:nvSpPr>
      <xdr:spPr>
        <a:xfrm>
          <a:off x="9448800" y="3762375"/>
          <a:ext cx="2771775" cy="600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600"/>
            </a:lnSpc>
            <a:spcAft>
              <a:spcPts val="100"/>
            </a:spcAft>
            <a:buFont typeface="Liberation Sans"/>
            <a:buChar char="•"/>
          </a:pPr>
          <a:r>
            <a:rPr lang="de-DE" sz="500">
              <a:solidFill>
                <a:srgbClr val="4A4A4A"/>
              </a:solidFill>
              <a:latin typeface="Liberation Sans"/>
              <a:cs typeface="Liberation Sans"/>
            </a:rPr>
            <a:t>Kachel 2 zeigt denselben Bestand wie Kachel 1, gezählt in der für Operations typischen Zählweise nach Arbeitsgütern statt nach Vorgängen. Die Werte liegen deshalb höher, beschreiben aber dieselbe Arbeitslage.</a:t>
          </a:r>
        </a:p>
        <a:p>
          <a:pPr marL="101600" indent="-101600">
            <a:lnSpc>
              <a:spcPts val="600"/>
            </a:lnSpc>
            <a:spcAft>
              <a:spcPts val="100"/>
            </a:spcAft>
            <a:buFont typeface="Liberation Sans"/>
            <a:buChar char="•"/>
          </a:pPr>
          <a:r>
            <a:rPr lang="de-DE" sz="500">
              <a:solidFill>
                <a:srgbClr val="4A4A4A"/>
              </a:solidFill>
              <a:latin typeface="Liberation Sans"/>
              <a:cs typeface="Liberation Sans"/>
            </a:rPr>
            <a:t>Beide Sichten werden bis auf Weiteres parallel ausgewiesen; perspektivisch wird das BÜ-Reporting auf diese Zählweise umgestellt.</a:t>
          </a:r>
        </a:p>
        <a:p>
          <a:pPr marL="101600" indent="-101600">
            <a:lnSpc>
              <a:spcPts val="600"/>
            </a:lnSpc>
            <a:spcAft>
              <a:spcPts val="100"/>
            </a:spcAft>
            <a:buFont typeface="Liberation Sans"/>
            <a:buChar char="•"/>
          </a:pPr>
          <a:r>
            <a:rPr lang="de-DE" sz="500">
              <a:solidFill>
                <a:srgbClr val="4A4A4A"/>
              </a:solidFill>
              <a:latin typeface="Liberation Sans"/>
              <a:cs typeface="Liberation Sans"/>
            </a:rPr>
            <a:t>Das SLA von 5.500 Vorgängen wird dafür über einen Umrechnungsfaktor angepasst: im Schnitt zuletzt 2,16, aktuell also rund 11.900 Arbeitsgüter.</a:t>
          </a:r>
        </a:p>
      </xdr:txBody>
    </xdr:sp>
    <xdr:clientData/>
  </xdr:absoluteAnchor>
  <xdr:absoluteAnchor>
    <xdr:pos x="9115425" y="4391025"/>
    <xdr:ext cx="276225" cy="161925"/>
    <xdr:sp macro="" textlink="">
      <xdr:nvSpPr>
        <xdr:cNvPr id="132" name="KOM_2_Nr"/>
        <xdr:cNvSpPr txBox="1"/>
      </xdr:nvSpPr>
      <xdr:spPr>
        <a:xfrm>
          <a:off x="9115425" y="4391025"/>
          <a:ext cx="276225" cy="161925"/>
        </a:xfrm>
        <a:prstGeom prst="roundRect">
          <a:avLst>
            <a:gd name="adj" fmla="val 50000"/>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3</a:t>
          </a:r>
        </a:p>
      </xdr:txBody>
    </xdr:sp>
    <xdr:clientData/>
  </xdr:absoluteAnchor>
  <xdr:absoluteAnchor>
    <xdr:pos x="9448800" y="4391025"/>
    <xdr:ext cx="2771775" cy="161925"/>
    <xdr:sp macro="" textlink="">
      <xdr:nvSpPr>
        <xdr:cNvPr id="133" name="KOM_2_Ueb"/>
        <xdr:cNvSpPr txBox="1"/>
      </xdr:nvSpPr>
      <xdr:spPr>
        <a:xfrm>
          <a:off x="9448800" y="4391025"/>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650" b="1">
              <a:solidFill>
                <a:srgbClr val="1A1A1A"/>
              </a:solidFill>
              <a:latin typeface="Liberation Sans"/>
              <a:cs typeface="Liberation Sans"/>
            </a:rPr>
            <a:t>Neueinstellungen</a:t>
          </a:r>
        </a:p>
      </xdr:txBody>
    </xdr:sp>
    <xdr:clientData/>
  </xdr:absoluteAnchor>
  <xdr:absoluteAnchor>
    <xdr:pos x="9448800" y="4562475"/>
    <xdr:ext cx="2771775" cy="676275"/>
    <xdr:sp macro="" textlink="">
      <xdr:nvSpPr>
        <xdr:cNvPr id="134" name="KOM_2_Text"/>
        <xdr:cNvSpPr txBox="1"/>
      </xdr:nvSpPr>
      <xdr:spPr>
        <a:xfrm>
          <a:off x="9448800" y="4562475"/>
          <a:ext cx="2771775" cy="676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600"/>
            </a:lnSpc>
            <a:spcAft>
              <a:spcPts val="100"/>
            </a:spcAft>
            <a:buFont typeface="Liberation Sans"/>
            <a:buChar char="•"/>
          </a:pPr>
          <a:r>
            <a:rPr lang="de-DE" sz="500">
              <a:solidFill>
                <a:srgbClr val="4A4A4A"/>
              </a:solidFill>
              <a:latin typeface="Liberation Sans"/>
              <a:cs typeface="Liberation Sans"/>
            </a:rPr>
            <a:t>Dargestellt werden reine Neueinstellungen aber auch Wechsel Vorgänge, wie z. B. Azubiübernahmen oder VP wird Untervertreter.</a:t>
          </a:r>
        </a:p>
        <a:p>
          <a:pPr marL="101600" indent="-101600">
            <a:lnSpc>
              <a:spcPts val="600"/>
            </a:lnSpc>
            <a:spcAft>
              <a:spcPts val="100"/>
            </a:spcAft>
            <a:buFont typeface="Liberation Sans"/>
            <a:buChar char="•"/>
          </a:pPr>
          <a:r>
            <a:rPr lang="de-DE" sz="500">
              <a:solidFill>
                <a:srgbClr val="4A4A4A"/>
              </a:solidFill>
              <a:latin typeface="Liberation Sans"/>
              <a:cs typeface="Liberation Sans"/>
            </a:rPr>
            <a:t>Die fristgerechte Umsetzung erfolgt, sofern alle notwendigen Unterlagen rechtzeitig und vollständig vorlagen. Für die abschließende Bearbeitung fehlt dann lediglich der vom VP unterzeichnete Vertrag.</a:t>
          </a:r>
        </a:p>
        <a:p>
          <a:pPr marL="101600" indent="-101600">
            <a:lnSpc>
              <a:spcPts val="600"/>
            </a:lnSpc>
            <a:spcAft>
              <a:spcPts val="100"/>
            </a:spcAft>
            <a:buFont typeface="Liberation Sans"/>
            <a:buChar char="•"/>
          </a:pPr>
          <a:r>
            <a:rPr lang="de-DE" sz="500">
              <a:solidFill>
                <a:srgbClr val="4A4A4A"/>
              </a:solidFill>
              <a:latin typeface="Liberation Sans"/>
              <a:cs typeface="Liberation Sans"/>
            </a:rPr>
            <a:t>Für den Verpflichtungsmonat September 2026 gab es 161 Vorgänge, 94 % wurden fristgerecht umgesetzt. Die übrigen 6 % wurden seitens RD zurückgezogen oder konnten auf Grund fehlender Unterlagen nicht fristgerecht umgesetzt werden.</a:t>
          </a:r>
        </a:p>
      </xdr:txBody>
    </xdr:sp>
    <xdr:clientData/>
  </xdr:absoluteAnchor>
  <xdr:absoluteAnchor>
    <xdr:pos x="9115425" y="5267325"/>
    <xdr:ext cx="276225" cy="161925"/>
    <xdr:sp macro="" textlink="">
      <xdr:nvSpPr>
        <xdr:cNvPr id="135" name="KOM_3_Nr"/>
        <xdr:cNvSpPr txBox="1"/>
      </xdr:nvSpPr>
      <xdr:spPr>
        <a:xfrm>
          <a:off x="9115425" y="5267325"/>
          <a:ext cx="276225" cy="161925"/>
        </a:xfrm>
        <a:prstGeom prst="roundRect">
          <a:avLst>
            <a:gd name="adj" fmla="val 50000"/>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4/5</a:t>
          </a:r>
        </a:p>
      </xdr:txBody>
    </xdr:sp>
    <xdr:clientData/>
  </xdr:absoluteAnchor>
  <xdr:absoluteAnchor>
    <xdr:pos x="9448800" y="5267325"/>
    <xdr:ext cx="2771775" cy="161925"/>
    <xdr:sp macro="" textlink="">
      <xdr:nvSpPr>
        <xdr:cNvPr id="136" name="KOM_3_Ueb"/>
        <xdr:cNvSpPr txBox="1"/>
      </xdr:nvSpPr>
      <xdr:spPr>
        <a:xfrm>
          <a:off x="9448800" y="5267325"/>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650" b="1">
              <a:solidFill>
                <a:srgbClr val="1A1A1A"/>
              </a:solidFill>
              <a:latin typeface="Liberation Sans"/>
              <a:cs typeface="Liberation Sans"/>
            </a:rPr>
            <a:t>Provisionsreklamation AO und Makler</a:t>
          </a:r>
        </a:p>
      </xdr:txBody>
    </xdr:sp>
    <xdr:clientData/>
  </xdr:absoluteAnchor>
  <xdr:absoluteAnchor>
    <xdr:pos x="9448800" y="5438775"/>
    <xdr:ext cx="2771775" cy="114300"/>
    <xdr:sp macro="" textlink="">
      <xdr:nvSpPr>
        <xdr:cNvPr id="137" name="KOM_3_Text"/>
        <xdr:cNvSpPr txBox="1"/>
      </xdr:nvSpPr>
      <xdr:spPr>
        <a:xfrm>
          <a:off x="9448800" y="5438775"/>
          <a:ext cx="2771775" cy="114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600"/>
            </a:lnSpc>
            <a:spcAft>
              <a:spcPts val="100"/>
            </a:spcAft>
            <a:buFont typeface="Liberation Sans"/>
            <a:buChar char="•"/>
          </a:pPr>
          <a:r>
            <a:rPr lang="de-DE" sz="500">
              <a:solidFill>
                <a:srgbClr val="4A4A4A"/>
              </a:solidFill>
              <a:latin typeface="Liberation Sans"/>
              <a:cs typeface="Liberation Sans"/>
            </a:rPr>
            <a:t>Der angestrebte Service-Level wird nach wie vor deutlich erfüllt.</a:t>
          </a:r>
        </a:p>
      </xdr:txBody>
    </xdr:sp>
    <xdr:clientData/>
  </xdr:absoluteAnchor>
  <xdr:absoluteAnchor>
    <xdr:pos x="9115425" y="5591175"/>
    <xdr:ext cx="276225" cy="161925"/>
    <xdr:sp macro="" textlink="">
      <xdr:nvSpPr>
        <xdr:cNvPr id="138" name="KOM_4_Nr"/>
        <xdr:cNvSpPr txBox="1"/>
      </xdr:nvSpPr>
      <xdr:spPr>
        <a:xfrm>
          <a:off x="9115425" y="5591175"/>
          <a:ext cx="276225" cy="161925"/>
        </a:xfrm>
        <a:prstGeom prst="roundRect">
          <a:avLst>
            <a:gd name="adj" fmla="val 50000"/>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6</a:t>
          </a:r>
        </a:p>
      </xdr:txBody>
    </xdr:sp>
    <xdr:clientData/>
  </xdr:absoluteAnchor>
  <xdr:absoluteAnchor>
    <xdr:pos x="9448800" y="5591175"/>
    <xdr:ext cx="2771775" cy="161925"/>
    <xdr:sp macro="" textlink="">
      <xdr:nvSpPr>
        <xdr:cNvPr id="139" name="KOM_4_Ueb"/>
        <xdr:cNvSpPr txBox="1"/>
      </xdr:nvSpPr>
      <xdr:spPr>
        <a:xfrm>
          <a:off x="9448800" y="5591175"/>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650" b="1">
              <a:solidFill>
                <a:srgbClr val="1A1A1A"/>
              </a:solidFill>
              <a:latin typeface="Liberation Sans"/>
              <a:cs typeface="Liberation Sans"/>
            </a:rPr>
            <a:t>Buchauszug</a:t>
          </a:r>
        </a:p>
      </xdr:txBody>
    </xdr:sp>
    <xdr:clientData/>
  </xdr:absoluteAnchor>
  <xdr:absoluteAnchor>
    <xdr:pos x="9448800" y="5753100"/>
    <xdr:ext cx="2771775" cy="657225"/>
    <xdr:sp macro="" textlink="">
      <xdr:nvSpPr>
        <xdr:cNvPr id="140" name="KOM_4_Text"/>
        <xdr:cNvSpPr txBox="1"/>
      </xdr:nvSpPr>
      <xdr:spPr>
        <a:xfrm>
          <a:off x="9448800" y="5753100"/>
          <a:ext cx="2771775" cy="657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600"/>
            </a:lnSpc>
            <a:spcAft>
              <a:spcPts val="100"/>
            </a:spcAft>
            <a:buFont typeface="Liberation Sans"/>
            <a:buChar char="•"/>
          </a:pPr>
          <a:r>
            <a:rPr lang="de-DE" sz="500">
              <a:solidFill>
                <a:srgbClr val="4A4A4A"/>
              </a:solidFill>
              <a:latin typeface="Liberation Sans"/>
              <a:cs typeface="Liberation Sans"/>
            </a:rPr>
            <a:t>Derzeit arbeitet das Team intensiv an der Finalisierung des Buchauszugs nach OLG Standard. Da für den Buchauszug keine Testumgebung zur Verfügung steht, erfolgen Weiterentwicklung und die Produktion der operativen Buchauszüge auf dem gleichen Produktionssystem.</a:t>
          </a:r>
        </a:p>
        <a:p>
          <a:pPr marL="101600" indent="-101600">
            <a:lnSpc>
              <a:spcPts val="600"/>
            </a:lnSpc>
            <a:spcAft>
              <a:spcPts val="100"/>
            </a:spcAft>
            <a:buFont typeface="Liberation Sans"/>
            <a:buChar char="•"/>
          </a:pPr>
          <a:r>
            <a:rPr lang="de-DE" sz="500">
              <a:solidFill>
                <a:srgbClr val="4A4A4A"/>
              </a:solidFill>
              <a:latin typeface="Liberation Sans"/>
              <a:cs typeface="Liberation Sans"/>
            </a:rPr>
            <a:t>Aufgrund verspäteter Change-Anmeldungen zur Produktivsetzung der Spartenanbindungen und Fehlern in der Datenlieferung kommt es zu einer weiteren Verschiebung des Umsetzungstermines (von Ende 08/2026 auf 10/2026 statt Ende Mitte 07/2026) und zu Verzögerungen in der Bearbeitung der BAZ.</a:t>
          </a:r>
        </a:p>
      </xdr:txBody>
    </xdr:sp>
    <xdr:clientData/>
  </xdr:absoluteAnchor>
  <xdr:absoluteAnchor>
    <xdr:pos x="9115425" y="6448425"/>
    <xdr:ext cx="276225" cy="161925"/>
    <xdr:sp macro="" textlink="">
      <xdr:nvSpPr>
        <xdr:cNvPr id="141" name="KOM_5_Nr"/>
        <xdr:cNvSpPr txBox="1"/>
      </xdr:nvSpPr>
      <xdr:spPr>
        <a:xfrm>
          <a:off x="9115425" y="6448425"/>
          <a:ext cx="276225" cy="161925"/>
        </a:xfrm>
        <a:prstGeom prst="roundRect">
          <a:avLst>
            <a:gd name="adj" fmla="val 50000"/>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7</a:t>
          </a:r>
        </a:p>
      </xdr:txBody>
    </xdr:sp>
    <xdr:clientData/>
  </xdr:absoluteAnchor>
  <xdr:absoluteAnchor>
    <xdr:pos x="9448800" y="6448425"/>
    <xdr:ext cx="2771775" cy="161925"/>
    <xdr:sp macro="" textlink="">
      <xdr:nvSpPr>
        <xdr:cNvPr id="142" name="KOM_5_Ueb"/>
        <xdr:cNvSpPr txBox="1"/>
      </xdr:nvSpPr>
      <xdr:spPr>
        <a:xfrm>
          <a:off x="9448800" y="6448425"/>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650" b="1">
              <a:solidFill>
                <a:srgbClr val="1A1A1A"/>
              </a:solidFill>
              <a:latin typeface="Liberation Sans"/>
              <a:cs typeface="Liberation Sans"/>
            </a:rPr>
            <a:t>Ausgleichsanspruch</a:t>
          </a:r>
        </a:p>
      </xdr:txBody>
    </xdr:sp>
    <xdr:clientData/>
  </xdr:absoluteAnchor>
  <xdr:absoluteAnchor>
    <xdr:pos x="9448800" y="6619875"/>
    <xdr:ext cx="2771775" cy="266700"/>
    <xdr:sp macro="" textlink="">
      <xdr:nvSpPr>
        <xdr:cNvPr id="143" name="KOM_5_Text"/>
        <xdr:cNvSpPr txBox="1"/>
      </xdr:nvSpPr>
      <xdr:spPr>
        <a:xfrm>
          <a:off x="9448800" y="6619875"/>
          <a:ext cx="2771775"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600"/>
            </a:lnSpc>
            <a:spcAft>
              <a:spcPts val="100"/>
            </a:spcAft>
            <a:buFont typeface="Liberation Sans"/>
            <a:buChar char="•"/>
          </a:pPr>
          <a:r>
            <a:rPr lang="de-DE" sz="500">
              <a:solidFill>
                <a:srgbClr val="4A4A4A"/>
              </a:solidFill>
              <a:latin typeface="Liberation Sans"/>
              <a:cs typeface="Liberation Sans"/>
            </a:rPr>
            <a:t>Eine Task-Force kümmert sich um die weitere Abarbeitung der entstandenen Rückstände. Auch hier steht keine Testumgebung zur Verfügung, Weiterentwicklung und die Produktion der operativen Erstellung der AA erfolgt auf dem gleichen Produktionssystem.</a:t>
          </a:r>
        </a:p>
      </xdr:txBody>
    </xdr:sp>
    <xdr:clientData/>
  </xdr:absoluteAnchor>
</xdr:wsDr>
</file>

<file path=xl/drawings/drawing4.xml><?xml version="1.0" encoding="utf-8"?>
<xdr:wsDr xmlns:xdr="http://schemas.openxmlformats.org/drawingml/2006/spreadsheetDrawing" xmlns:a="http://schemas.openxmlformats.org/drawingml/2006/main">
  <xdr:absoluteAnchor>
    <xdr:pos x="228600" y="685800"/>
    <xdr:ext cx="12192000" cy="6858000"/>
    <xdr:sp macro="" textlink="">
      <xdr:nvSpPr>
        <xdr:cNvPr id="14" name="DEKO_Folie"/>
        <xdr:cNvSpPr txBox="1"/>
      </xdr:nvSpPr>
      <xdr:spPr>
        <a:xfrm>
          <a:off x="228600" y="685800"/>
          <a:ext cx="12192000" cy="6858000"/>
        </a:xfrm>
        <a:prstGeom prst="rect">
          <a:avLst/>
        </a:prstGeom>
        <a:solidFill>
          <a:srgbClr val="FFFFFF"/>
        </a:solidFill>
        <a:ln w="9525"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8963025" y="685800"/>
    <xdr:ext cx="3457575" cy="6858000"/>
    <xdr:sp macro="" textlink="">
      <xdr:nvSpPr>
        <xdr:cNvPr id="15" name="DEKO_Panel"/>
        <xdr:cNvSpPr txBox="1"/>
      </xdr:nvSpPr>
      <xdr:spPr>
        <a:xfrm>
          <a:off x="8963025" y="685800"/>
          <a:ext cx="3457575" cy="6858000"/>
        </a:xfrm>
        <a:prstGeom prst="rect">
          <a:avLst/>
        </a:prstGeom>
        <a:solidFill>
          <a:srgbClr val="EBEBE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33425" y="2009775"/>
    <xdr:ext cx="2600325" cy="257175"/>
    <xdr:sp macro="" textlink="">
      <xdr:nvSpPr>
        <xdr:cNvPr id="25" name="K1_Kopf"/>
        <xdr:cNvSpPr txBox="1"/>
      </xdr:nvSpPr>
      <xdr:spPr>
        <a:xfrm>
          <a:off x="733425" y="2009775"/>
          <a:ext cx="2600325" cy="257175"/>
        </a:xfrm>
        <a:prstGeom prst="round2Same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33425" y="2257425"/>
    <xdr:ext cx="2600325" cy="2105025"/>
    <xdr:sp macro="" textlink="">
      <xdr:nvSpPr>
        <xdr:cNvPr id="29" name="K1_Grund"/>
        <xdr:cNvSpPr txBox="1"/>
      </xdr:nvSpPr>
      <xdr:spPr>
        <a:xfrm>
          <a:off x="733425"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438525" y="2009775"/>
    <xdr:ext cx="2600325" cy="257175"/>
    <xdr:sp macro="" textlink="">
      <xdr:nvSpPr>
        <xdr:cNvPr id="32" name="K2_Kopf"/>
        <xdr:cNvSpPr txBox="1"/>
      </xdr:nvSpPr>
      <xdr:spPr>
        <a:xfrm>
          <a:off x="3438525" y="2009775"/>
          <a:ext cx="2600325" cy="257175"/>
        </a:xfrm>
        <a:prstGeom prst="round2Same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438525" y="2257425"/>
    <xdr:ext cx="2600325" cy="2105025"/>
    <xdr:sp macro="" textlink="">
      <xdr:nvSpPr>
        <xdr:cNvPr id="36" name="K2_Grund"/>
        <xdr:cNvSpPr txBox="1"/>
      </xdr:nvSpPr>
      <xdr:spPr>
        <a:xfrm>
          <a:off x="3438525"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134100" y="2009775"/>
    <xdr:ext cx="2600325" cy="257175"/>
    <xdr:sp macro="" textlink="">
      <xdr:nvSpPr>
        <xdr:cNvPr id="45" name="K3_Kopf"/>
        <xdr:cNvSpPr txBox="1"/>
      </xdr:nvSpPr>
      <xdr:spPr>
        <a:xfrm>
          <a:off x="6134100" y="2009775"/>
          <a:ext cx="2600325" cy="257175"/>
        </a:xfrm>
        <a:prstGeom prst="round2Same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134100" y="2257425"/>
    <xdr:ext cx="2600325" cy="2105025"/>
    <xdr:sp macro="" textlink="">
      <xdr:nvSpPr>
        <xdr:cNvPr id="49" name="K3_Grund"/>
        <xdr:cNvSpPr txBox="1"/>
      </xdr:nvSpPr>
      <xdr:spPr>
        <a:xfrm>
          <a:off x="6134100"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33425" y="4467225"/>
    <xdr:ext cx="2600325" cy="257175"/>
    <xdr:sp macro="" textlink="">
      <xdr:nvSpPr>
        <xdr:cNvPr id="52" name="K4_Kopf"/>
        <xdr:cNvSpPr txBox="1"/>
      </xdr:nvSpPr>
      <xdr:spPr>
        <a:xfrm>
          <a:off x="733425" y="4467225"/>
          <a:ext cx="2600325" cy="257175"/>
        </a:xfrm>
        <a:prstGeom prst="round2Same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33425" y="4724400"/>
    <xdr:ext cx="2600325" cy="2105025"/>
    <xdr:sp macro="" textlink="">
      <xdr:nvSpPr>
        <xdr:cNvPr id="56" name="K4_Grund"/>
        <xdr:cNvSpPr txBox="1"/>
      </xdr:nvSpPr>
      <xdr:spPr>
        <a:xfrm>
          <a:off x="733425" y="4724400"/>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438525" y="4467225"/>
    <xdr:ext cx="2600325" cy="257175"/>
    <xdr:sp macro="" textlink="">
      <xdr:nvSpPr>
        <xdr:cNvPr id="67" name="K5_Kopf"/>
        <xdr:cNvSpPr txBox="1"/>
      </xdr:nvSpPr>
      <xdr:spPr>
        <a:xfrm>
          <a:off x="3438525" y="4467225"/>
          <a:ext cx="2600325" cy="257175"/>
        </a:xfrm>
        <a:prstGeom prst="round2Same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438525" y="4724400"/>
    <xdr:ext cx="2600325" cy="2105025"/>
    <xdr:sp macro="" textlink="">
      <xdr:nvSpPr>
        <xdr:cNvPr id="71" name="K5_Grund"/>
        <xdr:cNvSpPr txBox="1"/>
      </xdr:nvSpPr>
      <xdr:spPr>
        <a:xfrm>
          <a:off x="3438525" y="4724400"/>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134100" y="4467225"/>
    <xdr:ext cx="2600325" cy="257175"/>
    <xdr:sp macro="" textlink="">
      <xdr:nvSpPr>
        <xdr:cNvPr id="82" name="K6_Kopf"/>
        <xdr:cNvSpPr txBox="1"/>
      </xdr:nvSpPr>
      <xdr:spPr>
        <a:xfrm>
          <a:off x="6134100" y="4467225"/>
          <a:ext cx="2600325" cy="257175"/>
        </a:xfrm>
        <a:prstGeom prst="round2Same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134100" y="4724400"/>
    <xdr:ext cx="2600325" cy="2105025"/>
    <xdr:sp macro="" textlink="">
      <xdr:nvSpPr>
        <xdr:cNvPr id="85" name="K6_Grund"/>
        <xdr:cNvSpPr txBox="1"/>
      </xdr:nvSpPr>
      <xdr:spPr>
        <a:xfrm>
          <a:off x="6134100" y="4724400"/>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0677525" y="1171575"/>
    <xdr:ext cx="1219200" cy="676275"/>
    <xdr:pic>
      <xdr:nvPicPr>
        <xdr:cNvPr id="2" name="DEKO_Logo"/>
        <xdr:cNvPicPr>
          <a:picLocks noChangeAspect="1"/>
        </xdr:cNvPicPr>
      </xdr:nvPicPr>
      <xdr:blipFill>
        <a:blip xmlns:r="http://schemas.openxmlformats.org/officeDocument/2006/relationships" r:embed="rId1"/>
        <a:stretch>
          <a:fillRect/>
        </a:stretch>
      </xdr:blipFill>
      <xdr:spPr>
        <a:xfrm>
          <a:off x="10677525" y="1171575"/>
          <a:ext cx="1219200" cy="676275"/>
        </a:xfrm>
        <a:prstGeom prst="rect">
          <a:avLst/>
        </a:prstGeom>
      </xdr:spPr>
    </xdr:pic>
    <xdr:clientData/>
  </xdr:absoluteAnchor>
  <xdr:absoluteAnchor>
    <xdr:pos x="762000" y="2447925"/>
    <xdr:ext cx="2552700" cy="1895475"/>
    <xdr:graphicFrame macro="">
      <xdr:nvGraphicFramePr>
        <xdr:cNvPr id="3" name="K1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absoluteAnchor>
  <xdr:absoluteAnchor>
    <xdr:pos x="3467100" y="2562225"/>
    <xdr:ext cx="2552700" cy="981075"/>
    <xdr:graphicFrame macro="">
      <xdr:nvGraphicFramePr>
        <xdr:cNvPr id="4" name="K2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absoluteAnchor>
  <xdr:absoluteAnchor>
    <xdr:pos x="3467100" y="3543300"/>
    <xdr:ext cx="2552700" cy="800100"/>
    <xdr:graphicFrame macro="">
      <xdr:nvGraphicFramePr>
        <xdr:cNvPr id="5" name="K2_Treffe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absoluteAnchor>
  <xdr:absoluteAnchor>
    <xdr:pos x="6162675" y="2447925"/>
    <xdr:ext cx="2552700" cy="1895475"/>
    <xdr:graphicFrame macro="">
      <xdr:nvGraphicFramePr>
        <xdr:cNvPr id="6" name="K3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absoluteAnchor>
  <xdr:absoluteAnchor>
    <xdr:pos x="762000" y="5029200"/>
    <xdr:ext cx="2552700" cy="1028700"/>
    <xdr:graphicFrame macro="">
      <xdr:nvGraphicFramePr>
        <xdr:cNvPr id="7" name="K4_Offe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absoluteAnchor>
  <xdr:absoluteAnchor>
    <xdr:pos x="762000" y="6057900"/>
    <xdr:ext cx="2552700" cy="742950"/>
    <xdr:graphicFrame macro="">
      <xdr:nvGraphicFramePr>
        <xdr:cNvPr id="8" name="K4_Bewegung"/>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absoluteAnchor>
  <xdr:absoluteAnchor>
    <xdr:pos x="762000" y="6686550"/>
    <xdr:ext cx="2552700" cy="142875"/>
    <xdr:graphicFrame macro="">
      <xdr:nvGraphicFramePr>
        <xdr:cNvPr id="9" name="K4_BewegungDelta"/>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absoluteAnchor>
  <xdr:absoluteAnchor>
    <xdr:pos x="3467100" y="5029200"/>
    <xdr:ext cx="2552700" cy="1028700"/>
    <xdr:graphicFrame macro="">
      <xdr:nvGraphicFramePr>
        <xdr:cNvPr id="10" name="K5_Offe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absoluteAnchor>
  <xdr:absoluteAnchor>
    <xdr:pos x="3467100" y="6057900"/>
    <xdr:ext cx="2552700" cy="742950"/>
    <xdr:graphicFrame macro="">
      <xdr:nvGraphicFramePr>
        <xdr:cNvPr id="11" name="K5_Bewegung"/>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absoluteAnchor>
  <xdr:absoluteAnchor>
    <xdr:pos x="3467100" y="6686550"/>
    <xdr:ext cx="2552700" cy="142875"/>
    <xdr:graphicFrame macro="">
      <xdr:nvGraphicFramePr>
        <xdr:cNvPr id="12" name="K5_BewegungDelta"/>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absoluteAnchor>
  <xdr:absoluteAnchor>
    <xdr:pos x="6162675" y="4914900"/>
    <xdr:ext cx="2552700" cy="1895475"/>
    <xdr:graphicFrame macro="">
      <xdr:nvGraphicFramePr>
        <xdr:cNvPr id="13" name="K6_MAK"/>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absoluteAnchor>
  <xdr:absoluteAnchor>
    <xdr:pos x="7953375" y="685800"/>
    <xdr:ext cx="2057400" cy="390525"/>
    <xdr:sp macro="" textlink="">
      <xdr:nvSpPr>
        <xdr:cNvPr id="16" name="DEKO_Vertraulich"/>
        <xdr:cNvSpPr txBox="1"/>
      </xdr:nvSpPr>
      <xdr:spPr>
        <a:xfrm>
          <a:off x="7953375" y="685800"/>
          <a:ext cx="2057400" cy="390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000" b="1">
              <a:solidFill>
                <a:srgbClr val="FFFFFF"/>
              </a:solidFill>
              <a:latin typeface="Liberation Sans"/>
              <a:cs typeface="Liberation Sans"/>
            </a:rPr>
            <a:t>Vertraulich</a:t>
          </a:r>
        </a:p>
      </xdr:txBody>
    </xdr:sp>
    <xdr:clientData/>
  </xdr:absoluteAnchor>
  <xdr:absoluteAnchor>
    <xdr:pos x="733425" y="885825"/>
    <xdr:ext cx="7115175" cy="180975"/>
    <xdr:sp macro="" textlink="Konfiguration!$G$23">
      <xdr:nvSpPr>
        <xdr:cNvPr id="17" name="DEKO_Kicker"/>
        <xdr:cNvSpPr txBox="1"/>
      </xdr:nvSpPr>
      <xdr:spPr>
        <a:xfrm>
          <a:off x="733425" y="885825"/>
          <a:ext cx="71151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900">
              <a:solidFill>
                <a:srgbClr val="1A1A1A"/>
              </a:solidFill>
              <a:latin typeface="Liberation Sans"/>
              <a:cs typeface="Liberation Sans"/>
            </a:rPr>
            <a:t>DASHBOARDS  ·  STAND 19.10.2026</a:t>
          </a:fld>
          <a:endParaRPr lang="en-US" sz="900">
            <a:solidFill>
              <a:srgbClr val="1A1A1A"/>
            </a:solidFill>
            <a:latin typeface="Liberation Sans"/>
            <a:cs typeface="Liberation Sans"/>
          </a:endParaRPr>
        </a:p>
      </xdr:txBody>
    </xdr:sp>
    <xdr:clientData/>
  </xdr:absoluteAnchor>
  <xdr:absoluteAnchor>
    <xdr:pos x="733425" y="1152525"/>
    <xdr:ext cx="8124825" cy="504825"/>
    <xdr:sp macro="" textlink="Konfiguration!$C$23">
      <xdr:nvSpPr>
        <xdr:cNvPr id="18" name="DEKO_Titel"/>
        <xdr:cNvSpPr txBox="1"/>
      </xdr:nvSpPr>
      <xdr:spPr>
        <a:xfrm>
          <a:off x="733425" y="1152525"/>
          <a:ext cx="8124825" cy="504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2000" b="1">
              <a:solidFill>
                <a:srgbClr val="BF1528"/>
              </a:solidFill>
              <a:latin typeface="Liberation Sans"/>
              <a:cs typeface="Liberation Sans"/>
            </a:rPr>
            <a:t>HR Sales | Dashboard ext. Faktoren &amp; HS-Ressourcen</a:t>
          </a:fld>
          <a:endParaRPr lang="en-US" sz="2000" b="1">
            <a:solidFill>
              <a:srgbClr val="BF1528"/>
            </a:solidFill>
            <a:latin typeface="Liberation Sans"/>
            <a:cs typeface="Liberation Sans"/>
          </a:endParaRPr>
        </a:p>
      </xdr:txBody>
    </xdr:sp>
    <xdr:clientData/>
  </xdr:absoluteAnchor>
  <xdr:absoluteAnchor>
    <xdr:pos x="733425" y="6924675"/>
    <xdr:ext cx="7277100" cy="123825"/>
    <xdr:sp macro="" textlink="Konfiguration!$C$25">
      <xdr:nvSpPr>
        <xdr:cNvPr id="19" name="DEKO_Fussnote"/>
        <xdr:cNvSpPr txBox="1"/>
      </xdr:nvSpPr>
      <xdr:spPr>
        <a:xfrm>
          <a:off x="733425" y="6924675"/>
          <a:ext cx="7277100" cy="123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700">
              <a:solidFill>
                <a:srgbClr val="6B6B6B"/>
              </a:solidFill>
              <a:latin typeface="Liberation Sans"/>
              <a:cs typeface="Liberation Sans"/>
            </a:rPr>
            <a:t>Wochenwerte: je Kachel die letzten KW mit Daten, höchstens bis KW 42 (Berichtstag 19.10.2026)  ·  Monatswerte bis September 2026  ·  MAK bis Oktober 2026 und Plan Jan 27/28</a:t>
          </a:fld>
          <a:endParaRPr lang="en-US" sz="700">
            <a:solidFill>
              <a:srgbClr val="6B6B6B"/>
            </a:solidFill>
            <a:latin typeface="Liberation Sans"/>
            <a:cs typeface="Liberation Sans"/>
          </a:endParaRPr>
        </a:p>
      </xdr:txBody>
    </xdr:sp>
    <xdr:clientData/>
  </xdr:absoluteAnchor>
  <xdr:absoluteAnchor>
    <xdr:pos x="228600" y="152400"/>
    <xdr:ext cx="1905000" cy="342900"/>
    <xdr:sp macro="[0]!modKommentar.Zeigen" textlink="">
      <xdr:nvSpPr>
        <xdr:cNvPr id="20" name="BTN_Kommentare"/>
        <xdr:cNvSpPr txBox="1"/>
      </xdr:nvSpPr>
      <xdr:spPr>
        <a:xfrm>
          <a:off x="228600" y="152400"/>
          <a:ext cx="1905000" cy="34290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Kommentare bearbeiten</a:t>
          </a:r>
        </a:p>
      </xdr:txBody>
    </xdr:sp>
    <xdr:clientData/>
  </xdr:absoluteAnchor>
  <xdr:absoluteAnchor>
    <xdr:pos x="2247900" y="152400"/>
    <xdr:ext cx="1905000" cy="342900"/>
    <xdr:sp macro="[0]!modPPT.Zeigen" textlink="">
      <xdr:nvSpPr>
        <xdr:cNvPr id="21" name="BTN_PPT"/>
        <xdr:cNvSpPr txBox="1"/>
      </xdr:nvSpPr>
      <xdr:spPr>
        <a:xfrm>
          <a:off x="2247900" y="152400"/>
          <a:ext cx="1905000" cy="34290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PowerPoint erzeugen</a:t>
          </a:r>
        </a:p>
      </xdr:txBody>
    </xdr:sp>
    <xdr:clientData/>
  </xdr:absoluteAnchor>
  <xdr:absoluteAnchor>
    <xdr:pos x="4267200" y="152400"/>
    <xdr:ext cx="1428750" cy="342900"/>
    <xdr:sp macro="[0]!modStart.ZurStartseite" textlink="">
      <xdr:nvSpPr>
        <xdr:cNvPr id="22" name="BTN_Start"/>
        <xdr:cNvSpPr txBox="1"/>
      </xdr:nvSpPr>
      <xdr:spPr>
        <a:xfrm>
          <a:off x="4267200" y="152400"/>
          <a:ext cx="1428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Zur Startseite</a:t>
          </a:r>
        </a:p>
      </xdr:txBody>
    </xdr:sp>
    <xdr:clientData/>
  </xdr:absoluteAnchor>
  <xdr:absoluteAnchor>
    <xdr:pos x="5810250" y="152400"/>
    <xdr:ext cx="1809750" cy="342900"/>
    <xdr:sp macro="[0]!modKW.Zeigen" textlink="">
      <xdr:nvSpPr>
        <xdr:cNvPr id="23" name="BTN_Diagramm"/>
        <xdr:cNvSpPr txBox="1"/>
      </xdr:nvSpPr>
      <xdr:spPr>
        <a:xfrm>
          <a:off x="5810250" y="152400"/>
          <a:ext cx="1809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Diagramm anpassen</a:t>
          </a:r>
        </a:p>
      </xdr:txBody>
    </xdr:sp>
    <xdr:clientData/>
  </xdr:absoluteAnchor>
  <xdr:absoluteAnchor>
    <xdr:pos x="7734300" y="152400"/>
    <xdr:ext cx="2190750" cy="342900"/>
    <xdr:sp macro="[0]!modKacheln.Zeigen" textlink="">
      <xdr:nvSpPr>
        <xdr:cNvPr id="24" name="BTN_Kacheln"/>
        <xdr:cNvSpPr txBox="1"/>
      </xdr:nvSpPr>
      <xdr:spPr>
        <a:xfrm>
          <a:off x="7734300" y="152400"/>
          <a:ext cx="2190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Kacheln ein-/ausblenden</a:t>
          </a:r>
        </a:p>
      </xdr:txBody>
    </xdr:sp>
    <xdr:clientData/>
  </xdr:absoluteAnchor>
  <xdr:absoluteAnchor>
    <xdr:pos x="2581275" y="2009775"/>
    <xdr:ext cx="676275" cy="257175"/>
    <xdr:sp macro="" textlink="Dashboard_Daten!$E$229">
      <xdr:nvSpPr>
        <xdr:cNvPr id="26" name="K1_Stand"/>
        <xdr:cNvSpPr txBox="1"/>
      </xdr:nvSpPr>
      <xdr:spPr>
        <a:xfrm>
          <a:off x="2581275" y="2009775"/>
          <a:ext cx="6762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700">
              <a:solidFill>
                <a:srgbClr val="FFFFFF"/>
              </a:solidFill>
              <a:latin typeface="Liberation Sans"/>
              <a:cs typeface="Liberation Sans"/>
            </a:rPr>
            <a:t>Stand: 19.10.26</a:t>
          </a:fld>
          <a:endParaRPr lang="en-US" sz="700">
            <a:solidFill>
              <a:srgbClr val="FFFFFF"/>
            </a:solidFill>
            <a:latin typeface="Liberation Sans"/>
            <a:cs typeface="Liberation Sans"/>
          </a:endParaRPr>
        </a:p>
      </xdr:txBody>
    </xdr:sp>
    <xdr:clientData/>
  </xdr:absoluteAnchor>
  <xdr:absoluteAnchor>
    <xdr:pos x="1057275" y="2009775"/>
    <xdr:ext cx="1466850" cy="257175"/>
    <xdr:sp macro="" textlink="">
      <xdr:nvSpPr>
        <xdr:cNvPr id="27" name="K1_Titel"/>
        <xdr:cNvSpPr txBox="1"/>
      </xdr:nvSpPr>
      <xdr:spPr>
        <a:xfrm>
          <a:off x="1057275" y="2009775"/>
          <a:ext cx="14668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850" b="1">
              <a:solidFill>
                <a:srgbClr val="FFFFFF"/>
              </a:solidFill>
              <a:latin typeface="Liberation Sans"/>
              <a:cs typeface="Liberation Sans"/>
            </a:rPr>
            <a:t>Schwebefallbearbeitung</a:t>
          </a:r>
        </a:p>
      </xdr:txBody>
    </xdr:sp>
    <xdr:clientData/>
  </xdr:absoluteAnchor>
  <xdr:absoluteAnchor>
    <xdr:pos x="809625" y="2047875"/>
    <xdr:ext cx="161925" cy="161925"/>
    <xdr:sp macro="" textlink="">
      <xdr:nvSpPr>
        <xdr:cNvPr id="28" name="K1_Nr"/>
        <xdr:cNvSpPr txBox="1"/>
      </xdr:nvSpPr>
      <xdr:spPr>
        <a:xfrm>
          <a:off x="80962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09284"/>
              </a:solidFill>
              <a:latin typeface="Liberation Sans"/>
              <a:cs typeface="Liberation Sans"/>
            </a:rPr>
            <a:t>1</a:t>
          </a:r>
        </a:p>
      </xdr:txBody>
    </xdr:sp>
    <xdr:clientData/>
  </xdr:absoluteAnchor>
  <xdr:absoluteAnchor>
    <xdr:pos x="809625" y="2352675"/>
    <xdr:ext cx="123825" cy="19050"/>
    <xdr:sp macro="" textlink="">
      <xdr:nvSpPr>
        <xdr:cNvPr id="30" name="K1_Leg128_0S"/>
        <xdr:cNvSpPr txBox="1"/>
      </xdr:nvSpPr>
      <xdr:spPr>
        <a:xfrm>
          <a:off x="809625" y="2352675"/>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81075" y="2314575"/>
    <xdr:ext cx="1171575" cy="104775"/>
    <xdr:sp macro="" textlink="">
      <xdr:nvSpPr>
        <xdr:cNvPr id="31" name="K1_Leg128_0"/>
        <xdr:cNvSpPr txBox="1"/>
      </xdr:nvSpPr>
      <xdr:spPr>
        <a:xfrm>
          <a:off x="981075" y="2314575"/>
          <a:ext cx="11715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Vorgänge (in Tausend)</a:t>
          </a:r>
        </a:p>
      </xdr:txBody>
    </xdr:sp>
    <xdr:clientData/>
  </xdr:absoluteAnchor>
  <xdr:absoluteAnchor>
    <xdr:pos x="5286375" y="2009775"/>
    <xdr:ext cx="676275" cy="257175"/>
    <xdr:sp macro="" textlink="Dashboard_Daten!$E$234">
      <xdr:nvSpPr>
        <xdr:cNvPr id="33" name="K2_Stand"/>
        <xdr:cNvSpPr txBox="1"/>
      </xdr:nvSpPr>
      <xdr:spPr>
        <a:xfrm>
          <a:off x="5286375" y="2009775"/>
          <a:ext cx="6762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700">
              <a:solidFill>
                <a:srgbClr val="FFFFFF"/>
              </a:solidFill>
              <a:latin typeface="Liberation Sans"/>
              <a:cs typeface="Liberation Sans"/>
            </a:rPr>
            <a:t>Stand: 19.10.26</a:t>
          </a:fld>
          <a:endParaRPr lang="en-US" sz="700">
            <a:solidFill>
              <a:srgbClr val="FFFFFF"/>
            </a:solidFill>
            <a:latin typeface="Liberation Sans"/>
            <a:cs typeface="Liberation Sans"/>
          </a:endParaRPr>
        </a:p>
      </xdr:txBody>
    </xdr:sp>
    <xdr:clientData/>
  </xdr:absoluteAnchor>
  <xdr:absoluteAnchor>
    <xdr:pos x="3752850" y="2009775"/>
    <xdr:ext cx="1466850" cy="257175"/>
    <xdr:sp macro="" textlink="">
      <xdr:nvSpPr>
        <xdr:cNvPr id="34" name="K2_Titel"/>
        <xdr:cNvSpPr txBox="1"/>
      </xdr:nvSpPr>
      <xdr:spPr>
        <a:xfrm>
          <a:off x="3752850" y="2009775"/>
          <a:ext cx="14668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850" b="1">
              <a:solidFill>
                <a:srgbClr val="FFFFFF"/>
              </a:solidFill>
              <a:latin typeface="Liberation Sans"/>
              <a:cs typeface="Liberation Sans"/>
            </a:rPr>
            <a:t>Watchlist</a:t>
          </a:r>
        </a:p>
      </xdr:txBody>
    </xdr:sp>
    <xdr:clientData/>
  </xdr:absoluteAnchor>
  <xdr:absoluteAnchor>
    <xdr:pos x="3514725" y="2047875"/>
    <xdr:ext cx="161925" cy="161925"/>
    <xdr:sp macro="" textlink="">
      <xdr:nvSpPr>
        <xdr:cNvPr id="35" name="K2_Nr"/>
        <xdr:cNvSpPr txBox="1"/>
      </xdr:nvSpPr>
      <xdr:spPr>
        <a:xfrm>
          <a:off x="351472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09284"/>
              </a:solidFill>
              <a:latin typeface="Liberation Sans"/>
              <a:cs typeface="Liberation Sans"/>
            </a:rPr>
            <a:t>2</a:t>
          </a:r>
        </a:p>
      </xdr:txBody>
    </xdr:sp>
    <xdr:clientData/>
  </xdr:absoluteAnchor>
  <xdr:absoluteAnchor>
    <xdr:pos x="3514725" y="2352675"/>
    <xdr:ext cx="123825" cy="19050"/>
    <xdr:sp macro="" textlink="">
      <xdr:nvSpPr>
        <xdr:cNvPr id="37" name="K2_Leg128_0S"/>
        <xdr:cNvSpPr txBox="1"/>
      </xdr:nvSpPr>
      <xdr:spPr>
        <a:xfrm>
          <a:off x="3514725" y="2352675"/>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676650" y="2314575"/>
    <xdr:ext cx="1228725" cy="104775"/>
    <xdr:sp macro="" textlink="">
      <xdr:nvSpPr>
        <xdr:cNvPr id="38" name="K2_Leg128_0"/>
        <xdr:cNvSpPr txBox="1"/>
      </xdr:nvSpPr>
      <xdr:spPr>
        <a:xfrm>
          <a:off x="3676650" y="2314575"/>
          <a:ext cx="12287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Überwachte VNRs (in Tausend)</a:t>
          </a:r>
        </a:p>
      </xdr:txBody>
    </xdr:sp>
    <xdr:clientData/>
  </xdr:absoluteAnchor>
  <xdr:absoluteAnchor>
    <xdr:pos x="5000625" y="2333625"/>
    <xdr:ext cx="66675" cy="66675"/>
    <xdr:sp macro="" textlink="">
      <xdr:nvSpPr>
        <xdr:cNvPr id="39" name="K2_Leg128_1S"/>
        <xdr:cNvSpPr txBox="1"/>
      </xdr:nvSpPr>
      <xdr:spPr>
        <a:xfrm>
          <a:off x="5000625" y="2333625"/>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5095875" y="2314575"/>
    <xdr:ext cx="552450" cy="104775"/>
    <xdr:sp macro="" textlink="">
      <xdr:nvSpPr>
        <xdr:cNvPr id="40" name="K2_Leg128_1"/>
        <xdr:cNvSpPr txBox="1"/>
      </xdr:nvSpPr>
      <xdr:spPr>
        <a:xfrm>
          <a:off x="5095875" y="2314575"/>
          <a:ext cx="5524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Treffer VNRs</a:t>
          </a:r>
        </a:p>
      </xdr:txBody>
    </xdr:sp>
    <xdr:clientData/>
  </xdr:absoluteAnchor>
  <xdr:absoluteAnchor>
    <xdr:pos x="3514725" y="2447925"/>
    <xdr:ext cx="66675" cy="66675"/>
    <xdr:sp macro="" textlink="">
      <xdr:nvSpPr>
        <xdr:cNvPr id="41" name="K2_Leg137_2S"/>
        <xdr:cNvSpPr txBox="1"/>
      </xdr:nvSpPr>
      <xdr:spPr>
        <a:xfrm>
          <a:off x="3514725" y="2447925"/>
          <a:ext cx="66675" cy="66675"/>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619500" y="2428875"/>
    <xdr:ext cx="609600" cy="104775"/>
    <xdr:sp macro="" textlink="">
      <xdr:nvSpPr>
        <xdr:cNvPr id="42" name="K2_Leg137_2"/>
        <xdr:cNvSpPr txBox="1"/>
      </xdr:nvSpPr>
      <xdr:spPr>
        <a:xfrm>
          <a:off x="3619500" y="2428875"/>
          <a:ext cx="6096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In Bearbeitung</a:t>
          </a:r>
        </a:p>
      </xdr:txBody>
    </xdr:sp>
    <xdr:clientData/>
  </xdr:absoluteAnchor>
  <xdr:absoluteAnchor>
    <xdr:pos x="4314825" y="2447925"/>
    <xdr:ext cx="66675" cy="66675"/>
    <xdr:sp macro="" textlink="">
      <xdr:nvSpPr>
        <xdr:cNvPr id="43" name="K2_Leg137_3S"/>
        <xdr:cNvSpPr txBox="1"/>
      </xdr:nvSpPr>
      <xdr:spPr>
        <a:xfrm>
          <a:off x="4314825" y="2447925"/>
          <a:ext cx="66675" cy="66675"/>
        </a:xfrm>
        <a:prstGeom prst="rect">
          <a:avLst/>
        </a:prstGeom>
        <a:solidFill>
          <a:srgbClr val="1A1A1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419600" y="2428875"/>
    <xdr:ext cx="352425" cy="104775"/>
    <xdr:sp macro="" textlink="">
      <xdr:nvSpPr>
        <xdr:cNvPr id="44" name="K2_Leg137_3"/>
        <xdr:cNvSpPr txBox="1"/>
      </xdr:nvSpPr>
      <xdr:spPr>
        <a:xfrm>
          <a:off x="4419600" y="2428875"/>
          <a:ext cx="3524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Erledigt</a:t>
          </a:r>
        </a:p>
      </xdr:txBody>
    </xdr:sp>
    <xdr:clientData/>
  </xdr:absoluteAnchor>
  <xdr:absoluteAnchor>
    <xdr:pos x="7981950" y="2009775"/>
    <xdr:ext cx="676275" cy="257175"/>
    <xdr:sp macro="" textlink="Dashboard_Daten!$E$245">
      <xdr:nvSpPr>
        <xdr:cNvPr id="46" name="K3_Stand"/>
        <xdr:cNvSpPr txBox="1"/>
      </xdr:nvSpPr>
      <xdr:spPr>
        <a:xfrm>
          <a:off x="7981950" y="2009775"/>
          <a:ext cx="6762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700">
              <a:solidFill>
                <a:srgbClr val="FFFFFF"/>
              </a:solidFill>
              <a:latin typeface="Liberation Sans"/>
              <a:cs typeface="Liberation Sans"/>
            </a:rPr>
            <a:t>Stand: 19.10.26</a:t>
          </a:fld>
          <a:endParaRPr lang="en-US" sz="700">
            <a:solidFill>
              <a:srgbClr val="FFFFFF"/>
            </a:solidFill>
            <a:latin typeface="Liberation Sans"/>
            <a:cs typeface="Liberation Sans"/>
          </a:endParaRPr>
        </a:p>
      </xdr:txBody>
    </xdr:sp>
    <xdr:clientData/>
  </xdr:absoluteAnchor>
  <xdr:absoluteAnchor>
    <xdr:pos x="6457950" y="2009775"/>
    <xdr:ext cx="1466850" cy="257175"/>
    <xdr:sp macro="" textlink="">
      <xdr:nvSpPr>
        <xdr:cNvPr id="47" name="K3_Titel"/>
        <xdr:cNvSpPr txBox="1"/>
      </xdr:nvSpPr>
      <xdr:spPr>
        <a:xfrm>
          <a:off x="6457950" y="2009775"/>
          <a:ext cx="14668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725" b="1">
              <a:solidFill>
                <a:srgbClr val="FFFFFF"/>
              </a:solidFill>
              <a:latin typeface="Liberation Sans"/>
              <a:cs typeface="Liberation Sans"/>
            </a:rPr>
            <a:t>Technische Arbeitsanweisungen</a:t>
          </a:r>
        </a:p>
      </xdr:txBody>
    </xdr:sp>
    <xdr:clientData/>
  </xdr:absoluteAnchor>
  <xdr:absoluteAnchor>
    <xdr:pos x="6210300" y="2047875"/>
    <xdr:ext cx="161925" cy="161925"/>
    <xdr:sp macro="" textlink="">
      <xdr:nvSpPr>
        <xdr:cNvPr id="48" name="K3_Nr"/>
        <xdr:cNvSpPr txBox="1"/>
      </xdr:nvSpPr>
      <xdr:spPr>
        <a:xfrm>
          <a:off x="6210300"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09284"/>
              </a:solidFill>
              <a:latin typeface="Liberation Sans"/>
              <a:cs typeface="Liberation Sans"/>
            </a:rPr>
            <a:t>3</a:t>
          </a:r>
        </a:p>
      </xdr:txBody>
    </xdr:sp>
    <xdr:clientData/>
  </xdr:absoluteAnchor>
  <xdr:absoluteAnchor>
    <xdr:pos x="6210300" y="2352675"/>
    <xdr:ext cx="123825" cy="19050"/>
    <xdr:sp macro="" textlink="">
      <xdr:nvSpPr>
        <xdr:cNvPr id="50" name="K3_Leg128_0S"/>
        <xdr:cNvSpPr txBox="1"/>
      </xdr:nvSpPr>
      <xdr:spPr>
        <a:xfrm>
          <a:off x="6210300" y="2352675"/>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381750" y="2314575"/>
    <xdr:ext cx="1333500" cy="104775"/>
    <xdr:sp macro="" textlink="">
      <xdr:nvSpPr>
        <xdr:cNvPr id="51" name="K3_Leg128_0"/>
        <xdr:cNvSpPr txBox="1"/>
      </xdr:nvSpPr>
      <xdr:spPr>
        <a:xfrm>
          <a:off x="6381750" y="2314575"/>
          <a:ext cx="13335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techn. Arbeitsanweisungen</a:t>
          </a:r>
        </a:p>
      </xdr:txBody>
    </xdr:sp>
    <xdr:clientData/>
  </xdr:absoluteAnchor>
  <xdr:absoluteAnchor>
    <xdr:pos x="2581275" y="4467225"/>
    <xdr:ext cx="676275" cy="257175"/>
    <xdr:sp macro="" textlink="Dashboard_Daten!$E$250">
      <xdr:nvSpPr>
        <xdr:cNvPr id="53" name="K4_Stand"/>
        <xdr:cNvSpPr txBox="1"/>
      </xdr:nvSpPr>
      <xdr:spPr>
        <a:xfrm>
          <a:off x="2581275" y="4467225"/>
          <a:ext cx="6762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700">
              <a:solidFill>
                <a:srgbClr val="FFFFFF"/>
              </a:solidFill>
              <a:latin typeface="Liberation Sans"/>
              <a:cs typeface="Liberation Sans"/>
            </a:rPr>
            <a:t>Stand: 19.10.26</a:t>
          </a:fld>
          <a:endParaRPr lang="en-US" sz="700">
            <a:solidFill>
              <a:srgbClr val="FFFFFF"/>
            </a:solidFill>
            <a:latin typeface="Liberation Sans"/>
            <a:cs typeface="Liberation Sans"/>
          </a:endParaRPr>
        </a:p>
      </xdr:txBody>
    </xdr:sp>
    <xdr:clientData/>
  </xdr:absoluteAnchor>
  <xdr:absoluteAnchor>
    <xdr:pos x="1057275" y="4467225"/>
    <xdr:ext cx="1466850" cy="257175"/>
    <xdr:sp macro="" textlink="">
      <xdr:nvSpPr>
        <xdr:cNvPr id="54" name="K4_Titel"/>
        <xdr:cNvSpPr txBox="1"/>
      </xdr:nvSpPr>
      <xdr:spPr>
        <a:xfrm>
          <a:off x="1057275" y="4467225"/>
          <a:ext cx="14668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850" b="1">
              <a:solidFill>
                <a:srgbClr val="FFFFFF"/>
              </a:solidFill>
              <a:latin typeface="Liberation Sans"/>
              <a:cs typeface="Liberation Sans"/>
            </a:rPr>
            <a:t>Defect Fixing (CPE)</a:t>
          </a:r>
        </a:p>
      </xdr:txBody>
    </xdr:sp>
    <xdr:clientData/>
  </xdr:absoluteAnchor>
  <xdr:absoluteAnchor>
    <xdr:pos x="809625" y="4514850"/>
    <xdr:ext cx="161925" cy="161925"/>
    <xdr:sp macro="" textlink="">
      <xdr:nvSpPr>
        <xdr:cNvPr id="55" name="K4_Nr"/>
        <xdr:cNvSpPr txBox="1"/>
      </xdr:nvSpPr>
      <xdr:spPr>
        <a:xfrm>
          <a:off x="80962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09284"/>
              </a:solidFill>
              <a:latin typeface="Liberation Sans"/>
              <a:cs typeface="Liberation Sans"/>
            </a:rPr>
            <a:t>4</a:t>
          </a:r>
        </a:p>
      </xdr:txBody>
    </xdr:sp>
    <xdr:clientData/>
  </xdr:absoluteAnchor>
  <xdr:absoluteAnchor>
    <xdr:pos x="809625" y="4791075"/>
    <xdr:ext cx="66675" cy="66675"/>
    <xdr:sp macro="" textlink="">
      <xdr:nvSpPr>
        <xdr:cNvPr id="57" name="K4_Leg322_0S"/>
        <xdr:cNvSpPr txBox="1"/>
      </xdr:nvSpPr>
      <xdr:spPr>
        <a:xfrm>
          <a:off x="809625" y="4791075"/>
          <a:ext cx="66675" cy="66675"/>
        </a:xfrm>
        <a:prstGeom prst="rect">
          <a:avLst/>
        </a:prstGeom>
        <a:solidFill>
          <a:srgbClr val="1A1A1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14400" y="4772025"/>
    <xdr:ext cx="381000" cy="104775"/>
    <xdr:sp macro="" textlink="">
      <xdr:nvSpPr>
        <xdr:cNvPr id="58" name="K4_Leg322_0"/>
        <xdr:cNvSpPr txBox="1"/>
      </xdr:nvSpPr>
      <xdr:spPr>
        <a:xfrm>
          <a:off x="914400" y="4772025"/>
          <a:ext cx="3810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Sev 1+2</a:t>
          </a:r>
        </a:p>
      </xdr:txBody>
    </xdr:sp>
    <xdr:clientData/>
  </xdr:absoluteAnchor>
  <xdr:absoluteAnchor>
    <xdr:pos x="1381125" y="4791075"/>
    <xdr:ext cx="66675" cy="66675"/>
    <xdr:sp macro="" textlink="">
      <xdr:nvSpPr>
        <xdr:cNvPr id="59" name="K4_Leg322_1S"/>
        <xdr:cNvSpPr txBox="1"/>
      </xdr:nvSpPr>
      <xdr:spPr>
        <a:xfrm>
          <a:off x="1381125" y="4791075"/>
          <a:ext cx="66675" cy="66675"/>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485900" y="4772025"/>
    <xdr:ext cx="285750" cy="104775"/>
    <xdr:sp macro="" textlink="">
      <xdr:nvSpPr>
        <xdr:cNvPr id="60" name="K4_Leg322_1"/>
        <xdr:cNvSpPr txBox="1"/>
      </xdr:nvSpPr>
      <xdr:spPr>
        <a:xfrm>
          <a:off x="1485900" y="4772025"/>
          <a:ext cx="285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Sev 3</a:t>
          </a:r>
        </a:p>
      </xdr:txBody>
    </xdr:sp>
    <xdr:clientData/>
  </xdr:absoluteAnchor>
  <xdr:absoluteAnchor>
    <xdr:pos x="1866900" y="4791075"/>
    <xdr:ext cx="66675" cy="66675"/>
    <xdr:sp macro="" textlink="">
      <xdr:nvSpPr>
        <xdr:cNvPr id="61" name="K4_Leg322_2S"/>
        <xdr:cNvSpPr txBox="1"/>
      </xdr:nvSpPr>
      <xdr:spPr>
        <a:xfrm>
          <a:off x="1866900" y="4791075"/>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962150" y="4772025"/>
    <xdr:ext cx="285750" cy="104775"/>
    <xdr:sp macro="" textlink="">
      <xdr:nvSpPr>
        <xdr:cNvPr id="62" name="K4_Leg322_2"/>
        <xdr:cNvSpPr txBox="1"/>
      </xdr:nvSpPr>
      <xdr:spPr>
        <a:xfrm>
          <a:off x="1962150" y="4772025"/>
          <a:ext cx="285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Sev 4</a:t>
          </a:r>
        </a:p>
      </xdr:txBody>
    </xdr:sp>
    <xdr:clientData/>
  </xdr:absoluteAnchor>
  <xdr:absoluteAnchor>
    <xdr:pos x="809625" y="4905375"/>
    <xdr:ext cx="66675" cy="66675"/>
    <xdr:sp macro="" textlink="">
      <xdr:nvSpPr>
        <xdr:cNvPr id="63" name="K4_Leg331_3S"/>
        <xdr:cNvSpPr txBox="1"/>
      </xdr:nvSpPr>
      <xdr:spPr>
        <a:xfrm>
          <a:off x="809625" y="4905375"/>
          <a:ext cx="66675" cy="6667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14400" y="4886325"/>
    <xdr:ext cx="1047750" cy="104775"/>
    <xdr:sp macro="" textlink="">
      <xdr:nvSpPr>
        <xdr:cNvPr id="64" name="K4_Leg331_3"/>
        <xdr:cNvSpPr txBox="1"/>
      </xdr:nvSpPr>
      <xdr:spPr>
        <a:xfrm>
          <a:off x="914400" y="4886325"/>
          <a:ext cx="1047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Zunahmen in aktueller KW</a:t>
          </a:r>
        </a:p>
      </xdr:txBody>
    </xdr:sp>
    <xdr:clientData/>
  </xdr:absoluteAnchor>
  <xdr:absoluteAnchor>
    <xdr:pos x="2047875" y="4905375"/>
    <xdr:ext cx="66675" cy="66675"/>
    <xdr:sp macro="" textlink="">
      <xdr:nvSpPr>
        <xdr:cNvPr id="65" name="K4_Leg331_4S"/>
        <xdr:cNvSpPr txBox="1"/>
      </xdr:nvSpPr>
      <xdr:spPr>
        <a:xfrm>
          <a:off x="2047875" y="4905375"/>
          <a:ext cx="66675" cy="66675"/>
        </a:xfrm>
        <a:prstGeom prst="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152650" y="4886325"/>
    <xdr:ext cx="1057275" cy="104775"/>
    <xdr:sp macro="" textlink="">
      <xdr:nvSpPr>
        <xdr:cNvPr id="66" name="K4_Leg331_4"/>
        <xdr:cNvSpPr txBox="1"/>
      </xdr:nvSpPr>
      <xdr:spPr>
        <a:xfrm>
          <a:off x="2152650" y="4886325"/>
          <a:ext cx="10572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Abnahmen in aktueller KW</a:t>
          </a:r>
        </a:p>
      </xdr:txBody>
    </xdr:sp>
    <xdr:clientData/>
  </xdr:absoluteAnchor>
  <xdr:absoluteAnchor>
    <xdr:pos x="5286375" y="4467225"/>
    <xdr:ext cx="676275" cy="257175"/>
    <xdr:sp macro="" textlink="Dashboard_Daten!$E$281">
      <xdr:nvSpPr>
        <xdr:cNvPr id="68" name="K5_Stand"/>
        <xdr:cNvSpPr txBox="1"/>
      </xdr:nvSpPr>
      <xdr:spPr>
        <a:xfrm>
          <a:off x="5286375" y="4467225"/>
          <a:ext cx="6762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700">
              <a:solidFill>
                <a:srgbClr val="FFFFFF"/>
              </a:solidFill>
              <a:latin typeface="Liberation Sans"/>
              <a:cs typeface="Liberation Sans"/>
            </a:rPr>
            <a:t>Stand: 19.10.26</a:t>
          </a:fld>
          <a:endParaRPr lang="en-US" sz="700">
            <a:solidFill>
              <a:srgbClr val="FFFFFF"/>
            </a:solidFill>
            <a:latin typeface="Liberation Sans"/>
            <a:cs typeface="Liberation Sans"/>
          </a:endParaRPr>
        </a:p>
      </xdr:txBody>
    </xdr:sp>
    <xdr:clientData/>
  </xdr:absoluteAnchor>
  <xdr:absoluteAnchor>
    <xdr:pos x="3752850" y="4467225"/>
    <xdr:ext cx="1466850" cy="257175"/>
    <xdr:sp macro="" textlink="">
      <xdr:nvSpPr>
        <xdr:cNvPr id="69" name="K5_Titel"/>
        <xdr:cNvSpPr txBox="1"/>
      </xdr:nvSpPr>
      <xdr:spPr>
        <a:xfrm>
          <a:off x="3752850" y="4467225"/>
          <a:ext cx="14668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800" b="1">
              <a:solidFill>
                <a:srgbClr val="FFFFFF"/>
              </a:solidFill>
              <a:latin typeface="Liberation Sans"/>
              <a:cs typeface="Liberation Sans"/>
            </a:rPr>
            <a:t>Defects im operativen Betrieb</a:t>
          </a:r>
        </a:p>
      </xdr:txBody>
    </xdr:sp>
    <xdr:clientData/>
  </xdr:absoluteAnchor>
  <xdr:absoluteAnchor>
    <xdr:pos x="3514725" y="4514850"/>
    <xdr:ext cx="161925" cy="161925"/>
    <xdr:sp macro="" textlink="">
      <xdr:nvSpPr>
        <xdr:cNvPr id="70" name="K5_Nr"/>
        <xdr:cNvSpPr txBox="1"/>
      </xdr:nvSpPr>
      <xdr:spPr>
        <a:xfrm>
          <a:off x="351472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09284"/>
              </a:solidFill>
              <a:latin typeface="Liberation Sans"/>
              <a:cs typeface="Liberation Sans"/>
            </a:rPr>
            <a:t>5</a:t>
          </a:r>
        </a:p>
      </xdr:txBody>
    </xdr:sp>
    <xdr:clientData/>
  </xdr:absoluteAnchor>
  <xdr:absoluteAnchor>
    <xdr:pos x="3514725" y="4791075"/>
    <xdr:ext cx="66675" cy="66675"/>
    <xdr:sp macro="" textlink="">
      <xdr:nvSpPr>
        <xdr:cNvPr id="72" name="K5_Leg322_0S"/>
        <xdr:cNvSpPr txBox="1"/>
      </xdr:nvSpPr>
      <xdr:spPr>
        <a:xfrm>
          <a:off x="3514725" y="4791075"/>
          <a:ext cx="66675" cy="66675"/>
        </a:xfrm>
        <a:prstGeom prst="rect">
          <a:avLst/>
        </a:prstGeom>
        <a:solidFill>
          <a:srgbClr val="1A1A1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619500" y="4772025"/>
    <xdr:ext cx="381000" cy="104775"/>
    <xdr:sp macro="" textlink="">
      <xdr:nvSpPr>
        <xdr:cNvPr id="73" name="K5_Leg322_0"/>
        <xdr:cNvSpPr txBox="1"/>
      </xdr:nvSpPr>
      <xdr:spPr>
        <a:xfrm>
          <a:off x="3619500" y="4772025"/>
          <a:ext cx="3810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Sev 1+2</a:t>
          </a:r>
        </a:p>
      </xdr:txBody>
    </xdr:sp>
    <xdr:clientData/>
  </xdr:absoluteAnchor>
  <xdr:absoluteAnchor>
    <xdr:pos x="4086225" y="4791075"/>
    <xdr:ext cx="66675" cy="66675"/>
    <xdr:sp macro="" textlink="">
      <xdr:nvSpPr>
        <xdr:cNvPr id="74" name="K5_Leg322_1S"/>
        <xdr:cNvSpPr txBox="1"/>
      </xdr:nvSpPr>
      <xdr:spPr>
        <a:xfrm>
          <a:off x="4086225" y="4791075"/>
          <a:ext cx="66675" cy="66675"/>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191000" y="4772025"/>
    <xdr:ext cx="285750" cy="104775"/>
    <xdr:sp macro="" textlink="">
      <xdr:nvSpPr>
        <xdr:cNvPr id="75" name="K5_Leg322_1"/>
        <xdr:cNvSpPr txBox="1"/>
      </xdr:nvSpPr>
      <xdr:spPr>
        <a:xfrm>
          <a:off x="4191000" y="4772025"/>
          <a:ext cx="285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Sev 3</a:t>
          </a:r>
        </a:p>
      </xdr:txBody>
    </xdr:sp>
    <xdr:clientData/>
  </xdr:absoluteAnchor>
  <xdr:absoluteAnchor>
    <xdr:pos x="4562475" y="4791075"/>
    <xdr:ext cx="66675" cy="66675"/>
    <xdr:sp macro="" textlink="">
      <xdr:nvSpPr>
        <xdr:cNvPr id="76" name="K5_Leg322_2S"/>
        <xdr:cNvSpPr txBox="1"/>
      </xdr:nvSpPr>
      <xdr:spPr>
        <a:xfrm>
          <a:off x="4562475" y="4791075"/>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667250" y="4772025"/>
    <xdr:ext cx="285750" cy="104775"/>
    <xdr:sp macro="" textlink="">
      <xdr:nvSpPr>
        <xdr:cNvPr id="77" name="K5_Leg322_2"/>
        <xdr:cNvSpPr txBox="1"/>
      </xdr:nvSpPr>
      <xdr:spPr>
        <a:xfrm>
          <a:off x="4667250" y="4772025"/>
          <a:ext cx="285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Sev 4</a:t>
          </a:r>
        </a:p>
      </xdr:txBody>
    </xdr:sp>
    <xdr:clientData/>
  </xdr:absoluteAnchor>
  <xdr:absoluteAnchor>
    <xdr:pos x="3514725" y="4905375"/>
    <xdr:ext cx="66675" cy="66675"/>
    <xdr:sp macro="" textlink="">
      <xdr:nvSpPr>
        <xdr:cNvPr id="78" name="K5_Leg331_3S"/>
        <xdr:cNvSpPr txBox="1"/>
      </xdr:nvSpPr>
      <xdr:spPr>
        <a:xfrm>
          <a:off x="3514725" y="4905375"/>
          <a:ext cx="66675" cy="6667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619500" y="4886325"/>
    <xdr:ext cx="1047750" cy="104775"/>
    <xdr:sp macro="" textlink="">
      <xdr:nvSpPr>
        <xdr:cNvPr id="79" name="K5_Leg331_3"/>
        <xdr:cNvSpPr txBox="1"/>
      </xdr:nvSpPr>
      <xdr:spPr>
        <a:xfrm>
          <a:off x="3619500" y="4886325"/>
          <a:ext cx="1047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Zunahmen in aktueller KW</a:t>
          </a:r>
        </a:p>
      </xdr:txBody>
    </xdr:sp>
    <xdr:clientData/>
  </xdr:absoluteAnchor>
  <xdr:absoluteAnchor>
    <xdr:pos x="4752975" y="4905375"/>
    <xdr:ext cx="66675" cy="66675"/>
    <xdr:sp macro="" textlink="">
      <xdr:nvSpPr>
        <xdr:cNvPr id="80" name="K5_Leg331_4S"/>
        <xdr:cNvSpPr txBox="1"/>
      </xdr:nvSpPr>
      <xdr:spPr>
        <a:xfrm>
          <a:off x="4752975" y="4905375"/>
          <a:ext cx="66675" cy="66675"/>
        </a:xfrm>
        <a:prstGeom prst="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857750" y="4886325"/>
    <xdr:ext cx="1057275" cy="104775"/>
    <xdr:sp macro="" textlink="">
      <xdr:nvSpPr>
        <xdr:cNvPr id="81" name="K5_Leg331_4"/>
        <xdr:cNvSpPr txBox="1"/>
      </xdr:nvSpPr>
      <xdr:spPr>
        <a:xfrm>
          <a:off x="4857750" y="4886325"/>
          <a:ext cx="10572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Abnahmen in aktueller KW</a:t>
          </a:r>
        </a:p>
      </xdr:txBody>
    </xdr:sp>
    <xdr:clientData/>
  </xdr:absoluteAnchor>
  <xdr:absoluteAnchor>
    <xdr:pos x="6457950" y="4467225"/>
    <xdr:ext cx="2219325" cy="257175"/>
    <xdr:sp macro="" textlink="">
      <xdr:nvSpPr>
        <xdr:cNvPr id="83" name="K6_Titel"/>
        <xdr:cNvSpPr txBox="1"/>
      </xdr:nvSpPr>
      <xdr:spPr>
        <a:xfrm>
          <a:off x="6457950" y="4467225"/>
          <a:ext cx="22193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850" b="1">
              <a:solidFill>
                <a:srgbClr val="FFFFFF"/>
              </a:solidFill>
              <a:latin typeface="Liberation Sans"/>
              <a:cs typeface="Liberation Sans"/>
            </a:rPr>
            <a:t>Mitarbeiter-Kapazitäten  · gerundet</a:t>
          </a:r>
        </a:p>
      </xdr:txBody>
    </xdr:sp>
    <xdr:clientData/>
  </xdr:absoluteAnchor>
  <xdr:absoluteAnchor>
    <xdr:pos x="6210300" y="4514850"/>
    <xdr:ext cx="161925" cy="161925"/>
    <xdr:sp macro="" textlink="">
      <xdr:nvSpPr>
        <xdr:cNvPr id="84" name="K6_Nr"/>
        <xdr:cNvSpPr txBox="1"/>
      </xdr:nvSpPr>
      <xdr:spPr>
        <a:xfrm>
          <a:off x="6210300"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F94A7"/>
              </a:solidFill>
              <a:latin typeface="Liberation Sans"/>
              <a:cs typeface="Liberation Sans"/>
            </a:rPr>
            <a:t>6</a:t>
          </a:r>
        </a:p>
      </xdr:txBody>
    </xdr:sp>
    <xdr:clientData/>
  </xdr:absoluteAnchor>
  <xdr:absoluteAnchor>
    <xdr:pos x="6210300" y="4791075"/>
    <xdr:ext cx="66675" cy="66675"/>
    <xdr:sp macro="" textlink="">
      <xdr:nvSpPr>
        <xdr:cNvPr id="86" name="K6_Leg322_0S"/>
        <xdr:cNvSpPr txBox="1"/>
      </xdr:nvSpPr>
      <xdr:spPr>
        <a:xfrm>
          <a:off x="6210300" y="4791075"/>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315075" y="4772025"/>
    <xdr:ext cx="485775" cy="104775"/>
    <xdr:sp macro="" textlink="">
      <xdr:nvSpPr>
        <xdr:cNvPr id="87" name="K6_Leg322_0"/>
        <xdr:cNvSpPr txBox="1"/>
      </xdr:nvSpPr>
      <xdr:spPr>
        <a:xfrm>
          <a:off x="6315075" y="4772025"/>
          <a:ext cx="4857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SOLL MAK</a:t>
          </a:r>
        </a:p>
      </xdr:txBody>
    </xdr:sp>
    <xdr:clientData/>
  </xdr:absoluteAnchor>
  <xdr:absoluteAnchor>
    <xdr:pos x="6886575" y="4791075"/>
    <xdr:ext cx="66675" cy="66675"/>
    <xdr:sp macro="" textlink="">
      <xdr:nvSpPr>
        <xdr:cNvPr id="88" name="K6_Leg322_1S"/>
        <xdr:cNvSpPr txBox="1"/>
      </xdr:nvSpPr>
      <xdr:spPr>
        <a:xfrm>
          <a:off x="6886575" y="4791075"/>
          <a:ext cx="66675" cy="66675"/>
        </a:xfrm>
        <a:prstGeom prst="rect">
          <a:avLst/>
        </a:prstGeom>
        <a:solidFill>
          <a:srgbClr val="1A1A1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991350" y="4772025"/>
    <xdr:ext cx="514350" cy="104775"/>
    <xdr:sp macro="" textlink="">
      <xdr:nvSpPr>
        <xdr:cNvPr id="89" name="K6_Leg322_1"/>
        <xdr:cNvSpPr txBox="1"/>
      </xdr:nvSpPr>
      <xdr:spPr>
        <a:xfrm>
          <a:off x="6991350" y="4772025"/>
          <a:ext cx="5143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(V)IST MAK</a:t>
          </a:r>
        </a:p>
      </xdr:txBody>
    </xdr:sp>
    <xdr:clientData/>
  </xdr:absoluteAnchor>
  <xdr:absoluteAnchor>
    <xdr:pos x="7439025" y="5162550"/>
    <xdr:ext cx="9525" cy="1495425"/>
    <xdr:sp macro="" textlink="">
      <xdr:nvSpPr>
        <xdr:cNvPr id="90" name="K6_Trenn"/>
        <xdr:cNvSpPr txBox="1"/>
      </xdr:nvSpPr>
      <xdr:spPr>
        <a:xfrm>
          <a:off x="7439025" y="5162550"/>
          <a:ext cx="9525" cy="1495425"/>
        </a:xfrm>
        <a:prstGeom prst="rect">
          <a:avLst/>
        </a:prstGeom>
        <a:solidFill>
          <a:srgbClr val="9AA3A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629775" y="1876425"/>
    <xdr:ext cx="2028825" cy="200025"/>
    <xdr:sp macro="" textlink="">
      <xdr:nvSpPr>
        <xdr:cNvPr id="91" name="KOM_Titel"/>
        <xdr:cNvSpPr txBox="1"/>
      </xdr:nvSpPr>
      <xdr:spPr>
        <a:xfrm>
          <a:off x="9629775" y="1876425"/>
          <a:ext cx="2028825"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100" b="1">
              <a:solidFill>
                <a:srgbClr val="1A1A1A"/>
              </a:solidFill>
              <a:latin typeface="Liberation Sans"/>
              <a:cs typeface="Liberation Sans"/>
            </a:rPr>
            <a:t>Kommentare</a:t>
          </a:r>
        </a:p>
      </xdr:txBody>
    </xdr:sp>
    <xdr:clientData/>
  </xdr:absoluteAnchor>
  <xdr:absoluteAnchor>
    <xdr:pos x="9248775" y="2105025"/>
    <xdr:ext cx="2847975" cy="9525"/>
    <xdr:sp macro="" textlink="">
      <xdr:nvSpPr>
        <xdr:cNvPr id="92" name="KOM_Linie"/>
        <xdr:cNvSpPr txBox="1"/>
      </xdr:nvSpPr>
      <xdr:spPr>
        <a:xfrm>
          <a:off x="9248775" y="2105025"/>
          <a:ext cx="2847975" cy="9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115425" y="2209800"/>
    <xdr:ext cx="276225" cy="161925"/>
    <xdr:sp macro="" textlink="">
      <xdr:nvSpPr>
        <xdr:cNvPr id="93" name="KOM_0_Nr"/>
        <xdr:cNvSpPr txBox="1"/>
      </xdr:nvSpPr>
      <xdr:spPr>
        <a:xfrm>
          <a:off x="9115425" y="2209800"/>
          <a:ext cx="276225" cy="161925"/>
        </a:xfrm>
        <a:prstGeom prst="roundRect">
          <a:avLst>
            <a:gd name="adj" fmla="val 50000"/>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1</a:t>
          </a:r>
        </a:p>
      </xdr:txBody>
    </xdr:sp>
    <xdr:clientData/>
  </xdr:absoluteAnchor>
  <xdr:absoluteAnchor>
    <xdr:pos x="9448800" y="2209800"/>
    <xdr:ext cx="2771775" cy="161925"/>
    <xdr:sp macro="" textlink="">
      <xdr:nvSpPr>
        <xdr:cNvPr id="94" name="KOM_0_Ueb"/>
        <xdr:cNvSpPr txBox="1"/>
      </xdr:nvSpPr>
      <xdr:spPr>
        <a:xfrm>
          <a:off x="9448800" y="220980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1A1A1A"/>
              </a:solidFill>
              <a:latin typeface="Liberation Sans"/>
              <a:cs typeface="Liberation Sans"/>
            </a:rPr>
            <a:t>Schwebefallbearbeitung</a:t>
          </a:r>
        </a:p>
      </xdr:txBody>
    </xdr:sp>
    <xdr:clientData/>
  </xdr:absoluteAnchor>
  <xdr:absoluteAnchor>
    <xdr:pos x="9448800" y="2371725"/>
    <xdr:ext cx="2771775" cy="247650"/>
    <xdr:sp macro="" textlink="">
      <xdr:nvSpPr>
        <xdr:cNvPr id="95" name="KOM_0_Text"/>
        <xdr:cNvSpPr txBox="1"/>
      </xdr:nvSpPr>
      <xdr:spPr>
        <a:xfrm>
          <a:off x="9448800" y="2371725"/>
          <a:ext cx="27717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840"/>
            </a:lnSpc>
            <a:spcAft>
              <a:spcPts val="100"/>
            </a:spcAft>
            <a:buFont typeface="Liberation Sans"/>
            <a:buChar char="•"/>
          </a:pPr>
          <a:r>
            <a:rPr lang="de-DE" sz="700">
              <a:solidFill>
                <a:srgbClr val="4A4A4A"/>
              </a:solidFill>
              <a:latin typeface="Liberation Sans"/>
              <a:cs typeface="Liberation Sans"/>
            </a:rPr>
            <a:t>Im Vergleich zur Vorwoche ist die Anzahl der Schweben leicht gestiegen.</a:t>
          </a:r>
        </a:p>
      </xdr:txBody>
    </xdr:sp>
    <xdr:clientData/>
  </xdr:absoluteAnchor>
  <xdr:absoluteAnchor>
    <xdr:pos x="9115425" y="2686050"/>
    <xdr:ext cx="276225" cy="161925"/>
    <xdr:sp macro="" textlink="">
      <xdr:nvSpPr>
        <xdr:cNvPr id="96" name="KOM_1_Nr"/>
        <xdr:cNvSpPr txBox="1"/>
      </xdr:nvSpPr>
      <xdr:spPr>
        <a:xfrm>
          <a:off x="9115425" y="2686050"/>
          <a:ext cx="276225" cy="161925"/>
        </a:xfrm>
        <a:prstGeom prst="roundRect">
          <a:avLst>
            <a:gd name="adj" fmla="val 50000"/>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2</a:t>
          </a:r>
        </a:p>
      </xdr:txBody>
    </xdr:sp>
    <xdr:clientData/>
  </xdr:absoluteAnchor>
  <xdr:absoluteAnchor>
    <xdr:pos x="9448800" y="2686050"/>
    <xdr:ext cx="2771775" cy="161925"/>
    <xdr:sp macro="" textlink="">
      <xdr:nvSpPr>
        <xdr:cNvPr id="97" name="KOM_1_Ueb"/>
        <xdr:cNvSpPr txBox="1"/>
      </xdr:nvSpPr>
      <xdr:spPr>
        <a:xfrm>
          <a:off x="9448800" y="268605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1A1A1A"/>
              </a:solidFill>
              <a:latin typeface="Liberation Sans"/>
              <a:cs typeface="Liberation Sans"/>
            </a:rPr>
            <a:t>Watchlist</a:t>
          </a:r>
        </a:p>
      </xdr:txBody>
    </xdr:sp>
    <xdr:clientData/>
  </xdr:absoluteAnchor>
  <xdr:absoluteAnchor>
    <xdr:pos x="9448800" y="2857500"/>
    <xdr:ext cx="2771775" cy="247650"/>
    <xdr:sp macro="" textlink="">
      <xdr:nvSpPr>
        <xdr:cNvPr id="98" name="KOM_1_Text"/>
        <xdr:cNvSpPr txBox="1"/>
      </xdr:nvSpPr>
      <xdr:spPr>
        <a:xfrm>
          <a:off x="9448800" y="2857500"/>
          <a:ext cx="27717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840"/>
            </a:lnSpc>
            <a:spcAft>
              <a:spcPts val="100"/>
            </a:spcAft>
            <a:buFont typeface="Liberation Sans"/>
            <a:buChar char="•"/>
          </a:pPr>
          <a:r>
            <a:rPr lang="de-DE" sz="700">
              <a:solidFill>
                <a:srgbClr val="4A4A4A"/>
              </a:solidFill>
              <a:latin typeface="Liberation Sans"/>
              <a:cs typeface="Liberation Sans"/>
            </a:rPr>
            <a:t>Die Anzahl der überwachten Versicherungsnummern wird langsam aber stetig reduziert.</a:t>
          </a:r>
        </a:p>
      </xdr:txBody>
    </xdr:sp>
    <xdr:clientData/>
  </xdr:absoluteAnchor>
  <xdr:absoluteAnchor>
    <xdr:pos x="9115425" y="3171825"/>
    <xdr:ext cx="276225" cy="161925"/>
    <xdr:sp macro="" textlink="">
      <xdr:nvSpPr>
        <xdr:cNvPr id="99" name="KOM_2_Nr"/>
        <xdr:cNvSpPr txBox="1"/>
      </xdr:nvSpPr>
      <xdr:spPr>
        <a:xfrm>
          <a:off x="9115425" y="3171825"/>
          <a:ext cx="276225" cy="161925"/>
        </a:xfrm>
        <a:prstGeom prst="roundRect">
          <a:avLst>
            <a:gd name="adj" fmla="val 50000"/>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3</a:t>
          </a:r>
        </a:p>
      </xdr:txBody>
    </xdr:sp>
    <xdr:clientData/>
  </xdr:absoluteAnchor>
  <xdr:absoluteAnchor>
    <xdr:pos x="9448800" y="3171825"/>
    <xdr:ext cx="2771775" cy="161925"/>
    <xdr:sp macro="" textlink="">
      <xdr:nvSpPr>
        <xdr:cNvPr id="100" name="KOM_2_Ueb"/>
        <xdr:cNvSpPr txBox="1"/>
      </xdr:nvSpPr>
      <xdr:spPr>
        <a:xfrm>
          <a:off x="9448800" y="3171825"/>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1A1A1A"/>
              </a:solidFill>
              <a:latin typeface="Liberation Sans"/>
              <a:cs typeface="Liberation Sans"/>
            </a:rPr>
            <a:t>Techn. Arbeitsanweisung</a:t>
          </a:r>
        </a:p>
      </xdr:txBody>
    </xdr:sp>
    <xdr:clientData/>
  </xdr:absoluteAnchor>
  <xdr:absoluteAnchor>
    <xdr:pos x="9448800" y="3333750"/>
    <xdr:ext cx="2771775" cy="142875"/>
    <xdr:sp macro="" textlink="">
      <xdr:nvSpPr>
        <xdr:cNvPr id="101" name="KOM_2_Text"/>
        <xdr:cNvSpPr txBox="1"/>
      </xdr:nvSpPr>
      <xdr:spPr>
        <a:xfrm>
          <a:off x="9448800" y="3333750"/>
          <a:ext cx="2771775"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840"/>
            </a:lnSpc>
            <a:spcAft>
              <a:spcPts val="100"/>
            </a:spcAft>
            <a:buFont typeface="Liberation Sans"/>
            <a:buChar char="•"/>
          </a:pPr>
          <a:r>
            <a:rPr lang="de-DE" sz="700">
              <a:solidFill>
                <a:srgbClr val="4A4A4A"/>
              </a:solidFill>
              <a:latin typeface="Liberation Sans"/>
              <a:cs typeface="Liberation Sans"/>
            </a:rPr>
            <a:t>Geplant ist der Rückstandsabbau bis Q4 2026.</a:t>
          </a:r>
        </a:p>
      </xdr:txBody>
    </xdr:sp>
    <xdr:clientData/>
  </xdr:absoluteAnchor>
  <xdr:absoluteAnchor>
    <xdr:pos x="9115425" y="3543300"/>
    <xdr:ext cx="276225" cy="161925"/>
    <xdr:sp macro="" textlink="">
      <xdr:nvSpPr>
        <xdr:cNvPr id="102" name="KOM_3_Nr"/>
        <xdr:cNvSpPr txBox="1"/>
      </xdr:nvSpPr>
      <xdr:spPr>
        <a:xfrm>
          <a:off x="9115425" y="3543300"/>
          <a:ext cx="276225" cy="161925"/>
        </a:xfrm>
        <a:prstGeom prst="roundRect">
          <a:avLst>
            <a:gd name="adj" fmla="val 50000"/>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4</a:t>
          </a:r>
        </a:p>
      </xdr:txBody>
    </xdr:sp>
    <xdr:clientData/>
  </xdr:absoluteAnchor>
  <xdr:absoluteAnchor>
    <xdr:pos x="9448800" y="3543300"/>
    <xdr:ext cx="2771775" cy="161925"/>
    <xdr:sp macro="" textlink="">
      <xdr:nvSpPr>
        <xdr:cNvPr id="103" name="KOM_3_Ueb"/>
        <xdr:cNvSpPr txBox="1"/>
      </xdr:nvSpPr>
      <xdr:spPr>
        <a:xfrm>
          <a:off x="9448800" y="354330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1A1A1A"/>
              </a:solidFill>
              <a:latin typeface="Liberation Sans"/>
              <a:cs typeface="Liberation Sans"/>
            </a:rPr>
            <a:t>Defect Fixing (CPE)</a:t>
          </a:r>
        </a:p>
      </xdr:txBody>
    </xdr:sp>
    <xdr:clientData/>
  </xdr:absoluteAnchor>
  <xdr:absoluteAnchor>
    <xdr:pos x="9448800" y="3705225"/>
    <xdr:ext cx="2771775" cy="247650"/>
    <xdr:sp macro="" textlink="">
      <xdr:nvSpPr>
        <xdr:cNvPr id="104" name="KOM_3_Text"/>
        <xdr:cNvSpPr txBox="1"/>
      </xdr:nvSpPr>
      <xdr:spPr>
        <a:xfrm>
          <a:off x="9448800" y="3705225"/>
          <a:ext cx="27717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840"/>
            </a:lnSpc>
            <a:spcAft>
              <a:spcPts val="100"/>
            </a:spcAft>
            <a:buFont typeface="Liberation Sans"/>
            <a:buChar char="•"/>
          </a:pPr>
          <a:r>
            <a:rPr lang="de-DE" sz="700">
              <a:solidFill>
                <a:srgbClr val="4A4A4A"/>
              </a:solidFill>
              <a:latin typeface="Liberation Sans"/>
              <a:cs typeface="Liberation Sans"/>
            </a:rPr>
            <a:t>Im Vergleich zur Woche konnten je ein Defect in Sev 3 und Sev 4 geschlossen werden.</a:t>
          </a:r>
        </a:p>
      </xdr:txBody>
    </xdr:sp>
    <xdr:clientData/>
  </xdr:absoluteAnchor>
  <xdr:absoluteAnchor>
    <xdr:pos x="9115425" y="4019550"/>
    <xdr:ext cx="276225" cy="161925"/>
    <xdr:sp macro="" textlink="">
      <xdr:nvSpPr>
        <xdr:cNvPr id="105" name="KOM_4_Nr"/>
        <xdr:cNvSpPr txBox="1"/>
      </xdr:nvSpPr>
      <xdr:spPr>
        <a:xfrm>
          <a:off x="9115425" y="4019550"/>
          <a:ext cx="276225" cy="161925"/>
        </a:xfrm>
        <a:prstGeom prst="roundRect">
          <a:avLst>
            <a:gd name="adj" fmla="val 50000"/>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5</a:t>
          </a:r>
        </a:p>
      </xdr:txBody>
    </xdr:sp>
    <xdr:clientData/>
  </xdr:absoluteAnchor>
  <xdr:absoluteAnchor>
    <xdr:pos x="9448800" y="4019550"/>
    <xdr:ext cx="2771775" cy="161925"/>
    <xdr:sp macro="" textlink="">
      <xdr:nvSpPr>
        <xdr:cNvPr id="106" name="KOM_4_Ueb"/>
        <xdr:cNvSpPr txBox="1"/>
      </xdr:nvSpPr>
      <xdr:spPr>
        <a:xfrm>
          <a:off x="9448800" y="401955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1A1A1A"/>
              </a:solidFill>
              <a:latin typeface="Liberation Sans"/>
              <a:cs typeface="Liberation Sans"/>
            </a:rPr>
            <a:t>Defects im operativen Betrieb</a:t>
          </a:r>
        </a:p>
      </xdr:txBody>
    </xdr:sp>
    <xdr:clientData/>
  </xdr:absoluteAnchor>
  <xdr:absoluteAnchor>
    <xdr:pos x="9448800" y="4191000"/>
    <xdr:ext cx="2771775" cy="485775"/>
    <xdr:sp macro="" textlink="">
      <xdr:nvSpPr>
        <xdr:cNvPr id="107" name="KOM_4_Text"/>
        <xdr:cNvSpPr txBox="1"/>
      </xdr:nvSpPr>
      <xdr:spPr>
        <a:xfrm>
          <a:off x="9448800" y="4191000"/>
          <a:ext cx="2771775" cy="485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840"/>
            </a:lnSpc>
            <a:spcAft>
              <a:spcPts val="100"/>
            </a:spcAft>
            <a:buFont typeface="Liberation Sans"/>
            <a:buChar char="•"/>
          </a:pPr>
          <a:r>
            <a:rPr lang="de-DE" sz="700">
              <a:solidFill>
                <a:srgbClr val="4A4A4A"/>
              </a:solidFill>
              <a:latin typeface="Liberation Sans"/>
              <a:cs typeface="Liberation Sans"/>
            </a:rPr>
            <a:t>Im Vergleich zur Vorwoche sind zwei Defects hinzu gekommen.</a:t>
          </a:r>
        </a:p>
        <a:p>
          <a:pPr marL="101600" indent="-101600">
            <a:lnSpc>
              <a:spcPts val="840"/>
            </a:lnSpc>
            <a:spcAft>
              <a:spcPts val="100"/>
            </a:spcAft>
            <a:buFont typeface="Liberation Sans"/>
            <a:buChar char="•"/>
          </a:pPr>
          <a:r>
            <a:rPr lang="de-DE" sz="700">
              <a:solidFill>
                <a:srgbClr val="4A4A4A"/>
              </a:solidFill>
              <a:latin typeface="Liberation Sans"/>
              <a:cs typeface="Liberation Sans"/>
            </a:rPr>
            <a:t>Der INC5754365 "Falsche Anzeige im Bew.Korr.Faktor (Beleg) " wurde wieder als Sev 3 eingestuft.</a:t>
          </a:r>
        </a:p>
        <a:p>
          <a:pPr marL="101600" indent="-101600">
            <a:lnSpc>
              <a:spcPts val="840"/>
            </a:lnSpc>
            <a:spcAft>
              <a:spcPts val="100"/>
            </a:spcAft>
            <a:buFont typeface="Liberation Sans"/>
            <a:buChar char="•"/>
          </a:pPr>
          <a:r>
            <a:rPr lang="de-DE" sz="700">
              <a:solidFill>
                <a:srgbClr val="4A4A4A"/>
              </a:solidFill>
              <a:latin typeface="Liberation Sans"/>
              <a:cs typeface="Liberation Sans"/>
            </a:rPr>
            <a:t>Die reporteten Defekts beziehen sich auf das System FS-ICM.</a:t>
          </a:r>
        </a:p>
      </xdr:txBody>
    </xdr:sp>
    <xdr:clientData/>
  </xdr:absoluteAnchor>
</xdr:wsDr>
</file>

<file path=xl/drawings/drawing5.xml><?xml version="1.0" encoding="utf-8"?>
<xdr:wsDr xmlns:xdr="http://schemas.openxmlformats.org/drawingml/2006/spreadsheetDrawing" xmlns:a="http://schemas.openxmlformats.org/drawingml/2006/main">
  <xdr:twoCellAnchor editAs="absolute">
    <xdr:from>
      <xdr:col>7</xdr:col>
      <xdr:colOff>342900</xdr:colOff>
      <xdr:row>0</xdr:row>
      <xdr:rowOff>57150</xdr:rowOff>
    </xdr:from>
    <xdr:to>
      <xdr:col>10</xdr:col>
      <xdr:colOff>161925</xdr:colOff>
      <xdr:row>1</xdr:row>
      <xdr:rowOff>152400</xdr:rowOff>
    </xdr:to>
    <xdr:sp macro="[0]!modStart.ZurStartseite" textlink="">
      <xdr:nvSpPr>
        <xdr:cNvPr id="2" name="BTN_Start"/>
        <xdr:cNvSpPr txBox="1"/>
      </xdr:nvSpPr>
      <xdr:spPr>
        <a:xfrm>
          <a:off x="9620250" y="57150"/>
          <a:ext cx="1238250" cy="28575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Liberation Sans"/>
              <a:cs typeface="Liberation Sans"/>
            </a:rPr>
            <a:t>Zur Startseite</a:t>
          </a:r>
        </a:p>
      </xdr:txBody>
    </xdr:sp>
    <xdr:clientData/>
  </xdr:twoCellAnchor>
  <xdr:twoCellAnchor editAs="absolute">
    <xdr:from>
      <xdr:col>10</xdr:col>
      <xdr:colOff>276225</xdr:colOff>
      <xdr:row>0</xdr:row>
      <xdr:rowOff>57150</xdr:rowOff>
    </xdr:from>
    <xdr:to>
      <xdr:col>15</xdr:col>
      <xdr:colOff>85725</xdr:colOff>
      <xdr:row>1</xdr:row>
      <xdr:rowOff>152400</xdr:rowOff>
    </xdr:to>
    <xdr:sp macro="[0]!modKpiLoeschen.Zeigen" textlink="">
      <xdr:nvSpPr>
        <xdr:cNvPr id="3" name="BTN_KpiLoeschen"/>
        <xdr:cNvSpPr txBox="1"/>
      </xdr:nvSpPr>
      <xdr:spPr>
        <a:xfrm>
          <a:off x="10972800" y="57150"/>
          <a:ext cx="1238250" cy="28575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Liberation Sans"/>
              <a:cs typeface="Liberation Sans"/>
            </a:rPr>
            <a:t>KPI löschen</a:t>
          </a:r>
        </a:p>
      </xdr:txBody>
    </xdr:sp>
    <xdr:clientData/>
  </xdr:twoCellAnchor>
  <xdr:twoCellAnchor editAs="absolute">
    <xdr:from>
      <xdr:col>15</xdr:col>
      <xdr:colOff>200025</xdr:colOff>
      <xdr:row>0</xdr:row>
      <xdr:rowOff>57150</xdr:rowOff>
    </xdr:from>
    <xdr:to>
      <xdr:col>22</xdr:col>
      <xdr:colOff>200025</xdr:colOff>
      <xdr:row>1</xdr:row>
      <xdr:rowOff>152400</xdr:rowOff>
    </xdr:to>
    <xdr:sp macro="[0]!modZuordnung.Bearbeiten" textlink="">
      <xdr:nvSpPr>
        <xdr:cNvPr id="4" name="BTN_Bearbeiten"/>
        <xdr:cNvSpPr txBox="1"/>
      </xdr:nvSpPr>
      <xdr:spPr>
        <a:xfrm>
          <a:off x="12325350" y="57150"/>
          <a:ext cx="2000250" cy="28575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Liberation Sans"/>
              <a:cs typeface="Liberation Sans"/>
            </a:rPr>
            <a:t>Zuständigkeiten bearbeiten</a:t>
          </a:r>
        </a:p>
      </xdr:txBody>
    </xdr:sp>
    <xdr:clientData/>
  </xdr:twoCellAnchor>
  <xdr:twoCellAnchor editAs="absolute">
    <xdr:from>
      <xdr:col>15</xdr:col>
      <xdr:colOff>200025</xdr:colOff>
      <xdr:row>0</xdr:row>
      <xdr:rowOff>57150</xdr:rowOff>
    </xdr:from>
    <xdr:to>
      <xdr:col>22</xdr:col>
      <xdr:colOff>200025</xdr:colOff>
      <xdr:row>1</xdr:row>
      <xdr:rowOff>152400</xdr:rowOff>
    </xdr:to>
    <xdr:sp macro="[0]!modZuordnung.Sperren" textlink="">
      <xdr:nvSpPr>
        <xdr:cNvPr id="5" name="BTN_Fertig" hidden="1"/>
        <xdr:cNvSpPr txBox="1"/>
      </xdr:nvSpPr>
      <xdr:spPr>
        <a:xfrm>
          <a:off x="12325350" y="57150"/>
          <a:ext cx="2000250" cy="28575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Liberation Sans"/>
              <a:cs typeface="Liberation Sans"/>
            </a:rPr>
            <a:t>Fertig · sperren</a:t>
          </a:r>
        </a:p>
      </xdr:txBody>
    </xdr:sp>
    <xdr:clientData/>
  </xdr:twoCellAnchor>
  <xdr:twoCellAnchor editAs="absolute">
    <xdr:from>
      <xdr:col>23</xdr:col>
      <xdr:colOff>28575</xdr:colOff>
      <xdr:row>0</xdr:row>
      <xdr:rowOff>57150</xdr:rowOff>
    </xdr:from>
    <xdr:to>
      <xdr:col>28</xdr:col>
      <xdr:colOff>28575</xdr:colOff>
      <xdr:row>1</xdr:row>
      <xdr:rowOff>152400</xdr:rowOff>
    </xdr:to>
    <xdr:sp macro="[0]!modZuordnung.PersonNeu" textlink="">
      <xdr:nvSpPr>
        <xdr:cNvPr id="6" name="BTN_PersonNeu" hidden="1"/>
        <xdr:cNvSpPr txBox="1"/>
      </xdr:nvSpPr>
      <xdr:spPr>
        <a:xfrm>
          <a:off x="14439900" y="57150"/>
          <a:ext cx="1428750" cy="28575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Liberation Sans"/>
              <a:cs typeface="Liberation Sans"/>
            </a:rPr>
            <a:t>Person hinzufügen</a:t>
          </a:r>
        </a:p>
      </xdr:txBody>
    </xdr:sp>
    <xdr:clientData/>
  </xdr:twoCellAnchor>
  <xdr:twoCellAnchor editAs="absolute">
    <xdr:from>
      <xdr:col>28</xdr:col>
      <xdr:colOff>142875</xdr:colOff>
      <xdr:row>0</xdr:row>
      <xdr:rowOff>57150</xdr:rowOff>
    </xdr:from>
    <xdr:to>
      <xdr:col>33</xdr:col>
      <xdr:colOff>142875</xdr:colOff>
      <xdr:row>1</xdr:row>
      <xdr:rowOff>152400</xdr:rowOff>
    </xdr:to>
    <xdr:sp macro="[0]!modZuordnung.PersonEntfernen" textlink="">
      <xdr:nvSpPr>
        <xdr:cNvPr id="7" name="BTN_PersonWeg" hidden="1"/>
        <xdr:cNvSpPr txBox="1"/>
      </xdr:nvSpPr>
      <xdr:spPr>
        <a:xfrm>
          <a:off x="15982950" y="57150"/>
          <a:ext cx="1428750" cy="28575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Liberation Sans"/>
              <a:cs typeface="Liberation Sans"/>
            </a:rPr>
            <a:t>Person entfernen</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ORP.ERGO\public\Interessenausgleich_PV\IA%20ZAV\Controlling\Entwicklungen%20Abg&#228;nge%20etc\A_&#220;bergreifend\Mig-Max%20Namensliste%20HS%20D%20inkl%20ESP3.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Namenliste"/>
      <sheetName val="Mig-Max"/>
      <sheetName val="Änderungshistorie"/>
      <sheetName val="Abgleich"/>
      <sheetName val="Pivot"/>
      <sheetName val="Neue Soll MAK"/>
      <sheetName val="ANÜ"/>
      <sheetName val="OE-Wanderungen"/>
      <sheetName val="OE-Wanderungen neu"/>
      <sheetName val="Vergleich"/>
      <sheetName val="Org_30.11.2022"/>
      <sheetName val="Org_31.12.2022"/>
      <sheetName val="Org_1.6.2023"/>
      <sheetName val="Org_1.12.2023"/>
      <sheetName val="Org_31.12.2023"/>
      <sheetName val="Org_1.6.2024"/>
      <sheetName val="Org_1.11.2024"/>
      <sheetName val="Org_31.12.2024"/>
      <sheetName val="Org_1.6.2025"/>
      <sheetName val="Org_1.9.2025"/>
      <sheetName val="Org_31.12.2025"/>
      <sheetName val="Org_1.12.2025"/>
      <sheetName val="Zielbild 2.0"/>
      <sheetName val="Neue Soll MAK (2)"/>
      <sheetName val="Org_1.7.2024 PVA"/>
      <sheetName val="Fokus"/>
      <sheetName val="Abgänge 2019 - 2021"/>
      <sheetName val="Org_1.6.2026"/>
      <sheetName val="Org_1.9.2026"/>
      <sheetName val="Org_1.1.2027"/>
      <sheetName val="Org_1.1.2028"/>
      <sheetName val="Org_1.1.2029"/>
      <sheetName val="Org_1.1.2030"/>
      <sheetName val="Org_1.1.2031"/>
      <sheetName val="Org_1.1.2027 Abt.-Sicht"/>
      <sheetName val="Standorte 2027"/>
      <sheetName val="Standorte 2028"/>
      <sheetName val="Standorte 2029"/>
      <sheetName val="Standorte 2030"/>
      <sheetName val="Standorte 2031"/>
      <sheetName val="Dashboard"/>
      <sheetName val="Auswertung O-Gespräche"/>
      <sheetName val="Standortsicht"/>
      <sheetName val="Hilfstabell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row r="4">
          <cell r="I4">
            <v>290</v>
          </cell>
          <cell r="J4">
            <v>290</v>
          </cell>
          <cell r="K4">
            <v>280</v>
          </cell>
          <cell r="L4">
            <v>280</v>
          </cell>
          <cell r="M4">
            <v>270</v>
          </cell>
          <cell r="N4">
            <v>250</v>
          </cell>
          <cell r="O4">
            <v>245</v>
          </cell>
          <cell r="P4">
            <v>240</v>
          </cell>
          <cell r="Q4">
            <v>235</v>
          </cell>
          <cell r="R4">
            <v>230</v>
          </cell>
          <cell r="S4">
            <v>230</v>
          </cell>
          <cell r="T4">
            <v>225</v>
          </cell>
          <cell r="U4">
            <v>225</v>
          </cell>
          <cell r="V4">
            <v>225</v>
          </cell>
          <cell r="W4">
            <v>225</v>
          </cell>
          <cell r="X4">
            <v>220</v>
          </cell>
          <cell r="Y4">
            <v>200</v>
          </cell>
          <cell r="Z4">
            <v>192.52</v>
          </cell>
          <cell r="AA4">
            <v>192.52</v>
          </cell>
        </row>
        <row r="5">
          <cell r="I5">
            <v>264.95</v>
          </cell>
          <cell r="J5">
            <v>265.01</v>
          </cell>
          <cell r="K5">
            <v>261.19</v>
          </cell>
          <cell r="L5">
            <v>258.62999999999982</v>
          </cell>
          <cell r="M5">
            <v>258.62999999999982</v>
          </cell>
          <cell r="N5">
            <v>248.28999999999994</v>
          </cell>
          <cell r="O5">
            <v>248.28999999999994</v>
          </cell>
          <cell r="P5">
            <v>248.28999999999994</v>
          </cell>
          <cell r="Q5">
            <v>243.96999999999991</v>
          </cell>
          <cell r="R5">
            <v>242.96999999999991</v>
          </cell>
          <cell r="S5">
            <v>241.30999999999992</v>
          </cell>
          <cell r="T5">
            <v>226.57999999999993</v>
          </cell>
          <cell r="U5">
            <v>225.07999999999993</v>
          </cell>
          <cell r="V5">
            <v>224.01999999999992</v>
          </cell>
          <cell r="W5">
            <v>221.22999999999993</v>
          </cell>
          <cell r="X5">
            <v>220.80999999999992</v>
          </cell>
          <cell r="Y5">
            <v>218.95999999999992</v>
          </cell>
          <cell r="Z5">
            <v>205.05999999999995</v>
          </cell>
          <cell r="AA5">
            <v>197.26999999999995</v>
          </cell>
        </row>
      </sheetData>
      <sheetData sheetId="41"/>
      <sheetData sheetId="42"/>
      <sheetData sheetId="4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1" Type="http://schemas.openxmlformats.org/officeDocument/2006/relationships/hyperlink" Target="https://myergo.sharepoint.com/sites/PVDashboard/Shared%20Documents/B&#220;%20-%20HS/BUE_Reporting_Master.xlsm" TargetMode="External"/><Relationship Id="rId2" Type="http://schemas.openxmlformats.org/officeDocument/2006/relationships/hyperlink" Target="https://myergo.sharepoint.com/sites/PVDashboard/Shared%20Documents/Allgemein/2025_Dashboard%20HS.xlsm" TargetMode="External"/></Relationships>
</file>

<file path=xl/worksheets/sheet1.xml><?xml version="1.0" encoding="utf-8"?>
<worksheet xmlns="http://schemas.openxmlformats.org/spreadsheetml/2006/main" xmlns:r="http://schemas.openxmlformats.org/officeDocument/2006/relationships">
  <sheetPr codeName="Start">
    <tabColor rgb="FFBF1528"/>
  </sheetPr>
  <dimension ref="A1:AA40"/>
  <sheetViews>
    <sheetView showGridLines="0" tabSelected="1" workbookViewId="0"/>
  </sheetViews>
  <sheetFormatPr defaultRowHeight="16.5" customHeight="1"/>
  <cols>
    <col min="1" max="1" width="3.7109375" customWidth="1"/>
    <col min="2" max="2" width="34.7109375" customWidth="1"/>
    <col min="3" max="3" width="12.7109375" customWidth="1"/>
    <col min="4" max="4" width="10.7109375" customWidth="1"/>
    <col min="5" max="6" width="3.7109375" customWidth="1"/>
    <col min="7" max="7" width="24.7109375" customWidth="1"/>
    <col min="8" max="9" width="11.7109375" customWidth="1"/>
    <col min="10" max="10" width="12.7109375" customWidth="1"/>
    <col min="21" max="27" width="10.7109375" hidden="1" customWidth="1"/>
  </cols>
  <sheetData>
    <row r="1" spans="2:27" ht="9" customHeight="1"/>
    <row r="2" spans="2:27" ht="33" customHeight="1">
      <c r="B2" s="1" t="s">
        <v>1325</v>
      </c>
    </row>
    <row r="3" spans="2:27" ht="16.5" customHeight="1">
      <c r="B3" s="2">
        <f>Konfiguration!C16</f>
        <v>0</v>
      </c>
    </row>
    <row r="4" spans="2:27" ht="16.5" customHeight="1">
      <c r="U4" s="3" t="s">
        <v>1345</v>
      </c>
    </row>
    <row r="5" spans="2:27" ht="16.5" customHeight="1">
      <c r="B5" s="4" t="s">
        <v>993</v>
      </c>
      <c r="G5" s="4" t="s">
        <v>1332</v>
      </c>
      <c r="Y5" s="3" t="s">
        <v>1346</v>
      </c>
      <c r="Z5" s="5">
        <f>SUM($Y$7:$Y$36)</f>
        <v>0</v>
      </c>
    </row>
    <row r="6" spans="2:27" ht="16.5" customHeight="1">
      <c r="B6" s="6">
        <f>Berichtstag</f>
        <v>0</v>
      </c>
      <c r="C6" s="6"/>
      <c r="D6" s="7">
        <f>"KW "&amp;_xlfn.ISOWEEKNUM(KWFreitag)</f>
        <v>0</v>
      </c>
      <c r="G6" s="8" t="s">
        <v>1333</v>
      </c>
      <c r="U6" s="3" t="s">
        <v>1347</v>
      </c>
      <c r="V6" s="3" t="s">
        <v>1337</v>
      </c>
      <c r="W6" s="3" t="s">
        <v>1338</v>
      </c>
      <c r="X6" s="3" t="s">
        <v>698</v>
      </c>
      <c r="Y6" s="3" t="s">
        <v>1348</v>
      </c>
      <c r="Z6" s="3" t="s">
        <v>1349</v>
      </c>
      <c r="AA6" s="3" t="s">
        <v>1350</v>
      </c>
    </row>
    <row r="7" spans="2:27" ht="16.5" customHeight="1">
      <c r="B7" s="8">
        <f>IF(Konfiguration!C5="","automatisch: nächster "&amp;Konfiguration!F4,"von Hand gesetzt (Konfiguration C5)")&amp;" · Werte der KW "&amp;_xlfn.ISOWEEKNUM(KWFreitag)&amp;" (Stand "&amp;TEXT(DAY(Stichtag),"00")&amp;"."&amp;TEXT(MONTH(Stichtag),"00")&amp;".)"</f>
        <v>0</v>
      </c>
      <c r="G7" s="8" t="s">
        <v>1334</v>
      </c>
      <c r="U7">
        <f>IF(Konfiguration!$B$28="","",Konfiguration!$B$28)</f>
        <v>0</v>
      </c>
      <c r="V7">
        <f>IF($U7="","",COUNTIFS(Zuständigkeiten!$I$5:$I$400,"●",Zuständigkeiten!$F$5:$F$400,"ja",Zuständigkeiten!$H$5:$H$400,"offen")+IF(COUNTIFS(Zuständigkeiten!$I$5:$I$400,"●",Zuständigkeiten!$B$5:$B$400,"7V?")&gt;0,1-BUE_V_OK,0)+IF(COUNTIFS(Zuständigkeiten!$I$5:$I$400,"●",Zuständigkeiten!$B$5:$B$400,"7O?")&gt;0,1-BUE_O_OK,0))</f>
        <v>0</v>
      </c>
      <c r="W7">
        <f>IF($U7="","",COUNTIFS(Zuständigkeiten!$I$5:$I$400,"●",Zuständigkeiten!$F$5:$F$400,"ja",Zuständigkeiten!$H$5:$H$400,"erledigt")+IF(COUNTIFS(Zuständigkeiten!$I$5:$I$400,"●",Zuständigkeiten!$B$5:$B$400,"7V?")&gt;0,BUE_V_OK,0)+IF(COUNTIFS(Zuständigkeiten!$I$5:$I$400,"●",Zuständigkeiten!$B$5:$B$400,"7O?")&gt;0,BUE_O_OK,0))</f>
        <v>0</v>
      </c>
      <c r="X7">
        <f>IF($U7="","",COUNTIFS(Zuständigkeiten!$I$5:$I$400,"●",Zuständigkeiten!$F$5:$F$400,"ja")+IF(COUNTIFS(Zuständigkeiten!$I$5:$I$400,"●",Zuständigkeiten!$B$5:$B$400,"7V?")&gt;0,1,0)+IF(COUNTIFS(Zuständigkeiten!$I$5:$I$400,"●",Zuständigkeiten!$B$5:$B$400,"7O?")&gt;0,1,0))</f>
        <v>0</v>
      </c>
      <c r="Y7">
        <f>IF(AND($U7&lt;&gt;"",N(X7)&gt;0),1,0)</f>
        <v>0</v>
      </c>
      <c r="Z7">
        <f>IF(Y7=1,SUM($Y$7:Y7),"")</f>
        <v>0</v>
      </c>
    </row>
    <row r="8" spans="2:27" ht="16.5" customHeight="1">
      <c r="G8" s="8" t="s">
        <v>1335</v>
      </c>
      <c r="U8">
        <f>IF(Konfiguration!$B$29="","",Konfiguration!$B$29)</f>
        <v>0</v>
      </c>
      <c r="V8">
        <f>IF($U8="","",COUNTIFS(Zuständigkeiten!$J$5:$J$400,"●",Zuständigkeiten!$F$5:$F$400,"ja",Zuständigkeiten!$H$5:$H$400,"offen")+IF(COUNTIFS(Zuständigkeiten!$J$5:$J$400,"●",Zuständigkeiten!$B$5:$B$400,"7V?")&gt;0,1-BUE_V_OK,0)+IF(COUNTIFS(Zuständigkeiten!$J$5:$J$400,"●",Zuständigkeiten!$B$5:$B$400,"7O?")&gt;0,1-BUE_O_OK,0))</f>
        <v>0</v>
      </c>
      <c r="W8">
        <f>IF($U8="","",COUNTIFS(Zuständigkeiten!$J$5:$J$400,"●",Zuständigkeiten!$F$5:$F$400,"ja",Zuständigkeiten!$H$5:$H$400,"erledigt")+IF(COUNTIFS(Zuständigkeiten!$J$5:$J$400,"●",Zuständigkeiten!$B$5:$B$400,"7V?")&gt;0,BUE_V_OK,0)+IF(COUNTIFS(Zuständigkeiten!$J$5:$J$400,"●",Zuständigkeiten!$B$5:$B$400,"7O?")&gt;0,BUE_O_OK,0))</f>
        <v>0</v>
      </c>
      <c r="X8">
        <f>IF($U8="","",COUNTIFS(Zuständigkeiten!$J$5:$J$400,"●",Zuständigkeiten!$F$5:$F$400,"ja")+IF(COUNTIFS(Zuständigkeiten!$J$5:$J$400,"●",Zuständigkeiten!$B$5:$B$400,"7V?")&gt;0,1,0)+IF(COUNTIFS(Zuständigkeiten!$J$5:$J$400,"●",Zuständigkeiten!$B$5:$B$400,"7O?")&gt;0,1,0))</f>
        <v>0</v>
      </c>
      <c r="Y8">
        <f>IF(AND($U8&lt;&gt;"",N(X8)&gt;0),1,0)</f>
        <v>0</v>
      </c>
      <c r="Z8">
        <f>IF(Y8=1,SUM($Y$7:Y8),"")</f>
        <v>0</v>
      </c>
    </row>
    <row r="9" spans="2:27" ht="16.5" customHeight="1">
      <c r="G9" s="9" t="s">
        <v>1336</v>
      </c>
      <c r="H9" s="10" t="s">
        <v>1337</v>
      </c>
      <c r="I9" s="10" t="s">
        <v>1338</v>
      </c>
      <c r="J9" s="10" t="s">
        <v>1339</v>
      </c>
      <c r="U9">
        <f>IF(Konfiguration!$B$30="","",Konfiguration!$B$30)</f>
        <v>0</v>
      </c>
      <c r="V9">
        <f>IF($U9="","",COUNTIFS(Zuständigkeiten!$K$5:$K$400,"●",Zuständigkeiten!$F$5:$F$400,"ja",Zuständigkeiten!$H$5:$H$400,"offen")+IF(COUNTIFS(Zuständigkeiten!$K$5:$K$400,"●",Zuständigkeiten!$B$5:$B$400,"7V?")&gt;0,1-BUE_V_OK,0)+IF(COUNTIFS(Zuständigkeiten!$K$5:$K$400,"●",Zuständigkeiten!$B$5:$B$400,"7O?")&gt;0,1-BUE_O_OK,0))</f>
        <v>0</v>
      </c>
      <c r="W9">
        <f>IF($U9="","",COUNTIFS(Zuständigkeiten!$K$5:$K$400,"●",Zuständigkeiten!$F$5:$F$400,"ja",Zuständigkeiten!$H$5:$H$400,"erledigt")+IF(COUNTIFS(Zuständigkeiten!$K$5:$K$400,"●",Zuständigkeiten!$B$5:$B$400,"7V?")&gt;0,BUE_V_OK,0)+IF(COUNTIFS(Zuständigkeiten!$K$5:$K$400,"●",Zuständigkeiten!$B$5:$B$400,"7O?")&gt;0,BUE_O_OK,0))</f>
        <v>0</v>
      </c>
      <c r="X9">
        <f>IF($U9="","",COUNTIFS(Zuständigkeiten!$K$5:$K$400,"●",Zuständigkeiten!$F$5:$F$400,"ja")+IF(COUNTIFS(Zuständigkeiten!$K$5:$K$400,"●",Zuständigkeiten!$B$5:$B$400,"7V?")&gt;0,1,0)+IF(COUNTIFS(Zuständigkeiten!$K$5:$K$400,"●",Zuständigkeiten!$B$5:$B$400,"7O?")&gt;0,1,0))</f>
        <v>0</v>
      </c>
      <c r="Y9">
        <f>IF(AND($U9&lt;&gt;"",N(X9)&gt;0),1,0)</f>
        <v>0</v>
      </c>
      <c r="Z9">
        <f>IF(Y9=1,SUM($Y$7:Y9),"")</f>
        <v>0</v>
      </c>
    </row>
    <row r="10" spans="2:27" ht="16.5" customHeight="1">
      <c r="G10" s="11">
        <f>IF($AA10="P",INDEX($U$7:$U$36,MATCH(1,$Z$7:$Z$36,0)),IF($AA10="G","Gesamt (Werte)",""))</f>
        <v>0</v>
      </c>
      <c r="H10" s="12">
        <f>IF($AA10="P",INDEX($V$7:$V$36,MATCH(1,$Z$7:$Z$36,0)),IF($AA10="G",COUNTIFS(Zuständigkeiten!$F$5:$F$400,"ja",Zuständigkeiten!$H$5:$H$400,"offen")+(1-BUE_V_OK)+(1-BUE_O_OK),""))</f>
        <v>0</v>
      </c>
      <c r="I10" s="12">
        <f>IF($AA10="P",INDEX($W$7:$W$36,MATCH(1,$Z$7:$Z$36,0)),IF($AA10="G",COUNTIFS(Zuständigkeiten!$F$5:$F$400,"ja",Zuständigkeiten!$H$5:$H$400,"erledigt")+BUE_V_OK+BUE_O_OK,""))</f>
        <v>0</v>
      </c>
      <c r="J10" s="12">
        <f>IF($AA10="P",INDEX($X$7:$X$36,MATCH(1,$Z$7:$Z$36,0)),IF($AA10="G",COUNTIF(Zuständigkeiten!$F$5:$F$400,"ja")+2,""))</f>
        <v>0</v>
      </c>
      <c r="U10">
        <f>IF(Konfiguration!$B$31="","",Konfiguration!$B$31)</f>
        <v>0</v>
      </c>
      <c r="V10">
        <f>IF($U10="","",COUNTIFS(Zuständigkeiten!$L$5:$L$400,"●",Zuständigkeiten!$F$5:$F$400,"ja",Zuständigkeiten!$H$5:$H$400,"offen")+IF(COUNTIFS(Zuständigkeiten!$L$5:$L$400,"●",Zuständigkeiten!$B$5:$B$400,"7V?")&gt;0,1-BUE_V_OK,0)+IF(COUNTIFS(Zuständigkeiten!$L$5:$L$400,"●",Zuständigkeiten!$B$5:$B$400,"7O?")&gt;0,1-BUE_O_OK,0))</f>
        <v>0</v>
      </c>
      <c r="W10">
        <f>IF($U10="","",COUNTIFS(Zuständigkeiten!$L$5:$L$400,"●",Zuständigkeiten!$F$5:$F$400,"ja",Zuständigkeiten!$H$5:$H$400,"erledigt")+IF(COUNTIFS(Zuständigkeiten!$L$5:$L$400,"●",Zuständigkeiten!$B$5:$B$400,"7V?")&gt;0,BUE_V_OK,0)+IF(COUNTIFS(Zuständigkeiten!$L$5:$L$400,"●",Zuständigkeiten!$B$5:$B$400,"7O?")&gt;0,BUE_O_OK,0))</f>
        <v>0</v>
      </c>
      <c r="X10">
        <f>IF($U10="","",COUNTIFS(Zuständigkeiten!$L$5:$L$400,"●",Zuständigkeiten!$F$5:$F$400,"ja")+IF(COUNTIFS(Zuständigkeiten!$L$5:$L$400,"●",Zuständigkeiten!$B$5:$B$400,"7V?")&gt;0,1,0)+IF(COUNTIFS(Zuständigkeiten!$L$5:$L$400,"●",Zuständigkeiten!$B$5:$B$400,"7O?")&gt;0,1,0))</f>
        <v>0</v>
      </c>
      <c r="Y10">
        <f>IF(AND($U10&lt;&gt;"",N(X10)&gt;0),1,0)</f>
        <v>0</v>
      </c>
      <c r="Z10">
        <f>IF(Y10=1,SUM($Y$7:Y10),"")</f>
        <v>0</v>
      </c>
      <c r="AA10">
        <f>IF(1&lt;=$Z$5,"P",IF(1=$Z$5+1,"G",""))</f>
        <v>0</v>
      </c>
    </row>
    <row r="11" spans="2:27" ht="16.5" customHeight="1">
      <c r="G11" s="11">
        <f>IF($AA11="P",INDEX($U$7:$U$36,MATCH(2,$Z$7:$Z$36,0)),IF($AA11="G","Gesamt (Werte)",""))</f>
        <v>0</v>
      </c>
      <c r="H11" s="12">
        <f>IF($AA11="P",INDEX($V$7:$V$36,MATCH(2,$Z$7:$Z$36,0)),IF($AA11="G",COUNTIFS(Zuständigkeiten!$F$5:$F$400,"ja",Zuständigkeiten!$H$5:$H$400,"offen")+(1-BUE_V_OK)+(1-BUE_O_OK),""))</f>
        <v>0</v>
      </c>
      <c r="I11" s="12">
        <f>IF($AA11="P",INDEX($W$7:$W$36,MATCH(2,$Z$7:$Z$36,0)),IF($AA11="G",COUNTIFS(Zuständigkeiten!$F$5:$F$400,"ja",Zuständigkeiten!$H$5:$H$400,"erledigt")+BUE_V_OK+BUE_O_OK,""))</f>
        <v>0</v>
      </c>
      <c r="J11" s="12">
        <f>IF($AA11="P",INDEX($X$7:$X$36,MATCH(2,$Z$7:$Z$36,0)),IF($AA11="G",COUNTIF(Zuständigkeiten!$F$5:$F$400,"ja")+2,""))</f>
        <v>0</v>
      </c>
      <c r="U11">
        <f>IF(Konfiguration!$B$32="","",Konfiguration!$B$32)</f>
        <v>0</v>
      </c>
      <c r="V11">
        <f>IF($U11="","",COUNTIFS(Zuständigkeiten!$M$5:$M$400,"●",Zuständigkeiten!$F$5:$F$400,"ja",Zuständigkeiten!$H$5:$H$400,"offen")+IF(COUNTIFS(Zuständigkeiten!$M$5:$M$400,"●",Zuständigkeiten!$B$5:$B$400,"7V?")&gt;0,1-BUE_V_OK,0)+IF(COUNTIFS(Zuständigkeiten!$M$5:$M$400,"●",Zuständigkeiten!$B$5:$B$400,"7O?")&gt;0,1-BUE_O_OK,0))</f>
        <v>0</v>
      </c>
      <c r="W11">
        <f>IF($U11="","",COUNTIFS(Zuständigkeiten!$M$5:$M$400,"●",Zuständigkeiten!$F$5:$F$400,"ja",Zuständigkeiten!$H$5:$H$400,"erledigt")+IF(COUNTIFS(Zuständigkeiten!$M$5:$M$400,"●",Zuständigkeiten!$B$5:$B$400,"7V?")&gt;0,BUE_V_OK,0)+IF(COUNTIFS(Zuständigkeiten!$M$5:$M$400,"●",Zuständigkeiten!$B$5:$B$400,"7O?")&gt;0,BUE_O_OK,0))</f>
        <v>0</v>
      </c>
      <c r="X11">
        <f>IF($U11="","",COUNTIFS(Zuständigkeiten!$M$5:$M$400,"●",Zuständigkeiten!$F$5:$F$400,"ja")+IF(COUNTIFS(Zuständigkeiten!$M$5:$M$400,"●",Zuständigkeiten!$B$5:$B$400,"7V?")&gt;0,1,0)+IF(COUNTIFS(Zuständigkeiten!$M$5:$M$400,"●",Zuständigkeiten!$B$5:$B$400,"7O?")&gt;0,1,0))</f>
        <v>0</v>
      </c>
      <c r="Y11">
        <f>IF(AND($U11&lt;&gt;"",N(X11)&gt;0),1,0)</f>
        <v>0</v>
      </c>
      <c r="Z11">
        <f>IF(Y11=1,SUM($Y$7:Y11),"")</f>
        <v>0</v>
      </c>
      <c r="AA11">
        <f>IF(2&lt;=$Z$5,"P",IF(2=$Z$5+1,"G",""))</f>
        <v>0</v>
      </c>
    </row>
    <row r="12" spans="2:27" ht="16.5" customHeight="1">
      <c r="G12" s="11">
        <f>IF($AA12="P",INDEX($U$7:$U$36,MATCH(3,$Z$7:$Z$36,0)),IF($AA12="G","Gesamt (Werte)",""))</f>
        <v>0</v>
      </c>
      <c r="H12" s="12">
        <f>IF($AA12="P",INDEX($V$7:$V$36,MATCH(3,$Z$7:$Z$36,0)),IF($AA12="G",COUNTIFS(Zuständigkeiten!$F$5:$F$400,"ja",Zuständigkeiten!$H$5:$H$400,"offen")+(1-BUE_V_OK)+(1-BUE_O_OK),""))</f>
        <v>0</v>
      </c>
      <c r="I12" s="12">
        <f>IF($AA12="P",INDEX($W$7:$W$36,MATCH(3,$Z$7:$Z$36,0)),IF($AA12="G",COUNTIFS(Zuständigkeiten!$F$5:$F$400,"ja",Zuständigkeiten!$H$5:$H$400,"erledigt")+BUE_V_OK+BUE_O_OK,""))</f>
        <v>0</v>
      </c>
      <c r="J12" s="12">
        <f>IF($AA12="P",INDEX($X$7:$X$36,MATCH(3,$Z$7:$Z$36,0)),IF($AA12="G",COUNTIF(Zuständigkeiten!$F$5:$F$400,"ja")+2,""))</f>
        <v>0</v>
      </c>
      <c r="U12">
        <f>IF(Konfiguration!$B$33="","",Konfiguration!$B$33)</f>
        <v>0</v>
      </c>
      <c r="V12">
        <f>IF($U12="","",COUNTIFS(Zuständigkeiten!$N$5:$N$400,"●",Zuständigkeiten!$F$5:$F$400,"ja",Zuständigkeiten!$H$5:$H$400,"offen")+IF(COUNTIFS(Zuständigkeiten!$N$5:$N$400,"●",Zuständigkeiten!$B$5:$B$400,"7V?")&gt;0,1-BUE_V_OK,0)+IF(COUNTIFS(Zuständigkeiten!$N$5:$N$400,"●",Zuständigkeiten!$B$5:$B$400,"7O?")&gt;0,1-BUE_O_OK,0))</f>
        <v>0</v>
      </c>
      <c r="W12">
        <f>IF($U12="","",COUNTIFS(Zuständigkeiten!$N$5:$N$400,"●",Zuständigkeiten!$F$5:$F$400,"ja",Zuständigkeiten!$H$5:$H$400,"erledigt")+IF(COUNTIFS(Zuständigkeiten!$N$5:$N$400,"●",Zuständigkeiten!$B$5:$B$400,"7V?")&gt;0,BUE_V_OK,0)+IF(COUNTIFS(Zuständigkeiten!$N$5:$N$400,"●",Zuständigkeiten!$B$5:$B$400,"7O?")&gt;0,BUE_O_OK,0))</f>
        <v>0</v>
      </c>
      <c r="X12">
        <f>IF($U12="","",COUNTIFS(Zuständigkeiten!$N$5:$N$400,"●",Zuständigkeiten!$F$5:$F$400,"ja")+IF(COUNTIFS(Zuständigkeiten!$N$5:$N$400,"●",Zuständigkeiten!$B$5:$B$400,"7V?")&gt;0,1,0)+IF(COUNTIFS(Zuständigkeiten!$N$5:$N$400,"●",Zuständigkeiten!$B$5:$B$400,"7O?")&gt;0,1,0))</f>
        <v>0</v>
      </c>
      <c r="Y12">
        <f>IF(AND($U12&lt;&gt;"",N(X12)&gt;0),1,0)</f>
        <v>0</v>
      </c>
      <c r="Z12">
        <f>IF(Y12=1,SUM($Y$7:Y12),"")</f>
        <v>0</v>
      </c>
      <c r="AA12">
        <f>IF(3&lt;=$Z$5,"P",IF(3=$Z$5+1,"G",""))</f>
        <v>0</v>
      </c>
    </row>
    <row r="13" spans="2:27" ht="16.5" customHeight="1">
      <c r="G13" s="11">
        <f>IF($AA13="P",INDEX($U$7:$U$36,MATCH(4,$Z$7:$Z$36,0)),IF($AA13="G","Gesamt (Werte)",""))</f>
        <v>0</v>
      </c>
      <c r="H13" s="12">
        <f>IF($AA13="P",INDEX($V$7:$V$36,MATCH(4,$Z$7:$Z$36,0)),IF($AA13="G",COUNTIFS(Zuständigkeiten!$F$5:$F$400,"ja",Zuständigkeiten!$H$5:$H$400,"offen")+(1-BUE_V_OK)+(1-BUE_O_OK),""))</f>
        <v>0</v>
      </c>
      <c r="I13" s="12">
        <f>IF($AA13="P",INDEX($W$7:$W$36,MATCH(4,$Z$7:$Z$36,0)),IF($AA13="G",COUNTIFS(Zuständigkeiten!$F$5:$F$400,"ja",Zuständigkeiten!$H$5:$H$400,"erledigt")+BUE_V_OK+BUE_O_OK,""))</f>
        <v>0</v>
      </c>
      <c r="J13" s="12">
        <f>IF($AA13="P",INDEX($X$7:$X$36,MATCH(4,$Z$7:$Z$36,0)),IF($AA13="G",COUNTIF(Zuständigkeiten!$F$5:$F$400,"ja")+2,""))</f>
        <v>0</v>
      </c>
      <c r="U13">
        <f>IF(Konfiguration!$B$34="","",Konfiguration!$B$34)</f>
        <v>0</v>
      </c>
      <c r="V13">
        <f>IF($U13="","",COUNTIFS(Zuständigkeiten!$O$5:$O$400,"●",Zuständigkeiten!$F$5:$F$400,"ja",Zuständigkeiten!$H$5:$H$400,"offen")+IF(COUNTIFS(Zuständigkeiten!$O$5:$O$400,"●",Zuständigkeiten!$B$5:$B$400,"7V?")&gt;0,1-BUE_V_OK,0)+IF(COUNTIFS(Zuständigkeiten!$O$5:$O$400,"●",Zuständigkeiten!$B$5:$B$400,"7O?")&gt;0,1-BUE_O_OK,0))</f>
        <v>0</v>
      </c>
      <c r="W13">
        <f>IF($U13="","",COUNTIFS(Zuständigkeiten!$O$5:$O$400,"●",Zuständigkeiten!$F$5:$F$400,"ja",Zuständigkeiten!$H$5:$H$400,"erledigt")+IF(COUNTIFS(Zuständigkeiten!$O$5:$O$400,"●",Zuständigkeiten!$B$5:$B$400,"7V?")&gt;0,BUE_V_OK,0)+IF(COUNTIFS(Zuständigkeiten!$O$5:$O$400,"●",Zuständigkeiten!$B$5:$B$400,"7O?")&gt;0,BUE_O_OK,0))</f>
        <v>0</v>
      </c>
      <c r="X13">
        <f>IF($U13="","",COUNTIFS(Zuständigkeiten!$O$5:$O$400,"●",Zuständigkeiten!$F$5:$F$400,"ja")+IF(COUNTIFS(Zuständigkeiten!$O$5:$O$400,"●",Zuständigkeiten!$B$5:$B$400,"7V?")&gt;0,1,0)+IF(COUNTIFS(Zuständigkeiten!$O$5:$O$400,"●",Zuständigkeiten!$B$5:$B$400,"7O?")&gt;0,1,0))</f>
        <v>0</v>
      </c>
      <c r="Y13">
        <f>IF(AND($U13&lt;&gt;"",N(X13)&gt;0),1,0)</f>
        <v>0</v>
      </c>
      <c r="Z13">
        <f>IF(Y13=1,SUM($Y$7:Y13),"")</f>
        <v>0</v>
      </c>
      <c r="AA13">
        <f>IF(4&lt;=$Z$5,"P",IF(4=$Z$5+1,"G",""))</f>
        <v>0</v>
      </c>
    </row>
    <row r="14" spans="2:27" ht="16.5" customHeight="1">
      <c r="B14" s="8" t="s">
        <v>1326</v>
      </c>
      <c r="G14" s="11">
        <f>IF($AA14="P",INDEX($U$7:$U$36,MATCH(5,$Z$7:$Z$36,0)),IF($AA14="G","Gesamt (Werte)",""))</f>
        <v>0</v>
      </c>
      <c r="H14" s="12">
        <f>IF($AA14="P",INDEX($V$7:$V$36,MATCH(5,$Z$7:$Z$36,0)),IF($AA14="G",COUNTIFS(Zuständigkeiten!$F$5:$F$400,"ja",Zuständigkeiten!$H$5:$H$400,"offen")+(1-BUE_V_OK)+(1-BUE_O_OK),""))</f>
        <v>0</v>
      </c>
      <c r="I14" s="12">
        <f>IF($AA14="P",INDEX($W$7:$W$36,MATCH(5,$Z$7:$Z$36,0)),IF($AA14="G",COUNTIFS(Zuständigkeiten!$F$5:$F$400,"ja",Zuständigkeiten!$H$5:$H$400,"erledigt")+BUE_V_OK+BUE_O_OK,""))</f>
        <v>0</v>
      </c>
      <c r="J14" s="12">
        <f>IF($AA14="P",INDEX($X$7:$X$36,MATCH(5,$Z$7:$Z$36,0)),IF($AA14="G",COUNTIF(Zuständigkeiten!$F$5:$F$400,"ja")+2,""))</f>
        <v>0</v>
      </c>
      <c r="U14">
        <f>IF(Konfiguration!$B$35="","",Konfiguration!$B$35)</f>
        <v>0</v>
      </c>
      <c r="V14">
        <f>IF($U14="","",COUNTIFS(Zuständigkeiten!$P$5:$P$400,"●",Zuständigkeiten!$F$5:$F$400,"ja",Zuständigkeiten!$H$5:$H$400,"offen")+IF(COUNTIFS(Zuständigkeiten!$P$5:$P$400,"●",Zuständigkeiten!$B$5:$B$400,"7V?")&gt;0,1-BUE_V_OK,0)+IF(COUNTIFS(Zuständigkeiten!$P$5:$P$400,"●",Zuständigkeiten!$B$5:$B$400,"7O?")&gt;0,1-BUE_O_OK,0))</f>
        <v>0</v>
      </c>
      <c r="W14">
        <f>IF($U14="","",COUNTIFS(Zuständigkeiten!$P$5:$P$400,"●",Zuständigkeiten!$F$5:$F$400,"ja",Zuständigkeiten!$H$5:$H$400,"erledigt")+IF(COUNTIFS(Zuständigkeiten!$P$5:$P$400,"●",Zuständigkeiten!$B$5:$B$400,"7V?")&gt;0,BUE_V_OK,0)+IF(COUNTIFS(Zuständigkeiten!$P$5:$P$400,"●",Zuständigkeiten!$B$5:$B$400,"7O?")&gt;0,BUE_O_OK,0))</f>
        <v>0</v>
      </c>
      <c r="X14">
        <f>IF($U14="","",COUNTIFS(Zuständigkeiten!$P$5:$P$400,"●",Zuständigkeiten!$F$5:$F$400,"ja")+IF(COUNTIFS(Zuständigkeiten!$P$5:$P$400,"●",Zuständigkeiten!$B$5:$B$400,"7V?")&gt;0,1,0)+IF(COUNTIFS(Zuständigkeiten!$P$5:$P$400,"●",Zuständigkeiten!$B$5:$B$400,"7O?")&gt;0,1,0))</f>
        <v>0</v>
      </c>
      <c r="Y14">
        <f>IF(AND($U14&lt;&gt;"",N(X14)&gt;0),1,0)</f>
        <v>0</v>
      </c>
      <c r="Z14">
        <f>IF(Y14=1,SUM($Y$7:Y14),"")</f>
        <v>0</v>
      </c>
      <c r="AA14">
        <f>IF(5&lt;=$Z$5,"P",IF(5=$Z$5+1,"G",""))</f>
        <v>0</v>
      </c>
    </row>
    <row r="15" spans="2:27" ht="16.5" customHeight="1">
      <c r="G15" s="11">
        <f>IF($AA15="P",INDEX($U$7:$U$36,MATCH(6,$Z$7:$Z$36,0)),IF($AA15="G","Gesamt (Werte)",""))</f>
        <v>0</v>
      </c>
      <c r="H15" s="12">
        <f>IF($AA15="P",INDEX($V$7:$V$36,MATCH(6,$Z$7:$Z$36,0)),IF($AA15="G",COUNTIFS(Zuständigkeiten!$F$5:$F$400,"ja",Zuständigkeiten!$H$5:$H$400,"offen")+(1-BUE_V_OK)+(1-BUE_O_OK),""))</f>
        <v>0</v>
      </c>
      <c r="I15" s="12">
        <f>IF($AA15="P",INDEX($W$7:$W$36,MATCH(6,$Z$7:$Z$36,0)),IF($AA15="G",COUNTIFS(Zuständigkeiten!$F$5:$F$400,"ja",Zuständigkeiten!$H$5:$H$400,"erledigt")+BUE_V_OK+BUE_O_OK,""))</f>
        <v>0</v>
      </c>
      <c r="J15" s="12">
        <f>IF($AA15="P",INDEX($X$7:$X$36,MATCH(6,$Z$7:$Z$36,0)),IF($AA15="G",COUNTIF(Zuständigkeiten!$F$5:$F$400,"ja")+2,""))</f>
        <v>0</v>
      </c>
      <c r="U15">
        <f>IF(Konfiguration!$B$36="","",Konfiguration!$B$36)</f>
        <v>0</v>
      </c>
      <c r="V15">
        <f>IF($U15="","",COUNTIFS(Zuständigkeiten!$Q$5:$Q$400,"●",Zuständigkeiten!$F$5:$F$400,"ja",Zuständigkeiten!$H$5:$H$400,"offen")+IF(COUNTIFS(Zuständigkeiten!$Q$5:$Q$400,"●",Zuständigkeiten!$B$5:$B$400,"7V?")&gt;0,1-BUE_V_OK,0)+IF(COUNTIFS(Zuständigkeiten!$Q$5:$Q$400,"●",Zuständigkeiten!$B$5:$B$400,"7O?")&gt;0,1-BUE_O_OK,0))</f>
        <v>0</v>
      </c>
      <c r="W15">
        <f>IF($U15="","",COUNTIFS(Zuständigkeiten!$Q$5:$Q$400,"●",Zuständigkeiten!$F$5:$F$400,"ja",Zuständigkeiten!$H$5:$H$400,"erledigt")+IF(COUNTIFS(Zuständigkeiten!$Q$5:$Q$400,"●",Zuständigkeiten!$B$5:$B$400,"7V?")&gt;0,BUE_V_OK,0)+IF(COUNTIFS(Zuständigkeiten!$Q$5:$Q$400,"●",Zuständigkeiten!$B$5:$B$400,"7O?")&gt;0,BUE_O_OK,0))</f>
        <v>0</v>
      </c>
      <c r="X15">
        <f>IF($U15="","",COUNTIFS(Zuständigkeiten!$Q$5:$Q$400,"●",Zuständigkeiten!$F$5:$F$400,"ja")+IF(COUNTIFS(Zuständigkeiten!$Q$5:$Q$400,"●",Zuständigkeiten!$B$5:$B$400,"7V?")&gt;0,1,0)+IF(COUNTIFS(Zuständigkeiten!$Q$5:$Q$400,"●",Zuständigkeiten!$B$5:$B$400,"7O?")&gt;0,1,0))</f>
        <v>0</v>
      </c>
      <c r="Y15">
        <f>IF(AND($U15&lt;&gt;"",N(X15)&gt;0),1,0)</f>
        <v>0</v>
      </c>
      <c r="Z15">
        <f>IF(Y15=1,SUM($Y$7:Y15),"")</f>
        <v>0</v>
      </c>
      <c r="AA15">
        <f>IF(6&lt;=$Z$5,"P",IF(6=$Z$5+1,"G",""))</f>
        <v>0</v>
      </c>
    </row>
    <row r="16" spans="2:27" ht="16.5" customHeight="1">
      <c r="G16" s="11">
        <f>IF($AA16="P",INDEX($U$7:$U$36,MATCH(7,$Z$7:$Z$36,0)),IF($AA16="G","Gesamt (Werte)",""))</f>
        <v>0</v>
      </c>
      <c r="H16" s="12">
        <f>IF($AA16="P",INDEX($V$7:$V$36,MATCH(7,$Z$7:$Z$36,0)),IF($AA16="G",COUNTIFS(Zuständigkeiten!$F$5:$F$400,"ja",Zuständigkeiten!$H$5:$H$400,"offen")+(1-BUE_V_OK)+(1-BUE_O_OK),""))</f>
        <v>0</v>
      </c>
      <c r="I16" s="12">
        <f>IF($AA16="P",INDEX($W$7:$W$36,MATCH(7,$Z$7:$Z$36,0)),IF($AA16="G",COUNTIFS(Zuständigkeiten!$F$5:$F$400,"ja",Zuständigkeiten!$H$5:$H$400,"erledigt")+BUE_V_OK+BUE_O_OK,""))</f>
        <v>0</v>
      </c>
      <c r="J16" s="12">
        <f>IF($AA16="P",INDEX($X$7:$X$36,MATCH(7,$Z$7:$Z$36,0)),IF($AA16="G",COUNTIF(Zuständigkeiten!$F$5:$F$400,"ja")+2,""))</f>
        <v>0</v>
      </c>
      <c r="U16">
        <f>IF(Konfiguration!$B$37="","",Konfiguration!$B$37)</f>
        <v>0</v>
      </c>
      <c r="V16">
        <f>IF($U16="","",COUNTIFS(Zuständigkeiten!$R$5:$R$400,"●",Zuständigkeiten!$F$5:$F$400,"ja",Zuständigkeiten!$H$5:$H$400,"offen")+IF(COUNTIFS(Zuständigkeiten!$R$5:$R$400,"●",Zuständigkeiten!$B$5:$B$400,"7V?")&gt;0,1-BUE_V_OK,0)+IF(COUNTIFS(Zuständigkeiten!$R$5:$R$400,"●",Zuständigkeiten!$B$5:$B$400,"7O?")&gt;0,1-BUE_O_OK,0))</f>
        <v>0</v>
      </c>
      <c r="W16">
        <f>IF($U16="","",COUNTIFS(Zuständigkeiten!$R$5:$R$400,"●",Zuständigkeiten!$F$5:$F$400,"ja",Zuständigkeiten!$H$5:$H$400,"erledigt")+IF(COUNTIFS(Zuständigkeiten!$R$5:$R$400,"●",Zuständigkeiten!$B$5:$B$400,"7V?")&gt;0,BUE_V_OK,0)+IF(COUNTIFS(Zuständigkeiten!$R$5:$R$400,"●",Zuständigkeiten!$B$5:$B$400,"7O?")&gt;0,BUE_O_OK,0))</f>
        <v>0</v>
      </c>
      <c r="X16">
        <f>IF($U16="","",COUNTIFS(Zuständigkeiten!$R$5:$R$400,"●",Zuständigkeiten!$F$5:$F$400,"ja")+IF(COUNTIFS(Zuständigkeiten!$R$5:$R$400,"●",Zuständigkeiten!$B$5:$B$400,"7V?")&gt;0,1,0)+IF(COUNTIFS(Zuständigkeiten!$R$5:$R$400,"●",Zuständigkeiten!$B$5:$B$400,"7O?")&gt;0,1,0))</f>
        <v>0</v>
      </c>
      <c r="Y16">
        <f>IF(AND($U16&lt;&gt;"",N(X16)&gt;0),1,0)</f>
        <v>0</v>
      </c>
      <c r="Z16">
        <f>IF(Y16=1,SUM($Y$7:Y16),"")</f>
        <v>0</v>
      </c>
      <c r="AA16">
        <f>IF(7&lt;=$Z$5,"P",IF(7=$Z$5+1,"G",""))</f>
        <v>0</v>
      </c>
    </row>
    <row r="17" spans="2:27" ht="16.5" customHeight="1">
      <c r="G17" s="11">
        <f>IF($AA17="P",INDEX($U$7:$U$36,MATCH(8,$Z$7:$Z$36,0)),IF($AA17="G","Gesamt (Werte)",""))</f>
        <v>0</v>
      </c>
      <c r="H17" s="12">
        <f>IF($AA17="P",INDEX($V$7:$V$36,MATCH(8,$Z$7:$Z$36,0)),IF($AA17="G",COUNTIFS(Zuständigkeiten!$F$5:$F$400,"ja",Zuständigkeiten!$H$5:$H$400,"offen")+(1-BUE_V_OK)+(1-BUE_O_OK),""))</f>
        <v>0</v>
      </c>
      <c r="I17" s="12">
        <f>IF($AA17="P",INDEX($W$7:$W$36,MATCH(8,$Z$7:$Z$36,0)),IF($AA17="G",COUNTIFS(Zuständigkeiten!$F$5:$F$400,"ja",Zuständigkeiten!$H$5:$H$400,"erledigt")+BUE_V_OK+BUE_O_OK,""))</f>
        <v>0</v>
      </c>
      <c r="J17" s="12">
        <f>IF($AA17="P",INDEX($X$7:$X$36,MATCH(8,$Z$7:$Z$36,0)),IF($AA17="G",COUNTIF(Zuständigkeiten!$F$5:$F$400,"ja")+2,""))</f>
        <v>0</v>
      </c>
      <c r="U17">
        <f>IF(Konfiguration!$B$38="","",Konfiguration!$B$38)</f>
        <v>0</v>
      </c>
      <c r="V17">
        <f>IF($U17="","",COUNTIFS(Zuständigkeiten!$S$5:$S$400,"●",Zuständigkeiten!$F$5:$F$400,"ja",Zuständigkeiten!$H$5:$H$400,"offen")+IF(COUNTIFS(Zuständigkeiten!$S$5:$S$400,"●",Zuständigkeiten!$B$5:$B$400,"7V?")&gt;0,1-BUE_V_OK,0)+IF(COUNTIFS(Zuständigkeiten!$S$5:$S$400,"●",Zuständigkeiten!$B$5:$B$400,"7O?")&gt;0,1-BUE_O_OK,0))</f>
        <v>0</v>
      </c>
      <c r="W17">
        <f>IF($U17="","",COUNTIFS(Zuständigkeiten!$S$5:$S$400,"●",Zuständigkeiten!$F$5:$F$400,"ja",Zuständigkeiten!$H$5:$H$400,"erledigt")+IF(COUNTIFS(Zuständigkeiten!$S$5:$S$400,"●",Zuständigkeiten!$B$5:$B$400,"7V?")&gt;0,BUE_V_OK,0)+IF(COUNTIFS(Zuständigkeiten!$S$5:$S$400,"●",Zuständigkeiten!$B$5:$B$400,"7O?")&gt;0,BUE_O_OK,0))</f>
        <v>0</v>
      </c>
      <c r="X17">
        <f>IF($U17="","",COUNTIFS(Zuständigkeiten!$S$5:$S$400,"●",Zuständigkeiten!$F$5:$F$400,"ja")+IF(COUNTIFS(Zuständigkeiten!$S$5:$S$400,"●",Zuständigkeiten!$B$5:$B$400,"7V?")&gt;0,1,0)+IF(COUNTIFS(Zuständigkeiten!$S$5:$S$400,"●",Zuständigkeiten!$B$5:$B$400,"7O?")&gt;0,1,0))</f>
        <v>0</v>
      </c>
      <c r="Y17">
        <f>IF(AND($U17&lt;&gt;"",N(X17)&gt;0),1,0)</f>
        <v>0</v>
      </c>
      <c r="Z17">
        <f>IF(Y17=1,SUM($Y$7:Y17),"")</f>
        <v>0</v>
      </c>
      <c r="AA17">
        <f>IF(8&lt;=$Z$5,"P",IF(8=$Z$5+1,"G",""))</f>
        <v>0</v>
      </c>
    </row>
    <row r="18" spans="2:27" ht="16.5" customHeight="1">
      <c r="G18" s="11">
        <f>IF($AA18="P",INDEX($U$7:$U$36,MATCH(9,$Z$7:$Z$36,0)),IF($AA18="G","Gesamt (Werte)",""))</f>
        <v>0</v>
      </c>
      <c r="H18" s="12">
        <f>IF($AA18="P",INDEX($V$7:$V$36,MATCH(9,$Z$7:$Z$36,0)),IF($AA18="G",COUNTIFS(Zuständigkeiten!$F$5:$F$400,"ja",Zuständigkeiten!$H$5:$H$400,"offen")+(1-BUE_V_OK)+(1-BUE_O_OK),""))</f>
        <v>0</v>
      </c>
      <c r="I18" s="12">
        <f>IF($AA18="P",INDEX($W$7:$W$36,MATCH(9,$Z$7:$Z$36,0)),IF($AA18="G",COUNTIFS(Zuständigkeiten!$F$5:$F$400,"ja",Zuständigkeiten!$H$5:$H$400,"erledigt")+BUE_V_OK+BUE_O_OK,""))</f>
        <v>0</v>
      </c>
      <c r="J18" s="12">
        <f>IF($AA18="P",INDEX($X$7:$X$36,MATCH(9,$Z$7:$Z$36,0)),IF($AA18="G",COUNTIF(Zuständigkeiten!$F$5:$F$400,"ja")+2,""))</f>
        <v>0</v>
      </c>
      <c r="U18">
        <f>IF(Konfiguration!$B$39="","",Konfiguration!$B$39)</f>
        <v>0</v>
      </c>
      <c r="V18">
        <f>IF($U18="","",COUNTIFS(Zuständigkeiten!$T$5:$T$400,"●",Zuständigkeiten!$F$5:$F$400,"ja",Zuständigkeiten!$H$5:$H$400,"offen")+IF(COUNTIFS(Zuständigkeiten!$T$5:$T$400,"●",Zuständigkeiten!$B$5:$B$400,"7V?")&gt;0,1-BUE_V_OK,0)+IF(COUNTIFS(Zuständigkeiten!$T$5:$T$400,"●",Zuständigkeiten!$B$5:$B$400,"7O?")&gt;0,1-BUE_O_OK,0))</f>
        <v>0</v>
      </c>
      <c r="W18">
        <f>IF($U18="","",COUNTIFS(Zuständigkeiten!$T$5:$T$400,"●",Zuständigkeiten!$F$5:$F$400,"ja",Zuständigkeiten!$H$5:$H$400,"erledigt")+IF(COUNTIFS(Zuständigkeiten!$T$5:$T$400,"●",Zuständigkeiten!$B$5:$B$400,"7V?")&gt;0,BUE_V_OK,0)+IF(COUNTIFS(Zuständigkeiten!$T$5:$T$400,"●",Zuständigkeiten!$B$5:$B$400,"7O?")&gt;0,BUE_O_OK,0))</f>
        <v>0</v>
      </c>
      <c r="X18">
        <f>IF($U18="","",COUNTIFS(Zuständigkeiten!$T$5:$T$400,"●",Zuständigkeiten!$F$5:$F$400,"ja")+IF(COUNTIFS(Zuständigkeiten!$T$5:$T$400,"●",Zuständigkeiten!$B$5:$B$400,"7V?")&gt;0,1,0)+IF(COUNTIFS(Zuständigkeiten!$T$5:$T$400,"●",Zuständigkeiten!$B$5:$B$400,"7O?")&gt;0,1,0))</f>
        <v>0</v>
      </c>
      <c r="Y18">
        <f>IF(AND($U18&lt;&gt;"",N(X18)&gt;0),1,0)</f>
        <v>0</v>
      </c>
      <c r="Z18">
        <f>IF(Y18=1,SUM($Y$7:Y18),"")</f>
        <v>0</v>
      </c>
      <c r="AA18">
        <f>IF(9&lt;=$Z$5,"P",IF(9=$Z$5+1,"G",""))</f>
        <v>0</v>
      </c>
    </row>
    <row r="19" spans="2:27" ht="16.5" customHeight="1">
      <c r="G19" s="11">
        <f>IF($AA19="P",INDEX($U$7:$U$36,MATCH(10,$Z$7:$Z$36,0)),IF($AA19="G","Gesamt (Werte)",""))</f>
        <v>0</v>
      </c>
      <c r="H19" s="12">
        <f>IF($AA19="P",INDEX($V$7:$V$36,MATCH(10,$Z$7:$Z$36,0)),IF($AA19="G",COUNTIFS(Zuständigkeiten!$F$5:$F$400,"ja",Zuständigkeiten!$H$5:$H$400,"offen")+(1-BUE_V_OK)+(1-BUE_O_OK),""))</f>
        <v>0</v>
      </c>
      <c r="I19" s="12">
        <f>IF($AA19="P",INDEX($W$7:$W$36,MATCH(10,$Z$7:$Z$36,0)),IF($AA19="G",COUNTIFS(Zuständigkeiten!$F$5:$F$400,"ja",Zuständigkeiten!$H$5:$H$400,"erledigt")+BUE_V_OK+BUE_O_OK,""))</f>
        <v>0</v>
      </c>
      <c r="J19" s="12">
        <f>IF($AA19="P",INDEX($X$7:$X$36,MATCH(10,$Z$7:$Z$36,0)),IF($AA19="G",COUNTIF(Zuständigkeiten!$F$5:$F$400,"ja")+2,""))</f>
        <v>0</v>
      </c>
      <c r="U19">
        <f>IF(Konfiguration!$B$40="","",Konfiguration!$B$40)</f>
        <v>0</v>
      </c>
      <c r="V19">
        <f>IF($U19="","",COUNTIFS(Zuständigkeiten!$U$5:$U$400,"●",Zuständigkeiten!$F$5:$F$400,"ja",Zuständigkeiten!$H$5:$H$400,"offen")+IF(COUNTIFS(Zuständigkeiten!$U$5:$U$400,"●",Zuständigkeiten!$B$5:$B$400,"7V?")&gt;0,1-BUE_V_OK,0)+IF(COUNTIFS(Zuständigkeiten!$U$5:$U$400,"●",Zuständigkeiten!$B$5:$B$400,"7O?")&gt;0,1-BUE_O_OK,0))</f>
        <v>0</v>
      </c>
      <c r="W19">
        <f>IF($U19="","",COUNTIFS(Zuständigkeiten!$U$5:$U$400,"●",Zuständigkeiten!$F$5:$F$400,"ja",Zuständigkeiten!$H$5:$H$400,"erledigt")+IF(COUNTIFS(Zuständigkeiten!$U$5:$U$400,"●",Zuständigkeiten!$B$5:$B$400,"7V?")&gt;0,BUE_V_OK,0)+IF(COUNTIFS(Zuständigkeiten!$U$5:$U$400,"●",Zuständigkeiten!$B$5:$B$400,"7O?")&gt;0,BUE_O_OK,0))</f>
        <v>0</v>
      </c>
      <c r="X19">
        <f>IF($U19="","",COUNTIFS(Zuständigkeiten!$U$5:$U$400,"●",Zuständigkeiten!$F$5:$F$400,"ja")+IF(COUNTIFS(Zuständigkeiten!$U$5:$U$400,"●",Zuständigkeiten!$B$5:$B$400,"7V?")&gt;0,1,0)+IF(COUNTIFS(Zuständigkeiten!$U$5:$U$400,"●",Zuständigkeiten!$B$5:$B$400,"7O?")&gt;0,1,0))</f>
        <v>0</v>
      </c>
      <c r="Y19">
        <f>IF(AND($U19&lt;&gt;"",N(X19)&gt;0),1,0)</f>
        <v>0</v>
      </c>
      <c r="Z19">
        <f>IF(Y19=1,SUM($Y$7:Y19),"")</f>
        <v>0</v>
      </c>
      <c r="AA19">
        <f>IF(10&lt;=$Z$5,"P",IF(10=$Z$5+1,"G",""))</f>
        <v>0</v>
      </c>
    </row>
    <row r="20" spans="2:27" ht="16.5" customHeight="1">
      <c r="G20" s="11">
        <f>IF($AA20="P",INDEX($U$7:$U$36,MATCH(11,$Z$7:$Z$36,0)),IF($AA20="G","Gesamt (Werte)",""))</f>
        <v>0</v>
      </c>
      <c r="H20" s="12">
        <f>IF($AA20="P",INDEX($V$7:$V$36,MATCH(11,$Z$7:$Z$36,0)),IF($AA20="G",COUNTIFS(Zuständigkeiten!$F$5:$F$400,"ja",Zuständigkeiten!$H$5:$H$400,"offen")+(1-BUE_V_OK)+(1-BUE_O_OK),""))</f>
        <v>0</v>
      </c>
      <c r="I20" s="12">
        <f>IF($AA20="P",INDEX($W$7:$W$36,MATCH(11,$Z$7:$Z$36,0)),IF($AA20="G",COUNTIFS(Zuständigkeiten!$F$5:$F$400,"ja",Zuständigkeiten!$H$5:$H$400,"erledigt")+BUE_V_OK+BUE_O_OK,""))</f>
        <v>0</v>
      </c>
      <c r="J20" s="12">
        <f>IF($AA20="P",INDEX($X$7:$X$36,MATCH(11,$Z$7:$Z$36,0)),IF($AA20="G",COUNTIF(Zuständigkeiten!$F$5:$F$400,"ja")+2,""))</f>
        <v>0</v>
      </c>
      <c r="U20">
        <f>IF(Konfiguration!$B$41="","",Konfiguration!$B$41)</f>
        <v>0</v>
      </c>
      <c r="V20">
        <f>IF($U20="","",COUNTIFS(Zuständigkeiten!$V$5:$V$400,"●",Zuständigkeiten!$F$5:$F$400,"ja",Zuständigkeiten!$H$5:$H$400,"offen")+IF(COUNTIFS(Zuständigkeiten!$V$5:$V$400,"●",Zuständigkeiten!$B$5:$B$400,"7V?")&gt;0,1-BUE_V_OK,0)+IF(COUNTIFS(Zuständigkeiten!$V$5:$V$400,"●",Zuständigkeiten!$B$5:$B$400,"7O?")&gt;0,1-BUE_O_OK,0))</f>
        <v>0</v>
      </c>
      <c r="W20">
        <f>IF($U20="","",COUNTIFS(Zuständigkeiten!$V$5:$V$400,"●",Zuständigkeiten!$F$5:$F$400,"ja",Zuständigkeiten!$H$5:$H$400,"erledigt")+IF(COUNTIFS(Zuständigkeiten!$V$5:$V$400,"●",Zuständigkeiten!$B$5:$B$400,"7V?")&gt;0,BUE_V_OK,0)+IF(COUNTIFS(Zuständigkeiten!$V$5:$V$400,"●",Zuständigkeiten!$B$5:$B$400,"7O?")&gt;0,BUE_O_OK,0))</f>
        <v>0</v>
      </c>
      <c r="X20">
        <f>IF($U20="","",COUNTIFS(Zuständigkeiten!$V$5:$V$400,"●",Zuständigkeiten!$F$5:$F$400,"ja")+IF(COUNTIFS(Zuständigkeiten!$V$5:$V$400,"●",Zuständigkeiten!$B$5:$B$400,"7V?")&gt;0,1,0)+IF(COUNTIFS(Zuständigkeiten!$V$5:$V$400,"●",Zuständigkeiten!$B$5:$B$400,"7O?")&gt;0,1,0))</f>
        <v>0</v>
      </c>
      <c r="Y20">
        <f>IF(AND($U20&lt;&gt;"",N(X20)&gt;0),1,0)</f>
        <v>0</v>
      </c>
      <c r="Z20">
        <f>IF(Y20=1,SUM($Y$7:Y20),"")</f>
        <v>0</v>
      </c>
      <c r="AA20">
        <f>IF(11&lt;=$Z$5,"P",IF(11=$Z$5+1,"G",""))</f>
        <v>0</v>
      </c>
    </row>
    <row r="21" spans="2:27" ht="16.5" customHeight="1">
      <c r="G21" s="11">
        <f>IF($AA21="P",INDEX($U$7:$U$36,MATCH(12,$Z$7:$Z$36,0)),IF($AA21="G","Gesamt (Werte)",""))</f>
        <v>0</v>
      </c>
      <c r="H21" s="12">
        <f>IF($AA21="P",INDEX($V$7:$V$36,MATCH(12,$Z$7:$Z$36,0)),IF($AA21="G",COUNTIFS(Zuständigkeiten!$F$5:$F$400,"ja",Zuständigkeiten!$H$5:$H$400,"offen")+(1-BUE_V_OK)+(1-BUE_O_OK),""))</f>
        <v>0</v>
      </c>
      <c r="I21" s="12">
        <f>IF($AA21="P",INDEX($W$7:$W$36,MATCH(12,$Z$7:$Z$36,0)),IF($AA21="G",COUNTIFS(Zuständigkeiten!$F$5:$F$400,"ja",Zuständigkeiten!$H$5:$H$400,"erledigt")+BUE_V_OK+BUE_O_OK,""))</f>
        <v>0</v>
      </c>
      <c r="J21" s="12">
        <f>IF($AA21="P",INDEX($X$7:$X$36,MATCH(12,$Z$7:$Z$36,0)),IF($AA21="G",COUNTIF(Zuständigkeiten!$F$5:$F$400,"ja")+2,""))</f>
        <v>0</v>
      </c>
      <c r="U21">
        <f>IF(Konfiguration!$B$42="","",Konfiguration!$B$42)</f>
        <v>0</v>
      </c>
      <c r="V21">
        <f>IF($U21="","",COUNTIFS(Zuständigkeiten!$W$5:$W$400,"●",Zuständigkeiten!$F$5:$F$400,"ja",Zuständigkeiten!$H$5:$H$400,"offen")+IF(COUNTIFS(Zuständigkeiten!$W$5:$W$400,"●",Zuständigkeiten!$B$5:$B$400,"7V?")&gt;0,1-BUE_V_OK,0)+IF(COUNTIFS(Zuständigkeiten!$W$5:$W$400,"●",Zuständigkeiten!$B$5:$B$400,"7O?")&gt;0,1-BUE_O_OK,0))</f>
        <v>0</v>
      </c>
      <c r="W21">
        <f>IF($U21="","",COUNTIFS(Zuständigkeiten!$W$5:$W$400,"●",Zuständigkeiten!$F$5:$F$400,"ja",Zuständigkeiten!$H$5:$H$400,"erledigt")+IF(COUNTIFS(Zuständigkeiten!$W$5:$W$400,"●",Zuständigkeiten!$B$5:$B$400,"7V?")&gt;0,BUE_V_OK,0)+IF(COUNTIFS(Zuständigkeiten!$W$5:$W$400,"●",Zuständigkeiten!$B$5:$B$400,"7O?")&gt;0,BUE_O_OK,0))</f>
        <v>0</v>
      </c>
      <c r="X21">
        <f>IF($U21="","",COUNTIFS(Zuständigkeiten!$W$5:$W$400,"●",Zuständigkeiten!$F$5:$F$400,"ja")+IF(COUNTIFS(Zuständigkeiten!$W$5:$W$400,"●",Zuständigkeiten!$B$5:$B$400,"7V?")&gt;0,1,0)+IF(COUNTIFS(Zuständigkeiten!$W$5:$W$400,"●",Zuständigkeiten!$B$5:$B$400,"7O?")&gt;0,1,0))</f>
        <v>0</v>
      </c>
      <c r="Y21">
        <f>IF(AND($U21&lt;&gt;"",N(X21)&gt;0),1,0)</f>
        <v>0</v>
      </c>
      <c r="Z21">
        <f>IF(Y21=1,SUM($Y$7:Y21),"")</f>
        <v>0</v>
      </c>
      <c r="AA21">
        <f>IF(12&lt;=$Z$5,"P",IF(12=$Z$5+1,"G",""))</f>
        <v>0</v>
      </c>
    </row>
    <row r="22" spans="2:27" ht="16.5" customHeight="1">
      <c r="G22" s="11">
        <f>IF($AA22="P",INDEX($U$7:$U$36,MATCH(13,$Z$7:$Z$36,0)),IF($AA22="G","Gesamt (Werte)",""))</f>
        <v>0</v>
      </c>
      <c r="H22" s="12">
        <f>IF($AA22="P",INDEX($V$7:$V$36,MATCH(13,$Z$7:$Z$36,0)),IF($AA22="G",COUNTIFS(Zuständigkeiten!$F$5:$F$400,"ja",Zuständigkeiten!$H$5:$H$400,"offen")+(1-BUE_V_OK)+(1-BUE_O_OK),""))</f>
        <v>0</v>
      </c>
      <c r="I22" s="12">
        <f>IF($AA22="P",INDEX($W$7:$W$36,MATCH(13,$Z$7:$Z$36,0)),IF($AA22="G",COUNTIFS(Zuständigkeiten!$F$5:$F$400,"ja",Zuständigkeiten!$H$5:$H$400,"erledigt")+BUE_V_OK+BUE_O_OK,""))</f>
        <v>0</v>
      </c>
      <c r="J22" s="12">
        <f>IF($AA22="P",INDEX($X$7:$X$36,MATCH(13,$Z$7:$Z$36,0)),IF($AA22="G",COUNTIF(Zuständigkeiten!$F$5:$F$400,"ja")+2,""))</f>
        <v>0</v>
      </c>
      <c r="U22">
        <f>IF(Konfiguration!$B$43="","",Konfiguration!$B$43)</f>
        <v>0</v>
      </c>
      <c r="V22">
        <f>IF($U22="","",COUNTIFS(Zuständigkeiten!$X$5:$X$400,"●",Zuständigkeiten!$F$5:$F$400,"ja",Zuständigkeiten!$H$5:$H$400,"offen")+IF(COUNTIFS(Zuständigkeiten!$X$5:$X$400,"●",Zuständigkeiten!$B$5:$B$400,"7V?")&gt;0,1-BUE_V_OK,0)+IF(COUNTIFS(Zuständigkeiten!$X$5:$X$400,"●",Zuständigkeiten!$B$5:$B$400,"7O?")&gt;0,1-BUE_O_OK,0))</f>
        <v>0</v>
      </c>
      <c r="W22">
        <f>IF($U22="","",COUNTIFS(Zuständigkeiten!$X$5:$X$400,"●",Zuständigkeiten!$F$5:$F$400,"ja",Zuständigkeiten!$H$5:$H$400,"erledigt")+IF(COUNTIFS(Zuständigkeiten!$X$5:$X$400,"●",Zuständigkeiten!$B$5:$B$400,"7V?")&gt;0,BUE_V_OK,0)+IF(COUNTIFS(Zuständigkeiten!$X$5:$X$400,"●",Zuständigkeiten!$B$5:$B$400,"7O?")&gt;0,BUE_O_OK,0))</f>
        <v>0</v>
      </c>
      <c r="X22">
        <f>IF($U22="","",COUNTIFS(Zuständigkeiten!$X$5:$X$400,"●",Zuständigkeiten!$F$5:$F$400,"ja")+IF(COUNTIFS(Zuständigkeiten!$X$5:$X$400,"●",Zuständigkeiten!$B$5:$B$400,"7V?")&gt;0,1,0)+IF(COUNTIFS(Zuständigkeiten!$X$5:$X$400,"●",Zuständigkeiten!$B$5:$B$400,"7O?")&gt;0,1,0))</f>
        <v>0</v>
      </c>
      <c r="Y22">
        <f>IF(AND($U22&lt;&gt;"",N(X22)&gt;0),1,0)</f>
        <v>0</v>
      </c>
      <c r="Z22">
        <f>IF(Y22=1,SUM($Y$7:Y22),"")</f>
        <v>0</v>
      </c>
      <c r="AA22">
        <f>IF(13&lt;=$Z$5,"P",IF(13=$Z$5+1,"G",""))</f>
        <v>0</v>
      </c>
    </row>
    <row r="23" spans="2:27" ht="16.5" customHeight="1">
      <c r="G23" s="11">
        <f>IF($AA23="P",INDEX($U$7:$U$36,MATCH(14,$Z$7:$Z$36,0)),IF($AA23="G","Gesamt (Werte)",""))</f>
        <v>0</v>
      </c>
      <c r="H23" s="12">
        <f>IF($AA23="P",INDEX($V$7:$V$36,MATCH(14,$Z$7:$Z$36,0)),IF($AA23="G",COUNTIFS(Zuständigkeiten!$F$5:$F$400,"ja",Zuständigkeiten!$H$5:$H$400,"offen")+(1-BUE_V_OK)+(1-BUE_O_OK),""))</f>
        <v>0</v>
      </c>
      <c r="I23" s="12">
        <f>IF($AA23="P",INDEX($W$7:$W$36,MATCH(14,$Z$7:$Z$36,0)),IF($AA23="G",COUNTIFS(Zuständigkeiten!$F$5:$F$400,"ja",Zuständigkeiten!$H$5:$H$400,"erledigt")+BUE_V_OK+BUE_O_OK,""))</f>
        <v>0</v>
      </c>
      <c r="J23" s="12">
        <f>IF($AA23="P",INDEX($X$7:$X$36,MATCH(14,$Z$7:$Z$36,0)),IF($AA23="G",COUNTIF(Zuständigkeiten!$F$5:$F$400,"ja")+2,""))</f>
        <v>0</v>
      </c>
      <c r="U23">
        <f>IF(Konfiguration!$B$44="","",Konfiguration!$B$44)</f>
        <v>0</v>
      </c>
      <c r="V23">
        <f>IF($U23="","",COUNTIFS(Zuständigkeiten!$Y$5:$Y$400,"●",Zuständigkeiten!$F$5:$F$400,"ja",Zuständigkeiten!$H$5:$H$400,"offen")+IF(COUNTIFS(Zuständigkeiten!$Y$5:$Y$400,"●",Zuständigkeiten!$B$5:$B$400,"7V?")&gt;0,1-BUE_V_OK,0)+IF(COUNTIFS(Zuständigkeiten!$Y$5:$Y$400,"●",Zuständigkeiten!$B$5:$B$400,"7O?")&gt;0,1-BUE_O_OK,0))</f>
        <v>0</v>
      </c>
      <c r="W23">
        <f>IF($U23="","",COUNTIFS(Zuständigkeiten!$Y$5:$Y$400,"●",Zuständigkeiten!$F$5:$F$400,"ja",Zuständigkeiten!$H$5:$H$400,"erledigt")+IF(COUNTIFS(Zuständigkeiten!$Y$5:$Y$400,"●",Zuständigkeiten!$B$5:$B$400,"7V?")&gt;0,BUE_V_OK,0)+IF(COUNTIFS(Zuständigkeiten!$Y$5:$Y$400,"●",Zuständigkeiten!$B$5:$B$400,"7O?")&gt;0,BUE_O_OK,0))</f>
        <v>0</v>
      </c>
      <c r="X23">
        <f>IF($U23="","",COUNTIFS(Zuständigkeiten!$Y$5:$Y$400,"●",Zuständigkeiten!$F$5:$F$400,"ja")+IF(COUNTIFS(Zuständigkeiten!$Y$5:$Y$400,"●",Zuständigkeiten!$B$5:$B$400,"7V?")&gt;0,1,0)+IF(COUNTIFS(Zuständigkeiten!$Y$5:$Y$400,"●",Zuständigkeiten!$B$5:$B$400,"7O?")&gt;0,1,0))</f>
        <v>0</v>
      </c>
      <c r="Y23">
        <f>IF(AND($U23&lt;&gt;"",N(X23)&gt;0),1,0)</f>
        <v>0</v>
      </c>
      <c r="Z23">
        <f>IF(Y23=1,SUM($Y$7:Y23),"")</f>
        <v>0</v>
      </c>
      <c r="AA23">
        <f>IF(14&lt;=$Z$5,"P",IF(14=$Z$5+1,"G",""))</f>
        <v>0</v>
      </c>
    </row>
    <row r="24" spans="2:27" ht="16.5" customHeight="1">
      <c r="B24" s="8">
        <f>IF(Konfiguration!C10="","Noch keine BÜ-Datei verknüpft.","BÜ-Datei: "&amp;Konfiguration!C10)</f>
        <v>0</v>
      </c>
      <c r="G24" s="11">
        <f>IF($AA24="P",INDEX($U$7:$U$36,MATCH(15,$Z$7:$Z$36,0)),IF($AA24="G","Gesamt (Werte)",""))</f>
        <v>0</v>
      </c>
      <c r="H24" s="12">
        <f>IF($AA24="P",INDEX($V$7:$V$36,MATCH(15,$Z$7:$Z$36,0)),IF($AA24="G",COUNTIFS(Zuständigkeiten!$F$5:$F$400,"ja",Zuständigkeiten!$H$5:$H$400,"offen")+(1-BUE_V_OK)+(1-BUE_O_OK),""))</f>
        <v>0</v>
      </c>
      <c r="I24" s="12">
        <f>IF($AA24="P",INDEX($W$7:$W$36,MATCH(15,$Z$7:$Z$36,0)),IF($AA24="G",COUNTIFS(Zuständigkeiten!$F$5:$F$400,"ja",Zuständigkeiten!$H$5:$H$400,"erledigt")+BUE_V_OK+BUE_O_OK,""))</f>
        <v>0</v>
      </c>
      <c r="J24" s="12">
        <f>IF($AA24="P",INDEX($X$7:$X$36,MATCH(15,$Z$7:$Z$36,0)),IF($AA24="G",COUNTIF(Zuständigkeiten!$F$5:$F$400,"ja")+2,""))</f>
        <v>0</v>
      </c>
      <c r="U24">
        <f>IF(Konfiguration!$B$45="","",Konfiguration!$B$45)</f>
        <v>0</v>
      </c>
      <c r="V24">
        <f>IF($U24="","",COUNTIFS(Zuständigkeiten!$Z$5:$Z$400,"●",Zuständigkeiten!$F$5:$F$400,"ja",Zuständigkeiten!$H$5:$H$400,"offen")+IF(COUNTIFS(Zuständigkeiten!$Z$5:$Z$400,"●",Zuständigkeiten!$B$5:$B$400,"7V?")&gt;0,1-BUE_V_OK,0)+IF(COUNTIFS(Zuständigkeiten!$Z$5:$Z$400,"●",Zuständigkeiten!$B$5:$B$400,"7O?")&gt;0,1-BUE_O_OK,0))</f>
        <v>0</v>
      </c>
      <c r="W24">
        <f>IF($U24="","",COUNTIFS(Zuständigkeiten!$Z$5:$Z$400,"●",Zuständigkeiten!$F$5:$F$400,"ja",Zuständigkeiten!$H$5:$H$400,"erledigt")+IF(COUNTIFS(Zuständigkeiten!$Z$5:$Z$400,"●",Zuständigkeiten!$B$5:$B$400,"7V?")&gt;0,BUE_V_OK,0)+IF(COUNTIFS(Zuständigkeiten!$Z$5:$Z$400,"●",Zuständigkeiten!$B$5:$B$400,"7O?")&gt;0,BUE_O_OK,0))</f>
        <v>0</v>
      </c>
      <c r="X24">
        <f>IF($U24="","",COUNTIFS(Zuständigkeiten!$Z$5:$Z$400,"●",Zuständigkeiten!$F$5:$F$400,"ja")+IF(COUNTIFS(Zuständigkeiten!$Z$5:$Z$400,"●",Zuständigkeiten!$B$5:$B$400,"7V?")&gt;0,1,0)+IF(COUNTIFS(Zuständigkeiten!$Z$5:$Z$400,"●",Zuständigkeiten!$B$5:$B$400,"7O?")&gt;0,1,0))</f>
        <v>0</v>
      </c>
      <c r="Y24">
        <f>IF(AND($U24&lt;&gt;"",N(X24)&gt;0),1,0)</f>
        <v>0</v>
      </c>
      <c r="Z24">
        <f>IF(Y24=1,SUM($Y$7:Y24),"")</f>
        <v>0</v>
      </c>
      <c r="AA24">
        <f>IF(15&lt;=$Z$5,"P",IF(15=$Z$5+1,"G",""))</f>
        <v>0</v>
      </c>
    </row>
    <row r="25" spans="2:27" ht="16.5" customHeight="1">
      <c r="B25" s="8">
        <f>IF(Konfiguration!C13="","PPT-Vorlage: Vorlage\ERGO_Vorlage.pptx neben dieser Datei","PPT-Vorlage: "&amp;Konfiguration!C13)</f>
        <v>0</v>
      </c>
      <c r="G25" s="11">
        <f>IF($AA25="P",INDEX($U$7:$U$36,MATCH(16,$Z$7:$Z$36,0)),IF($AA25="G","Gesamt (Werte)",""))</f>
        <v>0</v>
      </c>
      <c r="H25" s="12">
        <f>IF($AA25="P",INDEX($V$7:$V$36,MATCH(16,$Z$7:$Z$36,0)),IF($AA25="G",COUNTIFS(Zuständigkeiten!$F$5:$F$400,"ja",Zuständigkeiten!$H$5:$H$400,"offen")+(1-BUE_V_OK)+(1-BUE_O_OK),""))</f>
        <v>0</v>
      </c>
      <c r="I25" s="12">
        <f>IF($AA25="P",INDEX($W$7:$W$36,MATCH(16,$Z$7:$Z$36,0)),IF($AA25="G",COUNTIFS(Zuständigkeiten!$F$5:$F$400,"ja",Zuständigkeiten!$H$5:$H$400,"erledigt")+BUE_V_OK+BUE_O_OK,""))</f>
        <v>0</v>
      </c>
      <c r="J25" s="12">
        <f>IF($AA25="P",INDEX($X$7:$X$36,MATCH(16,$Z$7:$Z$36,0)),IF($AA25="G",COUNTIF(Zuständigkeiten!$F$5:$F$400,"ja")+2,""))</f>
        <v>0</v>
      </c>
      <c r="U25">
        <f>IF(Konfiguration!$B$46="","",Konfiguration!$B$46)</f>
        <v>0</v>
      </c>
      <c r="V25">
        <f>IF($U25="","",COUNTIFS(Zuständigkeiten!$AA$5:$AA$400,"●",Zuständigkeiten!$F$5:$F$400,"ja",Zuständigkeiten!$H$5:$H$400,"offen")+IF(COUNTIFS(Zuständigkeiten!$AA$5:$AA$400,"●",Zuständigkeiten!$B$5:$B$400,"7V?")&gt;0,1-BUE_V_OK,0)+IF(COUNTIFS(Zuständigkeiten!$AA$5:$AA$400,"●",Zuständigkeiten!$B$5:$B$400,"7O?")&gt;0,1-BUE_O_OK,0))</f>
        <v>0</v>
      </c>
      <c r="W25">
        <f>IF($U25="","",COUNTIFS(Zuständigkeiten!$AA$5:$AA$400,"●",Zuständigkeiten!$F$5:$F$400,"ja",Zuständigkeiten!$H$5:$H$400,"erledigt")+IF(COUNTIFS(Zuständigkeiten!$AA$5:$AA$400,"●",Zuständigkeiten!$B$5:$B$400,"7V?")&gt;0,BUE_V_OK,0)+IF(COUNTIFS(Zuständigkeiten!$AA$5:$AA$400,"●",Zuständigkeiten!$B$5:$B$400,"7O?")&gt;0,BUE_O_OK,0))</f>
        <v>0</v>
      </c>
      <c r="X25">
        <f>IF($U25="","",COUNTIFS(Zuständigkeiten!$AA$5:$AA$400,"●",Zuständigkeiten!$F$5:$F$400,"ja")+IF(COUNTIFS(Zuständigkeiten!$AA$5:$AA$400,"●",Zuständigkeiten!$B$5:$B$400,"7V?")&gt;0,1,0)+IF(COUNTIFS(Zuständigkeiten!$AA$5:$AA$400,"●",Zuständigkeiten!$B$5:$B$400,"7O?")&gt;0,1,0))</f>
        <v>0</v>
      </c>
      <c r="Y25">
        <f>IF(AND($U25&lt;&gt;"",N(X25)&gt;0),1,0)</f>
        <v>0</v>
      </c>
      <c r="Z25">
        <f>IF(Y25=1,SUM($Y$7:Y25),"")</f>
        <v>0</v>
      </c>
      <c r="AA25">
        <f>IF(16&lt;=$Z$5,"P",IF(16=$Z$5+1,"G",""))</f>
        <v>0</v>
      </c>
    </row>
    <row r="26" spans="2:27" ht="16.5" customHeight="1">
      <c r="B26" s="8">
        <f>IF(Konfiguration!C63&lt;&gt;"","HS-Dashboard 2025: "&amp;Konfiguration!C63,IF(Konfiguration!C62="","HS-Dashboard 2025: noch nichts übernommen.","HS-Dashboard 2025: noch nichts übernommen (Datei gemerkt)."))</f>
        <v>0</v>
      </c>
      <c r="G26" s="11">
        <f>IF($AA26="P",INDEX($U$7:$U$36,MATCH(17,$Z$7:$Z$36,0)),IF($AA26="G","Gesamt (Werte)",""))</f>
        <v>0</v>
      </c>
      <c r="H26" s="12">
        <f>IF($AA26="P",INDEX($V$7:$V$36,MATCH(17,$Z$7:$Z$36,0)),IF($AA26="G",COUNTIFS(Zuständigkeiten!$F$5:$F$400,"ja",Zuständigkeiten!$H$5:$H$400,"offen")+(1-BUE_V_OK)+(1-BUE_O_OK),""))</f>
        <v>0</v>
      </c>
      <c r="I26" s="12">
        <f>IF($AA26="P",INDEX($W$7:$W$36,MATCH(17,$Z$7:$Z$36,0)),IF($AA26="G",COUNTIFS(Zuständigkeiten!$F$5:$F$400,"ja",Zuständigkeiten!$H$5:$H$400,"erledigt")+BUE_V_OK+BUE_O_OK,""))</f>
        <v>0</v>
      </c>
      <c r="J26" s="12">
        <f>IF($AA26="P",INDEX($X$7:$X$36,MATCH(17,$Z$7:$Z$36,0)),IF($AA26="G",COUNTIF(Zuständigkeiten!$F$5:$F$400,"ja")+2,""))</f>
        <v>0</v>
      </c>
      <c r="U26">
        <f>IF(Konfiguration!$B$47="","",Konfiguration!$B$47)</f>
        <v>0</v>
      </c>
      <c r="V26">
        <f>IF($U26="","",COUNTIFS(Zuständigkeiten!$AB$5:$AB$400,"●",Zuständigkeiten!$F$5:$F$400,"ja",Zuständigkeiten!$H$5:$H$400,"offen")+IF(COUNTIFS(Zuständigkeiten!$AB$5:$AB$400,"●",Zuständigkeiten!$B$5:$B$400,"7V?")&gt;0,1-BUE_V_OK,0)+IF(COUNTIFS(Zuständigkeiten!$AB$5:$AB$400,"●",Zuständigkeiten!$B$5:$B$400,"7O?")&gt;0,1-BUE_O_OK,0))</f>
        <v>0</v>
      </c>
      <c r="W26">
        <f>IF($U26="","",COUNTIFS(Zuständigkeiten!$AB$5:$AB$400,"●",Zuständigkeiten!$F$5:$F$400,"ja",Zuständigkeiten!$H$5:$H$400,"erledigt")+IF(COUNTIFS(Zuständigkeiten!$AB$5:$AB$400,"●",Zuständigkeiten!$B$5:$B$400,"7V?")&gt;0,BUE_V_OK,0)+IF(COUNTIFS(Zuständigkeiten!$AB$5:$AB$400,"●",Zuständigkeiten!$B$5:$B$400,"7O?")&gt;0,BUE_O_OK,0))</f>
        <v>0</v>
      </c>
      <c r="X26">
        <f>IF($U26="","",COUNTIFS(Zuständigkeiten!$AB$5:$AB$400,"●",Zuständigkeiten!$F$5:$F$400,"ja")+IF(COUNTIFS(Zuständigkeiten!$AB$5:$AB$400,"●",Zuständigkeiten!$B$5:$B$400,"7V?")&gt;0,1,0)+IF(COUNTIFS(Zuständigkeiten!$AB$5:$AB$400,"●",Zuständigkeiten!$B$5:$B$400,"7O?")&gt;0,1,0))</f>
        <v>0</v>
      </c>
      <c r="Y26">
        <f>IF(AND($U26&lt;&gt;"",N(X26)&gt;0),1,0)</f>
        <v>0</v>
      </c>
      <c r="Z26">
        <f>IF(Y26=1,SUM($Y$7:Y26),"")</f>
        <v>0</v>
      </c>
      <c r="AA26">
        <f>IF(17&lt;=$Z$5,"P",IF(17=$Z$5+1,"G",""))</f>
        <v>0</v>
      </c>
    </row>
    <row r="27" spans="2:27" ht="16.5" customHeight="1">
      <c r="G27" s="11">
        <f>IF($AA27="P",INDEX($U$7:$U$36,MATCH(18,$Z$7:$Z$36,0)),IF($AA27="G","Gesamt (Werte)",""))</f>
        <v>0</v>
      </c>
      <c r="H27" s="12">
        <f>IF($AA27="P",INDEX($V$7:$V$36,MATCH(18,$Z$7:$Z$36,0)),IF($AA27="G",COUNTIFS(Zuständigkeiten!$F$5:$F$400,"ja",Zuständigkeiten!$H$5:$H$400,"offen")+(1-BUE_V_OK)+(1-BUE_O_OK),""))</f>
        <v>0</v>
      </c>
      <c r="I27" s="12">
        <f>IF($AA27="P",INDEX($W$7:$W$36,MATCH(18,$Z$7:$Z$36,0)),IF($AA27="G",COUNTIFS(Zuständigkeiten!$F$5:$F$400,"ja",Zuständigkeiten!$H$5:$H$400,"erledigt")+BUE_V_OK+BUE_O_OK,""))</f>
        <v>0</v>
      </c>
      <c r="J27" s="12">
        <f>IF($AA27="P",INDEX($X$7:$X$36,MATCH(18,$Z$7:$Z$36,0)),IF($AA27="G",COUNTIF(Zuständigkeiten!$F$5:$F$400,"ja")+2,""))</f>
        <v>0</v>
      </c>
      <c r="U27">
        <f>IF(Konfiguration!$B$48="","",Konfiguration!$B$48)</f>
        <v>0</v>
      </c>
      <c r="V27">
        <f>IF($U27="","",COUNTIFS(Zuständigkeiten!$AC$5:$AC$400,"●",Zuständigkeiten!$F$5:$F$400,"ja",Zuständigkeiten!$H$5:$H$400,"offen")+IF(COUNTIFS(Zuständigkeiten!$AC$5:$AC$400,"●",Zuständigkeiten!$B$5:$B$400,"7V?")&gt;0,1-BUE_V_OK,0)+IF(COUNTIFS(Zuständigkeiten!$AC$5:$AC$400,"●",Zuständigkeiten!$B$5:$B$400,"7O?")&gt;0,1-BUE_O_OK,0))</f>
        <v>0</v>
      </c>
      <c r="W27">
        <f>IF($U27="","",COUNTIFS(Zuständigkeiten!$AC$5:$AC$400,"●",Zuständigkeiten!$F$5:$F$400,"ja",Zuständigkeiten!$H$5:$H$400,"erledigt")+IF(COUNTIFS(Zuständigkeiten!$AC$5:$AC$400,"●",Zuständigkeiten!$B$5:$B$400,"7V?")&gt;0,BUE_V_OK,0)+IF(COUNTIFS(Zuständigkeiten!$AC$5:$AC$400,"●",Zuständigkeiten!$B$5:$B$400,"7O?")&gt;0,BUE_O_OK,0))</f>
        <v>0</v>
      </c>
      <c r="X27">
        <f>IF($U27="","",COUNTIFS(Zuständigkeiten!$AC$5:$AC$400,"●",Zuständigkeiten!$F$5:$F$400,"ja")+IF(COUNTIFS(Zuständigkeiten!$AC$5:$AC$400,"●",Zuständigkeiten!$B$5:$B$400,"7V?")&gt;0,1,0)+IF(COUNTIFS(Zuständigkeiten!$AC$5:$AC$400,"●",Zuständigkeiten!$B$5:$B$400,"7O?")&gt;0,1,0))</f>
        <v>0</v>
      </c>
      <c r="Y27">
        <f>IF(AND($U27&lt;&gt;"",N(X27)&gt;0),1,0)</f>
        <v>0</v>
      </c>
      <c r="Z27">
        <f>IF(Y27=1,SUM($Y$7:Y27),"")</f>
        <v>0</v>
      </c>
      <c r="AA27">
        <f>IF(18&lt;=$Z$5,"P",IF(18=$Z$5+1,"G",""))</f>
        <v>0</v>
      </c>
    </row>
    <row r="28" spans="2:27" ht="16.5" customHeight="1">
      <c r="B28" s="4" t="s">
        <v>1327</v>
      </c>
      <c r="G28" s="11">
        <f>IF($AA28="P",INDEX($U$7:$U$36,MATCH(19,$Z$7:$Z$36,0)),IF($AA28="G","Gesamt (Werte)",""))</f>
        <v>0</v>
      </c>
      <c r="H28" s="12">
        <f>IF($AA28="P",INDEX($V$7:$V$36,MATCH(19,$Z$7:$Z$36,0)),IF($AA28="G",COUNTIFS(Zuständigkeiten!$F$5:$F$400,"ja",Zuständigkeiten!$H$5:$H$400,"offen")+(1-BUE_V_OK)+(1-BUE_O_OK),""))</f>
        <v>0</v>
      </c>
      <c r="I28" s="12">
        <f>IF($AA28="P",INDEX($W$7:$W$36,MATCH(19,$Z$7:$Z$36,0)),IF($AA28="G",COUNTIFS(Zuständigkeiten!$F$5:$F$400,"ja",Zuständigkeiten!$H$5:$H$400,"erledigt")+BUE_V_OK+BUE_O_OK,""))</f>
        <v>0</v>
      </c>
      <c r="J28" s="12">
        <f>IF($AA28="P",INDEX($X$7:$X$36,MATCH(19,$Z$7:$Z$36,0)),IF($AA28="G",COUNTIF(Zuständigkeiten!$F$5:$F$400,"ja")+2,""))</f>
        <v>0</v>
      </c>
      <c r="U28">
        <f>IF(Konfiguration!$B$49="","",Konfiguration!$B$49)</f>
        <v>0</v>
      </c>
      <c r="V28">
        <f>IF($U28="","",COUNTIFS(Zuständigkeiten!$AD$5:$AD$400,"●",Zuständigkeiten!$F$5:$F$400,"ja",Zuständigkeiten!$H$5:$H$400,"offen")+IF(COUNTIFS(Zuständigkeiten!$AD$5:$AD$400,"●",Zuständigkeiten!$B$5:$B$400,"7V?")&gt;0,1-BUE_V_OK,0)+IF(COUNTIFS(Zuständigkeiten!$AD$5:$AD$400,"●",Zuständigkeiten!$B$5:$B$400,"7O?")&gt;0,1-BUE_O_OK,0))</f>
        <v>0</v>
      </c>
      <c r="W28">
        <f>IF($U28="","",COUNTIFS(Zuständigkeiten!$AD$5:$AD$400,"●",Zuständigkeiten!$F$5:$F$400,"ja",Zuständigkeiten!$H$5:$H$400,"erledigt")+IF(COUNTIFS(Zuständigkeiten!$AD$5:$AD$400,"●",Zuständigkeiten!$B$5:$B$400,"7V?")&gt;0,BUE_V_OK,0)+IF(COUNTIFS(Zuständigkeiten!$AD$5:$AD$400,"●",Zuständigkeiten!$B$5:$B$400,"7O?")&gt;0,BUE_O_OK,0))</f>
        <v>0</v>
      </c>
      <c r="X28">
        <f>IF($U28="","",COUNTIFS(Zuständigkeiten!$AD$5:$AD$400,"●",Zuständigkeiten!$F$5:$F$400,"ja")+IF(COUNTIFS(Zuständigkeiten!$AD$5:$AD$400,"●",Zuständigkeiten!$B$5:$B$400,"7V?")&gt;0,1,0)+IF(COUNTIFS(Zuständigkeiten!$AD$5:$AD$400,"●",Zuständigkeiten!$B$5:$B$400,"7O?")&gt;0,1,0))</f>
        <v>0</v>
      </c>
      <c r="Y28">
        <f>IF(AND($U28&lt;&gt;"",N(X28)&gt;0),1,0)</f>
        <v>0</v>
      </c>
      <c r="Z28">
        <f>IF(Y28=1,SUM($Y$7:Y28),"")</f>
        <v>0</v>
      </c>
      <c r="AA28">
        <f>IF(19&lt;=$Z$5,"P",IF(19=$Z$5+1,"G",""))</f>
        <v>0</v>
      </c>
    </row>
    <row r="29" spans="2:27" ht="16.5" customHeight="1">
      <c r="B29" s="11" t="s">
        <v>1328</v>
      </c>
      <c r="G29" s="11">
        <f>IF($AA29="P",INDEX($U$7:$U$36,MATCH(20,$Z$7:$Z$36,0)),IF($AA29="G","Gesamt (Werte)",""))</f>
        <v>0</v>
      </c>
      <c r="H29" s="12">
        <f>IF($AA29="P",INDEX($V$7:$V$36,MATCH(20,$Z$7:$Z$36,0)),IF($AA29="G",COUNTIFS(Zuständigkeiten!$F$5:$F$400,"ja",Zuständigkeiten!$H$5:$H$400,"offen")+(1-BUE_V_OK)+(1-BUE_O_OK),""))</f>
        <v>0</v>
      </c>
      <c r="I29" s="12">
        <f>IF($AA29="P",INDEX($W$7:$W$36,MATCH(20,$Z$7:$Z$36,0)),IF($AA29="G",COUNTIFS(Zuständigkeiten!$F$5:$F$400,"ja",Zuständigkeiten!$H$5:$H$400,"erledigt")+BUE_V_OK+BUE_O_OK,""))</f>
        <v>0</v>
      </c>
      <c r="J29" s="12">
        <f>IF($AA29="P",INDEX($X$7:$X$36,MATCH(20,$Z$7:$Z$36,0)),IF($AA29="G",COUNTIF(Zuständigkeiten!$F$5:$F$400,"ja")+2,""))</f>
        <v>0</v>
      </c>
      <c r="U29">
        <f>IF(Konfiguration!$B$50="","",Konfiguration!$B$50)</f>
        <v>0</v>
      </c>
      <c r="V29">
        <f>IF($U29="","",COUNTIFS(Zuständigkeiten!$AE$5:$AE$400,"●",Zuständigkeiten!$F$5:$F$400,"ja",Zuständigkeiten!$H$5:$H$400,"offen")+IF(COUNTIFS(Zuständigkeiten!$AE$5:$AE$400,"●",Zuständigkeiten!$B$5:$B$400,"7V?")&gt;0,1-BUE_V_OK,0)+IF(COUNTIFS(Zuständigkeiten!$AE$5:$AE$400,"●",Zuständigkeiten!$B$5:$B$400,"7O?")&gt;0,1-BUE_O_OK,0))</f>
        <v>0</v>
      </c>
      <c r="W29">
        <f>IF($U29="","",COUNTIFS(Zuständigkeiten!$AE$5:$AE$400,"●",Zuständigkeiten!$F$5:$F$400,"ja",Zuständigkeiten!$H$5:$H$400,"erledigt")+IF(COUNTIFS(Zuständigkeiten!$AE$5:$AE$400,"●",Zuständigkeiten!$B$5:$B$400,"7V?")&gt;0,BUE_V_OK,0)+IF(COUNTIFS(Zuständigkeiten!$AE$5:$AE$400,"●",Zuständigkeiten!$B$5:$B$400,"7O?")&gt;0,BUE_O_OK,0))</f>
        <v>0</v>
      </c>
      <c r="X29">
        <f>IF($U29="","",COUNTIFS(Zuständigkeiten!$AE$5:$AE$400,"●",Zuständigkeiten!$F$5:$F$400,"ja")+IF(COUNTIFS(Zuständigkeiten!$AE$5:$AE$400,"●",Zuständigkeiten!$B$5:$B$400,"7V?")&gt;0,1,0)+IF(COUNTIFS(Zuständigkeiten!$AE$5:$AE$400,"●",Zuständigkeiten!$B$5:$B$400,"7O?")&gt;0,1,0))</f>
        <v>0</v>
      </c>
      <c r="Y29">
        <f>IF(AND($U29&lt;&gt;"",N(X29)&gt;0),1,0)</f>
        <v>0</v>
      </c>
      <c r="Z29">
        <f>IF(Y29=1,SUM($Y$7:Y29),"")</f>
        <v>0</v>
      </c>
      <c r="AA29">
        <f>IF(20&lt;=$Z$5,"P",IF(20=$Z$5+1,"G",""))</f>
        <v>0</v>
      </c>
    </row>
    <row r="30" spans="2:27" ht="16.5" customHeight="1">
      <c r="B30" s="11" t="s">
        <v>1329</v>
      </c>
      <c r="G30" s="11">
        <f>IF($AA30="P",INDEX($U$7:$U$36,MATCH(21,$Z$7:$Z$36,0)),IF($AA30="G","Gesamt (Werte)",""))</f>
        <v>0</v>
      </c>
      <c r="H30" s="12">
        <f>IF($AA30="P",INDEX($V$7:$V$36,MATCH(21,$Z$7:$Z$36,0)),IF($AA30="G",COUNTIFS(Zuständigkeiten!$F$5:$F$400,"ja",Zuständigkeiten!$H$5:$H$400,"offen")+(1-BUE_V_OK)+(1-BUE_O_OK),""))</f>
        <v>0</v>
      </c>
      <c r="I30" s="12">
        <f>IF($AA30="P",INDEX($W$7:$W$36,MATCH(21,$Z$7:$Z$36,0)),IF($AA30="G",COUNTIFS(Zuständigkeiten!$F$5:$F$400,"ja",Zuständigkeiten!$H$5:$H$400,"erledigt")+BUE_V_OK+BUE_O_OK,""))</f>
        <v>0</v>
      </c>
      <c r="J30" s="12">
        <f>IF($AA30="P",INDEX($X$7:$X$36,MATCH(21,$Z$7:$Z$36,0)),IF($AA30="G",COUNTIF(Zuständigkeiten!$F$5:$F$400,"ja")+2,""))</f>
        <v>0</v>
      </c>
      <c r="U30">
        <f>IF(Konfiguration!$B$51="","",Konfiguration!$B$51)</f>
        <v>0</v>
      </c>
      <c r="V30">
        <f>IF($U30="","",COUNTIFS(Zuständigkeiten!$AF$5:$AF$400,"●",Zuständigkeiten!$F$5:$F$400,"ja",Zuständigkeiten!$H$5:$H$400,"offen")+IF(COUNTIFS(Zuständigkeiten!$AF$5:$AF$400,"●",Zuständigkeiten!$B$5:$B$400,"7V?")&gt;0,1-BUE_V_OK,0)+IF(COUNTIFS(Zuständigkeiten!$AF$5:$AF$400,"●",Zuständigkeiten!$B$5:$B$400,"7O?")&gt;0,1-BUE_O_OK,0))</f>
        <v>0</v>
      </c>
      <c r="W30">
        <f>IF($U30="","",COUNTIFS(Zuständigkeiten!$AF$5:$AF$400,"●",Zuständigkeiten!$F$5:$F$400,"ja",Zuständigkeiten!$H$5:$H$400,"erledigt")+IF(COUNTIFS(Zuständigkeiten!$AF$5:$AF$400,"●",Zuständigkeiten!$B$5:$B$400,"7V?")&gt;0,BUE_V_OK,0)+IF(COUNTIFS(Zuständigkeiten!$AF$5:$AF$400,"●",Zuständigkeiten!$B$5:$B$400,"7O?")&gt;0,BUE_O_OK,0))</f>
        <v>0</v>
      </c>
      <c r="X30">
        <f>IF($U30="","",COUNTIFS(Zuständigkeiten!$AF$5:$AF$400,"●",Zuständigkeiten!$F$5:$F$400,"ja")+IF(COUNTIFS(Zuständigkeiten!$AF$5:$AF$400,"●",Zuständigkeiten!$B$5:$B$400,"7V?")&gt;0,1,0)+IF(COUNTIFS(Zuständigkeiten!$AF$5:$AF$400,"●",Zuständigkeiten!$B$5:$B$400,"7O?")&gt;0,1,0))</f>
        <v>0</v>
      </c>
      <c r="Y30">
        <f>IF(AND($U30&lt;&gt;"",N(X30)&gt;0),1,0)</f>
        <v>0</v>
      </c>
      <c r="Z30">
        <f>IF(Y30=1,SUM($Y$7:Y30),"")</f>
        <v>0</v>
      </c>
      <c r="AA30">
        <f>IF(21&lt;=$Z$5,"P",IF(21=$Z$5+1,"G",""))</f>
        <v>0</v>
      </c>
    </row>
    <row r="31" spans="2:27" ht="16.5" customHeight="1">
      <c r="B31" s="11" t="s">
        <v>1330</v>
      </c>
      <c r="G31" s="11">
        <f>IF($AA31="P",INDEX($U$7:$U$36,MATCH(22,$Z$7:$Z$36,0)),IF($AA31="G","Gesamt (Werte)",""))</f>
        <v>0</v>
      </c>
      <c r="H31" s="12">
        <f>IF($AA31="P",INDEX($V$7:$V$36,MATCH(22,$Z$7:$Z$36,0)),IF($AA31="G",COUNTIFS(Zuständigkeiten!$F$5:$F$400,"ja",Zuständigkeiten!$H$5:$H$400,"offen")+(1-BUE_V_OK)+(1-BUE_O_OK),""))</f>
        <v>0</v>
      </c>
      <c r="I31" s="12">
        <f>IF($AA31="P",INDEX($W$7:$W$36,MATCH(22,$Z$7:$Z$36,0)),IF($AA31="G",COUNTIFS(Zuständigkeiten!$F$5:$F$400,"ja",Zuständigkeiten!$H$5:$H$400,"erledigt")+BUE_V_OK+BUE_O_OK,""))</f>
        <v>0</v>
      </c>
      <c r="J31" s="12">
        <f>IF($AA31="P",INDEX($X$7:$X$36,MATCH(22,$Z$7:$Z$36,0)),IF($AA31="G",COUNTIF(Zuständigkeiten!$F$5:$F$400,"ja")+2,""))</f>
        <v>0</v>
      </c>
      <c r="U31">
        <f>IF(Konfiguration!$B$52="","",Konfiguration!$B$52)</f>
        <v>0</v>
      </c>
      <c r="V31">
        <f>IF($U31="","",COUNTIFS(Zuständigkeiten!$AG$5:$AG$400,"●",Zuständigkeiten!$F$5:$F$400,"ja",Zuständigkeiten!$H$5:$H$400,"offen")+IF(COUNTIFS(Zuständigkeiten!$AG$5:$AG$400,"●",Zuständigkeiten!$B$5:$B$400,"7V?")&gt;0,1-BUE_V_OK,0)+IF(COUNTIFS(Zuständigkeiten!$AG$5:$AG$400,"●",Zuständigkeiten!$B$5:$B$400,"7O?")&gt;0,1-BUE_O_OK,0))</f>
        <v>0</v>
      </c>
      <c r="W31">
        <f>IF($U31="","",COUNTIFS(Zuständigkeiten!$AG$5:$AG$400,"●",Zuständigkeiten!$F$5:$F$400,"ja",Zuständigkeiten!$H$5:$H$400,"erledigt")+IF(COUNTIFS(Zuständigkeiten!$AG$5:$AG$400,"●",Zuständigkeiten!$B$5:$B$400,"7V?")&gt;0,BUE_V_OK,0)+IF(COUNTIFS(Zuständigkeiten!$AG$5:$AG$400,"●",Zuständigkeiten!$B$5:$B$400,"7O?")&gt;0,BUE_O_OK,0))</f>
        <v>0</v>
      </c>
      <c r="X31">
        <f>IF($U31="","",COUNTIFS(Zuständigkeiten!$AG$5:$AG$400,"●",Zuständigkeiten!$F$5:$F$400,"ja")+IF(COUNTIFS(Zuständigkeiten!$AG$5:$AG$400,"●",Zuständigkeiten!$B$5:$B$400,"7V?")&gt;0,1,0)+IF(COUNTIFS(Zuständigkeiten!$AG$5:$AG$400,"●",Zuständigkeiten!$B$5:$B$400,"7O?")&gt;0,1,0))</f>
        <v>0</v>
      </c>
      <c r="Y31">
        <f>IF(AND($U31&lt;&gt;"",N(X31)&gt;0),1,0)</f>
        <v>0</v>
      </c>
      <c r="Z31">
        <f>IF(Y31=1,SUM($Y$7:Y31),"")</f>
        <v>0</v>
      </c>
      <c r="AA31">
        <f>IF(22&lt;=$Z$5,"P",IF(22=$Z$5+1,"G",""))</f>
        <v>0</v>
      </c>
    </row>
    <row r="32" spans="2:27" ht="16.5" customHeight="1">
      <c r="B32" s="11" t="s">
        <v>1331</v>
      </c>
      <c r="G32" s="11">
        <f>IF($AA32="P",INDEX($U$7:$U$36,MATCH(23,$Z$7:$Z$36,0)),IF($AA32="G","Gesamt (Werte)",""))</f>
        <v>0</v>
      </c>
      <c r="H32" s="12">
        <f>IF($AA32="P",INDEX($V$7:$V$36,MATCH(23,$Z$7:$Z$36,0)),IF($AA32="G",COUNTIFS(Zuständigkeiten!$F$5:$F$400,"ja",Zuständigkeiten!$H$5:$H$400,"offen")+(1-BUE_V_OK)+(1-BUE_O_OK),""))</f>
        <v>0</v>
      </c>
      <c r="I32" s="12">
        <f>IF($AA32="P",INDEX($W$7:$W$36,MATCH(23,$Z$7:$Z$36,0)),IF($AA32="G",COUNTIFS(Zuständigkeiten!$F$5:$F$400,"ja",Zuständigkeiten!$H$5:$H$400,"erledigt")+BUE_V_OK+BUE_O_OK,""))</f>
        <v>0</v>
      </c>
      <c r="J32" s="12">
        <f>IF($AA32="P",INDEX($X$7:$X$36,MATCH(23,$Z$7:$Z$36,0)),IF($AA32="G",COUNTIF(Zuständigkeiten!$F$5:$F$400,"ja")+2,""))</f>
        <v>0</v>
      </c>
      <c r="U32">
        <f>IF(Konfiguration!$B$53="","",Konfiguration!$B$53)</f>
        <v>0</v>
      </c>
      <c r="V32">
        <f>IF($U32="","",COUNTIFS(Zuständigkeiten!$AH$5:$AH$400,"●",Zuständigkeiten!$F$5:$F$400,"ja",Zuständigkeiten!$H$5:$H$400,"offen")+IF(COUNTIFS(Zuständigkeiten!$AH$5:$AH$400,"●",Zuständigkeiten!$B$5:$B$400,"7V?")&gt;0,1-BUE_V_OK,0)+IF(COUNTIFS(Zuständigkeiten!$AH$5:$AH$400,"●",Zuständigkeiten!$B$5:$B$400,"7O?")&gt;0,1-BUE_O_OK,0))</f>
        <v>0</v>
      </c>
      <c r="W32">
        <f>IF($U32="","",COUNTIFS(Zuständigkeiten!$AH$5:$AH$400,"●",Zuständigkeiten!$F$5:$F$400,"ja",Zuständigkeiten!$H$5:$H$400,"erledigt")+IF(COUNTIFS(Zuständigkeiten!$AH$5:$AH$400,"●",Zuständigkeiten!$B$5:$B$400,"7V?")&gt;0,BUE_V_OK,0)+IF(COUNTIFS(Zuständigkeiten!$AH$5:$AH$400,"●",Zuständigkeiten!$B$5:$B$400,"7O?")&gt;0,BUE_O_OK,0))</f>
        <v>0</v>
      </c>
      <c r="X32">
        <f>IF($U32="","",COUNTIFS(Zuständigkeiten!$AH$5:$AH$400,"●",Zuständigkeiten!$F$5:$F$400,"ja")+IF(COUNTIFS(Zuständigkeiten!$AH$5:$AH$400,"●",Zuständigkeiten!$B$5:$B$400,"7V?")&gt;0,1,0)+IF(COUNTIFS(Zuständigkeiten!$AH$5:$AH$400,"●",Zuständigkeiten!$B$5:$B$400,"7O?")&gt;0,1,0))</f>
        <v>0</v>
      </c>
      <c r="Y32">
        <f>IF(AND($U32&lt;&gt;"",N(X32)&gt;0),1,0)</f>
        <v>0</v>
      </c>
      <c r="Z32">
        <f>IF(Y32=1,SUM($Y$7:Y32),"")</f>
        <v>0</v>
      </c>
      <c r="AA32">
        <f>IF(23&lt;=$Z$5,"P",IF(23=$Z$5+1,"G",""))</f>
        <v>0</v>
      </c>
    </row>
    <row r="33" spans="7:27" ht="16.5" customHeight="1">
      <c r="G33" s="11">
        <f>IF($AA33="P",INDEX($U$7:$U$36,MATCH(24,$Z$7:$Z$36,0)),IF($AA33="G","Gesamt (Werte)",""))</f>
        <v>0</v>
      </c>
      <c r="H33" s="12">
        <f>IF($AA33="P",INDEX($V$7:$V$36,MATCH(24,$Z$7:$Z$36,0)),IF($AA33="G",COUNTIFS(Zuständigkeiten!$F$5:$F$400,"ja",Zuständigkeiten!$H$5:$H$400,"offen")+(1-BUE_V_OK)+(1-BUE_O_OK),""))</f>
        <v>0</v>
      </c>
      <c r="I33" s="12">
        <f>IF($AA33="P",INDEX($W$7:$W$36,MATCH(24,$Z$7:$Z$36,0)),IF($AA33="G",COUNTIFS(Zuständigkeiten!$F$5:$F$400,"ja",Zuständigkeiten!$H$5:$H$400,"erledigt")+BUE_V_OK+BUE_O_OK,""))</f>
        <v>0</v>
      </c>
      <c r="J33" s="12">
        <f>IF($AA33="P",INDEX($X$7:$X$36,MATCH(24,$Z$7:$Z$36,0)),IF($AA33="G",COUNTIF(Zuständigkeiten!$F$5:$F$400,"ja")+2,""))</f>
        <v>0</v>
      </c>
      <c r="U33">
        <f>IF(Konfiguration!$B$54="","",Konfiguration!$B$54)</f>
        <v>0</v>
      </c>
      <c r="V33">
        <f>IF($U33="","",COUNTIFS(Zuständigkeiten!$AI$5:$AI$400,"●",Zuständigkeiten!$F$5:$F$400,"ja",Zuständigkeiten!$H$5:$H$400,"offen")+IF(COUNTIFS(Zuständigkeiten!$AI$5:$AI$400,"●",Zuständigkeiten!$B$5:$B$400,"7V?")&gt;0,1-BUE_V_OK,0)+IF(COUNTIFS(Zuständigkeiten!$AI$5:$AI$400,"●",Zuständigkeiten!$B$5:$B$400,"7O?")&gt;0,1-BUE_O_OK,0))</f>
        <v>0</v>
      </c>
      <c r="W33">
        <f>IF($U33="","",COUNTIFS(Zuständigkeiten!$AI$5:$AI$400,"●",Zuständigkeiten!$F$5:$F$400,"ja",Zuständigkeiten!$H$5:$H$400,"erledigt")+IF(COUNTIFS(Zuständigkeiten!$AI$5:$AI$400,"●",Zuständigkeiten!$B$5:$B$400,"7V?")&gt;0,BUE_V_OK,0)+IF(COUNTIFS(Zuständigkeiten!$AI$5:$AI$400,"●",Zuständigkeiten!$B$5:$B$400,"7O?")&gt;0,BUE_O_OK,0))</f>
        <v>0</v>
      </c>
      <c r="X33">
        <f>IF($U33="","",COUNTIFS(Zuständigkeiten!$AI$5:$AI$400,"●",Zuständigkeiten!$F$5:$F$400,"ja")+IF(COUNTIFS(Zuständigkeiten!$AI$5:$AI$400,"●",Zuständigkeiten!$B$5:$B$400,"7V?")&gt;0,1,0)+IF(COUNTIFS(Zuständigkeiten!$AI$5:$AI$400,"●",Zuständigkeiten!$B$5:$B$400,"7O?")&gt;0,1,0))</f>
        <v>0</v>
      </c>
      <c r="Y33">
        <f>IF(AND($U33&lt;&gt;"",N(X33)&gt;0),1,0)</f>
        <v>0</v>
      </c>
      <c r="Z33">
        <f>IF(Y33=1,SUM($Y$7:Y33),"")</f>
        <v>0</v>
      </c>
      <c r="AA33">
        <f>IF(24&lt;=$Z$5,"P",IF(24=$Z$5+1,"G",""))</f>
        <v>0</v>
      </c>
    </row>
    <row r="34" spans="7:27" ht="16.5" customHeight="1">
      <c r="G34" s="11">
        <f>IF($AA34="P",INDEX($U$7:$U$36,MATCH(25,$Z$7:$Z$36,0)),IF($AA34="G","Gesamt (Werte)",""))</f>
        <v>0</v>
      </c>
      <c r="H34" s="12">
        <f>IF($AA34="P",INDEX($V$7:$V$36,MATCH(25,$Z$7:$Z$36,0)),IF($AA34="G",COUNTIFS(Zuständigkeiten!$F$5:$F$400,"ja",Zuständigkeiten!$H$5:$H$400,"offen")+(1-BUE_V_OK)+(1-BUE_O_OK),""))</f>
        <v>0</v>
      </c>
      <c r="I34" s="12">
        <f>IF($AA34="P",INDEX($W$7:$W$36,MATCH(25,$Z$7:$Z$36,0)),IF($AA34="G",COUNTIFS(Zuständigkeiten!$F$5:$F$400,"ja",Zuständigkeiten!$H$5:$H$400,"erledigt")+BUE_V_OK+BUE_O_OK,""))</f>
        <v>0</v>
      </c>
      <c r="J34" s="12">
        <f>IF($AA34="P",INDEX($X$7:$X$36,MATCH(25,$Z$7:$Z$36,0)),IF($AA34="G",COUNTIF(Zuständigkeiten!$F$5:$F$400,"ja")+2,""))</f>
        <v>0</v>
      </c>
      <c r="U34">
        <f>IF(Konfiguration!$B$55="","",Konfiguration!$B$55)</f>
        <v>0</v>
      </c>
      <c r="V34">
        <f>IF($U34="","",COUNTIFS(Zuständigkeiten!$AJ$5:$AJ$400,"●",Zuständigkeiten!$F$5:$F$400,"ja",Zuständigkeiten!$H$5:$H$400,"offen")+IF(COUNTIFS(Zuständigkeiten!$AJ$5:$AJ$400,"●",Zuständigkeiten!$B$5:$B$400,"7V?")&gt;0,1-BUE_V_OK,0)+IF(COUNTIFS(Zuständigkeiten!$AJ$5:$AJ$400,"●",Zuständigkeiten!$B$5:$B$400,"7O?")&gt;0,1-BUE_O_OK,0))</f>
        <v>0</v>
      </c>
      <c r="W34">
        <f>IF($U34="","",COUNTIFS(Zuständigkeiten!$AJ$5:$AJ$400,"●",Zuständigkeiten!$F$5:$F$400,"ja",Zuständigkeiten!$H$5:$H$400,"erledigt")+IF(COUNTIFS(Zuständigkeiten!$AJ$5:$AJ$400,"●",Zuständigkeiten!$B$5:$B$400,"7V?")&gt;0,BUE_V_OK,0)+IF(COUNTIFS(Zuständigkeiten!$AJ$5:$AJ$400,"●",Zuständigkeiten!$B$5:$B$400,"7O?")&gt;0,BUE_O_OK,0))</f>
        <v>0</v>
      </c>
      <c r="X34">
        <f>IF($U34="","",COUNTIFS(Zuständigkeiten!$AJ$5:$AJ$400,"●",Zuständigkeiten!$F$5:$F$400,"ja")+IF(COUNTIFS(Zuständigkeiten!$AJ$5:$AJ$400,"●",Zuständigkeiten!$B$5:$B$400,"7V?")&gt;0,1,0)+IF(COUNTIFS(Zuständigkeiten!$AJ$5:$AJ$400,"●",Zuständigkeiten!$B$5:$B$400,"7O?")&gt;0,1,0))</f>
        <v>0</v>
      </c>
      <c r="Y34">
        <f>IF(AND($U34&lt;&gt;"",N(X34)&gt;0),1,0)</f>
        <v>0</v>
      </c>
      <c r="Z34">
        <f>IF(Y34=1,SUM($Y$7:Y34),"")</f>
        <v>0</v>
      </c>
      <c r="AA34">
        <f>IF(25&lt;=$Z$5,"P",IF(25=$Z$5+1,"G",""))</f>
        <v>0</v>
      </c>
    </row>
    <row r="35" spans="7:27" ht="16.5" customHeight="1">
      <c r="G35" s="11">
        <f>IF($AA35="P",INDEX($U$7:$U$36,MATCH(26,$Z$7:$Z$36,0)),IF($AA35="G","Gesamt (Werte)",""))</f>
        <v>0</v>
      </c>
      <c r="H35" s="12">
        <f>IF($AA35="P",INDEX($V$7:$V$36,MATCH(26,$Z$7:$Z$36,0)),IF($AA35="G",COUNTIFS(Zuständigkeiten!$F$5:$F$400,"ja",Zuständigkeiten!$H$5:$H$400,"offen")+(1-BUE_V_OK)+(1-BUE_O_OK),""))</f>
        <v>0</v>
      </c>
      <c r="I35" s="12">
        <f>IF($AA35="P",INDEX($W$7:$W$36,MATCH(26,$Z$7:$Z$36,0)),IF($AA35="G",COUNTIFS(Zuständigkeiten!$F$5:$F$400,"ja",Zuständigkeiten!$H$5:$H$400,"erledigt")+BUE_V_OK+BUE_O_OK,""))</f>
        <v>0</v>
      </c>
      <c r="J35" s="12">
        <f>IF($AA35="P",INDEX($X$7:$X$36,MATCH(26,$Z$7:$Z$36,0)),IF($AA35="G",COUNTIF(Zuständigkeiten!$F$5:$F$400,"ja")+2,""))</f>
        <v>0</v>
      </c>
      <c r="U35">
        <f>IF(Konfiguration!$B$56="","",Konfiguration!$B$56)</f>
        <v>0</v>
      </c>
      <c r="V35">
        <f>IF($U35="","",COUNTIFS(Zuständigkeiten!$AK$5:$AK$400,"●",Zuständigkeiten!$F$5:$F$400,"ja",Zuständigkeiten!$H$5:$H$400,"offen")+IF(COUNTIFS(Zuständigkeiten!$AK$5:$AK$400,"●",Zuständigkeiten!$B$5:$B$400,"7V?")&gt;0,1-BUE_V_OK,0)+IF(COUNTIFS(Zuständigkeiten!$AK$5:$AK$400,"●",Zuständigkeiten!$B$5:$B$400,"7O?")&gt;0,1-BUE_O_OK,0))</f>
        <v>0</v>
      </c>
      <c r="W35">
        <f>IF($U35="","",COUNTIFS(Zuständigkeiten!$AK$5:$AK$400,"●",Zuständigkeiten!$F$5:$F$400,"ja",Zuständigkeiten!$H$5:$H$400,"erledigt")+IF(COUNTIFS(Zuständigkeiten!$AK$5:$AK$400,"●",Zuständigkeiten!$B$5:$B$400,"7V?")&gt;0,BUE_V_OK,0)+IF(COUNTIFS(Zuständigkeiten!$AK$5:$AK$400,"●",Zuständigkeiten!$B$5:$B$400,"7O?")&gt;0,BUE_O_OK,0))</f>
        <v>0</v>
      </c>
      <c r="X35">
        <f>IF($U35="","",COUNTIFS(Zuständigkeiten!$AK$5:$AK$400,"●",Zuständigkeiten!$F$5:$F$400,"ja")+IF(COUNTIFS(Zuständigkeiten!$AK$5:$AK$400,"●",Zuständigkeiten!$B$5:$B$400,"7V?")&gt;0,1,0)+IF(COUNTIFS(Zuständigkeiten!$AK$5:$AK$400,"●",Zuständigkeiten!$B$5:$B$400,"7O?")&gt;0,1,0))</f>
        <v>0</v>
      </c>
      <c r="Y35">
        <f>IF(AND($U35&lt;&gt;"",N(X35)&gt;0),1,0)</f>
        <v>0</v>
      </c>
      <c r="Z35">
        <f>IF(Y35=1,SUM($Y$7:Y35),"")</f>
        <v>0</v>
      </c>
      <c r="AA35">
        <f>IF(26&lt;=$Z$5,"P",IF(26=$Z$5+1,"G",""))</f>
        <v>0</v>
      </c>
    </row>
    <row r="36" spans="7:27" ht="16.5" customHeight="1">
      <c r="G36" s="11">
        <f>IF($AA36="P",INDEX($U$7:$U$36,MATCH(27,$Z$7:$Z$36,0)),IF($AA36="G","Gesamt (Werte)",""))</f>
        <v>0</v>
      </c>
      <c r="H36" s="12">
        <f>IF($AA36="P",INDEX($V$7:$V$36,MATCH(27,$Z$7:$Z$36,0)),IF($AA36="G",COUNTIFS(Zuständigkeiten!$F$5:$F$400,"ja",Zuständigkeiten!$H$5:$H$400,"offen")+(1-BUE_V_OK)+(1-BUE_O_OK),""))</f>
        <v>0</v>
      </c>
      <c r="I36" s="12">
        <f>IF($AA36="P",INDEX($W$7:$W$36,MATCH(27,$Z$7:$Z$36,0)),IF($AA36="G",COUNTIFS(Zuständigkeiten!$F$5:$F$400,"ja",Zuständigkeiten!$H$5:$H$400,"erledigt")+BUE_V_OK+BUE_O_OK,""))</f>
        <v>0</v>
      </c>
      <c r="J36" s="12">
        <f>IF($AA36="P",INDEX($X$7:$X$36,MATCH(27,$Z$7:$Z$36,0)),IF($AA36="G",COUNTIF(Zuständigkeiten!$F$5:$F$400,"ja")+2,""))</f>
        <v>0</v>
      </c>
      <c r="U36">
        <f>IF(Konfiguration!$B$57="","",Konfiguration!$B$57)</f>
        <v>0</v>
      </c>
      <c r="V36">
        <f>IF($U36="","",COUNTIFS(Zuständigkeiten!$AL$5:$AL$400,"●",Zuständigkeiten!$F$5:$F$400,"ja",Zuständigkeiten!$H$5:$H$400,"offen")+IF(COUNTIFS(Zuständigkeiten!$AL$5:$AL$400,"●",Zuständigkeiten!$B$5:$B$400,"7V?")&gt;0,1-BUE_V_OK,0)+IF(COUNTIFS(Zuständigkeiten!$AL$5:$AL$400,"●",Zuständigkeiten!$B$5:$B$400,"7O?")&gt;0,1-BUE_O_OK,0))</f>
        <v>0</v>
      </c>
      <c r="W36">
        <f>IF($U36="","",COUNTIFS(Zuständigkeiten!$AL$5:$AL$400,"●",Zuständigkeiten!$F$5:$F$400,"ja",Zuständigkeiten!$H$5:$H$400,"erledigt")+IF(COUNTIFS(Zuständigkeiten!$AL$5:$AL$400,"●",Zuständigkeiten!$B$5:$B$400,"7V?")&gt;0,BUE_V_OK,0)+IF(COUNTIFS(Zuständigkeiten!$AL$5:$AL$400,"●",Zuständigkeiten!$B$5:$B$400,"7O?")&gt;0,BUE_O_OK,0))</f>
        <v>0</v>
      </c>
      <c r="X36">
        <f>IF($U36="","",COUNTIFS(Zuständigkeiten!$AL$5:$AL$400,"●",Zuständigkeiten!$F$5:$F$400,"ja")+IF(COUNTIFS(Zuständigkeiten!$AL$5:$AL$400,"●",Zuständigkeiten!$B$5:$B$400,"7V?")&gt;0,1,0)+IF(COUNTIFS(Zuständigkeiten!$AL$5:$AL$400,"●",Zuständigkeiten!$B$5:$B$400,"7O?")&gt;0,1,0))</f>
        <v>0</v>
      </c>
      <c r="Y36">
        <f>IF(AND($U36&lt;&gt;"",N(X36)&gt;0),1,0)</f>
        <v>0</v>
      </c>
      <c r="Z36">
        <f>IF(Y36=1,SUM($Y$7:Y36),"")</f>
        <v>0</v>
      </c>
      <c r="AA36">
        <f>IF(27&lt;=$Z$5,"P",IF(27=$Z$5+1,"G",""))</f>
        <v>0</v>
      </c>
    </row>
    <row r="37" spans="7:27" ht="16.5" customHeight="1">
      <c r="G37" s="11">
        <f>IF($AA37="P",INDEX($U$7:$U$36,MATCH(28,$Z$7:$Z$36,0)),IF($AA37="G","Gesamt (Werte)",""))</f>
        <v>0</v>
      </c>
      <c r="H37" s="12">
        <f>IF($AA37="P",INDEX($V$7:$V$36,MATCH(28,$Z$7:$Z$36,0)),IF($AA37="G",COUNTIFS(Zuständigkeiten!$F$5:$F$400,"ja",Zuständigkeiten!$H$5:$H$400,"offen")+(1-BUE_V_OK)+(1-BUE_O_OK),""))</f>
        <v>0</v>
      </c>
      <c r="I37" s="12">
        <f>IF($AA37="P",INDEX($W$7:$W$36,MATCH(28,$Z$7:$Z$36,0)),IF($AA37="G",COUNTIFS(Zuständigkeiten!$F$5:$F$400,"ja",Zuständigkeiten!$H$5:$H$400,"erledigt")+BUE_V_OK+BUE_O_OK,""))</f>
        <v>0</v>
      </c>
      <c r="J37" s="12">
        <f>IF($AA37="P",INDEX($X$7:$X$36,MATCH(28,$Z$7:$Z$36,0)),IF($AA37="G",COUNTIF(Zuständigkeiten!$F$5:$F$400,"ja")+2,""))</f>
        <v>0</v>
      </c>
      <c r="AA37">
        <f>IF(28&lt;=$Z$5,"P",IF(28=$Z$5+1,"G",""))</f>
        <v>0</v>
      </c>
    </row>
    <row r="38" spans="7:27" ht="16.5" customHeight="1">
      <c r="G38" s="11">
        <f>IF($AA38="P",INDEX($U$7:$U$36,MATCH(29,$Z$7:$Z$36,0)),IF($AA38="G","Gesamt (Werte)",""))</f>
        <v>0</v>
      </c>
      <c r="H38" s="12">
        <f>IF($AA38="P",INDEX($V$7:$V$36,MATCH(29,$Z$7:$Z$36,0)),IF($AA38="G",COUNTIFS(Zuständigkeiten!$F$5:$F$400,"ja",Zuständigkeiten!$H$5:$H$400,"offen")+(1-BUE_V_OK)+(1-BUE_O_OK),""))</f>
        <v>0</v>
      </c>
      <c r="I38" s="12">
        <f>IF($AA38="P",INDEX($W$7:$W$36,MATCH(29,$Z$7:$Z$36,0)),IF($AA38="G",COUNTIFS(Zuständigkeiten!$F$5:$F$400,"ja",Zuständigkeiten!$H$5:$H$400,"erledigt")+BUE_V_OK+BUE_O_OK,""))</f>
        <v>0</v>
      </c>
      <c r="J38" s="12">
        <f>IF($AA38="P",INDEX($X$7:$X$36,MATCH(29,$Z$7:$Z$36,0)),IF($AA38="G",COUNTIF(Zuständigkeiten!$F$5:$F$400,"ja")+2,""))</f>
        <v>0</v>
      </c>
      <c r="AA38">
        <f>IF(29&lt;=$Z$5,"P",IF(29=$Z$5+1,"G",""))</f>
        <v>0</v>
      </c>
    </row>
    <row r="39" spans="7:27" ht="16.5" customHeight="1">
      <c r="G39" s="11">
        <f>IF($AA39="P",INDEX($U$7:$U$36,MATCH(30,$Z$7:$Z$36,0)),IF($AA39="G","Gesamt (Werte)",""))</f>
        <v>0</v>
      </c>
      <c r="H39" s="12">
        <f>IF($AA39="P",INDEX($V$7:$V$36,MATCH(30,$Z$7:$Z$36,0)),IF($AA39="G",COUNTIFS(Zuständigkeiten!$F$5:$F$400,"ja",Zuständigkeiten!$H$5:$H$400,"offen")+(1-BUE_V_OK)+(1-BUE_O_OK),""))</f>
        <v>0</v>
      </c>
      <c r="I39" s="12">
        <f>IF($AA39="P",INDEX($W$7:$W$36,MATCH(30,$Z$7:$Z$36,0)),IF($AA39="G",COUNTIFS(Zuständigkeiten!$F$5:$F$400,"ja",Zuständigkeiten!$H$5:$H$400,"erledigt")+BUE_V_OK+BUE_O_OK,""))</f>
        <v>0</v>
      </c>
      <c r="J39" s="12">
        <f>IF($AA39="P",INDEX($X$7:$X$36,MATCH(30,$Z$7:$Z$36,0)),IF($AA39="G",COUNTIF(Zuständigkeiten!$F$5:$F$400,"ja")+2,""))</f>
        <v>0</v>
      </c>
      <c r="AA39">
        <f>IF(30&lt;=$Z$5,"P",IF(30=$Z$5+1,"G",""))</f>
        <v>0</v>
      </c>
    </row>
    <row r="40" spans="7:27" ht="16.5" customHeight="1">
      <c r="G40" s="11">
        <f>IF($AA40="P",INDEX($U$7:$U$36,MATCH(31,$Z$7:$Z$36,0)),IF($AA40="G","Gesamt (Werte)",""))</f>
        <v>0</v>
      </c>
      <c r="H40" s="12">
        <f>IF($AA40="P",INDEX($V$7:$V$36,MATCH(31,$Z$7:$Z$36,0)),IF($AA40="G",COUNTIFS(Zuständigkeiten!$F$5:$F$400,"ja",Zuständigkeiten!$H$5:$H$400,"offen")+(1-BUE_V_OK)+(1-BUE_O_OK),""))</f>
        <v>0</v>
      </c>
      <c r="I40" s="12">
        <f>IF($AA40="P",INDEX($W$7:$W$36,MATCH(31,$Z$7:$Z$36,0)),IF($AA40="G",COUNTIFS(Zuständigkeiten!$F$5:$F$400,"ja",Zuständigkeiten!$H$5:$H$400,"erledigt")+BUE_V_OK+BUE_O_OK,""))</f>
        <v>0</v>
      </c>
      <c r="J40" s="12">
        <f>IF($AA40="P",INDEX($X$7:$X$36,MATCH(31,$Z$7:$Z$36,0)),IF($AA40="G",COUNTIF(Zuständigkeiten!$F$5:$F$400,"ja")+2,""))</f>
        <v>0</v>
      </c>
      <c r="AA40">
        <f>IF(31&lt;=$Z$5,"P",IF(31=$Z$5+1,"G",""))</f>
        <v>0</v>
      </c>
    </row>
  </sheetData>
  <mergeCells count="1">
    <mergeCell ref="B6:C6"/>
  </mergeCells>
  <conditionalFormatting sqref="G10:J40">
    <cfRule type="expression" dxfId="13" priority="2">
      <formula>$AA10="P"</formula>
    </cfRule>
    <cfRule type="expression" dxfId="15" priority="4">
      <formula>$AA10="G"</formula>
    </cfRule>
  </conditionalFormatting>
  <conditionalFormatting sqref="H10:H40">
    <cfRule type="expression" dxfId="12" priority="1">
      <formula>AND($AA10="P",N($H10)&gt;0)</formula>
    </cfRule>
    <cfRule type="expression" dxfId="14" priority="3">
      <formula>AND($AA10="G",N($H10)&gt;0)</formula>
    </cfRule>
  </conditionalFormatting>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sheetPr codeName="Uebersicht">
    <tabColor rgb="FF3B4F8A"/>
  </sheetPr>
  <dimension ref="B1:H37"/>
  <sheetViews>
    <sheetView showGridLines="0" workbookViewId="0">
      <pane ySplit="4" topLeftCell="A5" activePane="bottomLeft" state="frozen"/>
      <selection pane="bottomLeft"/>
    </sheetView>
  </sheetViews>
  <sheetFormatPr defaultRowHeight="15"/>
  <cols>
    <col min="1" max="1" width="2.7109375" customWidth="1"/>
    <col min="2" max="2" width="7.7109375" customWidth="1"/>
    <col min="3" max="3" width="52.7109375" customWidth="1"/>
    <col min="4" max="9" width="14.7109375" customWidth="1"/>
  </cols>
  <sheetData>
    <row r="1" spans="2:8">
      <c r="B1" s="13" t="s">
        <v>1209</v>
      </c>
    </row>
    <row r="2" spans="2:8">
      <c r="B2" s="2">
        <f>"Letzter und davor liegender Eintrag je Kennzahl · Berichtstag "&amp;TEXT(DAY(Berichtstag),"00")&amp;"."&amp;TEXT(MONTH(Berichtstag),"00")&amp;"."&amp;YEAR(Berichtstag)</f>
        <v>0</v>
      </c>
    </row>
    <row r="4" spans="2:8" ht="22" customHeight="1">
      <c r="B4" s="9" t="s">
        <v>694</v>
      </c>
      <c r="C4" s="9" t="s">
        <v>695</v>
      </c>
      <c r="D4" s="10" t="s">
        <v>1210</v>
      </c>
      <c r="E4" s="10" t="s">
        <v>1211</v>
      </c>
      <c r="F4" s="10" t="s">
        <v>1212</v>
      </c>
      <c r="G4" s="10" t="s">
        <v>1211</v>
      </c>
      <c r="H4" s="10" t="s">
        <v>1213</v>
      </c>
    </row>
    <row r="5" spans="2:8">
      <c r="B5" s="14" t="s">
        <v>102</v>
      </c>
      <c r="C5" s="15" t="s">
        <v>1103</v>
      </c>
      <c r="D5" s="16">
        <f t="array" ref="D5">IFERROR(LOOKUP(2,1/(ISNUMBER(Rohdaten!$I$64:$LG$64)*ISNUMBER(Rohdaten!$I$1:$LG$1)),Rohdaten!$I$1:$LG$1),"")</f>
        <v>0</v>
      </c>
      <c r="E5" s="17">
        <f>IF(D5="","",INDEX(Rohdaten!$I$64:$LG$64,MATCH(D5,Rohdaten!$I$1:$LG$1,0)))</f>
        <v>0</v>
      </c>
      <c r="F5" s="16">
        <f t="array" ref="F5">IF(D5="","",IFERROR(LOOKUP(2,1/(ISNUMBER(Rohdaten!$I$64:$LG$64)*ISNUMBER(Rohdaten!$I$1:$LG$1)*(Rohdaten!$I$1:$LG$1&lt;D5)),Rohdaten!$I$1:$LG$1),""))</f>
        <v>0</v>
      </c>
      <c r="G5" s="17">
        <f>IF(F5="","",INDEX(Rohdaten!$I$64:$LG$64,MATCH(F5,Rohdaten!$I$1:$LG$1,0)))</f>
        <v>0</v>
      </c>
      <c r="H5" s="18">
        <f>IF(OR(E5="",G5=""),"",E5-G5)</f>
        <v>0</v>
      </c>
    </row>
    <row r="6" spans="2:8">
      <c r="B6" s="14" t="s">
        <v>837</v>
      </c>
      <c r="C6" s="15" t="s">
        <v>1214</v>
      </c>
      <c r="D6" s="16">
        <f t="array" ref="D6">IFERROR(LOOKUP(2,1/(ISNUMBER(Rohdaten!$I$92:$LG$92)*ISNUMBER(Rohdaten!$I$1:$LG$1)),Rohdaten!$I$1:$LG$1),"")</f>
        <v>0</v>
      </c>
      <c r="E6" s="17">
        <f>IF(D6="","",INDEX(Rohdaten!$I$92:$LG$92,MATCH(D6,Rohdaten!$I$1:$LG$1,0)))</f>
        <v>0</v>
      </c>
      <c r="F6" s="16">
        <f t="array" ref="F6">IF(D6="","",IFERROR(LOOKUP(2,1/(ISNUMBER(Rohdaten!$I$92:$LG$92)*ISNUMBER(Rohdaten!$I$1:$LG$1)*(Rohdaten!$I$1:$LG$1&lt;D6)),Rohdaten!$I$1:$LG$1),""))</f>
        <v>0</v>
      </c>
      <c r="G6" s="17">
        <f>IF(F6="","",INDEX(Rohdaten!$I$92:$LG$92,MATCH(F6,Rohdaten!$I$1:$LG$1,0)))</f>
        <v>0</v>
      </c>
      <c r="H6" s="18">
        <f>IF(OR(E6="",G6=""),"",E6-G6)</f>
        <v>0</v>
      </c>
    </row>
    <row r="7" spans="2:8">
      <c r="B7" s="14" t="s">
        <v>840</v>
      </c>
      <c r="C7" s="15" t="s">
        <v>1215</v>
      </c>
      <c r="D7" s="16">
        <f t="array" ref="D7">IFERROR(LOOKUP(2,1/(ISNUMBER(Rohdaten!$I$93:$LG$93)*ISNUMBER(Rohdaten!$I$1:$LG$1)),Rohdaten!$I$1:$LG$1),"")</f>
        <v>0</v>
      </c>
      <c r="E7" s="17">
        <f>IF(D7="","",INDEX(Rohdaten!$I$93:$LG$93,MATCH(D7,Rohdaten!$I$1:$LG$1,0)))</f>
        <v>0</v>
      </c>
      <c r="F7" s="16">
        <f t="array" ref="F7">IF(D7="","",IFERROR(LOOKUP(2,1/(ISNUMBER(Rohdaten!$I$93:$LG$93)*ISNUMBER(Rohdaten!$I$1:$LG$1)*(Rohdaten!$I$1:$LG$1&lt;D7)),Rohdaten!$I$1:$LG$1),""))</f>
        <v>0</v>
      </c>
      <c r="G7" s="17">
        <f>IF(F7="","",INDEX(Rohdaten!$I$93:$LG$93,MATCH(F7,Rohdaten!$I$1:$LG$1,0)))</f>
        <v>0</v>
      </c>
      <c r="H7" s="18">
        <f>IF(OR(E7="",G7=""),"",E7-G7)</f>
        <v>0</v>
      </c>
    </row>
    <row r="8" spans="2:8">
      <c r="B8" s="14" t="s">
        <v>105</v>
      </c>
      <c r="C8" s="15" t="s">
        <v>1216</v>
      </c>
      <c r="D8" s="16">
        <f t="array" ref="D8">IFERROR(LOOKUP(2,1/(ISNUMBER(Rohdaten!$I$105:$LG$105)*ISNUMBER(Rohdaten!$I$1:$LG$1)),Rohdaten!$I$1:$LG$1),"")</f>
        <v>0</v>
      </c>
      <c r="E8" s="17">
        <f>IF(D8="","",INDEX(Rohdaten!$I$105:$LG$105,MATCH(D8,Rohdaten!$I$1:$LG$1,0)))</f>
        <v>0</v>
      </c>
      <c r="F8" s="16">
        <f t="array" ref="F8">IF(D8="","",IFERROR(LOOKUP(2,1/(ISNUMBER(Rohdaten!$I$105:$LG$105)*ISNUMBER(Rohdaten!$I$1:$LG$1)*(Rohdaten!$I$1:$LG$1&lt;D8)),Rohdaten!$I$1:$LG$1),""))</f>
        <v>0</v>
      </c>
      <c r="G8" s="17">
        <f>IF(F8="","",INDEX(Rohdaten!$I$105:$LG$105,MATCH(F8,Rohdaten!$I$1:$LG$1,0)))</f>
        <v>0</v>
      </c>
      <c r="H8" s="18">
        <f>IF(OR(E8="",G8=""),"",E8-G8)</f>
        <v>0</v>
      </c>
    </row>
    <row r="9" spans="2:8">
      <c r="B9" s="14" t="s">
        <v>872</v>
      </c>
      <c r="C9" s="15" t="s">
        <v>1217</v>
      </c>
      <c r="D9" s="16">
        <f t="array" ref="D9">IFERROR(LOOKUP(2,1/(ISNUMBER(Rohdaten!$I$112:$LG$112)*ISNUMBER(Rohdaten!$I$1:$LG$1)),Rohdaten!$I$1:$LG$1),"")</f>
        <v>0</v>
      </c>
      <c r="E9" s="17">
        <f>IF(D9="","",INDEX(Rohdaten!$I$112:$LG$112,MATCH(D9,Rohdaten!$I$1:$LG$1,0)))</f>
        <v>0</v>
      </c>
      <c r="F9" s="16">
        <f t="array" ref="F9">IF(D9="","",IFERROR(LOOKUP(2,1/(ISNUMBER(Rohdaten!$I$112:$LG$112)*ISNUMBER(Rohdaten!$I$1:$LG$1)*(Rohdaten!$I$1:$LG$1&lt;D9)),Rohdaten!$I$1:$LG$1),""))</f>
        <v>0</v>
      </c>
      <c r="G9" s="17">
        <f>IF(F9="","",INDEX(Rohdaten!$I$112:$LG$112,MATCH(F9,Rohdaten!$I$1:$LG$1,0)))</f>
        <v>0</v>
      </c>
      <c r="H9" s="18">
        <f>IF(OR(E9="",G9=""),"",E9-G9)</f>
        <v>0</v>
      </c>
    </row>
    <row r="10" spans="2:8">
      <c r="B10" s="14" t="s">
        <v>108</v>
      </c>
      <c r="C10" s="15" t="s">
        <v>1218</v>
      </c>
      <c r="D10" s="16">
        <f t="array" ref="D10">IFERROR(LOOKUP(2,1/(ISNUMBER(Rohdaten!$I$113:$LG$113)*ISNUMBER(Rohdaten!$I$1:$LG$1)),Rohdaten!$I$1:$LG$1),"")</f>
        <v>0</v>
      </c>
      <c r="E10" s="17">
        <f>IF(D10="","",INDEX(Rohdaten!$I$113:$LG$113,MATCH(D10,Rohdaten!$I$1:$LG$1,0)))</f>
        <v>0</v>
      </c>
      <c r="F10" s="16">
        <f t="array" ref="F10">IF(D10="","",IFERROR(LOOKUP(2,1/(ISNUMBER(Rohdaten!$I$113:$LG$113)*ISNUMBER(Rohdaten!$I$1:$LG$1)*(Rohdaten!$I$1:$LG$1&lt;D10)),Rohdaten!$I$1:$LG$1),""))</f>
        <v>0</v>
      </c>
      <c r="G10" s="17">
        <f>IF(F10="","",INDEX(Rohdaten!$I$113:$LG$113,MATCH(F10,Rohdaten!$I$1:$LG$1,0)))</f>
        <v>0</v>
      </c>
      <c r="H10" s="18">
        <f>IF(OR(E10="",G10=""),"",E10-G10)</f>
        <v>0</v>
      </c>
    </row>
    <row r="11" spans="2:8">
      <c r="B11" s="14" t="s">
        <v>104</v>
      </c>
      <c r="C11" s="15" t="s">
        <v>1137</v>
      </c>
      <c r="D11" s="16">
        <f t="array" ref="D11">IFERROR(LOOKUP(2,1/(ISNUMBER(Rohdaten!$I$116:$LG$116)*ISNUMBER(Rohdaten!$I$1:$LG$1)),Rohdaten!$I$1:$LG$1),"")</f>
        <v>0</v>
      </c>
      <c r="E11" s="17">
        <f>IF(D11="","",INDEX(Rohdaten!$I$116:$LG$116,MATCH(D11,Rohdaten!$I$1:$LG$1,0)))</f>
        <v>0</v>
      </c>
      <c r="F11" s="16">
        <f t="array" ref="F11">IF(D11="","",IFERROR(LOOKUP(2,1/(ISNUMBER(Rohdaten!$I$116:$LG$116)*ISNUMBER(Rohdaten!$I$1:$LG$1)*(Rohdaten!$I$1:$LG$1&lt;D11)),Rohdaten!$I$1:$LG$1),""))</f>
        <v>0</v>
      </c>
      <c r="G11" s="17">
        <f>IF(F11="","",INDEX(Rohdaten!$I$116:$LG$116,MATCH(F11,Rohdaten!$I$1:$LG$1,0)))</f>
        <v>0</v>
      </c>
      <c r="H11" s="18">
        <f>IF(OR(E11="",G11=""),"",E11-G11)</f>
        <v>0</v>
      </c>
    </row>
    <row r="12" spans="2:8">
      <c r="B12" s="14" t="s">
        <v>116</v>
      </c>
      <c r="C12" s="15" t="s">
        <v>1219</v>
      </c>
      <c r="D12" s="16">
        <f t="array" ref="D12">IFERROR(LOOKUP(2,1/(ISNUMBER(Rohdaten!$I$117:$LG$117)*ISNUMBER(Rohdaten!$I$1:$LG$1)),Rohdaten!$I$1:$LG$1),"")</f>
        <v>0</v>
      </c>
      <c r="E12" s="17">
        <f>IF(D12="","",INDEX(Rohdaten!$I$117:$LG$117,MATCH(D12,Rohdaten!$I$1:$LG$1,0)))</f>
        <v>0</v>
      </c>
      <c r="F12" s="16">
        <f t="array" ref="F12">IF(D12="","",IFERROR(LOOKUP(2,1/(ISNUMBER(Rohdaten!$I$117:$LG$117)*ISNUMBER(Rohdaten!$I$1:$LG$1)*(Rohdaten!$I$1:$LG$1&lt;D12)),Rohdaten!$I$1:$LG$1),""))</f>
        <v>0</v>
      </c>
      <c r="G12" s="17">
        <f>IF(F12="","",INDEX(Rohdaten!$I$117:$LG$117,MATCH(F12,Rohdaten!$I$1:$LG$1,0)))</f>
        <v>0</v>
      </c>
      <c r="H12" s="18">
        <f>IF(OR(E12="",G12=""),"",E12-G12)</f>
        <v>0</v>
      </c>
    </row>
    <row r="13" spans="2:8">
      <c r="B13" s="14" t="s">
        <v>120</v>
      </c>
      <c r="C13" s="15" t="s">
        <v>1220</v>
      </c>
      <c r="D13" s="16">
        <f t="array" ref="D13">IFERROR(LOOKUP(2,1/(ISNUMBER(Rohdaten!$I$121:$LG$121)*ISNUMBER(Rohdaten!$I$1:$LG$1)),Rohdaten!$I$1:$LG$1),"")</f>
        <v>0</v>
      </c>
      <c r="E13" s="17">
        <f>IF(D13="","",INDEX(Rohdaten!$I$121:$LG$121,MATCH(D13,Rohdaten!$I$1:$LG$1,0)))</f>
        <v>0</v>
      </c>
      <c r="F13" s="16">
        <f t="array" ref="F13">IF(D13="","",IFERROR(LOOKUP(2,1/(ISNUMBER(Rohdaten!$I$121:$LG$121)*ISNUMBER(Rohdaten!$I$1:$LG$1)*(Rohdaten!$I$1:$LG$1&lt;D13)),Rohdaten!$I$1:$LG$1),""))</f>
        <v>0</v>
      </c>
      <c r="G13" s="17">
        <f>IF(F13="","",INDEX(Rohdaten!$I$121:$LG$121,MATCH(F13,Rohdaten!$I$1:$LG$1,0)))</f>
        <v>0</v>
      </c>
      <c r="H13" s="18">
        <f>IF(OR(E13="",G13=""),"",E13-G13)</f>
        <v>0</v>
      </c>
    </row>
    <row r="14" spans="2:8">
      <c r="B14" s="14" t="s">
        <v>121</v>
      </c>
      <c r="C14" s="15" t="s">
        <v>1221</v>
      </c>
      <c r="D14" s="16">
        <f t="array" ref="D14">IFERROR(LOOKUP(2,1/(ISNUMBER(Rohdaten!$I$125:$LG$125)*ISNUMBER(Rohdaten!$I$1:$LG$1)),Rohdaten!$I$1:$LG$1),"")</f>
        <v>0</v>
      </c>
      <c r="E14" s="17">
        <f>IF(D14="","",INDEX(Rohdaten!$I$125:$LG$125,MATCH(D14,Rohdaten!$I$1:$LG$1,0)))</f>
        <v>0</v>
      </c>
      <c r="F14" s="16">
        <f t="array" ref="F14">IF(D14="","",IFERROR(LOOKUP(2,1/(ISNUMBER(Rohdaten!$I$125:$LG$125)*ISNUMBER(Rohdaten!$I$1:$LG$1)*(Rohdaten!$I$1:$LG$1&lt;D14)),Rohdaten!$I$1:$LG$1),""))</f>
        <v>0</v>
      </c>
      <c r="G14" s="17">
        <f>IF(F14="","",INDEX(Rohdaten!$I$125:$LG$125,MATCH(F14,Rohdaten!$I$1:$LG$1,0)))</f>
        <v>0</v>
      </c>
      <c r="H14" s="18">
        <f>IF(OR(E14="",G14=""),"",E14-G14)</f>
        <v>0</v>
      </c>
    </row>
    <row r="15" spans="2:8">
      <c r="B15" s="14" t="s">
        <v>122</v>
      </c>
      <c r="C15" s="15" t="s">
        <v>1222</v>
      </c>
      <c r="D15" s="16">
        <f t="array" ref="D15">IFERROR(LOOKUP(2,1/(ISNUMBER(Rohdaten!$I$129:$LG$129)*ISNUMBER(Rohdaten!$I$1:$LG$1)),Rohdaten!$I$1:$LG$1),"")</f>
        <v>0</v>
      </c>
      <c r="E15" s="17">
        <f>IF(D15="","",INDEX(Rohdaten!$I$129:$LG$129,MATCH(D15,Rohdaten!$I$1:$LG$1,0)))</f>
        <v>0</v>
      </c>
      <c r="F15" s="16">
        <f t="array" ref="F15">IF(D15="","",IFERROR(LOOKUP(2,1/(ISNUMBER(Rohdaten!$I$129:$LG$129)*ISNUMBER(Rohdaten!$I$1:$LG$1)*(Rohdaten!$I$1:$LG$1&lt;D15)),Rohdaten!$I$1:$LG$1),""))</f>
        <v>0</v>
      </c>
      <c r="G15" s="17">
        <f>IF(F15="","",INDEX(Rohdaten!$I$129:$LG$129,MATCH(F15,Rohdaten!$I$1:$LG$1,0)))</f>
        <v>0</v>
      </c>
      <c r="H15" s="18">
        <f>IF(OR(E15="",G15=""),"",E15-G15)</f>
        <v>0</v>
      </c>
    </row>
    <row r="16" spans="2:8">
      <c r="B16" s="14" t="s">
        <v>123</v>
      </c>
      <c r="C16" s="15" t="s">
        <v>1223</v>
      </c>
      <c r="D16" s="16">
        <f t="array" ref="D16">IFERROR(LOOKUP(2,1/(ISNUMBER(Rohdaten!$I$130:$LG$130)*ISNUMBER(Rohdaten!$I$1:$LG$1)),Rohdaten!$I$1:$LG$1),"")</f>
        <v>0</v>
      </c>
      <c r="E16" s="17">
        <f>IF(D16="","",INDEX(Rohdaten!$I$130:$LG$130,MATCH(D16,Rohdaten!$I$1:$LG$1,0)))</f>
        <v>0</v>
      </c>
      <c r="F16" s="16">
        <f t="array" ref="F16">IF(D16="","",IFERROR(LOOKUP(2,1/(ISNUMBER(Rohdaten!$I$130:$LG$130)*ISNUMBER(Rohdaten!$I$1:$LG$1)*(Rohdaten!$I$1:$LG$1&lt;D16)),Rohdaten!$I$1:$LG$1),""))</f>
        <v>0</v>
      </c>
      <c r="G16" s="17">
        <f>IF(F16="","",INDEX(Rohdaten!$I$130:$LG$130,MATCH(F16,Rohdaten!$I$1:$LG$1,0)))</f>
        <v>0</v>
      </c>
      <c r="H16" s="18">
        <f>IF(OR(E16="",G16=""),"",E16-G16)</f>
        <v>0</v>
      </c>
    </row>
    <row r="17" spans="2:8">
      <c r="B17" s="14" t="s">
        <v>124</v>
      </c>
      <c r="C17" s="15" t="s">
        <v>1224</v>
      </c>
      <c r="D17" s="16">
        <f t="array" ref="D17">IFERROR(LOOKUP(2,1/(ISNUMBER(Rohdaten!$I$131:$LG$131)*ISNUMBER(Rohdaten!$I$1:$LG$1)),Rohdaten!$I$1:$LG$1),"")</f>
        <v>0</v>
      </c>
      <c r="E17" s="17">
        <f>IF(D17="","",INDEX(Rohdaten!$I$131:$LG$131,MATCH(D17,Rohdaten!$I$1:$LG$1,0)))</f>
        <v>0</v>
      </c>
      <c r="F17" s="16">
        <f t="array" ref="F17">IF(D17="","",IFERROR(LOOKUP(2,1/(ISNUMBER(Rohdaten!$I$131:$LG$131)*ISNUMBER(Rohdaten!$I$1:$LG$1)*(Rohdaten!$I$1:$LG$1&lt;D17)),Rohdaten!$I$1:$LG$1),""))</f>
        <v>0</v>
      </c>
      <c r="G17" s="17">
        <f>IF(F17="","",INDEX(Rohdaten!$I$131:$LG$131,MATCH(F17,Rohdaten!$I$1:$LG$1,0)))</f>
        <v>0</v>
      </c>
      <c r="H17" s="18">
        <f>IF(OR(E17="",G17=""),"",E17-G17)</f>
        <v>0</v>
      </c>
    </row>
    <row r="18" spans="2:8">
      <c r="B18" s="14" t="s">
        <v>125</v>
      </c>
      <c r="C18" s="15" t="s">
        <v>1225</v>
      </c>
      <c r="D18" s="16">
        <f t="array" ref="D18">IFERROR(LOOKUP(2,1/(ISNUMBER(Rohdaten!$I$132:$LG$132)*ISNUMBER(Rohdaten!$I$1:$LG$1)),Rohdaten!$I$1:$LG$1),"")</f>
        <v>0</v>
      </c>
      <c r="E18" s="17">
        <f>IF(D18="","",INDEX(Rohdaten!$I$132:$LG$132,MATCH(D18,Rohdaten!$I$1:$LG$1,0)))</f>
        <v>0</v>
      </c>
      <c r="F18" s="16">
        <f t="array" ref="F18">IF(D18="","",IFERROR(LOOKUP(2,1/(ISNUMBER(Rohdaten!$I$132:$LG$132)*ISNUMBER(Rohdaten!$I$1:$LG$1)*(Rohdaten!$I$1:$LG$1&lt;D18)),Rohdaten!$I$1:$LG$1),""))</f>
        <v>0</v>
      </c>
      <c r="G18" s="17">
        <f>IF(F18="","",INDEX(Rohdaten!$I$132:$LG$132,MATCH(F18,Rohdaten!$I$1:$LG$1,0)))</f>
        <v>0</v>
      </c>
      <c r="H18" s="18">
        <f>IF(OR(E18="",G18=""),"",E18-G18)</f>
        <v>0</v>
      </c>
    </row>
    <row r="19" spans="2:8">
      <c r="B19" s="14" t="s">
        <v>112</v>
      </c>
      <c r="C19" s="15" t="s">
        <v>1226</v>
      </c>
      <c r="D19" s="16">
        <f t="array" ref="D19">IFERROR(LOOKUP(2,1/(ISNUMBER(Rohdaten!$I$142:$LG$142)*ISNUMBER(Rohdaten!$I$1:$LG$1)),Rohdaten!$I$1:$LG$1),"")</f>
        <v>0</v>
      </c>
      <c r="E19" s="17">
        <f>IF(D19="","",INDEX(Rohdaten!$I$142:$LG$142,MATCH(D19,Rohdaten!$I$1:$LG$1,0)))</f>
        <v>0</v>
      </c>
      <c r="F19" s="16">
        <f t="array" ref="F19">IF(D19="","",IFERROR(LOOKUP(2,1/(ISNUMBER(Rohdaten!$I$142:$LG$142)*ISNUMBER(Rohdaten!$I$1:$LG$1)*(Rohdaten!$I$1:$LG$1&lt;D19)),Rohdaten!$I$1:$LG$1),""))</f>
        <v>0</v>
      </c>
      <c r="G19" s="17">
        <f>IF(F19="","",INDEX(Rohdaten!$I$142:$LG$142,MATCH(F19,Rohdaten!$I$1:$LG$1,0)))</f>
        <v>0</v>
      </c>
      <c r="H19" s="18">
        <f>IF(OR(E19="",G19=""),"",E19-G19)</f>
        <v>0</v>
      </c>
    </row>
    <row r="20" spans="2:8">
      <c r="B20" s="14" t="s">
        <v>113</v>
      </c>
      <c r="C20" s="15" t="s">
        <v>1227</v>
      </c>
      <c r="D20" s="16">
        <f t="array" ref="D20">IFERROR(LOOKUP(2,1/(ISNUMBER(Rohdaten!$I$143:$LG$143)*ISNUMBER(Rohdaten!$I$1:$LG$1)),Rohdaten!$I$1:$LG$1),"")</f>
        <v>0</v>
      </c>
      <c r="E20" s="17">
        <f>IF(D20="","",INDEX(Rohdaten!$I$143:$LG$143,MATCH(D20,Rohdaten!$I$1:$LG$1,0)))</f>
        <v>0</v>
      </c>
      <c r="F20" s="16">
        <f t="array" ref="F20">IF(D20="","",IFERROR(LOOKUP(2,1/(ISNUMBER(Rohdaten!$I$143:$LG$143)*ISNUMBER(Rohdaten!$I$1:$LG$1)*(Rohdaten!$I$1:$LG$1&lt;D20)),Rohdaten!$I$1:$LG$1),""))</f>
        <v>0</v>
      </c>
      <c r="G20" s="17">
        <f>IF(F20="","",INDEX(Rohdaten!$I$143:$LG$143,MATCH(F20,Rohdaten!$I$1:$LG$1,0)))</f>
        <v>0</v>
      </c>
      <c r="H20" s="18">
        <f>IF(OR(E20="",G20=""),"",E20-G20)</f>
        <v>0</v>
      </c>
    </row>
    <row r="21" spans="2:8">
      <c r="B21" s="14" t="s">
        <v>114</v>
      </c>
      <c r="C21" s="15" t="s">
        <v>1228</v>
      </c>
      <c r="D21" s="16">
        <f t="array" ref="D21">IFERROR(LOOKUP(2,1/(ISNUMBER(Rohdaten!$I$144:$LG$144)*ISNUMBER(Rohdaten!$I$1:$LG$1)),Rohdaten!$I$1:$LG$1),"")</f>
        <v>0</v>
      </c>
      <c r="E21" s="17">
        <f>IF(D21="","",INDEX(Rohdaten!$I$144:$LG$144,MATCH(D21,Rohdaten!$I$1:$LG$1,0)))</f>
        <v>0</v>
      </c>
      <c r="F21" s="16">
        <f t="array" ref="F21">IF(D21="","",IFERROR(LOOKUP(2,1/(ISNUMBER(Rohdaten!$I$144:$LG$144)*ISNUMBER(Rohdaten!$I$1:$LG$1)*(Rohdaten!$I$1:$LG$1&lt;D21)),Rohdaten!$I$1:$LG$1),""))</f>
        <v>0</v>
      </c>
      <c r="G21" s="17">
        <f>IF(F21="","",INDEX(Rohdaten!$I$144:$LG$144,MATCH(F21,Rohdaten!$I$1:$LG$1,0)))</f>
        <v>0</v>
      </c>
      <c r="H21" s="18">
        <f>IF(OR(E21="",G21=""),"",E21-G21)</f>
        <v>0</v>
      </c>
    </row>
    <row r="22" spans="2:8">
      <c r="B22" s="14" t="s">
        <v>115</v>
      </c>
      <c r="C22" s="15" t="s">
        <v>1229</v>
      </c>
      <c r="D22" s="16">
        <f t="array" ref="D22">IFERROR(LOOKUP(2,1/(ISNUMBER(Rohdaten!$I$145:$LG$145)*ISNUMBER(Rohdaten!$I$1:$LG$1)),Rohdaten!$I$1:$LG$1),"")</f>
        <v>0</v>
      </c>
      <c r="E22" s="17">
        <f>IF(D22="","",INDEX(Rohdaten!$I$145:$LG$145,MATCH(D22,Rohdaten!$I$1:$LG$1,0)))</f>
        <v>0</v>
      </c>
      <c r="F22" s="16">
        <f t="array" ref="F22">IF(D22="","",IFERROR(LOOKUP(2,1/(ISNUMBER(Rohdaten!$I$145:$LG$145)*ISNUMBER(Rohdaten!$I$1:$LG$1)*(Rohdaten!$I$1:$LG$1&lt;D22)),Rohdaten!$I$1:$LG$1),""))</f>
        <v>0</v>
      </c>
      <c r="G22" s="17">
        <f>IF(F22="","",INDEX(Rohdaten!$I$145:$LG$145,MATCH(F22,Rohdaten!$I$1:$LG$1,0)))</f>
        <v>0</v>
      </c>
      <c r="H22" s="18">
        <f>IF(OR(E22="",G22=""),"",E22-G22)</f>
        <v>0</v>
      </c>
    </row>
    <row r="23" spans="2:8">
      <c r="B23" s="14" t="s">
        <v>954</v>
      </c>
      <c r="C23" s="15" t="s">
        <v>1230</v>
      </c>
      <c r="D23" s="16">
        <f t="array" ref="D23">IFERROR(LOOKUP(2,1/(ISNUMBER(Rohdaten!$I$150:$LG$150)*ISNUMBER(Rohdaten!$I$1:$LG$1)),Rohdaten!$I$1:$LG$1),"")</f>
        <v>0</v>
      </c>
      <c r="E23" s="17">
        <f>IF(D23="","",INDEX(Rohdaten!$I$150:$LG$150,MATCH(D23,Rohdaten!$I$1:$LG$1,0)))</f>
        <v>0</v>
      </c>
      <c r="F23" s="16">
        <f t="array" ref="F23">IF(D23="","",IFERROR(LOOKUP(2,1/(ISNUMBER(Rohdaten!$I$150:$LG$150)*ISNUMBER(Rohdaten!$I$1:$LG$1)*(Rohdaten!$I$1:$LG$1&lt;D23)),Rohdaten!$I$1:$LG$1),""))</f>
        <v>0</v>
      </c>
      <c r="G23" s="17">
        <f>IF(F23="","",INDEX(Rohdaten!$I$150:$LG$150,MATCH(F23,Rohdaten!$I$1:$LG$1,0)))</f>
        <v>0</v>
      </c>
      <c r="H23" s="18">
        <f>IF(OR(E23="",G23=""),"",E23-G23)</f>
        <v>0</v>
      </c>
    </row>
    <row r="24" spans="2:8">
      <c r="B24" s="14" t="s">
        <v>963</v>
      </c>
      <c r="C24" s="15" t="s">
        <v>1231</v>
      </c>
      <c r="D24" s="16">
        <f t="array" ref="D24">IFERROR(LOOKUP(2,1/(ISNUMBER(Rohdaten!$I$154:$LG$154)*ISNUMBER(Rohdaten!$I$1:$LG$1)),Rohdaten!$I$1:$LG$1),"")</f>
        <v>0</v>
      </c>
      <c r="E24" s="17">
        <f>IF(D24="","",INDEX(Rohdaten!$I$154:$LG$154,MATCH(D24,Rohdaten!$I$1:$LG$1,0)))</f>
        <v>0</v>
      </c>
      <c r="F24" s="16">
        <f t="array" ref="F24">IF(D24="","",IFERROR(LOOKUP(2,1/(ISNUMBER(Rohdaten!$I$154:$LG$154)*ISNUMBER(Rohdaten!$I$1:$LG$1)*(Rohdaten!$I$1:$LG$1&lt;D24)),Rohdaten!$I$1:$LG$1),""))</f>
        <v>0</v>
      </c>
      <c r="G24" s="17">
        <f>IF(F24="","",INDEX(Rohdaten!$I$154:$LG$154,MATCH(F24,Rohdaten!$I$1:$LG$1,0)))</f>
        <v>0</v>
      </c>
      <c r="H24" s="18">
        <f>IF(OR(E24="",G24=""),"",E24-G24)</f>
        <v>0</v>
      </c>
    </row>
    <row r="25" spans="2:8">
      <c r="B25" s="14" t="s">
        <v>966</v>
      </c>
      <c r="C25" s="15" t="s">
        <v>1232</v>
      </c>
      <c r="D25" s="16">
        <f t="array" ref="D25">IFERROR(LOOKUP(2,1/(ISNUMBER(Rohdaten!$I$155:$LG$155)*ISNUMBER(Rohdaten!$I$1:$LG$1)),Rohdaten!$I$1:$LG$1),"")</f>
        <v>0</v>
      </c>
      <c r="E25" s="17">
        <f>IF(D25="","",INDEX(Rohdaten!$I$155:$LG$155,MATCH(D25,Rohdaten!$I$1:$LG$1,0)))</f>
        <v>0</v>
      </c>
      <c r="F25" s="16">
        <f t="array" ref="F25">IF(D25="","",IFERROR(LOOKUP(2,1/(ISNUMBER(Rohdaten!$I$155:$LG$155)*ISNUMBER(Rohdaten!$I$1:$LG$1)*(Rohdaten!$I$1:$LG$1&lt;D25)),Rohdaten!$I$1:$LG$1),""))</f>
        <v>0</v>
      </c>
      <c r="G25" s="17">
        <f>IF(F25="","",INDEX(Rohdaten!$I$155:$LG$155,MATCH(F25,Rohdaten!$I$1:$LG$1,0)))</f>
        <v>0</v>
      </c>
      <c r="H25" s="18">
        <f>IF(OR(E25="",G25=""),"",E25-G25)</f>
        <v>0</v>
      </c>
    </row>
    <row r="26" spans="2:8">
      <c r="B26" s="14" t="s">
        <v>109</v>
      </c>
      <c r="C26" s="15" t="s">
        <v>1155</v>
      </c>
      <c r="D26" s="16">
        <f t="array" ref="D26">IFERROR(LOOKUP(2,1/(ISNUMBER(Rohdaten!$I$156:$LG$156)*ISNUMBER(Rohdaten!$I$1:$LG$1)),Rohdaten!$I$1:$LG$1),"")</f>
        <v>0</v>
      </c>
      <c r="E26" s="17">
        <f>IF(D26="","",INDEX(Rohdaten!$I$156:$LG$156,MATCH(D26,Rohdaten!$I$1:$LG$1,0)))</f>
        <v>0</v>
      </c>
      <c r="F26" s="16">
        <f t="array" ref="F26">IF(D26="","",IFERROR(LOOKUP(2,1/(ISNUMBER(Rohdaten!$I$156:$LG$156)*ISNUMBER(Rohdaten!$I$1:$LG$1)*(Rohdaten!$I$1:$LG$1&lt;D26)),Rohdaten!$I$1:$LG$1),""))</f>
        <v>0</v>
      </c>
      <c r="G26" s="17">
        <f>IF(F26="","",INDEX(Rohdaten!$I$156:$LG$156,MATCH(F26,Rohdaten!$I$1:$LG$1,0)))</f>
        <v>0</v>
      </c>
      <c r="H26" s="18">
        <f>IF(OR(E26="",G26=""),"",E26-G26)</f>
        <v>0</v>
      </c>
    </row>
    <row r="27" spans="2:8">
      <c r="B27" s="14" t="s">
        <v>110</v>
      </c>
      <c r="C27" s="15" t="s">
        <v>1157</v>
      </c>
      <c r="D27" s="16">
        <f t="array" ref="D27">IFERROR(LOOKUP(2,1/(ISNUMBER(Rohdaten!$I$157:$LG$157)*ISNUMBER(Rohdaten!$I$1:$LG$1)),Rohdaten!$I$1:$LG$1),"")</f>
        <v>0</v>
      </c>
      <c r="E27" s="17">
        <f>IF(D27="","",INDEX(Rohdaten!$I$157:$LG$157,MATCH(D27,Rohdaten!$I$1:$LG$1,0)))</f>
        <v>0</v>
      </c>
      <c r="F27" s="16">
        <f t="array" ref="F27">IF(D27="","",IFERROR(LOOKUP(2,1/(ISNUMBER(Rohdaten!$I$157:$LG$157)*ISNUMBER(Rohdaten!$I$1:$LG$1)*(Rohdaten!$I$1:$LG$1&lt;D27)),Rohdaten!$I$1:$LG$1),""))</f>
        <v>0</v>
      </c>
      <c r="G27" s="17">
        <f>IF(F27="","",INDEX(Rohdaten!$I$157:$LG$157,MATCH(F27,Rohdaten!$I$1:$LG$1,0)))</f>
        <v>0</v>
      </c>
      <c r="H27" s="18">
        <f>IF(OR(E27="",G27=""),"",E27-G27)</f>
        <v>0</v>
      </c>
    </row>
    <row r="28" spans="2:8">
      <c r="B28" s="14" t="s">
        <v>385</v>
      </c>
      <c r="C28" s="15" t="s">
        <v>1233</v>
      </c>
      <c r="D28" s="16">
        <f t="array" ref="D28">IFERROR(LOOKUP(2,1/(ISNUMBER(Rohdaten!$JA$162:$LG$162)*ISNUMBER(Rohdaten!$JA$159:$LG$159)),Rohdaten!$JA$159:$LG$159),"")</f>
        <v>0</v>
      </c>
      <c r="E28" s="17">
        <f>IF(D28="","",INDEX(Rohdaten!$JA$162:$LG$162,MATCH(D28,Rohdaten!$JA$159:$LG$159,0)))</f>
        <v>0</v>
      </c>
      <c r="F28" s="16">
        <f t="array" ref="F28">IF(D28="","",IFERROR(LOOKUP(2,1/(ISNUMBER(Rohdaten!$JA$162:$LG$162)*ISNUMBER(Rohdaten!$JA$159:$LG$159)*(Rohdaten!$JA$159:$LG$159&lt;D28)),Rohdaten!$JA$159:$LG$159),""))</f>
        <v>0</v>
      </c>
      <c r="G28" s="17">
        <f>IF(F28="","",INDEX(Rohdaten!$JA$162:$LG$162,MATCH(F28,Rohdaten!$JA$159:$LG$159,0)))</f>
        <v>0</v>
      </c>
      <c r="H28" s="18">
        <f>IF(OR(E28="",G28=""),"",E28-G28)</f>
        <v>0</v>
      </c>
    </row>
    <row r="29" spans="2:8">
      <c r="B29" s="14" t="s">
        <v>387</v>
      </c>
      <c r="C29" s="15" t="s">
        <v>1234</v>
      </c>
      <c r="D29" s="16">
        <f t="array" ref="D29">IFERROR(LOOKUP(2,1/(ISNUMBER(Rohdaten!$JA$163:$LG$163)*ISNUMBER(Rohdaten!$JA$159:$LG$159)),Rohdaten!$JA$159:$LG$159),"")</f>
        <v>0</v>
      </c>
      <c r="E29" s="17">
        <f>IF(D29="","",INDEX(Rohdaten!$JA$163:$LG$163,MATCH(D29,Rohdaten!$JA$159:$LG$159,0)))</f>
        <v>0</v>
      </c>
      <c r="F29" s="16">
        <f t="array" ref="F29">IF(D29="","",IFERROR(LOOKUP(2,1/(ISNUMBER(Rohdaten!$JA$163:$LG$163)*ISNUMBER(Rohdaten!$JA$159:$LG$159)*(Rohdaten!$JA$159:$LG$159&lt;D29)),Rohdaten!$JA$159:$LG$159),""))</f>
        <v>0</v>
      </c>
      <c r="G29" s="17">
        <f>IF(F29="","",INDEX(Rohdaten!$JA$163:$LG$163,MATCH(F29,Rohdaten!$JA$159:$LG$159,0)))</f>
        <v>0</v>
      </c>
      <c r="H29" s="18">
        <f>IF(OR(E29="",G29=""),"",E29-G29)</f>
        <v>0</v>
      </c>
    </row>
    <row r="30" spans="2:8">
      <c r="B30" s="14" t="s">
        <v>145</v>
      </c>
      <c r="C30" s="15" t="s">
        <v>1235</v>
      </c>
      <c r="D30" s="16">
        <f t="array" ref="D30">IFERROR(LOOKUP(2,1/(ISNUMBER(Rohdaten!$I$67:$LG$67)*ISNUMBER(Rohdaten!$I$1:$LG$1)),Rohdaten!$I$1:$LG$1),"")</f>
        <v>0</v>
      </c>
      <c r="E30" s="17">
        <f>IF(D30="","",INDEX(Rohdaten!$I$67:$LG$67,MATCH(D30,Rohdaten!$I$1:$LG$1,0)))</f>
        <v>0</v>
      </c>
      <c r="F30" s="16">
        <f t="array" ref="F30">IF(D30="","",IFERROR(LOOKUP(2,1/(ISNUMBER(Rohdaten!$I$67:$LG$67)*ISNUMBER(Rohdaten!$I$1:$LG$1)*(Rohdaten!$I$1:$LG$1&lt;D30)),Rohdaten!$I$1:$LG$1),""))</f>
        <v>0</v>
      </c>
      <c r="G30" s="17">
        <f>IF(F30="","",INDEX(Rohdaten!$I$67:$LG$67,MATCH(F30,Rohdaten!$I$1:$LG$1,0)))</f>
        <v>0</v>
      </c>
      <c r="H30" s="18">
        <f>IF(OR(E30="",G30=""),"",E30-G30)</f>
        <v>0</v>
      </c>
    </row>
    <row r="31" spans="2:8">
      <c r="B31" s="14" t="s">
        <v>801</v>
      </c>
      <c r="C31" s="15" t="s">
        <v>1236</v>
      </c>
      <c r="D31" s="16">
        <f t="array" ref="D31">IFERROR(LOOKUP(2,1/(ISNUMBER(Rohdaten!$I$71:$LG$71)*ISNUMBER(Rohdaten!$I$1:$LG$1)),Rohdaten!$I$1:$LG$1),"")</f>
        <v>0</v>
      </c>
      <c r="E31" s="17">
        <f>IF(D31="","",INDEX(Rohdaten!$I$71:$LG$71,MATCH(D31,Rohdaten!$I$1:$LG$1,0)))</f>
        <v>0</v>
      </c>
      <c r="F31" s="16">
        <f t="array" ref="F31">IF(D31="","",IFERROR(LOOKUP(2,1/(ISNUMBER(Rohdaten!$I$71:$LG$71)*ISNUMBER(Rohdaten!$I$1:$LG$1)*(Rohdaten!$I$1:$LG$1&lt;D31)),Rohdaten!$I$1:$LG$1),""))</f>
        <v>0</v>
      </c>
      <c r="G31" s="17">
        <f>IF(F31="","",INDEX(Rohdaten!$I$71:$LG$71,MATCH(F31,Rohdaten!$I$1:$LG$1,0)))</f>
        <v>0</v>
      </c>
      <c r="H31" s="18">
        <f>IF(OR(E31="",G31=""),"",E31-G31)</f>
        <v>0</v>
      </c>
    </row>
    <row r="32" spans="2:8">
      <c r="B32" s="14" t="s">
        <v>807</v>
      </c>
      <c r="C32" s="15" t="s">
        <v>1237</v>
      </c>
      <c r="D32" s="16">
        <f t="array" ref="D32">IFERROR(LOOKUP(2,1/(ISNUMBER(Rohdaten!$I$75:$LG$75)*ISNUMBER(Rohdaten!$I$1:$LG$1)),Rohdaten!$I$1:$LG$1),"")</f>
        <v>0</v>
      </c>
      <c r="E32" s="17">
        <f>IF(D32="","",INDEX(Rohdaten!$I$75:$LG$75,MATCH(D32,Rohdaten!$I$1:$LG$1,0)))</f>
        <v>0</v>
      </c>
      <c r="F32" s="16">
        <f t="array" ref="F32">IF(D32="","",IFERROR(LOOKUP(2,1/(ISNUMBER(Rohdaten!$I$75:$LG$75)*ISNUMBER(Rohdaten!$I$1:$LG$1)*(Rohdaten!$I$1:$LG$1&lt;D32)),Rohdaten!$I$1:$LG$1),""))</f>
        <v>0</v>
      </c>
      <c r="G32" s="17">
        <f>IF(F32="","",INDEX(Rohdaten!$I$75:$LG$75,MATCH(F32,Rohdaten!$I$1:$LG$1,0)))</f>
        <v>0</v>
      </c>
      <c r="H32" s="18">
        <f>IF(OR(E32="",G32=""),"",E32-G32)</f>
        <v>0</v>
      </c>
    </row>
    <row r="33" spans="2:8">
      <c r="B33" s="14" t="s">
        <v>253</v>
      </c>
      <c r="C33" s="15" t="s">
        <v>1238</v>
      </c>
      <c r="D33" s="16">
        <f t="array" ref="D33">IFERROR(LOOKUP(2,1/(ISNUMBER(Rohdaten!$I$79:$LG$79)*ISNUMBER(Rohdaten!$I$1:$LG$1)),Rohdaten!$I$1:$LG$1),"")</f>
        <v>0</v>
      </c>
      <c r="E33" s="17">
        <f>IF(D33="","",INDEX(Rohdaten!$I$79:$LG$79,MATCH(D33,Rohdaten!$I$1:$LG$1,0)))</f>
        <v>0</v>
      </c>
      <c r="F33" s="16">
        <f t="array" ref="F33">IF(D33="","",IFERROR(LOOKUP(2,1/(ISNUMBER(Rohdaten!$I$79:$LG$79)*ISNUMBER(Rohdaten!$I$1:$LG$1)*(Rohdaten!$I$1:$LG$1&lt;D33)),Rohdaten!$I$1:$LG$1),""))</f>
        <v>0</v>
      </c>
      <c r="G33" s="17">
        <f>IF(F33="","",INDEX(Rohdaten!$I$79:$LG$79,MATCH(F33,Rohdaten!$I$1:$LG$1,0)))</f>
        <v>0</v>
      </c>
      <c r="H33" s="18">
        <f>IF(OR(E33="",G33=""),"",E33-G33)</f>
        <v>0</v>
      </c>
    </row>
    <row r="34" spans="2:8">
      <c r="B34" s="14" t="s">
        <v>822</v>
      </c>
      <c r="C34" s="15" t="s">
        <v>1239</v>
      </c>
      <c r="D34" s="16">
        <f t="array" ref="D34">IFERROR(LOOKUP(2,1/(ISNUMBER(Rohdaten!$I$83:$LG$83)*ISNUMBER(Rohdaten!$I$1:$LG$1)),Rohdaten!$I$1:$LG$1),"")</f>
        <v>0</v>
      </c>
      <c r="E34" s="17">
        <f>IF(D34="","",INDEX(Rohdaten!$I$83:$LG$83,MATCH(D34,Rohdaten!$I$1:$LG$1,0)))</f>
        <v>0</v>
      </c>
      <c r="F34" s="16">
        <f t="array" ref="F34">IF(D34="","",IFERROR(LOOKUP(2,1/(ISNUMBER(Rohdaten!$I$83:$LG$83)*ISNUMBER(Rohdaten!$I$1:$LG$1)*(Rohdaten!$I$1:$LG$1&lt;D34)),Rohdaten!$I$1:$LG$1),""))</f>
        <v>0</v>
      </c>
      <c r="G34" s="17">
        <f>IF(F34="","",INDEX(Rohdaten!$I$83:$LG$83,MATCH(F34,Rohdaten!$I$1:$LG$1,0)))</f>
        <v>0</v>
      </c>
      <c r="H34" s="18">
        <f>IF(OR(E34="",G34=""),"",E34-G34)</f>
        <v>0</v>
      </c>
    </row>
    <row r="35" spans="2:8">
      <c r="B35" s="14" t="s">
        <v>828</v>
      </c>
      <c r="C35" s="15" t="s">
        <v>1240</v>
      </c>
      <c r="D35" s="16">
        <f t="array" ref="D35">IFERROR(LOOKUP(2,1/(ISNUMBER(Rohdaten!$I$87:$LG$87)*ISNUMBER(Rohdaten!$I$1:$LG$1)),Rohdaten!$I$1:$LG$1),"")</f>
        <v>0</v>
      </c>
      <c r="E35" s="17">
        <f>IF(D35="","",INDEX(Rohdaten!$I$87:$LG$87,MATCH(D35,Rohdaten!$I$1:$LG$1,0)))</f>
        <v>0</v>
      </c>
      <c r="F35" s="16">
        <f t="array" ref="F35">IF(D35="","",IFERROR(LOOKUP(2,1/(ISNUMBER(Rohdaten!$I$87:$LG$87)*ISNUMBER(Rohdaten!$I$1:$LG$1)*(Rohdaten!$I$1:$LG$1&lt;D35)),Rohdaten!$I$1:$LG$1),""))</f>
        <v>0</v>
      </c>
      <c r="G35" s="17">
        <f>IF(F35="","",INDEX(Rohdaten!$I$87:$LG$87,MATCH(F35,Rohdaten!$I$1:$LG$1,0)))</f>
        <v>0</v>
      </c>
      <c r="H35" s="18">
        <f>IF(OR(E35="",G35=""),"",E35-G35)</f>
        <v>0</v>
      </c>
    </row>
    <row r="37" spans="2:8">
      <c r="B37" s="8" t="s">
        <v>1241</v>
      </c>
    </row>
  </sheetData>
  <conditionalFormatting sqref="D5:D35">
    <cfRule type="expression" dxfId="4" priority="1">
      <formula>AND(ISNUMBER($D5),$D5&lt;VorStichtag)</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Deckblatt">
    <tabColor rgb="FFBF1528"/>
  </sheetPr>
  <dimension ref="G2"/>
  <sheetViews>
    <sheetView showGridLines="0" zoomScale="90" zoomScaleNormal="90" workbookViewId="0"/>
  </sheetViews>
  <sheetFormatPr defaultRowHeight="15"/>
  <cols>
    <col min="1" max="61" width="9.85546875" customWidth="1"/>
  </cols>
  <sheetData>
    <row r="2" spans="7:7">
      <c r="G2" s="8" t="s">
        <v>393</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sheetPr codeName="PPT_2">
    <tabColor rgb="FFBF1528"/>
  </sheetPr>
  <dimension ref="R2"/>
  <sheetViews>
    <sheetView showGridLines="0" zoomScale="90" zoomScaleNormal="90" workbookViewId="0"/>
  </sheetViews>
  <sheetFormatPr defaultRowHeight="15"/>
  <cols>
    <col min="1" max="61" width="9.85546875" customWidth="1"/>
  </cols>
  <sheetData>
    <row r="2" spans="18:18">
      <c r="R2" s="8" t="s">
        <v>394</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sheetPr codeName="PPT_3">
    <tabColor rgb="FFBF1528"/>
  </sheetPr>
  <dimension ref="R2"/>
  <sheetViews>
    <sheetView showGridLines="0" zoomScale="90" zoomScaleNormal="90" workbookViewId="0"/>
  </sheetViews>
  <sheetFormatPr defaultRowHeight="15"/>
  <cols>
    <col min="1" max="61" width="9.85546875" customWidth="1"/>
  </cols>
  <sheetData>
    <row r="2" spans="18:18">
      <c r="R2" s="8" t="s">
        <v>394</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sheetPr codeName="Rohdaten">
    <tabColor rgb="FF0B6F7D"/>
    <outlinePr summaryBelow="0"/>
  </sheetPr>
  <dimension ref="A1:LJ171"/>
  <sheetViews>
    <sheetView workbookViewId="0">
      <pane xSplit="8" ySplit="2" topLeftCell="I3" activePane="bottomRight" state="frozen"/>
      <selection pane="topRight" activeCell="I1" sqref="I1"/>
      <selection pane="bottomLeft" activeCell="A3" sqref="A3"/>
      <selection pane="bottomRight"/>
    </sheetView>
  </sheetViews>
  <sheetFormatPr defaultRowHeight="15" outlineLevelRow="1" outlineLevelCol="1"/>
  <cols>
    <col min="1" max="1" width="6.7109375" customWidth="1"/>
    <col min="2" max="2" width="17.7109375" customWidth="1"/>
    <col min="3" max="3" width="24.7109375" customWidth="1"/>
    <col min="4" max="4" width="20.7109375" customWidth="1"/>
    <col min="5" max="5" width="16.7109375" customWidth="1"/>
    <col min="6" max="8" width="13.7109375" hidden="1" customWidth="1"/>
    <col min="9" max="9" width="9.28515625" hidden="1" customWidth="1" outlineLevel="1"/>
    <col min="10" max="10" width="5.7109375" hidden="1" customWidth="1" outlineLevel="1"/>
    <col min="11" max="11" width="9.28515625" hidden="1" customWidth="1" outlineLevel="1"/>
    <col min="12" max="12" width="5.7109375" hidden="1" customWidth="1" outlineLevel="1"/>
    <col min="13" max="13" width="9.28515625" hidden="1" customWidth="1" outlineLevel="1"/>
    <col min="14" max="14" width="5.7109375" hidden="1" customWidth="1" outlineLevel="1"/>
    <col min="15" max="15" width="9.28515625" hidden="1" customWidth="1" outlineLevel="1"/>
    <col min="16" max="16" width="5.7109375" hidden="1" customWidth="1" outlineLevel="1"/>
    <col min="17" max="17" width="9.28515625" hidden="1" customWidth="1" outlineLevel="1"/>
    <col min="18" max="18" width="5.7109375" hidden="1" customWidth="1" outlineLevel="1"/>
    <col min="19" max="19" width="9.28515625" hidden="1" customWidth="1" outlineLevel="1"/>
    <col min="20" max="20" width="5.7109375" hidden="1" customWidth="1" outlineLevel="1"/>
    <col min="21" max="21" width="9.28515625" hidden="1" customWidth="1" outlineLevel="1"/>
    <col min="22" max="22" width="5.7109375" hidden="1" customWidth="1" outlineLevel="1"/>
    <col min="23" max="23" width="9.28515625" hidden="1" customWidth="1" outlineLevel="1"/>
    <col min="24" max="24" width="5.7109375" hidden="1" customWidth="1" outlineLevel="1"/>
    <col min="25" max="25" width="9.28515625" hidden="1" customWidth="1" outlineLevel="1"/>
    <col min="26" max="26" width="5.7109375" hidden="1" customWidth="1" outlineLevel="1"/>
    <col min="27" max="27" width="9.28515625" hidden="1" customWidth="1" outlineLevel="1"/>
    <col min="28" max="28" width="5.7109375" hidden="1" customWidth="1" outlineLevel="1"/>
    <col min="29" max="29" width="9.28515625" hidden="1" customWidth="1" outlineLevel="1"/>
    <col min="30" max="30" width="5.7109375" hidden="1" customWidth="1" outlineLevel="1"/>
    <col min="31" max="31" width="9.28515625" hidden="1" customWidth="1" outlineLevel="1"/>
    <col min="32" max="32" width="5.7109375" hidden="1" customWidth="1" outlineLevel="1"/>
    <col min="33" max="33" width="9.28515625" hidden="1" customWidth="1" outlineLevel="1"/>
    <col min="34" max="34" width="5.7109375" hidden="1" customWidth="1" outlineLevel="1"/>
    <col min="35" max="35" width="9.28515625" hidden="1" customWidth="1" outlineLevel="1"/>
    <col min="36" max="36" width="5.7109375" hidden="1" customWidth="1" outlineLevel="1"/>
    <col min="37" max="37" width="9.28515625" hidden="1" customWidth="1" outlineLevel="1"/>
    <col min="38" max="38" width="5.7109375" hidden="1" customWidth="1" outlineLevel="1"/>
    <col min="39" max="39" width="9.28515625" hidden="1" customWidth="1" outlineLevel="1"/>
    <col min="40" max="40" width="5.7109375" hidden="1" customWidth="1" outlineLevel="1"/>
    <col min="41" max="41" width="9.28515625" hidden="1" customWidth="1" outlineLevel="1"/>
    <col min="42" max="42" width="5.7109375" hidden="1" customWidth="1" outlineLevel="1"/>
    <col min="43" max="43" width="9.28515625" hidden="1" customWidth="1" outlineLevel="1"/>
    <col min="44" max="44" width="5.7109375" hidden="1" customWidth="1" outlineLevel="1"/>
    <col min="45" max="45" width="9.28515625" hidden="1" customWidth="1" outlineLevel="1"/>
    <col min="46" max="46" width="5.7109375" hidden="1" customWidth="1" outlineLevel="1"/>
    <col min="47" max="47" width="9.28515625" hidden="1" customWidth="1" outlineLevel="1"/>
    <col min="48" max="48" width="5.7109375" hidden="1" customWidth="1" outlineLevel="1"/>
    <col min="49" max="49" width="9.28515625" hidden="1" customWidth="1" outlineLevel="1"/>
    <col min="50" max="50" width="5.7109375" hidden="1" customWidth="1" outlineLevel="1"/>
    <col min="51" max="51" width="9.28515625" hidden="1" customWidth="1" outlineLevel="1"/>
    <col min="52" max="52" width="5.7109375" hidden="1" customWidth="1" outlineLevel="1"/>
    <col min="53" max="53" width="9.28515625" hidden="1" customWidth="1" outlineLevel="1"/>
    <col min="54" max="54" width="5.7109375" hidden="1" customWidth="1" outlineLevel="1"/>
    <col min="55" max="55" width="9.28515625" hidden="1" customWidth="1" outlineLevel="1"/>
    <col min="56" max="56" width="5.7109375" hidden="1" customWidth="1" outlineLevel="1"/>
    <col min="57" max="57" width="9.28515625" hidden="1" customWidth="1" outlineLevel="1"/>
    <col min="58" max="58" width="5.7109375" hidden="1" customWidth="1" outlineLevel="1"/>
    <col min="59" max="59" width="9.28515625" hidden="1" customWidth="1" outlineLevel="1"/>
    <col min="60" max="60" width="5.7109375" hidden="1" customWidth="1" outlineLevel="1"/>
    <col min="61" max="61" width="9.28515625" hidden="1" customWidth="1" outlineLevel="1"/>
    <col min="62" max="62" width="5.7109375" hidden="1" customWidth="1" outlineLevel="1"/>
    <col min="63" max="63" width="9.28515625" hidden="1" customWidth="1" outlineLevel="1"/>
    <col min="64" max="64" width="5.7109375" hidden="1" customWidth="1" outlineLevel="1"/>
    <col min="65" max="65" width="9.28515625" hidden="1" customWidth="1" outlineLevel="1"/>
    <col min="66" max="66" width="5.7109375" hidden="1" customWidth="1" outlineLevel="1"/>
    <col min="67" max="67" width="9.28515625" hidden="1" customWidth="1" outlineLevel="1"/>
    <col min="68" max="68" width="5.7109375" hidden="1" customWidth="1" outlineLevel="1"/>
    <col min="69" max="69" width="9.28515625" hidden="1" customWidth="1" outlineLevel="1"/>
    <col min="70" max="70" width="5.7109375" hidden="1" customWidth="1" outlineLevel="1"/>
    <col min="71" max="71" width="9.28515625" hidden="1" customWidth="1" outlineLevel="1"/>
    <col min="72" max="72" width="5.7109375" hidden="1" customWidth="1" outlineLevel="1"/>
    <col min="73" max="73" width="9.28515625" hidden="1" customWidth="1" outlineLevel="1"/>
    <col min="74" max="74" width="5.7109375" hidden="1" customWidth="1" outlineLevel="1"/>
    <col min="75" max="75" width="9.28515625" hidden="1" customWidth="1" outlineLevel="1"/>
    <col min="76" max="76" width="5.7109375" hidden="1" customWidth="1" outlineLevel="1"/>
    <col min="77" max="77" width="9.28515625" hidden="1" customWidth="1" outlineLevel="1"/>
    <col min="78" max="78" width="5.7109375" hidden="1" customWidth="1" outlineLevel="1"/>
    <col min="79" max="79" width="9.28515625" hidden="1" customWidth="1" outlineLevel="1"/>
    <col min="80" max="80" width="5.7109375" hidden="1" customWidth="1" outlineLevel="1"/>
    <col min="81" max="81" width="9.28515625" hidden="1" customWidth="1" outlineLevel="1"/>
    <col min="82" max="82" width="5.7109375" hidden="1" customWidth="1" outlineLevel="1"/>
    <col min="83" max="83" width="9.28515625" hidden="1" customWidth="1" outlineLevel="1"/>
    <col min="84" max="84" width="5.7109375" hidden="1" customWidth="1" outlineLevel="1"/>
    <col min="85" max="85" width="9.28515625" hidden="1" customWidth="1" outlineLevel="1"/>
    <col min="86" max="86" width="5.7109375" hidden="1" customWidth="1" outlineLevel="1"/>
    <col min="87" max="87" width="9.28515625" hidden="1" customWidth="1" outlineLevel="1"/>
    <col min="88" max="88" width="5.7109375" hidden="1" customWidth="1" outlineLevel="1"/>
    <col min="89" max="89" width="9.28515625" hidden="1" customWidth="1" outlineLevel="1"/>
    <col min="90" max="90" width="5.7109375" hidden="1" customWidth="1" outlineLevel="1"/>
    <col min="91" max="91" width="9.28515625" hidden="1" customWidth="1" outlineLevel="1"/>
    <col min="92" max="92" width="5.7109375" hidden="1" customWidth="1" outlineLevel="1"/>
    <col min="93" max="93" width="9.28515625" hidden="1" customWidth="1" outlineLevel="1"/>
    <col min="94" max="94" width="5.7109375" hidden="1" customWidth="1" outlineLevel="1"/>
    <col min="95" max="95" width="9.28515625" hidden="1" customWidth="1" outlineLevel="1"/>
    <col min="96" max="96" width="5.7109375" hidden="1" customWidth="1" outlineLevel="1"/>
    <col min="97" max="97" width="9.28515625" hidden="1" customWidth="1" outlineLevel="1"/>
    <col min="98" max="98" width="5.7109375" hidden="1" customWidth="1" outlineLevel="1"/>
    <col min="99" max="99" width="9.28515625" hidden="1" customWidth="1" outlineLevel="1"/>
    <col min="100" max="100" width="5.7109375" hidden="1" customWidth="1" outlineLevel="1"/>
    <col min="101" max="101" width="9.28515625" hidden="1" customWidth="1" outlineLevel="1"/>
    <col min="102" max="102" width="5.7109375" hidden="1" customWidth="1" outlineLevel="1"/>
    <col min="103" max="103" width="9.28515625" hidden="1" customWidth="1" outlineLevel="1"/>
    <col min="104" max="104" width="5.7109375" hidden="1" customWidth="1" outlineLevel="1"/>
    <col min="105" max="105" width="9.28515625" hidden="1" customWidth="1" outlineLevel="1"/>
    <col min="106" max="106" width="5.7109375" hidden="1" customWidth="1" outlineLevel="1"/>
    <col min="107" max="107" width="9.28515625" hidden="1" customWidth="1" outlineLevel="1"/>
    <col min="108" max="108" width="5.7109375" hidden="1" customWidth="1" outlineLevel="1"/>
    <col min="109" max="109" width="9.28515625" hidden="1" customWidth="1" outlineLevel="1"/>
    <col min="110" max="110" width="5.7109375" hidden="1" customWidth="1" outlineLevel="1"/>
    <col min="111" max="111" width="9.28515625" hidden="1" customWidth="1" outlineLevel="1"/>
    <col min="112" max="112" width="5.7109375" hidden="1" customWidth="1" outlineLevel="1"/>
    <col min="113" max="113" width="9.28515625" hidden="1" customWidth="1" outlineLevel="1"/>
    <col min="114" max="114" width="5.7109375" hidden="1" customWidth="1" outlineLevel="1"/>
    <col min="115" max="115" width="9.28515625" hidden="1" customWidth="1" outlineLevel="1"/>
    <col min="116" max="116" width="5.7109375" hidden="1" customWidth="1" outlineLevel="1"/>
    <col min="117" max="117" width="9.28515625" hidden="1" customWidth="1" outlineLevel="1"/>
    <col min="118" max="118" width="5.7109375" hidden="1" customWidth="1" outlineLevel="1"/>
    <col min="119" max="119" width="9.28515625" hidden="1" customWidth="1" outlineLevel="1"/>
    <col min="120" max="120" width="5.7109375" hidden="1" customWidth="1" outlineLevel="1"/>
    <col min="121" max="121" width="9.28515625" hidden="1" customWidth="1" outlineLevel="1"/>
    <col min="122" max="122" width="5.7109375" hidden="1" customWidth="1" outlineLevel="1"/>
    <col min="123" max="123" width="9.28515625" hidden="1" customWidth="1" outlineLevel="1"/>
    <col min="124" max="124" width="5.7109375" hidden="1" customWidth="1" outlineLevel="1"/>
    <col min="125" max="125" width="9.28515625" hidden="1" customWidth="1" outlineLevel="1"/>
    <col min="126" max="126" width="5.7109375" hidden="1" customWidth="1" outlineLevel="1"/>
    <col min="127" max="127" width="9.28515625" hidden="1" customWidth="1" outlineLevel="1"/>
    <col min="128" max="128" width="5.7109375" hidden="1" customWidth="1" outlineLevel="1"/>
    <col min="129" max="129" width="9.28515625" hidden="1" customWidth="1" outlineLevel="1"/>
    <col min="130" max="130" width="5.7109375" hidden="1" customWidth="1" outlineLevel="1"/>
    <col min="131" max="131" width="9.28515625" hidden="1" customWidth="1" outlineLevel="1"/>
    <col min="132" max="132" width="5.7109375" hidden="1" customWidth="1" outlineLevel="1"/>
    <col min="133" max="133" width="9.28515625" hidden="1" customWidth="1" outlineLevel="1"/>
    <col min="134" max="134" width="5.7109375" hidden="1" customWidth="1" outlineLevel="1"/>
    <col min="135" max="135" width="9.28515625" hidden="1" customWidth="1" outlineLevel="1"/>
    <col min="136" max="136" width="5.7109375" hidden="1" customWidth="1" outlineLevel="1"/>
    <col min="137" max="137" width="9.28515625" hidden="1" customWidth="1" outlineLevel="1"/>
    <col min="138" max="138" width="5.7109375" hidden="1" customWidth="1" outlineLevel="1"/>
    <col min="139" max="139" width="9.28515625" hidden="1" customWidth="1" outlineLevel="1"/>
    <col min="140" max="140" width="5.7109375" hidden="1" customWidth="1" outlineLevel="1"/>
    <col min="141" max="141" width="9.28515625" hidden="1" customWidth="1" outlineLevel="1"/>
    <col min="142" max="142" width="5.7109375" hidden="1" customWidth="1" outlineLevel="1"/>
    <col min="143" max="143" width="9.28515625" hidden="1" customWidth="1" outlineLevel="1"/>
    <col min="144" max="144" width="5.7109375" hidden="1" customWidth="1" outlineLevel="1"/>
    <col min="145" max="145" width="9.28515625" hidden="1" customWidth="1" outlineLevel="1"/>
    <col min="146" max="146" width="5.7109375" hidden="1" customWidth="1" outlineLevel="1"/>
    <col min="147" max="147" width="9.28515625" hidden="1" customWidth="1" outlineLevel="1"/>
    <col min="148" max="148" width="5.7109375" hidden="1" customWidth="1" outlineLevel="1"/>
    <col min="149" max="149" width="9.28515625" hidden="1" customWidth="1" outlineLevel="1"/>
    <col min="150" max="150" width="5.7109375" hidden="1" customWidth="1" outlineLevel="1"/>
    <col min="151" max="151" width="9.28515625" hidden="1" customWidth="1" outlineLevel="1"/>
    <col min="152" max="152" width="5.7109375" hidden="1" customWidth="1" outlineLevel="1"/>
    <col min="153" max="153" width="9.28515625" hidden="1" customWidth="1" outlineLevel="1"/>
    <col min="154" max="154" width="5.7109375" hidden="1" customWidth="1" outlineLevel="1"/>
    <col min="155" max="155" width="9.28515625" hidden="1" customWidth="1" outlineLevel="1"/>
    <col min="156" max="156" width="5.7109375" hidden="1" customWidth="1" outlineLevel="1"/>
    <col min="157" max="157" width="9.28515625" hidden="1" customWidth="1" outlineLevel="1"/>
    <col min="158" max="158" width="5.7109375" hidden="1" customWidth="1" outlineLevel="1"/>
    <col min="159" max="159" width="9.28515625" hidden="1" customWidth="1" outlineLevel="1"/>
    <col min="160" max="160" width="5.7109375" hidden="1" customWidth="1" outlineLevel="1"/>
    <col min="161" max="161" width="9.28515625" hidden="1" customWidth="1" outlineLevel="1"/>
    <col min="162" max="162" width="5.7109375" hidden="1" customWidth="1" outlineLevel="1"/>
    <col min="163" max="163" width="9.28515625" hidden="1" customWidth="1" outlineLevel="1"/>
    <col min="164" max="164" width="5.7109375" hidden="1" customWidth="1" outlineLevel="1"/>
    <col min="165" max="165" width="9.28515625" hidden="1" customWidth="1" outlineLevel="1"/>
    <col min="166" max="166" width="5.7109375" hidden="1" customWidth="1" outlineLevel="1"/>
    <col min="167" max="167" width="9.28515625" hidden="1" customWidth="1" outlineLevel="1"/>
    <col min="168" max="168" width="5.7109375" hidden="1" customWidth="1" outlineLevel="1"/>
    <col min="169" max="169" width="9.28515625" hidden="1" customWidth="1" outlineLevel="1"/>
    <col min="170" max="170" width="5.7109375" hidden="1" customWidth="1" outlineLevel="1"/>
    <col min="171" max="171" width="9.28515625" hidden="1" customWidth="1" outlineLevel="1"/>
    <col min="172" max="172" width="5.7109375" hidden="1" customWidth="1" outlineLevel="1"/>
    <col min="173" max="173" width="9.28515625" hidden="1" customWidth="1" outlineLevel="1"/>
    <col min="174" max="174" width="5.7109375" hidden="1" customWidth="1" outlineLevel="1"/>
    <col min="175" max="175" width="9.28515625" hidden="1" customWidth="1" outlineLevel="1"/>
    <col min="176" max="176" width="5.7109375" hidden="1" customWidth="1" outlineLevel="1"/>
    <col min="177" max="177" width="9.28515625" hidden="1" customWidth="1" outlineLevel="1"/>
    <col min="178" max="178" width="5.7109375" hidden="1" customWidth="1" outlineLevel="1"/>
    <col min="179" max="179" width="9.28515625" hidden="1" customWidth="1" outlineLevel="1"/>
    <col min="180" max="180" width="5.7109375" hidden="1" customWidth="1" outlineLevel="1"/>
    <col min="181" max="181" width="9.28515625" hidden="1" customWidth="1" outlineLevel="1"/>
    <col min="182" max="182" width="5.7109375" hidden="1" customWidth="1" outlineLevel="1"/>
    <col min="183" max="183" width="9.28515625" hidden="1" customWidth="1" outlineLevel="1"/>
    <col min="184" max="184" width="5.7109375" hidden="1" customWidth="1" outlineLevel="1"/>
    <col min="185" max="185" width="9.28515625" hidden="1" customWidth="1" outlineLevel="1"/>
    <col min="186" max="186" width="5.7109375" hidden="1" customWidth="1" outlineLevel="1"/>
    <col min="187" max="187" width="9.28515625" hidden="1" customWidth="1" outlineLevel="1"/>
    <col min="188" max="188" width="5.7109375" hidden="1" customWidth="1" outlineLevel="1"/>
    <col min="189" max="189" width="9.28515625" hidden="1" customWidth="1" outlineLevel="1"/>
    <col min="190" max="190" width="5.7109375" hidden="1" customWidth="1" outlineLevel="1"/>
    <col min="191" max="191" width="9.28515625" hidden="1" customWidth="1" outlineLevel="1"/>
    <col min="192" max="192" width="5.7109375" hidden="1" customWidth="1" outlineLevel="1"/>
    <col min="193" max="193" width="9.28515625" hidden="1" customWidth="1" outlineLevel="1"/>
    <col min="194" max="194" width="5.7109375" hidden="1" customWidth="1" outlineLevel="1"/>
    <col min="195" max="195" width="9.28515625" hidden="1" customWidth="1" outlineLevel="1"/>
    <col min="196" max="196" width="5.7109375" hidden="1" customWidth="1" outlineLevel="1"/>
    <col min="197" max="197" width="9.28515625" hidden="1" customWidth="1" outlineLevel="1"/>
    <col min="198" max="198" width="5.7109375" hidden="1" customWidth="1" outlineLevel="1"/>
    <col min="199" max="199" width="9.28515625" hidden="1" customWidth="1" outlineLevel="1"/>
    <col min="200" max="200" width="5.7109375" hidden="1" customWidth="1" outlineLevel="1"/>
    <col min="201" max="201" width="9.28515625" hidden="1" customWidth="1" outlineLevel="1"/>
    <col min="202" max="202" width="5.7109375" hidden="1" customWidth="1" outlineLevel="1"/>
    <col min="203" max="203" width="9.28515625" hidden="1" customWidth="1" outlineLevel="1"/>
    <col min="204" max="204" width="5.7109375" hidden="1" customWidth="1" outlineLevel="1"/>
    <col min="205" max="205" width="9.28515625" hidden="1" customWidth="1" outlineLevel="1"/>
    <col min="206" max="206" width="5.7109375" hidden="1" customWidth="1" outlineLevel="1"/>
    <col min="207" max="207" width="9.28515625" hidden="1" customWidth="1" outlineLevel="1"/>
    <col min="208" max="208" width="5.7109375" hidden="1" customWidth="1" outlineLevel="1"/>
    <col min="209" max="209" width="9.28515625" hidden="1" customWidth="1" outlineLevel="1"/>
    <col min="210" max="210" width="5.7109375" hidden="1" customWidth="1" outlineLevel="1"/>
    <col min="211" max="211" width="9.28515625" hidden="1" customWidth="1" outlineLevel="1"/>
    <col min="212" max="212" width="5.7109375" hidden="1" customWidth="1" outlineLevel="1"/>
    <col min="213" max="213" width="9.28515625" hidden="1" customWidth="1" outlineLevel="1"/>
    <col min="214" max="214" width="5.7109375" hidden="1" customWidth="1" outlineLevel="1"/>
    <col min="215" max="215" width="9.28515625" hidden="1" customWidth="1" outlineLevel="1"/>
    <col min="216" max="216" width="5.7109375" hidden="1" customWidth="1" outlineLevel="1"/>
    <col min="217" max="217" width="9.28515625" hidden="1" customWidth="1" outlineLevel="1"/>
    <col min="218" max="218" width="5.7109375" hidden="1" customWidth="1" outlineLevel="1"/>
    <col min="219" max="219" width="9.28515625" hidden="1" customWidth="1" outlineLevel="1"/>
    <col min="220" max="220" width="5.7109375" hidden="1" customWidth="1" outlineLevel="1"/>
    <col min="221" max="221" width="9.28515625" hidden="1" customWidth="1" outlineLevel="1"/>
    <col min="222" max="222" width="5.7109375" hidden="1" customWidth="1" outlineLevel="1"/>
    <col min="223" max="223" width="9.28515625" hidden="1" customWidth="1" outlineLevel="1"/>
    <col min="224" max="224" width="5.7109375" hidden="1" customWidth="1" outlineLevel="1"/>
    <col min="225" max="225" width="9.28515625" hidden="1" customWidth="1" outlineLevel="1"/>
    <col min="226" max="226" width="5.7109375" hidden="1" customWidth="1" outlineLevel="1"/>
    <col min="227" max="227" width="9.28515625" hidden="1" customWidth="1" outlineLevel="1"/>
    <col min="228" max="228" width="5.7109375" hidden="1" customWidth="1" outlineLevel="1"/>
    <col min="229" max="229" width="9.28515625" hidden="1" customWidth="1" outlineLevel="1"/>
    <col min="230" max="230" width="5.7109375" hidden="1" customWidth="1" outlineLevel="1"/>
    <col min="231" max="231" width="9.28515625" hidden="1" customWidth="1" outlineLevel="1"/>
    <col min="232" max="232" width="5.7109375" hidden="1" customWidth="1" outlineLevel="1"/>
    <col min="233" max="233" width="9.28515625" hidden="1" customWidth="1" outlineLevel="1"/>
    <col min="234" max="234" width="5.7109375" hidden="1" customWidth="1" outlineLevel="1"/>
    <col min="235" max="235" width="9.28515625" hidden="1" customWidth="1" outlineLevel="1"/>
    <col min="236" max="236" width="5.7109375" hidden="1" customWidth="1" outlineLevel="1"/>
    <col min="237" max="237" width="9.28515625" hidden="1" customWidth="1" outlineLevel="1"/>
    <col min="238" max="238" width="5.7109375" hidden="1" customWidth="1" outlineLevel="1"/>
    <col min="239" max="239" width="9.28515625" hidden="1" customWidth="1" outlineLevel="1"/>
    <col min="240" max="240" width="5.7109375" hidden="1" customWidth="1" outlineLevel="1"/>
    <col min="241" max="241" width="9.28515625" hidden="1" customWidth="1" outlineLevel="1"/>
    <col min="242" max="242" width="5.7109375" hidden="1" customWidth="1" outlineLevel="1"/>
    <col min="243" max="243" width="9.28515625" hidden="1" customWidth="1" outlineLevel="1"/>
    <col min="244" max="244" width="5.7109375" hidden="1" customWidth="1" outlineLevel="1"/>
    <col min="245" max="245" width="9.28515625" hidden="1" customWidth="1" outlineLevel="1"/>
    <col min="246" max="246" width="5.7109375" hidden="1" customWidth="1" outlineLevel="1"/>
    <col min="247" max="247" width="9.28515625" hidden="1" customWidth="1" outlineLevel="1"/>
    <col min="248" max="248" width="5.7109375" hidden="1" customWidth="1" outlineLevel="1"/>
    <col min="249" max="249" width="9.28515625" hidden="1" customWidth="1" outlineLevel="1"/>
    <col min="250" max="250" width="5.7109375" hidden="1" customWidth="1" outlineLevel="1"/>
    <col min="251" max="251" width="9.28515625" hidden="1" customWidth="1" outlineLevel="1"/>
    <col min="252" max="252" width="5.7109375" hidden="1" customWidth="1" outlineLevel="1"/>
    <col min="253" max="253" width="9.28515625" hidden="1" customWidth="1" outlineLevel="1"/>
    <col min="254" max="254" width="5.7109375" hidden="1" customWidth="1" outlineLevel="1"/>
    <col min="255" max="255" width="9.28515625" hidden="1" customWidth="1" outlineLevel="1"/>
    <col min="256" max="256" width="5.7109375" hidden="1" customWidth="1" outlineLevel="1"/>
    <col min="257" max="257" width="9.28515625" hidden="1" customWidth="1" outlineLevel="1"/>
    <col min="258" max="258" width="5.7109375" hidden="1" customWidth="1" outlineLevel="1"/>
    <col min="259" max="259" width="9.28515625" hidden="1" customWidth="1" outlineLevel="1"/>
    <col min="260" max="260" width="5.7109375" hidden="1" customWidth="1" outlineLevel="1"/>
    <col min="261" max="261" width="9.28515625" hidden="1" customWidth="1" outlineLevel="1"/>
    <col min="262" max="262" width="5.7109375" hidden="1" customWidth="1" outlineLevel="1"/>
    <col min="263" max="263" width="9.28515625" hidden="1" customWidth="1" outlineLevel="1"/>
    <col min="264" max="264" width="5.7109375" hidden="1" customWidth="1" outlineLevel="1"/>
    <col min="265" max="265" width="9.28515625" hidden="1" customWidth="1" outlineLevel="1"/>
    <col min="266" max="266" width="5.7109375" hidden="1" customWidth="1" outlineLevel="1"/>
    <col min="267" max="267" width="9.28515625" hidden="1" customWidth="1" outlineLevel="1"/>
    <col min="268" max="268" width="5.7109375" hidden="1" customWidth="1" outlineLevel="1"/>
    <col min="269" max="269" width="9.28515625" hidden="1" customWidth="1" outlineLevel="1"/>
    <col min="270" max="270" width="5.7109375" hidden="1" customWidth="1" outlineLevel="1"/>
    <col min="271" max="271" width="9.28515625" customWidth="1" collapsed="1"/>
    <col min="272" max="272" width="5.7109375" customWidth="1"/>
    <col min="273" max="273" width="9.28515625" customWidth="1"/>
    <col min="274" max="274" width="5.7109375" customWidth="1"/>
    <col min="275" max="275" width="9.28515625" customWidth="1"/>
    <col min="276" max="276" width="5.7109375" customWidth="1"/>
    <col min="277" max="277" width="9.28515625" customWidth="1"/>
    <col min="278" max="278" width="5.7109375" customWidth="1"/>
    <col min="279" max="279" width="9.28515625" customWidth="1"/>
    <col min="280" max="280" width="5.7109375" customWidth="1"/>
    <col min="281" max="281" width="9.28515625" customWidth="1"/>
    <col min="282" max="282" width="5.7109375" customWidth="1"/>
    <col min="283" max="283" width="9.28515625" customWidth="1"/>
    <col min="284" max="284" width="5.7109375" customWidth="1"/>
    <col min="285" max="285" width="9.28515625" customWidth="1"/>
    <col min="286" max="286" width="5.7109375" customWidth="1"/>
    <col min="287" max="287" width="9.28515625" customWidth="1"/>
    <col min="288" max="288" width="5.7109375" customWidth="1"/>
    <col min="289" max="289" width="9.28515625" customWidth="1"/>
    <col min="290" max="290" width="5.7109375" customWidth="1"/>
    <col min="291" max="291" width="9.28515625" customWidth="1"/>
    <col min="292" max="292" width="5.7109375" customWidth="1"/>
    <col min="293" max="293" width="9.28515625" customWidth="1"/>
    <col min="294" max="294" width="5.7109375" customWidth="1"/>
    <col min="295" max="295" width="9.28515625" customWidth="1"/>
    <col min="296" max="296" width="5.7109375" customWidth="1"/>
    <col min="297" max="297" width="9.28515625" customWidth="1"/>
    <col min="298" max="298" width="5.7109375" customWidth="1"/>
    <col min="299" max="299" width="9.28515625" customWidth="1"/>
    <col min="300" max="300" width="5.7109375" customWidth="1"/>
    <col min="301" max="301" width="9.28515625" customWidth="1"/>
    <col min="302" max="302" width="5.7109375" customWidth="1"/>
    <col min="303" max="303" width="9.28515625" customWidth="1"/>
    <col min="304" max="304" width="5.7109375" customWidth="1"/>
    <col min="305" max="305" width="9.28515625" customWidth="1"/>
    <col min="306" max="306" width="5.7109375" customWidth="1"/>
    <col min="307" max="307" width="9.28515625" customWidth="1"/>
    <col min="308" max="308" width="5.7109375" customWidth="1"/>
    <col min="309" max="309" width="9.28515625" customWidth="1"/>
    <col min="310" max="310" width="5.7109375" customWidth="1"/>
    <col min="311" max="311" width="9.28515625" customWidth="1"/>
    <col min="312" max="312" width="5.7109375" customWidth="1"/>
    <col min="313" max="313" width="9.28515625" customWidth="1"/>
    <col min="314" max="314" width="5.7109375" customWidth="1"/>
    <col min="315" max="315" width="9.28515625" customWidth="1"/>
    <col min="316" max="316" width="5.7109375" customWidth="1"/>
    <col min="317" max="317" width="9.28515625" customWidth="1"/>
    <col min="318" max="318" width="5.7109375" customWidth="1"/>
    <col min="319" max="319" width="9.28515625" customWidth="1"/>
    <col min="320" max="320" width="5.7109375" customWidth="1"/>
    <col min="322" max="322" width="60.7109375" customWidth="1"/>
  </cols>
  <sheetData>
    <row r="1" spans="1:322" ht="30" customHeight="1">
      <c r="A1" s="9" t="s">
        <v>1069</v>
      </c>
      <c r="B1" s="9" t="s">
        <v>1070</v>
      </c>
      <c r="C1" s="9" t="s">
        <v>1071</v>
      </c>
      <c r="D1" s="9" t="s">
        <v>1072</v>
      </c>
      <c r="E1" s="9" t="s">
        <v>1073</v>
      </c>
      <c r="F1" s="9" t="s">
        <v>1074</v>
      </c>
      <c r="G1" s="9" t="s">
        <v>1075</v>
      </c>
      <c r="H1" s="9" t="s">
        <v>1076</v>
      </c>
      <c r="I1" s="19">
        <v>45324</v>
      </c>
      <c r="J1" s="20" t="s">
        <v>1077</v>
      </c>
      <c r="K1" s="19">
        <v>45330</v>
      </c>
      <c r="L1" s="20" t="s">
        <v>1077</v>
      </c>
      <c r="M1" s="19">
        <v>45337</v>
      </c>
      <c r="N1" s="20" t="s">
        <v>1077</v>
      </c>
      <c r="O1" s="19">
        <v>45344</v>
      </c>
      <c r="P1" s="20" t="s">
        <v>1077</v>
      </c>
      <c r="Q1" s="19">
        <v>45351</v>
      </c>
      <c r="R1" s="20" t="s">
        <v>1077</v>
      </c>
      <c r="S1" s="19">
        <v>45358</v>
      </c>
      <c r="T1" s="20" t="s">
        <v>1077</v>
      </c>
      <c r="U1" s="19">
        <v>45365</v>
      </c>
      <c r="V1" s="20" t="s">
        <v>1077</v>
      </c>
      <c r="W1" s="19">
        <v>45372</v>
      </c>
      <c r="X1" s="20" t="s">
        <v>1077</v>
      </c>
      <c r="Y1" s="19">
        <v>45379</v>
      </c>
      <c r="Z1" s="20" t="s">
        <v>1077</v>
      </c>
      <c r="AA1" s="19">
        <v>45386</v>
      </c>
      <c r="AB1" s="20" t="s">
        <v>1077</v>
      </c>
      <c r="AC1" s="19">
        <v>45393</v>
      </c>
      <c r="AD1" s="20" t="s">
        <v>1077</v>
      </c>
      <c r="AE1" s="19">
        <v>45400</v>
      </c>
      <c r="AF1" s="20" t="s">
        <v>1077</v>
      </c>
      <c r="AG1" s="19">
        <v>45407</v>
      </c>
      <c r="AH1" s="20" t="s">
        <v>1077</v>
      </c>
      <c r="AI1" s="19">
        <v>45414</v>
      </c>
      <c r="AJ1" s="20" t="s">
        <v>1077</v>
      </c>
      <c r="AK1" s="19">
        <v>45420</v>
      </c>
      <c r="AL1" s="20" t="s">
        <v>1077</v>
      </c>
      <c r="AM1" s="19">
        <v>45428</v>
      </c>
      <c r="AN1" s="20" t="s">
        <v>1077</v>
      </c>
      <c r="AO1" s="19">
        <v>45435</v>
      </c>
      <c r="AP1" s="20" t="s">
        <v>1077</v>
      </c>
      <c r="AQ1" s="19">
        <v>45443</v>
      </c>
      <c r="AR1" s="20" t="s">
        <v>1077</v>
      </c>
      <c r="AS1" s="19">
        <v>45456</v>
      </c>
      <c r="AT1" s="20" t="s">
        <v>1077</v>
      </c>
      <c r="AU1" s="19">
        <v>45463</v>
      </c>
      <c r="AV1" s="20" t="s">
        <v>1077</v>
      </c>
      <c r="AW1" s="19">
        <v>45470</v>
      </c>
      <c r="AX1" s="20" t="s">
        <v>1077</v>
      </c>
      <c r="AY1" s="19">
        <v>45477</v>
      </c>
      <c r="AZ1" s="20" t="s">
        <v>1077</v>
      </c>
      <c r="BA1" s="19">
        <v>45484</v>
      </c>
      <c r="BB1" s="20" t="s">
        <v>1077</v>
      </c>
      <c r="BC1" s="19">
        <v>45491</v>
      </c>
      <c r="BD1" s="20" t="s">
        <v>1077</v>
      </c>
      <c r="BE1" s="19">
        <v>45498</v>
      </c>
      <c r="BF1" s="20" t="s">
        <v>1077</v>
      </c>
      <c r="BG1" s="19">
        <v>45505</v>
      </c>
      <c r="BH1" s="20" t="s">
        <v>1077</v>
      </c>
      <c r="BI1" s="19">
        <v>45512</v>
      </c>
      <c r="BJ1" s="20" t="s">
        <v>1077</v>
      </c>
      <c r="BK1" s="19">
        <v>45520</v>
      </c>
      <c r="BL1" s="20" t="s">
        <v>1077</v>
      </c>
      <c r="BM1" s="19">
        <v>45526</v>
      </c>
      <c r="BN1" s="20" t="s">
        <v>1077</v>
      </c>
      <c r="BO1" s="19">
        <v>45533</v>
      </c>
      <c r="BP1" s="20" t="s">
        <v>1077</v>
      </c>
      <c r="BQ1" s="19">
        <v>45540</v>
      </c>
      <c r="BR1" s="20" t="s">
        <v>1077</v>
      </c>
      <c r="BS1" s="19">
        <v>45547</v>
      </c>
      <c r="BT1" s="20" t="s">
        <v>1077</v>
      </c>
      <c r="BU1" s="19">
        <v>45554</v>
      </c>
      <c r="BV1" s="20" t="s">
        <v>1077</v>
      </c>
      <c r="BW1" s="19">
        <v>45561</v>
      </c>
      <c r="BX1" s="20" t="s">
        <v>1077</v>
      </c>
      <c r="BY1" s="19">
        <v>45567</v>
      </c>
      <c r="BZ1" s="20" t="s">
        <v>1077</v>
      </c>
      <c r="CA1" s="19">
        <v>45575</v>
      </c>
      <c r="CB1" s="20" t="s">
        <v>1077</v>
      </c>
      <c r="CC1" s="19">
        <v>45582</v>
      </c>
      <c r="CD1" s="20" t="s">
        <v>1077</v>
      </c>
      <c r="CE1" s="19">
        <v>45589</v>
      </c>
      <c r="CF1" s="20" t="s">
        <v>1077</v>
      </c>
      <c r="CG1" s="19">
        <v>45596</v>
      </c>
      <c r="CH1" s="20" t="s">
        <v>1077</v>
      </c>
      <c r="CI1" s="19">
        <v>45603</v>
      </c>
      <c r="CJ1" s="20" t="s">
        <v>1077</v>
      </c>
      <c r="CK1" s="19">
        <v>45610</v>
      </c>
      <c r="CL1" s="20" t="s">
        <v>1077</v>
      </c>
      <c r="CM1" s="19">
        <v>45617</v>
      </c>
      <c r="CN1" s="20" t="s">
        <v>1077</v>
      </c>
      <c r="CO1" s="19">
        <v>45624</v>
      </c>
      <c r="CP1" s="20" t="s">
        <v>1077</v>
      </c>
      <c r="CQ1" s="19">
        <v>45631</v>
      </c>
      <c r="CR1" s="20" t="s">
        <v>1077</v>
      </c>
      <c r="CS1" s="19">
        <v>45638</v>
      </c>
      <c r="CT1" s="20" t="s">
        <v>1077</v>
      </c>
      <c r="CU1" s="19">
        <v>45645</v>
      </c>
      <c r="CV1" s="20" t="s">
        <v>1077</v>
      </c>
      <c r="CW1" s="19">
        <v>45660</v>
      </c>
      <c r="CX1" s="20" t="s">
        <v>1077</v>
      </c>
      <c r="CY1" s="19">
        <v>45663</v>
      </c>
      <c r="CZ1" s="20" t="s">
        <v>1077</v>
      </c>
      <c r="DA1" s="19">
        <v>45674</v>
      </c>
      <c r="DB1" s="20" t="s">
        <v>1077</v>
      </c>
      <c r="DC1" s="19">
        <v>45681</v>
      </c>
      <c r="DD1" s="20" t="s">
        <v>1077</v>
      </c>
      <c r="DE1" s="19">
        <v>45688</v>
      </c>
      <c r="DF1" s="20" t="s">
        <v>1077</v>
      </c>
      <c r="DG1" s="19">
        <v>45695</v>
      </c>
      <c r="DH1" s="20" t="s">
        <v>1077</v>
      </c>
      <c r="DI1" s="19">
        <v>45702</v>
      </c>
      <c r="DJ1" s="20" t="s">
        <v>1077</v>
      </c>
      <c r="DK1" s="19">
        <v>45709</v>
      </c>
      <c r="DL1" s="20" t="s">
        <v>1077</v>
      </c>
      <c r="DM1" s="19">
        <v>45716</v>
      </c>
      <c r="DN1" s="20" t="s">
        <v>1077</v>
      </c>
      <c r="DO1" s="19">
        <v>45723</v>
      </c>
      <c r="DP1" s="20" t="s">
        <v>1077</v>
      </c>
      <c r="DQ1" s="19">
        <v>45730</v>
      </c>
      <c r="DR1" s="20" t="s">
        <v>1077</v>
      </c>
      <c r="DS1" s="19">
        <v>45737</v>
      </c>
      <c r="DT1" s="20" t="s">
        <v>1077</v>
      </c>
      <c r="DU1" s="19">
        <v>45744</v>
      </c>
      <c r="DV1" s="20" t="s">
        <v>1077</v>
      </c>
      <c r="DW1" s="19">
        <v>45751</v>
      </c>
      <c r="DX1" s="20" t="s">
        <v>1077</v>
      </c>
      <c r="DY1" s="19">
        <v>45758</v>
      </c>
      <c r="DZ1" s="20" t="s">
        <v>1077</v>
      </c>
      <c r="EA1" s="19">
        <v>45764</v>
      </c>
      <c r="EB1" s="20" t="s">
        <v>1077</v>
      </c>
      <c r="EC1" s="19">
        <v>45772</v>
      </c>
      <c r="ED1" s="20" t="s">
        <v>1077</v>
      </c>
      <c r="EE1" s="19">
        <v>45779</v>
      </c>
      <c r="EF1" s="20" t="s">
        <v>1077</v>
      </c>
      <c r="EG1" s="19">
        <v>45786</v>
      </c>
      <c r="EH1" s="20" t="s">
        <v>1077</v>
      </c>
      <c r="EI1" s="19">
        <v>45793</v>
      </c>
      <c r="EJ1" s="20" t="s">
        <v>1077</v>
      </c>
      <c r="EK1" s="19">
        <v>45800</v>
      </c>
      <c r="EL1" s="20" t="s">
        <v>1077</v>
      </c>
      <c r="EM1" s="19">
        <v>45807</v>
      </c>
      <c r="EN1" s="20" t="s">
        <v>1077</v>
      </c>
      <c r="EO1" s="19">
        <v>45814</v>
      </c>
      <c r="EP1" s="20" t="s">
        <v>1077</v>
      </c>
      <c r="EQ1" s="19">
        <v>45821</v>
      </c>
      <c r="ER1" s="20" t="s">
        <v>1077</v>
      </c>
      <c r="ES1" s="19">
        <v>45828</v>
      </c>
      <c r="ET1" s="20" t="s">
        <v>1077</v>
      </c>
      <c r="EU1" s="19">
        <v>45835</v>
      </c>
      <c r="EV1" s="20" t="s">
        <v>1077</v>
      </c>
      <c r="EW1" s="19">
        <v>45842</v>
      </c>
      <c r="EX1" s="20" t="s">
        <v>1077</v>
      </c>
      <c r="EY1" s="19">
        <v>45849</v>
      </c>
      <c r="EZ1" s="20" t="s">
        <v>1077</v>
      </c>
      <c r="FA1" s="19">
        <v>45856</v>
      </c>
      <c r="FB1" s="20" t="s">
        <v>1077</v>
      </c>
      <c r="FC1" s="19">
        <v>45863</v>
      </c>
      <c r="FD1" s="20" t="s">
        <v>1077</v>
      </c>
      <c r="FE1" s="19">
        <v>45870</v>
      </c>
      <c r="FF1" s="20" t="s">
        <v>1077</v>
      </c>
      <c r="FG1" s="19">
        <v>45877</v>
      </c>
      <c r="FH1" s="20" t="s">
        <v>1077</v>
      </c>
      <c r="FI1" s="19">
        <v>45884</v>
      </c>
      <c r="FJ1" s="20" t="s">
        <v>1077</v>
      </c>
      <c r="FK1" s="19">
        <v>45891</v>
      </c>
      <c r="FL1" s="20" t="s">
        <v>1077</v>
      </c>
      <c r="FM1" s="19">
        <v>45898</v>
      </c>
      <c r="FN1" s="20" t="s">
        <v>1077</v>
      </c>
      <c r="FO1" s="19">
        <v>45905</v>
      </c>
      <c r="FP1" s="20" t="s">
        <v>1077</v>
      </c>
      <c r="FQ1" s="19">
        <v>45912</v>
      </c>
      <c r="FR1" s="20" t="s">
        <v>1077</v>
      </c>
      <c r="FS1" s="19">
        <v>45919</v>
      </c>
      <c r="FT1" s="20" t="s">
        <v>1077</v>
      </c>
      <c r="FU1" s="19">
        <v>45926</v>
      </c>
      <c r="FV1" s="20" t="s">
        <v>1077</v>
      </c>
      <c r="FW1" s="19">
        <v>45933</v>
      </c>
      <c r="FX1" s="20" t="s">
        <v>1077</v>
      </c>
      <c r="FY1" s="19">
        <v>45940</v>
      </c>
      <c r="FZ1" s="20" t="s">
        <v>1077</v>
      </c>
      <c r="GA1" s="19">
        <v>45947</v>
      </c>
      <c r="GB1" s="20" t="s">
        <v>1077</v>
      </c>
      <c r="GC1" s="19">
        <v>45954</v>
      </c>
      <c r="GD1" s="20" t="s">
        <v>1077</v>
      </c>
      <c r="GE1" s="19">
        <v>45961</v>
      </c>
      <c r="GF1" s="20" t="s">
        <v>1077</v>
      </c>
      <c r="GG1" s="19">
        <v>45968</v>
      </c>
      <c r="GH1" s="20" t="s">
        <v>1077</v>
      </c>
      <c r="GI1" s="19">
        <v>45975</v>
      </c>
      <c r="GJ1" s="20" t="s">
        <v>1077</v>
      </c>
      <c r="GK1" s="19">
        <v>45982</v>
      </c>
      <c r="GL1" s="20" t="s">
        <v>1077</v>
      </c>
      <c r="GM1" s="19">
        <v>45989</v>
      </c>
      <c r="GN1" s="20" t="s">
        <v>1077</v>
      </c>
      <c r="GO1" s="19">
        <v>45996</v>
      </c>
      <c r="GP1" s="20" t="s">
        <v>1077</v>
      </c>
      <c r="GQ1" s="19">
        <v>46003</v>
      </c>
      <c r="GR1" s="20" t="s">
        <v>1077</v>
      </c>
      <c r="GS1" s="19">
        <v>46010</v>
      </c>
      <c r="GT1" s="20" t="s">
        <v>1077</v>
      </c>
      <c r="GU1" s="19">
        <v>46017</v>
      </c>
      <c r="GV1" s="20" t="s">
        <v>1077</v>
      </c>
      <c r="GW1" s="19">
        <v>46024</v>
      </c>
      <c r="GX1" s="20" t="s">
        <v>1077</v>
      </c>
      <c r="GY1" s="19">
        <v>46031</v>
      </c>
      <c r="GZ1" s="20" t="s">
        <v>1077</v>
      </c>
      <c r="HA1" s="19">
        <v>46038</v>
      </c>
      <c r="HB1" s="20" t="s">
        <v>1077</v>
      </c>
      <c r="HC1" s="19">
        <v>46045</v>
      </c>
      <c r="HD1" s="20" t="s">
        <v>1077</v>
      </c>
      <c r="HE1" s="19">
        <v>46052</v>
      </c>
      <c r="HF1" s="20" t="s">
        <v>1077</v>
      </c>
      <c r="HG1" s="19">
        <v>46059</v>
      </c>
      <c r="HH1" s="20" t="s">
        <v>1077</v>
      </c>
      <c r="HI1" s="19">
        <v>46066</v>
      </c>
      <c r="HJ1" s="20" t="s">
        <v>1077</v>
      </c>
      <c r="HK1" s="19">
        <v>46073</v>
      </c>
      <c r="HL1" s="20" t="s">
        <v>1077</v>
      </c>
      <c r="HM1" s="19">
        <v>46080</v>
      </c>
      <c r="HN1" s="20" t="s">
        <v>1077</v>
      </c>
      <c r="HO1" s="19">
        <v>46087</v>
      </c>
      <c r="HP1" s="20" t="s">
        <v>1077</v>
      </c>
      <c r="HQ1" s="19">
        <v>46094</v>
      </c>
      <c r="HR1" s="20" t="s">
        <v>1077</v>
      </c>
      <c r="HS1" s="19">
        <v>46101</v>
      </c>
      <c r="HT1" s="20" t="s">
        <v>1077</v>
      </c>
      <c r="HU1" s="19">
        <v>46108</v>
      </c>
      <c r="HV1" s="20" t="s">
        <v>1077</v>
      </c>
      <c r="HW1" s="19">
        <v>46115</v>
      </c>
      <c r="HX1" s="20" t="s">
        <v>1077</v>
      </c>
      <c r="HY1" s="19">
        <v>46122</v>
      </c>
      <c r="HZ1" s="20" t="s">
        <v>1077</v>
      </c>
      <c r="IA1" s="19">
        <v>46129</v>
      </c>
      <c r="IB1" s="20" t="s">
        <v>1077</v>
      </c>
      <c r="IC1" s="19">
        <v>46136</v>
      </c>
      <c r="ID1" s="20" t="s">
        <v>1077</v>
      </c>
      <c r="IE1" s="19">
        <v>46143</v>
      </c>
      <c r="IF1" s="20" t="s">
        <v>1077</v>
      </c>
      <c r="IG1" s="19">
        <v>46150</v>
      </c>
      <c r="IH1" s="20" t="s">
        <v>1077</v>
      </c>
      <c r="II1" s="19">
        <v>46157</v>
      </c>
      <c r="IJ1" s="20" t="s">
        <v>1077</v>
      </c>
      <c r="IK1" s="19">
        <v>46164</v>
      </c>
      <c r="IL1" s="20" t="s">
        <v>1077</v>
      </c>
      <c r="IM1" s="19">
        <v>46171</v>
      </c>
      <c r="IN1" s="20" t="s">
        <v>1077</v>
      </c>
      <c r="IO1" s="19">
        <v>46178</v>
      </c>
      <c r="IP1" s="20" t="s">
        <v>1077</v>
      </c>
      <c r="IQ1" s="19">
        <v>46185</v>
      </c>
      <c r="IR1" s="20" t="s">
        <v>1077</v>
      </c>
      <c r="IS1" s="19">
        <v>46192</v>
      </c>
      <c r="IT1" s="20" t="s">
        <v>1077</v>
      </c>
      <c r="IU1" s="19">
        <v>46199</v>
      </c>
      <c r="IV1" s="20" t="s">
        <v>1077</v>
      </c>
      <c r="IW1" s="19">
        <v>46206</v>
      </c>
      <c r="IX1" s="20" t="s">
        <v>1077</v>
      </c>
      <c r="IY1" s="19">
        <v>46213</v>
      </c>
      <c r="IZ1" s="20" t="s">
        <v>1077</v>
      </c>
      <c r="JA1" s="19">
        <v>46220</v>
      </c>
      <c r="JB1" s="20" t="s">
        <v>1077</v>
      </c>
      <c r="JC1" s="19">
        <v>46227</v>
      </c>
      <c r="JD1" s="20" t="s">
        <v>1077</v>
      </c>
      <c r="JE1" s="19">
        <v>46234</v>
      </c>
      <c r="JF1" s="20" t="s">
        <v>1077</v>
      </c>
      <c r="JG1" s="19">
        <v>46241</v>
      </c>
      <c r="JH1" s="20" t="s">
        <v>1077</v>
      </c>
      <c r="JI1" s="19">
        <v>46248</v>
      </c>
      <c r="JJ1" s="20" t="s">
        <v>1077</v>
      </c>
      <c r="JK1" s="19">
        <v>46255</v>
      </c>
      <c r="JL1" s="20" t="s">
        <v>1077</v>
      </c>
      <c r="JM1" s="19">
        <v>46262</v>
      </c>
      <c r="JN1" s="20" t="s">
        <v>1077</v>
      </c>
      <c r="JO1" s="19">
        <v>46269</v>
      </c>
      <c r="JP1" s="20" t="s">
        <v>1077</v>
      </c>
      <c r="JQ1" s="19">
        <v>46276</v>
      </c>
      <c r="JR1" s="20" t="s">
        <v>1077</v>
      </c>
      <c r="JS1" s="19">
        <v>46283</v>
      </c>
      <c r="JT1" s="20" t="s">
        <v>1077</v>
      </c>
      <c r="JU1" s="19">
        <v>46290</v>
      </c>
      <c r="JV1" s="20" t="s">
        <v>1077</v>
      </c>
      <c r="JW1" s="19">
        <v>46297</v>
      </c>
      <c r="JX1" s="20" t="s">
        <v>1077</v>
      </c>
      <c r="JY1" s="19">
        <v>46304</v>
      </c>
      <c r="JZ1" s="20" t="s">
        <v>1077</v>
      </c>
      <c r="KA1" s="19">
        <v>46314</v>
      </c>
      <c r="KB1" s="20" t="s">
        <v>1077</v>
      </c>
      <c r="KC1" s="19">
        <v>46321</v>
      </c>
      <c r="KD1" s="20" t="s">
        <v>1077</v>
      </c>
      <c r="KE1" s="19">
        <v>46328</v>
      </c>
      <c r="KF1" s="20" t="s">
        <v>1077</v>
      </c>
      <c r="KG1" s="19">
        <v>46335</v>
      </c>
      <c r="KH1" s="20" t="s">
        <v>1077</v>
      </c>
      <c r="KI1" s="19">
        <v>46342</v>
      </c>
      <c r="KJ1" s="20" t="s">
        <v>1077</v>
      </c>
      <c r="KK1" s="19">
        <v>46349</v>
      </c>
      <c r="KL1" s="20" t="s">
        <v>1077</v>
      </c>
      <c r="KM1" s="19">
        <v>46356</v>
      </c>
      <c r="KN1" s="20" t="s">
        <v>1077</v>
      </c>
      <c r="KO1" s="19">
        <v>46363</v>
      </c>
      <c r="KP1" s="20" t="s">
        <v>1077</v>
      </c>
      <c r="KQ1" s="19">
        <v>46370</v>
      </c>
      <c r="KR1" s="20" t="s">
        <v>1077</v>
      </c>
      <c r="KS1" s="19">
        <v>46377</v>
      </c>
      <c r="KT1" s="20" t="s">
        <v>1077</v>
      </c>
      <c r="KU1" s="19">
        <v>46384</v>
      </c>
      <c r="KV1" s="20" t="s">
        <v>1077</v>
      </c>
      <c r="KW1" s="19">
        <v>46391</v>
      </c>
      <c r="KX1" s="20" t="s">
        <v>1077</v>
      </c>
      <c r="KY1" s="19">
        <v>46398</v>
      </c>
      <c r="KZ1" s="20" t="s">
        <v>1077</v>
      </c>
      <c r="LA1" s="19">
        <v>46405</v>
      </c>
      <c r="LB1" s="20" t="s">
        <v>1077</v>
      </c>
      <c r="LC1" s="19">
        <v>46412</v>
      </c>
      <c r="LD1" s="20" t="s">
        <v>1077</v>
      </c>
      <c r="LE1" s="19">
        <v>46419</v>
      </c>
      <c r="LF1" s="20" t="s">
        <v>1077</v>
      </c>
      <c r="LG1" s="19">
        <v>46426</v>
      </c>
      <c r="LH1" s="20" t="s">
        <v>1077</v>
      </c>
      <c r="LJ1" s="9" t="s">
        <v>1079</v>
      </c>
    </row>
    <row r="2" spans="1:322" ht="12" customHeight="1">
      <c r="I2" s="21">
        <f>IF(COUNT(I3:I157)&gt;0,"Y","X")</f>
        <v>0</v>
      </c>
      <c r="J2" s="21" t="s">
        <v>1078</v>
      </c>
      <c r="K2" s="21">
        <f>IF(COUNT(K3:K157)&gt;0,"Y","X")</f>
        <v>0</v>
      </c>
      <c r="L2" s="21" t="s">
        <v>1078</v>
      </c>
      <c r="M2" s="21">
        <f>IF(COUNT(M3:M157)&gt;0,"Y","X")</f>
        <v>0</v>
      </c>
      <c r="N2" s="21" t="s">
        <v>1078</v>
      </c>
      <c r="O2" s="21">
        <f>IF(COUNT(O3:O157)&gt;0,"Y","X")</f>
        <v>0</v>
      </c>
      <c r="P2" s="21" t="s">
        <v>1078</v>
      </c>
      <c r="Q2" s="21">
        <f>IF(COUNT(Q3:Q157)&gt;0,"Y","X")</f>
        <v>0</v>
      </c>
      <c r="R2" s="21" t="s">
        <v>1078</v>
      </c>
      <c r="S2" s="21">
        <f>IF(COUNT(S3:S157)&gt;0,"Y","X")</f>
        <v>0</v>
      </c>
      <c r="T2" s="21" t="s">
        <v>1078</v>
      </c>
      <c r="U2" s="21">
        <f>IF(COUNT(U3:U157)&gt;0,"Y","X")</f>
        <v>0</v>
      </c>
      <c r="V2" s="21" t="s">
        <v>1078</v>
      </c>
      <c r="W2" s="21">
        <f>IF(COUNT(W3:W157)&gt;0,"Y","X")</f>
        <v>0</v>
      </c>
      <c r="X2" s="21" t="s">
        <v>1078</v>
      </c>
      <c r="Y2" s="21">
        <f>IF(COUNT(Y3:Y157)&gt;0,"Y","X")</f>
        <v>0</v>
      </c>
      <c r="Z2" s="21" t="s">
        <v>1078</v>
      </c>
      <c r="AA2" s="21">
        <f>IF(COUNT(AA3:AA157)&gt;0,"Y","X")</f>
        <v>0</v>
      </c>
      <c r="AB2" s="21" t="s">
        <v>1078</v>
      </c>
      <c r="AC2" s="21">
        <f>IF(COUNT(AC3:AC157)&gt;0,"Y","X")</f>
        <v>0</v>
      </c>
      <c r="AD2" s="21" t="s">
        <v>1078</v>
      </c>
      <c r="AE2" s="21">
        <f>IF(COUNT(AE3:AE157)&gt;0,"Y","X")</f>
        <v>0</v>
      </c>
      <c r="AF2" s="21" t="s">
        <v>1078</v>
      </c>
      <c r="AG2" s="21">
        <f>IF(COUNT(AG3:AG157)&gt;0,"Y","X")</f>
        <v>0</v>
      </c>
      <c r="AH2" s="21" t="s">
        <v>1078</v>
      </c>
      <c r="AI2" s="21">
        <f>IF(COUNT(AI3:AI157)&gt;0,"Y","X")</f>
        <v>0</v>
      </c>
      <c r="AJ2" s="21" t="s">
        <v>1078</v>
      </c>
      <c r="AK2" s="21">
        <f>IF(COUNT(AK3:AK157)&gt;0,"Y","X")</f>
        <v>0</v>
      </c>
      <c r="AL2" s="21" t="s">
        <v>1078</v>
      </c>
      <c r="AM2" s="21">
        <f>IF(COUNT(AM3:AM157)&gt;0,"Y","X")</f>
        <v>0</v>
      </c>
      <c r="AN2" s="21" t="s">
        <v>1078</v>
      </c>
      <c r="AO2" s="21">
        <f>IF(COUNT(AO3:AO157)&gt;0,"Y","X")</f>
        <v>0</v>
      </c>
      <c r="AP2" s="21" t="s">
        <v>1078</v>
      </c>
      <c r="AQ2" s="21">
        <f>IF(COUNT(AQ3:AQ157)&gt;0,"Y","X")</f>
        <v>0</v>
      </c>
      <c r="AR2" s="21" t="s">
        <v>1078</v>
      </c>
      <c r="AS2" s="21">
        <f>IF(COUNT(AS3:AS157)&gt;0,"Y","X")</f>
        <v>0</v>
      </c>
      <c r="AT2" s="21" t="s">
        <v>1078</v>
      </c>
      <c r="AU2" s="21">
        <f>IF(COUNT(AU3:AU157)&gt;0,"Y","X")</f>
        <v>0</v>
      </c>
      <c r="AV2" s="21" t="s">
        <v>1078</v>
      </c>
      <c r="AW2" s="21">
        <f>IF(COUNT(AW3:AW157)&gt;0,"Y","X")</f>
        <v>0</v>
      </c>
      <c r="AX2" s="21" t="s">
        <v>1078</v>
      </c>
      <c r="AY2" s="21">
        <f>IF(COUNT(AY3:AY157)&gt;0,"Y","X")</f>
        <v>0</v>
      </c>
      <c r="AZ2" s="21" t="s">
        <v>1078</v>
      </c>
      <c r="BA2" s="21">
        <f>IF(COUNT(BA3:BA157)&gt;0,"Y","X")</f>
        <v>0</v>
      </c>
      <c r="BB2" s="21" t="s">
        <v>1078</v>
      </c>
      <c r="BC2" s="21">
        <f>IF(COUNT(BC3:BC157)&gt;0,"Y","X")</f>
        <v>0</v>
      </c>
      <c r="BD2" s="21" t="s">
        <v>1078</v>
      </c>
      <c r="BE2" s="21">
        <f>IF(COUNT(BE3:BE157)&gt;0,"Y","X")</f>
        <v>0</v>
      </c>
      <c r="BF2" s="21" t="s">
        <v>1078</v>
      </c>
      <c r="BG2" s="21">
        <f>IF(COUNT(BG3:BG157)&gt;0,"Y","X")</f>
        <v>0</v>
      </c>
      <c r="BH2" s="21" t="s">
        <v>1078</v>
      </c>
      <c r="BI2" s="21">
        <f>IF(COUNT(BI3:BI157)&gt;0,"Y","X")</f>
        <v>0</v>
      </c>
      <c r="BJ2" s="21" t="s">
        <v>1078</v>
      </c>
      <c r="BK2" s="21">
        <f>IF(COUNT(BK3:BK157)&gt;0,"Y","X")</f>
        <v>0</v>
      </c>
      <c r="BL2" s="21" t="s">
        <v>1078</v>
      </c>
      <c r="BM2" s="21">
        <f>IF(COUNT(BM3:BM157)&gt;0,"Y","X")</f>
        <v>0</v>
      </c>
      <c r="BN2" s="21" t="s">
        <v>1078</v>
      </c>
      <c r="BO2" s="21">
        <f>IF(COUNT(BO3:BO157)&gt;0,"Y","X")</f>
        <v>0</v>
      </c>
      <c r="BP2" s="21" t="s">
        <v>1078</v>
      </c>
      <c r="BQ2" s="21">
        <f>IF(COUNT(BQ3:BQ157)&gt;0,"Y","X")</f>
        <v>0</v>
      </c>
      <c r="BR2" s="21" t="s">
        <v>1078</v>
      </c>
      <c r="BS2" s="21">
        <f>IF(COUNT(BS3:BS157)&gt;0,"Y","X")</f>
        <v>0</v>
      </c>
      <c r="BT2" s="21" t="s">
        <v>1078</v>
      </c>
      <c r="BU2" s="21">
        <f>IF(COUNT(BU3:BU157)&gt;0,"Y","X")</f>
        <v>0</v>
      </c>
      <c r="BV2" s="21" t="s">
        <v>1078</v>
      </c>
      <c r="BW2" s="21">
        <f>IF(COUNT(BW3:BW157)&gt;0,"Y","X")</f>
        <v>0</v>
      </c>
      <c r="BX2" s="21" t="s">
        <v>1078</v>
      </c>
      <c r="BY2" s="21">
        <f>IF(COUNT(BY3:BY157)&gt;0,"Y","X")</f>
        <v>0</v>
      </c>
      <c r="BZ2" s="21" t="s">
        <v>1078</v>
      </c>
      <c r="CA2" s="21">
        <f>IF(COUNT(CA3:CA157)&gt;0,"Y","X")</f>
        <v>0</v>
      </c>
      <c r="CB2" s="21" t="s">
        <v>1078</v>
      </c>
      <c r="CC2" s="21">
        <f>IF(COUNT(CC3:CC157)&gt;0,"Y","X")</f>
        <v>0</v>
      </c>
      <c r="CD2" s="21" t="s">
        <v>1078</v>
      </c>
      <c r="CE2" s="21">
        <f>IF(COUNT(CE3:CE157)&gt;0,"Y","X")</f>
        <v>0</v>
      </c>
      <c r="CF2" s="21" t="s">
        <v>1078</v>
      </c>
      <c r="CG2" s="21">
        <f>IF(COUNT(CG3:CG157)&gt;0,"Y","X")</f>
        <v>0</v>
      </c>
      <c r="CH2" s="21" t="s">
        <v>1078</v>
      </c>
      <c r="CI2" s="21">
        <f>IF(COUNT(CI3:CI157)&gt;0,"Y","X")</f>
        <v>0</v>
      </c>
      <c r="CJ2" s="21" t="s">
        <v>1078</v>
      </c>
      <c r="CK2" s="21">
        <f>IF(COUNT(CK3:CK157)&gt;0,"Y","X")</f>
        <v>0</v>
      </c>
      <c r="CL2" s="21" t="s">
        <v>1078</v>
      </c>
      <c r="CM2" s="21">
        <f>IF(COUNT(CM3:CM157)&gt;0,"Y","X")</f>
        <v>0</v>
      </c>
      <c r="CN2" s="21" t="s">
        <v>1078</v>
      </c>
      <c r="CO2" s="21">
        <f>IF(COUNT(CO3:CO157)&gt;0,"Y","X")</f>
        <v>0</v>
      </c>
      <c r="CP2" s="21" t="s">
        <v>1078</v>
      </c>
      <c r="CQ2" s="21">
        <f>IF(COUNT(CQ3:CQ157)&gt;0,"Y","X")</f>
        <v>0</v>
      </c>
      <c r="CR2" s="21" t="s">
        <v>1078</v>
      </c>
      <c r="CS2" s="21">
        <f>IF(COUNT(CS3:CS157)&gt;0,"Y","X")</f>
        <v>0</v>
      </c>
      <c r="CT2" s="21" t="s">
        <v>1078</v>
      </c>
      <c r="CU2" s="21">
        <f>IF(COUNT(CU3:CU157)&gt;0,"Y","X")</f>
        <v>0</v>
      </c>
      <c r="CV2" s="21" t="s">
        <v>1078</v>
      </c>
      <c r="CW2" s="21">
        <f>IF(COUNT(CW3:CW157)&gt;0,"Y","X")</f>
        <v>0</v>
      </c>
      <c r="CX2" s="21" t="s">
        <v>1078</v>
      </c>
      <c r="CY2" s="21">
        <f>IF(COUNT(CY3:CY157)&gt;0,"Y","X")</f>
        <v>0</v>
      </c>
      <c r="CZ2" s="21" t="s">
        <v>1078</v>
      </c>
      <c r="DA2" s="21">
        <f>IF(COUNT(DA3:DA157)&gt;0,"Y","X")</f>
        <v>0</v>
      </c>
      <c r="DB2" s="21" t="s">
        <v>1078</v>
      </c>
      <c r="DC2" s="21">
        <f>IF(COUNT(DC3:DC157)&gt;0,"Y","X")</f>
        <v>0</v>
      </c>
      <c r="DD2" s="21" t="s">
        <v>1078</v>
      </c>
      <c r="DE2" s="21">
        <f>IF(COUNT(DE3:DE157)&gt;0,"Y","X")</f>
        <v>0</v>
      </c>
      <c r="DF2" s="21" t="s">
        <v>1078</v>
      </c>
      <c r="DG2" s="21">
        <f>IF(COUNT(DG3:DG157)&gt;0,"Y","X")</f>
        <v>0</v>
      </c>
      <c r="DH2" s="21" t="s">
        <v>1078</v>
      </c>
      <c r="DI2" s="21">
        <f>IF(COUNT(DI3:DI157)&gt;0,"Y","X")</f>
        <v>0</v>
      </c>
      <c r="DJ2" s="21" t="s">
        <v>1078</v>
      </c>
      <c r="DK2" s="21">
        <f>IF(COUNT(DK3:DK157)&gt;0,"Y","X")</f>
        <v>0</v>
      </c>
      <c r="DL2" s="21" t="s">
        <v>1078</v>
      </c>
      <c r="DM2" s="21">
        <f>IF(COUNT(DM3:DM157)&gt;0,"Y","X")</f>
        <v>0</v>
      </c>
      <c r="DN2" s="21" t="s">
        <v>1078</v>
      </c>
      <c r="DO2" s="21">
        <f>IF(COUNT(DO3:DO157)&gt;0,"Y","X")</f>
        <v>0</v>
      </c>
      <c r="DP2" s="21" t="s">
        <v>1078</v>
      </c>
      <c r="DQ2" s="21">
        <f>IF(COUNT(DQ3:DQ157)&gt;0,"Y","X")</f>
        <v>0</v>
      </c>
      <c r="DR2" s="21" t="s">
        <v>1078</v>
      </c>
      <c r="DS2" s="21">
        <f>IF(COUNT(DS3:DS157)&gt;0,"Y","X")</f>
        <v>0</v>
      </c>
      <c r="DT2" s="21" t="s">
        <v>1078</v>
      </c>
      <c r="DU2" s="21">
        <f>IF(COUNT(DU3:DU157)&gt;0,"Y","X")</f>
        <v>0</v>
      </c>
      <c r="DV2" s="21" t="s">
        <v>1078</v>
      </c>
      <c r="DW2" s="21">
        <f>IF(COUNT(DW3:DW157)&gt;0,"Y","X")</f>
        <v>0</v>
      </c>
      <c r="DX2" s="21" t="s">
        <v>1078</v>
      </c>
      <c r="DY2" s="21">
        <f>IF(COUNT(DY3:DY157)&gt;0,"Y","X")</f>
        <v>0</v>
      </c>
      <c r="DZ2" s="21" t="s">
        <v>1078</v>
      </c>
      <c r="EA2" s="21">
        <f>IF(COUNT(EA3:EA157)&gt;0,"Y","X")</f>
        <v>0</v>
      </c>
      <c r="EB2" s="21" t="s">
        <v>1078</v>
      </c>
      <c r="EC2" s="21">
        <f>IF(COUNT(EC3:EC157)&gt;0,"Y","X")</f>
        <v>0</v>
      </c>
      <c r="ED2" s="21" t="s">
        <v>1078</v>
      </c>
      <c r="EE2" s="21">
        <f>IF(COUNT(EE3:EE157)&gt;0,"Y","X")</f>
        <v>0</v>
      </c>
      <c r="EF2" s="21" t="s">
        <v>1078</v>
      </c>
      <c r="EG2" s="21">
        <f>IF(COUNT(EG3:EG157)&gt;0,"Y","X")</f>
        <v>0</v>
      </c>
      <c r="EH2" s="21" t="s">
        <v>1078</v>
      </c>
      <c r="EI2" s="21">
        <f>IF(COUNT(EI3:EI157)&gt;0,"Y","X")</f>
        <v>0</v>
      </c>
      <c r="EJ2" s="21" t="s">
        <v>1078</v>
      </c>
      <c r="EK2" s="21">
        <f>IF(COUNT(EK3:EK157)&gt;0,"Y","X")</f>
        <v>0</v>
      </c>
      <c r="EL2" s="21" t="s">
        <v>1078</v>
      </c>
      <c r="EM2" s="21">
        <f>IF(COUNT(EM3:EM157)&gt;0,"Y","X")</f>
        <v>0</v>
      </c>
      <c r="EN2" s="21" t="s">
        <v>1078</v>
      </c>
      <c r="EO2" s="21">
        <f>IF(COUNT(EO3:EO157)&gt;0,"Y","X")</f>
        <v>0</v>
      </c>
      <c r="EP2" s="21" t="s">
        <v>1078</v>
      </c>
      <c r="EQ2" s="21">
        <f>IF(COUNT(EQ3:EQ157)&gt;0,"Y","X")</f>
        <v>0</v>
      </c>
      <c r="ER2" s="21" t="s">
        <v>1078</v>
      </c>
      <c r="ES2" s="21">
        <f>IF(COUNT(ES3:ES157)&gt;0,"Y","X")</f>
        <v>0</v>
      </c>
      <c r="ET2" s="21" t="s">
        <v>1078</v>
      </c>
      <c r="EU2" s="21">
        <f>IF(COUNT(EU3:EU157)&gt;0,"Y","X")</f>
        <v>0</v>
      </c>
      <c r="EV2" s="21" t="s">
        <v>1078</v>
      </c>
      <c r="EW2" s="21">
        <f>IF(COUNT(EW3:EW157)&gt;0,"Y","X")</f>
        <v>0</v>
      </c>
      <c r="EX2" s="21" t="s">
        <v>1078</v>
      </c>
      <c r="EY2" s="21">
        <f>IF(COUNT(EY3:EY157)&gt;0,"Y","X")</f>
        <v>0</v>
      </c>
      <c r="EZ2" s="21" t="s">
        <v>1078</v>
      </c>
      <c r="FA2" s="21">
        <f>IF(COUNT(FA3:FA157)&gt;0,"Y","X")</f>
        <v>0</v>
      </c>
      <c r="FB2" s="21" t="s">
        <v>1078</v>
      </c>
      <c r="FC2" s="21">
        <f>IF(COUNT(FC3:FC157)&gt;0,"Y","X")</f>
        <v>0</v>
      </c>
      <c r="FD2" s="21" t="s">
        <v>1078</v>
      </c>
      <c r="FE2" s="21">
        <f>IF(COUNT(FE3:FE157)&gt;0,"Y","X")</f>
        <v>0</v>
      </c>
      <c r="FF2" s="21" t="s">
        <v>1078</v>
      </c>
      <c r="FG2" s="21">
        <f>IF(COUNT(FG3:FG157)&gt;0,"Y","X")</f>
        <v>0</v>
      </c>
      <c r="FH2" s="21" t="s">
        <v>1078</v>
      </c>
      <c r="FI2" s="21">
        <f>IF(COUNT(FI3:FI157)&gt;0,"Y","X")</f>
        <v>0</v>
      </c>
      <c r="FJ2" s="21" t="s">
        <v>1078</v>
      </c>
      <c r="FK2" s="21">
        <f>IF(COUNT(FK3:FK157)&gt;0,"Y","X")</f>
        <v>0</v>
      </c>
      <c r="FL2" s="21" t="s">
        <v>1078</v>
      </c>
      <c r="FM2" s="21">
        <f>IF(COUNT(FM3:FM157)&gt;0,"Y","X")</f>
        <v>0</v>
      </c>
      <c r="FN2" s="21" t="s">
        <v>1078</v>
      </c>
      <c r="FO2" s="21">
        <f>IF(COUNT(FO3:FO157)&gt;0,"Y","X")</f>
        <v>0</v>
      </c>
      <c r="FP2" s="21" t="s">
        <v>1078</v>
      </c>
      <c r="FQ2" s="21">
        <f>IF(COUNT(FQ3:FQ157)&gt;0,"Y","X")</f>
        <v>0</v>
      </c>
      <c r="FR2" s="21" t="s">
        <v>1078</v>
      </c>
      <c r="FS2" s="21">
        <f>IF(COUNT(FS3:FS157)&gt;0,"Y","X")</f>
        <v>0</v>
      </c>
      <c r="FT2" s="21" t="s">
        <v>1078</v>
      </c>
      <c r="FU2" s="21">
        <f>IF(COUNT(FU3:FU157)&gt;0,"Y","X")</f>
        <v>0</v>
      </c>
      <c r="FV2" s="21" t="s">
        <v>1078</v>
      </c>
      <c r="FW2" s="21">
        <f>IF(COUNT(FW3:FW157)&gt;0,"Y","X")</f>
        <v>0</v>
      </c>
      <c r="FX2" s="21" t="s">
        <v>1078</v>
      </c>
      <c r="FY2" s="21">
        <f>IF(COUNT(FY3:FY157)&gt;0,"Y","X")</f>
        <v>0</v>
      </c>
      <c r="FZ2" s="21" t="s">
        <v>1078</v>
      </c>
      <c r="GA2" s="21">
        <f>IF(COUNT(GA3:GA157)&gt;0,"Y","X")</f>
        <v>0</v>
      </c>
      <c r="GB2" s="21" t="s">
        <v>1078</v>
      </c>
      <c r="GC2" s="21">
        <f>IF(COUNT(GC3:GC157)&gt;0,"Y","X")</f>
        <v>0</v>
      </c>
      <c r="GD2" s="21" t="s">
        <v>1078</v>
      </c>
      <c r="GE2" s="21">
        <f>IF(COUNT(GE3:GE157)&gt;0,"Y","X")</f>
        <v>0</v>
      </c>
      <c r="GF2" s="21" t="s">
        <v>1078</v>
      </c>
      <c r="GG2" s="21">
        <f>IF(COUNT(GG3:GG157)&gt;0,"Y","X")</f>
        <v>0</v>
      </c>
      <c r="GH2" s="21" t="s">
        <v>1078</v>
      </c>
      <c r="GI2" s="21">
        <f>IF(COUNT(GI3:GI157)&gt;0,"Y","X")</f>
        <v>0</v>
      </c>
      <c r="GJ2" s="21" t="s">
        <v>1078</v>
      </c>
      <c r="GK2" s="21">
        <f>IF(COUNT(GK3:GK157)&gt;0,"Y","X")</f>
        <v>0</v>
      </c>
      <c r="GL2" s="21" t="s">
        <v>1078</v>
      </c>
      <c r="GM2" s="21">
        <f>IF(COUNT(GM3:GM157)&gt;0,"Y","X")</f>
        <v>0</v>
      </c>
      <c r="GN2" s="21" t="s">
        <v>1078</v>
      </c>
      <c r="GO2" s="21">
        <f>IF(COUNT(GO3:GO157)&gt;0,"Y","X")</f>
        <v>0</v>
      </c>
      <c r="GP2" s="21" t="s">
        <v>1078</v>
      </c>
      <c r="GQ2" s="21">
        <f>IF(COUNT(GQ3:GQ157)&gt;0,"Y","X")</f>
        <v>0</v>
      </c>
      <c r="GR2" s="21" t="s">
        <v>1078</v>
      </c>
      <c r="GS2" s="21">
        <f>IF(COUNT(GS3:GS157)&gt;0,"Y","X")</f>
        <v>0</v>
      </c>
      <c r="GT2" s="21" t="s">
        <v>1078</v>
      </c>
      <c r="GU2" s="21">
        <f>IF(COUNT(GU3:GU157)&gt;0,"Y","X")</f>
        <v>0</v>
      </c>
      <c r="GV2" s="21" t="s">
        <v>1078</v>
      </c>
      <c r="GW2" s="21">
        <f>IF(COUNT(GW3:GW157)&gt;0,"Y","X")</f>
        <v>0</v>
      </c>
      <c r="GX2" s="21" t="s">
        <v>1078</v>
      </c>
      <c r="GY2" s="21">
        <f>IF(COUNT(GY3:GY157)&gt;0,"Y","X")</f>
        <v>0</v>
      </c>
      <c r="GZ2" s="21" t="s">
        <v>1078</v>
      </c>
      <c r="HA2" s="21">
        <f>IF(COUNT(HA3:HA157)&gt;0,"Y","X")</f>
        <v>0</v>
      </c>
      <c r="HB2" s="21" t="s">
        <v>1078</v>
      </c>
      <c r="HC2" s="21">
        <f>IF(COUNT(HC3:HC157)&gt;0,"Y","X")</f>
        <v>0</v>
      </c>
      <c r="HD2" s="21" t="s">
        <v>1078</v>
      </c>
      <c r="HE2" s="21">
        <f>IF(COUNT(HE3:HE157)&gt;0,"Y","X")</f>
        <v>0</v>
      </c>
      <c r="HF2" s="21" t="s">
        <v>1078</v>
      </c>
      <c r="HG2" s="21">
        <f>IF(COUNT(HG3:HG157)&gt;0,"Y","X")</f>
        <v>0</v>
      </c>
      <c r="HH2" s="21" t="s">
        <v>1078</v>
      </c>
      <c r="HI2" s="21">
        <f>IF(COUNT(HI3:HI157)&gt;0,"Y","X")</f>
        <v>0</v>
      </c>
      <c r="HJ2" s="21" t="s">
        <v>1078</v>
      </c>
      <c r="HK2" s="21">
        <f>IF(COUNT(HK3:HK157)&gt;0,"Y","X")</f>
        <v>0</v>
      </c>
      <c r="HL2" s="21" t="s">
        <v>1078</v>
      </c>
      <c r="HM2" s="21">
        <f>IF(COUNT(HM3:HM157)&gt;0,"Y","X")</f>
        <v>0</v>
      </c>
      <c r="HN2" s="21" t="s">
        <v>1078</v>
      </c>
      <c r="HO2" s="21">
        <f>IF(COUNT(HO3:HO157)&gt;0,"Y","X")</f>
        <v>0</v>
      </c>
      <c r="HP2" s="21" t="s">
        <v>1078</v>
      </c>
      <c r="HQ2" s="21">
        <f>IF(COUNT(HQ3:HQ157)&gt;0,"Y","X")</f>
        <v>0</v>
      </c>
      <c r="HR2" s="21" t="s">
        <v>1078</v>
      </c>
      <c r="HS2" s="21">
        <f>IF(COUNT(HS3:HS157)&gt;0,"Y","X")</f>
        <v>0</v>
      </c>
      <c r="HT2" s="21" t="s">
        <v>1078</v>
      </c>
      <c r="HU2" s="21">
        <f>IF(COUNT(HU3:HU157)&gt;0,"Y","X")</f>
        <v>0</v>
      </c>
      <c r="HV2" s="21" t="s">
        <v>1078</v>
      </c>
      <c r="HW2" s="21">
        <f>IF(COUNT(HW3:HW157)&gt;0,"Y","X")</f>
        <v>0</v>
      </c>
      <c r="HX2" s="21" t="s">
        <v>1078</v>
      </c>
      <c r="HY2" s="21">
        <f>IF(COUNT(HY3:HY157)&gt;0,"Y","X")</f>
        <v>0</v>
      </c>
      <c r="HZ2" s="21" t="s">
        <v>1078</v>
      </c>
      <c r="IA2" s="21">
        <f>IF(COUNT(IA3:IA157)&gt;0,"Y","X")</f>
        <v>0</v>
      </c>
      <c r="IB2" s="21" t="s">
        <v>1078</v>
      </c>
      <c r="IC2" s="21">
        <f>IF(COUNT(IC3:IC157)&gt;0,"Y","X")</f>
        <v>0</v>
      </c>
      <c r="ID2" s="21" t="s">
        <v>1078</v>
      </c>
      <c r="IE2" s="21">
        <f>IF(COUNT(IE3:IE157)&gt;0,"Y","X")</f>
        <v>0</v>
      </c>
      <c r="IF2" s="21" t="s">
        <v>1078</v>
      </c>
      <c r="IG2" s="21">
        <f>IF(COUNT(IG3:IG157)&gt;0,"Y","X")</f>
        <v>0</v>
      </c>
      <c r="IH2" s="21" t="s">
        <v>1078</v>
      </c>
      <c r="II2" s="21">
        <f>IF(COUNT(II3:II157)&gt;0,"Y","X")</f>
        <v>0</v>
      </c>
      <c r="IJ2" s="21" t="s">
        <v>1078</v>
      </c>
      <c r="IK2" s="21">
        <f>IF(COUNT(IK3:IK157)&gt;0,"Y","X")</f>
        <v>0</v>
      </c>
      <c r="IL2" s="21" t="s">
        <v>1078</v>
      </c>
      <c r="IM2" s="21">
        <f>IF(COUNT(IM3:IM157)&gt;0,"Y","X")</f>
        <v>0</v>
      </c>
      <c r="IN2" s="21" t="s">
        <v>1078</v>
      </c>
      <c r="IO2" s="21">
        <f>IF(COUNT(IO3:IO157)&gt;0,"Y","X")</f>
        <v>0</v>
      </c>
      <c r="IP2" s="21" t="s">
        <v>1078</v>
      </c>
      <c r="IQ2" s="21">
        <f>IF(COUNT(IQ3:IQ157)&gt;0,"Y","X")</f>
        <v>0</v>
      </c>
      <c r="IR2" s="21" t="s">
        <v>1078</v>
      </c>
      <c r="IS2" s="21">
        <f>IF(COUNT(IS3:IS157)&gt;0,"Y","X")</f>
        <v>0</v>
      </c>
      <c r="IT2" s="21" t="s">
        <v>1078</v>
      </c>
      <c r="IU2" s="21">
        <f>IF(COUNT(IU3:IU157)&gt;0,"Y","X")</f>
        <v>0</v>
      </c>
      <c r="IV2" s="21" t="s">
        <v>1078</v>
      </c>
      <c r="IW2" s="21">
        <f>IF(COUNT(IW3:IW157)&gt;0,"Y","X")</f>
        <v>0</v>
      </c>
      <c r="IX2" s="21" t="s">
        <v>1078</v>
      </c>
      <c r="IY2" s="21">
        <f>IF(COUNT(IY3:IY157)&gt;0,"Y","X")</f>
        <v>0</v>
      </c>
      <c r="IZ2" s="21" t="s">
        <v>1078</v>
      </c>
      <c r="JA2" s="21">
        <f>IF(COUNT(JA3:JA157)&gt;0,"Y","X")</f>
        <v>0</v>
      </c>
      <c r="JB2" s="21" t="s">
        <v>1078</v>
      </c>
      <c r="JC2" s="21">
        <f>IF(COUNT(JC3:JC157)&gt;0,"Y","X")</f>
        <v>0</v>
      </c>
      <c r="JD2" s="21" t="s">
        <v>1078</v>
      </c>
      <c r="JE2" s="21">
        <f>IF(COUNT(JE3:JE157)&gt;0,"Y","X")</f>
        <v>0</v>
      </c>
      <c r="JF2" s="21" t="s">
        <v>1078</v>
      </c>
      <c r="JG2" s="21">
        <f>IF(COUNT(JG3:JG157)&gt;0,"Y","X")</f>
        <v>0</v>
      </c>
      <c r="JH2" s="21" t="s">
        <v>1078</v>
      </c>
      <c r="JI2" s="21">
        <f>IF(COUNT(JI3:JI157)&gt;0,"Y","X")</f>
        <v>0</v>
      </c>
      <c r="JJ2" s="21" t="s">
        <v>1078</v>
      </c>
      <c r="JK2" s="21">
        <f>IF(COUNT(JK3:JK157)&gt;0,"Y","X")</f>
        <v>0</v>
      </c>
      <c r="JL2" s="21" t="s">
        <v>1078</v>
      </c>
      <c r="JM2" s="21">
        <f>IF(COUNT(JM3:JM157)&gt;0,"Y","X")</f>
        <v>0</v>
      </c>
      <c r="JN2" s="21" t="s">
        <v>1078</v>
      </c>
      <c r="JO2" s="21">
        <f>IF(COUNT(JO3:JO157)&gt;0,"Y","X")</f>
        <v>0</v>
      </c>
      <c r="JP2" s="21" t="s">
        <v>1078</v>
      </c>
      <c r="JQ2" s="21">
        <f>IF(COUNT(JQ3:JQ157)&gt;0,"Y","X")</f>
        <v>0</v>
      </c>
      <c r="JR2" s="21" t="s">
        <v>1078</v>
      </c>
      <c r="JS2" s="21">
        <f>IF(COUNT(JS3:JS157)&gt;0,"Y","X")</f>
        <v>0</v>
      </c>
      <c r="JT2" s="21" t="s">
        <v>1078</v>
      </c>
      <c r="JU2" s="21">
        <f>IF(COUNT(JU3:JU157)&gt;0,"Y","X")</f>
        <v>0</v>
      </c>
      <c r="JV2" s="21" t="s">
        <v>1078</v>
      </c>
      <c r="JW2" s="21">
        <f>IF(COUNT(JW3:JW157)&gt;0,"Y","X")</f>
        <v>0</v>
      </c>
      <c r="JX2" s="21" t="s">
        <v>1078</v>
      </c>
      <c r="JY2" s="21">
        <f>IF(COUNT(JY3:JY157)&gt;0,"Y","X")</f>
        <v>0</v>
      </c>
      <c r="JZ2" s="21" t="s">
        <v>1078</v>
      </c>
      <c r="KA2" s="21">
        <f>IF(COUNT(KA3:KA157)&gt;0,"Y","X")</f>
        <v>0</v>
      </c>
      <c r="KB2" s="21" t="s">
        <v>1078</v>
      </c>
      <c r="KC2" s="21">
        <f>IF(COUNT(KC3:KC157)&gt;0,"Y","X")</f>
        <v>0</v>
      </c>
      <c r="KD2" s="21" t="s">
        <v>1078</v>
      </c>
      <c r="KE2" s="21">
        <f>IF(COUNT(KE3:KE157)&gt;0,"Y","X")</f>
        <v>0</v>
      </c>
      <c r="KF2" s="21" t="s">
        <v>1078</v>
      </c>
      <c r="KG2" s="21">
        <f>IF(COUNT(KG3:KG157)&gt;0,"Y","X")</f>
        <v>0</v>
      </c>
      <c r="KH2" s="21" t="s">
        <v>1078</v>
      </c>
      <c r="KI2" s="21">
        <f>IF(COUNT(KI3:KI157)&gt;0,"Y","X")</f>
        <v>0</v>
      </c>
      <c r="KJ2" s="21" t="s">
        <v>1078</v>
      </c>
      <c r="KK2" s="21">
        <f>IF(COUNT(KK3:KK157)&gt;0,"Y","X")</f>
        <v>0</v>
      </c>
      <c r="KL2" s="21" t="s">
        <v>1078</v>
      </c>
      <c r="KM2" s="21">
        <f>IF(COUNT(KM3:KM157)&gt;0,"Y","X")</f>
        <v>0</v>
      </c>
      <c r="KN2" s="21" t="s">
        <v>1078</v>
      </c>
      <c r="KO2" s="21">
        <f>IF(COUNT(KO3:KO157)&gt;0,"Y","X")</f>
        <v>0</v>
      </c>
      <c r="KP2" s="21" t="s">
        <v>1078</v>
      </c>
      <c r="KQ2" s="21">
        <f>IF(COUNT(KQ3:KQ157)&gt;0,"Y","X")</f>
        <v>0</v>
      </c>
      <c r="KR2" s="21" t="s">
        <v>1078</v>
      </c>
      <c r="KS2" s="21">
        <f>IF(COUNT(KS3:KS157)&gt;0,"Y","X")</f>
        <v>0</v>
      </c>
      <c r="KT2" s="21" t="s">
        <v>1078</v>
      </c>
      <c r="KU2" s="21">
        <f>IF(COUNT(KU3:KU157)&gt;0,"Y","X")</f>
        <v>0</v>
      </c>
      <c r="KV2" s="21" t="s">
        <v>1078</v>
      </c>
      <c r="KW2" s="21">
        <f>IF(COUNT(KW3:KW157)&gt;0,"Y","X")</f>
        <v>0</v>
      </c>
      <c r="KX2" s="21" t="s">
        <v>1078</v>
      </c>
      <c r="KY2" s="21">
        <f>IF(COUNT(KY3:KY157)&gt;0,"Y","X")</f>
        <v>0</v>
      </c>
      <c r="KZ2" s="21" t="s">
        <v>1078</v>
      </c>
      <c r="LA2" s="21">
        <f>IF(COUNT(LA3:LA157)&gt;0,"Y","X")</f>
        <v>0</v>
      </c>
      <c r="LB2" s="21" t="s">
        <v>1078</v>
      </c>
      <c r="LC2" s="21">
        <f>IF(COUNT(LC3:LC157)&gt;0,"Y","X")</f>
        <v>0</v>
      </c>
      <c r="LD2" s="21" t="s">
        <v>1078</v>
      </c>
      <c r="LE2" s="21">
        <f>IF(COUNT(LE3:LE157)&gt;0,"Y","X")</f>
        <v>0</v>
      </c>
      <c r="LF2" s="21" t="s">
        <v>1078</v>
      </c>
      <c r="LG2" s="21">
        <f>IF(COUNT(LG3:LG157)&gt;0,"Y","X")</f>
        <v>0</v>
      </c>
      <c r="LH2" s="21" t="s">
        <v>1078</v>
      </c>
    </row>
    <row r="3" spans="1:322" ht="53" customHeight="1" collapsed="1">
      <c r="A3" s="22" t="s">
        <v>707</v>
      </c>
      <c r="B3" s="23" t="s">
        <v>1080</v>
      </c>
      <c r="C3" s="24" t="s">
        <v>708</v>
      </c>
      <c r="D3" s="24"/>
      <c r="E3" s="25" t="s">
        <v>1081</v>
      </c>
      <c r="F3" s="26"/>
      <c r="G3" s="26"/>
      <c r="H3" s="26" t="s">
        <v>1082</v>
      </c>
      <c r="I3" s="27"/>
      <c r="J3" s="28">
        <f>IF(AND(ISNUMBER(K3),ISNUMBER(I3)),K3-I3,"")</f>
        <v>0</v>
      </c>
      <c r="K3" s="27"/>
      <c r="L3" s="28">
        <f>IF(AND(ISNUMBER(M3),ISNUMBER(K3)),M3-K3,"")</f>
        <v>0</v>
      </c>
      <c r="M3" s="27"/>
      <c r="N3" s="28">
        <f>IF(AND(ISNUMBER(O3),ISNUMBER(M3)),O3-M3,"")</f>
        <v>0</v>
      </c>
      <c r="O3" s="27"/>
      <c r="P3" s="28">
        <f>IF(AND(ISNUMBER(Q3),ISNUMBER(O3)),Q3-O3,"")</f>
        <v>0</v>
      </c>
      <c r="Q3" s="27"/>
      <c r="R3" s="28">
        <f>IF(AND(ISNUMBER(S3),ISNUMBER(Q3)),S3-Q3,"")</f>
        <v>0</v>
      </c>
      <c r="S3" s="27"/>
      <c r="T3" s="28">
        <f>IF(AND(ISNUMBER(U3),ISNUMBER(S3)),U3-S3,"")</f>
        <v>0</v>
      </c>
      <c r="U3" s="27"/>
      <c r="V3" s="28">
        <f>IF(AND(ISNUMBER(W3),ISNUMBER(U3)),W3-U3,"")</f>
        <v>0</v>
      </c>
      <c r="W3" s="27"/>
      <c r="X3" s="28">
        <f>IF(AND(ISNUMBER(Y3),ISNUMBER(W3)),Y3-W3,"")</f>
        <v>0</v>
      </c>
      <c r="Y3" s="27"/>
      <c r="Z3" s="28">
        <f>IF(AND(ISNUMBER(AA3),ISNUMBER(Y3)),AA3-Y3,"")</f>
        <v>0</v>
      </c>
      <c r="AA3" s="27"/>
      <c r="AB3" s="28">
        <f>IF(AND(ISNUMBER(AC3),ISNUMBER(AA3)),AC3-AA3,"")</f>
        <v>0</v>
      </c>
      <c r="AC3" s="27"/>
      <c r="AD3" s="28">
        <f>IF(AND(ISNUMBER(AE3),ISNUMBER(AC3)),AE3-AC3,"")</f>
        <v>0</v>
      </c>
      <c r="AE3" s="27"/>
      <c r="AF3" s="28">
        <f>IF(AND(ISNUMBER(AG3),ISNUMBER(AE3)),AG3-AE3,"")</f>
        <v>0</v>
      </c>
      <c r="AG3" s="27"/>
      <c r="AH3" s="28">
        <f>IF(AND(ISNUMBER(AI3),ISNUMBER(AG3)),AI3-AG3,"")</f>
        <v>0</v>
      </c>
      <c r="AI3" s="27"/>
      <c r="AJ3" s="28">
        <f>IF(AND(ISNUMBER(AK3),ISNUMBER(AI3)),AK3-AI3,"")</f>
        <v>0</v>
      </c>
      <c r="AK3" s="27"/>
      <c r="AL3" s="28">
        <f>IF(AND(ISNUMBER(AM3),ISNUMBER(AK3)),AM3-AK3,"")</f>
        <v>0</v>
      </c>
      <c r="AM3" s="27"/>
      <c r="AN3" s="28">
        <f>IF(AND(ISNUMBER(AO3),ISNUMBER(AM3)),AO3-AM3,"")</f>
        <v>0</v>
      </c>
      <c r="AO3" s="27"/>
      <c r="AP3" s="28">
        <f>IF(AND(ISNUMBER(AQ3),ISNUMBER(AO3)),AQ3-AO3,"")</f>
        <v>0</v>
      </c>
      <c r="AQ3" s="27"/>
      <c r="AR3" s="28">
        <f>IF(AND(ISNUMBER(AS3),ISNUMBER(AQ3)),AS3-AQ3,"")</f>
        <v>0</v>
      </c>
      <c r="AS3" s="27"/>
      <c r="AT3" s="28">
        <f>IF(AND(ISNUMBER(AU3),ISNUMBER(AS3)),AU3-AS3,"")</f>
        <v>0</v>
      </c>
      <c r="AU3" s="27"/>
      <c r="AV3" s="28">
        <f>IF(AND(ISNUMBER(AW3),ISNUMBER(AU3)),AW3-AU3,"")</f>
        <v>0</v>
      </c>
      <c r="AW3" s="27"/>
      <c r="AX3" s="28">
        <f>IF(AND(ISNUMBER(AY3),ISNUMBER(AW3)),AY3-AW3,"")</f>
        <v>0</v>
      </c>
      <c r="AY3" s="27"/>
      <c r="AZ3" s="28">
        <f>IF(AND(ISNUMBER(BA3),ISNUMBER(AY3)),BA3-AY3,"")</f>
        <v>0</v>
      </c>
      <c r="BA3" s="27"/>
      <c r="BB3" s="28">
        <f>IF(AND(ISNUMBER(BC3),ISNUMBER(BA3)),BC3-BA3,"")</f>
        <v>0</v>
      </c>
      <c r="BC3" s="27"/>
      <c r="BD3" s="28">
        <f>IF(AND(ISNUMBER(BE3),ISNUMBER(BC3)),BE3-BC3,"")</f>
        <v>0</v>
      </c>
      <c r="BE3" s="27"/>
      <c r="BF3" s="28">
        <f>IF(AND(ISNUMBER(BG3),ISNUMBER(BE3)),BG3-BE3,"")</f>
        <v>0</v>
      </c>
      <c r="BG3" s="27"/>
      <c r="BH3" s="28">
        <f>IF(AND(ISNUMBER(BI3),ISNUMBER(BG3)),BI3-BG3,"")</f>
        <v>0</v>
      </c>
      <c r="BI3" s="27"/>
      <c r="BJ3" s="28">
        <f>IF(AND(ISNUMBER(BK3),ISNUMBER(BI3)),BK3-BI3,"")</f>
        <v>0</v>
      </c>
      <c r="BK3" s="27"/>
      <c r="BL3" s="28">
        <f>IF(AND(ISNUMBER(BM3),ISNUMBER(BK3)),BM3-BK3,"")</f>
        <v>0</v>
      </c>
      <c r="BM3" s="27"/>
      <c r="BN3" s="28">
        <f>IF(AND(ISNUMBER(BO3),ISNUMBER(BM3)),BO3-BM3,"")</f>
        <v>0</v>
      </c>
      <c r="BO3" s="27"/>
      <c r="BP3" s="28">
        <f>IF(AND(ISNUMBER(BQ3),ISNUMBER(BO3)),BQ3-BO3,"")</f>
        <v>0</v>
      </c>
      <c r="BQ3" s="27"/>
      <c r="BR3" s="28">
        <f>IF(AND(ISNUMBER(BS3),ISNUMBER(BQ3)),BS3-BQ3,"")</f>
        <v>0</v>
      </c>
      <c r="BS3" s="27"/>
      <c r="BT3" s="28">
        <f>IF(AND(ISNUMBER(BU3),ISNUMBER(BS3)),BU3-BS3,"")</f>
        <v>0</v>
      </c>
      <c r="BU3" s="27"/>
      <c r="BV3" s="28">
        <f>IF(AND(ISNUMBER(BW3),ISNUMBER(BU3)),BW3-BU3,"")</f>
        <v>0</v>
      </c>
      <c r="BW3" s="27"/>
      <c r="BX3" s="28">
        <f>IF(AND(ISNUMBER(BY3),ISNUMBER(BW3)),BY3-BW3,"")</f>
        <v>0</v>
      </c>
      <c r="BY3" s="29">
        <f>IF(COUNT(BY4:BY10)=0,"",SUM(BY4:BY10))</f>
        <v>0</v>
      </c>
      <c r="BZ3" s="28">
        <f>IF(AND(ISNUMBER(CA3),ISNUMBER(BY3)),CA3-BY3,"")</f>
        <v>0</v>
      </c>
      <c r="CA3" s="29">
        <f>IF(COUNT(CA4:CA9)=0,"",SUM(CA4:CA9))</f>
        <v>0</v>
      </c>
      <c r="CB3" s="28">
        <f>IF(AND(ISNUMBER(CC3),ISNUMBER(CA3)),CC3-CA3,"")</f>
        <v>0</v>
      </c>
      <c r="CC3" s="29">
        <f>IF(COUNT(CC4:CC10)=0,"",SUM(CC4:CC10))</f>
        <v>0</v>
      </c>
      <c r="CD3" s="28">
        <f>IF(AND(ISNUMBER(CE3),ISNUMBER(CC3)),CE3-CC3,"")</f>
        <v>0</v>
      </c>
      <c r="CE3" s="29">
        <f>IF(COUNT(CE4:CE10)=0,"",SUM(CE4:CE10))</f>
        <v>0</v>
      </c>
      <c r="CF3" s="28">
        <f>IF(AND(ISNUMBER(CG3),ISNUMBER(CE3)),CG3-CE3,"")</f>
        <v>0</v>
      </c>
      <c r="CG3" s="29">
        <f>IF(COUNT(CG4:CG10)=0,"",SUM(CG4:CG10))</f>
        <v>0</v>
      </c>
      <c r="CH3" s="28">
        <f>IF(AND(ISNUMBER(CI3),ISNUMBER(CG3)),CI3-CG3,"")</f>
        <v>0</v>
      </c>
      <c r="CI3" s="29">
        <f>IF(COUNT(CI4:CI10)=0,"",SUM(CI4:CI10))</f>
        <v>0</v>
      </c>
      <c r="CJ3" s="28">
        <f>IF(AND(ISNUMBER(CK3),ISNUMBER(CI3)),CK3-CI3,"")</f>
        <v>0</v>
      </c>
      <c r="CK3" s="29">
        <f>IF(COUNT(CK4:CK10)=0,"",SUM(CK4:CK10))</f>
        <v>0</v>
      </c>
      <c r="CL3" s="28">
        <f>IF(AND(ISNUMBER(CM3),ISNUMBER(CK3)),CM3-CK3,"")</f>
        <v>0</v>
      </c>
      <c r="CM3" s="29">
        <f>IF(COUNT(CM4:CM10)=0,"",SUM(CM4:CM10))</f>
        <v>0</v>
      </c>
      <c r="CN3" s="28">
        <f>IF(AND(ISNUMBER(CO3),ISNUMBER(CM3)),CO3-CM3,"")</f>
        <v>0</v>
      </c>
      <c r="CO3" s="29">
        <f>IF(COUNT(CO4:CO10)=0,"",SUM(CO4:CO10))</f>
        <v>0</v>
      </c>
      <c r="CP3" s="28">
        <f>IF(AND(ISNUMBER(CQ3),ISNUMBER(CO3)),CQ3-CO3,"")</f>
        <v>0</v>
      </c>
      <c r="CQ3" s="29">
        <f>IF(COUNT(CQ4:CQ10)=0,"",SUM(CQ4:CQ10))</f>
        <v>0</v>
      </c>
      <c r="CR3" s="28">
        <f>IF(AND(ISNUMBER(CS3),ISNUMBER(CQ3)),CS3-CQ3,"")</f>
        <v>0</v>
      </c>
      <c r="CS3" s="29">
        <f>IF(COUNT(CS4:CS10)=0,"",SUM(CS4:CS10))</f>
        <v>0</v>
      </c>
      <c r="CT3" s="28">
        <f>IF(AND(ISNUMBER(CU3),ISNUMBER(CS3)),CU3-CS3,"")</f>
        <v>0</v>
      </c>
      <c r="CU3" s="29">
        <f>IF(COUNT(CU4:CU10)=0,"",SUM(CU4:CU10))</f>
        <v>0</v>
      </c>
      <c r="CV3" s="28">
        <f>IF(AND(ISNUMBER(CW3),ISNUMBER(CU3)),CW3-CU3,"")</f>
        <v>0</v>
      </c>
      <c r="CW3" s="29">
        <f>IF(COUNT(CW4:CW10)=0,"",SUM(CW4:CW10))</f>
        <v>0</v>
      </c>
      <c r="CX3" s="28">
        <f>IF(AND(ISNUMBER(CY3),ISNUMBER(CW3)),CY3-CW3,"")</f>
        <v>0</v>
      </c>
      <c r="CY3" s="29">
        <f>IF(COUNT(CY4:CY10)=0,"",SUM(CY4:CY10))</f>
        <v>0</v>
      </c>
      <c r="CZ3" s="28">
        <f>IF(AND(ISNUMBER(DA3),ISNUMBER(CY3)),DA3-CY3,"")</f>
        <v>0</v>
      </c>
      <c r="DA3" s="29">
        <f>IF(COUNT(DA4:DA10)=0,"",SUM(DA4:DA10))</f>
        <v>0</v>
      </c>
      <c r="DB3" s="28">
        <f>IF(AND(ISNUMBER(DC3),ISNUMBER(DA3)),DC3-DA3,"")</f>
        <v>0</v>
      </c>
      <c r="DC3" s="29">
        <f>IF(COUNT(DC4:DC10)=0,"",SUM(DC4:DC10))</f>
        <v>0</v>
      </c>
      <c r="DD3" s="28">
        <f>IF(AND(ISNUMBER(DE3),ISNUMBER(DC3)),DE3-DC3,"")</f>
        <v>0</v>
      </c>
      <c r="DE3" s="29">
        <f>IF(COUNT(DE4:DE10)=0,"",SUM(DE4:DE10))</f>
        <v>0</v>
      </c>
      <c r="DF3" s="28">
        <f>IF(AND(ISNUMBER(DG3),ISNUMBER(DE3)),DG3-DE3,"")</f>
        <v>0</v>
      </c>
      <c r="DG3" s="29">
        <f>IF(COUNT(DG4:DG10)=0,"",SUM(DG4:DG10))</f>
        <v>0</v>
      </c>
      <c r="DH3" s="28">
        <f>IF(AND(ISNUMBER(DI3),ISNUMBER(DG3)),DI3-DG3,"")</f>
        <v>0</v>
      </c>
      <c r="DI3" s="29">
        <f>IF(COUNT(DI4:DI10)=0,"",SUM(DI4:DI10))</f>
        <v>0</v>
      </c>
      <c r="DJ3" s="28">
        <f>IF(AND(ISNUMBER(DK3),ISNUMBER(DI3)),DK3-DI3,"")</f>
        <v>0</v>
      </c>
      <c r="DK3" s="29">
        <f>IF(COUNT(DK4:DK10)=0,"",SUM(DK4:DK10))</f>
        <v>0</v>
      </c>
      <c r="DL3" s="28">
        <f>IF(AND(ISNUMBER(DM3),ISNUMBER(DK3)),DM3-DK3,"")</f>
        <v>0</v>
      </c>
      <c r="DM3" s="29">
        <f>IF(COUNT(DM4:DM10)=0,"",SUM(DM4:DM10))</f>
        <v>0</v>
      </c>
      <c r="DN3" s="28">
        <f>IF(AND(ISNUMBER(DO3),ISNUMBER(DM3)),DO3-DM3,"")</f>
        <v>0</v>
      </c>
      <c r="DO3" s="29">
        <f>IF(COUNT(DO4:DO10)=0,"",SUM(DO4:DO10))</f>
        <v>0</v>
      </c>
      <c r="DP3" s="28">
        <f>IF(AND(ISNUMBER(DQ3),ISNUMBER(DO3)),DQ3-DO3,"")</f>
        <v>0</v>
      </c>
      <c r="DQ3" s="29">
        <f>IF(COUNT(DQ4:DQ10)=0,"",SUM(DQ4:DQ10))</f>
        <v>0</v>
      </c>
      <c r="DR3" s="28">
        <f>IF(AND(ISNUMBER(DS3),ISNUMBER(DQ3)),DS3-DQ3,"")</f>
        <v>0</v>
      </c>
      <c r="DS3" s="29">
        <f>IF(COUNT(DS4:DS10)=0,"",SUM(DS4:DS10))</f>
        <v>0</v>
      </c>
      <c r="DT3" s="28">
        <f>IF(AND(ISNUMBER(DU3),ISNUMBER(DS3)),DU3-DS3,"")</f>
        <v>0</v>
      </c>
      <c r="DU3" s="29">
        <f>IF(COUNT(DU4:DU10)=0,"",SUM(DU4:DU10))</f>
        <v>0</v>
      </c>
      <c r="DV3" s="28">
        <f>IF(AND(ISNUMBER(DW3),ISNUMBER(DU3)),DW3-DU3,"")</f>
        <v>0</v>
      </c>
      <c r="DW3" s="29">
        <f>IF(COUNT(DW4:DW10)=0,"",SUM(DW4:DW10))</f>
        <v>0</v>
      </c>
      <c r="DX3" s="28">
        <f>IF(AND(ISNUMBER(DY3),ISNUMBER(DW3)),DY3-DW3,"")</f>
        <v>0</v>
      </c>
      <c r="DY3" s="29">
        <f>IF(COUNT(DY4:DY10)=0,"",SUM(DY4:DY10))</f>
        <v>0</v>
      </c>
      <c r="DZ3" s="28">
        <f>IF(AND(ISNUMBER(EA3),ISNUMBER(DY3)),EA3-DY3,"")</f>
        <v>0</v>
      </c>
      <c r="EA3" s="29">
        <f>IF(COUNT(EA4:EA10)=0,"",SUM(EA4:EA10))</f>
        <v>0</v>
      </c>
      <c r="EB3" s="28">
        <f>IF(AND(ISNUMBER(EC3),ISNUMBER(EA3)),EC3-EA3,"")</f>
        <v>0</v>
      </c>
      <c r="EC3" s="29">
        <f>IF(COUNT(EC4:EC10)=0,"",SUM(EC4:EC10))</f>
        <v>0</v>
      </c>
      <c r="ED3" s="28">
        <f>IF(AND(ISNUMBER(EE3),ISNUMBER(EC3)),EE3-EC3,"")</f>
        <v>0</v>
      </c>
      <c r="EE3" s="29">
        <f>IF(COUNT(EE4:EE10)=0,"",SUM(EE4:EE10))</f>
        <v>0</v>
      </c>
      <c r="EF3" s="28">
        <f>IF(AND(ISNUMBER(EG3),ISNUMBER(EE3)),EG3-EE3,"")</f>
        <v>0</v>
      </c>
      <c r="EG3" s="29">
        <f>IF(COUNT(EG4:EG10)=0,"",SUM(EG4:EG10))</f>
        <v>0</v>
      </c>
      <c r="EH3" s="28">
        <f>IF(AND(ISNUMBER(EI3),ISNUMBER(EG3)),EI3-EG3,"")</f>
        <v>0</v>
      </c>
      <c r="EI3" s="29">
        <f>IF(COUNT(EI4:EI10)=0,"",SUM(EI4:EI10))</f>
        <v>0</v>
      </c>
      <c r="EJ3" s="28">
        <f>IF(AND(ISNUMBER(EK3),ISNUMBER(EI3)),EK3-EI3,"")</f>
        <v>0</v>
      </c>
      <c r="EK3" s="29">
        <f>IF(COUNT(EK4:EK10)=0,"",SUM(EK4:EK10))</f>
        <v>0</v>
      </c>
      <c r="EL3" s="28">
        <f>IF(AND(ISNUMBER(EM3),ISNUMBER(EK3)),EM3-EK3,"")</f>
        <v>0</v>
      </c>
      <c r="EM3" s="29">
        <f>IF(COUNT(EM4:EM10)=0,"",SUM(EM4:EM10))</f>
        <v>0</v>
      </c>
      <c r="EN3" s="28">
        <f>IF(AND(ISNUMBER(EO3),ISNUMBER(EM3)),EO3-EM3,"")</f>
        <v>0</v>
      </c>
      <c r="EO3" s="29">
        <f>IF(COUNT(EO4:EO10)=0,"",SUM(EO4:EO10))</f>
        <v>0</v>
      </c>
      <c r="EP3" s="28">
        <f>IF(AND(ISNUMBER(EQ3),ISNUMBER(EO3)),EQ3-EO3,"")</f>
        <v>0</v>
      </c>
      <c r="EQ3" s="29">
        <f>IF(COUNT(EQ4:EQ10)=0,"",SUM(EQ4:EQ10))</f>
        <v>0</v>
      </c>
      <c r="ER3" s="28">
        <f>IF(AND(ISNUMBER(ES3),ISNUMBER(EQ3)),ES3-EQ3,"")</f>
        <v>0</v>
      </c>
      <c r="ES3" s="29">
        <f>IF(COUNT(ES4:ES10)=0,"",SUM(ES4:ES10))</f>
        <v>0</v>
      </c>
      <c r="ET3" s="28">
        <f>IF(AND(ISNUMBER(EU3),ISNUMBER(ES3)),EU3-ES3,"")</f>
        <v>0</v>
      </c>
      <c r="EU3" s="29">
        <f>IF(COUNT(EU4:EU10)=0,"",SUM(EU4:EU10))</f>
        <v>0</v>
      </c>
      <c r="EV3" s="28">
        <f>IF(AND(ISNUMBER(EW3),ISNUMBER(EU3)),EW3-EU3,"")</f>
        <v>0</v>
      </c>
      <c r="EW3" s="29">
        <f>IF(COUNT(EW4:EW10)=0,"",SUM(EW4:EW10))</f>
        <v>0</v>
      </c>
      <c r="EX3" s="28">
        <f>IF(AND(ISNUMBER(EY3),ISNUMBER(EW3)),EY3-EW3,"")</f>
        <v>0</v>
      </c>
      <c r="EY3" s="29">
        <f>IF(COUNT(EY4:EY10)=0,"",SUM(EY4:EY10))</f>
        <v>0</v>
      </c>
      <c r="EZ3" s="28">
        <f>IF(AND(ISNUMBER(FA3),ISNUMBER(EY3)),FA3-EY3,"")</f>
        <v>0</v>
      </c>
      <c r="FA3" s="29">
        <f>IF(COUNT(FA4:FA10)=0,"",SUM(FA4:FA10))</f>
        <v>0</v>
      </c>
      <c r="FB3" s="28">
        <f>IF(AND(ISNUMBER(FC3),ISNUMBER(FA3)),FC3-FA3,"")</f>
        <v>0</v>
      </c>
      <c r="FC3" s="29">
        <f>IF(COUNT(FC4:FC10)=0,"",SUM(FC4:FC10))</f>
        <v>0</v>
      </c>
      <c r="FD3" s="28">
        <f>IF(AND(ISNUMBER(FE3),ISNUMBER(FC3)),FE3-FC3,"")</f>
        <v>0</v>
      </c>
      <c r="FE3" s="29">
        <f>IF(COUNT(FE4:FE10)=0,"",SUM(FE4:FE10))</f>
        <v>0</v>
      </c>
      <c r="FF3" s="28">
        <f>IF(AND(ISNUMBER(FG3),ISNUMBER(FE3)),FG3-FE3,"")</f>
        <v>0</v>
      </c>
      <c r="FG3" s="29">
        <f>IF(COUNT(FG4:FG10)=0,"",SUM(FG4:FG10))</f>
        <v>0</v>
      </c>
      <c r="FH3" s="28">
        <f>IF(AND(ISNUMBER(FI3),ISNUMBER(FG3)),FI3-FG3,"")</f>
        <v>0</v>
      </c>
      <c r="FI3" s="29">
        <f>IF(COUNT(FI4:FI10)=0,"",SUM(FI4:FI10))</f>
        <v>0</v>
      </c>
      <c r="FJ3" s="28">
        <f>IF(AND(ISNUMBER(FK3),ISNUMBER(FI3)),FK3-FI3,"")</f>
        <v>0</v>
      </c>
      <c r="FK3" s="29">
        <f>IF(COUNT(FK4:FK10)=0,"",SUM(FK4:FK10))</f>
        <v>0</v>
      </c>
      <c r="FL3" s="28">
        <f>IF(AND(ISNUMBER(FM3),ISNUMBER(FK3)),FM3-FK3,"")</f>
        <v>0</v>
      </c>
      <c r="FM3" s="29">
        <f>IF(COUNT(FM4:FM10)=0,"",SUM(FM4:FM10))</f>
        <v>0</v>
      </c>
      <c r="FN3" s="28">
        <f>IF(AND(ISNUMBER(FO3),ISNUMBER(FM3)),FO3-FM3,"")</f>
        <v>0</v>
      </c>
      <c r="FO3" s="29">
        <f>IF(COUNT(FO4:FO10)=0,"",SUM(FO4:FO10))</f>
        <v>0</v>
      </c>
      <c r="FP3" s="28">
        <f>IF(AND(ISNUMBER(FQ3),ISNUMBER(FO3)),FQ3-FO3,"")</f>
        <v>0</v>
      </c>
      <c r="FQ3" s="29">
        <f>IF(COUNT(FQ4:FQ10)=0,"",SUM(FQ4:FQ10))</f>
        <v>0</v>
      </c>
      <c r="FR3" s="28">
        <f>IF(AND(ISNUMBER(FS3),ISNUMBER(FQ3)),FS3-FQ3,"")</f>
        <v>0</v>
      </c>
      <c r="FS3" s="29">
        <f>IF(COUNT(FS4:FS10)=0,"",SUM(FS4:FS10))</f>
        <v>0</v>
      </c>
      <c r="FT3" s="28">
        <f>IF(AND(ISNUMBER(FU3),ISNUMBER(FS3)),FU3-FS3,"")</f>
        <v>0</v>
      </c>
      <c r="FU3" s="29">
        <f>IF(COUNT(FU4:FU10)=0,"",SUM(FU4:FU10))</f>
        <v>0</v>
      </c>
      <c r="FV3" s="28">
        <f>IF(AND(ISNUMBER(FW3),ISNUMBER(FU3)),FW3-FU3,"")</f>
        <v>0</v>
      </c>
      <c r="FW3" s="29">
        <f>IF(COUNT(FW4:FW10)=0,"",SUM(FW4:FW10))</f>
        <v>0</v>
      </c>
      <c r="FX3" s="28">
        <f>IF(AND(ISNUMBER(FY3),ISNUMBER(FW3)),FY3-FW3,"")</f>
        <v>0</v>
      </c>
      <c r="FY3" s="29">
        <f>IF(COUNT(FY4:FY10)=0,"",SUM(FY4:FY10))</f>
        <v>0</v>
      </c>
      <c r="FZ3" s="28">
        <f>IF(AND(ISNUMBER(GA3),ISNUMBER(FY3)),GA3-FY3,"")</f>
        <v>0</v>
      </c>
      <c r="GA3" s="29">
        <f>IF(COUNT(GA4:GA10)=0,"",SUM(GA4:GA10))</f>
        <v>0</v>
      </c>
      <c r="GB3" s="28">
        <f>IF(AND(ISNUMBER(GC3),ISNUMBER(GA3)),GC3-GA3,"")</f>
        <v>0</v>
      </c>
      <c r="GC3" s="29">
        <f>IF(COUNT(GC4:GC10)=0,"",SUM(GC4:GC10))</f>
        <v>0</v>
      </c>
      <c r="GD3" s="28">
        <f>IF(AND(ISNUMBER(GE3),ISNUMBER(GC3)),GE3-GC3,"")</f>
        <v>0</v>
      </c>
      <c r="GE3" s="29">
        <f>IF(COUNT(GE4:GE10)=0,"",SUM(GE4:GE10))</f>
        <v>0</v>
      </c>
      <c r="GF3" s="28">
        <f>IF(AND(ISNUMBER(GG3),ISNUMBER(GE3)),GG3-GE3,"")</f>
        <v>0</v>
      </c>
      <c r="GG3" s="29">
        <f>IF(COUNT(GG4:GG10)=0,"",SUM(GG4:GG10))</f>
        <v>0</v>
      </c>
      <c r="GH3" s="28">
        <f>IF(AND(ISNUMBER(GI3),ISNUMBER(GG3)),GI3-GG3,"")</f>
        <v>0</v>
      </c>
      <c r="GI3" s="29">
        <f>IF(COUNT(GI4:GI10)=0,"",SUM(GI4:GI10))</f>
        <v>0</v>
      </c>
      <c r="GJ3" s="28">
        <f>IF(AND(ISNUMBER(GK3),ISNUMBER(GI3)),GK3-GI3,"")</f>
        <v>0</v>
      </c>
      <c r="GK3" s="29">
        <f>IF(COUNT(GK4:GK10)=0,"",SUM(GK4:GK10))</f>
        <v>0</v>
      </c>
      <c r="GL3" s="28">
        <f>IF(AND(ISNUMBER(GM3),ISNUMBER(GK3)),GM3-GK3,"")</f>
        <v>0</v>
      </c>
      <c r="GM3" s="29">
        <f>IF(COUNT(GM4:GM10)=0,"",SUM(GM4:GM10))</f>
        <v>0</v>
      </c>
      <c r="GN3" s="28">
        <f>IF(AND(ISNUMBER(GO3),ISNUMBER(GM3)),GO3-GM3,"")</f>
        <v>0</v>
      </c>
      <c r="GO3" s="29">
        <f>IF(COUNT(GO4:GO10)=0,"",SUM(GO4:GO10))</f>
        <v>0</v>
      </c>
      <c r="GP3" s="28">
        <f>IF(AND(ISNUMBER(GQ3),ISNUMBER(GO3)),GQ3-GO3,"")</f>
        <v>0</v>
      </c>
      <c r="GQ3" s="29">
        <f>IF(COUNT(GQ4:GQ10)=0,"",SUM(GQ4:GQ10))</f>
        <v>0</v>
      </c>
      <c r="GR3" s="28">
        <f>IF(AND(ISNUMBER(GS3),ISNUMBER(GQ3)),GS3-GQ3,"")</f>
        <v>0</v>
      </c>
      <c r="GS3" s="29">
        <f>IF(COUNT(GS4:GS10)=0,"",SUM(GS4:GS10))</f>
        <v>0</v>
      </c>
      <c r="GT3" s="28">
        <f>IF(AND(ISNUMBER(GU3),ISNUMBER(GS3)),GU3-GS3,"")</f>
        <v>0</v>
      </c>
      <c r="GU3" s="29">
        <f>IF(COUNT(GU4:GU10)=0,"",SUM(GU4:GU10))</f>
        <v>0</v>
      </c>
      <c r="GV3" s="28">
        <f>IF(AND(ISNUMBER(GW3),ISNUMBER(GU3)),GW3-GU3,"")</f>
        <v>0</v>
      </c>
      <c r="GW3" s="29">
        <f>IF(COUNT(GW4:GW10)=0,"",SUM(GW4:GW10))</f>
        <v>0</v>
      </c>
      <c r="GX3" s="28">
        <f>IF(AND(ISNUMBER(GY3),ISNUMBER(GW3)),GY3-GW3,"")</f>
        <v>0</v>
      </c>
      <c r="GY3" s="29">
        <f>IF(COUNT(GY4:GY10)=0,"",SUM(GY4:GY10))</f>
        <v>0</v>
      </c>
      <c r="GZ3" s="28">
        <f>IF(AND(ISNUMBER(HA3),ISNUMBER(GY3)),HA3-GY3,"")</f>
        <v>0</v>
      </c>
      <c r="HA3" s="29">
        <f>IF(COUNT(HA4:HA10)=0,"",SUM(HA4:HA10))</f>
        <v>0</v>
      </c>
      <c r="HB3" s="28">
        <f>IF(AND(ISNUMBER(HC3),ISNUMBER(HA3)),HC3-HA3,"")</f>
        <v>0</v>
      </c>
      <c r="HC3" s="29">
        <f>IF(COUNT(HC4:HC10)=0,"",SUM(HC4:HC10))</f>
        <v>0</v>
      </c>
      <c r="HD3" s="28">
        <f>IF(AND(ISNUMBER(HE3),ISNUMBER(HC3)),HE3-HC3,"")</f>
        <v>0</v>
      </c>
      <c r="HE3" s="29">
        <f>IF(COUNT(HE4:HE10)=0,"",SUM(HE4:HE10))</f>
        <v>0</v>
      </c>
      <c r="HF3" s="28">
        <f>IF(AND(ISNUMBER(HG3),ISNUMBER(HE3)),HG3-HE3,"")</f>
        <v>0</v>
      </c>
      <c r="HG3" s="29">
        <f>IF(COUNT(HG4:HG10)=0,"",SUM(HG4:HG10))</f>
        <v>0</v>
      </c>
      <c r="HH3" s="28">
        <f>IF(AND(ISNUMBER(HI3),ISNUMBER(HG3)),HI3-HG3,"")</f>
        <v>0</v>
      </c>
      <c r="HI3" s="29">
        <f>IF(COUNT(HI4:HI10)=0,"",SUM(HI4:HI10))</f>
        <v>0</v>
      </c>
      <c r="HJ3" s="28">
        <f>IF(AND(ISNUMBER(HK3),ISNUMBER(HI3)),HK3-HI3,"")</f>
        <v>0</v>
      </c>
      <c r="HK3" s="29">
        <f>IF(COUNT(HK4:HK10)=0,"",SUM(HK4:HK10))</f>
        <v>0</v>
      </c>
      <c r="HL3" s="28">
        <f>IF(AND(ISNUMBER(HM3),ISNUMBER(HK3)),HM3-HK3,"")</f>
        <v>0</v>
      </c>
      <c r="HM3" s="29">
        <f>IF(COUNT(HM4:HM10)=0,"",SUM(HM4:HM10))</f>
        <v>0</v>
      </c>
      <c r="HN3" s="28">
        <f>IF(AND(ISNUMBER(HO3),ISNUMBER(HM3)),HO3-HM3,"")</f>
        <v>0</v>
      </c>
      <c r="HO3" s="29">
        <f>IF(COUNT(HO4:HO10)=0,"",SUM(HO4:HO10))</f>
        <v>0</v>
      </c>
      <c r="HP3" s="28">
        <f>IF(AND(ISNUMBER(HQ3),ISNUMBER(HO3)),HQ3-HO3,"")</f>
        <v>0</v>
      </c>
      <c r="HQ3" s="29">
        <f>IF(COUNT(HQ4:HQ10)=0,"",SUM(HQ4:HQ10))</f>
        <v>0</v>
      </c>
      <c r="HR3" s="28">
        <f>IF(AND(ISNUMBER(HS3),ISNUMBER(HQ3)),HS3-HQ3,"")</f>
        <v>0</v>
      </c>
      <c r="HS3" s="29">
        <f>IF(COUNT(HS4:HS10)=0,"",SUM(HS4:HS10))</f>
        <v>0</v>
      </c>
      <c r="HT3" s="28">
        <f>IF(AND(ISNUMBER(HU3),ISNUMBER(HS3)),HU3-HS3,"")</f>
        <v>0</v>
      </c>
      <c r="HU3" s="29">
        <f>IF(COUNT(HU4:HU10)=0,"",SUM(HU4:HU10))</f>
        <v>0</v>
      </c>
      <c r="HV3" s="28">
        <f>IF(AND(ISNUMBER(HW3),ISNUMBER(HU3)),HW3-HU3,"")</f>
        <v>0</v>
      </c>
      <c r="HW3" s="29">
        <f>IF(COUNT(HW4:HW10)=0,"",SUM(HW4:HW10))</f>
        <v>0</v>
      </c>
      <c r="HX3" s="28">
        <f>IF(AND(ISNUMBER(HY3),ISNUMBER(HW3)),HY3-HW3,"")</f>
        <v>0</v>
      </c>
      <c r="HY3" s="29">
        <f>IF(COUNT(HY4:HY10)=0,"",SUM(HY4:HY10))</f>
        <v>0</v>
      </c>
      <c r="HZ3" s="28">
        <f>IF(AND(ISNUMBER(IA3),ISNUMBER(HY3)),IA3-HY3,"")</f>
        <v>0</v>
      </c>
      <c r="IA3" s="29">
        <f>IF(COUNT(IA4:IA10)=0,"",SUM(IA4:IA10))</f>
        <v>0</v>
      </c>
      <c r="IB3" s="28">
        <f>IF(AND(ISNUMBER(IC3),ISNUMBER(IA3)),IC3-IA3,"")</f>
        <v>0</v>
      </c>
      <c r="IC3" s="29">
        <f>IF(COUNT(IC4:IC10)=0,"",SUM(IC4:IC10))</f>
        <v>0</v>
      </c>
      <c r="ID3" s="28">
        <f>IF(AND(ISNUMBER(IE3),ISNUMBER(IC3)),IE3-IC3,"")</f>
        <v>0</v>
      </c>
      <c r="IE3" s="29">
        <f>IF(COUNT(IE4:IE10)=0,"",SUM(IE4:IE10))</f>
        <v>0</v>
      </c>
      <c r="IF3" s="28">
        <f>IF(AND(ISNUMBER(IG3),ISNUMBER(IE3)),IG3-IE3,"")</f>
        <v>0</v>
      </c>
      <c r="IG3" s="29">
        <f>IF(COUNT(IG4:IG10)=0,"",SUM(IG4:IG10))</f>
        <v>0</v>
      </c>
      <c r="IH3" s="28">
        <f>IF(AND(ISNUMBER(II3),ISNUMBER(IG3)),II3-IG3,"")</f>
        <v>0</v>
      </c>
      <c r="II3" s="29">
        <f>IF(COUNT(II4:II10)=0,"",SUM(II4:II10))</f>
        <v>0</v>
      </c>
      <c r="IJ3" s="28">
        <f>IF(AND(ISNUMBER(IK3),ISNUMBER(II3)),IK3-II3,"")</f>
        <v>0</v>
      </c>
      <c r="IK3" s="29">
        <f>IF(COUNT(IK4:IK10)=0,"",SUM(IK4:IK10))</f>
        <v>0</v>
      </c>
      <c r="IL3" s="28">
        <f>IF(AND(ISNUMBER(IM3),ISNUMBER(IK3)),IM3-IK3,"")</f>
        <v>0</v>
      </c>
      <c r="IM3" s="29">
        <f>IF(COUNT(IM4:IM10)=0,"",SUM(IM4:IM10))</f>
        <v>0</v>
      </c>
      <c r="IN3" s="28">
        <f>IF(AND(ISNUMBER(IO3),ISNUMBER(IM3)),IO3-IM3,"")</f>
        <v>0</v>
      </c>
      <c r="IO3" s="29">
        <f>IF(COUNT(IO4:IO10)=0,"",SUM(IO4:IO10))</f>
        <v>0</v>
      </c>
      <c r="IP3" s="28">
        <f>IF(AND(ISNUMBER(IQ3),ISNUMBER(IO3)),IQ3-IO3,"")</f>
        <v>0</v>
      </c>
      <c r="IQ3" s="29">
        <f>IF(COUNT(IQ4:IQ10)=0,"",SUM(IQ4:IQ10))</f>
        <v>0</v>
      </c>
      <c r="IR3" s="28">
        <f>IF(AND(ISNUMBER(IS3),ISNUMBER(IQ3)),IS3-IQ3,"")</f>
        <v>0</v>
      </c>
      <c r="IS3" s="29">
        <f>IF(COUNT(IS4:IS10)=0,"",SUM(IS4:IS10))</f>
        <v>0</v>
      </c>
      <c r="IT3" s="28">
        <f>IF(AND(ISNUMBER(IU3),ISNUMBER(IS3)),IU3-IS3,"")</f>
        <v>0</v>
      </c>
      <c r="IU3" s="29">
        <f>IF(COUNT(IU4:IU10)=0,"",SUM(IU4:IU10))</f>
        <v>0</v>
      </c>
      <c r="IV3" s="28">
        <f>IF(AND(ISNUMBER(IW3),ISNUMBER(IU3)),IW3-IU3,"")</f>
        <v>0</v>
      </c>
      <c r="IW3" s="29">
        <f>IF(COUNT(IW4:IW10)=0,"",SUM(IW4:IW10))</f>
        <v>0</v>
      </c>
      <c r="IX3" s="28">
        <f>IF(AND(ISNUMBER(IY3),ISNUMBER(IW3)),IY3-IW3,"")</f>
        <v>0</v>
      </c>
      <c r="IY3" s="29">
        <f>IF(COUNT(IY4:IY10)=0,"",SUM(IY4:IY10))</f>
        <v>0</v>
      </c>
      <c r="IZ3" s="28">
        <f>IF(AND(ISNUMBER(JA3),ISNUMBER(IY3)),JA3-IY3,"")</f>
        <v>0</v>
      </c>
      <c r="JA3" s="29">
        <f>IF(COUNT(JA4:JA10)=0,"",SUM(JA4:JA10))</f>
        <v>0</v>
      </c>
      <c r="JB3" s="28">
        <f>IF(AND(ISNUMBER(JC3),ISNUMBER(JA3)),JC3-JA3,"")</f>
        <v>0</v>
      </c>
      <c r="JC3" s="29">
        <f>IF(COUNT(JC4:JC10)=0,"",SUM(JC4:JC10))</f>
        <v>0</v>
      </c>
      <c r="JD3" s="28">
        <f>IF(AND(ISNUMBER(JE3),ISNUMBER(JC3)),JE3-JC3,"")</f>
        <v>0</v>
      </c>
      <c r="JE3" s="29">
        <f>IF(COUNT(JE4:JE10)=0,"",SUM(JE4:JE10))</f>
        <v>0</v>
      </c>
      <c r="JF3" s="28">
        <f>IF(AND(ISNUMBER(JG3),ISNUMBER(JE3)),JG3-JE3,"")</f>
        <v>0</v>
      </c>
      <c r="JG3" s="29">
        <f>IF(COUNT(JG4:JG10)=0,"",SUM(JG4:JG10))</f>
        <v>0</v>
      </c>
      <c r="JH3" s="28">
        <f>IF(AND(ISNUMBER(JI3),ISNUMBER(JG3)),JI3-JG3,"")</f>
        <v>0</v>
      </c>
      <c r="JI3" s="29">
        <f>IF(COUNT(JI4:JI10)=0,"",SUM(JI4:JI10))</f>
        <v>0</v>
      </c>
      <c r="JJ3" s="28">
        <f>IF(AND(ISNUMBER(JK3),ISNUMBER(JI3)),JK3-JI3,"")</f>
        <v>0</v>
      </c>
      <c r="JK3" s="29">
        <f>IF(COUNT(JK4:JK10)=0,"",SUM(JK4:JK10))</f>
        <v>0</v>
      </c>
      <c r="JL3" s="28">
        <f>IF(AND(ISNUMBER(JM3),ISNUMBER(JK3)),JM3-JK3,"")</f>
        <v>0</v>
      </c>
      <c r="JM3" s="29">
        <f>IF(COUNT(JM4:JM10)=0,"",SUM(JM4:JM10))</f>
        <v>0</v>
      </c>
      <c r="JN3" s="28">
        <f>IF(AND(ISNUMBER(JO3),ISNUMBER(JM3)),JO3-JM3,"")</f>
        <v>0</v>
      </c>
      <c r="JO3" s="29">
        <f>IF(COUNT(JO4:JO10)=0,"",SUM(JO4:JO10))</f>
        <v>0</v>
      </c>
      <c r="JP3" s="28">
        <f>IF(AND(ISNUMBER(JQ3),ISNUMBER(JO3)),JQ3-JO3,"")</f>
        <v>0</v>
      </c>
      <c r="JQ3" s="29">
        <f>IF(COUNT(JQ4:JQ10)=0,"",SUM(JQ4:JQ10))</f>
        <v>0</v>
      </c>
      <c r="JR3" s="28">
        <f>IF(AND(ISNUMBER(JS3),ISNUMBER(JQ3)),JS3-JQ3,"")</f>
        <v>0</v>
      </c>
      <c r="JS3" s="29">
        <f>IF(COUNT(JS4:JS10)=0,"",SUM(JS4:JS10))</f>
        <v>0</v>
      </c>
      <c r="JT3" s="28">
        <f>IF(AND(ISNUMBER(JU3),ISNUMBER(JS3)),JU3-JS3,"")</f>
        <v>0</v>
      </c>
      <c r="JU3" s="29">
        <f>IF(COUNT(JU4:JU10)=0,"",SUM(JU4:JU10))</f>
        <v>0</v>
      </c>
      <c r="JV3" s="28">
        <f>IF(AND(ISNUMBER(JW3),ISNUMBER(JU3)),JW3-JU3,"")</f>
        <v>0</v>
      </c>
      <c r="JW3" s="29">
        <f>IF(COUNT(JW4:JW10)=0,"",SUM(JW4:JW10))</f>
        <v>0</v>
      </c>
      <c r="JX3" s="28">
        <f>IF(AND(ISNUMBER(JY3),ISNUMBER(JW3)),JY3-JW3,"")</f>
        <v>0</v>
      </c>
      <c r="JY3" s="29">
        <f>IF(COUNT(JY4:JY10)=0,"",SUM(JY4:JY10))</f>
        <v>0</v>
      </c>
      <c r="JZ3" s="28">
        <f>IF(AND(ISNUMBER(KA3),ISNUMBER(JY3)),KA3-JY3,"")</f>
        <v>0</v>
      </c>
      <c r="KA3" s="29">
        <f>IF(COUNT(KA4:KA10)=0,"",SUM(KA4:KA10))</f>
        <v>0</v>
      </c>
      <c r="KB3" s="28">
        <f>IF(AND(ISNUMBER(KC3),ISNUMBER(KA3)),KC3-KA3,"")</f>
        <v>0</v>
      </c>
      <c r="KC3" s="29">
        <f>IF(COUNT(KC4:KC10)=0,"",SUM(KC4:KC10))</f>
        <v>0</v>
      </c>
      <c r="KD3" s="28">
        <f>IF(AND(ISNUMBER(KE3),ISNUMBER(KC3)),KE3-KC3,"")</f>
        <v>0</v>
      </c>
      <c r="KE3" s="29">
        <f>IF(COUNT(KE4:KE10)=0,"",SUM(KE4:KE10))</f>
        <v>0</v>
      </c>
      <c r="KF3" s="28">
        <f>IF(AND(ISNUMBER(KG3),ISNUMBER(KE3)),KG3-KE3,"")</f>
        <v>0</v>
      </c>
      <c r="KG3" s="29">
        <f>IF(COUNT(KG4:KG10)=0,"",SUM(KG4:KG10))</f>
        <v>0</v>
      </c>
      <c r="KH3" s="28">
        <f>IF(AND(ISNUMBER(KI3),ISNUMBER(KG3)),KI3-KG3,"")</f>
        <v>0</v>
      </c>
      <c r="KI3" s="29">
        <f>IF(COUNT(KI4:KI10)=0,"",SUM(KI4:KI10))</f>
        <v>0</v>
      </c>
      <c r="KJ3" s="28">
        <f>IF(AND(ISNUMBER(KK3),ISNUMBER(KI3)),KK3-KI3,"")</f>
        <v>0</v>
      </c>
      <c r="KK3" s="29">
        <f>IF(COUNT(KK4:KK10)=0,"",SUM(KK4:KK10))</f>
        <v>0</v>
      </c>
      <c r="KL3" s="28">
        <f>IF(AND(ISNUMBER(KM3),ISNUMBER(KK3)),KM3-KK3,"")</f>
        <v>0</v>
      </c>
      <c r="KM3" s="29">
        <f>IF(COUNT(KM4:KM10)=0,"",SUM(KM4:KM10))</f>
        <v>0</v>
      </c>
      <c r="KN3" s="28">
        <f>IF(AND(ISNUMBER(KO3),ISNUMBER(KM3)),KO3-KM3,"")</f>
        <v>0</v>
      </c>
      <c r="KO3" s="29">
        <f>IF(COUNT(KO4:KO10)=0,"",SUM(KO4:KO10))</f>
        <v>0</v>
      </c>
      <c r="KP3" s="28">
        <f>IF(AND(ISNUMBER(KQ3),ISNUMBER(KO3)),KQ3-KO3,"")</f>
        <v>0</v>
      </c>
      <c r="KQ3" s="29">
        <f>IF(COUNT(KQ4:KQ10)=0,"",SUM(KQ4:KQ10))</f>
        <v>0</v>
      </c>
      <c r="KR3" s="28">
        <f>IF(AND(ISNUMBER(KS3),ISNUMBER(KQ3)),KS3-KQ3,"")</f>
        <v>0</v>
      </c>
      <c r="KS3" s="29">
        <f>IF(COUNT(KS4:KS10)=0,"",SUM(KS4:KS10))</f>
        <v>0</v>
      </c>
      <c r="KT3" s="28">
        <f>IF(AND(ISNUMBER(KU3),ISNUMBER(KS3)),KU3-KS3,"")</f>
        <v>0</v>
      </c>
      <c r="KU3" s="29">
        <f>IF(COUNT(KU4:KU10)=0,"",SUM(KU4:KU10))</f>
        <v>0</v>
      </c>
      <c r="KV3" s="28">
        <f>IF(AND(ISNUMBER(KW3),ISNUMBER(KU3)),KW3-KU3,"")</f>
        <v>0</v>
      </c>
      <c r="KW3" s="29">
        <f>IF(COUNT(KW4:KW10)=0,"",SUM(KW4:KW10))</f>
        <v>0</v>
      </c>
      <c r="KX3" s="28">
        <f>IF(AND(ISNUMBER(KY3),ISNUMBER(KW3)),KY3-KW3,"")</f>
        <v>0</v>
      </c>
      <c r="KY3" s="29">
        <f>IF(COUNT(KY4:KY10)=0,"",SUM(KY4:KY10))</f>
        <v>0</v>
      </c>
      <c r="KZ3" s="28">
        <f>IF(AND(ISNUMBER(LA3),ISNUMBER(KY3)),LA3-KY3,"")</f>
        <v>0</v>
      </c>
      <c r="LA3" s="29">
        <f>IF(COUNT(LA4:LA10)=0,"",SUM(LA4:LA10))</f>
        <v>0</v>
      </c>
      <c r="LB3" s="28">
        <f>IF(AND(ISNUMBER(LC3),ISNUMBER(LA3)),LC3-LA3,"")</f>
        <v>0</v>
      </c>
      <c r="LC3" s="29">
        <f>IF(COUNT(LC4:LC10)=0,"",SUM(LC4:LC10))</f>
        <v>0</v>
      </c>
      <c r="LD3" s="28">
        <f>IF(AND(ISNUMBER(LE3),ISNUMBER(LC3)),LE3-LC3,"")</f>
        <v>0</v>
      </c>
      <c r="LE3" s="29">
        <f>IF(COUNT(LE4:LE10)=0,"",SUM(LE4:LE10))</f>
        <v>0</v>
      </c>
      <c r="LF3" s="28">
        <f>IF(AND(ISNUMBER(LG3),ISNUMBER(LE3)),LG3-LE3,"")</f>
        <v>0</v>
      </c>
      <c r="LG3" s="29">
        <f>IF(COUNT(LG4:LG10)=0,"",SUM(LG4:LG10))</f>
        <v>0</v>
      </c>
      <c r="LH3" s="30"/>
      <c r="LI3" s="30"/>
      <c r="LJ3" s="30"/>
    </row>
    <row r="4" spans="1:322" hidden="1" outlineLevel="1">
      <c r="B4" s="23"/>
      <c r="D4" s="31" t="s">
        <v>710</v>
      </c>
      <c r="E4" s="32" t="s">
        <v>1083</v>
      </c>
      <c r="I4" s="33"/>
      <c r="J4" s="34">
        <f>IF(AND(ISNUMBER(K4),ISNUMBER(I4)),K4-I4,"")</f>
        <v>0</v>
      </c>
      <c r="K4" s="33"/>
      <c r="L4" s="34">
        <f>IF(AND(ISNUMBER(M4),ISNUMBER(K4)),M4-K4,"")</f>
        <v>0</v>
      </c>
      <c r="M4" s="33"/>
      <c r="N4" s="34">
        <f>IF(AND(ISNUMBER(O4),ISNUMBER(M4)),O4-M4,"")</f>
        <v>0</v>
      </c>
      <c r="O4" s="33"/>
      <c r="P4" s="34">
        <f>IF(AND(ISNUMBER(Q4),ISNUMBER(O4)),Q4-O4,"")</f>
        <v>0</v>
      </c>
      <c r="Q4" s="33"/>
      <c r="R4" s="34">
        <f>IF(AND(ISNUMBER(S4),ISNUMBER(Q4)),S4-Q4,"")</f>
        <v>0</v>
      </c>
      <c r="S4" s="33"/>
      <c r="T4" s="34">
        <f>IF(AND(ISNUMBER(U4),ISNUMBER(S4)),U4-S4,"")</f>
        <v>0</v>
      </c>
      <c r="U4" s="33"/>
      <c r="V4" s="34">
        <f>IF(AND(ISNUMBER(W4),ISNUMBER(U4)),W4-U4,"")</f>
        <v>0</v>
      </c>
      <c r="W4" s="33"/>
      <c r="X4" s="34">
        <f>IF(AND(ISNUMBER(Y4),ISNUMBER(W4)),Y4-W4,"")</f>
        <v>0</v>
      </c>
      <c r="Y4" s="33"/>
      <c r="Z4" s="34">
        <f>IF(AND(ISNUMBER(AA4),ISNUMBER(Y4)),AA4-Y4,"")</f>
        <v>0</v>
      </c>
      <c r="AA4" s="33"/>
      <c r="AB4" s="34">
        <f>IF(AND(ISNUMBER(AC4),ISNUMBER(AA4)),AC4-AA4,"")</f>
        <v>0</v>
      </c>
      <c r="AC4" s="33"/>
      <c r="AD4" s="34">
        <f>IF(AND(ISNUMBER(AE4),ISNUMBER(AC4)),AE4-AC4,"")</f>
        <v>0</v>
      </c>
      <c r="AE4" s="33"/>
      <c r="AF4" s="34">
        <f>IF(AND(ISNUMBER(AG4),ISNUMBER(AE4)),AG4-AE4,"")</f>
        <v>0</v>
      </c>
      <c r="AG4" s="33"/>
      <c r="AH4" s="34">
        <f>IF(AND(ISNUMBER(AI4),ISNUMBER(AG4)),AI4-AG4,"")</f>
        <v>0</v>
      </c>
      <c r="AI4" s="33"/>
      <c r="AJ4" s="34">
        <f>IF(AND(ISNUMBER(AK4),ISNUMBER(AI4)),AK4-AI4,"")</f>
        <v>0</v>
      </c>
      <c r="AK4" s="33"/>
      <c r="AL4" s="34">
        <f>IF(AND(ISNUMBER(AM4),ISNUMBER(AK4)),AM4-AK4,"")</f>
        <v>0</v>
      </c>
      <c r="AM4" s="33"/>
      <c r="AN4" s="34">
        <f>IF(AND(ISNUMBER(AO4),ISNUMBER(AM4)),AO4-AM4,"")</f>
        <v>0</v>
      </c>
      <c r="AO4" s="33"/>
      <c r="AP4" s="34">
        <f>IF(AND(ISNUMBER(AQ4),ISNUMBER(AO4)),AQ4-AO4,"")</f>
        <v>0</v>
      </c>
      <c r="AQ4" s="33"/>
      <c r="AR4" s="34">
        <f>IF(AND(ISNUMBER(AS4),ISNUMBER(AQ4)),AS4-AQ4,"")</f>
        <v>0</v>
      </c>
      <c r="AS4" s="33"/>
      <c r="AT4" s="34">
        <f>IF(AND(ISNUMBER(AU4),ISNUMBER(AS4)),AU4-AS4,"")</f>
        <v>0</v>
      </c>
      <c r="AU4" s="33"/>
      <c r="AV4" s="34">
        <f>IF(AND(ISNUMBER(AW4),ISNUMBER(AU4)),AW4-AU4,"")</f>
        <v>0</v>
      </c>
      <c r="AW4" s="33"/>
      <c r="AX4" s="34">
        <f>IF(AND(ISNUMBER(AY4),ISNUMBER(AW4)),AY4-AW4,"")</f>
        <v>0</v>
      </c>
      <c r="AY4" s="33"/>
      <c r="AZ4" s="34">
        <f>IF(AND(ISNUMBER(BA4),ISNUMBER(AY4)),BA4-AY4,"")</f>
        <v>0</v>
      </c>
      <c r="BA4" s="33"/>
      <c r="BB4" s="34">
        <f>IF(AND(ISNUMBER(BC4),ISNUMBER(BA4)),BC4-BA4,"")</f>
        <v>0</v>
      </c>
      <c r="BC4" s="33"/>
      <c r="BD4" s="34">
        <f>IF(AND(ISNUMBER(BE4),ISNUMBER(BC4)),BE4-BC4,"")</f>
        <v>0</v>
      </c>
      <c r="BE4" s="33"/>
      <c r="BF4" s="34">
        <f>IF(AND(ISNUMBER(BG4),ISNUMBER(BE4)),BG4-BE4,"")</f>
        <v>0</v>
      </c>
      <c r="BG4" s="33"/>
      <c r="BH4" s="34">
        <f>IF(AND(ISNUMBER(BI4),ISNUMBER(BG4)),BI4-BG4,"")</f>
        <v>0</v>
      </c>
      <c r="BI4" s="33"/>
      <c r="BJ4" s="34">
        <f>IF(AND(ISNUMBER(BK4),ISNUMBER(BI4)),BK4-BI4,"")</f>
        <v>0</v>
      </c>
      <c r="BK4" s="33"/>
      <c r="BL4" s="34">
        <f>IF(AND(ISNUMBER(BM4),ISNUMBER(BK4)),BM4-BK4,"")</f>
        <v>0</v>
      </c>
      <c r="BM4" s="33"/>
      <c r="BN4" s="34">
        <f>IF(AND(ISNUMBER(BO4),ISNUMBER(BM4)),BO4-BM4,"")</f>
        <v>0</v>
      </c>
      <c r="BO4" s="33"/>
      <c r="BP4" s="34">
        <f>IF(AND(ISNUMBER(BQ4),ISNUMBER(BO4)),BQ4-BO4,"")</f>
        <v>0</v>
      </c>
      <c r="BQ4" s="33"/>
      <c r="BR4" s="34">
        <f>IF(AND(ISNUMBER(BS4),ISNUMBER(BQ4)),BS4-BQ4,"")</f>
        <v>0</v>
      </c>
      <c r="BS4" s="33"/>
      <c r="BT4" s="34">
        <f>IF(AND(ISNUMBER(BU4),ISNUMBER(BS4)),BU4-BS4,"")</f>
        <v>0</v>
      </c>
      <c r="BU4" s="33"/>
      <c r="BV4" s="34">
        <f>IF(AND(ISNUMBER(BW4),ISNUMBER(BU4)),BW4-BU4,"")</f>
        <v>0</v>
      </c>
      <c r="BW4" s="33"/>
      <c r="BX4" s="34">
        <f>IF(AND(ISNUMBER(BY4),ISNUMBER(BW4)),BY4-BW4,"")</f>
        <v>0</v>
      </c>
      <c r="BY4" s="33">
        <v>100</v>
      </c>
      <c r="BZ4" s="34">
        <f>IF(AND(ISNUMBER(CA4),ISNUMBER(BY4)),CA4-BY4,"")</f>
        <v>0</v>
      </c>
      <c r="CA4" s="33">
        <v>200</v>
      </c>
      <c r="CB4" s="34">
        <f>IF(AND(ISNUMBER(CC4),ISNUMBER(CA4)),CC4-CA4,"")</f>
        <v>0</v>
      </c>
      <c r="CC4" s="33">
        <v>235</v>
      </c>
      <c r="CD4" s="34">
        <f>IF(AND(ISNUMBER(CE4),ISNUMBER(CC4)),CE4-CC4,"")</f>
        <v>0</v>
      </c>
      <c r="CE4" s="33">
        <v>5</v>
      </c>
      <c r="CF4" s="34">
        <f>IF(AND(ISNUMBER(CG4),ISNUMBER(CE4)),CG4-CE4,"")</f>
        <v>0</v>
      </c>
      <c r="CG4" s="33">
        <v>234</v>
      </c>
      <c r="CH4" s="34">
        <f>IF(AND(ISNUMBER(CI4),ISNUMBER(CG4)),CI4-CG4,"")</f>
        <v>0</v>
      </c>
      <c r="CI4" s="33">
        <v>234</v>
      </c>
      <c r="CJ4" s="34">
        <f>IF(AND(ISNUMBER(CK4),ISNUMBER(CI4)),CK4-CI4,"")</f>
        <v>0</v>
      </c>
      <c r="CK4" s="33">
        <v>234</v>
      </c>
      <c r="CL4" s="34">
        <f>IF(AND(ISNUMBER(CM4),ISNUMBER(CK4)),CM4-CK4,"")</f>
        <v>0</v>
      </c>
      <c r="CM4" s="33">
        <v>234</v>
      </c>
      <c r="CN4" s="34">
        <f>IF(AND(ISNUMBER(CO4),ISNUMBER(CM4)),CO4-CM4,"")</f>
        <v>0</v>
      </c>
      <c r="CO4" s="33">
        <v>234</v>
      </c>
      <c r="CP4" s="34">
        <f>IF(AND(ISNUMBER(CQ4),ISNUMBER(CO4)),CQ4-CO4,"")</f>
        <v>0</v>
      </c>
      <c r="CQ4" s="33">
        <v>10</v>
      </c>
      <c r="CR4" s="34">
        <f>IF(AND(ISNUMBER(CS4),ISNUMBER(CQ4)),CS4-CQ4,"")</f>
        <v>0</v>
      </c>
      <c r="CS4" s="33">
        <v>16</v>
      </c>
      <c r="CT4" s="34">
        <f>IF(AND(ISNUMBER(CU4),ISNUMBER(CS4)),CU4-CS4,"")</f>
        <v>0</v>
      </c>
      <c r="CU4" s="33">
        <v>34</v>
      </c>
      <c r="CV4" s="34">
        <f>IF(AND(ISNUMBER(CW4),ISNUMBER(CU4)),CW4-CU4,"")</f>
        <v>0</v>
      </c>
      <c r="CW4" s="33">
        <v>23</v>
      </c>
      <c r="CX4" s="34">
        <f>IF(AND(ISNUMBER(CY4),ISNUMBER(CW4)),CY4-CW4,"")</f>
        <v>0</v>
      </c>
      <c r="CY4" s="33">
        <v>16</v>
      </c>
      <c r="CZ4" s="34">
        <f>IF(AND(ISNUMBER(DA4),ISNUMBER(CY4)),DA4-CY4,"")</f>
        <v>0</v>
      </c>
      <c r="DA4" s="33"/>
      <c r="DB4" s="34">
        <f>IF(AND(ISNUMBER(DC4),ISNUMBER(DA4)),DC4-DA4,"")</f>
        <v>0</v>
      </c>
      <c r="DC4" s="33"/>
      <c r="DD4" s="34">
        <f>IF(AND(ISNUMBER(DE4),ISNUMBER(DC4)),DE4-DC4,"")</f>
        <v>0</v>
      </c>
      <c r="DE4" s="33">
        <v>6</v>
      </c>
      <c r="DF4" s="34">
        <f>IF(AND(ISNUMBER(DG4),ISNUMBER(DE4)),DG4-DE4,"")</f>
        <v>0</v>
      </c>
      <c r="DG4" s="33"/>
      <c r="DH4" s="34">
        <f>IF(AND(ISNUMBER(DI4),ISNUMBER(DG4)),DI4-DG4,"")</f>
        <v>0</v>
      </c>
      <c r="DI4" s="33">
        <v>1</v>
      </c>
      <c r="DJ4" s="34">
        <f>IF(AND(ISNUMBER(DK4),ISNUMBER(DI4)),DK4-DI4,"")</f>
        <v>0</v>
      </c>
      <c r="DK4" s="33"/>
      <c r="DL4" s="34">
        <f>IF(AND(ISNUMBER(DM4),ISNUMBER(DK4)),DM4-DK4,"")</f>
        <v>0</v>
      </c>
      <c r="DM4" s="33"/>
      <c r="DN4" s="34">
        <f>IF(AND(ISNUMBER(DO4),ISNUMBER(DM4)),DO4-DM4,"")</f>
        <v>0</v>
      </c>
      <c r="DO4" s="33"/>
      <c r="DP4" s="34">
        <f>IF(AND(ISNUMBER(DQ4),ISNUMBER(DO4)),DQ4-DO4,"")</f>
        <v>0</v>
      </c>
      <c r="DQ4" s="33"/>
      <c r="DR4" s="34">
        <f>IF(AND(ISNUMBER(DS4),ISNUMBER(DQ4)),DS4-DQ4,"")</f>
        <v>0</v>
      </c>
      <c r="DS4" s="33"/>
      <c r="DT4" s="34">
        <f>IF(AND(ISNUMBER(DU4),ISNUMBER(DS4)),DU4-DS4,"")</f>
        <v>0</v>
      </c>
      <c r="DU4" s="33">
        <v>2</v>
      </c>
      <c r="DV4" s="34">
        <f>IF(AND(ISNUMBER(DW4),ISNUMBER(DU4)),DW4-DU4,"")</f>
        <v>0</v>
      </c>
      <c r="DW4" s="33"/>
      <c r="DX4" s="34">
        <f>IF(AND(ISNUMBER(DY4),ISNUMBER(DW4)),DY4-DW4,"")</f>
        <v>0</v>
      </c>
      <c r="DY4" s="33"/>
      <c r="DZ4" s="34">
        <f>IF(AND(ISNUMBER(EA4),ISNUMBER(DY4)),EA4-DY4,"")</f>
        <v>0</v>
      </c>
      <c r="EA4" s="33"/>
      <c r="EB4" s="34">
        <f>IF(AND(ISNUMBER(EC4),ISNUMBER(EA4)),EC4-EA4,"")</f>
        <v>0</v>
      </c>
      <c r="EC4" s="33"/>
      <c r="ED4" s="34">
        <f>IF(AND(ISNUMBER(EE4),ISNUMBER(EC4)),EE4-EC4,"")</f>
        <v>0</v>
      </c>
      <c r="EE4" s="33"/>
      <c r="EF4" s="34">
        <f>IF(AND(ISNUMBER(EG4),ISNUMBER(EE4)),EG4-EE4,"")</f>
        <v>0</v>
      </c>
      <c r="EG4" s="33"/>
      <c r="EH4" s="34">
        <f>IF(AND(ISNUMBER(EI4),ISNUMBER(EG4)),EI4-EG4,"")</f>
        <v>0</v>
      </c>
      <c r="EI4" s="33"/>
      <c r="EJ4" s="34">
        <f>IF(AND(ISNUMBER(EK4),ISNUMBER(EI4)),EK4-EI4,"")</f>
        <v>0</v>
      </c>
      <c r="EK4" s="33"/>
      <c r="EL4" s="34">
        <f>IF(AND(ISNUMBER(EM4),ISNUMBER(EK4)),EM4-EK4,"")</f>
        <v>0</v>
      </c>
      <c r="EM4" s="33"/>
      <c r="EN4" s="34">
        <f>IF(AND(ISNUMBER(EO4),ISNUMBER(EM4)),EO4-EM4,"")</f>
        <v>0</v>
      </c>
      <c r="EO4" s="33"/>
      <c r="EP4" s="34">
        <f>IF(AND(ISNUMBER(EQ4),ISNUMBER(EO4)),EQ4-EO4,"")</f>
        <v>0</v>
      </c>
      <c r="EQ4" s="33"/>
      <c r="ER4" s="34">
        <f>IF(AND(ISNUMBER(ES4),ISNUMBER(EQ4)),ES4-EQ4,"")</f>
        <v>0</v>
      </c>
      <c r="ES4" s="33"/>
      <c r="ET4" s="34">
        <f>IF(AND(ISNUMBER(EU4),ISNUMBER(ES4)),EU4-ES4,"")</f>
        <v>0</v>
      </c>
      <c r="EU4" s="33"/>
      <c r="EV4" s="34">
        <f>IF(AND(ISNUMBER(EW4),ISNUMBER(EU4)),EW4-EU4,"")</f>
        <v>0</v>
      </c>
      <c r="EW4" s="33"/>
      <c r="EX4" s="34">
        <f>IF(AND(ISNUMBER(EY4),ISNUMBER(EW4)),EY4-EW4,"")</f>
        <v>0</v>
      </c>
      <c r="EY4" s="33"/>
      <c r="EZ4" s="34">
        <f>IF(AND(ISNUMBER(FA4),ISNUMBER(EY4)),FA4-EY4,"")</f>
        <v>0</v>
      </c>
      <c r="FA4" s="33"/>
      <c r="FB4" s="34">
        <f>IF(AND(ISNUMBER(FC4),ISNUMBER(FA4)),FC4-FA4,"")</f>
        <v>0</v>
      </c>
      <c r="FC4" s="33"/>
      <c r="FD4" s="34">
        <f>IF(AND(ISNUMBER(FE4),ISNUMBER(FC4)),FE4-FC4,"")</f>
        <v>0</v>
      </c>
      <c r="FE4" s="33"/>
      <c r="FF4" s="34">
        <f>IF(AND(ISNUMBER(FG4),ISNUMBER(FE4)),FG4-FE4,"")</f>
        <v>0</v>
      </c>
      <c r="FG4" s="33"/>
      <c r="FH4" s="34">
        <f>IF(AND(ISNUMBER(FI4),ISNUMBER(FG4)),FI4-FG4,"")</f>
        <v>0</v>
      </c>
      <c r="FI4" s="33"/>
      <c r="FJ4" s="34">
        <f>IF(AND(ISNUMBER(FK4),ISNUMBER(FI4)),FK4-FI4,"")</f>
        <v>0</v>
      </c>
      <c r="FK4" s="33"/>
      <c r="FL4" s="34">
        <f>IF(AND(ISNUMBER(FM4),ISNUMBER(FK4)),FM4-FK4,"")</f>
        <v>0</v>
      </c>
      <c r="FM4" s="33"/>
      <c r="FN4" s="34">
        <f>IF(AND(ISNUMBER(FO4),ISNUMBER(FM4)),FO4-FM4,"")</f>
        <v>0</v>
      </c>
      <c r="FO4" s="33"/>
      <c r="FP4" s="34">
        <f>IF(AND(ISNUMBER(FQ4),ISNUMBER(FO4)),FQ4-FO4,"")</f>
        <v>0</v>
      </c>
      <c r="FQ4" s="33"/>
      <c r="FR4" s="34">
        <f>IF(AND(ISNUMBER(FS4),ISNUMBER(FQ4)),FS4-FQ4,"")</f>
        <v>0</v>
      </c>
      <c r="FS4" s="33"/>
      <c r="FT4" s="34">
        <f>IF(AND(ISNUMBER(FU4),ISNUMBER(FS4)),FU4-FS4,"")</f>
        <v>0</v>
      </c>
      <c r="FU4" s="33"/>
      <c r="FV4" s="34">
        <f>IF(AND(ISNUMBER(FW4),ISNUMBER(FU4)),FW4-FU4,"")</f>
        <v>0</v>
      </c>
      <c r="FW4" s="33"/>
      <c r="FX4" s="34">
        <f>IF(AND(ISNUMBER(FY4),ISNUMBER(FW4)),FY4-FW4,"")</f>
        <v>0</v>
      </c>
      <c r="FY4" s="33"/>
      <c r="FZ4" s="34">
        <f>IF(AND(ISNUMBER(GA4),ISNUMBER(FY4)),GA4-FY4,"")</f>
        <v>0</v>
      </c>
      <c r="GA4" s="33"/>
      <c r="GB4" s="34">
        <f>IF(AND(ISNUMBER(GC4),ISNUMBER(GA4)),GC4-GA4,"")</f>
        <v>0</v>
      </c>
      <c r="GC4" s="33"/>
      <c r="GD4" s="34">
        <f>IF(AND(ISNUMBER(GE4),ISNUMBER(GC4)),GE4-GC4,"")</f>
        <v>0</v>
      </c>
      <c r="GE4" s="33"/>
      <c r="GF4" s="34">
        <f>IF(AND(ISNUMBER(GG4),ISNUMBER(GE4)),GG4-GE4,"")</f>
        <v>0</v>
      </c>
      <c r="GG4" s="33"/>
      <c r="GH4" s="34">
        <f>IF(AND(ISNUMBER(GI4),ISNUMBER(GG4)),GI4-GG4,"")</f>
        <v>0</v>
      </c>
      <c r="GI4" s="33"/>
      <c r="GJ4" s="34">
        <f>IF(AND(ISNUMBER(GK4),ISNUMBER(GI4)),GK4-GI4,"")</f>
        <v>0</v>
      </c>
      <c r="GK4" s="33"/>
      <c r="GL4" s="34">
        <f>IF(AND(ISNUMBER(GM4),ISNUMBER(GK4)),GM4-GK4,"")</f>
        <v>0</v>
      </c>
      <c r="GM4" s="33"/>
      <c r="GN4" s="34">
        <f>IF(AND(ISNUMBER(GO4),ISNUMBER(GM4)),GO4-GM4,"")</f>
        <v>0</v>
      </c>
      <c r="GO4" s="33"/>
      <c r="GP4" s="34">
        <f>IF(AND(ISNUMBER(GQ4),ISNUMBER(GO4)),GQ4-GO4,"")</f>
        <v>0</v>
      </c>
      <c r="GQ4" s="33"/>
      <c r="GR4" s="34">
        <f>IF(AND(ISNUMBER(GS4),ISNUMBER(GQ4)),GS4-GQ4,"")</f>
        <v>0</v>
      </c>
      <c r="GS4" s="33"/>
      <c r="GT4" s="34">
        <f>IF(AND(ISNUMBER(GU4),ISNUMBER(GS4)),GU4-GS4,"")</f>
        <v>0</v>
      </c>
      <c r="GU4" s="33"/>
      <c r="GV4" s="34">
        <f>IF(AND(ISNUMBER(GW4),ISNUMBER(GU4)),GW4-GU4,"")</f>
        <v>0</v>
      </c>
      <c r="GW4" s="33"/>
      <c r="GX4" s="34">
        <f>IF(AND(ISNUMBER(GY4),ISNUMBER(GW4)),GY4-GW4,"")</f>
        <v>0</v>
      </c>
      <c r="GY4" s="33"/>
      <c r="GZ4" s="34">
        <f>IF(AND(ISNUMBER(HA4),ISNUMBER(GY4)),HA4-GY4,"")</f>
        <v>0</v>
      </c>
      <c r="HA4" s="33"/>
      <c r="HB4" s="34">
        <f>IF(AND(ISNUMBER(HC4),ISNUMBER(HA4)),HC4-HA4,"")</f>
        <v>0</v>
      </c>
      <c r="HC4" s="33"/>
      <c r="HD4" s="34">
        <f>IF(AND(ISNUMBER(HE4),ISNUMBER(HC4)),HE4-HC4,"")</f>
        <v>0</v>
      </c>
      <c r="HE4" s="33"/>
      <c r="HF4" s="34">
        <f>IF(AND(ISNUMBER(HG4),ISNUMBER(HE4)),HG4-HE4,"")</f>
        <v>0</v>
      </c>
      <c r="HG4" s="33"/>
      <c r="HH4" s="34">
        <f>IF(AND(ISNUMBER(HI4),ISNUMBER(HG4)),HI4-HG4,"")</f>
        <v>0</v>
      </c>
      <c r="HI4" s="33"/>
      <c r="HJ4" s="34">
        <f>IF(AND(ISNUMBER(HK4),ISNUMBER(HI4)),HK4-HI4,"")</f>
        <v>0</v>
      </c>
      <c r="HK4" s="33"/>
      <c r="HL4" s="34">
        <f>IF(AND(ISNUMBER(HM4),ISNUMBER(HK4)),HM4-HK4,"")</f>
        <v>0</v>
      </c>
      <c r="HM4" s="33"/>
      <c r="HN4" s="34">
        <f>IF(AND(ISNUMBER(HO4),ISNUMBER(HM4)),HO4-HM4,"")</f>
        <v>0</v>
      </c>
      <c r="HO4" s="33"/>
      <c r="HP4" s="34">
        <f>IF(AND(ISNUMBER(HQ4),ISNUMBER(HO4)),HQ4-HO4,"")</f>
        <v>0</v>
      </c>
      <c r="HQ4" s="33"/>
      <c r="HR4" s="34">
        <f>IF(AND(ISNUMBER(HS4),ISNUMBER(HQ4)),HS4-HQ4,"")</f>
        <v>0</v>
      </c>
      <c r="HS4" s="33"/>
      <c r="HT4" s="34">
        <f>IF(AND(ISNUMBER(HU4),ISNUMBER(HS4)),HU4-HS4,"")</f>
        <v>0</v>
      </c>
      <c r="HU4" s="33"/>
      <c r="HV4" s="34">
        <f>IF(AND(ISNUMBER(HW4),ISNUMBER(HU4)),HW4-HU4,"")</f>
        <v>0</v>
      </c>
      <c r="HW4" s="33"/>
      <c r="HX4" s="34">
        <f>IF(AND(ISNUMBER(HY4),ISNUMBER(HW4)),HY4-HW4,"")</f>
        <v>0</v>
      </c>
      <c r="HY4" s="33"/>
      <c r="HZ4" s="34">
        <f>IF(AND(ISNUMBER(IA4),ISNUMBER(HY4)),IA4-HY4,"")</f>
        <v>0</v>
      </c>
      <c r="IA4" s="33"/>
      <c r="IB4" s="34">
        <f>IF(AND(ISNUMBER(IC4),ISNUMBER(IA4)),IC4-IA4,"")</f>
        <v>0</v>
      </c>
      <c r="IC4" s="33"/>
      <c r="ID4" s="34">
        <f>IF(AND(ISNUMBER(IE4),ISNUMBER(IC4)),IE4-IC4,"")</f>
        <v>0</v>
      </c>
      <c r="IE4" s="33"/>
      <c r="IF4" s="34">
        <f>IF(AND(ISNUMBER(IG4),ISNUMBER(IE4)),IG4-IE4,"")</f>
        <v>0</v>
      </c>
      <c r="IG4" s="33"/>
      <c r="IH4" s="34">
        <f>IF(AND(ISNUMBER(II4),ISNUMBER(IG4)),II4-IG4,"")</f>
        <v>0</v>
      </c>
      <c r="II4" s="33"/>
      <c r="IJ4" s="34">
        <f>IF(AND(ISNUMBER(IK4),ISNUMBER(II4)),IK4-II4,"")</f>
        <v>0</v>
      </c>
      <c r="IK4" s="33"/>
      <c r="IL4" s="34">
        <f>IF(AND(ISNUMBER(IM4),ISNUMBER(IK4)),IM4-IK4,"")</f>
        <v>0</v>
      </c>
      <c r="IM4" s="33"/>
      <c r="IN4" s="34">
        <f>IF(AND(ISNUMBER(IO4),ISNUMBER(IM4)),IO4-IM4,"")</f>
        <v>0</v>
      </c>
      <c r="IO4" s="33"/>
      <c r="IP4" s="34">
        <f>IF(AND(ISNUMBER(IQ4),ISNUMBER(IO4)),IQ4-IO4,"")</f>
        <v>0</v>
      </c>
      <c r="IQ4" s="33"/>
      <c r="IR4" s="34">
        <f>IF(AND(ISNUMBER(IS4),ISNUMBER(IQ4)),IS4-IQ4,"")</f>
        <v>0</v>
      </c>
      <c r="IS4" s="33"/>
      <c r="IT4" s="34">
        <f>IF(AND(ISNUMBER(IU4),ISNUMBER(IS4)),IU4-IS4,"")</f>
        <v>0</v>
      </c>
      <c r="IU4" s="33"/>
      <c r="IV4" s="34">
        <f>IF(AND(ISNUMBER(IW4),ISNUMBER(IU4)),IW4-IU4,"")</f>
        <v>0</v>
      </c>
      <c r="IW4" s="33"/>
      <c r="IX4" s="34">
        <f>IF(AND(ISNUMBER(IY4),ISNUMBER(IW4)),IY4-IW4,"")</f>
        <v>0</v>
      </c>
      <c r="IY4" s="33"/>
      <c r="IZ4" s="34">
        <f>IF(AND(ISNUMBER(JA4),ISNUMBER(IY4)),JA4-IY4,"")</f>
        <v>0</v>
      </c>
      <c r="JA4" s="33"/>
      <c r="JB4" s="34">
        <f>IF(AND(ISNUMBER(JC4),ISNUMBER(JA4)),JC4-JA4,"")</f>
        <v>0</v>
      </c>
      <c r="JC4" s="33"/>
      <c r="JD4" s="34">
        <f>IF(AND(ISNUMBER(JE4),ISNUMBER(JC4)),JE4-JC4,"")</f>
        <v>0</v>
      </c>
      <c r="JE4" s="33"/>
      <c r="JF4" s="34">
        <f>IF(AND(ISNUMBER(JG4),ISNUMBER(JE4)),JG4-JE4,"")</f>
        <v>0</v>
      </c>
      <c r="JG4" s="33"/>
      <c r="JH4" s="34">
        <f>IF(AND(ISNUMBER(JI4),ISNUMBER(JG4)),JI4-JG4,"")</f>
        <v>0</v>
      </c>
      <c r="JI4" s="33"/>
      <c r="JJ4" s="34">
        <f>IF(AND(ISNUMBER(JK4),ISNUMBER(JI4)),JK4-JI4,"")</f>
        <v>0</v>
      </c>
      <c r="JK4" s="33"/>
      <c r="JL4" s="34">
        <f>IF(AND(ISNUMBER(JM4),ISNUMBER(JK4)),JM4-JK4,"")</f>
        <v>0</v>
      </c>
      <c r="JM4" s="33"/>
      <c r="JN4" s="34">
        <f>IF(AND(ISNUMBER(JO4),ISNUMBER(JM4)),JO4-JM4,"")</f>
        <v>0</v>
      </c>
      <c r="JO4" s="33"/>
      <c r="JP4" s="34">
        <f>IF(AND(ISNUMBER(JQ4),ISNUMBER(JO4)),JQ4-JO4,"")</f>
        <v>0</v>
      </c>
      <c r="JQ4" s="33"/>
      <c r="JR4" s="34">
        <f>IF(AND(ISNUMBER(JS4),ISNUMBER(JQ4)),JS4-JQ4,"")</f>
        <v>0</v>
      </c>
      <c r="JS4" s="33"/>
      <c r="JT4" s="34">
        <f>IF(AND(ISNUMBER(JU4),ISNUMBER(JS4)),JU4-JS4,"")</f>
        <v>0</v>
      </c>
      <c r="JU4" s="33"/>
      <c r="JV4" s="34">
        <f>IF(AND(ISNUMBER(JW4),ISNUMBER(JU4)),JW4-JU4,"")</f>
        <v>0</v>
      </c>
      <c r="JW4" s="33"/>
      <c r="JX4" s="34">
        <f>IF(AND(ISNUMBER(JY4),ISNUMBER(JW4)),JY4-JW4,"")</f>
        <v>0</v>
      </c>
      <c r="JY4" s="33"/>
      <c r="JZ4" s="34">
        <f>IF(AND(ISNUMBER(KA4),ISNUMBER(JY4)),KA4-JY4,"")</f>
        <v>0</v>
      </c>
      <c r="KA4" s="33"/>
      <c r="KB4" s="34">
        <f>IF(AND(ISNUMBER(KC4),ISNUMBER(KA4)),KC4-KA4,"")</f>
        <v>0</v>
      </c>
      <c r="KC4" s="33"/>
      <c r="KD4" s="34">
        <f>IF(AND(ISNUMBER(KE4),ISNUMBER(KC4)),KE4-KC4,"")</f>
        <v>0</v>
      </c>
      <c r="KE4" s="33"/>
      <c r="KF4" s="34">
        <f>IF(AND(ISNUMBER(KG4),ISNUMBER(KE4)),KG4-KE4,"")</f>
        <v>0</v>
      </c>
      <c r="KG4" s="33"/>
      <c r="KH4" s="34">
        <f>IF(AND(ISNUMBER(KI4),ISNUMBER(KG4)),KI4-KG4,"")</f>
        <v>0</v>
      </c>
      <c r="KI4" s="33"/>
      <c r="KJ4" s="34">
        <f>IF(AND(ISNUMBER(KK4),ISNUMBER(KI4)),KK4-KI4,"")</f>
        <v>0</v>
      </c>
      <c r="KK4" s="33"/>
      <c r="KL4" s="34">
        <f>IF(AND(ISNUMBER(KM4),ISNUMBER(KK4)),KM4-KK4,"")</f>
        <v>0</v>
      </c>
      <c r="KM4" s="33"/>
      <c r="KN4" s="34">
        <f>IF(AND(ISNUMBER(KO4),ISNUMBER(KM4)),KO4-KM4,"")</f>
        <v>0</v>
      </c>
      <c r="KO4" s="33"/>
      <c r="KP4" s="34">
        <f>IF(AND(ISNUMBER(KQ4),ISNUMBER(KO4)),KQ4-KO4,"")</f>
        <v>0</v>
      </c>
      <c r="KQ4" s="33"/>
      <c r="KR4" s="34">
        <f>IF(AND(ISNUMBER(KS4),ISNUMBER(KQ4)),KS4-KQ4,"")</f>
        <v>0</v>
      </c>
      <c r="KS4" s="33"/>
      <c r="KT4" s="34">
        <f>IF(AND(ISNUMBER(KU4),ISNUMBER(KS4)),KU4-KS4,"")</f>
        <v>0</v>
      </c>
      <c r="KU4" s="33"/>
      <c r="KV4" s="34">
        <f>IF(AND(ISNUMBER(KW4),ISNUMBER(KU4)),KW4-KU4,"")</f>
        <v>0</v>
      </c>
      <c r="KW4" s="33"/>
      <c r="KX4" s="34">
        <f>IF(AND(ISNUMBER(KY4),ISNUMBER(KW4)),KY4-KW4,"")</f>
        <v>0</v>
      </c>
      <c r="KY4" s="33"/>
      <c r="KZ4" s="34">
        <f>IF(AND(ISNUMBER(LA4),ISNUMBER(KY4)),LA4-KY4,"")</f>
        <v>0</v>
      </c>
      <c r="LA4" s="33"/>
      <c r="LB4" s="34">
        <f>IF(AND(ISNUMBER(LC4),ISNUMBER(LA4)),LC4-LA4,"")</f>
        <v>0</v>
      </c>
      <c r="LC4" s="33"/>
      <c r="LD4" s="34">
        <f>IF(AND(ISNUMBER(LE4),ISNUMBER(LC4)),LE4-LC4,"")</f>
        <v>0</v>
      </c>
      <c r="LE4" s="33"/>
      <c r="LF4" s="34">
        <f>IF(AND(ISNUMBER(LG4),ISNUMBER(LE4)),LG4-LE4,"")</f>
        <v>0</v>
      </c>
      <c r="LG4" s="33"/>
    </row>
    <row r="5" spans="1:322" hidden="1" outlineLevel="1">
      <c r="B5" s="23"/>
      <c r="D5" s="31" t="s">
        <v>715</v>
      </c>
      <c r="E5" s="32" t="s">
        <v>1059</v>
      </c>
      <c r="I5" s="33"/>
      <c r="J5" s="34">
        <f>IF(AND(ISNUMBER(K5),ISNUMBER(I5)),K5-I5,"")</f>
        <v>0</v>
      </c>
      <c r="K5" s="33"/>
      <c r="L5" s="34">
        <f>IF(AND(ISNUMBER(M5),ISNUMBER(K5)),M5-K5,"")</f>
        <v>0</v>
      </c>
      <c r="M5" s="33"/>
      <c r="N5" s="34">
        <f>IF(AND(ISNUMBER(O5),ISNUMBER(M5)),O5-M5,"")</f>
        <v>0</v>
      </c>
      <c r="O5" s="33"/>
      <c r="P5" s="34">
        <f>IF(AND(ISNUMBER(Q5),ISNUMBER(O5)),Q5-O5,"")</f>
        <v>0</v>
      </c>
      <c r="Q5" s="33"/>
      <c r="R5" s="34">
        <f>IF(AND(ISNUMBER(S5),ISNUMBER(Q5)),S5-Q5,"")</f>
        <v>0</v>
      </c>
      <c r="S5" s="33"/>
      <c r="T5" s="34">
        <f>IF(AND(ISNUMBER(U5),ISNUMBER(S5)),U5-S5,"")</f>
        <v>0</v>
      </c>
      <c r="U5" s="33"/>
      <c r="V5" s="34">
        <f>IF(AND(ISNUMBER(W5),ISNUMBER(U5)),W5-U5,"")</f>
        <v>0</v>
      </c>
      <c r="W5" s="33"/>
      <c r="X5" s="34">
        <f>IF(AND(ISNUMBER(Y5),ISNUMBER(W5)),Y5-W5,"")</f>
        <v>0</v>
      </c>
      <c r="Y5" s="33"/>
      <c r="Z5" s="34">
        <f>IF(AND(ISNUMBER(AA5),ISNUMBER(Y5)),AA5-Y5,"")</f>
        <v>0</v>
      </c>
      <c r="AA5" s="33"/>
      <c r="AB5" s="34">
        <f>IF(AND(ISNUMBER(AC5),ISNUMBER(AA5)),AC5-AA5,"")</f>
        <v>0</v>
      </c>
      <c r="AC5" s="33"/>
      <c r="AD5" s="34">
        <f>IF(AND(ISNUMBER(AE5),ISNUMBER(AC5)),AE5-AC5,"")</f>
        <v>0</v>
      </c>
      <c r="AE5" s="33"/>
      <c r="AF5" s="34">
        <f>IF(AND(ISNUMBER(AG5),ISNUMBER(AE5)),AG5-AE5,"")</f>
        <v>0</v>
      </c>
      <c r="AG5" s="33"/>
      <c r="AH5" s="34">
        <f>IF(AND(ISNUMBER(AI5),ISNUMBER(AG5)),AI5-AG5,"")</f>
        <v>0</v>
      </c>
      <c r="AI5" s="33"/>
      <c r="AJ5" s="34">
        <f>IF(AND(ISNUMBER(AK5),ISNUMBER(AI5)),AK5-AI5,"")</f>
        <v>0</v>
      </c>
      <c r="AK5" s="33"/>
      <c r="AL5" s="34">
        <f>IF(AND(ISNUMBER(AM5),ISNUMBER(AK5)),AM5-AK5,"")</f>
        <v>0</v>
      </c>
      <c r="AM5" s="33"/>
      <c r="AN5" s="34">
        <f>IF(AND(ISNUMBER(AO5),ISNUMBER(AM5)),AO5-AM5,"")</f>
        <v>0</v>
      </c>
      <c r="AO5" s="33"/>
      <c r="AP5" s="34">
        <f>IF(AND(ISNUMBER(AQ5),ISNUMBER(AO5)),AQ5-AO5,"")</f>
        <v>0</v>
      </c>
      <c r="AQ5" s="33"/>
      <c r="AR5" s="34">
        <f>IF(AND(ISNUMBER(AS5),ISNUMBER(AQ5)),AS5-AQ5,"")</f>
        <v>0</v>
      </c>
      <c r="AS5" s="33"/>
      <c r="AT5" s="34">
        <f>IF(AND(ISNUMBER(AU5),ISNUMBER(AS5)),AU5-AS5,"")</f>
        <v>0</v>
      </c>
      <c r="AU5" s="33"/>
      <c r="AV5" s="34">
        <f>IF(AND(ISNUMBER(AW5),ISNUMBER(AU5)),AW5-AU5,"")</f>
        <v>0</v>
      </c>
      <c r="AW5" s="33"/>
      <c r="AX5" s="34">
        <f>IF(AND(ISNUMBER(AY5),ISNUMBER(AW5)),AY5-AW5,"")</f>
        <v>0</v>
      </c>
      <c r="AY5" s="33"/>
      <c r="AZ5" s="34">
        <f>IF(AND(ISNUMBER(BA5),ISNUMBER(AY5)),BA5-AY5,"")</f>
        <v>0</v>
      </c>
      <c r="BA5" s="33"/>
      <c r="BB5" s="34">
        <f>IF(AND(ISNUMBER(BC5),ISNUMBER(BA5)),BC5-BA5,"")</f>
        <v>0</v>
      </c>
      <c r="BC5" s="33"/>
      <c r="BD5" s="34">
        <f>IF(AND(ISNUMBER(BE5),ISNUMBER(BC5)),BE5-BC5,"")</f>
        <v>0</v>
      </c>
      <c r="BE5" s="33"/>
      <c r="BF5" s="34">
        <f>IF(AND(ISNUMBER(BG5),ISNUMBER(BE5)),BG5-BE5,"")</f>
        <v>0</v>
      </c>
      <c r="BG5" s="33"/>
      <c r="BH5" s="34">
        <f>IF(AND(ISNUMBER(BI5),ISNUMBER(BG5)),BI5-BG5,"")</f>
        <v>0</v>
      </c>
      <c r="BI5" s="33"/>
      <c r="BJ5" s="34">
        <f>IF(AND(ISNUMBER(BK5),ISNUMBER(BI5)),BK5-BI5,"")</f>
        <v>0</v>
      </c>
      <c r="BK5" s="33"/>
      <c r="BL5" s="34">
        <f>IF(AND(ISNUMBER(BM5),ISNUMBER(BK5)),BM5-BK5,"")</f>
        <v>0</v>
      </c>
      <c r="BM5" s="33"/>
      <c r="BN5" s="34">
        <f>IF(AND(ISNUMBER(BO5),ISNUMBER(BM5)),BO5-BM5,"")</f>
        <v>0</v>
      </c>
      <c r="BO5" s="33"/>
      <c r="BP5" s="34">
        <f>IF(AND(ISNUMBER(BQ5),ISNUMBER(BO5)),BQ5-BO5,"")</f>
        <v>0</v>
      </c>
      <c r="BQ5" s="33"/>
      <c r="BR5" s="34">
        <f>IF(AND(ISNUMBER(BS5),ISNUMBER(BQ5)),BS5-BQ5,"")</f>
        <v>0</v>
      </c>
      <c r="BS5" s="33"/>
      <c r="BT5" s="34">
        <f>IF(AND(ISNUMBER(BU5),ISNUMBER(BS5)),BU5-BS5,"")</f>
        <v>0</v>
      </c>
      <c r="BU5" s="33"/>
      <c r="BV5" s="34">
        <f>IF(AND(ISNUMBER(BW5),ISNUMBER(BU5)),BW5-BU5,"")</f>
        <v>0</v>
      </c>
      <c r="BW5" s="33"/>
      <c r="BX5" s="34">
        <f>IF(AND(ISNUMBER(BY5),ISNUMBER(BW5)),BY5-BW5,"")</f>
        <v>0</v>
      </c>
      <c r="BY5" s="33">
        <v>234</v>
      </c>
      <c r="BZ5" s="34">
        <f>IF(AND(ISNUMBER(CA5),ISNUMBER(BY5)),CA5-BY5,"")</f>
        <v>0</v>
      </c>
      <c r="CA5" s="33">
        <v>12</v>
      </c>
      <c r="CB5" s="34">
        <f>IF(AND(ISNUMBER(CC5),ISNUMBER(CA5)),CC5-CA5,"")</f>
        <v>0</v>
      </c>
      <c r="CC5" s="33">
        <v>23</v>
      </c>
      <c r="CD5" s="34">
        <f>IF(AND(ISNUMBER(CE5),ISNUMBER(CC5)),CE5-CC5,"")</f>
        <v>0</v>
      </c>
      <c r="CE5" s="33">
        <v>3</v>
      </c>
      <c r="CF5" s="34">
        <f>IF(AND(ISNUMBER(CG5),ISNUMBER(CE5)),CG5-CE5,"")</f>
        <v>0</v>
      </c>
      <c r="CG5" s="33">
        <v>54</v>
      </c>
      <c r="CH5" s="34">
        <f>IF(AND(ISNUMBER(CI5),ISNUMBER(CG5)),CI5-CG5,"")</f>
        <v>0</v>
      </c>
      <c r="CI5" s="33">
        <v>54</v>
      </c>
      <c r="CJ5" s="34">
        <f>IF(AND(ISNUMBER(CK5),ISNUMBER(CI5)),CK5-CI5,"")</f>
        <v>0</v>
      </c>
      <c r="CK5" s="33">
        <v>54</v>
      </c>
      <c r="CL5" s="34">
        <f>IF(AND(ISNUMBER(CM5),ISNUMBER(CK5)),CM5-CK5,"")</f>
        <v>0</v>
      </c>
      <c r="CM5" s="33">
        <v>54</v>
      </c>
      <c r="CN5" s="34">
        <f>IF(AND(ISNUMBER(CO5),ISNUMBER(CM5)),CO5-CM5,"")</f>
        <v>0</v>
      </c>
      <c r="CO5" s="33">
        <v>54</v>
      </c>
      <c r="CP5" s="34">
        <f>IF(AND(ISNUMBER(CQ5),ISNUMBER(CO5)),CQ5-CO5,"")</f>
        <v>0</v>
      </c>
      <c r="CQ5" s="33">
        <v>4</v>
      </c>
      <c r="CR5" s="34">
        <f>IF(AND(ISNUMBER(CS5),ISNUMBER(CQ5)),CS5-CQ5,"")</f>
        <v>0</v>
      </c>
      <c r="CS5" s="33">
        <v>175</v>
      </c>
      <c r="CT5" s="34">
        <f>IF(AND(ISNUMBER(CU5),ISNUMBER(CS5)),CU5-CS5,"")</f>
        <v>0</v>
      </c>
      <c r="CU5" s="33">
        <v>12</v>
      </c>
      <c r="CV5" s="34">
        <f>IF(AND(ISNUMBER(CW5),ISNUMBER(CU5)),CW5-CU5,"")</f>
        <v>0</v>
      </c>
      <c r="CW5" s="33">
        <v>34</v>
      </c>
      <c r="CX5" s="34">
        <f>IF(AND(ISNUMBER(CY5),ISNUMBER(CW5)),CY5-CW5,"")</f>
        <v>0</v>
      </c>
      <c r="CY5" s="33">
        <v>175</v>
      </c>
      <c r="CZ5" s="34">
        <f>IF(AND(ISNUMBER(DA5),ISNUMBER(CY5)),DA5-CY5,"")</f>
        <v>0</v>
      </c>
      <c r="DA5" s="33"/>
      <c r="DB5" s="34">
        <f>IF(AND(ISNUMBER(DC5),ISNUMBER(DA5)),DC5-DA5,"")</f>
        <v>0</v>
      </c>
      <c r="DC5" s="33"/>
      <c r="DD5" s="34">
        <f>IF(AND(ISNUMBER(DE5),ISNUMBER(DC5)),DE5-DC5,"")</f>
        <v>0</v>
      </c>
      <c r="DE5" s="33"/>
      <c r="DF5" s="34">
        <f>IF(AND(ISNUMBER(DG5),ISNUMBER(DE5)),DG5-DE5,"")</f>
        <v>0</v>
      </c>
      <c r="DG5" s="33"/>
      <c r="DH5" s="34">
        <f>IF(AND(ISNUMBER(DI5),ISNUMBER(DG5)),DI5-DG5,"")</f>
        <v>0</v>
      </c>
      <c r="DI5" s="33"/>
      <c r="DJ5" s="34">
        <f>IF(AND(ISNUMBER(DK5),ISNUMBER(DI5)),DK5-DI5,"")</f>
        <v>0</v>
      </c>
      <c r="DK5" s="33"/>
      <c r="DL5" s="34">
        <f>IF(AND(ISNUMBER(DM5),ISNUMBER(DK5)),DM5-DK5,"")</f>
        <v>0</v>
      </c>
      <c r="DM5" s="33"/>
      <c r="DN5" s="34">
        <f>IF(AND(ISNUMBER(DO5),ISNUMBER(DM5)),DO5-DM5,"")</f>
        <v>0</v>
      </c>
      <c r="DO5" s="33"/>
      <c r="DP5" s="34">
        <f>IF(AND(ISNUMBER(DQ5),ISNUMBER(DO5)),DQ5-DO5,"")</f>
        <v>0</v>
      </c>
      <c r="DQ5" s="33"/>
      <c r="DR5" s="34">
        <f>IF(AND(ISNUMBER(DS5),ISNUMBER(DQ5)),DS5-DQ5,"")</f>
        <v>0</v>
      </c>
      <c r="DS5" s="33"/>
      <c r="DT5" s="34">
        <f>IF(AND(ISNUMBER(DU5),ISNUMBER(DS5)),DU5-DS5,"")</f>
        <v>0</v>
      </c>
      <c r="DU5" s="33"/>
      <c r="DV5" s="34">
        <f>IF(AND(ISNUMBER(DW5),ISNUMBER(DU5)),DW5-DU5,"")</f>
        <v>0</v>
      </c>
      <c r="DW5" s="33"/>
      <c r="DX5" s="34">
        <f>IF(AND(ISNUMBER(DY5),ISNUMBER(DW5)),DY5-DW5,"")</f>
        <v>0</v>
      </c>
      <c r="DY5" s="33"/>
      <c r="DZ5" s="34">
        <f>IF(AND(ISNUMBER(EA5),ISNUMBER(DY5)),EA5-DY5,"")</f>
        <v>0</v>
      </c>
      <c r="EA5" s="33"/>
      <c r="EB5" s="34">
        <f>IF(AND(ISNUMBER(EC5),ISNUMBER(EA5)),EC5-EA5,"")</f>
        <v>0</v>
      </c>
      <c r="EC5" s="33"/>
      <c r="ED5" s="34">
        <f>IF(AND(ISNUMBER(EE5),ISNUMBER(EC5)),EE5-EC5,"")</f>
        <v>0</v>
      </c>
      <c r="EE5" s="33"/>
      <c r="EF5" s="34">
        <f>IF(AND(ISNUMBER(EG5),ISNUMBER(EE5)),EG5-EE5,"")</f>
        <v>0</v>
      </c>
      <c r="EG5" s="33"/>
      <c r="EH5" s="34">
        <f>IF(AND(ISNUMBER(EI5),ISNUMBER(EG5)),EI5-EG5,"")</f>
        <v>0</v>
      </c>
      <c r="EI5" s="33"/>
      <c r="EJ5" s="34">
        <f>IF(AND(ISNUMBER(EK5),ISNUMBER(EI5)),EK5-EI5,"")</f>
        <v>0</v>
      </c>
      <c r="EK5" s="33"/>
      <c r="EL5" s="34">
        <f>IF(AND(ISNUMBER(EM5),ISNUMBER(EK5)),EM5-EK5,"")</f>
        <v>0</v>
      </c>
      <c r="EM5" s="33"/>
      <c r="EN5" s="34">
        <f>IF(AND(ISNUMBER(EO5),ISNUMBER(EM5)),EO5-EM5,"")</f>
        <v>0</v>
      </c>
      <c r="EO5" s="33"/>
      <c r="EP5" s="34">
        <f>IF(AND(ISNUMBER(EQ5),ISNUMBER(EO5)),EQ5-EO5,"")</f>
        <v>0</v>
      </c>
      <c r="EQ5" s="33"/>
      <c r="ER5" s="34">
        <f>IF(AND(ISNUMBER(ES5),ISNUMBER(EQ5)),ES5-EQ5,"")</f>
        <v>0</v>
      </c>
      <c r="ES5" s="33"/>
      <c r="ET5" s="34">
        <f>IF(AND(ISNUMBER(EU5),ISNUMBER(ES5)),EU5-ES5,"")</f>
        <v>0</v>
      </c>
      <c r="EU5" s="33"/>
      <c r="EV5" s="34">
        <f>IF(AND(ISNUMBER(EW5),ISNUMBER(EU5)),EW5-EU5,"")</f>
        <v>0</v>
      </c>
      <c r="EW5" s="33"/>
      <c r="EX5" s="34">
        <f>IF(AND(ISNUMBER(EY5),ISNUMBER(EW5)),EY5-EW5,"")</f>
        <v>0</v>
      </c>
      <c r="EY5" s="33"/>
      <c r="EZ5" s="34">
        <f>IF(AND(ISNUMBER(FA5),ISNUMBER(EY5)),FA5-EY5,"")</f>
        <v>0</v>
      </c>
      <c r="FA5" s="33"/>
      <c r="FB5" s="34">
        <f>IF(AND(ISNUMBER(FC5),ISNUMBER(FA5)),FC5-FA5,"")</f>
        <v>0</v>
      </c>
      <c r="FC5" s="33"/>
      <c r="FD5" s="34">
        <f>IF(AND(ISNUMBER(FE5),ISNUMBER(FC5)),FE5-FC5,"")</f>
        <v>0</v>
      </c>
      <c r="FE5" s="33"/>
      <c r="FF5" s="34">
        <f>IF(AND(ISNUMBER(FG5),ISNUMBER(FE5)),FG5-FE5,"")</f>
        <v>0</v>
      </c>
      <c r="FG5" s="33"/>
      <c r="FH5" s="34">
        <f>IF(AND(ISNUMBER(FI5),ISNUMBER(FG5)),FI5-FG5,"")</f>
        <v>0</v>
      </c>
      <c r="FI5" s="33"/>
      <c r="FJ5" s="34">
        <f>IF(AND(ISNUMBER(FK5),ISNUMBER(FI5)),FK5-FI5,"")</f>
        <v>0</v>
      </c>
      <c r="FK5" s="33"/>
      <c r="FL5" s="34">
        <f>IF(AND(ISNUMBER(FM5),ISNUMBER(FK5)),FM5-FK5,"")</f>
        <v>0</v>
      </c>
      <c r="FM5" s="33"/>
      <c r="FN5" s="34">
        <f>IF(AND(ISNUMBER(FO5),ISNUMBER(FM5)),FO5-FM5,"")</f>
        <v>0</v>
      </c>
      <c r="FO5" s="33"/>
      <c r="FP5" s="34">
        <f>IF(AND(ISNUMBER(FQ5),ISNUMBER(FO5)),FQ5-FO5,"")</f>
        <v>0</v>
      </c>
      <c r="FQ5" s="33"/>
      <c r="FR5" s="34">
        <f>IF(AND(ISNUMBER(FS5),ISNUMBER(FQ5)),FS5-FQ5,"")</f>
        <v>0</v>
      </c>
      <c r="FS5" s="33"/>
      <c r="FT5" s="34">
        <f>IF(AND(ISNUMBER(FU5),ISNUMBER(FS5)),FU5-FS5,"")</f>
        <v>0</v>
      </c>
      <c r="FU5" s="33"/>
      <c r="FV5" s="34">
        <f>IF(AND(ISNUMBER(FW5),ISNUMBER(FU5)),FW5-FU5,"")</f>
        <v>0</v>
      </c>
      <c r="FW5" s="33"/>
      <c r="FX5" s="34">
        <f>IF(AND(ISNUMBER(FY5),ISNUMBER(FW5)),FY5-FW5,"")</f>
        <v>0</v>
      </c>
      <c r="FY5" s="33"/>
      <c r="FZ5" s="34">
        <f>IF(AND(ISNUMBER(GA5),ISNUMBER(FY5)),GA5-FY5,"")</f>
        <v>0</v>
      </c>
      <c r="GA5" s="33"/>
      <c r="GB5" s="34">
        <f>IF(AND(ISNUMBER(GC5),ISNUMBER(GA5)),GC5-GA5,"")</f>
        <v>0</v>
      </c>
      <c r="GC5" s="33"/>
      <c r="GD5" s="34">
        <f>IF(AND(ISNUMBER(GE5),ISNUMBER(GC5)),GE5-GC5,"")</f>
        <v>0</v>
      </c>
      <c r="GE5" s="33"/>
      <c r="GF5" s="34">
        <f>IF(AND(ISNUMBER(GG5),ISNUMBER(GE5)),GG5-GE5,"")</f>
        <v>0</v>
      </c>
      <c r="GG5" s="33"/>
      <c r="GH5" s="34">
        <f>IF(AND(ISNUMBER(GI5),ISNUMBER(GG5)),GI5-GG5,"")</f>
        <v>0</v>
      </c>
      <c r="GI5" s="33"/>
      <c r="GJ5" s="34">
        <f>IF(AND(ISNUMBER(GK5),ISNUMBER(GI5)),GK5-GI5,"")</f>
        <v>0</v>
      </c>
      <c r="GK5" s="33"/>
      <c r="GL5" s="34">
        <f>IF(AND(ISNUMBER(GM5),ISNUMBER(GK5)),GM5-GK5,"")</f>
        <v>0</v>
      </c>
      <c r="GM5" s="33"/>
      <c r="GN5" s="34">
        <f>IF(AND(ISNUMBER(GO5),ISNUMBER(GM5)),GO5-GM5,"")</f>
        <v>0</v>
      </c>
      <c r="GO5" s="33"/>
      <c r="GP5" s="34">
        <f>IF(AND(ISNUMBER(GQ5),ISNUMBER(GO5)),GQ5-GO5,"")</f>
        <v>0</v>
      </c>
      <c r="GQ5" s="33"/>
      <c r="GR5" s="34">
        <f>IF(AND(ISNUMBER(GS5),ISNUMBER(GQ5)),GS5-GQ5,"")</f>
        <v>0</v>
      </c>
      <c r="GS5" s="33"/>
      <c r="GT5" s="34">
        <f>IF(AND(ISNUMBER(GU5),ISNUMBER(GS5)),GU5-GS5,"")</f>
        <v>0</v>
      </c>
      <c r="GU5" s="33"/>
      <c r="GV5" s="34">
        <f>IF(AND(ISNUMBER(GW5),ISNUMBER(GU5)),GW5-GU5,"")</f>
        <v>0</v>
      </c>
      <c r="GW5" s="33"/>
      <c r="GX5" s="34">
        <f>IF(AND(ISNUMBER(GY5),ISNUMBER(GW5)),GY5-GW5,"")</f>
        <v>0</v>
      </c>
      <c r="GY5" s="33"/>
      <c r="GZ5" s="34">
        <f>IF(AND(ISNUMBER(HA5),ISNUMBER(GY5)),HA5-GY5,"")</f>
        <v>0</v>
      </c>
      <c r="HA5" s="33"/>
      <c r="HB5" s="34">
        <f>IF(AND(ISNUMBER(HC5),ISNUMBER(HA5)),HC5-HA5,"")</f>
        <v>0</v>
      </c>
      <c r="HC5" s="33"/>
      <c r="HD5" s="34">
        <f>IF(AND(ISNUMBER(HE5),ISNUMBER(HC5)),HE5-HC5,"")</f>
        <v>0</v>
      </c>
      <c r="HE5" s="33"/>
      <c r="HF5" s="34">
        <f>IF(AND(ISNUMBER(HG5),ISNUMBER(HE5)),HG5-HE5,"")</f>
        <v>0</v>
      </c>
      <c r="HG5" s="33"/>
      <c r="HH5" s="34">
        <f>IF(AND(ISNUMBER(HI5),ISNUMBER(HG5)),HI5-HG5,"")</f>
        <v>0</v>
      </c>
      <c r="HI5" s="33"/>
      <c r="HJ5" s="34">
        <f>IF(AND(ISNUMBER(HK5),ISNUMBER(HI5)),HK5-HI5,"")</f>
        <v>0</v>
      </c>
      <c r="HK5" s="33"/>
      <c r="HL5" s="34">
        <f>IF(AND(ISNUMBER(HM5),ISNUMBER(HK5)),HM5-HK5,"")</f>
        <v>0</v>
      </c>
      <c r="HM5" s="33"/>
      <c r="HN5" s="34">
        <f>IF(AND(ISNUMBER(HO5),ISNUMBER(HM5)),HO5-HM5,"")</f>
        <v>0</v>
      </c>
      <c r="HO5" s="33"/>
      <c r="HP5" s="34">
        <f>IF(AND(ISNUMBER(HQ5),ISNUMBER(HO5)),HQ5-HO5,"")</f>
        <v>0</v>
      </c>
      <c r="HQ5" s="33"/>
      <c r="HR5" s="34">
        <f>IF(AND(ISNUMBER(HS5),ISNUMBER(HQ5)),HS5-HQ5,"")</f>
        <v>0</v>
      </c>
      <c r="HS5" s="33"/>
      <c r="HT5" s="34">
        <f>IF(AND(ISNUMBER(HU5),ISNUMBER(HS5)),HU5-HS5,"")</f>
        <v>0</v>
      </c>
      <c r="HU5" s="33"/>
      <c r="HV5" s="34">
        <f>IF(AND(ISNUMBER(HW5),ISNUMBER(HU5)),HW5-HU5,"")</f>
        <v>0</v>
      </c>
      <c r="HW5" s="33"/>
      <c r="HX5" s="34">
        <f>IF(AND(ISNUMBER(HY5),ISNUMBER(HW5)),HY5-HW5,"")</f>
        <v>0</v>
      </c>
      <c r="HY5" s="33"/>
      <c r="HZ5" s="34">
        <f>IF(AND(ISNUMBER(IA5),ISNUMBER(HY5)),IA5-HY5,"")</f>
        <v>0</v>
      </c>
      <c r="IA5" s="33"/>
      <c r="IB5" s="34">
        <f>IF(AND(ISNUMBER(IC5),ISNUMBER(IA5)),IC5-IA5,"")</f>
        <v>0</v>
      </c>
      <c r="IC5" s="33"/>
      <c r="ID5" s="34">
        <f>IF(AND(ISNUMBER(IE5),ISNUMBER(IC5)),IE5-IC5,"")</f>
        <v>0</v>
      </c>
      <c r="IE5" s="33"/>
      <c r="IF5" s="34">
        <f>IF(AND(ISNUMBER(IG5),ISNUMBER(IE5)),IG5-IE5,"")</f>
        <v>0</v>
      </c>
      <c r="IG5" s="33"/>
      <c r="IH5" s="34">
        <f>IF(AND(ISNUMBER(II5),ISNUMBER(IG5)),II5-IG5,"")</f>
        <v>0</v>
      </c>
      <c r="II5" s="33"/>
      <c r="IJ5" s="34">
        <f>IF(AND(ISNUMBER(IK5),ISNUMBER(II5)),IK5-II5,"")</f>
        <v>0</v>
      </c>
      <c r="IK5" s="33"/>
      <c r="IL5" s="34">
        <f>IF(AND(ISNUMBER(IM5),ISNUMBER(IK5)),IM5-IK5,"")</f>
        <v>0</v>
      </c>
      <c r="IM5" s="33"/>
      <c r="IN5" s="34">
        <f>IF(AND(ISNUMBER(IO5),ISNUMBER(IM5)),IO5-IM5,"")</f>
        <v>0</v>
      </c>
      <c r="IO5" s="33"/>
      <c r="IP5" s="34">
        <f>IF(AND(ISNUMBER(IQ5),ISNUMBER(IO5)),IQ5-IO5,"")</f>
        <v>0</v>
      </c>
      <c r="IQ5" s="33"/>
      <c r="IR5" s="34">
        <f>IF(AND(ISNUMBER(IS5),ISNUMBER(IQ5)),IS5-IQ5,"")</f>
        <v>0</v>
      </c>
      <c r="IS5" s="33"/>
      <c r="IT5" s="34">
        <f>IF(AND(ISNUMBER(IU5),ISNUMBER(IS5)),IU5-IS5,"")</f>
        <v>0</v>
      </c>
      <c r="IU5" s="33"/>
      <c r="IV5" s="34">
        <f>IF(AND(ISNUMBER(IW5),ISNUMBER(IU5)),IW5-IU5,"")</f>
        <v>0</v>
      </c>
      <c r="IW5" s="33"/>
      <c r="IX5" s="34">
        <f>IF(AND(ISNUMBER(IY5),ISNUMBER(IW5)),IY5-IW5,"")</f>
        <v>0</v>
      </c>
      <c r="IY5" s="33"/>
      <c r="IZ5" s="34">
        <f>IF(AND(ISNUMBER(JA5),ISNUMBER(IY5)),JA5-IY5,"")</f>
        <v>0</v>
      </c>
      <c r="JA5" s="33"/>
      <c r="JB5" s="34">
        <f>IF(AND(ISNUMBER(JC5),ISNUMBER(JA5)),JC5-JA5,"")</f>
        <v>0</v>
      </c>
      <c r="JC5" s="33"/>
      <c r="JD5" s="34">
        <f>IF(AND(ISNUMBER(JE5),ISNUMBER(JC5)),JE5-JC5,"")</f>
        <v>0</v>
      </c>
      <c r="JE5" s="33"/>
      <c r="JF5" s="34">
        <f>IF(AND(ISNUMBER(JG5),ISNUMBER(JE5)),JG5-JE5,"")</f>
        <v>0</v>
      </c>
      <c r="JG5" s="33"/>
      <c r="JH5" s="34">
        <f>IF(AND(ISNUMBER(JI5),ISNUMBER(JG5)),JI5-JG5,"")</f>
        <v>0</v>
      </c>
      <c r="JI5" s="33"/>
      <c r="JJ5" s="34">
        <f>IF(AND(ISNUMBER(JK5),ISNUMBER(JI5)),JK5-JI5,"")</f>
        <v>0</v>
      </c>
      <c r="JK5" s="33"/>
      <c r="JL5" s="34">
        <f>IF(AND(ISNUMBER(JM5),ISNUMBER(JK5)),JM5-JK5,"")</f>
        <v>0</v>
      </c>
      <c r="JM5" s="33"/>
      <c r="JN5" s="34">
        <f>IF(AND(ISNUMBER(JO5),ISNUMBER(JM5)),JO5-JM5,"")</f>
        <v>0</v>
      </c>
      <c r="JO5" s="33"/>
      <c r="JP5" s="34">
        <f>IF(AND(ISNUMBER(JQ5),ISNUMBER(JO5)),JQ5-JO5,"")</f>
        <v>0</v>
      </c>
      <c r="JQ5" s="33"/>
      <c r="JR5" s="34">
        <f>IF(AND(ISNUMBER(JS5),ISNUMBER(JQ5)),JS5-JQ5,"")</f>
        <v>0</v>
      </c>
      <c r="JS5" s="33"/>
      <c r="JT5" s="34">
        <f>IF(AND(ISNUMBER(JU5),ISNUMBER(JS5)),JU5-JS5,"")</f>
        <v>0</v>
      </c>
      <c r="JU5" s="33"/>
      <c r="JV5" s="34">
        <f>IF(AND(ISNUMBER(JW5),ISNUMBER(JU5)),JW5-JU5,"")</f>
        <v>0</v>
      </c>
      <c r="JW5" s="33"/>
      <c r="JX5" s="34">
        <f>IF(AND(ISNUMBER(JY5),ISNUMBER(JW5)),JY5-JW5,"")</f>
        <v>0</v>
      </c>
      <c r="JY5" s="33"/>
      <c r="JZ5" s="34">
        <f>IF(AND(ISNUMBER(KA5),ISNUMBER(JY5)),KA5-JY5,"")</f>
        <v>0</v>
      </c>
      <c r="KA5" s="33"/>
      <c r="KB5" s="34">
        <f>IF(AND(ISNUMBER(KC5),ISNUMBER(KA5)),KC5-KA5,"")</f>
        <v>0</v>
      </c>
      <c r="KC5" s="33"/>
      <c r="KD5" s="34">
        <f>IF(AND(ISNUMBER(KE5),ISNUMBER(KC5)),KE5-KC5,"")</f>
        <v>0</v>
      </c>
      <c r="KE5" s="33"/>
      <c r="KF5" s="34">
        <f>IF(AND(ISNUMBER(KG5),ISNUMBER(KE5)),KG5-KE5,"")</f>
        <v>0</v>
      </c>
      <c r="KG5" s="33"/>
      <c r="KH5" s="34">
        <f>IF(AND(ISNUMBER(KI5),ISNUMBER(KG5)),KI5-KG5,"")</f>
        <v>0</v>
      </c>
      <c r="KI5" s="33"/>
      <c r="KJ5" s="34">
        <f>IF(AND(ISNUMBER(KK5),ISNUMBER(KI5)),KK5-KI5,"")</f>
        <v>0</v>
      </c>
      <c r="KK5" s="33"/>
      <c r="KL5" s="34">
        <f>IF(AND(ISNUMBER(KM5),ISNUMBER(KK5)),KM5-KK5,"")</f>
        <v>0</v>
      </c>
      <c r="KM5" s="33"/>
      <c r="KN5" s="34">
        <f>IF(AND(ISNUMBER(KO5),ISNUMBER(KM5)),KO5-KM5,"")</f>
        <v>0</v>
      </c>
      <c r="KO5" s="33"/>
      <c r="KP5" s="34">
        <f>IF(AND(ISNUMBER(KQ5),ISNUMBER(KO5)),KQ5-KO5,"")</f>
        <v>0</v>
      </c>
      <c r="KQ5" s="33"/>
      <c r="KR5" s="34">
        <f>IF(AND(ISNUMBER(KS5),ISNUMBER(KQ5)),KS5-KQ5,"")</f>
        <v>0</v>
      </c>
      <c r="KS5" s="33"/>
      <c r="KT5" s="34">
        <f>IF(AND(ISNUMBER(KU5),ISNUMBER(KS5)),KU5-KS5,"")</f>
        <v>0</v>
      </c>
      <c r="KU5" s="33"/>
      <c r="KV5" s="34">
        <f>IF(AND(ISNUMBER(KW5),ISNUMBER(KU5)),KW5-KU5,"")</f>
        <v>0</v>
      </c>
      <c r="KW5" s="33"/>
      <c r="KX5" s="34">
        <f>IF(AND(ISNUMBER(KY5),ISNUMBER(KW5)),KY5-KW5,"")</f>
        <v>0</v>
      </c>
      <c r="KY5" s="33"/>
      <c r="KZ5" s="34">
        <f>IF(AND(ISNUMBER(LA5),ISNUMBER(KY5)),LA5-KY5,"")</f>
        <v>0</v>
      </c>
      <c r="LA5" s="33"/>
      <c r="LB5" s="34">
        <f>IF(AND(ISNUMBER(LC5),ISNUMBER(LA5)),LC5-LA5,"")</f>
        <v>0</v>
      </c>
      <c r="LC5" s="33"/>
      <c r="LD5" s="34">
        <f>IF(AND(ISNUMBER(LE5),ISNUMBER(LC5)),LE5-LC5,"")</f>
        <v>0</v>
      </c>
      <c r="LE5" s="33"/>
      <c r="LF5" s="34">
        <f>IF(AND(ISNUMBER(LG5),ISNUMBER(LE5)),LG5-LE5,"")</f>
        <v>0</v>
      </c>
      <c r="LG5" s="33"/>
    </row>
    <row r="6" spans="1:322" hidden="1" outlineLevel="1">
      <c r="B6" s="23"/>
      <c r="D6" s="31" t="s">
        <v>717</v>
      </c>
      <c r="E6" s="32" t="s">
        <v>1047</v>
      </c>
      <c r="I6" s="33"/>
      <c r="J6" s="34">
        <f>IF(AND(ISNUMBER(K6),ISNUMBER(I6)),K6-I6,"")</f>
        <v>0</v>
      </c>
      <c r="K6" s="33"/>
      <c r="L6" s="34">
        <f>IF(AND(ISNUMBER(M6),ISNUMBER(K6)),M6-K6,"")</f>
        <v>0</v>
      </c>
      <c r="M6" s="33"/>
      <c r="N6" s="34">
        <f>IF(AND(ISNUMBER(O6),ISNUMBER(M6)),O6-M6,"")</f>
        <v>0</v>
      </c>
      <c r="O6" s="33"/>
      <c r="P6" s="34">
        <f>IF(AND(ISNUMBER(Q6),ISNUMBER(O6)),Q6-O6,"")</f>
        <v>0</v>
      </c>
      <c r="Q6" s="33"/>
      <c r="R6" s="34">
        <f>IF(AND(ISNUMBER(S6),ISNUMBER(Q6)),S6-Q6,"")</f>
        <v>0</v>
      </c>
      <c r="S6" s="33"/>
      <c r="T6" s="34">
        <f>IF(AND(ISNUMBER(U6),ISNUMBER(S6)),U6-S6,"")</f>
        <v>0</v>
      </c>
      <c r="U6" s="33"/>
      <c r="V6" s="34">
        <f>IF(AND(ISNUMBER(W6),ISNUMBER(U6)),W6-U6,"")</f>
        <v>0</v>
      </c>
      <c r="W6" s="33"/>
      <c r="X6" s="34">
        <f>IF(AND(ISNUMBER(Y6),ISNUMBER(W6)),Y6-W6,"")</f>
        <v>0</v>
      </c>
      <c r="Y6" s="33"/>
      <c r="Z6" s="34">
        <f>IF(AND(ISNUMBER(AA6),ISNUMBER(Y6)),AA6-Y6,"")</f>
        <v>0</v>
      </c>
      <c r="AA6" s="33"/>
      <c r="AB6" s="34">
        <f>IF(AND(ISNUMBER(AC6),ISNUMBER(AA6)),AC6-AA6,"")</f>
        <v>0</v>
      </c>
      <c r="AC6" s="33"/>
      <c r="AD6" s="34">
        <f>IF(AND(ISNUMBER(AE6),ISNUMBER(AC6)),AE6-AC6,"")</f>
        <v>0</v>
      </c>
      <c r="AE6" s="33"/>
      <c r="AF6" s="34">
        <f>IF(AND(ISNUMBER(AG6),ISNUMBER(AE6)),AG6-AE6,"")</f>
        <v>0</v>
      </c>
      <c r="AG6" s="33"/>
      <c r="AH6" s="34">
        <f>IF(AND(ISNUMBER(AI6),ISNUMBER(AG6)),AI6-AG6,"")</f>
        <v>0</v>
      </c>
      <c r="AI6" s="33"/>
      <c r="AJ6" s="34">
        <f>IF(AND(ISNUMBER(AK6),ISNUMBER(AI6)),AK6-AI6,"")</f>
        <v>0</v>
      </c>
      <c r="AK6" s="33"/>
      <c r="AL6" s="34">
        <f>IF(AND(ISNUMBER(AM6),ISNUMBER(AK6)),AM6-AK6,"")</f>
        <v>0</v>
      </c>
      <c r="AM6" s="33"/>
      <c r="AN6" s="34">
        <f>IF(AND(ISNUMBER(AO6),ISNUMBER(AM6)),AO6-AM6,"")</f>
        <v>0</v>
      </c>
      <c r="AO6" s="33"/>
      <c r="AP6" s="34">
        <f>IF(AND(ISNUMBER(AQ6),ISNUMBER(AO6)),AQ6-AO6,"")</f>
        <v>0</v>
      </c>
      <c r="AQ6" s="33"/>
      <c r="AR6" s="34">
        <f>IF(AND(ISNUMBER(AS6),ISNUMBER(AQ6)),AS6-AQ6,"")</f>
        <v>0</v>
      </c>
      <c r="AS6" s="33"/>
      <c r="AT6" s="34">
        <f>IF(AND(ISNUMBER(AU6),ISNUMBER(AS6)),AU6-AS6,"")</f>
        <v>0</v>
      </c>
      <c r="AU6" s="33"/>
      <c r="AV6" s="34">
        <f>IF(AND(ISNUMBER(AW6),ISNUMBER(AU6)),AW6-AU6,"")</f>
        <v>0</v>
      </c>
      <c r="AW6" s="33"/>
      <c r="AX6" s="34">
        <f>IF(AND(ISNUMBER(AY6),ISNUMBER(AW6)),AY6-AW6,"")</f>
        <v>0</v>
      </c>
      <c r="AY6" s="33"/>
      <c r="AZ6" s="34">
        <f>IF(AND(ISNUMBER(BA6),ISNUMBER(AY6)),BA6-AY6,"")</f>
        <v>0</v>
      </c>
      <c r="BA6" s="33"/>
      <c r="BB6" s="34">
        <f>IF(AND(ISNUMBER(BC6),ISNUMBER(BA6)),BC6-BA6,"")</f>
        <v>0</v>
      </c>
      <c r="BC6" s="33"/>
      <c r="BD6" s="34">
        <f>IF(AND(ISNUMBER(BE6),ISNUMBER(BC6)),BE6-BC6,"")</f>
        <v>0</v>
      </c>
      <c r="BE6" s="33"/>
      <c r="BF6" s="34">
        <f>IF(AND(ISNUMBER(BG6),ISNUMBER(BE6)),BG6-BE6,"")</f>
        <v>0</v>
      </c>
      <c r="BG6" s="33"/>
      <c r="BH6" s="34">
        <f>IF(AND(ISNUMBER(BI6),ISNUMBER(BG6)),BI6-BG6,"")</f>
        <v>0</v>
      </c>
      <c r="BI6" s="33"/>
      <c r="BJ6" s="34">
        <f>IF(AND(ISNUMBER(BK6),ISNUMBER(BI6)),BK6-BI6,"")</f>
        <v>0</v>
      </c>
      <c r="BK6" s="33"/>
      <c r="BL6" s="34">
        <f>IF(AND(ISNUMBER(BM6),ISNUMBER(BK6)),BM6-BK6,"")</f>
        <v>0</v>
      </c>
      <c r="BM6" s="33"/>
      <c r="BN6" s="34">
        <f>IF(AND(ISNUMBER(BO6),ISNUMBER(BM6)),BO6-BM6,"")</f>
        <v>0</v>
      </c>
      <c r="BO6" s="33"/>
      <c r="BP6" s="34">
        <f>IF(AND(ISNUMBER(BQ6),ISNUMBER(BO6)),BQ6-BO6,"")</f>
        <v>0</v>
      </c>
      <c r="BQ6" s="33"/>
      <c r="BR6" s="34">
        <f>IF(AND(ISNUMBER(BS6),ISNUMBER(BQ6)),BS6-BQ6,"")</f>
        <v>0</v>
      </c>
      <c r="BS6" s="33"/>
      <c r="BT6" s="34">
        <f>IF(AND(ISNUMBER(BU6),ISNUMBER(BS6)),BU6-BS6,"")</f>
        <v>0</v>
      </c>
      <c r="BU6" s="33"/>
      <c r="BV6" s="34">
        <f>IF(AND(ISNUMBER(BW6),ISNUMBER(BU6)),BW6-BU6,"")</f>
        <v>0</v>
      </c>
      <c r="BW6" s="33"/>
      <c r="BX6" s="34">
        <f>IF(AND(ISNUMBER(BY6),ISNUMBER(BW6)),BY6-BW6,"")</f>
        <v>0</v>
      </c>
      <c r="BY6" s="33">
        <v>134</v>
      </c>
      <c r="BZ6" s="34">
        <f>IF(AND(ISNUMBER(CA6),ISNUMBER(BY6)),CA6-BY6,"")</f>
        <v>0</v>
      </c>
      <c r="CA6" s="33">
        <v>34</v>
      </c>
      <c r="CB6" s="34">
        <f>IF(AND(ISNUMBER(CC6),ISNUMBER(CA6)),CC6-CA6,"")</f>
        <v>0</v>
      </c>
      <c r="CC6" s="33">
        <v>12</v>
      </c>
      <c r="CD6" s="34">
        <f>IF(AND(ISNUMBER(CE6),ISNUMBER(CC6)),CE6-CC6,"")</f>
        <v>0</v>
      </c>
      <c r="CE6" s="33">
        <v>5</v>
      </c>
      <c r="CF6" s="34">
        <f>IF(AND(ISNUMBER(CG6),ISNUMBER(CE6)),CG6-CE6,"")</f>
        <v>0</v>
      </c>
      <c r="CG6" s="33">
        <v>154</v>
      </c>
      <c r="CH6" s="34">
        <f>IF(AND(ISNUMBER(CI6),ISNUMBER(CG6)),CI6-CG6,"")</f>
        <v>0</v>
      </c>
      <c r="CI6" s="33">
        <v>154</v>
      </c>
      <c r="CJ6" s="34">
        <f>IF(AND(ISNUMBER(CK6),ISNUMBER(CI6)),CK6-CI6,"")</f>
        <v>0</v>
      </c>
      <c r="CK6" s="33">
        <v>34</v>
      </c>
      <c r="CL6" s="34">
        <f>IF(AND(ISNUMBER(CM6),ISNUMBER(CK6)),CM6-CK6,"")</f>
        <v>0</v>
      </c>
      <c r="CM6" s="33">
        <v>154</v>
      </c>
      <c r="CN6" s="34">
        <f>IF(AND(ISNUMBER(CO6),ISNUMBER(CM6)),CO6-CM6,"")</f>
        <v>0</v>
      </c>
      <c r="CO6" s="33">
        <v>154</v>
      </c>
      <c r="CP6" s="34">
        <f>IF(AND(ISNUMBER(CQ6),ISNUMBER(CO6)),CQ6-CO6,"")</f>
        <v>0</v>
      </c>
      <c r="CQ6" s="33">
        <v>35</v>
      </c>
      <c r="CR6" s="34">
        <f>IF(AND(ISNUMBER(CS6),ISNUMBER(CQ6)),CS6-CQ6,"")</f>
        <v>0</v>
      </c>
      <c r="CS6" s="33">
        <v>56</v>
      </c>
      <c r="CT6" s="34">
        <f>IF(AND(ISNUMBER(CU6),ISNUMBER(CS6)),CU6-CS6,"")</f>
        <v>0</v>
      </c>
      <c r="CU6" s="33">
        <v>54</v>
      </c>
      <c r="CV6" s="34">
        <f>IF(AND(ISNUMBER(CW6),ISNUMBER(CU6)),CW6-CU6,"")</f>
        <v>0</v>
      </c>
      <c r="CW6" s="33">
        <v>65</v>
      </c>
      <c r="CX6" s="34">
        <f>IF(AND(ISNUMBER(CY6),ISNUMBER(CW6)),CY6-CW6,"")</f>
        <v>0</v>
      </c>
      <c r="CY6" s="33">
        <v>56</v>
      </c>
      <c r="CZ6" s="34">
        <f>IF(AND(ISNUMBER(DA6),ISNUMBER(CY6)),DA6-CY6,"")</f>
        <v>0</v>
      </c>
      <c r="DA6" s="33"/>
      <c r="DB6" s="34">
        <f>IF(AND(ISNUMBER(DC6),ISNUMBER(DA6)),DC6-DA6,"")</f>
        <v>0</v>
      </c>
      <c r="DC6" s="33"/>
      <c r="DD6" s="34">
        <f>IF(AND(ISNUMBER(DE6),ISNUMBER(DC6)),DE6-DC6,"")</f>
        <v>0</v>
      </c>
      <c r="DE6" s="33"/>
      <c r="DF6" s="34">
        <f>IF(AND(ISNUMBER(DG6),ISNUMBER(DE6)),DG6-DE6,"")</f>
        <v>0</v>
      </c>
      <c r="DG6" s="33"/>
      <c r="DH6" s="34">
        <f>IF(AND(ISNUMBER(DI6),ISNUMBER(DG6)),DI6-DG6,"")</f>
        <v>0</v>
      </c>
      <c r="DI6" s="33"/>
      <c r="DJ6" s="34">
        <f>IF(AND(ISNUMBER(DK6),ISNUMBER(DI6)),DK6-DI6,"")</f>
        <v>0</v>
      </c>
      <c r="DK6" s="33"/>
      <c r="DL6" s="34">
        <f>IF(AND(ISNUMBER(DM6),ISNUMBER(DK6)),DM6-DK6,"")</f>
        <v>0</v>
      </c>
      <c r="DM6" s="33"/>
      <c r="DN6" s="34">
        <f>IF(AND(ISNUMBER(DO6),ISNUMBER(DM6)),DO6-DM6,"")</f>
        <v>0</v>
      </c>
      <c r="DO6" s="33"/>
      <c r="DP6" s="34">
        <f>IF(AND(ISNUMBER(DQ6),ISNUMBER(DO6)),DQ6-DO6,"")</f>
        <v>0</v>
      </c>
      <c r="DQ6" s="33"/>
      <c r="DR6" s="34">
        <f>IF(AND(ISNUMBER(DS6),ISNUMBER(DQ6)),DS6-DQ6,"")</f>
        <v>0</v>
      </c>
      <c r="DS6" s="33"/>
      <c r="DT6" s="34">
        <f>IF(AND(ISNUMBER(DU6),ISNUMBER(DS6)),DU6-DS6,"")</f>
        <v>0</v>
      </c>
      <c r="DU6" s="33"/>
      <c r="DV6" s="34">
        <f>IF(AND(ISNUMBER(DW6),ISNUMBER(DU6)),DW6-DU6,"")</f>
        <v>0</v>
      </c>
      <c r="DW6" s="33"/>
      <c r="DX6" s="34">
        <f>IF(AND(ISNUMBER(DY6),ISNUMBER(DW6)),DY6-DW6,"")</f>
        <v>0</v>
      </c>
      <c r="DY6" s="33"/>
      <c r="DZ6" s="34">
        <f>IF(AND(ISNUMBER(EA6),ISNUMBER(DY6)),EA6-DY6,"")</f>
        <v>0</v>
      </c>
      <c r="EA6" s="33"/>
      <c r="EB6" s="34">
        <f>IF(AND(ISNUMBER(EC6),ISNUMBER(EA6)),EC6-EA6,"")</f>
        <v>0</v>
      </c>
      <c r="EC6" s="33"/>
      <c r="ED6" s="34">
        <f>IF(AND(ISNUMBER(EE6),ISNUMBER(EC6)),EE6-EC6,"")</f>
        <v>0</v>
      </c>
      <c r="EE6" s="33"/>
      <c r="EF6" s="34">
        <f>IF(AND(ISNUMBER(EG6),ISNUMBER(EE6)),EG6-EE6,"")</f>
        <v>0</v>
      </c>
      <c r="EG6" s="33"/>
      <c r="EH6" s="34">
        <f>IF(AND(ISNUMBER(EI6),ISNUMBER(EG6)),EI6-EG6,"")</f>
        <v>0</v>
      </c>
      <c r="EI6" s="33"/>
      <c r="EJ6" s="34">
        <f>IF(AND(ISNUMBER(EK6),ISNUMBER(EI6)),EK6-EI6,"")</f>
        <v>0</v>
      </c>
      <c r="EK6" s="33"/>
      <c r="EL6" s="34">
        <f>IF(AND(ISNUMBER(EM6),ISNUMBER(EK6)),EM6-EK6,"")</f>
        <v>0</v>
      </c>
      <c r="EM6" s="33"/>
      <c r="EN6" s="34">
        <f>IF(AND(ISNUMBER(EO6),ISNUMBER(EM6)),EO6-EM6,"")</f>
        <v>0</v>
      </c>
      <c r="EO6" s="33"/>
      <c r="EP6" s="34">
        <f>IF(AND(ISNUMBER(EQ6),ISNUMBER(EO6)),EQ6-EO6,"")</f>
        <v>0</v>
      </c>
      <c r="EQ6" s="33"/>
      <c r="ER6" s="34">
        <f>IF(AND(ISNUMBER(ES6),ISNUMBER(EQ6)),ES6-EQ6,"")</f>
        <v>0</v>
      </c>
      <c r="ES6" s="33"/>
      <c r="ET6" s="34">
        <f>IF(AND(ISNUMBER(EU6),ISNUMBER(ES6)),EU6-ES6,"")</f>
        <v>0</v>
      </c>
      <c r="EU6" s="33"/>
      <c r="EV6" s="34">
        <f>IF(AND(ISNUMBER(EW6),ISNUMBER(EU6)),EW6-EU6,"")</f>
        <v>0</v>
      </c>
      <c r="EW6" s="33"/>
      <c r="EX6" s="34">
        <f>IF(AND(ISNUMBER(EY6),ISNUMBER(EW6)),EY6-EW6,"")</f>
        <v>0</v>
      </c>
      <c r="EY6" s="33"/>
      <c r="EZ6" s="34">
        <f>IF(AND(ISNUMBER(FA6),ISNUMBER(EY6)),FA6-EY6,"")</f>
        <v>0</v>
      </c>
      <c r="FA6" s="33"/>
      <c r="FB6" s="34">
        <f>IF(AND(ISNUMBER(FC6),ISNUMBER(FA6)),FC6-FA6,"")</f>
        <v>0</v>
      </c>
      <c r="FC6" s="33"/>
      <c r="FD6" s="34">
        <f>IF(AND(ISNUMBER(FE6),ISNUMBER(FC6)),FE6-FC6,"")</f>
        <v>0</v>
      </c>
      <c r="FE6" s="33"/>
      <c r="FF6" s="34">
        <f>IF(AND(ISNUMBER(FG6),ISNUMBER(FE6)),FG6-FE6,"")</f>
        <v>0</v>
      </c>
      <c r="FG6" s="33"/>
      <c r="FH6" s="34">
        <f>IF(AND(ISNUMBER(FI6),ISNUMBER(FG6)),FI6-FG6,"")</f>
        <v>0</v>
      </c>
      <c r="FI6" s="33"/>
      <c r="FJ6" s="34">
        <f>IF(AND(ISNUMBER(FK6),ISNUMBER(FI6)),FK6-FI6,"")</f>
        <v>0</v>
      </c>
      <c r="FK6" s="33"/>
      <c r="FL6" s="34">
        <f>IF(AND(ISNUMBER(FM6),ISNUMBER(FK6)),FM6-FK6,"")</f>
        <v>0</v>
      </c>
      <c r="FM6" s="33"/>
      <c r="FN6" s="34">
        <f>IF(AND(ISNUMBER(FO6),ISNUMBER(FM6)),FO6-FM6,"")</f>
        <v>0</v>
      </c>
      <c r="FO6" s="33"/>
      <c r="FP6" s="34">
        <f>IF(AND(ISNUMBER(FQ6),ISNUMBER(FO6)),FQ6-FO6,"")</f>
        <v>0</v>
      </c>
      <c r="FQ6" s="33"/>
      <c r="FR6" s="34">
        <f>IF(AND(ISNUMBER(FS6),ISNUMBER(FQ6)),FS6-FQ6,"")</f>
        <v>0</v>
      </c>
      <c r="FS6" s="33"/>
      <c r="FT6" s="34">
        <f>IF(AND(ISNUMBER(FU6),ISNUMBER(FS6)),FU6-FS6,"")</f>
        <v>0</v>
      </c>
      <c r="FU6" s="33"/>
      <c r="FV6" s="34">
        <f>IF(AND(ISNUMBER(FW6),ISNUMBER(FU6)),FW6-FU6,"")</f>
        <v>0</v>
      </c>
      <c r="FW6" s="33"/>
      <c r="FX6" s="34">
        <f>IF(AND(ISNUMBER(FY6),ISNUMBER(FW6)),FY6-FW6,"")</f>
        <v>0</v>
      </c>
      <c r="FY6" s="33"/>
      <c r="FZ6" s="34">
        <f>IF(AND(ISNUMBER(GA6),ISNUMBER(FY6)),GA6-FY6,"")</f>
        <v>0</v>
      </c>
      <c r="GA6" s="33"/>
      <c r="GB6" s="34">
        <f>IF(AND(ISNUMBER(GC6),ISNUMBER(GA6)),GC6-GA6,"")</f>
        <v>0</v>
      </c>
      <c r="GC6" s="33"/>
      <c r="GD6" s="34">
        <f>IF(AND(ISNUMBER(GE6),ISNUMBER(GC6)),GE6-GC6,"")</f>
        <v>0</v>
      </c>
      <c r="GE6" s="33"/>
      <c r="GF6" s="34">
        <f>IF(AND(ISNUMBER(GG6),ISNUMBER(GE6)),GG6-GE6,"")</f>
        <v>0</v>
      </c>
      <c r="GG6" s="33"/>
      <c r="GH6" s="34">
        <f>IF(AND(ISNUMBER(GI6),ISNUMBER(GG6)),GI6-GG6,"")</f>
        <v>0</v>
      </c>
      <c r="GI6" s="33"/>
      <c r="GJ6" s="34">
        <f>IF(AND(ISNUMBER(GK6),ISNUMBER(GI6)),GK6-GI6,"")</f>
        <v>0</v>
      </c>
      <c r="GK6" s="33"/>
      <c r="GL6" s="34">
        <f>IF(AND(ISNUMBER(GM6),ISNUMBER(GK6)),GM6-GK6,"")</f>
        <v>0</v>
      </c>
      <c r="GM6" s="33"/>
      <c r="GN6" s="34">
        <f>IF(AND(ISNUMBER(GO6),ISNUMBER(GM6)),GO6-GM6,"")</f>
        <v>0</v>
      </c>
      <c r="GO6" s="33"/>
      <c r="GP6" s="34">
        <f>IF(AND(ISNUMBER(GQ6),ISNUMBER(GO6)),GQ6-GO6,"")</f>
        <v>0</v>
      </c>
      <c r="GQ6" s="33"/>
      <c r="GR6" s="34">
        <f>IF(AND(ISNUMBER(GS6),ISNUMBER(GQ6)),GS6-GQ6,"")</f>
        <v>0</v>
      </c>
      <c r="GS6" s="33"/>
      <c r="GT6" s="34">
        <f>IF(AND(ISNUMBER(GU6),ISNUMBER(GS6)),GU6-GS6,"")</f>
        <v>0</v>
      </c>
      <c r="GU6" s="33"/>
      <c r="GV6" s="34">
        <f>IF(AND(ISNUMBER(GW6),ISNUMBER(GU6)),GW6-GU6,"")</f>
        <v>0</v>
      </c>
      <c r="GW6" s="33"/>
      <c r="GX6" s="34">
        <f>IF(AND(ISNUMBER(GY6),ISNUMBER(GW6)),GY6-GW6,"")</f>
        <v>0</v>
      </c>
      <c r="GY6" s="33"/>
      <c r="GZ6" s="34">
        <f>IF(AND(ISNUMBER(HA6),ISNUMBER(GY6)),HA6-GY6,"")</f>
        <v>0</v>
      </c>
      <c r="HA6" s="33"/>
      <c r="HB6" s="34">
        <f>IF(AND(ISNUMBER(HC6),ISNUMBER(HA6)),HC6-HA6,"")</f>
        <v>0</v>
      </c>
      <c r="HC6" s="33"/>
      <c r="HD6" s="34">
        <f>IF(AND(ISNUMBER(HE6),ISNUMBER(HC6)),HE6-HC6,"")</f>
        <v>0</v>
      </c>
      <c r="HE6" s="33"/>
      <c r="HF6" s="34">
        <f>IF(AND(ISNUMBER(HG6),ISNUMBER(HE6)),HG6-HE6,"")</f>
        <v>0</v>
      </c>
      <c r="HG6" s="33"/>
      <c r="HH6" s="34">
        <f>IF(AND(ISNUMBER(HI6),ISNUMBER(HG6)),HI6-HG6,"")</f>
        <v>0</v>
      </c>
      <c r="HI6" s="33"/>
      <c r="HJ6" s="34">
        <f>IF(AND(ISNUMBER(HK6),ISNUMBER(HI6)),HK6-HI6,"")</f>
        <v>0</v>
      </c>
      <c r="HK6" s="33"/>
      <c r="HL6" s="34">
        <f>IF(AND(ISNUMBER(HM6),ISNUMBER(HK6)),HM6-HK6,"")</f>
        <v>0</v>
      </c>
      <c r="HM6" s="33"/>
      <c r="HN6" s="34">
        <f>IF(AND(ISNUMBER(HO6),ISNUMBER(HM6)),HO6-HM6,"")</f>
        <v>0</v>
      </c>
      <c r="HO6" s="33"/>
      <c r="HP6" s="34">
        <f>IF(AND(ISNUMBER(HQ6),ISNUMBER(HO6)),HQ6-HO6,"")</f>
        <v>0</v>
      </c>
      <c r="HQ6" s="33"/>
      <c r="HR6" s="34">
        <f>IF(AND(ISNUMBER(HS6),ISNUMBER(HQ6)),HS6-HQ6,"")</f>
        <v>0</v>
      </c>
      <c r="HS6" s="33"/>
      <c r="HT6" s="34">
        <f>IF(AND(ISNUMBER(HU6),ISNUMBER(HS6)),HU6-HS6,"")</f>
        <v>0</v>
      </c>
      <c r="HU6" s="33"/>
      <c r="HV6" s="34">
        <f>IF(AND(ISNUMBER(HW6),ISNUMBER(HU6)),HW6-HU6,"")</f>
        <v>0</v>
      </c>
      <c r="HW6" s="33"/>
      <c r="HX6" s="34">
        <f>IF(AND(ISNUMBER(HY6),ISNUMBER(HW6)),HY6-HW6,"")</f>
        <v>0</v>
      </c>
      <c r="HY6" s="33"/>
      <c r="HZ6" s="34">
        <f>IF(AND(ISNUMBER(IA6),ISNUMBER(HY6)),IA6-HY6,"")</f>
        <v>0</v>
      </c>
      <c r="IA6" s="33"/>
      <c r="IB6" s="34">
        <f>IF(AND(ISNUMBER(IC6),ISNUMBER(IA6)),IC6-IA6,"")</f>
        <v>0</v>
      </c>
      <c r="IC6" s="33"/>
      <c r="ID6" s="34">
        <f>IF(AND(ISNUMBER(IE6),ISNUMBER(IC6)),IE6-IC6,"")</f>
        <v>0</v>
      </c>
      <c r="IE6" s="33"/>
      <c r="IF6" s="34">
        <f>IF(AND(ISNUMBER(IG6),ISNUMBER(IE6)),IG6-IE6,"")</f>
        <v>0</v>
      </c>
      <c r="IG6" s="33"/>
      <c r="IH6" s="34">
        <f>IF(AND(ISNUMBER(II6),ISNUMBER(IG6)),II6-IG6,"")</f>
        <v>0</v>
      </c>
      <c r="II6" s="33"/>
      <c r="IJ6" s="34">
        <f>IF(AND(ISNUMBER(IK6),ISNUMBER(II6)),IK6-II6,"")</f>
        <v>0</v>
      </c>
      <c r="IK6" s="33"/>
      <c r="IL6" s="34">
        <f>IF(AND(ISNUMBER(IM6),ISNUMBER(IK6)),IM6-IK6,"")</f>
        <v>0</v>
      </c>
      <c r="IM6" s="33"/>
      <c r="IN6" s="34">
        <f>IF(AND(ISNUMBER(IO6),ISNUMBER(IM6)),IO6-IM6,"")</f>
        <v>0</v>
      </c>
      <c r="IO6" s="33"/>
      <c r="IP6" s="34">
        <f>IF(AND(ISNUMBER(IQ6),ISNUMBER(IO6)),IQ6-IO6,"")</f>
        <v>0</v>
      </c>
      <c r="IQ6" s="33"/>
      <c r="IR6" s="34">
        <f>IF(AND(ISNUMBER(IS6),ISNUMBER(IQ6)),IS6-IQ6,"")</f>
        <v>0</v>
      </c>
      <c r="IS6" s="33"/>
      <c r="IT6" s="34">
        <f>IF(AND(ISNUMBER(IU6),ISNUMBER(IS6)),IU6-IS6,"")</f>
        <v>0</v>
      </c>
      <c r="IU6" s="33"/>
      <c r="IV6" s="34">
        <f>IF(AND(ISNUMBER(IW6),ISNUMBER(IU6)),IW6-IU6,"")</f>
        <v>0</v>
      </c>
      <c r="IW6" s="33"/>
      <c r="IX6" s="34">
        <f>IF(AND(ISNUMBER(IY6),ISNUMBER(IW6)),IY6-IW6,"")</f>
        <v>0</v>
      </c>
      <c r="IY6" s="33"/>
      <c r="IZ6" s="34">
        <f>IF(AND(ISNUMBER(JA6),ISNUMBER(IY6)),JA6-IY6,"")</f>
        <v>0</v>
      </c>
      <c r="JA6" s="33"/>
      <c r="JB6" s="34">
        <f>IF(AND(ISNUMBER(JC6),ISNUMBER(JA6)),JC6-JA6,"")</f>
        <v>0</v>
      </c>
      <c r="JC6" s="33"/>
      <c r="JD6" s="34">
        <f>IF(AND(ISNUMBER(JE6),ISNUMBER(JC6)),JE6-JC6,"")</f>
        <v>0</v>
      </c>
      <c r="JE6" s="33"/>
      <c r="JF6" s="34">
        <f>IF(AND(ISNUMBER(JG6),ISNUMBER(JE6)),JG6-JE6,"")</f>
        <v>0</v>
      </c>
      <c r="JG6" s="33"/>
      <c r="JH6" s="34">
        <f>IF(AND(ISNUMBER(JI6),ISNUMBER(JG6)),JI6-JG6,"")</f>
        <v>0</v>
      </c>
      <c r="JI6" s="33"/>
      <c r="JJ6" s="34">
        <f>IF(AND(ISNUMBER(JK6),ISNUMBER(JI6)),JK6-JI6,"")</f>
        <v>0</v>
      </c>
      <c r="JK6" s="33"/>
      <c r="JL6" s="34">
        <f>IF(AND(ISNUMBER(JM6),ISNUMBER(JK6)),JM6-JK6,"")</f>
        <v>0</v>
      </c>
      <c r="JM6" s="33"/>
      <c r="JN6" s="34">
        <f>IF(AND(ISNUMBER(JO6),ISNUMBER(JM6)),JO6-JM6,"")</f>
        <v>0</v>
      </c>
      <c r="JO6" s="33"/>
      <c r="JP6" s="34">
        <f>IF(AND(ISNUMBER(JQ6),ISNUMBER(JO6)),JQ6-JO6,"")</f>
        <v>0</v>
      </c>
      <c r="JQ6" s="33"/>
      <c r="JR6" s="34">
        <f>IF(AND(ISNUMBER(JS6),ISNUMBER(JQ6)),JS6-JQ6,"")</f>
        <v>0</v>
      </c>
      <c r="JS6" s="33"/>
      <c r="JT6" s="34">
        <f>IF(AND(ISNUMBER(JU6),ISNUMBER(JS6)),JU6-JS6,"")</f>
        <v>0</v>
      </c>
      <c r="JU6" s="33"/>
      <c r="JV6" s="34">
        <f>IF(AND(ISNUMBER(JW6),ISNUMBER(JU6)),JW6-JU6,"")</f>
        <v>0</v>
      </c>
      <c r="JW6" s="33"/>
      <c r="JX6" s="34">
        <f>IF(AND(ISNUMBER(JY6),ISNUMBER(JW6)),JY6-JW6,"")</f>
        <v>0</v>
      </c>
      <c r="JY6" s="33"/>
      <c r="JZ6" s="34">
        <f>IF(AND(ISNUMBER(KA6),ISNUMBER(JY6)),KA6-JY6,"")</f>
        <v>0</v>
      </c>
      <c r="KA6" s="33"/>
      <c r="KB6" s="34">
        <f>IF(AND(ISNUMBER(KC6),ISNUMBER(KA6)),KC6-KA6,"")</f>
        <v>0</v>
      </c>
      <c r="KC6" s="33"/>
      <c r="KD6" s="34">
        <f>IF(AND(ISNUMBER(KE6),ISNUMBER(KC6)),KE6-KC6,"")</f>
        <v>0</v>
      </c>
      <c r="KE6" s="33"/>
      <c r="KF6" s="34">
        <f>IF(AND(ISNUMBER(KG6),ISNUMBER(KE6)),KG6-KE6,"")</f>
        <v>0</v>
      </c>
      <c r="KG6" s="33"/>
      <c r="KH6" s="34">
        <f>IF(AND(ISNUMBER(KI6),ISNUMBER(KG6)),KI6-KG6,"")</f>
        <v>0</v>
      </c>
      <c r="KI6" s="33"/>
      <c r="KJ6" s="34">
        <f>IF(AND(ISNUMBER(KK6),ISNUMBER(KI6)),KK6-KI6,"")</f>
        <v>0</v>
      </c>
      <c r="KK6" s="33"/>
      <c r="KL6" s="34">
        <f>IF(AND(ISNUMBER(KM6),ISNUMBER(KK6)),KM6-KK6,"")</f>
        <v>0</v>
      </c>
      <c r="KM6" s="33"/>
      <c r="KN6" s="34">
        <f>IF(AND(ISNUMBER(KO6),ISNUMBER(KM6)),KO6-KM6,"")</f>
        <v>0</v>
      </c>
      <c r="KO6" s="33"/>
      <c r="KP6" s="34">
        <f>IF(AND(ISNUMBER(KQ6),ISNUMBER(KO6)),KQ6-KO6,"")</f>
        <v>0</v>
      </c>
      <c r="KQ6" s="33"/>
      <c r="KR6" s="34">
        <f>IF(AND(ISNUMBER(KS6),ISNUMBER(KQ6)),KS6-KQ6,"")</f>
        <v>0</v>
      </c>
      <c r="KS6" s="33"/>
      <c r="KT6" s="34">
        <f>IF(AND(ISNUMBER(KU6),ISNUMBER(KS6)),KU6-KS6,"")</f>
        <v>0</v>
      </c>
      <c r="KU6" s="33"/>
      <c r="KV6" s="34">
        <f>IF(AND(ISNUMBER(KW6),ISNUMBER(KU6)),KW6-KU6,"")</f>
        <v>0</v>
      </c>
      <c r="KW6" s="33"/>
      <c r="KX6" s="34">
        <f>IF(AND(ISNUMBER(KY6),ISNUMBER(KW6)),KY6-KW6,"")</f>
        <v>0</v>
      </c>
      <c r="KY6" s="33"/>
      <c r="KZ6" s="34">
        <f>IF(AND(ISNUMBER(LA6),ISNUMBER(KY6)),LA6-KY6,"")</f>
        <v>0</v>
      </c>
      <c r="LA6" s="33"/>
      <c r="LB6" s="34">
        <f>IF(AND(ISNUMBER(LC6),ISNUMBER(LA6)),LC6-LA6,"")</f>
        <v>0</v>
      </c>
      <c r="LC6" s="33"/>
      <c r="LD6" s="34">
        <f>IF(AND(ISNUMBER(LE6),ISNUMBER(LC6)),LE6-LC6,"")</f>
        <v>0</v>
      </c>
      <c r="LE6" s="33"/>
      <c r="LF6" s="34">
        <f>IF(AND(ISNUMBER(LG6),ISNUMBER(LE6)),LG6-LE6,"")</f>
        <v>0</v>
      </c>
      <c r="LG6" s="33"/>
    </row>
    <row r="7" spans="1:322" hidden="1" outlineLevel="1">
      <c r="B7" s="23"/>
      <c r="D7" s="31" t="s">
        <v>719</v>
      </c>
      <c r="E7" s="32" t="s">
        <v>1058</v>
      </c>
      <c r="I7" s="33"/>
      <c r="J7" s="34">
        <f>IF(AND(ISNUMBER(K7),ISNUMBER(I7)),K7-I7,"")</f>
        <v>0</v>
      </c>
      <c r="K7" s="33"/>
      <c r="L7" s="34">
        <f>IF(AND(ISNUMBER(M7),ISNUMBER(K7)),M7-K7,"")</f>
        <v>0</v>
      </c>
      <c r="M7" s="33"/>
      <c r="N7" s="34">
        <f>IF(AND(ISNUMBER(O7),ISNUMBER(M7)),O7-M7,"")</f>
        <v>0</v>
      </c>
      <c r="O7" s="33"/>
      <c r="P7" s="34">
        <f>IF(AND(ISNUMBER(Q7),ISNUMBER(O7)),Q7-O7,"")</f>
        <v>0</v>
      </c>
      <c r="Q7" s="33"/>
      <c r="R7" s="34">
        <f>IF(AND(ISNUMBER(S7),ISNUMBER(Q7)),S7-Q7,"")</f>
        <v>0</v>
      </c>
      <c r="S7" s="33"/>
      <c r="T7" s="34">
        <f>IF(AND(ISNUMBER(U7),ISNUMBER(S7)),U7-S7,"")</f>
        <v>0</v>
      </c>
      <c r="U7" s="33"/>
      <c r="V7" s="34">
        <f>IF(AND(ISNUMBER(W7),ISNUMBER(U7)),W7-U7,"")</f>
        <v>0</v>
      </c>
      <c r="W7" s="33"/>
      <c r="X7" s="34">
        <f>IF(AND(ISNUMBER(Y7),ISNUMBER(W7)),Y7-W7,"")</f>
        <v>0</v>
      </c>
      <c r="Y7" s="33"/>
      <c r="Z7" s="34">
        <f>IF(AND(ISNUMBER(AA7),ISNUMBER(Y7)),AA7-Y7,"")</f>
        <v>0</v>
      </c>
      <c r="AA7" s="33"/>
      <c r="AB7" s="34">
        <f>IF(AND(ISNUMBER(AC7),ISNUMBER(AA7)),AC7-AA7,"")</f>
        <v>0</v>
      </c>
      <c r="AC7" s="33"/>
      <c r="AD7" s="34">
        <f>IF(AND(ISNUMBER(AE7),ISNUMBER(AC7)),AE7-AC7,"")</f>
        <v>0</v>
      </c>
      <c r="AE7" s="33"/>
      <c r="AF7" s="34">
        <f>IF(AND(ISNUMBER(AG7),ISNUMBER(AE7)),AG7-AE7,"")</f>
        <v>0</v>
      </c>
      <c r="AG7" s="33"/>
      <c r="AH7" s="34">
        <f>IF(AND(ISNUMBER(AI7),ISNUMBER(AG7)),AI7-AG7,"")</f>
        <v>0</v>
      </c>
      <c r="AI7" s="33"/>
      <c r="AJ7" s="34">
        <f>IF(AND(ISNUMBER(AK7),ISNUMBER(AI7)),AK7-AI7,"")</f>
        <v>0</v>
      </c>
      <c r="AK7" s="33"/>
      <c r="AL7" s="34">
        <f>IF(AND(ISNUMBER(AM7),ISNUMBER(AK7)),AM7-AK7,"")</f>
        <v>0</v>
      </c>
      <c r="AM7" s="33"/>
      <c r="AN7" s="34">
        <f>IF(AND(ISNUMBER(AO7),ISNUMBER(AM7)),AO7-AM7,"")</f>
        <v>0</v>
      </c>
      <c r="AO7" s="33"/>
      <c r="AP7" s="34">
        <f>IF(AND(ISNUMBER(AQ7),ISNUMBER(AO7)),AQ7-AO7,"")</f>
        <v>0</v>
      </c>
      <c r="AQ7" s="33"/>
      <c r="AR7" s="34">
        <f>IF(AND(ISNUMBER(AS7),ISNUMBER(AQ7)),AS7-AQ7,"")</f>
        <v>0</v>
      </c>
      <c r="AS7" s="33"/>
      <c r="AT7" s="34">
        <f>IF(AND(ISNUMBER(AU7),ISNUMBER(AS7)),AU7-AS7,"")</f>
        <v>0</v>
      </c>
      <c r="AU7" s="33"/>
      <c r="AV7" s="34">
        <f>IF(AND(ISNUMBER(AW7),ISNUMBER(AU7)),AW7-AU7,"")</f>
        <v>0</v>
      </c>
      <c r="AW7" s="33"/>
      <c r="AX7" s="34">
        <f>IF(AND(ISNUMBER(AY7),ISNUMBER(AW7)),AY7-AW7,"")</f>
        <v>0</v>
      </c>
      <c r="AY7" s="33"/>
      <c r="AZ7" s="34">
        <f>IF(AND(ISNUMBER(BA7),ISNUMBER(AY7)),BA7-AY7,"")</f>
        <v>0</v>
      </c>
      <c r="BA7" s="33"/>
      <c r="BB7" s="34">
        <f>IF(AND(ISNUMBER(BC7),ISNUMBER(BA7)),BC7-BA7,"")</f>
        <v>0</v>
      </c>
      <c r="BC7" s="33"/>
      <c r="BD7" s="34">
        <f>IF(AND(ISNUMBER(BE7),ISNUMBER(BC7)),BE7-BC7,"")</f>
        <v>0</v>
      </c>
      <c r="BE7" s="33"/>
      <c r="BF7" s="34">
        <f>IF(AND(ISNUMBER(BG7),ISNUMBER(BE7)),BG7-BE7,"")</f>
        <v>0</v>
      </c>
      <c r="BG7" s="33"/>
      <c r="BH7" s="34">
        <f>IF(AND(ISNUMBER(BI7),ISNUMBER(BG7)),BI7-BG7,"")</f>
        <v>0</v>
      </c>
      <c r="BI7" s="33"/>
      <c r="BJ7" s="34">
        <f>IF(AND(ISNUMBER(BK7),ISNUMBER(BI7)),BK7-BI7,"")</f>
        <v>0</v>
      </c>
      <c r="BK7" s="33"/>
      <c r="BL7" s="34">
        <f>IF(AND(ISNUMBER(BM7),ISNUMBER(BK7)),BM7-BK7,"")</f>
        <v>0</v>
      </c>
      <c r="BM7" s="33"/>
      <c r="BN7" s="34">
        <f>IF(AND(ISNUMBER(BO7),ISNUMBER(BM7)),BO7-BM7,"")</f>
        <v>0</v>
      </c>
      <c r="BO7" s="33"/>
      <c r="BP7" s="34">
        <f>IF(AND(ISNUMBER(BQ7),ISNUMBER(BO7)),BQ7-BO7,"")</f>
        <v>0</v>
      </c>
      <c r="BQ7" s="33"/>
      <c r="BR7" s="34">
        <f>IF(AND(ISNUMBER(BS7),ISNUMBER(BQ7)),BS7-BQ7,"")</f>
        <v>0</v>
      </c>
      <c r="BS7" s="33"/>
      <c r="BT7" s="34">
        <f>IF(AND(ISNUMBER(BU7),ISNUMBER(BS7)),BU7-BS7,"")</f>
        <v>0</v>
      </c>
      <c r="BU7" s="33"/>
      <c r="BV7" s="34">
        <f>IF(AND(ISNUMBER(BW7),ISNUMBER(BU7)),BW7-BU7,"")</f>
        <v>0</v>
      </c>
      <c r="BW7" s="33"/>
      <c r="BX7" s="34">
        <f>IF(AND(ISNUMBER(BY7),ISNUMBER(BW7)),BY7-BW7,"")</f>
        <v>0</v>
      </c>
      <c r="BY7" s="33">
        <v>34</v>
      </c>
      <c r="BZ7" s="34">
        <f>IF(AND(ISNUMBER(CA7),ISNUMBER(BY7)),CA7-BY7,"")</f>
        <v>0</v>
      </c>
      <c r="CA7" s="33">
        <v>65</v>
      </c>
      <c r="CB7" s="34">
        <f>IF(AND(ISNUMBER(CC7),ISNUMBER(CA7)),CC7-CA7,"")</f>
        <v>0</v>
      </c>
      <c r="CC7" s="33">
        <v>23</v>
      </c>
      <c r="CD7" s="34">
        <f>IF(AND(ISNUMBER(CE7),ISNUMBER(CC7)),CE7-CC7,"")</f>
        <v>0</v>
      </c>
      <c r="CE7" s="33">
        <v>100</v>
      </c>
      <c r="CF7" s="34">
        <f>IF(AND(ISNUMBER(CG7),ISNUMBER(CE7)),CG7-CE7,"")</f>
        <v>0</v>
      </c>
      <c r="CG7" s="33">
        <v>2</v>
      </c>
      <c r="CH7" s="34">
        <f>IF(AND(ISNUMBER(CI7),ISNUMBER(CG7)),CI7-CG7,"")</f>
        <v>0</v>
      </c>
      <c r="CI7" s="33">
        <v>2</v>
      </c>
      <c r="CJ7" s="34">
        <f>IF(AND(ISNUMBER(CK7),ISNUMBER(CI7)),CK7-CI7,"")</f>
        <v>0</v>
      </c>
      <c r="CK7" s="33">
        <v>34</v>
      </c>
      <c r="CL7" s="34">
        <f>IF(AND(ISNUMBER(CM7),ISNUMBER(CK7)),CM7-CK7,"")</f>
        <v>0</v>
      </c>
      <c r="CM7" s="33">
        <v>2</v>
      </c>
      <c r="CN7" s="34">
        <f>IF(AND(ISNUMBER(CO7),ISNUMBER(CM7)),CO7-CM7,"")</f>
        <v>0</v>
      </c>
      <c r="CO7" s="33">
        <v>2</v>
      </c>
      <c r="CP7" s="34">
        <f>IF(AND(ISNUMBER(CQ7),ISNUMBER(CO7)),CQ7-CO7,"")</f>
        <v>0</v>
      </c>
      <c r="CQ7" s="33">
        <v>246</v>
      </c>
      <c r="CR7" s="34">
        <f>IF(AND(ISNUMBER(CS7),ISNUMBER(CQ7)),CS7-CQ7,"")</f>
        <v>0</v>
      </c>
      <c r="CS7" s="33">
        <v>87</v>
      </c>
      <c r="CT7" s="34">
        <f>IF(AND(ISNUMBER(CU7),ISNUMBER(CS7)),CU7-CS7,"")</f>
        <v>0</v>
      </c>
      <c r="CU7" s="33">
        <v>12</v>
      </c>
      <c r="CV7" s="34">
        <f>IF(AND(ISNUMBER(CW7),ISNUMBER(CU7)),CW7-CU7,"")</f>
        <v>0</v>
      </c>
      <c r="CW7" s="33">
        <v>54</v>
      </c>
      <c r="CX7" s="34">
        <f>IF(AND(ISNUMBER(CY7),ISNUMBER(CW7)),CY7-CW7,"")</f>
        <v>0</v>
      </c>
      <c r="CY7" s="33">
        <v>87</v>
      </c>
      <c r="CZ7" s="34">
        <f>IF(AND(ISNUMBER(DA7),ISNUMBER(CY7)),DA7-CY7,"")</f>
        <v>0</v>
      </c>
      <c r="DA7" s="33"/>
      <c r="DB7" s="34">
        <f>IF(AND(ISNUMBER(DC7),ISNUMBER(DA7)),DC7-DA7,"")</f>
        <v>0</v>
      </c>
      <c r="DC7" s="33"/>
      <c r="DD7" s="34">
        <f>IF(AND(ISNUMBER(DE7),ISNUMBER(DC7)),DE7-DC7,"")</f>
        <v>0</v>
      </c>
      <c r="DE7" s="33"/>
      <c r="DF7" s="34">
        <f>IF(AND(ISNUMBER(DG7),ISNUMBER(DE7)),DG7-DE7,"")</f>
        <v>0</v>
      </c>
      <c r="DG7" s="33"/>
      <c r="DH7" s="34">
        <f>IF(AND(ISNUMBER(DI7),ISNUMBER(DG7)),DI7-DG7,"")</f>
        <v>0</v>
      </c>
      <c r="DI7" s="33">
        <v>50</v>
      </c>
      <c r="DJ7" s="34">
        <f>IF(AND(ISNUMBER(DK7),ISNUMBER(DI7)),DK7-DI7,"")</f>
        <v>0</v>
      </c>
      <c r="DK7" s="33">
        <v>6</v>
      </c>
      <c r="DL7" s="34">
        <f>IF(AND(ISNUMBER(DM7),ISNUMBER(DK7)),DM7-DK7,"")</f>
        <v>0</v>
      </c>
      <c r="DM7" s="33">
        <v>60</v>
      </c>
      <c r="DN7" s="34">
        <f>IF(AND(ISNUMBER(DO7),ISNUMBER(DM7)),DO7-DM7,"")</f>
        <v>0</v>
      </c>
      <c r="DO7" s="33"/>
      <c r="DP7" s="34">
        <f>IF(AND(ISNUMBER(DQ7),ISNUMBER(DO7)),DQ7-DO7,"")</f>
        <v>0</v>
      </c>
      <c r="DQ7" s="33"/>
      <c r="DR7" s="34">
        <f>IF(AND(ISNUMBER(DS7),ISNUMBER(DQ7)),DS7-DQ7,"")</f>
        <v>0</v>
      </c>
      <c r="DS7" s="33">
        <v>22</v>
      </c>
      <c r="DT7" s="34">
        <f>IF(AND(ISNUMBER(DU7),ISNUMBER(DS7)),DU7-DS7,"")</f>
        <v>0</v>
      </c>
      <c r="DU7" s="33">
        <v>30</v>
      </c>
      <c r="DV7" s="34">
        <f>IF(AND(ISNUMBER(DW7),ISNUMBER(DU7)),DW7-DU7,"")</f>
        <v>0</v>
      </c>
      <c r="DW7" s="33">
        <v>30</v>
      </c>
      <c r="DX7" s="34">
        <f>IF(AND(ISNUMBER(DY7),ISNUMBER(DW7)),DY7-DW7,"")</f>
        <v>0</v>
      </c>
      <c r="DY7" s="33">
        <v>26</v>
      </c>
      <c r="DZ7" s="34">
        <f>IF(AND(ISNUMBER(EA7),ISNUMBER(DY7)),EA7-DY7,"")</f>
        <v>0</v>
      </c>
      <c r="EA7" s="33">
        <v>23</v>
      </c>
      <c r="EB7" s="34">
        <f>IF(AND(ISNUMBER(EC7),ISNUMBER(EA7)),EC7-EA7,"")</f>
        <v>0</v>
      </c>
      <c r="EC7" s="33">
        <v>12</v>
      </c>
      <c r="ED7" s="34">
        <f>IF(AND(ISNUMBER(EE7),ISNUMBER(EC7)),EE7-EC7,"")</f>
        <v>0</v>
      </c>
      <c r="EE7" s="33">
        <v>11</v>
      </c>
      <c r="EF7" s="34">
        <f>IF(AND(ISNUMBER(EG7),ISNUMBER(EE7)),EG7-EE7,"")</f>
        <v>0</v>
      </c>
      <c r="EG7" s="33">
        <v>7</v>
      </c>
      <c r="EH7" s="34">
        <f>IF(AND(ISNUMBER(EI7),ISNUMBER(EG7)),EI7-EG7,"")</f>
        <v>0</v>
      </c>
      <c r="EI7" s="33">
        <v>20</v>
      </c>
      <c r="EJ7" s="34">
        <f>IF(AND(ISNUMBER(EK7),ISNUMBER(EI7)),EK7-EI7,"")</f>
        <v>0</v>
      </c>
      <c r="EK7" s="33">
        <v>37</v>
      </c>
      <c r="EL7" s="34">
        <f>IF(AND(ISNUMBER(EM7),ISNUMBER(EK7)),EM7-EK7,"")</f>
        <v>0</v>
      </c>
      <c r="EM7" s="33">
        <v>6</v>
      </c>
      <c r="EN7" s="34">
        <f>IF(AND(ISNUMBER(EO7),ISNUMBER(EM7)),EO7-EM7,"")</f>
        <v>0</v>
      </c>
      <c r="EO7" s="33">
        <v>12</v>
      </c>
      <c r="EP7" s="34">
        <f>IF(AND(ISNUMBER(EQ7),ISNUMBER(EO7)),EQ7-EO7,"")</f>
        <v>0</v>
      </c>
      <c r="EQ7" s="33">
        <v>7</v>
      </c>
      <c r="ER7" s="34">
        <f>IF(AND(ISNUMBER(ES7),ISNUMBER(EQ7)),ES7-EQ7,"")</f>
        <v>0</v>
      </c>
      <c r="ES7" s="33"/>
      <c r="ET7" s="34">
        <f>IF(AND(ISNUMBER(EU7),ISNUMBER(ES7)),EU7-ES7,"")</f>
        <v>0</v>
      </c>
      <c r="EU7" s="33"/>
      <c r="EV7" s="34">
        <f>IF(AND(ISNUMBER(EW7),ISNUMBER(EU7)),EW7-EU7,"")</f>
        <v>0</v>
      </c>
      <c r="EW7" s="33"/>
      <c r="EX7" s="34">
        <f>IF(AND(ISNUMBER(EY7),ISNUMBER(EW7)),EY7-EW7,"")</f>
        <v>0</v>
      </c>
      <c r="EY7" s="33"/>
      <c r="EZ7" s="34">
        <f>IF(AND(ISNUMBER(FA7),ISNUMBER(EY7)),FA7-EY7,"")</f>
        <v>0</v>
      </c>
      <c r="FA7" s="33"/>
      <c r="FB7" s="34">
        <f>IF(AND(ISNUMBER(FC7),ISNUMBER(FA7)),FC7-FA7,"")</f>
        <v>0</v>
      </c>
      <c r="FC7" s="33"/>
      <c r="FD7" s="34">
        <f>IF(AND(ISNUMBER(FE7),ISNUMBER(FC7)),FE7-FC7,"")</f>
        <v>0</v>
      </c>
      <c r="FE7" s="33"/>
      <c r="FF7" s="34">
        <f>IF(AND(ISNUMBER(FG7),ISNUMBER(FE7)),FG7-FE7,"")</f>
        <v>0</v>
      </c>
      <c r="FG7" s="33"/>
      <c r="FH7" s="34">
        <f>IF(AND(ISNUMBER(FI7),ISNUMBER(FG7)),FI7-FG7,"")</f>
        <v>0</v>
      </c>
      <c r="FI7" s="33"/>
      <c r="FJ7" s="34">
        <f>IF(AND(ISNUMBER(FK7),ISNUMBER(FI7)),FK7-FI7,"")</f>
        <v>0</v>
      </c>
      <c r="FK7" s="33"/>
      <c r="FL7" s="34">
        <f>IF(AND(ISNUMBER(FM7),ISNUMBER(FK7)),FM7-FK7,"")</f>
        <v>0</v>
      </c>
      <c r="FM7" s="33"/>
      <c r="FN7" s="34">
        <f>IF(AND(ISNUMBER(FO7),ISNUMBER(FM7)),FO7-FM7,"")</f>
        <v>0</v>
      </c>
      <c r="FO7" s="33"/>
      <c r="FP7" s="34">
        <f>IF(AND(ISNUMBER(FQ7),ISNUMBER(FO7)),FQ7-FO7,"")</f>
        <v>0</v>
      </c>
      <c r="FQ7" s="33"/>
      <c r="FR7" s="34">
        <f>IF(AND(ISNUMBER(FS7),ISNUMBER(FQ7)),FS7-FQ7,"")</f>
        <v>0</v>
      </c>
      <c r="FS7" s="33"/>
      <c r="FT7" s="34">
        <f>IF(AND(ISNUMBER(FU7),ISNUMBER(FS7)),FU7-FS7,"")</f>
        <v>0</v>
      </c>
      <c r="FU7" s="33"/>
      <c r="FV7" s="34">
        <f>IF(AND(ISNUMBER(FW7),ISNUMBER(FU7)),FW7-FU7,"")</f>
        <v>0</v>
      </c>
      <c r="FW7" s="33"/>
      <c r="FX7" s="34">
        <f>IF(AND(ISNUMBER(FY7),ISNUMBER(FW7)),FY7-FW7,"")</f>
        <v>0</v>
      </c>
      <c r="FY7" s="33"/>
      <c r="FZ7" s="34">
        <f>IF(AND(ISNUMBER(GA7),ISNUMBER(FY7)),GA7-FY7,"")</f>
        <v>0</v>
      </c>
      <c r="GA7" s="33"/>
      <c r="GB7" s="34">
        <f>IF(AND(ISNUMBER(GC7),ISNUMBER(GA7)),GC7-GA7,"")</f>
        <v>0</v>
      </c>
      <c r="GC7" s="33"/>
      <c r="GD7" s="34">
        <f>IF(AND(ISNUMBER(GE7),ISNUMBER(GC7)),GE7-GC7,"")</f>
        <v>0</v>
      </c>
      <c r="GE7" s="33"/>
      <c r="GF7" s="34">
        <f>IF(AND(ISNUMBER(GG7),ISNUMBER(GE7)),GG7-GE7,"")</f>
        <v>0</v>
      </c>
      <c r="GG7" s="33"/>
      <c r="GH7" s="34">
        <f>IF(AND(ISNUMBER(GI7),ISNUMBER(GG7)),GI7-GG7,"")</f>
        <v>0</v>
      </c>
      <c r="GI7" s="33"/>
      <c r="GJ7" s="34">
        <f>IF(AND(ISNUMBER(GK7),ISNUMBER(GI7)),GK7-GI7,"")</f>
        <v>0</v>
      </c>
      <c r="GK7" s="33"/>
      <c r="GL7" s="34">
        <f>IF(AND(ISNUMBER(GM7),ISNUMBER(GK7)),GM7-GK7,"")</f>
        <v>0</v>
      </c>
      <c r="GM7" s="33"/>
      <c r="GN7" s="34">
        <f>IF(AND(ISNUMBER(GO7),ISNUMBER(GM7)),GO7-GM7,"")</f>
        <v>0</v>
      </c>
      <c r="GO7" s="33"/>
      <c r="GP7" s="34">
        <f>IF(AND(ISNUMBER(GQ7),ISNUMBER(GO7)),GQ7-GO7,"")</f>
        <v>0</v>
      </c>
      <c r="GQ7" s="33"/>
      <c r="GR7" s="34">
        <f>IF(AND(ISNUMBER(GS7),ISNUMBER(GQ7)),GS7-GQ7,"")</f>
        <v>0</v>
      </c>
      <c r="GS7" s="33"/>
      <c r="GT7" s="34">
        <f>IF(AND(ISNUMBER(GU7),ISNUMBER(GS7)),GU7-GS7,"")</f>
        <v>0</v>
      </c>
      <c r="GU7" s="33"/>
      <c r="GV7" s="34">
        <f>IF(AND(ISNUMBER(GW7),ISNUMBER(GU7)),GW7-GU7,"")</f>
        <v>0</v>
      </c>
      <c r="GW7" s="33"/>
      <c r="GX7" s="34">
        <f>IF(AND(ISNUMBER(GY7),ISNUMBER(GW7)),GY7-GW7,"")</f>
        <v>0</v>
      </c>
      <c r="GY7" s="33"/>
      <c r="GZ7" s="34">
        <f>IF(AND(ISNUMBER(HA7),ISNUMBER(GY7)),HA7-GY7,"")</f>
        <v>0</v>
      </c>
      <c r="HA7" s="33"/>
      <c r="HB7" s="34">
        <f>IF(AND(ISNUMBER(HC7),ISNUMBER(HA7)),HC7-HA7,"")</f>
        <v>0</v>
      </c>
      <c r="HC7" s="33"/>
      <c r="HD7" s="34">
        <f>IF(AND(ISNUMBER(HE7),ISNUMBER(HC7)),HE7-HC7,"")</f>
        <v>0</v>
      </c>
      <c r="HE7" s="33"/>
      <c r="HF7" s="34">
        <f>IF(AND(ISNUMBER(HG7),ISNUMBER(HE7)),HG7-HE7,"")</f>
        <v>0</v>
      </c>
      <c r="HG7" s="33"/>
      <c r="HH7" s="34">
        <f>IF(AND(ISNUMBER(HI7),ISNUMBER(HG7)),HI7-HG7,"")</f>
        <v>0</v>
      </c>
      <c r="HI7" s="33"/>
      <c r="HJ7" s="34">
        <f>IF(AND(ISNUMBER(HK7),ISNUMBER(HI7)),HK7-HI7,"")</f>
        <v>0</v>
      </c>
      <c r="HK7" s="33"/>
      <c r="HL7" s="34">
        <f>IF(AND(ISNUMBER(HM7),ISNUMBER(HK7)),HM7-HK7,"")</f>
        <v>0</v>
      </c>
      <c r="HM7" s="33"/>
      <c r="HN7" s="34">
        <f>IF(AND(ISNUMBER(HO7),ISNUMBER(HM7)),HO7-HM7,"")</f>
        <v>0</v>
      </c>
      <c r="HO7" s="33"/>
      <c r="HP7" s="34">
        <f>IF(AND(ISNUMBER(HQ7),ISNUMBER(HO7)),HQ7-HO7,"")</f>
        <v>0</v>
      </c>
      <c r="HQ7" s="33"/>
      <c r="HR7" s="34">
        <f>IF(AND(ISNUMBER(HS7),ISNUMBER(HQ7)),HS7-HQ7,"")</f>
        <v>0</v>
      </c>
      <c r="HS7" s="33"/>
      <c r="HT7" s="34">
        <f>IF(AND(ISNUMBER(HU7),ISNUMBER(HS7)),HU7-HS7,"")</f>
        <v>0</v>
      </c>
      <c r="HU7" s="33"/>
      <c r="HV7" s="34">
        <f>IF(AND(ISNUMBER(HW7),ISNUMBER(HU7)),HW7-HU7,"")</f>
        <v>0</v>
      </c>
      <c r="HW7" s="33"/>
      <c r="HX7" s="34">
        <f>IF(AND(ISNUMBER(HY7),ISNUMBER(HW7)),HY7-HW7,"")</f>
        <v>0</v>
      </c>
      <c r="HY7" s="33"/>
      <c r="HZ7" s="34">
        <f>IF(AND(ISNUMBER(IA7),ISNUMBER(HY7)),IA7-HY7,"")</f>
        <v>0</v>
      </c>
      <c r="IA7" s="33"/>
      <c r="IB7" s="34">
        <f>IF(AND(ISNUMBER(IC7),ISNUMBER(IA7)),IC7-IA7,"")</f>
        <v>0</v>
      </c>
      <c r="IC7" s="33"/>
      <c r="ID7" s="34">
        <f>IF(AND(ISNUMBER(IE7),ISNUMBER(IC7)),IE7-IC7,"")</f>
        <v>0</v>
      </c>
      <c r="IE7" s="33"/>
      <c r="IF7" s="34">
        <f>IF(AND(ISNUMBER(IG7),ISNUMBER(IE7)),IG7-IE7,"")</f>
        <v>0</v>
      </c>
      <c r="IG7" s="33"/>
      <c r="IH7" s="34">
        <f>IF(AND(ISNUMBER(II7),ISNUMBER(IG7)),II7-IG7,"")</f>
        <v>0</v>
      </c>
      <c r="II7" s="33"/>
      <c r="IJ7" s="34">
        <f>IF(AND(ISNUMBER(IK7),ISNUMBER(II7)),IK7-II7,"")</f>
        <v>0</v>
      </c>
      <c r="IK7" s="33"/>
      <c r="IL7" s="34">
        <f>IF(AND(ISNUMBER(IM7),ISNUMBER(IK7)),IM7-IK7,"")</f>
        <v>0</v>
      </c>
      <c r="IM7" s="33"/>
      <c r="IN7" s="34">
        <f>IF(AND(ISNUMBER(IO7),ISNUMBER(IM7)),IO7-IM7,"")</f>
        <v>0</v>
      </c>
      <c r="IO7" s="33"/>
      <c r="IP7" s="34">
        <f>IF(AND(ISNUMBER(IQ7),ISNUMBER(IO7)),IQ7-IO7,"")</f>
        <v>0</v>
      </c>
      <c r="IQ7" s="33"/>
      <c r="IR7" s="34">
        <f>IF(AND(ISNUMBER(IS7),ISNUMBER(IQ7)),IS7-IQ7,"")</f>
        <v>0</v>
      </c>
      <c r="IS7" s="33"/>
      <c r="IT7" s="34">
        <f>IF(AND(ISNUMBER(IU7),ISNUMBER(IS7)),IU7-IS7,"")</f>
        <v>0</v>
      </c>
      <c r="IU7" s="33"/>
      <c r="IV7" s="34">
        <f>IF(AND(ISNUMBER(IW7),ISNUMBER(IU7)),IW7-IU7,"")</f>
        <v>0</v>
      </c>
      <c r="IW7" s="33"/>
      <c r="IX7" s="34">
        <f>IF(AND(ISNUMBER(IY7),ISNUMBER(IW7)),IY7-IW7,"")</f>
        <v>0</v>
      </c>
      <c r="IY7" s="33"/>
      <c r="IZ7" s="34">
        <f>IF(AND(ISNUMBER(JA7),ISNUMBER(IY7)),JA7-IY7,"")</f>
        <v>0</v>
      </c>
      <c r="JA7" s="33"/>
      <c r="JB7" s="34">
        <f>IF(AND(ISNUMBER(JC7),ISNUMBER(JA7)),JC7-JA7,"")</f>
        <v>0</v>
      </c>
      <c r="JC7" s="33"/>
      <c r="JD7" s="34">
        <f>IF(AND(ISNUMBER(JE7),ISNUMBER(JC7)),JE7-JC7,"")</f>
        <v>0</v>
      </c>
      <c r="JE7" s="33"/>
      <c r="JF7" s="34">
        <f>IF(AND(ISNUMBER(JG7),ISNUMBER(JE7)),JG7-JE7,"")</f>
        <v>0</v>
      </c>
      <c r="JG7" s="33"/>
      <c r="JH7" s="34">
        <f>IF(AND(ISNUMBER(JI7),ISNUMBER(JG7)),JI7-JG7,"")</f>
        <v>0</v>
      </c>
      <c r="JI7" s="33"/>
      <c r="JJ7" s="34">
        <f>IF(AND(ISNUMBER(JK7),ISNUMBER(JI7)),JK7-JI7,"")</f>
        <v>0</v>
      </c>
      <c r="JK7" s="33"/>
      <c r="JL7" s="34">
        <f>IF(AND(ISNUMBER(JM7),ISNUMBER(JK7)),JM7-JK7,"")</f>
        <v>0</v>
      </c>
      <c r="JM7" s="33"/>
      <c r="JN7" s="34">
        <f>IF(AND(ISNUMBER(JO7),ISNUMBER(JM7)),JO7-JM7,"")</f>
        <v>0</v>
      </c>
      <c r="JO7" s="33"/>
      <c r="JP7" s="34">
        <f>IF(AND(ISNUMBER(JQ7),ISNUMBER(JO7)),JQ7-JO7,"")</f>
        <v>0</v>
      </c>
      <c r="JQ7" s="33"/>
      <c r="JR7" s="34">
        <f>IF(AND(ISNUMBER(JS7),ISNUMBER(JQ7)),JS7-JQ7,"")</f>
        <v>0</v>
      </c>
      <c r="JS7" s="33"/>
      <c r="JT7" s="34">
        <f>IF(AND(ISNUMBER(JU7),ISNUMBER(JS7)),JU7-JS7,"")</f>
        <v>0</v>
      </c>
      <c r="JU7" s="33"/>
      <c r="JV7" s="34">
        <f>IF(AND(ISNUMBER(JW7),ISNUMBER(JU7)),JW7-JU7,"")</f>
        <v>0</v>
      </c>
      <c r="JW7" s="33"/>
      <c r="JX7" s="34">
        <f>IF(AND(ISNUMBER(JY7),ISNUMBER(JW7)),JY7-JW7,"")</f>
        <v>0</v>
      </c>
      <c r="JY7" s="33"/>
      <c r="JZ7" s="34">
        <f>IF(AND(ISNUMBER(KA7),ISNUMBER(JY7)),KA7-JY7,"")</f>
        <v>0</v>
      </c>
      <c r="KA7" s="33"/>
      <c r="KB7" s="34">
        <f>IF(AND(ISNUMBER(KC7),ISNUMBER(KA7)),KC7-KA7,"")</f>
        <v>0</v>
      </c>
      <c r="KC7" s="33"/>
      <c r="KD7" s="34">
        <f>IF(AND(ISNUMBER(KE7),ISNUMBER(KC7)),KE7-KC7,"")</f>
        <v>0</v>
      </c>
      <c r="KE7" s="33"/>
      <c r="KF7" s="34">
        <f>IF(AND(ISNUMBER(KG7),ISNUMBER(KE7)),KG7-KE7,"")</f>
        <v>0</v>
      </c>
      <c r="KG7" s="33"/>
      <c r="KH7" s="34">
        <f>IF(AND(ISNUMBER(KI7),ISNUMBER(KG7)),KI7-KG7,"")</f>
        <v>0</v>
      </c>
      <c r="KI7" s="33"/>
      <c r="KJ7" s="34">
        <f>IF(AND(ISNUMBER(KK7),ISNUMBER(KI7)),KK7-KI7,"")</f>
        <v>0</v>
      </c>
      <c r="KK7" s="33"/>
      <c r="KL7" s="34">
        <f>IF(AND(ISNUMBER(KM7),ISNUMBER(KK7)),KM7-KK7,"")</f>
        <v>0</v>
      </c>
      <c r="KM7" s="33"/>
      <c r="KN7" s="34">
        <f>IF(AND(ISNUMBER(KO7),ISNUMBER(KM7)),KO7-KM7,"")</f>
        <v>0</v>
      </c>
      <c r="KO7" s="33"/>
      <c r="KP7" s="34">
        <f>IF(AND(ISNUMBER(KQ7),ISNUMBER(KO7)),KQ7-KO7,"")</f>
        <v>0</v>
      </c>
      <c r="KQ7" s="33"/>
      <c r="KR7" s="34">
        <f>IF(AND(ISNUMBER(KS7),ISNUMBER(KQ7)),KS7-KQ7,"")</f>
        <v>0</v>
      </c>
      <c r="KS7" s="33"/>
      <c r="KT7" s="34">
        <f>IF(AND(ISNUMBER(KU7),ISNUMBER(KS7)),KU7-KS7,"")</f>
        <v>0</v>
      </c>
      <c r="KU7" s="33"/>
      <c r="KV7" s="34">
        <f>IF(AND(ISNUMBER(KW7),ISNUMBER(KU7)),KW7-KU7,"")</f>
        <v>0</v>
      </c>
      <c r="KW7" s="33"/>
      <c r="KX7" s="34">
        <f>IF(AND(ISNUMBER(KY7),ISNUMBER(KW7)),KY7-KW7,"")</f>
        <v>0</v>
      </c>
      <c r="KY7" s="33"/>
      <c r="KZ7" s="34">
        <f>IF(AND(ISNUMBER(LA7),ISNUMBER(KY7)),LA7-KY7,"")</f>
        <v>0</v>
      </c>
      <c r="LA7" s="33"/>
      <c r="LB7" s="34">
        <f>IF(AND(ISNUMBER(LC7),ISNUMBER(LA7)),LC7-LA7,"")</f>
        <v>0</v>
      </c>
      <c r="LC7" s="33"/>
      <c r="LD7" s="34">
        <f>IF(AND(ISNUMBER(LE7),ISNUMBER(LC7)),LE7-LC7,"")</f>
        <v>0</v>
      </c>
      <c r="LE7" s="33"/>
      <c r="LF7" s="34">
        <f>IF(AND(ISNUMBER(LG7),ISNUMBER(LE7)),LG7-LE7,"")</f>
        <v>0</v>
      </c>
      <c r="LG7" s="33"/>
      <c r="LJ7" s="35" t="s">
        <v>1084</v>
      </c>
    </row>
    <row r="8" spans="1:322" hidden="1" outlineLevel="1">
      <c r="B8" s="23"/>
      <c r="D8" s="31" t="s">
        <v>721</v>
      </c>
      <c r="E8" s="32" t="s">
        <v>1054</v>
      </c>
      <c r="I8" s="33"/>
      <c r="J8" s="34">
        <f>IF(AND(ISNUMBER(K8),ISNUMBER(I8)),K8-I8,"")</f>
        <v>0</v>
      </c>
      <c r="K8" s="33"/>
      <c r="L8" s="34">
        <f>IF(AND(ISNUMBER(M8),ISNUMBER(K8)),M8-K8,"")</f>
        <v>0</v>
      </c>
      <c r="M8" s="33"/>
      <c r="N8" s="34">
        <f>IF(AND(ISNUMBER(O8),ISNUMBER(M8)),O8-M8,"")</f>
        <v>0</v>
      </c>
      <c r="O8" s="33"/>
      <c r="P8" s="34">
        <f>IF(AND(ISNUMBER(Q8),ISNUMBER(O8)),Q8-O8,"")</f>
        <v>0</v>
      </c>
      <c r="Q8" s="33"/>
      <c r="R8" s="34">
        <f>IF(AND(ISNUMBER(S8),ISNUMBER(Q8)),S8-Q8,"")</f>
        <v>0</v>
      </c>
      <c r="S8" s="33"/>
      <c r="T8" s="34">
        <f>IF(AND(ISNUMBER(U8),ISNUMBER(S8)),U8-S8,"")</f>
        <v>0</v>
      </c>
      <c r="U8" s="33"/>
      <c r="V8" s="34">
        <f>IF(AND(ISNUMBER(W8),ISNUMBER(U8)),W8-U8,"")</f>
        <v>0</v>
      </c>
      <c r="W8" s="33"/>
      <c r="X8" s="34">
        <f>IF(AND(ISNUMBER(Y8),ISNUMBER(W8)),Y8-W8,"")</f>
        <v>0</v>
      </c>
      <c r="Y8" s="33"/>
      <c r="Z8" s="34">
        <f>IF(AND(ISNUMBER(AA8),ISNUMBER(Y8)),AA8-Y8,"")</f>
        <v>0</v>
      </c>
      <c r="AA8" s="33"/>
      <c r="AB8" s="34">
        <f>IF(AND(ISNUMBER(AC8),ISNUMBER(AA8)),AC8-AA8,"")</f>
        <v>0</v>
      </c>
      <c r="AC8" s="33"/>
      <c r="AD8" s="34">
        <f>IF(AND(ISNUMBER(AE8),ISNUMBER(AC8)),AE8-AC8,"")</f>
        <v>0</v>
      </c>
      <c r="AE8" s="33"/>
      <c r="AF8" s="34">
        <f>IF(AND(ISNUMBER(AG8),ISNUMBER(AE8)),AG8-AE8,"")</f>
        <v>0</v>
      </c>
      <c r="AG8" s="33"/>
      <c r="AH8" s="34">
        <f>IF(AND(ISNUMBER(AI8),ISNUMBER(AG8)),AI8-AG8,"")</f>
        <v>0</v>
      </c>
      <c r="AI8" s="33"/>
      <c r="AJ8" s="34">
        <f>IF(AND(ISNUMBER(AK8),ISNUMBER(AI8)),AK8-AI8,"")</f>
        <v>0</v>
      </c>
      <c r="AK8" s="33"/>
      <c r="AL8" s="34">
        <f>IF(AND(ISNUMBER(AM8),ISNUMBER(AK8)),AM8-AK8,"")</f>
        <v>0</v>
      </c>
      <c r="AM8" s="33"/>
      <c r="AN8" s="34">
        <f>IF(AND(ISNUMBER(AO8),ISNUMBER(AM8)),AO8-AM8,"")</f>
        <v>0</v>
      </c>
      <c r="AO8" s="33"/>
      <c r="AP8" s="34">
        <f>IF(AND(ISNUMBER(AQ8),ISNUMBER(AO8)),AQ8-AO8,"")</f>
        <v>0</v>
      </c>
      <c r="AQ8" s="33"/>
      <c r="AR8" s="34">
        <f>IF(AND(ISNUMBER(AS8),ISNUMBER(AQ8)),AS8-AQ8,"")</f>
        <v>0</v>
      </c>
      <c r="AS8" s="33"/>
      <c r="AT8" s="34">
        <f>IF(AND(ISNUMBER(AU8),ISNUMBER(AS8)),AU8-AS8,"")</f>
        <v>0</v>
      </c>
      <c r="AU8" s="33"/>
      <c r="AV8" s="34">
        <f>IF(AND(ISNUMBER(AW8),ISNUMBER(AU8)),AW8-AU8,"")</f>
        <v>0</v>
      </c>
      <c r="AW8" s="33"/>
      <c r="AX8" s="34">
        <f>IF(AND(ISNUMBER(AY8),ISNUMBER(AW8)),AY8-AW8,"")</f>
        <v>0</v>
      </c>
      <c r="AY8" s="33"/>
      <c r="AZ8" s="34">
        <f>IF(AND(ISNUMBER(BA8),ISNUMBER(AY8)),BA8-AY8,"")</f>
        <v>0</v>
      </c>
      <c r="BA8" s="33"/>
      <c r="BB8" s="34">
        <f>IF(AND(ISNUMBER(BC8),ISNUMBER(BA8)),BC8-BA8,"")</f>
        <v>0</v>
      </c>
      <c r="BC8" s="33"/>
      <c r="BD8" s="34">
        <f>IF(AND(ISNUMBER(BE8),ISNUMBER(BC8)),BE8-BC8,"")</f>
        <v>0</v>
      </c>
      <c r="BE8" s="33"/>
      <c r="BF8" s="34">
        <f>IF(AND(ISNUMBER(BG8),ISNUMBER(BE8)),BG8-BE8,"")</f>
        <v>0</v>
      </c>
      <c r="BG8" s="33"/>
      <c r="BH8" s="34">
        <f>IF(AND(ISNUMBER(BI8),ISNUMBER(BG8)),BI8-BG8,"")</f>
        <v>0</v>
      </c>
      <c r="BI8" s="33"/>
      <c r="BJ8" s="34">
        <f>IF(AND(ISNUMBER(BK8),ISNUMBER(BI8)),BK8-BI8,"")</f>
        <v>0</v>
      </c>
      <c r="BK8" s="33"/>
      <c r="BL8" s="34">
        <f>IF(AND(ISNUMBER(BM8),ISNUMBER(BK8)),BM8-BK8,"")</f>
        <v>0</v>
      </c>
      <c r="BM8" s="33"/>
      <c r="BN8" s="34">
        <f>IF(AND(ISNUMBER(BO8),ISNUMBER(BM8)),BO8-BM8,"")</f>
        <v>0</v>
      </c>
      <c r="BO8" s="33"/>
      <c r="BP8" s="34">
        <f>IF(AND(ISNUMBER(BQ8),ISNUMBER(BO8)),BQ8-BO8,"")</f>
        <v>0</v>
      </c>
      <c r="BQ8" s="33"/>
      <c r="BR8" s="34">
        <f>IF(AND(ISNUMBER(BS8),ISNUMBER(BQ8)),BS8-BQ8,"")</f>
        <v>0</v>
      </c>
      <c r="BS8" s="33"/>
      <c r="BT8" s="34">
        <f>IF(AND(ISNUMBER(BU8),ISNUMBER(BS8)),BU8-BS8,"")</f>
        <v>0</v>
      </c>
      <c r="BU8" s="33"/>
      <c r="BV8" s="34">
        <f>IF(AND(ISNUMBER(BW8),ISNUMBER(BU8)),BW8-BU8,"")</f>
        <v>0</v>
      </c>
      <c r="BW8" s="33"/>
      <c r="BX8" s="34">
        <f>IF(AND(ISNUMBER(BY8),ISNUMBER(BW8)),BY8-BW8,"")</f>
        <v>0</v>
      </c>
      <c r="BY8" s="33">
        <v>5</v>
      </c>
      <c r="BZ8" s="34">
        <f>IF(AND(ISNUMBER(CA8),ISNUMBER(BY8)),CA8-BY8,"")</f>
        <v>0</v>
      </c>
      <c r="CA8" s="33">
        <v>34</v>
      </c>
      <c r="CB8" s="34">
        <f>IF(AND(ISNUMBER(CC8),ISNUMBER(CA8)),CC8-CA8,"")</f>
        <v>0</v>
      </c>
      <c r="CC8" s="33">
        <v>56</v>
      </c>
      <c r="CD8" s="34">
        <f>IF(AND(ISNUMBER(CE8),ISNUMBER(CC8)),CE8-CC8,"")</f>
        <v>0</v>
      </c>
      <c r="CE8" s="33">
        <v>100</v>
      </c>
      <c r="CF8" s="34">
        <f>IF(AND(ISNUMBER(CG8),ISNUMBER(CE8)),CG8-CE8,"")</f>
        <v>0</v>
      </c>
      <c r="CG8" s="33">
        <v>34</v>
      </c>
      <c r="CH8" s="34">
        <f>IF(AND(ISNUMBER(CI8),ISNUMBER(CG8)),CI8-CG8,"")</f>
        <v>0</v>
      </c>
      <c r="CI8" s="33">
        <v>34</v>
      </c>
      <c r="CJ8" s="34">
        <f>IF(AND(ISNUMBER(CK8),ISNUMBER(CI8)),CK8-CI8,"")</f>
        <v>0</v>
      </c>
      <c r="CK8" s="33">
        <v>143</v>
      </c>
      <c r="CL8" s="34">
        <f>IF(AND(ISNUMBER(CM8),ISNUMBER(CK8)),CM8-CK8,"")</f>
        <v>0</v>
      </c>
      <c r="CM8" s="33">
        <v>34</v>
      </c>
      <c r="CN8" s="34">
        <f>IF(AND(ISNUMBER(CO8),ISNUMBER(CM8)),CO8-CM8,"")</f>
        <v>0</v>
      </c>
      <c r="CO8" s="33">
        <v>34</v>
      </c>
      <c r="CP8" s="34">
        <f>IF(AND(ISNUMBER(CQ8),ISNUMBER(CO8)),CQ8-CO8,"")</f>
        <v>0</v>
      </c>
      <c r="CQ8" s="33">
        <v>4</v>
      </c>
      <c r="CR8" s="34">
        <f>IF(AND(ISNUMBER(CS8),ISNUMBER(CQ8)),CS8-CQ8,"")</f>
        <v>0</v>
      </c>
      <c r="CS8" s="33">
        <v>45</v>
      </c>
      <c r="CT8" s="34">
        <f>IF(AND(ISNUMBER(CU8),ISNUMBER(CS8)),CU8-CS8,"")</f>
        <v>0</v>
      </c>
      <c r="CU8" s="33">
        <v>12</v>
      </c>
      <c r="CV8" s="34">
        <f>IF(AND(ISNUMBER(CW8),ISNUMBER(CU8)),CW8-CU8,"")</f>
        <v>0</v>
      </c>
      <c r="CW8" s="33">
        <v>34</v>
      </c>
      <c r="CX8" s="34">
        <f>IF(AND(ISNUMBER(CY8),ISNUMBER(CW8)),CY8-CW8,"")</f>
        <v>0</v>
      </c>
      <c r="CY8" s="33">
        <v>45</v>
      </c>
      <c r="CZ8" s="34">
        <f>IF(AND(ISNUMBER(DA8),ISNUMBER(CY8)),DA8-CY8,"")</f>
        <v>0</v>
      </c>
      <c r="DA8" s="33"/>
      <c r="DB8" s="34">
        <f>IF(AND(ISNUMBER(DC8),ISNUMBER(DA8)),DC8-DA8,"")</f>
        <v>0</v>
      </c>
      <c r="DC8" s="33"/>
      <c r="DD8" s="34">
        <f>IF(AND(ISNUMBER(DE8),ISNUMBER(DC8)),DE8-DC8,"")</f>
        <v>0</v>
      </c>
      <c r="DE8" s="33"/>
      <c r="DF8" s="34">
        <f>IF(AND(ISNUMBER(DG8),ISNUMBER(DE8)),DG8-DE8,"")</f>
        <v>0</v>
      </c>
      <c r="DG8" s="33"/>
      <c r="DH8" s="34">
        <f>IF(AND(ISNUMBER(DI8),ISNUMBER(DG8)),DI8-DG8,"")</f>
        <v>0</v>
      </c>
      <c r="DI8" s="33"/>
      <c r="DJ8" s="34">
        <f>IF(AND(ISNUMBER(DK8),ISNUMBER(DI8)),DK8-DI8,"")</f>
        <v>0</v>
      </c>
      <c r="DK8" s="33"/>
      <c r="DL8" s="34">
        <f>IF(AND(ISNUMBER(DM8),ISNUMBER(DK8)),DM8-DK8,"")</f>
        <v>0</v>
      </c>
      <c r="DM8" s="33"/>
      <c r="DN8" s="34">
        <f>IF(AND(ISNUMBER(DO8),ISNUMBER(DM8)),DO8-DM8,"")</f>
        <v>0</v>
      </c>
      <c r="DO8" s="33"/>
      <c r="DP8" s="34">
        <f>IF(AND(ISNUMBER(DQ8),ISNUMBER(DO8)),DQ8-DO8,"")</f>
        <v>0</v>
      </c>
      <c r="DQ8" s="33"/>
      <c r="DR8" s="34">
        <f>IF(AND(ISNUMBER(DS8),ISNUMBER(DQ8)),DS8-DQ8,"")</f>
        <v>0</v>
      </c>
      <c r="DS8" s="33"/>
      <c r="DT8" s="34">
        <f>IF(AND(ISNUMBER(DU8),ISNUMBER(DS8)),DU8-DS8,"")</f>
        <v>0</v>
      </c>
      <c r="DU8" s="33"/>
      <c r="DV8" s="34">
        <f>IF(AND(ISNUMBER(DW8),ISNUMBER(DU8)),DW8-DU8,"")</f>
        <v>0</v>
      </c>
      <c r="DW8" s="33"/>
      <c r="DX8" s="34">
        <f>IF(AND(ISNUMBER(DY8),ISNUMBER(DW8)),DY8-DW8,"")</f>
        <v>0</v>
      </c>
      <c r="DY8" s="33"/>
      <c r="DZ8" s="34">
        <f>IF(AND(ISNUMBER(EA8),ISNUMBER(DY8)),EA8-DY8,"")</f>
        <v>0</v>
      </c>
      <c r="EA8" s="33"/>
      <c r="EB8" s="34">
        <f>IF(AND(ISNUMBER(EC8),ISNUMBER(EA8)),EC8-EA8,"")</f>
        <v>0</v>
      </c>
      <c r="EC8" s="33"/>
      <c r="ED8" s="34">
        <f>IF(AND(ISNUMBER(EE8),ISNUMBER(EC8)),EE8-EC8,"")</f>
        <v>0</v>
      </c>
      <c r="EE8" s="33"/>
      <c r="EF8" s="34">
        <f>IF(AND(ISNUMBER(EG8),ISNUMBER(EE8)),EG8-EE8,"")</f>
        <v>0</v>
      </c>
      <c r="EG8" s="33"/>
      <c r="EH8" s="34">
        <f>IF(AND(ISNUMBER(EI8),ISNUMBER(EG8)),EI8-EG8,"")</f>
        <v>0</v>
      </c>
      <c r="EI8" s="33"/>
      <c r="EJ8" s="34">
        <f>IF(AND(ISNUMBER(EK8),ISNUMBER(EI8)),EK8-EI8,"")</f>
        <v>0</v>
      </c>
      <c r="EK8" s="33"/>
      <c r="EL8" s="34">
        <f>IF(AND(ISNUMBER(EM8),ISNUMBER(EK8)),EM8-EK8,"")</f>
        <v>0</v>
      </c>
      <c r="EM8" s="33"/>
      <c r="EN8" s="34">
        <f>IF(AND(ISNUMBER(EO8),ISNUMBER(EM8)),EO8-EM8,"")</f>
        <v>0</v>
      </c>
      <c r="EO8" s="33"/>
      <c r="EP8" s="34">
        <f>IF(AND(ISNUMBER(EQ8),ISNUMBER(EO8)),EQ8-EO8,"")</f>
        <v>0</v>
      </c>
      <c r="EQ8" s="33"/>
      <c r="ER8" s="34">
        <f>IF(AND(ISNUMBER(ES8),ISNUMBER(EQ8)),ES8-EQ8,"")</f>
        <v>0</v>
      </c>
      <c r="ES8" s="33"/>
      <c r="ET8" s="34">
        <f>IF(AND(ISNUMBER(EU8),ISNUMBER(ES8)),EU8-ES8,"")</f>
        <v>0</v>
      </c>
      <c r="EU8" s="33"/>
      <c r="EV8" s="34">
        <f>IF(AND(ISNUMBER(EW8),ISNUMBER(EU8)),EW8-EU8,"")</f>
        <v>0</v>
      </c>
      <c r="EW8" s="33"/>
      <c r="EX8" s="34">
        <f>IF(AND(ISNUMBER(EY8),ISNUMBER(EW8)),EY8-EW8,"")</f>
        <v>0</v>
      </c>
      <c r="EY8" s="33"/>
      <c r="EZ8" s="34">
        <f>IF(AND(ISNUMBER(FA8),ISNUMBER(EY8)),FA8-EY8,"")</f>
        <v>0</v>
      </c>
      <c r="FA8" s="33"/>
      <c r="FB8" s="34">
        <f>IF(AND(ISNUMBER(FC8),ISNUMBER(FA8)),FC8-FA8,"")</f>
        <v>0</v>
      </c>
      <c r="FC8" s="33"/>
      <c r="FD8" s="34">
        <f>IF(AND(ISNUMBER(FE8),ISNUMBER(FC8)),FE8-FC8,"")</f>
        <v>0</v>
      </c>
      <c r="FE8" s="33"/>
      <c r="FF8" s="34">
        <f>IF(AND(ISNUMBER(FG8),ISNUMBER(FE8)),FG8-FE8,"")</f>
        <v>0</v>
      </c>
      <c r="FG8" s="33"/>
      <c r="FH8" s="34">
        <f>IF(AND(ISNUMBER(FI8),ISNUMBER(FG8)),FI8-FG8,"")</f>
        <v>0</v>
      </c>
      <c r="FI8" s="33"/>
      <c r="FJ8" s="34">
        <f>IF(AND(ISNUMBER(FK8),ISNUMBER(FI8)),FK8-FI8,"")</f>
        <v>0</v>
      </c>
      <c r="FK8" s="33"/>
      <c r="FL8" s="34">
        <f>IF(AND(ISNUMBER(FM8),ISNUMBER(FK8)),FM8-FK8,"")</f>
        <v>0</v>
      </c>
      <c r="FM8" s="33"/>
      <c r="FN8" s="34">
        <f>IF(AND(ISNUMBER(FO8),ISNUMBER(FM8)),FO8-FM8,"")</f>
        <v>0</v>
      </c>
      <c r="FO8" s="33"/>
      <c r="FP8" s="34">
        <f>IF(AND(ISNUMBER(FQ8),ISNUMBER(FO8)),FQ8-FO8,"")</f>
        <v>0</v>
      </c>
      <c r="FQ8" s="33"/>
      <c r="FR8" s="34">
        <f>IF(AND(ISNUMBER(FS8),ISNUMBER(FQ8)),FS8-FQ8,"")</f>
        <v>0</v>
      </c>
      <c r="FS8" s="33"/>
      <c r="FT8" s="34">
        <f>IF(AND(ISNUMBER(FU8),ISNUMBER(FS8)),FU8-FS8,"")</f>
        <v>0</v>
      </c>
      <c r="FU8" s="33"/>
      <c r="FV8" s="34">
        <f>IF(AND(ISNUMBER(FW8),ISNUMBER(FU8)),FW8-FU8,"")</f>
        <v>0</v>
      </c>
      <c r="FW8" s="33"/>
      <c r="FX8" s="34">
        <f>IF(AND(ISNUMBER(FY8),ISNUMBER(FW8)),FY8-FW8,"")</f>
        <v>0</v>
      </c>
      <c r="FY8" s="33"/>
      <c r="FZ8" s="34">
        <f>IF(AND(ISNUMBER(GA8),ISNUMBER(FY8)),GA8-FY8,"")</f>
        <v>0</v>
      </c>
      <c r="GA8" s="33"/>
      <c r="GB8" s="34">
        <f>IF(AND(ISNUMBER(GC8),ISNUMBER(GA8)),GC8-GA8,"")</f>
        <v>0</v>
      </c>
      <c r="GC8" s="33"/>
      <c r="GD8" s="34">
        <f>IF(AND(ISNUMBER(GE8),ISNUMBER(GC8)),GE8-GC8,"")</f>
        <v>0</v>
      </c>
      <c r="GE8" s="33"/>
      <c r="GF8" s="34">
        <f>IF(AND(ISNUMBER(GG8),ISNUMBER(GE8)),GG8-GE8,"")</f>
        <v>0</v>
      </c>
      <c r="GG8" s="33"/>
      <c r="GH8" s="34">
        <f>IF(AND(ISNUMBER(GI8),ISNUMBER(GG8)),GI8-GG8,"")</f>
        <v>0</v>
      </c>
      <c r="GI8" s="33"/>
      <c r="GJ8" s="34">
        <f>IF(AND(ISNUMBER(GK8),ISNUMBER(GI8)),GK8-GI8,"")</f>
        <v>0</v>
      </c>
      <c r="GK8" s="33"/>
      <c r="GL8" s="34">
        <f>IF(AND(ISNUMBER(GM8),ISNUMBER(GK8)),GM8-GK8,"")</f>
        <v>0</v>
      </c>
      <c r="GM8" s="33"/>
      <c r="GN8" s="34">
        <f>IF(AND(ISNUMBER(GO8),ISNUMBER(GM8)),GO8-GM8,"")</f>
        <v>0</v>
      </c>
      <c r="GO8" s="33"/>
      <c r="GP8" s="34">
        <f>IF(AND(ISNUMBER(GQ8),ISNUMBER(GO8)),GQ8-GO8,"")</f>
        <v>0</v>
      </c>
      <c r="GQ8" s="33"/>
      <c r="GR8" s="34">
        <f>IF(AND(ISNUMBER(GS8),ISNUMBER(GQ8)),GS8-GQ8,"")</f>
        <v>0</v>
      </c>
      <c r="GS8" s="33"/>
      <c r="GT8" s="34">
        <f>IF(AND(ISNUMBER(GU8),ISNUMBER(GS8)),GU8-GS8,"")</f>
        <v>0</v>
      </c>
      <c r="GU8" s="33"/>
      <c r="GV8" s="34">
        <f>IF(AND(ISNUMBER(GW8),ISNUMBER(GU8)),GW8-GU8,"")</f>
        <v>0</v>
      </c>
      <c r="GW8" s="33"/>
      <c r="GX8" s="34">
        <f>IF(AND(ISNUMBER(GY8),ISNUMBER(GW8)),GY8-GW8,"")</f>
        <v>0</v>
      </c>
      <c r="GY8" s="33"/>
      <c r="GZ8" s="34">
        <f>IF(AND(ISNUMBER(HA8),ISNUMBER(GY8)),HA8-GY8,"")</f>
        <v>0</v>
      </c>
      <c r="HA8" s="33"/>
      <c r="HB8" s="34">
        <f>IF(AND(ISNUMBER(HC8),ISNUMBER(HA8)),HC8-HA8,"")</f>
        <v>0</v>
      </c>
      <c r="HC8" s="33"/>
      <c r="HD8" s="34">
        <f>IF(AND(ISNUMBER(HE8),ISNUMBER(HC8)),HE8-HC8,"")</f>
        <v>0</v>
      </c>
      <c r="HE8" s="33"/>
      <c r="HF8" s="34">
        <f>IF(AND(ISNUMBER(HG8),ISNUMBER(HE8)),HG8-HE8,"")</f>
        <v>0</v>
      </c>
      <c r="HG8" s="33"/>
      <c r="HH8" s="34">
        <f>IF(AND(ISNUMBER(HI8),ISNUMBER(HG8)),HI8-HG8,"")</f>
        <v>0</v>
      </c>
      <c r="HI8" s="33"/>
      <c r="HJ8" s="34">
        <f>IF(AND(ISNUMBER(HK8),ISNUMBER(HI8)),HK8-HI8,"")</f>
        <v>0</v>
      </c>
      <c r="HK8" s="33"/>
      <c r="HL8" s="34">
        <f>IF(AND(ISNUMBER(HM8),ISNUMBER(HK8)),HM8-HK8,"")</f>
        <v>0</v>
      </c>
      <c r="HM8" s="33"/>
      <c r="HN8" s="34">
        <f>IF(AND(ISNUMBER(HO8),ISNUMBER(HM8)),HO8-HM8,"")</f>
        <v>0</v>
      </c>
      <c r="HO8" s="33"/>
      <c r="HP8" s="34">
        <f>IF(AND(ISNUMBER(HQ8),ISNUMBER(HO8)),HQ8-HO8,"")</f>
        <v>0</v>
      </c>
      <c r="HQ8" s="33"/>
      <c r="HR8" s="34">
        <f>IF(AND(ISNUMBER(HS8),ISNUMBER(HQ8)),HS8-HQ8,"")</f>
        <v>0</v>
      </c>
      <c r="HS8" s="33"/>
      <c r="HT8" s="34">
        <f>IF(AND(ISNUMBER(HU8),ISNUMBER(HS8)),HU8-HS8,"")</f>
        <v>0</v>
      </c>
      <c r="HU8" s="33"/>
      <c r="HV8" s="34">
        <f>IF(AND(ISNUMBER(HW8),ISNUMBER(HU8)),HW8-HU8,"")</f>
        <v>0</v>
      </c>
      <c r="HW8" s="33"/>
      <c r="HX8" s="34">
        <f>IF(AND(ISNUMBER(HY8),ISNUMBER(HW8)),HY8-HW8,"")</f>
        <v>0</v>
      </c>
      <c r="HY8" s="33"/>
      <c r="HZ8" s="34">
        <f>IF(AND(ISNUMBER(IA8),ISNUMBER(HY8)),IA8-HY8,"")</f>
        <v>0</v>
      </c>
      <c r="IA8" s="33"/>
      <c r="IB8" s="34">
        <f>IF(AND(ISNUMBER(IC8),ISNUMBER(IA8)),IC8-IA8,"")</f>
        <v>0</v>
      </c>
      <c r="IC8" s="33"/>
      <c r="ID8" s="34">
        <f>IF(AND(ISNUMBER(IE8),ISNUMBER(IC8)),IE8-IC8,"")</f>
        <v>0</v>
      </c>
      <c r="IE8" s="33"/>
      <c r="IF8" s="34">
        <f>IF(AND(ISNUMBER(IG8),ISNUMBER(IE8)),IG8-IE8,"")</f>
        <v>0</v>
      </c>
      <c r="IG8" s="33"/>
      <c r="IH8" s="34">
        <f>IF(AND(ISNUMBER(II8),ISNUMBER(IG8)),II8-IG8,"")</f>
        <v>0</v>
      </c>
      <c r="II8" s="33"/>
      <c r="IJ8" s="34">
        <f>IF(AND(ISNUMBER(IK8),ISNUMBER(II8)),IK8-II8,"")</f>
        <v>0</v>
      </c>
      <c r="IK8" s="33"/>
      <c r="IL8" s="34">
        <f>IF(AND(ISNUMBER(IM8),ISNUMBER(IK8)),IM8-IK8,"")</f>
        <v>0</v>
      </c>
      <c r="IM8" s="33"/>
      <c r="IN8" s="34">
        <f>IF(AND(ISNUMBER(IO8),ISNUMBER(IM8)),IO8-IM8,"")</f>
        <v>0</v>
      </c>
      <c r="IO8" s="33"/>
      <c r="IP8" s="34">
        <f>IF(AND(ISNUMBER(IQ8),ISNUMBER(IO8)),IQ8-IO8,"")</f>
        <v>0</v>
      </c>
      <c r="IQ8" s="33"/>
      <c r="IR8" s="34">
        <f>IF(AND(ISNUMBER(IS8),ISNUMBER(IQ8)),IS8-IQ8,"")</f>
        <v>0</v>
      </c>
      <c r="IS8" s="33"/>
      <c r="IT8" s="34">
        <f>IF(AND(ISNUMBER(IU8),ISNUMBER(IS8)),IU8-IS8,"")</f>
        <v>0</v>
      </c>
      <c r="IU8" s="33"/>
      <c r="IV8" s="34">
        <f>IF(AND(ISNUMBER(IW8),ISNUMBER(IU8)),IW8-IU8,"")</f>
        <v>0</v>
      </c>
      <c r="IW8" s="33"/>
      <c r="IX8" s="34">
        <f>IF(AND(ISNUMBER(IY8),ISNUMBER(IW8)),IY8-IW8,"")</f>
        <v>0</v>
      </c>
      <c r="IY8" s="33"/>
      <c r="IZ8" s="34">
        <f>IF(AND(ISNUMBER(JA8),ISNUMBER(IY8)),JA8-IY8,"")</f>
        <v>0</v>
      </c>
      <c r="JA8" s="33"/>
      <c r="JB8" s="34">
        <f>IF(AND(ISNUMBER(JC8),ISNUMBER(JA8)),JC8-JA8,"")</f>
        <v>0</v>
      </c>
      <c r="JC8" s="33"/>
      <c r="JD8" s="34">
        <f>IF(AND(ISNUMBER(JE8),ISNUMBER(JC8)),JE8-JC8,"")</f>
        <v>0</v>
      </c>
      <c r="JE8" s="33"/>
      <c r="JF8" s="34">
        <f>IF(AND(ISNUMBER(JG8),ISNUMBER(JE8)),JG8-JE8,"")</f>
        <v>0</v>
      </c>
      <c r="JG8" s="33"/>
      <c r="JH8" s="34">
        <f>IF(AND(ISNUMBER(JI8),ISNUMBER(JG8)),JI8-JG8,"")</f>
        <v>0</v>
      </c>
      <c r="JI8" s="33"/>
      <c r="JJ8" s="34">
        <f>IF(AND(ISNUMBER(JK8),ISNUMBER(JI8)),JK8-JI8,"")</f>
        <v>0</v>
      </c>
      <c r="JK8" s="33"/>
      <c r="JL8" s="34">
        <f>IF(AND(ISNUMBER(JM8),ISNUMBER(JK8)),JM8-JK8,"")</f>
        <v>0</v>
      </c>
      <c r="JM8" s="33"/>
      <c r="JN8" s="34">
        <f>IF(AND(ISNUMBER(JO8),ISNUMBER(JM8)),JO8-JM8,"")</f>
        <v>0</v>
      </c>
      <c r="JO8" s="33"/>
      <c r="JP8" s="34">
        <f>IF(AND(ISNUMBER(JQ8),ISNUMBER(JO8)),JQ8-JO8,"")</f>
        <v>0</v>
      </c>
      <c r="JQ8" s="33"/>
      <c r="JR8" s="34">
        <f>IF(AND(ISNUMBER(JS8),ISNUMBER(JQ8)),JS8-JQ8,"")</f>
        <v>0</v>
      </c>
      <c r="JS8" s="33"/>
      <c r="JT8" s="34">
        <f>IF(AND(ISNUMBER(JU8),ISNUMBER(JS8)),JU8-JS8,"")</f>
        <v>0</v>
      </c>
      <c r="JU8" s="33"/>
      <c r="JV8" s="34">
        <f>IF(AND(ISNUMBER(JW8),ISNUMBER(JU8)),JW8-JU8,"")</f>
        <v>0</v>
      </c>
      <c r="JW8" s="33"/>
      <c r="JX8" s="34">
        <f>IF(AND(ISNUMBER(JY8),ISNUMBER(JW8)),JY8-JW8,"")</f>
        <v>0</v>
      </c>
      <c r="JY8" s="33"/>
      <c r="JZ8" s="34">
        <f>IF(AND(ISNUMBER(KA8),ISNUMBER(JY8)),KA8-JY8,"")</f>
        <v>0</v>
      </c>
      <c r="KA8" s="33"/>
      <c r="KB8" s="34">
        <f>IF(AND(ISNUMBER(KC8),ISNUMBER(KA8)),KC8-KA8,"")</f>
        <v>0</v>
      </c>
      <c r="KC8" s="33"/>
      <c r="KD8" s="34">
        <f>IF(AND(ISNUMBER(KE8),ISNUMBER(KC8)),KE8-KC8,"")</f>
        <v>0</v>
      </c>
      <c r="KE8" s="33"/>
      <c r="KF8" s="34">
        <f>IF(AND(ISNUMBER(KG8),ISNUMBER(KE8)),KG8-KE8,"")</f>
        <v>0</v>
      </c>
      <c r="KG8" s="33"/>
      <c r="KH8" s="34">
        <f>IF(AND(ISNUMBER(KI8),ISNUMBER(KG8)),KI8-KG8,"")</f>
        <v>0</v>
      </c>
      <c r="KI8" s="33"/>
      <c r="KJ8" s="34">
        <f>IF(AND(ISNUMBER(KK8),ISNUMBER(KI8)),KK8-KI8,"")</f>
        <v>0</v>
      </c>
      <c r="KK8" s="33"/>
      <c r="KL8" s="34">
        <f>IF(AND(ISNUMBER(KM8),ISNUMBER(KK8)),KM8-KK8,"")</f>
        <v>0</v>
      </c>
      <c r="KM8" s="33"/>
      <c r="KN8" s="34">
        <f>IF(AND(ISNUMBER(KO8),ISNUMBER(KM8)),KO8-KM8,"")</f>
        <v>0</v>
      </c>
      <c r="KO8" s="33"/>
      <c r="KP8" s="34">
        <f>IF(AND(ISNUMBER(KQ8),ISNUMBER(KO8)),KQ8-KO8,"")</f>
        <v>0</v>
      </c>
      <c r="KQ8" s="33"/>
      <c r="KR8" s="34">
        <f>IF(AND(ISNUMBER(KS8),ISNUMBER(KQ8)),KS8-KQ8,"")</f>
        <v>0</v>
      </c>
      <c r="KS8" s="33"/>
      <c r="KT8" s="34">
        <f>IF(AND(ISNUMBER(KU8),ISNUMBER(KS8)),KU8-KS8,"")</f>
        <v>0</v>
      </c>
      <c r="KU8" s="33"/>
      <c r="KV8" s="34">
        <f>IF(AND(ISNUMBER(KW8),ISNUMBER(KU8)),KW8-KU8,"")</f>
        <v>0</v>
      </c>
      <c r="KW8" s="33"/>
      <c r="KX8" s="34">
        <f>IF(AND(ISNUMBER(KY8),ISNUMBER(KW8)),KY8-KW8,"")</f>
        <v>0</v>
      </c>
      <c r="KY8" s="33"/>
      <c r="KZ8" s="34">
        <f>IF(AND(ISNUMBER(LA8),ISNUMBER(KY8)),LA8-KY8,"")</f>
        <v>0</v>
      </c>
      <c r="LA8" s="33"/>
      <c r="LB8" s="34">
        <f>IF(AND(ISNUMBER(LC8),ISNUMBER(LA8)),LC8-LA8,"")</f>
        <v>0</v>
      </c>
      <c r="LC8" s="33"/>
      <c r="LD8" s="34">
        <f>IF(AND(ISNUMBER(LE8),ISNUMBER(LC8)),LE8-LC8,"")</f>
        <v>0</v>
      </c>
      <c r="LE8" s="33"/>
      <c r="LF8" s="34">
        <f>IF(AND(ISNUMBER(LG8),ISNUMBER(LE8)),LG8-LE8,"")</f>
        <v>0</v>
      </c>
      <c r="LG8" s="33"/>
    </row>
    <row r="9" spans="1:322" hidden="1" outlineLevel="1">
      <c r="B9" s="23"/>
      <c r="D9" s="31" t="s">
        <v>723</v>
      </c>
      <c r="E9" s="32" t="s">
        <v>1052</v>
      </c>
      <c r="I9" s="33"/>
      <c r="J9" s="34">
        <f>IF(AND(ISNUMBER(K9),ISNUMBER(I9)),K9-I9,"")</f>
        <v>0</v>
      </c>
      <c r="K9" s="33"/>
      <c r="L9" s="34">
        <f>IF(AND(ISNUMBER(M9),ISNUMBER(K9)),M9-K9,"")</f>
        <v>0</v>
      </c>
      <c r="M9" s="33"/>
      <c r="N9" s="34">
        <f>IF(AND(ISNUMBER(O9),ISNUMBER(M9)),O9-M9,"")</f>
        <v>0</v>
      </c>
      <c r="O9" s="33"/>
      <c r="P9" s="34">
        <f>IF(AND(ISNUMBER(Q9),ISNUMBER(O9)),Q9-O9,"")</f>
        <v>0</v>
      </c>
      <c r="Q9" s="33"/>
      <c r="R9" s="34">
        <f>IF(AND(ISNUMBER(S9),ISNUMBER(Q9)),S9-Q9,"")</f>
        <v>0</v>
      </c>
      <c r="S9" s="33"/>
      <c r="T9" s="34">
        <f>IF(AND(ISNUMBER(U9),ISNUMBER(S9)),U9-S9,"")</f>
        <v>0</v>
      </c>
      <c r="U9" s="33"/>
      <c r="V9" s="34">
        <f>IF(AND(ISNUMBER(W9),ISNUMBER(U9)),W9-U9,"")</f>
        <v>0</v>
      </c>
      <c r="W9" s="33"/>
      <c r="X9" s="34">
        <f>IF(AND(ISNUMBER(Y9),ISNUMBER(W9)),Y9-W9,"")</f>
        <v>0</v>
      </c>
      <c r="Y9" s="33"/>
      <c r="Z9" s="34">
        <f>IF(AND(ISNUMBER(AA9),ISNUMBER(Y9)),AA9-Y9,"")</f>
        <v>0</v>
      </c>
      <c r="AA9" s="33"/>
      <c r="AB9" s="34">
        <f>IF(AND(ISNUMBER(AC9),ISNUMBER(AA9)),AC9-AA9,"")</f>
        <v>0</v>
      </c>
      <c r="AC9" s="33"/>
      <c r="AD9" s="34">
        <f>IF(AND(ISNUMBER(AE9),ISNUMBER(AC9)),AE9-AC9,"")</f>
        <v>0</v>
      </c>
      <c r="AE9" s="33"/>
      <c r="AF9" s="34">
        <f>IF(AND(ISNUMBER(AG9),ISNUMBER(AE9)),AG9-AE9,"")</f>
        <v>0</v>
      </c>
      <c r="AG9" s="33"/>
      <c r="AH9" s="34">
        <f>IF(AND(ISNUMBER(AI9),ISNUMBER(AG9)),AI9-AG9,"")</f>
        <v>0</v>
      </c>
      <c r="AI9" s="33"/>
      <c r="AJ9" s="34">
        <f>IF(AND(ISNUMBER(AK9),ISNUMBER(AI9)),AK9-AI9,"")</f>
        <v>0</v>
      </c>
      <c r="AK9" s="33"/>
      <c r="AL9" s="34">
        <f>IF(AND(ISNUMBER(AM9),ISNUMBER(AK9)),AM9-AK9,"")</f>
        <v>0</v>
      </c>
      <c r="AM9" s="33"/>
      <c r="AN9" s="34">
        <f>IF(AND(ISNUMBER(AO9),ISNUMBER(AM9)),AO9-AM9,"")</f>
        <v>0</v>
      </c>
      <c r="AO9" s="33"/>
      <c r="AP9" s="34">
        <f>IF(AND(ISNUMBER(AQ9),ISNUMBER(AO9)),AQ9-AO9,"")</f>
        <v>0</v>
      </c>
      <c r="AQ9" s="33"/>
      <c r="AR9" s="34">
        <f>IF(AND(ISNUMBER(AS9),ISNUMBER(AQ9)),AS9-AQ9,"")</f>
        <v>0</v>
      </c>
      <c r="AS9" s="33"/>
      <c r="AT9" s="34">
        <f>IF(AND(ISNUMBER(AU9),ISNUMBER(AS9)),AU9-AS9,"")</f>
        <v>0</v>
      </c>
      <c r="AU9" s="33"/>
      <c r="AV9" s="34">
        <f>IF(AND(ISNUMBER(AW9),ISNUMBER(AU9)),AW9-AU9,"")</f>
        <v>0</v>
      </c>
      <c r="AW9" s="33"/>
      <c r="AX9" s="34">
        <f>IF(AND(ISNUMBER(AY9),ISNUMBER(AW9)),AY9-AW9,"")</f>
        <v>0</v>
      </c>
      <c r="AY9" s="33"/>
      <c r="AZ9" s="34">
        <f>IF(AND(ISNUMBER(BA9),ISNUMBER(AY9)),BA9-AY9,"")</f>
        <v>0</v>
      </c>
      <c r="BA9" s="33"/>
      <c r="BB9" s="34">
        <f>IF(AND(ISNUMBER(BC9),ISNUMBER(BA9)),BC9-BA9,"")</f>
        <v>0</v>
      </c>
      <c r="BC9" s="33"/>
      <c r="BD9" s="34">
        <f>IF(AND(ISNUMBER(BE9),ISNUMBER(BC9)),BE9-BC9,"")</f>
        <v>0</v>
      </c>
      <c r="BE9" s="33"/>
      <c r="BF9" s="34">
        <f>IF(AND(ISNUMBER(BG9),ISNUMBER(BE9)),BG9-BE9,"")</f>
        <v>0</v>
      </c>
      <c r="BG9" s="33"/>
      <c r="BH9" s="34">
        <f>IF(AND(ISNUMBER(BI9),ISNUMBER(BG9)),BI9-BG9,"")</f>
        <v>0</v>
      </c>
      <c r="BI9" s="33"/>
      <c r="BJ9" s="34">
        <f>IF(AND(ISNUMBER(BK9),ISNUMBER(BI9)),BK9-BI9,"")</f>
        <v>0</v>
      </c>
      <c r="BK9" s="33"/>
      <c r="BL9" s="34">
        <f>IF(AND(ISNUMBER(BM9),ISNUMBER(BK9)),BM9-BK9,"")</f>
        <v>0</v>
      </c>
      <c r="BM9" s="33"/>
      <c r="BN9" s="34">
        <f>IF(AND(ISNUMBER(BO9),ISNUMBER(BM9)),BO9-BM9,"")</f>
        <v>0</v>
      </c>
      <c r="BO9" s="33"/>
      <c r="BP9" s="34">
        <f>IF(AND(ISNUMBER(BQ9),ISNUMBER(BO9)),BQ9-BO9,"")</f>
        <v>0</v>
      </c>
      <c r="BQ9" s="33"/>
      <c r="BR9" s="34">
        <f>IF(AND(ISNUMBER(BS9),ISNUMBER(BQ9)),BS9-BQ9,"")</f>
        <v>0</v>
      </c>
      <c r="BS9" s="33"/>
      <c r="BT9" s="34">
        <f>IF(AND(ISNUMBER(BU9),ISNUMBER(BS9)),BU9-BS9,"")</f>
        <v>0</v>
      </c>
      <c r="BU9" s="33"/>
      <c r="BV9" s="34">
        <f>IF(AND(ISNUMBER(BW9),ISNUMBER(BU9)),BW9-BU9,"")</f>
        <v>0</v>
      </c>
      <c r="BW9" s="33"/>
      <c r="BX9" s="34">
        <f>IF(AND(ISNUMBER(BY9),ISNUMBER(BW9)),BY9-BW9,"")</f>
        <v>0</v>
      </c>
      <c r="BY9" s="33">
        <v>3</v>
      </c>
      <c r="BZ9" s="34">
        <f>IF(AND(ISNUMBER(CA9),ISNUMBER(BY9)),CA9-BY9,"")</f>
        <v>0</v>
      </c>
      <c r="CA9" s="33">
        <v>23</v>
      </c>
      <c r="CB9" s="34">
        <f>IF(AND(ISNUMBER(CC9),ISNUMBER(CA9)),CC9-CA9,"")</f>
        <v>0</v>
      </c>
      <c r="CC9" s="33">
        <v>5</v>
      </c>
      <c r="CD9" s="34">
        <f>IF(AND(ISNUMBER(CE9),ISNUMBER(CC9)),CE9-CC9,"")</f>
        <v>0</v>
      </c>
      <c r="CE9" s="33">
        <v>100</v>
      </c>
      <c r="CF9" s="34">
        <f>IF(AND(ISNUMBER(CG9),ISNUMBER(CE9)),CG9-CE9,"")</f>
        <v>0</v>
      </c>
      <c r="CG9" s="33">
        <v>65</v>
      </c>
      <c r="CH9" s="34">
        <f>IF(AND(ISNUMBER(CI9),ISNUMBER(CG9)),CI9-CG9,"")</f>
        <v>0</v>
      </c>
      <c r="CI9" s="33">
        <v>65</v>
      </c>
      <c r="CJ9" s="34">
        <f>IF(AND(ISNUMBER(CK9),ISNUMBER(CI9)),CK9-CI9,"")</f>
        <v>0</v>
      </c>
      <c r="CK9" s="33">
        <v>23</v>
      </c>
      <c r="CL9" s="34">
        <f>IF(AND(ISNUMBER(CM9),ISNUMBER(CK9)),CM9-CK9,"")</f>
        <v>0</v>
      </c>
      <c r="CM9" s="33">
        <v>65</v>
      </c>
      <c r="CN9" s="34">
        <f>IF(AND(ISNUMBER(CO9),ISNUMBER(CM9)),CO9-CM9,"")</f>
        <v>0</v>
      </c>
      <c r="CO9" s="33">
        <v>65</v>
      </c>
      <c r="CP9" s="34">
        <f>IF(AND(ISNUMBER(CQ9),ISNUMBER(CO9)),CQ9-CO9,"")</f>
        <v>0</v>
      </c>
      <c r="CQ9" s="33">
        <v>8</v>
      </c>
      <c r="CR9" s="34">
        <f>IF(AND(ISNUMBER(CS9),ISNUMBER(CQ9)),CS9-CQ9,"")</f>
        <v>0</v>
      </c>
      <c r="CS9" s="33">
        <v>34</v>
      </c>
      <c r="CT9" s="34">
        <f>IF(AND(ISNUMBER(CU9),ISNUMBER(CS9)),CU9-CS9,"")</f>
        <v>0</v>
      </c>
      <c r="CU9" s="33">
        <v>54</v>
      </c>
      <c r="CV9" s="34">
        <f>IF(AND(ISNUMBER(CW9),ISNUMBER(CU9)),CW9-CU9,"")</f>
        <v>0</v>
      </c>
      <c r="CW9" s="33">
        <v>45</v>
      </c>
      <c r="CX9" s="34">
        <f>IF(AND(ISNUMBER(CY9),ISNUMBER(CW9)),CY9-CW9,"")</f>
        <v>0</v>
      </c>
      <c r="CY9" s="33">
        <v>34</v>
      </c>
      <c r="CZ9" s="34">
        <f>IF(AND(ISNUMBER(DA9),ISNUMBER(CY9)),DA9-CY9,"")</f>
        <v>0</v>
      </c>
      <c r="DA9" s="33"/>
      <c r="DB9" s="34">
        <f>IF(AND(ISNUMBER(DC9),ISNUMBER(DA9)),DC9-DA9,"")</f>
        <v>0</v>
      </c>
      <c r="DC9" s="33"/>
      <c r="DD9" s="34">
        <f>IF(AND(ISNUMBER(DE9),ISNUMBER(DC9)),DE9-DC9,"")</f>
        <v>0</v>
      </c>
      <c r="DE9" s="33"/>
      <c r="DF9" s="34">
        <f>IF(AND(ISNUMBER(DG9),ISNUMBER(DE9)),DG9-DE9,"")</f>
        <v>0</v>
      </c>
      <c r="DG9" s="33"/>
      <c r="DH9" s="34">
        <f>IF(AND(ISNUMBER(DI9),ISNUMBER(DG9)),DI9-DG9,"")</f>
        <v>0</v>
      </c>
      <c r="DI9" s="33"/>
      <c r="DJ9" s="34">
        <f>IF(AND(ISNUMBER(DK9),ISNUMBER(DI9)),DK9-DI9,"")</f>
        <v>0</v>
      </c>
      <c r="DK9" s="33"/>
      <c r="DL9" s="34">
        <f>IF(AND(ISNUMBER(DM9),ISNUMBER(DK9)),DM9-DK9,"")</f>
        <v>0</v>
      </c>
      <c r="DM9" s="33"/>
      <c r="DN9" s="34">
        <f>IF(AND(ISNUMBER(DO9),ISNUMBER(DM9)),DO9-DM9,"")</f>
        <v>0</v>
      </c>
      <c r="DO9" s="33"/>
      <c r="DP9" s="34">
        <f>IF(AND(ISNUMBER(DQ9),ISNUMBER(DO9)),DQ9-DO9,"")</f>
        <v>0</v>
      </c>
      <c r="DQ9" s="33"/>
      <c r="DR9" s="34">
        <f>IF(AND(ISNUMBER(DS9),ISNUMBER(DQ9)),DS9-DQ9,"")</f>
        <v>0</v>
      </c>
      <c r="DS9" s="33"/>
      <c r="DT9" s="34">
        <f>IF(AND(ISNUMBER(DU9),ISNUMBER(DS9)),DU9-DS9,"")</f>
        <v>0</v>
      </c>
      <c r="DU9" s="33"/>
      <c r="DV9" s="34">
        <f>IF(AND(ISNUMBER(DW9),ISNUMBER(DU9)),DW9-DU9,"")</f>
        <v>0</v>
      </c>
      <c r="DW9" s="33"/>
      <c r="DX9" s="34">
        <f>IF(AND(ISNUMBER(DY9),ISNUMBER(DW9)),DY9-DW9,"")</f>
        <v>0</v>
      </c>
      <c r="DY9" s="33"/>
      <c r="DZ9" s="34">
        <f>IF(AND(ISNUMBER(EA9),ISNUMBER(DY9)),EA9-DY9,"")</f>
        <v>0</v>
      </c>
      <c r="EA9" s="33"/>
      <c r="EB9" s="34">
        <f>IF(AND(ISNUMBER(EC9),ISNUMBER(EA9)),EC9-EA9,"")</f>
        <v>0</v>
      </c>
      <c r="EC9" s="33"/>
      <c r="ED9" s="34">
        <f>IF(AND(ISNUMBER(EE9),ISNUMBER(EC9)),EE9-EC9,"")</f>
        <v>0</v>
      </c>
      <c r="EE9" s="33"/>
      <c r="EF9" s="34">
        <f>IF(AND(ISNUMBER(EG9),ISNUMBER(EE9)),EG9-EE9,"")</f>
        <v>0</v>
      </c>
      <c r="EG9" s="33"/>
      <c r="EH9" s="34">
        <f>IF(AND(ISNUMBER(EI9),ISNUMBER(EG9)),EI9-EG9,"")</f>
        <v>0</v>
      </c>
      <c r="EI9" s="33"/>
      <c r="EJ9" s="34">
        <f>IF(AND(ISNUMBER(EK9),ISNUMBER(EI9)),EK9-EI9,"")</f>
        <v>0</v>
      </c>
      <c r="EK9" s="33"/>
      <c r="EL9" s="34">
        <f>IF(AND(ISNUMBER(EM9),ISNUMBER(EK9)),EM9-EK9,"")</f>
        <v>0</v>
      </c>
      <c r="EM9" s="33"/>
      <c r="EN9" s="34">
        <f>IF(AND(ISNUMBER(EO9),ISNUMBER(EM9)),EO9-EM9,"")</f>
        <v>0</v>
      </c>
      <c r="EO9" s="33"/>
      <c r="EP9" s="34">
        <f>IF(AND(ISNUMBER(EQ9),ISNUMBER(EO9)),EQ9-EO9,"")</f>
        <v>0</v>
      </c>
      <c r="EQ9" s="33"/>
      <c r="ER9" s="34">
        <f>IF(AND(ISNUMBER(ES9),ISNUMBER(EQ9)),ES9-EQ9,"")</f>
        <v>0</v>
      </c>
      <c r="ES9" s="33"/>
      <c r="ET9" s="34">
        <f>IF(AND(ISNUMBER(EU9),ISNUMBER(ES9)),EU9-ES9,"")</f>
        <v>0</v>
      </c>
      <c r="EU9" s="33"/>
      <c r="EV9" s="34">
        <f>IF(AND(ISNUMBER(EW9),ISNUMBER(EU9)),EW9-EU9,"")</f>
        <v>0</v>
      </c>
      <c r="EW9" s="33"/>
      <c r="EX9" s="34">
        <f>IF(AND(ISNUMBER(EY9),ISNUMBER(EW9)),EY9-EW9,"")</f>
        <v>0</v>
      </c>
      <c r="EY9" s="33"/>
      <c r="EZ9" s="34">
        <f>IF(AND(ISNUMBER(FA9),ISNUMBER(EY9)),FA9-EY9,"")</f>
        <v>0</v>
      </c>
      <c r="FA9" s="33"/>
      <c r="FB9" s="34">
        <f>IF(AND(ISNUMBER(FC9),ISNUMBER(FA9)),FC9-FA9,"")</f>
        <v>0</v>
      </c>
      <c r="FC9" s="33"/>
      <c r="FD9" s="34">
        <f>IF(AND(ISNUMBER(FE9),ISNUMBER(FC9)),FE9-FC9,"")</f>
        <v>0</v>
      </c>
      <c r="FE9" s="33"/>
      <c r="FF9" s="34">
        <f>IF(AND(ISNUMBER(FG9),ISNUMBER(FE9)),FG9-FE9,"")</f>
        <v>0</v>
      </c>
      <c r="FG9" s="33"/>
      <c r="FH9" s="34">
        <f>IF(AND(ISNUMBER(FI9),ISNUMBER(FG9)),FI9-FG9,"")</f>
        <v>0</v>
      </c>
      <c r="FI9" s="33"/>
      <c r="FJ9" s="34">
        <f>IF(AND(ISNUMBER(FK9),ISNUMBER(FI9)),FK9-FI9,"")</f>
        <v>0</v>
      </c>
      <c r="FK9" s="33"/>
      <c r="FL9" s="34">
        <f>IF(AND(ISNUMBER(FM9),ISNUMBER(FK9)),FM9-FK9,"")</f>
        <v>0</v>
      </c>
      <c r="FM9" s="33"/>
      <c r="FN9" s="34">
        <f>IF(AND(ISNUMBER(FO9),ISNUMBER(FM9)),FO9-FM9,"")</f>
        <v>0</v>
      </c>
      <c r="FO9" s="33"/>
      <c r="FP9" s="34">
        <f>IF(AND(ISNUMBER(FQ9),ISNUMBER(FO9)),FQ9-FO9,"")</f>
        <v>0</v>
      </c>
      <c r="FQ9" s="33"/>
      <c r="FR9" s="34">
        <f>IF(AND(ISNUMBER(FS9),ISNUMBER(FQ9)),FS9-FQ9,"")</f>
        <v>0</v>
      </c>
      <c r="FS9" s="33"/>
      <c r="FT9" s="34">
        <f>IF(AND(ISNUMBER(FU9),ISNUMBER(FS9)),FU9-FS9,"")</f>
        <v>0</v>
      </c>
      <c r="FU9" s="33"/>
      <c r="FV9" s="34">
        <f>IF(AND(ISNUMBER(FW9),ISNUMBER(FU9)),FW9-FU9,"")</f>
        <v>0</v>
      </c>
      <c r="FW9" s="33"/>
      <c r="FX9" s="34">
        <f>IF(AND(ISNUMBER(FY9),ISNUMBER(FW9)),FY9-FW9,"")</f>
        <v>0</v>
      </c>
      <c r="FY9" s="33"/>
      <c r="FZ9" s="34">
        <f>IF(AND(ISNUMBER(GA9),ISNUMBER(FY9)),GA9-FY9,"")</f>
        <v>0</v>
      </c>
      <c r="GA9" s="33"/>
      <c r="GB9" s="34">
        <f>IF(AND(ISNUMBER(GC9),ISNUMBER(GA9)),GC9-GA9,"")</f>
        <v>0</v>
      </c>
      <c r="GC9" s="33"/>
      <c r="GD9" s="34">
        <f>IF(AND(ISNUMBER(GE9),ISNUMBER(GC9)),GE9-GC9,"")</f>
        <v>0</v>
      </c>
      <c r="GE9" s="33"/>
      <c r="GF9" s="34">
        <f>IF(AND(ISNUMBER(GG9),ISNUMBER(GE9)),GG9-GE9,"")</f>
        <v>0</v>
      </c>
      <c r="GG9" s="33"/>
      <c r="GH9" s="34">
        <f>IF(AND(ISNUMBER(GI9),ISNUMBER(GG9)),GI9-GG9,"")</f>
        <v>0</v>
      </c>
      <c r="GI9" s="33"/>
      <c r="GJ9" s="34">
        <f>IF(AND(ISNUMBER(GK9),ISNUMBER(GI9)),GK9-GI9,"")</f>
        <v>0</v>
      </c>
      <c r="GK9" s="33"/>
      <c r="GL9" s="34">
        <f>IF(AND(ISNUMBER(GM9),ISNUMBER(GK9)),GM9-GK9,"")</f>
        <v>0</v>
      </c>
      <c r="GM9" s="33"/>
      <c r="GN9" s="34">
        <f>IF(AND(ISNUMBER(GO9),ISNUMBER(GM9)),GO9-GM9,"")</f>
        <v>0</v>
      </c>
      <c r="GO9" s="33"/>
      <c r="GP9" s="34">
        <f>IF(AND(ISNUMBER(GQ9),ISNUMBER(GO9)),GQ9-GO9,"")</f>
        <v>0</v>
      </c>
      <c r="GQ9" s="33"/>
      <c r="GR9" s="34">
        <f>IF(AND(ISNUMBER(GS9),ISNUMBER(GQ9)),GS9-GQ9,"")</f>
        <v>0</v>
      </c>
      <c r="GS9" s="33"/>
      <c r="GT9" s="34">
        <f>IF(AND(ISNUMBER(GU9),ISNUMBER(GS9)),GU9-GS9,"")</f>
        <v>0</v>
      </c>
      <c r="GU9" s="33"/>
      <c r="GV9" s="34">
        <f>IF(AND(ISNUMBER(GW9),ISNUMBER(GU9)),GW9-GU9,"")</f>
        <v>0</v>
      </c>
      <c r="GW9" s="33"/>
      <c r="GX9" s="34">
        <f>IF(AND(ISNUMBER(GY9),ISNUMBER(GW9)),GY9-GW9,"")</f>
        <v>0</v>
      </c>
      <c r="GY9" s="33"/>
      <c r="GZ9" s="34">
        <f>IF(AND(ISNUMBER(HA9),ISNUMBER(GY9)),HA9-GY9,"")</f>
        <v>0</v>
      </c>
      <c r="HA9" s="33"/>
      <c r="HB9" s="34">
        <f>IF(AND(ISNUMBER(HC9),ISNUMBER(HA9)),HC9-HA9,"")</f>
        <v>0</v>
      </c>
      <c r="HC9" s="33"/>
      <c r="HD9" s="34">
        <f>IF(AND(ISNUMBER(HE9),ISNUMBER(HC9)),HE9-HC9,"")</f>
        <v>0</v>
      </c>
      <c r="HE9" s="33"/>
      <c r="HF9" s="34">
        <f>IF(AND(ISNUMBER(HG9),ISNUMBER(HE9)),HG9-HE9,"")</f>
        <v>0</v>
      </c>
      <c r="HG9" s="33"/>
      <c r="HH9" s="34">
        <f>IF(AND(ISNUMBER(HI9),ISNUMBER(HG9)),HI9-HG9,"")</f>
        <v>0</v>
      </c>
      <c r="HI9" s="33"/>
      <c r="HJ9" s="34">
        <f>IF(AND(ISNUMBER(HK9),ISNUMBER(HI9)),HK9-HI9,"")</f>
        <v>0</v>
      </c>
      <c r="HK9" s="33"/>
      <c r="HL9" s="34">
        <f>IF(AND(ISNUMBER(HM9),ISNUMBER(HK9)),HM9-HK9,"")</f>
        <v>0</v>
      </c>
      <c r="HM9" s="33"/>
      <c r="HN9" s="34">
        <f>IF(AND(ISNUMBER(HO9),ISNUMBER(HM9)),HO9-HM9,"")</f>
        <v>0</v>
      </c>
      <c r="HO9" s="33"/>
      <c r="HP9" s="34">
        <f>IF(AND(ISNUMBER(HQ9),ISNUMBER(HO9)),HQ9-HO9,"")</f>
        <v>0</v>
      </c>
      <c r="HQ9" s="33"/>
      <c r="HR9" s="34">
        <f>IF(AND(ISNUMBER(HS9),ISNUMBER(HQ9)),HS9-HQ9,"")</f>
        <v>0</v>
      </c>
      <c r="HS9" s="33"/>
      <c r="HT9" s="34">
        <f>IF(AND(ISNUMBER(HU9),ISNUMBER(HS9)),HU9-HS9,"")</f>
        <v>0</v>
      </c>
      <c r="HU9" s="33"/>
      <c r="HV9" s="34">
        <f>IF(AND(ISNUMBER(HW9),ISNUMBER(HU9)),HW9-HU9,"")</f>
        <v>0</v>
      </c>
      <c r="HW9" s="33"/>
      <c r="HX9" s="34">
        <f>IF(AND(ISNUMBER(HY9),ISNUMBER(HW9)),HY9-HW9,"")</f>
        <v>0</v>
      </c>
      <c r="HY9" s="33"/>
      <c r="HZ9" s="34">
        <f>IF(AND(ISNUMBER(IA9),ISNUMBER(HY9)),IA9-HY9,"")</f>
        <v>0</v>
      </c>
      <c r="IA9" s="33"/>
      <c r="IB9" s="34">
        <f>IF(AND(ISNUMBER(IC9),ISNUMBER(IA9)),IC9-IA9,"")</f>
        <v>0</v>
      </c>
      <c r="IC9" s="33"/>
      <c r="ID9" s="34">
        <f>IF(AND(ISNUMBER(IE9),ISNUMBER(IC9)),IE9-IC9,"")</f>
        <v>0</v>
      </c>
      <c r="IE9" s="33"/>
      <c r="IF9" s="34">
        <f>IF(AND(ISNUMBER(IG9),ISNUMBER(IE9)),IG9-IE9,"")</f>
        <v>0</v>
      </c>
      <c r="IG9" s="33"/>
      <c r="IH9" s="34">
        <f>IF(AND(ISNUMBER(II9),ISNUMBER(IG9)),II9-IG9,"")</f>
        <v>0</v>
      </c>
      <c r="II9" s="33"/>
      <c r="IJ9" s="34">
        <f>IF(AND(ISNUMBER(IK9),ISNUMBER(II9)),IK9-II9,"")</f>
        <v>0</v>
      </c>
      <c r="IK9" s="33"/>
      <c r="IL9" s="34">
        <f>IF(AND(ISNUMBER(IM9),ISNUMBER(IK9)),IM9-IK9,"")</f>
        <v>0</v>
      </c>
      <c r="IM9" s="33"/>
      <c r="IN9" s="34">
        <f>IF(AND(ISNUMBER(IO9),ISNUMBER(IM9)),IO9-IM9,"")</f>
        <v>0</v>
      </c>
      <c r="IO9" s="33"/>
      <c r="IP9" s="34">
        <f>IF(AND(ISNUMBER(IQ9),ISNUMBER(IO9)),IQ9-IO9,"")</f>
        <v>0</v>
      </c>
      <c r="IQ9" s="33"/>
      <c r="IR9" s="34">
        <f>IF(AND(ISNUMBER(IS9),ISNUMBER(IQ9)),IS9-IQ9,"")</f>
        <v>0</v>
      </c>
      <c r="IS9" s="33"/>
      <c r="IT9" s="34">
        <f>IF(AND(ISNUMBER(IU9),ISNUMBER(IS9)),IU9-IS9,"")</f>
        <v>0</v>
      </c>
      <c r="IU9" s="33"/>
      <c r="IV9" s="34">
        <f>IF(AND(ISNUMBER(IW9),ISNUMBER(IU9)),IW9-IU9,"")</f>
        <v>0</v>
      </c>
      <c r="IW9" s="33"/>
      <c r="IX9" s="34">
        <f>IF(AND(ISNUMBER(IY9),ISNUMBER(IW9)),IY9-IW9,"")</f>
        <v>0</v>
      </c>
      <c r="IY9" s="33"/>
      <c r="IZ9" s="34">
        <f>IF(AND(ISNUMBER(JA9),ISNUMBER(IY9)),JA9-IY9,"")</f>
        <v>0</v>
      </c>
      <c r="JA9" s="33"/>
      <c r="JB9" s="34">
        <f>IF(AND(ISNUMBER(JC9),ISNUMBER(JA9)),JC9-JA9,"")</f>
        <v>0</v>
      </c>
      <c r="JC9" s="33"/>
      <c r="JD9" s="34">
        <f>IF(AND(ISNUMBER(JE9),ISNUMBER(JC9)),JE9-JC9,"")</f>
        <v>0</v>
      </c>
      <c r="JE9" s="33"/>
      <c r="JF9" s="34">
        <f>IF(AND(ISNUMBER(JG9),ISNUMBER(JE9)),JG9-JE9,"")</f>
        <v>0</v>
      </c>
      <c r="JG9" s="33"/>
      <c r="JH9" s="34">
        <f>IF(AND(ISNUMBER(JI9),ISNUMBER(JG9)),JI9-JG9,"")</f>
        <v>0</v>
      </c>
      <c r="JI9" s="33"/>
      <c r="JJ9" s="34">
        <f>IF(AND(ISNUMBER(JK9),ISNUMBER(JI9)),JK9-JI9,"")</f>
        <v>0</v>
      </c>
      <c r="JK9" s="33"/>
      <c r="JL9" s="34">
        <f>IF(AND(ISNUMBER(JM9),ISNUMBER(JK9)),JM9-JK9,"")</f>
        <v>0</v>
      </c>
      <c r="JM9" s="33"/>
      <c r="JN9" s="34">
        <f>IF(AND(ISNUMBER(JO9),ISNUMBER(JM9)),JO9-JM9,"")</f>
        <v>0</v>
      </c>
      <c r="JO9" s="33"/>
      <c r="JP9" s="34">
        <f>IF(AND(ISNUMBER(JQ9),ISNUMBER(JO9)),JQ9-JO9,"")</f>
        <v>0</v>
      </c>
      <c r="JQ9" s="33"/>
      <c r="JR9" s="34">
        <f>IF(AND(ISNUMBER(JS9),ISNUMBER(JQ9)),JS9-JQ9,"")</f>
        <v>0</v>
      </c>
      <c r="JS9" s="33"/>
      <c r="JT9" s="34">
        <f>IF(AND(ISNUMBER(JU9),ISNUMBER(JS9)),JU9-JS9,"")</f>
        <v>0</v>
      </c>
      <c r="JU9" s="33"/>
      <c r="JV9" s="34">
        <f>IF(AND(ISNUMBER(JW9),ISNUMBER(JU9)),JW9-JU9,"")</f>
        <v>0</v>
      </c>
      <c r="JW9" s="33"/>
      <c r="JX9" s="34">
        <f>IF(AND(ISNUMBER(JY9),ISNUMBER(JW9)),JY9-JW9,"")</f>
        <v>0</v>
      </c>
      <c r="JY9" s="33"/>
      <c r="JZ9" s="34">
        <f>IF(AND(ISNUMBER(KA9),ISNUMBER(JY9)),KA9-JY9,"")</f>
        <v>0</v>
      </c>
      <c r="KA9" s="33"/>
      <c r="KB9" s="34">
        <f>IF(AND(ISNUMBER(KC9),ISNUMBER(KA9)),KC9-KA9,"")</f>
        <v>0</v>
      </c>
      <c r="KC9" s="33"/>
      <c r="KD9" s="34">
        <f>IF(AND(ISNUMBER(KE9),ISNUMBER(KC9)),KE9-KC9,"")</f>
        <v>0</v>
      </c>
      <c r="KE9" s="33"/>
      <c r="KF9" s="34">
        <f>IF(AND(ISNUMBER(KG9),ISNUMBER(KE9)),KG9-KE9,"")</f>
        <v>0</v>
      </c>
      <c r="KG9" s="33"/>
      <c r="KH9" s="34">
        <f>IF(AND(ISNUMBER(KI9),ISNUMBER(KG9)),KI9-KG9,"")</f>
        <v>0</v>
      </c>
      <c r="KI9" s="33"/>
      <c r="KJ9" s="34">
        <f>IF(AND(ISNUMBER(KK9),ISNUMBER(KI9)),KK9-KI9,"")</f>
        <v>0</v>
      </c>
      <c r="KK9" s="33"/>
      <c r="KL9" s="34">
        <f>IF(AND(ISNUMBER(KM9),ISNUMBER(KK9)),KM9-KK9,"")</f>
        <v>0</v>
      </c>
      <c r="KM9" s="33"/>
      <c r="KN9" s="34">
        <f>IF(AND(ISNUMBER(KO9),ISNUMBER(KM9)),KO9-KM9,"")</f>
        <v>0</v>
      </c>
      <c r="KO9" s="33"/>
      <c r="KP9" s="34">
        <f>IF(AND(ISNUMBER(KQ9),ISNUMBER(KO9)),KQ9-KO9,"")</f>
        <v>0</v>
      </c>
      <c r="KQ9" s="33"/>
      <c r="KR9" s="34">
        <f>IF(AND(ISNUMBER(KS9),ISNUMBER(KQ9)),KS9-KQ9,"")</f>
        <v>0</v>
      </c>
      <c r="KS9" s="33"/>
      <c r="KT9" s="34">
        <f>IF(AND(ISNUMBER(KU9),ISNUMBER(KS9)),KU9-KS9,"")</f>
        <v>0</v>
      </c>
      <c r="KU9" s="33"/>
      <c r="KV9" s="34">
        <f>IF(AND(ISNUMBER(KW9),ISNUMBER(KU9)),KW9-KU9,"")</f>
        <v>0</v>
      </c>
      <c r="KW9" s="33"/>
      <c r="KX9" s="34">
        <f>IF(AND(ISNUMBER(KY9),ISNUMBER(KW9)),KY9-KW9,"")</f>
        <v>0</v>
      </c>
      <c r="KY9" s="33"/>
      <c r="KZ9" s="34">
        <f>IF(AND(ISNUMBER(LA9),ISNUMBER(KY9)),LA9-KY9,"")</f>
        <v>0</v>
      </c>
      <c r="LA9" s="33"/>
      <c r="LB9" s="34">
        <f>IF(AND(ISNUMBER(LC9),ISNUMBER(LA9)),LC9-LA9,"")</f>
        <v>0</v>
      </c>
      <c r="LC9" s="33"/>
      <c r="LD9" s="34">
        <f>IF(AND(ISNUMBER(LE9),ISNUMBER(LC9)),LE9-LC9,"")</f>
        <v>0</v>
      </c>
      <c r="LE9" s="33"/>
      <c r="LF9" s="34">
        <f>IF(AND(ISNUMBER(LG9),ISNUMBER(LE9)),LG9-LE9,"")</f>
        <v>0</v>
      </c>
      <c r="LG9" s="33"/>
    </row>
    <row r="10" spans="1:322" hidden="1" outlineLevel="1">
      <c r="B10" s="23"/>
      <c r="D10" s="31" t="s">
        <v>725</v>
      </c>
      <c r="E10" s="32" t="s">
        <v>1060</v>
      </c>
      <c r="I10" s="33"/>
      <c r="J10" s="34">
        <f>IF(AND(ISNUMBER(K10),ISNUMBER(I10)),K10-I10,"")</f>
        <v>0</v>
      </c>
      <c r="K10" s="33"/>
      <c r="L10" s="34">
        <f>IF(AND(ISNUMBER(M10),ISNUMBER(K10)),M10-K10,"")</f>
        <v>0</v>
      </c>
      <c r="M10" s="33"/>
      <c r="N10" s="34">
        <f>IF(AND(ISNUMBER(O10),ISNUMBER(M10)),O10-M10,"")</f>
        <v>0</v>
      </c>
      <c r="O10" s="33"/>
      <c r="P10" s="34">
        <f>IF(AND(ISNUMBER(Q10),ISNUMBER(O10)),Q10-O10,"")</f>
        <v>0</v>
      </c>
      <c r="Q10" s="33"/>
      <c r="R10" s="34">
        <f>IF(AND(ISNUMBER(S10),ISNUMBER(Q10)),S10-Q10,"")</f>
        <v>0</v>
      </c>
      <c r="S10" s="33"/>
      <c r="T10" s="34">
        <f>IF(AND(ISNUMBER(U10),ISNUMBER(S10)),U10-S10,"")</f>
        <v>0</v>
      </c>
      <c r="U10" s="33"/>
      <c r="V10" s="34">
        <f>IF(AND(ISNUMBER(W10),ISNUMBER(U10)),W10-U10,"")</f>
        <v>0</v>
      </c>
      <c r="W10" s="33"/>
      <c r="X10" s="34">
        <f>IF(AND(ISNUMBER(Y10),ISNUMBER(W10)),Y10-W10,"")</f>
        <v>0</v>
      </c>
      <c r="Y10" s="33"/>
      <c r="Z10" s="34">
        <f>IF(AND(ISNUMBER(AA10),ISNUMBER(Y10)),AA10-Y10,"")</f>
        <v>0</v>
      </c>
      <c r="AA10" s="33"/>
      <c r="AB10" s="34">
        <f>IF(AND(ISNUMBER(AC10),ISNUMBER(AA10)),AC10-AA10,"")</f>
        <v>0</v>
      </c>
      <c r="AC10" s="33"/>
      <c r="AD10" s="34">
        <f>IF(AND(ISNUMBER(AE10),ISNUMBER(AC10)),AE10-AC10,"")</f>
        <v>0</v>
      </c>
      <c r="AE10" s="33"/>
      <c r="AF10" s="34">
        <f>IF(AND(ISNUMBER(AG10),ISNUMBER(AE10)),AG10-AE10,"")</f>
        <v>0</v>
      </c>
      <c r="AG10" s="33"/>
      <c r="AH10" s="34">
        <f>IF(AND(ISNUMBER(AI10),ISNUMBER(AG10)),AI10-AG10,"")</f>
        <v>0</v>
      </c>
      <c r="AI10" s="33"/>
      <c r="AJ10" s="34">
        <f>IF(AND(ISNUMBER(AK10),ISNUMBER(AI10)),AK10-AI10,"")</f>
        <v>0</v>
      </c>
      <c r="AK10" s="33"/>
      <c r="AL10" s="34">
        <f>IF(AND(ISNUMBER(AM10),ISNUMBER(AK10)),AM10-AK10,"")</f>
        <v>0</v>
      </c>
      <c r="AM10" s="33"/>
      <c r="AN10" s="34">
        <f>IF(AND(ISNUMBER(AO10),ISNUMBER(AM10)),AO10-AM10,"")</f>
        <v>0</v>
      </c>
      <c r="AO10" s="33"/>
      <c r="AP10" s="34">
        <f>IF(AND(ISNUMBER(AQ10),ISNUMBER(AO10)),AQ10-AO10,"")</f>
        <v>0</v>
      </c>
      <c r="AQ10" s="33"/>
      <c r="AR10" s="34">
        <f>IF(AND(ISNUMBER(AS10),ISNUMBER(AQ10)),AS10-AQ10,"")</f>
        <v>0</v>
      </c>
      <c r="AS10" s="33"/>
      <c r="AT10" s="34">
        <f>IF(AND(ISNUMBER(AU10),ISNUMBER(AS10)),AU10-AS10,"")</f>
        <v>0</v>
      </c>
      <c r="AU10" s="33"/>
      <c r="AV10" s="34">
        <f>IF(AND(ISNUMBER(AW10),ISNUMBER(AU10)),AW10-AU10,"")</f>
        <v>0</v>
      </c>
      <c r="AW10" s="33"/>
      <c r="AX10" s="34">
        <f>IF(AND(ISNUMBER(AY10),ISNUMBER(AW10)),AY10-AW10,"")</f>
        <v>0</v>
      </c>
      <c r="AY10" s="33"/>
      <c r="AZ10" s="34">
        <f>IF(AND(ISNUMBER(BA10),ISNUMBER(AY10)),BA10-AY10,"")</f>
        <v>0</v>
      </c>
      <c r="BA10" s="33"/>
      <c r="BB10" s="34">
        <f>IF(AND(ISNUMBER(BC10),ISNUMBER(BA10)),BC10-BA10,"")</f>
        <v>0</v>
      </c>
      <c r="BC10" s="33"/>
      <c r="BD10" s="34">
        <f>IF(AND(ISNUMBER(BE10),ISNUMBER(BC10)),BE10-BC10,"")</f>
        <v>0</v>
      </c>
      <c r="BE10" s="33"/>
      <c r="BF10" s="34">
        <f>IF(AND(ISNUMBER(BG10),ISNUMBER(BE10)),BG10-BE10,"")</f>
        <v>0</v>
      </c>
      <c r="BG10" s="33"/>
      <c r="BH10" s="34">
        <f>IF(AND(ISNUMBER(BI10),ISNUMBER(BG10)),BI10-BG10,"")</f>
        <v>0</v>
      </c>
      <c r="BI10" s="33"/>
      <c r="BJ10" s="34">
        <f>IF(AND(ISNUMBER(BK10),ISNUMBER(BI10)),BK10-BI10,"")</f>
        <v>0</v>
      </c>
      <c r="BK10" s="33"/>
      <c r="BL10" s="34">
        <f>IF(AND(ISNUMBER(BM10),ISNUMBER(BK10)),BM10-BK10,"")</f>
        <v>0</v>
      </c>
      <c r="BM10" s="33"/>
      <c r="BN10" s="34">
        <f>IF(AND(ISNUMBER(BO10),ISNUMBER(BM10)),BO10-BM10,"")</f>
        <v>0</v>
      </c>
      <c r="BO10" s="33"/>
      <c r="BP10" s="34">
        <f>IF(AND(ISNUMBER(BQ10),ISNUMBER(BO10)),BQ10-BO10,"")</f>
        <v>0</v>
      </c>
      <c r="BQ10" s="33"/>
      <c r="BR10" s="34">
        <f>IF(AND(ISNUMBER(BS10),ISNUMBER(BQ10)),BS10-BQ10,"")</f>
        <v>0</v>
      </c>
      <c r="BS10" s="33"/>
      <c r="BT10" s="34">
        <f>IF(AND(ISNUMBER(BU10),ISNUMBER(BS10)),BU10-BS10,"")</f>
        <v>0</v>
      </c>
      <c r="BU10" s="33"/>
      <c r="BV10" s="34">
        <f>IF(AND(ISNUMBER(BW10),ISNUMBER(BU10)),BW10-BU10,"")</f>
        <v>0</v>
      </c>
      <c r="BW10" s="33"/>
      <c r="BX10" s="34">
        <f>IF(AND(ISNUMBER(BY10),ISNUMBER(BW10)),BY10-BW10,"")</f>
        <v>0</v>
      </c>
      <c r="BY10" s="33">
        <v>2</v>
      </c>
      <c r="BZ10" s="34">
        <f>IF(AND(ISNUMBER(CA10),ISNUMBER(BY10)),CA10-BY10,"")</f>
        <v>0</v>
      </c>
      <c r="CA10" s="33">
        <v>23</v>
      </c>
      <c r="CB10" s="34">
        <f>IF(AND(ISNUMBER(CC10),ISNUMBER(CA10)),CC10-CA10,"")</f>
        <v>0</v>
      </c>
      <c r="CC10" s="33">
        <v>54</v>
      </c>
      <c r="CD10" s="34">
        <f>IF(AND(ISNUMBER(CE10),ISNUMBER(CC10)),CE10-CC10,"")</f>
        <v>0</v>
      </c>
      <c r="CE10" s="33">
        <v>29</v>
      </c>
      <c r="CF10" s="34">
        <f>IF(AND(ISNUMBER(CG10),ISNUMBER(CE10)),CG10-CE10,"")</f>
        <v>0</v>
      </c>
      <c r="CG10" s="33">
        <v>4</v>
      </c>
      <c r="CH10" s="34">
        <f>IF(AND(ISNUMBER(CI10),ISNUMBER(CG10)),CI10-CG10,"")</f>
        <v>0</v>
      </c>
      <c r="CI10" s="33">
        <v>4</v>
      </c>
      <c r="CJ10" s="34">
        <f>IF(AND(ISNUMBER(CK10),ISNUMBER(CI10)),CK10-CI10,"")</f>
        <v>0</v>
      </c>
      <c r="CK10" s="33">
        <v>20</v>
      </c>
      <c r="CL10" s="34">
        <f>IF(AND(ISNUMBER(CM10),ISNUMBER(CK10)),CM10-CK10,"")</f>
        <v>0</v>
      </c>
      <c r="CM10" s="33">
        <v>4</v>
      </c>
      <c r="CN10" s="34">
        <f>IF(AND(ISNUMBER(CO10),ISNUMBER(CM10)),CO10-CM10,"")</f>
        <v>0</v>
      </c>
      <c r="CO10" s="33">
        <v>4</v>
      </c>
      <c r="CP10" s="34">
        <f>IF(AND(ISNUMBER(CQ10),ISNUMBER(CO10)),CQ10-CO10,"")</f>
        <v>0</v>
      </c>
      <c r="CQ10" s="33">
        <v>14</v>
      </c>
      <c r="CR10" s="34">
        <f>IF(AND(ISNUMBER(CS10),ISNUMBER(CQ10)),CS10-CQ10,"")</f>
        <v>0</v>
      </c>
      <c r="CS10" s="33">
        <v>14</v>
      </c>
      <c r="CT10" s="34">
        <f>IF(AND(ISNUMBER(CU10),ISNUMBER(CS10)),CU10-CS10,"")</f>
        <v>0</v>
      </c>
      <c r="CU10" s="33">
        <v>23</v>
      </c>
      <c r="CV10" s="34">
        <f>IF(AND(ISNUMBER(CW10),ISNUMBER(CU10)),CW10-CU10,"")</f>
        <v>0</v>
      </c>
      <c r="CW10" s="33">
        <v>234</v>
      </c>
      <c r="CX10" s="34">
        <f>IF(AND(ISNUMBER(CY10),ISNUMBER(CW10)),CY10-CW10,"")</f>
        <v>0</v>
      </c>
      <c r="CY10" s="33">
        <v>14</v>
      </c>
      <c r="CZ10" s="34">
        <f>IF(AND(ISNUMBER(DA10),ISNUMBER(CY10)),DA10-CY10,"")</f>
        <v>0</v>
      </c>
      <c r="DA10" s="33"/>
      <c r="DB10" s="34">
        <f>IF(AND(ISNUMBER(DC10),ISNUMBER(DA10)),DC10-DA10,"")</f>
        <v>0</v>
      </c>
      <c r="DC10" s="33"/>
      <c r="DD10" s="34">
        <f>IF(AND(ISNUMBER(DE10),ISNUMBER(DC10)),DE10-DC10,"")</f>
        <v>0</v>
      </c>
      <c r="DE10" s="33"/>
      <c r="DF10" s="34">
        <f>IF(AND(ISNUMBER(DG10),ISNUMBER(DE10)),DG10-DE10,"")</f>
        <v>0</v>
      </c>
      <c r="DG10" s="33"/>
      <c r="DH10" s="34">
        <f>IF(AND(ISNUMBER(DI10),ISNUMBER(DG10)),DI10-DG10,"")</f>
        <v>0</v>
      </c>
      <c r="DI10" s="33"/>
      <c r="DJ10" s="34">
        <f>IF(AND(ISNUMBER(DK10),ISNUMBER(DI10)),DK10-DI10,"")</f>
        <v>0</v>
      </c>
      <c r="DK10" s="33"/>
      <c r="DL10" s="34">
        <f>IF(AND(ISNUMBER(DM10),ISNUMBER(DK10)),DM10-DK10,"")</f>
        <v>0</v>
      </c>
      <c r="DM10" s="33"/>
      <c r="DN10" s="34">
        <f>IF(AND(ISNUMBER(DO10),ISNUMBER(DM10)),DO10-DM10,"")</f>
        <v>0</v>
      </c>
      <c r="DO10" s="33"/>
      <c r="DP10" s="34">
        <f>IF(AND(ISNUMBER(DQ10),ISNUMBER(DO10)),DQ10-DO10,"")</f>
        <v>0</v>
      </c>
      <c r="DQ10" s="33"/>
      <c r="DR10" s="34">
        <f>IF(AND(ISNUMBER(DS10),ISNUMBER(DQ10)),DS10-DQ10,"")</f>
        <v>0</v>
      </c>
      <c r="DS10" s="33"/>
      <c r="DT10" s="34">
        <f>IF(AND(ISNUMBER(DU10),ISNUMBER(DS10)),DU10-DS10,"")</f>
        <v>0</v>
      </c>
      <c r="DU10" s="33"/>
      <c r="DV10" s="34">
        <f>IF(AND(ISNUMBER(DW10),ISNUMBER(DU10)),DW10-DU10,"")</f>
        <v>0</v>
      </c>
      <c r="DW10" s="33"/>
      <c r="DX10" s="34">
        <f>IF(AND(ISNUMBER(DY10),ISNUMBER(DW10)),DY10-DW10,"")</f>
        <v>0</v>
      </c>
      <c r="DY10" s="33"/>
      <c r="DZ10" s="34">
        <f>IF(AND(ISNUMBER(EA10),ISNUMBER(DY10)),EA10-DY10,"")</f>
        <v>0</v>
      </c>
      <c r="EA10" s="33"/>
      <c r="EB10" s="34">
        <f>IF(AND(ISNUMBER(EC10),ISNUMBER(EA10)),EC10-EA10,"")</f>
        <v>0</v>
      </c>
      <c r="EC10" s="33"/>
      <c r="ED10" s="34">
        <f>IF(AND(ISNUMBER(EE10),ISNUMBER(EC10)),EE10-EC10,"")</f>
        <v>0</v>
      </c>
      <c r="EE10" s="33">
        <v>11</v>
      </c>
      <c r="EF10" s="34">
        <f>IF(AND(ISNUMBER(EG10),ISNUMBER(EE10)),EG10-EE10,"")</f>
        <v>0</v>
      </c>
      <c r="EG10" s="33"/>
      <c r="EH10" s="34">
        <f>IF(AND(ISNUMBER(EI10),ISNUMBER(EG10)),EI10-EG10,"")</f>
        <v>0</v>
      </c>
      <c r="EI10" s="33"/>
      <c r="EJ10" s="34">
        <f>IF(AND(ISNUMBER(EK10),ISNUMBER(EI10)),EK10-EI10,"")</f>
        <v>0</v>
      </c>
      <c r="EK10" s="33"/>
      <c r="EL10" s="34">
        <f>IF(AND(ISNUMBER(EM10),ISNUMBER(EK10)),EM10-EK10,"")</f>
        <v>0</v>
      </c>
      <c r="EM10" s="33"/>
      <c r="EN10" s="34">
        <f>IF(AND(ISNUMBER(EO10),ISNUMBER(EM10)),EO10-EM10,"")</f>
        <v>0</v>
      </c>
      <c r="EO10" s="33"/>
      <c r="EP10" s="34">
        <f>IF(AND(ISNUMBER(EQ10),ISNUMBER(EO10)),EQ10-EO10,"")</f>
        <v>0</v>
      </c>
      <c r="EQ10" s="33"/>
      <c r="ER10" s="34">
        <f>IF(AND(ISNUMBER(ES10),ISNUMBER(EQ10)),ES10-EQ10,"")</f>
        <v>0</v>
      </c>
      <c r="ES10" s="33"/>
      <c r="ET10" s="34">
        <f>IF(AND(ISNUMBER(EU10),ISNUMBER(ES10)),EU10-ES10,"")</f>
        <v>0</v>
      </c>
      <c r="EU10" s="33"/>
      <c r="EV10" s="34">
        <f>IF(AND(ISNUMBER(EW10),ISNUMBER(EU10)),EW10-EU10,"")</f>
        <v>0</v>
      </c>
      <c r="EW10" s="33"/>
      <c r="EX10" s="34">
        <f>IF(AND(ISNUMBER(EY10),ISNUMBER(EW10)),EY10-EW10,"")</f>
        <v>0</v>
      </c>
      <c r="EY10" s="33"/>
      <c r="EZ10" s="34">
        <f>IF(AND(ISNUMBER(FA10),ISNUMBER(EY10)),FA10-EY10,"")</f>
        <v>0</v>
      </c>
      <c r="FA10" s="33"/>
      <c r="FB10" s="34">
        <f>IF(AND(ISNUMBER(FC10),ISNUMBER(FA10)),FC10-FA10,"")</f>
        <v>0</v>
      </c>
      <c r="FC10" s="33"/>
      <c r="FD10" s="34">
        <f>IF(AND(ISNUMBER(FE10),ISNUMBER(FC10)),FE10-FC10,"")</f>
        <v>0</v>
      </c>
      <c r="FE10" s="33"/>
      <c r="FF10" s="34">
        <f>IF(AND(ISNUMBER(FG10),ISNUMBER(FE10)),FG10-FE10,"")</f>
        <v>0</v>
      </c>
      <c r="FG10" s="33"/>
      <c r="FH10" s="34">
        <f>IF(AND(ISNUMBER(FI10),ISNUMBER(FG10)),FI10-FG10,"")</f>
        <v>0</v>
      </c>
      <c r="FI10" s="33"/>
      <c r="FJ10" s="34">
        <f>IF(AND(ISNUMBER(FK10),ISNUMBER(FI10)),FK10-FI10,"")</f>
        <v>0</v>
      </c>
      <c r="FK10" s="33"/>
      <c r="FL10" s="34">
        <f>IF(AND(ISNUMBER(FM10),ISNUMBER(FK10)),FM10-FK10,"")</f>
        <v>0</v>
      </c>
      <c r="FM10" s="33"/>
      <c r="FN10" s="34">
        <f>IF(AND(ISNUMBER(FO10),ISNUMBER(FM10)),FO10-FM10,"")</f>
        <v>0</v>
      </c>
      <c r="FO10" s="33"/>
      <c r="FP10" s="34">
        <f>IF(AND(ISNUMBER(FQ10),ISNUMBER(FO10)),FQ10-FO10,"")</f>
        <v>0</v>
      </c>
      <c r="FQ10" s="33"/>
      <c r="FR10" s="34">
        <f>IF(AND(ISNUMBER(FS10),ISNUMBER(FQ10)),FS10-FQ10,"")</f>
        <v>0</v>
      </c>
      <c r="FS10" s="33"/>
      <c r="FT10" s="34">
        <f>IF(AND(ISNUMBER(FU10),ISNUMBER(FS10)),FU10-FS10,"")</f>
        <v>0</v>
      </c>
      <c r="FU10" s="33"/>
      <c r="FV10" s="34">
        <f>IF(AND(ISNUMBER(FW10),ISNUMBER(FU10)),FW10-FU10,"")</f>
        <v>0</v>
      </c>
      <c r="FW10" s="33"/>
      <c r="FX10" s="34">
        <f>IF(AND(ISNUMBER(FY10),ISNUMBER(FW10)),FY10-FW10,"")</f>
        <v>0</v>
      </c>
      <c r="FY10" s="33"/>
      <c r="FZ10" s="34">
        <f>IF(AND(ISNUMBER(GA10),ISNUMBER(FY10)),GA10-FY10,"")</f>
        <v>0</v>
      </c>
      <c r="GA10" s="33"/>
      <c r="GB10" s="34">
        <f>IF(AND(ISNUMBER(GC10),ISNUMBER(GA10)),GC10-GA10,"")</f>
        <v>0</v>
      </c>
      <c r="GC10" s="33"/>
      <c r="GD10" s="34">
        <f>IF(AND(ISNUMBER(GE10),ISNUMBER(GC10)),GE10-GC10,"")</f>
        <v>0</v>
      </c>
      <c r="GE10" s="33"/>
      <c r="GF10" s="34">
        <f>IF(AND(ISNUMBER(GG10),ISNUMBER(GE10)),GG10-GE10,"")</f>
        <v>0</v>
      </c>
      <c r="GG10" s="33"/>
      <c r="GH10" s="34">
        <f>IF(AND(ISNUMBER(GI10),ISNUMBER(GG10)),GI10-GG10,"")</f>
        <v>0</v>
      </c>
      <c r="GI10" s="33"/>
      <c r="GJ10" s="34">
        <f>IF(AND(ISNUMBER(GK10),ISNUMBER(GI10)),GK10-GI10,"")</f>
        <v>0</v>
      </c>
      <c r="GK10" s="33"/>
      <c r="GL10" s="34">
        <f>IF(AND(ISNUMBER(GM10),ISNUMBER(GK10)),GM10-GK10,"")</f>
        <v>0</v>
      </c>
      <c r="GM10" s="33"/>
      <c r="GN10" s="34">
        <f>IF(AND(ISNUMBER(GO10),ISNUMBER(GM10)),GO10-GM10,"")</f>
        <v>0</v>
      </c>
      <c r="GO10" s="33"/>
      <c r="GP10" s="34">
        <f>IF(AND(ISNUMBER(GQ10),ISNUMBER(GO10)),GQ10-GO10,"")</f>
        <v>0</v>
      </c>
      <c r="GQ10" s="33"/>
      <c r="GR10" s="34">
        <f>IF(AND(ISNUMBER(GS10),ISNUMBER(GQ10)),GS10-GQ10,"")</f>
        <v>0</v>
      </c>
      <c r="GS10" s="33"/>
      <c r="GT10" s="34">
        <f>IF(AND(ISNUMBER(GU10),ISNUMBER(GS10)),GU10-GS10,"")</f>
        <v>0</v>
      </c>
      <c r="GU10" s="33"/>
      <c r="GV10" s="34">
        <f>IF(AND(ISNUMBER(GW10),ISNUMBER(GU10)),GW10-GU10,"")</f>
        <v>0</v>
      </c>
      <c r="GW10" s="33"/>
      <c r="GX10" s="34">
        <f>IF(AND(ISNUMBER(GY10),ISNUMBER(GW10)),GY10-GW10,"")</f>
        <v>0</v>
      </c>
      <c r="GY10" s="33"/>
      <c r="GZ10" s="34">
        <f>IF(AND(ISNUMBER(HA10),ISNUMBER(GY10)),HA10-GY10,"")</f>
        <v>0</v>
      </c>
      <c r="HA10" s="33"/>
      <c r="HB10" s="34">
        <f>IF(AND(ISNUMBER(HC10),ISNUMBER(HA10)),HC10-HA10,"")</f>
        <v>0</v>
      </c>
      <c r="HC10" s="33"/>
      <c r="HD10" s="34">
        <f>IF(AND(ISNUMBER(HE10),ISNUMBER(HC10)),HE10-HC10,"")</f>
        <v>0</v>
      </c>
      <c r="HE10" s="33"/>
      <c r="HF10" s="34">
        <f>IF(AND(ISNUMBER(HG10),ISNUMBER(HE10)),HG10-HE10,"")</f>
        <v>0</v>
      </c>
      <c r="HG10" s="33"/>
      <c r="HH10" s="34">
        <f>IF(AND(ISNUMBER(HI10),ISNUMBER(HG10)),HI10-HG10,"")</f>
        <v>0</v>
      </c>
      <c r="HI10" s="33"/>
      <c r="HJ10" s="34">
        <f>IF(AND(ISNUMBER(HK10),ISNUMBER(HI10)),HK10-HI10,"")</f>
        <v>0</v>
      </c>
      <c r="HK10" s="33"/>
      <c r="HL10" s="34">
        <f>IF(AND(ISNUMBER(HM10),ISNUMBER(HK10)),HM10-HK10,"")</f>
        <v>0</v>
      </c>
      <c r="HM10" s="33"/>
      <c r="HN10" s="34">
        <f>IF(AND(ISNUMBER(HO10),ISNUMBER(HM10)),HO10-HM10,"")</f>
        <v>0</v>
      </c>
      <c r="HO10" s="33"/>
      <c r="HP10" s="34">
        <f>IF(AND(ISNUMBER(HQ10),ISNUMBER(HO10)),HQ10-HO10,"")</f>
        <v>0</v>
      </c>
      <c r="HQ10" s="33"/>
      <c r="HR10" s="34">
        <f>IF(AND(ISNUMBER(HS10),ISNUMBER(HQ10)),HS10-HQ10,"")</f>
        <v>0</v>
      </c>
      <c r="HS10" s="33"/>
      <c r="HT10" s="34">
        <f>IF(AND(ISNUMBER(HU10),ISNUMBER(HS10)),HU10-HS10,"")</f>
        <v>0</v>
      </c>
      <c r="HU10" s="33"/>
      <c r="HV10" s="34">
        <f>IF(AND(ISNUMBER(HW10),ISNUMBER(HU10)),HW10-HU10,"")</f>
        <v>0</v>
      </c>
      <c r="HW10" s="33"/>
      <c r="HX10" s="34">
        <f>IF(AND(ISNUMBER(HY10),ISNUMBER(HW10)),HY10-HW10,"")</f>
        <v>0</v>
      </c>
      <c r="HY10" s="33"/>
      <c r="HZ10" s="34">
        <f>IF(AND(ISNUMBER(IA10),ISNUMBER(HY10)),IA10-HY10,"")</f>
        <v>0</v>
      </c>
      <c r="IA10" s="33"/>
      <c r="IB10" s="34">
        <f>IF(AND(ISNUMBER(IC10),ISNUMBER(IA10)),IC10-IA10,"")</f>
        <v>0</v>
      </c>
      <c r="IC10" s="33"/>
      <c r="ID10" s="34">
        <f>IF(AND(ISNUMBER(IE10),ISNUMBER(IC10)),IE10-IC10,"")</f>
        <v>0</v>
      </c>
      <c r="IE10" s="33"/>
      <c r="IF10" s="34">
        <f>IF(AND(ISNUMBER(IG10),ISNUMBER(IE10)),IG10-IE10,"")</f>
        <v>0</v>
      </c>
      <c r="IG10" s="33"/>
      <c r="IH10" s="34">
        <f>IF(AND(ISNUMBER(II10),ISNUMBER(IG10)),II10-IG10,"")</f>
        <v>0</v>
      </c>
      <c r="II10" s="33"/>
      <c r="IJ10" s="34">
        <f>IF(AND(ISNUMBER(IK10),ISNUMBER(II10)),IK10-II10,"")</f>
        <v>0</v>
      </c>
      <c r="IK10" s="33"/>
      <c r="IL10" s="34">
        <f>IF(AND(ISNUMBER(IM10),ISNUMBER(IK10)),IM10-IK10,"")</f>
        <v>0</v>
      </c>
      <c r="IM10" s="33"/>
      <c r="IN10" s="34">
        <f>IF(AND(ISNUMBER(IO10),ISNUMBER(IM10)),IO10-IM10,"")</f>
        <v>0</v>
      </c>
      <c r="IO10" s="33"/>
      <c r="IP10" s="34">
        <f>IF(AND(ISNUMBER(IQ10),ISNUMBER(IO10)),IQ10-IO10,"")</f>
        <v>0</v>
      </c>
      <c r="IQ10" s="33"/>
      <c r="IR10" s="34">
        <f>IF(AND(ISNUMBER(IS10),ISNUMBER(IQ10)),IS10-IQ10,"")</f>
        <v>0</v>
      </c>
      <c r="IS10" s="33"/>
      <c r="IT10" s="34">
        <f>IF(AND(ISNUMBER(IU10),ISNUMBER(IS10)),IU10-IS10,"")</f>
        <v>0</v>
      </c>
      <c r="IU10" s="33"/>
      <c r="IV10" s="34">
        <f>IF(AND(ISNUMBER(IW10),ISNUMBER(IU10)),IW10-IU10,"")</f>
        <v>0</v>
      </c>
      <c r="IW10" s="33"/>
      <c r="IX10" s="34">
        <f>IF(AND(ISNUMBER(IY10),ISNUMBER(IW10)),IY10-IW10,"")</f>
        <v>0</v>
      </c>
      <c r="IY10" s="33"/>
      <c r="IZ10" s="34">
        <f>IF(AND(ISNUMBER(JA10),ISNUMBER(IY10)),JA10-IY10,"")</f>
        <v>0</v>
      </c>
      <c r="JA10" s="33"/>
      <c r="JB10" s="34">
        <f>IF(AND(ISNUMBER(JC10),ISNUMBER(JA10)),JC10-JA10,"")</f>
        <v>0</v>
      </c>
      <c r="JC10" s="33"/>
      <c r="JD10" s="34">
        <f>IF(AND(ISNUMBER(JE10),ISNUMBER(JC10)),JE10-JC10,"")</f>
        <v>0</v>
      </c>
      <c r="JE10" s="33"/>
      <c r="JF10" s="34">
        <f>IF(AND(ISNUMBER(JG10),ISNUMBER(JE10)),JG10-JE10,"")</f>
        <v>0</v>
      </c>
      <c r="JG10" s="33"/>
      <c r="JH10" s="34">
        <f>IF(AND(ISNUMBER(JI10),ISNUMBER(JG10)),JI10-JG10,"")</f>
        <v>0</v>
      </c>
      <c r="JI10" s="33"/>
      <c r="JJ10" s="34">
        <f>IF(AND(ISNUMBER(JK10),ISNUMBER(JI10)),JK10-JI10,"")</f>
        <v>0</v>
      </c>
      <c r="JK10" s="33"/>
      <c r="JL10" s="34">
        <f>IF(AND(ISNUMBER(JM10),ISNUMBER(JK10)),JM10-JK10,"")</f>
        <v>0</v>
      </c>
      <c r="JM10" s="33"/>
      <c r="JN10" s="34">
        <f>IF(AND(ISNUMBER(JO10),ISNUMBER(JM10)),JO10-JM10,"")</f>
        <v>0</v>
      </c>
      <c r="JO10" s="33"/>
      <c r="JP10" s="34">
        <f>IF(AND(ISNUMBER(JQ10),ISNUMBER(JO10)),JQ10-JO10,"")</f>
        <v>0</v>
      </c>
      <c r="JQ10" s="33"/>
      <c r="JR10" s="34">
        <f>IF(AND(ISNUMBER(JS10),ISNUMBER(JQ10)),JS10-JQ10,"")</f>
        <v>0</v>
      </c>
      <c r="JS10" s="33"/>
      <c r="JT10" s="34">
        <f>IF(AND(ISNUMBER(JU10),ISNUMBER(JS10)),JU10-JS10,"")</f>
        <v>0</v>
      </c>
      <c r="JU10" s="33"/>
      <c r="JV10" s="34">
        <f>IF(AND(ISNUMBER(JW10),ISNUMBER(JU10)),JW10-JU10,"")</f>
        <v>0</v>
      </c>
      <c r="JW10" s="33"/>
      <c r="JX10" s="34">
        <f>IF(AND(ISNUMBER(JY10),ISNUMBER(JW10)),JY10-JW10,"")</f>
        <v>0</v>
      </c>
      <c r="JY10" s="33"/>
      <c r="JZ10" s="34">
        <f>IF(AND(ISNUMBER(KA10),ISNUMBER(JY10)),KA10-JY10,"")</f>
        <v>0</v>
      </c>
      <c r="KA10" s="33"/>
      <c r="KB10" s="34">
        <f>IF(AND(ISNUMBER(KC10),ISNUMBER(KA10)),KC10-KA10,"")</f>
        <v>0</v>
      </c>
      <c r="KC10" s="33"/>
      <c r="KD10" s="34">
        <f>IF(AND(ISNUMBER(KE10),ISNUMBER(KC10)),KE10-KC10,"")</f>
        <v>0</v>
      </c>
      <c r="KE10" s="33"/>
      <c r="KF10" s="34">
        <f>IF(AND(ISNUMBER(KG10),ISNUMBER(KE10)),KG10-KE10,"")</f>
        <v>0</v>
      </c>
      <c r="KG10" s="33"/>
      <c r="KH10" s="34">
        <f>IF(AND(ISNUMBER(KI10),ISNUMBER(KG10)),KI10-KG10,"")</f>
        <v>0</v>
      </c>
      <c r="KI10" s="33"/>
      <c r="KJ10" s="34">
        <f>IF(AND(ISNUMBER(KK10),ISNUMBER(KI10)),KK10-KI10,"")</f>
        <v>0</v>
      </c>
      <c r="KK10" s="33"/>
      <c r="KL10" s="34">
        <f>IF(AND(ISNUMBER(KM10),ISNUMBER(KK10)),KM10-KK10,"")</f>
        <v>0</v>
      </c>
      <c r="KM10" s="33"/>
      <c r="KN10" s="34">
        <f>IF(AND(ISNUMBER(KO10),ISNUMBER(KM10)),KO10-KM10,"")</f>
        <v>0</v>
      </c>
      <c r="KO10" s="33"/>
      <c r="KP10" s="34">
        <f>IF(AND(ISNUMBER(KQ10),ISNUMBER(KO10)),KQ10-KO10,"")</f>
        <v>0</v>
      </c>
      <c r="KQ10" s="33"/>
      <c r="KR10" s="34">
        <f>IF(AND(ISNUMBER(KS10),ISNUMBER(KQ10)),KS10-KQ10,"")</f>
        <v>0</v>
      </c>
      <c r="KS10" s="33"/>
      <c r="KT10" s="34">
        <f>IF(AND(ISNUMBER(KU10),ISNUMBER(KS10)),KU10-KS10,"")</f>
        <v>0</v>
      </c>
      <c r="KU10" s="33"/>
      <c r="KV10" s="34">
        <f>IF(AND(ISNUMBER(KW10),ISNUMBER(KU10)),KW10-KU10,"")</f>
        <v>0</v>
      </c>
      <c r="KW10" s="33"/>
      <c r="KX10" s="34">
        <f>IF(AND(ISNUMBER(KY10),ISNUMBER(KW10)),KY10-KW10,"")</f>
        <v>0</v>
      </c>
      <c r="KY10" s="33"/>
      <c r="KZ10" s="34">
        <f>IF(AND(ISNUMBER(LA10),ISNUMBER(KY10)),LA10-KY10,"")</f>
        <v>0</v>
      </c>
      <c r="LA10" s="33"/>
      <c r="LB10" s="34">
        <f>IF(AND(ISNUMBER(LC10),ISNUMBER(LA10)),LC10-LA10,"")</f>
        <v>0</v>
      </c>
      <c r="LC10" s="33"/>
      <c r="LD10" s="34">
        <f>IF(AND(ISNUMBER(LE10),ISNUMBER(LC10)),LE10-LC10,"")</f>
        <v>0</v>
      </c>
      <c r="LE10" s="33"/>
      <c r="LF10" s="34">
        <f>IF(AND(ISNUMBER(LG10),ISNUMBER(LE10)),LG10-LE10,"")</f>
        <v>0</v>
      </c>
      <c r="LG10" s="33"/>
      <c r="LJ10" s="35" t="s">
        <v>1085</v>
      </c>
    </row>
    <row r="11" spans="1:322" hidden="1" outlineLevel="1">
      <c r="A11" s="36" t="s">
        <v>727</v>
      </c>
      <c r="B11" s="23"/>
      <c r="C11" s="37" t="s">
        <v>728</v>
      </c>
      <c r="E11" s="32" t="s">
        <v>1081</v>
      </c>
      <c r="F11" s="38">
        <f>MIN(F15:F21)</f>
        <v>45689.0</v>
      </c>
      <c r="H11" s="38" t="s">
        <v>1082</v>
      </c>
      <c r="I11" s="33">
        <v>176</v>
      </c>
      <c r="J11" s="34">
        <f>IF(AND(ISNUMBER(K11),ISNUMBER(I11)),K11-I11,"")</f>
        <v>0</v>
      </c>
      <c r="K11" s="39">
        <f>IF(COUNT(K15:K21)=0,"",SUM(K15:K21))</f>
        <v>0</v>
      </c>
      <c r="L11" s="34">
        <f>IF(AND(ISNUMBER(M11),ISNUMBER(K11)),M11-K11,"")</f>
        <v>0</v>
      </c>
      <c r="M11" s="39">
        <f>IF(COUNT(M15:M21)=0,"",SUM(M15:M21))</f>
        <v>0</v>
      </c>
      <c r="N11" s="34">
        <f>IF(AND(ISNUMBER(O11),ISNUMBER(M11)),O11-M11,"")</f>
        <v>0</v>
      </c>
      <c r="O11" s="39">
        <f>IF(COUNT(O15:O21)=0,"",SUM(O15:O21))</f>
        <v>0</v>
      </c>
      <c r="P11" s="34">
        <f>IF(AND(ISNUMBER(Q11),ISNUMBER(O11)),Q11-O11,"")</f>
        <v>0</v>
      </c>
      <c r="Q11" s="39">
        <f>IF(COUNT(Q15:Q21)=0,"",SUM(Q15:Q21))</f>
        <v>0</v>
      </c>
      <c r="R11" s="34">
        <f>IF(AND(ISNUMBER(S11),ISNUMBER(Q11)),S11-Q11,"")</f>
        <v>0</v>
      </c>
      <c r="S11" s="39">
        <f>IF(COUNT(S15:S21)=0,"",SUM(S15:S21))</f>
        <v>0</v>
      </c>
      <c r="T11" s="34">
        <f>IF(AND(ISNUMBER(U11),ISNUMBER(S11)),U11-S11,"")</f>
        <v>0</v>
      </c>
      <c r="U11" s="39">
        <f>IF(COUNT(U15:U21)=0,"",SUM(U15:U21))</f>
        <v>0</v>
      </c>
      <c r="V11" s="34">
        <f>IF(AND(ISNUMBER(W11),ISNUMBER(U11)),W11-U11,"")</f>
        <v>0</v>
      </c>
      <c r="W11" s="39">
        <f>IF(COUNT(W15:W21)=0,"",SUM(W15:W21))</f>
        <v>0</v>
      </c>
      <c r="X11" s="34">
        <f>IF(AND(ISNUMBER(Y11),ISNUMBER(W11)),Y11-W11,"")</f>
        <v>0</v>
      </c>
      <c r="Y11" s="39">
        <f>IF(COUNT(Y15:Y21)=0,"",SUM(Y15:Y21))</f>
        <v>0</v>
      </c>
      <c r="Z11" s="34">
        <f>IF(AND(ISNUMBER(AA11),ISNUMBER(Y11)),AA11-Y11,"")</f>
        <v>0</v>
      </c>
      <c r="AA11" s="39">
        <f>IF(COUNT(AA15:AA21)=0,"",SUM(AA15:AA21))</f>
        <v>0</v>
      </c>
      <c r="AB11" s="34">
        <f>IF(AND(ISNUMBER(AC11),ISNUMBER(AA11)),AC11-AA11,"")</f>
        <v>0</v>
      </c>
      <c r="AC11" s="39">
        <f>IF(COUNT(AC15:AC21)=0,"",SUM(AC15:AC21))</f>
        <v>0</v>
      </c>
      <c r="AD11" s="34">
        <f>IF(AND(ISNUMBER(AE11),ISNUMBER(AC11)),AE11-AC11,"")</f>
        <v>0</v>
      </c>
      <c r="AE11" s="39">
        <f>IF(COUNT(AE15:AE21)=0,"",SUM(AE15:AE21))</f>
        <v>0</v>
      </c>
      <c r="AF11" s="34">
        <f>IF(AND(ISNUMBER(AG11),ISNUMBER(AE11)),AG11-AE11,"")</f>
        <v>0</v>
      </c>
      <c r="AG11" s="39">
        <f>IF(COUNT(AG15:AG21)=0,"",SUM(AG15:AG21))</f>
        <v>0</v>
      </c>
      <c r="AH11" s="34">
        <f>IF(AND(ISNUMBER(AI11),ISNUMBER(AG11)),AI11-AG11,"")</f>
        <v>0</v>
      </c>
      <c r="AI11" s="39">
        <f>IF(COUNT(AI15:AI21)=0,"",SUM(AI15:AI21))</f>
        <v>0</v>
      </c>
      <c r="AJ11" s="34">
        <f>IF(AND(ISNUMBER(AK11),ISNUMBER(AI11)),AK11-AI11,"")</f>
        <v>0</v>
      </c>
      <c r="AK11" s="39">
        <f>IF(COUNT(AK15:AK21)=0,"",SUM(AK15:AK21))</f>
        <v>0</v>
      </c>
      <c r="AL11" s="34">
        <f>IF(AND(ISNUMBER(AM11),ISNUMBER(AK11)),AM11-AK11,"")</f>
        <v>0</v>
      </c>
      <c r="AM11" s="39">
        <f>IF(COUNT(AM15:AM21)=0,"",SUM(AM15:AM21))</f>
        <v>0</v>
      </c>
      <c r="AN11" s="34">
        <f>IF(AND(ISNUMBER(AO11),ISNUMBER(AM11)),AO11-AM11,"")</f>
        <v>0</v>
      </c>
      <c r="AO11" s="39">
        <f>IF(COUNT(AO15:AO21)=0,"",SUM(AO15:AO21))</f>
        <v>0</v>
      </c>
      <c r="AP11" s="34">
        <f>IF(AND(ISNUMBER(AQ11),ISNUMBER(AO11)),AQ11-AO11,"")</f>
        <v>0</v>
      </c>
      <c r="AQ11" s="39">
        <f>IF(COUNT(AQ15:AQ21)=0,"",SUM(AQ15:AQ21))</f>
        <v>0</v>
      </c>
      <c r="AR11" s="34">
        <f>IF(AND(ISNUMBER(AS11),ISNUMBER(AQ11)),AS11-AQ11,"")</f>
        <v>0</v>
      </c>
      <c r="AS11" s="39">
        <f>IF(COUNT(AS15:AS21)=0,"",SUM(AS15:AS21))</f>
        <v>0</v>
      </c>
      <c r="AT11" s="34">
        <f>IF(AND(ISNUMBER(AU11),ISNUMBER(AS11)),AU11-AS11,"")</f>
        <v>0</v>
      </c>
      <c r="AU11" s="39">
        <f>IF(COUNT(AU15:AU21)=0,"",SUM(AU15:AU21))</f>
        <v>0</v>
      </c>
      <c r="AV11" s="34">
        <f>IF(AND(ISNUMBER(AW11),ISNUMBER(AU11)),AW11-AU11,"")</f>
        <v>0</v>
      </c>
      <c r="AW11" s="39">
        <f>IF(COUNT(AW15:AW21)=0,"",SUM(AW15:AW21))</f>
        <v>0</v>
      </c>
      <c r="AX11" s="34">
        <f>IF(AND(ISNUMBER(AY11),ISNUMBER(AW11)),AY11-AW11,"")</f>
        <v>0</v>
      </c>
      <c r="AY11" s="39">
        <f>IF(COUNT(AY15:AY21)=0,"",SUM(AY15:AY21))</f>
        <v>0</v>
      </c>
      <c r="AZ11" s="34">
        <f>IF(AND(ISNUMBER(BA11),ISNUMBER(AY11)),BA11-AY11,"")</f>
        <v>0</v>
      </c>
      <c r="BA11" s="39">
        <f>IF(COUNT(BA15:BA21)=0,"",SUM(BA15:BA21))</f>
        <v>0</v>
      </c>
      <c r="BB11" s="34">
        <f>IF(AND(ISNUMBER(BC11),ISNUMBER(BA11)),BC11-BA11,"")</f>
        <v>0</v>
      </c>
      <c r="BC11" s="40" t="s">
        <v>1078</v>
      </c>
      <c r="BD11" s="34">
        <f>IF(AND(ISNUMBER(BE11),ISNUMBER(BC11)),BE11-BC11,"")</f>
        <v>0</v>
      </c>
      <c r="BE11" s="39">
        <f>IF(COUNT(BE15:BE21)=0,"",SUM(BE15:BE21))</f>
        <v>0</v>
      </c>
      <c r="BF11" s="34">
        <f>IF(AND(ISNUMBER(BG11),ISNUMBER(BE11)),BG11-BE11,"")</f>
        <v>0</v>
      </c>
      <c r="BG11" s="39">
        <f>IF(COUNT(BG15:BG21)=0,"",SUM(BG15:BG21))</f>
        <v>0</v>
      </c>
      <c r="BH11" s="34">
        <f>IF(AND(ISNUMBER(BI11),ISNUMBER(BG11)),BI11-BG11,"")</f>
        <v>0</v>
      </c>
      <c r="BI11" s="39">
        <f>IF(COUNT(BI15:BI21)=0,"",SUM(BI15:BI21))</f>
        <v>0</v>
      </c>
      <c r="BJ11" s="34">
        <f>IF(AND(ISNUMBER(BK11),ISNUMBER(BI11)),BK11-BI11,"")</f>
        <v>0</v>
      </c>
      <c r="BK11" s="39">
        <f>IF(COUNT(BK15:BK21)=0,"",SUM(BK15:BK21))</f>
        <v>0</v>
      </c>
      <c r="BL11" s="34">
        <f>IF(AND(ISNUMBER(BM11),ISNUMBER(BK11)),BM11-BK11,"")</f>
        <v>0</v>
      </c>
      <c r="BM11" s="39">
        <f>IF(COUNT(BM15:BM21)=0,"",SUM(BM15:BM21))</f>
        <v>0</v>
      </c>
      <c r="BN11" s="34">
        <f>IF(AND(ISNUMBER(BO11),ISNUMBER(BM11)),BO11-BM11,"")</f>
        <v>0</v>
      </c>
      <c r="BO11" s="39">
        <f>IF(COUNT(BO15:BO21)=0,"",SUM(BO15:BO21))</f>
        <v>0</v>
      </c>
      <c r="BP11" s="34">
        <f>IF(AND(ISNUMBER(BQ11),ISNUMBER(BO11)),BQ11-BO11,"")</f>
        <v>0</v>
      </c>
      <c r="BQ11" s="39">
        <f>IF(COUNT(BQ15:BQ21)=0,"",SUM(BQ15:BQ21))</f>
        <v>0</v>
      </c>
      <c r="BR11" s="34">
        <f>IF(AND(ISNUMBER(BS11),ISNUMBER(BQ11)),BS11-BQ11,"")</f>
        <v>0</v>
      </c>
      <c r="BS11" s="39">
        <f>IF(COUNT(BS15:BS21)=0,"",SUM(BS15:BS21))</f>
        <v>0</v>
      </c>
      <c r="BT11" s="34">
        <f>IF(AND(ISNUMBER(BU11),ISNUMBER(BS11)),BU11-BS11,"")</f>
        <v>0</v>
      </c>
      <c r="BU11" s="39">
        <f>IF(COUNT(BU15:BU21)=0,"",SUM(BU15:BU21))</f>
        <v>0</v>
      </c>
      <c r="BV11" s="34">
        <f>IF(AND(ISNUMBER(BW11),ISNUMBER(BU11)),BW11-BU11,"")</f>
        <v>0</v>
      </c>
      <c r="BW11" s="39">
        <f>IF(COUNT(BW15:BW21)=0,"",SUM(BW15:BW21))</f>
        <v>0</v>
      </c>
      <c r="BX11" s="34">
        <f>IF(AND(ISNUMBER(BY11),ISNUMBER(BW11)),BY11-BW11,"")</f>
        <v>0</v>
      </c>
      <c r="BY11" s="39">
        <f>IF(COUNT(BY15:BY21)=0,"",SUM(BY15:BY21))</f>
        <v>0</v>
      </c>
      <c r="BZ11" s="34">
        <f>IF(AND(ISNUMBER(CA11),ISNUMBER(BY11)),CA11-BY11,"")</f>
        <v>0</v>
      </c>
      <c r="CA11" s="39">
        <f>IF(COUNT(CA15:CA20)=0,"",SUM(CA15:CA20))</f>
        <v>0</v>
      </c>
      <c r="CB11" s="34">
        <f>IF(AND(ISNUMBER(CC11),ISNUMBER(CA11)),CC11-CA11,"")</f>
        <v>0</v>
      </c>
      <c r="CC11" s="39">
        <f>IF(COUNT(CC15:CC21)=0,"",SUM(CC15:CC21))</f>
        <v>0</v>
      </c>
      <c r="CD11" s="34">
        <f>IF(AND(ISNUMBER(CE11),ISNUMBER(CC11)),CE11-CC11,"")</f>
        <v>0</v>
      </c>
      <c r="CE11" s="39">
        <f>IF(COUNT(CE15:CE21)=0,"",SUM(CE15:CE21))</f>
        <v>0</v>
      </c>
      <c r="CF11" s="34">
        <f>IF(AND(ISNUMBER(CG11),ISNUMBER(CE11)),CG11-CE11,"")</f>
        <v>0</v>
      </c>
      <c r="CG11" s="39">
        <f>IF(COUNT(CG15:CG21)=0,"",SUM(CG15:CG21))</f>
        <v>0</v>
      </c>
      <c r="CH11" s="34">
        <f>IF(AND(ISNUMBER(CI11),ISNUMBER(CG11)),CI11-CG11,"")</f>
        <v>0</v>
      </c>
      <c r="CI11" s="39">
        <f>IF(COUNT(CI15:CI21)=0,"",SUM(CI15:CI21))</f>
        <v>0</v>
      </c>
      <c r="CJ11" s="34">
        <f>IF(AND(ISNUMBER(CK11),ISNUMBER(CI11)),CK11-CI11,"")</f>
        <v>0</v>
      </c>
      <c r="CK11" s="39">
        <f>IF(COUNT(CK15:CK21)=0,"",SUM(CK15:CK21))</f>
        <v>0</v>
      </c>
      <c r="CL11" s="34">
        <f>IF(AND(ISNUMBER(CM11),ISNUMBER(CK11)),CM11-CK11,"")</f>
        <v>0</v>
      </c>
      <c r="CM11" s="39">
        <f>IF(COUNT(CM15:CM21)=0,"",SUM(CM15:CM21))</f>
        <v>0</v>
      </c>
      <c r="CN11" s="34">
        <f>IF(AND(ISNUMBER(CO11),ISNUMBER(CM11)),CO11-CM11,"")</f>
        <v>0</v>
      </c>
      <c r="CO11" s="39">
        <f>IF(COUNT(CO15:CO21)=0,"",SUM(CO15:CO21))</f>
        <v>0</v>
      </c>
      <c r="CP11" s="34">
        <f>IF(AND(ISNUMBER(CQ11),ISNUMBER(CO11)),CQ11-CO11,"")</f>
        <v>0</v>
      </c>
      <c r="CQ11" s="39">
        <f>IF(COUNT(CQ15:CQ21)=0,"",SUM(CQ15:CQ21))</f>
        <v>0</v>
      </c>
      <c r="CR11" s="34">
        <f>IF(AND(ISNUMBER(CS11),ISNUMBER(CQ11)),CS11-CQ11,"")</f>
        <v>0</v>
      </c>
      <c r="CS11" s="39">
        <f>IF(COUNT(CS15:CS21)=0,"",SUM(CS15:CS21))</f>
        <v>0</v>
      </c>
      <c r="CT11" s="34">
        <f>IF(AND(ISNUMBER(CU11),ISNUMBER(CS11)),CU11-CS11,"")</f>
        <v>0</v>
      </c>
      <c r="CU11" s="39">
        <f>IF(COUNT(CU15:CU21)=0,"",SUM(CU15:CU21))</f>
        <v>0</v>
      </c>
      <c r="CV11" s="34">
        <f>IF(AND(ISNUMBER(CW11),ISNUMBER(CU11)),CW11-CU11,"")</f>
        <v>0</v>
      </c>
      <c r="CW11" s="39">
        <f>IF(COUNT(CW15:CW21)=0,"",SUM(CW15:CW21))</f>
        <v>0</v>
      </c>
      <c r="CX11" s="34">
        <f>IF(AND(ISNUMBER(CY11),ISNUMBER(CW11)),CY11-CW11,"")</f>
        <v>0</v>
      </c>
      <c r="CY11" s="39">
        <f>IF(COUNT(CY15:CY21)=0,"",SUM(CY15:CY21))</f>
        <v>0</v>
      </c>
      <c r="CZ11" s="34">
        <f>IF(AND(ISNUMBER(DA11),ISNUMBER(CY11)),DA11-CY11,"")</f>
        <v>0</v>
      </c>
      <c r="DA11" s="33"/>
      <c r="DB11" s="34">
        <f>IF(AND(ISNUMBER(DC11),ISNUMBER(DA11)),DC11-DA11,"")</f>
        <v>0</v>
      </c>
      <c r="DC11" s="39">
        <f>IF(COUNT(DC15:DC21)=0,"",SUM(DC15:DC21))</f>
        <v>0</v>
      </c>
      <c r="DD11" s="34">
        <f>IF(AND(ISNUMBER(DE11),ISNUMBER(DC11)),DE11-DC11,"")</f>
        <v>0</v>
      </c>
      <c r="DE11" s="39">
        <f>IF(COUNT(DE15:DE21)=0,"",SUM(DE15:DE21))</f>
        <v>0</v>
      </c>
      <c r="DF11" s="34">
        <f>IF(AND(ISNUMBER(DG11),ISNUMBER(DE11)),DG11-DE11,"")</f>
        <v>0</v>
      </c>
      <c r="DG11" s="39">
        <f>IF(COUNT(DG15:DG21)=0,"",SUM(DG15:DG21))</f>
        <v>0</v>
      </c>
      <c r="DH11" s="34">
        <f>IF(AND(ISNUMBER(DI11),ISNUMBER(DG11)),DI11-DG11,"")</f>
        <v>0</v>
      </c>
      <c r="DI11" s="39">
        <f>IF(COUNT(DI15:DI21)=0,"",SUM(DI15:DI21))</f>
        <v>0</v>
      </c>
      <c r="DJ11" s="34">
        <f>IF(AND(ISNUMBER(DK11),ISNUMBER(DI11)),DK11-DI11,"")</f>
        <v>0</v>
      </c>
      <c r="DK11" s="39">
        <f>IF(COUNT(DK15:DK21)=0,"",SUM(DK15:DK21))</f>
        <v>0</v>
      </c>
      <c r="DL11" s="34">
        <f>IF(AND(ISNUMBER(DM11),ISNUMBER(DK11)),DM11-DK11,"")</f>
        <v>0</v>
      </c>
      <c r="DM11" s="39">
        <f>IF(COUNT(DM15:DM21)=0,"",SUM(DM15:DM21))</f>
        <v>0</v>
      </c>
      <c r="DN11" s="34">
        <f>IF(AND(ISNUMBER(DO11),ISNUMBER(DM11)),DO11-DM11,"")</f>
        <v>0</v>
      </c>
      <c r="DO11" s="39">
        <f>IF(COUNT(DO15:DO21)=0,"",SUM(DO15:DO21))</f>
        <v>0</v>
      </c>
      <c r="DP11" s="34">
        <f>IF(AND(ISNUMBER(DQ11),ISNUMBER(DO11)),DQ11-DO11,"")</f>
        <v>0</v>
      </c>
      <c r="DQ11" s="39">
        <f>IF(COUNT(DQ15:DQ21)=0,"",SUM(DQ15:DQ21))</f>
        <v>0</v>
      </c>
      <c r="DR11" s="34">
        <f>IF(AND(ISNUMBER(DS11),ISNUMBER(DQ11)),DS11-DQ11,"")</f>
        <v>0</v>
      </c>
      <c r="DS11" s="39">
        <f>IF(COUNT(DS15:DS21)=0,"",SUM(DS15:DS21))</f>
        <v>0</v>
      </c>
      <c r="DT11" s="34">
        <f>IF(AND(ISNUMBER(DU11),ISNUMBER(DS11)),DU11-DS11,"")</f>
        <v>0</v>
      </c>
      <c r="DU11" s="39">
        <f>IF(COUNT(DU15:DU21)=0,"",SUM(DU15:DU21))</f>
        <v>0</v>
      </c>
      <c r="DV11" s="34">
        <f>IF(AND(ISNUMBER(DW11),ISNUMBER(DU11)),DW11-DU11,"")</f>
        <v>0</v>
      </c>
      <c r="DW11" s="39">
        <f>IF(COUNT(DW15:DW21)=0,"",SUM(DW15:DW21))</f>
        <v>0</v>
      </c>
      <c r="DX11" s="34">
        <f>IF(AND(ISNUMBER(DY11),ISNUMBER(DW11)),DY11-DW11,"")</f>
        <v>0</v>
      </c>
      <c r="DY11" s="39">
        <f>IF(COUNT(DY15:DY21)=0,"",SUM(DY15:DY21))</f>
        <v>0</v>
      </c>
      <c r="DZ11" s="34">
        <f>IF(AND(ISNUMBER(EA11),ISNUMBER(DY11)),EA11-DY11,"")</f>
        <v>0</v>
      </c>
      <c r="EA11" s="39">
        <f>IF(COUNT(EA15:EA21)=0,"",SUM(EA15:EA21))</f>
        <v>0</v>
      </c>
      <c r="EB11" s="34">
        <f>IF(AND(ISNUMBER(EC11),ISNUMBER(EA11)),EC11-EA11,"")</f>
        <v>0</v>
      </c>
      <c r="EC11" s="39">
        <f>IF(COUNT(EC15:EC21)=0,"",SUM(EC15:EC21))</f>
        <v>0</v>
      </c>
      <c r="ED11" s="34">
        <f>IF(AND(ISNUMBER(EE11),ISNUMBER(EC11)),EE11-EC11,"")</f>
        <v>0</v>
      </c>
      <c r="EE11" s="39">
        <f>IF(COUNT(EE15:EE21)=0,"",SUM(EE15:EE21))</f>
        <v>0</v>
      </c>
      <c r="EF11" s="34">
        <f>IF(AND(ISNUMBER(EG11),ISNUMBER(EE11)),EG11-EE11,"")</f>
        <v>0</v>
      </c>
      <c r="EG11" s="39">
        <f>IF(COUNT(EG15:EG21)=0,"",SUM(EG15:EG21))</f>
        <v>0</v>
      </c>
      <c r="EH11" s="34">
        <f>IF(AND(ISNUMBER(EI11),ISNUMBER(EG11)),EI11-EG11,"")</f>
        <v>0</v>
      </c>
      <c r="EI11" s="39">
        <f>IF(COUNT(EI15:EI21)=0,"",SUM(EI15:EI21))</f>
        <v>0</v>
      </c>
      <c r="EJ11" s="34">
        <f>IF(AND(ISNUMBER(EK11),ISNUMBER(EI11)),EK11-EI11,"")</f>
        <v>0</v>
      </c>
      <c r="EK11" s="39">
        <f>IF(COUNT(EK15:EK21)=0,"",SUM(EK15:EK21))</f>
        <v>0</v>
      </c>
      <c r="EL11" s="34">
        <f>IF(AND(ISNUMBER(EM11),ISNUMBER(EK11)),EM11-EK11,"")</f>
        <v>0</v>
      </c>
      <c r="EM11" s="39">
        <f>IF(COUNT(EM15:EM21)=0,"",SUM(EM15:EM21))</f>
        <v>0</v>
      </c>
      <c r="EN11" s="34">
        <f>IF(AND(ISNUMBER(EO11),ISNUMBER(EM11)),EO11-EM11,"")</f>
        <v>0</v>
      </c>
      <c r="EO11" s="39">
        <f>IF(COUNT(EO15:EO21)=0,"",SUM(EO15:EO21))</f>
        <v>0</v>
      </c>
      <c r="EP11" s="34">
        <f>IF(AND(ISNUMBER(EQ11),ISNUMBER(EO11)),EQ11-EO11,"")</f>
        <v>0</v>
      </c>
      <c r="EQ11" s="39">
        <f>IF(COUNT(EQ15:EQ21)=0,"",SUM(EQ15:EQ21))</f>
        <v>0</v>
      </c>
      <c r="ER11" s="34">
        <f>IF(AND(ISNUMBER(ES11),ISNUMBER(EQ11)),ES11-EQ11,"")</f>
        <v>0</v>
      </c>
      <c r="ES11" s="39">
        <f>IF(COUNT(ES15:ES21)=0,"",SUM(ES15:ES21))</f>
        <v>0</v>
      </c>
      <c r="ET11" s="34">
        <f>IF(AND(ISNUMBER(EU11),ISNUMBER(ES11)),EU11-ES11,"")</f>
        <v>0</v>
      </c>
      <c r="EU11" s="39">
        <f>IF(COUNT(EU15:EU21)=0,"",SUM(EU15:EU21))</f>
        <v>0</v>
      </c>
      <c r="EV11" s="34">
        <f>IF(AND(ISNUMBER(EW11),ISNUMBER(EU11)),EW11-EU11,"")</f>
        <v>0</v>
      </c>
      <c r="EW11" s="39">
        <f>IF(COUNT(EW15:EW21)=0,"",SUM(EW15:EW21))</f>
        <v>0</v>
      </c>
      <c r="EX11" s="34">
        <f>IF(AND(ISNUMBER(EY11),ISNUMBER(EW11)),EY11-EW11,"")</f>
        <v>0</v>
      </c>
      <c r="EY11" s="39">
        <f>IF(COUNT(EY15:EY21)=0,"",SUM(EY15:EY21))</f>
        <v>0</v>
      </c>
      <c r="EZ11" s="34">
        <f>IF(AND(ISNUMBER(FA11),ISNUMBER(EY11)),FA11-EY11,"")</f>
        <v>0</v>
      </c>
      <c r="FA11" s="39">
        <f>IF(COUNT(FA15:FA21)=0,"",SUM(FA15:FA21))</f>
        <v>0</v>
      </c>
      <c r="FB11" s="34">
        <f>IF(AND(ISNUMBER(FC11),ISNUMBER(FA11)),FC11-FA11,"")</f>
        <v>0</v>
      </c>
      <c r="FC11" s="39">
        <f>IF(COUNT(FC15:FC21)=0,"",SUM(FC15:FC21))</f>
        <v>0</v>
      </c>
      <c r="FD11" s="34">
        <f>IF(AND(ISNUMBER(FE11),ISNUMBER(FC11)),FE11-FC11,"")</f>
        <v>0</v>
      </c>
      <c r="FE11" s="39">
        <f>IF(COUNT(FE15:FE21)=0,"",SUM(FE15:FE21))</f>
        <v>0</v>
      </c>
      <c r="FF11" s="34">
        <f>IF(AND(ISNUMBER(FG11),ISNUMBER(FE11)),FG11-FE11,"")</f>
        <v>0</v>
      </c>
      <c r="FG11" s="39">
        <f>IF(COUNT(FG15:FG21)=0,"",SUM(FG15:FG21))</f>
        <v>0</v>
      </c>
      <c r="FH11" s="34">
        <f>IF(AND(ISNUMBER(FI11),ISNUMBER(FG11)),FI11-FG11,"")</f>
        <v>0</v>
      </c>
      <c r="FI11" s="39">
        <f>IF(COUNT(FI15:FI21)=0,"",SUM(FI15:FI21))</f>
        <v>0</v>
      </c>
      <c r="FJ11" s="34">
        <f>IF(AND(ISNUMBER(FK11),ISNUMBER(FI11)),FK11-FI11,"")</f>
        <v>0</v>
      </c>
      <c r="FK11" s="39">
        <f>IF(COUNT(FK15:FK21)=0,"",SUM(FK15:FK21))</f>
        <v>0</v>
      </c>
      <c r="FL11" s="34">
        <f>IF(AND(ISNUMBER(FM11),ISNUMBER(FK11)),FM11-FK11,"")</f>
        <v>0</v>
      </c>
      <c r="FM11" s="39">
        <f>IF(COUNT(FM15:FM21)=0,"",SUM(FM15:FM21))</f>
        <v>0</v>
      </c>
      <c r="FN11" s="34">
        <f>IF(AND(ISNUMBER(FO11),ISNUMBER(FM11)),FO11-FM11,"")</f>
        <v>0</v>
      </c>
      <c r="FO11" s="39">
        <f>IF(COUNT(FO15:FO21)=0,"",SUM(FO15:FO21))</f>
        <v>0</v>
      </c>
      <c r="FP11" s="34">
        <f>IF(AND(ISNUMBER(FQ11),ISNUMBER(FO11)),FQ11-FO11,"")</f>
        <v>0</v>
      </c>
      <c r="FQ11" s="39">
        <f>IF(COUNT(FQ15:FQ21)=0,"",SUM(FQ15:FQ21))</f>
        <v>0</v>
      </c>
      <c r="FR11" s="34">
        <f>IF(AND(ISNUMBER(FS11),ISNUMBER(FQ11)),FS11-FQ11,"")</f>
        <v>0</v>
      </c>
      <c r="FS11" s="39">
        <f>IF(COUNT(FS15:FS21)=0,"",SUM(FS15:FS21))</f>
        <v>0</v>
      </c>
      <c r="FT11" s="34">
        <f>IF(AND(ISNUMBER(FU11),ISNUMBER(FS11)),FU11-FS11,"")</f>
        <v>0</v>
      </c>
      <c r="FU11" s="39">
        <f>IF(COUNT(FU15:FU21)=0,"",SUM(FU15:FU21))</f>
        <v>0</v>
      </c>
      <c r="FV11" s="34">
        <f>IF(AND(ISNUMBER(FW11),ISNUMBER(FU11)),FW11-FU11,"")</f>
        <v>0</v>
      </c>
      <c r="FW11" s="39">
        <f>IF(COUNT(FW15:FW21)=0,"",SUM(FW15:FW21))</f>
        <v>0</v>
      </c>
      <c r="FX11" s="34">
        <f>IF(AND(ISNUMBER(FY11),ISNUMBER(FW11)),FY11-FW11,"")</f>
        <v>0</v>
      </c>
      <c r="FY11" s="39">
        <f>IF(COUNT(FY15:FY21)=0,"",SUM(FY15:FY21))</f>
        <v>0</v>
      </c>
      <c r="FZ11" s="34">
        <f>IF(AND(ISNUMBER(GA11),ISNUMBER(FY11)),GA11-FY11,"")</f>
        <v>0</v>
      </c>
      <c r="GA11" s="39">
        <f>IF(COUNT(GA15:GA21)=0,"",SUM(GA15:GA21))</f>
        <v>0</v>
      </c>
      <c r="GB11" s="34">
        <f>IF(AND(ISNUMBER(GC11),ISNUMBER(GA11)),GC11-GA11,"")</f>
        <v>0</v>
      </c>
      <c r="GC11" s="39">
        <f>IF(COUNT(GC15:GC21)=0,"",SUM(GC15:GC21))</f>
        <v>0</v>
      </c>
      <c r="GD11" s="34">
        <f>IF(AND(ISNUMBER(GE11),ISNUMBER(GC11)),GE11-GC11,"")</f>
        <v>0</v>
      </c>
      <c r="GE11" s="39">
        <f>IF(COUNT(GE15:GE21)=0,"",SUM(GE15:GE21))</f>
        <v>0</v>
      </c>
      <c r="GF11" s="34">
        <f>IF(AND(ISNUMBER(GG11),ISNUMBER(GE11)),GG11-GE11,"")</f>
        <v>0</v>
      </c>
      <c r="GG11" s="39">
        <f>IF(COUNT(GG15:GG21)=0,"",SUM(GG15:GG21))</f>
        <v>0</v>
      </c>
      <c r="GH11" s="34">
        <f>IF(AND(ISNUMBER(GI11),ISNUMBER(GG11)),GI11-GG11,"")</f>
        <v>0</v>
      </c>
      <c r="GI11" s="39">
        <f>IF(COUNT(GI15:GI21)=0,"",SUM(GI15:GI21))</f>
        <v>0</v>
      </c>
      <c r="GJ11" s="34">
        <f>IF(AND(ISNUMBER(GK11),ISNUMBER(GI11)),GK11-GI11,"")</f>
        <v>0</v>
      </c>
      <c r="GK11" s="39">
        <f>IF(COUNT(GK15:GK21)=0,"",SUM(GK15:GK21))</f>
        <v>0</v>
      </c>
      <c r="GL11" s="34">
        <f>IF(AND(ISNUMBER(GM11),ISNUMBER(GK11)),GM11-GK11,"")</f>
        <v>0</v>
      </c>
      <c r="GM11" s="39">
        <f>IF(COUNT(GM15:GM21)=0,"",SUM(GM15:GM21))</f>
        <v>0</v>
      </c>
      <c r="GN11" s="34">
        <f>IF(AND(ISNUMBER(GO11),ISNUMBER(GM11)),GO11-GM11,"")</f>
        <v>0</v>
      </c>
      <c r="GO11" s="39">
        <f>IF(COUNT(GO15:GO21)=0,"",SUM(GO15:GO21))</f>
        <v>0</v>
      </c>
      <c r="GP11" s="34">
        <f>IF(AND(ISNUMBER(GQ11),ISNUMBER(GO11)),GQ11-GO11,"")</f>
        <v>0</v>
      </c>
      <c r="GQ11" s="39">
        <f>IF(COUNT(GQ15:GQ21)=0,"",SUM(GQ15:GQ21))</f>
        <v>0</v>
      </c>
      <c r="GR11" s="34">
        <f>IF(AND(ISNUMBER(GS11),ISNUMBER(GQ11)),GS11-GQ11,"")</f>
        <v>0</v>
      </c>
      <c r="GS11" s="39">
        <f>IF(COUNT(GS15:GS21)=0,"",SUM(GS15:GS21))</f>
        <v>0</v>
      </c>
      <c r="GT11" s="34">
        <f>IF(AND(ISNUMBER(GU11),ISNUMBER(GS11)),GU11-GS11,"")</f>
        <v>0</v>
      </c>
      <c r="GU11" s="39">
        <f>IF(COUNT(GU15:GU21)=0,"",SUM(GU15:GU21))</f>
        <v>0</v>
      </c>
      <c r="GV11" s="34">
        <f>IF(AND(ISNUMBER(GW11),ISNUMBER(GU11)),GW11-GU11,"")</f>
        <v>0</v>
      </c>
      <c r="GW11" s="39">
        <f>IF(COUNT(GW15:GW21)=0,"",SUM(GW15:GW21))</f>
        <v>0</v>
      </c>
      <c r="GX11" s="34">
        <f>IF(AND(ISNUMBER(GY11),ISNUMBER(GW11)),GY11-GW11,"")</f>
        <v>0</v>
      </c>
      <c r="GY11" s="39">
        <f>IF(COUNT(GY15:GY21)=0,"",SUM(GY15:GY21))</f>
        <v>0</v>
      </c>
      <c r="GZ11" s="34">
        <f>IF(AND(ISNUMBER(HA11),ISNUMBER(GY11)),HA11-GY11,"")</f>
        <v>0</v>
      </c>
      <c r="HA11" s="39">
        <f>IF(COUNT(HA15:HA21)=0,"",SUM(HA15:HA21))</f>
        <v>0</v>
      </c>
      <c r="HB11" s="34">
        <f>IF(AND(ISNUMBER(HC11),ISNUMBER(HA11)),HC11-HA11,"")</f>
        <v>0</v>
      </c>
      <c r="HC11" s="39">
        <f>IF(COUNT(HC15:HC21)=0,"",SUM(HC15:HC21))</f>
        <v>0</v>
      </c>
      <c r="HD11" s="34">
        <f>IF(AND(ISNUMBER(HE11),ISNUMBER(HC11)),HE11-HC11,"")</f>
        <v>0</v>
      </c>
      <c r="HE11" s="39">
        <f>IF(COUNT(HE15:HE21)=0,"",SUM(HE15:HE21))</f>
        <v>0</v>
      </c>
      <c r="HF11" s="34">
        <f>IF(AND(ISNUMBER(HG11),ISNUMBER(HE11)),HG11-HE11,"")</f>
        <v>0</v>
      </c>
      <c r="HG11" s="39">
        <f>IF(COUNT(HG15:HG21)=0,"",SUM(HG15:HG21))</f>
        <v>0</v>
      </c>
      <c r="HH11" s="34">
        <f>IF(AND(ISNUMBER(HI11),ISNUMBER(HG11)),HI11-HG11,"")</f>
        <v>0</v>
      </c>
      <c r="HI11" s="39">
        <f>IF(COUNT(HI15:HI21)=0,"",SUM(HI15:HI21))</f>
        <v>0</v>
      </c>
      <c r="HJ11" s="34">
        <f>IF(AND(ISNUMBER(HK11),ISNUMBER(HI11)),HK11-HI11,"")</f>
        <v>0</v>
      </c>
      <c r="HK11" s="39">
        <f>IF(COUNT(HK15:HK21)=0,"",SUM(HK15:HK21))</f>
        <v>0</v>
      </c>
      <c r="HL11" s="34">
        <f>IF(AND(ISNUMBER(HM11),ISNUMBER(HK11)),HM11-HK11,"")</f>
        <v>0</v>
      </c>
      <c r="HM11" s="39">
        <f>IF(COUNT(HM15:HM21)=0,"",SUM(HM15:HM21))</f>
        <v>0</v>
      </c>
      <c r="HN11" s="34">
        <f>IF(AND(ISNUMBER(HO11),ISNUMBER(HM11)),HO11-HM11,"")</f>
        <v>0</v>
      </c>
      <c r="HO11" s="39">
        <f>IF(COUNT(HO15:HO21)=0,"",SUM(HO15:HO21))</f>
        <v>0</v>
      </c>
      <c r="HP11" s="34">
        <f>IF(AND(ISNUMBER(HQ11),ISNUMBER(HO11)),HQ11-HO11,"")</f>
        <v>0</v>
      </c>
      <c r="HQ11" s="39">
        <f>IF(COUNT(HQ15:HQ21)=0,"",SUM(HQ15:HQ21))</f>
        <v>0</v>
      </c>
      <c r="HR11" s="34">
        <f>IF(AND(ISNUMBER(HS11),ISNUMBER(HQ11)),HS11-HQ11,"")</f>
        <v>0</v>
      </c>
      <c r="HS11" s="39">
        <f>IF(COUNT(HS15:HS21)=0,"",SUM(HS15:HS21))</f>
        <v>0</v>
      </c>
      <c r="HT11" s="34">
        <f>IF(AND(ISNUMBER(HU11),ISNUMBER(HS11)),HU11-HS11,"")</f>
        <v>0</v>
      </c>
      <c r="HU11" s="39">
        <f>IF(COUNT(HU15:HU21)=0,"",SUM(HU15:HU21))</f>
        <v>0</v>
      </c>
      <c r="HV11" s="34">
        <f>IF(AND(ISNUMBER(HW11),ISNUMBER(HU11)),HW11-HU11,"")</f>
        <v>0</v>
      </c>
      <c r="HW11" s="39">
        <f>IF(COUNT(HW15:HW21)=0,"",SUM(HW15:HW21))</f>
        <v>0</v>
      </c>
      <c r="HX11" s="34">
        <f>IF(AND(ISNUMBER(HY11),ISNUMBER(HW11)),HY11-HW11,"")</f>
        <v>0</v>
      </c>
      <c r="HY11" s="39">
        <f>IF(COUNT(HY15:HY21)=0,"",SUM(HY15:HY21))</f>
        <v>0</v>
      </c>
      <c r="HZ11" s="34">
        <f>IF(AND(ISNUMBER(IA11),ISNUMBER(HY11)),IA11-HY11,"")</f>
        <v>0</v>
      </c>
      <c r="IA11" s="39">
        <f>IF(COUNT(IA15:IA21)=0,"",SUM(IA15:IA21))</f>
        <v>0</v>
      </c>
      <c r="IB11" s="34">
        <f>IF(AND(ISNUMBER(IC11),ISNUMBER(IA11)),IC11-IA11,"")</f>
        <v>0</v>
      </c>
      <c r="IC11" s="39">
        <f>IF(COUNT(IC15:IC21)=0,"",SUM(IC15:IC21))</f>
        <v>0</v>
      </c>
      <c r="ID11" s="34">
        <f>IF(AND(ISNUMBER(IE11),ISNUMBER(IC11)),IE11-IC11,"")</f>
        <v>0</v>
      </c>
      <c r="IE11" s="39">
        <f>IF(COUNT(IE15:IE21)=0,"",SUM(IE15:IE21))</f>
        <v>0</v>
      </c>
      <c r="IF11" s="34">
        <f>IF(AND(ISNUMBER(IG11),ISNUMBER(IE11)),IG11-IE11,"")</f>
        <v>0</v>
      </c>
      <c r="IG11" s="39">
        <f>IF(COUNT(IG15:IG21)=0,"",SUM(IG15:IG21))</f>
        <v>0</v>
      </c>
      <c r="IH11" s="34">
        <f>IF(AND(ISNUMBER(II11),ISNUMBER(IG11)),II11-IG11,"")</f>
        <v>0</v>
      </c>
      <c r="II11" s="39">
        <f>IF(COUNT(II15:II21)=0,"",SUM(II15:II21))</f>
        <v>0</v>
      </c>
      <c r="IJ11" s="34">
        <f>IF(AND(ISNUMBER(IK11),ISNUMBER(II11)),IK11-II11,"")</f>
        <v>0</v>
      </c>
      <c r="IK11" s="39">
        <f>IF(COUNT(IK15:IK21)=0,"",SUM(IK15:IK21))</f>
        <v>0</v>
      </c>
      <c r="IL11" s="34">
        <f>IF(AND(ISNUMBER(IM11),ISNUMBER(IK11)),IM11-IK11,"")</f>
        <v>0</v>
      </c>
      <c r="IM11" s="39">
        <f>IF(COUNT(IM15:IM21)=0,"",SUM(IM15:IM21))</f>
        <v>0</v>
      </c>
      <c r="IN11" s="34">
        <f>IF(AND(ISNUMBER(IO11),ISNUMBER(IM11)),IO11-IM11,"")</f>
        <v>0</v>
      </c>
      <c r="IO11" s="39">
        <f>IF(COUNT(IO15:IO21)=0,"",SUM(IO15:IO21))</f>
        <v>0</v>
      </c>
      <c r="IP11" s="34">
        <f>IF(AND(ISNUMBER(IQ11),ISNUMBER(IO11)),IQ11-IO11,"")</f>
        <v>0</v>
      </c>
      <c r="IQ11" s="39">
        <f>IF(COUNT(IQ15:IQ21)=0,"",SUM(IQ15:IQ21))</f>
        <v>0</v>
      </c>
      <c r="IR11" s="34">
        <f>IF(AND(ISNUMBER(IS11),ISNUMBER(IQ11)),IS11-IQ11,"")</f>
        <v>0</v>
      </c>
      <c r="IS11" s="39">
        <f>IF(COUNT(IS15:IS21)=0,"",SUM(IS15:IS21))</f>
        <v>0</v>
      </c>
      <c r="IT11" s="34">
        <f>IF(AND(ISNUMBER(IU11),ISNUMBER(IS11)),IU11-IS11,"")</f>
        <v>0</v>
      </c>
      <c r="IU11" s="39">
        <f>IF(COUNT(IU15:IU21)=0,"",SUM(IU15:IU21))</f>
        <v>0</v>
      </c>
      <c r="IV11" s="34">
        <f>IF(AND(ISNUMBER(IW11),ISNUMBER(IU11)),IW11-IU11,"")</f>
        <v>0</v>
      </c>
      <c r="IW11" s="39">
        <f>IF(COUNT(IW15:IW21)=0,"",SUM(IW15:IW21))</f>
        <v>0</v>
      </c>
      <c r="IX11" s="34">
        <f>IF(AND(ISNUMBER(IY11),ISNUMBER(IW11)),IY11-IW11,"")</f>
        <v>0</v>
      </c>
      <c r="IY11" s="39">
        <f>IF(COUNT(IY15:IY21)=0,"",SUM(IY15:IY21))</f>
        <v>0</v>
      </c>
      <c r="IZ11" s="34">
        <f>IF(AND(ISNUMBER(JA11),ISNUMBER(IY11)),JA11-IY11,"")</f>
        <v>0</v>
      </c>
      <c r="JA11" s="39">
        <f>IF(COUNT(JA15:JA21)=0,"",SUM(JA15:JA21))</f>
        <v>0</v>
      </c>
      <c r="JB11" s="34">
        <f>IF(AND(ISNUMBER(JC11),ISNUMBER(JA11)),JC11-JA11,"")</f>
        <v>0</v>
      </c>
      <c r="JC11" s="39">
        <f>IF(COUNT(JC15:JC21)=0,"",SUM(JC15:JC21))</f>
        <v>0</v>
      </c>
      <c r="JD11" s="34">
        <f>IF(AND(ISNUMBER(JE11),ISNUMBER(JC11)),JE11-JC11,"")</f>
        <v>0</v>
      </c>
      <c r="JE11" s="39">
        <f>IF(COUNT(JE15:JE21)=0,"",SUM(JE15:JE21))</f>
        <v>0</v>
      </c>
      <c r="JF11" s="34">
        <f>IF(AND(ISNUMBER(JG11),ISNUMBER(JE11)),JG11-JE11,"")</f>
        <v>0</v>
      </c>
      <c r="JG11" s="39">
        <f>IF(COUNT(JG15:JG21)=0,"",SUM(JG15:JG21))</f>
        <v>0</v>
      </c>
      <c r="JH11" s="34">
        <f>IF(AND(ISNUMBER(JI11),ISNUMBER(JG11)),JI11-JG11,"")</f>
        <v>0</v>
      </c>
      <c r="JI11" s="39">
        <f>IF(COUNT(JI15:JI21)=0,"",SUM(JI15:JI21))</f>
        <v>0</v>
      </c>
      <c r="JJ11" s="34">
        <f>IF(AND(ISNUMBER(JK11),ISNUMBER(JI11)),JK11-JI11,"")</f>
        <v>0</v>
      </c>
      <c r="JK11" s="39">
        <f>IF(COUNT(JK15:JK21)=0,"",SUM(JK15:JK21))</f>
        <v>0</v>
      </c>
      <c r="JL11" s="34">
        <f>IF(AND(ISNUMBER(JM11),ISNUMBER(JK11)),JM11-JK11,"")</f>
        <v>0</v>
      </c>
      <c r="JM11" s="39">
        <f>IF(COUNT(JM15:JM21)=0,"",SUM(JM15:JM21))</f>
        <v>0</v>
      </c>
      <c r="JN11" s="34">
        <f>IF(AND(ISNUMBER(JO11),ISNUMBER(JM11)),JO11-JM11,"")</f>
        <v>0</v>
      </c>
      <c r="JO11" s="39">
        <f>IF(COUNT(JO15:JO21)=0,"",SUM(JO15:JO21))</f>
        <v>0</v>
      </c>
      <c r="JP11" s="34">
        <f>IF(AND(ISNUMBER(JQ11),ISNUMBER(JO11)),JQ11-JO11,"")</f>
        <v>0</v>
      </c>
      <c r="JQ11" s="39">
        <f>IF(COUNT(JQ15:JQ21)=0,"",SUM(JQ15:JQ21))</f>
        <v>0</v>
      </c>
      <c r="JR11" s="34">
        <f>IF(AND(ISNUMBER(JS11),ISNUMBER(JQ11)),JS11-JQ11,"")</f>
        <v>0</v>
      </c>
      <c r="JS11" s="39">
        <f>IF(COUNT(JS15:JS21)=0,"",SUM(JS15:JS21))</f>
        <v>0</v>
      </c>
      <c r="JT11" s="34">
        <f>IF(AND(ISNUMBER(JU11),ISNUMBER(JS11)),JU11-JS11,"")</f>
        <v>0</v>
      </c>
      <c r="JU11" s="39">
        <f>IF(COUNT(JU15:JU21)=0,"",SUM(JU15:JU21))</f>
        <v>0</v>
      </c>
      <c r="JV11" s="34">
        <f>IF(AND(ISNUMBER(JW11),ISNUMBER(JU11)),JW11-JU11,"")</f>
        <v>0</v>
      </c>
      <c r="JW11" s="39">
        <f>IF(COUNT(JW15:JW21)=0,"",SUM(JW15:JW21))</f>
        <v>0</v>
      </c>
      <c r="JX11" s="34">
        <f>IF(AND(ISNUMBER(JY11),ISNUMBER(JW11)),JY11-JW11,"")</f>
        <v>0</v>
      </c>
      <c r="JY11" s="39">
        <f>IF(COUNT(JY15:JY21)=0,"",SUM(JY15:JY21))</f>
        <v>0</v>
      </c>
      <c r="JZ11" s="34">
        <f>IF(AND(ISNUMBER(KA11),ISNUMBER(JY11)),KA11-JY11,"")</f>
        <v>0</v>
      </c>
      <c r="KA11" s="39">
        <f>IF(COUNT(KA15:KA21)=0,"",SUM(KA15:KA21))</f>
        <v>0</v>
      </c>
      <c r="KB11" s="34">
        <f>IF(AND(ISNUMBER(KC11),ISNUMBER(KA11)),KC11-KA11,"")</f>
        <v>0</v>
      </c>
      <c r="KC11" s="39">
        <f>IF(COUNT(KC15:KC21)=0,"",SUM(KC15:KC21))</f>
        <v>0</v>
      </c>
      <c r="KD11" s="34">
        <f>IF(AND(ISNUMBER(KE11),ISNUMBER(KC11)),KE11-KC11,"")</f>
        <v>0</v>
      </c>
      <c r="KE11" s="39">
        <f>IF(COUNT(KE15:KE21)=0,"",SUM(KE15:KE21))</f>
        <v>0</v>
      </c>
      <c r="KF11" s="34">
        <f>IF(AND(ISNUMBER(KG11),ISNUMBER(KE11)),KG11-KE11,"")</f>
        <v>0</v>
      </c>
      <c r="KG11" s="39">
        <f>IF(COUNT(KG15:KG21)=0,"",SUM(KG15:KG21))</f>
        <v>0</v>
      </c>
      <c r="KH11" s="34">
        <f>IF(AND(ISNUMBER(KI11),ISNUMBER(KG11)),KI11-KG11,"")</f>
        <v>0</v>
      </c>
      <c r="KI11" s="39">
        <f>IF(COUNT(KI15:KI21)=0,"",SUM(KI15:KI21))</f>
        <v>0</v>
      </c>
      <c r="KJ11" s="34">
        <f>IF(AND(ISNUMBER(KK11),ISNUMBER(KI11)),KK11-KI11,"")</f>
        <v>0</v>
      </c>
      <c r="KK11" s="39">
        <f>IF(COUNT(KK15:KK21)=0,"",SUM(KK15:KK21))</f>
        <v>0</v>
      </c>
      <c r="KL11" s="34">
        <f>IF(AND(ISNUMBER(KM11),ISNUMBER(KK11)),KM11-KK11,"")</f>
        <v>0</v>
      </c>
      <c r="KM11" s="39">
        <f>IF(COUNT(KM15:KM21)=0,"",SUM(KM15:KM21))</f>
        <v>0</v>
      </c>
      <c r="KN11" s="34">
        <f>IF(AND(ISNUMBER(KO11),ISNUMBER(KM11)),KO11-KM11,"")</f>
        <v>0</v>
      </c>
      <c r="KO11" s="39">
        <f>IF(COUNT(KO15:KO21)=0,"",SUM(KO15:KO21))</f>
        <v>0</v>
      </c>
      <c r="KP11" s="34">
        <f>IF(AND(ISNUMBER(KQ11),ISNUMBER(KO11)),KQ11-KO11,"")</f>
        <v>0</v>
      </c>
      <c r="KQ11" s="39">
        <f>IF(COUNT(KQ15:KQ21)=0,"",SUM(KQ15:KQ21))</f>
        <v>0</v>
      </c>
      <c r="KR11" s="34">
        <f>IF(AND(ISNUMBER(KS11),ISNUMBER(KQ11)),KS11-KQ11,"")</f>
        <v>0</v>
      </c>
      <c r="KS11" s="39">
        <f>IF(COUNT(KS15:KS21)=0,"",SUM(KS15:KS21))</f>
        <v>0</v>
      </c>
      <c r="KT11" s="34">
        <f>IF(AND(ISNUMBER(KU11),ISNUMBER(KS11)),KU11-KS11,"")</f>
        <v>0</v>
      </c>
      <c r="KU11" s="39">
        <f>IF(COUNT(KU15:KU21)=0,"",SUM(KU15:KU21))</f>
        <v>0</v>
      </c>
      <c r="KV11" s="34">
        <f>IF(AND(ISNUMBER(KW11),ISNUMBER(KU11)),KW11-KU11,"")</f>
        <v>0</v>
      </c>
      <c r="KW11" s="39">
        <f>IF(COUNT(KW15:KW21)=0,"",SUM(KW15:KW21))</f>
        <v>0</v>
      </c>
      <c r="KX11" s="34">
        <f>IF(AND(ISNUMBER(KY11),ISNUMBER(KW11)),KY11-KW11,"")</f>
        <v>0</v>
      </c>
      <c r="KY11" s="39">
        <f>IF(COUNT(KY15:KY21)=0,"",SUM(KY15:KY21))</f>
        <v>0</v>
      </c>
      <c r="KZ11" s="34">
        <f>IF(AND(ISNUMBER(LA11),ISNUMBER(KY11)),LA11-KY11,"")</f>
        <v>0</v>
      </c>
      <c r="LA11" s="39">
        <f>IF(COUNT(LA15:LA21)=0,"",SUM(LA15:LA21))</f>
        <v>0</v>
      </c>
      <c r="LB11" s="34">
        <f>IF(AND(ISNUMBER(LC11),ISNUMBER(LA11)),LC11-LA11,"")</f>
        <v>0</v>
      </c>
      <c r="LC11" s="39">
        <f>IF(COUNT(LC15:LC21)=0,"",SUM(LC15:LC21))</f>
        <v>0</v>
      </c>
      <c r="LD11" s="34">
        <f>IF(AND(ISNUMBER(LE11),ISNUMBER(LC11)),LE11-LC11,"")</f>
        <v>0</v>
      </c>
      <c r="LE11" s="39">
        <f>IF(COUNT(LE15:LE21)=0,"",SUM(LE15:LE21))</f>
        <v>0</v>
      </c>
      <c r="LF11" s="34">
        <f>IF(AND(ISNUMBER(LG11),ISNUMBER(LE11)),LG11-LE11,"")</f>
        <v>0</v>
      </c>
      <c r="LG11" s="39">
        <f>IF(COUNT(LG15:LG21)=0,"",SUM(LG15:LG21))</f>
        <v>0</v>
      </c>
      <c r="LJ11" s="35" t="s">
        <v>1086</v>
      </c>
    </row>
    <row r="12" spans="1:322" hidden="1" outlineLevel="1">
      <c r="B12" s="23"/>
    </row>
    <row r="13" spans="1:322" hidden="1" outlineLevel="1">
      <c r="B13" s="23"/>
    </row>
    <row r="14" spans="1:322" hidden="1" outlineLevel="1">
      <c r="B14" s="23"/>
    </row>
    <row r="15" spans="1:322" hidden="1" outlineLevel="1">
      <c r="B15" s="23"/>
      <c r="D15" s="31" t="s">
        <v>710</v>
      </c>
      <c r="E15" s="32" t="s">
        <v>1083</v>
      </c>
      <c r="F15" s="38" t="s">
        <v>1087</v>
      </c>
      <c r="I15" s="40" t="s">
        <v>1088</v>
      </c>
      <c r="J15" s="34">
        <f>IF(AND(ISNUMBER(K15),ISNUMBER(I15)),K15-I15,"")</f>
        <v>0</v>
      </c>
      <c r="K15" s="33">
        <v>5</v>
      </c>
      <c r="L15" s="34">
        <f>IF(AND(ISNUMBER(M15),ISNUMBER(K15)),M15-K15,"")</f>
        <v>0</v>
      </c>
      <c r="M15" s="40" t="s">
        <v>1088</v>
      </c>
      <c r="N15" s="34">
        <f>IF(AND(ISNUMBER(O15),ISNUMBER(M15)),O15-M15,"")</f>
        <v>0</v>
      </c>
      <c r="O15" s="33">
        <v>8</v>
      </c>
      <c r="P15" s="34">
        <f>IF(AND(ISNUMBER(Q15),ISNUMBER(O15)),Q15-O15,"")</f>
        <v>0</v>
      </c>
      <c r="Q15" s="33">
        <v>4</v>
      </c>
      <c r="R15" s="34">
        <f>IF(AND(ISNUMBER(S15),ISNUMBER(Q15)),S15-Q15,"")</f>
        <v>0</v>
      </c>
      <c r="S15" s="33">
        <v>3</v>
      </c>
      <c r="T15" s="34">
        <f>IF(AND(ISNUMBER(U15),ISNUMBER(S15)),U15-S15,"")</f>
        <v>0</v>
      </c>
      <c r="U15" s="33">
        <v>13</v>
      </c>
      <c r="V15" s="34">
        <f>IF(AND(ISNUMBER(W15),ISNUMBER(U15)),W15-U15,"")</f>
        <v>0</v>
      </c>
      <c r="W15" s="33">
        <v>5</v>
      </c>
      <c r="X15" s="34">
        <f>IF(AND(ISNUMBER(Y15),ISNUMBER(W15)),Y15-W15,"")</f>
        <v>0</v>
      </c>
      <c r="Y15" s="33">
        <v>0</v>
      </c>
      <c r="Z15" s="34">
        <f>IF(AND(ISNUMBER(AA15),ISNUMBER(Y15)),AA15-Y15,"")</f>
        <v>0</v>
      </c>
      <c r="AA15" s="33">
        <v>0</v>
      </c>
      <c r="AB15" s="34">
        <f>IF(AND(ISNUMBER(AC15),ISNUMBER(AA15)),AC15-AA15,"")</f>
        <v>0</v>
      </c>
      <c r="AC15" s="33">
        <v>0</v>
      </c>
      <c r="AD15" s="34">
        <f>IF(AND(ISNUMBER(AE15),ISNUMBER(AC15)),AE15-AC15,"")</f>
        <v>0</v>
      </c>
      <c r="AE15" s="33">
        <v>0</v>
      </c>
      <c r="AF15" s="34">
        <f>IF(AND(ISNUMBER(AG15),ISNUMBER(AE15)),AG15-AE15,"")</f>
        <v>0</v>
      </c>
      <c r="AG15" s="33">
        <v>0</v>
      </c>
      <c r="AH15" s="34">
        <f>IF(AND(ISNUMBER(AI15),ISNUMBER(AG15)),AI15-AG15,"")</f>
        <v>0</v>
      </c>
      <c r="AI15" s="33">
        <v>0</v>
      </c>
      <c r="AJ15" s="34">
        <f>IF(AND(ISNUMBER(AK15),ISNUMBER(AI15)),AK15-AI15,"")</f>
        <v>0</v>
      </c>
      <c r="AK15" s="33">
        <v>0</v>
      </c>
      <c r="AL15" s="34">
        <f>IF(AND(ISNUMBER(AM15),ISNUMBER(AK15)),AM15-AK15,"")</f>
        <v>0</v>
      </c>
      <c r="AM15" s="33">
        <v>0</v>
      </c>
      <c r="AN15" s="34">
        <f>IF(AND(ISNUMBER(AO15),ISNUMBER(AM15)),AO15-AM15,"")</f>
        <v>0</v>
      </c>
      <c r="AO15" s="33">
        <v>0</v>
      </c>
      <c r="AP15" s="34">
        <f>IF(AND(ISNUMBER(AQ15),ISNUMBER(AO15)),AQ15-AO15,"")</f>
        <v>0</v>
      </c>
      <c r="AQ15" s="33">
        <v>0</v>
      </c>
      <c r="AR15" s="34">
        <f>IF(AND(ISNUMBER(AS15),ISNUMBER(AQ15)),AS15-AQ15,"")</f>
        <v>0</v>
      </c>
      <c r="AS15" s="33">
        <v>15</v>
      </c>
      <c r="AT15" s="34">
        <f>IF(AND(ISNUMBER(AU15),ISNUMBER(AS15)),AU15-AS15,"")</f>
        <v>0</v>
      </c>
      <c r="AU15" s="33">
        <v>22</v>
      </c>
      <c r="AV15" s="34">
        <f>IF(AND(ISNUMBER(AW15),ISNUMBER(AU15)),AW15-AU15,"")</f>
        <v>0</v>
      </c>
      <c r="AW15" s="33">
        <v>20</v>
      </c>
      <c r="AX15" s="34">
        <f>IF(AND(ISNUMBER(AY15),ISNUMBER(AW15)),AY15-AW15,"")</f>
        <v>0</v>
      </c>
      <c r="AY15" s="33">
        <v>5</v>
      </c>
      <c r="AZ15" s="34">
        <f>IF(AND(ISNUMBER(BA15),ISNUMBER(AY15)),BA15-AY15,"")</f>
        <v>0</v>
      </c>
      <c r="BA15" s="33">
        <v>9</v>
      </c>
      <c r="BB15" s="34">
        <f>IF(AND(ISNUMBER(BC15),ISNUMBER(BA15)),BC15-BA15,"")</f>
        <v>0</v>
      </c>
      <c r="BC15" s="33">
        <v>11</v>
      </c>
      <c r="BD15" s="34">
        <f>IF(AND(ISNUMBER(BE15),ISNUMBER(BC15)),BE15-BC15,"")</f>
        <v>0</v>
      </c>
      <c r="BE15" s="33">
        <v>11</v>
      </c>
      <c r="BF15" s="34">
        <f>IF(AND(ISNUMBER(BG15),ISNUMBER(BE15)),BG15-BE15,"")</f>
        <v>0</v>
      </c>
      <c r="BG15" s="33">
        <v>10</v>
      </c>
      <c r="BH15" s="34">
        <f>IF(AND(ISNUMBER(BI15),ISNUMBER(BG15)),BI15-BG15,"")</f>
        <v>0</v>
      </c>
      <c r="BI15" s="33">
        <v>8</v>
      </c>
      <c r="BJ15" s="34">
        <f>IF(AND(ISNUMBER(BK15),ISNUMBER(BI15)),BK15-BI15,"")</f>
        <v>0</v>
      </c>
      <c r="BK15" s="33">
        <v>4</v>
      </c>
      <c r="BL15" s="34">
        <f>IF(AND(ISNUMBER(BM15),ISNUMBER(BK15)),BM15-BK15,"")</f>
        <v>0</v>
      </c>
      <c r="BM15" s="33">
        <v>7</v>
      </c>
      <c r="BN15" s="34">
        <f>IF(AND(ISNUMBER(BO15),ISNUMBER(BM15)),BO15-BM15,"")</f>
        <v>0</v>
      </c>
      <c r="BO15" s="33">
        <v>5</v>
      </c>
      <c r="BP15" s="34">
        <f>IF(AND(ISNUMBER(BQ15),ISNUMBER(BO15)),BQ15-BO15,"")</f>
        <v>0</v>
      </c>
      <c r="BQ15" s="33">
        <v>4</v>
      </c>
      <c r="BR15" s="34">
        <f>IF(AND(ISNUMBER(BS15),ISNUMBER(BQ15)),BS15-BQ15,"")</f>
        <v>0</v>
      </c>
      <c r="BS15" s="33">
        <v>6</v>
      </c>
      <c r="BT15" s="34">
        <f>IF(AND(ISNUMBER(BU15),ISNUMBER(BS15)),BU15-BS15,"")</f>
        <v>0</v>
      </c>
      <c r="BU15" s="33">
        <v>12</v>
      </c>
      <c r="BV15" s="34">
        <f>IF(AND(ISNUMBER(BW15),ISNUMBER(BU15)),BW15-BU15,"")</f>
        <v>0</v>
      </c>
      <c r="BW15" s="33">
        <v>20</v>
      </c>
      <c r="BX15" s="34">
        <f>IF(AND(ISNUMBER(BY15),ISNUMBER(BW15)),BY15-BW15,"")</f>
        <v>0</v>
      </c>
      <c r="BY15" s="33">
        <v>13</v>
      </c>
      <c r="BZ15" s="34">
        <f>IF(AND(ISNUMBER(CA15),ISNUMBER(BY15)),CA15-BY15,"")</f>
        <v>0</v>
      </c>
      <c r="CA15" s="33">
        <v>17</v>
      </c>
      <c r="CB15" s="34">
        <f>IF(AND(ISNUMBER(CC15),ISNUMBER(CA15)),CC15-CA15,"")</f>
        <v>0</v>
      </c>
      <c r="CC15" s="33">
        <v>1</v>
      </c>
      <c r="CD15" s="34">
        <f>IF(AND(ISNUMBER(CE15),ISNUMBER(CC15)),CE15-CC15,"")</f>
        <v>0</v>
      </c>
      <c r="CE15" s="33">
        <v>5</v>
      </c>
      <c r="CF15" s="34">
        <f>IF(AND(ISNUMBER(CG15),ISNUMBER(CE15)),CG15-CE15,"")</f>
        <v>0</v>
      </c>
      <c r="CG15" s="33">
        <v>8</v>
      </c>
      <c r="CH15" s="34">
        <f>IF(AND(ISNUMBER(CI15),ISNUMBER(CG15)),CI15-CG15,"")</f>
        <v>0</v>
      </c>
      <c r="CI15" s="33">
        <v>17</v>
      </c>
      <c r="CJ15" s="34">
        <f>IF(AND(ISNUMBER(CK15),ISNUMBER(CI15)),CK15-CI15,"")</f>
        <v>0</v>
      </c>
      <c r="CK15" s="33">
        <v>8</v>
      </c>
      <c r="CL15" s="34">
        <f>IF(AND(ISNUMBER(CM15),ISNUMBER(CK15)),CM15-CK15,"")</f>
        <v>0</v>
      </c>
      <c r="CM15" s="33">
        <v>13</v>
      </c>
      <c r="CN15" s="34">
        <f>IF(AND(ISNUMBER(CO15),ISNUMBER(CM15)),CO15-CM15,"")</f>
        <v>0</v>
      </c>
      <c r="CO15" s="33">
        <v>19</v>
      </c>
      <c r="CP15" s="34">
        <f>IF(AND(ISNUMBER(CQ15),ISNUMBER(CO15)),CQ15-CO15,"")</f>
        <v>0</v>
      </c>
      <c r="CQ15" s="33">
        <v>10</v>
      </c>
      <c r="CR15" s="34">
        <f>IF(AND(ISNUMBER(CS15),ISNUMBER(CQ15)),CS15-CQ15,"")</f>
        <v>0</v>
      </c>
      <c r="CS15" s="33">
        <v>18</v>
      </c>
      <c r="CT15" s="34">
        <f>IF(AND(ISNUMBER(CU15),ISNUMBER(CS15)),CU15-CS15,"")</f>
        <v>0</v>
      </c>
      <c r="CU15" s="33">
        <v>25</v>
      </c>
      <c r="CV15" s="34">
        <f>IF(AND(ISNUMBER(CW15),ISNUMBER(CU15)),CW15-CU15,"")</f>
        <v>0</v>
      </c>
      <c r="CW15" s="33">
        <v>23</v>
      </c>
      <c r="CX15" s="34">
        <f>IF(AND(ISNUMBER(CY15),ISNUMBER(CW15)),CY15-CW15,"")</f>
        <v>0</v>
      </c>
      <c r="CY15" s="33">
        <v>29</v>
      </c>
      <c r="CZ15" s="34">
        <f>IF(AND(ISNUMBER(DA15),ISNUMBER(CY15)),DA15-CY15,"")</f>
        <v>0</v>
      </c>
      <c r="DA15" s="33">
        <v>16</v>
      </c>
      <c r="DB15" s="34">
        <f>IF(AND(ISNUMBER(DC15),ISNUMBER(DA15)),DC15-DA15,"")</f>
        <v>0</v>
      </c>
      <c r="DC15" s="33">
        <v>6</v>
      </c>
      <c r="DD15" s="34">
        <f>IF(AND(ISNUMBER(DE15),ISNUMBER(DC15)),DE15-DC15,"")</f>
        <v>0</v>
      </c>
      <c r="DE15" s="33"/>
      <c r="DF15" s="34">
        <f>IF(AND(ISNUMBER(DG15),ISNUMBER(DE15)),DG15-DE15,"")</f>
        <v>0</v>
      </c>
      <c r="DG15" s="33">
        <v>2</v>
      </c>
      <c r="DH15" s="34">
        <f>IF(AND(ISNUMBER(DI15),ISNUMBER(DG15)),DI15-DG15,"")</f>
        <v>0</v>
      </c>
      <c r="DI15" s="33">
        <v>1</v>
      </c>
      <c r="DJ15" s="34">
        <f>IF(AND(ISNUMBER(DK15),ISNUMBER(DI15)),DK15-DI15,"")</f>
        <v>0</v>
      </c>
      <c r="DK15" s="33">
        <v>5</v>
      </c>
      <c r="DL15" s="34">
        <f>IF(AND(ISNUMBER(DM15),ISNUMBER(DK15)),DM15-DK15,"")</f>
        <v>0</v>
      </c>
      <c r="DM15" s="33">
        <v>9</v>
      </c>
      <c r="DN15" s="34">
        <f>IF(AND(ISNUMBER(DO15),ISNUMBER(DM15)),DO15-DM15,"")</f>
        <v>0</v>
      </c>
      <c r="DO15" s="33">
        <v>1</v>
      </c>
      <c r="DP15" s="34">
        <f>IF(AND(ISNUMBER(DQ15),ISNUMBER(DO15)),DQ15-DO15,"")</f>
        <v>0</v>
      </c>
      <c r="DQ15" s="33">
        <v>1</v>
      </c>
      <c r="DR15" s="34">
        <f>IF(AND(ISNUMBER(DS15),ISNUMBER(DQ15)),DS15-DQ15,"")</f>
        <v>0</v>
      </c>
      <c r="DS15" s="33">
        <v>5</v>
      </c>
      <c r="DT15" s="34">
        <f>IF(AND(ISNUMBER(DU15),ISNUMBER(DS15)),DU15-DS15,"")</f>
        <v>0</v>
      </c>
      <c r="DU15" s="33">
        <v>3</v>
      </c>
      <c r="DV15" s="34">
        <f>IF(AND(ISNUMBER(DW15),ISNUMBER(DU15)),DW15-DU15,"")</f>
        <v>0</v>
      </c>
      <c r="DW15" s="33">
        <v>4</v>
      </c>
      <c r="DX15" s="34">
        <f>IF(AND(ISNUMBER(DY15),ISNUMBER(DW15)),DY15-DW15,"")</f>
        <v>0</v>
      </c>
      <c r="DY15" s="33">
        <v>6</v>
      </c>
      <c r="DZ15" s="34">
        <f>IF(AND(ISNUMBER(EA15),ISNUMBER(DY15)),EA15-DY15,"")</f>
        <v>0</v>
      </c>
      <c r="EA15" s="33">
        <v>6</v>
      </c>
      <c r="EB15" s="34">
        <f>IF(AND(ISNUMBER(EC15),ISNUMBER(EA15)),EC15-EA15,"")</f>
        <v>0</v>
      </c>
      <c r="EC15" s="33">
        <v>8</v>
      </c>
      <c r="ED15" s="34">
        <f>IF(AND(ISNUMBER(EE15),ISNUMBER(EC15)),EE15-EC15,"")</f>
        <v>0</v>
      </c>
      <c r="EE15" s="33">
        <v>13</v>
      </c>
      <c r="EF15" s="34">
        <f>IF(AND(ISNUMBER(EG15),ISNUMBER(EE15)),EG15-EE15,"")</f>
        <v>0</v>
      </c>
      <c r="EG15" s="33">
        <v>8</v>
      </c>
      <c r="EH15" s="34">
        <f>IF(AND(ISNUMBER(EI15),ISNUMBER(EG15)),EI15-EG15,"")</f>
        <v>0</v>
      </c>
      <c r="EI15" s="33">
        <v>2</v>
      </c>
      <c r="EJ15" s="34">
        <f>IF(AND(ISNUMBER(EK15),ISNUMBER(EI15)),EK15-EI15,"")</f>
        <v>0</v>
      </c>
      <c r="EK15" s="33">
        <v>5</v>
      </c>
      <c r="EL15" s="34">
        <f>IF(AND(ISNUMBER(EM15),ISNUMBER(EK15)),EM15-EK15,"")</f>
        <v>0</v>
      </c>
      <c r="EM15" s="33">
        <v>1</v>
      </c>
      <c r="EN15" s="34">
        <f>IF(AND(ISNUMBER(EO15),ISNUMBER(EM15)),EO15-EM15,"")</f>
        <v>0</v>
      </c>
      <c r="EO15" s="33">
        <v>6</v>
      </c>
      <c r="EP15" s="34">
        <f>IF(AND(ISNUMBER(EQ15),ISNUMBER(EO15)),EQ15-EO15,"")</f>
        <v>0</v>
      </c>
      <c r="EQ15" s="33">
        <v>3</v>
      </c>
      <c r="ER15" s="34">
        <f>IF(AND(ISNUMBER(ES15),ISNUMBER(EQ15)),ES15-EQ15,"")</f>
        <v>0</v>
      </c>
      <c r="ES15" s="33">
        <v>6</v>
      </c>
      <c r="ET15" s="34">
        <f>IF(AND(ISNUMBER(EU15),ISNUMBER(ES15)),EU15-ES15,"")</f>
        <v>0</v>
      </c>
      <c r="EU15" s="33">
        <v>8</v>
      </c>
      <c r="EV15" s="34">
        <f>IF(AND(ISNUMBER(EW15),ISNUMBER(EU15)),EW15-EU15,"")</f>
        <v>0</v>
      </c>
      <c r="EW15" s="33">
        <v>11</v>
      </c>
      <c r="EX15" s="34">
        <f>IF(AND(ISNUMBER(EY15),ISNUMBER(EW15)),EY15-EW15,"")</f>
        <v>0</v>
      </c>
      <c r="EY15" s="33">
        <v>15</v>
      </c>
      <c r="EZ15" s="34">
        <f>IF(AND(ISNUMBER(FA15),ISNUMBER(EY15)),FA15-EY15,"")</f>
        <v>0</v>
      </c>
      <c r="FA15" s="33">
        <v>6</v>
      </c>
      <c r="FB15" s="34">
        <f>IF(AND(ISNUMBER(FC15),ISNUMBER(FA15)),FC15-FA15,"")</f>
        <v>0</v>
      </c>
      <c r="FC15" s="33"/>
      <c r="FD15" s="34">
        <f>IF(AND(ISNUMBER(FE15),ISNUMBER(FC15)),FE15-FC15,"")</f>
        <v>0</v>
      </c>
      <c r="FE15" s="33"/>
      <c r="FF15" s="34">
        <f>IF(AND(ISNUMBER(FG15),ISNUMBER(FE15)),FG15-FE15,"")</f>
        <v>0</v>
      </c>
      <c r="FG15" s="33"/>
      <c r="FH15" s="34">
        <f>IF(AND(ISNUMBER(FI15),ISNUMBER(FG15)),FI15-FG15,"")</f>
        <v>0</v>
      </c>
      <c r="FI15" s="33"/>
      <c r="FJ15" s="34">
        <f>IF(AND(ISNUMBER(FK15),ISNUMBER(FI15)),FK15-FI15,"")</f>
        <v>0</v>
      </c>
      <c r="FK15" s="33"/>
      <c r="FL15" s="34">
        <f>IF(AND(ISNUMBER(FM15),ISNUMBER(FK15)),FM15-FK15,"")</f>
        <v>0</v>
      </c>
      <c r="FM15" s="33"/>
      <c r="FN15" s="34">
        <f>IF(AND(ISNUMBER(FO15),ISNUMBER(FM15)),FO15-FM15,"")</f>
        <v>0</v>
      </c>
      <c r="FO15" s="33"/>
      <c r="FP15" s="34">
        <f>IF(AND(ISNUMBER(FQ15),ISNUMBER(FO15)),FQ15-FO15,"")</f>
        <v>0</v>
      </c>
      <c r="FQ15" s="33"/>
      <c r="FR15" s="34">
        <f>IF(AND(ISNUMBER(FS15),ISNUMBER(FQ15)),FS15-FQ15,"")</f>
        <v>0</v>
      </c>
      <c r="FS15" s="33"/>
      <c r="FT15" s="34">
        <f>IF(AND(ISNUMBER(FU15),ISNUMBER(FS15)),FU15-FS15,"")</f>
        <v>0</v>
      </c>
      <c r="FU15" s="33"/>
      <c r="FV15" s="34">
        <f>IF(AND(ISNUMBER(FW15),ISNUMBER(FU15)),FW15-FU15,"")</f>
        <v>0</v>
      </c>
      <c r="FW15" s="33"/>
      <c r="FX15" s="34">
        <f>IF(AND(ISNUMBER(FY15),ISNUMBER(FW15)),FY15-FW15,"")</f>
        <v>0</v>
      </c>
      <c r="FY15" s="33"/>
      <c r="FZ15" s="34">
        <f>IF(AND(ISNUMBER(GA15),ISNUMBER(FY15)),GA15-FY15,"")</f>
        <v>0</v>
      </c>
      <c r="GA15" s="33"/>
      <c r="GB15" s="34">
        <f>IF(AND(ISNUMBER(GC15),ISNUMBER(GA15)),GC15-GA15,"")</f>
        <v>0</v>
      </c>
      <c r="GC15" s="33"/>
      <c r="GD15" s="34">
        <f>IF(AND(ISNUMBER(GE15),ISNUMBER(GC15)),GE15-GC15,"")</f>
        <v>0</v>
      </c>
      <c r="GE15" s="33"/>
      <c r="GF15" s="34">
        <f>IF(AND(ISNUMBER(GG15),ISNUMBER(GE15)),GG15-GE15,"")</f>
        <v>0</v>
      </c>
      <c r="GG15" s="33"/>
      <c r="GH15" s="34">
        <f>IF(AND(ISNUMBER(GI15),ISNUMBER(GG15)),GI15-GG15,"")</f>
        <v>0</v>
      </c>
      <c r="GI15" s="33"/>
      <c r="GJ15" s="34">
        <f>IF(AND(ISNUMBER(GK15),ISNUMBER(GI15)),GK15-GI15,"")</f>
        <v>0</v>
      </c>
      <c r="GK15" s="33"/>
      <c r="GL15" s="34">
        <f>IF(AND(ISNUMBER(GM15),ISNUMBER(GK15)),GM15-GK15,"")</f>
        <v>0</v>
      </c>
      <c r="GM15" s="33"/>
      <c r="GN15" s="34">
        <f>IF(AND(ISNUMBER(GO15),ISNUMBER(GM15)),GO15-GM15,"")</f>
        <v>0</v>
      </c>
      <c r="GO15" s="33"/>
      <c r="GP15" s="34">
        <f>IF(AND(ISNUMBER(GQ15),ISNUMBER(GO15)),GQ15-GO15,"")</f>
        <v>0</v>
      </c>
      <c r="GQ15" s="33"/>
      <c r="GR15" s="34">
        <f>IF(AND(ISNUMBER(GS15),ISNUMBER(GQ15)),GS15-GQ15,"")</f>
        <v>0</v>
      </c>
      <c r="GS15" s="33"/>
      <c r="GT15" s="34">
        <f>IF(AND(ISNUMBER(GU15),ISNUMBER(GS15)),GU15-GS15,"")</f>
        <v>0</v>
      </c>
      <c r="GU15" s="33"/>
      <c r="GV15" s="34">
        <f>IF(AND(ISNUMBER(GW15),ISNUMBER(GU15)),GW15-GU15,"")</f>
        <v>0</v>
      </c>
      <c r="GW15" s="33"/>
      <c r="GX15" s="34">
        <f>IF(AND(ISNUMBER(GY15),ISNUMBER(GW15)),GY15-GW15,"")</f>
        <v>0</v>
      </c>
      <c r="GY15" s="33"/>
      <c r="GZ15" s="34">
        <f>IF(AND(ISNUMBER(HA15),ISNUMBER(GY15)),HA15-GY15,"")</f>
        <v>0</v>
      </c>
      <c r="HA15" s="33"/>
      <c r="HB15" s="34">
        <f>IF(AND(ISNUMBER(HC15),ISNUMBER(HA15)),HC15-HA15,"")</f>
        <v>0</v>
      </c>
      <c r="HC15" s="33"/>
      <c r="HD15" s="34">
        <f>IF(AND(ISNUMBER(HE15),ISNUMBER(HC15)),HE15-HC15,"")</f>
        <v>0</v>
      </c>
      <c r="HE15" s="33"/>
      <c r="HF15" s="34">
        <f>IF(AND(ISNUMBER(HG15),ISNUMBER(HE15)),HG15-HE15,"")</f>
        <v>0</v>
      </c>
      <c r="HG15" s="33"/>
      <c r="HH15" s="34">
        <f>IF(AND(ISNUMBER(HI15),ISNUMBER(HG15)),HI15-HG15,"")</f>
        <v>0</v>
      </c>
      <c r="HI15" s="33"/>
      <c r="HJ15" s="34">
        <f>IF(AND(ISNUMBER(HK15),ISNUMBER(HI15)),HK15-HI15,"")</f>
        <v>0</v>
      </c>
      <c r="HK15" s="33"/>
      <c r="HL15" s="34">
        <f>IF(AND(ISNUMBER(HM15),ISNUMBER(HK15)),HM15-HK15,"")</f>
        <v>0</v>
      </c>
      <c r="HM15" s="33"/>
      <c r="HN15" s="34">
        <f>IF(AND(ISNUMBER(HO15),ISNUMBER(HM15)),HO15-HM15,"")</f>
        <v>0</v>
      </c>
      <c r="HO15" s="33"/>
      <c r="HP15" s="34">
        <f>IF(AND(ISNUMBER(HQ15),ISNUMBER(HO15)),HQ15-HO15,"")</f>
        <v>0</v>
      </c>
      <c r="HQ15" s="33"/>
      <c r="HR15" s="34">
        <f>IF(AND(ISNUMBER(HS15),ISNUMBER(HQ15)),HS15-HQ15,"")</f>
        <v>0</v>
      </c>
      <c r="HS15" s="33"/>
      <c r="HT15" s="34">
        <f>IF(AND(ISNUMBER(HU15),ISNUMBER(HS15)),HU15-HS15,"")</f>
        <v>0</v>
      </c>
      <c r="HU15" s="33"/>
      <c r="HV15" s="34">
        <f>IF(AND(ISNUMBER(HW15),ISNUMBER(HU15)),HW15-HU15,"")</f>
        <v>0</v>
      </c>
      <c r="HW15" s="33"/>
      <c r="HX15" s="34">
        <f>IF(AND(ISNUMBER(HY15),ISNUMBER(HW15)),HY15-HW15,"")</f>
        <v>0</v>
      </c>
      <c r="HY15" s="33"/>
      <c r="HZ15" s="34">
        <f>IF(AND(ISNUMBER(IA15),ISNUMBER(HY15)),IA15-HY15,"")</f>
        <v>0</v>
      </c>
      <c r="IA15" s="33"/>
      <c r="IB15" s="34">
        <f>IF(AND(ISNUMBER(IC15),ISNUMBER(IA15)),IC15-IA15,"")</f>
        <v>0</v>
      </c>
      <c r="IC15" s="33"/>
      <c r="ID15" s="34">
        <f>IF(AND(ISNUMBER(IE15),ISNUMBER(IC15)),IE15-IC15,"")</f>
        <v>0</v>
      </c>
      <c r="IE15" s="33"/>
      <c r="IF15" s="34">
        <f>IF(AND(ISNUMBER(IG15),ISNUMBER(IE15)),IG15-IE15,"")</f>
        <v>0</v>
      </c>
      <c r="IG15" s="33"/>
      <c r="IH15" s="34">
        <f>IF(AND(ISNUMBER(II15),ISNUMBER(IG15)),II15-IG15,"")</f>
        <v>0</v>
      </c>
      <c r="II15" s="33"/>
      <c r="IJ15" s="34">
        <f>IF(AND(ISNUMBER(IK15),ISNUMBER(II15)),IK15-II15,"")</f>
        <v>0</v>
      </c>
      <c r="IK15" s="33"/>
      <c r="IL15" s="34">
        <f>IF(AND(ISNUMBER(IM15),ISNUMBER(IK15)),IM15-IK15,"")</f>
        <v>0</v>
      </c>
      <c r="IM15" s="33"/>
      <c r="IN15" s="34">
        <f>IF(AND(ISNUMBER(IO15),ISNUMBER(IM15)),IO15-IM15,"")</f>
        <v>0</v>
      </c>
      <c r="IO15" s="33"/>
      <c r="IP15" s="34">
        <f>IF(AND(ISNUMBER(IQ15),ISNUMBER(IO15)),IQ15-IO15,"")</f>
        <v>0</v>
      </c>
      <c r="IQ15" s="33"/>
      <c r="IR15" s="34">
        <f>IF(AND(ISNUMBER(IS15),ISNUMBER(IQ15)),IS15-IQ15,"")</f>
        <v>0</v>
      </c>
      <c r="IS15" s="33"/>
      <c r="IT15" s="34">
        <f>IF(AND(ISNUMBER(IU15),ISNUMBER(IS15)),IU15-IS15,"")</f>
        <v>0</v>
      </c>
      <c r="IU15" s="33"/>
      <c r="IV15" s="34">
        <f>IF(AND(ISNUMBER(IW15),ISNUMBER(IU15)),IW15-IU15,"")</f>
        <v>0</v>
      </c>
      <c r="IW15" s="33"/>
      <c r="IX15" s="34">
        <f>IF(AND(ISNUMBER(IY15),ISNUMBER(IW15)),IY15-IW15,"")</f>
        <v>0</v>
      </c>
      <c r="IY15" s="33"/>
      <c r="IZ15" s="34">
        <f>IF(AND(ISNUMBER(JA15),ISNUMBER(IY15)),JA15-IY15,"")</f>
        <v>0</v>
      </c>
      <c r="JA15" s="33"/>
      <c r="JB15" s="34">
        <f>IF(AND(ISNUMBER(JC15),ISNUMBER(JA15)),JC15-JA15,"")</f>
        <v>0</v>
      </c>
      <c r="JC15" s="33"/>
      <c r="JD15" s="34">
        <f>IF(AND(ISNUMBER(JE15),ISNUMBER(JC15)),JE15-JC15,"")</f>
        <v>0</v>
      </c>
      <c r="JE15" s="33"/>
      <c r="JF15" s="34">
        <f>IF(AND(ISNUMBER(JG15),ISNUMBER(JE15)),JG15-JE15,"")</f>
        <v>0</v>
      </c>
      <c r="JG15" s="33"/>
      <c r="JH15" s="34">
        <f>IF(AND(ISNUMBER(JI15),ISNUMBER(JG15)),JI15-JG15,"")</f>
        <v>0</v>
      </c>
      <c r="JI15" s="33"/>
      <c r="JJ15" s="34">
        <f>IF(AND(ISNUMBER(JK15),ISNUMBER(JI15)),JK15-JI15,"")</f>
        <v>0</v>
      </c>
      <c r="JK15" s="33"/>
      <c r="JL15" s="34">
        <f>IF(AND(ISNUMBER(JM15),ISNUMBER(JK15)),JM15-JK15,"")</f>
        <v>0</v>
      </c>
      <c r="JM15" s="33"/>
      <c r="JN15" s="34">
        <f>IF(AND(ISNUMBER(JO15),ISNUMBER(JM15)),JO15-JM15,"")</f>
        <v>0</v>
      </c>
      <c r="JO15" s="33"/>
      <c r="JP15" s="34">
        <f>IF(AND(ISNUMBER(JQ15),ISNUMBER(JO15)),JQ15-JO15,"")</f>
        <v>0</v>
      </c>
      <c r="JQ15" s="33"/>
      <c r="JR15" s="34">
        <f>IF(AND(ISNUMBER(JS15),ISNUMBER(JQ15)),JS15-JQ15,"")</f>
        <v>0</v>
      </c>
      <c r="JS15" s="33"/>
      <c r="JT15" s="34">
        <f>IF(AND(ISNUMBER(JU15),ISNUMBER(JS15)),JU15-JS15,"")</f>
        <v>0</v>
      </c>
      <c r="JU15" s="33"/>
      <c r="JV15" s="34">
        <f>IF(AND(ISNUMBER(JW15),ISNUMBER(JU15)),JW15-JU15,"")</f>
        <v>0</v>
      </c>
      <c r="JW15" s="33"/>
      <c r="JX15" s="34">
        <f>IF(AND(ISNUMBER(JY15),ISNUMBER(JW15)),JY15-JW15,"")</f>
        <v>0</v>
      </c>
      <c r="JY15" s="33"/>
      <c r="JZ15" s="34">
        <f>IF(AND(ISNUMBER(KA15),ISNUMBER(JY15)),KA15-JY15,"")</f>
        <v>0</v>
      </c>
      <c r="KA15" s="33"/>
      <c r="KB15" s="34">
        <f>IF(AND(ISNUMBER(KC15),ISNUMBER(KA15)),KC15-KA15,"")</f>
        <v>0</v>
      </c>
      <c r="KC15" s="33"/>
      <c r="KD15" s="34">
        <f>IF(AND(ISNUMBER(KE15),ISNUMBER(KC15)),KE15-KC15,"")</f>
        <v>0</v>
      </c>
      <c r="KE15" s="33"/>
      <c r="KF15" s="34">
        <f>IF(AND(ISNUMBER(KG15),ISNUMBER(KE15)),KG15-KE15,"")</f>
        <v>0</v>
      </c>
      <c r="KG15" s="33"/>
      <c r="KH15" s="34">
        <f>IF(AND(ISNUMBER(KI15),ISNUMBER(KG15)),KI15-KG15,"")</f>
        <v>0</v>
      </c>
      <c r="KI15" s="33"/>
      <c r="KJ15" s="34">
        <f>IF(AND(ISNUMBER(KK15),ISNUMBER(KI15)),KK15-KI15,"")</f>
        <v>0</v>
      </c>
      <c r="KK15" s="33"/>
      <c r="KL15" s="34">
        <f>IF(AND(ISNUMBER(KM15),ISNUMBER(KK15)),KM15-KK15,"")</f>
        <v>0</v>
      </c>
      <c r="KM15" s="33"/>
      <c r="KN15" s="34">
        <f>IF(AND(ISNUMBER(KO15),ISNUMBER(KM15)),KO15-KM15,"")</f>
        <v>0</v>
      </c>
      <c r="KO15" s="33"/>
      <c r="KP15" s="34">
        <f>IF(AND(ISNUMBER(KQ15),ISNUMBER(KO15)),KQ15-KO15,"")</f>
        <v>0</v>
      </c>
      <c r="KQ15" s="33"/>
      <c r="KR15" s="34">
        <f>IF(AND(ISNUMBER(KS15),ISNUMBER(KQ15)),KS15-KQ15,"")</f>
        <v>0</v>
      </c>
      <c r="KS15" s="33"/>
      <c r="KT15" s="34">
        <f>IF(AND(ISNUMBER(KU15),ISNUMBER(KS15)),KU15-KS15,"")</f>
        <v>0</v>
      </c>
      <c r="KU15" s="33"/>
      <c r="KV15" s="34">
        <f>IF(AND(ISNUMBER(KW15),ISNUMBER(KU15)),KW15-KU15,"")</f>
        <v>0</v>
      </c>
      <c r="KW15" s="33"/>
      <c r="KX15" s="34">
        <f>IF(AND(ISNUMBER(KY15),ISNUMBER(KW15)),KY15-KW15,"")</f>
        <v>0</v>
      </c>
      <c r="KY15" s="33"/>
      <c r="KZ15" s="34">
        <f>IF(AND(ISNUMBER(LA15),ISNUMBER(KY15)),LA15-KY15,"")</f>
        <v>0</v>
      </c>
      <c r="LA15" s="33"/>
      <c r="LB15" s="34">
        <f>IF(AND(ISNUMBER(LC15),ISNUMBER(LA15)),LC15-LA15,"")</f>
        <v>0</v>
      </c>
      <c r="LC15" s="33"/>
      <c r="LD15" s="34">
        <f>IF(AND(ISNUMBER(LE15),ISNUMBER(LC15)),LE15-LC15,"")</f>
        <v>0</v>
      </c>
      <c r="LE15" s="33"/>
      <c r="LF15" s="34">
        <f>IF(AND(ISNUMBER(LG15),ISNUMBER(LE15)),LG15-LE15,"")</f>
        <v>0</v>
      </c>
      <c r="LG15" s="33"/>
    </row>
    <row r="16" spans="1:322" hidden="1" outlineLevel="1">
      <c r="B16" s="23"/>
      <c r="D16" s="31" t="s">
        <v>715</v>
      </c>
      <c r="E16" s="32" t="s">
        <v>1059</v>
      </c>
      <c r="F16" s="38">
        <v>45689</v>
      </c>
      <c r="I16" s="40" t="s">
        <v>1088</v>
      </c>
      <c r="J16" s="34">
        <f>IF(AND(ISNUMBER(K16),ISNUMBER(I16)),K16-I16,"")</f>
        <v>0</v>
      </c>
      <c r="K16" s="33">
        <v>0</v>
      </c>
      <c r="L16" s="34">
        <f>IF(AND(ISNUMBER(M16),ISNUMBER(K16)),M16-K16,"")</f>
        <v>0</v>
      </c>
      <c r="M16" s="33">
        <v>0</v>
      </c>
      <c r="N16" s="34">
        <f>IF(AND(ISNUMBER(O16),ISNUMBER(M16)),O16-M16,"")</f>
        <v>0</v>
      </c>
      <c r="O16" s="33">
        <v>0</v>
      </c>
      <c r="P16" s="34">
        <f>IF(AND(ISNUMBER(Q16),ISNUMBER(O16)),Q16-O16,"")</f>
        <v>0</v>
      </c>
      <c r="Q16" s="33">
        <v>0</v>
      </c>
      <c r="R16" s="34">
        <f>IF(AND(ISNUMBER(S16),ISNUMBER(Q16)),S16-Q16,"")</f>
        <v>0</v>
      </c>
      <c r="S16" s="33">
        <v>0</v>
      </c>
      <c r="T16" s="34">
        <f>IF(AND(ISNUMBER(U16),ISNUMBER(S16)),U16-S16,"")</f>
        <v>0</v>
      </c>
      <c r="U16" s="33">
        <v>1</v>
      </c>
      <c r="V16" s="34">
        <f>IF(AND(ISNUMBER(W16),ISNUMBER(U16)),W16-U16,"")</f>
        <v>0</v>
      </c>
      <c r="W16" s="33">
        <v>0</v>
      </c>
      <c r="X16" s="34">
        <f>IF(AND(ISNUMBER(Y16),ISNUMBER(W16)),Y16-W16,"")</f>
        <v>0</v>
      </c>
      <c r="Y16" s="33">
        <v>0</v>
      </c>
      <c r="Z16" s="34">
        <f>IF(AND(ISNUMBER(AA16),ISNUMBER(Y16)),AA16-Y16,"")</f>
        <v>0</v>
      </c>
      <c r="AA16" s="33">
        <v>0</v>
      </c>
      <c r="AB16" s="34">
        <f>IF(AND(ISNUMBER(AC16),ISNUMBER(AA16)),AC16-AA16,"")</f>
        <v>0</v>
      </c>
      <c r="AC16" s="33">
        <v>0</v>
      </c>
      <c r="AD16" s="34">
        <f>IF(AND(ISNUMBER(AE16),ISNUMBER(AC16)),AE16-AC16,"")</f>
        <v>0</v>
      </c>
      <c r="AE16" s="33">
        <v>0</v>
      </c>
      <c r="AF16" s="34">
        <f>IF(AND(ISNUMBER(AG16),ISNUMBER(AE16)),AG16-AE16,"")</f>
        <v>0</v>
      </c>
      <c r="AG16" s="33">
        <v>0</v>
      </c>
      <c r="AH16" s="34">
        <f>IF(AND(ISNUMBER(AI16),ISNUMBER(AG16)),AI16-AG16,"")</f>
        <v>0</v>
      </c>
      <c r="AI16" s="33">
        <v>0</v>
      </c>
      <c r="AJ16" s="34">
        <f>IF(AND(ISNUMBER(AK16),ISNUMBER(AI16)),AK16-AI16,"")</f>
        <v>0</v>
      </c>
      <c r="AK16" s="33">
        <v>0</v>
      </c>
      <c r="AL16" s="34">
        <f>IF(AND(ISNUMBER(AM16),ISNUMBER(AK16)),AM16-AK16,"")</f>
        <v>0</v>
      </c>
      <c r="AM16" s="33">
        <v>0</v>
      </c>
      <c r="AN16" s="34">
        <f>IF(AND(ISNUMBER(AO16),ISNUMBER(AM16)),AO16-AM16,"")</f>
        <v>0</v>
      </c>
      <c r="AO16" s="33">
        <v>0</v>
      </c>
      <c r="AP16" s="34">
        <f>IF(AND(ISNUMBER(AQ16),ISNUMBER(AO16)),AQ16-AO16,"")</f>
        <v>0</v>
      </c>
      <c r="AQ16" s="33">
        <v>0</v>
      </c>
      <c r="AR16" s="34">
        <f>IF(AND(ISNUMBER(AS16),ISNUMBER(AQ16)),AS16-AQ16,"")</f>
        <v>0</v>
      </c>
      <c r="AS16" s="33">
        <v>0</v>
      </c>
      <c r="AT16" s="34">
        <f>IF(AND(ISNUMBER(AU16),ISNUMBER(AS16)),AU16-AS16,"")</f>
        <v>0</v>
      </c>
      <c r="AU16" s="33">
        <v>0</v>
      </c>
      <c r="AV16" s="34">
        <f>IF(AND(ISNUMBER(AW16),ISNUMBER(AU16)),AW16-AU16,"")</f>
        <v>0</v>
      </c>
      <c r="AW16" s="33">
        <v>0</v>
      </c>
      <c r="AX16" s="34">
        <f>IF(AND(ISNUMBER(AY16),ISNUMBER(AW16)),AY16-AW16,"")</f>
        <v>0</v>
      </c>
      <c r="AY16" s="33">
        <v>2</v>
      </c>
      <c r="AZ16" s="34">
        <f>IF(AND(ISNUMBER(BA16),ISNUMBER(AY16)),BA16-AY16,"")</f>
        <v>0</v>
      </c>
      <c r="BA16" s="33">
        <v>0</v>
      </c>
      <c r="BB16" s="34">
        <f>IF(AND(ISNUMBER(BC16),ISNUMBER(BA16)),BC16-BA16,"")</f>
        <v>0</v>
      </c>
      <c r="BC16" s="33">
        <v>4</v>
      </c>
      <c r="BD16" s="34">
        <f>IF(AND(ISNUMBER(BE16),ISNUMBER(BC16)),BE16-BC16,"")</f>
        <v>0</v>
      </c>
      <c r="BE16" s="33">
        <v>3</v>
      </c>
      <c r="BF16" s="34">
        <f>IF(AND(ISNUMBER(BG16),ISNUMBER(BE16)),BG16-BE16,"")</f>
        <v>0</v>
      </c>
      <c r="BG16" s="33">
        <v>5</v>
      </c>
      <c r="BH16" s="34">
        <f>IF(AND(ISNUMBER(BI16),ISNUMBER(BG16)),BI16-BG16,"")</f>
        <v>0</v>
      </c>
      <c r="BI16" s="33">
        <v>4</v>
      </c>
      <c r="BJ16" s="34">
        <f>IF(AND(ISNUMBER(BK16),ISNUMBER(BI16)),BK16-BI16,"")</f>
        <v>0</v>
      </c>
      <c r="BK16" s="33">
        <v>3</v>
      </c>
      <c r="BL16" s="34">
        <f>IF(AND(ISNUMBER(BM16),ISNUMBER(BK16)),BM16-BK16,"")</f>
        <v>0</v>
      </c>
      <c r="BM16" s="33">
        <v>5</v>
      </c>
      <c r="BN16" s="34">
        <f>IF(AND(ISNUMBER(BO16),ISNUMBER(BM16)),BO16-BM16,"")</f>
        <v>0</v>
      </c>
      <c r="BO16" s="33">
        <v>3</v>
      </c>
      <c r="BP16" s="34">
        <f>IF(AND(ISNUMBER(BQ16),ISNUMBER(BO16)),BQ16-BO16,"")</f>
        <v>0</v>
      </c>
      <c r="BQ16" s="33">
        <v>4</v>
      </c>
      <c r="BR16" s="34">
        <f>IF(AND(ISNUMBER(BS16),ISNUMBER(BQ16)),BS16-BQ16,"")</f>
        <v>0</v>
      </c>
      <c r="BS16" s="33">
        <v>2</v>
      </c>
      <c r="BT16" s="34">
        <f>IF(AND(ISNUMBER(BU16),ISNUMBER(BS16)),BU16-BS16,"")</f>
        <v>0</v>
      </c>
      <c r="BU16" s="33">
        <v>3</v>
      </c>
      <c r="BV16" s="34">
        <f>IF(AND(ISNUMBER(BW16),ISNUMBER(BU16)),BW16-BU16,"")</f>
        <v>0</v>
      </c>
      <c r="BW16" s="33">
        <v>5</v>
      </c>
      <c r="BX16" s="34">
        <f>IF(AND(ISNUMBER(BY16),ISNUMBER(BW16)),BY16-BW16,"")</f>
        <v>0</v>
      </c>
      <c r="BY16" s="33">
        <v>7</v>
      </c>
      <c r="BZ16" s="34">
        <f>IF(AND(ISNUMBER(CA16),ISNUMBER(BY16)),CA16-BY16,"")</f>
        <v>0</v>
      </c>
      <c r="CA16" s="33">
        <v>6</v>
      </c>
      <c r="CB16" s="34">
        <f>IF(AND(ISNUMBER(CC16),ISNUMBER(CA16)),CC16-CA16,"")</f>
        <v>0</v>
      </c>
      <c r="CC16" s="33">
        <v>5</v>
      </c>
      <c r="CD16" s="34">
        <f>IF(AND(ISNUMBER(CE16),ISNUMBER(CC16)),CE16-CC16,"")</f>
        <v>0</v>
      </c>
      <c r="CE16" s="33">
        <v>3</v>
      </c>
      <c r="CF16" s="34">
        <f>IF(AND(ISNUMBER(CG16),ISNUMBER(CE16)),CG16-CE16,"")</f>
        <v>0</v>
      </c>
      <c r="CG16" s="33">
        <v>1</v>
      </c>
      <c r="CH16" s="34">
        <f>IF(AND(ISNUMBER(CI16),ISNUMBER(CG16)),CI16-CG16,"")</f>
        <v>0</v>
      </c>
      <c r="CI16" s="33">
        <v>2</v>
      </c>
      <c r="CJ16" s="34">
        <f>IF(AND(ISNUMBER(CK16),ISNUMBER(CI16)),CK16-CI16,"")</f>
        <v>0</v>
      </c>
      <c r="CK16" s="33">
        <v>2</v>
      </c>
      <c r="CL16" s="34">
        <f>IF(AND(ISNUMBER(CM16),ISNUMBER(CK16)),CM16-CK16,"")</f>
        <v>0</v>
      </c>
      <c r="CM16" s="33">
        <v>5</v>
      </c>
      <c r="CN16" s="34">
        <f>IF(AND(ISNUMBER(CO16),ISNUMBER(CM16)),CO16-CM16,"")</f>
        <v>0</v>
      </c>
      <c r="CO16" s="33">
        <v>5</v>
      </c>
      <c r="CP16" s="34">
        <f>IF(AND(ISNUMBER(CQ16),ISNUMBER(CO16)),CQ16-CO16,"")</f>
        <v>0</v>
      </c>
      <c r="CQ16" s="33">
        <v>4</v>
      </c>
      <c r="CR16" s="34">
        <f>IF(AND(ISNUMBER(CS16),ISNUMBER(CQ16)),CS16-CQ16,"")</f>
        <v>0</v>
      </c>
      <c r="CS16" s="33">
        <v>3</v>
      </c>
      <c r="CT16" s="34">
        <f>IF(AND(ISNUMBER(CU16),ISNUMBER(CS16)),CU16-CS16,"")</f>
        <v>0</v>
      </c>
      <c r="CU16" s="33">
        <v>2</v>
      </c>
      <c r="CV16" s="34">
        <f>IF(AND(ISNUMBER(CW16),ISNUMBER(CU16)),CW16-CU16,"")</f>
        <v>0</v>
      </c>
      <c r="CW16" s="33">
        <v>5</v>
      </c>
      <c r="CX16" s="34">
        <f>IF(AND(ISNUMBER(CY16),ISNUMBER(CW16)),CY16-CW16,"")</f>
        <v>0</v>
      </c>
      <c r="CY16" s="33">
        <v>4</v>
      </c>
      <c r="CZ16" s="34">
        <f>IF(AND(ISNUMBER(DA16),ISNUMBER(CY16)),DA16-CY16,"")</f>
        <v>0</v>
      </c>
      <c r="DA16" s="33">
        <v>5</v>
      </c>
      <c r="DB16" s="34">
        <f>IF(AND(ISNUMBER(DC16),ISNUMBER(DA16)),DC16-DA16,"")</f>
        <v>0</v>
      </c>
      <c r="DC16" s="33">
        <v>3</v>
      </c>
      <c r="DD16" s="34">
        <f>IF(AND(ISNUMBER(DE16),ISNUMBER(DC16)),DE16-DC16,"")</f>
        <v>0</v>
      </c>
      <c r="DE16" s="33">
        <v>2</v>
      </c>
      <c r="DF16" s="34">
        <f>IF(AND(ISNUMBER(DG16),ISNUMBER(DE16)),DG16-DE16,"")</f>
        <v>0</v>
      </c>
      <c r="DG16" s="33">
        <v>0</v>
      </c>
      <c r="DH16" s="34">
        <f>IF(AND(ISNUMBER(DI16),ISNUMBER(DG16)),DI16-DG16,"")</f>
        <v>0</v>
      </c>
      <c r="DI16" s="33">
        <v>3</v>
      </c>
      <c r="DJ16" s="34">
        <f>IF(AND(ISNUMBER(DK16),ISNUMBER(DI16)),DK16-DI16,"")</f>
        <v>0</v>
      </c>
      <c r="DK16" s="33">
        <v>4</v>
      </c>
      <c r="DL16" s="34">
        <f>IF(AND(ISNUMBER(DM16),ISNUMBER(DK16)),DM16-DK16,"")</f>
        <v>0</v>
      </c>
      <c r="DM16" s="33">
        <v>3</v>
      </c>
      <c r="DN16" s="34">
        <f>IF(AND(ISNUMBER(DO16),ISNUMBER(DM16)),DO16-DM16,"")</f>
        <v>0</v>
      </c>
      <c r="DO16" s="33">
        <v>1</v>
      </c>
      <c r="DP16" s="34">
        <f>IF(AND(ISNUMBER(DQ16),ISNUMBER(DO16)),DQ16-DO16,"")</f>
        <v>0</v>
      </c>
      <c r="DQ16" s="33">
        <v>2</v>
      </c>
      <c r="DR16" s="34">
        <f>IF(AND(ISNUMBER(DS16),ISNUMBER(DQ16)),DS16-DQ16,"")</f>
        <v>0</v>
      </c>
      <c r="DS16" s="33">
        <v>2</v>
      </c>
      <c r="DT16" s="34">
        <f>IF(AND(ISNUMBER(DU16),ISNUMBER(DS16)),DU16-DS16,"")</f>
        <v>0</v>
      </c>
      <c r="DU16" s="33">
        <v>2</v>
      </c>
      <c r="DV16" s="34">
        <f>IF(AND(ISNUMBER(DW16),ISNUMBER(DU16)),DW16-DU16,"")</f>
        <v>0</v>
      </c>
      <c r="DW16" s="33">
        <v>3</v>
      </c>
      <c r="DX16" s="34">
        <f>IF(AND(ISNUMBER(DY16),ISNUMBER(DW16)),DY16-DW16,"")</f>
        <v>0</v>
      </c>
      <c r="DY16" s="33">
        <v>0</v>
      </c>
      <c r="DZ16" s="34">
        <f>IF(AND(ISNUMBER(EA16),ISNUMBER(DY16)),EA16-DY16,"")</f>
        <v>0</v>
      </c>
      <c r="EA16" s="33">
        <v>0</v>
      </c>
      <c r="EB16" s="34">
        <f>IF(AND(ISNUMBER(EC16),ISNUMBER(EA16)),EC16-EA16,"")</f>
        <v>0</v>
      </c>
      <c r="EC16" s="33">
        <v>0</v>
      </c>
      <c r="ED16" s="34">
        <f>IF(AND(ISNUMBER(EE16),ISNUMBER(EC16)),EE16-EC16,"")</f>
        <v>0</v>
      </c>
      <c r="EE16" s="33">
        <v>0</v>
      </c>
      <c r="EF16" s="34">
        <f>IF(AND(ISNUMBER(EG16),ISNUMBER(EE16)),EG16-EE16,"")</f>
        <v>0</v>
      </c>
      <c r="EG16" s="33">
        <v>4</v>
      </c>
      <c r="EH16" s="34">
        <f>IF(AND(ISNUMBER(EI16),ISNUMBER(EG16)),EI16-EG16,"")</f>
        <v>0</v>
      </c>
      <c r="EI16" s="33">
        <v>4</v>
      </c>
      <c r="EJ16" s="34">
        <f>IF(AND(ISNUMBER(EK16),ISNUMBER(EI16)),EK16-EI16,"")</f>
        <v>0</v>
      </c>
      <c r="EK16" s="33">
        <v>0</v>
      </c>
      <c r="EL16" s="34">
        <f>IF(AND(ISNUMBER(EM16),ISNUMBER(EK16)),EM16-EK16,"")</f>
        <v>0</v>
      </c>
      <c r="EM16" s="33">
        <v>3</v>
      </c>
      <c r="EN16" s="34">
        <f>IF(AND(ISNUMBER(EO16),ISNUMBER(EM16)),EO16-EM16,"")</f>
        <v>0</v>
      </c>
      <c r="EO16" s="33">
        <v>2</v>
      </c>
      <c r="EP16" s="34">
        <f>IF(AND(ISNUMBER(EQ16),ISNUMBER(EO16)),EQ16-EO16,"")</f>
        <v>0</v>
      </c>
      <c r="EQ16" s="33">
        <v>10</v>
      </c>
      <c r="ER16" s="34">
        <f>IF(AND(ISNUMBER(ES16),ISNUMBER(EQ16)),ES16-EQ16,"")</f>
        <v>0</v>
      </c>
      <c r="ES16" s="33">
        <v>8</v>
      </c>
      <c r="ET16" s="34">
        <f>IF(AND(ISNUMBER(EU16),ISNUMBER(ES16)),EU16-ES16,"")</f>
        <v>0</v>
      </c>
      <c r="EU16" s="33">
        <v>5</v>
      </c>
      <c r="EV16" s="34">
        <f>IF(AND(ISNUMBER(EW16),ISNUMBER(EU16)),EW16-EU16,"")</f>
        <v>0</v>
      </c>
      <c r="EW16" s="33">
        <v>3</v>
      </c>
      <c r="EX16" s="34">
        <f>IF(AND(ISNUMBER(EY16),ISNUMBER(EW16)),EY16-EW16,"")</f>
        <v>0</v>
      </c>
      <c r="EY16" s="33">
        <v>4</v>
      </c>
      <c r="EZ16" s="34">
        <f>IF(AND(ISNUMBER(FA16),ISNUMBER(EY16)),FA16-EY16,"")</f>
        <v>0</v>
      </c>
      <c r="FA16" s="33">
        <v>1</v>
      </c>
      <c r="FB16" s="34">
        <f>IF(AND(ISNUMBER(FC16),ISNUMBER(FA16)),FC16-FA16,"")</f>
        <v>0</v>
      </c>
      <c r="FC16" s="33"/>
      <c r="FD16" s="34">
        <f>IF(AND(ISNUMBER(FE16),ISNUMBER(FC16)),FE16-FC16,"")</f>
        <v>0</v>
      </c>
      <c r="FE16" s="33"/>
      <c r="FF16" s="34">
        <f>IF(AND(ISNUMBER(FG16),ISNUMBER(FE16)),FG16-FE16,"")</f>
        <v>0</v>
      </c>
      <c r="FG16" s="33"/>
      <c r="FH16" s="34">
        <f>IF(AND(ISNUMBER(FI16),ISNUMBER(FG16)),FI16-FG16,"")</f>
        <v>0</v>
      </c>
      <c r="FI16" s="33"/>
      <c r="FJ16" s="34">
        <f>IF(AND(ISNUMBER(FK16),ISNUMBER(FI16)),FK16-FI16,"")</f>
        <v>0</v>
      </c>
      <c r="FK16" s="33"/>
      <c r="FL16" s="34">
        <f>IF(AND(ISNUMBER(FM16),ISNUMBER(FK16)),FM16-FK16,"")</f>
        <v>0</v>
      </c>
      <c r="FM16" s="33"/>
      <c r="FN16" s="34">
        <f>IF(AND(ISNUMBER(FO16),ISNUMBER(FM16)),FO16-FM16,"")</f>
        <v>0</v>
      </c>
      <c r="FO16" s="33"/>
      <c r="FP16" s="34">
        <f>IF(AND(ISNUMBER(FQ16),ISNUMBER(FO16)),FQ16-FO16,"")</f>
        <v>0</v>
      </c>
      <c r="FQ16" s="33"/>
      <c r="FR16" s="34">
        <f>IF(AND(ISNUMBER(FS16),ISNUMBER(FQ16)),FS16-FQ16,"")</f>
        <v>0</v>
      </c>
      <c r="FS16" s="33"/>
      <c r="FT16" s="34">
        <f>IF(AND(ISNUMBER(FU16),ISNUMBER(FS16)),FU16-FS16,"")</f>
        <v>0</v>
      </c>
      <c r="FU16" s="33"/>
      <c r="FV16" s="34">
        <f>IF(AND(ISNUMBER(FW16),ISNUMBER(FU16)),FW16-FU16,"")</f>
        <v>0</v>
      </c>
      <c r="FW16" s="33"/>
      <c r="FX16" s="34">
        <f>IF(AND(ISNUMBER(FY16),ISNUMBER(FW16)),FY16-FW16,"")</f>
        <v>0</v>
      </c>
      <c r="FY16" s="33"/>
      <c r="FZ16" s="34">
        <f>IF(AND(ISNUMBER(GA16),ISNUMBER(FY16)),GA16-FY16,"")</f>
        <v>0</v>
      </c>
      <c r="GA16" s="33"/>
      <c r="GB16" s="34">
        <f>IF(AND(ISNUMBER(GC16),ISNUMBER(GA16)),GC16-GA16,"")</f>
        <v>0</v>
      </c>
      <c r="GC16" s="33"/>
      <c r="GD16" s="34">
        <f>IF(AND(ISNUMBER(GE16),ISNUMBER(GC16)),GE16-GC16,"")</f>
        <v>0</v>
      </c>
      <c r="GE16" s="33"/>
      <c r="GF16" s="34">
        <f>IF(AND(ISNUMBER(GG16),ISNUMBER(GE16)),GG16-GE16,"")</f>
        <v>0</v>
      </c>
      <c r="GG16" s="33"/>
      <c r="GH16" s="34">
        <f>IF(AND(ISNUMBER(GI16),ISNUMBER(GG16)),GI16-GG16,"")</f>
        <v>0</v>
      </c>
      <c r="GI16" s="33"/>
      <c r="GJ16" s="34">
        <f>IF(AND(ISNUMBER(GK16),ISNUMBER(GI16)),GK16-GI16,"")</f>
        <v>0</v>
      </c>
      <c r="GK16" s="33"/>
      <c r="GL16" s="34">
        <f>IF(AND(ISNUMBER(GM16),ISNUMBER(GK16)),GM16-GK16,"")</f>
        <v>0</v>
      </c>
      <c r="GM16" s="33"/>
      <c r="GN16" s="34">
        <f>IF(AND(ISNUMBER(GO16),ISNUMBER(GM16)),GO16-GM16,"")</f>
        <v>0</v>
      </c>
      <c r="GO16" s="33"/>
      <c r="GP16" s="34">
        <f>IF(AND(ISNUMBER(GQ16),ISNUMBER(GO16)),GQ16-GO16,"")</f>
        <v>0</v>
      </c>
      <c r="GQ16" s="33"/>
      <c r="GR16" s="34">
        <f>IF(AND(ISNUMBER(GS16),ISNUMBER(GQ16)),GS16-GQ16,"")</f>
        <v>0</v>
      </c>
      <c r="GS16" s="33"/>
      <c r="GT16" s="34">
        <f>IF(AND(ISNUMBER(GU16),ISNUMBER(GS16)),GU16-GS16,"")</f>
        <v>0</v>
      </c>
      <c r="GU16" s="33"/>
      <c r="GV16" s="34">
        <f>IF(AND(ISNUMBER(GW16),ISNUMBER(GU16)),GW16-GU16,"")</f>
        <v>0</v>
      </c>
      <c r="GW16" s="33"/>
      <c r="GX16" s="34">
        <f>IF(AND(ISNUMBER(GY16),ISNUMBER(GW16)),GY16-GW16,"")</f>
        <v>0</v>
      </c>
      <c r="GY16" s="33"/>
      <c r="GZ16" s="34">
        <f>IF(AND(ISNUMBER(HA16),ISNUMBER(GY16)),HA16-GY16,"")</f>
        <v>0</v>
      </c>
      <c r="HA16" s="33"/>
      <c r="HB16" s="34">
        <f>IF(AND(ISNUMBER(HC16),ISNUMBER(HA16)),HC16-HA16,"")</f>
        <v>0</v>
      </c>
      <c r="HC16" s="33"/>
      <c r="HD16" s="34">
        <f>IF(AND(ISNUMBER(HE16),ISNUMBER(HC16)),HE16-HC16,"")</f>
        <v>0</v>
      </c>
      <c r="HE16" s="33"/>
      <c r="HF16" s="34">
        <f>IF(AND(ISNUMBER(HG16),ISNUMBER(HE16)),HG16-HE16,"")</f>
        <v>0</v>
      </c>
      <c r="HG16" s="33"/>
      <c r="HH16" s="34">
        <f>IF(AND(ISNUMBER(HI16),ISNUMBER(HG16)),HI16-HG16,"")</f>
        <v>0</v>
      </c>
      <c r="HI16" s="33"/>
      <c r="HJ16" s="34">
        <f>IF(AND(ISNUMBER(HK16),ISNUMBER(HI16)),HK16-HI16,"")</f>
        <v>0</v>
      </c>
      <c r="HK16" s="33"/>
      <c r="HL16" s="34">
        <f>IF(AND(ISNUMBER(HM16),ISNUMBER(HK16)),HM16-HK16,"")</f>
        <v>0</v>
      </c>
      <c r="HM16" s="33"/>
      <c r="HN16" s="34">
        <f>IF(AND(ISNUMBER(HO16),ISNUMBER(HM16)),HO16-HM16,"")</f>
        <v>0</v>
      </c>
      <c r="HO16" s="33"/>
      <c r="HP16" s="34">
        <f>IF(AND(ISNUMBER(HQ16),ISNUMBER(HO16)),HQ16-HO16,"")</f>
        <v>0</v>
      </c>
      <c r="HQ16" s="33"/>
      <c r="HR16" s="34">
        <f>IF(AND(ISNUMBER(HS16),ISNUMBER(HQ16)),HS16-HQ16,"")</f>
        <v>0</v>
      </c>
      <c r="HS16" s="33"/>
      <c r="HT16" s="34">
        <f>IF(AND(ISNUMBER(HU16),ISNUMBER(HS16)),HU16-HS16,"")</f>
        <v>0</v>
      </c>
      <c r="HU16" s="33"/>
      <c r="HV16" s="34">
        <f>IF(AND(ISNUMBER(HW16),ISNUMBER(HU16)),HW16-HU16,"")</f>
        <v>0</v>
      </c>
      <c r="HW16" s="33"/>
      <c r="HX16" s="34">
        <f>IF(AND(ISNUMBER(HY16),ISNUMBER(HW16)),HY16-HW16,"")</f>
        <v>0</v>
      </c>
      <c r="HY16" s="33"/>
      <c r="HZ16" s="34">
        <f>IF(AND(ISNUMBER(IA16),ISNUMBER(HY16)),IA16-HY16,"")</f>
        <v>0</v>
      </c>
      <c r="IA16" s="33"/>
      <c r="IB16" s="34">
        <f>IF(AND(ISNUMBER(IC16),ISNUMBER(IA16)),IC16-IA16,"")</f>
        <v>0</v>
      </c>
      <c r="IC16" s="33"/>
      <c r="ID16" s="34">
        <f>IF(AND(ISNUMBER(IE16),ISNUMBER(IC16)),IE16-IC16,"")</f>
        <v>0</v>
      </c>
      <c r="IE16" s="33"/>
      <c r="IF16" s="34">
        <f>IF(AND(ISNUMBER(IG16),ISNUMBER(IE16)),IG16-IE16,"")</f>
        <v>0</v>
      </c>
      <c r="IG16" s="33"/>
      <c r="IH16" s="34">
        <f>IF(AND(ISNUMBER(II16),ISNUMBER(IG16)),II16-IG16,"")</f>
        <v>0</v>
      </c>
      <c r="II16" s="33"/>
      <c r="IJ16" s="34">
        <f>IF(AND(ISNUMBER(IK16),ISNUMBER(II16)),IK16-II16,"")</f>
        <v>0</v>
      </c>
      <c r="IK16" s="33"/>
      <c r="IL16" s="34">
        <f>IF(AND(ISNUMBER(IM16),ISNUMBER(IK16)),IM16-IK16,"")</f>
        <v>0</v>
      </c>
      <c r="IM16" s="33"/>
      <c r="IN16" s="34">
        <f>IF(AND(ISNUMBER(IO16),ISNUMBER(IM16)),IO16-IM16,"")</f>
        <v>0</v>
      </c>
      <c r="IO16" s="33"/>
      <c r="IP16" s="34">
        <f>IF(AND(ISNUMBER(IQ16),ISNUMBER(IO16)),IQ16-IO16,"")</f>
        <v>0</v>
      </c>
      <c r="IQ16" s="33"/>
      <c r="IR16" s="34">
        <f>IF(AND(ISNUMBER(IS16),ISNUMBER(IQ16)),IS16-IQ16,"")</f>
        <v>0</v>
      </c>
      <c r="IS16" s="33"/>
      <c r="IT16" s="34">
        <f>IF(AND(ISNUMBER(IU16),ISNUMBER(IS16)),IU16-IS16,"")</f>
        <v>0</v>
      </c>
      <c r="IU16" s="33"/>
      <c r="IV16" s="34">
        <f>IF(AND(ISNUMBER(IW16),ISNUMBER(IU16)),IW16-IU16,"")</f>
        <v>0</v>
      </c>
      <c r="IW16" s="33"/>
      <c r="IX16" s="34">
        <f>IF(AND(ISNUMBER(IY16),ISNUMBER(IW16)),IY16-IW16,"")</f>
        <v>0</v>
      </c>
      <c r="IY16" s="33"/>
      <c r="IZ16" s="34">
        <f>IF(AND(ISNUMBER(JA16),ISNUMBER(IY16)),JA16-IY16,"")</f>
        <v>0</v>
      </c>
      <c r="JA16" s="33"/>
      <c r="JB16" s="34">
        <f>IF(AND(ISNUMBER(JC16),ISNUMBER(JA16)),JC16-JA16,"")</f>
        <v>0</v>
      </c>
      <c r="JC16" s="33"/>
      <c r="JD16" s="34">
        <f>IF(AND(ISNUMBER(JE16),ISNUMBER(JC16)),JE16-JC16,"")</f>
        <v>0</v>
      </c>
      <c r="JE16" s="33"/>
      <c r="JF16" s="34">
        <f>IF(AND(ISNUMBER(JG16),ISNUMBER(JE16)),JG16-JE16,"")</f>
        <v>0</v>
      </c>
      <c r="JG16" s="33"/>
      <c r="JH16" s="34">
        <f>IF(AND(ISNUMBER(JI16),ISNUMBER(JG16)),JI16-JG16,"")</f>
        <v>0</v>
      </c>
      <c r="JI16" s="33"/>
      <c r="JJ16" s="34">
        <f>IF(AND(ISNUMBER(JK16),ISNUMBER(JI16)),JK16-JI16,"")</f>
        <v>0</v>
      </c>
      <c r="JK16" s="33"/>
      <c r="JL16" s="34">
        <f>IF(AND(ISNUMBER(JM16),ISNUMBER(JK16)),JM16-JK16,"")</f>
        <v>0</v>
      </c>
      <c r="JM16" s="33"/>
      <c r="JN16" s="34">
        <f>IF(AND(ISNUMBER(JO16),ISNUMBER(JM16)),JO16-JM16,"")</f>
        <v>0</v>
      </c>
      <c r="JO16" s="33"/>
      <c r="JP16" s="34">
        <f>IF(AND(ISNUMBER(JQ16),ISNUMBER(JO16)),JQ16-JO16,"")</f>
        <v>0</v>
      </c>
      <c r="JQ16" s="33"/>
      <c r="JR16" s="34">
        <f>IF(AND(ISNUMBER(JS16),ISNUMBER(JQ16)),JS16-JQ16,"")</f>
        <v>0</v>
      </c>
      <c r="JS16" s="33"/>
      <c r="JT16" s="34">
        <f>IF(AND(ISNUMBER(JU16),ISNUMBER(JS16)),JU16-JS16,"")</f>
        <v>0</v>
      </c>
      <c r="JU16" s="33"/>
      <c r="JV16" s="34">
        <f>IF(AND(ISNUMBER(JW16),ISNUMBER(JU16)),JW16-JU16,"")</f>
        <v>0</v>
      </c>
      <c r="JW16" s="33"/>
      <c r="JX16" s="34">
        <f>IF(AND(ISNUMBER(JY16),ISNUMBER(JW16)),JY16-JW16,"")</f>
        <v>0</v>
      </c>
      <c r="JY16" s="33"/>
      <c r="JZ16" s="34">
        <f>IF(AND(ISNUMBER(KA16),ISNUMBER(JY16)),KA16-JY16,"")</f>
        <v>0</v>
      </c>
      <c r="KA16" s="33"/>
      <c r="KB16" s="34">
        <f>IF(AND(ISNUMBER(KC16),ISNUMBER(KA16)),KC16-KA16,"")</f>
        <v>0</v>
      </c>
      <c r="KC16" s="33"/>
      <c r="KD16" s="34">
        <f>IF(AND(ISNUMBER(KE16),ISNUMBER(KC16)),KE16-KC16,"")</f>
        <v>0</v>
      </c>
      <c r="KE16" s="33"/>
      <c r="KF16" s="34">
        <f>IF(AND(ISNUMBER(KG16),ISNUMBER(KE16)),KG16-KE16,"")</f>
        <v>0</v>
      </c>
      <c r="KG16" s="33"/>
      <c r="KH16" s="34">
        <f>IF(AND(ISNUMBER(KI16),ISNUMBER(KG16)),KI16-KG16,"")</f>
        <v>0</v>
      </c>
      <c r="KI16" s="33"/>
      <c r="KJ16" s="34">
        <f>IF(AND(ISNUMBER(KK16),ISNUMBER(KI16)),KK16-KI16,"")</f>
        <v>0</v>
      </c>
      <c r="KK16" s="33"/>
      <c r="KL16" s="34">
        <f>IF(AND(ISNUMBER(KM16),ISNUMBER(KK16)),KM16-KK16,"")</f>
        <v>0</v>
      </c>
      <c r="KM16" s="33"/>
      <c r="KN16" s="34">
        <f>IF(AND(ISNUMBER(KO16),ISNUMBER(KM16)),KO16-KM16,"")</f>
        <v>0</v>
      </c>
      <c r="KO16" s="33"/>
      <c r="KP16" s="34">
        <f>IF(AND(ISNUMBER(KQ16),ISNUMBER(KO16)),KQ16-KO16,"")</f>
        <v>0</v>
      </c>
      <c r="KQ16" s="33"/>
      <c r="KR16" s="34">
        <f>IF(AND(ISNUMBER(KS16),ISNUMBER(KQ16)),KS16-KQ16,"")</f>
        <v>0</v>
      </c>
      <c r="KS16" s="33"/>
      <c r="KT16" s="34">
        <f>IF(AND(ISNUMBER(KU16),ISNUMBER(KS16)),KU16-KS16,"")</f>
        <v>0</v>
      </c>
      <c r="KU16" s="33"/>
      <c r="KV16" s="34">
        <f>IF(AND(ISNUMBER(KW16),ISNUMBER(KU16)),KW16-KU16,"")</f>
        <v>0</v>
      </c>
      <c r="KW16" s="33"/>
      <c r="KX16" s="34">
        <f>IF(AND(ISNUMBER(KY16),ISNUMBER(KW16)),KY16-KW16,"")</f>
        <v>0</v>
      </c>
      <c r="KY16" s="33"/>
      <c r="KZ16" s="34">
        <f>IF(AND(ISNUMBER(LA16),ISNUMBER(KY16)),LA16-KY16,"")</f>
        <v>0</v>
      </c>
      <c r="LA16" s="33"/>
      <c r="LB16" s="34">
        <f>IF(AND(ISNUMBER(LC16),ISNUMBER(LA16)),LC16-LA16,"")</f>
        <v>0</v>
      </c>
      <c r="LC16" s="33"/>
      <c r="LD16" s="34">
        <f>IF(AND(ISNUMBER(LE16),ISNUMBER(LC16)),LE16-LC16,"")</f>
        <v>0</v>
      </c>
      <c r="LE16" s="33"/>
      <c r="LF16" s="34">
        <f>IF(AND(ISNUMBER(LG16),ISNUMBER(LE16)),LG16-LE16,"")</f>
        <v>0</v>
      </c>
      <c r="LG16" s="33"/>
    </row>
    <row r="17" spans="1:322" hidden="1" outlineLevel="1">
      <c r="B17" s="23"/>
      <c r="D17" s="31" t="s">
        <v>717</v>
      </c>
      <c r="E17" s="32" t="s">
        <v>1047</v>
      </c>
      <c r="I17" s="40" t="s">
        <v>1088</v>
      </c>
      <c r="J17" s="34">
        <f>IF(AND(ISNUMBER(K17),ISNUMBER(I17)),K17-I17,"")</f>
        <v>0</v>
      </c>
      <c r="K17" s="40" t="s">
        <v>1088</v>
      </c>
      <c r="L17" s="34">
        <f>IF(AND(ISNUMBER(M17),ISNUMBER(K17)),M17-K17,"")</f>
        <v>0</v>
      </c>
      <c r="M17" s="33">
        <v>0</v>
      </c>
      <c r="N17" s="34">
        <f>IF(AND(ISNUMBER(O17),ISNUMBER(M17)),O17-M17,"")</f>
        <v>0</v>
      </c>
      <c r="O17" s="33">
        <v>0</v>
      </c>
      <c r="P17" s="34">
        <f>IF(AND(ISNUMBER(Q17),ISNUMBER(O17)),Q17-O17,"")</f>
        <v>0</v>
      </c>
      <c r="Q17" s="33">
        <v>0</v>
      </c>
      <c r="R17" s="34">
        <f>IF(AND(ISNUMBER(S17),ISNUMBER(Q17)),S17-Q17,"")</f>
        <v>0</v>
      </c>
      <c r="S17" s="33">
        <v>0</v>
      </c>
      <c r="T17" s="34">
        <f>IF(AND(ISNUMBER(U17),ISNUMBER(S17)),U17-S17,"")</f>
        <v>0</v>
      </c>
      <c r="U17" s="33">
        <v>0</v>
      </c>
      <c r="V17" s="34">
        <f>IF(AND(ISNUMBER(W17),ISNUMBER(U17)),W17-U17,"")</f>
        <v>0</v>
      </c>
      <c r="W17" s="33">
        <v>0</v>
      </c>
      <c r="X17" s="34">
        <f>IF(AND(ISNUMBER(Y17),ISNUMBER(W17)),Y17-W17,"")</f>
        <v>0</v>
      </c>
      <c r="Y17" s="40" t="s">
        <v>1088</v>
      </c>
      <c r="Z17" s="34">
        <f>IF(AND(ISNUMBER(AA17),ISNUMBER(Y17)),AA17-Y17,"")</f>
        <v>0</v>
      </c>
      <c r="AA17" s="33">
        <v>0</v>
      </c>
      <c r="AB17" s="34">
        <f>IF(AND(ISNUMBER(AC17),ISNUMBER(AA17)),AC17-AA17,"")</f>
        <v>0</v>
      </c>
      <c r="AC17" s="33">
        <v>0</v>
      </c>
      <c r="AD17" s="34">
        <f>IF(AND(ISNUMBER(AE17),ISNUMBER(AC17)),AE17-AC17,"")</f>
        <v>0</v>
      </c>
      <c r="AE17" s="33">
        <v>0</v>
      </c>
      <c r="AF17" s="34">
        <f>IF(AND(ISNUMBER(AG17),ISNUMBER(AE17)),AG17-AE17,"")</f>
        <v>0</v>
      </c>
      <c r="AG17" s="33">
        <v>0</v>
      </c>
      <c r="AH17" s="34">
        <f>IF(AND(ISNUMBER(AI17),ISNUMBER(AG17)),AI17-AG17,"")</f>
        <v>0</v>
      </c>
      <c r="AI17" s="33">
        <v>0</v>
      </c>
      <c r="AJ17" s="34">
        <f>IF(AND(ISNUMBER(AK17),ISNUMBER(AI17)),AK17-AI17,"")</f>
        <v>0</v>
      </c>
      <c r="AK17" s="33">
        <v>0</v>
      </c>
      <c r="AL17" s="34">
        <f>IF(AND(ISNUMBER(AM17),ISNUMBER(AK17)),AM17-AK17,"")</f>
        <v>0</v>
      </c>
      <c r="AM17" s="33">
        <v>0</v>
      </c>
      <c r="AN17" s="34">
        <f>IF(AND(ISNUMBER(AO17),ISNUMBER(AM17)),AO17-AM17,"")</f>
        <v>0</v>
      </c>
      <c r="AO17" s="33">
        <v>12</v>
      </c>
      <c r="AP17" s="34">
        <f>IF(AND(ISNUMBER(AQ17),ISNUMBER(AO17)),AQ17-AO17,"")</f>
        <v>0</v>
      </c>
      <c r="AQ17" s="33">
        <v>18</v>
      </c>
      <c r="AR17" s="34">
        <f>IF(AND(ISNUMBER(AS17),ISNUMBER(AQ17)),AS17-AQ17,"")</f>
        <v>0</v>
      </c>
      <c r="AS17" s="33">
        <v>3</v>
      </c>
      <c r="AT17" s="34">
        <f>IF(AND(ISNUMBER(AU17),ISNUMBER(AS17)),AU17-AS17,"")</f>
        <v>0</v>
      </c>
      <c r="AU17" s="33">
        <v>0</v>
      </c>
      <c r="AV17" s="34">
        <f>IF(AND(ISNUMBER(AW17),ISNUMBER(AU17)),AW17-AU17,"")</f>
        <v>0</v>
      </c>
      <c r="AW17" s="33">
        <v>5</v>
      </c>
      <c r="AX17" s="34">
        <f>IF(AND(ISNUMBER(AY17),ISNUMBER(AW17)),AY17-AW17,"")</f>
        <v>0</v>
      </c>
      <c r="AY17" s="33">
        <v>8</v>
      </c>
      <c r="AZ17" s="34">
        <f>IF(AND(ISNUMBER(BA17),ISNUMBER(AY17)),BA17-AY17,"")</f>
        <v>0</v>
      </c>
      <c r="BA17" s="33">
        <v>4</v>
      </c>
      <c r="BB17" s="34">
        <f>IF(AND(ISNUMBER(BC17),ISNUMBER(BA17)),BC17-BA17,"")</f>
        <v>0</v>
      </c>
      <c r="BC17" s="33">
        <v>2</v>
      </c>
      <c r="BD17" s="34">
        <f>IF(AND(ISNUMBER(BE17),ISNUMBER(BC17)),BE17-BC17,"")</f>
        <v>0</v>
      </c>
      <c r="BE17" s="33">
        <v>7</v>
      </c>
      <c r="BF17" s="34">
        <f>IF(AND(ISNUMBER(BG17),ISNUMBER(BE17)),BG17-BE17,"")</f>
        <v>0</v>
      </c>
      <c r="BG17" s="33">
        <v>8</v>
      </c>
      <c r="BH17" s="34">
        <f>IF(AND(ISNUMBER(BI17),ISNUMBER(BG17)),BI17-BG17,"")</f>
        <v>0</v>
      </c>
      <c r="BI17" s="33">
        <v>6</v>
      </c>
      <c r="BJ17" s="34">
        <f>IF(AND(ISNUMBER(BK17),ISNUMBER(BI17)),BK17-BI17,"")</f>
        <v>0</v>
      </c>
      <c r="BK17" s="33">
        <v>8</v>
      </c>
      <c r="BL17" s="34">
        <f>IF(AND(ISNUMBER(BM17),ISNUMBER(BK17)),BM17-BK17,"")</f>
        <v>0</v>
      </c>
      <c r="BM17" s="33">
        <v>6</v>
      </c>
      <c r="BN17" s="34">
        <f>IF(AND(ISNUMBER(BO17),ISNUMBER(BM17)),BO17-BM17,"")</f>
        <v>0</v>
      </c>
      <c r="BO17" s="33">
        <v>5</v>
      </c>
      <c r="BP17" s="34">
        <f>IF(AND(ISNUMBER(BQ17),ISNUMBER(BO17)),BQ17-BO17,"")</f>
        <v>0</v>
      </c>
      <c r="BQ17" s="33">
        <v>4</v>
      </c>
      <c r="BR17" s="34">
        <f>IF(AND(ISNUMBER(BS17),ISNUMBER(BQ17)),BS17-BQ17,"")</f>
        <v>0</v>
      </c>
      <c r="BS17" s="33">
        <v>2</v>
      </c>
      <c r="BT17" s="34">
        <f>IF(AND(ISNUMBER(BU17),ISNUMBER(BS17)),BU17-BS17,"")</f>
        <v>0</v>
      </c>
      <c r="BU17" s="33">
        <v>5</v>
      </c>
      <c r="BV17" s="34">
        <f>IF(AND(ISNUMBER(BW17),ISNUMBER(BU17)),BW17-BU17,"")</f>
        <v>0</v>
      </c>
      <c r="BW17" s="33">
        <v>4</v>
      </c>
      <c r="BX17" s="34">
        <f>IF(AND(ISNUMBER(BY17),ISNUMBER(BW17)),BY17-BW17,"")</f>
        <v>0</v>
      </c>
      <c r="BY17" s="33">
        <v>5</v>
      </c>
      <c r="BZ17" s="34">
        <f>IF(AND(ISNUMBER(CA17),ISNUMBER(BY17)),CA17-BY17,"")</f>
        <v>0</v>
      </c>
      <c r="CA17" s="33">
        <v>5</v>
      </c>
      <c r="CB17" s="34">
        <f>IF(AND(ISNUMBER(CC17),ISNUMBER(CA17)),CC17-CA17,"")</f>
        <v>0</v>
      </c>
      <c r="CC17" s="33">
        <v>6</v>
      </c>
      <c r="CD17" s="34">
        <f>IF(AND(ISNUMBER(CE17),ISNUMBER(CC17)),CE17-CC17,"")</f>
        <v>0</v>
      </c>
      <c r="CE17" s="33">
        <v>5</v>
      </c>
      <c r="CF17" s="34">
        <f>IF(AND(ISNUMBER(CG17),ISNUMBER(CE17)),CG17-CE17,"")</f>
        <v>0</v>
      </c>
      <c r="CG17" s="33">
        <v>3</v>
      </c>
      <c r="CH17" s="34">
        <f>IF(AND(ISNUMBER(CI17),ISNUMBER(CG17)),CI17-CG17,"")</f>
        <v>0</v>
      </c>
      <c r="CI17" s="33">
        <v>4</v>
      </c>
      <c r="CJ17" s="34">
        <f>IF(AND(ISNUMBER(CK17),ISNUMBER(CI17)),CK17-CI17,"")</f>
        <v>0</v>
      </c>
      <c r="CK17" s="33">
        <v>5</v>
      </c>
      <c r="CL17" s="34">
        <f>IF(AND(ISNUMBER(CM17),ISNUMBER(CK17)),CM17-CK17,"")</f>
        <v>0</v>
      </c>
      <c r="CM17" s="33">
        <v>7</v>
      </c>
      <c r="CN17" s="34">
        <f>IF(AND(ISNUMBER(CO17),ISNUMBER(CM17)),CO17-CM17,"")</f>
        <v>0</v>
      </c>
      <c r="CO17" s="33">
        <v>5</v>
      </c>
      <c r="CP17" s="34">
        <f>IF(AND(ISNUMBER(CQ17),ISNUMBER(CO17)),CQ17-CO17,"")</f>
        <v>0</v>
      </c>
      <c r="CQ17" s="33">
        <v>2</v>
      </c>
      <c r="CR17" s="34">
        <f>IF(AND(ISNUMBER(CS17),ISNUMBER(CQ17)),CS17-CQ17,"")</f>
        <v>0</v>
      </c>
      <c r="CS17" s="33">
        <v>6</v>
      </c>
      <c r="CT17" s="34">
        <f>IF(AND(ISNUMBER(CU17),ISNUMBER(CS17)),CU17-CS17,"")</f>
        <v>0</v>
      </c>
      <c r="CU17" s="33">
        <v>3</v>
      </c>
      <c r="CV17" s="34">
        <f>IF(AND(ISNUMBER(CW17),ISNUMBER(CU17)),CW17-CU17,"")</f>
        <v>0</v>
      </c>
      <c r="CW17" s="33">
        <v>6</v>
      </c>
      <c r="CX17" s="34">
        <f>IF(AND(ISNUMBER(CY17),ISNUMBER(CW17)),CY17-CW17,"")</f>
        <v>0</v>
      </c>
      <c r="CY17" s="33">
        <v>6</v>
      </c>
      <c r="CZ17" s="34">
        <f>IF(AND(ISNUMBER(DA17),ISNUMBER(CY17)),DA17-CY17,"")</f>
        <v>0</v>
      </c>
      <c r="DA17" s="33">
        <v>0</v>
      </c>
      <c r="DB17" s="34">
        <f>IF(AND(ISNUMBER(DC17),ISNUMBER(DA17)),DC17-DA17,"")</f>
        <v>0</v>
      </c>
      <c r="DC17" s="33">
        <v>5</v>
      </c>
      <c r="DD17" s="34">
        <f>IF(AND(ISNUMBER(DE17),ISNUMBER(DC17)),DE17-DC17,"")</f>
        <v>0</v>
      </c>
      <c r="DE17" s="33">
        <v>3</v>
      </c>
      <c r="DF17" s="34">
        <f>IF(AND(ISNUMBER(DG17),ISNUMBER(DE17)),DG17-DE17,"")</f>
        <v>0</v>
      </c>
      <c r="DG17" s="33">
        <v>4</v>
      </c>
      <c r="DH17" s="34">
        <f>IF(AND(ISNUMBER(DI17),ISNUMBER(DG17)),DI17-DG17,"")</f>
        <v>0</v>
      </c>
      <c r="DI17" s="33">
        <v>4</v>
      </c>
      <c r="DJ17" s="34">
        <f>IF(AND(ISNUMBER(DK17),ISNUMBER(DI17)),DK17-DI17,"")</f>
        <v>0</v>
      </c>
      <c r="DK17" s="33">
        <v>3</v>
      </c>
      <c r="DL17" s="34">
        <f>IF(AND(ISNUMBER(DM17),ISNUMBER(DK17)),DM17-DK17,"")</f>
        <v>0</v>
      </c>
      <c r="DM17" s="33">
        <v>5</v>
      </c>
      <c r="DN17" s="34">
        <f>IF(AND(ISNUMBER(DO17),ISNUMBER(DM17)),DO17-DM17,"")</f>
        <v>0</v>
      </c>
      <c r="DO17" s="33">
        <v>3</v>
      </c>
      <c r="DP17" s="34">
        <f>IF(AND(ISNUMBER(DQ17),ISNUMBER(DO17)),DQ17-DO17,"")</f>
        <v>0</v>
      </c>
      <c r="DQ17" s="33">
        <v>5</v>
      </c>
      <c r="DR17" s="34">
        <f>IF(AND(ISNUMBER(DS17),ISNUMBER(DQ17)),DS17-DQ17,"")</f>
        <v>0</v>
      </c>
      <c r="DS17" s="33">
        <v>2</v>
      </c>
      <c r="DT17" s="34">
        <f>IF(AND(ISNUMBER(DU17),ISNUMBER(DS17)),DU17-DS17,"")</f>
        <v>0</v>
      </c>
      <c r="DU17" s="33">
        <v>4</v>
      </c>
      <c r="DV17" s="34">
        <f>IF(AND(ISNUMBER(DW17),ISNUMBER(DU17)),DW17-DU17,"")</f>
        <v>0</v>
      </c>
      <c r="DW17" s="33">
        <v>3</v>
      </c>
      <c r="DX17" s="34">
        <f>IF(AND(ISNUMBER(DY17),ISNUMBER(DW17)),DY17-DW17,"")</f>
        <v>0</v>
      </c>
      <c r="DY17" s="33">
        <v>0</v>
      </c>
      <c r="DZ17" s="34">
        <f>IF(AND(ISNUMBER(EA17),ISNUMBER(DY17)),EA17-DY17,"")</f>
        <v>0</v>
      </c>
      <c r="EA17" s="33">
        <v>2</v>
      </c>
      <c r="EB17" s="34">
        <f>IF(AND(ISNUMBER(EC17),ISNUMBER(EA17)),EC17-EA17,"")</f>
        <v>0</v>
      </c>
      <c r="EC17" s="33">
        <v>4</v>
      </c>
      <c r="ED17" s="34">
        <f>IF(AND(ISNUMBER(EE17),ISNUMBER(EC17)),EE17-EC17,"")</f>
        <v>0</v>
      </c>
      <c r="EE17" s="33">
        <v>3</v>
      </c>
      <c r="EF17" s="34">
        <f>IF(AND(ISNUMBER(EG17),ISNUMBER(EE17)),EG17-EE17,"")</f>
        <v>0</v>
      </c>
      <c r="EG17" s="33">
        <v>2</v>
      </c>
      <c r="EH17" s="34">
        <f>IF(AND(ISNUMBER(EI17),ISNUMBER(EG17)),EI17-EG17,"")</f>
        <v>0</v>
      </c>
      <c r="EI17" s="33">
        <v>4</v>
      </c>
      <c r="EJ17" s="34">
        <f>IF(AND(ISNUMBER(EK17),ISNUMBER(EI17)),EK17-EI17,"")</f>
        <v>0</v>
      </c>
      <c r="EK17" s="33">
        <v>3</v>
      </c>
      <c r="EL17" s="34">
        <f>IF(AND(ISNUMBER(EM17),ISNUMBER(EK17)),EM17-EK17,"")</f>
        <v>0</v>
      </c>
      <c r="EM17" s="33">
        <v>2</v>
      </c>
      <c r="EN17" s="34">
        <f>IF(AND(ISNUMBER(EO17),ISNUMBER(EM17)),EO17-EM17,"")</f>
        <v>0</v>
      </c>
      <c r="EO17" s="33">
        <v>4</v>
      </c>
      <c r="EP17" s="34">
        <f>IF(AND(ISNUMBER(EQ17),ISNUMBER(EO17)),EQ17-EO17,"")</f>
        <v>0</v>
      </c>
      <c r="EQ17" s="33">
        <v>6</v>
      </c>
      <c r="ER17" s="34">
        <f>IF(AND(ISNUMBER(ES17),ISNUMBER(EQ17)),ES17-EQ17,"")</f>
        <v>0</v>
      </c>
      <c r="ES17" s="33">
        <v>7</v>
      </c>
      <c r="ET17" s="34">
        <f>IF(AND(ISNUMBER(EU17),ISNUMBER(ES17)),EU17-ES17,"")</f>
        <v>0</v>
      </c>
      <c r="EU17" s="33">
        <v>6</v>
      </c>
      <c r="EV17" s="34">
        <f>IF(AND(ISNUMBER(EW17),ISNUMBER(EU17)),EW17-EU17,"")</f>
        <v>0</v>
      </c>
      <c r="EW17" s="33">
        <v>8</v>
      </c>
      <c r="EX17" s="34">
        <f>IF(AND(ISNUMBER(EY17),ISNUMBER(EW17)),EY17-EW17,"")</f>
        <v>0</v>
      </c>
      <c r="EY17" s="33">
        <v>6</v>
      </c>
      <c r="EZ17" s="34">
        <f>IF(AND(ISNUMBER(FA17),ISNUMBER(EY17)),FA17-EY17,"")</f>
        <v>0</v>
      </c>
      <c r="FA17" s="33">
        <v>5</v>
      </c>
      <c r="FB17" s="34">
        <f>IF(AND(ISNUMBER(FC17),ISNUMBER(FA17)),FC17-FA17,"")</f>
        <v>0</v>
      </c>
      <c r="FC17" s="33"/>
      <c r="FD17" s="34">
        <f>IF(AND(ISNUMBER(FE17),ISNUMBER(FC17)),FE17-FC17,"")</f>
        <v>0</v>
      </c>
      <c r="FE17" s="33"/>
      <c r="FF17" s="34">
        <f>IF(AND(ISNUMBER(FG17),ISNUMBER(FE17)),FG17-FE17,"")</f>
        <v>0</v>
      </c>
      <c r="FG17" s="33"/>
      <c r="FH17" s="34">
        <f>IF(AND(ISNUMBER(FI17),ISNUMBER(FG17)),FI17-FG17,"")</f>
        <v>0</v>
      </c>
      <c r="FI17" s="33"/>
      <c r="FJ17" s="34">
        <f>IF(AND(ISNUMBER(FK17),ISNUMBER(FI17)),FK17-FI17,"")</f>
        <v>0</v>
      </c>
      <c r="FK17" s="33"/>
      <c r="FL17" s="34">
        <f>IF(AND(ISNUMBER(FM17),ISNUMBER(FK17)),FM17-FK17,"")</f>
        <v>0</v>
      </c>
      <c r="FM17" s="33"/>
      <c r="FN17" s="34">
        <f>IF(AND(ISNUMBER(FO17),ISNUMBER(FM17)),FO17-FM17,"")</f>
        <v>0</v>
      </c>
      <c r="FO17" s="33"/>
      <c r="FP17" s="34">
        <f>IF(AND(ISNUMBER(FQ17),ISNUMBER(FO17)),FQ17-FO17,"")</f>
        <v>0</v>
      </c>
      <c r="FQ17" s="33"/>
      <c r="FR17" s="34">
        <f>IF(AND(ISNUMBER(FS17),ISNUMBER(FQ17)),FS17-FQ17,"")</f>
        <v>0</v>
      </c>
      <c r="FS17" s="33"/>
      <c r="FT17" s="34">
        <f>IF(AND(ISNUMBER(FU17),ISNUMBER(FS17)),FU17-FS17,"")</f>
        <v>0</v>
      </c>
      <c r="FU17" s="33"/>
      <c r="FV17" s="34">
        <f>IF(AND(ISNUMBER(FW17),ISNUMBER(FU17)),FW17-FU17,"")</f>
        <v>0</v>
      </c>
      <c r="FW17" s="33"/>
      <c r="FX17" s="34">
        <f>IF(AND(ISNUMBER(FY17),ISNUMBER(FW17)),FY17-FW17,"")</f>
        <v>0</v>
      </c>
      <c r="FY17" s="33"/>
      <c r="FZ17" s="34">
        <f>IF(AND(ISNUMBER(GA17),ISNUMBER(FY17)),GA17-FY17,"")</f>
        <v>0</v>
      </c>
      <c r="GA17" s="33"/>
      <c r="GB17" s="34">
        <f>IF(AND(ISNUMBER(GC17),ISNUMBER(GA17)),GC17-GA17,"")</f>
        <v>0</v>
      </c>
      <c r="GC17" s="33"/>
      <c r="GD17" s="34">
        <f>IF(AND(ISNUMBER(GE17),ISNUMBER(GC17)),GE17-GC17,"")</f>
        <v>0</v>
      </c>
      <c r="GE17" s="33"/>
      <c r="GF17" s="34">
        <f>IF(AND(ISNUMBER(GG17),ISNUMBER(GE17)),GG17-GE17,"")</f>
        <v>0</v>
      </c>
      <c r="GG17" s="33"/>
      <c r="GH17" s="34">
        <f>IF(AND(ISNUMBER(GI17),ISNUMBER(GG17)),GI17-GG17,"")</f>
        <v>0</v>
      </c>
      <c r="GI17" s="33"/>
      <c r="GJ17" s="34">
        <f>IF(AND(ISNUMBER(GK17),ISNUMBER(GI17)),GK17-GI17,"")</f>
        <v>0</v>
      </c>
      <c r="GK17" s="33"/>
      <c r="GL17" s="34">
        <f>IF(AND(ISNUMBER(GM17),ISNUMBER(GK17)),GM17-GK17,"")</f>
        <v>0</v>
      </c>
      <c r="GM17" s="33"/>
      <c r="GN17" s="34">
        <f>IF(AND(ISNUMBER(GO17),ISNUMBER(GM17)),GO17-GM17,"")</f>
        <v>0</v>
      </c>
      <c r="GO17" s="33"/>
      <c r="GP17" s="34">
        <f>IF(AND(ISNUMBER(GQ17),ISNUMBER(GO17)),GQ17-GO17,"")</f>
        <v>0</v>
      </c>
      <c r="GQ17" s="33"/>
      <c r="GR17" s="34">
        <f>IF(AND(ISNUMBER(GS17),ISNUMBER(GQ17)),GS17-GQ17,"")</f>
        <v>0</v>
      </c>
      <c r="GS17" s="33"/>
      <c r="GT17" s="34">
        <f>IF(AND(ISNUMBER(GU17),ISNUMBER(GS17)),GU17-GS17,"")</f>
        <v>0</v>
      </c>
      <c r="GU17" s="33"/>
      <c r="GV17" s="34">
        <f>IF(AND(ISNUMBER(GW17),ISNUMBER(GU17)),GW17-GU17,"")</f>
        <v>0</v>
      </c>
      <c r="GW17" s="33"/>
      <c r="GX17" s="34">
        <f>IF(AND(ISNUMBER(GY17),ISNUMBER(GW17)),GY17-GW17,"")</f>
        <v>0</v>
      </c>
      <c r="GY17" s="33"/>
      <c r="GZ17" s="34">
        <f>IF(AND(ISNUMBER(HA17),ISNUMBER(GY17)),HA17-GY17,"")</f>
        <v>0</v>
      </c>
      <c r="HA17" s="33"/>
      <c r="HB17" s="34">
        <f>IF(AND(ISNUMBER(HC17),ISNUMBER(HA17)),HC17-HA17,"")</f>
        <v>0</v>
      </c>
      <c r="HC17" s="33"/>
      <c r="HD17" s="34">
        <f>IF(AND(ISNUMBER(HE17),ISNUMBER(HC17)),HE17-HC17,"")</f>
        <v>0</v>
      </c>
      <c r="HE17" s="33"/>
      <c r="HF17" s="34">
        <f>IF(AND(ISNUMBER(HG17),ISNUMBER(HE17)),HG17-HE17,"")</f>
        <v>0</v>
      </c>
      <c r="HG17" s="33"/>
      <c r="HH17" s="34">
        <f>IF(AND(ISNUMBER(HI17),ISNUMBER(HG17)),HI17-HG17,"")</f>
        <v>0</v>
      </c>
      <c r="HI17" s="33"/>
      <c r="HJ17" s="34">
        <f>IF(AND(ISNUMBER(HK17),ISNUMBER(HI17)),HK17-HI17,"")</f>
        <v>0</v>
      </c>
      <c r="HK17" s="33"/>
      <c r="HL17" s="34">
        <f>IF(AND(ISNUMBER(HM17),ISNUMBER(HK17)),HM17-HK17,"")</f>
        <v>0</v>
      </c>
      <c r="HM17" s="33"/>
      <c r="HN17" s="34">
        <f>IF(AND(ISNUMBER(HO17),ISNUMBER(HM17)),HO17-HM17,"")</f>
        <v>0</v>
      </c>
      <c r="HO17" s="33"/>
      <c r="HP17" s="34">
        <f>IF(AND(ISNUMBER(HQ17),ISNUMBER(HO17)),HQ17-HO17,"")</f>
        <v>0</v>
      </c>
      <c r="HQ17" s="33"/>
      <c r="HR17" s="34">
        <f>IF(AND(ISNUMBER(HS17),ISNUMBER(HQ17)),HS17-HQ17,"")</f>
        <v>0</v>
      </c>
      <c r="HS17" s="33"/>
      <c r="HT17" s="34">
        <f>IF(AND(ISNUMBER(HU17),ISNUMBER(HS17)),HU17-HS17,"")</f>
        <v>0</v>
      </c>
      <c r="HU17" s="33"/>
      <c r="HV17" s="34">
        <f>IF(AND(ISNUMBER(HW17),ISNUMBER(HU17)),HW17-HU17,"")</f>
        <v>0</v>
      </c>
      <c r="HW17" s="33"/>
      <c r="HX17" s="34">
        <f>IF(AND(ISNUMBER(HY17),ISNUMBER(HW17)),HY17-HW17,"")</f>
        <v>0</v>
      </c>
      <c r="HY17" s="33"/>
      <c r="HZ17" s="34">
        <f>IF(AND(ISNUMBER(IA17),ISNUMBER(HY17)),IA17-HY17,"")</f>
        <v>0</v>
      </c>
      <c r="IA17" s="33"/>
      <c r="IB17" s="34">
        <f>IF(AND(ISNUMBER(IC17),ISNUMBER(IA17)),IC17-IA17,"")</f>
        <v>0</v>
      </c>
      <c r="IC17" s="33"/>
      <c r="ID17" s="34">
        <f>IF(AND(ISNUMBER(IE17),ISNUMBER(IC17)),IE17-IC17,"")</f>
        <v>0</v>
      </c>
      <c r="IE17" s="33"/>
      <c r="IF17" s="34">
        <f>IF(AND(ISNUMBER(IG17),ISNUMBER(IE17)),IG17-IE17,"")</f>
        <v>0</v>
      </c>
      <c r="IG17" s="33"/>
      <c r="IH17" s="34">
        <f>IF(AND(ISNUMBER(II17),ISNUMBER(IG17)),II17-IG17,"")</f>
        <v>0</v>
      </c>
      <c r="II17" s="33"/>
      <c r="IJ17" s="34">
        <f>IF(AND(ISNUMBER(IK17),ISNUMBER(II17)),IK17-II17,"")</f>
        <v>0</v>
      </c>
      <c r="IK17" s="33"/>
      <c r="IL17" s="34">
        <f>IF(AND(ISNUMBER(IM17),ISNUMBER(IK17)),IM17-IK17,"")</f>
        <v>0</v>
      </c>
      <c r="IM17" s="33"/>
      <c r="IN17" s="34">
        <f>IF(AND(ISNUMBER(IO17),ISNUMBER(IM17)),IO17-IM17,"")</f>
        <v>0</v>
      </c>
      <c r="IO17" s="33"/>
      <c r="IP17" s="34">
        <f>IF(AND(ISNUMBER(IQ17),ISNUMBER(IO17)),IQ17-IO17,"")</f>
        <v>0</v>
      </c>
      <c r="IQ17" s="33"/>
      <c r="IR17" s="34">
        <f>IF(AND(ISNUMBER(IS17),ISNUMBER(IQ17)),IS17-IQ17,"")</f>
        <v>0</v>
      </c>
      <c r="IS17" s="33"/>
      <c r="IT17" s="34">
        <f>IF(AND(ISNUMBER(IU17),ISNUMBER(IS17)),IU17-IS17,"")</f>
        <v>0</v>
      </c>
      <c r="IU17" s="33"/>
      <c r="IV17" s="34">
        <f>IF(AND(ISNUMBER(IW17),ISNUMBER(IU17)),IW17-IU17,"")</f>
        <v>0</v>
      </c>
      <c r="IW17" s="33"/>
      <c r="IX17" s="34">
        <f>IF(AND(ISNUMBER(IY17),ISNUMBER(IW17)),IY17-IW17,"")</f>
        <v>0</v>
      </c>
      <c r="IY17" s="33"/>
      <c r="IZ17" s="34">
        <f>IF(AND(ISNUMBER(JA17),ISNUMBER(IY17)),JA17-IY17,"")</f>
        <v>0</v>
      </c>
      <c r="JA17" s="33"/>
      <c r="JB17" s="34">
        <f>IF(AND(ISNUMBER(JC17),ISNUMBER(JA17)),JC17-JA17,"")</f>
        <v>0</v>
      </c>
      <c r="JC17" s="33"/>
      <c r="JD17" s="34">
        <f>IF(AND(ISNUMBER(JE17),ISNUMBER(JC17)),JE17-JC17,"")</f>
        <v>0</v>
      </c>
      <c r="JE17" s="33"/>
      <c r="JF17" s="34">
        <f>IF(AND(ISNUMBER(JG17),ISNUMBER(JE17)),JG17-JE17,"")</f>
        <v>0</v>
      </c>
      <c r="JG17" s="33"/>
      <c r="JH17" s="34">
        <f>IF(AND(ISNUMBER(JI17),ISNUMBER(JG17)),JI17-JG17,"")</f>
        <v>0</v>
      </c>
      <c r="JI17" s="33"/>
      <c r="JJ17" s="34">
        <f>IF(AND(ISNUMBER(JK17),ISNUMBER(JI17)),JK17-JI17,"")</f>
        <v>0</v>
      </c>
      <c r="JK17" s="33"/>
      <c r="JL17" s="34">
        <f>IF(AND(ISNUMBER(JM17),ISNUMBER(JK17)),JM17-JK17,"")</f>
        <v>0</v>
      </c>
      <c r="JM17" s="33"/>
      <c r="JN17" s="34">
        <f>IF(AND(ISNUMBER(JO17),ISNUMBER(JM17)),JO17-JM17,"")</f>
        <v>0</v>
      </c>
      <c r="JO17" s="33"/>
      <c r="JP17" s="34">
        <f>IF(AND(ISNUMBER(JQ17),ISNUMBER(JO17)),JQ17-JO17,"")</f>
        <v>0</v>
      </c>
      <c r="JQ17" s="33"/>
      <c r="JR17" s="34">
        <f>IF(AND(ISNUMBER(JS17),ISNUMBER(JQ17)),JS17-JQ17,"")</f>
        <v>0</v>
      </c>
      <c r="JS17" s="33"/>
      <c r="JT17" s="34">
        <f>IF(AND(ISNUMBER(JU17),ISNUMBER(JS17)),JU17-JS17,"")</f>
        <v>0</v>
      </c>
      <c r="JU17" s="33"/>
      <c r="JV17" s="34">
        <f>IF(AND(ISNUMBER(JW17),ISNUMBER(JU17)),JW17-JU17,"")</f>
        <v>0</v>
      </c>
      <c r="JW17" s="33"/>
      <c r="JX17" s="34">
        <f>IF(AND(ISNUMBER(JY17),ISNUMBER(JW17)),JY17-JW17,"")</f>
        <v>0</v>
      </c>
      <c r="JY17" s="33"/>
      <c r="JZ17" s="34">
        <f>IF(AND(ISNUMBER(KA17),ISNUMBER(JY17)),KA17-JY17,"")</f>
        <v>0</v>
      </c>
      <c r="KA17" s="33"/>
      <c r="KB17" s="34">
        <f>IF(AND(ISNUMBER(KC17),ISNUMBER(KA17)),KC17-KA17,"")</f>
        <v>0</v>
      </c>
      <c r="KC17" s="33"/>
      <c r="KD17" s="34">
        <f>IF(AND(ISNUMBER(KE17),ISNUMBER(KC17)),KE17-KC17,"")</f>
        <v>0</v>
      </c>
      <c r="KE17" s="33"/>
      <c r="KF17" s="34">
        <f>IF(AND(ISNUMBER(KG17),ISNUMBER(KE17)),KG17-KE17,"")</f>
        <v>0</v>
      </c>
      <c r="KG17" s="33"/>
      <c r="KH17" s="34">
        <f>IF(AND(ISNUMBER(KI17),ISNUMBER(KG17)),KI17-KG17,"")</f>
        <v>0</v>
      </c>
      <c r="KI17" s="33"/>
      <c r="KJ17" s="34">
        <f>IF(AND(ISNUMBER(KK17),ISNUMBER(KI17)),KK17-KI17,"")</f>
        <v>0</v>
      </c>
      <c r="KK17" s="33"/>
      <c r="KL17" s="34">
        <f>IF(AND(ISNUMBER(KM17),ISNUMBER(KK17)),KM17-KK17,"")</f>
        <v>0</v>
      </c>
      <c r="KM17" s="33"/>
      <c r="KN17" s="34">
        <f>IF(AND(ISNUMBER(KO17),ISNUMBER(KM17)),KO17-KM17,"")</f>
        <v>0</v>
      </c>
      <c r="KO17" s="33"/>
      <c r="KP17" s="34">
        <f>IF(AND(ISNUMBER(KQ17),ISNUMBER(KO17)),KQ17-KO17,"")</f>
        <v>0</v>
      </c>
      <c r="KQ17" s="33"/>
      <c r="KR17" s="34">
        <f>IF(AND(ISNUMBER(KS17),ISNUMBER(KQ17)),KS17-KQ17,"")</f>
        <v>0</v>
      </c>
      <c r="KS17" s="33"/>
      <c r="KT17" s="34">
        <f>IF(AND(ISNUMBER(KU17),ISNUMBER(KS17)),KU17-KS17,"")</f>
        <v>0</v>
      </c>
      <c r="KU17" s="33"/>
      <c r="KV17" s="34">
        <f>IF(AND(ISNUMBER(KW17),ISNUMBER(KU17)),KW17-KU17,"")</f>
        <v>0</v>
      </c>
      <c r="KW17" s="33"/>
      <c r="KX17" s="34">
        <f>IF(AND(ISNUMBER(KY17),ISNUMBER(KW17)),KY17-KW17,"")</f>
        <v>0</v>
      </c>
      <c r="KY17" s="33"/>
      <c r="KZ17" s="34">
        <f>IF(AND(ISNUMBER(LA17),ISNUMBER(KY17)),LA17-KY17,"")</f>
        <v>0</v>
      </c>
      <c r="LA17" s="33"/>
      <c r="LB17" s="34">
        <f>IF(AND(ISNUMBER(LC17),ISNUMBER(LA17)),LC17-LA17,"")</f>
        <v>0</v>
      </c>
      <c r="LC17" s="33"/>
      <c r="LD17" s="34">
        <f>IF(AND(ISNUMBER(LE17),ISNUMBER(LC17)),LE17-LC17,"")</f>
        <v>0</v>
      </c>
      <c r="LE17" s="33"/>
      <c r="LF17" s="34">
        <f>IF(AND(ISNUMBER(LG17),ISNUMBER(LE17)),LG17-LE17,"")</f>
        <v>0</v>
      </c>
      <c r="LG17" s="33"/>
    </row>
    <row r="18" spans="1:322" hidden="1" outlineLevel="1">
      <c r="B18" s="23"/>
      <c r="D18" s="31" t="s">
        <v>719</v>
      </c>
      <c r="E18" s="32" t="s">
        <v>1058</v>
      </c>
      <c r="I18" s="40" t="s">
        <v>1088</v>
      </c>
      <c r="J18" s="34">
        <f>IF(AND(ISNUMBER(K18),ISNUMBER(I18)),K18-I18,"")</f>
        <v>0</v>
      </c>
      <c r="K18" s="40" t="s">
        <v>1088</v>
      </c>
      <c r="L18" s="34">
        <f>IF(AND(ISNUMBER(M18),ISNUMBER(K18)),M18-K18,"")</f>
        <v>0</v>
      </c>
      <c r="M18" s="33">
        <v>5</v>
      </c>
      <c r="N18" s="34">
        <f>IF(AND(ISNUMBER(O18),ISNUMBER(M18)),O18-M18,"")</f>
        <v>0</v>
      </c>
      <c r="O18" s="33">
        <v>10</v>
      </c>
      <c r="P18" s="34">
        <f>IF(AND(ISNUMBER(Q18),ISNUMBER(O18)),Q18-O18,"")</f>
        <v>0</v>
      </c>
      <c r="Q18" s="33">
        <v>0</v>
      </c>
      <c r="R18" s="34">
        <f>IF(AND(ISNUMBER(S18),ISNUMBER(Q18)),S18-Q18,"")</f>
        <v>0</v>
      </c>
      <c r="S18" s="33">
        <v>27</v>
      </c>
      <c r="T18" s="34">
        <f>IF(AND(ISNUMBER(U18),ISNUMBER(S18)),U18-S18,"")</f>
        <v>0</v>
      </c>
      <c r="U18" s="40" t="s">
        <v>1088</v>
      </c>
      <c r="V18" s="34">
        <f>IF(AND(ISNUMBER(W18),ISNUMBER(U18)),W18-U18,"")</f>
        <v>0</v>
      </c>
      <c r="W18" s="33">
        <v>0</v>
      </c>
      <c r="X18" s="34">
        <f>IF(AND(ISNUMBER(Y18),ISNUMBER(W18)),Y18-W18,"")</f>
        <v>0</v>
      </c>
      <c r="Y18" s="33">
        <v>47</v>
      </c>
      <c r="Z18" s="34">
        <f>IF(AND(ISNUMBER(AA18),ISNUMBER(Y18)),AA18-Y18,"")</f>
        <v>0</v>
      </c>
      <c r="AA18" s="33">
        <v>47</v>
      </c>
      <c r="AB18" s="34">
        <f>IF(AND(ISNUMBER(AC18),ISNUMBER(AA18)),AC18-AA18,"")</f>
        <v>0</v>
      </c>
      <c r="AC18" s="33">
        <v>35</v>
      </c>
      <c r="AD18" s="34">
        <f>IF(AND(ISNUMBER(AE18),ISNUMBER(AC18)),AE18-AC18,"")</f>
        <v>0</v>
      </c>
      <c r="AE18" s="33">
        <v>0</v>
      </c>
      <c r="AF18" s="34">
        <f>IF(AND(ISNUMBER(AG18),ISNUMBER(AE18)),AG18-AE18,"")</f>
        <v>0</v>
      </c>
      <c r="AG18" s="33">
        <v>8</v>
      </c>
      <c r="AH18" s="34">
        <f>IF(AND(ISNUMBER(AI18),ISNUMBER(AG18)),AI18-AG18,"")</f>
        <v>0</v>
      </c>
      <c r="AI18" s="33">
        <v>8</v>
      </c>
      <c r="AJ18" s="34">
        <f>IF(AND(ISNUMBER(AK18),ISNUMBER(AI18)),AK18-AI18,"")</f>
        <v>0</v>
      </c>
      <c r="AK18" s="33">
        <v>19</v>
      </c>
      <c r="AL18" s="34">
        <f>IF(AND(ISNUMBER(AM18),ISNUMBER(AK18)),AM18-AK18,"")</f>
        <v>0</v>
      </c>
      <c r="AM18" s="33">
        <v>19</v>
      </c>
      <c r="AN18" s="34">
        <f>IF(AND(ISNUMBER(AO18),ISNUMBER(AM18)),AO18-AM18,"")</f>
        <v>0</v>
      </c>
      <c r="AO18" s="33">
        <v>19</v>
      </c>
      <c r="AP18" s="34">
        <f>IF(AND(ISNUMBER(AQ18),ISNUMBER(AO18)),AQ18-AO18,"")</f>
        <v>0</v>
      </c>
      <c r="AQ18" s="33">
        <v>17</v>
      </c>
      <c r="AR18" s="34">
        <f>IF(AND(ISNUMBER(AS18),ISNUMBER(AQ18)),AS18-AQ18,"")</f>
        <v>0</v>
      </c>
      <c r="AS18" s="33">
        <v>17</v>
      </c>
      <c r="AT18" s="34">
        <f>IF(AND(ISNUMBER(AU18),ISNUMBER(AS18)),AU18-AS18,"")</f>
        <v>0</v>
      </c>
      <c r="AU18" s="33">
        <v>12</v>
      </c>
      <c r="AV18" s="34">
        <f>IF(AND(ISNUMBER(AW18),ISNUMBER(AU18)),AW18-AU18,"")</f>
        <v>0</v>
      </c>
      <c r="AW18" s="33">
        <v>5</v>
      </c>
      <c r="AX18" s="34">
        <f>IF(AND(ISNUMBER(AY18),ISNUMBER(AW18)),AY18-AW18,"")</f>
        <v>0</v>
      </c>
      <c r="AY18" s="33">
        <v>12</v>
      </c>
      <c r="AZ18" s="34">
        <f>IF(AND(ISNUMBER(BA18),ISNUMBER(AY18)),BA18-AY18,"")</f>
        <v>0</v>
      </c>
      <c r="BA18" s="33">
        <v>14</v>
      </c>
      <c r="BB18" s="34">
        <f>IF(AND(ISNUMBER(BC18),ISNUMBER(BA18)),BC18-BA18,"")</f>
        <v>0</v>
      </c>
      <c r="BC18" s="33">
        <v>2</v>
      </c>
      <c r="BD18" s="34">
        <f>IF(AND(ISNUMBER(BE18),ISNUMBER(BC18)),BE18-BC18,"")</f>
        <v>0</v>
      </c>
      <c r="BE18" s="33">
        <v>16</v>
      </c>
      <c r="BF18" s="34">
        <f>IF(AND(ISNUMBER(BG18),ISNUMBER(BE18)),BG18-BE18,"")</f>
        <v>0</v>
      </c>
      <c r="BG18" s="33">
        <v>8</v>
      </c>
      <c r="BH18" s="34">
        <f>IF(AND(ISNUMBER(BI18),ISNUMBER(BG18)),BI18-BG18,"")</f>
        <v>0</v>
      </c>
      <c r="BI18" s="33">
        <v>6</v>
      </c>
      <c r="BJ18" s="34">
        <f>IF(AND(ISNUMBER(BK18),ISNUMBER(BI18)),BK18-BI18,"")</f>
        <v>0</v>
      </c>
      <c r="BK18" s="33">
        <v>4</v>
      </c>
      <c r="BL18" s="34">
        <f>IF(AND(ISNUMBER(BM18),ISNUMBER(BK18)),BM18-BK18,"")</f>
        <v>0</v>
      </c>
      <c r="BM18" s="33">
        <v>5</v>
      </c>
      <c r="BN18" s="34">
        <f>IF(AND(ISNUMBER(BO18),ISNUMBER(BM18)),BO18-BM18,"")</f>
        <v>0</v>
      </c>
      <c r="BO18" s="33">
        <v>6</v>
      </c>
      <c r="BP18" s="34">
        <f>IF(AND(ISNUMBER(BQ18),ISNUMBER(BO18)),BQ18-BO18,"")</f>
        <v>0</v>
      </c>
      <c r="BQ18" s="33">
        <v>12</v>
      </c>
      <c r="BR18" s="34">
        <f>IF(AND(ISNUMBER(BS18),ISNUMBER(BQ18)),BS18-BQ18,"")</f>
        <v>0</v>
      </c>
      <c r="BS18" s="33">
        <v>12</v>
      </c>
      <c r="BT18" s="34">
        <f>IF(AND(ISNUMBER(BU18),ISNUMBER(BS18)),BU18-BS18,"")</f>
        <v>0</v>
      </c>
      <c r="BU18" s="33">
        <v>5</v>
      </c>
      <c r="BV18" s="34">
        <f>IF(AND(ISNUMBER(BW18),ISNUMBER(BU18)),BW18-BU18,"")</f>
        <v>0</v>
      </c>
      <c r="BW18" s="33">
        <v>6</v>
      </c>
      <c r="BX18" s="34">
        <f>IF(AND(ISNUMBER(BY18),ISNUMBER(BW18)),BY18-BW18,"")</f>
        <v>0</v>
      </c>
      <c r="BY18" s="33">
        <v>5</v>
      </c>
      <c r="BZ18" s="34">
        <f>IF(AND(ISNUMBER(CA18),ISNUMBER(BY18)),CA18-BY18,"")</f>
        <v>0</v>
      </c>
      <c r="CA18" s="33">
        <v>12</v>
      </c>
      <c r="CB18" s="34">
        <f>IF(AND(ISNUMBER(CC18),ISNUMBER(CA18)),CC18-CA18,"")</f>
        <v>0</v>
      </c>
      <c r="CC18" s="33">
        <v>6</v>
      </c>
      <c r="CD18" s="34">
        <f>IF(AND(ISNUMBER(CE18),ISNUMBER(CC18)),CE18-CC18,"")</f>
        <v>0</v>
      </c>
      <c r="CE18" s="33">
        <v>6</v>
      </c>
      <c r="CF18" s="34">
        <f>IF(AND(ISNUMBER(CG18),ISNUMBER(CE18)),CG18-CE18,"")</f>
        <v>0</v>
      </c>
      <c r="CG18" s="33">
        <v>3</v>
      </c>
      <c r="CH18" s="34">
        <f>IF(AND(ISNUMBER(CI18),ISNUMBER(CG18)),CI18-CG18,"")</f>
        <v>0</v>
      </c>
      <c r="CI18" s="33">
        <v>1</v>
      </c>
      <c r="CJ18" s="34">
        <f>IF(AND(ISNUMBER(CK18),ISNUMBER(CI18)),CK18-CI18,"")</f>
        <v>0</v>
      </c>
      <c r="CK18" s="33">
        <v>0</v>
      </c>
      <c r="CL18" s="34">
        <f>IF(AND(ISNUMBER(CM18),ISNUMBER(CK18)),CM18-CK18,"")</f>
        <v>0</v>
      </c>
      <c r="CM18" s="33">
        <v>17</v>
      </c>
      <c r="CN18" s="34">
        <f>IF(AND(ISNUMBER(CO18),ISNUMBER(CM18)),CO18-CM18,"")</f>
        <v>0</v>
      </c>
      <c r="CO18" s="33">
        <v>23</v>
      </c>
      <c r="CP18" s="34">
        <f>IF(AND(ISNUMBER(CQ18),ISNUMBER(CO18)),CQ18-CO18,"")</f>
        <v>0</v>
      </c>
      <c r="CQ18" s="33">
        <v>27</v>
      </c>
      <c r="CR18" s="34">
        <f>IF(AND(ISNUMBER(CS18),ISNUMBER(CQ18)),CS18-CQ18,"")</f>
        <v>0</v>
      </c>
      <c r="CS18" s="33">
        <v>5</v>
      </c>
      <c r="CT18" s="34">
        <f>IF(AND(ISNUMBER(CU18),ISNUMBER(CS18)),CU18-CS18,"")</f>
        <v>0</v>
      </c>
      <c r="CU18" s="33">
        <v>12</v>
      </c>
      <c r="CV18" s="34">
        <f>IF(AND(ISNUMBER(CW18),ISNUMBER(CU18)),CW18-CU18,"")</f>
        <v>0</v>
      </c>
      <c r="CW18" s="33">
        <v>10</v>
      </c>
      <c r="CX18" s="34">
        <f>IF(AND(ISNUMBER(CY18),ISNUMBER(CW18)),CY18-CW18,"")</f>
        <v>0</v>
      </c>
      <c r="CY18" s="33">
        <v>8</v>
      </c>
      <c r="CZ18" s="34">
        <f>IF(AND(ISNUMBER(DA18),ISNUMBER(CY18)),DA18-CY18,"")</f>
        <v>0</v>
      </c>
      <c r="DA18" s="33"/>
      <c r="DB18" s="34">
        <f>IF(AND(ISNUMBER(DC18),ISNUMBER(DA18)),DC18-DA18,"")</f>
        <v>0</v>
      </c>
      <c r="DC18" s="33"/>
      <c r="DD18" s="34">
        <f>IF(AND(ISNUMBER(DE18),ISNUMBER(DC18)),DE18-DC18,"")</f>
        <v>0</v>
      </c>
      <c r="DE18" s="33"/>
      <c r="DF18" s="34">
        <f>IF(AND(ISNUMBER(DG18),ISNUMBER(DE18)),DG18-DE18,"")</f>
        <v>0</v>
      </c>
      <c r="DG18" s="33">
        <v>5</v>
      </c>
      <c r="DH18" s="34">
        <f>IF(AND(ISNUMBER(DI18),ISNUMBER(DG18)),DI18-DG18,"")</f>
        <v>0</v>
      </c>
      <c r="DI18" s="33">
        <v>5</v>
      </c>
      <c r="DJ18" s="34">
        <f>IF(AND(ISNUMBER(DK18),ISNUMBER(DI18)),DK18-DI18,"")</f>
        <v>0</v>
      </c>
      <c r="DK18" s="33">
        <v>0</v>
      </c>
      <c r="DL18" s="34">
        <f>IF(AND(ISNUMBER(DM18),ISNUMBER(DK18)),DM18-DK18,"")</f>
        <v>0</v>
      </c>
      <c r="DM18" s="33">
        <v>2</v>
      </c>
      <c r="DN18" s="34">
        <f>IF(AND(ISNUMBER(DO18),ISNUMBER(DM18)),DO18-DM18,"")</f>
        <v>0</v>
      </c>
      <c r="DO18" s="33">
        <v>6</v>
      </c>
      <c r="DP18" s="34">
        <f>IF(AND(ISNUMBER(DQ18),ISNUMBER(DO18)),DQ18-DO18,"")</f>
        <v>0</v>
      </c>
      <c r="DQ18" s="33">
        <v>47</v>
      </c>
      <c r="DR18" s="34">
        <f>IF(AND(ISNUMBER(DS18),ISNUMBER(DQ18)),DS18-DQ18,"")</f>
        <v>0</v>
      </c>
      <c r="DS18" s="33">
        <v>5</v>
      </c>
      <c r="DT18" s="34">
        <f>IF(AND(ISNUMBER(DU18),ISNUMBER(DS18)),DU18-DS18,"")</f>
        <v>0</v>
      </c>
      <c r="DU18" s="33">
        <v>22</v>
      </c>
      <c r="DV18" s="34">
        <f>IF(AND(ISNUMBER(DW18),ISNUMBER(DU18)),DW18-DU18,"")</f>
        <v>0</v>
      </c>
      <c r="DW18" s="33">
        <v>25</v>
      </c>
      <c r="DX18" s="34">
        <f>IF(AND(ISNUMBER(DY18),ISNUMBER(DW18)),DY18-DW18,"")</f>
        <v>0</v>
      </c>
      <c r="DY18" s="33">
        <v>17</v>
      </c>
      <c r="DZ18" s="34">
        <f>IF(AND(ISNUMBER(EA18),ISNUMBER(DY18)),EA18-DY18,"")</f>
        <v>0</v>
      </c>
      <c r="EA18" s="33">
        <v>23</v>
      </c>
      <c r="EB18" s="34">
        <f>IF(AND(ISNUMBER(EC18),ISNUMBER(EA18)),EC18-EA18,"")</f>
        <v>0</v>
      </c>
      <c r="EC18" s="33">
        <v>12</v>
      </c>
      <c r="ED18" s="34">
        <f>IF(AND(ISNUMBER(EE18),ISNUMBER(EC18)),EE18-EC18,"")</f>
        <v>0</v>
      </c>
      <c r="EE18" s="33">
        <v>7</v>
      </c>
      <c r="EF18" s="34">
        <f>IF(AND(ISNUMBER(EG18),ISNUMBER(EE18)),EG18-EE18,"")</f>
        <v>0</v>
      </c>
      <c r="EG18" s="33"/>
      <c r="EH18" s="34">
        <f>IF(AND(ISNUMBER(EI18),ISNUMBER(EG18)),EI18-EG18,"")</f>
        <v>0</v>
      </c>
      <c r="EI18" s="33">
        <v>1</v>
      </c>
      <c r="EJ18" s="34">
        <f>IF(AND(ISNUMBER(EK18),ISNUMBER(EI18)),EK18-EI18,"")</f>
        <v>0</v>
      </c>
      <c r="EK18" s="33">
        <v>5</v>
      </c>
      <c r="EL18" s="34">
        <f>IF(AND(ISNUMBER(EM18),ISNUMBER(EK18)),EM18-EK18,"")</f>
        <v>0</v>
      </c>
      <c r="EM18" s="33">
        <v>0</v>
      </c>
      <c r="EN18" s="34">
        <f>IF(AND(ISNUMBER(EO18),ISNUMBER(EM18)),EO18-EM18,"")</f>
        <v>0</v>
      </c>
      <c r="EO18" s="33">
        <v>1</v>
      </c>
      <c r="EP18" s="34">
        <f>IF(AND(ISNUMBER(EQ18),ISNUMBER(EO18)),EQ18-EO18,"")</f>
        <v>0</v>
      </c>
      <c r="EQ18" s="33">
        <v>0</v>
      </c>
      <c r="ER18" s="34">
        <f>IF(AND(ISNUMBER(ES18),ISNUMBER(EQ18)),ES18-EQ18,"")</f>
        <v>0</v>
      </c>
      <c r="ES18" s="33">
        <v>6</v>
      </c>
      <c r="ET18" s="34">
        <f>IF(AND(ISNUMBER(EU18),ISNUMBER(ES18)),EU18-ES18,"")</f>
        <v>0</v>
      </c>
      <c r="EU18" s="33">
        <v>12</v>
      </c>
      <c r="EV18" s="34">
        <f>IF(AND(ISNUMBER(EW18),ISNUMBER(EU18)),EW18-EU18,"")</f>
        <v>0</v>
      </c>
      <c r="EW18" s="33">
        <v>8</v>
      </c>
      <c r="EX18" s="34">
        <f>IF(AND(ISNUMBER(EY18),ISNUMBER(EW18)),EY18-EW18,"")</f>
        <v>0</v>
      </c>
      <c r="EY18" s="33">
        <v>11</v>
      </c>
      <c r="EZ18" s="34">
        <f>IF(AND(ISNUMBER(FA18),ISNUMBER(EY18)),FA18-EY18,"")</f>
        <v>0</v>
      </c>
      <c r="FA18" s="33"/>
      <c r="FB18" s="34">
        <f>IF(AND(ISNUMBER(FC18),ISNUMBER(FA18)),FC18-FA18,"")</f>
        <v>0</v>
      </c>
      <c r="FC18" s="33"/>
      <c r="FD18" s="34">
        <f>IF(AND(ISNUMBER(FE18),ISNUMBER(FC18)),FE18-FC18,"")</f>
        <v>0</v>
      </c>
      <c r="FE18" s="33"/>
      <c r="FF18" s="34">
        <f>IF(AND(ISNUMBER(FG18),ISNUMBER(FE18)),FG18-FE18,"")</f>
        <v>0</v>
      </c>
      <c r="FG18" s="33"/>
      <c r="FH18" s="34">
        <f>IF(AND(ISNUMBER(FI18),ISNUMBER(FG18)),FI18-FG18,"")</f>
        <v>0</v>
      </c>
      <c r="FI18" s="33"/>
      <c r="FJ18" s="34">
        <f>IF(AND(ISNUMBER(FK18),ISNUMBER(FI18)),FK18-FI18,"")</f>
        <v>0</v>
      </c>
      <c r="FK18" s="33"/>
      <c r="FL18" s="34">
        <f>IF(AND(ISNUMBER(FM18),ISNUMBER(FK18)),FM18-FK18,"")</f>
        <v>0</v>
      </c>
      <c r="FM18" s="33"/>
      <c r="FN18" s="34">
        <f>IF(AND(ISNUMBER(FO18),ISNUMBER(FM18)),FO18-FM18,"")</f>
        <v>0</v>
      </c>
      <c r="FO18" s="33"/>
      <c r="FP18" s="34">
        <f>IF(AND(ISNUMBER(FQ18),ISNUMBER(FO18)),FQ18-FO18,"")</f>
        <v>0</v>
      </c>
      <c r="FQ18" s="33"/>
      <c r="FR18" s="34">
        <f>IF(AND(ISNUMBER(FS18),ISNUMBER(FQ18)),FS18-FQ18,"")</f>
        <v>0</v>
      </c>
      <c r="FS18" s="33"/>
      <c r="FT18" s="34">
        <f>IF(AND(ISNUMBER(FU18),ISNUMBER(FS18)),FU18-FS18,"")</f>
        <v>0</v>
      </c>
      <c r="FU18" s="33"/>
      <c r="FV18" s="34">
        <f>IF(AND(ISNUMBER(FW18),ISNUMBER(FU18)),FW18-FU18,"")</f>
        <v>0</v>
      </c>
      <c r="FW18" s="33"/>
      <c r="FX18" s="34">
        <f>IF(AND(ISNUMBER(FY18),ISNUMBER(FW18)),FY18-FW18,"")</f>
        <v>0</v>
      </c>
      <c r="FY18" s="33"/>
      <c r="FZ18" s="34">
        <f>IF(AND(ISNUMBER(GA18),ISNUMBER(FY18)),GA18-FY18,"")</f>
        <v>0</v>
      </c>
      <c r="GA18" s="33"/>
      <c r="GB18" s="34">
        <f>IF(AND(ISNUMBER(GC18),ISNUMBER(GA18)),GC18-GA18,"")</f>
        <v>0</v>
      </c>
      <c r="GC18" s="33"/>
      <c r="GD18" s="34">
        <f>IF(AND(ISNUMBER(GE18),ISNUMBER(GC18)),GE18-GC18,"")</f>
        <v>0</v>
      </c>
      <c r="GE18" s="33"/>
      <c r="GF18" s="34">
        <f>IF(AND(ISNUMBER(GG18),ISNUMBER(GE18)),GG18-GE18,"")</f>
        <v>0</v>
      </c>
      <c r="GG18" s="33"/>
      <c r="GH18" s="34">
        <f>IF(AND(ISNUMBER(GI18),ISNUMBER(GG18)),GI18-GG18,"")</f>
        <v>0</v>
      </c>
      <c r="GI18" s="33"/>
      <c r="GJ18" s="34">
        <f>IF(AND(ISNUMBER(GK18),ISNUMBER(GI18)),GK18-GI18,"")</f>
        <v>0</v>
      </c>
      <c r="GK18" s="33"/>
      <c r="GL18" s="34">
        <f>IF(AND(ISNUMBER(GM18),ISNUMBER(GK18)),GM18-GK18,"")</f>
        <v>0</v>
      </c>
      <c r="GM18" s="33"/>
      <c r="GN18" s="34">
        <f>IF(AND(ISNUMBER(GO18),ISNUMBER(GM18)),GO18-GM18,"")</f>
        <v>0</v>
      </c>
      <c r="GO18" s="33"/>
      <c r="GP18" s="34">
        <f>IF(AND(ISNUMBER(GQ18),ISNUMBER(GO18)),GQ18-GO18,"")</f>
        <v>0</v>
      </c>
      <c r="GQ18" s="33"/>
      <c r="GR18" s="34">
        <f>IF(AND(ISNUMBER(GS18),ISNUMBER(GQ18)),GS18-GQ18,"")</f>
        <v>0</v>
      </c>
      <c r="GS18" s="33"/>
      <c r="GT18" s="34">
        <f>IF(AND(ISNUMBER(GU18),ISNUMBER(GS18)),GU18-GS18,"")</f>
        <v>0</v>
      </c>
      <c r="GU18" s="33"/>
      <c r="GV18" s="34">
        <f>IF(AND(ISNUMBER(GW18),ISNUMBER(GU18)),GW18-GU18,"")</f>
        <v>0</v>
      </c>
      <c r="GW18" s="33"/>
      <c r="GX18" s="34">
        <f>IF(AND(ISNUMBER(GY18),ISNUMBER(GW18)),GY18-GW18,"")</f>
        <v>0</v>
      </c>
      <c r="GY18" s="33"/>
      <c r="GZ18" s="34">
        <f>IF(AND(ISNUMBER(HA18),ISNUMBER(GY18)),HA18-GY18,"")</f>
        <v>0</v>
      </c>
      <c r="HA18" s="33"/>
      <c r="HB18" s="34">
        <f>IF(AND(ISNUMBER(HC18),ISNUMBER(HA18)),HC18-HA18,"")</f>
        <v>0</v>
      </c>
      <c r="HC18" s="33"/>
      <c r="HD18" s="34">
        <f>IF(AND(ISNUMBER(HE18),ISNUMBER(HC18)),HE18-HC18,"")</f>
        <v>0</v>
      </c>
      <c r="HE18" s="33"/>
      <c r="HF18" s="34">
        <f>IF(AND(ISNUMBER(HG18),ISNUMBER(HE18)),HG18-HE18,"")</f>
        <v>0</v>
      </c>
      <c r="HG18" s="33"/>
      <c r="HH18" s="34">
        <f>IF(AND(ISNUMBER(HI18),ISNUMBER(HG18)),HI18-HG18,"")</f>
        <v>0</v>
      </c>
      <c r="HI18" s="33"/>
      <c r="HJ18" s="34">
        <f>IF(AND(ISNUMBER(HK18),ISNUMBER(HI18)),HK18-HI18,"")</f>
        <v>0</v>
      </c>
      <c r="HK18" s="33"/>
      <c r="HL18" s="34">
        <f>IF(AND(ISNUMBER(HM18),ISNUMBER(HK18)),HM18-HK18,"")</f>
        <v>0</v>
      </c>
      <c r="HM18" s="33"/>
      <c r="HN18" s="34">
        <f>IF(AND(ISNUMBER(HO18),ISNUMBER(HM18)),HO18-HM18,"")</f>
        <v>0</v>
      </c>
      <c r="HO18" s="33"/>
      <c r="HP18" s="34">
        <f>IF(AND(ISNUMBER(HQ18),ISNUMBER(HO18)),HQ18-HO18,"")</f>
        <v>0</v>
      </c>
      <c r="HQ18" s="33"/>
      <c r="HR18" s="34">
        <f>IF(AND(ISNUMBER(HS18),ISNUMBER(HQ18)),HS18-HQ18,"")</f>
        <v>0</v>
      </c>
      <c r="HS18" s="33"/>
      <c r="HT18" s="34">
        <f>IF(AND(ISNUMBER(HU18),ISNUMBER(HS18)),HU18-HS18,"")</f>
        <v>0</v>
      </c>
      <c r="HU18" s="33"/>
      <c r="HV18" s="34">
        <f>IF(AND(ISNUMBER(HW18),ISNUMBER(HU18)),HW18-HU18,"")</f>
        <v>0</v>
      </c>
      <c r="HW18" s="33"/>
      <c r="HX18" s="34">
        <f>IF(AND(ISNUMBER(HY18),ISNUMBER(HW18)),HY18-HW18,"")</f>
        <v>0</v>
      </c>
      <c r="HY18" s="33"/>
      <c r="HZ18" s="34">
        <f>IF(AND(ISNUMBER(IA18),ISNUMBER(HY18)),IA18-HY18,"")</f>
        <v>0</v>
      </c>
      <c r="IA18" s="33"/>
      <c r="IB18" s="34">
        <f>IF(AND(ISNUMBER(IC18),ISNUMBER(IA18)),IC18-IA18,"")</f>
        <v>0</v>
      </c>
      <c r="IC18" s="33"/>
      <c r="ID18" s="34">
        <f>IF(AND(ISNUMBER(IE18),ISNUMBER(IC18)),IE18-IC18,"")</f>
        <v>0</v>
      </c>
      <c r="IE18" s="33"/>
      <c r="IF18" s="34">
        <f>IF(AND(ISNUMBER(IG18),ISNUMBER(IE18)),IG18-IE18,"")</f>
        <v>0</v>
      </c>
      <c r="IG18" s="33"/>
      <c r="IH18" s="34">
        <f>IF(AND(ISNUMBER(II18),ISNUMBER(IG18)),II18-IG18,"")</f>
        <v>0</v>
      </c>
      <c r="II18" s="33"/>
      <c r="IJ18" s="34">
        <f>IF(AND(ISNUMBER(IK18),ISNUMBER(II18)),IK18-II18,"")</f>
        <v>0</v>
      </c>
      <c r="IK18" s="33"/>
      <c r="IL18" s="34">
        <f>IF(AND(ISNUMBER(IM18),ISNUMBER(IK18)),IM18-IK18,"")</f>
        <v>0</v>
      </c>
      <c r="IM18" s="33"/>
      <c r="IN18" s="34">
        <f>IF(AND(ISNUMBER(IO18),ISNUMBER(IM18)),IO18-IM18,"")</f>
        <v>0</v>
      </c>
      <c r="IO18" s="33"/>
      <c r="IP18" s="34">
        <f>IF(AND(ISNUMBER(IQ18),ISNUMBER(IO18)),IQ18-IO18,"")</f>
        <v>0</v>
      </c>
      <c r="IQ18" s="33"/>
      <c r="IR18" s="34">
        <f>IF(AND(ISNUMBER(IS18),ISNUMBER(IQ18)),IS18-IQ18,"")</f>
        <v>0</v>
      </c>
      <c r="IS18" s="33"/>
      <c r="IT18" s="34">
        <f>IF(AND(ISNUMBER(IU18),ISNUMBER(IS18)),IU18-IS18,"")</f>
        <v>0</v>
      </c>
      <c r="IU18" s="33"/>
      <c r="IV18" s="34">
        <f>IF(AND(ISNUMBER(IW18),ISNUMBER(IU18)),IW18-IU18,"")</f>
        <v>0</v>
      </c>
      <c r="IW18" s="33"/>
      <c r="IX18" s="34">
        <f>IF(AND(ISNUMBER(IY18),ISNUMBER(IW18)),IY18-IW18,"")</f>
        <v>0</v>
      </c>
      <c r="IY18" s="33"/>
      <c r="IZ18" s="34">
        <f>IF(AND(ISNUMBER(JA18),ISNUMBER(IY18)),JA18-IY18,"")</f>
        <v>0</v>
      </c>
      <c r="JA18" s="33"/>
      <c r="JB18" s="34">
        <f>IF(AND(ISNUMBER(JC18),ISNUMBER(JA18)),JC18-JA18,"")</f>
        <v>0</v>
      </c>
      <c r="JC18" s="33"/>
      <c r="JD18" s="34">
        <f>IF(AND(ISNUMBER(JE18),ISNUMBER(JC18)),JE18-JC18,"")</f>
        <v>0</v>
      </c>
      <c r="JE18" s="33"/>
      <c r="JF18" s="34">
        <f>IF(AND(ISNUMBER(JG18),ISNUMBER(JE18)),JG18-JE18,"")</f>
        <v>0</v>
      </c>
      <c r="JG18" s="33"/>
      <c r="JH18" s="34">
        <f>IF(AND(ISNUMBER(JI18),ISNUMBER(JG18)),JI18-JG18,"")</f>
        <v>0</v>
      </c>
      <c r="JI18" s="33"/>
      <c r="JJ18" s="34">
        <f>IF(AND(ISNUMBER(JK18),ISNUMBER(JI18)),JK18-JI18,"")</f>
        <v>0</v>
      </c>
      <c r="JK18" s="33"/>
      <c r="JL18" s="34">
        <f>IF(AND(ISNUMBER(JM18),ISNUMBER(JK18)),JM18-JK18,"")</f>
        <v>0</v>
      </c>
      <c r="JM18" s="33"/>
      <c r="JN18" s="34">
        <f>IF(AND(ISNUMBER(JO18),ISNUMBER(JM18)),JO18-JM18,"")</f>
        <v>0</v>
      </c>
      <c r="JO18" s="33"/>
      <c r="JP18" s="34">
        <f>IF(AND(ISNUMBER(JQ18),ISNUMBER(JO18)),JQ18-JO18,"")</f>
        <v>0</v>
      </c>
      <c r="JQ18" s="33"/>
      <c r="JR18" s="34">
        <f>IF(AND(ISNUMBER(JS18),ISNUMBER(JQ18)),JS18-JQ18,"")</f>
        <v>0</v>
      </c>
      <c r="JS18" s="33"/>
      <c r="JT18" s="34">
        <f>IF(AND(ISNUMBER(JU18),ISNUMBER(JS18)),JU18-JS18,"")</f>
        <v>0</v>
      </c>
      <c r="JU18" s="33"/>
      <c r="JV18" s="34">
        <f>IF(AND(ISNUMBER(JW18),ISNUMBER(JU18)),JW18-JU18,"")</f>
        <v>0</v>
      </c>
      <c r="JW18" s="33"/>
      <c r="JX18" s="34">
        <f>IF(AND(ISNUMBER(JY18),ISNUMBER(JW18)),JY18-JW18,"")</f>
        <v>0</v>
      </c>
      <c r="JY18" s="33"/>
      <c r="JZ18" s="34">
        <f>IF(AND(ISNUMBER(KA18),ISNUMBER(JY18)),KA18-JY18,"")</f>
        <v>0</v>
      </c>
      <c r="KA18" s="33"/>
      <c r="KB18" s="34">
        <f>IF(AND(ISNUMBER(KC18),ISNUMBER(KA18)),KC18-KA18,"")</f>
        <v>0</v>
      </c>
      <c r="KC18" s="33"/>
      <c r="KD18" s="34">
        <f>IF(AND(ISNUMBER(KE18),ISNUMBER(KC18)),KE18-KC18,"")</f>
        <v>0</v>
      </c>
      <c r="KE18" s="33"/>
      <c r="KF18" s="34">
        <f>IF(AND(ISNUMBER(KG18),ISNUMBER(KE18)),KG18-KE18,"")</f>
        <v>0</v>
      </c>
      <c r="KG18" s="33"/>
      <c r="KH18" s="34">
        <f>IF(AND(ISNUMBER(KI18),ISNUMBER(KG18)),KI18-KG18,"")</f>
        <v>0</v>
      </c>
      <c r="KI18" s="33"/>
      <c r="KJ18" s="34">
        <f>IF(AND(ISNUMBER(KK18),ISNUMBER(KI18)),KK18-KI18,"")</f>
        <v>0</v>
      </c>
      <c r="KK18" s="33"/>
      <c r="KL18" s="34">
        <f>IF(AND(ISNUMBER(KM18),ISNUMBER(KK18)),KM18-KK18,"")</f>
        <v>0</v>
      </c>
      <c r="KM18" s="33"/>
      <c r="KN18" s="34">
        <f>IF(AND(ISNUMBER(KO18),ISNUMBER(KM18)),KO18-KM18,"")</f>
        <v>0</v>
      </c>
      <c r="KO18" s="33"/>
      <c r="KP18" s="34">
        <f>IF(AND(ISNUMBER(KQ18),ISNUMBER(KO18)),KQ18-KO18,"")</f>
        <v>0</v>
      </c>
      <c r="KQ18" s="33"/>
      <c r="KR18" s="34">
        <f>IF(AND(ISNUMBER(KS18),ISNUMBER(KQ18)),KS18-KQ18,"")</f>
        <v>0</v>
      </c>
      <c r="KS18" s="33"/>
      <c r="KT18" s="34">
        <f>IF(AND(ISNUMBER(KU18),ISNUMBER(KS18)),KU18-KS18,"")</f>
        <v>0</v>
      </c>
      <c r="KU18" s="33"/>
      <c r="KV18" s="34">
        <f>IF(AND(ISNUMBER(KW18),ISNUMBER(KU18)),KW18-KU18,"")</f>
        <v>0</v>
      </c>
      <c r="KW18" s="33"/>
      <c r="KX18" s="34">
        <f>IF(AND(ISNUMBER(KY18),ISNUMBER(KW18)),KY18-KW18,"")</f>
        <v>0</v>
      </c>
      <c r="KY18" s="33"/>
      <c r="KZ18" s="34">
        <f>IF(AND(ISNUMBER(LA18),ISNUMBER(KY18)),LA18-KY18,"")</f>
        <v>0</v>
      </c>
      <c r="LA18" s="33"/>
      <c r="LB18" s="34">
        <f>IF(AND(ISNUMBER(LC18),ISNUMBER(LA18)),LC18-LA18,"")</f>
        <v>0</v>
      </c>
      <c r="LC18" s="33"/>
      <c r="LD18" s="34">
        <f>IF(AND(ISNUMBER(LE18),ISNUMBER(LC18)),LE18-LC18,"")</f>
        <v>0</v>
      </c>
      <c r="LE18" s="33"/>
      <c r="LF18" s="34">
        <f>IF(AND(ISNUMBER(LG18),ISNUMBER(LE18)),LG18-LE18,"")</f>
        <v>0</v>
      </c>
      <c r="LG18" s="33"/>
      <c r="LJ18" s="35" t="s">
        <v>1084</v>
      </c>
    </row>
    <row r="19" spans="1:322" hidden="1" outlineLevel="1">
      <c r="B19" s="23"/>
      <c r="D19" s="31" t="s">
        <v>721</v>
      </c>
      <c r="E19" s="32" t="s">
        <v>1054</v>
      </c>
      <c r="F19" s="38">
        <v>45689</v>
      </c>
      <c r="I19" s="40" t="s">
        <v>1088</v>
      </c>
      <c r="J19" s="34">
        <f>IF(AND(ISNUMBER(K19),ISNUMBER(I19)),K19-I19,"")</f>
        <v>0</v>
      </c>
      <c r="K19" s="40" t="s">
        <v>1088</v>
      </c>
      <c r="L19" s="34">
        <f>IF(AND(ISNUMBER(M19),ISNUMBER(K19)),M19-K19,"")</f>
        <v>0</v>
      </c>
      <c r="M19" s="33">
        <v>1</v>
      </c>
      <c r="N19" s="34">
        <f>IF(AND(ISNUMBER(O19),ISNUMBER(M19)),O19-M19,"")</f>
        <v>0</v>
      </c>
      <c r="O19" s="33">
        <v>4</v>
      </c>
      <c r="P19" s="34">
        <f>IF(AND(ISNUMBER(Q19),ISNUMBER(O19)),Q19-O19,"")</f>
        <v>0</v>
      </c>
      <c r="Q19" s="33">
        <v>4</v>
      </c>
      <c r="R19" s="34">
        <f>IF(AND(ISNUMBER(S19),ISNUMBER(Q19)),S19-Q19,"")</f>
        <v>0</v>
      </c>
      <c r="S19" s="33">
        <v>1</v>
      </c>
      <c r="T19" s="34">
        <f>IF(AND(ISNUMBER(U19),ISNUMBER(S19)),U19-S19,"")</f>
        <v>0</v>
      </c>
      <c r="U19" s="33">
        <v>4</v>
      </c>
      <c r="V19" s="34">
        <f>IF(AND(ISNUMBER(W19),ISNUMBER(U19)),W19-U19,"")</f>
        <v>0</v>
      </c>
      <c r="W19" s="33">
        <v>5</v>
      </c>
      <c r="X19" s="34">
        <f>IF(AND(ISNUMBER(Y19),ISNUMBER(W19)),Y19-W19,"")</f>
        <v>0</v>
      </c>
      <c r="Y19" s="33">
        <v>0</v>
      </c>
      <c r="Z19" s="34">
        <f>IF(AND(ISNUMBER(AA19),ISNUMBER(Y19)),AA19-Y19,"")</f>
        <v>0</v>
      </c>
      <c r="AA19" s="33">
        <v>0</v>
      </c>
      <c r="AB19" s="34">
        <f>IF(AND(ISNUMBER(AC19),ISNUMBER(AA19)),AC19-AA19,"")</f>
        <v>0</v>
      </c>
      <c r="AC19" s="33">
        <v>11</v>
      </c>
      <c r="AD19" s="34">
        <f>IF(AND(ISNUMBER(AE19),ISNUMBER(AC19)),AE19-AC19,"")</f>
        <v>0</v>
      </c>
      <c r="AE19" s="33">
        <v>9</v>
      </c>
      <c r="AF19" s="34">
        <f>IF(AND(ISNUMBER(AG19),ISNUMBER(AE19)),AG19-AE19,"")</f>
        <v>0</v>
      </c>
      <c r="AG19" s="33">
        <v>9</v>
      </c>
      <c r="AH19" s="34">
        <f>IF(AND(ISNUMBER(AI19),ISNUMBER(AG19)),AI19-AG19,"")</f>
        <v>0</v>
      </c>
      <c r="AI19" s="33">
        <v>7</v>
      </c>
      <c r="AJ19" s="34">
        <f>IF(AND(ISNUMBER(AK19),ISNUMBER(AI19)),AK19-AI19,"")</f>
        <v>0</v>
      </c>
      <c r="AK19" s="33">
        <v>21</v>
      </c>
      <c r="AL19" s="34">
        <f>IF(AND(ISNUMBER(AM19),ISNUMBER(AK19)),AM19-AK19,"")</f>
        <v>0</v>
      </c>
      <c r="AM19" s="33">
        <v>15</v>
      </c>
      <c r="AN19" s="34">
        <f>IF(AND(ISNUMBER(AO19),ISNUMBER(AM19)),AO19-AM19,"")</f>
        <v>0</v>
      </c>
      <c r="AO19" s="33">
        <v>18</v>
      </c>
      <c r="AP19" s="34">
        <f>IF(AND(ISNUMBER(AQ19),ISNUMBER(AO19)),AQ19-AO19,"")</f>
        <v>0</v>
      </c>
      <c r="AQ19" s="33">
        <v>6</v>
      </c>
      <c r="AR19" s="34">
        <f>IF(AND(ISNUMBER(AS19),ISNUMBER(AQ19)),AS19-AQ19,"")</f>
        <v>0</v>
      </c>
      <c r="AS19" s="33">
        <v>4</v>
      </c>
      <c r="AT19" s="34">
        <f>IF(AND(ISNUMBER(AU19),ISNUMBER(AS19)),AU19-AS19,"")</f>
        <v>0</v>
      </c>
      <c r="AU19" s="33">
        <v>10</v>
      </c>
      <c r="AV19" s="34">
        <f>IF(AND(ISNUMBER(AW19),ISNUMBER(AU19)),AW19-AU19,"")</f>
        <v>0</v>
      </c>
      <c r="AW19" s="33">
        <v>4</v>
      </c>
      <c r="AX19" s="34">
        <f>IF(AND(ISNUMBER(AY19),ISNUMBER(AW19)),AY19-AW19,"")</f>
        <v>0</v>
      </c>
      <c r="AY19" s="33">
        <v>11</v>
      </c>
      <c r="AZ19" s="34">
        <f>IF(AND(ISNUMBER(BA19),ISNUMBER(AY19)),BA19-AY19,"")</f>
        <v>0</v>
      </c>
      <c r="BA19" s="33">
        <v>11</v>
      </c>
      <c r="BB19" s="34">
        <f>IF(AND(ISNUMBER(BC19),ISNUMBER(BA19)),BC19-BA19,"")</f>
        <v>0</v>
      </c>
      <c r="BC19" s="33">
        <v>24</v>
      </c>
      <c r="BD19" s="34">
        <f>IF(AND(ISNUMBER(BE19),ISNUMBER(BC19)),BE19-BC19,"")</f>
        <v>0</v>
      </c>
      <c r="BE19" s="33">
        <v>31</v>
      </c>
      <c r="BF19" s="34">
        <f>IF(AND(ISNUMBER(BG19),ISNUMBER(BE19)),BG19-BE19,"")</f>
        <v>0</v>
      </c>
      <c r="BG19" s="33">
        <v>9</v>
      </c>
      <c r="BH19" s="34">
        <f>IF(AND(ISNUMBER(BI19),ISNUMBER(BG19)),BI19-BG19,"")</f>
        <v>0</v>
      </c>
      <c r="BI19" s="33">
        <v>11</v>
      </c>
      <c r="BJ19" s="34">
        <f>IF(AND(ISNUMBER(BK19),ISNUMBER(BI19)),BK19-BI19,"")</f>
        <v>0</v>
      </c>
      <c r="BK19" s="33">
        <v>4</v>
      </c>
      <c r="BL19" s="34">
        <f>IF(AND(ISNUMBER(BM19),ISNUMBER(BK19)),BM19-BK19,"")</f>
        <v>0</v>
      </c>
      <c r="BM19" s="33">
        <v>8</v>
      </c>
      <c r="BN19" s="34">
        <f>IF(AND(ISNUMBER(BO19),ISNUMBER(BM19)),BO19-BM19,"")</f>
        <v>0</v>
      </c>
      <c r="BO19" s="33">
        <v>2</v>
      </c>
      <c r="BP19" s="34">
        <f>IF(AND(ISNUMBER(BQ19),ISNUMBER(BO19)),BQ19-BO19,"")</f>
        <v>0</v>
      </c>
      <c r="BQ19" s="33">
        <v>11</v>
      </c>
      <c r="BR19" s="34">
        <f>IF(AND(ISNUMBER(BS19),ISNUMBER(BQ19)),BS19-BQ19,"")</f>
        <v>0</v>
      </c>
      <c r="BS19" s="33">
        <v>16</v>
      </c>
      <c r="BT19" s="34">
        <f>IF(AND(ISNUMBER(BU19),ISNUMBER(BS19)),BU19-BS19,"")</f>
        <v>0</v>
      </c>
      <c r="BU19" s="33">
        <v>11</v>
      </c>
      <c r="BV19" s="34">
        <f>IF(AND(ISNUMBER(BW19),ISNUMBER(BU19)),BW19-BU19,"")</f>
        <v>0</v>
      </c>
      <c r="BW19" s="33">
        <v>12</v>
      </c>
      <c r="BX19" s="34">
        <f>IF(AND(ISNUMBER(BY19),ISNUMBER(BW19)),BY19-BW19,"")</f>
        <v>0</v>
      </c>
      <c r="BY19" s="33">
        <v>6</v>
      </c>
      <c r="BZ19" s="34">
        <f>IF(AND(ISNUMBER(CA19),ISNUMBER(BY19)),CA19-BY19,"")</f>
        <v>0</v>
      </c>
      <c r="CA19" s="33">
        <v>3</v>
      </c>
      <c r="CB19" s="34">
        <f>IF(AND(ISNUMBER(CC19),ISNUMBER(CA19)),CC19-CA19,"")</f>
        <v>0</v>
      </c>
      <c r="CC19" s="33">
        <v>5</v>
      </c>
      <c r="CD19" s="34">
        <f>IF(AND(ISNUMBER(CE19),ISNUMBER(CC19)),CE19-CC19,"")</f>
        <v>0</v>
      </c>
      <c r="CE19" s="33">
        <v>2</v>
      </c>
      <c r="CF19" s="34">
        <f>IF(AND(ISNUMBER(CG19),ISNUMBER(CE19)),CG19-CE19,"")</f>
        <v>0</v>
      </c>
      <c r="CG19" s="33">
        <v>3</v>
      </c>
      <c r="CH19" s="34">
        <f>IF(AND(ISNUMBER(CI19),ISNUMBER(CG19)),CI19-CG19,"")</f>
        <v>0</v>
      </c>
      <c r="CI19" s="33">
        <v>3</v>
      </c>
      <c r="CJ19" s="34">
        <f>IF(AND(ISNUMBER(CK19),ISNUMBER(CI19)),CK19-CI19,"")</f>
        <v>0</v>
      </c>
      <c r="CK19" s="33">
        <v>3</v>
      </c>
      <c r="CL19" s="34">
        <f>IF(AND(ISNUMBER(CM19),ISNUMBER(CK19)),CM19-CK19,"")</f>
        <v>0</v>
      </c>
      <c r="CM19" s="33">
        <v>4</v>
      </c>
      <c r="CN19" s="34">
        <f>IF(AND(ISNUMBER(CO19),ISNUMBER(CM19)),CO19-CM19,"")</f>
        <v>0</v>
      </c>
      <c r="CO19" s="33">
        <v>9</v>
      </c>
      <c r="CP19" s="34">
        <f>IF(AND(ISNUMBER(CQ19),ISNUMBER(CO19)),CQ19-CO19,"")</f>
        <v>0</v>
      </c>
      <c r="CQ19" s="33">
        <v>4</v>
      </c>
      <c r="CR19" s="34">
        <f>IF(AND(ISNUMBER(CS19),ISNUMBER(CQ19)),CS19-CQ19,"")</f>
        <v>0</v>
      </c>
      <c r="CS19" s="33">
        <v>16</v>
      </c>
      <c r="CT19" s="34">
        <f>IF(AND(ISNUMBER(CU19),ISNUMBER(CS19)),CU19-CS19,"")</f>
        <v>0</v>
      </c>
      <c r="CU19" s="33">
        <v>7</v>
      </c>
      <c r="CV19" s="34">
        <f>IF(AND(ISNUMBER(CW19),ISNUMBER(CU19)),CW19-CU19,"")</f>
        <v>0</v>
      </c>
      <c r="CW19" s="33">
        <v>16</v>
      </c>
      <c r="CX19" s="34">
        <f>IF(AND(ISNUMBER(CY19),ISNUMBER(CW19)),CY19-CW19,"")</f>
        <v>0</v>
      </c>
      <c r="CY19" s="33">
        <v>8</v>
      </c>
      <c r="CZ19" s="34">
        <f>IF(AND(ISNUMBER(DA19),ISNUMBER(CY19)),DA19-CY19,"")</f>
        <v>0</v>
      </c>
      <c r="DA19" s="33">
        <v>9</v>
      </c>
      <c r="DB19" s="34">
        <f>IF(AND(ISNUMBER(DC19),ISNUMBER(DA19)),DC19-DA19,"")</f>
        <v>0</v>
      </c>
      <c r="DC19" s="33">
        <v>4</v>
      </c>
      <c r="DD19" s="34">
        <f>IF(AND(ISNUMBER(DE19),ISNUMBER(DC19)),DE19-DC19,"")</f>
        <v>0</v>
      </c>
      <c r="DE19" s="33"/>
      <c r="DF19" s="34">
        <f>IF(AND(ISNUMBER(DG19),ISNUMBER(DE19)),DG19-DE19,"")</f>
        <v>0</v>
      </c>
      <c r="DG19" s="33">
        <v>10</v>
      </c>
      <c r="DH19" s="34">
        <f>IF(AND(ISNUMBER(DI19),ISNUMBER(DG19)),DI19-DG19,"")</f>
        <v>0</v>
      </c>
      <c r="DI19" s="33">
        <v>8</v>
      </c>
      <c r="DJ19" s="34">
        <f>IF(AND(ISNUMBER(DK19),ISNUMBER(DI19)),DK19-DI19,"")</f>
        <v>0</v>
      </c>
      <c r="DK19" s="33">
        <v>7</v>
      </c>
      <c r="DL19" s="34">
        <f>IF(AND(ISNUMBER(DM19),ISNUMBER(DK19)),DM19-DK19,"")</f>
        <v>0</v>
      </c>
      <c r="DM19" s="33">
        <v>12</v>
      </c>
      <c r="DN19" s="34">
        <f>IF(AND(ISNUMBER(DO19),ISNUMBER(DM19)),DO19-DM19,"")</f>
        <v>0</v>
      </c>
      <c r="DO19" s="33">
        <v>13</v>
      </c>
      <c r="DP19" s="34">
        <f>IF(AND(ISNUMBER(DQ19),ISNUMBER(DO19)),DQ19-DO19,"")</f>
        <v>0</v>
      </c>
      <c r="DQ19" s="33">
        <v>11</v>
      </c>
      <c r="DR19" s="34">
        <f>IF(AND(ISNUMBER(DS19),ISNUMBER(DQ19)),DS19-DQ19,"")</f>
        <v>0</v>
      </c>
      <c r="DS19" s="33"/>
      <c r="DT19" s="34">
        <f>IF(AND(ISNUMBER(DU19),ISNUMBER(DS19)),DU19-DS19,"")</f>
        <v>0</v>
      </c>
      <c r="DU19" s="33">
        <v>12</v>
      </c>
      <c r="DV19" s="34">
        <f>IF(AND(ISNUMBER(DW19),ISNUMBER(DU19)),DW19-DU19,"")</f>
        <v>0</v>
      </c>
      <c r="DW19" s="33">
        <v>4</v>
      </c>
      <c r="DX19" s="34">
        <f>IF(AND(ISNUMBER(DY19),ISNUMBER(DW19)),DY19-DW19,"")</f>
        <v>0</v>
      </c>
      <c r="DY19" s="33"/>
      <c r="DZ19" s="34">
        <f>IF(AND(ISNUMBER(EA19),ISNUMBER(DY19)),EA19-DY19,"")</f>
        <v>0</v>
      </c>
      <c r="EA19" s="33">
        <v>8</v>
      </c>
      <c r="EB19" s="34">
        <f>IF(AND(ISNUMBER(EC19),ISNUMBER(EA19)),EC19-EA19,"")</f>
        <v>0</v>
      </c>
      <c r="EC19" s="33">
        <v>17</v>
      </c>
      <c r="ED19" s="34">
        <f>IF(AND(ISNUMBER(EE19),ISNUMBER(EC19)),EE19-EC19,"")</f>
        <v>0</v>
      </c>
      <c r="EE19" s="33">
        <v>20</v>
      </c>
      <c r="EF19" s="34">
        <f>IF(AND(ISNUMBER(EG19),ISNUMBER(EE19)),EG19-EE19,"")</f>
        <v>0</v>
      </c>
      <c r="EG19" s="33">
        <v>8</v>
      </c>
      <c r="EH19" s="34">
        <f>IF(AND(ISNUMBER(EI19),ISNUMBER(EG19)),EI19-EG19,"")</f>
        <v>0</v>
      </c>
      <c r="EI19" s="33"/>
      <c r="EJ19" s="34">
        <f>IF(AND(ISNUMBER(EK19),ISNUMBER(EI19)),EK19-EI19,"")</f>
        <v>0</v>
      </c>
      <c r="EK19" s="33"/>
      <c r="EL19" s="34">
        <f>IF(AND(ISNUMBER(EM19),ISNUMBER(EK19)),EM19-EK19,"")</f>
        <v>0</v>
      </c>
      <c r="EM19" s="33">
        <v>6</v>
      </c>
      <c r="EN19" s="34">
        <f>IF(AND(ISNUMBER(EO19),ISNUMBER(EM19)),EO19-EM19,"")</f>
        <v>0</v>
      </c>
      <c r="EO19" s="33">
        <v>7</v>
      </c>
      <c r="EP19" s="34">
        <f>IF(AND(ISNUMBER(EQ19),ISNUMBER(EO19)),EQ19-EO19,"")</f>
        <v>0</v>
      </c>
      <c r="EQ19" s="33">
        <v>4</v>
      </c>
      <c r="ER19" s="34">
        <f>IF(AND(ISNUMBER(ES19),ISNUMBER(EQ19)),ES19-EQ19,"")</f>
        <v>0</v>
      </c>
      <c r="ES19" s="33">
        <v>3</v>
      </c>
      <c r="ET19" s="34">
        <f>IF(AND(ISNUMBER(EU19),ISNUMBER(ES19)),EU19-ES19,"")</f>
        <v>0</v>
      </c>
      <c r="EU19" s="33"/>
      <c r="EV19" s="34">
        <f>IF(AND(ISNUMBER(EW19),ISNUMBER(EU19)),EW19-EU19,"")</f>
        <v>0</v>
      </c>
      <c r="EW19" s="33">
        <v>14</v>
      </c>
      <c r="EX19" s="34">
        <f>IF(AND(ISNUMBER(EY19),ISNUMBER(EW19)),EY19-EW19,"")</f>
        <v>0</v>
      </c>
      <c r="EY19" s="33">
        <v>6</v>
      </c>
      <c r="EZ19" s="34">
        <f>IF(AND(ISNUMBER(FA19),ISNUMBER(EY19)),FA19-EY19,"")</f>
        <v>0</v>
      </c>
      <c r="FA19" s="33">
        <v>0</v>
      </c>
      <c r="FB19" s="34">
        <f>IF(AND(ISNUMBER(FC19),ISNUMBER(FA19)),FC19-FA19,"")</f>
        <v>0</v>
      </c>
      <c r="FC19" s="33"/>
      <c r="FD19" s="34">
        <f>IF(AND(ISNUMBER(FE19),ISNUMBER(FC19)),FE19-FC19,"")</f>
        <v>0</v>
      </c>
      <c r="FE19" s="33"/>
      <c r="FF19" s="34">
        <f>IF(AND(ISNUMBER(FG19),ISNUMBER(FE19)),FG19-FE19,"")</f>
        <v>0</v>
      </c>
      <c r="FG19" s="33"/>
      <c r="FH19" s="34">
        <f>IF(AND(ISNUMBER(FI19),ISNUMBER(FG19)),FI19-FG19,"")</f>
        <v>0</v>
      </c>
      <c r="FI19" s="33"/>
      <c r="FJ19" s="34">
        <f>IF(AND(ISNUMBER(FK19),ISNUMBER(FI19)),FK19-FI19,"")</f>
        <v>0</v>
      </c>
      <c r="FK19" s="33"/>
      <c r="FL19" s="34">
        <f>IF(AND(ISNUMBER(FM19),ISNUMBER(FK19)),FM19-FK19,"")</f>
        <v>0</v>
      </c>
      <c r="FM19" s="33"/>
      <c r="FN19" s="34">
        <f>IF(AND(ISNUMBER(FO19),ISNUMBER(FM19)),FO19-FM19,"")</f>
        <v>0</v>
      </c>
      <c r="FO19" s="33"/>
      <c r="FP19" s="34">
        <f>IF(AND(ISNUMBER(FQ19),ISNUMBER(FO19)),FQ19-FO19,"")</f>
        <v>0</v>
      </c>
      <c r="FQ19" s="33"/>
      <c r="FR19" s="34">
        <f>IF(AND(ISNUMBER(FS19),ISNUMBER(FQ19)),FS19-FQ19,"")</f>
        <v>0</v>
      </c>
      <c r="FS19" s="33"/>
      <c r="FT19" s="34">
        <f>IF(AND(ISNUMBER(FU19),ISNUMBER(FS19)),FU19-FS19,"")</f>
        <v>0</v>
      </c>
      <c r="FU19" s="33"/>
      <c r="FV19" s="34">
        <f>IF(AND(ISNUMBER(FW19),ISNUMBER(FU19)),FW19-FU19,"")</f>
        <v>0</v>
      </c>
      <c r="FW19" s="33"/>
      <c r="FX19" s="34">
        <f>IF(AND(ISNUMBER(FY19),ISNUMBER(FW19)),FY19-FW19,"")</f>
        <v>0</v>
      </c>
      <c r="FY19" s="33"/>
      <c r="FZ19" s="34">
        <f>IF(AND(ISNUMBER(GA19),ISNUMBER(FY19)),GA19-FY19,"")</f>
        <v>0</v>
      </c>
      <c r="GA19" s="33"/>
      <c r="GB19" s="34">
        <f>IF(AND(ISNUMBER(GC19),ISNUMBER(GA19)),GC19-GA19,"")</f>
        <v>0</v>
      </c>
      <c r="GC19" s="33"/>
      <c r="GD19" s="34">
        <f>IF(AND(ISNUMBER(GE19),ISNUMBER(GC19)),GE19-GC19,"")</f>
        <v>0</v>
      </c>
      <c r="GE19" s="33"/>
      <c r="GF19" s="34">
        <f>IF(AND(ISNUMBER(GG19),ISNUMBER(GE19)),GG19-GE19,"")</f>
        <v>0</v>
      </c>
      <c r="GG19" s="33"/>
      <c r="GH19" s="34">
        <f>IF(AND(ISNUMBER(GI19),ISNUMBER(GG19)),GI19-GG19,"")</f>
        <v>0</v>
      </c>
      <c r="GI19" s="33"/>
      <c r="GJ19" s="34">
        <f>IF(AND(ISNUMBER(GK19),ISNUMBER(GI19)),GK19-GI19,"")</f>
        <v>0</v>
      </c>
      <c r="GK19" s="33"/>
      <c r="GL19" s="34">
        <f>IF(AND(ISNUMBER(GM19),ISNUMBER(GK19)),GM19-GK19,"")</f>
        <v>0</v>
      </c>
      <c r="GM19" s="33"/>
      <c r="GN19" s="34">
        <f>IF(AND(ISNUMBER(GO19),ISNUMBER(GM19)),GO19-GM19,"")</f>
        <v>0</v>
      </c>
      <c r="GO19" s="33"/>
      <c r="GP19" s="34">
        <f>IF(AND(ISNUMBER(GQ19),ISNUMBER(GO19)),GQ19-GO19,"")</f>
        <v>0</v>
      </c>
      <c r="GQ19" s="33"/>
      <c r="GR19" s="34">
        <f>IF(AND(ISNUMBER(GS19),ISNUMBER(GQ19)),GS19-GQ19,"")</f>
        <v>0</v>
      </c>
      <c r="GS19" s="33"/>
      <c r="GT19" s="34">
        <f>IF(AND(ISNUMBER(GU19),ISNUMBER(GS19)),GU19-GS19,"")</f>
        <v>0</v>
      </c>
      <c r="GU19" s="33"/>
      <c r="GV19" s="34">
        <f>IF(AND(ISNUMBER(GW19),ISNUMBER(GU19)),GW19-GU19,"")</f>
        <v>0</v>
      </c>
      <c r="GW19" s="33"/>
      <c r="GX19" s="34">
        <f>IF(AND(ISNUMBER(GY19),ISNUMBER(GW19)),GY19-GW19,"")</f>
        <v>0</v>
      </c>
      <c r="GY19" s="33"/>
      <c r="GZ19" s="34">
        <f>IF(AND(ISNUMBER(HA19),ISNUMBER(GY19)),HA19-GY19,"")</f>
        <v>0</v>
      </c>
      <c r="HA19" s="33"/>
      <c r="HB19" s="34">
        <f>IF(AND(ISNUMBER(HC19),ISNUMBER(HA19)),HC19-HA19,"")</f>
        <v>0</v>
      </c>
      <c r="HC19" s="33"/>
      <c r="HD19" s="34">
        <f>IF(AND(ISNUMBER(HE19),ISNUMBER(HC19)),HE19-HC19,"")</f>
        <v>0</v>
      </c>
      <c r="HE19" s="33"/>
      <c r="HF19" s="34">
        <f>IF(AND(ISNUMBER(HG19),ISNUMBER(HE19)),HG19-HE19,"")</f>
        <v>0</v>
      </c>
      <c r="HG19" s="33"/>
      <c r="HH19" s="34">
        <f>IF(AND(ISNUMBER(HI19),ISNUMBER(HG19)),HI19-HG19,"")</f>
        <v>0</v>
      </c>
      <c r="HI19" s="33"/>
      <c r="HJ19" s="34">
        <f>IF(AND(ISNUMBER(HK19),ISNUMBER(HI19)),HK19-HI19,"")</f>
        <v>0</v>
      </c>
      <c r="HK19" s="33"/>
      <c r="HL19" s="34">
        <f>IF(AND(ISNUMBER(HM19),ISNUMBER(HK19)),HM19-HK19,"")</f>
        <v>0</v>
      </c>
      <c r="HM19" s="33"/>
      <c r="HN19" s="34">
        <f>IF(AND(ISNUMBER(HO19),ISNUMBER(HM19)),HO19-HM19,"")</f>
        <v>0</v>
      </c>
      <c r="HO19" s="33"/>
      <c r="HP19" s="34">
        <f>IF(AND(ISNUMBER(HQ19),ISNUMBER(HO19)),HQ19-HO19,"")</f>
        <v>0</v>
      </c>
      <c r="HQ19" s="33"/>
      <c r="HR19" s="34">
        <f>IF(AND(ISNUMBER(HS19),ISNUMBER(HQ19)),HS19-HQ19,"")</f>
        <v>0</v>
      </c>
      <c r="HS19" s="33"/>
      <c r="HT19" s="34">
        <f>IF(AND(ISNUMBER(HU19),ISNUMBER(HS19)),HU19-HS19,"")</f>
        <v>0</v>
      </c>
      <c r="HU19" s="33"/>
      <c r="HV19" s="34">
        <f>IF(AND(ISNUMBER(HW19),ISNUMBER(HU19)),HW19-HU19,"")</f>
        <v>0</v>
      </c>
      <c r="HW19" s="33"/>
      <c r="HX19" s="34">
        <f>IF(AND(ISNUMBER(HY19),ISNUMBER(HW19)),HY19-HW19,"")</f>
        <v>0</v>
      </c>
      <c r="HY19" s="33"/>
      <c r="HZ19" s="34">
        <f>IF(AND(ISNUMBER(IA19),ISNUMBER(HY19)),IA19-HY19,"")</f>
        <v>0</v>
      </c>
      <c r="IA19" s="33"/>
      <c r="IB19" s="34">
        <f>IF(AND(ISNUMBER(IC19),ISNUMBER(IA19)),IC19-IA19,"")</f>
        <v>0</v>
      </c>
      <c r="IC19" s="33"/>
      <c r="ID19" s="34">
        <f>IF(AND(ISNUMBER(IE19),ISNUMBER(IC19)),IE19-IC19,"")</f>
        <v>0</v>
      </c>
      <c r="IE19" s="33"/>
      <c r="IF19" s="34">
        <f>IF(AND(ISNUMBER(IG19),ISNUMBER(IE19)),IG19-IE19,"")</f>
        <v>0</v>
      </c>
      <c r="IG19" s="33"/>
      <c r="IH19" s="34">
        <f>IF(AND(ISNUMBER(II19),ISNUMBER(IG19)),II19-IG19,"")</f>
        <v>0</v>
      </c>
      <c r="II19" s="33"/>
      <c r="IJ19" s="34">
        <f>IF(AND(ISNUMBER(IK19),ISNUMBER(II19)),IK19-II19,"")</f>
        <v>0</v>
      </c>
      <c r="IK19" s="33"/>
      <c r="IL19" s="34">
        <f>IF(AND(ISNUMBER(IM19),ISNUMBER(IK19)),IM19-IK19,"")</f>
        <v>0</v>
      </c>
      <c r="IM19" s="33"/>
      <c r="IN19" s="34">
        <f>IF(AND(ISNUMBER(IO19),ISNUMBER(IM19)),IO19-IM19,"")</f>
        <v>0</v>
      </c>
      <c r="IO19" s="33"/>
      <c r="IP19" s="34">
        <f>IF(AND(ISNUMBER(IQ19),ISNUMBER(IO19)),IQ19-IO19,"")</f>
        <v>0</v>
      </c>
      <c r="IQ19" s="33"/>
      <c r="IR19" s="34">
        <f>IF(AND(ISNUMBER(IS19),ISNUMBER(IQ19)),IS19-IQ19,"")</f>
        <v>0</v>
      </c>
      <c r="IS19" s="33"/>
      <c r="IT19" s="34">
        <f>IF(AND(ISNUMBER(IU19),ISNUMBER(IS19)),IU19-IS19,"")</f>
        <v>0</v>
      </c>
      <c r="IU19" s="33"/>
      <c r="IV19" s="34">
        <f>IF(AND(ISNUMBER(IW19),ISNUMBER(IU19)),IW19-IU19,"")</f>
        <v>0</v>
      </c>
      <c r="IW19" s="33"/>
      <c r="IX19" s="34">
        <f>IF(AND(ISNUMBER(IY19),ISNUMBER(IW19)),IY19-IW19,"")</f>
        <v>0</v>
      </c>
      <c r="IY19" s="33"/>
      <c r="IZ19" s="34">
        <f>IF(AND(ISNUMBER(JA19),ISNUMBER(IY19)),JA19-IY19,"")</f>
        <v>0</v>
      </c>
      <c r="JA19" s="33"/>
      <c r="JB19" s="34">
        <f>IF(AND(ISNUMBER(JC19),ISNUMBER(JA19)),JC19-JA19,"")</f>
        <v>0</v>
      </c>
      <c r="JC19" s="33"/>
      <c r="JD19" s="34">
        <f>IF(AND(ISNUMBER(JE19),ISNUMBER(JC19)),JE19-JC19,"")</f>
        <v>0</v>
      </c>
      <c r="JE19" s="33"/>
      <c r="JF19" s="34">
        <f>IF(AND(ISNUMBER(JG19),ISNUMBER(JE19)),JG19-JE19,"")</f>
        <v>0</v>
      </c>
      <c r="JG19" s="33"/>
      <c r="JH19" s="34">
        <f>IF(AND(ISNUMBER(JI19),ISNUMBER(JG19)),JI19-JG19,"")</f>
        <v>0</v>
      </c>
      <c r="JI19" s="33"/>
      <c r="JJ19" s="34">
        <f>IF(AND(ISNUMBER(JK19),ISNUMBER(JI19)),JK19-JI19,"")</f>
        <v>0</v>
      </c>
      <c r="JK19" s="33"/>
      <c r="JL19" s="34">
        <f>IF(AND(ISNUMBER(JM19),ISNUMBER(JK19)),JM19-JK19,"")</f>
        <v>0</v>
      </c>
      <c r="JM19" s="33"/>
      <c r="JN19" s="34">
        <f>IF(AND(ISNUMBER(JO19),ISNUMBER(JM19)),JO19-JM19,"")</f>
        <v>0</v>
      </c>
      <c r="JO19" s="33"/>
      <c r="JP19" s="34">
        <f>IF(AND(ISNUMBER(JQ19),ISNUMBER(JO19)),JQ19-JO19,"")</f>
        <v>0</v>
      </c>
      <c r="JQ19" s="33"/>
      <c r="JR19" s="34">
        <f>IF(AND(ISNUMBER(JS19),ISNUMBER(JQ19)),JS19-JQ19,"")</f>
        <v>0</v>
      </c>
      <c r="JS19" s="33"/>
      <c r="JT19" s="34">
        <f>IF(AND(ISNUMBER(JU19),ISNUMBER(JS19)),JU19-JS19,"")</f>
        <v>0</v>
      </c>
      <c r="JU19" s="33"/>
      <c r="JV19" s="34">
        <f>IF(AND(ISNUMBER(JW19),ISNUMBER(JU19)),JW19-JU19,"")</f>
        <v>0</v>
      </c>
      <c r="JW19" s="33"/>
      <c r="JX19" s="34">
        <f>IF(AND(ISNUMBER(JY19),ISNUMBER(JW19)),JY19-JW19,"")</f>
        <v>0</v>
      </c>
      <c r="JY19" s="33"/>
      <c r="JZ19" s="34">
        <f>IF(AND(ISNUMBER(KA19),ISNUMBER(JY19)),KA19-JY19,"")</f>
        <v>0</v>
      </c>
      <c r="KA19" s="33"/>
      <c r="KB19" s="34">
        <f>IF(AND(ISNUMBER(KC19),ISNUMBER(KA19)),KC19-KA19,"")</f>
        <v>0</v>
      </c>
      <c r="KC19" s="33"/>
      <c r="KD19" s="34">
        <f>IF(AND(ISNUMBER(KE19),ISNUMBER(KC19)),KE19-KC19,"")</f>
        <v>0</v>
      </c>
      <c r="KE19" s="33"/>
      <c r="KF19" s="34">
        <f>IF(AND(ISNUMBER(KG19),ISNUMBER(KE19)),KG19-KE19,"")</f>
        <v>0</v>
      </c>
      <c r="KG19" s="33"/>
      <c r="KH19" s="34">
        <f>IF(AND(ISNUMBER(KI19),ISNUMBER(KG19)),KI19-KG19,"")</f>
        <v>0</v>
      </c>
      <c r="KI19" s="33"/>
      <c r="KJ19" s="34">
        <f>IF(AND(ISNUMBER(KK19),ISNUMBER(KI19)),KK19-KI19,"")</f>
        <v>0</v>
      </c>
      <c r="KK19" s="33"/>
      <c r="KL19" s="34">
        <f>IF(AND(ISNUMBER(KM19),ISNUMBER(KK19)),KM19-KK19,"")</f>
        <v>0</v>
      </c>
      <c r="KM19" s="33"/>
      <c r="KN19" s="34">
        <f>IF(AND(ISNUMBER(KO19),ISNUMBER(KM19)),KO19-KM19,"")</f>
        <v>0</v>
      </c>
      <c r="KO19" s="33"/>
      <c r="KP19" s="34">
        <f>IF(AND(ISNUMBER(KQ19),ISNUMBER(KO19)),KQ19-KO19,"")</f>
        <v>0</v>
      </c>
      <c r="KQ19" s="33"/>
      <c r="KR19" s="34">
        <f>IF(AND(ISNUMBER(KS19),ISNUMBER(KQ19)),KS19-KQ19,"")</f>
        <v>0</v>
      </c>
      <c r="KS19" s="33"/>
      <c r="KT19" s="34">
        <f>IF(AND(ISNUMBER(KU19),ISNUMBER(KS19)),KU19-KS19,"")</f>
        <v>0</v>
      </c>
      <c r="KU19" s="33"/>
      <c r="KV19" s="34">
        <f>IF(AND(ISNUMBER(KW19),ISNUMBER(KU19)),KW19-KU19,"")</f>
        <v>0</v>
      </c>
      <c r="KW19" s="33"/>
      <c r="KX19" s="34">
        <f>IF(AND(ISNUMBER(KY19),ISNUMBER(KW19)),KY19-KW19,"")</f>
        <v>0</v>
      </c>
      <c r="KY19" s="33"/>
      <c r="KZ19" s="34">
        <f>IF(AND(ISNUMBER(LA19),ISNUMBER(KY19)),LA19-KY19,"")</f>
        <v>0</v>
      </c>
      <c r="LA19" s="33"/>
      <c r="LB19" s="34">
        <f>IF(AND(ISNUMBER(LC19),ISNUMBER(LA19)),LC19-LA19,"")</f>
        <v>0</v>
      </c>
      <c r="LC19" s="33"/>
      <c r="LD19" s="34">
        <f>IF(AND(ISNUMBER(LE19),ISNUMBER(LC19)),LE19-LC19,"")</f>
        <v>0</v>
      </c>
      <c r="LE19" s="33"/>
      <c r="LF19" s="34">
        <f>IF(AND(ISNUMBER(LG19),ISNUMBER(LE19)),LG19-LE19,"")</f>
        <v>0</v>
      </c>
      <c r="LG19" s="33"/>
    </row>
    <row r="20" spans="1:322" hidden="1" outlineLevel="1">
      <c r="B20" s="23"/>
      <c r="D20" s="31" t="s">
        <v>723</v>
      </c>
      <c r="E20" s="32" t="s">
        <v>1052</v>
      </c>
      <c r="F20" s="38">
        <v>45689</v>
      </c>
      <c r="I20" s="33">
        <v>2</v>
      </c>
      <c r="J20" s="34">
        <f>IF(AND(ISNUMBER(K20),ISNUMBER(I20)),K20-I20,"")</f>
        <v>0</v>
      </c>
      <c r="K20" s="33">
        <v>0</v>
      </c>
      <c r="L20" s="34">
        <f>IF(AND(ISNUMBER(M20),ISNUMBER(K20)),M20-K20,"")</f>
        <v>0</v>
      </c>
      <c r="M20" s="33">
        <v>0</v>
      </c>
      <c r="N20" s="34">
        <f>IF(AND(ISNUMBER(O20),ISNUMBER(M20)),O20-M20,"")</f>
        <v>0</v>
      </c>
      <c r="O20" s="40" t="s">
        <v>1088</v>
      </c>
      <c r="P20" s="34">
        <f>IF(AND(ISNUMBER(Q20),ISNUMBER(O20)),Q20-O20,"")</f>
        <v>0</v>
      </c>
      <c r="Q20" s="33">
        <v>0</v>
      </c>
      <c r="R20" s="34">
        <f>IF(AND(ISNUMBER(S20),ISNUMBER(Q20)),S20-Q20,"")</f>
        <v>0</v>
      </c>
      <c r="S20" s="33">
        <v>8</v>
      </c>
      <c r="T20" s="34">
        <f>IF(AND(ISNUMBER(U20),ISNUMBER(S20)),U20-S20,"")</f>
        <v>0</v>
      </c>
      <c r="U20" s="40" t="s">
        <v>1088</v>
      </c>
      <c r="V20" s="34">
        <f>IF(AND(ISNUMBER(W20),ISNUMBER(U20)),W20-U20,"")</f>
        <v>0</v>
      </c>
      <c r="W20" s="33">
        <v>2</v>
      </c>
      <c r="X20" s="34">
        <f>IF(AND(ISNUMBER(Y20),ISNUMBER(W20)),Y20-W20,"")</f>
        <v>0</v>
      </c>
      <c r="Y20" s="33">
        <v>0</v>
      </c>
      <c r="Z20" s="34">
        <f>IF(AND(ISNUMBER(AA20),ISNUMBER(Y20)),AA20-Y20,"")</f>
        <v>0</v>
      </c>
      <c r="AA20" s="33">
        <v>0</v>
      </c>
      <c r="AB20" s="34">
        <f>IF(AND(ISNUMBER(AC20),ISNUMBER(AA20)),AC20-AA20,"")</f>
        <v>0</v>
      </c>
      <c r="AC20" s="33">
        <v>6</v>
      </c>
      <c r="AD20" s="34">
        <f>IF(AND(ISNUMBER(AE20),ISNUMBER(AC20)),AE20-AC20,"")</f>
        <v>0</v>
      </c>
      <c r="AE20" s="33">
        <v>8</v>
      </c>
      <c r="AF20" s="34">
        <f>IF(AND(ISNUMBER(AG20),ISNUMBER(AE20)),AG20-AE20,"")</f>
        <v>0</v>
      </c>
      <c r="AG20" s="33">
        <v>2</v>
      </c>
      <c r="AH20" s="34">
        <f>IF(AND(ISNUMBER(AI20),ISNUMBER(AG20)),AI20-AG20,"")</f>
        <v>0</v>
      </c>
      <c r="AI20" s="33">
        <v>12</v>
      </c>
      <c r="AJ20" s="34">
        <f>IF(AND(ISNUMBER(AK20),ISNUMBER(AI20)),AK20-AI20,"")</f>
        <v>0</v>
      </c>
      <c r="AK20" s="33">
        <v>8</v>
      </c>
      <c r="AL20" s="34">
        <f>IF(AND(ISNUMBER(AM20),ISNUMBER(AK20)),AM20-AK20,"")</f>
        <v>0</v>
      </c>
      <c r="AM20" s="33">
        <v>3</v>
      </c>
      <c r="AN20" s="34">
        <f>IF(AND(ISNUMBER(AO20),ISNUMBER(AM20)),AO20-AM20,"")</f>
        <v>0</v>
      </c>
      <c r="AO20" s="33">
        <v>5</v>
      </c>
      <c r="AP20" s="34">
        <f>IF(AND(ISNUMBER(AQ20),ISNUMBER(AO20)),AQ20-AO20,"")</f>
        <v>0</v>
      </c>
      <c r="AQ20" s="33">
        <v>7</v>
      </c>
      <c r="AR20" s="34">
        <f>IF(AND(ISNUMBER(AS20),ISNUMBER(AQ20)),AS20-AQ20,"")</f>
        <v>0</v>
      </c>
      <c r="AS20" s="33">
        <v>5</v>
      </c>
      <c r="AT20" s="34">
        <f>IF(AND(ISNUMBER(AU20),ISNUMBER(AS20)),AU20-AS20,"")</f>
        <v>0</v>
      </c>
      <c r="AU20" s="33">
        <v>2</v>
      </c>
      <c r="AV20" s="34">
        <f>IF(AND(ISNUMBER(AW20),ISNUMBER(AU20)),AW20-AU20,"")</f>
        <v>0</v>
      </c>
      <c r="AW20" s="33">
        <v>4</v>
      </c>
      <c r="AX20" s="34">
        <f>IF(AND(ISNUMBER(AY20),ISNUMBER(AW20)),AY20-AW20,"")</f>
        <v>0</v>
      </c>
      <c r="AY20" s="33">
        <v>3</v>
      </c>
      <c r="AZ20" s="34">
        <f>IF(AND(ISNUMBER(BA20),ISNUMBER(AY20)),BA20-AY20,"")</f>
        <v>0</v>
      </c>
      <c r="BA20" s="33">
        <v>0</v>
      </c>
      <c r="BB20" s="34">
        <f>IF(AND(ISNUMBER(BC20),ISNUMBER(BA20)),BC20-BA20,"")</f>
        <v>0</v>
      </c>
      <c r="BC20" s="33">
        <v>2</v>
      </c>
      <c r="BD20" s="34">
        <f>IF(AND(ISNUMBER(BE20),ISNUMBER(BC20)),BE20-BC20,"")</f>
        <v>0</v>
      </c>
      <c r="BE20" s="33">
        <v>10</v>
      </c>
      <c r="BF20" s="34">
        <f>IF(AND(ISNUMBER(BG20),ISNUMBER(BE20)),BG20-BE20,"")</f>
        <v>0</v>
      </c>
      <c r="BG20" s="33">
        <v>1</v>
      </c>
      <c r="BH20" s="34">
        <f>IF(AND(ISNUMBER(BI20),ISNUMBER(BG20)),BI20-BG20,"")</f>
        <v>0</v>
      </c>
      <c r="BI20" s="33">
        <v>1</v>
      </c>
      <c r="BJ20" s="34">
        <f>IF(AND(ISNUMBER(BK20),ISNUMBER(BI20)),BK20-BI20,"")</f>
        <v>0</v>
      </c>
      <c r="BK20" s="33">
        <v>1</v>
      </c>
      <c r="BL20" s="34">
        <f>IF(AND(ISNUMBER(BM20),ISNUMBER(BK20)),BM20-BK20,"")</f>
        <v>0</v>
      </c>
      <c r="BM20" s="33">
        <v>0</v>
      </c>
      <c r="BN20" s="34">
        <f>IF(AND(ISNUMBER(BO20),ISNUMBER(BM20)),BO20-BM20,"")</f>
        <v>0</v>
      </c>
      <c r="BO20" s="33">
        <v>0</v>
      </c>
      <c r="BP20" s="34">
        <f>IF(AND(ISNUMBER(BQ20),ISNUMBER(BO20)),BQ20-BO20,"")</f>
        <v>0</v>
      </c>
      <c r="BQ20" s="33">
        <v>0</v>
      </c>
      <c r="BR20" s="34">
        <f>IF(AND(ISNUMBER(BS20),ISNUMBER(BQ20)),BS20-BQ20,"")</f>
        <v>0</v>
      </c>
      <c r="BS20" s="33">
        <v>0</v>
      </c>
      <c r="BT20" s="34">
        <f>IF(AND(ISNUMBER(BU20),ISNUMBER(BS20)),BU20-BS20,"")</f>
        <v>0</v>
      </c>
      <c r="BU20" s="33">
        <v>3</v>
      </c>
      <c r="BV20" s="34">
        <f>IF(AND(ISNUMBER(BW20),ISNUMBER(BU20)),BW20-BU20,"")</f>
        <v>0</v>
      </c>
      <c r="BW20" s="33">
        <v>0</v>
      </c>
      <c r="BX20" s="34">
        <f>IF(AND(ISNUMBER(BY20),ISNUMBER(BW20)),BY20-BW20,"")</f>
        <v>0</v>
      </c>
      <c r="BY20" s="33">
        <v>1</v>
      </c>
      <c r="BZ20" s="34">
        <f>IF(AND(ISNUMBER(CA20),ISNUMBER(BY20)),CA20-BY20,"")</f>
        <v>0</v>
      </c>
      <c r="CA20" s="33">
        <v>3</v>
      </c>
      <c r="CB20" s="34">
        <f>IF(AND(ISNUMBER(CC20),ISNUMBER(CA20)),CC20-CA20,"")</f>
        <v>0</v>
      </c>
      <c r="CC20" s="33">
        <v>3</v>
      </c>
      <c r="CD20" s="34">
        <f>IF(AND(ISNUMBER(CE20),ISNUMBER(CC20)),CE20-CC20,"")</f>
        <v>0</v>
      </c>
      <c r="CE20" s="33">
        <v>4</v>
      </c>
      <c r="CF20" s="34">
        <f>IF(AND(ISNUMBER(CG20),ISNUMBER(CE20)),CG20-CE20,"")</f>
        <v>0</v>
      </c>
      <c r="CG20" s="33">
        <v>3</v>
      </c>
      <c r="CH20" s="34">
        <f>IF(AND(ISNUMBER(CI20),ISNUMBER(CG20)),CI20-CG20,"")</f>
        <v>0</v>
      </c>
      <c r="CI20" s="33">
        <v>3</v>
      </c>
      <c r="CJ20" s="34">
        <f>IF(AND(ISNUMBER(CK20),ISNUMBER(CI20)),CK20-CI20,"")</f>
        <v>0</v>
      </c>
      <c r="CK20" s="33">
        <v>2</v>
      </c>
      <c r="CL20" s="34">
        <f>IF(AND(ISNUMBER(CM20),ISNUMBER(CK20)),CM20-CK20,"")</f>
        <v>0</v>
      </c>
      <c r="CM20" s="33">
        <v>1</v>
      </c>
      <c r="CN20" s="34">
        <f>IF(AND(ISNUMBER(CO20),ISNUMBER(CM20)),CO20-CM20,"")</f>
        <v>0</v>
      </c>
      <c r="CO20" s="33">
        <v>0</v>
      </c>
      <c r="CP20" s="34">
        <f>IF(AND(ISNUMBER(CQ20),ISNUMBER(CO20)),CQ20-CO20,"")</f>
        <v>0</v>
      </c>
      <c r="CQ20" s="33">
        <v>8</v>
      </c>
      <c r="CR20" s="34">
        <f>IF(AND(ISNUMBER(CS20),ISNUMBER(CQ20)),CS20-CQ20,"")</f>
        <v>0</v>
      </c>
      <c r="CS20" s="33">
        <v>13</v>
      </c>
      <c r="CT20" s="34">
        <f>IF(AND(ISNUMBER(CU20),ISNUMBER(CS20)),CU20-CS20,"")</f>
        <v>0</v>
      </c>
      <c r="CU20" s="33">
        <v>3</v>
      </c>
      <c r="CV20" s="34">
        <f>IF(AND(ISNUMBER(CW20),ISNUMBER(CU20)),CW20-CU20,"")</f>
        <v>0</v>
      </c>
      <c r="CW20" s="33">
        <v>4</v>
      </c>
      <c r="CX20" s="34">
        <f>IF(AND(ISNUMBER(CY20),ISNUMBER(CW20)),CY20-CW20,"")</f>
        <v>0</v>
      </c>
      <c r="CY20" s="33">
        <v>1</v>
      </c>
      <c r="CZ20" s="34">
        <f>IF(AND(ISNUMBER(DA20),ISNUMBER(CY20)),DA20-CY20,"")</f>
        <v>0</v>
      </c>
      <c r="DA20" s="33">
        <v>6</v>
      </c>
      <c r="DB20" s="34">
        <f>IF(AND(ISNUMBER(DC20),ISNUMBER(DA20)),DC20-DA20,"")</f>
        <v>0</v>
      </c>
      <c r="DC20" s="33">
        <v>7</v>
      </c>
      <c r="DD20" s="34">
        <f>IF(AND(ISNUMBER(DE20),ISNUMBER(DC20)),DE20-DC20,"")</f>
        <v>0</v>
      </c>
      <c r="DE20" s="33">
        <v>12</v>
      </c>
      <c r="DF20" s="34">
        <f>IF(AND(ISNUMBER(DG20),ISNUMBER(DE20)),DG20-DE20,"")</f>
        <v>0</v>
      </c>
      <c r="DG20" s="33">
        <v>4</v>
      </c>
      <c r="DH20" s="34">
        <f>IF(AND(ISNUMBER(DI20),ISNUMBER(DG20)),DI20-DG20,"")</f>
        <v>0</v>
      </c>
      <c r="DI20" s="33">
        <v>6</v>
      </c>
      <c r="DJ20" s="34">
        <f>IF(AND(ISNUMBER(DK20),ISNUMBER(DI20)),DK20-DI20,"")</f>
        <v>0</v>
      </c>
      <c r="DK20" s="33">
        <v>5</v>
      </c>
      <c r="DL20" s="34">
        <f>IF(AND(ISNUMBER(DM20),ISNUMBER(DK20)),DM20-DK20,"")</f>
        <v>0</v>
      </c>
      <c r="DM20" s="33">
        <v>5</v>
      </c>
      <c r="DN20" s="34">
        <f>IF(AND(ISNUMBER(DO20),ISNUMBER(DM20)),DO20-DM20,"")</f>
        <v>0</v>
      </c>
      <c r="DO20" s="33">
        <v>10</v>
      </c>
      <c r="DP20" s="34">
        <f>IF(AND(ISNUMBER(DQ20),ISNUMBER(DO20)),DQ20-DO20,"")</f>
        <v>0</v>
      </c>
      <c r="DQ20" s="33">
        <v>7</v>
      </c>
      <c r="DR20" s="34">
        <f>IF(AND(ISNUMBER(DS20),ISNUMBER(DQ20)),DS20-DQ20,"")</f>
        <v>0</v>
      </c>
      <c r="DS20" s="33"/>
      <c r="DT20" s="34">
        <f>IF(AND(ISNUMBER(DU20),ISNUMBER(DS20)),DU20-DS20,"")</f>
        <v>0</v>
      </c>
      <c r="DU20" s="33">
        <v>7</v>
      </c>
      <c r="DV20" s="34">
        <f>IF(AND(ISNUMBER(DW20),ISNUMBER(DU20)),DW20-DU20,"")</f>
        <v>0</v>
      </c>
      <c r="DW20" s="33">
        <v>5</v>
      </c>
      <c r="DX20" s="34">
        <f>IF(AND(ISNUMBER(DY20),ISNUMBER(DW20)),DY20-DW20,"")</f>
        <v>0</v>
      </c>
      <c r="DY20" s="33"/>
      <c r="DZ20" s="34">
        <f>IF(AND(ISNUMBER(EA20),ISNUMBER(DY20)),EA20-DY20,"")</f>
        <v>0</v>
      </c>
      <c r="EA20" s="33">
        <v>5</v>
      </c>
      <c r="EB20" s="34">
        <f>IF(AND(ISNUMBER(EC20),ISNUMBER(EA20)),EC20-EA20,"")</f>
        <v>0</v>
      </c>
      <c r="EC20" s="33">
        <v>8</v>
      </c>
      <c r="ED20" s="34">
        <f>IF(AND(ISNUMBER(EE20),ISNUMBER(EC20)),EE20-EC20,"")</f>
        <v>0</v>
      </c>
      <c r="EE20" s="33">
        <v>8</v>
      </c>
      <c r="EF20" s="34">
        <f>IF(AND(ISNUMBER(EG20),ISNUMBER(EE20)),EG20-EE20,"")</f>
        <v>0</v>
      </c>
      <c r="EG20" s="33">
        <v>5</v>
      </c>
      <c r="EH20" s="34">
        <f>IF(AND(ISNUMBER(EI20),ISNUMBER(EG20)),EI20-EG20,"")</f>
        <v>0</v>
      </c>
      <c r="EI20" s="33"/>
      <c r="EJ20" s="34">
        <f>IF(AND(ISNUMBER(EK20),ISNUMBER(EI20)),EK20-EI20,"")</f>
        <v>0</v>
      </c>
      <c r="EK20" s="33"/>
      <c r="EL20" s="34">
        <f>IF(AND(ISNUMBER(EM20),ISNUMBER(EK20)),EM20-EK20,"")</f>
        <v>0</v>
      </c>
      <c r="EM20" s="33">
        <v>7</v>
      </c>
      <c r="EN20" s="34">
        <f>IF(AND(ISNUMBER(EO20),ISNUMBER(EM20)),EO20-EM20,"")</f>
        <v>0</v>
      </c>
      <c r="EO20" s="33">
        <v>15</v>
      </c>
      <c r="EP20" s="34">
        <f>IF(AND(ISNUMBER(EQ20),ISNUMBER(EO20)),EQ20-EO20,"")</f>
        <v>0</v>
      </c>
      <c r="EQ20" s="33">
        <v>9</v>
      </c>
      <c r="ER20" s="34">
        <f>IF(AND(ISNUMBER(ES20),ISNUMBER(EQ20)),ES20-EQ20,"")</f>
        <v>0</v>
      </c>
      <c r="ES20" s="33">
        <v>6</v>
      </c>
      <c r="ET20" s="34">
        <f>IF(AND(ISNUMBER(EU20),ISNUMBER(ES20)),EU20-ES20,"")</f>
        <v>0</v>
      </c>
      <c r="EU20" s="33"/>
      <c r="EV20" s="34">
        <f>IF(AND(ISNUMBER(EW20),ISNUMBER(EU20)),EW20-EU20,"")</f>
        <v>0</v>
      </c>
      <c r="EW20" s="33">
        <v>1</v>
      </c>
      <c r="EX20" s="34">
        <f>IF(AND(ISNUMBER(EY20),ISNUMBER(EW20)),EY20-EW20,"")</f>
        <v>0</v>
      </c>
      <c r="EY20" s="33">
        <v>6</v>
      </c>
      <c r="EZ20" s="34">
        <f>IF(AND(ISNUMBER(FA20),ISNUMBER(EY20)),FA20-EY20,"")</f>
        <v>0</v>
      </c>
      <c r="FA20" s="33">
        <v>9</v>
      </c>
      <c r="FB20" s="34">
        <f>IF(AND(ISNUMBER(FC20),ISNUMBER(FA20)),FC20-FA20,"")</f>
        <v>0</v>
      </c>
      <c r="FC20" s="33"/>
      <c r="FD20" s="34">
        <f>IF(AND(ISNUMBER(FE20),ISNUMBER(FC20)),FE20-FC20,"")</f>
        <v>0</v>
      </c>
      <c r="FE20" s="33"/>
      <c r="FF20" s="34">
        <f>IF(AND(ISNUMBER(FG20),ISNUMBER(FE20)),FG20-FE20,"")</f>
        <v>0</v>
      </c>
      <c r="FG20" s="33"/>
      <c r="FH20" s="34">
        <f>IF(AND(ISNUMBER(FI20),ISNUMBER(FG20)),FI20-FG20,"")</f>
        <v>0</v>
      </c>
      <c r="FI20" s="33"/>
      <c r="FJ20" s="34">
        <f>IF(AND(ISNUMBER(FK20),ISNUMBER(FI20)),FK20-FI20,"")</f>
        <v>0</v>
      </c>
      <c r="FK20" s="33"/>
      <c r="FL20" s="34">
        <f>IF(AND(ISNUMBER(FM20),ISNUMBER(FK20)),FM20-FK20,"")</f>
        <v>0</v>
      </c>
      <c r="FM20" s="33"/>
      <c r="FN20" s="34">
        <f>IF(AND(ISNUMBER(FO20),ISNUMBER(FM20)),FO20-FM20,"")</f>
        <v>0</v>
      </c>
      <c r="FO20" s="33"/>
      <c r="FP20" s="34">
        <f>IF(AND(ISNUMBER(FQ20),ISNUMBER(FO20)),FQ20-FO20,"")</f>
        <v>0</v>
      </c>
      <c r="FQ20" s="33"/>
      <c r="FR20" s="34">
        <f>IF(AND(ISNUMBER(FS20),ISNUMBER(FQ20)),FS20-FQ20,"")</f>
        <v>0</v>
      </c>
      <c r="FS20" s="33"/>
      <c r="FT20" s="34">
        <f>IF(AND(ISNUMBER(FU20),ISNUMBER(FS20)),FU20-FS20,"")</f>
        <v>0</v>
      </c>
      <c r="FU20" s="33"/>
      <c r="FV20" s="34">
        <f>IF(AND(ISNUMBER(FW20),ISNUMBER(FU20)),FW20-FU20,"")</f>
        <v>0</v>
      </c>
      <c r="FW20" s="33"/>
      <c r="FX20" s="34">
        <f>IF(AND(ISNUMBER(FY20),ISNUMBER(FW20)),FY20-FW20,"")</f>
        <v>0</v>
      </c>
      <c r="FY20" s="33"/>
      <c r="FZ20" s="34">
        <f>IF(AND(ISNUMBER(GA20),ISNUMBER(FY20)),GA20-FY20,"")</f>
        <v>0</v>
      </c>
      <c r="GA20" s="33"/>
      <c r="GB20" s="34">
        <f>IF(AND(ISNUMBER(GC20),ISNUMBER(GA20)),GC20-GA20,"")</f>
        <v>0</v>
      </c>
      <c r="GC20" s="33"/>
      <c r="GD20" s="34">
        <f>IF(AND(ISNUMBER(GE20),ISNUMBER(GC20)),GE20-GC20,"")</f>
        <v>0</v>
      </c>
      <c r="GE20" s="33"/>
      <c r="GF20" s="34">
        <f>IF(AND(ISNUMBER(GG20),ISNUMBER(GE20)),GG20-GE20,"")</f>
        <v>0</v>
      </c>
      <c r="GG20" s="33"/>
      <c r="GH20" s="34">
        <f>IF(AND(ISNUMBER(GI20),ISNUMBER(GG20)),GI20-GG20,"")</f>
        <v>0</v>
      </c>
      <c r="GI20" s="33"/>
      <c r="GJ20" s="34">
        <f>IF(AND(ISNUMBER(GK20),ISNUMBER(GI20)),GK20-GI20,"")</f>
        <v>0</v>
      </c>
      <c r="GK20" s="33"/>
      <c r="GL20" s="34">
        <f>IF(AND(ISNUMBER(GM20),ISNUMBER(GK20)),GM20-GK20,"")</f>
        <v>0</v>
      </c>
      <c r="GM20" s="33"/>
      <c r="GN20" s="34">
        <f>IF(AND(ISNUMBER(GO20),ISNUMBER(GM20)),GO20-GM20,"")</f>
        <v>0</v>
      </c>
      <c r="GO20" s="33"/>
      <c r="GP20" s="34">
        <f>IF(AND(ISNUMBER(GQ20),ISNUMBER(GO20)),GQ20-GO20,"")</f>
        <v>0</v>
      </c>
      <c r="GQ20" s="33"/>
      <c r="GR20" s="34">
        <f>IF(AND(ISNUMBER(GS20),ISNUMBER(GQ20)),GS20-GQ20,"")</f>
        <v>0</v>
      </c>
      <c r="GS20" s="33"/>
      <c r="GT20" s="34">
        <f>IF(AND(ISNUMBER(GU20),ISNUMBER(GS20)),GU20-GS20,"")</f>
        <v>0</v>
      </c>
      <c r="GU20" s="33"/>
      <c r="GV20" s="34">
        <f>IF(AND(ISNUMBER(GW20),ISNUMBER(GU20)),GW20-GU20,"")</f>
        <v>0</v>
      </c>
      <c r="GW20" s="33"/>
      <c r="GX20" s="34">
        <f>IF(AND(ISNUMBER(GY20),ISNUMBER(GW20)),GY20-GW20,"")</f>
        <v>0</v>
      </c>
      <c r="GY20" s="33"/>
      <c r="GZ20" s="34">
        <f>IF(AND(ISNUMBER(HA20),ISNUMBER(GY20)),HA20-GY20,"")</f>
        <v>0</v>
      </c>
      <c r="HA20" s="33"/>
      <c r="HB20" s="34">
        <f>IF(AND(ISNUMBER(HC20),ISNUMBER(HA20)),HC20-HA20,"")</f>
        <v>0</v>
      </c>
      <c r="HC20" s="33"/>
      <c r="HD20" s="34">
        <f>IF(AND(ISNUMBER(HE20),ISNUMBER(HC20)),HE20-HC20,"")</f>
        <v>0</v>
      </c>
      <c r="HE20" s="33"/>
      <c r="HF20" s="34">
        <f>IF(AND(ISNUMBER(HG20),ISNUMBER(HE20)),HG20-HE20,"")</f>
        <v>0</v>
      </c>
      <c r="HG20" s="33"/>
      <c r="HH20" s="34">
        <f>IF(AND(ISNUMBER(HI20),ISNUMBER(HG20)),HI20-HG20,"")</f>
        <v>0</v>
      </c>
      <c r="HI20" s="33"/>
      <c r="HJ20" s="34">
        <f>IF(AND(ISNUMBER(HK20),ISNUMBER(HI20)),HK20-HI20,"")</f>
        <v>0</v>
      </c>
      <c r="HK20" s="33"/>
      <c r="HL20" s="34">
        <f>IF(AND(ISNUMBER(HM20),ISNUMBER(HK20)),HM20-HK20,"")</f>
        <v>0</v>
      </c>
      <c r="HM20" s="33"/>
      <c r="HN20" s="34">
        <f>IF(AND(ISNUMBER(HO20),ISNUMBER(HM20)),HO20-HM20,"")</f>
        <v>0</v>
      </c>
      <c r="HO20" s="33"/>
      <c r="HP20" s="34">
        <f>IF(AND(ISNUMBER(HQ20),ISNUMBER(HO20)),HQ20-HO20,"")</f>
        <v>0</v>
      </c>
      <c r="HQ20" s="33"/>
      <c r="HR20" s="34">
        <f>IF(AND(ISNUMBER(HS20),ISNUMBER(HQ20)),HS20-HQ20,"")</f>
        <v>0</v>
      </c>
      <c r="HS20" s="33"/>
      <c r="HT20" s="34">
        <f>IF(AND(ISNUMBER(HU20),ISNUMBER(HS20)),HU20-HS20,"")</f>
        <v>0</v>
      </c>
      <c r="HU20" s="33"/>
      <c r="HV20" s="34">
        <f>IF(AND(ISNUMBER(HW20),ISNUMBER(HU20)),HW20-HU20,"")</f>
        <v>0</v>
      </c>
      <c r="HW20" s="33"/>
      <c r="HX20" s="34">
        <f>IF(AND(ISNUMBER(HY20),ISNUMBER(HW20)),HY20-HW20,"")</f>
        <v>0</v>
      </c>
      <c r="HY20" s="33"/>
      <c r="HZ20" s="34">
        <f>IF(AND(ISNUMBER(IA20),ISNUMBER(HY20)),IA20-HY20,"")</f>
        <v>0</v>
      </c>
      <c r="IA20" s="33"/>
      <c r="IB20" s="34">
        <f>IF(AND(ISNUMBER(IC20),ISNUMBER(IA20)),IC20-IA20,"")</f>
        <v>0</v>
      </c>
      <c r="IC20" s="33"/>
      <c r="ID20" s="34">
        <f>IF(AND(ISNUMBER(IE20),ISNUMBER(IC20)),IE20-IC20,"")</f>
        <v>0</v>
      </c>
      <c r="IE20" s="33"/>
      <c r="IF20" s="34">
        <f>IF(AND(ISNUMBER(IG20),ISNUMBER(IE20)),IG20-IE20,"")</f>
        <v>0</v>
      </c>
      <c r="IG20" s="33"/>
      <c r="IH20" s="34">
        <f>IF(AND(ISNUMBER(II20),ISNUMBER(IG20)),II20-IG20,"")</f>
        <v>0</v>
      </c>
      <c r="II20" s="33"/>
      <c r="IJ20" s="34">
        <f>IF(AND(ISNUMBER(IK20),ISNUMBER(II20)),IK20-II20,"")</f>
        <v>0</v>
      </c>
      <c r="IK20" s="33"/>
      <c r="IL20" s="34">
        <f>IF(AND(ISNUMBER(IM20),ISNUMBER(IK20)),IM20-IK20,"")</f>
        <v>0</v>
      </c>
      <c r="IM20" s="33"/>
      <c r="IN20" s="34">
        <f>IF(AND(ISNUMBER(IO20),ISNUMBER(IM20)),IO20-IM20,"")</f>
        <v>0</v>
      </c>
      <c r="IO20" s="33"/>
      <c r="IP20" s="34">
        <f>IF(AND(ISNUMBER(IQ20),ISNUMBER(IO20)),IQ20-IO20,"")</f>
        <v>0</v>
      </c>
      <c r="IQ20" s="33"/>
      <c r="IR20" s="34">
        <f>IF(AND(ISNUMBER(IS20),ISNUMBER(IQ20)),IS20-IQ20,"")</f>
        <v>0</v>
      </c>
      <c r="IS20" s="33"/>
      <c r="IT20" s="34">
        <f>IF(AND(ISNUMBER(IU20),ISNUMBER(IS20)),IU20-IS20,"")</f>
        <v>0</v>
      </c>
      <c r="IU20" s="33"/>
      <c r="IV20" s="34">
        <f>IF(AND(ISNUMBER(IW20),ISNUMBER(IU20)),IW20-IU20,"")</f>
        <v>0</v>
      </c>
      <c r="IW20" s="33"/>
      <c r="IX20" s="34">
        <f>IF(AND(ISNUMBER(IY20),ISNUMBER(IW20)),IY20-IW20,"")</f>
        <v>0</v>
      </c>
      <c r="IY20" s="33"/>
      <c r="IZ20" s="34">
        <f>IF(AND(ISNUMBER(JA20),ISNUMBER(IY20)),JA20-IY20,"")</f>
        <v>0</v>
      </c>
      <c r="JA20" s="33"/>
      <c r="JB20" s="34">
        <f>IF(AND(ISNUMBER(JC20),ISNUMBER(JA20)),JC20-JA20,"")</f>
        <v>0</v>
      </c>
      <c r="JC20" s="33"/>
      <c r="JD20" s="34">
        <f>IF(AND(ISNUMBER(JE20),ISNUMBER(JC20)),JE20-JC20,"")</f>
        <v>0</v>
      </c>
      <c r="JE20" s="33"/>
      <c r="JF20" s="34">
        <f>IF(AND(ISNUMBER(JG20),ISNUMBER(JE20)),JG20-JE20,"")</f>
        <v>0</v>
      </c>
      <c r="JG20" s="33"/>
      <c r="JH20" s="34">
        <f>IF(AND(ISNUMBER(JI20),ISNUMBER(JG20)),JI20-JG20,"")</f>
        <v>0</v>
      </c>
      <c r="JI20" s="33"/>
      <c r="JJ20" s="34">
        <f>IF(AND(ISNUMBER(JK20),ISNUMBER(JI20)),JK20-JI20,"")</f>
        <v>0</v>
      </c>
      <c r="JK20" s="33"/>
      <c r="JL20" s="34">
        <f>IF(AND(ISNUMBER(JM20),ISNUMBER(JK20)),JM20-JK20,"")</f>
        <v>0</v>
      </c>
      <c r="JM20" s="33"/>
      <c r="JN20" s="34">
        <f>IF(AND(ISNUMBER(JO20),ISNUMBER(JM20)),JO20-JM20,"")</f>
        <v>0</v>
      </c>
      <c r="JO20" s="33"/>
      <c r="JP20" s="34">
        <f>IF(AND(ISNUMBER(JQ20),ISNUMBER(JO20)),JQ20-JO20,"")</f>
        <v>0</v>
      </c>
      <c r="JQ20" s="33"/>
      <c r="JR20" s="34">
        <f>IF(AND(ISNUMBER(JS20),ISNUMBER(JQ20)),JS20-JQ20,"")</f>
        <v>0</v>
      </c>
      <c r="JS20" s="33"/>
      <c r="JT20" s="34">
        <f>IF(AND(ISNUMBER(JU20),ISNUMBER(JS20)),JU20-JS20,"")</f>
        <v>0</v>
      </c>
      <c r="JU20" s="33"/>
      <c r="JV20" s="34">
        <f>IF(AND(ISNUMBER(JW20),ISNUMBER(JU20)),JW20-JU20,"")</f>
        <v>0</v>
      </c>
      <c r="JW20" s="33"/>
      <c r="JX20" s="34">
        <f>IF(AND(ISNUMBER(JY20),ISNUMBER(JW20)),JY20-JW20,"")</f>
        <v>0</v>
      </c>
      <c r="JY20" s="33"/>
      <c r="JZ20" s="34">
        <f>IF(AND(ISNUMBER(KA20),ISNUMBER(JY20)),KA20-JY20,"")</f>
        <v>0</v>
      </c>
      <c r="KA20" s="33"/>
      <c r="KB20" s="34">
        <f>IF(AND(ISNUMBER(KC20),ISNUMBER(KA20)),KC20-KA20,"")</f>
        <v>0</v>
      </c>
      <c r="KC20" s="33"/>
      <c r="KD20" s="34">
        <f>IF(AND(ISNUMBER(KE20),ISNUMBER(KC20)),KE20-KC20,"")</f>
        <v>0</v>
      </c>
      <c r="KE20" s="33"/>
      <c r="KF20" s="34">
        <f>IF(AND(ISNUMBER(KG20),ISNUMBER(KE20)),KG20-KE20,"")</f>
        <v>0</v>
      </c>
      <c r="KG20" s="33"/>
      <c r="KH20" s="34">
        <f>IF(AND(ISNUMBER(KI20),ISNUMBER(KG20)),KI20-KG20,"")</f>
        <v>0</v>
      </c>
      <c r="KI20" s="33"/>
      <c r="KJ20" s="34">
        <f>IF(AND(ISNUMBER(KK20),ISNUMBER(KI20)),KK20-KI20,"")</f>
        <v>0</v>
      </c>
      <c r="KK20" s="33"/>
      <c r="KL20" s="34">
        <f>IF(AND(ISNUMBER(KM20),ISNUMBER(KK20)),KM20-KK20,"")</f>
        <v>0</v>
      </c>
      <c r="KM20" s="33"/>
      <c r="KN20" s="34">
        <f>IF(AND(ISNUMBER(KO20),ISNUMBER(KM20)),KO20-KM20,"")</f>
        <v>0</v>
      </c>
      <c r="KO20" s="33"/>
      <c r="KP20" s="34">
        <f>IF(AND(ISNUMBER(KQ20),ISNUMBER(KO20)),KQ20-KO20,"")</f>
        <v>0</v>
      </c>
      <c r="KQ20" s="33"/>
      <c r="KR20" s="34">
        <f>IF(AND(ISNUMBER(KS20),ISNUMBER(KQ20)),KS20-KQ20,"")</f>
        <v>0</v>
      </c>
      <c r="KS20" s="33"/>
      <c r="KT20" s="34">
        <f>IF(AND(ISNUMBER(KU20),ISNUMBER(KS20)),KU20-KS20,"")</f>
        <v>0</v>
      </c>
      <c r="KU20" s="33"/>
      <c r="KV20" s="34">
        <f>IF(AND(ISNUMBER(KW20),ISNUMBER(KU20)),KW20-KU20,"")</f>
        <v>0</v>
      </c>
      <c r="KW20" s="33"/>
      <c r="KX20" s="34">
        <f>IF(AND(ISNUMBER(KY20),ISNUMBER(KW20)),KY20-KW20,"")</f>
        <v>0</v>
      </c>
      <c r="KY20" s="33"/>
      <c r="KZ20" s="34">
        <f>IF(AND(ISNUMBER(LA20),ISNUMBER(KY20)),LA20-KY20,"")</f>
        <v>0</v>
      </c>
      <c r="LA20" s="33"/>
      <c r="LB20" s="34">
        <f>IF(AND(ISNUMBER(LC20),ISNUMBER(LA20)),LC20-LA20,"")</f>
        <v>0</v>
      </c>
      <c r="LC20" s="33"/>
      <c r="LD20" s="34">
        <f>IF(AND(ISNUMBER(LE20),ISNUMBER(LC20)),LE20-LC20,"")</f>
        <v>0</v>
      </c>
      <c r="LE20" s="33"/>
      <c r="LF20" s="34">
        <f>IF(AND(ISNUMBER(LG20),ISNUMBER(LE20)),LG20-LE20,"")</f>
        <v>0</v>
      </c>
      <c r="LG20" s="33"/>
    </row>
    <row r="21" spans="1:322" hidden="1" outlineLevel="1">
      <c r="B21" s="23"/>
      <c r="D21" s="31" t="s">
        <v>725</v>
      </c>
      <c r="E21" s="32" t="s">
        <v>1060</v>
      </c>
      <c r="F21" s="38">
        <v>45689</v>
      </c>
      <c r="I21" s="40" t="s">
        <v>1088</v>
      </c>
      <c r="J21" s="34">
        <f>IF(AND(ISNUMBER(K21),ISNUMBER(I21)),K21-I21,"")</f>
        <v>0</v>
      </c>
      <c r="K21" s="33">
        <v>18</v>
      </c>
      <c r="L21" s="34">
        <f>IF(AND(ISNUMBER(M21),ISNUMBER(K21)),M21-K21,"")</f>
        <v>0</v>
      </c>
      <c r="M21" s="33">
        <v>66</v>
      </c>
      <c r="N21" s="34">
        <f>IF(AND(ISNUMBER(O21),ISNUMBER(M21)),O21-M21,"")</f>
        <v>0</v>
      </c>
      <c r="O21" s="33">
        <v>54</v>
      </c>
      <c r="P21" s="34">
        <f>IF(AND(ISNUMBER(Q21),ISNUMBER(O21)),Q21-O21,"")</f>
        <v>0</v>
      </c>
      <c r="Q21" s="40" t="s">
        <v>1088</v>
      </c>
      <c r="R21" s="34">
        <f>IF(AND(ISNUMBER(S21),ISNUMBER(Q21)),S21-Q21,"")</f>
        <v>0</v>
      </c>
      <c r="S21" s="33">
        <v>68</v>
      </c>
      <c r="T21" s="34">
        <f>IF(AND(ISNUMBER(U21),ISNUMBER(S21)),U21-S21,"")</f>
        <v>0</v>
      </c>
      <c r="U21" s="33">
        <v>69</v>
      </c>
      <c r="V21" s="34">
        <f>IF(AND(ISNUMBER(W21),ISNUMBER(U21)),W21-U21,"")</f>
        <v>0</v>
      </c>
      <c r="W21" s="33">
        <v>56</v>
      </c>
      <c r="X21" s="34">
        <f>IF(AND(ISNUMBER(Y21),ISNUMBER(W21)),Y21-W21,"")</f>
        <v>0</v>
      </c>
      <c r="Y21" s="33">
        <v>49</v>
      </c>
      <c r="Z21" s="34">
        <f>IF(AND(ISNUMBER(AA21),ISNUMBER(Y21)),AA21-Y21,"")</f>
        <v>0</v>
      </c>
      <c r="AA21" s="33">
        <v>65</v>
      </c>
      <c r="AB21" s="34">
        <f>IF(AND(ISNUMBER(AC21),ISNUMBER(AA21)),AC21-AA21,"")</f>
        <v>0</v>
      </c>
      <c r="AC21" s="33">
        <v>50</v>
      </c>
      <c r="AD21" s="34">
        <f>IF(AND(ISNUMBER(AE21),ISNUMBER(AC21)),AE21-AC21,"")</f>
        <v>0</v>
      </c>
      <c r="AE21" s="33">
        <v>27</v>
      </c>
      <c r="AF21" s="34">
        <f>IF(AND(ISNUMBER(AG21),ISNUMBER(AE21)),AG21-AE21,"")</f>
        <v>0</v>
      </c>
      <c r="AG21" s="33">
        <v>43</v>
      </c>
      <c r="AH21" s="34">
        <f>IF(AND(ISNUMBER(AI21),ISNUMBER(AG21)),AI21-AG21,"")</f>
        <v>0</v>
      </c>
      <c r="AI21" s="33">
        <v>40</v>
      </c>
      <c r="AJ21" s="34">
        <f>IF(AND(ISNUMBER(AK21),ISNUMBER(AI21)),AK21-AI21,"")</f>
        <v>0</v>
      </c>
      <c r="AK21" s="33">
        <v>47</v>
      </c>
      <c r="AL21" s="34">
        <f>IF(AND(ISNUMBER(AM21),ISNUMBER(AK21)),AM21-AK21,"")</f>
        <v>0</v>
      </c>
      <c r="AM21" s="33">
        <v>0</v>
      </c>
      <c r="AN21" s="34">
        <f>IF(AND(ISNUMBER(AO21),ISNUMBER(AM21)),AO21-AM21,"")</f>
        <v>0</v>
      </c>
      <c r="AO21" s="40" t="s">
        <v>1088</v>
      </c>
      <c r="AP21" s="34">
        <f>IF(AND(ISNUMBER(AQ21),ISNUMBER(AO21)),AQ21-AO21,"")</f>
        <v>0</v>
      </c>
      <c r="AQ21" s="40" t="s">
        <v>1088</v>
      </c>
      <c r="AR21" s="34">
        <f>IF(AND(ISNUMBER(AS21),ISNUMBER(AQ21)),AS21-AQ21,"")</f>
        <v>0</v>
      </c>
      <c r="AS21" s="33">
        <v>39</v>
      </c>
      <c r="AT21" s="34">
        <f>IF(AND(ISNUMBER(AU21),ISNUMBER(AS21)),AU21-AS21,"")</f>
        <v>0</v>
      </c>
      <c r="AU21" s="33">
        <v>47</v>
      </c>
      <c r="AV21" s="34">
        <f>IF(AND(ISNUMBER(AW21),ISNUMBER(AU21)),AW21-AU21,"")</f>
        <v>0</v>
      </c>
      <c r="AW21" s="33">
        <v>33</v>
      </c>
      <c r="AX21" s="34">
        <f>IF(AND(ISNUMBER(AY21),ISNUMBER(AW21)),AY21-AW21,"")</f>
        <v>0</v>
      </c>
      <c r="AY21" s="33">
        <v>72</v>
      </c>
      <c r="AZ21" s="34">
        <f>IF(AND(ISNUMBER(BA21),ISNUMBER(AY21)),BA21-AY21,"")</f>
        <v>0</v>
      </c>
      <c r="BA21" s="33">
        <v>50</v>
      </c>
      <c r="BB21" s="34">
        <f>IF(AND(ISNUMBER(BC21),ISNUMBER(BA21)),BC21-BA21,"")</f>
        <v>0</v>
      </c>
      <c r="BC21" s="33">
        <v>41</v>
      </c>
      <c r="BD21" s="34">
        <f>IF(AND(ISNUMBER(BE21),ISNUMBER(BC21)),BE21-BC21,"")</f>
        <v>0</v>
      </c>
      <c r="BE21" s="33">
        <v>37</v>
      </c>
      <c r="BF21" s="34">
        <f>IF(AND(ISNUMBER(BG21),ISNUMBER(BE21)),BG21-BE21,"")</f>
        <v>0</v>
      </c>
      <c r="BG21" s="33">
        <v>23</v>
      </c>
      <c r="BH21" s="34">
        <f>IF(AND(ISNUMBER(BI21),ISNUMBER(BG21)),BI21-BG21,"")</f>
        <v>0</v>
      </c>
      <c r="BI21" s="33">
        <v>18</v>
      </c>
      <c r="BJ21" s="34">
        <f>IF(AND(ISNUMBER(BK21),ISNUMBER(BI21)),BK21-BI21,"")</f>
        <v>0</v>
      </c>
      <c r="BK21" s="33">
        <v>16</v>
      </c>
      <c r="BL21" s="34">
        <f>IF(AND(ISNUMBER(BM21),ISNUMBER(BK21)),BM21-BK21,"")</f>
        <v>0</v>
      </c>
      <c r="BM21" s="33">
        <v>5</v>
      </c>
      <c r="BN21" s="34">
        <f>IF(AND(ISNUMBER(BO21),ISNUMBER(BM21)),BO21-BM21,"")</f>
        <v>0</v>
      </c>
      <c r="BO21" s="33">
        <v>6</v>
      </c>
      <c r="BP21" s="34">
        <f>IF(AND(ISNUMBER(BQ21),ISNUMBER(BO21)),BQ21-BO21,"")</f>
        <v>0</v>
      </c>
      <c r="BQ21" s="33">
        <v>26</v>
      </c>
      <c r="BR21" s="34">
        <f>IF(AND(ISNUMBER(BS21),ISNUMBER(BQ21)),BS21-BQ21,"")</f>
        <v>0</v>
      </c>
      <c r="BS21" s="33">
        <v>26</v>
      </c>
      <c r="BT21" s="34">
        <f>IF(AND(ISNUMBER(BU21),ISNUMBER(BS21)),BU21-BS21,"")</f>
        <v>0</v>
      </c>
      <c r="BU21" s="33">
        <v>14</v>
      </c>
      <c r="BV21" s="34">
        <f>IF(AND(ISNUMBER(BW21),ISNUMBER(BU21)),BW21-BU21,"")</f>
        <v>0</v>
      </c>
      <c r="BW21" s="33">
        <v>8</v>
      </c>
      <c r="BX21" s="34">
        <f>IF(AND(ISNUMBER(BY21),ISNUMBER(BW21)),BY21-BW21,"")</f>
        <v>0</v>
      </c>
      <c r="BY21" s="33">
        <v>8</v>
      </c>
      <c r="BZ21" s="34">
        <f>IF(AND(ISNUMBER(CA21),ISNUMBER(BY21)),CA21-BY21,"")</f>
        <v>0</v>
      </c>
      <c r="CA21" s="33">
        <v>12</v>
      </c>
      <c r="CB21" s="34">
        <f>IF(AND(ISNUMBER(CC21),ISNUMBER(CA21)),CC21-CA21,"")</f>
        <v>0</v>
      </c>
      <c r="CC21" s="33">
        <v>13</v>
      </c>
      <c r="CD21" s="34">
        <f>IF(AND(ISNUMBER(CE21),ISNUMBER(CC21)),CE21-CC21,"")</f>
        <v>0</v>
      </c>
      <c r="CE21" s="33">
        <v>29</v>
      </c>
      <c r="CF21" s="34">
        <f>IF(AND(ISNUMBER(CG21),ISNUMBER(CE21)),CG21-CE21,"")</f>
        <v>0</v>
      </c>
      <c r="CG21" s="33">
        <v>15</v>
      </c>
      <c r="CH21" s="34">
        <f>IF(AND(ISNUMBER(CI21),ISNUMBER(CG21)),CI21-CG21,"")</f>
        <v>0</v>
      </c>
      <c r="CI21" s="33">
        <v>10</v>
      </c>
      <c r="CJ21" s="34">
        <f>IF(AND(ISNUMBER(CK21),ISNUMBER(CI21)),CK21-CI21,"")</f>
        <v>0</v>
      </c>
      <c r="CK21" s="33">
        <v>11</v>
      </c>
      <c r="CL21" s="34">
        <f>IF(AND(ISNUMBER(CM21),ISNUMBER(CK21)),CM21-CK21,"")</f>
        <v>0</v>
      </c>
      <c r="CM21" s="33">
        <v>16</v>
      </c>
      <c r="CN21" s="34">
        <f>IF(AND(ISNUMBER(CO21),ISNUMBER(CM21)),CO21-CM21,"")</f>
        <v>0</v>
      </c>
      <c r="CO21" s="33">
        <v>15</v>
      </c>
      <c r="CP21" s="34">
        <f>IF(AND(ISNUMBER(CQ21),ISNUMBER(CO21)),CQ21-CO21,"")</f>
        <v>0</v>
      </c>
      <c r="CQ21" s="33">
        <v>14</v>
      </c>
      <c r="CR21" s="34">
        <f>IF(AND(ISNUMBER(CS21),ISNUMBER(CQ21)),CS21-CQ21,"")</f>
        <v>0</v>
      </c>
      <c r="CS21" s="33">
        <v>14</v>
      </c>
      <c r="CT21" s="34">
        <f>IF(AND(ISNUMBER(CU21),ISNUMBER(CS21)),CU21-CS21,"")</f>
        <v>0</v>
      </c>
      <c r="CU21" s="33">
        <v>20</v>
      </c>
      <c r="CV21" s="34">
        <f>IF(AND(ISNUMBER(CW21),ISNUMBER(CU21)),CW21-CU21,"")</f>
        <v>0</v>
      </c>
      <c r="CW21" s="33">
        <v>32</v>
      </c>
      <c r="CX21" s="34">
        <f>IF(AND(ISNUMBER(CY21),ISNUMBER(CW21)),CY21-CW21,"")</f>
        <v>0</v>
      </c>
      <c r="CY21" s="33"/>
      <c r="CZ21" s="34">
        <f>IF(AND(ISNUMBER(DA21),ISNUMBER(CY21)),DA21-CY21,"")</f>
        <v>0</v>
      </c>
      <c r="DA21" s="33">
        <v>19</v>
      </c>
      <c r="DB21" s="34">
        <f>IF(AND(ISNUMBER(DC21),ISNUMBER(DA21)),DC21-DA21,"")</f>
        <v>0</v>
      </c>
      <c r="DC21" s="33">
        <v>8</v>
      </c>
      <c r="DD21" s="34">
        <f>IF(AND(ISNUMBER(DE21),ISNUMBER(DC21)),DE21-DC21,"")</f>
        <v>0</v>
      </c>
      <c r="DE21" s="33">
        <v>4</v>
      </c>
      <c r="DF21" s="34">
        <f>IF(AND(ISNUMBER(DG21),ISNUMBER(DE21)),DG21-DE21,"")</f>
        <v>0</v>
      </c>
      <c r="DG21" s="33">
        <v>5</v>
      </c>
      <c r="DH21" s="34">
        <f>IF(AND(ISNUMBER(DI21),ISNUMBER(DG21)),DI21-DG21,"")</f>
        <v>0</v>
      </c>
      <c r="DI21" s="33">
        <v>11</v>
      </c>
      <c r="DJ21" s="34">
        <f>IF(AND(ISNUMBER(DK21),ISNUMBER(DI21)),DK21-DI21,"")</f>
        <v>0</v>
      </c>
      <c r="DK21" s="33">
        <v>9</v>
      </c>
      <c r="DL21" s="34">
        <f>IF(AND(ISNUMBER(DM21),ISNUMBER(DK21)),DM21-DK21,"")</f>
        <v>0</v>
      </c>
      <c r="DM21" s="33">
        <v>9</v>
      </c>
      <c r="DN21" s="34">
        <f>IF(AND(ISNUMBER(DO21),ISNUMBER(DM21)),DO21-DM21,"")</f>
        <v>0</v>
      </c>
      <c r="DO21" s="33">
        <v>11</v>
      </c>
      <c r="DP21" s="34">
        <f>IF(AND(ISNUMBER(DQ21),ISNUMBER(DO21)),DQ21-DO21,"")</f>
        <v>0</v>
      </c>
      <c r="DQ21" s="33">
        <v>9</v>
      </c>
      <c r="DR21" s="34">
        <f>IF(AND(ISNUMBER(DS21),ISNUMBER(DQ21)),DS21-DQ21,"")</f>
        <v>0</v>
      </c>
      <c r="DS21" s="33">
        <v>8</v>
      </c>
      <c r="DT21" s="34">
        <f>IF(AND(ISNUMBER(DU21),ISNUMBER(DS21)),DU21-DS21,"")</f>
        <v>0</v>
      </c>
      <c r="DU21" s="33">
        <v>9</v>
      </c>
      <c r="DV21" s="34">
        <f>IF(AND(ISNUMBER(DW21),ISNUMBER(DU21)),DW21-DU21,"")</f>
        <v>0</v>
      </c>
      <c r="DW21" s="33">
        <v>0</v>
      </c>
      <c r="DX21" s="34">
        <f>IF(AND(ISNUMBER(DY21),ISNUMBER(DW21)),DY21-DW21,"")</f>
        <v>0</v>
      </c>
      <c r="DY21" s="33">
        <v>3</v>
      </c>
      <c r="DZ21" s="34">
        <f>IF(AND(ISNUMBER(EA21),ISNUMBER(DY21)),EA21-DY21,"")</f>
        <v>0</v>
      </c>
      <c r="EA21" s="33">
        <v>2</v>
      </c>
      <c r="EB21" s="34">
        <f>IF(AND(ISNUMBER(EC21),ISNUMBER(EA21)),EC21-EA21,"")</f>
        <v>0</v>
      </c>
      <c r="EC21" s="33">
        <v>7</v>
      </c>
      <c r="ED21" s="34">
        <f>IF(AND(ISNUMBER(EE21),ISNUMBER(EC21)),EE21-EC21,"")</f>
        <v>0</v>
      </c>
      <c r="EE21" s="33">
        <v>11</v>
      </c>
      <c r="EF21" s="34">
        <f>IF(AND(ISNUMBER(EG21),ISNUMBER(EE21)),EG21-EE21,"")</f>
        <v>0</v>
      </c>
      <c r="EG21" s="33">
        <v>2</v>
      </c>
      <c r="EH21" s="34">
        <f>IF(AND(ISNUMBER(EI21),ISNUMBER(EG21)),EI21-EG21,"")</f>
        <v>0</v>
      </c>
      <c r="EI21" s="33">
        <v>6</v>
      </c>
      <c r="EJ21" s="34">
        <f>IF(AND(ISNUMBER(EK21),ISNUMBER(EI21)),EK21-EI21,"")</f>
        <v>0</v>
      </c>
      <c r="EK21" s="33">
        <v>3</v>
      </c>
      <c r="EL21" s="34">
        <f>IF(AND(ISNUMBER(EM21),ISNUMBER(EK21)),EM21-EK21,"")</f>
        <v>0</v>
      </c>
      <c r="EM21" s="33">
        <v>3</v>
      </c>
      <c r="EN21" s="34">
        <f>IF(AND(ISNUMBER(EO21),ISNUMBER(EM21)),EO21-EM21,"")</f>
        <v>0</v>
      </c>
      <c r="EO21" s="33">
        <v>3</v>
      </c>
      <c r="EP21" s="34">
        <f>IF(AND(ISNUMBER(EQ21),ISNUMBER(EO21)),EQ21-EO21,"")</f>
        <v>0</v>
      </c>
      <c r="EQ21" s="33">
        <v>3</v>
      </c>
      <c r="ER21" s="34">
        <f>IF(AND(ISNUMBER(ES21),ISNUMBER(EQ21)),ES21-EQ21,"")</f>
        <v>0</v>
      </c>
      <c r="ES21" s="33">
        <v>0</v>
      </c>
      <c r="ET21" s="34">
        <f>IF(AND(ISNUMBER(EU21),ISNUMBER(ES21)),EU21-ES21,"")</f>
        <v>0</v>
      </c>
      <c r="EU21" s="33">
        <v>0</v>
      </c>
      <c r="EV21" s="34">
        <f>IF(AND(ISNUMBER(EW21),ISNUMBER(EU21)),EW21-EU21,"")</f>
        <v>0</v>
      </c>
      <c r="EW21" s="33">
        <v>17</v>
      </c>
      <c r="EX21" s="34">
        <f>IF(AND(ISNUMBER(EY21),ISNUMBER(EW21)),EY21-EW21,"")</f>
        <v>0</v>
      </c>
      <c r="EY21" s="33">
        <v>14</v>
      </c>
      <c r="EZ21" s="34">
        <f>IF(AND(ISNUMBER(FA21),ISNUMBER(EY21)),FA21-EY21,"")</f>
        <v>0</v>
      </c>
      <c r="FA21" s="33"/>
      <c r="FB21" s="34">
        <f>IF(AND(ISNUMBER(FC21),ISNUMBER(FA21)),FC21-FA21,"")</f>
        <v>0</v>
      </c>
      <c r="FC21" s="33"/>
      <c r="FD21" s="34">
        <f>IF(AND(ISNUMBER(FE21),ISNUMBER(FC21)),FE21-FC21,"")</f>
        <v>0</v>
      </c>
      <c r="FE21" s="33"/>
      <c r="FF21" s="34">
        <f>IF(AND(ISNUMBER(FG21),ISNUMBER(FE21)),FG21-FE21,"")</f>
        <v>0</v>
      </c>
      <c r="FG21" s="33"/>
      <c r="FH21" s="34">
        <f>IF(AND(ISNUMBER(FI21),ISNUMBER(FG21)),FI21-FG21,"")</f>
        <v>0</v>
      </c>
      <c r="FI21" s="33"/>
      <c r="FJ21" s="34">
        <f>IF(AND(ISNUMBER(FK21),ISNUMBER(FI21)),FK21-FI21,"")</f>
        <v>0</v>
      </c>
      <c r="FK21" s="33"/>
      <c r="FL21" s="34">
        <f>IF(AND(ISNUMBER(FM21),ISNUMBER(FK21)),FM21-FK21,"")</f>
        <v>0</v>
      </c>
      <c r="FM21" s="33"/>
      <c r="FN21" s="34">
        <f>IF(AND(ISNUMBER(FO21),ISNUMBER(FM21)),FO21-FM21,"")</f>
        <v>0</v>
      </c>
      <c r="FO21" s="33"/>
      <c r="FP21" s="34">
        <f>IF(AND(ISNUMBER(FQ21),ISNUMBER(FO21)),FQ21-FO21,"")</f>
        <v>0</v>
      </c>
      <c r="FQ21" s="33"/>
      <c r="FR21" s="34">
        <f>IF(AND(ISNUMBER(FS21),ISNUMBER(FQ21)),FS21-FQ21,"")</f>
        <v>0</v>
      </c>
      <c r="FS21" s="33"/>
      <c r="FT21" s="34">
        <f>IF(AND(ISNUMBER(FU21),ISNUMBER(FS21)),FU21-FS21,"")</f>
        <v>0</v>
      </c>
      <c r="FU21" s="33"/>
      <c r="FV21" s="34">
        <f>IF(AND(ISNUMBER(FW21),ISNUMBER(FU21)),FW21-FU21,"")</f>
        <v>0</v>
      </c>
      <c r="FW21" s="33"/>
      <c r="FX21" s="34">
        <f>IF(AND(ISNUMBER(FY21),ISNUMBER(FW21)),FY21-FW21,"")</f>
        <v>0</v>
      </c>
      <c r="FY21" s="33"/>
      <c r="FZ21" s="34">
        <f>IF(AND(ISNUMBER(GA21),ISNUMBER(FY21)),GA21-FY21,"")</f>
        <v>0</v>
      </c>
      <c r="GA21" s="33"/>
      <c r="GB21" s="34">
        <f>IF(AND(ISNUMBER(GC21),ISNUMBER(GA21)),GC21-GA21,"")</f>
        <v>0</v>
      </c>
      <c r="GC21" s="33"/>
      <c r="GD21" s="34">
        <f>IF(AND(ISNUMBER(GE21),ISNUMBER(GC21)),GE21-GC21,"")</f>
        <v>0</v>
      </c>
      <c r="GE21" s="33"/>
      <c r="GF21" s="34">
        <f>IF(AND(ISNUMBER(GG21),ISNUMBER(GE21)),GG21-GE21,"")</f>
        <v>0</v>
      </c>
      <c r="GG21" s="33"/>
      <c r="GH21" s="34">
        <f>IF(AND(ISNUMBER(GI21),ISNUMBER(GG21)),GI21-GG21,"")</f>
        <v>0</v>
      </c>
      <c r="GI21" s="33"/>
      <c r="GJ21" s="34">
        <f>IF(AND(ISNUMBER(GK21),ISNUMBER(GI21)),GK21-GI21,"")</f>
        <v>0</v>
      </c>
      <c r="GK21" s="33"/>
      <c r="GL21" s="34">
        <f>IF(AND(ISNUMBER(GM21),ISNUMBER(GK21)),GM21-GK21,"")</f>
        <v>0</v>
      </c>
      <c r="GM21" s="33"/>
      <c r="GN21" s="34">
        <f>IF(AND(ISNUMBER(GO21),ISNUMBER(GM21)),GO21-GM21,"")</f>
        <v>0</v>
      </c>
      <c r="GO21" s="33"/>
      <c r="GP21" s="34">
        <f>IF(AND(ISNUMBER(GQ21),ISNUMBER(GO21)),GQ21-GO21,"")</f>
        <v>0</v>
      </c>
      <c r="GQ21" s="33"/>
      <c r="GR21" s="34">
        <f>IF(AND(ISNUMBER(GS21),ISNUMBER(GQ21)),GS21-GQ21,"")</f>
        <v>0</v>
      </c>
      <c r="GS21" s="33"/>
      <c r="GT21" s="34">
        <f>IF(AND(ISNUMBER(GU21),ISNUMBER(GS21)),GU21-GS21,"")</f>
        <v>0</v>
      </c>
      <c r="GU21" s="33"/>
      <c r="GV21" s="34">
        <f>IF(AND(ISNUMBER(GW21),ISNUMBER(GU21)),GW21-GU21,"")</f>
        <v>0</v>
      </c>
      <c r="GW21" s="33"/>
      <c r="GX21" s="34">
        <f>IF(AND(ISNUMBER(GY21),ISNUMBER(GW21)),GY21-GW21,"")</f>
        <v>0</v>
      </c>
      <c r="GY21" s="33"/>
      <c r="GZ21" s="34">
        <f>IF(AND(ISNUMBER(HA21),ISNUMBER(GY21)),HA21-GY21,"")</f>
        <v>0</v>
      </c>
      <c r="HA21" s="33"/>
      <c r="HB21" s="34">
        <f>IF(AND(ISNUMBER(HC21),ISNUMBER(HA21)),HC21-HA21,"")</f>
        <v>0</v>
      </c>
      <c r="HC21" s="33"/>
      <c r="HD21" s="34">
        <f>IF(AND(ISNUMBER(HE21),ISNUMBER(HC21)),HE21-HC21,"")</f>
        <v>0</v>
      </c>
      <c r="HE21" s="33"/>
      <c r="HF21" s="34">
        <f>IF(AND(ISNUMBER(HG21),ISNUMBER(HE21)),HG21-HE21,"")</f>
        <v>0</v>
      </c>
      <c r="HG21" s="33"/>
      <c r="HH21" s="34">
        <f>IF(AND(ISNUMBER(HI21),ISNUMBER(HG21)),HI21-HG21,"")</f>
        <v>0</v>
      </c>
      <c r="HI21" s="33"/>
      <c r="HJ21" s="34">
        <f>IF(AND(ISNUMBER(HK21),ISNUMBER(HI21)),HK21-HI21,"")</f>
        <v>0</v>
      </c>
      <c r="HK21" s="33"/>
      <c r="HL21" s="34">
        <f>IF(AND(ISNUMBER(HM21),ISNUMBER(HK21)),HM21-HK21,"")</f>
        <v>0</v>
      </c>
      <c r="HM21" s="33"/>
      <c r="HN21" s="34">
        <f>IF(AND(ISNUMBER(HO21),ISNUMBER(HM21)),HO21-HM21,"")</f>
        <v>0</v>
      </c>
      <c r="HO21" s="33"/>
      <c r="HP21" s="34">
        <f>IF(AND(ISNUMBER(HQ21),ISNUMBER(HO21)),HQ21-HO21,"")</f>
        <v>0</v>
      </c>
      <c r="HQ21" s="33"/>
      <c r="HR21" s="34">
        <f>IF(AND(ISNUMBER(HS21),ISNUMBER(HQ21)),HS21-HQ21,"")</f>
        <v>0</v>
      </c>
      <c r="HS21" s="33"/>
      <c r="HT21" s="34">
        <f>IF(AND(ISNUMBER(HU21),ISNUMBER(HS21)),HU21-HS21,"")</f>
        <v>0</v>
      </c>
      <c r="HU21" s="33"/>
      <c r="HV21" s="34">
        <f>IF(AND(ISNUMBER(HW21),ISNUMBER(HU21)),HW21-HU21,"")</f>
        <v>0</v>
      </c>
      <c r="HW21" s="33"/>
      <c r="HX21" s="34">
        <f>IF(AND(ISNUMBER(HY21),ISNUMBER(HW21)),HY21-HW21,"")</f>
        <v>0</v>
      </c>
      <c r="HY21" s="33"/>
      <c r="HZ21" s="34">
        <f>IF(AND(ISNUMBER(IA21),ISNUMBER(HY21)),IA21-HY21,"")</f>
        <v>0</v>
      </c>
      <c r="IA21" s="33"/>
      <c r="IB21" s="34">
        <f>IF(AND(ISNUMBER(IC21),ISNUMBER(IA21)),IC21-IA21,"")</f>
        <v>0</v>
      </c>
      <c r="IC21" s="33"/>
      <c r="ID21" s="34">
        <f>IF(AND(ISNUMBER(IE21),ISNUMBER(IC21)),IE21-IC21,"")</f>
        <v>0</v>
      </c>
      <c r="IE21" s="33"/>
      <c r="IF21" s="34">
        <f>IF(AND(ISNUMBER(IG21),ISNUMBER(IE21)),IG21-IE21,"")</f>
        <v>0</v>
      </c>
      <c r="IG21" s="33"/>
      <c r="IH21" s="34">
        <f>IF(AND(ISNUMBER(II21),ISNUMBER(IG21)),II21-IG21,"")</f>
        <v>0</v>
      </c>
      <c r="II21" s="33"/>
      <c r="IJ21" s="34">
        <f>IF(AND(ISNUMBER(IK21),ISNUMBER(II21)),IK21-II21,"")</f>
        <v>0</v>
      </c>
      <c r="IK21" s="33"/>
      <c r="IL21" s="34">
        <f>IF(AND(ISNUMBER(IM21),ISNUMBER(IK21)),IM21-IK21,"")</f>
        <v>0</v>
      </c>
      <c r="IM21" s="33"/>
      <c r="IN21" s="34">
        <f>IF(AND(ISNUMBER(IO21),ISNUMBER(IM21)),IO21-IM21,"")</f>
        <v>0</v>
      </c>
      <c r="IO21" s="33"/>
      <c r="IP21" s="34">
        <f>IF(AND(ISNUMBER(IQ21),ISNUMBER(IO21)),IQ21-IO21,"")</f>
        <v>0</v>
      </c>
      <c r="IQ21" s="33"/>
      <c r="IR21" s="34">
        <f>IF(AND(ISNUMBER(IS21),ISNUMBER(IQ21)),IS21-IQ21,"")</f>
        <v>0</v>
      </c>
      <c r="IS21" s="33"/>
      <c r="IT21" s="34">
        <f>IF(AND(ISNUMBER(IU21),ISNUMBER(IS21)),IU21-IS21,"")</f>
        <v>0</v>
      </c>
      <c r="IU21" s="33"/>
      <c r="IV21" s="34">
        <f>IF(AND(ISNUMBER(IW21),ISNUMBER(IU21)),IW21-IU21,"")</f>
        <v>0</v>
      </c>
      <c r="IW21" s="33"/>
      <c r="IX21" s="34">
        <f>IF(AND(ISNUMBER(IY21),ISNUMBER(IW21)),IY21-IW21,"")</f>
        <v>0</v>
      </c>
      <c r="IY21" s="33"/>
      <c r="IZ21" s="34">
        <f>IF(AND(ISNUMBER(JA21),ISNUMBER(IY21)),JA21-IY21,"")</f>
        <v>0</v>
      </c>
      <c r="JA21" s="33"/>
      <c r="JB21" s="34">
        <f>IF(AND(ISNUMBER(JC21),ISNUMBER(JA21)),JC21-JA21,"")</f>
        <v>0</v>
      </c>
      <c r="JC21" s="33"/>
      <c r="JD21" s="34">
        <f>IF(AND(ISNUMBER(JE21),ISNUMBER(JC21)),JE21-JC21,"")</f>
        <v>0</v>
      </c>
      <c r="JE21" s="33"/>
      <c r="JF21" s="34">
        <f>IF(AND(ISNUMBER(JG21),ISNUMBER(JE21)),JG21-JE21,"")</f>
        <v>0</v>
      </c>
      <c r="JG21" s="33"/>
      <c r="JH21" s="34">
        <f>IF(AND(ISNUMBER(JI21),ISNUMBER(JG21)),JI21-JG21,"")</f>
        <v>0</v>
      </c>
      <c r="JI21" s="33"/>
      <c r="JJ21" s="34">
        <f>IF(AND(ISNUMBER(JK21),ISNUMBER(JI21)),JK21-JI21,"")</f>
        <v>0</v>
      </c>
      <c r="JK21" s="33"/>
      <c r="JL21" s="34">
        <f>IF(AND(ISNUMBER(JM21),ISNUMBER(JK21)),JM21-JK21,"")</f>
        <v>0</v>
      </c>
      <c r="JM21" s="33"/>
      <c r="JN21" s="34">
        <f>IF(AND(ISNUMBER(JO21),ISNUMBER(JM21)),JO21-JM21,"")</f>
        <v>0</v>
      </c>
      <c r="JO21" s="33"/>
      <c r="JP21" s="34">
        <f>IF(AND(ISNUMBER(JQ21),ISNUMBER(JO21)),JQ21-JO21,"")</f>
        <v>0</v>
      </c>
      <c r="JQ21" s="33"/>
      <c r="JR21" s="34">
        <f>IF(AND(ISNUMBER(JS21),ISNUMBER(JQ21)),JS21-JQ21,"")</f>
        <v>0</v>
      </c>
      <c r="JS21" s="33"/>
      <c r="JT21" s="34">
        <f>IF(AND(ISNUMBER(JU21),ISNUMBER(JS21)),JU21-JS21,"")</f>
        <v>0</v>
      </c>
      <c r="JU21" s="33"/>
      <c r="JV21" s="34">
        <f>IF(AND(ISNUMBER(JW21),ISNUMBER(JU21)),JW21-JU21,"")</f>
        <v>0</v>
      </c>
      <c r="JW21" s="33"/>
      <c r="JX21" s="34">
        <f>IF(AND(ISNUMBER(JY21),ISNUMBER(JW21)),JY21-JW21,"")</f>
        <v>0</v>
      </c>
      <c r="JY21" s="33"/>
      <c r="JZ21" s="34">
        <f>IF(AND(ISNUMBER(KA21),ISNUMBER(JY21)),KA21-JY21,"")</f>
        <v>0</v>
      </c>
      <c r="KA21" s="33"/>
      <c r="KB21" s="34">
        <f>IF(AND(ISNUMBER(KC21),ISNUMBER(KA21)),KC21-KA21,"")</f>
        <v>0</v>
      </c>
      <c r="KC21" s="33"/>
      <c r="KD21" s="34">
        <f>IF(AND(ISNUMBER(KE21),ISNUMBER(KC21)),KE21-KC21,"")</f>
        <v>0</v>
      </c>
      <c r="KE21" s="33"/>
      <c r="KF21" s="34">
        <f>IF(AND(ISNUMBER(KG21),ISNUMBER(KE21)),KG21-KE21,"")</f>
        <v>0</v>
      </c>
      <c r="KG21" s="33"/>
      <c r="KH21" s="34">
        <f>IF(AND(ISNUMBER(KI21),ISNUMBER(KG21)),KI21-KG21,"")</f>
        <v>0</v>
      </c>
      <c r="KI21" s="33"/>
      <c r="KJ21" s="34">
        <f>IF(AND(ISNUMBER(KK21),ISNUMBER(KI21)),KK21-KI21,"")</f>
        <v>0</v>
      </c>
      <c r="KK21" s="33"/>
      <c r="KL21" s="34">
        <f>IF(AND(ISNUMBER(KM21),ISNUMBER(KK21)),KM21-KK21,"")</f>
        <v>0</v>
      </c>
      <c r="KM21" s="33"/>
      <c r="KN21" s="34">
        <f>IF(AND(ISNUMBER(KO21),ISNUMBER(KM21)),KO21-KM21,"")</f>
        <v>0</v>
      </c>
      <c r="KO21" s="33"/>
      <c r="KP21" s="34">
        <f>IF(AND(ISNUMBER(KQ21),ISNUMBER(KO21)),KQ21-KO21,"")</f>
        <v>0</v>
      </c>
      <c r="KQ21" s="33"/>
      <c r="KR21" s="34">
        <f>IF(AND(ISNUMBER(KS21),ISNUMBER(KQ21)),KS21-KQ21,"")</f>
        <v>0</v>
      </c>
      <c r="KS21" s="33"/>
      <c r="KT21" s="34">
        <f>IF(AND(ISNUMBER(KU21),ISNUMBER(KS21)),KU21-KS21,"")</f>
        <v>0</v>
      </c>
      <c r="KU21" s="33"/>
      <c r="KV21" s="34">
        <f>IF(AND(ISNUMBER(KW21),ISNUMBER(KU21)),KW21-KU21,"")</f>
        <v>0</v>
      </c>
      <c r="KW21" s="33"/>
      <c r="KX21" s="34">
        <f>IF(AND(ISNUMBER(KY21),ISNUMBER(KW21)),KY21-KW21,"")</f>
        <v>0</v>
      </c>
      <c r="KY21" s="33"/>
      <c r="KZ21" s="34">
        <f>IF(AND(ISNUMBER(LA21),ISNUMBER(KY21)),LA21-KY21,"")</f>
        <v>0</v>
      </c>
      <c r="LA21" s="33"/>
      <c r="LB21" s="34">
        <f>IF(AND(ISNUMBER(LC21),ISNUMBER(LA21)),LC21-LA21,"")</f>
        <v>0</v>
      </c>
      <c r="LC21" s="33"/>
      <c r="LD21" s="34">
        <f>IF(AND(ISNUMBER(LE21),ISNUMBER(LC21)),LE21-LC21,"")</f>
        <v>0</v>
      </c>
      <c r="LE21" s="33"/>
      <c r="LF21" s="34">
        <f>IF(AND(ISNUMBER(LG21),ISNUMBER(LE21)),LG21-LE21,"")</f>
        <v>0</v>
      </c>
      <c r="LG21" s="33"/>
      <c r="LJ21" s="35" t="s">
        <v>1085</v>
      </c>
    </row>
    <row r="22" spans="1:322" hidden="1" outlineLevel="1"/>
    <row r="23" spans="1:322" ht="40.25" customHeight="1" collapsed="1">
      <c r="A23" s="22" t="s">
        <v>737</v>
      </c>
      <c r="B23" s="23" t="s">
        <v>1089</v>
      </c>
      <c r="C23" s="24" t="s">
        <v>708</v>
      </c>
      <c r="D23" s="24"/>
      <c r="E23" s="25" t="s">
        <v>1081</v>
      </c>
      <c r="F23" s="26"/>
      <c r="G23" s="26"/>
      <c r="H23" s="26" t="s">
        <v>1082</v>
      </c>
      <c r="I23" s="27"/>
      <c r="J23" s="28">
        <f>IF(AND(ISNUMBER(K23),ISNUMBER(I23)),K23-I23,"")</f>
        <v>0</v>
      </c>
      <c r="K23" s="27"/>
      <c r="L23" s="28">
        <f>IF(AND(ISNUMBER(M23),ISNUMBER(K23)),M23-K23,"")</f>
        <v>0</v>
      </c>
      <c r="M23" s="27"/>
      <c r="N23" s="28">
        <f>IF(AND(ISNUMBER(O23),ISNUMBER(M23)),O23-M23,"")</f>
        <v>0</v>
      </c>
      <c r="O23" s="27"/>
      <c r="P23" s="28">
        <f>IF(AND(ISNUMBER(Q23),ISNUMBER(O23)),Q23-O23,"")</f>
        <v>0</v>
      </c>
      <c r="Q23" s="27"/>
      <c r="R23" s="28">
        <f>IF(AND(ISNUMBER(S23),ISNUMBER(Q23)),S23-Q23,"")</f>
        <v>0</v>
      </c>
      <c r="S23" s="27"/>
      <c r="T23" s="28">
        <f>IF(AND(ISNUMBER(U23),ISNUMBER(S23)),U23-S23,"")</f>
        <v>0</v>
      </c>
      <c r="U23" s="27"/>
      <c r="V23" s="28">
        <f>IF(AND(ISNUMBER(W23),ISNUMBER(U23)),W23-U23,"")</f>
        <v>0</v>
      </c>
      <c r="W23" s="27"/>
      <c r="X23" s="28">
        <f>IF(AND(ISNUMBER(Y23),ISNUMBER(W23)),Y23-W23,"")</f>
        <v>0</v>
      </c>
      <c r="Y23" s="27"/>
      <c r="Z23" s="28">
        <f>IF(AND(ISNUMBER(AA23),ISNUMBER(Y23)),AA23-Y23,"")</f>
        <v>0</v>
      </c>
      <c r="AA23" s="27"/>
      <c r="AB23" s="28">
        <f>IF(AND(ISNUMBER(AC23),ISNUMBER(AA23)),AC23-AA23,"")</f>
        <v>0</v>
      </c>
      <c r="AC23" s="27"/>
      <c r="AD23" s="28">
        <f>IF(AND(ISNUMBER(AE23),ISNUMBER(AC23)),AE23-AC23,"")</f>
        <v>0</v>
      </c>
      <c r="AE23" s="27"/>
      <c r="AF23" s="28">
        <f>IF(AND(ISNUMBER(AG23),ISNUMBER(AE23)),AG23-AE23,"")</f>
        <v>0</v>
      </c>
      <c r="AG23" s="27"/>
      <c r="AH23" s="28">
        <f>IF(AND(ISNUMBER(AI23),ISNUMBER(AG23)),AI23-AG23,"")</f>
        <v>0</v>
      </c>
      <c r="AI23" s="27"/>
      <c r="AJ23" s="28">
        <f>IF(AND(ISNUMBER(AK23),ISNUMBER(AI23)),AK23-AI23,"")</f>
        <v>0</v>
      </c>
      <c r="AK23" s="27"/>
      <c r="AL23" s="28">
        <f>IF(AND(ISNUMBER(AM23),ISNUMBER(AK23)),AM23-AK23,"")</f>
        <v>0</v>
      </c>
      <c r="AM23" s="27"/>
      <c r="AN23" s="28">
        <f>IF(AND(ISNUMBER(AO23),ISNUMBER(AM23)),AO23-AM23,"")</f>
        <v>0</v>
      </c>
      <c r="AO23" s="27"/>
      <c r="AP23" s="28">
        <f>IF(AND(ISNUMBER(AQ23),ISNUMBER(AO23)),AQ23-AO23,"")</f>
        <v>0</v>
      </c>
      <c r="AQ23" s="27"/>
      <c r="AR23" s="28">
        <f>IF(AND(ISNUMBER(AS23),ISNUMBER(AQ23)),AS23-AQ23,"")</f>
        <v>0</v>
      </c>
      <c r="AS23" s="27"/>
      <c r="AT23" s="28">
        <f>IF(AND(ISNUMBER(AU23),ISNUMBER(AS23)),AU23-AS23,"")</f>
        <v>0</v>
      </c>
      <c r="AU23" s="27"/>
      <c r="AV23" s="28">
        <f>IF(AND(ISNUMBER(AW23),ISNUMBER(AU23)),AW23-AU23,"")</f>
        <v>0</v>
      </c>
      <c r="AW23" s="27"/>
      <c r="AX23" s="28">
        <f>IF(AND(ISNUMBER(AY23),ISNUMBER(AW23)),AY23-AW23,"")</f>
        <v>0</v>
      </c>
      <c r="AY23" s="27"/>
      <c r="AZ23" s="28">
        <f>IF(AND(ISNUMBER(BA23),ISNUMBER(AY23)),BA23-AY23,"")</f>
        <v>0</v>
      </c>
      <c r="BA23" s="27"/>
      <c r="BB23" s="28">
        <f>IF(AND(ISNUMBER(BC23),ISNUMBER(BA23)),BC23-BA23,"")</f>
        <v>0</v>
      </c>
      <c r="BC23" s="27"/>
      <c r="BD23" s="28">
        <f>IF(AND(ISNUMBER(BE23),ISNUMBER(BC23)),BE23-BC23,"")</f>
        <v>0</v>
      </c>
      <c r="BE23" s="27"/>
      <c r="BF23" s="28">
        <f>IF(AND(ISNUMBER(BG23),ISNUMBER(BE23)),BG23-BE23,"")</f>
        <v>0</v>
      </c>
      <c r="BG23" s="27"/>
      <c r="BH23" s="28">
        <f>IF(AND(ISNUMBER(BI23),ISNUMBER(BG23)),BI23-BG23,"")</f>
        <v>0</v>
      </c>
      <c r="BI23" s="27"/>
      <c r="BJ23" s="28">
        <f>IF(AND(ISNUMBER(BK23),ISNUMBER(BI23)),BK23-BI23,"")</f>
        <v>0</v>
      </c>
      <c r="BK23" s="27"/>
      <c r="BL23" s="28">
        <f>IF(AND(ISNUMBER(BM23),ISNUMBER(BK23)),BM23-BK23,"")</f>
        <v>0</v>
      </c>
      <c r="BM23" s="27"/>
      <c r="BN23" s="28">
        <f>IF(AND(ISNUMBER(BO23),ISNUMBER(BM23)),BO23-BM23,"")</f>
        <v>0</v>
      </c>
      <c r="BO23" s="27"/>
      <c r="BP23" s="28">
        <f>IF(AND(ISNUMBER(BQ23),ISNUMBER(BO23)),BQ23-BO23,"")</f>
        <v>0</v>
      </c>
      <c r="BQ23" s="27"/>
      <c r="BR23" s="28">
        <f>IF(AND(ISNUMBER(BS23),ISNUMBER(BQ23)),BS23-BQ23,"")</f>
        <v>0</v>
      </c>
      <c r="BS23" s="27"/>
      <c r="BT23" s="28">
        <f>IF(AND(ISNUMBER(BU23),ISNUMBER(BS23)),BU23-BS23,"")</f>
        <v>0</v>
      </c>
      <c r="BU23" s="27"/>
      <c r="BV23" s="28">
        <f>IF(AND(ISNUMBER(BW23),ISNUMBER(BU23)),BW23-BU23,"")</f>
        <v>0</v>
      </c>
      <c r="BW23" s="27"/>
      <c r="BX23" s="28">
        <f>IF(AND(ISNUMBER(BY23),ISNUMBER(BW23)),BY23-BW23,"")</f>
        <v>0</v>
      </c>
      <c r="BY23" s="29">
        <f>IF(COUNT(BY24:BY30)=0,"",SUM(BY24:BY30))</f>
        <v>0</v>
      </c>
      <c r="BZ23" s="28">
        <f>IF(AND(ISNUMBER(CA23),ISNUMBER(BY23)),CA23-BY23,"")</f>
        <v>0</v>
      </c>
      <c r="CA23" s="29">
        <f>IF(COUNT(CA24:CA30)=0,"",SUM(CA24:CA30))</f>
        <v>0</v>
      </c>
      <c r="CB23" s="28">
        <f>IF(AND(ISNUMBER(CC23),ISNUMBER(CA23)),CC23-CA23,"")</f>
        <v>0</v>
      </c>
      <c r="CC23" s="29">
        <f>IF(COUNT(CC24:CC30)=0,"",SUM(CC24:CC30))</f>
        <v>0</v>
      </c>
      <c r="CD23" s="28">
        <f>IF(AND(ISNUMBER(CE23),ISNUMBER(CC23)),CE23-CC23,"")</f>
        <v>0</v>
      </c>
      <c r="CE23" s="29">
        <f>IF(COUNT(CE24:CE30)=0,"",SUM(CE24:CE30))</f>
        <v>0</v>
      </c>
      <c r="CF23" s="28">
        <f>IF(AND(ISNUMBER(CG23),ISNUMBER(CE23)),CG23-CE23,"")</f>
        <v>0</v>
      </c>
      <c r="CG23" s="29">
        <f>IF(COUNT(CG24:CG30)=0,"",SUM(CG24:CG30))</f>
        <v>0</v>
      </c>
      <c r="CH23" s="28">
        <f>IF(AND(ISNUMBER(CI23),ISNUMBER(CG23)),CI23-CG23,"")</f>
        <v>0</v>
      </c>
      <c r="CI23" s="29">
        <f>IF(COUNT(CI24:CI30)=0,"",SUM(CI24:CI30))</f>
        <v>0</v>
      </c>
      <c r="CJ23" s="28">
        <f>IF(AND(ISNUMBER(CK23),ISNUMBER(CI23)),CK23-CI23,"")</f>
        <v>0</v>
      </c>
      <c r="CK23" s="29">
        <f>IF(COUNT(CK24:CK30)=0,"",SUM(CK24:CK30))</f>
        <v>0</v>
      </c>
      <c r="CL23" s="28">
        <f>IF(AND(ISNUMBER(CM23),ISNUMBER(CK23)),CM23-CK23,"")</f>
        <v>0</v>
      </c>
      <c r="CM23" s="29">
        <f>IF(COUNT(CM24:CM30)=0,"",SUM(CM24:CM30))</f>
        <v>0</v>
      </c>
      <c r="CN23" s="28">
        <f>IF(AND(ISNUMBER(CO23),ISNUMBER(CM23)),CO23-CM23,"")</f>
        <v>0</v>
      </c>
      <c r="CO23" s="29">
        <f>IF(COUNT(CO24:CO30)=0,"",SUM(CO24:CO30))</f>
        <v>0</v>
      </c>
      <c r="CP23" s="28">
        <f>IF(AND(ISNUMBER(CQ23),ISNUMBER(CO23)),CQ23-CO23,"")</f>
        <v>0</v>
      </c>
      <c r="CQ23" s="29">
        <f>IF(COUNT(CQ24:CQ30)=0,"",SUM(CQ24:CQ30))</f>
        <v>0</v>
      </c>
      <c r="CR23" s="28">
        <f>IF(AND(ISNUMBER(CS23),ISNUMBER(CQ23)),CS23-CQ23,"")</f>
        <v>0</v>
      </c>
      <c r="CS23" s="29">
        <f>IF(COUNT(CS24:CS30)=0,"",SUM(CS24:CS30))</f>
        <v>0</v>
      </c>
      <c r="CT23" s="28">
        <f>IF(AND(ISNUMBER(CU23),ISNUMBER(CS23)),CU23-CS23,"")</f>
        <v>0</v>
      </c>
      <c r="CU23" s="29">
        <f>IF(COUNT(CU24:CU30)=0,"",SUM(CU24:CU30))</f>
        <v>0</v>
      </c>
      <c r="CV23" s="28">
        <f>IF(AND(ISNUMBER(CW23),ISNUMBER(CU23)),CW23-CU23,"")</f>
        <v>0</v>
      </c>
      <c r="CW23" s="29">
        <f>IF(COUNT(CW24:CW30)=0,"",SUM(CW24:CW30))</f>
        <v>0</v>
      </c>
      <c r="CX23" s="28">
        <f>IF(AND(ISNUMBER(CY23),ISNUMBER(CW23)),CY23-CW23,"")</f>
        <v>0</v>
      </c>
      <c r="CY23" s="29">
        <f>IF(COUNT(CY24:CY30)=0,"",SUM(CY24:CY30))</f>
        <v>0</v>
      </c>
      <c r="CZ23" s="28">
        <f>IF(AND(ISNUMBER(DA23),ISNUMBER(CY23)),DA23-CY23,"")</f>
        <v>0</v>
      </c>
      <c r="DA23" s="29">
        <f>IF(COUNT(DA24:DA30)=0,"",SUM(DA24:DA30))</f>
        <v>0</v>
      </c>
      <c r="DB23" s="28">
        <f>IF(AND(ISNUMBER(DC23),ISNUMBER(DA23)),DC23-DA23,"")</f>
        <v>0</v>
      </c>
      <c r="DC23" s="29">
        <f>IF(COUNT(DC24:DC30)=0,"",SUM(DC24:DC30))</f>
        <v>0</v>
      </c>
      <c r="DD23" s="28">
        <f>IF(AND(ISNUMBER(DE23),ISNUMBER(DC23)),DE23-DC23,"")</f>
        <v>0</v>
      </c>
      <c r="DE23" s="29">
        <f>IF(COUNT(DE24:DE30)=0,"",SUM(DE24:DE30))</f>
        <v>0</v>
      </c>
      <c r="DF23" s="28">
        <f>IF(AND(ISNUMBER(DG23),ISNUMBER(DE23)),DG23-DE23,"")</f>
        <v>0</v>
      </c>
      <c r="DG23" s="29">
        <f>IF(COUNT(DG24:DG30)=0,"",SUM(DG24:DG30))</f>
        <v>0</v>
      </c>
      <c r="DH23" s="28">
        <f>IF(AND(ISNUMBER(DI23),ISNUMBER(DG23)),DI23-DG23,"")</f>
        <v>0</v>
      </c>
      <c r="DI23" s="29">
        <f>IF(COUNT(DI24:DI30)=0,"",SUM(DI24:DI30))</f>
        <v>0</v>
      </c>
      <c r="DJ23" s="28">
        <f>IF(AND(ISNUMBER(DK23),ISNUMBER(DI23)),DK23-DI23,"")</f>
        <v>0</v>
      </c>
      <c r="DK23" s="29">
        <f>IF(COUNT(DK24:DK30)=0,"",SUM(DK24:DK30))</f>
        <v>0</v>
      </c>
      <c r="DL23" s="28">
        <f>IF(AND(ISNUMBER(DM23),ISNUMBER(DK23)),DM23-DK23,"")</f>
        <v>0</v>
      </c>
      <c r="DM23" s="29">
        <f>IF(COUNT(DM24:DM30)=0,"",SUM(DM24:DM30))</f>
        <v>0</v>
      </c>
      <c r="DN23" s="28">
        <f>IF(AND(ISNUMBER(DO23),ISNUMBER(DM23)),DO23-DM23,"")</f>
        <v>0</v>
      </c>
      <c r="DO23" s="29">
        <f>IF(COUNT(DO24:DO30)=0,"",SUM(DO24:DO30))</f>
        <v>0</v>
      </c>
      <c r="DP23" s="28">
        <f>IF(AND(ISNUMBER(DQ23),ISNUMBER(DO23)),DQ23-DO23,"")</f>
        <v>0</v>
      </c>
      <c r="DQ23" s="29">
        <f>IF(COUNT(DQ24:DQ30)=0,"",SUM(DQ24:DQ30))</f>
        <v>0</v>
      </c>
      <c r="DR23" s="28">
        <f>IF(AND(ISNUMBER(DS23),ISNUMBER(DQ23)),DS23-DQ23,"")</f>
        <v>0</v>
      </c>
      <c r="DS23" s="29">
        <f>IF(COUNT(DS24:DS30)=0,"",SUM(DS24:DS30))</f>
        <v>0</v>
      </c>
      <c r="DT23" s="28">
        <f>IF(AND(ISNUMBER(DU23),ISNUMBER(DS23)),DU23-DS23,"")</f>
        <v>0</v>
      </c>
      <c r="DU23" s="29">
        <f>IF(COUNT(DU24:DU30)=0,"",SUM(DU24:DU30))</f>
        <v>0</v>
      </c>
      <c r="DV23" s="28">
        <f>IF(AND(ISNUMBER(DW23),ISNUMBER(DU23)),DW23-DU23,"")</f>
        <v>0</v>
      </c>
      <c r="DW23" s="29">
        <f>IF(COUNT(DW24:DW30)=0,"",SUM(DW24:DW30))</f>
        <v>0</v>
      </c>
      <c r="DX23" s="28">
        <f>IF(AND(ISNUMBER(DY23),ISNUMBER(DW23)),DY23-DW23,"")</f>
        <v>0</v>
      </c>
      <c r="DY23" s="29">
        <f>IF(COUNT(DY24:DY30)=0,"",SUM(DY24:DY30))</f>
        <v>0</v>
      </c>
      <c r="DZ23" s="28">
        <f>IF(AND(ISNUMBER(EA23),ISNUMBER(DY23)),EA23-DY23,"")</f>
        <v>0</v>
      </c>
      <c r="EA23" s="29">
        <f>IF(COUNT(EA24:EA30)=0,"",SUM(EA24:EA30))</f>
        <v>0</v>
      </c>
      <c r="EB23" s="28">
        <f>IF(AND(ISNUMBER(EC23),ISNUMBER(EA23)),EC23-EA23,"")</f>
        <v>0</v>
      </c>
      <c r="EC23" s="29">
        <f>IF(COUNT(EC24:EC30)=0,"",SUM(EC24:EC30))</f>
        <v>0</v>
      </c>
      <c r="ED23" s="28">
        <f>IF(AND(ISNUMBER(EE23),ISNUMBER(EC23)),EE23-EC23,"")</f>
        <v>0</v>
      </c>
      <c r="EE23" s="29">
        <f>IF(COUNT(EE24:EE30)=0,"",SUM(EE24:EE30))</f>
        <v>0</v>
      </c>
      <c r="EF23" s="28">
        <f>IF(AND(ISNUMBER(EG23),ISNUMBER(EE23)),EG23-EE23,"")</f>
        <v>0</v>
      </c>
      <c r="EG23" s="29">
        <f>IF(COUNT(EG24:EG30)=0,"",SUM(EG24:EG30))</f>
        <v>0</v>
      </c>
      <c r="EH23" s="28">
        <f>IF(AND(ISNUMBER(EI23),ISNUMBER(EG23)),EI23-EG23,"")</f>
        <v>0</v>
      </c>
      <c r="EI23" s="29">
        <f>IF(COUNT(EI24:EI30)=0,"",SUM(EI24:EI30))</f>
        <v>0</v>
      </c>
      <c r="EJ23" s="28">
        <f>IF(AND(ISNUMBER(EK23),ISNUMBER(EI23)),EK23-EI23,"")</f>
        <v>0</v>
      </c>
      <c r="EK23" s="29">
        <f>IF(COUNT(EK24:EK30)=0,"",SUM(EK24:EK30))</f>
        <v>0</v>
      </c>
      <c r="EL23" s="28">
        <f>IF(AND(ISNUMBER(EM23),ISNUMBER(EK23)),EM23-EK23,"")</f>
        <v>0</v>
      </c>
      <c r="EM23" s="29">
        <f>IF(COUNT(EM24:EM30)=0,"",SUM(EM24:EM30))</f>
        <v>0</v>
      </c>
      <c r="EN23" s="28">
        <f>IF(AND(ISNUMBER(EO23),ISNUMBER(EM23)),EO23-EM23,"")</f>
        <v>0</v>
      </c>
      <c r="EO23" s="29">
        <f>IF(COUNT(EO24:EO30)=0,"",SUM(EO24:EO30))</f>
        <v>0</v>
      </c>
      <c r="EP23" s="28">
        <f>IF(AND(ISNUMBER(EQ23),ISNUMBER(EO23)),EQ23-EO23,"")</f>
        <v>0</v>
      </c>
      <c r="EQ23" s="29">
        <f>IF(COUNT(EQ24:EQ30)=0,"",SUM(EQ24:EQ30))</f>
        <v>0</v>
      </c>
      <c r="ER23" s="28">
        <f>IF(AND(ISNUMBER(ES23),ISNUMBER(EQ23)),ES23-EQ23,"")</f>
        <v>0</v>
      </c>
      <c r="ES23" s="29">
        <f>IF(COUNT(ES24:ES30)=0,"",SUM(ES24:ES30))</f>
        <v>0</v>
      </c>
      <c r="ET23" s="28">
        <f>IF(AND(ISNUMBER(EU23),ISNUMBER(ES23)),EU23-ES23,"")</f>
        <v>0</v>
      </c>
      <c r="EU23" s="29">
        <f>IF(COUNT(EU24:EU30)=0,"",SUM(EU24:EU30))</f>
        <v>0</v>
      </c>
      <c r="EV23" s="28">
        <f>IF(AND(ISNUMBER(EW23),ISNUMBER(EU23)),EW23-EU23,"")</f>
        <v>0</v>
      </c>
      <c r="EW23" s="29">
        <f>IF(COUNT(EW24:EW30)=0,"",SUM(EW24:EW30))</f>
        <v>0</v>
      </c>
      <c r="EX23" s="28">
        <f>IF(AND(ISNUMBER(EY23),ISNUMBER(EW23)),EY23-EW23,"")</f>
        <v>0</v>
      </c>
      <c r="EY23" s="29">
        <f>IF(COUNT(EY24:EY30)=0,"",SUM(EY24:EY30))</f>
        <v>0</v>
      </c>
      <c r="EZ23" s="28">
        <f>IF(AND(ISNUMBER(FA23),ISNUMBER(EY23)),FA23-EY23,"")</f>
        <v>0</v>
      </c>
      <c r="FA23" s="29">
        <f>IF(COUNT(FA24:FA30)=0,"",SUM(FA24:FA30))</f>
        <v>0</v>
      </c>
      <c r="FB23" s="28">
        <f>IF(AND(ISNUMBER(FC23),ISNUMBER(FA23)),FC23-FA23,"")</f>
        <v>0</v>
      </c>
      <c r="FC23" s="29">
        <f>IF(COUNT(FC24:FC30)=0,"",SUM(FC24:FC30))</f>
        <v>0</v>
      </c>
      <c r="FD23" s="28">
        <f>IF(AND(ISNUMBER(FE23),ISNUMBER(FC23)),FE23-FC23,"")</f>
        <v>0</v>
      </c>
      <c r="FE23" s="29">
        <f>IF(COUNT(FE24:FE30)=0,"",SUM(FE24:FE30))</f>
        <v>0</v>
      </c>
      <c r="FF23" s="28">
        <f>IF(AND(ISNUMBER(FG23),ISNUMBER(FE23)),FG23-FE23,"")</f>
        <v>0</v>
      </c>
      <c r="FG23" s="29">
        <f>IF(COUNT(FG24:FG30)=0,"",SUM(FG24:FG30))</f>
        <v>0</v>
      </c>
      <c r="FH23" s="28">
        <f>IF(AND(ISNUMBER(FI23),ISNUMBER(FG23)),FI23-FG23,"")</f>
        <v>0</v>
      </c>
      <c r="FI23" s="29">
        <f>IF(COUNT(FI24:FI30)=0,"",SUM(FI24:FI30))</f>
        <v>0</v>
      </c>
      <c r="FJ23" s="28">
        <f>IF(AND(ISNUMBER(FK23),ISNUMBER(FI23)),FK23-FI23,"")</f>
        <v>0</v>
      </c>
      <c r="FK23" s="29">
        <f>IF(COUNT(FK24:FK30)=0,"",SUM(FK24:FK30))</f>
        <v>0</v>
      </c>
      <c r="FL23" s="28">
        <f>IF(AND(ISNUMBER(FM23),ISNUMBER(FK23)),FM23-FK23,"")</f>
        <v>0</v>
      </c>
      <c r="FM23" s="29">
        <f>IF(COUNT(FM24:FM30)=0,"",SUM(FM24:FM30))</f>
        <v>0</v>
      </c>
      <c r="FN23" s="28">
        <f>IF(AND(ISNUMBER(FO23),ISNUMBER(FM23)),FO23-FM23,"")</f>
        <v>0</v>
      </c>
      <c r="FO23" s="29">
        <f>IF(COUNT(FO24:FO30)=0,"",SUM(FO24:FO30))</f>
        <v>0</v>
      </c>
      <c r="FP23" s="28">
        <f>IF(AND(ISNUMBER(FQ23),ISNUMBER(FO23)),FQ23-FO23,"")</f>
        <v>0</v>
      </c>
      <c r="FQ23" s="29">
        <f>IF(COUNT(FQ24:FQ30)=0,"",SUM(FQ24:FQ30))</f>
        <v>0</v>
      </c>
      <c r="FR23" s="28">
        <f>IF(AND(ISNUMBER(FS23),ISNUMBER(FQ23)),FS23-FQ23,"")</f>
        <v>0</v>
      </c>
      <c r="FS23" s="29">
        <f>IF(COUNT(FS24:FS30)=0,"",SUM(FS24:FS30))</f>
        <v>0</v>
      </c>
      <c r="FT23" s="28">
        <f>IF(AND(ISNUMBER(FU23),ISNUMBER(FS23)),FU23-FS23,"")</f>
        <v>0</v>
      </c>
      <c r="FU23" s="29">
        <f>IF(COUNT(FU24:FU30)=0,"",SUM(FU24:FU30))</f>
        <v>0</v>
      </c>
      <c r="FV23" s="28">
        <f>IF(AND(ISNUMBER(FW23),ISNUMBER(FU23)),FW23-FU23,"")</f>
        <v>0</v>
      </c>
      <c r="FW23" s="29">
        <f>IF(COUNT(FW24:FW30)=0,"",SUM(FW24:FW30))</f>
        <v>0</v>
      </c>
      <c r="FX23" s="28">
        <f>IF(AND(ISNUMBER(FY23),ISNUMBER(FW23)),FY23-FW23,"")</f>
        <v>0</v>
      </c>
      <c r="FY23" s="29">
        <f>IF(COUNT(FY24:FY30)=0,"",SUM(FY24:FY30))</f>
        <v>0</v>
      </c>
      <c r="FZ23" s="28">
        <f>IF(AND(ISNUMBER(GA23),ISNUMBER(FY23)),GA23-FY23,"")</f>
        <v>0</v>
      </c>
      <c r="GA23" s="29">
        <f>IF(COUNT(GA24:GA30)=0,"",SUM(GA24:GA30))</f>
        <v>0</v>
      </c>
      <c r="GB23" s="28">
        <f>IF(AND(ISNUMBER(GC23),ISNUMBER(GA23)),GC23-GA23,"")</f>
        <v>0</v>
      </c>
      <c r="GC23" s="29">
        <f>IF(COUNT(GC24:GC30)=0,"",SUM(GC24:GC30))</f>
        <v>0</v>
      </c>
      <c r="GD23" s="28">
        <f>IF(AND(ISNUMBER(GE23),ISNUMBER(GC23)),GE23-GC23,"")</f>
        <v>0</v>
      </c>
      <c r="GE23" s="29">
        <f>IF(COUNT(GE24:GE30)=0,"",SUM(GE24:GE30))</f>
        <v>0</v>
      </c>
      <c r="GF23" s="28">
        <f>IF(AND(ISNUMBER(GG23),ISNUMBER(GE23)),GG23-GE23,"")</f>
        <v>0</v>
      </c>
      <c r="GG23" s="29">
        <f>IF(COUNT(GG24:GG30)=0,"",SUM(GG24:GG30))</f>
        <v>0</v>
      </c>
      <c r="GH23" s="28">
        <f>IF(AND(ISNUMBER(GI23),ISNUMBER(GG23)),GI23-GG23,"")</f>
        <v>0</v>
      </c>
      <c r="GI23" s="29">
        <f>IF(COUNT(GI24:GI30)=0,"",SUM(GI24:GI30))</f>
        <v>0</v>
      </c>
      <c r="GJ23" s="28">
        <f>IF(AND(ISNUMBER(GK23),ISNUMBER(GI23)),GK23-GI23,"")</f>
        <v>0</v>
      </c>
      <c r="GK23" s="29">
        <f>IF(COUNT(GK24:GK30)=0,"",SUM(GK24:GK30))</f>
        <v>0</v>
      </c>
      <c r="GL23" s="28">
        <f>IF(AND(ISNUMBER(GM23),ISNUMBER(GK23)),GM23-GK23,"")</f>
        <v>0</v>
      </c>
      <c r="GM23" s="29">
        <f>IF(COUNT(GM24:GM30)=0,"",SUM(GM24:GM30))</f>
        <v>0</v>
      </c>
      <c r="GN23" s="28">
        <f>IF(AND(ISNUMBER(GO23),ISNUMBER(GM23)),GO23-GM23,"")</f>
        <v>0</v>
      </c>
      <c r="GO23" s="29">
        <f>IF(COUNT(GO24:GO30)=0,"",SUM(GO24:GO30))</f>
        <v>0</v>
      </c>
      <c r="GP23" s="28">
        <f>IF(AND(ISNUMBER(GQ23),ISNUMBER(GO23)),GQ23-GO23,"")</f>
        <v>0</v>
      </c>
      <c r="GQ23" s="29">
        <f>IF(COUNT(GQ24:GQ30)=0,"",SUM(GQ24:GQ30))</f>
        <v>0</v>
      </c>
      <c r="GR23" s="28">
        <f>IF(AND(ISNUMBER(GS23),ISNUMBER(GQ23)),GS23-GQ23,"")</f>
        <v>0</v>
      </c>
      <c r="GS23" s="29">
        <f>IF(COUNT(GS24:GS30)=0,"",SUM(GS24:GS30))</f>
        <v>0</v>
      </c>
      <c r="GT23" s="28">
        <f>IF(AND(ISNUMBER(GU23),ISNUMBER(GS23)),GU23-GS23,"")</f>
        <v>0</v>
      </c>
      <c r="GU23" s="29">
        <f>IF(COUNT(GU24:GU30)=0,"",SUM(GU24:GU30))</f>
        <v>0</v>
      </c>
      <c r="GV23" s="28">
        <f>IF(AND(ISNUMBER(GW23),ISNUMBER(GU23)),GW23-GU23,"")</f>
        <v>0</v>
      </c>
      <c r="GW23" s="29">
        <f>IF(COUNT(GW24:GW30)=0,"",SUM(GW24:GW30))</f>
        <v>0</v>
      </c>
      <c r="GX23" s="28">
        <f>IF(AND(ISNUMBER(GY23),ISNUMBER(GW23)),GY23-GW23,"")</f>
        <v>0</v>
      </c>
      <c r="GY23" s="29">
        <f>IF(COUNT(GY24:GY30)=0,"",SUM(GY24:GY30))</f>
        <v>0</v>
      </c>
      <c r="GZ23" s="28">
        <f>IF(AND(ISNUMBER(HA23),ISNUMBER(GY23)),HA23-GY23,"")</f>
        <v>0</v>
      </c>
      <c r="HA23" s="29">
        <f>IF(COUNT(HA24:HA30)=0,"",SUM(HA24:HA30))</f>
        <v>0</v>
      </c>
      <c r="HB23" s="28">
        <f>IF(AND(ISNUMBER(HC23),ISNUMBER(HA23)),HC23-HA23,"")</f>
        <v>0</v>
      </c>
      <c r="HC23" s="29">
        <f>IF(COUNT(HC24:HC30)=0,"",SUM(HC24:HC30))</f>
        <v>0</v>
      </c>
      <c r="HD23" s="28">
        <f>IF(AND(ISNUMBER(HE23),ISNUMBER(HC23)),HE23-HC23,"")</f>
        <v>0</v>
      </c>
      <c r="HE23" s="29">
        <f>IF(COUNT(HE24:HE30)=0,"",SUM(HE24:HE30))</f>
        <v>0</v>
      </c>
      <c r="HF23" s="28">
        <f>IF(AND(ISNUMBER(HG23),ISNUMBER(HE23)),HG23-HE23,"")</f>
        <v>0</v>
      </c>
      <c r="HG23" s="29">
        <f>IF(COUNT(HG24:HG30)=0,"",SUM(HG24:HG30))</f>
        <v>0</v>
      </c>
      <c r="HH23" s="28">
        <f>IF(AND(ISNUMBER(HI23),ISNUMBER(HG23)),HI23-HG23,"")</f>
        <v>0</v>
      </c>
      <c r="HI23" s="29">
        <f>IF(COUNT(HI24:HI30)=0,"",SUM(HI24:HI30))</f>
        <v>0</v>
      </c>
      <c r="HJ23" s="28">
        <f>IF(AND(ISNUMBER(HK23),ISNUMBER(HI23)),HK23-HI23,"")</f>
        <v>0</v>
      </c>
      <c r="HK23" s="29">
        <f>IF(COUNT(HK24:HK30)=0,"",SUM(HK24:HK30))</f>
        <v>0</v>
      </c>
      <c r="HL23" s="28">
        <f>IF(AND(ISNUMBER(HM23),ISNUMBER(HK23)),HM23-HK23,"")</f>
        <v>0</v>
      </c>
      <c r="HM23" s="29">
        <f>IF(COUNT(HM24:HM30)=0,"",SUM(HM24:HM30))</f>
        <v>0</v>
      </c>
      <c r="HN23" s="28">
        <f>IF(AND(ISNUMBER(HO23),ISNUMBER(HM23)),HO23-HM23,"")</f>
        <v>0</v>
      </c>
      <c r="HO23" s="29">
        <f>IF(COUNT(HO24:HO30)=0,"",SUM(HO24:HO30))</f>
        <v>0</v>
      </c>
      <c r="HP23" s="28">
        <f>IF(AND(ISNUMBER(HQ23),ISNUMBER(HO23)),HQ23-HO23,"")</f>
        <v>0</v>
      </c>
      <c r="HQ23" s="29">
        <f>IF(COUNT(HQ24:HQ30)=0,"",SUM(HQ24:HQ30))</f>
        <v>0</v>
      </c>
      <c r="HR23" s="28">
        <f>IF(AND(ISNUMBER(HS23),ISNUMBER(HQ23)),HS23-HQ23,"")</f>
        <v>0</v>
      </c>
      <c r="HS23" s="29">
        <f>IF(COUNT(HS24:HS30)=0,"",SUM(HS24:HS30))</f>
        <v>0</v>
      </c>
      <c r="HT23" s="28">
        <f>IF(AND(ISNUMBER(HU23),ISNUMBER(HS23)),HU23-HS23,"")</f>
        <v>0</v>
      </c>
      <c r="HU23" s="29">
        <f>IF(COUNT(HU24:HU30)=0,"",SUM(HU24:HU30))</f>
        <v>0</v>
      </c>
      <c r="HV23" s="28">
        <f>IF(AND(ISNUMBER(HW23),ISNUMBER(HU23)),HW23-HU23,"")</f>
        <v>0</v>
      </c>
      <c r="HW23" s="29">
        <f>IF(COUNT(HW24:HW30)=0,"",SUM(HW24:HW30))</f>
        <v>0</v>
      </c>
      <c r="HX23" s="28">
        <f>IF(AND(ISNUMBER(HY23),ISNUMBER(HW23)),HY23-HW23,"")</f>
        <v>0</v>
      </c>
      <c r="HY23" s="29">
        <f>IF(COUNT(HY24:HY30)=0,"",SUM(HY24:HY30))</f>
        <v>0</v>
      </c>
      <c r="HZ23" s="28">
        <f>IF(AND(ISNUMBER(IA23),ISNUMBER(HY23)),IA23-HY23,"")</f>
        <v>0</v>
      </c>
      <c r="IA23" s="29">
        <f>IF(COUNT(IA24:IA30)=0,"",SUM(IA24:IA30))</f>
        <v>0</v>
      </c>
      <c r="IB23" s="28">
        <f>IF(AND(ISNUMBER(IC23),ISNUMBER(IA23)),IC23-IA23,"")</f>
        <v>0</v>
      </c>
      <c r="IC23" s="29">
        <f>IF(COUNT(IC24:IC30)=0,"",SUM(IC24:IC30))</f>
        <v>0</v>
      </c>
      <c r="ID23" s="28">
        <f>IF(AND(ISNUMBER(IE23),ISNUMBER(IC23)),IE23-IC23,"")</f>
        <v>0</v>
      </c>
      <c r="IE23" s="29">
        <f>IF(COUNT(IE24:IE30)=0,"",SUM(IE24:IE30))</f>
        <v>0</v>
      </c>
      <c r="IF23" s="28">
        <f>IF(AND(ISNUMBER(IG23),ISNUMBER(IE23)),IG23-IE23,"")</f>
        <v>0</v>
      </c>
      <c r="IG23" s="29">
        <f>IF(COUNT(IG24:IG30)=0,"",SUM(IG24:IG30))</f>
        <v>0</v>
      </c>
      <c r="IH23" s="28">
        <f>IF(AND(ISNUMBER(II23),ISNUMBER(IG23)),II23-IG23,"")</f>
        <v>0</v>
      </c>
      <c r="II23" s="29">
        <f>IF(COUNT(II24:II30)=0,"",SUM(II24:II30))</f>
        <v>0</v>
      </c>
      <c r="IJ23" s="28">
        <f>IF(AND(ISNUMBER(IK23),ISNUMBER(II23)),IK23-II23,"")</f>
        <v>0</v>
      </c>
      <c r="IK23" s="29">
        <f>IF(COUNT(IK24:IK30)=0,"",SUM(IK24:IK30))</f>
        <v>0</v>
      </c>
      <c r="IL23" s="28">
        <f>IF(AND(ISNUMBER(IM23),ISNUMBER(IK23)),IM23-IK23,"")</f>
        <v>0</v>
      </c>
      <c r="IM23" s="29">
        <f>IF(COUNT(IM24:IM30)=0,"",SUM(IM24:IM30))</f>
        <v>0</v>
      </c>
      <c r="IN23" s="28">
        <f>IF(AND(ISNUMBER(IO23),ISNUMBER(IM23)),IO23-IM23,"")</f>
        <v>0</v>
      </c>
      <c r="IO23" s="29">
        <f>IF(COUNT(IO24:IO30)=0,"",SUM(IO24:IO30))</f>
        <v>0</v>
      </c>
      <c r="IP23" s="28">
        <f>IF(AND(ISNUMBER(IQ23),ISNUMBER(IO23)),IQ23-IO23,"")</f>
        <v>0</v>
      </c>
      <c r="IQ23" s="29">
        <f>IF(COUNT(IQ24:IQ30)=0,"",SUM(IQ24:IQ30))</f>
        <v>0</v>
      </c>
      <c r="IR23" s="28">
        <f>IF(AND(ISNUMBER(IS23),ISNUMBER(IQ23)),IS23-IQ23,"")</f>
        <v>0</v>
      </c>
      <c r="IS23" s="29">
        <f>IF(COUNT(IS24:IS30)=0,"",SUM(IS24:IS30))</f>
        <v>0</v>
      </c>
      <c r="IT23" s="28">
        <f>IF(AND(ISNUMBER(IU23),ISNUMBER(IS23)),IU23-IS23,"")</f>
        <v>0</v>
      </c>
      <c r="IU23" s="29">
        <f>IF(COUNT(IU24:IU30)=0,"",SUM(IU24:IU30))</f>
        <v>0</v>
      </c>
      <c r="IV23" s="28">
        <f>IF(AND(ISNUMBER(IW23),ISNUMBER(IU23)),IW23-IU23,"")</f>
        <v>0</v>
      </c>
      <c r="IW23" s="29">
        <f>IF(COUNT(IW24:IW30)=0,"",SUM(IW24:IW30))</f>
        <v>0</v>
      </c>
      <c r="IX23" s="28">
        <f>IF(AND(ISNUMBER(IY23),ISNUMBER(IW23)),IY23-IW23,"")</f>
        <v>0</v>
      </c>
      <c r="IY23" s="29">
        <f>IF(COUNT(IY24:IY30)=0,"",SUM(IY24:IY30))</f>
        <v>0</v>
      </c>
      <c r="IZ23" s="28">
        <f>IF(AND(ISNUMBER(JA23),ISNUMBER(IY23)),JA23-IY23,"")</f>
        <v>0</v>
      </c>
      <c r="JA23" s="29">
        <f>IF(COUNT(JA24:JA30)=0,"",SUM(JA24:JA30))</f>
        <v>0</v>
      </c>
      <c r="JB23" s="28">
        <f>IF(AND(ISNUMBER(JC23),ISNUMBER(JA23)),JC23-JA23,"")</f>
        <v>0</v>
      </c>
      <c r="JC23" s="29">
        <f>IF(COUNT(JC24:JC30)=0,"",SUM(JC24:JC30))</f>
        <v>0</v>
      </c>
      <c r="JD23" s="28">
        <f>IF(AND(ISNUMBER(JE23),ISNUMBER(JC23)),JE23-JC23,"")</f>
        <v>0</v>
      </c>
      <c r="JE23" s="29">
        <f>IF(COUNT(JE24:JE30)=0,"",SUM(JE24:JE30))</f>
        <v>0</v>
      </c>
      <c r="JF23" s="28">
        <f>IF(AND(ISNUMBER(JG23),ISNUMBER(JE23)),JG23-JE23,"")</f>
        <v>0</v>
      </c>
      <c r="JG23" s="29">
        <f>IF(COUNT(JG24:JG30)=0,"",SUM(JG24:JG30))</f>
        <v>0</v>
      </c>
      <c r="JH23" s="28">
        <f>IF(AND(ISNUMBER(JI23),ISNUMBER(JG23)),JI23-JG23,"")</f>
        <v>0</v>
      </c>
      <c r="JI23" s="29">
        <f>IF(COUNT(JI24:JI30)=0,"",SUM(JI24:JI30))</f>
        <v>0</v>
      </c>
      <c r="JJ23" s="28">
        <f>IF(AND(ISNUMBER(JK23),ISNUMBER(JI23)),JK23-JI23,"")</f>
        <v>0</v>
      </c>
      <c r="JK23" s="29">
        <f>IF(COUNT(JK24:JK30)=0,"",SUM(JK24:JK30))</f>
        <v>0</v>
      </c>
      <c r="JL23" s="28">
        <f>IF(AND(ISNUMBER(JM23),ISNUMBER(JK23)),JM23-JK23,"")</f>
        <v>0</v>
      </c>
      <c r="JM23" s="29">
        <f>IF(COUNT(JM24:JM30)=0,"",SUM(JM24:JM30))</f>
        <v>0</v>
      </c>
      <c r="JN23" s="28">
        <f>IF(AND(ISNUMBER(JO23),ISNUMBER(JM23)),JO23-JM23,"")</f>
        <v>0</v>
      </c>
      <c r="JO23" s="29">
        <f>IF(COUNT(JO24:JO30)=0,"",SUM(JO24:JO30))</f>
        <v>0</v>
      </c>
      <c r="JP23" s="28">
        <f>IF(AND(ISNUMBER(JQ23),ISNUMBER(JO23)),JQ23-JO23,"")</f>
        <v>0</v>
      </c>
      <c r="JQ23" s="29">
        <f>IF(COUNT(JQ24:JQ30)=0,"",SUM(JQ24:JQ30))</f>
        <v>0</v>
      </c>
      <c r="JR23" s="28">
        <f>IF(AND(ISNUMBER(JS23),ISNUMBER(JQ23)),JS23-JQ23,"")</f>
        <v>0</v>
      </c>
      <c r="JS23" s="29">
        <f>IF(COUNT(JS24:JS30)=0,"",SUM(JS24:JS30))</f>
        <v>0</v>
      </c>
      <c r="JT23" s="28">
        <f>IF(AND(ISNUMBER(JU23),ISNUMBER(JS23)),JU23-JS23,"")</f>
        <v>0</v>
      </c>
      <c r="JU23" s="29">
        <f>IF(COUNT(JU24:JU30)=0,"",SUM(JU24:JU30))</f>
        <v>0</v>
      </c>
      <c r="JV23" s="28">
        <f>IF(AND(ISNUMBER(JW23),ISNUMBER(JU23)),JW23-JU23,"")</f>
        <v>0</v>
      </c>
      <c r="JW23" s="29">
        <f>IF(COUNT(JW24:JW30)=0,"",SUM(JW24:JW30))</f>
        <v>0</v>
      </c>
      <c r="JX23" s="28">
        <f>IF(AND(ISNUMBER(JY23),ISNUMBER(JW23)),JY23-JW23,"")</f>
        <v>0</v>
      </c>
      <c r="JY23" s="29">
        <f>IF(COUNT(JY24:JY30)=0,"",SUM(JY24:JY30))</f>
        <v>0</v>
      </c>
      <c r="JZ23" s="28">
        <f>IF(AND(ISNUMBER(KA23),ISNUMBER(JY23)),KA23-JY23,"")</f>
        <v>0</v>
      </c>
      <c r="KA23" s="29">
        <f>IF(COUNT(KA24:KA30)=0,"",SUM(KA24:KA30))</f>
        <v>0</v>
      </c>
      <c r="KB23" s="28">
        <f>IF(AND(ISNUMBER(KC23),ISNUMBER(KA23)),KC23-KA23,"")</f>
        <v>0</v>
      </c>
      <c r="KC23" s="29">
        <f>IF(COUNT(KC24:KC30)=0,"",SUM(KC24:KC30))</f>
        <v>0</v>
      </c>
      <c r="KD23" s="28">
        <f>IF(AND(ISNUMBER(KE23),ISNUMBER(KC23)),KE23-KC23,"")</f>
        <v>0</v>
      </c>
      <c r="KE23" s="29">
        <f>IF(COUNT(KE24:KE30)=0,"",SUM(KE24:KE30))</f>
        <v>0</v>
      </c>
      <c r="KF23" s="28">
        <f>IF(AND(ISNUMBER(KG23),ISNUMBER(KE23)),KG23-KE23,"")</f>
        <v>0</v>
      </c>
      <c r="KG23" s="29">
        <f>IF(COUNT(KG24:KG30)=0,"",SUM(KG24:KG30))</f>
        <v>0</v>
      </c>
      <c r="KH23" s="28">
        <f>IF(AND(ISNUMBER(KI23),ISNUMBER(KG23)),KI23-KG23,"")</f>
        <v>0</v>
      </c>
      <c r="KI23" s="29">
        <f>IF(COUNT(KI24:KI30)=0,"",SUM(KI24:KI30))</f>
        <v>0</v>
      </c>
      <c r="KJ23" s="28">
        <f>IF(AND(ISNUMBER(KK23),ISNUMBER(KI23)),KK23-KI23,"")</f>
        <v>0</v>
      </c>
      <c r="KK23" s="29">
        <f>IF(COUNT(KK24:KK30)=0,"",SUM(KK24:KK30))</f>
        <v>0</v>
      </c>
      <c r="KL23" s="28">
        <f>IF(AND(ISNUMBER(KM23),ISNUMBER(KK23)),KM23-KK23,"")</f>
        <v>0</v>
      </c>
      <c r="KM23" s="29">
        <f>IF(COUNT(KM24:KM30)=0,"",SUM(KM24:KM30))</f>
        <v>0</v>
      </c>
      <c r="KN23" s="28">
        <f>IF(AND(ISNUMBER(KO23),ISNUMBER(KM23)),KO23-KM23,"")</f>
        <v>0</v>
      </c>
      <c r="KO23" s="29">
        <f>IF(COUNT(KO24:KO30)=0,"",SUM(KO24:KO30))</f>
        <v>0</v>
      </c>
      <c r="KP23" s="28">
        <f>IF(AND(ISNUMBER(KQ23),ISNUMBER(KO23)),KQ23-KO23,"")</f>
        <v>0</v>
      </c>
      <c r="KQ23" s="29">
        <f>IF(COUNT(KQ24:KQ30)=0,"",SUM(KQ24:KQ30))</f>
        <v>0</v>
      </c>
      <c r="KR23" s="28">
        <f>IF(AND(ISNUMBER(KS23),ISNUMBER(KQ23)),KS23-KQ23,"")</f>
        <v>0</v>
      </c>
      <c r="KS23" s="29">
        <f>IF(COUNT(KS24:KS30)=0,"",SUM(KS24:KS30))</f>
        <v>0</v>
      </c>
      <c r="KT23" s="28">
        <f>IF(AND(ISNUMBER(KU23),ISNUMBER(KS23)),KU23-KS23,"")</f>
        <v>0</v>
      </c>
      <c r="KU23" s="29">
        <f>IF(COUNT(KU24:KU30)=0,"",SUM(KU24:KU30))</f>
        <v>0</v>
      </c>
      <c r="KV23" s="28">
        <f>IF(AND(ISNUMBER(KW23),ISNUMBER(KU23)),KW23-KU23,"")</f>
        <v>0</v>
      </c>
      <c r="KW23" s="29">
        <f>IF(COUNT(KW24:KW30)=0,"",SUM(KW24:KW30))</f>
        <v>0</v>
      </c>
      <c r="KX23" s="28">
        <f>IF(AND(ISNUMBER(KY23),ISNUMBER(KW23)),KY23-KW23,"")</f>
        <v>0</v>
      </c>
      <c r="KY23" s="29">
        <f>IF(COUNT(KY24:KY30)=0,"",SUM(KY24:KY30))</f>
        <v>0</v>
      </c>
      <c r="KZ23" s="28">
        <f>IF(AND(ISNUMBER(LA23),ISNUMBER(KY23)),LA23-KY23,"")</f>
        <v>0</v>
      </c>
      <c r="LA23" s="29">
        <f>IF(COUNT(LA24:LA30)=0,"",SUM(LA24:LA30))</f>
        <v>0</v>
      </c>
      <c r="LB23" s="28">
        <f>IF(AND(ISNUMBER(LC23),ISNUMBER(LA23)),LC23-LA23,"")</f>
        <v>0</v>
      </c>
      <c r="LC23" s="29">
        <f>IF(COUNT(LC24:LC30)=0,"",SUM(LC24:LC30))</f>
        <v>0</v>
      </c>
      <c r="LD23" s="28">
        <f>IF(AND(ISNUMBER(LE23),ISNUMBER(LC23)),LE23-LC23,"")</f>
        <v>0</v>
      </c>
      <c r="LE23" s="29">
        <f>IF(COUNT(LE24:LE30)=0,"",SUM(LE24:LE30))</f>
        <v>0</v>
      </c>
      <c r="LF23" s="28">
        <f>IF(AND(ISNUMBER(LG23),ISNUMBER(LE23)),LG23-LE23,"")</f>
        <v>0</v>
      </c>
      <c r="LG23" s="29">
        <f>IF(COUNT(LG24:LG30)=0,"",SUM(LG24:LG30))</f>
        <v>0</v>
      </c>
      <c r="LH23" s="30"/>
      <c r="LI23" s="30"/>
      <c r="LJ23" s="41" t="s">
        <v>1086</v>
      </c>
    </row>
    <row r="24" spans="1:322" hidden="1" outlineLevel="1">
      <c r="B24" s="23"/>
      <c r="D24" s="31" t="s">
        <v>710</v>
      </c>
      <c r="E24" s="32" t="s">
        <v>1083</v>
      </c>
      <c r="F24" s="38" t="s">
        <v>1090</v>
      </c>
      <c r="I24" s="40" t="s">
        <v>1088</v>
      </c>
      <c r="J24" s="34">
        <f>IF(AND(ISNUMBER(K24),ISNUMBER(I24)),K24-I24,"")</f>
        <v>0</v>
      </c>
      <c r="K24" s="40" t="s">
        <v>1088</v>
      </c>
      <c r="L24" s="34">
        <f>IF(AND(ISNUMBER(M24),ISNUMBER(K24)),M24-K24,"")</f>
        <v>0</v>
      </c>
      <c r="M24" s="33">
        <v>22</v>
      </c>
      <c r="N24" s="34">
        <f>IF(AND(ISNUMBER(O24),ISNUMBER(M24)),O24-M24,"")</f>
        <v>0</v>
      </c>
      <c r="O24" s="33">
        <v>13</v>
      </c>
      <c r="P24" s="34">
        <f>IF(AND(ISNUMBER(Q24),ISNUMBER(O24)),Q24-O24,"")</f>
        <v>0</v>
      </c>
      <c r="Q24" s="33">
        <v>5</v>
      </c>
      <c r="R24" s="34">
        <f>IF(AND(ISNUMBER(S24),ISNUMBER(Q24)),S24-Q24,"")</f>
        <v>0</v>
      </c>
      <c r="S24" s="33">
        <v>30</v>
      </c>
      <c r="T24" s="34">
        <f>IF(AND(ISNUMBER(U24),ISNUMBER(S24)),U24-S24,"")</f>
        <v>0</v>
      </c>
      <c r="U24" s="33">
        <v>7</v>
      </c>
      <c r="V24" s="34">
        <f>IF(AND(ISNUMBER(W24),ISNUMBER(U24)),W24-U24,"")</f>
        <v>0</v>
      </c>
      <c r="W24" s="33">
        <v>12</v>
      </c>
      <c r="X24" s="34">
        <f>IF(AND(ISNUMBER(Y24),ISNUMBER(W24)),Y24-W24,"")</f>
        <v>0</v>
      </c>
      <c r="Y24" s="40" t="s">
        <v>1088</v>
      </c>
      <c r="Z24" s="34">
        <f>IF(AND(ISNUMBER(AA24),ISNUMBER(Y24)),AA24-Y24,"")</f>
        <v>0</v>
      </c>
      <c r="AA24" s="40" t="s">
        <v>1088</v>
      </c>
      <c r="AB24" s="34">
        <f>IF(AND(ISNUMBER(AC24),ISNUMBER(AA24)),AC24-AA24,"")</f>
        <v>0</v>
      </c>
      <c r="AC24" s="40" t="s">
        <v>1088</v>
      </c>
      <c r="AD24" s="34">
        <f>IF(AND(ISNUMBER(AE24),ISNUMBER(AC24)),AE24-AC24,"")</f>
        <v>0</v>
      </c>
      <c r="AE24" s="40" t="s">
        <v>1088</v>
      </c>
      <c r="AF24" s="34">
        <f>IF(AND(ISNUMBER(AG24),ISNUMBER(AE24)),AG24-AE24,"")</f>
        <v>0</v>
      </c>
      <c r="AG24" s="40" t="s">
        <v>1088</v>
      </c>
      <c r="AH24" s="34">
        <f>IF(AND(ISNUMBER(AI24),ISNUMBER(AG24)),AI24-AG24,"")</f>
        <v>0</v>
      </c>
      <c r="AI24" s="40" t="s">
        <v>1088</v>
      </c>
      <c r="AJ24" s="34">
        <f>IF(AND(ISNUMBER(AK24),ISNUMBER(AI24)),AK24-AI24,"")</f>
        <v>0</v>
      </c>
      <c r="AK24" s="33">
        <v>0</v>
      </c>
      <c r="AL24" s="34">
        <f>IF(AND(ISNUMBER(AM24),ISNUMBER(AK24)),AM24-AK24,"")</f>
        <v>0</v>
      </c>
      <c r="AM24" s="40" t="s">
        <v>1088</v>
      </c>
      <c r="AN24" s="34">
        <f>IF(AND(ISNUMBER(AO24),ISNUMBER(AM24)),AO24-AM24,"")</f>
        <v>0</v>
      </c>
      <c r="AO24" s="40" t="s">
        <v>1088</v>
      </c>
      <c r="AP24" s="34">
        <f>IF(AND(ISNUMBER(AQ24),ISNUMBER(AO24)),AQ24-AO24,"")</f>
        <v>0</v>
      </c>
      <c r="AQ24" s="40" t="s">
        <v>1088</v>
      </c>
      <c r="AR24" s="34">
        <f>IF(AND(ISNUMBER(AS24),ISNUMBER(AQ24)),AS24-AQ24,"")</f>
        <v>0</v>
      </c>
      <c r="AS24" s="33">
        <v>6</v>
      </c>
      <c r="AT24" s="34">
        <f>IF(AND(ISNUMBER(AU24),ISNUMBER(AS24)),AU24-AS24,"")</f>
        <v>0</v>
      </c>
      <c r="AU24" s="33">
        <v>12</v>
      </c>
      <c r="AV24" s="34">
        <f>IF(AND(ISNUMBER(AW24),ISNUMBER(AU24)),AW24-AU24,"")</f>
        <v>0</v>
      </c>
      <c r="AW24" s="33">
        <v>8</v>
      </c>
      <c r="AX24" s="34">
        <f>IF(AND(ISNUMBER(AY24),ISNUMBER(AW24)),AY24-AW24,"")</f>
        <v>0</v>
      </c>
      <c r="AY24" s="33">
        <v>0</v>
      </c>
      <c r="AZ24" s="34">
        <f>IF(AND(ISNUMBER(BA24),ISNUMBER(AY24)),BA24-AY24,"")</f>
        <v>0</v>
      </c>
      <c r="BA24" s="33">
        <v>2</v>
      </c>
      <c r="BB24" s="34">
        <f>IF(AND(ISNUMBER(BC24),ISNUMBER(BA24)),BC24-BA24,"")</f>
        <v>0</v>
      </c>
      <c r="BC24" s="33">
        <v>6</v>
      </c>
      <c r="BD24" s="34">
        <f>IF(AND(ISNUMBER(BE24),ISNUMBER(BC24)),BE24-BC24,"")</f>
        <v>0</v>
      </c>
      <c r="BE24" s="33">
        <v>20</v>
      </c>
      <c r="BF24" s="34">
        <f>IF(AND(ISNUMBER(BG24),ISNUMBER(BE24)),BG24-BE24,"")</f>
        <v>0</v>
      </c>
      <c r="BG24" s="33">
        <v>0</v>
      </c>
      <c r="BH24" s="34">
        <f>IF(AND(ISNUMBER(BI24),ISNUMBER(BG24)),BI24-BG24,"")</f>
        <v>0</v>
      </c>
      <c r="BI24" s="33">
        <v>1</v>
      </c>
      <c r="BJ24" s="34">
        <f>IF(AND(ISNUMBER(BK24),ISNUMBER(BI24)),BK24-BI24,"")</f>
        <v>0</v>
      </c>
      <c r="BK24" s="33">
        <v>0</v>
      </c>
      <c r="BL24" s="34">
        <f>IF(AND(ISNUMBER(BM24),ISNUMBER(BK24)),BM24-BK24,"")</f>
        <v>0</v>
      </c>
      <c r="BM24" s="33">
        <v>0</v>
      </c>
      <c r="BN24" s="34">
        <f>IF(AND(ISNUMBER(BO24),ISNUMBER(BM24)),BO24-BM24,"")</f>
        <v>0</v>
      </c>
      <c r="BO24" s="33">
        <v>1</v>
      </c>
      <c r="BP24" s="34">
        <f>IF(AND(ISNUMBER(BQ24),ISNUMBER(BO24)),BQ24-BO24,"")</f>
        <v>0</v>
      </c>
      <c r="BQ24" s="33">
        <v>0</v>
      </c>
      <c r="BR24" s="34">
        <f>IF(AND(ISNUMBER(BS24),ISNUMBER(BQ24)),BS24-BQ24,"")</f>
        <v>0</v>
      </c>
      <c r="BS24" s="33">
        <v>0</v>
      </c>
      <c r="BT24" s="34">
        <f>IF(AND(ISNUMBER(BU24),ISNUMBER(BS24)),BU24-BS24,"")</f>
        <v>0</v>
      </c>
      <c r="BU24" s="33">
        <v>0</v>
      </c>
      <c r="BV24" s="34">
        <f>IF(AND(ISNUMBER(BW24),ISNUMBER(BU24)),BW24-BU24,"")</f>
        <v>0</v>
      </c>
      <c r="BW24" s="33">
        <v>3</v>
      </c>
      <c r="BX24" s="34">
        <f>IF(AND(ISNUMBER(BY24),ISNUMBER(BW24)),BY24-BW24,"")</f>
        <v>0</v>
      </c>
      <c r="BY24" s="33">
        <v>12</v>
      </c>
      <c r="BZ24" s="34">
        <f>IF(AND(ISNUMBER(CA24),ISNUMBER(BY24)),CA24-BY24,"")</f>
        <v>0</v>
      </c>
      <c r="CA24" s="33">
        <v>12</v>
      </c>
      <c r="CB24" s="34">
        <f>IF(AND(ISNUMBER(CC24),ISNUMBER(CA24)),CC24-CA24,"")</f>
        <v>0</v>
      </c>
      <c r="CC24" s="33">
        <v>1</v>
      </c>
      <c r="CD24" s="34">
        <f>IF(AND(ISNUMBER(CE24),ISNUMBER(CC24)),CE24-CC24,"")</f>
        <v>0</v>
      </c>
      <c r="CE24" s="33">
        <v>12</v>
      </c>
      <c r="CF24" s="34">
        <f>IF(AND(ISNUMBER(CG24),ISNUMBER(CE24)),CG24-CE24,"")</f>
        <v>0</v>
      </c>
      <c r="CG24" s="33">
        <v>12</v>
      </c>
      <c r="CH24" s="34">
        <f>IF(AND(ISNUMBER(CI24),ISNUMBER(CG24)),CI24-CG24,"")</f>
        <v>0</v>
      </c>
      <c r="CI24" s="33">
        <v>12</v>
      </c>
      <c r="CJ24" s="34">
        <f>IF(AND(ISNUMBER(CK24),ISNUMBER(CI24)),CK24-CI24,"")</f>
        <v>0</v>
      </c>
      <c r="CK24" s="33">
        <v>12</v>
      </c>
      <c r="CL24" s="34">
        <f>IF(AND(ISNUMBER(CM24),ISNUMBER(CK24)),CM24-CK24,"")</f>
        <v>0</v>
      </c>
      <c r="CM24" s="33">
        <v>12</v>
      </c>
      <c r="CN24" s="34">
        <f>IF(AND(ISNUMBER(CO24),ISNUMBER(CM24)),CO24-CM24,"")</f>
        <v>0</v>
      </c>
      <c r="CO24" s="33">
        <v>12</v>
      </c>
      <c r="CP24" s="34">
        <f>IF(AND(ISNUMBER(CQ24),ISNUMBER(CO24)),CQ24-CO24,"")</f>
        <v>0</v>
      </c>
      <c r="CQ24" s="33">
        <v>12</v>
      </c>
      <c r="CR24" s="34">
        <f>IF(AND(ISNUMBER(CS24),ISNUMBER(CQ24)),CS24-CQ24,"")</f>
        <v>0</v>
      </c>
      <c r="CS24" s="33">
        <v>12</v>
      </c>
      <c r="CT24" s="34">
        <f>IF(AND(ISNUMBER(CU24),ISNUMBER(CS24)),CU24-CS24,"")</f>
        <v>0</v>
      </c>
      <c r="CU24" s="33">
        <v>12</v>
      </c>
      <c r="CV24" s="34">
        <f>IF(AND(ISNUMBER(CW24),ISNUMBER(CU24)),CW24-CU24,"")</f>
        <v>0</v>
      </c>
      <c r="CW24" s="33">
        <v>12</v>
      </c>
      <c r="CX24" s="34">
        <f>IF(AND(ISNUMBER(CY24),ISNUMBER(CW24)),CY24-CW24,"")</f>
        <v>0</v>
      </c>
      <c r="CY24" s="33">
        <v>12</v>
      </c>
      <c r="CZ24" s="34">
        <f>IF(AND(ISNUMBER(DA24),ISNUMBER(CY24)),DA24-CY24,"")</f>
        <v>0</v>
      </c>
      <c r="DA24" s="33">
        <v>1</v>
      </c>
      <c r="DB24" s="34">
        <f>IF(AND(ISNUMBER(DC24),ISNUMBER(DA24)),DC24-DA24,"")</f>
        <v>0</v>
      </c>
      <c r="DC24" s="33"/>
      <c r="DD24" s="34">
        <f>IF(AND(ISNUMBER(DE24),ISNUMBER(DC24)),DE24-DC24,"")</f>
        <v>0</v>
      </c>
      <c r="DE24" s="33"/>
      <c r="DF24" s="34">
        <f>IF(AND(ISNUMBER(DG24),ISNUMBER(DE24)),DG24-DE24,"")</f>
        <v>0</v>
      </c>
      <c r="DG24" s="33"/>
      <c r="DH24" s="34">
        <f>IF(AND(ISNUMBER(DI24),ISNUMBER(DG24)),DI24-DG24,"")</f>
        <v>0</v>
      </c>
      <c r="DI24" s="33"/>
      <c r="DJ24" s="34">
        <f>IF(AND(ISNUMBER(DK24),ISNUMBER(DI24)),DK24-DI24,"")</f>
        <v>0</v>
      </c>
      <c r="DK24" s="33"/>
      <c r="DL24" s="34">
        <f>IF(AND(ISNUMBER(DM24),ISNUMBER(DK24)),DM24-DK24,"")</f>
        <v>0</v>
      </c>
      <c r="DM24" s="33"/>
      <c r="DN24" s="34">
        <f>IF(AND(ISNUMBER(DO24),ISNUMBER(DM24)),DO24-DM24,"")</f>
        <v>0</v>
      </c>
      <c r="DO24" s="33"/>
      <c r="DP24" s="34">
        <f>IF(AND(ISNUMBER(DQ24),ISNUMBER(DO24)),DQ24-DO24,"")</f>
        <v>0</v>
      </c>
      <c r="DQ24" s="33"/>
      <c r="DR24" s="34">
        <f>IF(AND(ISNUMBER(DS24),ISNUMBER(DQ24)),DS24-DQ24,"")</f>
        <v>0</v>
      </c>
      <c r="DS24" s="33"/>
      <c r="DT24" s="34">
        <f>IF(AND(ISNUMBER(DU24),ISNUMBER(DS24)),DU24-DS24,"")</f>
        <v>0</v>
      </c>
      <c r="DU24" s="33"/>
      <c r="DV24" s="34">
        <f>IF(AND(ISNUMBER(DW24),ISNUMBER(DU24)),DW24-DU24,"")</f>
        <v>0</v>
      </c>
      <c r="DW24" s="33"/>
      <c r="DX24" s="34">
        <f>IF(AND(ISNUMBER(DY24),ISNUMBER(DW24)),DY24-DW24,"")</f>
        <v>0</v>
      </c>
      <c r="DY24" s="33"/>
      <c r="DZ24" s="34">
        <f>IF(AND(ISNUMBER(EA24),ISNUMBER(DY24)),EA24-DY24,"")</f>
        <v>0</v>
      </c>
      <c r="EA24" s="33"/>
      <c r="EB24" s="34">
        <f>IF(AND(ISNUMBER(EC24),ISNUMBER(EA24)),EC24-EA24,"")</f>
        <v>0</v>
      </c>
      <c r="EC24" s="33"/>
      <c r="ED24" s="34">
        <f>IF(AND(ISNUMBER(EE24),ISNUMBER(EC24)),EE24-EC24,"")</f>
        <v>0</v>
      </c>
      <c r="EE24" s="33"/>
      <c r="EF24" s="34">
        <f>IF(AND(ISNUMBER(EG24),ISNUMBER(EE24)),EG24-EE24,"")</f>
        <v>0</v>
      </c>
      <c r="EG24" s="33">
        <v>2</v>
      </c>
      <c r="EH24" s="34">
        <f>IF(AND(ISNUMBER(EI24),ISNUMBER(EG24)),EI24-EG24,"")</f>
        <v>0</v>
      </c>
      <c r="EI24" s="33"/>
      <c r="EJ24" s="34">
        <f>IF(AND(ISNUMBER(EK24),ISNUMBER(EI24)),EK24-EI24,"")</f>
        <v>0</v>
      </c>
      <c r="EK24" s="33"/>
      <c r="EL24" s="34">
        <f>IF(AND(ISNUMBER(EM24),ISNUMBER(EK24)),EM24-EK24,"")</f>
        <v>0</v>
      </c>
      <c r="EM24" s="33"/>
      <c r="EN24" s="34">
        <f>IF(AND(ISNUMBER(EO24),ISNUMBER(EM24)),EO24-EM24,"")</f>
        <v>0</v>
      </c>
      <c r="EO24" s="33"/>
      <c r="EP24" s="34">
        <f>IF(AND(ISNUMBER(EQ24),ISNUMBER(EO24)),EQ24-EO24,"")</f>
        <v>0</v>
      </c>
      <c r="EQ24" s="33"/>
      <c r="ER24" s="34">
        <f>IF(AND(ISNUMBER(ES24),ISNUMBER(EQ24)),ES24-EQ24,"")</f>
        <v>0</v>
      </c>
      <c r="ES24" s="33"/>
      <c r="ET24" s="34">
        <f>IF(AND(ISNUMBER(EU24),ISNUMBER(ES24)),EU24-ES24,"")</f>
        <v>0</v>
      </c>
      <c r="EU24" s="33"/>
      <c r="EV24" s="34">
        <f>IF(AND(ISNUMBER(EW24),ISNUMBER(EU24)),EW24-EU24,"")</f>
        <v>0</v>
      </c>
      <c r="EW24" s="33"/>
      <c r="EX24" s="34">
        <f>IF(AND(ISNUMBER(EY24),ISNUMBER(EW24)),EY24-EW24,"")</f>
        <v>0</v>
      </c>
      <c r="EY24" s="33"/>
      <c r="EZ24" s="34">
        <f>IF(AND(ISNUMBER(FA24),ISNUMBER(EY24)),FA24-EY24,"")</f>
        <v>0</v>
      </c>
      <c r="FA24" s="33"/>
      <c r="FB24" s="34">
        <f>IF(AND(ISNUMBER(FC24),ISNUMBER(FA24)),FC24-FA24,"")</f>
        <v>0</v>
      </c>
      <c r="FC24" s="33"/>
      <c r="FD24" s="34">
        <f>IF(AND(ISNUMBER(FE24),ISNUMBER(FC24)),FE24-FC24,"")</f>
        <v>0</v>
      </c>
      <c r="FE24" s="33"/>
      <c r="FF24" s="34">
        <f>IF(AND(ISNUMBER(FG24),ISNUMBER(FE24)),FG24-FE24,"")</f>
        <v>0</v>
      </c>
      <c r="FG24" s="33"/>
      <c r="FH24" s="34">
        <f>IF(AND(ISNUMBER(FI24),ISNUMBER(FG24)),FI24-FG24,"")</f>
        <v>0</v>
      </c>
      <c r="FI24" s="33"/>
      <c r="FJ24" s="34">
        <f>IF(AND(ISNUMBER(FK24),ISNUMBER(FI24)),FK24-FI24,"")</f>
        <v>0</v>
      </c>
      <c r="FK24" s="33"/>
      <c r="FL24" s="34">
        <f>IF(AND(ISNUMBER(FM24),ISNUMBER(FK24)),FM24-FK24,"")</f>
        <v>0</v>
      </c>
      <c r="FM24" s="33"/>
      <c r="FN24" s="34">
        <f>IF(AND(ISNUMBER(FO24),ISNUMBER(FM24)),FO24-FM24,"")</f>
        <v>0</v>
      </c>
      <c r="FO24" s="33"/>
      <c r="FP24" s="34">
        <f>IF(AND(ISNUMBER(FQ24),ISNUMBER(FO24)),FQ24-FO24,"")</f>
        <v>0</v>
      </c>
      <c r="FQ24" s="33"/>
      <c r="FR24" s="34">
        <f>IF(AND(ISNUMBER(FS24),ISNUMBER(FQ24)),FS24-FQ24,"")</f>
        <v>0</v>
      </c>
      <c r="FS24" s="33"/>
      <c r="FT24" s="34">
        <f>IF(AND(ISNUMBER(FU24),ISNUMBER(FS24)),FU24-FS24,"")</f>
        <v>0</v>
      </c>
      <c r="FU24" s="33"/>
      <c r="FV24" s="34">
        <f>IF(AND(ISNUMBER(FW24),ISNUMBER(FU24)),FW24-FU24,"")</f>
        <v>0</v>
      </c>
      <c r="FW24" s="33"/>
      <c r="FX24" s="34">
        <f>IF(AND(ISNUMBER(FY24),ISNUMBER(FW24)),FY24-FW24,"")</f>
        <v>0</v>
      </c>
      <c r="FY24" s="33"/>
      <c r="FZ24" s="34">
        <f>IF(AND(ISNUMBER(GA24),ISNUMBER(FY24)),GA24-FY24,"")</f>
        <v>0</v>
      </c>
      <c r="GA24" s="33"/>
      <c r="GB24" s="34">
        <f>IF(AND(ISNUMBER(GC24),ISNUMBER(GA24)),GC24-GA24,"")</f>
        <v>0</v>
      </c>
      <c r="GC24" s="33"/>
      <c r="GD24" s="34">
        <f>IF(AND(ISNUMBER(GE24),ISNUMBER(GC24)),GE24-GC24,"")</f>
        <v>0</v>
      </c>
      <c r="GE24" s="33"/>
      <c r="GF24" s="34">
        <f>IF(AND(ISNUMBER(GG24),ISNUMBER(GE24)),GG24-GE24,"")</f>
        <v>0</v>
      </c>
      <c r="GG24" s="33"/>
      <c r="GH24" s="34">
        <f>IF(AND(ISNUMBER(GI24),ISNUMBER(GG24)),GI24-GG24,"")</f>
        <v>0</v>
      </c>
      <c r="GI24" s="33"/>
      <c r="GJ24" s="34">
        <f>IF(AND(ISNUMBER(GK24),ISNUMBER(GI24)),GK24-GI24,"")</f>
        <v>0</v>
      </c>
      <c r="GK24" s="33"/>
      <c r="GL24" s="34">
        <f>IF(AND(ISNUMBER(GM24),ISNUMBER(GK24)),GM24-GK24,"")</f>
        <v>0</v>
      </c>
      <c r="GM24" s="33"/>
      <c r="GN24" s="34">
        <f>IF(AND(ISNUMBER(GO24),ISNUMBER(GM24)),GO24-GM24,"")</f>
        <v>0</v>
      </c>
      <c r="GO24" s="33"/>
      <c r="GP24" s="34">
        <f>IF(AND(ISNUMBER(GQ24),ISNUMBER(GO24)),GQ24-GO24,"")</f>
        <v>0</v>
      </c>
      <c r="GQ24" s="33"/>
      <c r="GR24" s="34">
        <f>IF(AND(ISNUMBER(GS24),ISNUMBER(GQ24)),GS24-GQ24,"")</f>
        <v>0</v>
      </c>
      <c r="GS24" s="33"/>
      <c r="GT24" s="34">
        <f>IF(AND(ISNUMBER(GU24),ISNUMBER(GS24)),GU24-GS24,"")</f>
        <v>0</v>
      </c>
      <c r="GU24" s="33"/>
      <c r="GV24" s="34">
        <f>IF(AND(ISNUMBER(GW24),ISNUMBER(GU24)),GW24-GU24,"")</f>
        <v>0</v>
      </c>
      <c r="GW24" s="33"/>
      <c r="GX24" s="34">
        <f>IF(AND(ISNUMBER(GY24),ISNUMBER(GW24)),GY24-GW24,"")</f>
        <v>0</v>
      </c>
      <c r="GY24" s="33"/>
      <c r="GZ24" s="34">
        <f>IF(AND(ISNUMBER(HA24),ISNUMBER(GY24)),HA24-GY24,"")</f>
        <v>0</v>
      </c>
      <c r="HA24" s="33"/>
      <c r="HB24" s="34">
        <f>IF(AND(ISNUMBER(HC24),ISNUMBER(HA24)),HC24-HA24,"")</f>
        <v>0</v>
      </c>
      <c r="HC24" s="33"/>
      <c r="HD24" s="34">
        <f>IF(AND(ISNUMBER(HE24),ISNUMBER(HC24)),HE24-HC24,"")</f>
        <v>0</v>
      </c>
      <c r="HE24" s="33"/>
      <c r="HF24" s="34">
        <f>IF(AND(ISNUMBER(HG24),ISNUMBER(HE24)),HG24-HE24,"")</f>
        <v>0</v>
      </c>
      <c r="HG24" s="33"/>
      <c r="HH24" s="34">
        <f>IF(AND(ISNUMBER(HI24),ISNUMBER(HG24)),HI24-HG24,"")</f>
        <v>0</v>
      </c>
      <c r="HI24" s="33"/>
      <c r="HJ24" s="34">
        <f>IF(AND(ISNUMBER(HK24),ISNUMBER(HI24)),HK24-HI24,"")</f>
        <v>0</v>
      </c>
      <c r="HK24" s="33"/>
      <c r="HL24" s="34">
        <f>IF(AND(ISNUMBER(HM24),ISNUMBER(HK24)),HM24-HK24,"")</f>
        <v>0</v>
      </c>
      <c r="HM24" s="33"/>
      <c r="HN24" s="34">
        <f>IF(AND(ISNUMBER(HO24),ISNUMBER(HM24)),HO24-HM24,"")</f>
        <v>0</v>
      </c>
      <c r="HO24" s="33"/>
      <c r="HP24" s="34">
        <f>IF(AND(ISNUMBER(HQ24),ISNUMBER(HO24)),HQ24-HO24,"")</f>
        <v>0</v>
      </c>
      <c r="HQ24" s="33"/>
      <c r="HR24" s="34">
        <f>IF(AND(ISNUMBER(HS24),ISNUMBER(HQ24)),HS24-HQ24,"")</f>
        <v>0</v>
      </c>
      <c r="HS24" s="33"/>
      <c r="HT24" s="34">
        <f>IF(AND(ISNUMBER(HU24),ISNUMBER(HS24)),HU24-HS24,"")</f>
        <v>0</v>
      </c>
      <c r="HU24" s="33"/>
      <c r="HV24" s="34">
        <f>IF(AND(ISNUMBER(HW24),ISNUMBER(HU24)),HW24-HU24,"")</f>
        <v>0</v>
      </c>
      <c r="HW24" s="33"/>
      <c r="HX24" s="34">
        <f>IF(AND(ISNUMBER(HY24),ISNUMBER(HW24)),HY24-HW24,"")</f>
        <v>0</v>
      </c>
      <c r="HY24" s="33"/>
      <c r="HZ24" s="34">
        <f>IF(AND(ISNUMBER(IA24),ISNUMBER(HY24)),IA24-HY24,"")</f>
        <v>0</v>
      </c>
      <c r="IA24" s="33"/>
      <c r="IB24" s="34">
        <f>IF(AND(ISNUMBER(IC24),ISNUMBER(IA24)),IC24-IA24,"")</f>
        <v>0</v>
      </c>
      <c r="IC24" s="33"/>
      <c r="ID24" s="34">
        <f>IF(AND(ISNUMBER(IE24),ISNUMBER(IC24)),IE24-IC24,"")</f>
        <v>0</v>
      </c>
      <c r="IE24" s="33"/>
      <c r="IF24" s="34">
        <f>IF(AND(ISNUMBER(IG24),ISNUMBER(IE24)),IG24-IE24,"")</f>
        <v>0</v>
      </c>
      <c r="IG24" s="33"/>
      <c r="IH24" s="34">
        <f>IF(AND(ISNUMBER(II24),ISNUMBER(IG24)),II24-IG24,"")</f>
        <v>0</v>
      </c>
      <c r="II24" s="33"/>
      <c r="IJ24" s="34">
        <f>IF(AND(ISNUMBER(IK24),ISNUMBER(II24)),IK24-II24,"")</f>
        <v>0</v>
      </c>
      <c r="IK24" s="33"/>
      <c r="IL24" s="34">
        <f>IF(AND(ISNUMBER(IM24),ISNUMBER(IK24)),IM24-IK24,"")</f>
        <v>0</v>
      </c>
      <c r="IM24" s="33"/>
      <c r="IN24" s="34">
        <f>IF(AND(ISNUMBER(IO24),ISNUMBER(IM24)),IO24-IM24,"")</f>
        <v>0</v>
      </c>
      <c r="IO24" s="33"/>
      <c r="IP24" s="34">
        <f>IF(AND(ISNUMBER(IQ24),ISNUMBER(IO24)),IQ24-IO24,"")</f>
        <v>0</v>
      </c>
      <c r="IQ24" s="33"/>
      <c r="IR24" s="34">
        <f>IF(AND(ISNUMBER(IS24),ISNUMBER(IQ24)),IS24-IQ24,"")</f>
        <v>0</v>
      </c>
      <c r="IS24" s="33"/>
      <c r="IT24" s="34">
        <f>IF(AND(ISNUMBER(IU24),ISNUMBER(IS24)),IU24-IS24,"")</f>
        <v>0</v>
      </c>
      <c r="IU24" s="33"/>
      <c r="IV24" s="34">
        <f>IF(AND(ISNUMBER(IW24),ISNUMBER(IU24)),IW24-IU24,"")</f>
        <v>0</v>
      </c>
      <c r="IW24" s="33"/>
      <c r="IX24" s="34">
        <f>IF(AND(ISNUMBER(IY24),ISNUMBER(IW24)),IY24-IW24,"")</f>
        <v>0</v>
      </c>
      <c r="IY24" s="33"/>
      <c r="IZ24" s="34">
        <f>IF(AND(ISNUMBER(JA24),ISNUMBER(IY24)),JA24-IY24,"")</f>
        <v>0</v>
      </c>
      <c r="JA24" s="33"/>
      <c r="JB24" s="34">
        <f>IF(AND(ISNUMBER(JC24),ISNUMBER(JA24)),JC24-JA24,"")</f>
        <v>0</v>
      </c>
      <c r="JC24" s="33"/>
      <c r="JD24" s="34">
        <f>IF(AND(ISNUMBER(JE24),ISNUMBER(JC24)),JE24-JC24,"")</f>
        <v>0</v>
      </c>
      <c r="JE24" s="33"/>
      <c r="JF24" s="34">
        <f>IF(AND(ISNUMBER(JG24),ISNUMBER(JE24)),JG24-JE24,"")</f>
        <v>0</v>
      </c>
      <c r="JG24" s="33"/>
      <c r="JH24" s="34">
        <f>IF(AND(ISNUMBER(JI24),ISNUMBER(JG24)),JI24-JG24,"")</f>
        <v>0</v>
      </c>
      <c r="JI24" s="33"/>
      <c r="JJ24" s="34">
        <f>IF(AND(ISNUMBER(JK24),ISNUMBER(JI24)),JK24-JI24,"")</f>
        <v>0</v>
      </c>
      <c r="JK24" s="33"/>
      <c r="JL24" s="34">
        <f>IF(AND(ISNUMBER(JM24),ISNUMBER(JK24)),JM24-JK24,"")</f>
        <v>0</v>
      </c>
      <c r="JM24" s="33"/>
      <c r="JN24" s="34">
        <f>IF(AND(ISNUMBER(JO24),ISNUMBER(JM24)),JO24-JM24,"")</f>
        <v>0</v>
      </c>
      <c r="JO24" s="33"/>
      <c r="JP24" s="34">
        <f>IF(AND(ISNUMBER(JQ24),ISNUMBER(JO24)),JQ24-JO24,"")</f>
        <v>0</v>
      </c>
      <c r="JQ24" s="33"/>
      <c r="JR24" s="34">
        <f>IF(AND(ISNUMBER(JS24),ISNUMBER(JQ24)),JS24-JQ24,"")</f>
        <v>0</v>
      </c>
      <c r="JS24" s="33"/>
      <c r="JT24" s="34">
        <f>IF(AND(ISNUMBER(JU24),ISNUMBER(JS24)),JU24-JS24,"")</f>
        <v>0</v>
      </c>
      <c r="JU24" s="33"/>
      <c r="JV24" s="34">
        <f>IF(AND(ISNUMBER(JW24),ISNUMBER(JU24)),JW24-JU24,"")</f>
        <v>0</v>
      </c>
      <c r="JW24" s="33"/>
      <c r="JX24" s="34">
        <f>IF(AND(ISNUMBER(JY24),ISNUMBER(JW24)),JY24-JW24,"")</f>
        <v>0</v>
      </c>
      <c r="JY24" s="33"/>
      <c r="JZ24" s="34">
        <f>IF(AND(ISNUMBER(KA24),ISNUMBER(JY24)),KA24-JY24,"")</f>
        <v>0</v>
      </c>
      <c r="KA24" s="33"/>
      <c r="KB24" s="34">
        <f>IF(AND(ISNUMBER(KC24),ISNUMBER(KA24)),KC24-KA24,"")</f>
        <v>0</v>
      </c>
      <c r="KC24" s="33"/>
      <c r="KD24" s="34">
        <f>IF(AND(ISNUMBER(KE24),ISNUMBER(KC24)),KE24-KC24,"")</f>
        <v>0</v>
      </c>
      <c r="KE24" s="33"/>
      <c r="KF24" s="34">
        <f>IF(AND(ISNUMBER(KG24),ISNUMBER(KE24)),KG24-KE24,"")</f>
        <v>0</v>
      </c>
      <c r="KG24" s="33"/>
      <c r="KH24" s="34">
        <f>IF(AND(ISNUMBER(KI24),ISNUMBER(KG24)),KI24-KG24,"")</f>
        <v>0</v>
      </c>
      <c r="KI24" s="33"/>
      <c r="KJ24" s="34">
        <f>IF(AND(ISNUMBER(KK24),ISNUMBER(KI24)),KK24-KI24,"")</f>
        <v>0</v>
      </c>
      <c r="KK24" s="33"/>
      <c r="KL24" s="34">
        <f>IF(AND(ISNUMBER(KM24),ISNUMBER(KK24)),KM24-KK24,"")</f>
        <v>0</v>
      </c>
      <c r="KM24" s="33"/>
      <c r="KN24" s="34">
        <f>IF(AND(ISNUMBER(KO24),ISNUMBER(KM24)),KO24-KM24,"")</f>
        <v>0</v>
      </c>
      <c r="KO24" s="33"/>
      <c r="KP24" s="34">
        <f>IF(AND(ISNUMBER(KQ24),ISNUMBER(KO24)),KQ24-KO24,"")</f>
        <v>0</v>
      </c>
      <c r="KQ24" s="33"/>
      <c r="KR24" s="34">
        <f>IF(AND(ISNUMBER(KS24),ISNUMBER(KQ24)),KS24-KQ24,"")</f>
        <v>0</v>
      </c>
      <c r="KS24" s="33"/>
      <c r="KT24" s="34">
        <f>IF(AND(ISNUMBER(KU24),ISNUMBER(KS24)),KU24-KS24,"")</f>
        <v>0</v>
      </c>
      <c r="KU24" s="33"/>
      <c r="KV24" s="34">
        <f>IF(AND(ISNUMBER(KW24),ISNUMBER(KU24)),KW24-KU24,"")</f>
        <v>0</v>
      </c>
      <c r="KW24" s="33"/>
      <c r="KX24" s="34">
        <f>IF(AND(ISNUMBER(KY24),ISNUMBER(KW24)),KY24-KW24,"")</f>
        <v>0</v>
      </c>
      <c r="KY24" s="33"/>
      <c r="KZ24" s="34">
        <f>IF(AND(ISNUMBER(LA24),ISNUMBER(KY24)),LA24-KY24,"")</f>
        <v>0</v>
      </c>
      <c r="LA24" s="33"/>
      <c r="LB24" s="34">
        <f>IF(AND(ISNUMBER(LC24),ISNUMBER(LA24)),LC24-LA24,"")</f>
        <v>0</v>
      </c>
      <c r="LC24" s="33"/>
      <c r="LD24" s="34">
        <f>IF(AND(ISNUMBER(LE24),ISNUMBER(LC24)),LE24-LC24,"")</f>
        <v>0</v>
      </c>
      <c r="LE24" s="33"/>
      <c r="LF24" s="34">
        <f>IF(AND(ISNUMBER(LG24),ISNUMBER(LE24)),LG24-LE24,"")</f>
        <v>0</v>
      </c>
      <c r="LG24" s="33"/>
    </row>
    <row r="25" spans="1:322" hidden="1" outlineLevel="1">
      <c r="B25" s="23"/>
      <c r="D25" s="31" t="s">
        <v>715</v>
      </c>
      <c r="E25" s="32" t="s">
        <v>1059</v>
      </c>
      <c r="I25" s="40" t="s">
        <v>1088</v>
      </c>
      <c r="J25" s="34">
        <f>IF(AND(ISNUMBER(K25),ISNUMBER(I25)),K25-I25,"")</f>
        <v>0</v>
      </c>
      <c r="K25" s="33">
        <v>5</v>
      </c>
      <c r="L25" s="34">
        <f>IF(AND(ISNUMBER(M25),ISNUMBER(K25)),M25-K25,"")</f>
        <v>0</v>
      </c>
      <c r="M25" s="33">
        <v>0</v>
      </c>
      <c r="N25" s="34">
        <f>IF(AND(ISNUMBER(O25),ISNUMBER(M25)),O25-M25,"")</f>
        <v>0</v>
      </c>
      <c r="O25" s="40" t="s">
        <v>1088</v>
      </c>
      <c r="P25" s="34">
        <f>IF(AND(ISNUMBER(Q25),ISNUMBER(O25)),Q25-O25,"")</f>
        <v>0</v>
      </c>
      <c r="Q25" s="33">
        <v>0</v>
      </c>
      <c r="R25" s="34">
        <f>IF(AND(ISNUMBER(S25),ISNUMBER(Q25)),S25-Q25,"")</f>
        <v>0</v>
      </c>
      <c r="S25" s="33">
        <v>1</v>
      </c>
      <c r="T25" s="34">
        <f>IF(AND(ISNUMBER(U25),ISNUMBER(S25)),U25-S25,"")</f>
        <v>0</v>
      </c>
      <c r="U25" s="33">
        <v>0</v>
      </c>
      <c r="V25" s="34">
        <f>IF(AND(ISNUMBER(W25),ISNUMBER(U25)),W25-U25,"")</f>
        <v>0</v>
      </c>
      <c r="W25" s="33">
        <v>0</v>
      </c>
      <c r="X25" s="34">
        <f>IF(AND(ISNUMBER(Y25),ISNUMBER(W25)),Y25-W25,"")</f>
        <v>0</v>
      </c>
      <c r="Y25" s="33">
        <v>0</v>
      </c>
      <c r="Z25" s="34">
        <f>IF(AND(ISNUMBER(AA25),ISNUMBER(Y25)),AA25-Y25,"")</f>
        <v>0</v>
      </c>
      <c r="AA25" s="40" t="s">
        <v>1088</v>
      </c>
      <c r="AB25" s="34">
        <f>IF(AND(ISNUMBER(AC25),ISNUMBER(AA25)),AC25-AA25,"")</f>
        <v>0</v>
      </c>
      <c r="AC25" s="33">
        <v>0</v>
      </c>
      <c r="AD25" s="34">
        <f>IF(AND(ISNUMBER(AE25),ISNUMBER(AC25)),AE25-AC25,"")</f>
        <v>0</v>
      </c>
      <c r="AE25" s="33">
        <v>0</v>
      </c>
      <c r="AF25" s="34">
        <f>IF(AND(ISNUMBER(AG25),ISNUMBER(AE25)),AG25-AE25,"")</f>
        <v>0</v>
      </c>
      <c r="AG25" s="33">
        <v>0</v>
      </c>
      <c r="AH25" s="34">
        <f>IF(AND(ISNUMBER(AI25),ISNUMBER(AG25)),AI25-AG25,"")</f>
        <v>0</v>
      </c>
      <c r="AI25" s="33">
        <v>0</v>
      </c>
      <c r="AJ25" s="34">
        <f>IF(AND(ISNUMBER(AK25),ISNUMBER(AI25)),AK25-AI25,"")</f>
        <v>0</v>
      </c>
      <c r="AK25" s="33">
        <v>0</v>
      </c>
      <c r="AL25" s="34">
        <f>IF(AND(ISNUMBER(AM25),ISNUMBER(AK25)),AM25-AK25,"")</f>
        <v>0</v>
      </c>
      <c r="AM25" s="33">
        <v>0</v>
      </c>
      <c r="AN25" s="34">
        <f>IF(AND(ISNUMBER(AO25),ISNUMBER(AM25)),AO25-AM25,"")</f>
        <v>0</v>
      </c>
      <c r="AO25" s="33">
        <v>0</v>
      </c>
      <c r="AP25" s="34">
        <f>IF(AND(ISNUMBER(AQ25),ISNUMBER(AO25)),AQ25-AO25,"")</f>
        <v>0</v>
      </c>
      <c r="AQ25" s="33">
        <v>0</v>
      </c>
      <c r="AR25" s="34">
        <f>IF(AND(ISNUMBER(AS25),ISNUMBER(AQ25)),AS25-AQ25,"")</f>
        <v>0</v>
      </c>
      <c r="AS25" s="33">
        <v>0</v>
      </c>
      <c r="AT25" s="34">
        <f>IF(AND(ISNUMBER(AU25),ISNUMBER(AS25)),AU25-AS25,"")</f>
        <v>0</v>
      </c>
      <c r="AU25" s="33">
        <v>0</v>
      </c>
      <c r="AV25" s="34">
        <f>IF(AND(ISNUMBER(AW25),ISNUMBER(AU25)),AW25-AU25,"")</f>
        <v>0</v>
      </c>
      <c r="AW25" s="33">
        <v>0</v>
      </c>
      <c r="AX25" s="34">
        <f>IF(AND(ISNUMBER(AY25),ISNUMBER(AW25)),AY25-AW25,"")</f>
        <v>0</v>
      </c>
      <c r="AY25" s="33">
        <v>0</v>
      </c>
      <c r="AZ25" s="34">
        <f>IF(AND(ISNUMBER(BA25),ISNUMBER(AY25)),BA25-AY25,"")</f>
        <v>0</v>
      </c>
      <c r="BA25" s="33">
        <v>0</v>
      </c>
      <c r="BB25" s="34">
        <f>IF(AND(ISNUMBER(BC25),ISNUMBER(BA25)),BC25-BA25,"")</f>
        <v>0</v>
      </c>
      <c r="BC25" s="33">
        <v>0</v>
      </c>
      <c r="BD25" s="34">
        <f>IF(AND(ISNUMBER(BE25),ISNUMBER(BC25)),BE25-BC25,"")</f>
        <v>0</v>
      </c>
      <c r="BE25" s="33">
        <v>0</v>
      </c>
      <c r="BF25" s="34">
        <f>IF(AND(ISNUMBER(BG25),ISNUMBER(BE25)),BG25-BE25,"")</f>
        <v>0</v>
      </c>
      <c r="BG25" s="33">
        <v>0</v>
      </c>
      <c r="BH25" s="34">
        <f>IF(AND(ISNUMBER(BI25),ISNUMBER(BG25)),BI25-BG25,"")</f>
        <v>0</v>
      </c>
      <c r="BI25" s="33">
        <v>0</v>
      </c>
      <c r="BJ25" s="34">
        <f>IF(AND(ISNUMBER(BK25),ISNUMBER(BI25)),BK25-BI25,"")</f>
        <v>0</v>
      </c>
      <c r="BK25" s="33">
        <v>0</v>
      </c>
      <c r="BL25" s="34">
        <f>IF(AND(ISNUMBER(BM25),ISNUMBER(BK25)),BM25-BK25,"")</f>
        <v>0</v>
      </c>
      <c r="BM25" s="33">
        <v>0</v>
      </c>
      <c r="BN25" s="34">
        <f>IF(AND(ISNUMBER(BO25),ISNUMBER(BM25)),BO25-BM25,"")</f>
        <v>0</v>
      </c>
      <c r="BO25" s="33">
        <v>0</v>
      </c>
      <c r="BP25" s="34">
        <f>IF(AND(ISNUMBER(BQ25),ISNUMBER(BO25)),BQ25-BO25,"")</f>
        <v>0</v>
      </c>
      <c r="BQ25" s="33">
        <v>0</v>
      </c>
      <c r="BR25" s="34">
        <f>IF(AND(ISNUMBER(BS25),ISNUMBER(BQ25)),BS25-BQ25,"")</f>
        <v>0</v>
      </c>
      <c r="BS25" s="33">
        <v>0</v>
      </c>
      <c r="BT25" s="34">
        <f>IF(AND(ISNUMBER(BU25),ISNUMBER(BS25)),BU25-BS25,"")</f>
        <v>0</v>
      </c>
      <c r="BU25" s="33">
        <v>0</v>
      </c>
      <c r="BV25" s="34">
        <f>IF(AND(ISNUMBER(BW25),ISNUMBER(BU25)),BW25-BU25,"")</f>
        <v>0</v>
      </c>
      <c r="BW25" s="33">
        <v>0</v>
      </c>
      <c r="BX25" s="34">
        <f>IF(AND(ISNUMBER(BY25),ISNUMBER(BW25)),BY25-BW25,"")</f>
        <v>0</v>
      </c>
      <c r="BY25" s="33">
        <v>11</v>
      </c>
      <c r="BZ25" s="34">
        <f>IF(AND(ISNUMBER(CA25),ISNUMBER(BY25)),CA25-BY25,"")</f>
        <v>0</v>
      </c>
      <c r="CA25" s="33">
        <v>32</v>
      </c>
      <c r="CB25" s="34">
        <f>IF(AND(ISNUMBER(CC25),ISNUMBER(CA25)),CC25-CA25,"")</f>
        <v>0</v>
      </c>
      <c r="CC25" s="33">
        <v>21</v>
      </c>
      <c r="CD25" s="34">
        <f>IF(AND(ISNUMBER(CE25),ISNUMBER(CC25)),CE25-CC25,"")</f>
        <v>0</v>
      </c>
      <c r="CE25" s="33">
        <v>23</v>
      </c>
      <c r="CF25" s="34">
        <f>IF(AND(ISNUMBER(CG25),ISNUMBER(CE25)),CG25-CE25,"")</f>
        <v>0</v>
      </c>
      <c r="CG25" s="33">
        <v>32</v>
      </c>
      <c r="CH25" s="34">
        <f>IF(AND(ISNUMBER(CI25),ISNUMBER(CG25)),CI25-CG25,"")</f>
        <v>0</v>
      </c>
      <c r="CI25" s="33">
        <v>32</v>
      </c>
      <c r="CJ25" s="34">
        <f>IF(AND(ISNUMBER(CK25),ISNUMBER(CI25)),CK25-CI25,"")</f>
        <v>0</v>
      </c>
      <c r="CK25" s="33">
        <v>32</v>
      </c>
      <c r="CL25" s="34">
        <f>IF(AND(ISNUMBER(CM25),ISNUMBER(CK25)),CM25-CK25,"")</f>
        <v>0</v>
      </c>
      <c r="CM25" s="33">
        <v>32</v>
      </c>
      <c r="CN25" s="34">
        <f>IF(AND(ISNUMBER(CO25),ISNUMBER(CM25)),CO25-CM25,"")</f>
        <v>0</v>
      </c>
      <c r="CO25" s="33">
        <v>32</v>
      </c>
      <c r="CP25" s="34">
        <f>IF(AND(ISNUMBER(CQ25),ISNUMBER(CO25)),CQ25-CO25,"")</f>
        <v>0</v>
      </c>
      <c r="CQ25" s="33">
        <v>32</v>
      </c>
      <c r="CR25" s="34">
        <f>IF(AND(ISNUMBER(CS25),ISNUMBER(CQ25)),CS25-CQ25,"")</f>
        <v>0</v>
      </c>
      <c r="CS25" s="33">
        <v>2</v>
      </c>
      <c r="CT25" s="34">
        <f>IF(AND(ISNUMBER(CU25),ISNUMBER(CS25)),CU25-CS25,"")</f>
        <v>0</v>
      </c>
      <c r="CU25" s="33">
        <v>32</v>
      </c>
      <c r="CV25" s="34">
        <f>IF(AND(ISNUMBER(CW25),ISNUMBER(CU25)),CW25-CU25,"")</f>
        <v>0</v>
      </c>
      <c r="CW25" s="33">
        <v>32</v>
      </c>
      <c r="CX25" s="34">
        <f>IF(AND(ISNUMBER(CY25),ISNUMBER(CW25)),CY25-CW25,"")</f>
        <v>0</v>
      </c>
      <c r="CY25" s="33">
        <v>2</v>
      </c>
      <c r="CZ25" s="34">
        <f>IF(AND(ISNUMBER(DA25),ISNUMBER(CY25)),DA25-CY25,"")</f>
        <v>0</v>
      </c>
      <c r="DA25" s="33"/>
      <c r="DB25" s="34">
        <f>IF(AND(ISNUMBER(DC25),ISNUMBER(DA25)),DC25-DA25,"")</f>
        <v>0</v>
      </c>
      <c r="DC25" s="33"/>
      <c r="DD25" s="34">
        <f>IF(AND(ISNUMBER(DE25),ISNUMBER(DC25)),DE25-DC25,"")</f>
        <v>0</v>
      </c>
      <c r="DE25" s="33"/>
      <c r="DF25" s="34">
        <f>IF(AND(ISNUMBER(DG25),ISNUMBER(DE25)),DG25-DE25,"")</f>
        <v>0</v>
      </c>
      <c r="DG25" s="33"/>
      <c r="DH25" s="34">
        <f>IF(AND(ISNUMBER(DI25),ISNUMBER(DG25)),DI25-DG25,"")</f>
        <v>0</v>
      </c>
      <c r="DI25" s="33"/>
      <c r="DJ25" s="34">
        <f>IF(AND(ISNUMBER(DK25),ISNUMBER(DI25)),DK25-DI25,"")</f>
        <v>0</v>
      </c>
      <c r="DK25" s="33"/>
      <c r="DL25" s="34">
        <f>IF(AND(ISNUMBER(DM25),ISNUMBER(DK25)),DM25-DK25,"")</f>
        <v>0</v>
      </c>
      <c r="DM25" s="33"/>
      <c r="DN25" s="34">
        <f>IF(AND(ISNUMBER(DO25),ISNUMBER(DM25)),DO25-DM25,"")</f>
        <v>0</v>
      </c>
      <c r="DO25" s="33"/>
      <c r="DP25" s="34">
        <f>IF(AND(ISNUMBER(DQ25),ISNUMBER(DO25)),DQ25-DO25,"")</f>
        <v>0</v>
      </c>
      <c r="DQ25" s="33"/>
      <c r="DR25" s="34">
        <f>IF(AND(ISNUMBER(DS25),ISNUMBER(DQ25)),DS25-DQ25,"")</f>
        <v>0</v>
      </c>
      <c r="DS25" s="33"/>
      <c r="DT25" s="34">
        <f>IF(AND(ISNUMBER(DU25),ISNUMBER(DS25)),DU25-DS25,"")</f>
        <v>0</v>
      </c>
      <c r="DU25" s="33"/>
      <c r="DV25" s="34">
        <f>IF(AND(ISNUMBER(DW25),ISNUMBER(DU25)),DW25-DU25,"")</f>
        <v>0</v>
      </c>
      <c r="DW25" s="33"/>
      <c r="DX25" s="34">
        <f>IF(AND(ISNUMBER(DY25),ISNUMBER(DW25)),DY25-DW25,"")</f>
        <v>0</v>
      </c>
      <c r="DY25" s="33"/>
      <c r="DZ25" s="34">
        <f>IF(AND(ISNUMBER(EA25),ISNUMBER(DY25)),EA25-DY25,"")</f>
        <v>0</v>
      </c>
      <c r="EA25" s="33"/>
      <c r="EB25" s="34">
        <f>IF(AND(ISNUMBER(EC25),ISNUMBER(EA25)),EC25-EA25,"")</f>
        <v>0</v>
      </c>
      <c r="EC25" s="33"/>
      <c r="ED25" s="34">
        <f>IF(AND(ISNUMBER(EE25),ISNUMBER(EC25)),EE25-EC25,"")</f>
        <v>0</v>
      </c>
      <c r="EE25" s="33"/>
      <c r="EF25" s="34">
        <f>IF(AND(ISNUMBER(EG25),ISNUMBER(EE25)),EG25-EE25,"")</f>
        <v>0</v>
      </c>
      <c r="EG25" s="33"/>
      <c r="EH25" s="34">
        <f>IF(AND(ISNUMBER(EI25),ISNUMBER(EG25)),EI25-EG25,"")</f>
        <v>0</v>
      </c>
      <c r="EI25" s="33"/>
      <c r="EJ25" s="34">
        <f>IF(AND(ISNUMBER(EK25),ISNUMBER(EI25)),EK25-EI25,"")</f>
        <v>0</v>
      </c>
      <c r="EK25" s="33"/>
      <c r="EL25" s="34">
        <f>IF(AND(ISNUMBER(EM25),ISNUMBER(EK25)),EM25-EK25,"")</f>
        <v>0</v>
      </c>
      <c r="EM25" s="33"/>
      <c r="EN25" s="34">
        <f>IF(AND(ISNUMBER(EO25),ISNUMBER(EM25)),EO25-EM25,"")</f>
        <v>0</v>
      </c>
      <c r="EO25" s="33"/>
      <c r="EP25" s="34">
        <f>IF(AND(ISNUMBER(EQ25),ISNUMBER(EO25)),EQ25-EO25,"")</f>
        <v>0</v>
      </c>
      <c r="EQ25" s="33"/>
      <c r="ER25" s="34">
        <f>IF(AND(ISNUMBER(ES25),ISNUMBER(EQ25)),ES25-EQ25,"")</f>
        <v>0</v>
      </c>
      <c r="ES25" s="33"/>
      <c r="ET25" s="34">
        <f>IF(AND(ISNUMBER(EU25),ISNUMBER(ES25)),EU25-ES25,"")</f>
        <v>0</v>
      </c>
      <c r="EU25" s="33"/>
      <c r="EV25" s="34">
        <f>IF(AND(ISNUMBER(EW25),ISNUMBER(EU25)),EW25-EU25,"")</f>
        <v>0</v>
      </c>
      <c r="EW25" s="33"/>
      <c r="EX25" s="34">
        <f>IF(AND(ISNUMBER(EY25),ISNUMBER(EW25)),EY25-EW25,"")</f>
        <v>0</v>
      </c>
      <c r="EY25" s="33"/>
      <c r="EZ25" s="34">
        <f>IF(AND(ISNUMBER(FA25),ISNUMBER(EY25)),FA25-EY25,"")</f>
        <v>0</v>
      </c>
      <c r="FA25" s="33"/>
      <c r="FB25" s="34">
        <f>IF(AND(ISNUMBER(FC25),ISNUMBER(FA25)),FC25-FA25,"")</f>
        <v>0</v>
      </c>
      <c r="FC25" s="33"/>
      <c r="FD25" s="34">
        <f>IF(AND(ISNUMBER(FE25),ISNUMBER(FC25)),FE25-FC25,"")</f>
        <v>0</v>
      </c>
      <c r="FE25" s="33"/>
      <c r="FF25" s="34">
        <f>IF(AND(ISNUMBER(FG25),ISNUMBER(FE25)),FG25-FE25,"")</f>
        <v>0</v>
      </c>
      <c r="FG25" s="33"/>
      <c r="FH25" s="34">
        <f>IF(AND(ISNUMBER(FI25),ISNUMBER(FG25)),FI25-FG25,"")</f>
        <v>0</v>
      </c>
      <c r="FI25" s="33"/>
      <c r="FJ25" s="34">
        <f>IF(AND(ISNUMBER(FK25),ISNUMBER(FI25)),FK25-FI25,"")</f>
        <v>0</v>
      </c>
      <c r="FK25" s="33"/>
      <c r="FL25" s="34">
        <f>IF(AND(ISNUMBER(FM25),ISNUMBER(FK25)),FM25-FK25,"")</f>
        <v>0</v>
      </c>
      <c r="FM25" s="33"/>
      <c r="FN25" s="34">
        <f>IF(AND(ISNUMBER(FO25),ISNUMBER(FM25)),FO25-FM25,"")</f>
        <v>0</v>
      </c>
      <c r="FO25" s="33"/>
      <c r="FP25" s="34">
        <f>IF(AND(ISNUMBER(FQ25),ISNUMBER(FO25)),FQ25-FO25,"")</f>
        <v>0</v>
      </c>
      <c r="FQ25" s="33"/>
      <c r="FR25" s="34">
        <f>IF(AND(ISNUMBER(FS25),ISNUMBER(FQ25)),FS25-FQ25,"")</f>
        <v>0</v>
      </c>
      <c r="FS25" s="33"/>
      <c r="FT25" s="34">
        <f>IF(AND(ISNUMBER(FU25),ISNUMBER(FS25)),FU25-FS25,"")</f>
        <v>0</v>
      </c>
      <c r="FU25" s="33"/>
      <c r="FV25" s="34">
        <f>IF(AND(ISNUMBER(FW25),ISNUMBER(FU25)),FW25-FU25,"")</f>
        <v>0</v>
      </c>
      <c r="FW25" s="33"/>
      <c r="FX25" s="34">
        <f>IF(AND(ISNUMBER(FY25),ISNUMBER(FW25)),FY25-FW25,"")</f>
        <v>0</v>
      </c>
      <c r="FY25" s="33"/>
      <c r="FZ25" s="34">
        <f>IF(AND(ISNUMBER(GA25),ISNUMBER(FY25)),GA25-FY25,"")</f>
        <v>0</v>
      </c>
      <c r="GA25" s="33"/>
      <c r="GB25" s="34">
        <f>IF(AND(ISNUMBER(GC25),ISNUMBER(GA25)),GC25-GA25,"")</f>
        <v>0</v>
      </c>
      <c r="GC25" s="33"/>
      <c r="GD25" s="34">
        <f>IF(AND(ISNUMBER(GE25),ISNUMBER(GC25)),GE25-GC25,"")</f>
        <v>0</v>
      </c>
      <c r="GE25" s="33"/>
      <c r="GF25" s="34">
        <f>IF(AND(ISNUMBER(GG25),ISNUMBER(GE25)),GG25-GE25,"")</f>
        <v>0</v>
      </c>
      <c r="GG25" s="33"/>
      <c r="GH25" s="34">
        <f>IF(AND(ISNUMBER(GI25),ISNUMBER(GG25)),GI25-GG25,"")</f>
        <v>0</v>
      </c>
      <c r="GI25" s="33"/>
      <c r="GJ25" s="34">
        <f>IF(AND(ISNUMBER(GK25),ISNUMBER(GI25)),GK25-GI25,"")</f>
        <v>0</v>
      </c>
      <c r="GK25" s="33"/>
      <c r="GL25" s="34">
        <f>IF(AND(ISNUMBER(GM25),ISNUMBER(GK25)),GM25-GK25,"")</f>
        <v>0</v>
      </c>
      <c r="GM25" s="33"/>
      <c r="GN25" s="34">
        <f>IF(AND(ISNUMBER(GO25),ISNUMBER(GM25)),GO25-GM25,"")</f>
        <v>0</v>
      </c>
      <c r="GO25" s="33"/>
      <c r="GP25" s="34">
        <f>IF(AND(ISNUMBER(GQ25),ISNUMBER(GO25)),GQ25-GO25,"")</f>
        <v>0</v>
      </c>
      <c r="GQ25" s="33"/>
      <c r="GR25" s="34">
        <f>IF(AND(ISNUMBER(GS25),ISNUMBER(GQ25)),GS25-GQ25,"")</f>
        <v>0</v>
      </c>
      <c r="GS25" s="33"/>
      <c r="GT25" s="34">
        <f>IF(AND(ISNUMBER(GU25),ISNUMBER(GS25)),GU25-GS25,"")</f>
        <v>0</v>
      </c>
      <c r="GU25" s="33"/>
      <c r="GV25" s="34">
        <f>IF(AND(ISNUMBER(GW25),ISNUMBER(GU25)),GW25-GU25,"")</f>
        <v>0</v>
      </c>
      <c r="GW25" s="33"/>
      <c r="GX25" s="34">
        <f>IF(AND(ISNUMBER(GY25),ISNUMBER(GW25)),GY25-GW25,"")</f>
        <v>0</v>
      </c>
      <c r="GY25" s="33"/>
      <c r="GZ25" s="34">
        <f>IF(AND(ISNUMBER(HA25),ISNUMBER(GY25)),HA25-GY25,"")</f>
        <v>0</v>
      </c>
      <c r="HA25" s="33"/>
      <c r="HB25" s="34">
        <f>IF(AND(ISNUMBER(HC25),ISNUMBER(HA25)),HC25-HA25,"")</f>
        <v>0</v>
      </c>
      <c r="HC25" s="33"/>
      <c r="HD25" s="34">
        <f>IF(AND(ISNUMBER(HE25),ISNUMBER(HC25)),HE25-HC25,"")</f>
        <v>0</v>
      </c>
      <c r="HE25" s="33"/>
      <c r="HF25" s="34">
        <f>IF(AND(ISNUMBER(HG25),ISNUMBER(HE25)),HG25-HE25,"")</f>
        <v>0</v>
      </c>
      <c r="HG25" s="33"/>
      <c r="HH25" s="34">
        <f>IF(AND(ISNUMBER(HI25),ISNUMBER(HG25)),HI25-HG25,"")</f>
        <v>0</v>
      </c>
      <c r="HI25" s="33"/>
      <c r="HJ25" s="34">
        <f>IF(AND(ISNUMBER(HK25),ISNUMBER(HI25)),HK25-HI25,"")</f>
        <v>0</v>
      </c>
      <c r="HK25" s="33"/>
      <c r="HL25" s="34">
        <f>IF(AND(ISNUMBER(HM25),ISNUMBER(HK25)),HM25-HK25,"")</f>
        <v>0</v>
      </c>
      <c r="HM25" s="33"/>
      <c r="HN25" s="34">
        <f>IF(AND(ISNUMBER(HO25),ISNUMBER(HM25)),HO25-HM25,"")</f>
        <v>0</v>
      </c>
      <c r="HO25" s="33"/>
      <c r="HP25" s="34">
        <f>IF(AND(ISNUMBER(HQ25),ISNUMBER(HO25)),HQ25-HO25,"")</f>
        <v>0</v>
      </c>
      <c r="HQ25" s="33"/>
      <c r="HR25" s="34">
        <f>IF(AND(ISNUMBER(HS25),ISNUMBER(HQ25)),HS25-HQ25,"")</f>
        <v>0</v>
      </c>
      <c r="HS25" s="33"/>
      <c r="HT25" s="34">
        <f>IF(AND(ISNUMBER(HU25),ISNUMBER(HS25)),HU25-HS25,"")</f>
        <v>0</v>
      </c>
      <c r="HU25" s="33"/>
      <c r="HV25" s="34">
        <f>IF(AND(ISNUMBER(HW25),ISNUMBER(HU25)),HW25-HU25,"")</f>
        <v>0</v>
      </c>
      <c r="HW25" s="33"/>
      <c r="HX25" s="34">
        <f>IF(AND(ISNUMBER(HY25),ISNUMBER(HW25)),HY25-HW25,"")</f>
        <v>0</v>
      </c>
      <c r="HY25" s="33"/>
      <c r="HZ25" s="34">
        <f>IF(AND(ISNUMBER(IA25),ISNUMBER(HY25)),IA25-HY25,"")</f>
        <v>0</v>
      </c>
      <c r="IA25" s="33"/>
      <c r="IB25" s="34">
        <f>IF(AND(ISNUMBER(IC25),ISNUMBER(IA25)),IC25-IA25,"")</f>
        <v>0</v>
      </c>
      <c r="IC25" s="33"/>
      <c r="ID25" s="34">
        <f>IF(AND(ISNUMBER(IE25),ISNUMBER(IC25)),IE25-IC25,"")</f>
        <v>0</v>
      </c>
      <c r="IE25" s="33"/>
      <c r="IF25" s="34">
        <f>IF(AND(ISNUMBER(IG25),ISNUMBER(IE25)),IG25-IE25,"")</f>
        <v>0</v>
      </c>
      <c r="IG25" s="33"/>
      <c r="IH25" s="34">
        <f>IF(AND(ISNUMBER(II25),ISNUMBER(IG25)),II25-IG25,"")</f>
        <v>0</v>
      </c>
      <c r="II25" s="33"/>
      <c r="IJ25" s="34">
        <f>IF(AND(ISNUMBER(IK25),ISNUMBER(II25)),IK25-II25,"")</f>
        <v>0</v>
      </c>
      <c r="IK25" s="33"/>
      <c r="IL25" s="34">
        <f>IF(AND(ISNUMBER(IM25),ISNUMBER(IK25)),IM25-IK25,"")</f>
        <v>0</v>
      </c>
      <c r="IM25" s="33"/>
      <c r="IN25" s="34">
        <f>IF(AND(ISNUMBER(IO25),ISNUMBER(IM25)),IO25-IM25,"")</f>
        <v>0</v>
      </c>
      <c r="IO25" s="33"/>
      <c r="IP25" s="34">
        <f>IF(AND(ISNUMBER(IQ25),ISNUMBER(IO25)),IQ25-IO25,"")</f>
        <v>0</v>
      </c>
      <c r="IQ25" s="33"/>
      <c r="IR25" s="34">
        <f>IF(AND(ISNUMBER(IS25),ISNUMBER(IQ25)),IS25-IQ25,"")</f>
        <v>0</v>
      </c>
      <c r="IS25" s="33"/>
      <c r="IT25" s="34">
        <f>IF(AND(ISNUMBER(IU25),ISNUMBER(IS25)),IU25-IS25,"")</f>
        <v>0</v>
      </c>
      <c r="IU25" s="33"/>
      <c r="IV25" s="34">
        <f>IF(AND(ISNUMBER(IW25),ISNUMBER(IU25)),IW25-IU25,"")</f>
        <v>0</v>
      </c>
      <c r="IW25" s="33"/>
      <c r="IX25" s="34">
        <f>IF(AND(ISNUMBER(IY25),ISNUMBER(IW25)),IY25-IW25,"")</f>
        <v>0</v>
      </c>
      <c r="IY25" s="33"/>
      <c r="IZ25" s="34">
        <f>IF(AND(ISNUMBER(JA25),ISNUMBER(IY25)),JA25-IY25,"")</f>
        <v>0</v>
      </c>
      <c r="JA25" s="33"/>
      <c r="JB25" s="34">
        <f>IF(AND(ISNUMBER(JC25),ISNUMBER(JA25)),JC25-JA25,"")</f>
        <v>0</v>
      </c>
      <c r="JC25" s="33"/>
      <c r="JD25" s="34">
        <f>IF(AND(ISNUMBER(JE25),ISNUMBER(JC25)),JE25-JC25,"")</f>
        <v>0</v>
      </c>
      <c r="JE25" s="33"/>
      <c r="JF25" s="34">
        <f>IF(AND(ISNUMBER(JG25),ISNUMBER(JE25)),JG25-JE25,"")</f>
        <v>0</v>
      </c>
      <c r="JG25" s="33"/>
      <c r="JH25" s="34">
        <f>IF(AND(ISNUMBER(JI25),ISNUMBER(JG25)),JI25-JG25,"")</f>
        <v>0</v>
      </c>
      <c r="JI25" s="33"/>
      <c r="JJ25" s="34">
        <f>IF(AND(ISNUMBER(JK25),ISNUMBER(JI25)),JK25-JI25,"")</f>
        <v>0</v>
      </c>
      <c r="JK25" s="33"/>
      <c r="JL25" s="34">
        <f>IF(AND(ISNUMBER(JM25),ISNUMBER(JK25)),JM25-JK25,"")</f>
        <v>0</v>
      </c>
      <c r="JM25" s="33"/>
      <c r="JN25" s="34">
        <f>IF(AND(ISNUMBER(JO25),ISNUMBER(JM25)),JO25-JM25,"")</f>
        <v>0</v>
      </c>
      <c r="JO25" s="33"/>
      <c r="JP25" s="34">
        <f>IF(AND(ISNUMBER(JQ25),ISNUMBER(JO25)),JQ25-JO25,"")</f>
        <v>0</v>
      </c>
      <c r="JQ25" s="33"/>
      <c r="JR25" s="34">
        <f>IF(AND(ISNUMBER(JS25),ISNUMBER(JQ25)),JS25-JQ25,"")</f>
        <v>0</v>
      </c>
      <c r="JS25" s="33"/>
      <c r="JT25" s="34">
        <f>IF(AND(ISNUMBER(JU25),ISNUMBER(JS25)),JU25-JS25,"")</f>
        <v>0</v>
      </c>
      <c r="JU25" s="33"/>
      <c r="JV25" s="34">
        <f>IF(AND(ISNUMBER(JW25),ISNUMBER(JU25)),JW25-JU25,"")</f>
        <v>0</v>
      </c>
      <c r="JW25" s="33"/>
      <c r="JX25" s="34">
        <f>IF(AND(ISNUMBER(JY25),ISNUMBER(JW25)),JY25-JW25,"")</f>
        <v>0</v>
      </c>
      <c r="JY25" s="33"/>
      <c r="JZ25" s="34">
        <f>IF(AND(ISNUMBER(KA25),ISNUMBER(JY25)),KA25-JY25,"")</f>
        <v>0</v>
      </c>
      <c r="KA25" s="33"/>
      <c r="KB25" s="34">
        <f>IF(AND(ISNUMBER(KC25),ISNUMBER(KA25)),KC25-KA25,"")</f>
        <v>0</v>
      </c>
      <c r="KC25" s="33"/>
      <c r="KD25" s="34">
        <f>IF(AND(ISNUMBER(KE25),ISNUMBER(KC25)),KE25-KC25,"")</f>
        <v>0</v>
      </c>
      <c r="KE25" s="33"/>
      <c r="KF25" s="34">
        <f>IF(AND(ISNUMBER(KG25),ISNUMBER(KE25)),KG25-KE25,"")</f>
        <v>0</v>
      </c>
      <c r="KG25" s="33"/>
      <c r="KH25" s="34">
        <f>IF(AND(ISNUMBER(KI25),ISNUMBER(KG25)),KI25-KG25,"")</f>
        <v>0</v>
      </c>
      <c r="KI25" s="33"/>
      <c r="KJ25" s="34">
        <f>IF(AND(ISNUMBER(KK25),ISNUMBER(KI25)),KK25-KI25,"")</f>
        <v>0</v>
      </c>
      <c r="KK25" s="33"/>
      <c r="KL25" s="34">
        <f>IF(AND(ISNUMBER(KM25),ISNUMBER(KK25)),KM25-KK25,"")</f>
        <v>0</v>
      </c>
      <c r="KM25" s="33"/>
      <c r="KN25" s="34">
        <f>IF(AND(ISNUMBER(KO25),ISNUMBER(KM25)),KO25-KM25,"")</f>
        <v>0</v>
      </c>
      <c r="KO25" s="33"/>
      <c r="KP25" s="34">
        <f>IF(AND(ISNUMBER(KQ25),ISNUMBER(KO25)),KQ25-KO25,"")</f>
        <v>0</v>
      </c>
      <c r="KQ25" s="33"/>
      <c r="KR25" s="34">
        <f>IF(AND(ISNUMBER(KS25),ISNUMBER(KQ25)),KS25-KQ25,"")</f>
        <v>0</v>
      </c>
      <c r="KS25" s="33"/>
      <c r="KT25" s="34">
        <f>IF(AND(ISNUMBER(KU25),ISNUMBER(KS25)),KU25-KS25,"")</f>
        <v>0</v>
      </c>
      <c r="KU25" s="33"/>
      <c r="KV25" s="34">
        <f>IF(AND(ISNUMBER(KW25),ISNUMBER(KU25)),KW25-KU25,"")</f>
        <v>0</v>
      </c>
      <c r="KW25" s="33"/>
      <c r="KX25" s="34">
        <f>IF(AND(ISNUMBER(KY25),ISNUMBER(KW25)),KY25-KW25,"")</f>
        <v>0</v>
      </c>
      <c r="KY25" s="33"/>
      <c r="KZ25" s="34">
        <f>IF(AND(ISNUMBER(LA25),ISNUMBER(KY25)),LA25-KY25,"")</f>
        <v>0</v>
      </c>
      <c r="LA25" s="33"/>
      <c r="LB25" s="34">
        <f>IF(AND(ISNUMBER(LC25),ISNUMBER(LA25)),LC25-LA25,"")</f>
        <v>0</v>
      </c>
      <c r="LC25" s="33"/>
      <c r="LD25" s="34">
        <f>IF(AND(ISNUMBER(LE25),ISNUMBER(LC25)),LE25-LC25,"")</f>
        <v>0</v>
      </c>
      <c r="LE25" s="33"/>
      <c r="LF25" s="34">
        <f>IF(AND(ISNUMBER(LG25),ISNUMBER(LE25)),LG25-LE25,"")</f>
        <v>0</v>
      </c>
      <c r="LG25" s="33"/>
    </row>
    <row r="26" spans="1:322" hidden="1" outlineLevel="1">
      <c r="B26" s="23"/>
      <c r="D26" s="31" t="s">
        <v>717</v>
      </c>
      <c r="E26" s="32" t="s">
        <v>1047</v>
      </c>
      <c r="I26" s="33"/>
      <c r="J26" s="34">
        <f>IF(AND(ISNUMBER(K26),ISNUMBER(I26)),K26-I26,"")</f>
        <v>0</v>
      </c>
      <c r="K26" s="33"/>
      <c r="L26" s="34">
        <f>IF(AND(ISNUMBER(M26),ISNUMBER(K26)),M26-K26,"")</f>
        <v>0</v>
      </c>
      <c r="M26" s="33"/>
      <c r="N26" s="34">
        <f>IF(AND(ISNUMBER(O26),ISNUMBER(M26)),O26-M26,"")</f>
        <v>0</v>
      </c>
      <c r="O26" s="33"/>
      <c r="P26" s="34">
        <f>IF(AND(ISNUMBER(Q26),ISNUMBER(O26)),Q26-O26,"")</f>
        <v>0</v>
      </c>
      <c r="Q26" s="33"/>
      <c r="R26" s="34">
        <f>IF(AND(ISNUMBER(S26),ISNUMBER(Q26)),S26-Q26,"")</f>
        <v>0</v>
      </c>
      <c r="S26" s="33"/>
      <c r="T26" s="34">
        <f>IF(AND(ISNUMBER(U26),ISNUMBER(S26)),U26-S26,"")</f>
        <v>0</v>
      </c>
      <c r="U26" s="33"/>
      <c r="V26" s="34">
        <f>IF(AND(ISNUMBER(W26),ISNUMBER(U26)),W26-U26,"")</f>
        <v>0</v>
      </c>
      <c r="W26" s="33"/>
      <c r="X26" s="34">
        <f>IF(AND(ISNUMBER(Y26),ISNUMBER(W26)),Y26-W26,"")</f>
        <v>0</v>
      </c>
      <c r="Y26" s="33"/>
      <c r="Z26" s="34">
        <f>IF(AND(ISNUMBER(AA26),ISNUMBER(Y26)),AA26-Y26,"")</f>
        <v>0</v>
      </c>
      <c r="AA26" s="33"/>
      <c r="AB26" s="34">
        <f>IF(AND(ISNUMBER(AC26),ISNUMBER(AA26)),AC26-AA26,"")</f>
        <v>0</v>
      </c>
      <c r="AC26" s="33"/>
      <c r="AD26" s="34">
        <f>IF(AND(ISNUMBER(AE26),ISNUMBER(AC26)),AE26-AC26,"")</f>
        <v>0</v>
      </c>
      <c r="AE26" s="33"/>
      <c r="AF26" s="34">
        <f>IF(AND(ISNUMBER(AG26),ISNUMBER(AE26)),AG26-AE26,"")</f>
        <v>0</v>
      </c>
      <c r="AG26" s="33"/>
      <c r="AH26" s="34">
        <f>IF(AND(ISNUMBER(AI26),ISNUMBER(AG26)),AI26-AG26,"")</f>
        <v>0</v>
      </c>
      <c r="AI26" s="33"/>
      <c r="AJ26" s="34">
        <f>IF(AND(ISNUMBER(AK26),ISNUMBER(AI26)),AK26-AI26,"")</f>
        <v>0</v>
      </c>
      <c r="AK26" s="33"/>
      <c r="AL26" s="34">
        <f>IF(AND(ISNUMBER(AM26),ISNUMBER(AK26)),AM26-AK26,"")</f>
        <v>0</v>
      </c>
      <c r="AM26" s="33"/>
      <c r="AN26" s="34">
        <f>IF(AND(ISNUMBER(AO26),ISNUMBER(AM26)),AO26-AM26,"")</f>
        <v>0</v>
      </c>
      <c r="AO26" s="33"/>
      <c r="AP26" s="34">
        <f>IF(AND(ISNUMBER(AQ26),ISNUMBER(AO26)),AQ26-AO26,"")</f>
        <v>0</v>
      </c>
      <c r="AQ26" s="33"/>
      <c r="AR26" s="34">
        <f>IF(AND(ISNUMBER(AS26),ISNUMBER(AQ26)),AS26-AQ26,"")</f>
        <v>0</v>
      </c>
      <c r="AS26" s="33">
        <v>0</v>
      </c>
      <c r="AT26" s="34">
        <f>IF(AND(ISNUMBER(AU26),ISNUMBER(AS26)),AU26-AS26,"")</f>
        <v>0</v>
      </c>
      <c r="AU26" s="33">
        <v>0</v>
      </c>
      <c r="AV26" s="34">
        <f>IF(AND(ISNUMBER(AW26),ISNUMBER(AU26)),AW26-AU26,"")</f>
        <v>0</v>
      </c>
      <c r="AW26" s="33">
        <v>0</v>
      </c>
      <c r="AX26" s="34">
        <f>IF(AND(ISNUMBER(AY26),ISNUMBER(AW26)),AY26-AW26,"")</f>
        <v>0</v>
      </c>
      <c r="AY26" s="33">
        <v>0</v>
      </c>
      <c r="AZ26" s="34">
        <f>IF(AND(ISNUMBER(BA26),ISNUMBER(AY26)),BA26-AY26,"")</f>
        <v>0</v>
      </c>
      <c r="BA26" s="33">
        <v>0</v>
      </c>
      <c r="BB26" s="34">
        <f>IF(AND(ISNUMBER(BC26),ISNUMBER(BA26)),BC26-BA26,"")</f>
        <v>0</v>
      </c>
      <c r="BC26" s="33">
        <v>0</v>
      </c>
      <c r="BD26" s="34">
        <f>IF(AND(ISNUMBER(BE26),ISNUMBER(BC26)),BE26-BC26,"")</f>
        <v>0</v>
      </c>
      <c r="BE26" s="33">
        <v>0</v>
      </c>
      <c r="BF26" s="34">
        <f>IF(AND(ISNUMBER(BG26),ISNUMBER(BE26)),BG26-BE26,"")</f>
        <v>0</v>
      </c>
      <c r="BG26" s="33">
        <v>0</v>
      </c>
      <c r="BH26" s="34">
        <f>IF(AND(ISNUMBER(BI26),ISNUMBER(BG26)),BI26-BG26,"")</f>
        <v>0</v>
      </c>
      <c r="BI26" s="33">
        <v>0</v>
      </c>
      <c r="BJ26" s="34">
        <f>IF(AND(ISNUMBER(BK26),ISNUMBER(BI26)),BK26-BI26,"")</f>
        <v>0</v>
      </c>
      <c r="BK26" s="33">
        <v>0</v>
      </c>
      <c r="BL26" s="34">
        <f>IF(AND(ISNUMBER(BM26),ISNUMBER(BK26)),BM26-BK26,"")</f>
        <v>0</v>
      </c>
      <c r="BM26" s="33">
        <v>1</v>
      </c>
      <c r="BN26" s="34">
        <f>IF(AND(ISNUMBER(BO26),ISNUMBER(BM26)),BO26-BM26,"")</f>
        <v>0</v>
      </c>
      <c r="BO26" s="33">
        <v>2</v>
      </c>
      <c r="BP26" s="34">
        <f>IF(AND(ISNUMBER(BQ26),ISNUMBER(BO26)),BQ26-BO26,"")</f>
        <v>0</v>
      </c>
      <c r="BQ26" s="33">
        <v>0</v>
      </c>
      <c r="BR26" s="34">
        <f>IF(AND(ISNUMBER(BS26),ISNUMBER(BQ26)),BS26-BQ26,"")</f>
        <v>0</v>
      </c>
      <c r="BS26" s="33">
        <v>1</v>
      </c>
      <c r="BT26" s="34">
        <f>IF(AND(ISNUMBER(BU26),ISNUMBER(BS26)),BU26-BS26,"")</f>
        <v>0</v>
      </c>
      <c r="BU26" s="33">
        <v>2</v>
      </c>
      <c r="BV26" s="34">
        <f>IF(AND(ISNUMBER(BW26),ISNUMBER(BU26)),BW26-BU26,"")</f>
        <v>0</v>
      </c>
      <c r="BW26" s="33">
        <v>2</v>
      </c>
      <c r="BX26" s="34">
        <f>IF(AND(ISNUMBER(BY26),ISNUMBER(BW26)),BY26-BW26,"")</f>
        <v>0</v>
      </c>
      <c r="BY26" s="33">
        <v>33</v>
      </c>
      <c r="BZ26" s="34">
        <f>IF(AND(ISNUMBER(CA26),ISNUMBER(BY26)),CA26-BY26,"")</f>
        <v>0</v>
      </c>
      <c r="CA26" s="33">
        <v>12</v>
      </c>
      <c r="CB26" s="34">
        <f>IF(AND(ISNUMBER(CC26),ISNUMBER(CA26)),CC26-CA26,"")</f>
        <v>0</v>
      </c>
      <c r="CC26" s="33">
        <v>12</v>
      </c>
      <c r="CD26" s="34">
        <f>IF(AND(ISNUMBER(CE26),ISNUMBER(CC26)),CE26-CC26,"")</f>
        <v>0</v>
      </c>
      <c r="CE26" s="33">
        <v>12</v>
      </c>
      <c r="CF26" s="34">
        <f>IF(AND(ISNUMBER(CG26),ISNUMBER(CE26)),CG26-CE26,"")</f>
        <v>0</v>
      </c>
      <c r="CG26" s="33">
        <v>12</v>
      </c>
      <c r="CH26" s="34">
        <f>IF(AND(ISNUMBER(CI26),ISNUMBER(CG26)),CI26-CG26,"")</f>
        <v>0</v>
      </c>
      <c r="CI26" s="33">
        <v>12</v>
      </c>
      <c r="CJ26" s="34">
        <f>IF(AND(ISNUMBER(CK26),ISNUMBER(CI26)),CK26-CI26,"")</f>
        <v>0</v>
      </c>
      <c r="CK26" s="33">
        <v>12</v>
      </c>
      <c r="CL26" s="34">
        <f>IF(AND(ISNUMBER(CM26),ISNUMBER(CK26)),CM26-CK26,"")</f>
        <v>0</v>
      </c>
      <c r="CM26" s="33">
        <v>43</v>
      </c>
      <c r="CN26" s="34">
        <f>IF(AND(ISNUMBER(CO26),ISNUMBER(CM26)),CO26-CM26,"")</f>
        <v>0</v>
      </c>
      <c r="CO26" s="33">
        <v>43</v>
      </c>
      <c r="CP26" s="34">
        <f>IF(AND(ISNUMBER(CQ26),ISNUMBER(CO26)),CQ26-CO26,"")</f>
        <v>0</v>
      </c>
      <c r="CQ26" s="33">
        <v>2</v>
      </c>
      <c r="CR26" s="34">
        <f>IF(AND(ISNUMBER(CS26),ISNUMBER(CQ26)),CS26-CQ26,"")</f>
        <v>0</v>
      </c>
      <c r="CS26" s="33">
        <v>5</v>
      </c>
      <c r="CT26" s="34">
        <f>IF(AND(ISNUMBER(CU26),ISNUMBER(CS26)),CU26-CS26,"")</f>
        <v>0</v>
      </c>
      <c r="CU26" s="33">
        <v>2</v>
      </c>
      <c r="CV26" s="34">
        <f>IF(AND(ISNUMBER(CW26),ISNUMBER(CU26)),CW26-CU26,"")</f>
        <v>0</v>
      </c>
      <c r="CW26" s="33">
        <v>43</v>
      </c>
      <c r="CX26" s="34">
        <f>IF(AND(ISNUMBER(CY26),ISNUMBER(CW26)),CY26-CW26,"")</f>
        <v>0</v>
      </c>
      <c r="CY26" s="33">
        <v>5</v>
      </c>
      <c r="CZ26" s="34">
        <f>IF(AND(ISNUMBER(DA26),ISNUMBER(CY26)),DA26-CY26,"")</f>
        <v>0</v>
      </c>
      <c r="DA26" s="33"/>
      <c r="DB26" s="34">
        <f>IF(AND(ISNUMBER(DC26),ISNUMBER(DA26)),DC26-DA26,"")</f>
        <v>0</v>
      </c>
      <c r="DC26" s="33"/>
      <c r="DD26" s="34">
        <f>IF(AND(ISNUMBER(DE26),ISNUMBER(DC26)),DE26-DC26,"")</f>
        <v>0</v>
      </c>
      <c r="DE26" s="33"/>
      <c r="DF26" s="34">
        <f>IF(AND(ISNUMBER(DG26),ISNUMBER(DE26)),DG26-DE26,"")</f>
        <v>0</v>
      </c>
      <c r="DG26" s="33"/>
      <c r="DH26" s="34">
        <f>IF(AND(ISNUMBER(DI26),ISNUMBER(DG26)),DI26-DG26,"")</f>
        <v>0</v>
      </c>
      <c r="DI26" s="33"/>
      <c r="DJ26" s="34">
        <f>IF(AND(ISNUMBER(DK26),ISNUMBER(DI26)),DK26-DI26,"")</f>
        <v>0</v>
      </c>
      <c r="DK26" s="33"/>
      <c r="DL26" s="34">
        <f>IF(AND(ISNUMBER(DM26),ISNUMBER(DK26)),DM26-DK26,"")</f>
        <v>0</v>
      </c>
      <c r="DM26" s="33"/>
      <c r="DN26" s="34">
        <f>IF(AND(ISNUMBER(DO26),ISNUMBER(DM26)),DO26-DM26,"")</f>
        <v>0</v>
      </c>
      <c r="DO26" s="33"/>
      <c r="DP26" s="34">
        <f>IF(AND(ISNUMBER(DQ26),ISNUMBER(DO26)),DQ26-DO26,"")</f>
        <v>0</v>
      </c>
      <c r="DQ26" s="33"/>
      <c r="DR26" s="34">
        <f>IF(AND(ISNUMBER(DS26),ISNUMBER(DQ26)),DS26-DQ26,"")</f>
        <v>0</v>
      </c>
      <c r="DS26" s="33"/>
      <c r="DT26" s="34">
        <f>IF(AND(ISNUMBER(DU26),ISNUMBER(DS26)),DU26-DS26,"")</f>
        <v>0</v>
      </c>
      <c r="DU26" s="33"/>
      <c r="DV26" s="34">
        <f>IF(AND(ISNUMBER(DW26),ISNUMBER(DU26)),DW26-DU26,"")</f>
        <v>0</v>
      </c>
      <c r="DW26" s="33"/>
      <c r="DX26" s="34">
        <f>IF(AND(ISNUMBER(DY26),ISNUMBER(DW26)),DY26-DW26,"")</f>
        <v>0</v>
      </c>
      <c r="DY26" s="33"/>
      <c r="DZ26" s="34">
        <f>IF(AND(ISNUMBER(EA26),ISNUMBER(DY26)),EA26-DY26,"")</f>
        <v>0</v>
      </c>
      <c r="EA26" s="33"/>
      <c r="EB26" s="34">
        <f>IF(AND(ISNUMBER(EC26),ISNUMBER(EA26)),EC26-EA26,"")</f>
        <v>0</v>
      </c>
      <c r="EC26" s="33"/>
      <c r="ED26" s="34">
        <f>IF(AND(ISNUMBER(EE26),ISNUMBER(EC26)),EE26-EC26,"")</f>
        <v>0</v>
      </c>
      <c r="EE26" s="33"/>
      <c r="EF26" s="34">
        <f>IF(AND(ISNUMBER(EG26),ISNUMBER(EE26)),EG26-EE26,"")</f>
        <v>0</v>
      </c>
      <c r="EG26" s="33"/>
      <c r="EH26" s="34">
        <f>IF(AND(ISNUMBER(EI26),ISNUMBER(EG26)),EI26-EG26,"")</f>
        <v>0</v>
      </c>
      <c r="EI26" s="33"/>
      <c r="EJ26" s="34">
        <f>IF(AND(ISNUMBER(EK26),ISNUMBER(EI26)),EK26-EI26,"")</f>
        <v>0</v>
      </c>
      <c r="EK26" s="33"/>
      <c r="EL26" s="34">
        <f>IF(AND(ISNUMBER(EM26),ISNUMBER(EK26)),EM26-EK26,"")</f>
        <v>0</v>
      </c>
      <c r="EM26" s="33"/>
      <c r="EN26" s="34">
        <f>IF(AND(ISNUMBER(EO26),ISNUMBER(EM26)),EO26-EM26,"")</f>
        <v>0</v>
      </c>
      <c r="EO26" s="33"/>
      <c r="EP26" s="34">
        <f>IF(AND(ISNUMBER(EQ26),ISNUMBER(EO26)),EQ26-EO26,"")</f>
        <v>0</v>
      </c>
      <c r="EQ26" s="33"/>
      <c r="ER26" s="34">
        <f>IF(AND(ISNUMBER(ES26),ISNUMBER(EQ26)),ES26-EQ26,"")</f>
        <v>0</v>
      </c>
      <c r="ES26" s="33"/>
      <c r="ET26" s="34">
        <f>IF(AND(ISNUMBER(EU26),ISNUMBER(ES26)),EU26-ES26,"")</f>
        <v>0</v>
      </c>
      <c r="EU26" s="33"/>
      <c r="EV26" s="34">
        <f>IF(AND(ISNUMBER(EW26),ISNUMBER(EU26)),EW26-EU26,"")</f>
        <v>0</v>
      </c>
      <c r="EW26" s="33"/>
      <c r="EX26" s="34">
        <f>IF(AND(ISNUMBER(EY26),ISNUMBER(EW26)),EY26-EW26,"")</f>
        <v>0</v>
      </c>
      <c r="EY26" s="33"/>
      <c r="EZ26" s="34">
        <f>IF(AND(ISNUMBER(FA26),ISNUMBER(EY26)),FA26-EY26,"")</f>
        <v>0</v>
      </c>
      <c r="FA26" s="33"/>
      <c r="FB26" s="34">
        <f>IF(AND(ISNUMBER(FC26),ISNUMBER(FA26)),FC26-FA26,"")</f>
        <v>0</v>
      </c>
      <c r="FC26" s="33"/>
      <c r="FD26" s="34">
        <f>IF(AND(ISNUMBER(FE26),ISNUMBER(FC26)),FE26-FC26,"")</f>
        <v>0</v>
      </c>
      <c r="FE26" s="33"/>
      <c r="FF26" s="34">
        <f>IF(AND(ISNUMBER(FG26),ISNUMBER(FE26)),FG26-FE26,"")</f>
        <v>0</v>
      </c>
      <c r="FG26" s="33"/>
      <c r="FH26" s="34">
        <f>IF(AND(ISNUMBER(FI26),ISNUMBER(FG26)),FI26-FG26,"")</f>
        <v>0</v>
      </c>
      <c r="FI26" s="33"/>
      <c r="FJ26" s="34">
        <f>IF(AND(ISNUMBER(FK26),ISNUMBER(FI26)),FK26-FI26,"")</f>
        <v>0</v>
      </c>
      <c r="FK26" s="33"/>
      <c r="FL26" s="34">
        <f>IF(AND(ISNUMBER(FM26),ISNUMBER(FK26)),FM26-FK26,"")</f>
        <v>0</v>
      </c>
      <c r="FM26" s="33"/>
      <c r="FN26" s="34">
        <f>IF(AND(ISNUMBER(FO26),ISNUMBER(FM26)),FO26-FM26,"")</f>
        <v>0</v>
      </c>
      <c r="FO26" s="33"/>
      <c r="FP26" s="34">
        <f>IF(AND(ISNUMBER(FQ26),ISNUMBER(FO26)),FQ26-FO26,"")</f>
        <v>0</v>
      </c>
      <c r="FQ26" s="33"/>
      <c r="FR26" s="34">
        <f>IF(AND(ISNUMBER(FS26),ISNUMBER(FQ26)),FS26-FQ26,"")</f>
        <v>0</v>
      </c>
      <c r="FS26" s="33"/>
      <c r="FT26" s="34">
        <f>IF(AND(ISNUMBER(FU26),ISNUMBER(FS26)),FU26-FS26,"")</f>
        <v>0</v>
      </c>
      <c r="FU26" s="33"/>
      <c r="FV26" s="34">
        <f>IF(AND(ISNUMBER(FW26),ISNUMBER(FU26)),FW26-FU26,"")</f>
        <v>0</v>
      </c>
      <c r="FW26" s="33"/>
      <c r="FX26" s="34">
        <f>IF(AND(ISNUMBER(FY26),ISNUMBER(FW26)),FY26-FW26,"")</f>
        <v>0</v>
      </c>
      <c r="FY26" s="33"/>
      <c r="FZ26" s="34">
        <f>IF(AND(ISNUMBER(GA26),ISNUMBER(FY26)),GA26-FY26,"")</f>
        <v>0</v>
      </c>
      <c r="GA26" s="33"/>
      <c r="GB26" s="34">
        <f>IF(AND(ISNUMBER(GC26),ISNUMBER(GA26)),GC26-GA26,"")</f>
        <v>0</v>
      </c>
      <c r="GC26" s="33"/>
      <c r="GD26" s="34">
        <f>IF(AND(ISNUMBER(GE26),ISNUMBER(GC26)),GE26-GC26,"")</f>
        <v>0</v>
      </c>
      <c r="GE26" s="33"/>
      <c r="GF26" s="34">
        <f>IF(AND(ISNUMBER(GG26),ISNUMBER(GE26)),GG26-GE26,"")</f>
        <v>0</v>
      </c>
      <c r="GG26" s="33"/>
      <c r="GH26" s="34">
        <f>IF(AND(ISNUMBER(GI26),ISNUMBER(GG26)),GI26-GG26,"")</f>
        <v>0</v>
      </c>
      <c r="GI26" s="33"/>
      <c r="GJ26" s="34">
        <f>IF(AND(ISNUMBER(GK26),ISNUMBER(GI26)),GK26-GI26,"")</f>
        <v>0</v>
      </c>
      <c r="GK26" s="33"/>
      <c r="GL26" s="34">
        <f>IF(AND(ISNUMBER(GM26),ISNUMBER(GK26)),GM26-GK26,"")</f>
        <v>0</v>
      </c>
      <c r="GM26" s="33"/>
      <c r="GN26" s="34">
        <f>IF(AND(ISNUMBER(GO26),ISNUMBER(GM26)),GO26-GM26,"")</f>
        <v>0</v>
      </c>
      <c r="GO26" s="33"/>
      <c r="GP26" s="34">
        <f>IF(AND(ISNUMBER(GQ26),ISNUMBER(GO26)),GQ26-GO26,"")</f>
        <v>0</v>
      </c>
      <c r="GQ26" s="33"/>
      <c r="GR26" s="34">
        <f>IF(AND(ISNUMBER(GS26),ISNUMBER(GQ26)),GS26-GQ26,"")</f>
        <v>0</v>
      </c>
      <c r="GS26" s="33"/>
      <c r="GT26" s="34">
        <f>IF(AND(ISNUMBER(GU26),ISNUMBER(GS26)),GU26-GS26,"")</f>
        <v>0</v>
      </c>
      <c r="GU26" s="33"/>
      <c r="GV26" s="34">
        <f>IF(AND(ISNUMBER(GW26),ISNUMBER(GU26)),GW26-GU26,"")</f>
        <v>0</v>
      </c>
      <c r="GW26" s="33"/>
      <c r="GX26" s="34">
        <f>IF(AND(ISNUMBER(GY26),ISNUMBER(GW26)),GY26-GW26,"")</f>
        <v>0</v>
      </c>
      <c r="GY26" s="33"/>
      <c r="GZ26" s="34">
        <f>IF(AND(ISNUMBER(HA26),ISNUMBER(GY26)),HA26-GY26,"")</f>
        <v>0</v>
      </c>
      <c r="HA26" s="33"/>
      <c r="HB26" s="34">
        <f>IF(AND(ISNUMBER(HC26),ISNUMBER(HA26)),HC26-HA26,"")</f>
        <v>0</v>
      </c>
      <c r="HC26" s="33"/>
      <c r="HD26" s="34">
        <f>IF(AND(ISNUMBER(HE26),ISNUMBER(HC26)),HE26-HC26,"")</f>
        <v>0</v>
      </c>
      <c r="HE26" s="33"/>
      <c r="HF26" s="34">
        <f>IF(AND(ISNUMBER(HG26),ISNUMBER(HE26)),HG26-HE26,"")</f>
        <v>0</v>
      </c>
      <c r="HG26" s="33"/>
      <c r="HH26" s="34">
        <f>IF(AND(ISNUMBER(HI26),ISNUMBER(HG26)),HI26-HG26,"")</f>
        <v>0</v>
      </c>
      <c r="HI26" s="33"/>
      <c r="HJ26" s="34">
        <f>IF(AND(ISNUMBER(HK26),ISNUMBER(HI26)),HK26-HI26,"")</f>
        <v>0</v>
      </c>
      <c r="HK26" s="33"/>
      <c r="HL26" s="34">
        <f>IF(AND(ISNUMBER(HM26),ISNUMBER(HK26)),HM26-HK26,"")</f>
        <v>0</v>
      </c>
      <c r="HM26" s="33"/>
      <c r="HN26" s="34">
        <f>IF(AND(ISNUMBER(HO26),ISNUMBER(HM26)),HO26-HM26,"")</f>
        <v>0</v>
      </c>
      <c r="HO26" s="33"/>
      <c r="HP26" s="34">
        <f>IF(AND(ISNUMBER(HQ26),ISNUMBER(HO26)),HQ26-HO26,"")</f>
        <v>0</v>
      </c>
      <c r="HQ26" s="33"/>
      <c r="HR26" s="34">
        <f>IF(AND(ISNUMBER(HS26),ISNUMBER(HQ26)),HS26-HQ26,"")</f>
        <v>0</v>
      </c>
      <c r="HS26" s="33"/>
      <c r="HT26" s="34">
        <f>IF(AND(ISNUMBER(HU26),ISNUMBER(HS26)),HU26-HS26,"")</f>
        <v>0</v>
      </c>
      <c r="HU26" s="33"/>
      <c r="HV26" s="34">
        <f>IF(AND(ISNUMBER(HW26),ISNUMBER(HU26)),HW26-HU26,"")</f>
        <v>0</v>
      </c>
      <c r="HW26" s="33"/>
      <c r="HX26" s="34">
        <f>IF(AND(ISNUMBER(HY26),ISNUMBER(HW26)),HY26-HW26,"")</f>
        <v>0</v>
      </c>
      <c r="HY26" s="33"/>
      <c r="HZ26" s="34">
        <f>IF(AND(ISNUMBER(IA26),ISNUMBER(HY26)),IA26-HY26,"")</f>
        <v>0</v>
      </c>
      <c r="IA26" s="33"/>
      <c r="IB26" s="34">
        <f>IF(AND(ISNUMBER(IC26),ISNUMBER(IA26)),IC26-IA26,"")</f>
        <v>0</v>
      </c>
      <c r="IC26" s="33"/>
      <c r="ID26" s="34">
        <f>IF(AND(ISNUMBER(IE26),ISNUMBER(IC26)),IE26-IC26,"")</f>
        <v>0</v>
      </c>
      <c r="IE26" s="33"/>
      <c r="IF26" s="34">
        <f>IF(AND(ISNUMBER(IG26),ISNUMBER(IE26)),IG26-IE26,"")</f>
        <v>0</v>
      </c>
      <c r="IG26" s="33"/>
      <c r="IH26" s="34">
        <f>IF(AND(ISNUMBER(II26),ISNUMBER(IG26)),II26-IG26,"")</f>
        <v>0</v>
      </c>
      <c r="II26" s="33"/>
      <c r="IJ26" s="34">
        <f>IF(AND(ISNUMBER(IK26),ISNUMBER(II26)),IK26-II26,"")</f>
        <v>0</v>
      </c>
      <c r="IK26" s="33"/>
      <c r="IL26" s="34">
        <f>IF(AND(ISNUMBER(IM26),ISNUMBER(IK26)),IM26-IK26,"")</f>
        <v>0</v>
      </c>
      <c r="IM26" s="33"/>
      <c r="IN26" s="34">
        <f>IF(AND(ISNUMBER(IO26),ISNUMBER(IM26)),IO26-IM26,"")</f>
        <v>0</v>
      </c>
      <c r="IO26" s="33"/>
      <c r="IP26" s="34">
        <f>IF(AND(ISNUMBER(IQ26),ISNUMBER(IO26)),IQ26-IO26,"")</f>
        <v>0</v>
      </c>
      <c r="IQ26" s="33"/>
      <c r="IR26" s="34">
        <f>IF(AND(ISNUMBER(IS26),ISNUMBER(IQ26)),IS26-IQ26,"")</f>
        <v>0</v>
      </c>
      <c r="IS26" s="33"/>
      <c r="IT26" s="34">
        <f>IF(AND(ISNUMBER(IU26),ISNUMBER(IS26)),IU26-IS26,"")</f>
        <v>0</v>
      </c>
      <c r="IU26" s="33"/>
      <c r="IV26" s="34">
        <f>IF(AND(ISNUMBER(IW26),ISNUMBER(IU26)),IW26-IU26,"")</f>
        <v>0</v>
      </c>
      <c r="IW26" s="33"/>
      <c r="IX26" s="34">
        <f>IF(AND(ISNUMBER(IY26),ISNUMBER(IW26)),IY26-IW26,"")</f>
        <v>0</v>
      </c>
      <c r="IY26" s="33"/>
      <c r="IZ26" s="34">
        <f>IF(AND(ISNUMBER(JA26),ISNUMBER(IY26)),JA26-IY26,"")</f>
        <v>0</v>
      </c>
      <c r="JA26" s="33"/>
      <c r="JB26" s="34">
        <f>IF(AND(ISNUMBER(JC26),ISNUMBER(JA26)),JC26-JA26,"")</f>
        <v>0</v>
      </c>
      <c r="JC26" s="33"/>
      <c r="JD26" s="34">
        <f>IF(AND(ISNUMBER(JE26),ISNUMBER(JC26)),JE26-JC26,"")</f>
        <v>0</v>
      </c>
      <c r="JE26" s="33"/>
      <c r="JF26" s="34">
        <f>IF(AND(ISNUMBER(JG26),ISNUMBER(JE26)),JG26-JE26,"")</f>
        <v>0</v>
      </c>
      <c r="JG26" s="33"/>
      <c r="JH26" s="34">
        <f>IF(AND(ISNUMBER(JI26),ISNUMBER(JG26)),JI26-JG26,"")</f>
        <v>0</v>
      </c>
      <c r="JI26" s="33"/>
      <c r="JJ26" s="34">
        <f>IF(AND(ISNUMBER(JK26),ISNUMBER(JI26)),JK26-JI26,"")</f>
        <v>0</v>
      </c>
      <c r="JK26" s="33"/>
      <c r="JL26" s="34">
        <f>IF(AND(ISNUMBER(JM26),ISNUMBER(JK26)),JM26-JK26,"")</f>
        <v>0</v>
      </c>
      <c r="JM26" s="33"/>
      <c r="JN26" s="34">
        <f>IF(AND(ISNUMBER(JO26),ISNUMBER(JM26)),JO26-JM26,"")</f>
        <v>0</v>
      </c>
      <c r="JO26" s="33"/>
      <c r="JP26" s="34">
        <f>IF(AND(ISNUMBER(JQ26),ISNUMBER(JO26)),JQ26-JO26,"")</f>
        <v>0</v>
      </c>
      <c r="JQ26" s="33"/>
      <c r="JR26" s="34">
        <f>IF(AND(ISNUMBER(JS26),ISNUMBER(JQ26)),JS26-JQ26,"")</f>
        <v>0</v>
      </c>
      <c r="JS26" s="33"/>
      <c r="JT26" s="34">
        <f>IF(AND(ISNUMBER(JU26),ISNUMBER(JS26)),JU26-JS26,"")</f>
        <v>0</v>
      </c>
      <c r="JU26" s="33"/>
      <c r="JV26" s="34">
        <f>IF(AND(ISNUMBER(JW26),ISNUMBER(JU26)),JW26-JU26,"")</f>
        <v>0</v>
      </c>
      <c r="JW26" s="33"/>
      <c r="JX26" s="34">
        <f>IF(AND(ISNUMBER(JY26),ISNUMBER(JW26)),JY26-JW26,"")</f>
        <v>0</v>
      </c>
      <c r="JY26" s="33"/>
      <c r="JZ26" s="34">
        <f>IF(AND(ISNUMBER(KA26),ISNUMBER(JY26)),KA26-JY26,"")</f>
        <v>0</v>
      </c>
      <c r="KA26" s="33"/>
      <c r="KB26" s="34">
        <f>IF(AND(ISNUMBER(KC26),ISNUMBER(KA26)),KC26-KA26,"")</f>
        <v>0</v>
      </c>
      <c r="KC26" s="33"/>
      <c r="KD26" s="34">
        <f>IF(AND(ISNUMBER(KE26),ISNUMBER(KC26)),KE26-KC26,"")</f>
        <v>0</v>
      </c>
      <c r="KE26" s="33"/>
      <c r="KF26" s="34">
        <f>IF(AND(ISNUMBER(KG26),ISNUMBER(KE26)),KG26-KE26,"")</f>
        <v>0</v>
      </c>
      <c r="KG26" s="33"/>
      <c r="KH26" s="34">
        <f>IF(AND(ISNUMBER(KI26),ISNUMBER(KG26)),KI26-KG26,"")</f>
        <v>0</v>
      </c>
      <c r="KI26" s="33"/>
      <c r="KJ26" s="34">
        <f>IF(AND(ISNUMBER(KK26),ISNUMBER(KI26)),KK26-KI26,"")</f>
        <v>0</v>
      </c>
      <c r="KK26" s="33"/>
      <c r="KL26" s="34">
        <f>IF(AND(ISNUMBER(KM26),ISNUMBER(KK26)),KM26-KK26,"")</f>
        <v>0</v>
      </c>
      <c r="KM26" s="33"/>
      <c r="KN26" s="34">
        <f>IF(AND(ISNUMBER(KO26),ISNUMBER(KM26)),KO26-KM26,"")</f>
        <v>0</v>
      </c>
      <c r="KO26" s="33"/>
      <c r="KP26" s="34">
        <f>IF(AND(ISNUMBER(KQ26),ISNUMBER(KO26)),KQ26-KO26,"")</f>
        <v>0</v>
      </c>
      <c r="KQ26" s="33"/>
      <c r="KR26" s="34">
        <f>IF(AND(ISNUMBER(KS26),ISNUMBER(KQ26)),KS26-KQ26,"")</f>
        <v>0</v>
      </c>
      <c r="KS26" s="33"/>
      <c r="KT26" s="34">
        <f>IF(AND(ISNUMBER(KU26),ISNUMBER(KS26)),KU26-KS26,"")</f>
        <v>0</v>
      </c>
      <c r="KU26" s="33"/>
      <c r="KV26" s="34">
        <f>IF(AND(ISNUMBER(KW26),ISNUMBER(KU26)),KW26-KU26,"")</f>
        <v>0</v>
      </c>
      <c r="KW26" s="33"/>
      <c r="KX26" s="34">
        <f>IF(AND(ISNUMBER(KY26),ISNUMBER(KW26)),KY26-KW26,"")</f>
        <v>0</v>
      </c>
      <c r="KY26" s="33"/>
      <c r="KZ26" s="34">
        <f>IF(AND(ISNUMBER(LA26),ISNUMBER(KY26)),LA26-KY26,"")</f>
        <v>0</v>
      </c>
      <c r="LA26" s="33"/>
      <c r="LB26" s="34">
        <f>IF(AND(ISNUMBER(LC26),ISNUMBER(LA26)),LC26-LA26,"")</f>
        <v>0</v>
      </c>
      <c r="LC26" s="33"/>
      <c r="LD26" s="34">
        <f>IF(AND(ISNUMBER(LE26),ISNUMBER(LC26)),LE26-LC26,"")</f>
        <v>0</v>
      </c>
      <c r="LE26" s="33"/>
      <c r="LF26" s="34">
        <f>IF(AND(ISNUMBER(LG26),ISNUMBER(LE26)),LG26-LE26,"")</f>
        <v>0</v>
      </c>
      <c r="LG26" s="33"/>
    </row>
    <row r="27" spans="1:322" hidden="1" outlineLevel="1">
      <c r="B27" s="23"/>
      <c r="D27" s="31" t="s">
        <v>719</v>
      </c>
      <c r="E27" s="32" t="s">
        <v>1058</v>
      </c>
      <c r="I27" s="40" t="s">
        <v>1088</v>
      </c>
      <c r="J27" s="34">
        <f>IF(AND(ISNUMBER(K27),ISNUMBER(I27)),K27-I27,"")</f>
        <v>0</v>
      </c>
      <c r="K27" s="40" t="s">
        <v>1088</v>
      </c>
      <c r="L27" s="34">
        <f>IF(AND(ISNUMBER(M27),ISNUMBER(K27)),M27-K27,"")</f>
        <v>0</v>
      </c>
      <c r="M27" s="33">
        <v>0</v>
      </c>
      <c r="N27" s="34">
        <f>IF(AND(ISNUMBER(O27),ISNUMBER(M27)),O27-M27,"")</f>
        <v>0</v>
      </c>
      <c r="O27" s="40" t="s">
        <v>1088</v>
      </c>
      <c r="P27" s="34">
        <f>IF(AND(ISNUMBER(Q27),ISNUMBER(O27)),Q27-O27,"")</f>
        <v>0</v>
      </c>
      <c r="Q27" s="40" t="s">
        <v>1088</v>
      </c>
      <c r="R27" s="34">
        <f>IF(AND(ISNUMBER(S27),ISNUMBER(Q27)),S27-Q27,"")</f>
        <v>0</v>
      </c>
      <c r="S27" s="33">
        <v>12</v>
      </c>
      <c r="T27" s="34">
        <f>IF(AND(ISNUMBER(U27),ISNUMBER(S27)),U27-S27,"")</f>
        <v>0</v>
      </c>
      <c r="U27" s="40" t="s">
        <v>1088</v>
      </c>
      <c r="V27" s="34">
        <f>IF(AND(ISNUMBER(W27),ISNUMBER(U27)),W27-U27,"")</f>
        <v>0</v>
      </c>
      <c r="W27" s="33">
        <v>0</v>
      </c>
      <c r="X27" s="34">
        <f>IF(AND(ISNUMBER(Y27),ISNUMBER(W27)),Y27-W27,"")</f>
        <v>0</v>
      </c>
      <c r="Y27" s="33">
        <v>0</v>
      </c>
      <c r="Z27" s="34">
        <f>IF(AND(ISNUMBER(AA27),ISNUMBER(Y27)),AA27-Y27,"")</f>
        <v>0</v>
      </c>
      <c r="AA27" s="33">
        <v>0</v>
      </c>
      <c r="AB27" s="34">
        <f>IF(AND(ISNUMBER(AC27),ISNUMBER(AA27)),AC27-AA27,"")</f>
        <v>0</v>
      </c>
      <c r="AC27" s="33">
        <v>0</v>
      </c>
      <c r="AD27" s="34">
        <f>IF(AND(ISNUMBER(AE27),ISNUMBER(AC27)),AE27-AC27,"")</f>
        <v>0</v>
      </c>
      <c r="AE27" s="33">
        <v>0</v>
      </c>
      <c r="AF27" s="34">
        <f>IF(AND(ISNUMBER(AG27),ISNUMBER(AE27)),AG27-AE27,"")</f>
        <v>0</v>
      </c>
      <c r="AG27" s="33">
        <v>2</v>
      </c>
      <c r="AH27" s="34">
        <f>IF(AND(ISNUMBER(AI27),ISNUMBER(AG27)),AI27-AG27,"")</f>
        <v>0</v>
      </c>
      <c r="AI27" s="33">
        <v>0</v>
      </c>
      <c r="AJ27" s="34">
        <f>IF(AND(ISNUMBER(AK27),ISNUMBER(AI27)),AK27-AI27,"")</f>
        <v>0</v>
      </c>
      <c r="AK27" s="33">
        <v>3</v>
      </c>
      <c r="AL27" s="34">
        <f>IF(AND(ISNUMBER(AM27),ISNUMBER(AK27)),AM27-AK27,"")</f>
        <v>0</v>
      </c>
      <c r="AM27" s="40" t="s">
        <v>1088</v>
      </c>
      <c r="AN27" s="34">
        <f>IF(AND(ISNUMBER(AO27),ISNUMBER(AM27)),AO27-AM27,"")</f>
        <v>0</v>
      </c>
      <c r="AO27" s="33">
        <v>4</v>
      </c>
      <c r="AP27" s="34">
        <f>IF(AND(ISNUMBER(AQ27),ISNUMBER(AO27)),AQ27-AO27,"")</f>
        <v>0</v>
      </c>
      <c r="AQ27" s="33">
        <v>4</v>
      </c>
      <c r="AR27" s="34">
        <f>IF(AND(ISNUMBER(AS27),ISNUMBER(AQ27)),AS27-AQ27,"")</f>
        <v>0</v>
      </c>
      <c r="AS27" s="33">
        <v>1</v>
      </c>
      <c r="AT27" s="34">
        <f>IF(AND(ISNUMBER(AU27),ISNUMBER(AS27)),AU27-AS27,"")</f>
        <v>0</v>
      </c>
      <c r="AU27" s="33">
        <v>2</v>
      </c>
      <c r="AV27" s="34">
        <f>IF(AND(ISNUMBER(AW27),ISNUMBER(AU27)),AW27-AU27,"")</f>
        <v>0</v>
      </c>
      <c r="AW27" s="33">
        <v>4</v>
      </c>
      <c r="AX27" s="34">
        <f>IF(AND(ISNUMBER(AY27),ISNUMBER(AW27)),AY27-AW27,"")</f>
        <v>0</v>
      </c>
      <c r="AY27" s="33">
        <v>1</v>
      </c>
      <c r="AZ27" s="34">
        <f>IF(AND(ISNUMBER(BA27),ISNUMBER(AY27)),BA27-AY27,"")</f>
        <v>0</v>
      </c>
      <c r="BA27" s="33">
        <v>2</v>
      </c>
      <c r="BB27" s="34">
        <f>IF(AND(ISNUMBER(BC27),ISNUMBER(BA27)),BC27-BA27,"")</f>
        <v>0</v>
      </c>
      <c r="BC27" s="33">
        <v>2</v>
      </c>
      <c r="BD27" s="34">
        <f>IF(AND(ISNUMBER(BE27),ISNUMBER(BC27)),BE27-BC27,"")</f>
        <v>0</v>
      </c>
      <c r="BE27" s="33">
        <v>2</v>
      </c>
      <c r="BF27" s="34">
        <f>IF(AND(ISNUMBER(BG27),ISNUMBER(BE27)),BG27-BE27,"")</f>
        <v>0</v>
      </c>
      <c r="BG27" s="33">
        <v>0</v>
      </c>
      <c r="BH27" s="34">
        <f>IF(AND(ISNUMBER(BI27),ISNUMBER(BG27)),BI27-BG27,"")</f>
        <v>0</v>
      </c>
      <c r="BI27" s="33">
        <v>0</v>
      </c>
      <c r="BJ27" s="34">
        <f>IF(AND(ISNUMBER(BK27),ISNUMBER(BI27)),BK27-BI27,"")</f>
        <v>0</v>
      </c>
      <c r="BK27" s="33">
        <v>0</v>
      </c>
      <c r="BL27" s="34">
        <f>IF(AND(ISNUMBER(BM27),ISNUMBER(BK27)),BM27-BK27,"")</f>
        <v>0</v>
      </c>
      <c r="BM27" s="33">
        <v>0</v>
      </c>
      <c r="BN27" s="34">
        <f>IF(AND(ISNUMBER(BO27),ISNUMBER(BM27)),BO27-BM27,"")</f>
        <v>0</v>
      </c>
      <c r="BO27" s="33">
        <v>1</v>
      </c>
      <c r="BP27" s="34">
        <f>IF(AND(ISNUMBER(BQ27),ISNUMBER(BO27)),BQ27-BO27,"")</f>
        <v>0</v>
      </c>
      <c r="BQ27" s="33">
        <v>12</v>
      </c>
      <c r="BR27" s="34">
        <f>IF(AND(ISNUMBER(BS27),ISNUMBER(BQ27)),BS27-BQ27,"")</f>
        <v>0</v>
      </c>
      <c r="BS27" s="33">
        <v>11</v>
      </c>
      <c r="BT27" s="34">
        <f>IF(AND(ISNUMBER(BU27),ISNUMBER(BS27)),BU27-BS27,"")</f>
        <v>0</v>
      </c>
      <c r="BU27" s="33">
        <v>0</v>
      </c>
      <c r="BV27" s="34">
        <f>IF(AND(ISNUMBER(BW27),ISNUMBER(BU27)),BW27-BU27,"")</f>
        <v>0</v>
      </c>
      <c r="BW27" s="33">
        <v>10</v>
      </c>
      <c r="BX27" s="34">
        <f>IF(AND(ISNUMBER(BY27),ISNUMBER(BW27)),BY27-BW27,"")</f>
        <v>0</v>
      </c>
      <c r="BY27" s="33">
        <v>2</v>
      </c>
      <c r="BZ27" s="34">
        <f>IF(AND(ISNUMBER(CA27),ISNUMBER(BY27)),CA27-BY27,"")</f>
        <v>0</v>
      </c>
      <c r="CA27" s="33">
        <v>13</v>
      </c>
      <c r="CB27" s="34">
        <f>IF(AND(ISNUMBER(CC27),ISNUMBER(CA27)),CC27-CA27,"")</f>
        <v>0</v>
      </c>
      <c r="CC27" s="33">
        <v>34</v>
      </c>
      <c r="CD27" s="34">
        <f>IF(AND(ISNUMBER(CE27),ISNUMBER(CC27)),CE27-CC27,"")</f>
        <v>0</v>
      </c>
      <c r="CE27" s="33">
        <v>11</v>
      </c>
      <c r="CF27" s="34">
        <f>IF(AND(ISNUMBER(CG27),ISNUMBER(CE27)),CG27-CE27,"")</f>
        <v>0</v>
      </c>
      <c r="CG27" s="33">
        <v>34</v>
      </c>
      <c r="CH27" s="34">
        <f>IF(AND(ISNUMBER(CI27),ISNUMBER(CG27)),CI27-CG27,"")</f>
        <v>0</v>
      </c>
      <c r="CI27" s="33">
        <v>11</v>
      </c>
      <c r="CJ27" s="34">
        <f>IF(AND(ISNUMBER(CK27),ISNUMBER(CI27)),CK27-CI27,"")</f>
        <v>0</v>
      </c>
      <c r="CK27" s="33">
        <v>32</v>
      </c>
      <c r="CL27" s="34">
        <f>IF(AND(ISNUMBER(CM27),ISNUMBER(CK27)),CM27-CK27,"")</f>
        <v>0</v>
      </c>
      <c r="CM27" s="33">
        <v>34</v>
      </c>
      <c r="CN27" s="34">
        <f>IF(AND(ISNUMBER(CO27),ISNUMBER(CM27)),CO27-CM27,"")</f>
        <v>0</v>
      </c>
      <c r="CO27" s="33">
        <v>34</v>
      </c>
      <c r="CP27" s="34">
        <f>IF(AND(ISNUMBER(CQ27),ISNUMBER(CO27)),CQ27-CO27,"")</f>
        <v>0</v>
      </c>
      <c r="CQ27" s="33">
        <v>12</v>
      </c>
      <c r="CR27" s="34">
        <f>IF(AND(ISNUMBER(CS27),ISNUMBER(CQ27)),CS27-CQ27,"")</f>
        <v>0</v>
      </c>
      <c r="CS27" s="33">
        <v>34</v>
      </c>
      <c r="CT27" s="34">
        <f>IF(AND(ISNUMBER(CU27),ISNUMBER(CS27)),CU27-CS27,"")</f>
        <v>0</v>
      </c>
      <c r="CU27" s="33">
        <v>12</v>
      </c>
      <c r="CV27" s="34">
        <f>IF(AND(ISNUMBER(CW27),ISNUMBER(CU27)),CW27-CU27,"")</f>
        <v>0</v>
      </c>
      <c r="CW27" s="33">
        <v>34</v>
      </c>
      <c r="CX27" s="34">
        <f>IF(AND(ISNUMBER(CY27),ISNUMBER(CW27)),CY27-CW27,"")</f>
        <v>0</v>
      </c>
      <c r="CY27" s="33">
        <v>34</v>
      </c>
      <c r="CZ27" s="34">
        <f>IF(AND(ISNUMBER(DA27),ISNUMBER(CY27)),DA27-CY27,"")</f>
        <v>0</v>
      </c>
      <c r="DA27" s="33"/>
      <c r="DB27" s="34">
        <f>IF(AND(ISNUMBER(DC27),ISNUMBER(DA27)),DC27-DA27,"")</f>
        <v>0</v>
      </c>
      <c r="DC27" s="33"/>
      <c r="DD27" s="34">
        <f>IF(AND(ISNUMBER(DE27),ISNUMBER(DC27)),DE27-DC27,"")</f>
        <v>0</v>
      </c>
      <c r="DE27" s="33"/>
      <c r="DF27" s="34">
        <f>IF(AND(ISNUMBER(DG27),ISNUMBER(DE27)),DG27-DE27,"")</f>
        <v>0</v>
      </c>
      <c r="DG27" s="33"/>
      <c r="DH27" s="34">
        <f>IF(AND(ISNUMBER(DI27),ISNUMBER(DG27)),DI27-DG27,"")</f>
        <v>0</v>
      </c>
      <c r="DI27" s="33">
        <v>10</v>
      </c>
      <c r="DJ27" s="34">
        <f>IF(AND(ISNUMBER(DK27),ISNUMBER(DI27)),DK27-DI27,"")</f>
        <v>0</v>
      </c>
      <c r="DK27" s="33">
        <v>2</v>
      </c>
      <c r="DL27" s="34">
        <f>IF(AND(ISNUMBER(DM27),ISNUMBER(DK27)),DM27-DK27,"")</f>
        <v>0</v>
      </c>
      <c r="DM27" s="33">
        <v>0</v>
      </c>
      <c r="DN27" s="34">
        <f>IF(AND(ISNUMBER(DO27),ISNUMBER(DM27)),DO27-DM27,"")</f>
        <v>0</v>
      </c>
      <c r="DO27" s="40" t="s">
        <v>1091</v>
      </c>
      <c r="DP27" s="34">
        <f>IF(AND(ISNUMBER(DQ27),ISNUMBER(DO27)),DQ27-DO27,"")</f>
        <v>0</v>
      </c>
      <c r="DQ27" s="33">
        <v>7</v>
      </c>
      <c r="DR27" s="34">
        <f>IF(AND(ISNUMBER(DS27),ISNUMBER(DQ27)),DS27-DQ27,"")</f>
        <v>0</v>
      </c>
      <c r="DS27" s="33">
        <v>17</v>
      </c>
      <c r="DT27" s="34">
        <f>IF(AND(ISNUMBER(DU27),ISNUMBER(DS27)),DU27-DS27,"")</f>
        <v>0</v>
      </c>
      <c r="DU27" s="33">
        <v>1</v>
      </c>
      <c r="DV27" s="34">
        <f>IF(AND(ISNUMBER(DW27),ISNUMBER(DU27)),DW27-DU27,"")</f>
        <v>0</v>
      </c>
      <c r="DW27" s="33">
        <v>5</v>
      </c>
      <c r="DX27" s="34">
        <f>IF(AND(ISNUMBER(DY27),ISNUMBER(DW27)),DY27-DW27,"")</f>
        <v>0</v>
      </c>
      <c r="DY27" s="33">
        <v>2</v>
      </c>
      <c r="DZ27" s="34">
        <f>IF(AND(ISNUMBER(EA27),ISNUMBER(DY27)),EA27-DY27,"")</f>
        <v>0</v>
      </c>
      <c r="EA27" s="33">
        <v>1</v>
      </c>
      <c r="EB27" s="34">
        <f>IF(AND(ISNUMBER(EC27),ISNUMBER(EA27)),EC27-EA27,"")</f>
        <v>0</v>
      </c>
      <c r="EC27" s="33">
        <v>0</v>
      </c>
      <c r="ED27" s="34">
        <f>IF(AND(ISNUMBER(EE27),ISNUMBER(EC27)),EE27-EC27,"")</f>
        <v>0</v>
      </c>
      <c r="EE27" s="33">
        <v>0</v>
      </c>
      <c r="EF27" s="34">
        <f>IF(AND(ISNUMBER(EG27),ISNUMBER(EE27)),EG27-EE27,"")</f>
        <v>0</v>
      </c>
      <c r="EG27" s="33">
        <v>3</v>
      </c>
      <c r="EH27" s="34">
        <f>IF(AND(ISNUMBER(EI27),ISNUMBER(EG27)),EI27-EG27,"")</f>
        <v>0</v>
      </c>
      <c r="EI27" s="33">
        <v>16</v>
      </c>
      <c r="EJ27" s="34">
        <f>IF(AND(ISNUMBER(EK27),ISNUMBER(EI27)),EK27-EI27,"")</f>
        <v>0</v>
      </c>
      <c r="EK27" s="33">
        <v>0</v>
      </c>
      <c r="EL27" s="34">
        <f>IF(AND(ISNUMBER(EM27),ISNUMBER(EK27)),EM27-EK27,"")</f>
        <v>0</v>
      </c>
      <c r="EM27" s="33">
        <v>0</v>
      </c>
      <c r="EN27" s="34">
        <f>IF(AND(ISNUMBER(EO27),ISNUMBER(EM27)),EO27-EM27,"")</f>
        <v>0</v>
      </c>
      <c r="EO27" s="33">
        <v>0</v>
      </c>
      <c r="EP27" s="34">
        <f>IF(AND(ISNUMBER(EQ27),ISNUMBER(EO27)),EQ27-EO27,"")</f>
        <v>0</v>
      </c>
      <c r="EQ27" s="33">
        <v>0</v>
      </c>
      <c r="ER27" s="34">
        <f>IF(AND(ISNUMBER(ES27),ISNUMBER(EQ27)),ES27-EQ27,"")</f>
        <v>0</v>
      </c>
      <c r="ES27" s="33">
        <v>0</v>
      </c>
      <c r="ET27" s="34">
        <f>IF(AND(ISNUMBER(EU27),ISNUMBER(ES27)),EU27-ES27,"")</f>
        <v>0</v>
      </c>
      <c r="EU27" s="33">
        <v>0</v>
      </c>
      <c r="EV27" s="34">
        <f>IF(AND(ISNUMBER(EW27),ISNUMBER(EU27)),EW27-EU27,"")</f>
        <v>0</v>
      </c>
      <c r="EW27" s="33">
        <v>3</v>
      </c>
      <c r="EX27" s="34">
        <f>IF(AND(ISNUMBER(EY27),ISNUMBER(EW27)),EY27-EW27,"")</f>
        <v>0</v>
      </c>
      <c r="EY27" s="33">
        <v>0</v>
      </c>
      <c r="EZ27" s="34">
        <f>IF(AND(ISNUMBER(FA27),ISNUMBER(EY27)),FA27-EY27,"")</f>
        <v>0</v>
      </c>
      <c r="FA27" s="33"/>
      <c r="FB27" s="34">
        <f>IF(AND(ISNUMBER(FC27),ISNUMBER(FA27)),FC27-FA27,"")</f>
        <v>0</v>
      </c>
      <c r="FC27" s="33"/>
      <c r="FD27" s="34">
        <f>IF(AND(ISNUMBER(FE27),ISNUMBER(FC27)),FE27-FC27,"")</f>
        <v>0</v>
      </c>
      <c r="FE27" s="33"/>
      <c r="FF27" s="34">
        <f>IF(AND(ISNUMBER(FG27),ISNUMBER(FE27)),FG27-FE27,"")</f>
        <v>0</v>
      </c>
      <c r="FG27" s="33"/>
      <c r="FH27" s="34">
        <f>IF(AND(ISNUMBER(FI27),ISNUMBER(FG27)),FI27-FG27,"")</f>
        <v>0</v>
      </c>
      <c r="FI27" s="33"/>
      <c r="FJ27" s="34">
        <f>IF(AND(ISNUMBER(FK27),ISNUMBER(FI27)),FK27-FI27,"")</f>
        <v>0</v>
      </c>
      <c r="FK27" s="33"/>
      <c r="FL27" s="34">
        <f>IF(AND(ISNUMBER(FM27),ISNUMBER(FK27)),FM27-FK27,"")</f>
        <v>0</v>
      </c>
      <c r="FM27" s="33"/>
      <c r="FN27" s="34">
        <f>IF(AND(ISNUMBER(FO27),ISNUMBER(FM27)),FO27-FM27,"")</f>
        <v>0</v>
      </c>
      <c r="FO27" s="33"/>
      <c r="FP27" s="34">
        <f>IF(AND(ISNUMBER(FQ27),ISNUMBER(FO27)),FQ27-FO27,"")</f>
        <v>0</v>
      </c>
      <c r="FQ27" s="33"/>
      <c r="FR27" s="34">
        <f>IF(AND(ISNUMBER(FS27),ISNUMBER(FQ27)),FS27-FQ27,"")</f>
        <v>0</v>
      </c>
      <c r="FS27" s="33"/>
      <c r="FT27" s="34">
        <f>IF(AND(ISNUMBER(FU27),ISNUMBER(FS27)),FU27-FS27,"")</f>
        <v>0</v>
      </c>
      <c r="FU27" s="33"/>
      <c r="FV27" s="34">
        <f>IF(AND(ISNUMBER(FW27),ISNUMBER(FU27)),FW27-FU27,"")</f>
        <v>0</v>
      </c>
      <c r="FW27" s="33"/>
      <c r="FX27" s="34">
        <f>IF(AND(ISNUMBER(FY27),ISNUMBER(FW27)),FY27-FW27,"")</f>
        <v>0</v>
      </c>
      <c r="FY27" s="33"/>
      <c r="FZ27" s="34">
        <f>IF(AND(ISNUMBER(GA27),ISNUMBER(FY27)),GA27-FY27,"")</f>
        <v>0</v>
      </c>
      <c r="GA27" s="33"/>
      <c r="GB27" s="34">
        <f>IF(AND(ISNUMBER(GC27),ISNUMBER(GA27)),GC27-GA27,"")</f>
        <v>0</v>
      </c>
      <c r="GC27" s="33"/>
      <c r="GD27" s="34">
        <f>IF(AND(ISNUMBER(GE27),ISNUMBER(GC27)),GE27-GC27,"")</f>
        <v>0</v>
      </c>
      <c r="GE27" s="33"/>
      <c r="GF27" s="34">
        <f>IF(AND(ISNUMBER(GG27),ISNUMBER(GE27)),GG27-GE27,"")</f>
        <v>0</v>
      </c>
      <c r="GG27" s="33"/>
      <c r="GH27" s="34">
        <f>IF(AND(ISNUMBER(GI27),ISNUMBER(GG27)),GI27-GG27,"")</f>
        <v>0</v>
      </c>
      <c r="GI27" s="33"/>
      <c r="GJ27" s="34">
        <f>IF(AND(ISNUMBER(GK27),ISNUMBER(GI27)),GK27-GI27,"")</f>
        <v>0</v>
      </c>
      <c r="GK27" s="33"/>
      <c r="GL27" s="34">
        <f>IF(AND(ISNUMBER(GM27),ISNUMBER(GK27)),GM27-GK27,"")</f>
        <v>0</v>
      </c>
      <c r="GM27" s="33"/>
      <c r="GN27" s="34">
        <f>IF(AND(ISNUMBER(GO27),ISNUMBER(GM27)),GO27-GM27,"")</f>
        <v>0</v>
      </c>
      <c r="GO27" s="33"/>
      <c r="GP27" s="34">
        <f>IF(AND(ISNUMBER(GQ27),ISNUMBER(GO27)),GQ27-GO27,"")</f>
        <v>0</v>
      </c>
      <c r="GQ27" s="33"/>
      <c r="GR27" s="34">
        <f>IF(AND(ISNUMBER(GS27),ISNUMBER(GQ27)),GS27-GQ27,"")</f>
        <v>0</v>
      </c>
      <c r="GS27" s="33"/>
      <c r="GT27" s="34">
        <f>IF(AND(ISNUMBER(GU27),ISNUMBER(GS27)),GU27-GS27,"")</f>
        <v>0</v>
      </c>
      <c r="GU27" s="33"/>
      <c r="GV27" s="34">
        <f>IF(AND(ISNUMBER(GW27),ISNUMBER(GU27)),GW27-GU27,"")</f>
        <v>0</v>
      </c>
      <c r="GW27" s="33"/>
      <c r="GX27" s="34">
        <f>IF(AND(ISNUMBER(GY27),ISNUMBER(GW27)),GY27-GW27,"")</f>
        <v>0</v>
      </c>
      <c r="GY27" s="33"/>
      <c r="GZ27" s="34">
        <f>IF(AND(ISNUMBER(HA27),ISNUMBER(GY27)),HA27-GY27,"")</f>
        <v>0</v>
      </c>
      <c r="HA27" s="33"/>
      <c r="HB27" s="34">
        <f>IF(AND(ISNUMBER(HC27),ISNUMBER(HA27)),HC27-HA27,"")</f>
        <v>0</v>
      </c>
      <c r="HC27" s="33"/>
      <c r="HD27" s="34">
        <f>IF(AND(ISNUMBER(HE27),ISNUMBER(HC27)),HE27-HC27,"")</f>
        <v>0</v>
      </c>
      <c r="HE27" s="33"/>
      <c r="HF27" s="34">
        <f>IF(AND(ISNUMBER(HG27),ISNUMBER(HE27)),HG27-HE27,"")</f>
        <v>0</v>
      </c>
      <c r="HG27" s="33"/>
      <c r="HH27" s="34">
        <f>IF(AND(ISNUMBER(HI27),ISNUMBER(HG27)),HI27-HG27,"")</f>
        <v>0</v>
      </c>
      <c r="HI27" s="33"/>
      <c r="HJ27" s="34">
        <f>IF(AND(ISNUMBER(HK27),ISNUMBER(HI27)),HK27-HI27,"")</f>
        <v>0</v>
      </c>
      <c r="HK27" s="33"/>
      <c r="HL27" s="34">
        <f>IF(AND(ISNUMBER(HM27),ISNUMBER(HK27)),HM27-HK27,"")</f>
        <v>0</v>
      </c>
      <c r="HM27" s="33"/>
      <c r="HN27" s="34">
        <f>IF(AND(ISNUMBER(HO27),ISNUMBER(HM27)),HO27-HM27,"")</f>
        <v>0</v>
      </c>
      <c r="HO27" s="33"/>
      <c r="HP27" s="34">
        <f>IF(AND(ISNUMBER(HQ27),ISNUMBER(HO27)),HQ27-HO27,"")</f>
        <v>0</v>
      </c>
      <c r="HQ27" s="33"/>
      <c r="HR27" s="34">
        <f>IF(AND(ISNUMBER(HS27),ISNUMBER(HQ27)),HS27-HQ27,"")</f>
        <v>0</v>
      </c>
      <c r="HS27" s="33"/>
      <c r="HT27" s="34">
        <f>IF(AND(ISNUMBER(HU27),ISNUMBER(HS27)),HU27-HS27,"")</f>
        <v>0</v>
      </c>
      <c r="HU27" s="33"/>
      <c r="HV27" s="34">
        <f>IF(AND(ISNUMBER(HW27),ISNUMBER(HU27)),HW27-HU27,"")</f>
        <v>0</v>
      </c>
      <c r="HW27" s="33"/>
      <c r="HX27" s="34">
        <f>IF(AND(ISNUMBER(HY27),ISNUMBER(HW27)),HY27-HW27,"")</f>
        <v>0</v>
      </c>
      <c r="HY27" s="33"/>
      <c r="HZ27" s="34">
        <f>IF(AND(ISNUMBER(IA27),ISNUMBER(HY27)),IA27-HY27,"")</f>
        <v>0</v>
      </c>
      <c r="IA27" s="33"/>
      <c r="IB27" s="34">
        <f>IF(AND(ISNUMBER(IC27),ISNUMBER(IA27)),IC27-IA27,"")</f>
        <v>0</v>
      </c>
      <c r="IC27" s="33"/>
      <c r="ID27" s="34">
        <f>IF(AND(ISNUMBER(IE27),ISNUMBER(IC27)),IE27-IC27,"")</f>
        <v>0</v>
      </c>
      <c r="IE27" s="33"/>
      <c r="IF27" s="34">
        <f>IF(AND(ISNUMBER(IG27),ISNUMBER(IE27)),IG27-IE27,"")</f>
        <v>0</v>
      </c>
      <c r="IG27" s="33"/>
      <c r="IH27" s="34">
        <f>IF(AND(ISNUMBER(II27),ISNUMBER(IG27)),II27-IG27,"")</f>
        <v>0</v>
      </c>
      <c r="II27" s="33"/>
      <c r="IJ27" s="34">
        <f>IF(AND(ISNUMBER(IK27),ISNUMBER(II27)),IK27-II27,"")</f>
        <v>0</v>
      </c>
      <c r="IK27" s="33"/>
      <c r="IL27" s="34">
        <f>IF(AND(ISNUMBER(IM27),ISNUMBER(IK27)),IM27-IK27,"")</f>
        <v>0</v>
      </c>
      <c r="IM27" s="33"/>
      <c r="IN27" s="34">
        <f>IF(AND(ISNUMBER(IO27),ISNUMBER(IM27)),IO27-IM27,"")</f>
        <v>0</v>
      </c>
      <c r="IO27" s="33"/>
      <c r="IP27" s="34">
        <f>IF(AND(ISNUMBER(IQ27),ISNUMBER(IO27)),IQ27-IO27,"")</f>
        <v>0</v>
      </c>
      <c r="IQ27" s="33"/>
      <c r="IR27" s="34">
        <f>IF(AND(ISNUMBER(IS27),ISNUMBER(IQ27)),IS27-IQ27,"")</f>
        <v>0</v>
      </c>
      <c r="IS27" s="33"/>
      <c r="IT27" s="34">
        <f>IF(AND(ISNUMBER(IU27),ISNUMBER(IS27)),IU27-IS27,"")</f>
        <v>0</v>
      </c>
      <c r="IU27" s="33"/>
      <c r="IV27" s="34">
        <f>IF(AND(ISNUMBER(IW27),ISNUMBER(IU27)),IW27-IU27,"")</f>
        <v>0</v>
      </c>
      <c r="IW27" s="33"/>
      <c r="IX27" s="34">
        <f>IF(AND(ISNUMBER(IY27),ISNUMBER(IW27)),IY27-IW27,"")</f>
        <v>0</v>
      </c>
      <c r="IY27" s="33"/>
      <c r="IZ27" s="34">
        <f>IF(AND(ISNUMBER(JA27),ISNUMBER(IY27)),JA27-IY27,"")</f>
        <v>0</v>
      </c>
      <c r="JA27" s="33"/>
      <c r="JB27" s="34">
        <f>IF(AND(ISNUMBER(JC27),ISNUMBER(JA27)),JC27-JA27,"")</f>
        <v>0</v>
      </c>
      <c r="JC27" s="33"/>
      <c r="JD27" s="34">
        <f>IF(AND(ISNUMBER(JE27),ISNUMBER(JC27)),JE27-JC27,"")</f>
        <v>0</v>
      </c>
      <c r="JE27" s="33"/>
      <c r="JF27" s="34">
        <f>IF(AND(ISNUMBER(JG27),ISNUMBER(JE27)),JG27-JE27,"")</f>
        <v>0</v>
      </c>
      <c r="JG27" s="33"/>
      <c r="JH27" s="34">
        <f>IF(AND(ISNUMBER(JI27),ISNUMBER(JG27)),JI27-JG27,"")</f>
        <v>0</v>
      </c>
      <c r="JI27" s="33"/>
      <c r="JJ27" s="34">
        <f>IF(AND(ISNUMBER(JK27),ISNUMBER(JI27)),JK27-JI27,"")</f>
        <v>0</v>
      </c>
      <c r="JK27" s="33"/>
      <c r="JL27" s="34">
        <f>IF(AND(ISNUMBER(JM27),ISNUMBER(JK27)),JM27-JK27,"")</f>
        <v>0</v>
      </c>
      <c r="JM27" s="33"/>
      <c r="JN27" s="34">
        <f>IF(AND(ISNUMBER(JO27),ISNUMBER(JM27)),JO27-JM27,"")</f>
        <v>0</v>
      </c>
      <c r="JO27" s="33"/>
      <c r="JP27" s="34">
        <f>IF(AND(ISNUMBER(JQ27),ISNUMBER(JO27)),JQ27-JO27,"")</f>
        <v>0</v>
      </c>
      <c r="JQ27" s="33"/>
      <c r="JR27" s="34">
        <f>IF(AND(ISNUMBER(JS27),ISNUMBER(JQ27)),JS27-JQ27,"")</f>
        <v>0</v>
      </c>
      <c r="JS27" s="33"/>
      <c r="JT27" s="34">
        <f>IF(AND(ISNUMBER(JU27),ISNUMBER(JS27)),JU27-JS27,"")</f>
        <v>0</v>
      </c>
      <c r="JU27" s="33"/>
      <c r="JV27" s="34">
        <f>IF(AND(ISNUMBER(JW27),ISNUMBER(JU27)),JW27-JU27,"")</f>
        <v>0</v>
      </c>
      <c r="JW27" s="33"/>
      <c r="JX27" s="34">
        <f>IF(AND(ISNUMBER(JY27),ISNUMBER(JW27)),JY27-JW27,"")</f>
        <v>0</v>
      </c>
      <c r="JY27" s="33"/>
      <c r="JZ27" s="34">
        <f>IF(AND(ISNUMBER(KA27),ISNUMBER(JY27)),KA27-JY27,"")</f>
        <v>0</v>
      </c>
      <c r="KA27" s="33"/>
      <c r="KB27" s="34">
        <f>IF(AND(ISNUMBER(KC27),ISNUMBER(KA27)),KC27-KA27,"")</f>
        <v>0</v>
      </c>
      <c r="KC27" s="33"/>
      <c r="KD27" s="34">
        <f>IF(AND(ISNUMBER(KE27),ISNUMBER(KC27)),KE27-KC27,"")</f>
        <v>0</v>
      </c>
      <c r="KE27" s="33"/>
      <c r="KF27" s="34">
        <f>IF(AND(ISNUMBER(KG27),ISNUMBER(KE27)),KG27-KE27,"")</f>
        <v>0</v>
      </c>
      <c r="KG27" s="33"/>
      <c r="KH27" s="34">
        <f>IF(AND(ISNUMBER(KI27),ISNUMBER(KG27)),KI27-KG27,"")</f>
        <v>0</v>
      </c>
      <c r="KI27" s="33"/>
      <c r="KJ27" s="34">
        <f>IF(AND(ISNUMBER(KK27),ISNUMBER(KI27)),KK27-KI27,"")</f>
        <v>0</v>
      </c>
      <c r="KK27" s="33"/>
      <c r="KL27" s="34">
        <f>IF(AND(ISNUMBER(KM27),ISNUMBER(KK27)),KM27-KK27,"")</f>
        <v>0</v>
      </c>
      <c r="KM27" s="33"/>
      <c r="KN27" s="34">
        <f>IF(AND(ISNUMBER(KO27),ISNUMBER(KM27)),KO27-KM27,"")</f>
        <v>0</v>
      </c>
      <c r="KO27" s="33"/>
      <c r="KP27" s="34">
        <f>IF(AND(ISNUMBER(KQ27),ISNUMBER(KO27)),KQ27-KO27,"")</f>
        <v>0</v>
      </c>
      <c r="KQ27" s="33"/>
      <c r="KR27" s="34">
        <f>IF(AND(ISNUMBER(KS27),ISNUMBER(KQ27)),KS27-KQ27,"")</f>
        <v>0</v>
      </c>
      <c r="KS27" s="33"/>
      <c r="KT27" s="34">
        <f>IF(AND(ISNUMBER(KU27),ISNUMBER(KS27)),KU27-KS27,"")</f>
        <v>0</v>
      </c>
      <c r="KU27" s="33"/>
      <c r="KV27" s="34">
        <f>IF(AND(ISNUMBER(KW27),ISNUMBER(KU27)),KW27-KU27,"")</f>
        <v>0</v>
      </c>
      <c r="KW27" s="33"/>
      <c r="KX27" s="34">
        <f>IF(AND(ISNUMBER(KY27),ISNUMBER(KW27)),KY27-KW27,"")</f>
        <v>0</v>
      </c>
      <c r="KY27" s="33"/>
      <c r="KZ27" s="34">
        <f>IF(AND(ISNUMBER(LA27),ISNUMBER(KY27)),LA27-KY27,"")</f>
        <v>0</v>
      </c>
      <c r="LA27" s="33"/>
      <c r="LB27" s="34">
        <f>IF(AND(ISNUMBER(LC27),ISNUMBER(LA27)),LC27-LA27,"")</f>
        <v>0</v>
      </c>
      <c r="LC27" s="33"/>
      <c r="LD27" s="34">
        <f>IF(AND(ISNUMBER(LE27),ISNUMBER(LC27)),LE27-LC27,"")</f>
        <v>0</v>
      </c>
      <c r="LE27" s="33"/>
      <c r="LF27" s="34">
        <f>IF(AND(ISNUMBER(LG27),ISNUMBER(LE27)),LG27-LE27,"")</f>
        <v>0</v>
      </c>
      <c r="LG27" s="33"/>
      <c r="LJ27" s="35" t="s">
        <v>1092</v>
      </c>
    </row>
    <row r="28" spans="1:322" hidden="1" outlineLevel="1">
      <c r="B28" s="23"/>
      <c r="D28" s="31" t="s">
        <v>721</v>
      </c>
      <c r="E28" s="32" t="s">
        <v>1054</v>
      </c>
      <c r="I28" s="40" t="s">
        <v>1088</v>
      </c>
      <c r="J28" s="34">
        <f>IF(AND(ISNUMBER(K28),ISNUMBER(I28)),K28-I28,"")</f>
        <v>0</v>
      </c>
      <c r="K28" s="40" t="s">
        <v>1088</v>
      </c>
      <c r="L28" s="34">
        <f>IF(AND(ISNUMBER(M28),ISNUMBER(K28)),M28-K28,"")</f>
        <v>0</v>
      </c>
      <c r="M28" s="40" t="s">
        <v>1088</v>
      </c>
      <c r="N28" s="34">
        <f>IF(AND(ISNUMBER(O28),ISNUMBER(M28)),O28-M28,"")</f>
        <v>0</v>
      </c>
      <c r="O28" s="40" t="s">
        <v>1088</v>
      </c>
      <c r="P28" s="34">
        <f>IF(AND(ISNUMBER(Q28),ISNUMBER(O28)),Q28-O28,"")</f>
        <v>0</v>
      </c>
      <c r="Q28" s="40" t="s">
        <v>1088</v>
      </c>
      <c r="R28" s="34">
        <f>IF(AND(ISNUMBER(S28),ISNUMBER(Q28)),S28-Q28,"")</f>
        <v>0</v>
      </c>
      <c r="S28" s="40" t="s">
        <v>1088</v>
      </c>
      <c r="T28" s="34">
        <f>IF(AND(ISNUMBER(U28),ISNUMBER(S28)),U28-S28,"")</f>
        <v>0</v>
      </c>
      <c r="U28" s="40" t="s">
        <v>1088</v>
      </c>
      <c r="V28" s="34">
        <f>IF(AND(ISNUMBER(W28),ISNUMBER(U28)),W28-U28,"")</f>
        <v>0</v>
      </c>
      <c r="W28" s="33">
        <v>0</v>
      </c>
      <c r="X28" s="34">
        <f>IF(AND(ISNUMBER(Y28),ISNUMBER(W28)),Y28-W28,"")</f>
        <v>0</v>
      </c>
      <c r="Y28" s="33">
        <v>0</v>
      </c>
      <c r="Z28" s="34">
        <f>IF(AND(ISNUMBER(AA28),ISNUMBER(Y28)),AA28-Y28,"")</f>
        <v>0</v>
      </c>
      <c r="AA28" s="33">
        <v>0</v>
      </c>
      <c r="AB28" s="34">
        <f>IF(AND(ISNUMBER(AC28),ISNUMBER(AA28)),AC28-AA28,"")</f>
        <v>0</v>
      </c>
      <c r="AC28" s="33">
        <v>0</v>
      </c>
      <c r="AD28" s="34">
        <f>IF(AND(ISNUMBER(AE28),ISNUMBER(AC28)),AE28-AC28,"")</f>
        <v>0</v>
      </c>
      <c r="AE28" s="33">
        <v>3</v>
      </c>
      <c r="AF28" s="34">
        <f>IF(AND(ISNUMBER(AG28),ISNUMBER(AE28)),AG28-AE28,"")</f>
        <v>0</v>
      </c>
      <c r="AG28" s="33">
        <v>0</v>
      </c>
      <c r="AH28" s="34">
        <f>IF(AND(ISNUMBER(AI28),ISNUMBER(AG28)),AI28-AG28,"")</f>
        <v>0</v>
      </c>
      <c r="AI28" s="33">
        <v>1</v>
      </c>
      <c r="AJ28" s="34">
        <f>IF(AND(ISNUMBER(AK28),ISNUMBER(AI28)),AK28-AI28,"")</f>
        <v>0</v>
      </c>
      <c r="AK28" s="33">
        <v>0</v>
      </c>
      <c r="AL28" s="34">
        <f>IF(AND(ISNUMBER(AM28),ISNUMBER(AK28)),AM28-AK28,"")</f>
        <v>0</v>
      </c>
      <c r="AM28" s="33">
        <v>1</v>
      </c>
      <c r="AN28" s="34">
        <f>IF(AND(ISNUMBER(AO28),ISNUMBER(AM28)),AO28-AM28,"")</f>
        <v>0</v>
      </c>
      <c r="AO28" s="33">
        <v>1</v>
      </c>
      <c r="AP28" s="34">
        <f>IF(AND(ISNUMBER(AQ28),ISNUMBER(AO28)),AQ28-AO28,"")</f>
        <v>0</v>
      </c>
      <c r="AQ28" s="33">
        <v>1</v>
      </c>
      <c r="AR28" s="34">
        <f>IF(AND(ISNUMBER(AS28),ISNUMBER(AQ28)),AS28-AQ28,"")</f>
        <v>0</v>
      </c>
      <c r="AS28" s="33">
        <v>0</v>
      </c>
      <c r="AT28" s="34">
        <f>IF(AND(ISNUMBER(AU28),ISNUMBER(AS28)),AU28-AS28,"")</f>
        <v>0</v>
      </c>
      <c r="AU28" s="33">
        <v>1</v>
      </c>
      <c r="AV28" s="34">
        <f>IF(AND(ISNUMBER(AW28),ISNUMBER(AU28)),AW28-AU28,"")</f>
        <v>0</v>
      </c>
      <c r="AW28" s="33">
        <v>0</v>
      </c>
      <c r="AX28" s="34">
        <f>IF(AND(ISNUMBER(AY28),ISNUMBER(AW28)),AY28-AW28,"")</f>
        <v>0</v>
      </c>
      <c r="AY28" s="33">
        <v>1</v>
      </c>
      <c r="AZ28" s="34">
        <f>IF(AND(ISNUMBER(BA28),ISNUMBER(AY28)),BA28-AY28,"")</f>
        <v>0</v>
      </c>
      <c r="BA28" s="33">
        <v>0</v>
      </c>
      <c r="BB28" s="34">
        <f>IF(AND(ISNUMBER(BC28),ISNUMBER(BA28)),BC28-BA28,"")</f>
        <v>0</v>
      </c>
      <c r="BC28" s="33">
        <v>1</v>
      </c>
      <c r="BD28" s="34">
        <f>IF(AND(ISNUMBER(BE28),ISNUMBER(BC28)),BE28-BC28,"")</f>
        <v>0</v>
      </c>
      <c r="BE28" s="33">
        <v>1</v>
      </c>
      <c r="BF28" s="34">
        <f>IF(AND(ISNUMBER(BG28),ISNUMBER(BE28)),BG28-BE28,"")</f>
        <v>0</v>
      </c>
      <c r="BG28" s="33">
        <v>1</v>
      </c>
      <c r="BH28" s="34">
        <f>IF(AND(ISNUMBER(BI28),ISNUMBER(BG28)),BI28-BG28,"")</f>
        <v>0</v>
      </c>
      <c r="BI28" s="33">
        <v>1</v>
      </c>
      <c r="BJ28" s="34">
        <f>IF(AND(ISNUMBER(BK28),ISNUMBER(BI28)),BK28-BI28,"")</f>
        <v>0</v>
      </c>
      <c r="BK28" s="33">
        <v>0</v>
      </c>
      <c r="BL28" s="34">
        <f>IF(AND(ISNUMBER(BM28),ISNUMBER(BK28)),BM28-BK28,"")</f>
        <v>0</v>
      </c>
      <c r="BM28" s="33">
        <v>0</v>
      </c>
      <c r="BN28" s="34">
        <f>IF(AND(ISNUMBER(BO28),ISNUMBER(BM28)),BO28-BM28,"")</f>
        <v>0</v>
      </c>
      <c r="BO28" s="33">
        <v>2</v>
      </c>
      <c r="BP28" s="34">
        <f>IF(AND(ISNUMBER(BQ28),ISNUMBER(BO28)),BQ28-BO28,"")</f>
        <v>0</v>
      </c>
      <c r="BQ28" s="33">
        <v>0</v>
      </c>
      <c r="BR28" s="34">
        <f>IF(AND(ISNUMBER(BS28),ISNUMBER(BQ28)),BS28-BQ28,"")</f>
        <v>0</v>
      </c>
      <c r="BS28" s="33">
        <v>0</v>
      </c>
      <c r="BT28" s="34">
        <f>IF(AND(ISNUMBER(BU28),ISNUMBER(BS28)),BU28-BS28,"")</f>
        <v>0</v>
      </c>
      <c r="BU28" s="33">
        <v>0</v>
      </c>
      <c r="BV28" s="34">
        <f>IF(AND(ISNUMBER(BW28),ISNUMBER(BU28)),BW28-BU28,"")</f>
        <v>0</v>
      </c>
      <c r="BW28" s="33">
        <v>0</v>
      </c>
      <c r="BX28" s="34">
        <f>IF(AND(ISNUMBER(BY28),ISNUMBER(BW28)),BY28-BW28,"")</f>
        <v>0</v>
      </c>
      <c r="BY28" s="33">
        <v>12</v>
      </c>
      <c r="BZ28" s="34">
        <f>IF(AND(ISNUMBER(CA28),ISNUMBER(BY28)),CA28-BY28,"")</f>
        <v>0</v>
      </c>
      <c r="CA28" s="33">
        <v>2</v>
      </c>
      <c r="CB28" s="34">
        <f>IF(AND(ISNUMBER(CC28),ISNUMBER(CA28)),CC28-CA28,"")</f>
        <v>0</v>
      </c>
      <c r="CC28" s="33">
        <v>1</v>
      </c>
      <c r="CD28" s="34">
        <f>IF(AND(ISNUMBER(CE28),ISNUMBER(CC28)),CE28-CC28,"")</f>
        <v>0</v>
      </c>
      <c r="CE28" s="33">
        <v>2</v>
      </c>
      <c r="CF28" s="34">
        <f>IF(AND(ISNUMBER(CG28),ISNUMBER(CE28)),CG28-CE28,"")</f>
        <v>0</v>
      </c>
      <c r="CG28" s="33">
        <v>1</v>
      </c>
      <c r="CH28" s="34">
        <f>IF(AND(ISNUMBER(CI28),ISNUMBER(CG28)),CI28-CG28,"")</f>
        <v>0</v>
      </c>
      <c r="CI28" s="33">
        <v>1</v>
      </c>
      <c r="CJ28" s="34">
        <f>IF(AND(ISNUMBER(CK28),ISNUMBER(CI28)),CK28-CI28,"")</f>
        <v>0</v>
      </c>
      <c r="CK28" s="33">
        <v>1</v>
      </c>
      <c r="CL28" s="34">
        <f>IF(AND(ISNUMBER(CM28),ISNUMBER(CK28)),CM28-CK28,"")</f>
        <v>0</v>
      </c>
      <c r="CM28" s="33">
        <v>1</v>
      </c>
      <c r="CN28" s="34">
        <f>IF(AND(ISNUMBER(CO28),ISNUMBER(CM28)),CO28-CM28,"")</f>
        <v>0</v>
      </c>
      <c r="CO28" s="33">
        <v>1</v>
      </c>
      <c r="CP28" s="34">
        <f>IF(AND(ISNUMBER(CQ28),ISNUMBER(CO28)),CQ28-CO28,"")</f>
        <v>0</v>
      </c>
      <c r="CQ28" s="33">
        <v>1</v>
      </c>
      <c r="CR28" s="34">
        <f>IF(AND(ISNUMBER(CS28),ISNUMBER(CQ28)),CS28-CQ28,"")</f>
        <v>0</v>
      </c>
      <c r="CS28" s="33">
        <v>23</v>
      </c>
      <c r="CT28" s="34">
        <f>IF(AND(ISNUMBER(CU28),ISNUMBER(CS28)),CU28-CS28,"")</f>
        <v>0</v>
      </c>
      <c r="CU28" s="33">
        <v>1</v>
      </c>
      <c r="CV28" s="34">
        <f>IF(AND(ISNUMBER(CW28),ISNUMBER(CU28)),CW28-CU28,"")</f>
        <v>0</v>
      </c>
      <c r="CW28" s="33">
        <v>1</v>
      </c>
      <c r="CX28" s="34">
        <f>IF(AND(ISNUMBER(CY28),ISNUMBER(CW28)),CY28-CW28,"")</f>
        <v>0</v>
      </c>
      <c r="CY28" s="33">
        <v>23</v>
      </c>
      <c r="CZ28" s="34">
        <f>IF(AND(ISNUMBER(DA28),ISNUMBER(CY28)),DA28-CY28,"")</f>
        <v>0</v>
      </c>
      <c r="DA28" s="33">
        <v>4</v>
      </c>
      <c r="DB28" s="34">
        <f>IF(AND(ISNUMBER(DC28),ISNUMBER(DA28)),DC28-DA28,"")</f>
        <v>0</v>
      </c>
      <c r="DC28" s="33"/>
      <c r="DD28" s="34">
        <f>IF(AND(ISNUMBER(DE28),ISNUMBER(DC28)),DE28-DC28,"")</f>
        <v>0</v>
      </c>
      <c r="DE28" s="33"/>
      <c r="DF28" s="34">
        <f>IF(AND(ISNUMBER(DG28),ISNUMBER(DE28)),DG28-DE28,"")</f>
        <v>0</v>
      </c>
      <c r="DG28" s="33"/>
      <c r="DH28" s="34">
        <f>IF(AND(ISNUMBER(DI28),ISNUMBER(DG28)),DI28-DG28,"")</f>
        <v>0</v>
      </c>
      <c r="DI28" s="33">
        <v>1</v>
      </c>
      <c r="DJ28" s="34">
        <f>IF(AND(ISNUMBER(DK28),ISNUMBER(DI28)),DK28-DI28,"")</f>
        <v>0</v>
      </c>
      <c r="DK28" s="33"/>
      <c r="DL28" s="34">
        <f>IF(AND(ISNUMBER(DM28),ISNUMBER(DK28)),DM28-DK28,"")</f>
        <v>0</v>
      </c>
      <c r="DM28" s="33"/>
      <c r="DN28" s="34">
        <f>IF(AND(ISNUMBER(DO28),ISNUMBER(DM28)),DO28-DM28,"")</f>
        <v>0</v>
      </c>
      <c r="DO28" s="33"/>
      <c r="DP28" s="34">
        <f>IF(AND(ISNUMBER(DQ28),ISNUMBER(DO28)),DQ28-DO28,"")</f>
        <v>0</v>
      </c>
      <c r="DQ28" s="33"/>
      <c r="DR28" s="34">
        <f>IF(AND(ISNUMBER(DS28),ISNUMBER(DQ28)),DS28-DQ28,"")</f>
        <v>0</v>
      </c>
      <c r="DS28" s="33"/>
      <c r="DT28" s="34">
        <f>IF(AND(ISNUMBER(DU28),ISNUMBER(DS28)),DU28-DS28,"")</f>
        <v>0</v>
      </c>
      <c r="DU28" s="33"/>
      <c r="DV28" s="34">
        <f>IF(AND(ISNUMBER(DW28),ISNUMBER(DU28)),DW28-DU28,"")</f>
        <v>0</v>
      </c>
      <c r="DW28" s="33"/>
      <c r="DX28" s="34">
        <f>IF(AND(ISNUMBER(DY28),ISNUMBER(DW28)),DY28-DW28,"")</f>
        <v>0</v>
      </c>
      <c r="DY28" s="33"/>
      <c r="DZ28" s="34">
        <f>IF(AND(ISNUMBER(EA28),ISNUMBER(DY28)),EA28-DY28,"")</f>
        <v>0</v>
      </c>
      <c r="EA28" s="33"/>
      <c r="EB28" s="34">
        <f>IF(AND(ISNUMBER(EC28),ISNUMBER(EA28)),EC28-EA28,"")</f>
        <v>0</v>
      </c>
      <c r="EC28" s="33"/>
      <c r="ED28" s="34">
        <f>IF(AND(ISNUMBER(EE28),ISNUMBER(EC28)),EE28-EC28,"")</f>
        <v>0</v>
      </c>
      <c r="EE28" s="33"/>
      <c r="EF28" s="34">
        <f>IF(AND(ISNUMBER(EG28),ISNUMBER(EE28)),EG28-EE28,"")</f>
        <v>0</v>
      </c>
      <c r="EG28" s="33"/>
      <c r="EH28" s="34">
        <f>IF(AND(ISNUMBER(EI28),ISNUMBER(EG28)),EI28-EG28,"")</f>
        <v>0</v>
      </c>
      <c r="EI28" s="33"/>
      <c r="EJ28" s="34">
        <f>IF(AND(ISNUMBER(EK28),ISNUMBER(EI28)),EK28-EI28,"")</f>
        <v>0</v>
      </c>
      <c r="EK28" s="33"/>
      <c r="EL28" s="34">
        <f>IF(AND(ISNUMBER(EM28),ISNUMBER(EK28)),EM28-EK28,"")</f>
        <v>0</v>
      </c>
      <c r="EM28" s="33"/>
      <c r="EN28" s="34">
        <f>IF(AND(ISNUMBER(EO28),ISNUMBER(EM28)),EO28-EM28,"")</f>
        <v>0</v>
      </c>
      <c r="EO28" s="33"/>
      <c r="EP28" s="34">
        <f>IF(AND(ISNUMBER(EQ28),ISNUMBER(EO28)),EQ28-EO28,"")</f>
        <v>0</v>
      </c>
      <c r="EQ28" s="33"/>
      <c r="ER28" s="34">
        <f>IF(AND(ISNUMBER(ES28),ISNUMBER(EQ28)),ES28-EQ28,"")</f>
        <v>0</v>
      </c>
      <c r="ES28" s="33"/>
      <c r="ET28" s="34">
        <f>IF(AND(ISNUMBER(EU28),ISNUMBER(ES28)),EU28-ES28,"")</f>
        <v>0</v>
      </c>
      <c r="EU28" s="33"/>
      <c r="EV28" s="34">
        <f>IF(AND(ISNUMBER(EW28),ISNUMBER(EU28)),EW28-EU28,"")</f>
        <v>0</v>
      </c>
      <c r="EW28" s="33"/>
      <c r="EX28" s="34">
        <f>IF(AND(ISNUMBER(EY28),ISNUMBER(EW28)),EY28-EW28,"")</f>
        <v>0</v>
      </c>
      <c r="EY28" s="33"/>
      <c r="EZ28" s="34">
        <f>IF(AND(ISNUMBER(FA28),ISNUMBER(EY28)),FA28-EY28,"")</f>
        <v>0</v>
      </c>
      <c r="FA28" s="33"/>
      <c r="FB28" s="34">
        <f>IF(AND(ISNUMBER(FC28),ISNUMBER(FA28)),FC28-FA28,"")</f>
        <v>0</v>
      </c>
      <c r="FC28" s="33"/>
      <c r="FD28" s="34">
        <f>IF(AND(ISNUMBER(FE28),ISNUMBER(FC28)),FE28-FC28,"")</f>
        <v>0</v>
      </c>
      <c r="FE28" s="33"/>
      <c r="FF28" s="34">
        <f>IF(AND(ISNUMBER(FG28),ISNUMBER(FE28)),FG28-FE28,"")</f>
        <v>0</v>
      </c>
      <c r="FG28" s="33"/>
      <c r="FH28" s="34">
        <f>IF(AND(ISNUMBER(FI28),ISNUMBER(FG28)),FI28-FG28,"")</f>
        <v>0</v>
      </c>
      <c r="FI28" s="33"/>
      <c r="FJ28" s="34">
        <f>IF(AND(ISNUMBER(FK28),ISNUMBER(FI28)),FK28-FI28,"")</f>
        <v>0</v>
      </c>
      <c r="FK28" s="33"/>
      <c r="FL28" s="34">
        <f>IF(AND(ISNUMBER(FM28),ISNUMBER(FK28)),FM28-FK28,"")</f>
        <v>0</v>
      </c>
      <c r="FM28" s="33"/>
      <c r="FN28" s="34">
        <f>IF(AND(ISNUMBER(FO28),ISNUMBER(FM28)),FO28-FM28,"")</f>
        <v>0</v>
      </c>
      <c r="FO28" s="33"/>
      <c r="FP28" s="34">
        <f>IF(AND(ISNUMBER(FQ28),ISNUMBER(FO28)),FQ28-FO28,"")</f>
        <v>0</v>
      </c>
      <c r="FQ28" s="33"/>
      <c r="FR28" s="34">
        <f>IF(AND(ISNUMBER(FS28),ISNUMBER(FQ28)),FS28-FQ28,"")</f>
        <v>0</v>
      </c>
      <c r="FS28" s="33"/>
      <c r="FT28" s="34">
        <f>IF(AND(ISNUMBER(FU28),ISNUMBER(FS28)),FU28-FS28,"")</f>
        <v>0</v>
      </c>
      <c r="FU28" s="33"/>
      <c r="FV28" s="34">
        <f>IF(AND(ISNUMBER(FW28),ISNUMBER(FU28)),FW28-FU28,"")</f>
        <v>0</v>
      </c>
      <c r="FW28" s="33"/>
      <c r="FX28" s="34">
        <f>IF(AND(ISNUMBER(FY28),ISNUMBER(FW28)),FY28-FW28,"")</f>
        <v>0</v>
      </c>
      <c r="FY28" s="33"/>
      <c r="FZ28" s="34">
        <f>IF(AND(ISNUMBER(GA28),ISNUMBER(FY28)),GA28-FY28,"")</f>
        <v>0</v>
      </c>
      <c r="GA28" s="33"/>
      <c r="GB28" s="34">
        <f>IF(AND(ISNUMBER(GC28),ISNUMBER(GA28)),GC28-GA28,"")</f>
        <v>0</v>
      </c>
      <c r="GC28" s="33"/>
      <c r="GD28" s="34">
        <f>IF(AND(ISNUMBER(GE28),ISNUMBER(GC28)),GE28-GC28,"")</f>
        <v>0</v>
      </c>
      <c r="GE28" s="33"/>
      <c r="GF28" s="34">
        <f>IF(AND(ISNUMBER(GG28),ISNUMBER(GE28)),GG28-GE28,"")</f>
        <v>0</v>
      </c>
      <c r="GG28" s="33"/>
      <c r="GH28" s="34">
        <f>IF(AND(ISNUMBER(GI28),ISNUMBER(GG28)),GI28-GG28,"")</f>
        <v>0</v>
      </c>
      <c r="GI28" s="33"/>
      <c r="GJ28" s="34">
        <f>IF(AND(ISNUMBER(GK28),ISNUMBER(GI28)),GK28-GI28,"")</f>
        <v>0</v>
      </c>
      <c r="GK28" s="33"/>
      <c r="GL28" s="34">
        <f>IF(AND(ISNUMBER(GM28),ISNUMBER(GK28)),GM28-GK28,"")</f>
        <v>0</v>
      </c>
      <c r="GM28" s="33"/>
      <c r="GN28" s="34">
        <f>IF(AND(ISNUMBER(GO28),ISNUMBER(GM28)),GO28-GM28,"")</f>
        <v>0</v>
      </c>
      <c r="GO28" s="33"/>
      <c r="GP28" s="34">
        <f>IF(AND(ISNUMBER(GQ28),ISNUMBER(GO28)),GQ28-GO28,"")</f>
        <v>0</v>
      </c>
      <c r="GQ28" s="33"/>
      <c r="GR28" s="34">
        <f>IF(AND(ISNUMBER(GS28),ISNUMBER(GQ28)),GS28-GQ28,"")</f>
        <v>0</v>
      </c>
      <c r="GS28" s="33"/>
      <c r="GT28" s="34">
        <f>IF(AND(ISNUMBER(GU28),ISNUMBER(GS28)),GU28-GS28,"")</f>
        <v>0</v>
      </c>
      <c r="GU28" s="33"/>
      <c r="GV28" s="34">
        <f>IF(AND(ISNUMBER(GW28),ISNUMBER(GU28)),GW28-GU28,"")</f>
        <v>0</v>
      </c>
      <c r="GW28" s="33"/>
      <c r="GX28" s="34">
        <f>IF(AND(ISNUMBER(GY28),ISNUMBER(GW28)),GY28-GW28,"")</f>
        <v>0</v>
      </c>
      <c r="GY28" s="33"/>
      <c r="GZ28" s="34">
        <f>IF(AND(ISNUMBER(HA28),ISNUMBER(GY28)),HA28-GY28,"")</f>
        <v>0</v>
      </c>
      <c r="HA28" s="33"/>
      <c r="HB28" s="34">
        <f>IF(AND(ISNUMBER(HC28),ISNUMBER(HA28)),HC28-HA28,"")</f>
        <v>0</v>
      </c>
      <c r="HC28" s="33"/>
      <c r="HD28" s="34">
        <f>IF(AND(ISNUMBER(HE28),ISNUMBER(HC28)),HE28-HC28,"")</f>
        <v>0</v>
      </c>
      <c r="HE28" s="33"/>
      <c r="HF28" s="34">
        <f>IF(AND(ISNUMBER(HG28),ISNUMBER(HE28)),HG28-HE28,"")</f>
        <v>0</v>
      </c>
      <c r="HG28" s="33"/>
      <c r="HH28" s="34">
        <f>IF(AND(ISNUMBER(HI28),ISNUMBER(HG28)),HI28-HG28,"")</f>
        <v>0</v>
      </c>
      <c r="HI28" s="33"/>
      <c r="HJ28" s="34">
        <f>IF(AND(ISNUMBER(HK28),ISNUMBER(HI28)),HK28-HI28,"")</f>
        <v>0</v>
      </c>
      <c r="HK28" s="33"/>
      <c r="HL28" s="34">
        <f>IF(AND(ISNUMBER(HM28),ISNUMBER(HK28)),HM28-HK28,"")</f>
        <v>0</v>
      </c>
      <c r="HM28" s="33"/>
      <c r="HN28" s="34">
        <f>IF(AND(ISNUMBER(HO28),ISNUMBER(HM28)),HO28-HM28,"")</f>
        <v>0</v>
      </c>
      <c r="HO28" s="33"/>
      <c r="HP28" s="34">
        <f>IF(AND(ISNUMBER(HQ28),ISNUMBER(HO28)),HQ28-HO28,"")</f>
        <v>0</v>
      </c>
      <c r="HQ28" s="33"/>
      <c r="HR28" s="34">
        <f>IF(AND(ISNUMBER(HS28),ISNUMBER(HQ28)),HS28-HQ28,"")</f>
        <v>0</v>
      </c>
      <c r="HS28" s="33"/>
      <c r="HT28" s="34">
        <f>IF(AND(ISNUMBER(HU28),ISNUMBER(HS28)),HU28-HS28,"")</f>
        <v>0</v>
      </c>
      <c r="HU28" s="33"/>
      <c r="HV28" s="34">
        <f>IF(AND(ISNUMBER(HW28),ISNUMBER(HU28)),HW28-HU28,"")</f>
        <v>0</v>
      </c>
      <c r="HW28" s="33"/>
      <c r="HX28" s="34">
        <f>IF(AND(ISNUMBER(HY28),ISNUMBER(HW28)),HY28-HW28,"")</f>
        <v>0</v>
      </c>
      <c r="HY28" s="33"/>
      <c r="HZ28" s="34">
        <f>IF(AND(ISNUMBER(IA28),ISNUMBER(HY28)),IA28-HY28,"")</f>
        <v>0</v>
      </c>
      <c r="IA28" s="33"/>
      <c r="IB28" s="34">
        <f>IF(AND(ISNUMBER(IC28),ISNUMBER(IA28)),IC28-IA28,"")</f>
        <v>0</v>
      </c>
      <c r="IC28" s="33"/>
      <c r="ID28" s="34">
        <f>IF(AND(ISNUMBER(IE28),ISNUMBER(IC28)),IE28-IC28,"")</f>
        <v>0</v>
      </c>
      <c r="IE28" s="33"/>
      <c r="IF28" s="34">
        <f>IF(AND(ISNUMBER(IG28),ISNUMBER(IE28)),IG28-IE28,"")</f>
        <v>0</v>
      </c>
      <c r="IG28" s="33"/>
      <c r="IH28" s="34">
        <f>IF(AND(ISNUMBER(II28),ISNUMBER(IG28)),II28-IG28,"")</f>
        <v>0</v>
      </c>
      <c r="II28" s="33"/>
      <c r="IJ28" s="34">
        <f>IF(AND(ISNUMBER(IK28),ISNUMBER(II28)),IK28-II28,"")</f>
        <v>0</v>
      </c>
      <c r="IK28" s="33"/>
      <c r="IL28" s="34">
        <f>IF(AND(ISNUMBER(IM28),ISNUMBER(IK28)),IM28-IK28,"")</f>
        <v>0</v>
      </c>
      <c r="IM28" s="33"/>
      <c r="IN28" s="34">
        <f>IF(AND(ISNUMBER(IO28),ISNUMBER(IM28)),IO28-IM28,"")</f>
        <v>0</v>
      </c>
      <c r="IO28" s="33"/>
      <c r="IP28" s="34">
        <f>IF(AND(ISNUMBER(IQ28),ISNUMBER(IO28)),IQ28-IO28,"")</f>
        <v>0</v>
      </c>
      <c r="IQ28" s="33"/>
      <c r="IR28" s="34">
        <f>IF(AND(ISNUMBER(IS28),ISNUMBER(IQ28)),IS28-IQ28,"")</f>
        <v>0</v>
      </c>
      <c r="IS28" s="33"/>
      <c r="IT28" s="34">
        <f>IF(AND(ISNUMBER(IU28),ISNUMBER(IS28)),IU28-IS28,"")</f>
        <v>0</v>
      </c>
      <c r="IU28" s="33"/>
      <c r="IV28" s="34">
        <f>IF(AND(ISNUMBER(IW28),ISNUMBER(IU28)),IW28-IU28,"")</f>
        <v>0</v>
      </c>
      <c r="IW28" s="33"/>
      <c r="IX28" s="34">
        <f>IF(AND(ISNUMBER(IY28),ISNUMBER(IW28)),IY28-IW28,"")</f>
        <v>0</v>
      </c>
      <c r="IY28" s="33"/>
      <c r="IZ28" s="34">
        <f>IF(AND(ISNUMBER(JA28),ISNUMBER(IY28)),JA28-IY28,"")</f>
        <v>0</v>
      </c>
      <c r="JA28" s="33"/>
      <c r="JB28" s="34">
        <f>IF(AND(ISNUMBER(JC28),ISNUMBER(JA28)),JC28-JA28,"")</f>
        <v>0</v>
      </c>
      <c r="JC28" s="33"/>
      <c r="JD28" s="34">
        <f>IF(AND(ISNUMBER(JE28),ISNUMBER(JC28)),JE28-JC28,"")</f>
        <v>0</v>
      </c>
      <c r="JE28" s="33"/>
      <c r="JF28" s="34">
        <f>IF(AND(ISNUMBER(JG28),ISNUMBER(JE28)),JG28-JE28,"")</f>
        <v>0</v>
      </c>
      <c r="JG28" s="33"/>
      <c r="JH28" s="34">
        <f>IF(AND(ISNUMBER(JI28),ISNUMBER(JG28)),JI28-JG28,"")</f>
        <v>0</v>
      </c>
      <c r="JI28" s="33"/>
      <c r="JJ28" s="34">
        <f>IF(AND(ISNUMBER(JK28),ISNUMBER(JI28)),JK28-JI28,"")</f>
        <v>0</v>
      </c>
      <c r="JK28" s="33"/>
      <c r="JL28" s="34">
        <f>IF(AND(ISNUMBER(JM28),ISNUMBER(JK28)),JM28-JK28,"")</f>
        <v>0</v>
      </c>
      <c r="JM28" s="33"/>
      <c r="JN28" s="34">
        <f>IF(AND(ISNUMBER(JO28),ISNUMBER(JM28)),JO28-JM28,"")</f>
        <v>0</v>
      </c>
      <c r="JO28" s="33"/>
      <c r="JP28" s="34">
        <f>IF(AND(ISNUMBER(JQ28),ISNUMBER(JO28)),JQ28-JO28,"")</f>
        <v>0</v>
      </c>
      <c r="JQ28" s="33"/>
      <c r="JR28" s="34">
        <f>IF(AND(ISNUMBER(JS28),ISNUMBER(JQ28)),JS28-JQ28,"")</f>
        <v>0</v>
      </c>
      <c r="JS28" s="33"/>
      <c r="JT28" s="34">
        <f>IF(AND(ISNUMBER(JU28),ISNUMBER(JS28)),JU28-JS28,"")</f>
        <v>0</v>
      </c>
      <c r="JU28" s="33"/>
      <c r="JV28" s="34">
        <f>IF(AND(ISNUMBER(JW28),ISNUMBER(JU28)),JW28-JU28,"")</f>
        <v>0</v>
      </c>
      <c r="JW28" s="33"/>
      <c r="JX28" s="34">
        <f>IF(AND(ISNUMBER(JY28),ISNUMBER(JW28)),JY28-JW28,"")</f>
        <v>0</v>
      </c>
      <c r="JY28" s="33"/>
      <c r="JZ28" s="34">
        <f>IF(AND(ISNUMBER(KA28),ISNUMBER(JY28)),KA28-JY28,"")</f>
        <v>0</v>
      </c>
      <c r="KA28" s="33"/>
      <c r="KB28" s="34">
        <f>IF(AND(ISNUMBER(KC28),ISNUMBER(KA28)),KC28-KA28,"")</f>
        <v>0</v>
      </c>
      <c r="KC28" s="33"/>
      <c r="KD28" s="34">
        <f>IF(AND(ISNUMBER(KE28),ISNUMBER(KC28)),KE28-KC28,"")</f>
        <v>0</v>
      </c>
      <c r="KE28" s="33"/>
      <c r="KF28" s="34">
        <f>IF(AND(ISNUMBER(KG28),ISNUMBER(KE28)),KG28-KE28,"")</f>
        <v>0</v>
      </c>
      <c r="KG28" s="33"/>
      <c r="KH28" s="34">
        <f>IF(AND(ISNUMBER(KI28),ISNUMBER(KG28)),KI28-KG28,"")</f>
        <v>0</v>
      </c>
      <c r="KI28" s="33"/>
      <c r="KJ28" s="34">
        <f>IF(AND(ISNUMBER(KK28),ISNUMBER(KI28)),KK28-KI28,"")</f>
        <v>0</v>
      </c>
      <c r="KK28" s="33"/>
      <c r="KL28" s="34">
        <f>IF(AND(ISNUMBER(KM28),ISNUMBER(KK28)),KM28-KK28,"")</f>
        <v>0</v>
      </c>
      <c r="KM28" s="33"/>
      <c r="KN28" s="34">
        <f>IF(AND(ISNUMBER(KO28),ISNUMBER(KM28)),KO28-KM28,"")</f>
        <v>0</v>
      </c>
      <c r="KO28" s="33"/>
      <c r="KP28" s="34">
        <f>IF(AND(ISNUMBER(KQ28),ISNUMBER(KO28)),KQ28-KO28,"")</f>
        <v>0</v>
      </c>
      <c r="KQ28" s="33"/>
      <c r="KR28" s="34">
        <f>IF(AND(ISNUMBER(KS28),ISNUMBER(KQ28)),KS28-KQ28,"")</f>
        <v>0</v>
      </c>
      <c r="KS28" s="33"/>
      <c r="KT28" s="34">
        <f>IF(AND(ISNUMBER(KU28),ISNUMBER(KS28)),KU28-KS28,"")</f>
        <v>0</v>
      </c>
      <c r="KU28" s="33"/>
      <c r="KV28" s="34">
        <f>IF(AND(ISNUMBER(KW28),ISNUMBER(KU28)),KW28-KU28,"")</f>
        <v>0</v>
      </c>
      <c r="KW28" s="33"/>
      <c r="KX28" s="34">
        <f>IF(AND(ISNUMBER(KY28),ISNUMBER(KW28)),KY28-KW28,"")</f>
        <v>0</v>
      </c>
      <c r="KY28" s="33"/>
      <c r="KZ28" s="34">
        <f>IF(AND(ISNUMBER(LA28),ISNUMBER(KY28)),LA28-KY28,"")</f>
        <v>0</v>
      </c>
      <c r="LA28" s="33"/>
      <c r="LB28" s="34">
        <f>IF(AND(ISNUMBER(LC28),ISNUMBER(LA28)),LC28-LA28,"")</f>
        <v>0</v>
      </c>
      <c r="LC28" s="33"/>
      <c r="LD28" s="34">
        <f>IF(AND(ISNUMBER(LE28),ISNUMBER(LC28)),LE28-LC28,"")</f>
        <v>0</v>
      </c>
      <c r="LE28" s="33"/>
      <c r="LF28" s="34">
        <f>IF(AND(ISNUMBER(LG28),ISNUMBER(LE28)),LG28-LE28,"")</f>
        <v>0</v>
      </c>
      <c r="LG28" s="33"/>
    </row>
    <row r="29" spans="1:322" hidden="1" outlineLevel="1">
      <c r="B29" s="23"/>
      <c r="D29" s="31" t="s">
        <v>723</v>
      </c>
      <c r="E29" s="32" t="s">
        <v>1052</v>
      </c>
      <c r="I29" s="40" t="s">
        <v>1088</v>
      </c>
      <c r="J29" s="34">
        <f>IF(AND(ISNUMBER(K29),ISNUMBER(I29)),K29-I29,"")</f>
        <v>0</v>
      </c>
      <c r="K29" s="40" t="s">
        <v>1088</v>
      </c>
      <c r="L29" s="34">
        <f>IF(AND(ISNUMBER(M29),ISNUMBER(K29)),M29-K29,"")</f>
        <v>0</v>
      </c>
      <c r="M29" s="33">
        <v>14</v>
      </c>
      <c r="N29" s="34">
        <f>IF(AND(ISNUMBER(O29),ISNUMBER(M29)),O29-M29,"")</f>
        <v>0</v>
      </c>
      <c r="O29" s="33">
        <v>3</v>
      </c>
      <c r="P29" s="34">
        <f>IF(AND(ISNUMBER(Q29),ISNUMBER(O29)),Q29-O29,"")</f>
        <v>0</v>
      </c>
      <c r="Q29" s="33">
        <v>0</v>
      </c>
      <c r="R29" s="34">
        <f>IF(AND(ISNUMBER(S29),ISNUMBER(Q29)),S29-Q29,"")</f>
        <v>0</v>
      </c>
      <c r="S29" s="33">
        <v>0</v>
      </c>
      <c r="T29" s="34">
        <f>IF(AND(ISNUMBER(U29),ISNUMBER(S29)),U29-S29,"")</f>
        <v>0</v>
      </c>
      <c r="U29" s="40" t="s">
        <v>1088</v>
      </c>
      <c r="V29" s="34">
        <f>IF(AND(ISNUMBER(W29),ISNUMBER(U29)),W29-U29,"")</f>
        <v>0</v>
      </c>
      <c r="W29" s="33">
        <v>0</v>
      </c>
      <c r="X29" s="34">
        <f>IF(AND(ISNUMBER(Y29),ISNUMBER(W29)),Y29-W29,"")</f>
        <v>0</v>
      </c>
      <c r="Y29" s="33">
        <v>4</v>
      </c>
      <c r="Z29" s="34">
        <f>IF(AND(ISNUMBER(AA29),ISNUMBER(Y29)),AA29-Y29,"")</f>
        <v>0</v>
      </c>
      <c r="AA29" s="33">
        <v>25</v>
      </c>
      <c r="AB29" s="34">
        <f>IF(AND(ISNUMBER(AC29),ISNUMBER(AA29)),AC29-AA29,"")</f>
        <v>0</v>
      </c>
      <c r="AC29" s="33">
        <v>30</v>
      </c>
      <c r="AD29" s="34">
        <f>IF(AND(ISNUMBER(AE29),ISNUMBER(AC29)),AE29-AC29,"")</f>
        <v>0</v>
      </c>
      <c r="AE29" s="33">
        <v>0</v>
      </c>
      <c r="AF29" s="34">
        <f>IF(AND(ISNUMBER(AG29),ISNUMBER(AE29)),AG29-AE29,"")</f>
        <v>0</v>
      </c>
      <c r="AG29" s="33">
        <v>15</v>
      </c>
      <c r="AH29" s="34">
        <f>IF(AND(ISNUMBER(AI29),ISNUMBER(AG29)),AI29-AG29,"")</f>
        <v>0</v>
      </c>
      <c r="AI29" s="33">
        <v>1</v>
      </c>
      <c r="AJ29" s="34">
        <f>IF(AND(ISNUMBER(AK29),ISNUMBER(AI29)),AK29-AI29,"")</f>
        <v>0</v>
      </c>
      <c r="AK29" s="33">
        <v>0</v>
      </c>
      <c r="AL29" s="34">
        <f>IF(AND(ISNUMBER(AM29),ISNUMBER(AK29)),AM29-AK29,"")</f>
        <v>0</v>
      </c>
      <c r="AM29" s="33">
        <v>0</v>
      </c>
      <c r="AN29" s="34">
        <f>IF(AND(ISNUMBER(AO29),ISNUMBER(AM29)),AO29-AM29,"")</f>
        <v>0</v>
      </c>
      <c r="AO29" s="33">
        <v>0</v>
      </c>
      <c r="AP29" s="34">
        <f>IF(AND(ISNUMBER(AQ29),ISNUMBER(AO29)),AQ29-AO29,"")</f>
        <v>0</v>
      </c>
      <c r="AQ29" s="33">
        <v>0</v>
      </c>
      <c r="AR29" s="34">
        <f>IF(AND(ISNUMBER(AS29),ISNUMBER(AQ29)),AS29-AQ29,"")</f>
        <v>0</v>
      </c>
      <c r="AS29" s="33">
        <v>5</v>
      </c>
      <c r="AT29" s="34">
        <f>IF(AND(ISNUMBER(AU29),ISNUMBER(AS29)),AU29-AS29,"")</f>
        <v>0</v>
      </c>
      <c r="AU29" s="33">
        <v>0</v>
      </c>
      <c r="AV29" s="34">
        <f>IF(AND(ISNUMBER(AW29),ISNUMBER(AU29)),AW29-AU29,"")</f>
        <v>0</v>
      </c>
      <c r="AW29" s="33">
        <v>0</v>
      </c>
      <c r="AX29" s="34">
        <f>IF(AND(ISNUMBER(AY29),ISNUMBER(AW29)),AY29-AW29,"")</f>
        <v>0</v>
      </c>
      <c r="AY29" s="33">
        <v>0</v>
      </c>
      <c r="AZ29" s="34">
        <f>IF(AND(ISNUMBER(BA29),ISNUMBER(AY29)),BA29-AY29,"")</f>
        <v>0</v>
      </c>
      <c r="BA29" s="33">
        <v>0</v>
      </c>
      <c r="BB29" s="34">
        <f>IF(AND(ISNUMBER(BC29),ISNUMBER(BA29)),BC29-BA29,"")</f>
        <v>0</v>
      </c>
      <c r="BC29" s="33">
        <v>0</v>
      </c>
      <c r="BD29" s="34">
        <f>IF(AND(ISNUMBER(BE29),ISNUMBER(BC29)),BE29-BC29,"")</f>
        <v>0</v>
      </c>
      <c r="BE29" s="33">
        <v>1</v>
      </c>
      <c r="BF29" s="34">
        <f>IF(AND(ISNUMBER(BG29),ISNUMBER(BE29)),BG29-BE29,"")</f>
        <v>0</v>
      </c>
      <c r="BG29" s="33">
        <v>0</v>
      </c>
      <c r="BH29" s="34">
        <f>IF(AND(ISNUMBER(BI29),ISNUMBER(BG29)),BI29-BG29,"")</f>
        <v>0</v>
      </c>
      <c r="BI29" s="33">
        <v>1</v>
      </c>
      <c r="BJ29" s="34">
        <f>IF(AND(ISNUMBER(BK29),ISNUMBER(BI29)),BK29-BI29,"")</f>
        <v>0</v>
      </c>
      <c r="BK29" s="33">
        <v>0</v>
      </c>
      <c r="BL29" s="34">
        <f>IF(AND(ISNUMBER(BM29),ISNUMBER(BK29)),BM29-BK29,"")</f>
        <v>0</v>
      </c>
      <c r="BM29" s="33">
        <v>1</v>
      </c>
      <c r="BN29" s="34">
        <f>IF(AND(ISNUMBER(BO29),ISNUMBER(BM29)),BO29-BM29,"")</f>
        <v>0</v>
      </c>
      <c r="BO29" s="33">
        <v>1</v>
      </c>
      <c r="BP29" s="34">
        <f>IF(AND(ISNUMBER(BQ29),ISNUMBER(BO29)),BQ29-BO29,"")</f>
        <v>0</v>
      </c>
      <c r="BQ29" s="33">
        <v>1</v>
      </c>
      <c r="BR29" s="34">
        <f>IF(AND(ISNUMBER(BS29),ISNUMBER(BQ29)),BS29-BQ29,"")</f>
        <v>0</v>
      </c>
      <c r="BS29" s="33">
        <v>0</v>
      </c>
      <c r="BT29" s="34">
        <f>IF(AND(ISNUMBER(BU29),ISNUMBER(BS29)),BU29-BS29,"")</f>
        <v>0</v>
      </c>
      <c r="BU29" s="33">
        <v>0</v>
      </c>
      <c r="BV29" s="34">
        <f>IF(AND(ISNUMBER(BW29),ISNUMBER(BU29)),BW29-BU29,"")</f>
        <v>0</v>
      </c>
      <c r="BW29" s="33">
        <v>0</v>
      </c>
      <c r="BX29" s="34">
        <f>IF(AND(ISNUMBER(BY29),ISNUMBER(BW29)),BY29-BW29,"")</f>
        <v>0</v>
      </c>
      <c r="BY29" s="33">
        <v>2</v>
      </c>
      <c r="BZ29" s="34">
        <f>IF(AND(ISNUMBER(CA29),ISNUMBER(BY29)),CA29-BY29,"")</f>
        <v>0</v>
      </c>
      <c r="CA29" s="33">
        <v>23</v>
      </c>
      <c r="CB29" s="34">
        <f>IF(AND(ISNUMBER(CC29),ISNUMBER(CA29)),CC29-CA29,"")</f>
        <v>0</v>
      </c>
      <c r="CC29" s="33">
        <v>2</v>
      </c>
      <c r="CD29" s="34">
        <f>IF(AND(ISNUMBER(CE29),ISNUMBER(CC29)),CE29-CC29,"")</f>
        <v>0</v>
      </c>
      <c r="CE29" s="33">
        <v>2</v>
      </c>
      <c r="CF29" s="34">
        <f>IF(AND(ISNUMBER(CG29),ISNUMBER(CE29)),CG29-CE29,"")</f>
        <v>0</v>
      </c>
      <c r="CG29" s="33">
        <v>2</v>
      </c>
      <c r="CH29" s="34">
        <f>IF(AND(ISNUMBER(CI29),ISNUMBER(CG29)),CI29-CG29,"")</f>
        <v>0</v>
      </c>
      <c r="CI29" s="33">
        <v>11</v>
      </c>
      <c r="CJ29" s="34">
        <f>IF(AND(ISNUMBER(CK29),ISNUMBER(CI29)),CK29-CI29,"")</f>
        <v>0</v>
      </c>
      <c r="CK29" s="33">
        <v>2</v>
      </c>
      <c r="CL29" s="34">
        <f>IF(AND(ISNUMBER(CM29),ISNUMBER(CK29)),CM29-CK29,"")</f>
        <v>0</v>
      </c>
      <c r="CM29" s="33">
        <v>2</v>
      </c>
      <c r="CN29" s="34">
        <f>IF(AND(ISNUMBER(CO29),ISNUMBER(CM29)),CO29-CM29,"")</f>
        <v>0</v>
      </c>
      <c r="CO29" s="33">
        <v>2</v>
      </c>
      <c r="CP29" s="34">
        <f>IF(AND(ISNUMBER(CQ29),ISNUMBER(CO29)),CQ29-CO29,"")</f>
        <v>0</v>
      </c>
      <c r="CQ29" s="33">
        <v>45</v>
      </c>
      <c r="CR29" s="34">
        <f>IF(AND(ISNUMBER(CS29),ISNUMBER(CQ29)),CS29-CQ29,"")</f>
        <v>0</v>
      </c>
      <c r="CS29" s="33">
        <v>12</v>
      </c>
      <c r="CT29" s="34">
        <f>IF(AND(ISNUMBER(CU29),ISNUMBER(CS29)),CU29-CS29,"")</f>
        <v>0</v>
      </c>
      <c r="CU29" s="33">
        <v>45</v>
      </c>
      <c r="CV29" s="34">
        <f>IF(AND(ISNUMBER(CW29),ISNUMBER(CU29)),CW29-CU29,"")</f>
        <v>0</v>
      </c>
      <c r="CW29" s="33">
        <v>2</v>
      </c>
      <c r="CX29" s="34">
        <f>IF(AND(ISNUMBER(CY29),ISNUMBER(CW29)),CY29-CW29,"")</f>
        <v>0</v>
      </c>
      <c r="CY29" s="33">
        <v>12</v>
      </c>
      <c r="CZ29" s="34">
        <f>IF(AND(ISNUMBER(DA29),ISNUMBER(CY29)),DA29-CY29,"")</f>
        <v>0</v>
      </c>
      <c r="DA29" s="33">
        <v>2</v>
      </c>
      <c r="DB29" s="34">
        <f>IF(AND(ISNUMBER(DC29),ISNUMBER(DA29)),DC29-DA29,"")</f>
        <v>0</v>
      </c>
      <c r="DC29" s="33"/>
      <c r="DD29" s="34">
        <f>IF(AND(ISNUMBER(DE29),ISNUMBER(DC29)),DE29-DC29,"")</f>
        <v>0</v>
      </c>
      <c r="DE29" s="33"/>
      <c r="DF29" s="34">
        <f>IF(AND(ISNUMBER(DG29),ISNUMBER(DE29)),DG29-DE29,"")</f>
        <v>0</v>
      </c>
      <c r="DG29" s="33"/>
      <c r="DH29" s="34">
        <f>IF(AND(ISNUMBER(DI29),ISNUMBER(DG29)),DI29-DG29,"")</f>
        <v>0</v>
      </c>
      <c r="DI29" s="33">
        <v>3</v>
      </c>
      <c r="DJ29" s="34">
        <f>IF(AND(ISNUMBER(DK29),ISNUMBER(DI29)),DK29-DI29,"")</f>
        <v>0</v>
      </c>
      <c r="DK29" s="33"/>
      <c r="DL29" s="34">
        <f>IF(AND(ISNUMBER(DM29),ISNUMBER(DK29)),DM29-DK29,"")</f>
        <v>0</v>
      </c>
      <c r="DM29" s="33"/>
      <c r="DN29" s="34">
        <f>IF(AND(ISNUMBER(DO29),ISNUMBER(DM29)),DO29-DM29,"")</f>
        <v>0</v>
      </c>
      <c r="DO29" s="33"/>
      <c r="DP29" s="34">
        <f>IF(AND(ISNUMBER(DQ29),ISNUMBER(DO29)),DQ29-DO29,"")</f>
        <v>0</v>
      </c>
      <c r="DQ29" s="33"/>
      <c r="DR29" s="34">
        <f>IF(AND(ISNUMBER(DS29),ISNUMBER(DQ29)),DS29-DQ29,"")</f>
        <v>0</v>
      </c>
      <c r="DS29" s="33"/>
      <c r="DT29" s="34">
        <f>IF(AND(ISNUMBER(DU29),ISNUMBER(DS29)),DU29-DS29,"")</f>
        <v>0</v>
      </c>
      <c r="DU29" s="33"/>
      <c r="DV29" s="34">
        <f>IF(AND(ISNUMBER(DW29),ISNUMBER(DU29)),DW29-DU29,"")</f>
        <v>0</v>
      </c>
      <c r="DW29" s="33"/>
      <c r="DX29" s="34">
        <f>IF(AND(ISNUMBER(DY29),ISNUMBER(DW29)),DY29-DW29,"")</f>
        <v>0</v>
      </c>
      <c r="DY29" s="33"/>
      <c r="DZ29" s="34">
        <f>IF(AND(ISNUMBER(EA29),ISNUMBER(DY29)),EA29-DY29,"")</f>
        <v>0</v>
      </c>
      <c r="EA29" s="33"/>
      <c r="EB29" s="34">
        <f>IF(AND(ISNUMBER(EC29),ISNUMBER(EA29)),EC29-EA29,"")</f>
        <v>0</v>
      </c>
      <c r="EC29" s="33"/>
      <c r="ED29" s="34">
        <f>IF(AND(ISNUMBER(EE29),ISNUMBER(EC29)),EE29-EC29,"")</f>
        <v>0</v>
      </c>
      <c r="EE29" s="33"/>
      <c r="EF29" s="34">
        <f>IF(AND(ISNUMBER(EG29),ISNUMBER(EE29)),EG29-EE29,"")</f>
        <v>0</v>
      </c>
      <c r="EG29" s="33"/>
      <c r="EH29" s="34">
        <f>IF(AND(ISNUMBER(EI29),ISNUMBER(EG29)),EI29-EG29,"")</f>
        <v>0</v>
      </c>
      <c r="EI29" s="33"/>
      <c r="EJ29" s="34">
        <f>IF(AND(ISNUMBER(EK29),ISNUMBER(EI29)),EK29-EI29,"")</f>
        <v>0</v>
      </c>
      <c r="EK29" s="33"/>
      <c r="EL29" s="34">
        <f>IF(AND(ISNUMBER(EM29),ISNUMBER(EK29)),EM29-EK29,"")</f>
        <v>0</v>
      </c>
      <c r="EM29" s="33"/>
      <c r="EN29" s="34">
        <f>IF(AND(ISNUMBER(EO29),ISNUMBER(EM29)),EO29-EM29,"")</f>
        <v>0</v>
      </c>
      <c r="EO29" s="33"/>
      <c r="EP29" s="34">
        <f>IF(AND(ISNUMBER(EQ29),ISNUMBER(EO29)),EQ29-EO29,"")</f>
        <v>0</v>
      </c>
      <c r="EQ29" s="33"/>
      <c r="ER29" s="34">
        <f>IF(AND(ISNUMBER(ES29),ISNUMBER(EQ29)),ES29-EQ29,"")</f>
        <v>0</v>
      </c>
      <c r="ES29" s="33"/>
      <c r="ET29" s="34">
        <f>IF(AND(ISNUMBER(EU29),ISNUMBER(ES29)),EU29-ES29,"")</f>
        <v>0</v>
      </c>
      <c r="EU29" s="33"/>
      <c r="EV29" s="34">
        <f>IF(AND(ISNUMBER(EW29),ISNUMBER(EU29)),EW29-EU29,"")</f>
        <v>0</v>
      </c>
      <c r="EW29" s="33"/>
      <c r="EX29" s="34">
        <f>IF(AND(ISNUMBER(EY29),ISNUMBER(EW29)),EY29-EW29,"")</f>
        <v>0</v>
      </c>
      <c r="EY29" s="33"/>
      <c r="EZ29" s="34">
        <f>IF(AND(ISNUMBER(FA29),ISNUMBER(EY29)),FA29-EY29,"")</f>
        <v>0</v>
      </c>
      <c r="FA29" s="33"/>
      <c r="FB29" s="34">
        <f>IF(AND(ISNUMBER(FC29),ISNUMBER(FA29)),FC29-FA29,"")</f>
        <v>0</v>
      </c>
      <c r="FC29" s="33"/>
      <c r="FD29" s="34">
        <f>IF(AND(ISNUMBER(FE29),ISNUMBER(FC29)),FE29-FC29,"")</f>
        <v>0</v>
      </c>
      <c r="FE29" s="33"/>
      <c r="FF29" s="34">
        <f>IF(AND(ISNUMBER(FG29),ISNUMBER(FE29)),FG29-FE29,"")</f>
        <v>0</v>
      </c>
      <c r="FG29" s="33"/>
      <c r="FH29" s="34">
        <f>IF(AND(ISNUMBER(FI29),ISNUMBER(FG29)),FI29-FG29,"")</f>
        <v>0</v>
      </c>
      <c r="FI29" s="33"/>
      <c r="FJ29" s="34">
        <f>IF(AND(ISNUMBER(FK29),ISNUMBER(FI29)),FK29-FI29,"")</f>
        <v>0</v>
      </c>
      <c r="FK29" s="33"/>
      <c r="FL29" s="34">
        <f>IF(AND(ISNUMBER(FM29),ISNUMBER(FK29)),FM29-FK29,"")</f>
        <v>0</v>
      </c>
      <c r="FM29" s="33"/>
      <c r="FN29" s="34">
        <f>IF(AND(ISNUMBER(FO29),ISNUMBER(FM29)),FO29-FM29,"")</f>
        <v>0</v>
      </c>
      <c r="FO29" s="33"/>
      <c r="FP29" s="34">
        <f>IF(AND(ISNUMBER(FQ29),ISNUMBER(FO29)),FQ29-FO29,"")</f>
        <v>0</v>
      </c>
      <c r="FQ29" s="33"/>
      <c r="FR29" s="34">
        <f>IF(AND(ISNUMBER(FS29),ISNUMBER(FQ29)),FS29-FQ29,"")</f>
        <v>0</v>
      </c>
      <c r="FS29" s="33"/>
      <c r="FT29" s="34">
        <f>IF(AND(ISNUMBER(FU29),ISNUMBER(FS29)),FU29-FS29,"")</f>
        <v>0</v>
      </c>
      <c r="FU29" s="33"/>
      <c r="FV29" s="34">
        <f>IF(AND(ISNUMBER(FW29),ISNUMBER(FU29)),FW29-FU29,"")</f>
        <v>0</v>
      </c>
      <c r="FW29" s="33"/>
      <c r="FX29" s="34">
        <f>IF(AND(ISNUMBER(FY29),ISNUMBER(FW29)),FY29-FW29,"")</f>
        <v>0</v>
      </c>
      <c r="FY29" s="33"/>
      <c r="FZ29" s="34">
        <f>IF(AND(ISNUMBER(GA29),ISNUMBER(FY29)),GA29-FY29,"")</f>
        <v>0</v>
      </c>
      <c r="GA29" s="33"/>
      <c r="GB29" s="34">
        <f>IF(AND(ISNUMBER(GC29),ISNUMBER(GA29)),GC29-GA29,"")</f>
        <v>0</v>
      </c>
      <c r="GC29" s="33"/>
      <c r="GD29" s="34">
        <f>IF(AND(ISNUMBER(GE29),ISNUMBER(GC29)),GE29-GC29,"")</f>
        <v>0</v>
      </c>
      <c r="GE29" s="33"/>
      <c r="GF29" s="34">
        <f>IF(AND(ISNUMBER(GG29),ISNUMBER(GE29)),GG29-GE29,"")</f>
        <v>0</v>
      </c>
      <c r="GG29" s="33"/>
      <c r="GH29" s="34">
        <f>IF(AND(ISNUMBER(GI29),ISNUMBER(GG29)),GI29-GG29,"")</f>
        <v>0</v>
      </c>
      <c r="GI29" s="33"/>
      <c r="GJ29" s="34">
        <f>IF(AND(ISNUMBER(GK29),ISNUMBER(GI29)),GK29-GI29,"")</f>
        <v>0</v>
      </c>
      <c r="GK29" s="33"/>
      <c r="GL29" s="34">
        <f>IF(AND(ISNUMBER(GM29),ISNUMBER(GK29)),GM29-GK29,"")</f>
        <v>0</v>
      </c>
      <c r="GM29" s="33"/>
      <c r="GN29" s="34">
        <f>IF(AND(ISNUMBER(GO29),ISNUMBER(GM29)),GO29-GM29,"")</f>
        <v>0</v>
      </c>
      <c r="GO29" s="33"/>
      <c r="GP29" s="34">
        <f>IF(AND(ISNUMBER(GQ29),ISNUMBER(GO29)),GQ29-GO29,"")</f>
        <v>0</v>
      </c>
      <c r="GQ29" s="33"/>
      <c r="GR29" s="34">
        <f>IF(AND(ISNUMBER(GS29),ISNUMBER(GQ29)),GS29-GQ29,"")</f>
        <v>0</v>
      </c>
      <c r="GS29" s="33"/>
      <c r="GT29" s="34">
        <f>IF(AND(ISNUMBER(GU29),ISNUMBER(GS29)),GU29-GS29,"")</f>
        <v>0</v>
      </c>
      <c r="GU29" s="33"/>
      <c r="GV29" s="34">
        <f>IF(AND(ISNUMBER(GW29),ISNUMBER(GU29)),GW29-GU29,"")</f>
        <v>0</v>
      </c>
      <c r="GW29" s="33"/>
      <c r="GX29" s="34">
        <f>IF(AND(ISNUMBER(GY29),ISNUMBER(GW29)),GY29-GW29,"")</f>
        <v>0</v>
      </c>
      <c r="GY29" s="33"/>
      <c r="GZ29" s="34">
        <f>IF(AND(ISNUMBER(HA29),ISNUMBER(GY29)),HA29-GY29,"")</f>
        <v>0</v>
      </c>
      <c r="HA29" s="33"/>
      <c r="HB29" s="34">
        <f>IF(AND(ISNUMBER(HC29),ISNUMBER(HA29)),HC29-HA29,"")</f>
        <v>0</v>
      </c>
      <c r="HC29" s="33"/>
      <c r="HD29" s="34">
        <f>IF(AND(ISNUMBER(HE29),ISNUMBER(HC29)),HE29-HC29,"")</f>
        <v>0</v>
      </c>
      <c r="HE29" s="33"/>
      <c r="HF29" s="34">
        <f>IF(AND(ISNUMBER(HG29),ISNUMBER(HE29)),HG29-HE29,"")</f>
        <v>0</v>
      </c>
      <c r="HG29" s="33"/>
      <c r="HH29" s="34">
        <f>IF(AND(ISNUMBER(HI29),ISNUMBER(HG29)),HI29-HG29,"")</f>
        <v>0</v>
      </c>
      <c r="HI29" s="33"/>
      <c r="HJ29" s="34">
        <f>IF(AND(ISNUMBER(HK29),ISNUMBER(HI29)),HK29-HI29,"")</f>
        <v>0</v>
      </c>
      <c r="HK29" s="33"/>
      <c r="HL29" s="34">
        <f>IF(AND(ISNUMBER(HM29),ISNUMBER(HK29)),HM29-HK29,"")</f>
        <v>0</v>
      </c>
      <c r="HM29" s="33"/>
      <c r="HN29" s="34">
        <f>IF(AND(ISNUMBER(HO29),ISNUMBER(HM29)),HO29-HM29,"")</f>
        <v>0</v>
      </c>
      <c r="HO29" s="33"/>
      <c r="HP29" s="34">
        <f>IF(AND(ISNUMBER(HQ29),ISNUMBER(HO29)),HQ29-HO29,"")</f>
        <v>0</v>
      </c>
      <c r="HQ29" s="33"/>
      <c r="HR29" s="34">
        <f>IF(AND(ISNUMBER(HS29),ISNUMBER(HQ29)),HS29-HQ29,"")</f>
        <v>0</v>
      </c>
      <c r="HS29" s="33"/>
      <c r="HT29" s="34">
        <f>IF(AND(ISNUMBER(HU29),ISNUMBER(HS29)),HU29-HS29,"")</f>
        <v>0</v>
      </c>
      <c r="HU29" s="33"/>
      <c r="HV29" s="34">
        <f>IF(AND(ISNUMBER(HW29),ISNUMBER(HU29)),HW29-HU29,"")</f>
        <v>0</v>
      </c>
      <c r="HW29" s="33"/>
      <c r="HX29" s="34">
        <f>IF(AND(ISNUMBER(HY29),ISNUMBER(HW29)),HY29-HW29,"")</f>
        <v>0</v>
      </c>
      <c r="HY29" s="33"/>
      <c r="HZ29" s="34">
        <f>IF(AND(ISNUMBER(IA29),ISNUMBER(HY29)),IA29-HY29,"")</f>
        <v>0</v>
      </c>
      <c r="IA29" s="33"/>
      <c r="IB29" s="34">
        <f>IF(AND(ISNUMBER(IC29),ISNUMBER(IA29)),IC29-IA29,"")</f>
        <v>0</v>
      </c>
      <c r="IC29" s="33"/>
      <c r="ID29" s="34">
        <f>IF(AND(ISNUMBER(IE29),ISNUMBER(IC29)),IE29-IC29,"")</f>
        <v>0</v>
      </c>
      <c r="IE29" s="33"/>
      <c r="IF29" s="34">
        <f>IF(AND(ISNUMBER(IG29),ISNUMBER(IE29)),IG29-IE29,"")</f>
        <v>0</v>
      </c>
      <c r="IG29" s="33"/>
      <c r="IH29" s="34">
        <f>IF(AND(ISNUMBER(II29),ISNUMBER(IG29)),II29-IG29,"")</f>
        <v>0</v>
      </c>
      <c r="II29" s="33"/>
      <c r="IJ29" s="34">
        <f>IF(AND(ISNUMBER(IK29),ISNUMBER(II29)),IK29-II29,"")</f>
        <v>0</v>
      </c>
      <c r="IK29" s="33"/>
      <c r="IL29" s="34">
        <f>IF(AND(ISNUMBER(IM29),ISNUMBER(IK29)),IM29-IK29,"")</f>
        <v>0</v>
      </c>
      <c r="IM29" s="33"/>
      <c r="IN29" s="34">
        <f>IF(AND(ISNUMBER(IO29),ISNUMBER(IM29)),IO29-IM29,"")</f>
        <v>0</v>
      </c>
      <c r="IO29" s="33"/>
      <c r="IP29" s="34">
        <f>IF(AND(ISNUMBER(IQ29),ISNUMBER(IO29)),IQ29-IO29,"")</f>
        <v>0</v>
      </c>
      <c r="IQ29" s="33"/>
      <c r="IR29" s="34">
        <f>IF(AND(ISNUMBER(IS29),ISNUMBER(IQ29)),IS29-IQ29,"")</f>
        <v>0</v>
      </c>
      <c r="IS29" s="33"/>
      <c r="IT29" s="34">
        <f>IF(AND(ISNUMBER(IU29),ISNUMBER(IS29)),IU29-IS29,"")</f>
        <v>0</v>
      </c>
      <c r="IU29" s="33"/>
      <c r="IV29" s="34">
        <f>IF(AND(ISNUMBER(IW29),ISNUMBER(IU29)),IW29-IU29,"")</f>
        <v>0</v>
      </c>
      <c r="IW29" s="33"/>
      <c r="IX29" s="34">
        <f>IF(AND(ISNUMBER(IY29),ISNUMBER(IW29)),IY29-IW29,"")</f>
        <v>0</v>
      </c>
      <c r="IY29" s="33"/>
      <c r="IZ29" s="34">
        <f>IF(AND(ISNUMBER(JA29),ISNUMBER(IY29)),JA29-IY29,"")</f>
        <v>0</v>
      </c>
      <c r="JA29" s="33"/>
      <c r="JB29" s="34">
        <f>IF(AND(ISNUMBER(JC29),ISNUMBER(JA29)),JC29-JA29,"")</f>
        <v>0</v>
      </c>
      <c r="JC29" s="33"/>
      <c r="JD29" s="34">
        <f>IF(AND(ISNUMBER(JE29),ISNUMBER(JC29)),JE29-JC29,"")</f>
        <v>0</v>
      </c>
      <c r="JE29" s="33"/>
      <c r="JF29" s="34">
        <f>IF(AND(ISNUMBER(JG29),ISNUMBER(JE29)),JG29-JE29,"")</f>
        <v>0</v>
      </c>
      <c r="JG29" s="33"/>
      <c r="JH29" s="34">
        <f>IF(AND(ISNUMBER(JI29),ISNUMBER(JG29)),JI29-JG29,"")</f>
        <v>0</v>
      </c>
      <c r="JI29" s="33"/>
      <c r="JJ29" s="34">
        <f>IF(AND(ISNUMBER(JK29),ISNUMBER(JI29)),JK29-JI29,"")</f>
        <v>0</v>
      </c>
      <c r="JK29" s="33"/>
      <c r="JL29" s="34">
        <f>IF(AND(ISNUMBER(JM29),ISNUMBER(JK29)),JM29-JK29,"")</f>
        <v>0</v>
      </c>
      <c r="JM29" s="33"/>
      <c r="JN29" s="34">
        <f>IF(AND(ISNUMBER(JO29),ISNUMBER(JM29)),JO29-JM29,"")</f>
        <v>0</v>
      </c>
      <c r="JO29" s="33"/>
      <c r="JP29" s="34">
        <f>IF(AND(ISNUMBER(JQ29),ISNUMBER(JO29)),JQ29-JO29,"")</f>
        <v>0</v>
      </c>
      <c r="JQ29" s="33"/>
      <c r="JR29" s="34">
        <f>IF(AND(ISNUMBER(JS29),ISNUMBER(JQ29)),JS29-JQ29,"")</f>
        <v>0</v>
      </c>
      <c r="JS29" s="33"/>
      <c r="JT29" s="34">
        <f>IF(AND(ISNUMBER(JU29),ISNUMBER(JS29)),JU29-JS29,"")</f>
        <v>0</v>
      </c>
      <c r="JU29" s="33"/>
      <c r="JV29" s="34">
        <f>IF(AND(ISNUMBER(JW29),ISNUMBER(JU29)),JW29-JU29,"")</f>
        <v>0</v>
      </c>
      <c r="JW29" s="33"/>
      <c r="JX29" s="34">
        <f>IF(AND(ISNUMBER(JY29),ISNUMBER(JW29)),JY29-JW29,"")</f>
        <v>0</v>
      </c>
      <c r="JY29" s="33"/>
      <c r="JZ29" s="34">
        <f>IF(AND(ISNUMBER(KA29),ISNUMBER(JY29)),KA29-JY29,"")</f>
        <v>0</v>
      </c>
      <c r="KA29" s="33"/>
      <c r="KB29" s="34">
        <f>IF(AND(ISNUMBER(KC29),ISNUMBER(KA29)),KC29-KA29,"")</f>
        <v>0</v>
      </c>
      <c r="KC29" s="33"/>
      <c r="KD29" s="34">
        <f>IF(AND(ISNUMBER(KE29),ISNUMBER(KC29)),KE29-KC29,"")</f>
        <v>0</v>
      </c>
      <c r="KE29" s="33"/>
      <c r="KF29" s="34">
        <f>IF(AND(ISNUMBER(KG29),ISNUMBER(KE29)),KG29-KE29,"")</f>
        <v>0</v>
      </c>
      <c r="KG29" s="33"/>
      <c r="KH29" s="34">
        <f>IF(AND(ISNUMBER(KI29),ISNUMBER(KG29)),KI29-KG29,"")</f>
        <v>0</v>
      </c>
      <c r="KI29" s="33"/>
      <c r="KJ29" s="34">
        <f>IF(AND(ISNUMBER(KK29),ISNUMBER(KI29)),KK29-KI29,"")</f>
        <v>0</v>
      </c>
      <c r="KK29" s="33"/>
      <c r="KL29" s="34">
        <f>IF(AND(ISNUMBER(KM29),ISNUMBER(KK29)),KM29-KK29,"")</f>
        <v>0</v>
      </c>
      <c r="KM29" s="33"/>
      <c r="KN29" s="34">
        <f>IF(AND(ISNUMBER(KO29),ISNUMBER(KM29)),KO29-KM29,"")</f>
        <v>0</v>
      </c>
      <c r="KO29" s="33"/>
      <c r="KP29" s="34">
        <f>IF(AND(ISNUMBER(KQ29),ISNUMBER(KO29)),KQ29-KO29,"")</f>
        <v>0</v>
      </c>
      <c r="KQ29" s="33"/>
      <c r="KR29" s="34">
        <f>IF(AND(ISNUMBER(KS29),ISNUMBER(KQ29)),KS29-KQ29,"")</f>
        <v>0</v>
      </c>
      <c r="KS29" s="33"/>
      <c r="KT29" s="34">
        <f>IF(AND(ISNUMBER(KU29),ISNUMBER(KS29)),KU29-KS29,"")</f>
        <v>0</v>
      </c>
      <c r="KU29" s="33"/>
      <c r="KV29" s="34">
        <f>IF(AND(ISNUMBER(KW29),ISNUMBER(KU29)),KW29-KU29,"")</f>
        <v>0</v>
      </c>
      <c r="KW29" s="33"/>
      <c r="KX29" s="34">
        <f>IF(AND(ISNUMBER(KY29),ISNUMBER(KW29)),KY29-KW29,"")</f>
        <v>0</v>
      </c>
      <c r="KY29" s="33"/>
      <c r="KZ29" s="34">
        <f>IF(AND(ISNUMBER(LA29),ISNUMBER(KY29)),LA29-KY29,"")</f>
        <v>0</v>
      </c>
      <c r="LA29" s="33"/>
      <c r="LB29" s="34">
        <f>IF(AND(ISNUMBER(LC29),ISNUMBER(LA29)),LC29-LA29,"")</f>
        <v>0</v>
      </c>
      <c r="LC29" s="33"/>
      <c r="LD29" s="34">
        <f>IF(AND(ISNUMBER(LE29),ISNUMBER(LC29)),LE29-LC29,"")</f>
        <v>0</v>
      </c>
      <c r="LE29" s="33"/>
      <c r="LF29" s="34">
        <f>IF(AND(ISNUMBER(LG29),ISNUMBER(LE29)),LG29-LE29,"")</f>
        <v>0</v>
      </c>
      <c r="LG29" s="33"/>
    </row>
    <row r="30" spans="1:322" hidden="1" outlineLevel="1">
      <c r="B30" s="23"/>
      <c r="D30" s="31" t="s">
        <v>725</v>
      </c>
      <c r="E30" s="32" t="s">
        <v>1060</v>
      </c>
      <c r="I30" s="40" t="s">
        <v>1088</v>
      </c>
      <c r="J30" s="34">
        <f>IF(AND(ISNUMBER(K30),ISNUMBER(I30)),K30-I30,"")</f>
        <v>0</v>
      </c>
      <c r="K30" s="33">
        <v>35</v>
      </c>
      <c r="L30" s="34">
        <f>IF(AND(ISNUMBER(M30),ISNUMBER(K30)),M30-K30,"")</f>
        <v>0</v>
      </c>
      <c r="M30" s="33">
        <v>47</v>
      </c>
      <c r="N30" s="34">
        <f>IF(AND(ISNUMBER(O30),ISNUMBER(M30)),O30-M30,"")</f>
        <v>0</v>
      </c>
      <c r="O30" s="33">
        <v>44</v>
      </c>
      <c r="P30" s="34">
        <f>IF(AND(ISNUMBER(Q30),ISNUMBER(O30)),Q30-O30,"")</f>
        <v>0</v>
      </c>
      <c r="Q30" s="33">
        <v>0</v>
      </c>
      <c r="R30" s="34">
        <f>IF(AND(ISNUMBER(S30),ISNUMBER(Q30)),S30-Q30,"")</f>
        <v>0</v>
      </c>
      <c r="S30" s="33">
        <v>8</v>
      </c>
      <c r="T30" s="34">
        <f>IF(AND(ISNUMBER(U30),ISNUMBER(S30)),U30-S30,"")</f>
        <v>0</v>
      </c>
      <c r="U30" s="33">
        <v>11</v>
      </c>
      <c r="V30" s="34">
        <f>IF(AND(ISNUMBER(W30),ISNUMBER(U30)),W30-U30,"")</f>
        <v>0</v>
      </c>
      <c r="W30" s="33">
        <v>11</v>
      </c>
      <c r="X30" s="34">
        <f>IF(AND(ISNUMBER(Y30),ISNUMBER(W30)),Y30-W30,"")</f>
        <v>0</v>
      </c>
      <c r="Y30" s="33">
        <v>11</v>
      </c>
      <c r="Z30" s="34">
        <f>IF(AND(ISNUMBER(AA30),ISNUMBER(Y30)),AA30-Y30,"")</f>
        <v>0</v>
      </c>
      <c r="AA30" s="33">
        <v>9</v>
      </c>
      <c r="AB30" s="34">
        <f>IF(AND(ISNUMBER(AC30),ISNUMBER(AA30)),AC30-AA30,"")</f>
        <v>0</v>
      </c>
      <c r="AC30" s="33">
        <v>2</v>
      </c>
      <c r="AD30" s="34">
        <f>IF(AND(ISNUMBER(AE30),ISNUMBER(AC30)),AE30-AC30,"")</f>
        <v>0</v>
      </c>
      <c r="AE30" s="33">
        <v>0</v>
      </c>
      <c r="AF30" s="34">
        <f>IF(AND(ISNUMBER(AG30),ISNUMBER(AE30)),AG30-AE30,"")</f>
        <v>0</v>
      </c>
      <c r="AG30" s="33">
        <v>0</v>
      </c>
      <c r="AH30" s="34">
        <f>IF(AND(ISNUMBER(AI30),ISNUMBER(AG30)),AI30-AG30,"")</f>
        <v>0</v>
      </c>
      <c r="AI30" s="33">
        <v>0</v>
      </c>
      <c r="AJ30" s="34">
        <f>IF(AND(ISNUMBER(AK30),ISNUMBER(AI30)),AK30-AI30,"")</f>
        <v>0</v>
      </c>
      <c r="AK30" s="33">
        <v>0</v>
      </c>
      <c r="AL30" s="34">
        <f>IF(AND(ISNUMBER(AM30),ISNUMBER(AK30)),AM30-AK30,"")</f>
        <v>0</v>
      </c>
      <c r="AM30" s="33">
        <v>0</v>
      </c>
      <c r="AN30" s="34">
        <f>IF(AND(ISNUMBER(AO30),ISNUMBER(AM30)),AO30-AM30,"")</f>
        <v>0</v>
      </c>
      <c r="AO30" s="40" t="s">
        <v>1088</v>
      </c>
      <c r="AP30" s="34">
        <f>IF(AND(ISNUMBER(AQ30),ISNUMBER(AO30)),AQ30-AO30,"")</f>
        <v>0</v>
      </c>
      <c r="AQ30" s="40" t="s">
        <v>1088</v>
      </c>
      <c r="AR30" s="34">
        <f>IF(AND(ISNUMBER(AS30),ISNUMBER(AQ30)),AS30-AQ30,"")</f>
        <v>0</v>
      </c>
      <c r="AS30" s="33">
        <v>1</v>
      </c>
      <c r="AT30" s="34">
        <f>IF(AND(ISNUMBER(AU30),ISNUMBER(AS30)),AU30-AS30,"")</f>
        <v>0</v>
      </c>
      <c r="AU30" s="33">
        <v>0</v>
      </c>
      <c r="AV30" s="34">
        <f>IF(AND(ISNUMBER(AW30),ISNUMBER(AU30)),AW30-AU30,"")</f>
        <v>0</v>
      </c>
      <c r="AW30" s="33">
        <v>0</v>
      </c>
      <c r="AX30" s="34">
        <f>IF(AND(ISNUMBER(AY30),ISNUMBER(AW30)),AY30-AW30,"")</f>
        <v>0</v>
      </c>
      <c r="AY30" s="33">
        <v>3</v>
      </c>
      <c r="AZ30" s="34">
        <f>IF(AND(ISNUMBER(BA30),ISNUMBER(AY30)),BA30-AY30,"")</f>
        <v>0</v>
      </c>
      <c r="BA30" s="33">
        <v>1</v>
      </c>
      <c r="BB30" s="34">
        <f>IF(AND(ISNUMBER(BC30),ISNUMBER(BA30)),BC30-BA30,"")</f>
        <v>0</v>
      </c>
      <c r="BC30" s="33">
        <v>2</v>
      </c>
      <c r="BD30" s="34">
        <f>IF(AND(ISNUMBER(BE30),ISNUMBER(BC30)),BE30-BC30,"")</f>
        <v>0</v>
      </c>
      <c r="BE30" s="33">
        <v>4</v>
      </c>
      <c r="BF30" s="34">
        <f>IF(AND(ISNUMBER(BG30),ISNUMBER(BE30)),BG30-BE30,"")</f>
        <v>0</v>
      </c>
      <c r="BG30" s="33">
        <v>2</v>
      </c>
      <c r="BH30" s="34">
        <f>IF(AND(ISNUMBER(BI30),ISNUMBER(BG30)),BI30-BG30,"")</f>
        <v>0</v>
      </c>
      <c r="BI30" s="33">
        <v>3</v>
      </c>
      <c r="BJ30" s="34">
        <f>IF(AND(ISNUMBER(BK30),ISNUMBER(BI30)),BK30-BI30,"")</f>
        <v>0</v>
      </c>
      <c r="BK30" s="33">
        <v>1</v>
      </c>
      <c r="BL30" s="34">
        <f>IF(AND(ISNUMBER(BM30),ISNUMBER(BK30)),BM30-BK30,"")</f>
        <v>0</v>
      </c>
      <c r="BM30" s="33">
        <v>4</v>
      </c>
      <c r="BN30" s="34">
        <f>IF(AND(ISNUMBER(BO30),ISNUMBER(BM30)),BO30-BM30,"")</f>
        <v>0</v>
      </c>
      <c r="BO30" s="33">
        <v>1</v>
      </c>
      <c r="BP30" s="34">
        <f>IF(AND(ISNUMBER(BQ30),ISNUMBER(BO30)),BQ30-BO30,"")</f>
        <v>0</v>
      </c>
      <c r="BQ30" s="33">
        <v>0</v>
      </c>
      <c r="BR30" s="34">
        <f>IF(AND(ISNUMBER(BS30),ISNUMBER(BQ30)),BS30-BQ30,"")</f>
        <v>0</v>
      </c>
      <c r="BS30" s="33">
        <v>0</v>
      </c>
      <c r="BT30" s="34">
        <f>IF(AND(ISNUMBER(BU30),ISNUMBER(BS30)),BU30-BS30,"")</f>
        <v>0</v>
      </c>
      <c r="BU30" s="33">
        <v>0</v>
      </c>
      <c r="BV30" s="34">
        <f>IF(AND(ISNUMBER(BW30),ISNUMBER(BU30)),BW30-BU30,"")</f>
        <v>0</v>
      </c>
      <c r="BW30" s="33">
        <v>0</v>
      </c>
      <c r="BX30" s="34">
        <f>IF(AND(ISNUMBER(BY30),ISNUMBER(BW30)),BY30-BW30,"")</f>
        <v>0</v>
      </c>
      <c r="BY30" s="33">
        <v>4</v>
      </c>
      <c r="BZ30" s="34">
        <f>IF(AND(ISNUMBER(CA30),ISNUMBER(BY30)),CA30-BY30,"")</f>
        <v>0</v>
      </c>
      <c r="CA30" s="33">
        <v>43</v>
      </c>
      <c r="CB30" s="34">
        <f>IF(AND(ISNUMBER(CC30),ISNUMBER(CA30)),CC30-CA30,"")</f>
        <v>0</v>
      </c>
      <c r="CC30" s="33">
        <v>4</v>
      </c>
      <c r="CD30" s="34">
        <f>IF(AND(ISNUMBER(CE30),ISNUMBER(CC30)),CE30-CC30,"")</f>
        <v>0</v>
      </c>
      <c r="CE30" s="33">
        <v>3</v>
      </c>
      <c r="CF30" s="34">
        <f>IF(AND(ISNUMBER(CG30),ISNUMBER(CE30)),CG30-CE30,"")</f>
        <v>0</v>
      </c>
      <c r="CG30" s="33">
        <v>4</v>
      </c>
      <c r="CH30" s="34">
        <f>IF(AND(ISNUMBER(CI30),ISNUMBER(CG30)),CI30-CG30,"")</f>
        <v>0</v>
      </c>
      <c r="CI30" s="33">
        <v>4</v>
      </c>
      <c r="CJ30" s="34">
        <f>IF(AND(ISNUMBER(CK30),ISNUMBER(CI30)),CK30-CI30,"")</f>
        <v>0</v>
      </c>
      <c r="CK30" s="33">
        <v>4</v>
      </c>
      <c r="CL30" s="34">
        <f>IF(AND(ISNUMBER(CM30),ISNUMBER(CK30)),CM30-CK30,"")</f>
        <v>0</v>
      </c>
      <c r="CM30" s="33">
        <v>4</v>
      </c>
      <c r="CN30" s="34">
        <f>IF(AND(ISNUMBER(CO30),ISNUMBER(CM30)),CO30-CM30,"")</f>
        <v>0</v>
      </c>
      <c r="CO30" s="33">
        <v>4</v>
      </c>
      <c r="CP30" s="34">
        <f>IF(AND(ISNUMBER(CQ30),ISNUMBER(CO30)),CQ30-CO30,"")</f>
        <v>0</v>
      </c>
      <c r="CQ30" s="33">
        <v>34</v>
      </c>
      <c r="CR30" s="34">
        <f>IF(AND(ISNUMBER(CS30),ISNUMBER(CQ30)),CS30-CQ30,"")</f>
        <v>0</v>
      </c>
      <c r="CS30" s="33">
        <v>4</v>
      </c>
      <c r="CT30" s="34">
        <f>IF(AND(ISNUMBER(CU30),ISNUMBER(CS30)),CU30-CS30,"")</f>
        <v>0</v>
      </c>
      <c r="CU30" s="33">
        <v>34</v>
      </c>
      <c r="CV30" s="34">
        <f>IF(AND(ISNUMBER(CW30),ISNUMBER(CU30)),CW30-CU30,"")</f>
        <v>0</v>
      </c>
      <c r="CW30" s="33">
        <v>4</v>
      </c>
      <c r="CX30" s="34">
        <f>IF(AND(ISNUMBER(CY30),ISNUMBER(CW30)),CY30-CW30,"")</f>
        <v>0</v>
      </c>
      <c r="CY30" s="33">
        <v>4</v>
      </c>
      <c r="CZ30" s="34">
        <f>IF(AND(ISNUMBER(DA30),ISNUMBER(CY30)),DA30-CY30,"")</f>
        <v>0</v>
      </c>
      <c r="DA30" s="33"/>
      <c r="DB30" s="34">
        <f>IF(AND(ISNUMBER(DC30),ISNUMBER(DA30)),DC30-DA30,"")</f>
        <v>0</v>
      </c>
      <c r="DC30" s="33"/>
      <c r="DD30" s="34">
        <f>IF(AND(ISNUMBER(DE30),ISNUMBER(DC30)),DE30-DC30,"")</f>
        <v>0</v>
      </c>
      <c r="DE30" s="33"/>
      <c r="DF30" s="34">
        <f>IF(AND(ISNUMBER(DG30),ISNUMBER(DE30)),DG30-DE30,"")</f>
        <v>0</v>
      </c>
      <c r="DG30" s="33"/>
      <c r="DH30" s="34">
        <f>IF(AND(ISNUMBER(DI30),ISNUMBER(DG30)),DI30-DG30,"")</f>
        <v>0</v>
      </c>
      <c r="DI30" s="33"/>
      <c r="DJ30" s="34">
        <f>IF(AND(ISNUMBER(DK30),ISNUMBER(DI30)),DK30-DI30,"")</f>
        <v>0</v>
      </c>
      <c r="DK30" s="33"/>
      <c r="DL30" s="34">
        <f>IF(AND(ISNUMBER(DM30),ISNUMBER(DK30)),DM30-DK30,"")</f>
        <v>0</v>
      </c>
      <c r="DM30" s="33"/>
      <c r="DN30" s="34">
        <f>IF(AND(ISNUMBER(DO30),ISNUMBER(DM30)),DO30-DM30,"")</f>
        <v>0</v>
      </c>
      <c r="DO30" s="33"/>
      <c r="DP30" s="34">
        <f>IF(AND(ISNUMBER(DQ30),ISNUMBER(DO30)),DQ30-DO30,"")</f>
        <v>0</v>
      </c>
      <c r="DQ30" s="33"/>
      <c r="DR30" s="34">
        <f>IF(AND(ISNUMBER(DS30),ISNUMBER(DQ30)),DS30-DQ30,"")</f>
        <v>0</v>
      </c>
      <c r="DS30" s="33"/>
      <c r="DT30" s="34">
        <f>IF(AND(ISNUMBER(DU30),ISNUMBER(DS30)),DU30-DS30,"")</f>
        <v>0</v>
      </c>
      <c r="DU30" s="33"/>
      <c r="DV30" s="34">
        <f>IF(AND(ISNUMBER(DW30),ISNUMBER(DU30)),DW30-DU30,"")</f>
        <v>0</v>
      </c>
      <c r="DW30" s="33"/>
      <c r="DX30" s="34">
        <f>IF(AND(ISNUMBER(DY30),ISNUMBER(DW30)),DY30-DW30,"")</f>
        <v>0</v>
      </c>
      <c r="DY30" s="33"/>
      <c r="DZ30" s="34">
        <f>IF(AND(ISNUMBER(EA30),ISNUMBER(DY30)),EA30-DY30,"")</f>
        <v>0</v>
      </c>
      <c r="EA30" s="33"/>
      <c r="EB30" s="34">
        <f>IF(AND(ISNUMBER(EC30),ISNUMBER(EA30)),EC30-EA30,"")</f>
        <v>0</v>
      </c>
      <c r="EC30" s="33"/>
      <c r="ED30" s="34">
        <f>IF(AND(ISNUMBER(EE30),ISNUMBER(EC30)),EE30-EC30,"")</f>
        <v>0</v>
      </c>
      <c r="EE30" s="33">
        <v>2</v>
      </c>
      <c r="EF30" s="34">
        <f>IF(AND(ISNUMBER(EG30),ISNUMBER(EE30)),EG30-EE30,"")</f>
        <v>0</v>
      </c>
      <c r="EG30" s="33"/>
      <c r="EH30" s="34">
        <f>IF(AND(ISNUMBER(EI30),ISNUMBER(EG30)),EI30-EG30,"")</f>
        <v>0</v>
      </c>
      <c r="EI30" s="33"/>
      <c r="EJ30" s="34">
        <f>IF(AND(ISNUMBER(EK30),ISNUMBER(EI30)),EK30-EI30,"")</f>
        <v>0</v>
      </c>
      <c r="EK30" s="33"/>
      <c r="EL30" s="34">
        <f>IF(AND(ISNUMBER(EM30),ISNUMBER(EK30)),EM30-EK30,"")</f>
        <v>0</v>
      </c>
      <c r="EM30" s="33"/>
      <c r="EN30" s="34">
        <f>IF(AND(ISNUMBER(EO30),ISNUMBER(EM30)),EO30-EM30,"")</f>
        <v>0</v>
      </c>
      <c r="EO30" s="33"/>
      <c r="EP30" s="34">
        <f>IF(AND(ISNUMBER(EQ30),ISNUMBER(EO30)),EQ30-EO30,"")</f>
        <v>0</v>
      </c>
      <c r="EQ30" s="33"/>
      <c r="ER30" s="34">
        <f>IF(AND(ISNUMBER(ES30),ISNUMBER(EQ30)),ES30-EQ30,"")</f>
        <v>0</v>
      </c>
      <c r="ES30" s="33"/>
      <c r="ET30" s="34">
        <f>IF(AND(ISNUMBER(EU30),ISNUMBER(ES30)),EU30-ES30,"")</f>
        <v>0</v>
      </c>
      <c r="EU30" s="33"/>
      <c r="EV30" s="34">
        <f>IF(AND(ISNUMBER(EW30),ISNUMBER(EU30)),EW30-EU30,"")</f>
        <v>0</v>
      </c>
      <c r="EW30" s="33"/>
      <c r="EX30" s="34">
        <f>IF(AND(ISNUMBER(EY30),ISNUMBER(EW30)),EY30-EW30,"")</f>
        <v>0</v>
      </c>
      <c r="EY30" s="33"/>
      <c r="EZ30" s="34">
        <f>IF(AND(ISNUMBER(FA30),ISNUMBER(EY30)),FA30-EY30,"")</f>
        <v>0</v>
      </c>
      <c r="FA30" s="33"/>
      <c r="FB30" s="34">
        <f>IF(AND(ISNUMBER(FC30),ISNUMBER(FA30)),FC30-FA30,"")</f>
        <v>0</v>
      </c>
      <c r="FC30" s="33"/>
      <c r="FD30" s="34">
        <f>IF(AND(ISNUMBER(FE30),ISNUMBER(FC30)),FE30-FC30,"")</f>
        <v>0</v>
      </c>
      <c r="FE30" s="33"/>
      <c r="FF30" s="34">
        <f>IF(AND(ISNUMBER(FG30),ISNUMBER(FE30)),FG30-FE30,"")</f>
        <v>0</v>
      </c>
      <c r="FG30" s="33"/>
      <c r="FH30" s="34">
        <f>IF(AND(ISNUMBER(FI30),ISNUMBER(FG30)),FI30-FG30,"")</f>
        <v>0</v>
      </c>
      <c r="FI30" s="33"/>
      <c r="FJ30" s="34">
        <f>IF(AND(ISNUMBER(FK30),ISNUMBER(FI30)),FK30-FI30,"")</f>
        <v>0</v>
      </c>
      <c r="FK30" s="33"/>
      <c r="FL30" s="34">
        <f>IF(AND(ISNUMBER(FM30),ISNUMBER(FK30)),FM30-FK30,"")</f>
        <v>0</v>
      </c>
      <c r="FM30" s="33"/>
      <c r="FN30" s="34">
        <f>IF(AND(ISNUMBER(FO30),ISNUMBER(FM30)),FO30-FM30,"")</f>
        <v>0</v>
      </c>
      <c r="FO30" s="33"/>
      <c r="FP30" s="34">
        <f>IF(AND(ISNUMBER(FQ30),ISNUMBER(FO30)),FQ30-FO30,"")</f>
        <v>0</v>
      </c>
      <c r="FQ30" s="33"/>
      <c r="FR30" s="34">
        <f>IF(AND(ISNUMBER(FS30),ISNUMBER(FQ30)),FS30-FQ30,"")</f>
        <v>0</v>
      </c>
      <c r="FS30" s="33"/>
      <c r="FT30" s="34">
        <f>IF(AND(ISNUMBER(FU30),ISNUMBER(FS30)),FU30-FS30,"")</f>
        <v>0</v>
      </c>
      <c r="FU30" s="33"/>
      <c r="FV30" s="34">
        <f>IF(AND(ISNUMBER(FW30),ISNUMBER(FU30)),FW30-FU30,"")</f>
        <v>0</v>
      </c>
      <c r="FW30" s="33"/>
      <c r="FX30" s="34">
        <f>IF(AND(ISNUMBER(FY30),ISNUMBER(FW30)),FY30-FW30,"")</f>
        <v>0</v>
      </c>
      <c r="FY30" s="33"/>
      <c r="FZ30" s="34">
        <f>IF(AND(ISNUMBER(GA30),ISNUMBER(FY30)),GA30-FY30,"")</f>
        <v>0</v>
      </c>
      <c r="GA30" s="33"/>
      <c r="GB30" s="34">
        <f>IF(AND(ISNUMBER(GC30),ISNUMBER(GA30)),GC30-GA30,"")</f>
        <v>0</v>
      </c>
      <c r="GC30" s="33"/>
      <c r="GD30" s="34">
        <f>IF(AND(ISNUMBER(GE30),ISNUMBER(GC30)),GE30-GC30,"")</f>
        <v>0</v>
      </c>
      <c r="GE30" s="33"/>
      <c r="GF30" s="34">
        <f>IF(AND(ISNUMBER(GG30),ISNUMBER(GE30)),GG30-GE30,"")</f>
        <v>0</v>
      </c>
      <c r="GG30" s="33"/>
      <c r="GH30" s="34">
        <f>IF(AND(ISNUMBER(GI30),ISNUMBER(GG30)),GI30-GG30,"")</f>
        <v>0</v>
      </c>
      <c r="GI30" s="33"/>
      <c r="GJ30" s="34">
        <f>IF(AND(ISNUMBER(GK30),ISNUMBER(GI30)),GK30-GI30,"")</f>
        <v>0</v>
      </c>
      <c r="GK30" s="33"/>
      <c r="GL30" s="34">
        <f>IF(AND(ISNUMBER(GM30),ISNUMBER(GK30)),GM30-GK30,"")</f>
        <v>0</v>
      </c>
      <c r="GM30" s="33"/>
      <c r="GN30" s="34">
        <f>IF(AND(ISNUMBER(GO30),ISNUMBER(GM30)),GO30-GM30,"")</f>
        <v>0</v>
      </c>
      <c r="GO30" s="33"/>
      <c r="GP30" s="34">
        <f>IF(AND(ISNUMBER(GQ30),ISNUMBER(GO30)),GQ30-GO30,"")</f>
        <v>0</v>
      </c>
      <c r="GQ30" s="33"/>
      <c r="GR30" s="34">
        <f>IF(AND(ISNUMBER(GS30),ISNUMBER(GQ30)),GS30-GQ30,"")</f>
        <v>0</v>
      </c>
      <c r="GS30" s="33"/>
      <c r="GT30" s="34">
        <f>IF(AND(ISNUMBER(GU30),ISNUMBER(GS30)),GU30-GS30,"")</f>
        <v>0</v>
      </c>
      <c r="GU30" s="33"/>
      <c r="GV30" s="34">
        <f>IF(AND(ISNUMBER(GW30),ISNUMBER(GU30)),GW30-GU30,"")</f>
        <v>0</v>
      </c>
      <c r="GW30" s="33"/>
      <c r="GX30" s="34">
        <f>IF(AND(ISNUMBER(GY30),ISNUMBER(GW30)),GY30-GW30,"")</f>
        <v>0</v>
      </c>
      <c r="GY30" s="33"/>
      <c r="GZ30" s="34">
        <f>IF(AND(ISNUMBER(HA30),ISNUMBER(GY30)),HA30-GY30,"")</f>
        <v>0</v>
      </c>
      <c r="HA30" s="33"/>
      <c r="HB30" s="34">
        <f>IF(AND(ISNUMBER(HC30),ISNUMBER(HA30)),HC30-HA30,"")</f>
        <v>0</v>
      </c>
      <c r="HC30" s="33"/>
      <c r="HD30" s="34">
        <f>IF(AND(ISNUMBER(HE30),ISNUMBER(HC30)),HE30-HC30,"")</f>
        <v>0</v>
      </c>
      <c r="HE30" s="33"/>
      <c r="HF30" s="34">
        <f>IF(AND(ISNUMBER(HG30),ISNUMBER(HE30)),HG30-HE30,"")</f>
        <v>0</v>
      </c>
      <c r="HG30" s="33"/>
      <c r="HH30" s="34">
        <f>IF(AND(ISNUMBER(HI30),ISNUMBER(HG30)),HI30-HG30,"")</f>
        <v>0</v>
      </c>
      <c r="HI30" s="33"/>
      <c r="HJ30" s="34">
        <f>IF(AND(ISNUMBER(HK30),ISNUMBER(HI30)),HK30-HI30,"")</f>
        <v>0</v>
      </c>
      <c r="HK30" s="33"/>
      <c r="HL30" s="34">
        <f>IF(AND(ISNUMBER(HM30),ISNUMBER(HK30)),HM30-HK30,"")</f>
        <v>0</v>
      </c>
      <c r="HM30" s="33"/>
      <c r="HN30" s="34">
        <f>IF(AND(ISNUMBER(HO30),ISNUMBER(HM30)),HO30-HM30,"")</f>
        <v>0</v>
      </c>
      <c r="HO30" s="33"/>
      <c r="HP30" s="34">
        <f>IF(AND(ISNUMBER(HQ30),ISNUMBER(HO30)),HQ30-HO30,"")</f>
        <v>0</v>
      </c>
      <c r="HQ30" s="33"/>
      <c r="HR30" s="34">
        <f>IF(AND(ISNUMBER(HS30),ISNUMBER(HQ30)),HS30-HQ30,"")</f>
        <v>0</v>
      </c>
      <c r="HS30" s="33"/>
      <c r="HT30" s="34">
        <f>IF(AND(ISNUMBER(HU30),ISNUMBER(HS30)),HU30-HS30,"")</f>
        <v>0</v>
      </c>
      <c r="HU30" s="33"/>
      <c r="HV30" s="34">
        <f>IF(AND(ISNUMBER(HW30),ISNUMBER(HU30)),HW30-HU30,"")</f>
        <v>0</v>
      </c>
      <c r="HW30" s="33"/>
      <c r="HX30" s="34">
        <f>IF(AND(ISNUMBER(HY30),ISNUMBER(HW30)),HY30-HW30,"")</f>
        <v>0</v>
      </c>
      <c r="HY30" s="33"/>
      <c r="HZ30" s="34">
        <f>IF(AND(ISNUMBER(IA30),ISNUMBER(HY30)),IA30-HY30,"")</f>
        <v>0</v>
      </c>
      <c r="IA30" s="33"/>
      <c r="IB30" s="34">
        <f>IF(AND(ISNUMBER(IC30),ISNUMBER(IA30)),IC30-IA30,"")</f>
        <v>0</v>
      </c>
      <c r="IC30" s="33"/>
      <c r="ID30" s="34">
        <f>IF(AND(ISNUMBER(IE30),ISNUMBER(IC30)),IE30-IC30,"")</f>
        <v>0</v>
      </c>
      <c r="IE30" s="33"/>
      <c r="IF30" s="34">
        <f>IF(AND(ISNUMBER(IG30),ISNUMBER(IE30)),IG30-IE30,"")</f>
        <v>0</v>
      </c>
      <c r="IG30" s="33"/>
      <c r="IH30" s="34">
        <f>IF(AND(ISNUMBER(II30),ISNUMBER(IG30)),II30-IG30,"")</f>
        <v>0</v>
      </c>
      <c r="II30" s="33"/>
      <c r="IJ30" s="34">
        <f>IF(AND(ISNUMBER(IK30),ISNUMBER(II30)),IK30-II30,"")</f>
        <v>0</v>
      </c>
      <c r="IK30" s="33"/>
      <c r="IL30" s="34">
        <f>IF(AND(ISNUMBER(IM30),ISNUMBER(IK30)),IM30-IK30,"")</f>
        <v>0</v>
      </c>
      <c r="IM30" s="33"/>
      <c r="IN30" s="34">
        <f>IF(AND(ISNUMBER(IO30),ISNUMBER(IM30)),IO30-IM30,"")</f>
        <v>0</v>
      </c>
      <c r="IO30" s="33"/>
      <c r="IP30" s="34">
        <f>IF(AND(ISNUMBER(IQ30),ISNUMBER(IO30)),IQ30-IO30,"")</f>
        <v>0</v>
      </c>
      <c r="IQ30" s="33"/>
      <c r="IR30" s="34">
        <f>IF(AND(ISNUMBER(IS30),ISNUMBER(IQ30)),IS30-IQ30,"")</f>
        <v>0</v>
      </c>
      <c r="IS30" s="33"/>
      <c r="IT30" s="34">
        <f>IF(AND(ISNUMBER(IU30),ISNUMBER(IS30)),IU30-IS30,"")</f>
        <v>0</v>
      </c>
      <c r="IU30" s="33"/>
      <c r="IV30" s="34">
        <f>IF(AND(ISNUMBER(IW30),ISNUMBER(IU30)),IW30-IU30,"")</f>
        <v>0</v>
      </c>
      <c r="IW30" s="33"/>
      <c r="IX30" s="34">
        <f>IF(AND(ISNUMBER(IY30),ISNUMBER(IW30)),IY30-IW30,"")</f>
        <v>0</v>
      </c>
      <c r="IY30" s="33"/>
      <c r="IZ30" s="34">
        <f>IF(AND(ISNUMBER(JA30),ISNUMBER(IY30)),JA30-IY30,"")</f>
        <v>0</v>
      </c>
      <c r="JA30" s="33"/>
      <c r="JB30" s="34">
        <f>IF(AND(ISNUMBER(JC30),ISNUMBER(JA30)),JC30-JA30,"")</f>
        <v>0</v>
      </c>
      <c r="JC30" s="33"/>
      <c r="JD30" s="34">
        <f>IF(AND(ISNUMBER(JE30),ISNUMBER(JC30)),JE30-JC30,"")</f>
        <v>0</v>
      </c>
      <c r="JE30" s="33"/>
      <c r="JF30" s="34">
        <f>IF(AND(ISNUMBER(JG30),ISNUMBER(JE30)),JG30-JE30,"")</f>
        <v>0</v>
      </c>
      <c r="JG30" s="33"/>
      <c r="JH30" s="34">
        <f>IF(AND(ISNUMBER(JI30),ISNUMBER(JG30)),JI30-JG30,"")</f>
        <v>0</v>
      </c>
      <c r="JI30" s="33"/>
      <c r="JJ30" s="34">
        <f>IF(AND(ISNUMBER(JK30),ISNUMBER(JI30)),JK30-JI30,"")</f>
        <v>0</v>
      </c>
      <c r="JK30" s="33"/>
      <c r="JL30" s="34">
        <f>IF(AND(ISNUMBER(JM30),ISNUMBER(JK30)),JM30-JK30,"")</f>
        <v>0</v>
      </c>
      <c r="JM30" s="33"/>
      <c r="JN30" s="34">
        <f>IF(AND(ISNUMBER(JO30),ISNUMBER(JM30)),JO30-JM30,"")</f>
        <v>0</v>
      </c>
      <c r="JO30" s="33"/>
      <c r="JP30" s="34">
        <f>IF(AND(ISNUMBER(JQ30),ISNUMBER(JO30)),JQ30-JO30,"")</f>
        <v>0</v>
      </c>
      <c r="JQ30" s="33"/>
      <c r="JR30" s="34">
        <f>IF(AND(ISNUMBER(JS30),ISNUMBER(JQ30)),JS30-JQ30,"")</f>
        <v>0</v>
      </c>
      <c r="JS30" s="33"/>
      <c r="JT30" s="34">
        <f>IF(AND(ISNUMBER(JU30),ISNUMBER(JS30)),JU30-JS30,"")</f>
        <v>0</v>
      </c>
      <c r="JU30" s="33"/>
      <c r="JV30" s="34">
        <f>IF(AND(ISNUMBER(JW30),ISNUMBER(JU30)),JW30-JU30,"")</f>
        <v>0</v>
      </c>
      <c r="JW30" s="33"/>
      <c r="JX30" s="34">
        <f>IF(AND(ISNUMBER(JY30),ISNUMBER(JW30)),JY30-JW30,"")</f>
        <v>0</v>
      </c>
      <c r="JY30" s="33"/>
      <c r="JZ30" s="34">
        <f>IF(AND(ISNUMBER(KA30),ISNUMBER(JY30)),KA30-JY30,"")</f>
        <v>0</v>
      </c>
      <c r="KA30" s="33"/>
      <c r="KB30" s="34">
        <f>IF(AND(ISNUMBER(KC30),ISNUMBER(KA30)),KC30-KA30,"")</f>
        <v>0</v>
      </c>
      <c r="KC30" s="33"/>
      <c r="KD30" s="34">
        <f>IF(AND(ISNUMBER(KE30),ISNUMBER(KC30)),KE30-KC30,"")</f>
        <v>0</v>
      </c>
      <c r="KE30" s="33"/>
      <c r="KF30" s="34">
        <f>IF(AND(ISNUMBER(KG30),ISNUMBER(KE30)),KG30-KE30,"")</f>
        <v>0</v>
      </c>
      <c r="KG30" s="33"/>
      <c r="KH30" s="34">
        <f>IF(AND(ISNUMBER(KI30),ISNUMBER(KG30)),KI30-KG30,"")</f>
        <v>0</v>
      </c>
      <c r="KI30" s="33"/>
      <c r="KJ30" s="34">
        <f>IF(AND(ISNUMBER(KK30),ISNUMBER(KI30)),KK30-KI30,"")</f>
        <v>0</v>
      </c>
      <c r="KK30" s="33"/>
      <c r="KL30" s="34">
        <f>IF(AND(ISNUMBER(KM30),ISNUMBER(KK30)),KM30-KK30,"")</f>
        <v>0</v>
      </c>
      <c r="KM30" s="33"/>
      <c r="KN30" s="34">
        <f>IF(AND(ISNUMBER(KO30),ISNUMBER(KM30)),KO30-KM30,"")</f>
        <v>0</v>
      </c>
      <c r="KO30" s="33"/>
      <c r="KP30" s="34">
        <f>IF(AND(ISNUMBER(KQ30),ISNUMBER(KO30)),KQ30-KO30,"")</f>
        <v>0</v>
      </c>
      <c r="KQ30" s="33"/>
      <c r="KR30" s="34">
        <f>IF(AND(ISNUMBER(KS30),ISNUMBER(KQ30)),KS30-KQ30,"")</f>
        <v>0</v>
      </c>
      <c r="KS30" s="33"/>
      <c r="KT30" s="34">
        <f>IF(AND(ISNUMBER(KU30),ISNUMBER(KS30)),KU30-KS30,"")</f>
        <v>0</v>
      </c>
      <c r="KU30" s="33"/>
      <c r="KV30" s="34">
        <f>IF(AND(ISNUMBER(KW30),ISNUMBER(KU30)),KW30-KU30,"")</f>
        <v>0</v>
      </c>
      <c r="KW30" s="33"/>
      <c r="KX30" s="34">
        <f>IF(AND(ISNUMBER(KY30),ISNUMBER(KW30)),KY30-KW30,"")</f>
        <v>0</v>
      </c>
      <c r="KY30" s="33"/>
      <c r="KZ30" s="34">
        <f>IF(AND(ISNUMBER(LA30),ISNUMBER(KY30)),LA30-KY30,"")</f>
        <v>0</v>
      </c>
      <c r="LA30" s="33"/>
      <c r="LB30" s="34">
        <f>IF(AND(ISNUMBER(LC30),ISNUMBER(LA30)),LC30-LA30,"")</f>
        <v>0</v>
      </c>
      <c r="LC30" s="33"/>
      <c r="LD30" s="34">
        <f>IF(AND(ISNUMBER(LE30),ISNUMBER(LC30)),LE30-LC30,"")</f>
        <v>0</v>
      </c>
      <c r="LE30" s="33"/>
      <c r="LF30" s="34">
        <f>IF(AND(ISNUMBER(LG30),ISNUMBER(LE30)),LG30-LE30,"")</f>
        <v>0</v>
      </c>
      <c r="LG30" s="33"/>
      <c r="LJ30" s="35" t="s">
        <v>1085</v>
      </c>
    </row>
    <row r="31" spans="1:322" hidden="1" outlineLevel="1">
      <c r="A31" s="36" t="s">
        <v>745</v>
      </c>
      <c r="B31" s="23"/>
      <c r="C31" s="37" t="s">
        <v>728</v>
      </c>
      <c r="E31" s="32" t="s">
        <v>1081</v>
      </c>
      <c r="F31" s="38">
        <f>MIN(F32:F38)</f>
        <v>45689.0</v>
      </c>
      <c r="H31" s="38" t="s">
        <v>1082</v>
      </c>
      <c r="I31" s="39">
        <f>IF(COUNT(I32:I63)=0,"",SUM(I32:I63))</f>
        <v>0</v>
      </c>
      <c r="J31" s="34">
        <f>IF(AND(ISNUMBER(K31),ISNUMBER(I31)),K31-I31,"")</f>
        <v>0</v>
      </c>
      <c r="K31" s="39">
        <f>IF(COUNT(K32:K63)=0,"",SUM(K32:K63))</f>
        <v>0</v>
      </c>
      <c r="L31" s="34">
        <f>IF(AND(ISNUMBER(M31),ISNUMBER(K31)),M31-K31,"")</f>
        <v>0</v>
      </c>
      <c r="M31" s="39">
        <f>IF(COUNT(M32:M63)=0,"",SUM(M32:M63))</f>
        <v>0</v>
      </c>
      <c r="N31" s="34">
        <f>IF(AND(ISNUMBER(O31),ISNUMBER(M31)),O31-M31,"")</f>
        <v>0</v>
      </c>
      <c r="O31" s="39">
        <f>IF(COUNT(O32:O63)=0,"",SUM(O32:O63))</f>
        <v>0</v>
      </c>
      <c r="P31" s="34">
        <f>IF(AND(ISNUMBER(Q31),ISNUMBER(O31)),Q31-O31,"")</f>
        <v>0</v>
      </c>
      <c r="Q31" s="39">
        <f>IF(COUNT(Q32:Q63)=0,"",SUM(Q32:Q63))</f>
        <v>0</v>
      </c>
      <c r="R31" s="34">
        <f>IF(AND(ISNUMBER(S31),ISNUMBER(Q31)),S31-Q31,"")</f>
        <v>0</v>
      </c>
      <c r="S31" s="39">
        <f>IF(COUNT(S32:S63)=0,"",SUM(S32:S63))</f>
        <v>0</v>
      </c>
      <c r="T31" s="34">
        <f>IF(AND(ISNUMBER(U31),ISNUMBER(S31)),U31-S31,"")</f>
        <v>0</v>
      </c>
      <c r="U31" s="39">
        <f>IF(COUNT(U32:U63)=0,"",SUM(U32:U63))</f>
        <v>0</v>
      </c>
      <c r="V31" s="34">
        <f>IF(AND(ISNUMBER(W31),ISNUMBER(U31)),W31-U31,"")</f>
        <v>0</v>
      </c>
      <c r="W31" s="39">
        <f>IF(COUNT(W32:W63)=0,"",SUM(W32:W63))</f>
        <v>0</v>
      </c>
      <c r="X31" s="34">
        <f>IF(AND(ISNUMBER(Y31),ISNUMBER(W31)),Y31-W31,"")</f>
        <v>0</v>
      </c>
      <c r="Y31" s="39">
        <f>IF(COUNT(Y32:Y63)=0,"",SUM(Y32:Y63))</f>
        <v>0</v>
      </c>
      <c r="Z31" s="34">
        <f>IF(AND(ISNUMBER(AA31),ISNUMBER(Y31)),AA31-Y31,"")</f>
        <v>0</v>
      </c>
      <c r="AA31" s="39">
        <f>IF(COUNT(AA32:AA63)=0,"",SUM(AA32:AA63))</f>
        <v>0</v>
      </c>
      <c r="AB31" s="34">
        <f>IF(AND(ISNUMBER(AC31),ISNUMBER(AA31)),AC31-AA31,"")</f>
        <v>0</v>
      </c>
      <c r="AC31" s="39">
        <f>IF(COUNT(AC32:AC63)=0,"",SUM(AC32:AC63))</f>
        <v>0</v>
      </c>
      <c r="AD31" s="34">
        <f>IF(AND(ISNUMBER(AE31),ISNUMBER(AC31)),AE31-AC31,"")</f>
        <v>0</v>
      </c>
      <c r="AE31" s="39">
        <f>IF(COUNT(AE32:AE63)=0,"",SUM(AE32:AE63))</f>
        <v>0</v>
      </c>
      <c r="AF31" s="34">
        <f>IF(AND(ISNUMBER(AG31),ISNUMBER(AE31)),AG31-AE31,"")</f>
        <v>0</v>
      </c>
      <c r="AG31" s="39">
        <f>IF(COUNT(AG32:AG63)=0,"",SUM(AG32:AG63))</f>
        <v>0</v>
      </c>
      <c r="AH31" s="34">
        <f>IF(AND(ISNUMBER(AI31),ISNUMBER(AG31)),AI31-AG31,"")</f>
        <v>0</v>
      </c>
      <c r="AI31" s="39">
        <f>IF(COUNT(AI32:AI63)=0,"",SUM(AI32:AI63))</f>
        <v>0</v>
      </c>
      <c r="AJ31" s="34">
        <f>IF(AND(ISNUMBER(AK31),ISNUMBER(AI31)),AK31-AI31,"")</f>
        <v>0</v>
      </c>
      <c r="AK31" s="39">
        <f>IF(COUNT(AK32:AK63)=0,"",SUM(AK32:AK63))</f>
        <v>0</v>
      </c>
      <c r="AL31" s="34">
        <f>IF(AND(ISNUMBER(AM31),ISNUMBER(AK31)),AM31-AK31,"")</f>
        <v>0</v>
      </c>
      <c r="AM31" s="39">
        <f>IF(COUNT(AM32:AM63)=0,"",SUM(AM32:AM63))</f>
        <v>0</v>
      </c>
      <c r="AN31" s="34">
        <f>IF(AND(ISNUMBER(AO31),ISNUMBER(AM31)),AO31-AM31,"")</f>
        <v>0</v>
      </c>
      <c r="AO31" s="39">
        <f>IF(COUNT(AO32:AO63)=0,"",SUM(AO32:AO63))</f>
        <v>0</v>
      </c>
      <c r="AP31" s="34">
        <f>IF(AND(ISNUMBER(AQ31),ISNUMBER(AO31)),AQ31-AO31,"")</f>
        <v>0</v>
      </c>
      <c r="AQ31" s="39">
        <f>IF(COUNT(AQ32:AQ63)=0,"",SUM(AQ32:AQ63))</f>
        <v>0</v>
      </c>
      <c r="AR31" s="34">
        <f>IF(AND(ISNUMBER(AS31),ISNUMBER(AQ31)),AS31-AQ31,"")</f>
        <v>0</v>
      </c>
      <c r="AS31" s="39">
        <f>IF(COUNT(AS32:AS38)=0,"",SUM(AS32:AS38))</f>
        <v>0</v>
      </c>
      <c r="AT31" s="34">
        <f>IF(AND(ISNUMBER(AU31),ISNUMBER(AS31)),AU31-AS31,"")</f>
        <v>0</v>
      </c>
      <c r="AU31" s="39">
        <f>IF(COUNT(AU32:AU38)=0,"",SUM(AU32:AU38))</f>
        <v>0</v>
      </c>
      <c r="AV31" s="34">
        <f>IF(AND(ISNUMBER(AW31),ISNUMBER(AU31)),AW31-AU31,"")</f>
        <v>0</v>
      </c>
      <c r="AW31" s="39">
        <f>IF(COUNT(AW32:AW38)=0,"",SUM(AW32:AW38))</f>
        <v>0</v>
      </c>
      <c r="AX31" s="34">
        <f>IF(AND(ISNUMBER(AY31),ISNUMBER(AW31)),AY31-AW31,"")</f>
        <v>0</v>
      </c>
      <c r="AY31" s="39">
        <f>IF(COUNT(AY32:AY38)=0,"",SUM(AY32:AY38))</f>
        <v>0</v>
      </c>
      <c r="AZ31" s="34">
        <f>IF(AND(ISNUMBER(BA31),ISNUMBER(AY31)),BA31-AY31,"")</f>
        <v>0</v>
      </c>
      <c r="BA31" s="39">
        <f>IF(COUNT(BA32:BA38)=0,"",SUM(BA32:BA38))</f>
        <v>0</v>
      </c>
      <c r="BB31" s="34">
        <f>IF(AND(ISNUMBER(BC31),ISNUMBER(BA31)),BC31-BA31,"")</f>
        <v>0</v>
      </c>
      <c r="BC31" s="40" t="s">
        <v>1078</v>
      </c>
      <c r="BD31" s="34">
        <f>IF(AND(ISNUMBER(BE31),ISNUMBER(BC31)),BE31-BC31,"")</f>
        <v>0</v>
      </c>
      <c r="BE31" s="39">
        <f>IF(COUNT(BE32:BE38)=0,"",SUM(BE32:BE38))</f>
        <v>0</v>
      </c>
      <c r="BF31" s="34">
        <f>IF(AND(ISNUMBER(BG31),ISNUMBER(BE31)),BG31-BE31,"")</f>
        <v>0</v>
      </c>
      <c r="BG31" s="39">
        <f>IF(COUNT(BG32:BG38)=0,"",SUM(BG32:BG38))</f>
        <v>0</v>
      </c>
      <c r="BH31" s="34">
        <f>IF(AND(ISNUMBER(BI31),ISNUMBER(BG31)),BI31-BG31,"")</f>
        <v>0</v>
      </c>
      <c r="BI31" s="39">
        <f>IF(COUNT(BI32:BI38)=0,"",SUM(BI32:BI38))</f>
        <v>0</v>
      </c>
      <c r="BJ31" s="34">
        <f>IF(AND(ISNUMBER(BK31),ISNUMBER(BI31)),BK31-BI31,"")</f>
        <v>0</v>
      </c>
      <c r="BK31" s="39">
        <f>IF(COUNT(BK32:BK38)=0,"",SUM(BK32:BK38))</f>
        <v>0</v>
      </c>
      <c r="BL31" s="34">
        <f>IF(AND(ISNUMBER(BM31),ISNUMBER(BK31)),BM31-BK31,"")</f>
        <v>0</v>
      </c>
      <c r="BM31" s="39">
        <f>IF(COUNT(BM32:BM38)=0,"",SUM(BM32:BM38))</f>
        <v>0</v>
      </c>
      <c r="BN31" s="34">
        <f>IF(AND(ISNUMBER(BO31),ISNUMBER(BM31)),BO31-BM31,"")</f>
        <v>0</v>
      </c>
      <c r="BO31" s="39">
        <f>IF(COUNT(BO32:BO38)=0,"",SUM(BO32:BO38))</f>
        <v>0</v>
      </c>
      <c r="BP31" s="34">
        <f>IF(AND(ISNUMBER(BQ31),ISNUMBER(BO31)),BQ31-BO31,"")</f>
        <v>0</v>
      </c>
      <c r="BQ31" s="39">
        <f>IF(COUNT(BQ32:BQ38)=0,"",SUM(BQ32:BQ38))</f>
        <v>0</v>
      </c>
      <c r="BR31" s="34">
        <f>IF(AND(ISNUMBER(BS31),ISNUMBER(BQ31)),BS31-BQ31,"")</f>
        <v>0</v>
      </c>
      <c r="BS31" s="39">
        <f>IF(COUNT(BS32:BS38)=0,"",SUM(BS32:BS38))</f>
        <v>0</v>
      </c>
      <c r="BT31" s="34">
        <f>IF(AND(ISNUMBER(BU31),ISNUMBER(BS31)),BU31-BS31,"")</f>
        <v>0</v>
      </c>
      <c r="BU31" s="39">
        <f>IF(COUNT(BU32:BU38)=0,"",SUM(BU32:BU38))</f>
        <v>0</v>
      </c>
      <c r="BV31" s="34">
        <f>IF(AND(ISNUMBER(BW31),ISNUMBER(BU31)),BW31-BU31,"")</f>
        <v>0</v>
      </c>
      <c r="BW31" s="39">
        <f>IF(COUNT(BW32:BW38)=0,"",SUM(BW32:BW38))</f>
        <v>0</v>
      </c>
      <c r="BX31" s="34">
        <f>IF(AND(ISNUMBER(BY31),ISNUMBER(BW31)),BY31-BW31,"")</f>
        <v>0</v>
      </c>
      <c r="BY31" s="39">
        <f>IF(COUNT(BY32:BY38)=0,"",SUM(BY32:BY38))</f>
        <v>0</v>
      </c>
      <c r="BZ31" s="34">
        <f>IF(AND(ISNUMBER(CA31),ISNUMBER(BY31)),CA31-BY31,"")</f>
        <v>0</v>
      </c>
      <c r="CA31" s="39">
        <f>IF(COUNT(CA32:CA38)=0,"",SUM(CA32:CA38))</f>
        <v>0</v>
      </c>
      <c r="CB31" s="34">
        <f>IF(AND(ISNUMBER(CC31),ISNUMBER(CA31)),CC31-CA31,"")</f>
        <v>0</v>
      </c>
      <c r="CC31" s="39">
        <f>IF(COUNT(CC32:CC38)=0,"",SUM(CC32:CC38))</f>
        <v>0</v>
      </c>
      <c r="CD31" s="34">
        <f>IF(AND(ISNUMBER(CE31),ISNUMBER(CC31)),CE31-CC31,"")</f>
        <v>0</v>
      </c>
      <c r="CE31" s="39">
        <f>IF(COUNT(CE32:CE38)=0,"",SUM(CE32:CE38))</f>
        <v>0</v>
      </c>
      <c r="CF31" s="34">
        <f>IF(AND(ISNUMBER(CG31),ISNUMBER(CE31)),CG31-CE31,"")</f>
        <v>0</v>
      </c>
      <c r="CG31" s="39">
        <f>IF(COUNT(CG32:CG38)=0,"",SUM(CG32:CG38))</f>
        <v>0</v>
      </c>
      <c r="CH31" s="34">
        <f>IF(AND(ISNUMBER(CI31),ISNUMBER(CG31)),CI31-CG31,"")</f>
        <v>0</v>
      </c>
      <c r="CI31" s="39">
        <f>IF(COUNT(CI32:CI38)=0,"",SUM(CI32:CI38))</f>
        <v>0</v>
      </c>
      <c r="CJ31" s="34">
        <f>IF(AND(ISNUMBER(CK31),ISNUMBER(CI31)),CK31-CI31,"")</f>
        <v>0</v>
      </c>
      <c r="CK31" s="39">
        <f>IF(COUNT(CK32:CK38)=0,"",SUM(CK32:CK38))</f>
        <v>0</v>
      </c>
      <c r="CL31" s="34">
        <f>IF(AND(ISNUMBER(CM31),ISNUMBER(CK31)),CM31-CK31,"")</f>
        <v>0</v>
      </c>
      <c r="CM31" s="39">
        <f>IF(COUNT(CM32:CM38)=0,"",SUM(CM32:CM38))</f>
        <v>0</v>
      </c>
      <c r="CN31" s="34">
        <f>IF(AND(ISNUMBER(CO31),ISNUMBER(CM31)),CO31-CM31,"")</f>
        <v>0</v>
      </c>
      <c r="CO31" s="39">
        <f>IF(COUNT(CO32:CO38)=0,"",SUM(CO32:CO38))</f>
        <v>0</v>
      </c>
      <c r="CP31" s="34">
        <f>IF(AND(ISNUMBER(CQ31),ISNUMBER(CO31)),CQ31-CO31,"")</f>
        <v>0</v>
      </c>
      <c r="CQ31" s="39">
        <f>IF(COUNT(CQ32:CQ38)=0,"",SUM(CQ32:CQ38))</f>
        <v>0</v>
      </c>
      <c r="CR31" s="34">
        <f>IF(AND(ISNUMBER(CS31),ISNUMBER(CQ31)),CS31-CQ31,"")</f>
        <v>0</v>
      </c>
      <c r="CS31" s="39">
        <f>IF(COUNT(CS32:CS38)=0,"",SUM(CS32:CS38))</f>
        <v>0</v>
      </c>
      <c r="CT31" s="34">
        <f>IF(AND(ISNUMBER(CU31),ISNUMBER(CS31)),CU31-CS31,"")</f>
        <v>0</v>
      </c>
      <c r="CU31" s="39">
        <f>IF(COUNT(CU32:CU38)=0,"",SUM(CU32:CU38))</f>
        <v>0</v>
      </c>
      <c r="CV31" s="34">
        <f>IF(AND(ISNUMBER(CW31),ISNUMBER(CU31)),CW31-CU31,"")</f>
        <v>0</v>
      </c>
      <c r="CW31" s="39">
        <f>IF(COUNT(CW32:CW38)=0,"",SUM(CW32:CW38))</f>
        <v>0</v>
      </c>
      <c r="CX31" s="34">
        <f>IF(AND(ISNUMBER(CY31),ISNUMBER(CW31)),CY31-CW31,"")</f>
        <v>0</v>
      </c>
      <c r="CY31" s="39">
        <f>IF(COUNT(CY32:CY38)=0,"",SUM(CY32:CY38))</f>
        <v>0</v>
      </c>
      <c r="CZ31" s="34">
        <f>IF(AND(ISNUMBER(DA31),ISNUMBER(CY31)),DA31-CY31,"")</f>
        <v>0</v>
      </c>
      <c r="DA31" s="39">
        <f>IF(COUNT(DA32:DA38)=0,"",SUM(DA32:DA38))</f>
        <v>0</v>
      </c>
      <c r="DB31" s="34">
        <f>IF(AND(ISNUMBER(DC31),ISNUMBER(DA31)),DC31-DA31,"")</f>
        <v>0</v>
      </c>
      <c r="DC31" s="39">
        <f>IF(COUNT(DC32:DC38)=0,"",SUM(DC32:DC38))</f>
        <v>0</v>
      </c>
      <c r="DD31" s="34">
        <f>IF(AND(ISNUMBER(DE31),ISNUMBER(DC31)),DE31-DC31,"")</f>
        <v>0</v>
      </c>
      <c r="DE31" s="39">
        <f>IF(COUNT(DE32:DE38)=0,"",SUM(DE32:DE38))</f>
        <v>0</v>
      </c>
      <c r="DF31" s="34">
        <f>IF(AND(ISNUMBER(DG31),ISNUMBER(DE31)),DG31-DE31,"")</f>
        <v>0</v>
      </c>
      <c r="DG31" s="39">
        <f>IF(COUNT(DG32:DG38)=0,"",SUM(DG32:DG38))</f>
        <v>0</v>
      </c>
      <c r="DH31" s="34">
        <f>IF(AND(ISNUMBER(DI31),ISNUMBER(DG31)),DI31-DG31,"")</f>
        <v>0</v>
      </c>
      <c r="DI31" s="39">
        <f>IF(COUNT(DI32:DI38)=0,"",SUM(DI32:DI38))</f>
        <v>0</v>
      </c>
      <c r="DJ31" s="34">
        <f>IF(AND(ISNUMBER(DK31),ISNUMBER(DI31)),DK31-DI31,"")</f>
        <v>0</v>
      </c>
      <c r="DK31" s="39">
        <f>IF(COUNT(DK32:DK38)=0,"",SUM(DK32:DK38))</f>
        <v>0</v>
      </c>
      <c r="DL31" s="34">
        <f>IF(AND(ISNUMBER(DM31),ISNUMBER(DK31)),DM31-DK31,"")</f>
        <v>0</v>
      </c>
      <c r="DM31" s="33">
        <v>5</v>
      </c>
      <c r="DN31" s="34">
        <f>IF(AND(ISNUMBER(DO31),ISNUMBER(DM31)),DO31-DM31,"")</f>
        <v>0</v>
      </c>
      <c r="DO31" s="39">
        <f>IF(COUNT(DO32:DO38)=0,"",SUM(DO32:DO38))</f>
        <v>0</v>
      </c>
      <c r="DP31" s="34">
        <f>IF(AND(ISNUMBER(DQ31),ISNUMBER(DO31)),DQ31-DO31,"")</f>
        <v>0</v>
      </c>
      <c r="DQ31" s="39">
        <f>IF(COUNT(DQ32:DQ38)=0,"",SUM(DQ32:DQ38))</f>
        <v>0</v>
      </c>
      <c r="DR31" s="34">
        <f>IF(AND(ISNUMBER(DS31),ISNUMBER(DQ31)),DS31-DQ31,"")</f>
        <v>0</v>
      </c>
      <c r="DS31" s="39">
        <f>IF(COUNT(DS32:DS38)=0,"",SUM(DS32:DS38))</f>
        <v>0</v>
      </c>
      <c r="DT31" s="34">
        <f>IF(AND(ISNUMBER(DU31),ISNUMBER(DS31)),DU31-DS31,"")</f>
        <v>0</v>
      </c>
      <c r="DU31" s="39">
        <f>IF(COUNT(DU32:DU38)=0,"",SUM(DU32:DU38))</f>
        <v>0</v>
      </c>
      <c r="DV31" s="34">
        <f>IF(AND(ISNUMBER(DW31),ISNUMBER(DU31)),DW31-DU31,"")</f>
        <v>0</v>
      </c>
      <c r="DW31" s="39">
        <f>IF(COUNT(DW32:DW38)=0,"",SUM(DW32:DW38))</f>
        <v>0</v>
      </c>
      <c r="DX31" s="34">
        <f>IF(AND(ISNUMBER(DY31),ISNUMBER(DW31)),DY31-DW31,"")</f>
        <v>0</v>
      </c>
      <c r="DY31" s="39">
        <f>IF(COUNT(DY32:DY38)=0,"",SUM(DY32:DY38))</f>
        <v>0</v>
      </c>
      <c r="DZ31" s="34">
        <f>IF(AND(ISNUMBER(EA31),ISNUMBER(DY31)),EA31-DY31,"")</f>
        <v>0</v>
      </c>
      <c r="EA31" s="39">
        <f>IF(COUNT(EA32:EA38)=0,"",SUM(EA32:EA38))</f>
        <v>0</v>
      </c>
      <c r="EB31" s="34">
        <f>IF(AND(ISNUMBER(EC31),ISNUMBER(EA31)),EC31-EA31,"")</f>
        <v>0</v>
      </c>
      <c r="EC31" s="39">
        <f>IF(COUNT(EC32:EC38)=0,"",SUM(EC32:EC38))</f>
        <v>0</v>
      </c>
      <c r="ED31" s="34">
        <f>IF(AND(ISNUMBER(EE31),ISNUMBER(EC31)),EE31-EC31,"")</f>
        <v>0</v>
      </c>
      <c r="EE31" s="39">
        <f>IF(COUNT(EE32:EE38)=0,"",SUM(EE32:EE38))</f>
        <v>0</v>
      </c>
      <c r="EF31" s="34">
        <f>IF(AND(ISNUMBER(EG31),ISNUMBER(EE31)),EG31-EE31,"")</f>
        <v>0</v>
      </c>
      <c r="EG31" s="39">
        <f>IF(COUNT(EG32:EG38)=0,"",SUM(EG32:EG38))</f>
        <v>0</v>
      </c>
      <c r="EH31" s="34">
        <f>IF(AND(ISNUMBER(EI31),ISNUMBER(EG31)),EI31-EG31,"")</f>
        <v>0</v>
      </c>
      <c r="EI31" s="39">
        <f>IF(COUNT(EI32:EI38)=0,"",SUM(EI32:EI38))</f>
        <v>0</v>
      </c>
      <c r="EJ31" s="34">
        <f>IF(AND(ISNUMBER(EK31),ISNUMBER(EI31)),EK31-EI31,"")</f>
        <v>0</v>
      </c>
      <c r="EK31" s="39">
        <f>IF(COUNT(EK32:EK38)=0,"",SUM(EK32:EK38))</f>
        <v>0</v>
      </c>
      <c r="EL31" s="34">
        <f>IF(AND(ISNUMBER(EM31),ISNUMBER(EK31)),EM31-EK31,"")</f>
        <v>0</v>
      </c>
      <c r="EM31" s="39">
        <f>IF(COUNT(EM32:EM38)=0,"",SUM(EM32:EM38))</f>
        <v>0</v>
      </c>
      <c r="EN31" s="34">
        <f>IF(AND(ISNUMBER(EO31),ISNUMBER(EM31)),EO31-EM31,"")</f>
        <v>0</v>
      </c>
      <c r="EO31" s="39">
        <f>IF(COUNT(EO32:EO38)=0,"",SUM(EO32:EO38))</f>
        <v>0</v>
      </c>
      <c r="EP31" s="34">
        <f>IF(AND(ISNUMBER(EQ31),ISNUMBER(EO31)),EQ31-EO31,"")</f>
        <v>0</v>
      </c>
      <c r="EQ31" s="39">
        <f>IF(COUNT(EQ32:EQ38)=0,"",SUM(EQ32:EQ38))</f>
        <v>0</v>
      </c>
      <c r="ER31" s="34">
        <f>IF(AND(ISNUMBER(ES31),ISNUMBER(EQ31)),ES31-EQ31,"")</f>
        <v>0</v>
      </c>
      <c r="ES31" s="39">
        <f>IF(COUNT(ES32:ES38)=0,"",SUM(ES32:ES38))</f>
        <v>0</v>
      </c>
      <c r="ET31" s="34">
        <f>IF(AND(ISNUMBER(EU31),ISNUMBER(ES31)),EU31-ES31,"")</f>
        <v>0</v>
      </c>
      <c r="EU31" s="39">
        <f>IF(COUNT(EU32:EU38)=0,"",SUM(EU32:EU38))</f>
        <v>0</v>
      </c>
      <c r="EV31" s="34">
        <f>IF(AND(ISNUMBER(EW31),ISNUMBER(EU31)),EW31-EU31,"")</f>
        <v>0</v>
      </c>
      <c r="EW31" s="39">
        <f>IF(COUNT(EW32:EW38)=0,"",SUM(EW32:EW38))</f>
        <v>0</v>
      </c>
      <c r="EX31" s="34">
        <f>IF(AND(ISNUMBER(EY31),ISNUMBER(EW31)),EY31-EW31,"")</f>
        <v>0</v>
      </c>
      <c r="EY31" s="39">
        <f>IF(COUNT(EY32:EY38)=0,"",SUM(EY32:EY38))</f>
        <v>0</v>
      </c>
      <c r="EZ31" s="34">
        <f>IF(AND(ISNUMBER(FA31),ISNUMBER(EY31)),FA31-EY31,"")</f>
        <v>0</v>
      </c>
      <c r="FA31" s="33"/>
      <c r="FB31" s="34">
        <f>IF(AND(ISNUMBER(FC31),ISNUMBER(FA31)),FC31-FA31,"")</f>
        <v>0</v>
      </c>
      <c r="FC31" s="39">
        <f>IF(COUNT(FC32:FC38)=0,"",SUM(FC32:FC38))</f>
        <v>0</v>
      </c>
      <c r="FD31" s="34">
        <f>IF(AND(ISNUMBER(FE31),ISNUMBER(FC31)),FE31-FC31,"")</f>
        <v>0</v>
      </c>
      <c r="FE31" s="39">
        <f>IF(COUNT(FE32:FE38)=0,"",SUM(FE32:FE38))</f>
        <v>0</v>
      </c>
      <c r="FF31" s="34">
        <f>IF(AND(ISNUMBER(FG31),ISNUMBER(FE31)),FG31-FE31,"")</f>
        <v>0</v>
      </c>
      <c r="FG31" s="39">
        <f>IF(COUNT(FG32:FG38)=0,"",SUM(FG32:FG38))</f>
        <v>0</v>
      </c>
      <c r="FH31" s="34">
        <f>IF(AND(ISNUMBER(FI31),ISNUMBER(FG31)),FI31-FG31,"")</f>
        <v>0</v>
      </c>
      <c r="FI31" s="39">
        <f>IF(COUNT(FI32:FI38)=0,"",SUM(FI32:FI38))</f>
        <v>0</v>
      </c>
      <c r="FJ31" s="34">
        <f>IF(AND(ISNUMBER(FK31),ISNUMBER(FI31)),FK31-FI31,"")</f>
        <v>0</v>
      </c>
      <c r="FK31" s="39">
        <f>IF(COUNT(FK32:FK38)=0,"",SUM(FK32:FK38))</f>
        <v>0</v>
      </c>
      <c r="FL31" s="34">
        <f>IF(AND(ISNUMBER(FM31),ISNUMBER(FK31)),FM31-FK31,"")</f>
        <v>0</v>
      </c>
      <c r="FM31" s="39">
        <f>IF(COUNT(FM32:FM38)=0,"",SUM(FM32:FM38))</f>
        <v>0</v>
      </c>
      <c r="FN31" s="34">
        <f>IF(AND(ISNUMBER(FO31),ISNUMBER(FM31)),FO31-FM31,"")</f>
        <v>0</v>
      </c>
      <c r="FO31" s="39">
        <f>IF(COUNT(FO32:FO38)=0,"",SUM(FO32:FO38))</f>
        <v>0</v>
      </c>
      <c r="FP31" s="34">
        <f>IF(AND(ISNUMBER(FQ31),ISNUMBER(FO31)),FQ31-FO31,"")</f>
        <v>0</v>
      </c>
      <c r="FQ31" s="39">
        <f>IF(COUNT(FQ32:FQ38)=0,"",SUM(FQ32:FQ38))</f>
        <v>0</v>
      </c>
      <c r="FR31" s="34">
        <f>IF(AND(ISNUMBER(FS31),ISNUMBER(FQ31)),FS31-FQ31,"")</f>
        <v>0</v>
      </c>
      <c r="FS31" s="39">
        <f>IF(COUNT(FS32:FS38)=0,"",SUM(FS32:FS38))</f>
        <v>0</v>
      </c>
      <c r="FT31" s="34">
        <f>IF(AND(ISNUMBER(FU31),ISNUMBER(FS31)),FU31-FS31,"")</f>
        <v>0</v>
      </c>
      <c r="FU31" s="39">
        <f>IF(COUNT(FU32:FU38)=0,"",SUM(FU32:FU38))</f>
        <v>0</v>
      </c>
      <c r="FV31" s="34">
        <f>IF(AND(ISNUMBER(FW31),ISNUMBER(FU31)),FW31-FU31,"")</f>
        <v>0</v>
      </c>
      <c r="FW31" s="39">
        <f>IF(COUNT(FW32:FW38)=0,"",SUM(FW32:FW38))</f>
        <v>0</v>
      </c>
      <c r="FX31" s="34">
        <f>IF(AND(ISNUMBER(FY31),ISNUMBER(FW31)),FY31-FW31,"")</f>
        <v>0</v>
      </c>
      <c r="FY31" s="39">
        <f>IF(COUNT(FY32:FY38)=0,"",SUM(FY32:FY38))</f>
        <v>0</v>
      </c>
      <c r="FZ31" s="34">
        <f>IF(AND(ISNUMBER(GA31),ISNUMBER(FY31)),GA31-FY31,"")</f>
        <v>0</v>
      </c>
      <c r="GA31" s="39">
        <f>IF(COUNT(GA32:GA38)=0,"",SUM(GA32:GA38))</f>
        <v>0</v>
      </c>
      <c r="GB31" s="34">
        <f>IF(AND(ISNUMBER(GC31),ISNUMBER(GA31)),GC31-GA31,"")</f>
        <v>0</v>
      </c>
      <c r="GC31" s="39">
        <f>IF(COUNT(GC32:GC38)=0,"",SUM(GC32:GC38))</f>
        <v>0</v>
      </c>
      <c r="GD31" s="34">
        <f>IF(AND(ISNUMBER(GE31),ISNUMBER(GC31)),GE31-GC31,"")</f>
        <v>0</v>
      </c>
      <c r="GE31" s="39">
        <f>IF(COUNT(GE32:GE38)=0,"",SUM(GE32:GE38))</f>
        <v>0</v>
      </c>
      <c r="GF31" s="34">
        <f>IF(AND(ISNUMBER(GG31),ISNUMBER(GE31)),GG31-GE31,"")</f>
        <v>0</v>
      </c>
      <c r="GG31" s="39">
        <f>IF(COUNT(GG32:GG38)=0,"",SUM(GG32:GG38))</f>
        <v>0</v>
      </c>
      <c r="GH31" s="34">
        <f>IF(AND(ISNUMBER(GI31),ISNUMBER(GG31)),GI31-GG31,"")</f>
        <v>0</v>
      </c>
      <c r="GI31" s="39">
        <f>IF(COUNT(GI32:GI38)=0,"",SUM(GI32:GI38))</f>
        <v>0</v>
      </c>
      <c r="GJ31" s="34">
        <f>IF(AND(ISNUMBER(GK31),ISNUMBER(GI31)),GK31-GI31,"")</f>
        <v>0</v>
      </c>
      <c r="GK31" s="39">
        <f>IF(COUNT(GK32:GK38)=0,"",SUM(GK32:GK38))</f>
        <v>0</v>
      </c>
      <c r="GL31" s="34">
        <f>IF(AND(ISNUMBER(GM31),ISNUMBER(GK31)),GM31-GK31,"")</f>
        <v>0</v>
      </c>
      <c r="GM31" s="39">
        <f>IF(COUNT(GM32:GM38)=0,"",SUM(GM32:GM38))</f>
        <v>0</v>
      </c>
      <c r="GN31" s="34">
        <f>IF(AND(ISNUMBER(GO31),ISNUMBER(GM31)),GO31-GM31,"")</f>
        <v>0</v>
      </c>
      <c r="GO31" s="39">
        <f>IF(COUNT(GO32:GO38)=0,"",SUM(GO32:GO38))</f>
        <v>0</v>
      </c>
      <c r="GP31" s="34">
        <f>IF(AND(ISNUMBER(GQ31),ISNUMBER(GO31)),GQ31-GO31,"")</f>
        <v>0</v>
      </c>
      <c r="GQ31" s="39">
        <f>IF(COUNT(GQ32:GQ38)=0,"",SUM(GQ32:GQ38))</f>
        <v>0</v>
      </c>
      <c r="GR31" s="34">
        <f>IF(AND(ISNUMBER(GS31),ISNUMBER(GQ31)),GS31-GQ31,"")</f>
        <v>0</v>
      </c>
      <c r="GS31" s="39">
        <f>IF(COUNT(GS32:GS38)=0,"",SUM(GS32:GS38))</f>
        <v>0</v>
      </c>
      <c r="GT31" s="34">
        <f>IF(AND(ISNUMBER(GU31),ISNUMBER(GS31)),GU31-GS31,"")</f>
        <v>0</v>
      </c>
      <c r="GU31" s="39">
        <f>IF(COUNT(GU32:GU38)=0,"",SUM(GU32:GU38))</f>
        <v>0</v>
      </c>
      <c r="GV31" s="34">
        <f>IF(AND(ISNUMBER(GW31),ISNUMBER(GU31)),GW31-GU31,"")</f>
        <v>0</v>
      </c>
      <c r="GW31" s="39">
        <f>IF(COUNT(GW32:GW38)=0,"",SUM(GW32:GW38))</f>
        <v>0</v>
      </c>
      <c r="GX31" s="34">
        <f>IF(AND(ISNUMBER(GY31),ISNUMBER(GW31)),GY31-GW31,"")</f>
        <v>0</v>
      </c>
      <c r="GY31" s="39">
        <f>IF(COUNT(GY32:GY38)=0,"",SUM(GY32:GY38))</f>
        <v>0</v>
      </c>
      <c r="GZ31" s="34">
        <f>IF(AND(ISNUMBER(HA31),ISNUMBER(GY31)),HA31-GY31,"")</f>
        <v>0</v>
      </c>
      <c r="HA31" s="39">
        <f>IF(COUNT(HA32:HA38)=0,"",SUM(HA32:HA38))</f>
        <v>0</v>
      </c>
      <c r="HB31" s="34">
        <f>IF(AND(ISNUMBER(HC31),ISNUMBER(HA31)),HC31-HA31,"")</f>
        <v>0</v>
      </c>
      <c r="HC31" s="39">
        <f>IF(COUNT(HC32:HC38)=0,"",SUM(HC32:HC38))</f>
        <v>0</v>
      </c>
      <c r="HD31" s="34">
        <f>IF(AND(ISNUMBER(HE31),ISNUMBER(HC31)),HE31-HC31,"")</f>
        <v>0</v>
      </c>
      <c r="HE31" s="39">
        <f>IF(COUNT(HE32:HE38)=0,"",SUM(HE32:HE38))</f>
        <v>0</v>
      </c>
      <c r="HF31" s="34">
        <f>IF(AND(ISNUMBER(HG31),ISNUMBER(HE31)),HG31-HE31,"")</f>
        <v>0</v>
      </c>
      <c r="HG31" s="39">
        <f>IF(COUNT(HG32:HG38)=0,"",SUM(HG32:HG38))</f>
        <v>0</v>
      </c>
      <c r="HH31" s="34">
        <f>IF(AND(ISNUMBER(HI31),ISNUMBER(HG31)),HI31-HG31,"")</f>
        <v>0</v>
      </c>
      <c r="HI31" s="39">
        <f>IF(COUNT(HI32:HI38)=0,"",SUM(HI32:HI38))</f>
        <v>0</v>
      </c>
      <c r="HJ31" s="34">
        <f>IF(AND(ISNUMBER(HK31),ISNUMBER(HI31)),HK31-HI31,"")</f>
        <v>0</v>
      </c>
      <c r="HK31" s="39">
        <f>IF(COUNT(HK32:HK38)=0,"",SUM(HK32:HK38))</f>
        <v>0</v>
      </c>
      <c r="HL31" s="34">
        <f>IF(AND(ISNUMBER(HM31),ISNUMBER(HK31)),HM31-HK31,"")</f>
        <v>0</v>
      </c>
      <c r="HM31" s="39">
        <f>IF(COUNT(HM32:HM38)=0,"",SUM(HM32:HM38))</f>
        <v>0</v>
      </c>
      <c r="HN31" s="34">
        <f>IF(AND(ISNUMBER(HO31),ISNUMBER(HM31)),HO31-HM31,"")</f>
        <v>0</v>
      </c>
      <c r="HO31" s="39">
        <f>IF(COUNT(HO32:HO38)=0,"",SUM(HO32:HO38))</f>
        <v>0</v>
      </c>
      <c r="HP31" s="34">
        <f>IF(AND(ISNUMBER(HQ31),ISNUMBER(HO31)),HQ31-HO31,"")</f>
        <v>0</v>
      </c>
      <c r="HQ31" s="39">
        <f>IF(COUNT(HQ32:HQ38)=0,"",SUM(HQ32:HQ38))</f>
        <v>0</v>
      </c>
      <c r="HR31" s="34">
        <f>IF(AND(ISNUMBER(HS31),ISNUMBER(HQ31)),HS31-HQ31,"")</f>
        <v>0</v>
      </c>
      <c r="HS31" s="39">
        <f>IF(COUNT(HS32:HS38)=0,"",SUM(HS32:HS38))</f>
        <v>0</v>
      </c>
      <c r="HT31" s="34">
        <f>IF(AND(ISNUMBER(HU31),ISNUMBER(HS31)),HU31-HS31,"")</f>
        <v>0</v>
      </c>
      <c r="HU31" s="39">
        <f>IF(COUNT(HU32:HU38)=0,"",SUM(HU32:HU38))</f>
        <v>0</v>
      </c>
      <c r="HV31" s="34">
        <f>IF(AND(ISNUMBER(HW31),ISNUMBER(HU31)),HW31-HU31,"")</f>
        <v>0</v>
      </c>
      <c r="HW31" s="39">
        <f>IF(COUNT(HW32:HW38)=0,"",SUM(HW32:HW38))</f>
        <v>0</v>
      </c>
      <c r="HX31" s="34">
        <f>IF(AND(ISNUMBER(HY31),ISNUMBER(HW31)),HY31-HW31,"")</f>
        <v>0</v>
      </c>
      <c r="HY31" s="39">
        <f>IF(COUNT(HY32:HY38)=0,"",SUM(HY32:HY38))</f>
        <v>0</v>
      </c>
      <c r="HZ31" s="34">
        <f>IF(AND(ISNUMBER(IA31),ISNUMBER(HY31)),IA31-HY31,"")</f>
        <v>0</v>
      </c>
      <c r="IA31" s="39">
        <f>IF(COUNT(IA32:IA38)=0,"",SUM(IA32:IA38))</f>
        <v>0</v>
      </c>
      <c r="IB31" s="34">
        <f>IF(AND(ISNUMBER(IC31),ISNUMBER(IA31)),IC31-IA31,"")</f>
        <v>0</v>
      </c>
      <c r="IC31" s="39">
        <f>IF(COUNT(IC32:IC38)=0,"",SUM(IC32:IC38))</f>
        <v>0</v>
      </c>
      <c r="ID31" s="34">
        <f>IF(AND(ISNUMBER(IE31),ISNUMBER(IC31)),IE31-IC31,"")</f>
        <v>0</v>
      </c>
      <c r="IE31" s="39">
        <f>IF(COUNT(IE32:IE38)=0,"",SUM(IE32:IE38))</f>
        <v>0</v>
      </c>
      <c r="IF31" s="34">
        <f>IF(AND(ISNUMBER(IG31),ISNUMBER(IE31)),IG31-IE31,"")</f>
        <v>0</v>
      </c>
      <c r="IG31" s="39">
        <f>IF(COUNT(IG32:IG38)=0,"",SUM(IG32:IG38))</f>
        <v>0</v>
      </c>
      <c r="IH31" s="34">
        <f>IF(AND(ISNUMBER(II31),ISNUMBER(IG31)),II31-IG31,"")</f>
        <v>0</v>
      </c>
      <c r="II31" s="39">
        <f>IF(COUNT(II32:II38)=0,"",SUM(II32:II38))</f>
        <v>0</v>
      </c>
      <c r="IJ31" s="34">
        <f>IF(AND(ISNUMBER(IK31),ISNUMBER(II31)),IK31-II31,"")</f>
        <v>0</v>
      </c>
      <c r="IK31" s="39">
        <f>IF(COUNT(IK32:IK38)=0,"",SUM(IK32:IK38))</f>
        <v>0</v>
      </c>
      <c r="IL31" s="34">
        <f>IF(AND(ISNUMBER(IM31),ISNUMBER(IK31)),IM31-IK31,"")</f>
        <v>0</v>
      </c>
      <c r="IM31" s="39">
        <f>IF(COUNT(IM32:IM38)=0,"",SUM(IM32:IM38))</f>
        <v>0</v>
      </c>
      <c r="IN31" s="34">
        <f>IF(AND(ISNUMBER(IO31),ISNUMBER(IM31)),IO31-IM31,"")</f>
        <v>0</v>
      </c>
      <c r="IO31" s="39">
        <f>IF(COUNT(IO32:IO38)=0,"",SUM(IO32:IO38))</f>
        <v>0</v>
      </c>
      <c r="IP31" s="34">
        <f>IF(AND(ISNUMBER(IQ31),ISNUMBER(IO31)),IQ31-IO31,"")</f>
        <v>0</v>
      </c>
      <c r="IQ31" s="39">
        <f>IF(COUNT(IQ32:IQ38)=0,"",SUM(IQ32:IQ38))</f>
        <v>0</v>
      </c>
      <c r="IR31" s="34">
        <f>IF(AND(ISNUMBER(IS31),ISNUMBER(IQ31)),IS31-IQ31,"")</f>
        <v>0</v>
      </c>
      <c r="IS31" s="39">
        <f>IF(COUNT(IS32:IS38)=0,"",SUM(IS32:IS38))</f>
        <v>0</v>
      </c>
      <c r="IT31" s="34">
        <f>IF(AND(ISNUMBER(IU31),ISNUMBER(IS31)),IU31-IS31,"")</f>
        <v>0</v>
      </c>
      <c r="IU31" s="39">
        <f>IF(COUNT(IU32:IU38)=0,"",SUM(IU32:IU38))</f>
        <v>0</v>
      </c>
      <c r="IV31" s="34">
        <f>IF(AND(ISNUMBER(IW31),ISNUMBER(IU31)),IW31-IU31,"")</f>
        <v>0</v>
      </c>
      <c r="IW31" s="39">
        <f>IF(COUNT(IW32:IW38)=0,"",SUM(IW32:IW38))</f>
        <v>0</v>
      </c>
      <c r="IX31" s="34">
        <f>IF(AND(ISNUMBER(IY31),ISNUMBER(IW31)),IY31-IW31,"")</f>
        <v>0</v>
      </c>
      <c r="IY31" s="39">
        <f>IF(COUNT(IY32:IY38)=0,"",SUM(IY32:IY38))</f>
        <v>0</v>
      </c>
      <c r="IZ31" s="34">
        <f>IF(AND(ISNUMBER(JA31),ISNUMBER(IY31)),JA31-IY31,"")</f>
        <v>0</v>
      </c>
      <c r="JA31" s="39">
        <f>IF(COUNT(JA32:JA38)=0,"",SUM(JA32:JA38))</f>
        <v>0</v>
      </c>
      <c r="JB31" s="34">
        <f>IF(AND(ISNUMBER(JC31),ISNUMBER(JA31)),JC31-JA31,"")</f>
        <v>0</v>
      </c>
      <c r="JC31" s="39">
        <f>IF(COUNT(JC32:JC38)=0,"",SUM(JC32:JC38))</f>
        <v>0</v>
      </c>
      <c r="JD31" s="34">
        <f>IF(AND(ISNUMBER(JE31),ISNUMBER(JC31)),JE31-JC31,"")</f>
        <v>0</v>
      </c>
      <c r="JE31" s="39">
        <f>IF(COUNT(JE32:JE38)=0,"",SUM(JE32:JE38))</f>
        <v>0</v>
      </c>
      <c r="JF31" s="34">
        <f>IF(AND(ISNUMBER(JG31),ISNUMBER(JE31)),JG31-JE31,"")</f>
        <v>0</v>
      </c>
      <c r="JG31" s="39">
        <f>IF(COUNT(JG32:JG38)=0,"",SUM(JG32:JG38))</f>
        <v>0</v>
      </c>
      <c r="JH31" s="34">
        <f>IF(AND(ISNUMBER(JI31),ISNUMBER(JG31)),JI31-JG31,"")</f>
        <v>0</v>
      </c>
      <c r="JI31" s="39">
        <f>IF(COUNT(JI32:JI38)=0,"",SUM(JI32:JI38))</f>
        <v>0</v>
      </c>
      <c r="JJ31" s="34">
        <f>IF(AND(ISNUMBER(JK31),ISNUMBER(JI31)),JK31-JI31,"")</f>
        <v>0</v>
      </c>
      <c r="JK31" s="39">
        <f>IF(COUNT(JK32:JK38)=0,"",SUM(JK32:JK38))</f>
        <v>0</v>
      </c>
      <c r="JL31" s="34">
        <f>IF(AND(ISNUMBER(JM31),ISNUMBER(JK31)),JM31-JK31,"")</f>
        <v>0</v>
      </c>
      <c r="JM31" s="39">
        <f>IF(COUNT(JM32:JM38)=0,"",SUM(JM32:JM38))</f>
        <v>0</v>
      </c>
      <c r="JN31" s="34">
        <f>IF(AND(ISNUMBER(JO31),ISNUMBER(JM31)),JO31-JM31,"")</f>
        <v>0</v>
      </c>
      <c r="JO31" s="39">
        <f>IF(COUNT(JO32:JO38)=0,"",SUM(JO32:JO38))</f>
        <v>0</v>
      </c>
      <c r="JP31" s="34">
        <f>IF(AND(ISNUMBER(JQ31),ISNUMBER(JO31)),JQ31-JO31,"")</f>
        <v>0</v>
      </c>
      <c r="JQ31" s="39">
        <f>IF(COUNT(JQ32:JQ38)=0,"",SUM(JQ32:JQ38))</f>
        <v>0</v>
      </c>
      <c r="JR31" s="34">
        <f>IF(AND(ISNUMBER(JS31),ISNUMBER(JQ31)),JS31-JQ31,"")</f>
        <v>0</v>
      </c>
      <c r="JS31" s="39">
        <f>IF(COUNT(JS32:JS38)=0,"",SUM(JS32:JS38))</f>
        <v>0</v>
      </c>
      <c r="JT31" s="34">
        <f>IF(AND(ISNUMBER(JU31),ISNUMBER(JS31)),JU31-JS31,"")</f>
        <v>0</v>
      </c>
      <c r="JU31" s="39">
        <f>IF(COUNT(JU32:JU38)=0,"",SUM(JU32:JU38))</f>
        <v>0</v>
      </c>
      <c r="JV31" s="34">
        <f>IF(AND(ISNUMBER(JW31),ISNUMBER(JU31)),JW31-JU31,"")</f>
        <v>0</v>
      </c>
      <c r="JW31" s="39">
        <f>IF(COUNT(JW32:JW38)=0,"",SUM(JW32:JW38))</f>
        <v>0</v>
      </c>
      <c r="JX31" s="34">
        <f>IF(AND(ISNUMBER(JY31),ISNUMBER(JW31)),JY31-JW31,"")</f>
        <v>0</v>
      </c>
      <c r="JY31" s="39">
        <f>IF(COUNT(JY32:JY38)=0,"",SUM(JY32:JY38))</f>
        <v>0</v>
      </c>
      <c r="JZ31" s="34">
        <f>IF(AND(ISNUMBER(KA31),ISNUMBER(JY31)),KA31-JY31,"")</f>
        <v>0</v>
      </c>
      <c r="KA31" s="39">
        <f>IF(COUNT(KA32:KA38)=0,"",SUM(KA32:KA38))</f>
        <v>0</v>
      </c>
      <c r="KB31" s="34">
        <f>IF(AND(ISNUMBER(KC31),ISNUMBER(KA31)),KC31-KA31,"")</f>
        <v>0</v>
      </c>
      <c r="KC31" s="39">
        <f>IF(COUNT(KC32:KC38)=0,"",SUM(KC32:KC38))</f>
        <v>0</v>
      </c>
      <c r="KD31" s="34">
        <f>IF(AND(ISNUMBER(KE31),ISNUMBER(KC31)),KE31-KC31,"")</f>
        <v>0</v>
      </c>
      <c r="KE31" s="39">
        <f>IF(COUNT(KE32:KE38)=0,"",SUM(KE32:KE38))</f>
        <v>0</v>
      </c>
      <c r="KF31" s="34">
        <f>IF(AND(ISNUMBER(KG31),ISNUMBER(KE31)),KG31-KE31,"")</f>
        <v>0</v>
      </c>
      <c r="KG31" s="39">
        <f>IF(COUNT(KG32:KG38)=0,"",SUM(KG32:KG38))</f>
        <v>0</v>
      </c>
      <c r="KH31" s="34">
        <f>IF(AND(ISNUMBER(KI31),ISNUMBER(KG31)),KI31-KG31,"")</f>
        <v>0</v>
      </c>
      <c r="KI31" s="39">
        <f>IF(COUNT(KI32:KI38)=0,"",SUM(KI32:KI38))</f>
        <v>0</v>
      </c>
      <c r="KJ31" s="34">
        <f>IF(AND(ISNUMBER(KK31),ISNUMBER(KI31)),KK31-KI31,"")</f>
        <v>0</v>
      </c>
      <c r="KK31" s="39">
        <f>IF(COUNT(KK32:KK38)=0,"",SUM(KK32:KK38))</f>
        <v>0</v>
      </c>
      <c r="KL31" s="34">
        <f>IF(AND(ISNUMBER(KM31),ISNUMBER(KK31)),KM31-KK31,"")</f>
        <v>0</v>
      </c>
      <c r="KM31" s="39">
        <f>IF(COUNT(KM32:KM38)=0,"",SUM(KM32:KM38))</f>
        <v>0</v>
      </c>
      <c r="KN31" s="34">
        <f>IF(AND(ISNUMBER(KO31),ISNUMBER(KM31)),KO31-KM31,"")</f>
        <v>0</v>
      </c>
      <c r="KO31" s="39">
        <f>IF(COUNT(KO32:KO38)=0,"",SUM(KO32:KO38))</f>
        <v>0</v>
      </c>
      <c r="KP31" s="34">
        <f>IF(AND(ISNUMBER(KQ31),ISNUMBER(KO31)),KQ31-KO31,"")</f>
        <v>0</v>
      </c>
      <c r="KQ31" s="39">
        <f>IF(COUNT(KQ32:KQ38)=0,"",SUM(KQ32:KQ38))</f>
        <v>0</v>
      </c>
      <c r="KR31" s="34">
        <f>IF(AND(ISNUMBER(KS31),ISNUMBER(KQ31)),KS31-KQ31,"")</f>
        <v>0</v>
      </c>
      <c r="KS31" s="39">
        <f>IF(COUNT(KS32:KS38)=0,"",SUM(KS32:KS38))</f>
        <v>0</v>
      </c>
      <c r="KT31" s="34">
        <f>IF(AND(ISNUMBER(KU31),ISNUMBER(KS31)),KU31-KS31,"")</f>
        <v>0</v>
      </c>
      <c r="KU31" s="39">
        <f>IF(COUNT(KU32:KU38)=0,"",SUM(KU32:KU38))</f>
        <v>0</v>
      </c>
      <c r="KV31" s="34">
        <f>IF(AND(ISNUMBER(KW31),ISNUMBER(KU31)),KW31-KU31,"")</f>
        <v>0</v>
      </c>
      <c r="KW31" s="39">
        <f>IF(COUNT(KW32:KW38)=0,"",SUM(KW32:KW38))</f>
        <v>0</v>
      </c>
      <c r="KX31" s="34">
        <f>IF(AND(ISNUMBER(KY31),ISNUMBER(KW31)),KY31-KW31,"")</f>
        <v>0</v>
      </c>
      <c r="KY31" s="39">
        <f>IF(COUNT(KY32:KY38)=0,"",SUM(KY32:KY38))</f>
        <v>0</v>
      </c>
      <c r="KZ31" s="34">
        <f>IF(AND(ISNUMBER(LA31),ISNUMBER(KY31)),LA31-KY31,"")</f>
        <v>0</v>
      </c>
      <c r="LA31" s="39">
        <f>IF(COUNT(LA32:LA38)=0,"",SUM(LA32:LA38))</f>
        <v>0</v>
      </c>
      <c r="LB31" s="34">
        <f>IF(AND(ISNUMBER(LC31),ISNUMBER(LA31)),LC31-LA31,"")</f>
        <v>0</v>
      </c>
      <c r="LC31" s="39">
        <f>IF(COUNT(LC32:LC38)=0,"",SUM(LC32:LC38))</f>
        <v>0</v>
      </c>
      <c r="LD31" s="34">
        <f>IF(AND(ISNUMBER(LE31),ISNUMBER(LC31)),LE31-LC31,"")</f>
        <v>0</v>
      </c>
      <c r="LE31" s="39">
        <f>IF(COUNT(LE32:LE38)=0,"",SUM(LE32:LE38))</f>
        <v>0</v>
      </c>
      <c r="LF31" s="34">
        <f>IF(AND(ISNUMBER(LG31),ISNUMBER(LE31)),LG31-LE31,"")</f>
        <v>0</v>
      </c>
      <c r="LG31" s="39">
        <f>IF(COUNT(LG32:LG38)=0,"",SUM(LG32:LG38))</f>
        <v>0</v>
      </c>
      <c r="LJ31" s="35" t="s">
        <v>1086</v>
      </c>
    </row>
    <row r="32" spans="1:322" hidden="1" outlineLevel="1">
      <c r="B32" s="23"/>
      <c r="D32" s="31" t="s">
        <v>710</v>
      </c>
      <c r="E32" s="32" t="s">
        <v>1083</v>
      </c>
      <c r="F32" s="38" t="s">
        <v>1093</v>
      </c>
      <c r="I32" s="40" t="s">
        <v>1088</v>
      </c>
      <c r="J32" s="34">
        <f>IF(AND(ISNUMBER(K32),ISNUMBER(I32)),K32-I32,"")</f>
        <v>0</v>
      </c>
      <c r="K32" s="40" t="s">
        <v>1088</v>
      </c>
      <c r="L32" s="34">
        <f>IF(AND(ISNUMBER(M32),ISNUMBER(K32)),M32-K32,"")</f>
        <v>0</v>
      </c>
      <c r="M32" s="33">
        <v>22</v>
      </c>
      <c r="N32" s="34">
        <f>IF(AND(ISNUMBER(O32),ISNUMBER(M32)),O32-M32,"")</f>
        <v>0</v>
      </c>
      <c r="O32" s="33">
        <v>13</v>
      </c>
      <c r="P32" s="34">
        <f>IF(AND(ISNUMBER(Q32),ISNUMBER(O32)),Q32-O32,"")</f>
        <v>0</v>
      </c>
      <c r="Q32" s="33">
        <v>5</v>
      </c>
      <c r="R32" s="34">
        <f>IF(AND(ISNUMBER(S32),ISNUMBER(Q32)),S32-Q32,"")</f>
        <v>0</v>
      </c>
      <c r="S32" s="33">
        <v>30</v>
      </c>
      <c r="T32" s="34">
        <f>IF(AND(ISNUMBER(U32),ISNUMBER(S32)),U32-S32,"")</f>
        <v>0</v>
      </c>
      <c r="U32" s="33">
        <v>7</v>
      </c>
      <c r="V32" s="34">
        <f>IF(AND(ISNUMBER(W32),ISNUMBER(U32)),W32-U32,"")</f>
        <v>0</v>
      </c>
      <c r="W32" s="33">
        <v>12</v>
      </c>
      <c r="X32" s="34">
        <f>IF(AND(ISNUMBER(Y32),ISNUMBER(W32)),Y32-W32,"")</f>
        <v>0</v>
      </c>
      <c r="Y32" s="40" t="s">
        <v>1088</v>
      </c>
      <c r="Z32" s="34">
        <f>IF(AND(ISNUMBER(AA32),ISNUMBER(Y32)),AA32-Y32,"")</f>
        <v>0</v>
      </c>
      <c r="AA32" s="40" t="s">
        <v>1088</v>
      </c>
      <c r="AB32" s="34">
        <f>IF(AND(ISNUMBER(AC32),ISNUMBER(AA32)),AC32-AA32,"")</f>
        <v>0</v>
      </c>
      <c r="AC32" s="40" t="s">
        <v>1088</v>
      </c>
      <c r="AD32" s="34">
        <f>IF(AND(ISNUMBER(AE32),ISNUMBER(AC32)),AE32-AC32,"")</f>
        <v>0</v>
      </c>
      <c r="AE32" s="40" t="s">
        <v>1088</v>
      </c>
      <c r="AF32" s="34">
        <f>IF(AND(ISNUMBER(AG32),ISNUMBER(AE32)),AG32-AE32,"")</f>
        <v>0</v>
      </c>
      <c r="AG32" s="40" t="s">
        <v>1088</v>
      </c>
      <c r="AH32" s="34">
        <f>IF(AND(ISNUMBER(AI32),ISNUMBER(AG32)),AI32-AG32,"")</f>
        <v>0</v>
      </c>
      <c r="AI32" s="40" t="s">
        <v>1088</v>
      </c>
      <c r="AJ32" s="34">
        <f>IF(AND(ISNUMBER(AK32),ISNUMBER(AI32)),AK32-AI32,"")</f>
        <v>0</v>
      </c>
      <c r="AK32" s="33">
        <v>0</v>
      </c>
      <c r="AL32" s="34">
        <f>IF(AND(ISNUMBER(AM32),ISNUMBER(AK32)),AM32-AK32,"")</f>
        <v>0</v>
      </c>
      <c r="AM32" s="40" t="s">
        <v>1088</v>
      </c>
      <c r="AN32" s="34">
        <f>IF(AND(ISNUMBER(AO32),ISNUMBER(AM32)),AO32-AM32,"")</f>
        <v>0</v>
      </c>
      <c r="AO32" s="40" t="s">
        <v>1088</v>
      </c>
      <c r="AP32" s="34">
        <f>IF(AND(ISNUMBER(AQ32),ISNUMBER(AO32)),AQ32-AO32,"")</f>
        <v>0</v>
      </c>
      <c r="AQ32" s="40" t="s">
        <v>1088</v>
      </c>
      <c r="AR32" s="34">
        <f>IF(AND(ISNUMBER(AS32),ISNUMBER(AQ32)),AS32-AQ32,"")</f>
        <v>0</v>
      </c>
      <c r="AS32" s="33">
        <v>6</v>
      </c>
      <c r="AT32" s="34">
        <f>IF(AND(ISNUMBER(AU32),ISNUMBER(AS32)),AU32-AS32,"")</f>
        <v>0</v>
      </c>
      <c r="AU32" s="33">
        <v>12</v>
      </c>
      <c r="AV32" s="34">
        <f>IF(AND(ISNUMBER(AW32),ISNUMBER(AU32)),AW32-AU32,"")</f>
        <v>0</v>
      </c>
      <c r="AW32" s="33">
        <v>8</v>
      </c>
      <c r="AX32" s="34">
        <f>IF(AND(ISNUMBER(AY32),ISNUMBER(AW32)),AY32-AW32,"")</f>
        <v>0</v>
      </c>
      <c r="AY32" s="33">
        <v>0</v>
      </c>
      <c r="AZ32" s="34">
        <f>IF(AND(ISNUMBER(BA32),ISNUMBER(AY32)),BA32-AY32,"")</f>
        <v>0</v>
      </c>
      <c r="BA32" s="33">
        <v>2</v>
      </c>
      <c r="BB32" s="34">
        <f>IF(AND(ISNUMBER(BC32),ISNUMBER(BA32)),BC32-BA32,"")</f>
        <v>0</v>
      </c>
      <c r="BC32" s="33">
        <v>6</v>
      </c>
      <c r="BD32" s="34">
        <f>IF(AND(ISNUMBER(BE32),ISNUMBER(BC32)),BE32-BC32,"")</f>
        <v>0</v>
      </c>
      <c r="BE32" s="33">
        <v>20</v>
      </c>
      <c r="BF32" s="34">
        <f>IF(AND(ISNUMBER(BG32),ISNUMBER(BE32)),BG32-BE32,"")</f>
        <v>0</v>
      </c>
      <c r="BG32" s="33">
        <v>0</v>
      </c>
      <c r="BH32" s="34">
        <f>IF(AND(ISNUMBER(BI32),ISNUMBER(BG32)),BI32-BG32,"")</f>
        <v>0</v>
      </c>
      <c r="BI32" s="33">
        <v>1</v>
      </c>
      <c r="BJ32" s="34">
        <f>IF(AND(ISNUMBER(BK32),ISNUMBER(BI32)),BK32-BI32,"")</f>
        <v>0</v>
      </c>
      <c r="BK32" s="33">
        <v>0</v>
      </c>
      <c r="BL32" s="34">
        <f>IF(AND(ISNUMBER(BM32),ISNUMBER(BK32)),BM32-BK32,"")</f>
        <v>0</v>
      </c>
      <c r="BM32" s="33">
        <v>0</v>
      </c>
      <c r="BN32" s="34">
        <f>IF(AND(ISNUMBER(BO32),ISNUMBER(BM32)),BO32-BM32,"")</f>
        <v>0</v>
      </c>
      <c r="BO32" s="33">
        <v>1</v>
      </c>
      <c r="BP32" s="34">
        <f>IF(AND(ISNUMBER(BQ32),ISNUMBER(BO32)),BQ32-BO32,"")</f>
        <v>0</v>
      </c>
      <c r="BQ32" s="33">
        <v>0</v>
      </c>
      <c r="BR32" s="34">
        <f>IF(AND(ISNUMBER(BS32),ISNUMBER(BQ32)),BS32-BQ32,"")</f>
        <v>0</v>
      </c>
      <c r="BS32" s="33">
        <v>0</v>
      </c>
      <c r="BT32" s="34">
        <f>IF(AND(ISNUMBER(BU32),ISNUMBER(BS32)),BU32-BS32,"")</f>
        <v>0</v>
      </c>
      <c r="BU32" s="33">
        <v>0</v>
      </c>
      <c r="BV32" s="34">
        <f>IF(AND(ISNUMBER(BW32),ISNUMBER(BU32)),BW32-BU32,"")</f>
        <v>0</v>
      </c>
      <c r="BW32" s="33">
        <v>3</v>
      </c>
      <c r="BX32" s="34">
        <f>IF(AND(ISNUMBER(BY32),ISNUMBER(BW32)),BY32-BW32,"")</f>
        <v>0</v>
      </c>
      <c r="BY32" s="33">
        <v>3</v>
      </c>
      <c r="BZ32" s="34">
        <f>IF(AND(ISNUMBER(CA32),ISNUMBER(BY32)),CA32-BY32,"")</f>
        <v>0</v>
      </c>
      <c r="CA32" s="33">
        <v>0</v>
      </c>
      <c r="CB32" s="34">
        <f>IF(AND(ISNUMBER(CC32),ISNUMBER(CA32)),CC32-CA32,"")</f>
        <v>0</v>
      </c>
      <c r="CC32" s="33">
        <v>0</v>
      </c>
      <c r="CD32" s="34">
        <f>IF(AND(ISNUMBER(CE32),ISNUMBER(CC32)),CE32-CC32,"")</f>
        <v>0</v>
      </c>
      <c r="CE32" s="33">
        <v>0</v>
      </c>
      <c r="CF32" s="34">
        <f>IF(AND(ISNUMBER(CG32),ISNUMBER(CE32)),CG32-CE32,"")</f>
        <v>0</v>
      </c>
      <c r="CG32" s="33">
        <v>0</v>
      </c>
      <c r="CH32" s="34">
        <f>IF(AND(ISNUMBER(CI32),ISNUMBER(CG32)),CI32-CG32,"")</f>
        <v>0</v>
      </c>
      <c r="CI32" s="33">
        <v>0</v>
      </c>
      <c r="CJ32" s="34">
        <f>IF(AND(ISNUMBER(CK32),ISNUMBER(CI32)),CK32-CI32,"")</f>
        <v>0</v>
      </c>
      <c r="CK32" s="33">
        <v>2</v>
      </c>
      <c r="CL32" s="34">
        <f>IF(AND(ISNUMBER(CM32),ISNUMBER(CK32)),CM32-CK32,"")</f>
        <v>0</v>
      </c>
      <c r="CM32" s="33">
        <v>1</v>
      </c>
      <c r="CN32" s="34">
        <f>IF(AND(ISNUMBER(CO32),ISNUMBER(CM32)),CO32-CM32,"")</f>
        <v>0</v>
      </c>
      <c r="CO32" s="33">
        <v>0</v>
      </c>
      <c r="CP32" s="34">
        <f>IF(AND(ISNUMBER(CQ32),ISNUMBER(CO32)),CQ32-CO32,"")</f>
        <v>0</v>
      </c>
      <c r="CQ32" s="33">
        <v>0</v>
      </c>
      <c r="CR32" s="34">
        <f>IF(AND(ISNUMBER(CS32),ISNUMBER(CQ32)),CS32-CQ32,"")</f>
        <v>0</v>
      </c>
      <c r="CS32" s="33">
        <v>0</v>
      </c>
      <c r="CT32" s="34">
        <f>IF(AND(ISNUMBER(CU32),ISNUMBER(CS32)),CU32-CS32,"")</f>
        <v>0</v>
      </c>
      <c r="CU32" s="33">
        <v>0</v>
      </c>
      <c r="CV32" s="34">
        <f>IF(AND(ISNUMBER(CW32),ISNUMBER(CU32)),CW32-CU32,"")</f>
        <v>0</v>
      </c>
      <c r="CW32" s="33">
        <v>0</v>
      </c>
      <c r="CX32" s="34">
        <f>IF(AND(ISNUMBER(CY32),ISNUMBER(CW32)),CY32-CW32,"")</f>
        <v>0</v>
      </c>
      <c r="CY32" s="33">
        <v>3</v>
      </c>
      <c r="CZ32" s="34">
        <f>IF(AND(ISNUMBER(DA32),ISNUMBER(CY32)),DA32-CY32,"")</f>
        <v>0</v>
      </c>
      <c r="DA32" s="33">
        <v>3</v>
      </c>
      <c r="DB32" s="34">
        <f>IF(AND(ISNUMBER(DC32),ISNUMBER(DA32)),DC32-DA32,"")</f>
        <v>0</v>
      </c>
      <c r="DC32" s="33">
        <v>1</v>
      </c>
      <c r="DD32" s="34">
        <f>IF(AND(ISNUMBER(DE32),ISNUMBER(DC32)),DE32-DC32,"")</f>
        <v>0</v>
      </c>
      <c r="DE32" s="33"/>
      <c r="DF32" s="34">
        <f>IF(AND(ISNUMBER(DG32),ISNUMBER(DE32)),DG32-DE32,"")</f>
        <v>0</v>
      </c>
      <c r="DG32" s="33">
        <v>1</v>
      </c>
      <c r="DH32" s="34">
        <f>IF(AND(ISNUMBER(DI32),ISNUMBER(DG32)),DI32-DG32,"")</f>
        <v>0</v>
      </c>
      <c r="DI32" s="33">
        <v>0</v>
      </c>
      <c r="DJ32" s="34">
        <f>IF(AND(ISNUMBER(DK32),ISNUMBER(DI32)),DK32-DI32,"")</f>
        <v>0</v>
      </c>
      <c r="DK32" s="33">
        <v>0</v>
      </c>
      <c r="DL32" s="34">
        <f>IF(AND(ISNUMBER(DM32),ISNUMBER(DK32)),DM32-DK32,"")</f>
        <v>0</v>
      </c>
      <c r="DM32" s="33">
        <v>0</v>
      </c>
      <c r="DN32" s="34">
        <f>IF(AND(ISNUMBER(DO32),ISNUMBER(DM32)),DO32-DM32,"")</f>
        <v>0</v>
      </c>
      <c r="DO32" s="33"/>
      <c r="DP32" s="34">
        <f>IF(AND(ISNUMBER(DQ32),ISNUMBER(DO32)),DQ32-DO32,"")</f>
        <v>0</v>
      </c>
      <c r="DQ32" s="33">
        <v>0</v>
      </c>
      <c r="DR32" s="34">
        <f>IF(AND(ISNUMBER(DS32),ISNUMBER(DQ32)),DS32-DQ32,"")</f>
        <v>0</v>
      </c>
      <c r="DS32" s="33">
        <v>1</v>
      </c>
      <c r="DT32" s="34">
        <f>IF(AND(ISNUMBER(DU32),ISNUMBER(DS32)),DU32-DS32,"")</f>
        <v>0</v>
      </c>
      <c r="DU32" s="33">
        <v>1</v>
      </c>
      <c r="DV32" s="34">
        <f>IF(AND(ISNUMBER(DW32),ISNUMBER(DU32)),DW32-DU32,"")</f>
        <v>0</v>
      </c>
      <c r="DW32" s="33">
        <v>0</v>
      </c>
      <c r="DX32" s="34">
        <f>IF(AND(ISNUMBER(DY32),ISNUMBER(DW32)),DY32-DW32,"")</f>
        <v>0</v>
      </c>
      <c r="DY32" s="33">
        <v>1</v>
      </c>
      <c r="DZ32" s="34">
        <f>IF(AND(ISNUMBER(EA32),ISNUMBER(DY32)),EA32-DY32,"")</f>
        <v>0</v>
      </c>
      <c r="EA32" s="33">
        <v>0</v>
      </c>
      <c r="EB32" s="34">
        <f>IF(AND(ISNUMBER(EC32),ISNUMBER(EA32)),EC32-EA32,"")</f>
        <v>0</v>
      </c>
      <c r="EC32" s="33"/>
      <c r="ED32" s="34">
        <f>IF(AND(ISNUMBER(EE32),ISNUMBER(EC32)),EE32-EC32,"")</f>
        <v>0</v>
      </c>
      <c r="EE32" s="33">
        <v>4</v>
      </c>
      <c r="EF32" s="34">
        <f>IF(AND(ISNUMBER(EG32),ISNUMBER(EE32)),EG32-EE32,"")</f>
        <v>0</v>
      </c>
      <c r="EG32" s="33">
        <v>0</v>
      </c>
      <c r="EH32" s="34">
        <f>IF(AND(ISNUMBER(EI32),ISNUMBER(EG32)),EI32-EG32,"")</f>
        <v>0</v>
      </c>
      <c r="EI32" s="33">
        <v>12</v>
      </c>
      <c r="EJ32" s="34">
        <f>IF(AND(ISNUMBER(EK32),ISNUMBER(EI32)),EK32-EI32,"")</f>
        <v>0</v>
      </c>
      <c r="EK32" s="33">
        <v>1</v>
      </c>
      <c r="EL32" s="34">
        <f>IF(AND(ISNUMBER(EM32),ISNUMBER(EK32)),EM32-EK32,"")</f>
        <v>0</v>
      </c>
      <c r="EM32" s="33">
        <v>2</v>
      </c>
      <c r="EN32" s="34">
        <f>IF(AND(ISNUMBER(EO32),ISNUMBER(EM32)),EO32-EM32,"")</f>
        <v>0</v>
      </c>
      <c r="EO32" s="33">
        <v>10</v>
      </c>
      <c r="EP32" s="34">
        <f>IF(AND(ISNUMBER(EQ32),ISNUMBER(EO32)),EQ32-EO32,"")</f>
        <v>0</v>
      </c>
      <c r="EQ32" s="33"/>
      <c r="ER32" s="34">
        <f>IF(AND(ISNUMBER(ES32),ISNUMBER(EQ32)),ES32-EQ32,"")</f>
        <v>0</v>
      </c>
      <c r="ES32" s="33">
        <v>2</v>
      </c>
      <c r="ET32" s="34">
        <f>IF(AND(ISNUMBER(EU32),ISNUMBER(ES32)),EU32-ES32,"")</f>
        <v>0</v>
      </c>
      <c r="EU32" s="33"/>
      <c r="EV32" s="34">
        <f>IF(AND(ISNUMBER(EW32),ISNUMBER(EU32)),EW32-EU32,"")</f>
        <v>0</v>
      </c>
      <c r="EW32" s="33">
        <v>2</v>
      </c>
      <c r="EX32" s="34">
        <f>IF(AND(ISNUMBER(EY32),ISNUMBER(EW32)),EY32-EW32,"")</f>
        <v>0</v>
      </c>
      <c r="EY32" s="33">
        <v>0</v>
      </c>
      <c r="EZ32" s="34">
        <f>IF(AND(ISNUMBER(FA32),ISNUMBER(EY32)),FA32-EY32,"")</f>
        <v>0</v>
      </c>
      <c r="FA32" s="33">
        <v>1</v>
      </c>
      <c r="FB32" s="34">
        <f>IF(AND(ISNUMBER(FC32),ISNUMBER(FA32)),FC32-FA32,"")</f>
        <v>0</v>
      </c>
      <c r="FC32" s="33"/>
      <c r="FD32" s="34">
        <f>IF(AND(ISNUMBER(FE32),ISNUMBER(FC32)),FE32-FC32,"")</f>
        <v>0</v>
      </c>
      <c r="FE32" s="33"/>
      <c r="FF32" s="34">
        <f>IF(AND(ISNUMBER(FG32),ISNUMBER(FE32)),FG32-FE32,"")</f>
        <v>0</v>
      </c>
      <c r="FG32" s="33"/>
      <c r="FH32" s="34">
        <f>IF(AND(ISNUMBER(FI32),ISNUMBER(FG32)),FI32-FG32,"")</f>
        <v>0</v>
      </c>
      <c r="FI32" s="33"/>
      <c r="FJ32" s="34">
        <f>IF(AND(ISNUMBER(FK32),ISNUMBER(FI32)),FK32-FI32,"")</f>
        <v>0</v>
      </c>
      <c r="FK32" s="33"/>
      <c r="FL32" s="34">
        <f>IF(AND(ISNUMBER(FM32),ISNUMBER(FK32)),FM32-FK32,"")</f>
        <v>0</v>
      </c>
      <c r="FM32" s="33"/>
      <c r="FN32" s="34">
        <f>IF(AND(ISNUMBER(FO32),ISNUMBER(FM32)),FO32-FM32,"")</f>
        <v>0</v>
      </c>
      <c r="FO32" s="33"/>
      <c r="FP32" s="34">
        <f>IF(AND(ISNUMBER(FQ32),ISNUMBER(FO32)),FQ32-FO32,"")</f>
        <v>0</v>
      </c>
      <c r="FQ32" s="33"/>
      <c r="FR32" s="34">
        <f>IF(AND(ISNUMBER(FS32),ISNUMBER(FQ32)),FS32-FQ32,"")</f>
        <v>0</v>
      </c>
      <c r="FS32" s="33"/>
      <c r="FT32" s="34">
        <f>IF(AND(ISNUMBER(FU32),ISNUMBER(FS32)),FU32-FS32,"")</f>
        <v>0</v>
      </c>
      <c r="FU32" s="33"/>
      <c r="FV32" s="34">
        <f>IF(AND(ISNUMBER(FW32),ISNUMBER(FU32)),FW32-FU32,"")</f>
        <v>0</v>
      </c>
      <c r="FW32" s="33"/>
      <c r="FX32" s="34">
        <f>IF(AND(ISNUMBER(FY32),ISNUMBER(FW32)),FY32-FW32,"")</f>
        <v>0</v>
      </c>
      <c r="FY32" s="33"/>
      <c r="FZ32" s="34">
        <f>IF(AND(ISNUMBER(GA32),ISNUMBER(FY32)),GA32-FY32,"")</f>
        <v>0</v>
      </c>
      <c r="GA32" s="33"/>
      <c r="GB32" s="34">
        <f>IF(AND(ISNUMBER(GC32),ISNUMBER(GA32)),GC32-GA32,"")</f>
        <v>0</v>
      </c>
      <c r="GC32" s="33"/>
      <c r="GD32" s="34">
        <f>IF(AND(ISNUMBER(GE32),ISNUMBER(GC32)),GE32-GC32,"")</f>
        <v>0</v>
      </c>
      <c r="GE32" s="33"/>
      <c r="GF32" s="34">
        <f>IF(AND(ISNUMBER(GG32),ISNUMBER(GE32)),GG32-GE32,"")</f>
        <v>0</v>
      </c>
      <c r="GG32" s="33"/>
      <c r="GH32" s="34">
        <f>IF(AND(ISNUMBER(GI32),ISNUMBER(GG32)),GI32-GG32,"")</f>
        <v>0</v>
      </c>
      <c r="GI32" s="33"/>
      <c r="GJ32" s="34">
        <f>IF(AND(ISNUMBER(GK32),ISNUMBER(GI32)),GK32-GI32,"")</f>
        <v>0</v>
      </c>
      <c r="GK32" s="33"/>
      <c r="GL32" s="34">
        <f>IF(AND(ISNUMBER(GM32),ISNUMBER(GK32)),GM32-GK32,"")</f>
        <v>0</v>
      </c>
      <c r="GM32" s="33"/>
      <c r="GN32" s="34">
        <f>IF(AND(ISNUMBER(GO32),ISNUMBER(GM32)),GO32-GM32,"")</f>
        <v>0</v>
      </c>
      <c r="GO32" s="33"/>
      <c r="GP32" s="34">
        <f>IF(AND(ISNUMBER(GQ32),ISNUMBER(GO32)),GQ32-GO32,"")</f>
        <v>0</v>
      </c>
      <c r="GQ32" s="33"/>
      <c r="GR32" s="34">
        <f>IF(AND(ISNUMBER(GS32),ISNUMBER(GQ32)),GS32-GQ32,"")</f>
        <v>0</v>
      </c>
      <c r="GS32" s="33"/>
      <c r="GT32" s="34">
        <f>IF(AND(ISNUMBER(GU32),ISNUMBER(GS32)),GU32-GS32,"")</f>
        <v>0</v>
      </c>
      <c r="GU32" s="33"/>
      <c r="GV32" s="34">
        <f>IF(AND(ISNUMBER(GW32),ISNUMBER(GU32)),GW32-GU32,"")</f>
        <v>0</v>
      </c>
      <c r="GW32" s="33"/>
      <c r="GX32" s="34">
        <f>IF(AND(ISNUMBER(GY32),ISNUMBER(GW32)),GY32-GW32,"")</f>
        <v>0</v>
      </c>
      <c r="GY32" s="33"/>
      <c r="GZ32" s="34">
        <f>IF(AND(ISNUMBER(HA32),ISNUMBER(GY32)),HA32-GY32,"")</f>
        <v>0</v>
      </c>
      <c r="HA32" s="33"/>
      <c r="HB32" s="34">
        <f>IF(AND(ISNUMBER(HC32),ISNUMBER(HA32)),HC32-HA32,"")</f>
        <v>0</v>
      </c>
      <c r="HC32" s="33"/>
      <c r="HD32" s="34">
        <f>IF(AND(ISNUMBER(HE32),ISNUMBER(HC32)),HE32-HC32,"")</f>
        <v>0</v>
      </c>
      <c r="HE32" s="33"/>
      <c r="HF32" s="34">
        <f>IF(AND(ISNUMBER(HG32),ISNUMBER(HE32)),HG32-HE32,"")</f>
        <v>0</v>
      </c>
      <c r="HG32" s="33"/>
      <c r="HH32" s="34">
        <f>IF(AND(ISNUMBER(HI32),ISNUMBER(HG32)),HI32-HG32,"")</f>
        <v>0</v>
      </c>
      <c r="HI32" s="33"/>
      <c r="HJ32" s="34">
        <f>IF(AND(ISNUMBER(HK32),ISNUMBER(HI32)),HK32-HI32,"")</f>
        <v>0</v>
      </c>
      <c r="HK32" s="33"/>
      <c r="HL32" s="34">
        <f>IF(AND(ISNUMBER(HM32),ISNUMBER(HK32)),HM32-HK32,"")</f>
        <v>0</v>
      </c>
      <c r="HM32" s="33"/>
      <c r="HN32" s="34">
        <f>IF(AND(ISNUMBER(HO32),ISNUMBER(HM32)),HO32-HM32,"")</f>
        <v>0</v>
      </c>
      <c r="HO32" s="33"/>
      <c r="HP32" s="34">
        <f>IF(AND(ISNUMBER(HQ32),ISNUMBER(HO32)),HQ32-HO32,"")</f>
        <v>0</v>
      </c>
      <c r="HQ32" s="33"/>
      <c r="HR32" s="34">
        <f>IF(AND(ISNUMBER(HS32),ISNUMBER(HQ32)),HS32-HQ32,"")</f>
        <v>0</v>
      </c>
      <c r="HS32" s="33"/>
      <c r="HT32" s="34">
        <f>IF(AND(ISNUMBER(HU32),ISNUMBER(HS32)),HU32-HS32,"")</f>
        <v>0</v>
      </c>
      <c r="HU32" s="33"/>
      <c r="HV32" s="34">
        <f>IF(AND(ISNUMBER(HW32),ISNUMBER(HU32)),HW32-HU32,"")</f>
        <v>0</v>
      </c>
      <c r="HW32" s="33"/>
      <c r="HX32" s="34">
        <f>IF(AND(ISNUMBER(HY32),ISNUMBER(HW32)),HY32-HW32,"")</f>
        <v>0</v>
      </c>
      <c r="HY32" s="33"/>
      <c r="HZ32" s="34">
        <f>IF(AND(ISNUMBER(IA32),ISNUMBER(HY32)),IA32-HY32,"")</f>
        <v>0</v>
      </c>
      <c r="IA32" s="33"/>
      <c r="IB32" s="34">
        <f>IF(AND(ISNUMBER(IC32),ISNUMBER(IA32)),IC32-IA32,"")</f>
        <v>0</v>
      </c>
      <c r="IC32" s="33"/>
      <c r="ID32" s="34">
        <f>IF(AND(ISNUMBER(IE32),ISNUMBER(IC32)),IE32-IC32,"")</f>
        <v>0</v>
      </c>
      <c r="IE32" s="33"/>
      <c r="IF32" s="34">
        <f>IF(AND(ISNUMBER(IG32),ISNUMBER(IE32)),IG32-IE32,"")</f>
        <v>0</v>
      </c>
      <c r="IG32" s="33"/>
      <c r="IH32" s="34">
        <f>IF(AND(ISNUMBER(II32),ISNUMBER(IG32)),II32-IG32,"")</f>
        <v>0</v>
      </c>
      <c r="II32" s="33"/>
      <c r="IJ32" s="34">
        <f>IF(AND(ISNUMBER(IK32),ISNUMBER(II32)),IK32-II32,"")</f>
        <v>0</v>
      </c>
      <c r="IK32" s="33"/>
      <c r="IL32" s="34">
        <f>IF(AND(ISNUMBER(IM32),ISNUMBER(IK32)),IM32-IK32,"")</f>
        <v>0</v>
      </c>
      <c r="IM32" s="33"/>
      <c r="IN32" s="34">
        <f>IF(AND(ISNUMBER(IO32),ISNUMBER(IM32)),IO32-IM32,"")</f>
        <v>0</v>
      </c>
      <c r="IO32" s="33"/>
      <c r="IP32" s="34">
        <f>IF(AND(ISNUMBER(IQ32),ISNUMBER(IO32)),IQ32-IO32,"")</f>
        <v>0</v>
      </c>
      <c r="IQ32" s="33"/>
      <c r="IR32" s="34">
        <f>IF(AND(ISNUMBER(IS32),ISNUMBER(IQ32)),IS32-IQ32,"")</f>
        <v>0</v>
      </c>
      <c r="IS32" s="33"/>
      <c r="IT32" s="34">
        <f>IF(AND(ISNUMBER(IU32),ISNUMBER(IS32)),IU32-IS32,"")</f>
        <v>0</v>
      </c>
      <c r="IU32" s="33"/>
      <c r="IV32" s="34">
        <f>IF(AND(ISNUMBER(IW32),ISNUMBER(IU32)),IW32-IU32,"")</f>
        <v>0</v>
      </c>
      <c r="IW32" s="33"/>
      <c r="IX32" s="34">
        <f>IF(AND(ISNUMBER(IY32),ISNUMBER(IW32)),IY32-IW32,"")</f>
        <v>0</v>
      </c>
      <c r="IY32" s="33"/>
      <c r="IZ32" s="34">
        <f>IF(AND(ISNUMBER(JA32),ISNUMBER(IY32)),JA32-IY32,"")</f>
        <v>0</v>
      </c>
      <c r="JA32" s="33"/>
      <c r="JB32" s="34">
        <f>IF(AND(ISNUMBER(JC32),ISNUMBER(JA32)),JC32-JA32,"")</f>
        <v>0</v>
      </c>
      <c r="JC32" s="33"/>
      <c r="JD32" s="34">
        <f>IF(AND(ISNUMBER(JE32),ISNUMBER(JC32)),JE32-JC32,"")</f>
        <v>0</v>
      </c>
      <c r="JE32" s="33"/>
      <c r="JF32" s="34">
        <f>IF(AND(ISNUMBER(JG32),ISNUMBER(JE32)),JG32-JE32,"")</f>
        <v>0</v>
      </c>
      <c r="JG32" s="33"/>
      <c r="JH32" s="34">
        <f>IF(AND(ISNUMBER(JI32),ISNUMBER(JG32)),JI32-JG32,"")</f>
        <v>0</v>
      </c>
      <c r="JI32" s="33"/>
      <c r="JJ32" s="34">
        <f>IF(AND(ISNUMBER(JK32),ISNUMBER(JI32)),JK32-JI32,"")</f>
        <v>0</v>
      </c>
      <c r="JK32" s="33"/>
      <c r="JL32" s="34">
        <f>IF(AND(ISNUMBER(JM32),ISNUMBER(JK32)),JM32-JK32,"")</f>
        <v>0</v>
      </c>
      <c r="JM32" s="33"/>
      <c r="JN32" s="34">
        <f>IF(AND(ISNUMBER(JO32),ISNUMBER(JM32)),JO32-JM32,"")</f>
        <v>0</v>
      </c>
      <c r="JO32" s="33"/>
      <c r="JP32" s="34">
        <f>IF(AND(ISNUMBER(JQ32),ISNUMBER(JO32)),JQ32-JO32,"")</f>
        <v>0</v>
      </c>
      <c r="JQ32" s="33"/>
      <c r="JR32" s="34">
        <f>IF(AND(ISNUMBER(JS32),ISNUMBER(JQ32)),JS32-JQ32,"")</f>
        <v>0</v>
      </c>
      <c r="JS32" s="33"/>
      <c r="JT32" s="34">
        <f>IF(AND(ISNUMBER(JU32),ISNUMBER(JS32)),JU32-JS32,"")</f>
        <v>0</v>
      </c>
      <c r="JU32" s="33"/>
      <c r="JV32" s="34">
        <f>IF(AND(ISNUMBER(JW32),ISNUMBER(JU32)),JW32-JU32,"")</f>
        <v>0</v>
      </c>
      <c r="JW32" s="33"/>
      <c r="JX32" s="34">
        <f>IF(AND(ISNUMBER(JY32),ISNUMBER(JW32)),JY32-JW32,"")</f>
        <v>0</v>
      </c>
      <c r="JY32" s="33"/>
      <c r="JZ32" s="34">
        <f>IF(AND(ISNUMBER(KA32),ISNUMBER(JY32)),KA32-JY32,"")</f>
        <v>0</v>
      </c>
      <c r="KA32" s="33"/>
      <c r="KB32" s="34">
        <f>IF(AND(ISNUMBER(KC32),ISNUMBER(KA32)),KC32-KA32,"")</f>
        <v>0</v>
      </c>
      <c r="KC32" s="33"/>
      <c r="KD32" s="34">
        <f>IF(AND(ISNUMBER(KE32),ISNUMBER(KC32)),KE32-KC32,"")</f>
        <v>0</v>
      </c>
      <c r="KE32" s="33"/>
      <c r="KF32" s="34">
        <f>IF(AND(ISNUMBER(KG32),ISNUMBER(KE32)),KG32-KE32,"")</f>
        <v>0</v>
      </c>
      <c r="KG32" s="33"/>
      <c r="KH32" s="34">
        <f>IF(AND(ISNUMBER(KI32),ISNUMBER(KG32)),KI32-KG32,"")</f>
        <v>0</v>
      </c>
      <c r="KI32" s="33"/>
      <c r="KJ32" s="34">
        <f>IF(AND(ISNUMBER(KK32),ISNUMBER(KI32)),KK32-KI32,"")</f>
        <v>0</v>
      </c>
      <c r="KK32" s="33"/>
      <c r="KL32" s="34">
        <f>IF(AND(ISNUMBER(KM32),ISNUMBER(KK32)),KM32-KK32,"")</f>
        <v>0</v>
      </c>
      <c r="KM32" s="33"/>
      <c r="KN32" s="34">
        <f>IF(AND(ISNUMBER(KO32),ISNUMBER(KM32)),KO32-KM32,"")</f>
        <v>0</v>
      </c>
      <c r="KO32" s="33"/>
      <c r="KP32" s="34">
        <f>IF(AND(ISNUMBER(KQ32),ISNUMBER(KO32)),KQ32-KO32,"")</f>
        <v>0</v>
      </c>
      <c r="KQ32" s="33"/>
      <c r="KR32" s="34">
        <f>IF(AND(ISNUMBER(KS32),ISNUMBER(KQ32)),KS32-KQ32,"")</f>
        <v>0</v>
      </c>
      <c r="KS32" s="33"/>
      <c r="KT32" s="34">
        <f>IF(AND(ISNUMBER(KU32),ISNUMBER(KS32)),KU32-KS32,"")</f>
        <v>0</v>
      </c>
      <c r="KU32" s="33"/>
      <c r="KV32" s="34">
        <f>IF(AND(ISNUMBER(KW32),ISNUMBER(KU32)),KW32-KU32,"")</f>
        <v>0</v>
      </c>
      <c r="KW32" s="33"/>
      <c r="KX32" s="34">
        <f>IF(AND(ISNUMBER(KY32),ISNUMBER(KW32)),KY32-KW32,"")</f>
        <v>0</v>
      </c>
      <c r="KY32" s="33"/>
      <c r="KZ32" s="34">
        <f>IF(AND(ISNUMBER(LA32),ISNUMBER(KY32)),LA32-KY32,"")</f>
        <v>0</v>
      </c>
      <c r="LA32" s="33"/>
      <c r="LB32" s="34">
        <f>IF(AND(ISNUMBER(LC32),ISNUMBER(LA32)),LC32-LA32,"")</f>
        <v>0</v>
      </c>
      <c r="LC32" s="33"/>
      <c r="LD32" s="34">
        <f>IF(AND(ISNUMBER(LE32),ISNUMBER(LC32)),LE32-LC32,"")</f>
        <v>0</v>
      </c>
      <c r="LE32" s="33"/>
      <c r="LF32" s="34">
        <f>IF(AND(ISNUMBER(LG32),ISNUMBER(LE32)),LG32-LE32,"")</f>
        <v>0</v>
      </c>
      <c r="LG32" s="33"/>
    </row>
    <row r="33" spans="1:322" hidden="1" outlineLevel="1">
      <c r="B33" s="23"/>
      <c r="D33" s="31" t="s">
        <v>715</v>
      </c>
      <c r="E33" s="32" t="s">
        <v>1059</v>
      </c>
      <c r="F33" s="38">
        <v>45689</v>
      </c>
      <c r="I33" s="40" t="s">
        <v>1088</v>
      </c>
      <c r="J33" s="34">
        <f>IF(AND(ISNUMBER(K33),ISNUMBER(I33)),K33-I33,"")</f>
        <v>0</v>
      </c>
      <c r="K33" s="33">
        <v>5</v>
      </c>
      <c r="L33" s="34">
        <f>IF(AND(ISNUMBER(M33),ISNUMBER(K33)),M33-K33,"")</f>
        <v>0</v>
      </c>
      <c r="M33" s="33">
        <v>0</v>
      </c>
      <c r="N33" s="34">
        <f>IF(AND(ISNUMBER(O33),ISNUMBER(M33)),O33-M33,"")</f>
        <v>0</v>
      </c>
      <c r="O33" s="40" t="s">
        <v>1088</v>
      </c>
      <c r="P33" s="34">
        <f>IF(AND(ISNUMBER(Q33),ISNUMBER(O33)),Q33-O33,"")</f>
        <v>0</v>
      </c>
      <c r="Q33" s="33">
        <v>0</v>
      </c>
      <c r="R33" s="34">
        <f>IF(AND(ISNUMBER(S33),ISNUMBER(Q33)),S33-Q33,"")</f>
        <v>0</v>
      </c>
      <c r="S33" s="33">
        <v>1</v>
      </c>
      <c r="T33" s="34">
        <f>IF(AND(ISNUMBER(U33),ISNUMBER(S33)),U33-S33,"")</f>
        <v>0</v>
      </c>
      <c r="U33" s="33">
        <v>0</v>
      </c>
      <c r="V33" s="34">
        <f>IF(AND(ISNUMBER(W33),ISNUMBER(U33)),W33-U33,"")</f>
        <v>0</v>
      </c>
      <c r="W33" s="33">
        <v>0</v>
      </c>
      <c r="X33" s="34">
        <f>IF(AND(ISNUMBER(Y33),ISNUMBER(W33)),Y33-W33,"")</f>
        <v>0</v>
      </c>
      <c r="Y33" s="33">
        <v>0</v>
      </c>
      <c r="Z33" s="34">
        <f>IF(AND(ISNUMBER(AA33),ISNUMBER(Y33)),AA33-Y33,"")</f>
        <v>0</v>
      </c>
      <c r="AA33" s="40" t="s">
        <v>1088</v>
      </c>
      <c r="AB33" s="34">
        <f>IF(AND(ISNUMBER(AC33),ISNUMBER(AA33)),AC33-AA33,"")</f>
        <v>0</v>
      </c>
      <c r="AC33" s="33">
        <v>0</v>
      </c>
      <c r="AD33" s="34">
        <f>IF(AND(ISNUMBER(AE33),ISNUMBER(AC33)),AE33-AC33,"")</f>
        <v>0</v>
      </c>
      <c r="AE33" s="33">
        <v>0</v>
      </c>
      <c r="AF33" s="34">
        <f>IF(AND(ISNUMBER(AG33),ISNUMBER(AE33)),AG33-AE33,"")</f>
        <v>0</v>
      </c>
      <c r="AG33" s="33">
        <v>0</v>
      </c>
      <c r="AH33" s="34">
        <f>IF(AND(ISNUMBER(AI33),ISNUMBER(AG33)),AI33-AG33,"")</f>
        <v>0</v>
      </c>
      <c r="AI33" s="33">
        <v>0</v>
      </c>
      <c r="AJ33" s="34">
        <f>IF(AND(ISNUMBER(AK33),ISNUMBER(AI33)),AK33-AI33,"")</f>
        <v>0</v>
      </c>
      <c r="AK33" s="33">
        <v>0</v>
      </c>
      <c r="AL33" s="34">
        <f>IF(AND(ISNUMBER(AM33),ISNUMBER(AK33)),AM33-AK33,"")</f>
        <v>0</v>
      </c>
      <c r="AM33" s="33">
        <v>0</v>
      </c>
      <c r="AN33" s="34">
        <f>IF(AND(ISNUMBER(AO33),ISNUMBER(AM33)),AO33-AM33,"")</f>
        <v>0</v>
      </c>
      <c r="AO33" s="33">
        <v>0</v>
      </c>
      <c r="AP33" s="34">
        <f>IF(AND(ISNUMBER(AQ33),ISNUMBER(AO33)),AQ33-AO33,"")</f>
        <v>0</v>
      </c>
      <c r="AQ33" s="33">
        <v>0</v>
      </c>
      <c r="AR33" s="34">
        <f>IF(AND(ISNUMBER(AS33),ISNUMBER(AQ33)),AS33-AQ33,"")</f>
        <v>0</v>
      </c>
      <c r="AS33" s="33">
        <v>0</v>
      </c>
      <c r="AT33" s="34">
        <f>IF(AND(ISNUMBER(AU33),ISNUMBER(AS33)),AU33-AS33,"")</f>
        <v>0</v>
      </c>
      <c r="AU33" s="33">
        <v>0</v>
      </c>
      <c r="AV33" s="34">
        <f>IF(AND(ISNUMBER(AW33),ISNUMBER(AU33)),AW33-AU33,"")</f>
        <v>0</v>
      </c>
      <c r="AW33" s="33">
        <v>0</v>
      </c>
      <c r="AX33" s="34">
        <f>IF(AND(ISNUMBER(AY33),ISNUMBER(AW33)),AY33-AW33,"")</f>
        <v>0</v>
      </c>
      <c r="AY33" s="33">
        <v>0</v>
      </c>
      <c r="AZ33" s="34">
        <f>IF(AND(ISNUMBER(BA33),ISNUMBER(AY33)),BA33-AY33,"")</f>
        <v>0</v>
      </c>
      <c r="BA33" s="33">
        <v>0</v>
      </c>
      <c r="BB33" s="34">
        <f>IF(AND(ISNUMBER(BC33),ISNUMBER(BA33)),BC33-BA33,"")</f>
        <v>0</v>
      </c>
      <c r="BC33" s="33">
        <v>0</v>
      </c>
      <c r="BD33" s="34">
        <f>IF(AND(ISNUMBER(BE33),ISNUMBER(BC33)),BE33-BC33,"")</f>
        <v>0</v>
      </c>
      <c r="BE33" s="33">
        <v>0</v>
      </c>
      <c r="BF33" s="34">
        <f>IF(AND(ISNUMBER(BG33),ISNUMBER(BE33)),BG33-BE33,"")</f>
        <v>0</v>
      </c>
      <c r="BG33" s="33">
        <v>0</v>
      </c>
      <c r="BH33" s="34">
        <f>IF(AND(ISNUMBER(BI33),ISNUMBER(BG33)),BI33-BG33,"")</f>
        <v>0</v>
      </c>
      <c r="BI33" s="33">
        <v>0</v>
      </c>
      <c r="BJ33" s="34">
        <f>IF(AND(ISNUMBER(BK33),ISNUMBER(BI33)),BK33-BI33,"")</f>
        <v>0</v>
      </c>
      <c r="BK33" s="33">
        <v>0</v>
      </c>
      <c r="BL33" s="34">
        <f>IF(AND(ISNUMBER(BM33),ISNUMBER(BK33)),BM33-BK33,"")</f>
        <v>0</v>
      </c>
      <c r="BM33" s="33">
        <v>0</v>
      </c>
      <c r="BN33" s="34">
        <f>IF(AND(ISNUMBER(BO33),ISNUMBER(BM33)),BO33-BM33,"")</f>
        <v>0</v>
      </c>
      <c r="BO33" s="33">
        <v>0</v>
      </c>
      <c r="BP33" s="34">
        <f>IF(AND(ISNUMBER(BQ33),ISNUMBER(BO33)),BQ33-BO33,"")</f>
        <v>0</v>
      </c>
      <c r="BQ33" s="33">
        <v>0</v>
      </c>
      <c r="BR33" s="34">
        <f>IF(AND(ISNUMBER(BS33),ISNUMBER(BQ33)),BS33-BQ33,"")</f>
        <v>0</v>
      </c>
      <c r="BS33" s="33">
        <v>0</v>
      </c>
      <c r="BT33" s="34">
        <f>IF(AND(ISNUMBER(BU33),ISNUMBER(BS33)),BU33-BS33,"")</f>
        <v>0</v>
      </c>
      <c r="BU33" s="33">
        <v>0</v>
      </c>
      <c r="BV33" s="34">
        <f>IF(AND(ISNUMBER(BW33),ISNUMBER(BU33)),BW33-BU33,"")</f>
        <v>0</v>
      </c>
      <c r="BW33" s="33">
        <v>0</v>
      </c>
      <c r="BX33" s="34">
        <f>IF(AND(ISNUMBER(BY33),ISNUMBER(BW33)),BY33-BW33,"")</f>
        <v>0</v>
      </c>
      <c r="BY33" s="33">
        <v>0</v>
      </c>
      <c r="BZ33" s="34">
        <f>IF(AND(ISNUMBER(CA33),ISNUMBER(BY33)),CA33-BY33,"")</f>
        <v>0</v>
      </c>
      <c r="CA33" s="33">
        <v>0</v>
      </c>
      <c r="CB33" s="34">
        <f>IF(AND(ISNUMBER(CC33),ISNUMBER(CA33)),CC33-CA33,"")</f>
        <v>0</v>
      </c>
      <c r="CC33" s="33">
        <v>0</v>
      </c>
      <c r="CD33" s="34">
        <f>IF(AND(ISNUMBER(CE33),ISNUMBER(CC33)),CE33-CC33,"")</f>
        <v>0</v>
      </c>
      <c r="CE33" s="33">
        <v>0</v>
      </c>
      <c r="CF33" s="34">
        <f>IF(AND(ISNUMBER(CG33),ISNUMBER(CE33)),CG33-CE33,"")</f>
        <v>0</v>
      </c>
      <c r="CG33" s="33">
        <v>0</v>
      </c>
      <c r="CH33" s="34">
        <f>IF(AND(ISNUMBER(CI33),ISNUMBER(CG33)),CI33-CG33,"")</f>
        <v>0</v>
      </c>
      <c r="CI33" s="33">
        <v>0</v>
      </c>
      <c r="CJ33" s="34">
        <f>IF(AND(ISNUMBER(CK33),ISNUMBER(CI33)),CK33-CI33,"")</f>
        <v>0</v>
      </c>
      <c r="CK33" s="33">
        <v>0</v>
      </c>
      <c r="CL33" s="34">
        <f>IF(AND(ISNUMBER(CM33),ISNUMBER(CK33)),CM33-CK33,"")</f>
        <v>0</v>
      </c>
      <c r="CM33" s="33">
        <v>0</v>
      </c>
      <c r="CN33" s="34">
        <f>IF(AND(ISNUMBER(CO33),ISNUMBER(CM33)),CO33-CM33,"")</f>
        <v>0</v>
      </c>
      <c r="CO33" s="33">
        <v>0</v>
      </c>
      <c r="CP33" s="34">
        <f>IF(AND(ISNUMBER(CQ33),ISNUMBER(CO33)),CQ33-CO33,"")</f>
        <v>0</v>
      </c>
      <c r="CQ33" s="33">
        <v>0</v>
      </c>
      <c r="CR33" s="34">
        <f>IF(AND(ISNUMBER(CS33),ISNUMBER(CQ33)),CS33-CQ33,"")</f>
        <v>0</v>
      </c>
      <c r="CS33" s="33">
        <v>0</v>
      </c>
      <c r="CT33" s="34">
        <f>IF(AND(ISNUMBER(CU33),ISNUMBER(CS33)),CU33-CS33,"")</f>
        <v>0</v>
      </c>
      <c r="CU33" s="33">
        <v>0</v>
      </c>
      <c r="CV33" s="34">
        <f>IF(AND(ISNUMBER(CW33),ISNUMBER(CU33)),CW33-CU33,"")</f>
        <v>0</v>
      </c>
      <c r="CW33" s="33">
        <v>0</v>
      </c>
      <c r="CX33" s="34">
        <f>IF(AND(ISNUMBER(CY33),ISNUMBER(CW33)),CY33-CW33,"")</f>
        <v>0</v>
      </c>
      <c r="CY33" s="33">
        <v>0</v>
      </c>
      <c r="CZ33" s="34">
        <f>IF(AND(ISNUMBER(DA33),ISNUMBER(CY33)),DA33-CY33,"")</f>
        <v>0</v>
      </c>
      <c r="DA33" s="33">
        <v>0</v>
      </c>
      <c r="DB33" s="34">
        <f>IF(AND(ISNUMBER(DC33),ISNUMBER(DA33)),DC33-DA33,"")</f>
        <v>0</v>
      </c>
      <c r="DC33" s="33">
        <v>0</v>
      </c>
      <c r="DD33" s="34">
        <f>IF(AND(ISNUMBER(DE33),ISNUMBER(DC33)),DE33-DC33,"")</f>
        <v>0</v>
      </c>
      <c r="DE33" s="33">
        <v>0</v>
      </c>
      <c r="DF33" s="34">
        <f>IF(AND(ISNUMBER(DG33),ISNUMBER(DE33)),DG33-DE33,"")</f>
        <v>0</v>
      </c>
      <c r="DG33" s="33">
        <v>0</v>
      </c>
      <c r="DH33" s="34">
        <f>IF(AND(ISNUMBER(DI33),ISNUMBER(DG33)),DI33-DG33,"")</f>
        <v>0</v>
      </c>
      <c r="DI33" s="33">
        <v>0</v>
      </c>
      <c r="DJ33" s="34">
        <f>IF(AND(ISNUMBER(DK33),ISNUMBER(DI33)),DK33-DI33,"")</f>
        <v>0</v>
      </c>
      <c r="DK33" s="33">
        <v>0</v>
      </c>
      <c r="DL33" s="34">
        <f>IF(AND(ISNUMBER(DM33),ISNUMBER(DK33)),DM33-DK33,"")</f>
        <v>0</v>
      </c>
      <c r="DM33" s="33">
        <v>0</v>
      </c>
      <c r="DN33" s="34">
        <f>IF(AND(ISNUMBER(DO33),ISNUMBER(DM33)),DO33-DM33,"")</f>
        <v>0</v>
      </c>
      <c r="DO33" s="33">
        <v>0</v>
      </c>
      <c r="DP33" s="34">
        <f>IF(AND(ISNUMBER(DQ33),ISNUMBER(DO33)),DQ33-DO33,"")</f>
        <v>0</v>
      </c>
      <c r="DQ33" s="33">
        <v>0</v>
      </c>
      <c r="DR33" s="34">
        <f>IF(AND(ISNUMBER(DS33),ISNUMBER(DQ33)),DS33-DQ33,"")</f>
        <v>0</v>
      </c>
      <c r="DS33" s="33">
        <v>0</v>
      </c>
      <c r="DT33" s="34">
        <f>IF(AND(ISNUMBER(DU33),ISNUMBER(DS33)),DU33-DS33,"")</f>
        <v>0</v>
      </c>
      <c r="DU33" s="33">
        <v>0</v>
      </c>
      <c r="DV33" s="34">
        <f>IF(AND(ISNUMBER(DW33),ISNUMBER(DU33)),DW33-DU33,"")</f>
        <v>0</v>
      </c>
      <c r="DW33" s="33">
        <v>0</v>
      </c>
      <c r="DX33" s="34">
        <f>IF(AND(ISNUMBER(DY33),ISNUMBER(DW33)),DY33-DW33,"")</f>
        <v>0</v>
      </c>
      <c r="DY33" s="33">
        <v>0</v>
      </c>
      <c r="DZ33" s="34">
        <f>IF(AND(ISNUMBER(EA33),ISNUMBER(DY33)),EA33-DY33,"")</f>
        <v>0</v>
      </c>
      <c r="EA33" s="33">
        <v>0</v>
      </c>
      <c r="EB33" s="34">
        <f>IF(AND(ISNUMBER(EC33),ISNUMBER(EA33)),EC33-EA33,"")</f>
        <v>0</v>
      </c>
      <c r="EC33" s="33">
        <v>0</v>
      </c>
      <c r="ED33" s="34">
        <f>IF(AND(ISNUMBER(EE33),ISNUMBER(EC33)),EE33-EC33,"")</f>
        <v>0</v>
      </c>
      <c r="EE33" s="33">
        <v>0</v>
      </c>
      <c r="EF33" s="34">
        <f>IF(AND(ISNUMBER(EG33),ISNUMBER(EE33)),EG33-EE33,"")</f>
        <v>0</v>
      </c>
      <c r="EG33" s="33">
        <v>0</v>
      </c>
      <c r="EH33" s="34">
        <f>IF(AND(ISNUMBER(EI33),ISNUMBER(EG33)),EI33-EG33,"")</f>
        <v>0</v>
      </c>
      <c r="EI33" s="33">
        <v>0</v>
      </c>
      <c r="EJ33" s="34">
        <f>IF(AND(ISNUMBER(EK33),ISNUMBER(EI33)),EK33-EI33,"")</f>
        <v>0</v>
      </c>
      <c r="EK33" s="33">
        <v>0</v>
      </c>
      <c r="EL33" s="34">
        <f>IF(AND(ISNUMBER(EM33),ISNUMBER(EK33)),EM33-EK33,"")</f>
        <v>0</v>
      </c>
      <c r="EM33" s="33">
        <v>0</v>
      </c>
      <c r="EN33" s="34">
        <f>IF(AND(ISNUMBER(EO33),ISNUMBER(EM33)),EO33-EM33,"")</f>
        <v>0</v>
      </c>
      <c r="EO33" s="33">
        <v>0</v>
      </c>
      <c r="EP33" s="34">
        <f>IF(AND(ISNUMBER(EQ33),ISNUMBER(EO33)),EQ33-EO33,"")</f>
        <v>0</v>
      </c>
      <c r="EQ33" s="33">
        <v>6</v>
      </c>
      <c r="ER33" s="34">
        <f>IF(AND(ISNUMBER(ES33),ISNUMBER(EQ33)),ES33-EQ33,"")</f>
        <v>0</v>
      </c>
      <c r="ES33" s="33">
        <v>8</v>
      </c>
      <c r="ET33" s="34">
        <f>IF(AND(ISNUMBER(EU33),ISNUMBER(ES33)),EU33-ES33,"")</f>
        <v>0</v>
      </c>
      <c r="EU33" s="33">
        <v>0</v>
      </c>
      <c r="EV33" s="34">
        <f>IF(AND(ISNUMBER(EW33),ISNUMBER(EU33)),EW33-EU33,"")</f>
        <v>0</v>
      </c>
      <c r="EW33" s="33">
        <v>0</v>
      </c>
      <c r="EX33" s="34">
        <f>IF(AND(ISNUMBER(EY33),ISNUMBER(EW33)),EY33-EW33,"")</f>
        <v>0</v>
      </c>
      <c r="EY33" s="33">
        <v>0</v>
      </c>
      <c r="EZ33" s="34">
        <f>IF(AND(ISNUMBER(FA33),ISNUMBER(EY33)),FA33-EY33,"")</f>
        <v>0</v>
      </c>
      <c r="FA33" s="33">
        <v>0</v>
      </c>
      <c r="FB33" s="34">
        <f>IF(AND(ISNUMBER(FC33),ISNUMBER(FA33)),FC33-FA33,"")</f>
        <v>0</v>
      </c>
      <c r="FC33" s="33"/>
      <c r="FD33" s="34">
        <f>IF(AND(ISNUMBER(FE33),ISNUMBER(FC33)),FE33-FC33,"")</f>
        <v>0</v>
      </c>
      <c r="FE33" s="33"/>
      <c r="FF33" s="34">
        <f>IF(AND(ISNUMBER(FG33),ISNUMBER(FE33)),FG33-FE33,"")</f>
        <v>0</v>
      </c>
      <c r="FG33" s="33"/>
      <c r="FH33" s="34">
        <f>IF(AND(ISNUMBER(FI33),ISNUMBER(FG33)),FI33-FG33,"")</f>
        <v>0</v>
      </c>
      <c r="FI33" s="33"/>
      <c r="FJ33" s="34">
        <f>IF(AND(ISNUMBER(FK33),ISNUMBER(FI33)),FK33-FI33,"")</f>
        <v>0</v>
      </c>
      <c r="FK33" s="33"/>
      <c r="FL33" s="34">
        <f>IF(AND(ISNUMBER(FM33),ISNUMBER(FK33)),FM33-FK33,"")</f>
        <v>0</v>
      </c>
      <c r="FM33" s="33"/>
      <c r="FN33" s="34">
        <f>IF(AND(ISNUMBER(FO33),ISNUMBER(FM33)),FO33-FM33,"")</f>
        <v>0</v>
      </c>
      <c r="FO33" s="33"/>
      <c r="FP33" s="34">
        <f>IF(AND(ISNUMBER(FQ33),ISNUMBER(FO33)),FQ33-FO33,"")</f>
        <v>0</v>
      </c>
      <c r="FQ33" s="33"/>
      <c r="FR33" s="34">
        <f>IF(AND(ISNUMBER(FS33),ISNUMBER(FQ33)),FS33-FQ33,"")</f>
        <v>0</v>
      </c>
      <c r="FS33" s="33"/>
      <c r="FT33" s="34">
        <f>IF(AND(ISNUMBER(FU33),ISNUMBER(FS33)),FU33-FS33,"")</f>
        <v>0</v>
      </c>
      <c r="FU33" s="33"/>
      <c r="FV33" s="34">
        <f>IF(AND(ISNUMBER(FW33),ISNUMBER(FU33)),FW33-FU33,"")</f>
        <v>0</v>
      </c>
      <c r="FW33" s="33"/>
      <c r="FX33" s="34">
        <f>IF(AND(ISNUMBER(FY33),ISNUMBER(FW33)),FY33-FW33,"")</f>
        <v>0</v>
      </c>
      <c r="FY33" s="33"/>
      <c r="FZ33" s="34">
        <f>IF(AND(ISNUMBER(GA33),ISNUMBER(FY33)),GA33-FY33,"")</f>
        <v>0</v>
      </c>
      <c r="GA33" s="33"/>
      <c r="GB33" s="34">
        <f>IF(AND(ISNUMBER(GC33),ISNUMBER(GA33)),GC33-GA33,"")</f>
        <v>0</v>
      </c>
      <c r="GC33" s="33"/>
      <c r="GD33" s="34">
        <f>IF(AND(ISNUMBER(GE33),ISNUMBER(GC33)),GE33-GC33,"")</f>
        <v>0</v>
      </c>
      <c r="GE33" s="33"/>
      <c r="GF33" s="34">
        <f>IF(AND(ISNUMBER(GG33),ISNUMBER(GE33)),GG33-GE33,"")</f>
        <v>0</v>
      </c>
      <c r="GG33" s="33"/>
      <c r="GH33" s="34">
        <f>IF(AND(ISNUMBER(GI33),ISNUMBER(GG33)),GI33-GG33,"")</f>
        <v>0</v>
      </c>
      <c r="GI33" s="33"/>
      <c r="GJ33" s="34">
        <f>IF(AND(ISNUMBER(GK33),ISNUMBER(GI33)),GK33-GI33,"")</f>
        <v>0</v>
      </c>
      <c r="GK33" s="33"/>
      <c r="GL33" s="34">
        <f>IF(AND(ISNUMBER(GM33),ISNUMBER(GK33)),GM33-GK33,"")</f>
        <v>0</v>
      </c>
      <c r="GM33" s="33"/>
      <c r="GN33" s="34">
        <f>IF(AND(ISNUMBER(GO33),ISNUMBER(GM33)),GO33-GM33,"")</f>
        <v>0</v>
      </c>
      <c r="GO33" s="33"/>
      <c r="GP33" s="34">
        <f>IF(AND(ISNUMBER(GQ33),ISNUMBER(GO33)),GQ33-GO33,"")</f>
        <v>0</v>
      </c>
      <c r="GQ33" s="33"/>
      <c r="GR33" s="34">
        <f>IF(AND(ISNUMBER(GS33),ISNUMBER(GQ33)),GS33-GQ33,"")</f>
        <v>0</v>
      </c>
      <c r="GS33" s="33"/>
      <c r="GT33" s="34">
        <f>IF(AND(ISNUMBER(GU33),ISNUMBER(GS33)),GU33-GS33,"")</f>
        <v>0</v>
      </c>
      <c r="GU33" s="33"/>
      <c r="GV33" s="34">
        <f>IF(AND(ISNUMBER(GW33),ISNUMBER(GU33)),GW33-GU33,"")</f>
        <v>0</v>
      </c>
      <c r="GW33" s="33"/>
      <c r="GX33" s="34">
        <f>IF(AND(ISNUMBER(GY33),ISNUMBER(GW33)),GY33-GW33,"")</f>
        <v>0</v>
      </c>
      <c r="GY33" s="33"/>
      <c r="GZ33" s="34">
        <f>IF(AND(ISNUMBER(HA33),ISNUMBER(GY33)),HA33-GY33,"")</f>
        <v>0</v>
      </c>
      <c r="HA33" s="33"/>
      <c r="HB33" s="34">
        <f>IF(AND(ISNUMBER(HC33),ISNUMBER(HA33)),HC33-HA33,"")</f>
        <v>0</v>
      </c>
      <c r="HC33" s="33"/>
      <c r="HD33" s="34">
        <f>IF(AND(ISNUMBER(HE33),ISNUMBER(HC33)),HE33-HC33,"")</f>
        <v>0</v>
      </c>
      <c r="HE33" s="33"/>
      <c r="HF33" s="34">
        <f>IF(AND(ISNUMBER(HG33),ISNUMBER(HE33)),HG33-HE33,"")</f>
        <v>0</v>
      </c>
      <c r="HG33" s="33"/>
      <c r="HH33" s="34">
        <f>IF(AND(ISNUMBER(HI33),ISNUMBER(HG33)),HI33-HG33,"")</f>
        <v>0</v>
      </c>
      <c r="HI33" s="33"/>
      <c r="HJ33" s="34">
        <f>IF(AND(ISNUMBER(HK33),ISNUMBER(HI33)),HK33-HI33,"")</f>
        <v>0</v>
      </c>
      <c r="HK33" s="33"/>
      <c r="HL33" s="34">
        <f>IF(AND(ISNUMBER(HM33),ISNUMBER(HK33)),HM33-HK33,"")</f>
        <v>0</v>
      </c>
      <c r="HM33" s="33"/>
      <c r="HN33" s="34">
        <f>IF(AND(ISNUMBER(HO33),ISNUMBER(HM33)),HO33-HM33,"")</f>
        <v>0</v>
      </c>
      <c r="HO33" s="33"/>
      <c r="HP33" s="34">
        <f>IF(AND(ISNUMBER(HQ33),ISNUMBER(HO33)),HQ33-HO33,"")</f>
        <v>0</v>
      </c>
      <c r="HQ33" s="33"/>
      <c r="HR33" s="34">
        <f>IF(AND(ISNUMBER(HS33),ISNUMBER(HQ33)),HS33-HQ33,"")</f>
        <v>0</v>
      </c>
      <c r="HS33" s="33"/>
      <c r="HT33" s="34">
        <f>IF(AND(ISNUMBER(HU33),ISNUMBER(HS33)),HU33-HS33,"")</f>
        <v>0</v>
      </c>
      <c r="HU33" s="33"/>
      <c r="HV33" s="34">
        <f>IF(AND(ISNUMBER(HW33),ISNUMBER(HU33)),HW33-HU33,"")</f>
        <v>0</v>
      </c>
      <c r="HW33" s="33"/>
      <c r="HX33" s="34">
        <f>IF(AND(ISNUMBER(HY33),ISNUMBER(HW33)),HY33-HW33,"")</f>
        <v>0</v>
      </c>
      <c r="HY33" s="33"/>
      <c r="HZ33" s="34">
        <f>IF(AND(ISNUMBER(IA33),ISNUMBER(HY33)),IA33-HY33,"")</f>
        <v>0</v>
      </c>
      <c r="IA33" s="33"/>
      <c r="IB33" s="34">
        <f>IF(AND(ISNUMBER(IC33),ISNUMBER(IA33)),IC33-IA33,"")</f>
        <v>0</v>
      </c>
      <c r="IC33" s="33"/>
      <c r="ID33" s="34">
        <f>IF(AND(ISNUMBER(IE33),ISNUMBER(IC33)),IE33-IC33,"")</f>
        <v>0</v>
      </c>
      <c r="IE33" s="33"/>
      <c r="IF33" s="34">
        <f>IF(AND(ISNUMBER(IG33),ISNUMBER(IE33)),IG33-IE33,"")</f>
        <v>0</v>
      </c>
      <c r="IG33" s="33"/>
      <c r="IH33" s="34">
        <f>IF(AND(ISNUMBER(II33),ISNUMBER(IG33)),II33-IG33,"")</f>
        <v>0</v>
      </c>
      <c r="II33" s="33"/>
      <c r="IJ33" s="34">
        <f>IF(AND(ISNUMBER(IK33),ISNUMBER(II33)),IK33-II33,"")</f>
        <v>0</v>
      </c>
      <c r="IK33" s="33"/>
      <c r="IL33" s="34">
        <f>IF(AND(ISNUMBER(IM33),ISNUMBER(IK33)),IM33-IK33,"")</f>
        <v>0</v>
      </c>
      <c r="IM33" s="33"/>
      <c r="IN33" s="34">
        <f>IF(AND(ISNUMBER(IO33),ISNUMBER(IM33)),IO33-IM33,"")</f>
        <v>0</v>
      </c>
      <c r="IO33" s="33"/>
      <c r="IP33" s="34">
        <f>IF(AND(ISNUMBER(IQ33),ISNUMBER(IO33)),IQ33-IO33,"")</f>
        <v>0</v>
      </c>
      <c r="IQ33" s="33"/>
      <c r="IR33" s="34">
        <f>IF(AND(ISNUMBER(IS33),ISNUMBER(IQ33)),IS33-IQ33,"")</f>
        <v>0</v>
      </c>
      <c r="IS33" s="33"/>
      <c r="IT33" s="34">
        <f>IF(AND(ISNUMBER(IU33),ISNUMBER(IS33)),IU33-IS33,"")</f>
        <v>0</v>
      </c>
      <c r="IU33" s="33"/>
      <c r="IV33" s="34">
        <f>IF(AND(ISNUMBER(IW33),ISNUMBER(IU33)),IW33-IU33,"")</f>
        <v>0</v>
      </c>
      <c r="IW33" s="33"/>
      <c r="IX33" s="34">
        <f>IF(AND(ISNUMBER(IY33),ISNUMBER(IW33)),IY33-IW33,"")</f>
        <v>0</v>
      </c>
      <c r="IY33" s="33"/>
      <c r="IZ33" s="34">
        <f>IF(AND(ISNUMBER(JA33),ISNUMBER(IY33)),JA33-IY33,"")</f>
        <v>0</v>
      </c>
      <c r="JA33" s="33"/>
      <c r="JB33" s="34">
        <f>IF(AND(ISNUMBER(JC33),ISNUMBER(JA33)),JC33-JA33,"")</f>
        <v>0</v>
      </c>
      <c r="JC33" s="33"/>
      <c r="JD33" s="34">
        <f>IF(AND(ISNUMBER(JE33),ISNUMBER(JC33)),JE33-JC33,"")</f>
        <v>0</v>
      </c>
      <c r="JE33" s="33"/>
      <c r="JF33" s="34">
        <f>IF(AND(ISNUMBER(JG33),ISNUMBER(JE33)),JG33-JE33,"")</f>
        <v>0</v>
      </c>
      <c r="JG33" s="33"/>
      <c r="JH33" s="34">
        <f>IF(AND(ISNUMBER(JI33),ISNUMBER(JG33)),JI33-JG33,"")</f>
        <v>0</v>
      </c>
      <c r="JI33" s="33"/>
      <c r="JJ33" s="34">
        <f>IF(AND(ISNUMBER(JK33),ISNUMBER(JI33)),JK33-JI33,"")</f>
        <v>0</v>
      </c>
      <c r="JK33" s="33"/>
      <c r="JL33" s="34">
        <f>IF(AND(ISNUMBER(JM33),ISNUMBER(JK33)),JM33-JK33,"")</f>
        <v>0</v>
      </c>
      <c r="JM33" s="33"/>
      <c r="JN33" s="34">
        <f>IF(AND(ISNUMBER(JO33),ISNUMBER(JM33)),JO33-JM33,"")</f>
        <v>0</v>
      </c>
      <c r="JO33" s="33"/>
      <c r="JP33" s="34">
        <f>IF(AND(ISNUMBER(JQ33),ISNUMBER(JO33)),JQ33-JO33,"")</f>
        <v>0</v>
      </c>
      <c r="JQ33" s="33"/>
      <c r="JR33" s="34">
        <f>IF(AND(ISNUMBER(JS33),ISNUMBER(JQ33)),JS33-JQ33,"")</f>
        <v>0</v>
      </c>
      <c r="JS33" s="33"/>
      <c r="JT33" s="34">
        <f>IF(AND(ISNUMBER(JU33),ISNUMBER(JS33)),JU33-JS33,"")</f>
        <v>0</v>
      </c>
      <c r="JU33" s="33"/>
      <c r="JV33" s="34">
        <f>IF(AND(ISNUMBER(JW33),ISNUMBER(JU33)),JW33-JU33,"")</f>
        <v>0</v>
      </c>
      <c r="JW33" s="33"/>
      <c r="JX33" s="34">
        <f>IF(AND(ISNUMBER(JY33),ISNUMBER(JW33)),JY33-JW33,"")</f>
        <v>0</v>
      </c>
      <c r="JY33" s="33"/>
      <c r="JZ33" s="34">
        <f>IF(AND(ISNUMBER(KA33),ISNUMBER(JY33)),KA33-JY33,"")</f>
        <v>0</v>
      </c>
      <c r="KA33" s="33"/>
      <c r="KB33" s="34">
        <f>IF(AND(ISNUMBER(KC33),ISNUMBER(KA33)),KC33-KA33,"")</f>
        <v>0</v>
      </c>
      <c r="KC33" s="33"/>
      <c r="KD33" s="34">
        <f>IF(AND(ISNUMBER(KE33),ISNUMBER(KC33)),KE33-KC33,"")</f>
        <v>0</v>
      </c>
      <c r="KE33" s="33"/>
      <c r="KF33" s="34">
        <f>IF(AND(ISNUMBER(KG33),ISNUMBER(KE33)),KG33-KE33,"")</f>
        <v>0</v>
      </c>
      <c r="KG33" s="33"/>
      <c r="KH33" s="34">
        <f>IF(AND(ISNUMBER(KI33),ISNUMBER(KG33)),KI33-KG33,"")</f>
        <v>0</v>
      </c>
      <c r="KI33" s="33"/>
      <c r="KJ33" s="34">
        <f>IF(AND(ISNUMBER(KK33),ISNUMBER(KI33)),KK33-KI33,"")</f>
        <v>0</v>
      </c>
      <c r="KK33" s="33"/>
      <c r="KL33" s="34">
        <f>IF(AND(ISNUMBER(KM33),ISNUMBER(KK33)),KM33-KK33,"")</f>
        <v>0</v>
      </c>
      <c r="KM33" s="33"/>
      <c r="KN33" s="34">
        <f>IF(AND(ISNUMBER(KO33),ISNUMBER(KM33)),KO33-KM33,"")</f>
        <v>0</v>
      </c>
      <c r="KO33" s="33"/>
      <c r="KP33" s="34">
        <f>IF(AND(ISNUMBER(KQ33),ISNUMBER(KO33)),KQ33-KO33,"")</f>
        <v>0</v>
      </c>
      <c r="KQ33" s="33"/>
      <c r="KR33" s="34">
        <f>IF(AND(ISNUMBER(KS33),ISNUMBER(KQ33)),KS33-KQ33,"")</f>
        <v>0</v>
      </c>
      <c r="KS33" s="33"/>
      <c r="KT33" s="34">
        <f>IF(AND(ISNUMBER(KU33),ISNUMBER(KS33)),KU33-KS33,"")</f>
        <v>0</v>
      </c>
      <c r="KU33" s="33"/>
      <c r="KV33" s="34">
        <f>IF(AND(ISNUMBER(KW33),ISNUMBER(KU33)),KW33-KU33,"")</f>
        <v>0</v>
      </c>
      <c r="KW33" s="33"/>
      <c r="KX33" s="34">
        <f>IF(AND(ISNUMBER(KY33),ISNUMBER(KW33)),KY33-KW33,"")</f>
        <v>0</v>
      </c>
      <c r="KY33" s="33"/>
      <c r="KZ33" s="34">
        <f>IF(AND(ISNUMBER(LA33),ISNUMBER(KY33)),LA33-KY33,"")</f>
        <v>0</v>
      </c>
      <c r="LA33" s="33"/>
      <c r="LB33" s="34">
        <f>IF(AND(ISNUMBER(LC33),ISNUMBER(LA33)),LC33-LA33,"")</f>
        <v>0</v>
      </c>
      <c r="LC33" s="33"/>
      <c r="LD33" s="34">
        <f>IF(AND(ISNUMBER(LE33),ISNUMBER(LC33)),LE33-LC33,"")</f>
        <v>0</v>
      </c>
      <c r="LE33" s="33"/>
      <c r="LF33" s="34">
        <f>IF(AND(ISNUMBER(LG33),ISNUMBER(LE33)),LG33-LE33,"")</f>
        <v>0</v>
      </c>
      <c r="LG33" s="33"/>
    </row>
    <row r="34" spans="1:322" hidden="1" outlineLevel="1">
      <c r="B34" s="23"/>
      <c r="D34" s="31" t="s">
        <v>717</v>
      </c>
      <c r="E34" s="32" t="s">
        <v>1047</v>
      </c>
      <c r="I34" s="33"/>
      <c r="J34" s="34">
        <f>IF(AND(ISNUMBER(K34),ISNUMBER(I34)),K34-I34,"")</f>
        <v>0</v>
      </c>
      <c r="K34" s="33"/>
      <c r="L34" s="34">
        <f>IF(AND(ISNUMBER(M34),ISNUMBER(K34)),M34-K34,"")</f>
        <v>0</v>
      </c>
      <c r="M34" s="33"/>
      <c r="N34" s="34">
        <f>IF(AND(ISNUMBER(O34),ISNUMBER(M34)),O34-M34,"")</f>
        <v>0</v>
      </c>
      <c r="O34" s="33"/>
      <c r="P34" s="34">
        <f>IF(AND(ISNUMBER(Q34),ISNUMBER(O34)),Q34-O34,"")</f>
        <v>0</v>
      </c>
      <c r="Q34" s="33"/>
      <c r="R34" s="34">
        <f>IF(AND(ISNUMBER(S34),ISNUMBER(Q34)),S34-Q34,"")</f>
        <v>0</v>
      </c>
      <c r="S34" s="33"/>
      <c r="T34" s="34">
        <f>IF(AND(ISNUMBER(U34),ISNUMBER(S34)),U34-S34,"")</f>
        <v>0</v>
      </c>
      <c r="U34" s="33"/>
      <c r="V34" s="34">
        <f>IF(AND(ISNUMBER(W34),ISNUMBER(U34)),W34-U34,"")</f>
        <v>0</v>
      </c>
      <c r="W34" s="33"/>
      <c r="X34" s="34">
        <f>IF(AND(ISNUMBER(Y34),ISNUMBER(W34)),Y34-W34,"")</f>
        <v>0</v>
      </c>
      <c r="Y34" s="33"/>
      <c r="Z34" s="34">
        <f>IF(AND(ISNUMBER(AA34),ISNUMBER(Y34)),AA34-Y34,"")</f>
        <v>0</v>
      </c>
      <c r="AA34" s="33"/>
      <c r="AB34" s="34">
        <f>IF(AND(ISNUMBER(AC34),ISNUMBER(AA34)),AC34-AA34,"")</f>
        <v>0</v>
      </c>
      <c r="AC34" s="33"/>
      <c r="AD34" s="34">
        <f>IF(AND(ISNUMBER(AE34),ISNUMBER(AC34)),AE34-AC34,"")</f>
        <v>0</v>
      </c>
      <c r="AE34" s="33"/>
      <c r="AF34" s="34">
        <f>IF(AND(ISNUMBER(AG34),ISNUMBER(AE34)),AG34-AE34,"")</f>
        <v>0</v>
      </c>
      <c r="AG34" s="33"/>
      <c r="AH34" s="34">
        <f>IF(AND(ISNUMBER(AI34),ISNUMBER(AG34)),AI34-AG34,"")</f>
        <v>0</v>
      </c>
      <c r="AI34" s="33"/>
      <c r="AJ34" s="34">
        <f>IF(AND(ISNUMBER(AK34),ISNUMBER(AI34)),AK34-AI34,"")</f>
        <v>0</v>
      </c>
      <c r="AK34" s="33"/>
      <c r="AL34" s="34">
        <f>IF(AND(ISNUMBER(AM34),ISNUMBER(AK34)),AM34-AK34,"")</f>
        <v>0</v>
      </c>
      <c r="AM34" s="33"/>
      <c r="AN34" s="34">
        <f>IF(AND(ISNUMBER(AO34),ISNUMBER(AM34)),AO34-AM34,"")</f>
        <v>0</v>
      </c>
      <c r="AO34" s="33"/>
      <c r="AP34" s="34">
        <f>IF(AND(ISNUMBER(AQ34),ISNUMBER(AO34)),AQ34-AO34,"")</f>
        <v>0</v>
      </c>
      <c r="AQ34" s="33"/>
      <c r="AR34" s="34">
        <f>IF(AND(ISNUMBER(AS34),ISNUMBER(AQ34)),AS34-AQ34,"")</f>
        <v>0</v>
      </c>
      <c r="AS34" s="33">
        <v>0</v>
      </c>
      <c r="AT34" s="34">
        <f>IF(AND(ISNUMBER(AU34),ISNUMBER(AS34)),AU34-AS34,"")</f>
        <v>0</v>
      </c>
      <c r="AU34" s="33">
        <v>0</v>
      </c>
      <c r="AV34" s="34">
        <f>IF(AND(ISNUMBER(AW34),ISNUMBER(AU34)),AW34-AU34,"")</f>
        <v>0</v>
      </c>
      <c r="AW34" s="33">
        <v>0</v>
      </c>
      <c r="AX34" s="34">
        <f>IF(AND(ISNUMBER(AY34),ISNUMBER(AW34)),AY34-AW34,"")</f>
        <v>0</v>
      </c>
      <c r="AY34" s="33">
        <v>0</v>
      </c>
      <c r="AZ34" s="34">
        <f>IF(AND(ISNUMBER(BA34),ISNUMBER(AY34)),BA34-AY34,"")</f>
        <v>0</v>
      </c>
      <c r="BA34" s="33">
        <v>0</v>
      </c>
      <c r="BB34" s="34">
        <f>IF(AND(ISNUMBER(BC34),ISNUMBER(BA34)),BC34-BA34,"")</f>
        <v>0</v>
      </c>
      <c r="BC34" s="33">
        <v>0</v>
      </c>
      <c r="BD34" s="34">
        <f>IF(AND(ISNUMBER(BE34),ISNUMBER(BC34)),BE34-BC34,"")</f>
        <v>0</v>
      </c>
      <c r="BE34" s="33">
        <v>0</v>
      </c>
      <c r="BF34" s="34">
        <f>IF(AND(ISNUMBER(BG34),ISNUMBER(BE34)),BG34-BE34,"")</f>
        <v>0</v>
      </c>
      <c r="BG34" s="33">
        <v>0</v>
      </c>
      <c r="BH34" s="34">
        <f>IF(AND(ISNUMBER(BI34),ISNUMBER(BG34)),BI34-BG34,"")</f>
        <v>0</v>
      </c>
      <c r="BI34" s="33">
        <v>0</v>
      </c>
      <c r="BJ34" s="34">
        <f>IF(AND(ISNUMBER(BK34),ISNUMBER(BI34)),BK34-BI34,"")</f>
        <v>0</v>
      </c>
      <c r="BK34" s="33">
        <v>0</v>
      </c>
      <c r="BL34" s="34">
        <f>IF(AND(ISNUMBER(BM34),ISNUMBER(BK34)),BM34-BK34,"")</f>
        <v>0</v>
      </c>
      <c r="BM34" s="33">
        <v>1</v>
      </c>
      <c r="BN34" s="34">
        <f>IF(AND(ISNUMBER(BO34),ISNUMBER(BM34)),BO34-BM34,"")</f>
        <v>0</v>
      </c>
      <c r="BO34" s="33">
        <v>2</v>
      </c>
      <c r="BP34" s="34">
        <f>IF(AND(ISNUMBER(BQ34),ISNUMBER(BO34)),BQ34-BO34,"")</f>
        <v>0</v>
      </c>
      <c r="BQ34" s="33">
        <v>0</v>
      </c>
      <c r="BR34" s="34">
        <f>IF(AND(ISNUMBER(BS34),ISNUMBER(BQ34)),BS34-BQ34,"")</f>
        <v>0</v>
      </c>
      <c r="BS34" s="33">
        <v>1</v>
      </c>
      <c r="BT34" s="34">
        <f>IF(AND(ISNUMBER(BU34),ISNUMBER(BS34)),BU34-BS34,"")</f>
        <v>0</v>
      </c>
      <c r="BU34" s="33">
        <v>2</v>
      </c>
      <c r="BV34" s="34">
        <f>IF(AND(ISNUMBER(BW34),ISNUMBER(BU34)),BW34-BU34,"")</f>
        <v>0</v>
      </c>
      <c r="BW34" s="33">
        <v>2</v>
      </c>
      <c r="BX34" s="34">
        <f>IF(AND(ISNUMBER(BY34),ISNUMBER(BW34)),BY34-BW34,"")</f>
        <v>0</v>
      </c>
      <c r="BY34" s="33">
        <v>0</v>
      </c>
      <c r="BZ34" s="34">
        <f>IF(AND(ISNUMBER(CA34),ISNUMBER(BY34)),CA34-BY34,"")</f>
        <v>0</v>
      </c>
      <c r="CA34" s="33">
        <v>2</v>
      </c>
      <c r="CB34" s="34">
        <f>IF(AND(ISNUMBER(CC34),ISNUMBER(CA34)),CC34-CA34,"")</f>
        <v>0</v>
      </c>
      <c r="CC34" s="33">
        <v>0</v>
      </c>
      <c r="CD34" s="34">
        <f>IF(AND(ISNUMBER(CE34),ISNUMBER(CC34)),CE34-CC34,"")</f>
        <v>0</v>
      </c>
      <c r="CE34" s="33">
        <v>1</v>
      </c>
      <c r="CF34" s="34">
        <f>IF(AND(ISNUMBER(CG34),ISNUMBER(CE34)),CG34-CE34,"")</f>
        <v>0</v>
      </c>
      <c r="CG34" s="33">
        <v>0</v>
      </c>
      <c r="CH34" s="34">
        <f>IF(AND(ISNUMBER(CI34),ISNUMBER(CG34)),CI34-CG34,"")</f>
        <v>0</v>
      </c>
      <c r="CI34" s="33">
        <v>2</v>
      </c>
      <c r="CJ34" s="34">
        <f>IF(AND(ISNUMBER(CK34),ISNUMBER(CI34)),CK34-CI34,"")</f>
        <v>0</v>
      </c>
      <c r="CK34" s="33">
        <v>2</v>
      </c>
      <c r="CL34" s="34">
        <f>IF(AND(ISNUMBER(CM34),ISNUMBER(CK34)),CM34-CK34,"")</f>
        <v>0</v>
      </c>
      <c r="CM34" s="33">
        <v>2</v>
      </c>
      <c r="CN34" s="34">
        <f>IF(AND(ISNUMBER(CO34),ISNUMBER(CM34)),CO34-CM34,"")</f>
        <v>0</v>
      </c>
      <c r="CO34" s="33">
        <v>0</v>
      </c>
      <c r="CP34" s="34">
        <f>IF(AND(ISNUMBER(CQ34),ISNUMBER(CO34)),CQ34-CO34,"")</f>
        <v>0</v>
      </c>
      <c r="CQ34" s="33">
        <v>0</v>
      </c>
      <c r="CR34" s="34">
        <f>IF(AND(ISNUMBER(CS34),ISNUMBER(CQ34)),CS34-CQ34,"")</f>
        <v>0</v>
      </c>
      <c r="CS34" s="33">
        <v>2</v>
      </c>
      <c r="CT34" s="34">
        <f>IF(AND(ISNUMBER(CU34),ISNUMBER(CS34)),CU34-CS34,"")</f>
        <v>0</v>
      </c>
      <c r="CU34" s="33">
        <v>0</v>
      </c>
      <c r="CV34" s="34">
        <f>IF(AND(ISNUMBER(CW34),ISNUMBER(CU34)),CW34-CU34,"")</f>
        <v>0</v>
      </c>
      <c r="CW34" s="33">
        <v>3</v>
      </c>
      <c r="CX34" s="34">
        <f>IF(AND(ISNUMBER(CY34),ISNUMBER(CW34)),CY34-CW34,"")</f>
        <v>0</v>
      </c>
      <c r="CY34" s="33">
        <v>2</v>
      </c>
      <c r="CZ34" s="34">
        <f>IF(AND(ISNUMBER(DA34),ISNUMBER(CY34)),DA34-CY34,"")</f>
        <v>0</v>
      </c>
      <c r="DA34" s="33">
        <v>0</v>
      </c>
      <c r="DB34" s="34">
        <f>IF(AND(ISNUMBER(DC34),ISNUMBER(DA34)),DC34-DA34,"")</f>
        <v>0</v>
      </c>
      <c r="DC34" s="33">
        <v>2</v>
      </c>
      <c r="DD34" s="34">
        <f>IF(AND(ISNUMBER(DE34),ISNUMBER(DC34)),DE34-DC34,"")</f>
        <v>0</v>
      </c>
      <c r="DE34" s="33">
        <v>0</v>
      </c>
      <c r="DF34" s="34">
        <f>IF(AND(ISNUMBER(DG34),ISNUMBER(DE34)),DG34-DE34,"")</f>
        <v>0</v>
      </c>
      <c r="DG34" s="33">
        <v>2</v>
      </c>
      <c r="DH34" s="34">
        <f>IF(AND(ISNUMBER(DI34),ISNUMBER(DG34)),DI34-DG34,"")</f>
        <v>0</v>
      </c>
      <c r="DI34" s="33">
        <v>0</v>
      </c>
      <c r="DJ34" s="34">
        <f>IF(AND(ISNUMBER(DK34),ISNUMBER(DI34)),DK34-DI34,"")</f>
        <v>0</v>
      </c>
      <c r="DK34" s="33">
        <v>2</v>
      </c>
      <c r="DL34" s="34">
        <f>IF(AND(ISNUMBER(DM34),ISNUMBER(DK34)),DM34-DK34,"")</f>
        <v>0</v>
      </c>
      <c r="DM34" s="33">
        <v>0</v>
      </c>
      <c r="DN34" s="34">
        <f>IF(AND(ISNUMBER(DO34),ISNUMBER(DM34)),DO34-DM34,"")</f>
        <v>0</v>
      </c>
      <c r="DO34" s="33">
        <v>0</v>
      </c>
      <c r="DP34" s="34">
        <f>IF(AND(ISNUMBER(DQ34),ISNUMBER(DO34)),DQ34-DO34,"")</f>
        <v>0</v>
      </c>
      <c r="DQ34" s="33">
        <v>2</v>
      </c>
      <c r="DR34" s="34">
        <f>IF(AND(ISNUMBER(DS34),ISNUMBER(DQ34)),DS34-DQ34,"")</f>
        <v>0</v>
      </c>
      <c r="DS34" s="33">
        <v>0</v>
      </c>
      <c r="DT34" s="34">
        <f>IF(AND(ISNUMBER(DU34),ISNUMBER(DS34)),DU34-DS34,"")</f>
        <v>0</v>
      </c>
      <c r="DU34" s="33">
        <v>0</v>
      </c>
      <c r="DV34" s="34">
        <f>IF(AND(ISNUMBER(DW34),ISNUMBER(DU34)),DW34-DU34,"")</f>
        <v>0</v>
      </c>
      <c r="DW34" s="33">
        <v>0</v>
      </c>
      <c r="DX34" s="34">
        <f>IF(AND(ISNUMBER(DY34),ISNUMBER(DW34)),DY34-DW34,"")</f>
        <v>0</v>
      </c>
      <c r="DY34" s="33">
        <v>1</v>
      </c>
      <c r="DZ34" s="34">
        <f>IF(AND(ISNUMBER(EA34),ISNUMBER(DY34)),EA34-DY34,"")</f>
        <v>0</v>
      </c>
      <c r="EA34" s="33">
        <v>0</v>
      </c>
      <c r="EB34" s="34">
        <f>IF(AND(ISNUMBER(EC34),ISNUMBER(EA34)),EC34-EA34,"")</f>
        <v>0</v>
      </c>
      <c r="EC34" s="33">
        <v>1</v>
      </c>
      <c r="ED34" s="34">
        <f>IF(AND(ISNUMBER(EE34),ISNUMBER(EC34)),EE34-EC34,"")</f>
        <v>0</v>
      </c>
      <c r="EE34" s="33">
        <v>0</v>
      </c>
      <c r="EF34" s="34">
        <f>IF(AND(ISNUMBER(EG34),ISNUMBER(EE34)),EG34-EE34,"")</f>
        <v>0</v>
      </c>
      <c r="EG34" s="33">
        <v>2</v>
      </c>
      <c r="EH34" s="34">
        <f>IF(AND(ISNUMBER(EI34),ISNUMBER(EG34)),EI34-EG34,"")</f>
        <v>0</v>
      </c>
      <c r="EI34" s="33">
        <v>0</v>
      </c>
      <c r="EJ34" s="34">
        <f>IF(AND(ISNUMBER(EK34),ISNUMBER(EI34)),EK34-EI34,"")</f>
        <v>0</v>
      </c>
      <c r="EK34" s="33">
        <v>1</v>
      </c>
      <c r="EL34" s="34">
        <f>IF(AND(ISNUMBER(EM34),ISNUMBER(EK34)),EM34-EK34,"")</f>
        <v>0</v>
      </c>
      <c r="EM34" s="33">
        <v>4</v>
      </c>
      <c r="EN34" s="34">
        <f>IF(AND(ISNUMBER(EO34),ISNUMBER(EM34)),EO34-EM34,"")</f>
        <v>0</v>
      </c>
      <c r="EO34" s="33">
        <v>3</v>
      </c>
      <c r="EP34" s="34">
        <f>IF(AND(ISNUMBER(EQ34),ISNUMBER(EO34)),EQ34-EO34,"")</f>
        <v>0</v>
      </c>
      <c r="EQ34" s="33">
        <v>5</v>
      </c>
      <c r="ER34" s="34">
        <f>IF(AND(ISNUMBER(ES34),ISNUMBER(EQ34)),ES34-EQ34,"")</f>
        <v>0</v>
      </c>
      <c r="ES34" s="33">
        <v>8</v>
      </c>
      <c r="ET34" s="34">
        <f>IF(AND(ISNUMBER(EU34),ISNUMBER(ES34)),EU34-ES34,"")</f>
        <v>0</v>
      </c>
      <c r="EU34" s="33">
        <v>5</v>
      </c>
      <c r="EV34" s="34">
        <f>IF(AND(ISNUMBER(EW34),ISNUMBER(EU34)),EW34-EU34,"")</f>
        <v>0</v>
      </c>
      <c r="EW34" s="33">
        <v>4</v>
      </c>
      <c r="EX34" s="34">
        <f>IF(AND(ISNUMBER(EY34),ISNUMBER(EW34)),EY34-EW34,"")</f>
        <v>0</v>
      </c>
      <c r="EY34" s="33">
        <v>0</v>
      </c>
      <c r="EZ34" s="34">
        <f>IF(AND(ISNUMBER(FA34),ISNUMBER(EY34)),FA34-EY34,"")</f>
        <v>0</v>
      </c>
      <c r="FA34" s="33">
        <v>2</v>
      </c>
      <c r="FB34" s="34">
        <f>IF(AND(ISNUMBER(FC34),ISNUMBER(FA34)),FC34-FA34,"")</f>
        <v>0</v>
      </c>
      <c r="FC34" s="33"/>
      <c r="FD34" s="34">
        <f>IF(AND(ISNUMBER(FE34),ISNUMBER(FC34)),FE34-FC34,"")</f>
        <v>0</v>
      </c>
      <c r="FE34" s="33"/>
      <c r="FF34" s="34">
        <f>IF(AND(ISNUMBER(FG34),ISNUMBER(FE34)),FG34-FE34,"")</f>
        <v>0</v>
      </c>
      <c r="FG34" s="33"/>
      <c r="FH34" s="34">
        <f>IF(AND(ISNUMBER(FI34),ISNUMBER(FG34)),FI34-FG34,"")</f>
        <v>0</v>
      </c>
      <c r="FI34" s="33"/>
      <c r="FJ34" s="34">
        <f>IF(AND(ISNUMBER(FK34),ISNUMBER(FI34)),FK34-FI34,"")</f>
        <v>0</v>
      </c>
      <c r="FK34" s="33"/>
      <c r="FL34" s="34">
        <f>IF(AND(ISNUMBER(FM34),ISNUMBER(FK34)),FM34-FK34,"")</f>
        <v>0</v>
      </c>
      <c r="FM34" s="33"/>
      <c r="FN34" s="34">
        <f>IF(AND(ISNUMBER(FO34),ISNUMBER(FM34)),FO34-FM34,"")</f>
        <v>0</v>
      </c>
      <c r="FO34" s="33"/>
      <c r="FP34" s="34">
        <f>IF(AND(ISNUMBER(FQ34),ISNUMBER(FO34)),FQ34-FO34,"")</f>
        <v>0</v>
      </c>
      <c r="FQ34" s="33"/>
      <c r="FR34" s="34">
        <f>IF(AND(ISNUMBER(FS34),ISNUMBER(FQ34)),FS34-FQ34,"")</f>
        <v>0</v>
      </c>
      <c r="FS34" s="33"/>
      <c r="FT34" s="34">
        <f>IF(AND(ISNUMBER(FU34),ISNUMBER(FS34)),FU34-FS34,"")</f>
        <v>0</v>
      </c>
      <c r="FU34" s="33"/>
      <c r="FV34" s="34">
        <f>IF(AND(ISNUMBER(FW34),ISNUMBER(FU34)),FW34-FU34,"")</f>
        <v>0</v>
      </c>
      <c r="FW34" s="33"/>
      <c r="FX34" s="34">
        <f>IF(AND(ISNUMBER(FY34),ISNUMBER(FW34)),FY34-FW34,"")</f>
        <v>0</v>
      </c>
      <c r="FY34" s="33"/>
      <c r="FZ34" s="34">
        <f>IF(AND(ISNUMBER(GA34),ISNUMBER(FY34)),GA34-FY34,"")</f>
        <v>0</v>
      </c>
      <c r="GA34" s="33"/>
      <c r="GB34" s="34">
        <f>IF(AND(ISNUMBER(GC34),ISNUMBER(GA34)),GC34-GA34,"")</f>
        <v>0</v>
      </c>
      <c r="GC34" s="33"/>
      <c r="GD34" s="34">
        <f>IF(AND(ISNUMBER(GE34),ISNUMBER(GC34)),GE34-GC34,"")</f>
        <v>0</v>
      </c>
      <c r="GE34" s="33"/>
      <c r="GF34" s="34">
        <f>IF(AND(ISNUMBER(GG34),ISNUMBER(GE34)),GG34-GE34,"")</f>
        <v>0</v>
      </c>
      <c r="GG34" s="33"/>
      <c r="GH34" s="34">
        <f>IF(AND(ISNUMBER(GI34),ISNUMBER(GG34)),GI34-GG34,"")</f>
        <v>0</v>
      </c>
      <c r="GI34" s="33"/>
      <c r="GJ34" s="34">
        <f>IF(AND(ISNUMBER(GK34),ISNUMBER(GI34)),GK34-GI34,"")</f>
        <v>0</v>
      </c>
      <c r="GK34" s="33"/>
      <c r="GL34" s="34">
        <f>IF(AND(ISNUMBER(GM34),ISNUMBER(GK34)),GM34-GK34,"")</f>
        <v>0</v>
      </c>
      <c r="GM34" s="33"/>
      <c r="GN34" s="34">
        <f>IF(AND(ISNUMBER(GO34),ISNUMBER(GM34)),GO34-GM34,"")</f>
        <v>0</v>
      </c>
      <c r="GO34" s="33"/>
      <c r="GP34" s="34">
        <f>IF(AND(ISNUMBER(GQ34),ISNUMBER(GO34)),GQ34-GO34,"")</f>
        <v>0</v>
      </c>
      <c r="GQ34" s="33"/>
      <c r="GR34" s="34">
        <f>IF(AND(ISNUMBER(GS34),ISNUMBER(GQ34)),GS34-GQ34,"")</f>
        <v>0</v>
      </c>
      <c r="GS34" s="33"/>
      <c r="GT34" s="34">
        <f>IF(AND(ISNUMBER(GU34),ISNUMBER(GS34)),GU34-GS34,"")</f>
        <v>0</v>
      </c>
      <c r="GU34" s="33"/>
      <c r="GV34" s="34">
        <f>IF(AND(ISNUMBER(GW34),ISNUMBER(GU34)),GW34-GU34,"")</f>
        <v>0</v>
      </c>
      <c r="GW34" s="33"/>
      <c r="GX34" s="34">
        <f>IF(AND(ISNUMBER(GY34),ISNUMBER(GW34)),GY34-GW34,"")</f>
        <v>0</v>
      </c>
      <c r="GY34" s="33"/>
      <c r="GZ34" s="34">
        <f>IF(AND(ISNUMBER(HA34),ISNUMBER(GY34)),HA34-GY34,"")</f>
        <v>0</v>
      </c>
      <c r="HA34" s="33"/>
      <c r="HB34" s="34">
        <f>IF(AND(ISNUMBER(HC34),ISNUMBER(HA34)),HC34-HA34,"")</f>
        <v>0</v>
      </c>
      <c r="HC34" s="33"/>
      <c r="HD34" s="34">
        <f>IF(AND(ISNUMBER(HE34),ISNUMBER(HC34)),HE34-HC34,"")</f>
        <v>0</v>
      </c>
      <c r="HE34" s="33"/>
      <c r="HF34" s="34">
        <f>IF(AND(ISNUMBER(HG34),ISNUMBER(HE34)),HG34-HE34,"")</f>
        <v>0</v>
      </c>
      <c r="HG34" s="33"/>
      <c r="HH34" s="34">
        <f>IF(AND(ISNUMBER(HI34),ISNUMBER(HG34)),HI34-HG34,"")</f>
        <v>0</v>
      </c>
      <c r="HI34" s="33"/>
      <c r="HJ34" s="34">
        <f>IF(AND(ISNUMBER(HK34),ISNUMBER(HI34)),HK34-HI34,"")</f>
        <v>0</v>
      </c>
      <c r="HK34" s="33"/>
      <c r="HL34" s="34">
        <f>IF(AND(ISNUMBER(HM34),ISNUMBER(HK34)),HM34-HK34,"")</f>
        <v>0</v>
      </c>
      <c r="HM34" s="33"/>
      <c r="HN34" s="34">
        <f>IF(AND(ISNUMBER(HO34),ISNUMBER(HM34)),HO34-HM34,"")</f>
        <v>0</v>
      </c>
      <c r="HO34" s="33"/>
      <c r="HP34" s="34">
        <f>IF(AND(ISNUMBER(HQ34),ISNUMBER(HO34)),HQ34-HO34,"")</f>
        <v>0</v>
      </c>
      <c r="HQ34" s="33"/>
      <c r="HR34" s="34">
        <f>IF(AND(ISNUMBER(HS34),ISNUMBER(HQ34)),HS34-HQ34,"")</f>
        <v>0</v>
      </c>
      <c r="HS34" s="33"/>
      <c r="HT34" s="34">
        <f>IF(AND(ISNUMBER(HU34),ISNUMBER(HS34)),HU34-HS34,"")</f>
        <v>0</v>
      </c>
      <c r="HU34" s="33"/>
      <c r="HV34" s="34">
        <f>IF(AND(ISNUMBER(HW34),ISNUMBER(HU34)),HW34-HU34,"")</f>
        <v>0</v>
      </c>
      <c r="HW34" s="33"/>
      <c r="HX34" s="34">
        <f>IF(AND(ISNUMBER(HY34),ISNUMBER(HW34)),HY34-HW34,"")</f>
        <v>0</v>
      </c>
      <c r="HY34" s="33"/>
      <c r="HZ34" s="34">
        <f>IF(AND(ISNUMBER(IA34),ISNUMBER(HY34)),IA34-HY34,"")</f>
        <v>0</v>
      </c>
      <c r="IA34" s="33"/>
      <c r="IB34" s="34">
        <f>IF(AND(ISNUMBER(IC34),ISNUMBER(IA34)),IC34-IA34,"")</f>
        <v>0</v>
      </c>
      <c r="IC34" s="33"/>
      <c r="ID34" s="34">
        <f>IF(AND(ISNUMBER(IE34),ISNUMBER(IC34)),IE34-IC34,"")</f>
        <v>0</v>
      </c>
      <c r="IE34" s="33"/>
      <c r="IF34" s="34">
        <f>IF(AND(ISNUMBER(IG34),ISNUMBER(IE34)),IG34-IE34,"")</f>
        <v>0</v>
      </c>
      <c r="IG34" s="33"/>
      <c r="IH34" s="34">
        <f>IF(AND(ISNUMBER(II34),ISNUMBER(IG34)),II34-IG34,"")</f>
        <v>0</v>
      </c>
      <c r="II34" s="33"/>
      <c r="IJ34" s="34">
        <f>IF(AND(ISNUMBER(IK34),ISNUMBER(II34)),IK34-II34,"")</f>
        <v>0</v>
      </c>
      <c r="IK34" s="33"/>
      <c r="IL34" s="34">
        <f>IF(AND(ISNUMBER(IM34),ISNUMBER(IK34)),IM34-IK34,"")</f>
        <v>0</v>
      </c>
      <c r="IM34" s="33"/>
      <c r="IN34" s="34">
        <f>IF(AND(ISNUMBER(IO34),ISNUMBER(IM34)),IO34-IM34,"")</f>
        <v>0</v>
      </c>
      <c r="IO34" s="33"/>
      <c r="IP34" s="34">
        <f>IF(AND(ISNUMBER(IQ34),ISNUMBER(IO34)),IQ34-IO34,"")</f>
        <v>0</v>
      </c>
      <c r="IQ34" s="33"/>
      <c r="IR34" s="34">
        <f>IF(AND(ISNUMBER(IS34),ISNUMBER(IQ34)),IS34-IQ34,"")</f>
        <v>0</v>
      </c>
      <c r="IS34" s="33"/>
      <c r="IT34" s="34">
        <f>IF(AND(ISNUMBER(IU34),ISNUMBER(IS34)),IU34-IS34,"")</f>
        <v>0</v>
      </c>
      <c r="IU34" s="33"/>
      <c r="IV34" s="34">
        <f>IF(AND(ISNUMBER(IW34),ISNUMBER(IU34)),IW34-IU34,"")</f>
        <v>0</v>
      </c>
      <c r="IW34" s="33"/>
      <c r="IX34" s="34">
        <f>IF(AND(ISNUMBER(IY34),ISNUMBER(IW34)),IY34-IW34,"")</f>
        <v>0</v>
      </c>
      <c r="IY34" s="33"/>
      <c r="IZ34" s="34">
        <f>IF(AND(ISNUMBER(JA34),ISNUMBER(IY34)),JA34-IY34,"")</f>
        <v>0</v>
      </c>
      <c r="JA34" s="33"/>
      <c r="JB34" s="34">
        <f>IF(AND(ISNUMBER(JC34),ISNUMBER(JA34)),JC34-JA34,"")</f>
        <v>0</v>
      </c>
      <c r="JC34" s="33"/>
      <c r="JD34" s="34">
        <f>IF(AND(ISNUMBER(JE34),ISNUMBER(JC34)),JE34-JC34,"")</f>
        <v>0</v>
      </c>
      <c r="JE34" s="33"/>
      <c r="JF34" s="34">
        <f>IF(AND(ISNUMBER(JG34),ISNUMBER(JE34)),JG34-JE34,"")</f>
        <v>0</v>
      </c>
      <c r="JG34" s="33"/>
      <c r="JH34" s="34">
        <f>IF(AND(ISNUMBER(JI34),ISNUMBER(JG34)),JI34-JG34,"")</f>
        <v>0</v>
      </c>
      <c r="JI34" s="33"/>
      <c r="JJ34" s="34">
        <f>IF(AND(ISNUMBER(JK34),ISNUMBER(JI34)),JK34-JI34,"")</f>
        <v>0</v>
      </c>
      <c r="JK34" s="33"/>
      <c r="JL34" s="34">
        <f>IF(AND(ISNUMBER(JM34),ISNUMBER(JK34)),JM34-JK34,"")</f>
        <v>0</v>
      </c>
      <c r="JM34" s="33"/>
      <c r="JN34" s="34">
        <f>IF(AND(ISNUMBER(JO34),ISNUMBER(JM34)),JO34-JM34,"")</f>
        <v>0</v>
      </c>
      <c r="JO34" s="33"/>
      <c r="JP34" s="34">
        <f>IF(AND(ISNUMBER(JQ34),ISNUMBER(JO34)),JQ34-JO34,"")</f>
        <v>0</v>
      </c>
      <c r="JQ34" s="33"/>
      <c r="JR34" s="34">
        <f>IF(AND(ISNUMBER(JS34),ISNUMBER(JQ34)),JS34-JQ34,"")</f>
        <v>0</v>
      </c>
      <c r="JS34" s="33"/>
      <c r="JT34" s="34">
        <f>IF(AND(ISNUMBER(JU34),ISNUMBER(JS34)),JU34-JS34,"")</f>
        <v>0</v>
      </c>
      <c r="JU34" s="33"/>
      <c r="JV34" s="34">
        <f>IF(AND(ISNUMBER(JW34),ISNUMBER(JU34)),JW34-JU34,"")</f>
        <v>0</v>
      </c>
      <c r="JW34" s="33"/>
      <c r="JX34" s="34">
        <f>IF(AND(ISNUMBER(JY34),ISNUMBER(JW34)),JY34-JW34,"")</f>
        <v>0</v>
      </c>
      <c r="JY34" s="33"/>
      <c r="JZ34" s="34">
        <f>IF(AND(ISNUMBER(KA34),ISNUMBER(JY34)),KA34-JY34,"")</f>
        <v>0</v>
      </c>
      <c r="KA34" s="33"/>
      <c r="KB34" s="34">
        <f>IF(AND(ISNUMBER(KC34),ISNUMBER(KA34)),KC34-KA34,"")</f>
        <v>0</v>
      </c>
      <c r="KC34" s="33"/>
      <c r="KD34" s="34">
        <f>IF(AND(ISNUMBER(KE34),ISNUMBER(KC34)),KE34-KC34,"")</f>
        <v>0</v>
      </c>
      <c r="KE34" s="33"/>
      <c r="KF34" s="34">
        <f>IF(AND(ISNUMBER(KG34),ISNUMBER(KE34)),KG34-KE34,"")</f>
        <v>0</v>
      </c>
      <c r="KG34" s="33"/>
      <c r="KH34" s="34">
        <f>IF(AND(ISNUMBER(KI34),ISNUMBER(KG34)),KI34-KG34,"")</f>
        <v>0</v>
      </c>
      <c r="KI34" s="33"/>
      <c r="KJ34" s="34">
        <f>IF(AND(ISNUMBER(KK34),ISNUMBER(KI34)),KK34-KI34,"")</f>
        <v>0</v>
      </c>
      <c r="KK34" s="33"/>
      <c r="KL34" s="34">
        <f>IF(AND(ISNUMBER(KM34),ISNUMBER(KK34)),KM34-KK34,"")</f>
        <v>0</v>
      </c>
      <c r="KM34" s="33"/>
      <c r="KN34" s="34">
        <f>IF(AND(ISNUMBER(KO34),ISNUMBER(KM34)),KO34-KM34,"")</f>
        <v>0</v>
      </c>
      <c r="KO34" s="33"/>
      <c r="KP34" s="34">
        <f>IF(AND(ISNUMBER(KQ34),ISNUMBER(KO34)),KQ34-KO34,"")</f>
        <v>0</v>
      </c>
      <c r="KQ34" s="33"/>
      <c r="KR34" s="34">
        <f>IF(AND(ISNUMBER(KS34),ISNUMBER(KQ34)),KS34-KQ34,"")</f>
        <v>0</v>
      </c>
      <c r="KS34" s="33"/>
      <c r="KT34" s="34">
        <f>IF(AND(ISNUMBER(KU34),ISNUMBER(KS34)),KU34-KS34,"")</f>
        <v>0</v>
      </c>
      <c r="KU34" s="33"/>
      <c r="KV34" s="34">
        <f>IF(AND(ISNUMBER(KW34),ISNUMBER(KU34)),KW34-KU34,"")</f>
        <v>0</v>
      </c>
      <c r="KW34" s="33"/>
      <c r="KX34" s="34">
        <f>IF(AND(ISNUMBER(KY34),ISNUMBER(KW34)),KY34-KW34,"")</f>
        <v>0</v>
      </c>
      <c r="KY34" s="33"/>
      <c r="KZ34" s="34">
        <f>IF(AND(ISNUMBER(LA34),ISNUMBER(KY34)),LA34-KY34,"")</f>
        <v>0</v>
      </c>
      <c r="LA34" s="33"/>
      <c r="LB34" s="34">
        <f>IF(AND(ISNUMBER(LC34),ISNUMBER(LA34)),LC34-LA34,"")</f>
        <v>0</v>
      </c>
      <c r="LC34" s="33"/>
      <c r="LD34" s="34">
        <f>IF(AND(ISNUMBER(LE34),ISNUMBER(LC34)),LE34-LC34,"")</f>
        <v>0</v>
      </c>
      <c r="LE34" s="33"/>
      <c r="LF34" s="34">
        <f>IF(AND(ISNUMBER(LG34),ISNUMBER(LE34)),LG34-LE34,"")</f>
        <v>0</v>
      </c>
      <c r="LG34" s="33"/>
    </row>
    <row r="35" spans="1:322" hidden="1" outlineLevel="1">
      <c r="B35" s="23"/>
      <c r="D35" s="31" t="s">
        <v>719</v>
      </c>
      <c r="E35" s="32" t="s">
        <v>1058</v>
      </c>
      <c r="F35" s="38">
        <v>45689</v>
      </c>
      <c r="I35" s="33">
        <v>3</v>
      </c>
      <c r="J35" s="34">
        <f>IF(AND(ISNUMBER(K35),ISNUMBER(I35)),K35-I35,"")</f>
        <v>0</v>
      </c>
      <c r="K35" s="33">
        <v>2</v>
      </c>
      <c r="L35" s="34">
        <f>IF(AND(ISNUMBER(M35),ISNUMBER(K35)),M35-K35,"")</f>
        <v>0</v>
      </c>
      <c r="M35" s="33">
        <v>0</v>
      </c>
      <c r="N35" s="34">
        <f>IF(AND(ISNUMBER(O35),ISNUMBER(M35)),O35-M35,"")</f>
        <v>0</v>
      </c>
      <c r="O35" s="40" t="s">
        <v>1088</v>
      </c>
      <c r="P35" s="34">
        <f>IF(AND(ISNUMBER(Q35),ISNUMBER(O35)),Q35-O35,"")</f>
        <v>0</v>
      </c>
      <c r="Q35" s="40" t="s">
        <v>1088</v>
      </c>
      <c r="R35" s="34">
        <f>IF(AND(ISNUMBER(S35),ISNUMBER(Q35)),S35-Q35,"")</f>
        <v>0</v>
      </c>
      <c r="S35" s="33">
        <v>12</v>
      </c>
      <c r="T35" s="34">
        <f>IF(AND(ISNUMBER(U35),ISNUMBER(S35)),U35-S35,"")</f>
        <v>0</v>
      </c>
      <c r="U35" s="40" t="s">
        <v>1088</v>
      </c>
      <c r="V35" s="34">
        <f>IF(AND(ISNUMBER(W35),ISNUMBER(U35)),W35-U35,"")</f>
        <v>0</v>
      </c>
      <c r="W35" s="33">
        <v>0</v>
      </c>
      <c r="X35" s="34">
        <f>IF(AND(ISNUMBER(Y35),ISNUMBER(W35)),Y35-W35,"")</f>
        <v>0</v>
      </c>
      <c r="Y35" s="33">
        <v>0</v>
      </c>
      <c r="Z35" s="34">
        <f>IF(AND(ISNUMBER(AA35),ISNUMBER(Y35)),AA35-Y35,"")</f>
        <v>0</v>
      </c>
      <c r="AA35" s="33">
        <v>0</v>
      </c>
      <c r="AB35" s="34">
        <f>IF(AND(ISNUMBER(AC35),ISNUMBER(AA35)),AC35-AA35,"")</f>
        <v>0</v>
      </c>
      <c r="AC35" s="33">
        <v>0</v>
      </c>
      <c r="AD35" s="34">
        <f>IF(AND(ISNUMBER(AE35),ISNUMBER(AC35)),AE35-AC35,"")</f>
        <v>0</v>
      </c>
      <c r="AE35" s="33">
        <v>0</v>
      </c>
      <c r="AF35" s="34">
        <f>IF(AND(ISNUMBER(AG35),ISNUMBER(AE35)),AG35-AE35,"")</f>
        <v>0</v>
      </c>
      <c r="AG35" s="33">
        <v>2</v>
      </c>
      <c r="AH35" s="34">
        <f>IF(AND(ISNUMBER(AI35),ISNUMBER(AG35)),AI35-AG35,"")</f>
        <v>0</v>
      </c>
      <c r="AI35" s="33">
        <v>0</v>
      </c>
      <c r="AJ35" s="34">
        <f>IF(AND(ISNUMBER(AK35),ISNUMBER(AI35)),AK35-AI35,"")</f>
        <v>0</v>
      </c>
      <c r="AK35" s="33">
        <v>3</v>
      </c>
      <c r="AL35" s="34">
        <f>IF(AND(ISNUMBER(AM35),ISNUMBER(AK35)),AM35-AK35,"")</f>
        <v>0</v>
      </c>
      <c r="AM35" s="40" t="s">
        <v>1088</v>
      </c>
      <c r="AN35" s="34">
        <f>IF(AND(ISNUMBER(AO35),ISNUMBER(AM35)),AO35-AM35,"")</f>
        <v>0</v>
      </c>
      <c r="AO35" s="33">
        <v>4</v>
      </c>
      <c r="AP35" s="34">
        <f>IF(AND(ISNUMBER(AQ35),ISNUMBER(AO35)),AQ35-AO35,"")</f>
        <v>0</v>
      </c>
      <c r="AQ35" s="33">
        <v>4</v>
      </c>
      <c r="AR35" s="34">
        <f>IF(AND(ISNUMBER(AS35),ISNUMBER(AQ35)),AS35-AQ35,"")</f>
        <v>0</v>
      </c>
      <c r="AS35" s="33">
        <v>1</v>
      </c>
      <c r="AT35" s="34">
        <f>IF(AND(ISNUMBER(AU35),ISNUMBER(AS35)),AU35-AS35,"")</f>
        <v>0</v>
      </c>
      <c r="AU35" s="33">
        <v>2</v>
      </c>
      <c r="AV35" s="34">
        <f>IF(AND(ISNUMBER(AW35),ISNUMBER(AU35)),AW35-AU35,"")</f>
        <v>0</v>
      </c>
      <c r="AW35" s="33">
        <v>4</v>
      </c>
      <c r="AX35" s="34">
        <f>IF(AND(ISNUMBER(AY35),ISNUMBER(AW35)),AY35-AW35,"")</f>
        <v>0</v>
      </c>
      <c r="AY35" s="33">
        <v>1</v>
      </c>
      <c r="AZ35" s="34">
        <f>IF(AND(ISNUMBER(BA35),ISNUMBER(AY35)),BA35-AY35,"")</f>
        <v>0</v>
      </c>
      <c r="BA35" s="33">
        <v>2</v>
      </c>
      <c r="BB35" s="34">
        <f>IF(AND(ISNUMBER(BC35),ISNUMBER(BA35)),BC35-BA35,"")</f>
        <v>0</v>
      </c>
      <c r="BC35" s="33">
        <v>2</v>
      </c>
      <c r="BD35" s="34">
        <f>IF(AND(ISNUMBER(BE35),ISNUMBER(BC35)),BE35-BC35,"")</f>
        <v>0</v>
      </c>
      <c r="BE35" s="33">
        <v>2</v>
      </c>
      <c r="BF35" s="34">
        <f>IF(AND(ISNUMBER(BG35),ISNUMBER(BE35)),BG35-BE35,"")</f>
        <v>0</v>
      </c>
      <c r="BG35" s="33">
        <v>0</v>
      </c>
      <c r="BH35" s="34">
        <f>IF(AND(ISNUMBER(BI35),ISNUMBER(BG35)),BI35-BG35,"")</f>
        <v>0</v>
      </c>
      <c r="BI35" s="33">
        <v>0</v>
      </c>
      <c r="BJ35" s="34">
        <f>IF(AND(ISNUMBER(BK35),ISNUMBER(BI35)),BK35-BI35,"")</f>
        <v>0</v>
      </c>
      <c r="BK35" s="33">
        <v>0</v>
      </c>
      <c r="BL35" s="34">
        <f>IF(AND(ISNUMBER(BM35),ISNUMBER(BK35)),BM35-BK35,"")</f>
        <v>0</v>
      </c>
      <c r="BM35" s="33">
        <v>0</v>
      </c>
      <c r="BN35" s="34">
        <f>IF(AND(ISNUMBER(BO35),ISNUMBER(BM35)),BO35-BM35,"")</f>
        <v>0</v>
      </c>
      <c r="BO35" s="33">
        <v>1</v>
      </c>
      <c r="BP35" s="34">
        <f>IF(AND(ISNUMBER(BQ35),ISNUMBER(BO35)),BQ35-BO35,"")</f>
        <v>0</v>
      </c>
      <c r="BQ35" s="33">
        <v>12</v>
      </c>
      <c r="BR35" s="34">
        <f>IF(AND(ISNUMBER(BS35),ISNUMBER(BQ35)),BS35-BQ35,"")</f>
        <v>0</v>
      </c>
      <c r="BS35" s="33">
        <v>11</v>
      </c>
      <c r="BT35" s="34">
        <f>IF(AND(ISNUMBER(BU35),ISNUMBER(BS35)),BU35-BS35,"")</f>
        <v>0</v>
      </c>
      <c r="BU35" s="33">
        <v>0</v>
      </c>
      <c r="BV35" s="34">
        <f>IF(AND(ISNUMBER(BW35),ISNUMBER(BU35)),BW35-BU35,"")</f>
        <v>0</v>
      </c>
      <c r="BW35" s="33">
        <v>10</v>
      </c>
      <c r="BX35" s="34">
        <f>IF(AND(ISNUMBER(BY35),ISNUMBER(BW35)),BY35-BW35,"")</f>
        <v>0</v>
      </c>
      <c r="BY35" s="33">
        <v>0</v>
      </c>
      <c r="BZ35" s="34">
        <f>IF(AND(ISNUMBER(CA35),ISNUMBER(BY35)),CA35-BY35,"")</f>
        <v>0</v>
      </c>
      <c r="CA35" s="33">
        <v>5</v>
      </c>
      <c r="CB35" s="34">
        <f>IF(AND(ISNUMBER(CC35),ISNUMBER(CA35)),CC35-CA35,"")</f>
        <v>0</v>
      </c>
      <c r="CC35" s="33">
        <v>0</v>
      </c>
      <c r="CD35" s="34">
        <f>IF(AND(ISNUMBER(CE35),ISNUMBER(CC35)),CE35-CC35,"")</f>
        <v>0</v>
      </c>
      <c r="CE35" s="33">
        <v>0</v>
      </c>
      <c r="CF35" s="34">
        <f>IF(AND(ISNUMBER(CG35),ISNUMBER(CE35)),CG35-CE35,"")</f>
        <v>0</v>
      </c>
      <c r="CG35" s="33">
        <v>0</v>
      </c>
      <c r="CH35" s="34">
        <f>IF(AND(ISNUMBER(CI35),ISNUMBER(CG35)),CI35-CG35,"")</f>
        <v>0</v>
      </c>
      <c r="CI35" s="33">
        <v>2</v>
      </c>
      <c r="CJ35" s="34">
        <f>IF(AND(ISNUMBER(CK35),ISNUMBER(CI35)),CK35-CI35,"")</f>
        <v>0</v>
      </c>
      <c r="CK35" s="33">
        <v>0</v>
      </c>
      <c r="CL35" s="34">
        <f>IF(AND(ISNUMBER(CM35),ISNUMBER(CK35)),CM35-CK35,"")</f>
        <v>0</v>
      </c>
      <c r="CM35" s="33">
        <v>6</v>
      </c>
      <c r="CN35" s="34">
        <f>IF(AND(ISNUMBER(CO35),ISNUMBER(CM35)),CO35-CM35,"")</f>
        <v>0</v>
      </c>
      <c r="CO35" s="33">
        <v>0</v>
      </c>
      <c r="CP35" s="34">
        <f>IF(AND(ISNUMBER(CQ35),ISNUMBER(CO35)),CQ35-CO35,"")</f>
        <v>0</v>
      </c>
      <c r="CQ35" s="33">
        <v>0</v>
      </c>
      <c r="CR35" s="34">
        <f>IF(AND(ISNUMBER(CS35),ISNUMBER(CQ35)),CS35-CQ35,"")</f>
        <v>0</v>
      </c>
      <c r="CS35" s="33">
        <v>2</v>
      </c>
      <c r="CT35" s="34">
        <f>IF(AND(ISNUMBER(CU35),ISNUMBER(CS35)),CU35-CS35,"")</f>
        <v>0</v>
      </c>
      <c r="CU35" s="33">
        <v>0</v>
      </c>
      <c r="CV35" s="34">
        <f>IF(AND(ISNUMBER(CW35),ISNUMBER(CU35)),CW35-CU35,"")</f>
        <v>0</v>
      </c>
      <c r="CW35" s="33">
        <v>0</v>
      </c>
      <c r="CX35" s="34">
        <f>IF(AND(ISNUMBER(CY35),ISNUMBER(CW35)),CY35-CW35,"")</f>
        <v>0</v>
      </c>
      <c r="CY35" s="33">
        <v>0</v>
      </c>
      <c r="CZ35" s="34">
        <f>IF(AND(ISNUMBER(DA35),ISNUMBER(CY35)),DA35-CY35,"")</f>
        <v>0</v>
      </c>
      <c r="DA35" s="33"/>
      <c r="DB35" s="34">
        <f>IF(AND(ISNUMBER(DC35),ISNUMBER(DA35)),DC35-DA35,"")</f>
        <v>0</v>
      </c>
      <c r="DC35" s="33"/>
      <c r="DD35" s="34">
        <f>IF(AND(ISNUMBER(DE35),ISNUMBER(DC35)),DE35-DC35,"")</f>
        <v>0</v>
      </c>
      <c r="DE35" s="33"/>
      <c r="DF35" s="34">
        <f>IF(AND(ISNUMBER(DG35),ISNUMBER(DE35)),DG35-DE35,"")</f>
        <v>0</v>
      </c>
      <c r="DG35" s="33">
        <v>0</v>
      </c>
      <c r="DH35" s="34">
        <f>IF(AND(ISNUMBER(DI35),ISNUMBER(DG35)),DI35-DG35,"")</f>
        <v>0</v>
      </c>
      <c r="DI35" s="33">
        <v>0</v>
      </c>
      <c r="DJ35" s="34">
        <f>IF(AND(ISNUMBER(DK35),ISNUMBER(DI35)),DK35-DI35,"")</f>
        <v>0</v>
      </c>
      <c r="DK35" s="33">
        <v>0</v>
      </c>
      <c r="DL35" s="34">
        <f>IF(AND(ISNUMBER(DM35),ISNUMBER(DK35)),DM35-DK35,"")</f>
        <v>0</v>
      </c>
      <c r="DM35" s="33"/>
      <c r="DN35" s="34">
        <f>IF(AND(ISNUMBER(DO35),ISNUMBER(DM35)),DO35-DM35,"")</f>
        <v>0</v>
      </c>
      <c r="DO35" s="40" t="s">
        <v>1094</v>
      </c>
      <c r="DP35" s="34">
        <f>IF(AND(ISNUMBER(DQ35),ISNUMBER(DO35)),DQ35-DO35,"")</f>
        <v>0</v>
      </c>
      <c r="DQ35" s="33">
        <v>7</v>
      </c>
      <c r="DR35" s="34">
        <f>IF(AND(ISNUMBER(DS35),ISNUMBER(DQ35)),DS35-DQ35,"")</f>
        <v>0</v>
      </c>
      <c r="DS35" s="33">
        <v>0</v>
      </c>
      <c r="DT35" s="34">
        <f>IF(AND(ISNUMBER(DU35),ISNUMBER(DS35)),DU35-DS35,"")</f>
        <v>0</v>
      </c>
      <c r="DU35" s="33">
        <v>1</v>
      </c>
      <c r="DV35" s="34">
        <f>IF(AND(ISNUMBER(DW35),ISNUMBER(DU35)),DW35-DU35,"")</f>
        <v>0</v>
      </c>
      <c r="DW35" s="33">
        <v>0</v>
      </c>
      <c r="DX35" s="34">
        <f>IF(AND(ISNUMBER(DY35),ISNUMBER(DW35)),DY35-DW35,"")</f>
        <v>0</v>
      </c>
      <c r="DY35" s="33">
        <v>0</v>
      </c>
      <c r="DZ35" s="34">
        <f>IF(AND(ISNUMBER(EA35),ISNUMBER(DY35)),EA35-DY35,"")</f>
        <v>0</v>
      </c>
      <c r="EA35" s="33">
        <v>0</v>
      </c>
      <c r="EB35" s="34">
        <f>IF(AND(ISNUMBER(EC35),ISNUMBER(EA35)),EC35-EA35,"")</f>
        <v>0</v>
      </c>
      <c r="EC35" s="33">
        <v>0</v>
      </c>
      <c r="ED35" s="34">
        <f>IF(AND(ISNUMBER(EE35),ISNUMBER(EC35)),EE35-EC35,"")</f>
        <v>0</v>
      </c>
      <c r="EE35" s="33">
        <v>0</v>
      </c>
      <c r="EF35" s="34">
        <f>IF(AND(ISNUMBER(EG35),ISNUMBER(EE35)),EG35-EE35,"")</f>
        <v>0</v>
      </c>
      <c r="EG35" s="33">
        <v>0</v>
      </c>
      <c r="EH35" s="34">
        <f>IF(AND(ISNUMBER(EI35),ISNUMBER(EG35)),EI35-EG35,"")</f>
        <v>0</v>
      </c>
      <c r="EI35" s="33">
        <v>3</v>
      </c>
      <c r="EJ35" s="34">
        <f>IF(AND(ISNUMBER(EK35),ISNUMBER(EI35)),EK35-EI35,"")</f>
        <v>0</v>
      </c>
      <c r="EK35" s="33">
        <v>0</v>
      </c>
      <c r="EL35" s="34">
        <f>IF(AND(ISNUMBER(EM35),ISNUMBER(EK35)),EM35-EK35,"")</f>
        <v>0</v>
      </c>
      <c r="EM35" s="33">
        <v>0</v>
      </c>
      <c r="EN35" s="34">
        <f>IF(AND(ISNUMBER(EO35),ISNUMBER(EM35)),EO35-EM35,"")</f>
        <v>0</v>
      </c>
      <c r="EO35" s="33"/>
      <c r="EP35" s="34">
        <f>IF(AND(ISNUMBER(EQ35),ISNUMBER(EO35)),EQ35-EO35,"")</f>
        <v>0</v>
      </c>
      <c r="EQ35" s="33">
        <v>0</v>
      </c>
      <c r="ER35" s="34">
        <f>IF(AND(ISNUMBER(ES35),ISNUMBER(EQ35)),ES35-EQ35,"")</f>
        <v>0</v>
      </c>
      <c r="ES35" s="33">
        <v>2</v>
      </c>
      <c r="ET35" s="34">
        <f>IF(AND(ISNUMBER(EU35),ISNUMBER(ES35)),EU35-ES35,"")</f>
        <v>0</v>
      </c>
      <c r="EU35" s="33">
        <v>0</v>
      </c>
      <c r="EV35" s="34">
        <f>IF(AND(ISNUMBER(EW35),ISNUMBER(EU35)),EW35-EU35,"")</f>
        <v>0</v>
      </c>
      <c r="EW35" s="33">
        <v>0</v>
      </c>
      <c r="EX35" s="34">
        <f>IF(AND(ISNUMBER(EY35),ISNUMBER(EW35)),EY35-EW35,"")</f>
        <v>0</v>
      </c>
      <c r="EY35" s="33">
        <v>2</v>
      </c>
      <c r="EZ35" s="34">
        <f>IF(AND(ISNUMBER(FA35),ISNUMBER(EY35)),FA35-EY35,"")</f>
        <v>0</v>
      </c>
      <c r="FA35" s="33"/>
      <c r="FB35" s="34">
        <f>IF(AND(ISNUMBER(FC35),ISNUMBER(FA35)),FC35-FA35,"")</f>
        <v>0</v>
      </c>
      <c r="FC35" s="33"/>
      <c r="FD35" s="34">
        <f>IF(AND(ISNUMBER(FE35),ISNUMBER(FC35)),FE35-FC35,"")</f>
        <v>0</v>
      </c>
      <c r="FE35" s="33"/>
      <c r="FF35" s="34">
        <f>IF(AND(ISNUMBER(FG35),ISNUMBER(FE35)),FG35-FE35,"")</f>
        <v>0</v>
      </c>
      <c r="FG35" s="33"/>
      <c r="FH35" s="34">
        <f>IF(AND(ISNUMBER(FI35),ISNUMBER(FG35)),FI35-FG35,"")</f>
        <v>0</v>
      </c>
      <c r="FI35" s="33"/>
      <c r="FJ35" s="34">
        <f>IF(AND(ISNUMBER(FK35),ISNUMBER(FI35)),FK35-FI35,"")</f>
        <v>0</v>
      </c>
      <c r="FK35" s="33"/>
      <c r="FL35" s="34">
        <f>IF(AND(ISNUMBER(FM35),ISNUMBER(FK35)),FM35-FK35,"")</f>
        <v>0</v>
      </c>
      <c r="FM35" s="33"/>
      <c r="FN35" s="34">
        <f>IF(AND(ISNUMBER(FO35),ISNUMBER(FM35)),FO35-FM35,"")</f>
        <v>0</v>
      </c>
      <c r="FO35" s="33"/>
      <c r="FP35" s="34">
        <f>IF(AND(ISNUMBER(FQ35),ISNUMBER(FO35)),FQ35-FO35,"")</f>
        <v>0</v>
      </c>
      <c r="FQ35" s="33"/>
      <c r="FR35" s="34">
        <f>IF(AND(ISNUMBER(FS35),ISNUMBER(FQ35)),FS35-FQ35,"")</f>
        <v>0</v>
      </c>
      <c r="FS35" s="33"/>
      <c r="FT35" s="34">
        <f>IF(AND(ISNUMBER(FU35),ISNUMBER(FS35)),FU35-FS35,"")</f>
        <v>0</v>
      </c>
      <c r="FU35" s="33"/>
      <c r="FV35" s="34">
        <f>IF(AND(ISNUMBER(FW35),ISNUMBER(FU35)),FW35-FU35,"")</f>
        <v>0</v>
      </c>
      <c r="FW35" s="33"/>
      <c r="FX35" s="34">
        <f>IF(AND(ISNUMBER(FY35),ISNUMBER(FW35)),FY35-FW35,"")</f>
        <v>0</v>
      </c>
      <c r="FY35" s="33"/>
      <c r="FZ35" s="34">
        <f>IF(AND(ISNUMBER(GA35),ISNUMBER(FY35)),GA35-FY35,"")</f>
        <v>0</v>
      </c>
      <c r="GA35" s="33"/>
      <c r="GB35" s="34">
        <f>IF(AND(ISNUMBER(GC35),ISNUMBER(GA35)),GC35-GA35,"")</f>
        <v>0</v>
      </c>
      <c r="GC35" s="33"/>
      <c r="GD35" s="34">
        <f>IF(AND(ISNUMBER(GE35),ISNUMBER(GC35)),GE35-GC35,"")</f>
        <v>0</v>
      </c>
      <c r="GE35" s="33"/>
      <c r="GF35" s="34">
        <f>IF(AND(ISNUMBER(GG35),ISNUMBER(GE35)),GG35-GE35,"")</f>
        <v>0</v>
      </c>
      <c r="GG35" s="33"/>
      <c r="GH35" s="34">
        <f>IF(AND(ISNUMBER(GI35),ISNUMBER(GG35)),GI35-GG35,"")</f>
        <v>0</v>
      </c>
      <c r="GI35" s="33"/>
      <c r="GJ35" s="34">
        <f>IF(AND(ISNUMBER(GK35),ISNUMBER(GI35)),GK35-GI35,"")</f>
        <v>0</v>
      </c>
      <c r="GK35" s="33"/>
      <c r="GL35" s="34">
        <f>IF(AND(ISNUMBER(GM35),ISNUMBER(GK35)),GM35-GK35,"")</f>
        <v>0</v>
      </c>
      <c r="GM35" s="33"/>
      <c r="GN35" s="34">
        <f>IF(AND(ISNUMBER(GO35),ISNUMBER(GM35)),GO35-GM35,"")</f>
        <v>0</v>
      </c>
      <c r="GO35" s="33"/>
      <c r="GP35" s="34">
        <f>IF(AND(ISNUMBER(GQ35),ISNUMBER(GO35)),GQ35-GO35,"")</f>
        <v>0</v>
      </c>
      <c r="GQ35" s="33"/>
      <c r="GR35" s="34">
        <f>IF(AND(ISNUMBER(GS35),ISNUMBER(GQ35)),GS35-GQ35,"")</f>
        <v>0</v>
      </c>
      <c r="GS35" s="33"/>
      <c r="GT35" s="34">
        <f>IF(AND(ISNUMBER(GU35),ISNUMBER(GS35)),GU35-GS35,"")</f>
        <v>0</v>
      </c>
      <c r="GU35" s="33"/>
      <c r="GV35" s="34">
        <f>IF(AND(ISNUMBER(GW35),ISNUMBER(GU35)),GW35-GU35,"")</f>
        <v>0</v>
      </c>
      <c r="GW35" s="33"/>
      <c r="GX35" s="34">
        <f>IF(AND(ISNUMBER(GY35),ISNUMBER(GW35)),GY35-GW35,"")</f>
        <v>0</v>
      </c>
      <c r="GY35" s="33"/>
      <c r="GZ35" s="34">
        <f>IF(AND(ISNUMBER(HA35),ISNUMBER(GY35)),HA35-GY35,"")</f>
        <v>0</v>
      </c>
      <c r="HA35" s="33"/>
      <c r="HB35" s="34">
        <f>IF(AND(ISNUMBER(HC35),ISNUMBER(HA35)),HC35-HA35,"")</f>
        <v>0</v>
      </c>
      <c r="HC35" s="33"/>
      <c r="HD35" s="34">
        <f>IF(AND(ISNUMBER(HE35),ISNUMBER(HC35)),HE35-HC35,"")</f>
        <v>0</v>
      </c>
      <c r="HE35" s="33"/>
      <c r="HF35" s="34">
        <f>IF(AND(ISNUMBER(HG35),ISNUMBER(HE35)),HG35-HE35,"")</f>
        <v>0</v>
      </c>
      <c r="HG35" s="33"/>
      <c r="HH35" s="34">
        <f>IF(AND(ISNUMBER(HI35),ISNUMBER(HG35)),HI35-HG35,"")</f>
        <v>0</v>
      </c>
      <c r="HI35" s="33"/>
      <c r="HJ35" s="34">
        <f>IF(AND(ISNUMBER(HK35),ISNUMBER(HI35)),HK35-HI35,"")</f>
        <v>0</v>
      </c>
      <c r="HK35" s="33"/>
      <c r="HL35" s="34">
        <f>IF(AND(ISNUMBER(HM35),ISNUMBER(HK35)),HM35-HK35,"")</f>
        <v>0</v>
      </c>
      <c r="HM35" s="33"/>
      <c r="HN35" s="34">
        <f>IF(AND(ISNUMBER(HO35),ISNUMBER(HM35)),HO35-HM35,"")</f>
        <v>0</v>
      </c>
      <c r="HO35" s="33"/>
      <c r="HP35" s="34">
        <f>IF(AND(ISNUMBER(HQ35),ISNUMBER(HO35)),HQ35-HO35,"")</f>
        <v>0</v>
      </c>
      <c r="HQ35" s="33"/>
      <c r="HR35" s="34">
        <f>IF(AND(ISNUMBER(HS35),ISNUMBER(HQ35)),HS35-HQ35,"")</f>
        <v>0</v>
      </c>
      <c r="HS35" s="33"/>
      <c r="HT35" s="34">
        <f>IF(AND(ISNUMBER(HU35),ISNUMBER(HS35)),HU35-HS35,"")</f>
        <v>0</v>
      </c>
      <c r="HU35" s="33"/>
      <c r="HV35" s="34">
        <f>IF(AND(ISNUMBER(HW35),ISNUMBER(HU35)),HW35-HU35,"")</f>
        <v>0</v>
      </c>
      <c r="HW35" s="33"/>
      <c r="HX35" s="34">
        <f>IF(AND(ISNUMBER(HY35),ISNUMBER(HW35)),HY35-HW35,"")</f>
        <v>0</v>
      </c>
      <c r="HY35" s="33"/>
      <c r="HZ35" s="34">
        <f>IF(AND(ISNUMBER(IA35),ISNUMBER(HY35)),IA35-HY35,"")</f>
        <v>0</v>
      </c>
      <c r="IA35" s="33"/>
      <c r="IB35" s="34">
        <f>IF(AND(ISNUMBER(IC35),ISNUMBER(IA35)),IC35-IA35,"")</f>
        <v>0</v>
      </c>
      <c r="IC35" s="33"/>
      <c r="ID35" s="34">
        <f>IF(AND(ISNUMBER(IE35),ISNUMBER(IC35)),IE35-IC35,"")</f>
        <v>0</v>
      </c>
      <c r="IE35" s="33"/>
      <c r="IF35" s="34">
        <f>IF(AND(ISNUMBER(IG35),ISNUMBER(IE35)),IG35-IE35,"")</f>
        <v>0</v>
      </c>
      <c r="IG35" s="33"/>
      <c r="IH35" s="34">
        <f>IF(AND(ISNUMBER(II35),ISNUMBER(IG35)),II35-IG35,"")</f>
        <v>0</v>
      </c>
      <c r="II35" s="33"/>
      <c r="IJ35" s="34">
        <f>IF(AND(ISNUMBER(IK35),ISNUMBER(II35)),IK35-II35,"")</f>
        <v>0</v>
      </c>
      <c r="IK35" s="33"/>
      <c r="IL35" s="34">
        <f>IF(AND(ISNUMBER(IM35),ISNUMBER(IK35)),IM35-IK35,"")</f>
        <v>0</v>
      </c>
      <c r="IM35" s="33"/>
      <c r="IN35" s="34">
        <f>IF(AND(ISNUMBER(IO35),ISNUMBER(IM35)),IO35-IM35,"")</f>
        <v>0</v>
      </c>
      <c r="IO35" s="33"/>
      <c r="IP35" s="34">
        <f>IF(AND(ISNUMBER(IQ35),ISNUMBER(IO35)),IQ35-IO35,"")</f>
        <v>0</v>
      </c>
      <c r="IQ35" s="33"/>
      <c r="IR35" s="34">
        <f>IF(AND(ISNUMBER(IS35),ISNUMBER(IQ35)),IS35-IQ35,"")</f>
        <v>0</v>
      </c>
      <c r="IS35" s="33"/>
      <c r="IT35" s="34">
        <f>IF(AND(ISNUMBER(IU35),ISNUMBER(IS35)),IU35-IS35,"")</f>
        <v>0</v>
      </c>
      <c r="IU35" s="33"/>
      <c r="IV35" s="34">
        <f>IF(AND(ISNUMBER(IW35),ISNUMBER(IU35)),IW35-IU35,"")</f>
        <v>0</v>
      </c>
      <c r="IW35" s="33"/>
      <c r="IX35" s="34">
        <f>IF(AND(ISNUMBER(IY35),ISNUMBER(IW35)),IY35-IW35,"")</f>
        <v>0</v>
      </c>
      <c r="IY35" s="33"/>
      <c r="IZ35" s="34">
        <f>IF(AND(ISNUMBER(JA35),ISNUMBER(IY35)),JA35-IY35,"")</f>
        <v>0</v>
      </c>
      <c r="JA35" s="33"/>
      <c r="JB35" s="34">
        <f>IF(AND(ISNUMBER(JC35),ISNUMBER(JA35)),JC35-JA35,"")</f>
        <v>0</v>
      </c>
      <c r="JC35" s="33"/>
      <c r="JD35" s="34">
        <f>IF(AND(ISNUMBER(JE35),ISNUMBER(JC35)),JE35-JC35,"")</f>
        <v>0</v>
      </c>
      <c r="JE35" s="33"/>
      <c r="JF35" s="34">
        <f>IF(AND(ISNUMBER(JG35),ISNUMBER(JE35)),JG35-JE35,"")</f>
        <v>0</v>
      </c>
      <c r="JG35" s="33"/>
      <c r="JH35" s="34">
        <f>IF(AND(ISNUMBER(JI35),ISNUMBER(JG35)),JI35-JG35,"")</f>
        <v>0</v>
      </c>
      <c r="JI35" s="33"/>
      <c r="JJ35" s="34">
        <f>IF(AND(ISNUMBER(JK35),ISNUMBER(JI35)),JK35-JI35,"")</f>
        <v>0</v>
      </c>
      <c r="JK35" s="33"/>
      <c r="JL35" s="34">
        <f>IF(AND(ISNUMBER(JM35),ISNUMBER(JK35)),JM35-JK35,"")</f>
        <v>0</v>
      </c>
      <c r="JM35" s="33"/>
      <c r="JN35" s="34">
        <f>IF(AND(ISNUMBER(JO35),ISNUMBER(JM35)),JO35-JM35,"")</f>
        <v>0</v>
      </c>
      <c r="JO35" s="33"/>
      <c r="JP35" s="34">
        <f>IF(AND(ISNUMBER(JQ35),ISNUMBER(JO35)),JQ35-JO35,"")</f>
        <v>0</v>
      </c>
      <c r="JQ35" s="33"/>
      <c r="JR35" s="34">
        <f>IF(AND(ISNUMBER(JS35),ISNUMBER(JQ35)),JS35-JQ35,"")</f>
        <v>0</v>
      </c>
      <c r="JS35" s="33"/>
      <c r="JT35" s="34">
        <f>IF(AND(ISNUMBER(JU35),ISNUMBER(JS35)),JU35-JS35,"")</f>
        <v>0</v>
      </c>
      <c r="JU35" s="33"/>
      <c r="JV35" s="34">
        <f>IF(AND(ISNUMBER(JW35),ISNUMBER(JU35)),JW35-JU35,"")</f>
        <v>0</v>
      </c>
      <c r="JW35" s="33"/>
      <c r="JX35" s="34">
        <f>IF(AND(ISNUMBER(JY35),ISNUMBER(JW35)),JY35-JW35,"")</f>
        <v>0</v>
      </c>
      <c r="JY35" s="33"/>
      <c r="JZ35" s="34">
        <f>IF(AND(ISNUMBER(KA35),ISNUMBER(JY35)),KA35-JY35,"")</f>
        <v>0</v>
      </c>
      <c r="KA35" s="33"/>
      <c r="KB35" s="34">
        <f>IF(AND(ISNUMBER(KC35),ISNUMBER(KA35)),KC35-KA35,"")</f>
        <v>0</v>
      </c>
      <c r="KC35" s="33"/>
      <c r="KD35" s="34">
        <f>IF(AND(ISNUMBER(KE35),ISNUMBER(KC35)),KE35-KC35,"")</f>
        <v>0</v>
      </c>
      <c r="KE35" s="33"/>
      <c r="KF35" s="34">
        <f>IF(AND(ISNUMBER(KG35),ISNUMBER(KE35)),KG35-KE35,"")</f>
        <v>0</v>
      </c>
      <c r="KG35" s="33"/>
      <c r="KH35" s="34">
        <f>IF(AND(ISNUMBER(KI35),ISNUMBER(KG35)),KI35-KG35,"")</f>
        <v>0</v>
      </c>
      <c r="KI35" s="33"/>
      <c r="KJ35" s="34">
        <f>IF(AND(ISNUMBER(KK35),ISNUMBER(KI35)),KK35-KI35,"")</f>
        <v>0</v>
      </c>
      <c r="KK35" s="33"/>
      <c r="KL35" s="34">
        <f>IF(AND(ISNUMBER(KM35),ISNUMBER(KK35)),KM35-KK35,"")</f>
        <v>0</v>
      </c>
      <c r="KM35" s="33"/>
      <c r="KN35" s="34">
        <f>IF(AND(ISNUMBER(KO35),ISNUMBER(KM35)),KO35-KM35,"")</f>
        <v>0</v>
      </c>
      <c r="KO35" s="33"/>
      <c r="KP35" s="34">
        <f>IF(AND(ISNUMBER(KQ35),ISNUMBER(KO35)),KQ35-KO35,"")</f>
        <v>0</v>
      </c>
      <c r="KQ35" s="33"/>
      <c r="KR35" s="34">
        <f>IF(AND(ISNUMBER(KS35),ISNUMBER(KQ35)),KS35-KQ35,"")</f>
        <v>0</v>
      </c>
      <c r="KS35" s="33"/>
      <c r="KT35" s="34">
        <f>IF(AND(ISNUMBER(KU35),ISNUMBER(KS35)),KU35-KS35,"")</f>
        <v>0</v>
      </c>
      <c r="KU35" s="33"/>
      <c r="KV35" s="34">
        <f>IF(AND(ISNUMBER(KW35),ISNUMBER(KU35)),KW35-KU35,"")</f>
        <v>0</v>
      </c>
      <c r="KW35" s="33"/>
      <c r="KX35" s="34">
        <f>IF(AND(ISNUMBER(KY35),ISNUMBER(KW35)),KY35-KW35,"")</f>
        <v>0</v>
      </c>
      <c r="KY35" s="33"/>
      <c r="KZ35" s="34">
        <f>IF(AND(ISNUMBER(LA35),ISNUMBER(KY35)),LA35-KY35,"")</f>
        <v>0</v>
      </c>
      <c r="LA35" s="33"/>
      <c r="LB35" s="34">
        <f>IF(AND(ISNUMBER(LC35),ISNUMBER(LA35)),LC35-LA35,"")</f>
        <v>0</v>
      </c>
      <c r="LC35" s="33"/>
      <c r="LD35" s="34">
        <f>IF(AND(ISNUMBER(LE35),ISNUMBER(LC35)),LE35-LC35,"")</f>
        <v>0</v>
      </c>
      <c r="LE35" s="33"/>
      <c r="LF35" s="34">
        <f>IF(AND(ISNUMBER(LG35),ISNUMBER(LE35)),LG35-LE35,"")</f>
        <v>0</v>
      </c>
      <c r="LG35" s="33"/>
      <c r="LJ35" s="35" t="s">
        <v>1092</v>
      </c>
    </row>
    <row r="36" spans="1:322" hidden="1" outlineLevel="1">
      <c r="B36" s="23"/>
      <c r="D36" s="31" t="s">
        <v>721</v>
      </c>
      <c r="E36" s="32" t="s">
        <v>1054</v>
      </c>
      <c r="F36" s="38">
        <v>45689</v>
      </c>
      <c r="I36" s="40" t="s">
        <v>1088</v>
      </c>
      <c r="J36" s="34">
        <f>IF(AND(ISNUMBER(K36),ISNUMBER(I36)),K36-I36,"")</f>
        <v>0</v>
      </c>
      <c r="K36" s="40" t="s">
        <v>1088</v>
      </c>
      <c r="L36" s="34">
        <f>IF(AND(ISNUMBER(M36),ISNUMBER(K36)),M36-K36,"")</f>
        <v>0</v>
      </c>
      <c r="M36" s="40" t="s">
        <v>1088</v>
      </c>
      <c r="N36" s="34">
        <f>IF(AND(ISNUMBER(O36),ISNUMBER(M36)),O36-M36,"")</f>
        <v>0</v>
      </c>
      <c r="O36" s="40" t="s">
        <v>1088</v>
      </c>
      <c r="P36" s="34">
        <f>IF(AND(ISNUMBER(Q36),ISNUMBER(O36)),Q36-O36,"")</f>
        <v>0</v>
      </c>
      <c r="Q36" s="40" t="s">
        <v>1088</v>
      </c>
      <c r="R36" s="34">
        <f>IF(AND(ISNUMBER(S36),ISNUMBER(Q36)),S36-Q36,"")</f>
        <v>0</v>
      </c>
      <c r="S36" s="40" t="s">
        <v>1088</v>
      </c>
      <c r="T36" s="34">
        <f>IF(AND(ISNUMBER(U36),ISNUMBER(S36)),U36-S36,"")</f>
        <v>0</v>
      </c>
      <c r="U36" s="40" t="s">
        <v>1088</v>
      </c>
      <c r="V36" s="34">
        <f>IF(AND(ISNUMBER(W36),ISNUMBER(U36)),W36-U36,"")</f>
        <v>0</v>
      </c>
      <c r="W36" s="33">
        <v>0</v>
      </c>
      <c r="X36" s="34">
        <f>IF(AND(ISNUMBER(Y36),ISNUMBER(W36)),Y36-W36,"")</f>
        <v>0</v>
      </c>
      <c r="Y36" s="33">
        <v>0</v>
      </c>
      <c r="Z36" s="34">
        <f>IF(AND(ISNUMBER(AA36),ISNUMBER(Y36)),AA36-Y36,"")</f>
        <v>0</v>
      </c>
      <c r="AA36" s="33">
        <v>0</v>
      </c>
      <c r="AB36" s="34">
        <f>IF(AND(ISNUMBER(AC36),ISNUMBER(AA36)),AC36-AA36,"")</f>
        <v>0</v>
      </c>
      <c r="AC36" s="33">
        <v>5</v>
      </c>
      <c r="AD36" s="34">
        <f>IF(AND(ISNUMBER(AE36),ISNUMBER(AC36)),AE36-AC36,"")</f>
        <v>0</v>
      </c>
      <c r="AE36" s="33">
        <v>3</v>
      </c>
      <c r="AF36" s="34">
        <f>IF(AND(ISNUMBER(AG36),ISNUMBER(AE36)),AG36-AE36,"")</f>
        <v>0</v>
      </c>
      <c r="AG36" s="33">
        <v>0</v>
      </c>
      <c r="AH36" s="34">
        <f>IF(AND(ISNUMBER(AI36),ISNUMBER(AG36)),AI36-AG36,"")</f>
        <v>0</v>
      </c>
      <c r="AI36" s="33">
        <v>1</v>
      </c>
      <c r="AJ36" s="34">
        <f>IF(AND(ISNUMBER(AK36),ISNUMBER(AI36)),AK36-AI36,"")</f>
        <v>0</v>
      </c>
      <c r="AK36" s="33">
        <v>0</v>
      </c>
      <c r="AL36" s="34">
        <f>IF(AND(ISNUMBER(AM36),ISNUMBER(AK36)),AM36-AK36,"")</f>
        <v>0</v>
      </c>
      <c r="AM36" s="33">
        <v>1</v>
      </c>
      <c r="AN36" s="34">
        <f>IF(AND(ISNUMBER(AO36),ISNUMBER(AM36)),AO36-AM36,"")</f>
        <v>0</v>
      </c>
      <c r="AO36" s="33">
        <v>1</v>
      </c>
      <c r="AP36" s="34">
        <f>IF(AND(ISNUMBER(AQ36),ISNUMBER(AO36)),AQ36-AO36,"")</f>
        <v>0</v>
      </c>
      <c r="AQ36" s="33">
        <v>1</v>
      </c>
      <c r="AR36" s="34">
        <f>IF(AND(ISNUMBER(AS36),ISNUMBER(AQ36)),AS36-AQ36,"")</f>
        <v>0</v>
      </c>
      <c r="AS36" s="33">
        <v>1</v>
      </c>
      <c r="AT36" s="34">
        <f>IF(AND(ISNUMBER(AU36),ISNUMBER(AS36)),AU36-AS36,"")</f>
        <v>0</v>
      </c>
      <c r="AU36" s="33">
        <v>1</v>
      </c>
      <c r="AV36" s="34">
        <f>IF(AND(ISNUMBER(AW36),ISNUMBER(AU36)),AW36-AU36,"")</f>
        <v>0</v>
      </c>
      <c r="AW36" s="33">
        <v>0</v>
      </c>
      <c r="AX36" s="34">
        <f>IF(AND(ISNUMBER(AY36),ISNUMBER(AW36)),AY36-AW36,"")</f>
        <v>0</v>
      </c>
      <c r="AY36" s="33">
        <v>1</v>
      </c>
      <c r="AZ36" s="34">
        <f>IF(AND(ISNUMBER(BA36),ISNUMBER(AY36)),BA36-AY36,"")</f>
        <v>0</v>
      </c>
      <c r="BA36" s="33">
        <v>0</v>
      </c>
      <c r="BB36" s="34">
        <f>IF(AND(ISNUMBER(BC36),ISNUMBER(BA36)),BC36-BA36,"")</f>
        <v>0</v>
      </c>
      <c r="BC36" s="33">
        <v>1</v>
      </c>
      <c r="BD36" s="34">
        <f>IF(AND(ISNUMBER(BE36),ISNUMBER(BC36)),BE36-BC36,"")</f>
        <v>0</v>
      </c>
      <c r="BE36" s="33">
        <v>1</v>
      </c>
      <c r="BF36" s="34">
        <f>IF(AND(ISNUMBER(BG36),ISNUMBER(BE36)),BG36-BE36,"")</f>
        <v>0</v>
      </c>
      <c r="BG36" s="33">
        <v>1</v>
      </c>
      <c r="BH36" s="34">
        <f>IF(AND(ISNUMBER(BI36),ISNUMBER(BG36)),BI36-BG36,"")</f>
        <v>0</v>
      </c>
      <c r="BI36" s="33">
        <v>1</v>
      </c>
      <c r="BJ36" s="34">
        <f>IF(AND(ISNUMBER(BK36),ISNUMBER(BI36)),BK36-BI36,"")</f>
        <v>0</v>
      </c>
      <c r="BK36" s="33">
        <v>0</v>
      </c>
      <c r="BL36" s="34">
        <f>IF(AND(ISNUMBER(BM36),ISNUMBER(BK36)),BM36-BK36,"")</f>
        <v>0</v>
      </c>
      <c r="BM36" s="33">
        <v>0</v>
      </c>
      <c r="BN36" s="34">
        <f>IF(AND(ISNUMBER(BO36),ISNUMBER(BM36)),BO36-BM36,"")</f>
        <v>0</v>
      </c>
      <c r="BO36" s="33">
        <v>2</v>
      </c>
      <c r="BP36" s="34">
        <f>IF(AND(ISNUMBER(BQ36),ISNUMBER(BO36)),BQ36-BO36,"")</f>
        <v>0</v>
      </c>
      <c r="BQ36" s="33">
        <v>0</v>
      </c>
      <c r="BR36" s="34">
        <f>IF(AND(ISNUMBER(BS36),ISNUMBER(BQ36)),BS36-BQ36,"")</f>
        <v>0</v>
      </c>
      <c r="BS36" s="33">
        <v>0</v>
      </c>
      <c r="BT36" s="34">
        <f>IF(AND(ISNUMBER(BU36),ISNUMBER(BS36)),BU36-BS36,"")</f>
        <v>0</v>
      </c>
      <c r="BU36" s="33">
        <v>0</v>
      </c>
      <c r="BV36" s="34">
        <f>IF(AND(ISNUMBER(BW36),ISNUMBER(BU36)),BW36-BU36,"")</f>
        <v>0</v>
      </c>
      <c r="BW36" s="33">
        <v>0</v>
      </c>
      <c r="BX36" s="34">
        <f>IF(AND(ISNUMBER(BY36),ISNUMBER(BW36)),BY36-BW36,"")</f>
        <v>0</v>
      </c>
      <c r="BY36" s="33">
        <v>0</v>
      </c>
      <c r="BZ36" s="34">
        <f>IF(AND(ISNUMBER(CA36),ISNUMBER(BY36)),CA36-BY36,"")</f>
        <v>0</v>
      </c>
      <c r="CA36" s="33">
        <v>0</v>
      </c>
      <c r="CB36" s="34">
        <f>IF(AND(ISNUMBER(CC36),ISNUMBER(CA36)),CC36-CA36,"")</f>
        <v>0</v>
      </c>
      <c r="CC36" s="33">
        <v>1</v>
      </c>
      <c r="CD36" s="34">
        <f>IF(AND(ISNUMBER(CE36),ISNUMBER(CC36)),CE36-CC36,"")</f>
        <v>0</v>
      </c>
      <c r="CE36" s="33">
        <v>1</v>
      </c>
      <c r="CF36" s="34">
        <f>IF(AND(ISNUMBER(CG36),ISNUMBER(CE36)),CG36-CE36,"")</f>
        <v>0</v>
      </c>
      <c r="CG36" s="33">
        <v>0</v>
      </c>
      <c r="CH36" s="34">
        <f>IF(AND(ISNUMBER(CI36),ISNUMBER(CG36)),CI36-CG36,"")</f>
        <v>0</v>
      </c>
      <c r="CI36" s="33">
        <v>0</v>
      </c>
      <c r="CJ36" s="34">
        <f>IF(AND(ISNUMBER(CK36),ISNUMBER(CI36)),CK36-CI36,"")</f>
        <v>0</v>
      </c>
      <c r="CK36" s="33">
        <v>0</v>
      </c>
      <c r="CL36" s="34">
        <f>IF(AND(ISNUMBER(CM36),ISNUMBER(CK36)),CM36-CK36,"")</f>
        <v>0</v>
      </c>
      <c r="CM36" s="33">
        <v>0</v>
      </c>
      <c r="CN36" s="34">
        <f>IF(AND(ISNUMBER(CO36),ISNUMBER(CM36)),CO36-CM36,"")</f>
        <v>0</v>
      </c>
      <c r="CO36" s="33">
        <v>0</v>
      </c>
      <c r="CP36" s="34">
        <f>IF(AND(ISNUMBER(CQ36),ISNUMBER(CO36)),CQ36-CO36,"")</f>
        <v>0</v>
      </c>
      <c r="CQ36" s="33">
        <v>2</v>
      </c>
      <c r="CR36" s="34">
        <f>IF(AND(ISNUMBER(CS36),ISNUMBER(CQ36)),CS36-CQ36,"")</f>
        <v>0</v>
      </c>
      <c r="CS36" s="33">
        <v>4</v>
      </c>
      <c r="CT36" s="34">
        <f>IF(AND(ISNUMBER(CU36),ISNUMBER(CS36)),CU36-CS36,"")</f>
        <v>0</v>
      </c>
      <c r="CU36" s="33">
        <v>2</v>
      </c>
      <c r="CV36" s="34">
        <f>IF(AND(ISNUMBER(CW36),ISNUMBER(CU36)),CW36-CU36,"")</f>
        <v>0</v>
      </c>
      <c r="CW36" s="33">
        <v>0</v>
      </c>
      <c r="CX36" s="34">
        <f>IF(AND(ISNUMBER(CY36),ISNUMBER(CW36)),CY36-CW36,"")</f>
        <v>0</v>
      </c>
      <c r="CY36" s="33">
        <v>0</v>
      </c>
      <c r="CZ36" s="34">
        <f>IF(AND(ISNUMBER(DA36),ISNUMBER(CY36)),DA36-CY36,"")</f>
        <v>0</v>
      </c>
      <c r="DA36" s="33"/>
      <c r="DB36" s="34">
        <f>IF(AND(ISNUMBER(DC36),ISNUMBER(DA36)),DC36-DA36,"")</f>
        <v>0</v>
      </c>
      <c r="DC36" s="33">
        <v>3</v>
      </c>
      <c r="DD36" s="34">
        <f>IF(AND(ISNUMBER(DE36),ISNUMBER(DC36)),DE36-DC36,"")</f>
        <v>0</v>
      </c>
      <c r="DE36" s="33"/>
      <c r="DF36" s="34">
        <f>IF(AND(ISNUMBER(DG36),ISNUMBER(DE36)),DG36-DE36,"")</f>
        <v>0</v>
      </c>
      <c r="DG36" s="33">
        <v>2</v>
      </c>
      <c r="DH36" s="34">
        <f>IF(AND(ISNUMBER(DI36),ISNUMBER(DG36)),DI36-DG36,"")</f>
        <v>0</v>
      </c>
      <c r="DI36" s="33"/>
      <c r="DJ36" s="34">
        <f>IF(AND(ISNUMBER(DK36),ISNUMBER(DI36)),DK36-DI36,"")</f>
        <v>0</v>
      </c>
      <c r="DK36" s="33">
        <v>3</v>
      </c>
      <c r="DL36" s="34">
        <f>IF(AND(ISNUMBER(DM36),ISNUMBER(DK36)),DM36-DK36,"")</f>
        <v>0</v>
      </c>
      <c r="DM36" s="33">
        <v>4</v>
      </c>
      <c r="DN36" s="34">
        <f>IF(AND(ISNUMBER(DO36),ISNUMBER(DM36)),DO36-DM36,"")</f>
        <v>0</v>
      </c>
      <c r="DO36" s="33">
        <v>1</v>
      </c>
      <c r="DP36" s="34">
        <f>IF(AND(ISNUMBER(DQ36),ISNUMBER(DO36)),DQ36-DO36,"")</f>
        <v>0</v>
      </c>
      <c r="DQ36" s="33">
        <v>2</v>
      </c>
      <c r="DR36" s="34">
        <f>IF(AND(ISNUMBER(DS36),ISNUMBER(DQ36)),DS36-DQ36,"")</f>
        <v>0</v>
      </c>
      <c r="DS36" s="33"/>
      <c r="DT36" s="34">
        <f>IF(AND(ISNUMBER(DU36),ISNUMBER(DS36)),DU36-DS36,"")</f>
        <v>0</v>
      </c>
      <c r="DU36" s="33">
        <v>3</v>
      </c>
      <c r="DV36" s="34">
        <f>IF(AND(ISNUMBER(DW36),ISNUMBER(DU36)),DW36-DU36,"")</f>
        <v>0</v>
      </c>
      <c r="DW36" s="33">
        <v>1</v>
      </c>
      <c r="DX36" s="34">
        <f>IF(AND(ISNUMBER(DY36),ISNUMBER(DW36)),DY36-DW36,"")</f>
        <v>0</v>
      </c>
      <c r="DY36" s="33"/>
      <c r="DZ36" s="34">
        <f>IF(AND(ISNUMBER(EA36),ISNUMBER(DY36)),EA36-DY36,"")</f>
        <v>0</v>
      </c>
      <c r="EA36" s="33">
        <v>2</v>
      </c>
      <c r="EB36" s="34">
        <f>IF(AND(ISNUMBER(EC36),ISNUMBER(EA36)),EC36-EA36,"")</f>
        <v>0</v>
      </c>
      <c r="EC36" s="33">
        <v>3</v>
      </c>
      <c r="ED36" s="34">
        <f>IF(AND(ISNUMBER(EE36),ISNUMBER(EC36)),EE36-EC36,"")</f>
        <v>0</v>
      </c>
      <c r="EE36" s="33">
        <v>4</v>
      </c>
      <c r="EF36" s="34">
        <f>IF(AND(ISNUMBER(EG36),ISNUMBER(EE36)),EG36-EE36,"")</f>
        <v>0</v>
      </c>
      <c r="EG36" s="33">
        <v>13</v>
      </c>
      <c r="EH36" s="34">
        <f>IF(AND(ISNUMBER(EI36),ISNUMBER(EG36)),EI36-EG36,"")</f>
        <v>0</v>
      </c>
      <c r="EI36" s="33"/>
      <c r="EJ36" s="34">
        <f>IF(AND(ISNUMBER(EK36),ISNUMBER(EI36)),EK36-EI36,"")</f>
        <v>0</v>
      </c>
      <c r="EK36" s="33"/>
      <c r="EL36" s="34">
        <f>IF(AND(ISNUMBER(EM36),ISNUMBER(EK36)),EM36-EK36,"")</f>
        <v>0</v>
      </c>
      <c r="EM36" s="33"/>
      <c r="EN36" s="34">
        <f>IF(AND(ISNUMBER(EO36),ISNUMBER(EM36)),EO36-EM36,"")</f>
        <v>0</v>
      </c>
      <c r="EO36" s="33">
        <v>0</v>
      </c>
      <c r="EP36" s="34">
        <f>IF(AND(ISNUMBER(EQ36),ISNUMBER(EO36)),EQ36-EO36,"")</f>
        <v>0</v>
      </c>
      <c r="EQ36" s="33">
        <v>2</v>
      </c>
      <c r="ER36" s="34">
        <f>IF(AND(ISNUMBER(ES36),ISNUMBER(EQ36)),ES36-EQ36,"")</f>
        <v>0</v>
      </c>
      <c r="ES36" s="33">
        <v>1</v>
      </c>
      <c r="ET36" s="34">
        <f>IF(AND(ISNUMBER(EU36),ISNUMBER(ES36)),EU36-ES36,"")</f>
        <v>0</v>
      </c>
      <c r="EU36" s="33"/>
      <c r="EV36" s="34">
        <f>IF(AND(ISNUMBER(EW36),ISNUMBER(EU36)),EW36-EU36,"")</f>
        <v>0</v>
      </c>
      <c r="EW36" s="33">
        <v>4</v>
      </c>
      <c r="EX36" s="34">
        <f>IF(AND(ISNUMBER(EY36),ISNUMBER(EW36)),EY36-EW36,"")</f>
        <v>0</v>
      </c>
      <c r="EY36" s="33">
        <v>0</v>
      </c>
      <c r="EZ36" s="34">
        <f>IF(AND(ISNUMBER(FA36),ISNUMBER(EY36)),FA36-EY36,"")</f>
        <v>0</v>
      </c>
      <c r="FA36" s="33">
        <v>0</v>
      </c>
      <c r="FB36" s="34">
        <f>IF(AND(ISNUMBER(FC36),ISNUMBER(FA36)),FC36-FA36,"")</f>
        <v>0</v>
      </c>
      <c r="FC36" s="33"/>
      <c r="FD36" s="34">
        <f>IF(AND(ISNUMBER(FE36),ISNUMBER(FC36)),FE36-FC36,"")</f>
        <v>0</v>
      </c>
      <c r="FE36" s="33"/>
      <c r="FF36" s="34">
        <f>IF(AND(ISNUMBER(FG36),ISNUMBER(FE36)),FG36-FE36,"")</f>
        <v>0</v>
      </c>
      <c r="FG36" s="33"/>
      <c r="FH36" s="34">
        <f>IF(AND(ISNUMBER(FI36),ISNUMBER(FG36)),FI36-FG36,"")</f>
        <v>0</v>
      </c>
      <c r="FI36" s="33"/>
      <c r="FJ36" s="34">
        <f>IF(AND(ISNUMBER(FK36),ISNUMBER(FI36)),FK36-FI36,"")</f>
        <v>0</v>
      </c>
      <c r="FK36" s="33"/>
      <c r="FL36" s="34">
        <f>IF(AND(ISNUMBER(FM36),ISNUMBER(FK36)),FM36-FK36,"")</f>
        <v>0</v>
      </c>
      <c r="FM36" s="33"/>
      <c r="FN36" s="34">
        <f>IF(AND(ISNUMBER(FO36),ISNUMBER(FM36)),FO36-FM36,"")</f>
        <v>0</v>
      </c>
      <c r="FO36" s="33"/>
      <c r="FP36" s="34">
        <f>IF(AND(ISNUMBER(FQ36),ISNUMBER(FO36)),FQ36-FO36,"")</f>
        <v>0</v>
      </c>
      <c r="FQ36" s="33"/>
      <c r="FR36" s="34">
        <f>IF(AND(ISNUMBER(FS36),ISNUMBER(FQ36)),FS36-FQ36,"")</f>
        <v>0</v>
      </c>
      <c r="FS36" s="33"/>
      <c r="FT36" s="34">
        <f>IF(AND(ISNUMBER(FU36),ISNUMBER(FS36)),FU36-FS36,"")</f>
        <v>0</v>
      </c>
      <c r="FU36" s="33"/>
      <c r="FV36" s="34">
        <f>IF(AND(ISNUMBER(FW36),ISNUMBER(FU36)),FW36-FU36,"")</f>
        <v>0</v>
      </c>
      <c r="FW36" s="33"/>
      <c r="FX36" s="34">
        <f>IF(AND(ISNUMBER(FY36),ISNUMBER(FW36)),FY36-FW36,"")</f>
        <v>0</v>
      </c>
      <c r="FY36" s="33"/>
      <c r="FZ36" s="34">
        <f>IF(AND(ISNUMBER(GA36),ISNUMBER(FY36)),GA36-FY36,"")</f>
        <v>0</v>
      </c>
      <c r="GA36" s="33"/>
      <c r="GB36" s="34">
        <f>IF(AND(ISNUMBER(GC36),ISNUMBER(GA36)),GC36-GA36,"")</f>
        <v>0</v>
      </c>
      <c r="GC36" s="33"/>
      <c r="GD36" s="34">
        <f>IF(AND(ISNUMBER(GE36),ISNUMBER(GC36)),GE36-GC36,"")</f>
        <v>0</v>
      </c>
      <c r="GE36" s="33"/>
      <c r="GF36" s="34">
        <f>IF(AND(ISNUMBER(GG36),ISNUMBER(GE36)),GG36-GE36,"")</f>
        <v>0</v>
      </c>
      <c r="GG36" s="33"/>
      <c r="GH36" s="34">
        <f>IF(AND(ISNUMBER(GI36),ISNUMBER(GG36)),GI36-GG36,"")</f>
        <v>0</v>
      </c>
      <c r="GI36" s="33"/>
      <c r="GJ36" s="34">
        <f>IF(AND(ISNUMBER(GK36),ISNUMBER(GI36)),GK36-GI36,"")</f>
        <v>0</v>
      </c>
      <c r="GK36" s="33"/>
      <c r="GL36" s="34">
        <f>IF(AND(ISNUMBER(GM36),ISNUMBER(GK36)),GM36-GK36,"")</f>
        <v>0</v>
      </c>
      <c r="GM36" s="33"/>
      <c r="GN36" s="34">
        <f>IF(AND(ISNUMBER(GO36),ISNUMBER(GM36)),GO36-GM36,"")</f>
        <v>0</v>
      </c>
      <c r="GO36" s="33"/>
      <c r="GP36" s="34">
        <f>IF(AND(ISNUMBER(GQ36),ISNUMBER(GO36)),GQ36-GO36,"")</f>
        <v>0</v>
      </c>
      <c r="GQ36" s="33"/>
      <c r="GR36" s="34">
        <f>IF(AND(ISNUMBER(GS36),ISNUMBER(GQ36)),GS36-GQ36,"")</f>
        <v>0</v>
      </c>
      <c r="GS36" s="33"/>
      <c r="GT36" s="34">
        <f>IF(AND(ISNUMBER(GU36),ISNUMBER(GS36)),GU36-GS36,"")</f>
        <v>0</v>
      </c>
      <c r="GU36" s="33"/>
      <c r="GV36" s="34">
        <f>IF(AND(ISNUMBER(GW36),ISNUMBER(GU36)),GW36-GU36,"")</f>
        <v>0</v>
      </c>
      <c r="GW36" s="33"/>
      <c r="GX36" s="34">
        <f>IF(AND(ISNUMBER(GY36),ISNUMBER(GW36)),GY36-GW36,"")</f>
        <v>0</v>
      </c>
      <c r="GY36" s="33"/>
      <c r="GZ36" s="34">
        <f>IF(AND(ISNUMBER(HA36),ISNUMBER(GY36)),HA36-GY36,"")</f>
        <v>0</v>
      </c>
      <c r="HA36" s="33"/>
      <c r="HB36" s="34">
        <f>IF(AND(ISNUMBER(HC36),ISNUMBER(HA36)),HC36-HA36,"")</f>
        <v>0</v>
      </c>
      <c r="HC36" s="33"/>
      <c r="HD36" s="34">
        <f>IF(AND(ISNUMBER(HE36),ISNUMBER(HC36)),HE36-HC36,"")</f>
        <v>0</v>
      </c>
      <c r="HE36" s="33"/>
      <c r="HF36" s="34">
        <f>IF(AND(ISNUMBER(HG36),ISNUMBER(HE36)),HG36-HE36,"")</f>
        <v>0</v>
      </c>
      <c r="HG36" s="33"/>
      <c r="HH36" s="34">
        <f>IF(AND(ISNUMBER(HI36),ISNUMBER(HG36)),HI36-HG36,"")</f>
        <v>0</v>
      </c>
      <c r="HI36" s="33"/>
      <c r="HJ36" s="34">
        <f>IF(AND(ISNUMBER(HK36),ISNUMBER(HI36)),HK36-HI36,"")</f>
        <v>0</v>
      </c>
      <c r="HK36" s="33"/>
      <c r="HL36" s="34">
        <f>IF(AND(ISNUMBER(HM36),ISNUMBER(HK36)),HM36-HK36,"")</f>
        <v>0</v>
      </c>
      <c r="HM36" s="33"/>
      <c r="HN36" s="34">
        <f>IF(AND(ISNUMBER(HO36),ISNUMBER(HM36)),HO36-HM36,"")</f>
        <v>0</v>
      </c>
      <c r="HO36" s="33"/>
      <c r="HP36" s="34">
        <f>IF(AND(ISNUMBER(HQ36),ISNUMBER(HO36)),HQ36-HO36,"")</f>
        <v>0</v>
      </c>
      <c r="HQ36" s="33"/>
      <c r="HR36" s="34">
        <f>IF(AND(ISNUMBER(HS36),ISNUMBER(HQ36)),HS36-HQ36,"")</f>
        <v>0</v>
      </c>
      <c r="HS36" s="33"/>
      <c r="HT36" s="34">
        <f>IF(AND(ISNUMBER(HU36),ISNUMBER(HS36)),HU36-HS36,"")</f>
        <v>0</v>
      </c>
      <c r="HU36" s="33"/>
      <c r="HV36" s="34">
        <f>IF(AND(ISNUMBER(HW36),ISNUMBER(HU36)),HW36-HU36,"")</f>
        <v>0</v>
      </c>
      <c r="HW36" s="33"/>
      <c r="HX36" s="34">
        <f>IF(AND(ISNUMBER(HY36),ISNUMBER(HW36)),HY36-HW36,"")</f>
        <v>0</v>
      </c>
      <c r="HY36" s="33"/>
      <c r="HZ36" s="34">
        <f>IF(AND(ISNUMBER(IA36),ISNUMBER(HY36)),IA36-HY36,"")</f>
        <v>0</v>
      </c>
      <c r="IA36" s="33"/>
      <c r="IB36" s="34">
        <f>IF(AND(ISNUMBER(IC36),ISNUMBER(IA36)),IC36-IA36,"")</f>
        <v>0</v>
      </c>
      <c r="IC36" s="33"/>
      <c r="ID36" s="34">
        <f>IF(AND(ISNUMBER(IE36),ISNUMBER(IC36)),IE36-IC36,"")</f>
        <v>0</v>
      </c>
      <c r="IE36" s="33"/>
      <c r="IF36" s="34">
        <f>IF(AND(ISNUMBER(IG36),ISNUMBER(IE36)),IG36-IE36,"")</f>
        <v>0</v>
      </c>
      <c r="IG36" s="33"/>
      <c r="IH36" s="34">
        <f>IF(AND(ISNUMBER(II36),ISNUMBER(IG36)),II36-IG36,"")</f>
        <v>0</v>
      </c>
      <c r="II36" s="33"/>
      <c r="IJ36" s="34">
        <f>IF(AND(ISNUMBER(IK36),ISNUMBER(II36)),IK36-II36,"")</f>
        <v>0</v>
      </c>
      <c r="IK36" s="33"/>
      <c r="IL36" s="34">
        <f>IF(AND(ISNUMBER(IM36),ISNUMBER(IK36)),IM36-IK36,"")</f>
        <v>0</v>
      </c>
      <c r="IM36" s="33"/>
      <c r="IN36" s="34">
        <f>IF(AND(ISNUMBER(IO36),ISNUMBER(IM36)),IO36-IM36,"")</f>
        <v>0</v>
      </c>
      <c r="IO36" s="33"/>
      <c r="IP36" s="34">
        <f>IF(AND(ISNUMBER(IQ36),ISNUMBER(IO36)),IQ36-IO36,"")</f>
        <v>0</v>
      </c>
      <c r="IQ36" s="33"/>
      <c r="IR36" s="34">
        <f>IF(AND(ISNUMBER(IS36),ISNUMBER(IQ36)),IS36-IQ36,"")</f>
        <v>0</v>
      </c>
      <c r="IS36" s="33"/>
      <c r="IT36" s="34">
        <f>IF(AND(ISNUMBER(IU36),ISNUMBER(IS36)),IU36-IS36,"")</f>
        <v>0</v>
      </c>
      <c r="IU36" s="33"/>
      <c r="IV36" s="34">
        <f>IF(AND(ISNUMBER(IW36),ISNUMBER(IU36)),IW36-IU36,"")</f>
        <v>0</v>
      </c>
      <c r="IW36" s="33"/>
      <c r="IX36" s="34">
        <f>IF(AND(ISNUMBER(IY36),ISNUMBER(IW36)),IY36-IW36,"")</f>
        <v>0</v>
      </c>
      <c r="IY36" s="33"/>
      <c r="IZ36" s="34">
        <f>IF(AND(ISNUMBER(JA36),ISNUMBER(IY36)),JA36-IY36,"")</f>
        <v>0</v>
      </c>
      <c r="JA36" s="33"/>
      <c r="JB36" s="34">
        <f>IF(AND(ISNUMBER(JC36),ISNUMBER(JA36)),JC36-JA36,"")</f>
        <v>0</v>
      </c>
      <c r="JC36" s="33"/>
      <c r="JD36" s="34">
        <f>IF(AND(ISNUMBER(JE36),ISNUMBER(JC36)),JE36-JC36,"")</f>
        <v>0</v>
      </c>
      <c r="JE36" s="33"/>
      <c r="JF36" s="34">
        <f>IF(AND(ISNUMBER(JG36),ISNUMBER(JE36)),JG36-JE36,"")</f>
        <v>0</v>
      </c>
      <c r="JG36" s="33"/>
      <c r="JH36" s="34">
        <f>IF(AND(ISNUMBER(JI36),ISNUMBER(JG36)),JI36-JG36,"")</f>
        <v>0</v>
      </c>
      <c r="JI36" s="33"/>
      <c r="JJ36" s="34">
        <f>IF(AND(ISNUMBER(JK36),ISNUMBER(JI36)),JK36-JI36,"")</f>
        <v>0</v>
      </c>
      <c r="JK36" s="33"/>
      <c r="JL36" s="34">
        <f>IF(AND(ISNUMBER(JM36),ISNUMBER(JK36)),JM36-JK36,"")</f>
        <v>0</v>
      </c>
      <c r="JM36" s="33"/>
      <c r="JN36" s="34">
        <f>IF(AND(ISNUMBER(JO36),ISNUMBER(JM36)),JO36-JM36,"")</f>
        <v>0</v>
      </c>
      <c r="JO36" s="33"/>
      <c r="JP36" s="34">
        <f>IF(AND(ISNUMBER(JQ36),ISNUMBER(JO36)),JQ36-JO36,"")</f>
        <v>0</v>
      </c>
      <c r="JQ36" s="33"/>
      <c r="JR36" s="34">
        <f>IF(AND(ISNUMBER(JS36),ISNUMBER(JQ36)),JS36-JQ36,"")</f>
        <v>0</v>
      </c>
      <c r="JS36" s="33"/>
      <c r="JT36" s="34">
        <f>IF(AND(ISNUMBER(JU36),ISNUMBER(JS36)),JU36-JS36,"")</f>
        <v>0</v>
      </c>
      <c r="JU36" s="33"/>
      <c r="JV36" s="34">
        <f>IF(AND(ISNUMBER(JW36),ISNUMBER(JU36)),JW36-JU36,"")</f>
        <v>0</v>
      </c>
      <c r="JW36" s="33"/>
      <c r="JX36" s="34">
        <f>IF(AND(ISNUMBER(JY36),ISNUMBER(JW36)),JY36-JW36,"")</f>
        <v>0</v>
      </c>
      <c r="JY36" s="33"/>
      <c r="JZ36" s="34">
        <f>IF(AND(ISNUMBER(KA36),ISNUMBER(JY36)),KA36-JY36,"")</f>
        <v>0</v>
      </c>
      <c r="KA36" s="33"/>
      <c r="KB36" s="34">
        <f>IF(AND(ISNUMBER(KC36),ISNUMBER(KA36)),KC36-KA36,"")</f>
        <v>0</v>
      </c>
      <c r="KC36" s="33"/>
      <c r="KD36" s="34">
        <f>IF(AND(ISNUMBER(KE36),ISNUMBER(KC36)),KE36-KC36,"")</f>
        <v>0</v>
      </c>
      <c r="KE36" s="33"/>
      <c r="KF36" s="34">
        <f>IF(AND(ISNUMBER(KG36),ISNUMBER(KE36)),KG36-KE36,"")</f>
        <v>0</v>
      </c>
      <c r="KG36" s="33"/>
      <c r="KH36" s="34">
        <f>IF(AND(ISNUMBER(KI36),ISNUMBER(KG36)),KI36-KG36,"")</f>
        <v>0</v>
      </c>
      <c r="KI36" s="33"/>
      <c r="KJ36" s="34">
        <f>IF(AND(ISNUMBER(KK36),ISNUMBER(KI36)),KK36-KI36,"")</f>
        <v>0</v>
      </c>
      <c r="KK36" s="33"/>
      <c r="KL36" s="34">
        <f>IF(AND(ISNUMBER(KM36),ISNUMBER(KK36)),KM36-KK36,"")</f>
        <v>0</v>
      </c>
      <c r="KM36" s="33"/>
      <c r="KN36" s="34">
        <f>IF(AND(ISNUMBER(KO36),ISNUMBER(KM36)),KO36-KM36,"")</f>
        <v>0</v>
      </c>
      <c r="KO36" s="33"/>
      <c r="KP36" s="34">
        <f>IF(AND(ISNUMBER(KQ36),ISNUMBER(KO36)),KQ36-KO36,"")</f>
        <v>0</v>
      </c>
      <c r="KQ36" s="33"/>
      <c r="KR36" s="34">
        <f>IF(AND(ISNUMBER(KS36),ISNUMBER(KQ36)),KS36-KQ36,"")</f>
        <v>0</v>
      </c>
      <c r="KS36" s="33"/>
      <c r="KT36" s="34">
        <f>IF(AND(ISNUMBER(KU36),ISNUMBER(KS36)),KU36-KS36,"")</f>
        <v>0</v>
      </c>
      <c r="KU36" s="33"/>
      <c r="KV36" s="34">
        <f>IF(AND(ISNUMBER(KW36),ISNUMBER(KU36)),KW36-KU36,"")</f>
        <v>0</v>
      </c>
      <c r="KW36" s="33"/>
      <c r="KX36" s="34">
        <f>IF(AND(ISNUMBER(KY36),ISNUMBER(KW36)),KY36-KW36,"")</f>
        <v>0</v>
      </c>
      <c r="KY36" s="33"/>
      <c r="KZ36" s="34">
        <f>IF(AND(ISNUMBER(LA36),ISNUMBER(KY36)),LA36-KY36,"")</f>
        <v>0</v>
      </c>
      <c r="LA36" s="33"/>
      <c r="LB36" s="34">
        <f>IF(AND(ISNUMBER(LC36),ISNUMBER(LA36)),LC36-LA36,"")</f>
        <v>0</v>
      </c>
      <c r="LC36" s="33"/>
      <c r="LD36" s="34">
        <f>IF(AND(ISNUMBER(LE36),ISNUMBER(LC36)),LE36-LC36,"")</f>
        <v>0</v>
      </c>
      <c r="LE36" s="33"/>
      <c r="LF36" s="34">
        <f>IF(AND(ISNUMBER(LG36),ISNUMBER(LE36)),LG36-LE36,"")</f>
        <v>0</v>
      </c>
      <c r="LG36" s="33"/>
    </row>
    <row r="37" spans="1:322" hidden="1" outlineLevel="1">
      <c r="B37" s="23"/>
      <c r="D37" s="31" t="s">
        <v>723</v>
      </c>
      <c r="E37" s="32" t="s">
        <v>1052</v>
      </c>
      <c r="F37" s="38">
        <v>45689</v>
      </c>
      <c r="I37" s="40" t="s">
        <v>1088</v>
      </c>
      <c r="J37" s="34">
        <f>IF(AND(ISNUMBER(K37),ISNUMBER(I37)),K37-I37,"")</f>
        <v>0</v>
      </c>
      <c r="K37" s="40" t="s">
        <v>1088</v>
      </c>
      <c r="L37" s="34">
        <f>IF(AND(ISNUMBER(M37),ISNUMBER(K37)),M37-K37,"")</f>
        <v>0</v>
      </c>
      <c r="M37" s="33">
        <v>14</v>
      </c>
      <c r="N37" s="34">
        <f>IF(AND(ISNUMBER(O37),ISNUMBER(M37)),O37-M37,"")</f>
        <v>0</v>
      </c>
      <c r="O37" s="33">
        <v>3</v>
      </c>
      <c r="P37" s="34">
        <f>IF(AND(ISNUMBER(Q37),ISNUMBER(O37)),Q37-O37,"")</f>
        <v>0</v>
      </c>
      <c r="Q37" s="33">
        <v>0</v>
      </c>
      <c r="R37" s="34">
        <f>IF(AND(ISNUMBER(S37),ISNUMBER(Q37)),S37-Q37,"")</f>
        <v>0</v>
      </c>
      <c r="S37" s="33">
        <v>0</v>
      </c>
      <c r="T37" s="34">
        <f>IF(AND(ISNUMBER(U37),ISNUMBER(S37)),U37-S37,"")</f>
        <v>0</v>
      </c>
      <c r="U37" s="40" t="s">
        <v>1088</v>
      </c>
      <c r="V37" s="34">
        <f>IF(AND(ISNUMBER(W37),ISNUMBER(U37)),W37-U37,"")</f>
        <v>0</v>
      </c>
      <c r="W37" s="33">
        <v>0</v>
      </c>
      <c r="X37" s="34">
        <f>IF(AND(ISNUMBER(Y37),ISNUMBER(W37)),Y37-W37,"")</f>
        <v>0</v>
      </c>
      <c r="Y37" s="33">
        <v>4</v>
      </c>
      <c r="Z37" s="34">
        <f>IF(AND(ISNUMBER(AA37),ISNUMBER(Y37)),AA37-Y37,"")</f>
        <v>0</v>
      </c>
      <c r="AA37" s="33">
        <v>25</v>
      </c>
      <c r="AB37" s="34">
        <f>IF(AND(ISNUMBER(AC37),ISNUMBER(AA37)),AC37-AA37,"")</f>
        <v>0</v>
      </c>
      <c r="AC37" s="33">
        <v>1</v>
      </c>
      <c r="AD37" s="34">
        <f>IF(AND(ISNUMBER(AE37),ISNUMBER(AC37)),AE37-AC37,"")</f>
        <v>0</v>
      </c>
      <c r="AE37" s="33">
        <v>0</v>
      </c>
      <c r="AF37" s="34">
        <f>IF(AND(ISNUMBER(AG37),ISNUMBER(AE37)),AG37-AE37,"")</f>
        <v>0</v>
      </c>
      <c r="AG37" s="33">
        <v>15</v>
      </c>
      <c r="AH37" s="34">
        <f>IF(AND(ISNUMBER(AI37),ISNUMBER(AG37)),AI37-AG37,"")</f>
        <v>0</v>
      </c>
      <c r="AI37" s="33">
        <v>1</v>
      </c>
      <c r="AJ37" s="34">
        <f>IF(AND(ISNUMBER(AK37),ISNUMBER(AI37)),AK37-AI37,"")</f>
        <v>0</v>
      </c>
      <c r="AK37" s="33">
        <v>0</v>
      </c>
      <c r="AL37" s="34">
        <f>IF(AND(ISNUMBER(AM37),ISNUMBER(AK37)),AM37-AK37,"")</f>
        <v>0</v>
      </c>
      <c r="AM37" s="33">
        <v>0</v>
      </c>
      <c r="AN37" s="34">
        <f>IF(AND(ISNUMBER(AO37),ISNUMBER(AM37)),AO37-AM37,"")</f>
        <v>0</v>
      </c>
      <c r="AO37" s="33">
        <v>0</v>
      </c>
      <c r="AP37" s="34">
        <f>IF(AND(ISNUMBER(AQ37),ISNUMBER(AO37)),AQ37-AO37,"")</f>
        <v>0</v>
      </c>
      <c r="AQ37" s="33">
        <v>0</v>
      </c>
      <c r="AR37" s="34">
        <f>IF(AND(ISNUMBER(AS37),ISNUMBER(AQ37)),AS37-AQ37,"")</f>
        <v>0</v>
      </c>
      <c r="AS37" s="33"/>
      <c r="AT37" s="34">
        <f>IF(AND(ISNUMBER(AU37),ISNUMBER(AS37)),AU37-AS37,"")</f>
        <v>0</v>
      </c>
      <c r="AU37" s="33">
        <v>0</v>
      </c>
      <c r="AV37" s="34">
        <f>IF(AND(ISNUMBER(AW37),ISNUMBER(AU37)),AW37-AU37,"")</f>
        <v>0</v>
      </c>
      <c r="AW37" s="33">
        <v>0</v>
      </c>
      <c r="AX37" s="34">
        <f>IF(AND(ISNUMBER(AY37),ISNUMBER(AW37)),AY37-AW37,"")</f>
        <v>0</v>
      </c>
      <c r="AY37" s="33">
        <v>0</v>
      </c>
      <c r="AZ37" s="34">
        <f>IF(AND(ISNUMBER(BA37),ISNUMBER(AY37)),BA37-AY37,"")</f>
        <v>0</v>
      </c>
      <c r="BA37" s="33">
        <v>0</v>
      </c>
      <c r="BB37" s="34">
        <f>IF(AND(ISNUMBER(BC37),ISNUMBER(BA37)),BC37-BA37,"")</f>
        <v>0</v>
      </c>
      <c r="BC37" s="33">
        <v>0</v>
      </c>
      <c r="BD37" s="34">
        <f>IF(AND(ISNUMBER(BE37),ISNUMBER(BC37)),BE37-BC37,"")</f>
        <v>0</v>
      </c>
      <c r="BE37" s="33">
        <v>1</v>
      </c>
      <c r="BF37" s="34">
        <f>IF(AND(ISNUMBER(BG37),ISNUMBER(BE37)),BG37-BE37,"")</f>
        <v>0</v>
      </c>
      <c r="BG37" s="33">
        <v>0</v>
      </c>
      <c r="BH37" s="34">
        <f>IF(AND(ISNUMBER(BI37),ISNUMBER(BG37)),BI37-BG37,"")</f>
        <v>0</v>
      </c>
      <c r="BI37" s="33">
        <v>1</v>
      </c>
      <c r="BJ37" s="34">
        <f>IF(AND(ISNUMBER(BK37),ISNUMBER(BI37)),BK37-BI37,"")</f>
        <v>0</v>
      </c>
      <c r="BK37" s="33">
        <v>0</v>
      </c>
      <c r="BL37" s="34">
        <f>IF(AND(ISNUMBER(BM37),ISNUMBER(BK37)),BM37-BK37,"")</f>
        <v>0</v>
      </c>
      <c r="BM37" s="33">
        <v>1</v>
      </c>
      <c r="BN37" s="34">
        <f>IF(AND(ISNUMBER(BO37),ISNUMBER(BM37)),BO37-BM37,"")</f>
        <v>0</v>
      </c>
      <c r="BO37" s="33">
        <v>1</v>
      </c>
      <c r="BP37" s="34">
        <f>IF(AND(ISNUMBER(BQ37),ISNUMBER(BO37)),BQ37-BO37,"")</f>
        <v>0</v>
      </c>
      <c r="BQ37" s="33">
        <v>1</v>
      </c>
      <c r="BR37" s="34">
        <f>IF(AND(ISNUMBER(BS37),ISNUMBER(BQ37)),BS37-BQ37,"")</f>
        <v>0</v>
      </c>
      <c r="BS37" s="33">
        <v>0</v>
      </c>
      <c r="BT37" s="34">
        <f>IF(AND(ISNUMBER(BU37),ISNUMBER(BS37)),BU37-BS37,"")</f>
        <v>0</v>
      </c>
      <c r="BU37" s="33">
        <v>0</v>
      </c>
      <c r="BV37" s="34">
        <f>IF(AND(ISNUMBER(BW37),ISNUMBER(BU37)),BW37-BU37,"")</f>
        <v>0</v>
      </c>
      <c r="BW37" s="33">
        <v>0</v>
      </c>
      <c r="BX37" s="34">
        <f>IF(AND(ISNUMBER(BY37),ISNUMBER(BW37)),BY37-BW37,"")</f>
        <v>0</v>
      </c>
      <c r="BY37" s="33">
        <v>0</v>
      </c>
      <c r="BZ37" s="34">
        <f>IF(AND(ISNUMBER(CA37),ISNUMBER(BY37)),CA37-BY37,"")</f>
        <v>0</v>
      </c>
      <c r="CA37" s="33">
        <v>0</v>
      </c>
      <c r="CB37" s="34">
        <f>IF(AND(ISNUMBER(CC37),ISNUMBER(CA37)),CC37-CA37,"")</f>
        <v>0</v>
      </c>
      <c r="CC37" s="33">
        <v>0</v>
      </c>
      <c r="CD37" s="34">
        <f>IF(AND(ISNUMBER(CE37),ISNUMBER(CC37)),CE37-CC37,"")</f>
        <v>0</v>
      </c>
      <c r="CE37" s="33">
        <v>0</v>
      </c>
      <c r="CF37" s="34">
        <f>IF(AND(ISNUMBER(CG37),ISNUMBER(CE37)),CG37-CE37,"")</f>
        <v>0</v>
      </c>
      <c r="CG37" s="33">
        <v>1</v>
      </c>
      <c r="CH37" s="34">
        <f>IF(AND(ISNUMBER(CI37),ISNUMBER(CG37)),CI37-CG37,"")</f>
        <v>0</v>
      </c>
      <c r="CI37" s="33">
        <v>0</v>
      </c>
      <c r="CJ37" s="34">
        <f>IF(AND(ISNUMBER(CK37),ISNUMBER(CI37)),CK37-CI37,"")</f>
        <v>0</v>
      </c>
      <c r="CK37" s="33">
        <v>0</v>
      </c>
      <c r="CL37" s="34">
        <f>IF(AND(ISNUMBER(CM37),ISNUMBER(CK37)),CM37-CK37,"")</f>
        <v>0</v>
      </c>
      <c r="CM37" s="33">
        <v>0</v>
      </c>
      <c r="CN37" s="34">
        <f>IF(AND(ISNUMBER(CO37),ISNUMBER(CM37)),CO37-CM37,"")</f>
        <v>0</v>
      </c>
      <c r="CO37" s="33">
        <v>1</v>
      </c>
      <c r="CP37" s="34">
        <f>IF(AND(ISNUMBER(CQ37),ISNUMBER(CO37)),CQ37-CO37,"")</f>
        <v>0</v>
      </c>
      <c r="CQ37" s="33">
        <v>1</v>
      </c>
      <c r="CR37" s="34">
        <f>IF(AND(ISNUMBER(CS37),ISNUMBER(CQ37)),CS37-CQ37,"")</f>
        <v>0</v>
      </c>
      <c r="CS37" s="33">
        <v>3</v>
      </c>
      <c r="CT37" s="34">
        <f>IF(AND(ISNUMBER(CU37),ISNUMBER(CS37)),CU37-CS37,"")</f>
        <v>0</v>
      </c>
      <c r="CU37" s="33">
        <v>1</v>
      </c>
      <c r="CV37" s="34">
        <f>IF(AND(ISNUMBER(CW37),ISNUMBER(CU37)),CW37-CU37,"")</f>
        <v>0</v>
      </c>
      <c r="CW37" s="33">
        <v>1</v>
      </c>
      <c r="CX37" s="34">
        <f>IF(AND(ISNUMBER(CY37),ISNUMBER(CW37)),CY37-CW37,"")</f>
        <v>0</v>
      </c>
      <c r="CY37" s="33">
        <v>2</v>
      </c>
      <c r="CZ37" s="34">
        <f>IF(AND(ISNUMBER(DA37),ISNUMBER(CY37)),DA37-CY37,"")</f>
        <v>0</v>
      </c>
      <c r="DA37" s="33"/>
      <c r="DB37" s="34">
        <f>IF(AND(ISNUMBER(DC37),ISNUMBER(DA37)),DC37-DA37,"")</f>
        <v>0</v>
      </c>
      <c r="DC37" s="33">
        <v>0</v>
      </c>
      <c r="DD37" s="34">
        <f>IF(AND(ISNUMBER(DE37),ISNUMBER(DC37)),DE37-DC37,"")</f>
        <v>0</v>
      </c>
      <c r="DE37" s="33">
        <v>1</v>
      </c>
      <c r="DF37" s="34">
        <f>IF(AND(ISNUMBER(DG37),ISNUMBER(DE37)),DG37-DE37,"")</f>
        <v>0</v>
      </c>
      <c r="DG37" s="33">
        <v>0</v>
      </c>
      <c r="DH37" s="34">
        <f>IF(AND(ISNUMBER(DI37),ISNUMBER(DG37)),DI37-DG37,"")</f>
        <v>0</v>
      </c>
      <c r="DI37" s="33"/>
      <c r="DJ37" s="34">
        <f>IF(AND(ISNUMBER(DK37),ISNUMBER(DI37)),DK37-DI37,"")</f>
        <v>0</v>
      </c>
      <c r="DK37" s="33">
        <v>1</v>
      </c>
      <c r="DL37" s="34">
        <f>IF(AND(ISNUMBER(DM37),ISNUMBER(DK37)),DM37-DK37,"")</f>
        <v>0</v>
      </c>
      <c r="DM37" s="33">
        <v>0</v>
      </c>
      <c r="DN37" s="34">
        <f>IF(AND(ISNUMBER(DO37),ISNUMBER(DM37)),DO37-DM37,"")</f>
        <v>0</v>
      </c>
      <c r="DO37" s="33">
        <v>1</v>
      </c>
      <c r="DP37" s="34">
        <f>IF(AND(ISNUMBER(DQ37),ISNUMBER(DO37)),DQ37-DO37,"")</f>
        <v>0</v>
      </c>
      <c r="DQ37" s="33">
        <v>0</v>
      </c>
      <c r="DR37" s="34">
        <f>IF(AND(ISNUMBER(DS37),ISNUMBER(DQ37)),DS37-DQ37,"")</f>
        <v>0</v>
      </c>
      <c r="DS37" s="33"/>
      <c r="DT37" s="34">
        <f>IF(AND(ISNUMBER(DU37),ISNUMBER(DS37)),DU37-DS37,"")</f>
        <v>0</v>
      </c>
      <c r="DU37" s="33">
        <v>1</v>
      </c>
      <c r="DV37" s="34">
        <f>IF(AND(ISNUMBER(DW37),ISNUMBER(DU37)),DW37-DU37,"")</f>
        <v>0</v>
      </c>
      <c r="DW37" s="33">
        <v>1</v>
      </c>
      <c r="DX37" s="34">
        <f>IF(AND(ISNUMBER(DY37),ISNUMBER(DW37)),DY37-DW37,"")</f>
        <v>0</v>
      </c>
      <c r="DY37" s="33"/>
      <c r="DZ37" s="34">
        <f>IF(AND(ISNUMBER(EA37),ISNUMBER(DY37)),EA37-DY37,"")</f>
        <v>0</v>
      </c>
      <c r="EA37" s="33">
        <v>0</v>
      </c>
      <c r="EB37" s="34">
        <f>IF(AND(ISNUMBER(EC37),ISNUMBER(EA37)),EC37-EA37,"")</f>
        <v>0</v>
      </c>
      <c r="EC37" s="33">
        <v>1</v>
      </c>
      <c r="ED37" s="34">
        <f>IF(AND(ISNUMBER(EE37),ISNUMBER(EC37)),EE37-EC37,"")</f>
        <v>0</v>
      </c>
      <c r="EE37" s="33">
        <v>0</v>
      </c>
      <c r="EF37" s="34">
        <f>IF(AND(ISNUMBER(EG37),ISNUMBER(EE37)),EG37-EE37,"")</f>
        <v>0</v>
      </c>
      <c r="EG37" s="33">
        <v>0</v>
      </c>
      <c r="EH37" s="34">
        <f>IF(AND(ISNUMBER(EI37),ISNUMBER(EG37)),EI37-EG37,"")</f>
        <v>0</v>
      </c>
      <c r="EI37" s="33"/>
      <c r="EJ37" s="34">
        <f>IF(AND(ISNUMBER(EK37),ISNUMBER(EI37)),EK37-EI37,"")</f>
        <v>0</v>
      </c>
      <c r="EK37" s="33"/>
      <c r="EL37" s="34">
        <f>IF(AND(ISNUMBER(EM37),ISNUMBER(EK37)),EM37-EK37,"")</f>
        <v>0</v>
      </c>
      <c r="EM37" s="33"/>
      <c r="EN37" s="34">
        <f>IF(AND(ISNUMBER(EO37),ISNUMBER(EM37)),EO37-EM37,"")</f>
        <v>0</v>
      </c>
      <c r="EO37" s="33">
        <v>0</v>
      </c>
      <c r="EP37" s="34">
        <f>IF(AND(ISNUMBER(EQ37),ISNUMBER(EO37)),EQ37-EO37,"")</f>
        <v>0</v>
      </c>
      <c r="EQ37" s="33">
        <v>0</v>
      </c>
      <c r="ER37" s="34">
        <f>IF(AND(ISNUMBER(ES37),ISNUMBER(EQ37)),ES37-EQ37,"")</f>
        <v>0</v>
      </c>
      <c r="ES37" s="33">
        <v>0</v>
      </c>
      <c r="ET37" s="34">
        <f>IF(AND(ISNUMBER(EU37),ISNUMBER(ES37)),EU37-ES37,"")</f>
        <v>0</v>
      </c>
      <c r="EU37" s="33"/>
      <c r="EV37" s="34">
        <f>IF(AND(ISNUMBER(EW37),ISNUMBER(EU37)),EW37-EU37,"")</f>
        <v>0</v>
      </c>
      <c r="EW37" s="33">
        <v>0</v>
      </c>
      <c r="EX37" s="34">
        <f>IF(AND(ISNUMBER(EY37),ISNUMBER(EW37)),EY37-EW37,"")</f>
        <v>0</v>
      </c>
      <c r="EY37" s="33">
        <v>2</v>
      </c>
      <c r="EZ37" s="34">
        <f>IF(AND(ISNUMBER(FA37),ISNUMBER(EY37)),FA37-EY37,"")</f>
        <v>0</v>
      </c>
      <c r="FA37" s="33">
        <v>1</v>
      </c>
      <c r="FB37" s="34">
        <f>IF(AND(ISNUMBER(FC37),ISNUMBER(FA37)),FC37-FA37,"")</f>
        <v>0</v>
      </c>
      <c r="FC37" s="33"/>
      <c r="FD37" s="34">
        <f>IF(AND(ISNUMBER(FE37),ISNUMBER(FC37)),FE37-FC37,"")</f>
        <v>0</v>
      </c>
      <c r="FE37" s="33"/>
      <c r="FF37" s="34">
        <f>IF(AND(ISNUMBER(FG37),ISNUMBER(FE37)),FG37-FE37,"")</f>
        <v>0</v>
      </c>
      <c r="FG37" s="33"/>
      <c r="FH37" s="34">
        <f>IF(AND(ISNUMBER(FI37),ISNUMBER(FG37)),FI37-FG37,"")</f>
        <v>0</v>
      </c>
      <c r="FI37" s="33"/>
      <c r="FJ37" s="34">
        <f>IF(AND(ISNUMBER(FK37),ISNUMBER(FI37)),FK37-FI37,"")</f>
        <v>0</v>
      </c>
      <c r="FK37" s="33"/>
      <c r="FL37" s="34">
        <f>IF(AND(ISNUMBER(FM37),ISNUMBER(FK37)),FM37-FK37,"")</f>
        <v>0</v>
      </c>
      <c r="FM37" s="33"/>
      <c r="FN37" s="34">
        <f>IF(AND(ISNUMBER(FO37),ISNUMBER(FM37)),FO37-FM37,"")</f>
        <v>0</v>
      </c>
      <c r="FO37" s="33"/>
      <c r="FP37" s="34">
        <f>IF(AND(ISNUMBER(FQ37),ISNUMBER(FO37)),FQ37-FO37,"")</f>
        <v>0</v>
      </c>
      <c r="FQ37" s="33"/>
      <c r="FR37" s="34">
        <f>IF(AND(ISNUMBER(FS37),ISNUMBER(FQ37)),FS37-FQ37,"")</f>
        <v>0</v>
      </c>
      <c r="FS37" s="33"/>
      <c r="FT37" s="34">
        <f>IF(AND(ISNUMBER(FU37),ISNUMBER(FS37)),FU37-FS37,"")</f>
        <v>0</v>
      </c>
      <c r="FU37" s="33"/>
      <c r="FV37" s="34">
        <f>IF(AND(ISNUMBER(FW37),ISNUMBER(FU37)),FW37-FU37,"")</f>
        <v>0</v>
      </c>
      <c r="FW37" s="33"/>
      <c r="FX37" s="34">
        <f>IF(AND(ISNUMBER(FY37),ISNUMBER(FW37)),FY37-FW37,"")</f>
        <v>0</v>
      </c>
      <c r="FY37" s="33"/>
      <c r="FZ37" s="34">
        <f>IF(AND(ISNUMBER(GA37),ISNUMBER(FY37)),GA37-FY37,"")</f>
        <v>0</v>
      </c>
      <c r="GA37" s="33"/>
      <c r="GB37" s="34">
        <f>IF(AND(ISNUMBER(GC37),ISNUMBER(GA37)),GC37-GA37,"")</f>
        <v>0</v>
      </c>
      <c r="GC37" s="33"/>
      <c r="GD37" s="34">
        <f>IF(AND(ISNUMBER(GE37),ISNUMBER(GC37)),GE37-GC37,"")</f>
        <v>0</v>
      </c>
      <c r="GE37" s="33"/>
      <c r="GF37" s="34">
        <f>IF(AND(ISNUMBER(GG37),ISNUMBER(GE37)),GG37-GE37,"")</f>
        <v>0</v>
      </c>
      <c r="GG37" s="33"/>
      <c r="GH37" s="34">
        <f>IF(AND(ISNUMBER(GI37),ISNUMBER(GG37)),GI37-GG37,"")</f>
        <v>0</v>
      </c>
      <c r="GI37" s="33"/>
      <c r="GJ37" s="34">
        <f>IF(AND(ISNUMBER(GK37),ISNUMBER(GI37)),GK37-GI37,"")</f>
        <v>0</v>
      </c>
      <c r="GK37" s="33"/>
      <c r="GL37" s="34">
        <f>IF(AND(ISNUMBER(GM37),ISNUMBER(GK37)),GM37-GK37,"")</f>
        <v>0</v>
      </c>
      <c r="GM37" s="33"/>
      <c r="GN37" s="34">
        <f>IF(AND(ISNUMBER(GO37),ISNUMBER(GM37)),GO37-GM37,"")</f>
        <v>0</v>
      </c>
      <c r="GO37" s="33"/>
      <c r="GP37" s="34">
        <f>IF(AND(ISNUMBER(GQ37),ISNUMBER(GO37)),GQ37-GO37,"")</f>
        <v>0</v>
      </c>
      <c r="GQ37" s="33"/>
      <c r="GR37" s="34">
        <f>IF(AND(ISNUMBER(GS37),ISNUMBER(GQ37)),GS37-GQ37,"")</f>
        <v>0</v>
      </c>
      <c r="GS37" s="33"/>
      <c r="GT37" s="34">
        <f>IF(AND(ISNUMBER(GU37),ISNUMBER(GS37)),GU37-GS37,"")</f>
        <v>0</v>
      </c>
      <c r="GU37" s="33"/>
      <c r="GV37" s="34">
        <f>IF(AND(ISNUMBER(GW37),ISNUMBER(GU37)),GW37-GU37,"")</f>
        <v>0</v>
      </c>
      <c r="GW37" s="33"/>
      <c r="GX37" s="34">
        <f>IF(AND(ISNUMBER(GY37),ISNUMBER(GW37)),GY37-GW37,"")</f>
        <v>0</v>
      </c>
      <c r="GY37" s="33"/>
      <c r="GZ37" s="34">
        <f>IF(AND(ISNUMBER(HA37),ISNUMBER(GY37)),HA37-GY37,"")</f>
        <v>0</v>
      </c>
      <c r="HA37" s="33"/>
      <c r="HB37" s="34">
        <f>IF(AND(ISNUMBER(HC37),ISNUMBER(HA37)),HC37-HA37,"")</f>
        <v>0</v>
      </c>
      <c r="HC37" s="33"/>
      <c r="HD37" s="34">
        <f>IF(AND(ISNUMBER(HE37),ISNUMBER(HC37)),HE37-HC37,"")</f>
        <v>0</v>
      </c>
      <c r="HE37" s="33"/>
      <c r="HF37" s="34">
        <f>IF(AND(ISNUMBER(HG37),ISNUMBER(HE37)),HG37-HE37,"")</f>
        <v>0</v>
      </c>
      <c r="HG37" s="33"/>
      <c r="HH37" s="34">
        <f>IF(AND(ISNUMBER(HI37),ISNUMBER(HG37)),HI37-HG37,"")</f>
        <v>0</v>
      </c>
      <c r="HI37" s="33"/>
      <c r="HJ37" s="34">
        <f>IF(AND(ISNUMBER(HK37),ISNUMBER(HI37)),HK37-HI37,"")</f>
        <v>0</v>
      </c>
      <c r="HK37" s="33"/>
      <c r="HL37" s="34">
        <f>IF(AND(ISNUMBER(HM37),ISNUMBER(HK37)),HM37-HK37,"")</f>
        <v>0</v>
      </c>
      <c r="HM37" s="33"/>
      <c r="HN37" s="34">
        <f>IF(AND(ISNUMBER(HO37),ISNUMBER(HM37)),HO37-HM37,"")</f>
        <v>0</v>
      </c>
      <c r="HO37" s="33"/>
      <c r="HP37" s="34">
        <f>IF(AND(ISNUMBER(HQ37),ISNUMBER(HO37)),HQ37-HO37,"")</f>
        <v>0</v>
      </c>
      <c r="HQ37" s="33"/>
      <c r="HR37" s="34">
        <f>IF(AND(ISNUMBER(HS37),ISNUMBER(HQ37)),HS37-HQ37,"")</f>
        <v>0</v>
      </c>
      <c r="HS37" s="33"/>
      <c r="HT37" s="34">
        <f>IF(AND(ISNUMBER(HU37),ISNUMBER(HS37)),HU37-HS37,"")</f>
        <v>0</v>
      </c>
      <c r="HU37" s="33"/>
      <c r="HV37" s="34">
        <f>IF(AND(ISNUMBER(HW37),ISNUMBER(HU37)),HW37-HU37,"")</f>
        <v>0</v>
      </c>
      <c r="HW37" s="33"/>
      <c r="HX37" s="34">
        <f>IF(AND(ISNUMBER(HY37),ISNUMBER(HW37)),HY37-HW37,"")</f>
        <v>0</v>
      </c>
      <c r="HY37" s="33"/>
      <c r="HZ37" s="34">
        <f>IF(AND(ISNUMBER(IA37),ISNUMBER(HY37)),IA37-HY37,"")</f>
        <v>0</v>
      </c>
      <c r="IA37" s="33"/>
      <c r="IB37" s="34">
        <f>IF(AND(ISNUMBER(IC37),ISNUMBER(IA37)),IC37-IA37,"")</f>
        <v>0</v>
      </c>
      <c r="IC37" s="33"/>
      <c r="ID37" s="34">
        <f>IF(AND(ISNUMBER(IE37),ISNUMBER(IC37)),IE37-IC37,"")</f>
        <v>0</v>
      </c>
      <c r="IE37" s="33"/>
      <c r="IF37" s="34">
        <f>IF(AND(ISNUMBER(IG37),ISNUMBER(IE37)),IG37-IE37,"")</f>
        <v>0</v>
      </c>
      <c r="IG37" s="33"/>
      <c r="IH37" s="34">
        <f>IF(AND(ISNUMBER(II37),ISNUMBER(IG37)),II37-IG37,"")</f>
        <v>0</v>
      </c>
      <c r="II37" s="33"/>
      <c r="IJ37" s="34">
        <f>IF(AND(ISNUMBER(IK37),ISNUMBER(II37)),IK37-II37,"")</f>
        <v>0</v>
      </c>
      <c r="IK37" s="33"/>
      <c r="IL37" s="34">
        <f>IF(AND(ISNUMBER(IM37),ISNUMBER(IK37)),IM37-IK37,"")</f>
        <v>0</v>
      </c>
      <c r="IM37" s="33"/>
      <c r="IN37" s="34">
        <f>IF(AND(ISNUMBER(IO37),ISNUMBER(IM37)),IO37-IM37,"")</f>
        <v>0</v>
      </c>
      <c r="IO37" s="33"/>
      <c r="IP37" s="34">
        <f>IF(AND(ISNUMBER(IQ37),ISNUMBER(IO37)),IQ37-IO37,"")</f>
        <v>0</v>
      </c>
      <c r="IQ37" s="33"/>
      <c r="IR37" s="34">
        <f>IF(AND(ISNUMBER(IS37),ISNUMBER(IQ37)),IS37-IQ37,"")</f>
        <v>0</v>
      </c>
      <c r="IS37" s="33"/>
      <c r="IT37" s="34">
        <f>IF(AND(ISNUMBER(IU37),ISNUMBER(IS37)),IU37-IS37,"")</f>
        <v>0</v>
      </c>
      <c r="IU37" s="33"/>
      <c r="IV37" s="34">
        <f>IF(AND(ISNUMBER(IW37),ISNUMBER(IU37)),IW37-IU37,"")</f>
        <v>0</v>
      </c>
      <c r="IW37" s="33"/>
      <c r="IX37" s="34">
        <f>IF(AND(ISNUMBER(IY37),ISNUMBER(IW37)),IY37-IW37,"")</f>
        <v>0</v>
      </c>
      <c r="IY37" s="33"/>
      <c r="IZ37" s="34">
        <f>IF(AND(ISNUMBER(JA37),ISNUMBER(IY37)),JA37-IY37,"")</f>
        <v>0</v>
      </c>
      <c r="JA37" s="33"/>
      <c r="JB37" s="34">
        <f>IF(AND(ISNUMBER(JC37),ISNUMBER(JA37)),JC37-JA37,"")</f>
        <v>0</v>
      </c>
      <c r="JC37" s="33"/>
      <c r="JD37" s="34">
        <f>IF(AND(ISNUMBER(JE37),ISNUMBER(JC37)),JE37-JC37,"")</f>
        <v>0</v>
      </c>
      <c r="JE37" s="33"/>
      <c r="JF37" s="34">
        <f>IF(AND(ISNUMBER(JG37),ISNUMBER(JE37)),JG37-JE37,"")</f>
        <v>0</v>
      </c>
      <c r="JG37" s="33"/>
      <c r="JH37" s="34">
        <f>IF(AND(ISNUMBER(JI37),ISNUMBER(JG37)),JI37-JG37,"")</f>
        <v>0</v>
      </c>
      <c r="JI37" s="33"/>
      <c r="JJ37" s="34">
        <f>IF(AND(ISNUMBER(JK37),ISNUMBER(JI37)),JK37-JI37,"")</f>
        <v>0</v>
      </c>
      <c r="JK37" s="33"/>
      <c r="JL37" s="34">
        <f>IF(AND(ISNUMBER(JM37),ISNUMBER(JK37)),JM37-JK37,"")</f>
        <v>0</v>
      </c>
      <c r="JM37" s="33"/>
      <c r="JN37" s="34">
        <f>IF(AND(ISNUMBER(JO37),ISNUMBER(JM37)),JO37-JM37,"")</f>
        <v>0</v>
      </c>
      <c r="JO37" s="33"/>
      <c r="JP37" s="34">
        <f>IF(AND(ISNUMBER(JQ37),ISNUMBER(JO37)),JQ37-JO37,"")</f>
        <v>0</v>
      </c>
      <c r="JQ37" s="33"/>
      <c r="JR37" s="34">
        <f>IF(AND(ISNUMBER(JS37),ISNUMBER(JQ37)),JS37-JQ37,"")</f>
        <v>0</v>
      </c>
      <c r="JS37" s="33"/>
      <c r="JT37" s="34">
        <f>IF(AND(ISNUMBER(JU37),ISNUMBER(JS37)),JU37-JS37,"")</f>
        <v>0</v>
      </c>
      <c r="JU37" s="33"/>
      <c r="JV37" s="34">
        <f>IF(AND(ISNUMBER(JW37),ISNUMBER(JU37)),JW37-JU37,"")</f>
        <v>0</v>
      </c>
      <c r="JW37" s="33"/>
      <c r="JX37" s="34">
        <f>IF(AND(ISNUMBER(JY37),ISNUMBER(JW37)),JY37-JW37,"")</f>
        <v>0</v>
      </c>
      <c r="JY37" s="33"/>
      <c r="JZ37" s="34">
        <f>IF(AND(ISNUMBER(KA37),ISNUMBER(JY37)),KA37-JY37,"")</f>
        <v>0</v>
      </c>
      <c r="KA37" s="33"/>
      <c r="KB37" s="34">
        <f>IF(AND(ISNUMBER(KC37),ISNUMBER(KA37)),KC37-KA37,"")</f>
        <v>0</v>
      </c>
      <c r="KC37" s="33"/>
      <c r="KD37" s="34">
        <f>IF(AND(ISNUMBER(KE37),ISNUMBER(KC37)),KE37-KC37,"")</f>
        <v>0</v>
      </c>
      <c r="KE37" s="33"/>
      <c r="KF37" s="34">
        <f>IF(AND(ISNUMBER(KG37),ISNUMBER(KE37)),KG37-KE37,"")</f>
        <v>0</v>
      </c>
      <c r="KG37" s="33"/>
      <c r="KH37" s="34">
        <f>IF(AND(ISNUMBER(KI37),ISNUMBER(KG37)),KI37-KG37,"")</f>
        <v>0</v>
      </c>
      <c r="KI37" s="33"/>
      <c r="KJ37" s="34">
        <f>IF(AND(ISNUMBER(KK37),ISNUMBER(KI37)),KK37-KI37,"")</f>
        <v>0</v>
      </c>
      <c r="KK37" s="33"/>
      <c r="KL37" s="34">
        <f>IF(AND(ISNUMBER(KM37),ISNUMBER(KK37)),KM37-KK37,"")</f>
        <v>0</v>
      </c>
      <c r="KM37" s="33"/>
      <c r="KN37" s="34">
        <f>IF(AND(ISNUMBER(KO37),ISNUMBER(KM37)),KO37-KM37,"")</f>
        <v>0</v>
      </c>
      <c r="KO37" s="33"/>
      <c r="KP37" s="34">
        <f>IF(AND(ISNUMBER(KQ37),ISNUMBER(KO37)),KQ37-KO37,"")</f>
        <v>0</v>
      </c>
      <c r="KQ37" s="33"/>
      <c r="KR37" s="34">
        <f>IF(AND(ISNUMBER(KS37),ISNUMBER(KQ37)),KS37-KQ37,"")</f>
        <v>0</v>
      </c>
      <c r="KS37" s="33"/>
      <c r="KT37" s="34">
        <f>IF(AND(ISNUMBER(KU37),ISNUMBER(KS37)),KU37-KS37,"")</f>
        <v>0</v>
      </c>
      <c r="KU37" s="33"/>
      <c r="KV37" s="34">
        <f>IF(AND(ISNUMBER(KW37),ISNUMBER(KU37)),KW37-KU37,"")</f>
        <v>0</v>
      </c>
      <c r="KW37" s="33"/>
      <c r="KX37" s="34">
        <f>IF(AND(ISNUMBER(KY37),ISNUMBER(KW37)),KY37-KW37,"")</f>
        <v>0</v>
      </c>
      <c r="KY37" s="33"/>
      <c r="KZ37" s="34">
        <f>IF(AND(ISNUMBER(LA37),ISNUMBER(KY37)),LA37-KY37,"")</f>
        <v>0</v>
      </c>
      <c r="LA37" s="33"/>
      <c r="LB37" s="34">
        <f>IF(AND(ISNUMBER(LC37),ISNUMBER(LA37)),LC37-LA37,"")</f>
        <v>0</v>
      </c>
      <c r="LC37" s="33"/>
      <c r="LD37" s="34">
        <f>IF(AND(ISNUMBER(LE37),ISNUMBER(LC37)),LE37-LC37,"")</f>
        <v>0</v>
      </c>
      <c r="LE37" s="33"/>
      <c r="LF37" s="34">
        <f>IF(AND(ISNUMBER(LG37),ISNUMBER(LE37)),LG37-LE37,"")</f>
        <v>0</v>
      </c>
      <c r="LG37" s="33"/>
    </row>
    <row r="38" spans="1:322" hidden="1" outlineLevel="1">
      <c r="B38" s="23"/>
      <c r="D38" s="31" t="s">
        <v>725</v>
      </c>
      <c r="E38" s="32" t="s">
        <v>1060</v>
      </c>
      <c r="F38" s="38">
        <v>45689</v>
      </c>
      <c r="I38" s="40" t="s">
        <v>1088</v>
      </c>
      <c r="J38" s="34">
        <f>IF(AND(ISNUMBER(K38),ISNUMBER(I38)),K38-I38,"")</f>
        <v>0</v>
      </c>
      <c r="K38" s="33">
        <v>35</v>
      </c>
      <c r="L38" s="34">
        <f>IF(AND(ISNUMBER(M38),ISNUMBER(K38)),M38-K38,"")</f>
        <v>0</v>
      </c>
      <c r="M38" s="33">
        <v>47</v>
      </c>
      <c r="N38" s="34">
        <f>IF(AND(ISNUMBER(O38),ISNUMBER(M38)),O38-M38,"")</f>
        <v>0</v>
      </c>
      <c r="O38" s="33">
        <v>44</v>
      </c>
      <c r="P38" s="34">
        <f>IF(AND(ISNUMBER(Q38),ISNUMBER(O38)),Q38-O38,"")</f>
        <v>0</v>
      </c>
      <c r="Q38" s="33">
        <v>0</v>
      </c>
      <c r="R38" s="34">
        <f>IF(AND(ISNUMBER(S38),ISNUMBER(Q38)),S38-Q38,"")</f>
        <v>0</v>
      </c>
      <c r="S38" s="33">
        <v>8</v>
      </c>
      <c r="T38" s="34">
        <f>IF(AND(ISNUMBER(U38),ISNUMBER(S38)),U38-S38,"")</f>
        <v>0</v>
      </c>
      <c r="U38" s="33">
        <v>11</v>
      </c>
      <c r="V38" s="34">
        <f>IF(AND(ISNUMBER(W38),ISNUMBER(U38)),W38-U38,"")</f>
        <v>0</v>
      </c>
      <c r="W38" s="33">
        <v>11</v>
      </c>
      <c r="X38" s="34">
        <f>IF(AND(ISNUMBER(Y38),ISNUMBER(W38)),Y38-W38,"")</f>
        <v>0</v>
      </c>
      <c r="Y38" s="33">
        <v>11</v>
      </c>
      <c r="Z38" s="34">
        <f>IF(AND(ISNUMBER(AA38),ISNUMBER(Y38)),AA38-Y38,"")</f>
        <v>0</v>
      </c>
      <c r="AA38" s="33">
        <v>9</v>
      </c>
      <c r="AB38" s="34">
        <f>IF(AND(ISNUMBER(AC38),ISNUMBER(AA38)),AC38-AA38,"")</f>
        <v>0</v>
      </c>
      <c r="AC38" s="33">
        <v>2</v>
      </c>
      <c r="AD38" s="34">
        <f>IF(AND(ISNUMBER(AE38),ISNUMBER(AC38)),AE38-AC38,"")</f>
        <v>0</v>
      </c>
      <c r="AE38" s="33">
        <v>0</v>
      </c>
      <c r="AF38" s="34">
        <f>IF(AND(ISNUMBER(AG38),ISNUMBER(AE38)),AG38-AE38,"")</f>
        <v>0</v>
      </c>
      <c r="AG38" s="33">
        <v>0</v>
      </c>
      <c r="AH38" s="34">
        <f>IF(AND(ISNUMBER(AI38),ISNUMBER(AG38)),AI38-AG38,"")</f>
        <v>0</v>
      </c>
      <c r="AI38" s="33">
        <v>0</v>
      </c>
      <c r="AJ38" s="34">
        <f>IF(AND(ISNUMBER(AK38),ISNUMBER(AI38)),AK38-AI38,"")</f>
        <v>0</v>
      </c>
      <c r="AK38" s="33">
        <v>0</v>
      </c>
      <c r="AL38" s="34">
        <f>IF(AND(ISNUMBER(AM38),ISNUMBER(AK38)),AM38-AK38,"")</f>
        <v>0</v>
      </c>
      <c r="AM38" s="33">
        <v>0</v>
      </c>
      <c r="AN38" s="34">
        <f>IF(AND(ISNUMBER(AO38),ISNUMBER(AM38)),AO38-AM38,"")</f>
        <v>0</v>
      </c>
      <c r="AO38" s="40" t="s">
        <v>1088</v>
      </c>
      <c r="AP38" s="34">
        <f>IF(AND(ISNUMBER(AQ38),ISNUMBER(AO38)),AQ38-AO38,"")</f>
        <v>0</v>
      </c>
      <c r="AQ38" s="40" t="s">
        <v>1088</v>
      </c>
      <c r="AR38" s="34">
        <f>IF(AND(ISNUMBER(AS38),ISNUMBER(AQ38)),AS38-AQ38,"")</f>
        <v>0</v>
      </c>
      <c r="AS38" s="33">
        <v>1</v>
      </c>
      <c r="AT38" s="34">
        <f>IF(AND(ISNUMBER(AU38),ISNUMBER(AS38)),AU38-AS38,"")</f>
        <v>0</v>
      </c>
      <c r="AU38" s="33">
        <v>0</v>
      </c>
      <c r="AV38" s="34">
        <f>IF(AND(ISNUMBER(AW38),ISNUMBER(AU38)),AW38-AU38,"")</f>
        <v>0</v>
      </c>
      <c r="AW38" s="33">
        <v>0</v>
      </c>
      <c r="AX38" s="34">
        <f>IF(AND(ISNUMBER(AY38),ISNUMBER(AW38)),AY38-AW38,"")</f>
        <v>0</v>
      </c>
      <c r="AY38" s="33">
        <v>3</v>
      </c>
      <c r="AZ38" s="34">
        <f>IF(AND(ISNUMBER(BA38),ISNUMBER(AY38)),BA38-AY38,"")</f>
        <v>0</v>
      </c>
      <c r="BA38" s="33">
        <v>1</v>
      </c>
      <c r="BB38" s="34">
        <f>IF(AND(ISNUMBER(BC38),ISNUMBER(BA38)),BC38-BA38,"")</f>
        <v>0</v>
      </c>
      <c r="BC38" s="33">
        <v>2</v>
      </c>
      <c r="BD38" s="34">
        <f>IF(AND(ISNUMBER(BE38),ISNUMBER(BC38)),BE38-BC38,"")</f>
        <v>0</v>
      </c>
      <c r="BE38" s="33">
        <v>4</v>
      </c>
      <c r="BF38" s="34">
        <f>IF(AND(ISNUMBER(BG38),ISNUMBER(BE38)),BG38-BE38,"")</f>
        <v>0</v>
      </c>
      <c r="BG38" s="33">
        <v>2</v>
      </c>
      <c r="BH38" s="34">
        <f>IF(AND(ISNUMBER(BI38),ISNUMBER(BG38)),BI38-BG38,"")</f>
        <v>0</v>
      </c>
      <c r="BI38" s="33">
        <v>3</v>
      </c>
      <c r="BJ38" s="34">
        <f>IF(AND(ISNUMBER(BK38),ISNUMBER(BI38)),BK38-BI38,"")</f>
        <v>0</v>
      </c>
      <c r="BK38" s="33">
        <v>1</v>
      </c>
      <c r="BL38" s="34">
        <f>IF(AND(ISNUMBER(BM38),ISNUMBER(BK38)),BM38-BK38,"")</f>
        <v>0</v>
      </c>
      <c r="BM38" s="33">
        <v>4</v>
      </c>
      <c r="BN38" s="34">
        <f>IF(AND(ISNUMBER(BO38),ISNUMBER(BM38)),BO38-BM38,"")</f>
        <v>0</v>
      </c>
      <c r="BO38" s="33">
        <v>1</v>
      </c>
      <c r="BP38" s="34">
        <f>IF(AND(ISNUMBER(BQ38),ISNUMBER(BO38)),BQ38-BO38,"")</f>
        <v>0</v>
      </c>
      <c r="BQ38" s="33">
        <v>0</v>
      </c>
      <c r="BR38" s="34">
        <f>IF(AND(ISNUMBER(BS38),ISNUMBER(BQ38)),BS38-BQ38,"")</f>
        <v>0</v>
      </c>
      <c r="BS38" s="33">
        <v>0</v>
      </c>
      <c r="BT38" s="34">
        <f>IF(AND(ISNUMBER(BU38),ISNUMBER(BS38)),BU38-BS38,"")</f>
        <v>0</v>
      </c>
      <c r="BU38" s="33">
        <v>0</v>
      </c>
      <c r="BV38" s="34">
        <f>IF(AND(ISNUMBER(BW38),ISNUMBER(BU38)),BW38-BU38,"")</f>
        <v>0</v>
      </c>
      <c r="BW38" s="33">
        <v>0</v>
      </c>
      <c r="BX38" s="34">
        <f>IF(AND(ISNUMBER(BY38),ISNUMBER(BW38)),BY38-BW38,"")</f>
        <v>0</v>
      </c>
      <c r="BY38" s="33">
        <v>0</v>
      </c>
      <c r="BZ38" s="34">
        <f>IF(AND(ISNUMBER(CA38),ISNUMBER(BY38)),CA38-BY38,"")</f>
        <v>0</v>
      </c>
      <c r="CA38" s="33">
        <v>0</v>
      </c>
      <c r="CB38" s="34">
        <f>IF(AND(ISNUMBER(CC38),ISNUMBER(CA38)),CC38-CA38,"")</f>
        <v>0</v>
      </c>
      <c r="CC38" s="33">
        <v>0</v>
      </c>
      <c r="CD38" s="34">
        <f>IF(AND(ISNUMBER(CE38),ISNUMBER(CC38)),CE38-CC38,"")</f>
        <v>0</v>
      </c>
      <c r="CE38" s="33">
        <v>0</v>
      </c>
      <c r="CF38" s="34">
        <f>IF(AND(ISNUMBER(CG38),ISNUMBER(CE38)),CG38-CE38,"")</f>
        <v>0</v>
      </c>
      <c r="CG38" s="33">
        <v>0</v>
      </c>
      <c r="CH38" s="34">
        <f>IF(AND(ISNUMBER(CI38),ISNUMBER(CG38)),CI38-CG38,"")</f>
        <v>0</v>
      </c>
      <c r="CI38" s="33">
        <v>0</v>
      </c>
      <c r="CJ38" s="34">
        <f>IF(AND(ISNUMBER(CK38),ISNUMBER(CI38)),CK38-CI38,"")</f>
        <v>0</v>
      </c>
      <c r="CK38" s="33">
        <v>0</v>
      </c>
      <c r="CL38" s="34">
        <f>IF(AND(ISNUMBER(CM38),ISNUMBER(CK38)),CM38-CK38,"")</f>
        <v>0</v>
      </c>
      <c r="CM38" s="33">
        <v>2</v>
      </c>
      <c r="CN38" s="34">
        <f>IF(AND(ISNUMBER(CO38),ISNUMBER(CM38)),CO38-CM38,"")</f>
        <v>0</v>
      </c>
      <c r="CO38" s="33">
        <v>3</v>
      </c>
      <c r="CP38" s="34">
        <f>IF(AND(ISNUMBER(CQ38),ISNUMBER(CO38)),CQ38-CO38,"")</f>
        <v>0</v>
      </c>
      <c r="CQ38" s="33">
        <v>3</v>
      </c>
      <c r="CR38" s="34">
        <f>IF(AND(ISNUMBER(CS38),ISNUMBER(CQ38)),CS38-CQ38,"")</f>
        <v>0</v>
      </c>
      <c r="CS38" s="33">
        <v>3</v>
      </c>
      <c r="CT38" s="34">
        <f>IF(AND(ISNUMBER(CU38),ISNUMBER(CS38)),CU38-CS38,"")</f>
        <v>0</v>
      </c>
      <c r="CU38" s="33">
        <v>3</v>
      </c>
      <c r="CV38" s="34">
        <f>IF(AND(ISNUMBER(CW38),ISNUMBER(CU38)),CW38-CU38,"")</f>
        <v>0</v>
      </c>
      <c r="CW38" s="33">
        <v>3</v>
      </c>
      <c r="CX38" s="34">
        <f>IF(AND(ISNUMBER(CY38),ISNUMBER(CW38)),CY38-CW38,"")</f>
        <v>0</v>
      </c>
      <c r="CY38" s="33"/>
      <c r="CZ38" s="34">
        <f>IF(AND(ISNUMBER(DA38),ISNUMBER(CY38)),DA38-CY38,"")</f>
        <v>0</v>
      </c>
      <c r="DA38" s="33">
        <v>0</v>
      </c>
      <c r="DB38" s="34">
        <f>IF(AND(ISNUMBER(DC38),ISNUMBER(DA38)),DC38-DA38,"")</f>
        <v>0</v>
      </c>
      <c r="DC38" s="33">
        <v>1</v>
      </c>
      <c r="DD38" s="34">
        <f>IF(AND(ISNUMBER(DE38),ISNUMBER(DC38)),DE38-DC38,"")</f>
        <v>0</v>
      </c>
      <c r="DE38" s="33">
        <v>0</v>
      </c>
      <c r="DF38" s="34">
        <f>IF(AND(ISNUMBER(DG38),ISNUMBER(DE38)),DG38-DE38,"")</f>
        <v>0</v>
      </c>
      <c r="DG38" s="33">
        <v>1</v>
      </c>
      <c r="DH38" s="34">
        <f>IF(AND(ISNUMBER(DI38),ISNUMBER(DG38)),DI38-DG38,"")</f>
        <v>0</v>
      </c>
      <c r="DI38" s="33">
        <v>2</v>
      </c>
      <c r="DJ38" s="34">
        <f>IF(AND(ISNUMBER(DK38),ISNUMBER(DI38)),DK38-DI38,"")</f>
        <v>0</v>
      </c>
      <c r="DK38" s="33">
        <v>2</v>
      </c>
      <c r="DL38" s="34">
        <f>IF(AND(ISNUMBER(DM38),ISNUMBER(DK38)),DM38-DK38,"")</f>
        <v>0</v>
      </c>
      <c r="DM38" s="33">
        <v>2</v>
      </c>
      <c r="DN38" s="34">
        <f>IF(AND(ISNUMBER(DO38),ISNUMBER(DM38)),DO38-DM38,"")</f>
        <v>0</v>
      </c>
      <c r="DO38" s="33">
        <v>3</v>
      </c>
      <c r="DP38" s="34">
        <f>IF(AND(ISNUMBER(DQ38),ISNUMBER(DO38)),DQ38-DO38,"")</f>
        <v>0</v>
      </c>
      <c r="DQ38" s="33">
        <v>3</v>
      </c>
      <c r="DR38" s="34">
        <f>IF(AND(ISNUMBER(DS38),ISNUMBER(DQ38)),DS38-DQ38,"")</f>
        <v>0</v>
      </c>
      <c r="DS38" s="33">
        <v>6</v>
      </c>
      <c r="DT38" s="34">
        <f>IF(AND(ISNUMBER(DU38),ISNUMBER(DS38)),DU38-DS38,"")</f>
        <v>0</v>
      </c>
      <c r="DU38" s="33">
        <v>2</v>
      </c>
      <c r="DV38" s="34">
        <f>IF(AND(ISNUMBER(DW38),ISNUMBER(DU38)),DW38-DU38,"")</f>
        <v>0</v>
      </c>
      <c r="DW38" s="33">
        <v>4</v>
      </c>
      <c r="DX38" s="34">
        <f>IF(AND(ISNUMBER(DY38),ISNUMBER(DW38)),DY38-DW38,"")</f>
        <v>0</v>
      </c>
      <c r="DY38" s="33">
        <v>2</v>
      </c>
      <c r="DZ38" s="34">
        <f>IF(AND(ISNUMBER(EA38),ISNUMBER(DY38)),EA38-DY38,"")</f>
        <v>0</v>
      </c>
      <c r="EA38" s="33">
        <v>0</v>
      </c>
      <c r="EB38" s="34">
        <f>IF(AND(ISNUMBER(EC38),ISNUMBER(EA38)),EC38-EA38,"")</f>
        <v>0</v>
      </c>
      <c r="EC38" s="33">
        <v>0</v>
      </c>
      <c r="ED38" s="34">
        <f>IF(AND(ISNUMBER(EE38),ISNUMBER(EC38)),EE38-EC38,"")</f>
        <v>0</v>
      </c>
      <c r="EE38" s="33">
        <v>0</v>
      </c>
      <c r="EF38" s="34">
        <f>IF(AND(ISNUMBER(EG38),ISNUMBER(EE38)),EG38-EE38,"")</f>
        <v>0</v>
      </c>
      <c r="EG38" s="33">
        <v>2</v>
      </c>
      <c r="EH38" s="34">
        <f>IF(AND(ISNUMBER(EI38),ISNUMBER(EG38)),EI38-EG38,"")</f>
        <v>0</v>
      </c>
      <c r="EI38" s="33">
        <v>6</v>
      </c>
      <c r="EJ38" s="34">
        <f>IF(AND(ISNUMBER(EK38),ISNUMBER(EI38)),EK38-EI38,"")</f>
        <v>0</v>
      </c>
      <c r="EK38" s="33">
        <v>2</v>
      </c>
      <c r="EL38" s="34">
        <f>IF(AND(ISNUMBER(EM38),ISNUMBER(EK38)),EM38-EK38,"")</f>
        <v>0</v>
      </c>
      <c r="EM38" s="33">
        <v>0</v>
      </c>
      <c r="EN38" s="34">
        <f>IF(AND(ISNUMBER(EO38),ISNUMBER(EM38)),EO38-EM38,"")</f>
        <v>0</v>
      </c>
      <c r="EO38" s="33">
        <v>0</v>
      </c>
      <c r="EP38" s="34">
        <f>IF(AND(ISNUMBER(EQ38),ISNUMBER(EO38)),EQ38-EO38,"")</f>
        <v>0</v>
      </c>
      <c r="EQ38" s="33">
        <v>0</v>
      </c>
      <c r="ER38" s="34">
        <f>IF(AND(ISNUMBER(ES38),ISNUMBER(EQ38)),ES38-EQ38,"")</f>
        <v>0</v>
      </c>
      <c r="ES38" s="33">
        <v>0</v>
      </c>
      <c r="ET38" s="34">
        <f>IF(AND(ISNUMBER(EU38),ISNUMBER(ES38)),EU38-ES38,"")</f>
        <v>0</v>
      </c>
      <c r="EU38" s="33">
        <v>0</v>
      </c>
      <c r="EV38" s="34">
        <f>IF(AND(ISNUMBER(EW38),ISNUMBER(EU38)),EW38-EU38,"")</f>
        <v>0</v>
      </c>
      <c r="EW38" s="33">
        <v>8</v>
      </c>
      <c r="EX38" s="34">
        <f>IF(AND(ISNUMBER(EY38),ISNUMBER(EW38)),EY38-EW38,"")</f>
        <v>0</v>
      </c>
      <c r="EY38" s="33">
        <v>5</v>
      </c>
      <c r="EZ38" s="34">
        <f>IF(AND(ISNUMBER(FA38),ISNUMBER(EY38)),FA38-EY38,"")</f>
        <v>0</v>
      </c>
      <c r="FA38" s="33"/>
      <c r="FB38" s="34">
        <f>IF(AND(ISNUMBER(FC38),ISNUMBER(FA38)),FC38-FA38,"")</f>
        <v>0</v>
      </c>
      <c r="FC38" s="33"/>
      <c r="FD38" s="34">
        <f>IF(AND(ISNUMBER(FE38),ISNUMBER(FC38)),FE38-FC38,"")</f>
        <v>0</v>
      </c>
      <c r="FE38" s="33"/>
      <c r="FF38" s="34">
        <f>IF(AND(ISNUMBER(FG38),ISNUMBER(FE38)),FG38-FE38,"")</f>
        <v>0</v>
      </c>
      <c r="FG38" s="33"/>
      <c r="FH38" s="34">
        <f>IF(AND(ISNUMBER(FI38),ISNUMBER(FG38)),FI38-FG38,"")</f>
        <v>0</v>
      </c>
      <c r="FI38" s="33"/>
      <c r="FJ38" s="34">
        <f>IF(AND(ISNUMBER(FK38),ISNUMBER(FI38)),FK38-FI38,"")</f>
        <v>0</v>
      </c>
      <c r="FK38" s="33"/>
      <c r="FL38" s="34">
        <f>IF(AND(ISNUMBER(FM38),ISNUMBER(FK38)),FM38-FK38,"")</f>
        <v>0</v>
      </c>
      <c r="FM38" s="33"/>
      <c r="FN38" s="34">
        <f>IF(AND(ISNUMBER(FO38),ISNUMBER(FM38)),FO38-FM38,"")</f>
        <v>0</v>
      </c>
      <c r="FO38" s="33"/>
      <c r="FP38" s="34">
        <f>IF(AND(ISNUMBER(FQ38),ISNUMBER(FO38)),FQ38-FO38,"")</f>
        <v>0</v>
      </c>
      <c r="FQ38" s="33"/>
      <c r="FR38" s="34">
        <f>IF(AND(ISNUMBER(FS38),ISNUMBER(FQ38)),FS38-FQ38,"")</f>
        <v>0</v>
      </c>
      <c r="FS38" s="33"/>
      <c r="FT38" s="34">
        <f>IF(AND(ISNUMBER(FU38),ISNUMBER(FS38)),FU38-FS38,"")</f>
        <v>0</v>
      </c>
      <c r="FU38" s="33"/>
      <c r="FV38" s="34">
        <f>IF(AND(ISNUMBER(FW38),ISNUMBER(FU38)),FW38-FU38,"")</f>
        <v>0</v>
      </c>
      <c r="FW38" s="33"/>
      <c r="FX38" s="34">
        <f>IF(AND(ISNUMBER(FY38),ISNUMBER(FW38)),FY38-FW38,"")</f>
        <v>0</v>
      </c>
      <c r="FY38" s="33"/>
      <c r="FZ38" s="34">
        <f>IF(AND(ISNUMBER(GA38),ISNUMBER(FY38)),GA38-FY38,"")</f>
        <v>0</v>
      </c>
      <c r="GA38" s="33"/>
      <c r="GB38" s="34">
        <f>IF(AND(ISNUMBER(GC38),ISNUMBER(GA38)),GC38-GA38,"")</f>
        <v>0</v>
      </c>
      <c r="GC38" s="33"/>
      <c r="GD38" s="34">
        <f>IF(AND(ISNUMBER(GE38),ISNUMBER(GC38)),GE38-GC38,"")</f>
        <v>0</v>
      </c>
      <c r="GE38" s="33"/>
      <c r="GF38" s="34">
        <f>IF(AND(ISNUMBER(GG38),ISNUMBER(GE38)),GG38-GE38,"")</f>
        <v>0</v>
      </c>
      <c r="GG38" s="33"/>
      <c r="GH38" s="34">
        <f>IF(AND(ISNUMBER(GI38),ISNUMBER(GG38)),GI38-GG38,"")</f>
        <v>0</v>
      </c>
      <c r="GI38" s="33"/>
      <c r="GJ38" s="34">
        <f>IF(AND(ISNUMBER(GK38),ISNUMBER(GI38)),GK38-GI38,"")</f>
        <v>0</v>
      </c>
      <c r="GK38" s="33"/>
      <c r="GL38" s="34">
        <f>IF(AND(ISNUMBER(GM38),ISNUMBER(GK38)),GM38-GK38,"")</f>
        <v>0</v>
      </c>
      <c r="GM38" s="33"/>
      <c r="GN38" s="34">
        <f>IF(AND(ISNUMBER(GO38),ISNUMBER(GM38)),GO38-GM38,"")</f>
        <v>0</v>
      </c>
      <c r="GO38" s="33"/>
      <c r="GP38" s="34">
        <f>IF(AND(ISNUMBER(GQ38),ISNUMBER(GO38)),GQ38-GO38,"")</f>
        <v>0</v>
      </c>
      <c r="GQ38" s="33"/>
      <c r="GR38" s="34">
        <f>IF(AND(ISNUMBER(GS38),ISNUMBER(GQ38)),GS38-GQ38,"")</f>
        <v>0</v>
      </c>
      <c r="GS38" s="33"/>
      <c r="GT38" s="34">
        <f>IF(AND(ISNUMBER(GU38),ISNUMBER(GS38)),GU38-GS38,"")</f>
        <v>0</v>
      </c>
      <c r="GU38" s="33"/>
      <c r="GV38" s="34">
        <f>IF(AND(ISNUMBER(GW38),ISNUMBER(GU38)),GW38-GU38,"")</f>
        <v>0</v>
      </c>
      <c r="GW38" s="33"/>
      <c r="GX38" s="34">
        <f>IF(AND(ISNUMBER(GY38),ISNUMBER(GW38)),GY38-GW38,"")</f>
        <v>0</v>
      </c>
      <c r="GY38" s="33"/>
      <c r="GZ38" s="34">
        <f>IF(AND(ISNUMBER(HA38),ISNUMBER(GY38)),HA38-GY38,"")</f>
        <v>0</v>
      </c>
      <c r="HA38" s="33"/>
      <c r="HB38" s="34">
        <f>IF(AND(ISNUMBER(HC38),ISNUMBER(HA38)),HC38-HA38,"")</f>
        <v>0</v>
      </c>
      <c r="HC38" s="33"/>
      <c r="HD38" s="34">
        <f>IF(AND(ISNUMBER(HE38),ISNUMBER(HC38)),HE38-HC38,"")</f>
        <v>0</v>
      </c>
      <c r="HE38" s="33"/>
      <c r="HF38" s="34">
        <f>IF(AND(ISNUMBER(HG38),ISNUMBER(HE38)),HG38-HE38,"")</f>
        <v>0</v>
      </c>
      <c r="HG38" s="33"/>
      <c r="HH38" s="34">
        <f>IF(AND(ISNUMBER(HI38),ISNUMBER(HG38)),HI38-HG38,"")</f>
        <v>0</v>
      </c>
      <c r="HI38" s="33"/>
      <c r="HJ38" s="34">
        <f>IF(AND(ISNUMBER(HK38),ISNUMBER(HI38)),HK38-HI38,"")</f>
        <v>0</v>
      </c>
      <c r="HK38" s="33"/>
      <c r="HL38" s="34">
        <f>IF(AND(ISNUMBER(HM38),ISNUMBER(HK38)),HM38-HK38,"")</f>
        <v>0</v>
      </c>
      <c r="HM38" s="33"/>
      <c r="HN38" s="34">
        <f>IF(AND(ISNUMBER(HO38),ISNUMBER(HM38)),HO38-HM38,"")</f>
        <v>0</v>
      </c>
      <c r="HO38" s="33"/>
      <c r="HP38" s="34">
        <f>IF(AND(ISNUMBER(HQ38),ISNUMBER(HO38)),HQ38-HO38,"")</f>
        <v>0</v>
      </c>
      <c r="HQ38" s="33"/>
      <c r="HR38" s="34">
        <f>IF(AND(ISNUMBER(HS38),ISNUMBER(HQ38)),HS38-HQ38,"")</f>
        <v>0</v>
      </c>
      <c r="HS38" s="33"/>
      <c r="HT38" s="34">
        <f>IF(AND(ISNUMBER(HU38),ISNUMBER(HS38)),HU38-HS38,"")</f>
        <v>0</v>
      </c>
      <c r="HU38" s="33"/>
      <c r="HV38" s="34">
        <f>IF(AND(ISNUMBER(HW38),ISNUMBER(HU38)),HW38-HU38,"")</f>
        <v>0</v>
      </c>
      <c r="HW38" s="33"/>
      <c r="HX38" s="34">
        <f>IF(AND(ISNUMBER(HY38),ISNUMBER(HW38)),HY38-HW38,"")</f>
        <v>0</v>
      </c>
      <c r="HY38" s="33"/>
      <c r="HZ38" s="34">
        <f>IF(AND(ISNUMBER(IA38),ISNUMBER(HY38)),IA38-HY38,"")</f>
        <v>0</v>
      </c>
      <c r="IA38" s="33"/>
      <c r="IB38" s="34">
        <f>IF(AND(ISNUMBER(IC38),ISNUMBER(IA38)),IC38-IA38,"")</f>
        <v>0</v>
      </c>
      <c r="IC38" s="33"/>
      <c r="ID38" s="34">
        <f>IF(AND(ISNUMBER(IE38),ISNUMBER(IC38)),IE38-IC38,"")</f>
        <v>0</v>
      </c>
      <c r="IE38" s="33"/>
      <c r="IF38" s="34">
        <f>IF(AND(ISNUMBER(IG38),ISNUMBER(IE38)),IG38-IE38,"")</f>
        <v>0</v>
      </c>
      <c r="IG38" s="33"/>
      <c r="IH38" s="34">
        <f>IF(AND(ISNUMBER(II38),ISNUMBER(IG38)),II38-IG38,"")</f>
        <v>0</v>
      </c>
      <c r="II38" s="33"/>
      <c r="IJ38" s="34">
        <f>IF(AND(ISNUMBER(IK38),ISNUMBER(II38)),IK38-II38,"")</f>
        <v>0</v>
      </c>
      <c r="IK38" s="33"/>
      <c r="IL38" s="34">
        <f>IF(AND(ISNUMBER(IM38),ISNUMBER(IK38)),IM38-IK38,"")</f>
        <v>0</v>
      </c>
      <c r="IM38" s="33"/>
      <c r="IN38" s="34">
        <f>IF(AND(ISNUMBER(IO38),ISNUMBER(IM38)),IO38-IM38,"")</f>
        <v>0</v>
      </c>
      <c r="IO38" s="33"/>
      <c r="IP38" s="34">
        <f>IF(AND(ISNUMBER(IQ38),ISNUMBER(IO38)),IQ38-IO38,"")</f>
        <v>0</v>
      </c>
      <c r="IQ38" s="33"/>
      <c r="IR38" s="34">
        <f>IF(AND(ISNUMBER(IS38),ISNUMBER(IQ38)),IS38-IQ38,"")</f>
        <v>0</v>
      </c>
      <c r="IS38" s="33"/>
      <c r="IT38" s="34">
        <f>IF(AND(ISNUMBER(IU38),ISNUMBER(IS38)),IU38-IS38,"")</f>
        <v>0</v>
      </c>
      <c r="IU38" s="33"/>
      <c r="IV38" s="34">
        <f>IF(AND(ISNUMBER(IW38),ISNUMBER(IU38)),IW38-IU38,"")</f>
        <v>0</v>
      </c>
      <c r="IW38" s="33"/>
      <c r="IX38" s="34">
        <f>IF(AND(ISNUMBER(IY38),ISNUMBER(IW38)),IY38-IW38,"")</f>
        <v>0</v>
      </c>
      <c r="IY38" s="33"/>
      <c r="IZ38" s="34">
        <f>IF(AND(ISNUMBER(JA38),ISNUMBER(IY38)),JA38-IY38,"")</f>
        <v>0</v>
      </c>
      <c r="JA38" s="33"/>
      <c r="JB38" s="34">
        <f>IF(AND(ISNUMBER(JC38),ISNUMBER(JA38)),JC38-JA38,"")</f>
        <v>0</v>
      </c>
      <c r="JC38" s="33"/>
      <c r="JD38" s="34">
        <f>IF(AND(ISNUMBER(JE38),ISNUMBER(JC38)),JE38-JC38,"")</f>
        <v>0</v>
      </c>
      <c r="JE38" s="33"/>
      <c r="JF38" s="34">
        <f>IF(AND(ISNUMBER(JG38),ISNUMBER(JE38)),JG38-JE38,"")</f>
        <v>0</v>
      </c>
      <c r="JG38" s="33"/>
      <c r="JH38" s="34">
        <f>IF(AND(ISNUMBER(JI38),ISNUMBER(JG38)),JI38-JG38,"")</f>
        <v>0</v>
      </c>
      <c r="JI38" s="33"/>
      <c r="JJ38" s="34">
        <f>IF(AND(ISNUMBER(JK38),ISNUMBER(JI38)),JK38-JI38,"")</f>
        <v>0</v>
      </c>
      <c r="JK38" s="33"/>
      <c r="JL38" s="34">
        <f>IF(AND(ISNUMBER(JM38),ISNUMBER(JK38)),JM38-JK38,"")</f>
        <v>0</v>
      </c>
      <c r="JM38" s="33"/>
      <c r="JN38" s="34">
        <f>IF(AND(ISNUMBER(JO38),ISNUMBER(JM38)),JO38-JM38,"")</f>
        <v>0</v>
      </c>
      <c r="JO38" s="33"/>
      <c r="JP38" s="34">
        <f>IF(AND(ISNUMBER(JQ38),ISNUMBER(JO38)),JQ38-JO38,"")</f>
        <v>0</v>
      </c>
      <c r="JQ38" s="33"/>
      <c r="JR38" s="34">
        <f>IF(AND(ISNUMBER(JS38),ISNUMBER(JQ38)),JS38-JQ38,"")</f>
        <v>0</v>
      </c>
      <c r="JS38" s="33"/>
      <c r="JT38" s="34">
        <f>IF(AND(ISNUMBER(JU38),ISNUMBER(JS38)),JU38-JS38,"")</f>
        <v>0</v>
      </c>
      <c r="JU38" s="33"/>
      <c r="JV38" s="34">
        <f>IF(AND(ISNUMBER(JW38),ISNUMBER(JU38)),JW38-JU38,"")</f>
        <v>0</v>
      </c>
      <c r="JW38" s="33"/>
      <c r="JX38" s="34">
        <f>IF(AND(ISNUMBER(JY38),ISNUMBER(JW38)),JY38-JW38,"")</f>
        <v>0</v>
      </c>
      <c r="JY38" s="33"/>
      <c r="JZ38" s="34">
        <f>IF(AND(ISNUMBER(KA38),ISNUMBER(JY38)),KA38-JY38,"")</f>
        <v>0</v>
      </c>
      <c r="KA38" s="33"/>
      <c r="KB38" s="34">
        <f>IF(AND(ISNUMBER(KC38),ISNUMBER(KA38)),KC38-KA38,"")</f>
        <v>0</v>
      </c>
      <c r="KC38" s="33"/>
      <c r="KD38" s="34">
        <f>IF(AND(ISNUMBER(KE38),ISNUMBER(KC38)),KE38-KC38,"")</f>
        <v>0</v>
      </c>
      <c r="KE38" s="33"/>
      <c r="KF38" s="34">
        <f>IF(AND(ISNUMBER(KG38),ISNUMBER(KE38)),KG38-KE38,"")</f>
        <v>0</v>
      </c>
      <c r="KG38" s="33"/>
      <c r="KH38" s="34">
        <f>IF(AND(ISNUMBER(KI38),ISNUMBER(KG38)),KI38-KG38,"")</f>
        <v>0</v>
      </c>
      <c r="KI38" s="33"/>
      <c r="KJ38" s="34">
        <f>IF(AND(ISNUMBER(KK38),ISNUMBER(KI38)),KK38-KI38,"")</f>
        <v>0</v>
      </c>
      <c r="KK38" s="33"/>
      <c r="KL38" s="34">
        <f>IF(AND(ISNUMBER(KM38),ISNUMBER(KK38)),KM38-KK38,"")</f>
        <v>0</v>
      </c>
      <c r="KM38" s="33"/>
      <c r="KN38" s="34">
        <f>IF(AND(ISNUMBER(KO38),ISNUMBER(KM38)),KO38-KM38,"")</f>
        <v>0</v>
      </c>
      <c r="KO38" s="33"/>
      <c r="KP38" s="34">
        <f>IF(AND(ISNUMBER(KQ38),ISNUMBER(KO38)),KQ38-KO38,"")</f>
        <v>0</v>
      </c>
      <c r="KQ38" s="33"/>
      <c r="KR38" s="34">
        <f>IF(AND(ISNUMBER(KS38),ISNUMBER(KQ38)),KS38-KQ38,"")</f>
        <v>0</v>
      </c>
      <c r="KS38" s="33"/>
      <c r="KT38" s="34">
        <f>IF(AND(ISNUMBER(KU38),ISNUMBER(KS38)),KU38-KS38,"")</f>
        <v>0</v>
      </c>
      <c r="KU38" s="33"/>
      <c r="KV38" s="34">
        <f>IF(AND(ISNUMBER(KW38),ISNUMBER(KU38)),KW38-KU38,"")</f>
        <v>0</v>
      </c>
      <c r="KW38" s="33"/>
      <c r="KX38" s="34">
        <f>IF(AND(ISNUMBER(KY38),ISNUMBER(KW38)),KY38-KW38,"")</f>
        <v>0</v>
      </c>
      <c r="KY38" s="33"/>
      <c r="KZ38" s="34">
        <f>IF(AND(ISNUMBER(LA38),ISNUMBER(KY38)),LA38-KY38,"")</f>
        <v>0</v>
      </c>
      <c r="LA38" s="33"/>
      <c r="LB38" s="34">
        <f>IF(AND(ISNUMBER(LC38),ISNUMBER(LA38)),LC38-LA38,"")</f>
        <v>0</v>
      </c>
      <c r="LC38" s="33"/>
      <c r="LD38" s="34">
        <f>IF(AND(ISNUMBER(LE38),ISNUMBER(LC38)),LE38-LC38,"")</f>
        <v>0</v>
      </c>
      <c r="LE38" s="33"/>
      <c r="LF38" s="34">
        <f>IF(AND(ISNUMBER(LG38),ISNUMBER(LE38)),LG38-LE38,"")</f>
        <v>0</v>
      </c>
      <c r="LG38" s="33"/>
      <c r="LJ38" s="35" t="s">
        <v>1085</v>
      </c>
    </row>
    <row r="39" spans="1:322" ht="27.5" customHeight="1" collapsed="1">
      <c r="A39" s="22">
        <v>3</v>
      </c>
      <c r="B39" s="23" t="s">
        <v>1095</v>
      </c>
      <c r="C39" s="24" t="s">
        <v>728</v>
      </c>
      <c r="D39" s="24"/>
      <c r="E39" s="25" t="s">
        <v>1081</v>
      </c>
      <c r="F39" s="26"/>
      <c r="G39" s="26"/>
      <c r="H39" s="26" t="s">
        <v>1096</v>
      </c>
      <c r="I39" s="27">
        <v>375</v>
      </c>
      <c r="J39" s="28">
        <f>IF(AND(ISNUMBER(K39),ISNUMBER(I39)),K39-I39,"")</f>
        <v>0</v>
      </c>
      <c r="K39" s="42" t="s">
        <v>1088</v>
      </c>
      <c r="L39" s="28">
        <f>IF(AND(ISNUMBER(M39),ISNUMBER(K39)),M39-K39,"")</f>
        <v>0</v>
      </c>
      <c r="M39" s="27">
        <v>97</v>
      </c>
      <c r="N39" s="28">
        <f>IF(AND(ISNUMBER(O39),ISNUMBER(M39)),O39-M39,"")</f>
        <v>0</v>
      </c>
      <c r="O39" s="27">
        <v>48</v>
      </c>
      <c r="P39" s="28">
        <f>IF(AND(ISNUMBER(Q39),ISNUMBER(O39)),Q39-O39,"")</f>
        <v>0</v>
      </c>
      <c r="Q39" s="27">
        <v>21</v>
      </c>
      <c r="R39" s="28">
        <f>IF(AND(ISNUMBER(S39),ISNUMBER(Q39)),S39-Q39,"")</f>
        <v>0</v>
      </c>
      <c r="S39" s="27">
        <v>19</v>
      </c>
      <c r="T39" s="28">
        <f>IF(AND(ISNUMBER(U39),ISNUMBER(S39)),U39-S39,"")</f>
        <v>0</v>
      </c>
      <c r="U39" s="42" t="s">
        <v>1088</v>
      </c>
      <c r="V39" s="28">
        <f>IF(AND(ISNUMBER(W39),ISNUMBER(U39)),W39-U39,"")</f>
        <v>0</v>
      </c>
      <c r="W39" s="27">
        <v>15</v>
      </c>
      <c r="X39" s="28">
        <f>IF(AND(ISNUMBER(Y39),ISNUMBER(W39)),Y39-W39,"")</f>
        <v>0</v>
      </c>
      <c r="Y39" s="27">
        <v>36</v>
      </c>
      <c r="Z39" s="28">
        <f>IF(AND(ISNUMBER(AA39),ISNUMBER(Y39)),AA39-Y39,"")</f>
        <v>0</v>
      </c>
      <c r="AA39" s="27">
        <v>23</v>
      </c>
      <c r="AB39" s="28">
        <f>IF(AND(ISNUMBER(AC39),ISNUMBER(AA39)),AC39-AA39,"")</f>
        <v>0</v>
      </c>
      <c r="AC39" s="27">
        <v>28</v>
      </c>
      <c r="AD39" s="28">
        <f>IF(AND(ISNUMBER(AE39),ISNUMBER(AC39)),AE39-AC39,"")</f>
        <v>0</v>
      </c>
      <c r="AE39" s="42" t="s">
        <v>1088</v>
      </c>
      <c r="AF39" s="28">
        <f>IF(AND(ISNUMBER(AG39),ISNUMBER(AE39)),AG39-AE39,"")</f>
        <v>0</v>
      </c>
      <c r="AG39" s="27">
        <v>1</v>
      </c>
      <c r="AH39" s="28">
        <f>IF(AND(ISNUMBER(AI39),ISNUMBER(AG39)),AI39-AG39,"")</f>
        <v>0</v>
      </c>
      <c r="AI39" s="27">
        <v>1</v>
      </c>
      <c r="AJ39" s="28">
        <f>IF(AND(ISNUMBER(AK39),ISNUMBER(AI39)),AK39-AI39,"")</f>
        <v>0</v>
      </c>
      <c r="AK39" s="27">
        <v>4</v>
      </c>
      <c r="AL39" s="28">
        <f>IF(AND(ISNUMBER(AM39),ISNUMBER(AK39)),AM39-AK39,"")</f>
        <v>0</v>
      </c>
      <c r="AM39" s="27">
        <v>0</v>
      </c>
      <c r="AN39" s="28">
        <f>IF(AND(ISNUMBER(AO39),ISNUMBER(AM39)),AO39-AM39,"")</f>
        <v>0</v>
      </c>
      <c r="AO39" s="27">
        <v>12</v>
      </c>
      <c r="AP39" s="28">
        <f>IF(AND(ISNUMBER(AQ39),ISNUMBER(AO39)),AQ39-AO39,"")</f>
        <v>0</v>
      </c>
      <c r="AQ39" s="27">
        <v>29</v>
      </c>
      <c r="AR39" s="28">
        <f>IF(AND(ISNUMBER(AS39),ISNUMBER(AQ39)),AS39-AQ39,"")</f>
        <v>0</v>
      </c>
      <c r="AS39" s="29">
        <f>IF(COUNT(AS40:AS46)=0,"",SUM(AS40:AS46))</f>
        <v>0</v>
      </c>
      <c r="AT39" s="28">
        <f>IF(AND(ISNUMBER(AU39),ISNUMBER(AS39)),AU39-AS39,"")</f>
        <v>0</v>
      </c>
      <c r="AU39" s="29">
        <f>IF(COUNT(AU40:AU46)=0,"",SUM(AU40:AU46))</f>
        <v>0</v>
      </c>
      <c r="AV39" s="28">
        <f>IF(AND(ISNUMBER(AW39),ISNUMBER(AU39)),AW39-AU39,"")</f>
        <v>0</v>
      </c>
      <c r="AW39" s="29">
        <f>IF(COUNT(AW40:AW46)=0,"",SUM(AW40:AW46))</f>
        <v>0</v>
      </c>
      <c r="AX39" s="28">
        <f>IF(AND(ISNUMBER(AY39),ISNUMBER(AW39)),AY39-AW39,"")</f>
        <v>0</v>
      </c>
      <c r="AY39" s="29">
        <f>IF(COUNT(AY40:AY46)=0,"",SUM(AY40:AY46))</f>
        <v>0</v>
      </c>
      <c r="AZ39" s="28">
        <f>IF(AND(ISNUMBER(BA39),ISNUMBER(AY39)),BA39-AY39,"")</f>
        <v>0</v>
      </c>
      <c r="BA39" s="29">
        <f>IF(COUNT(BA40:BA46)=0,"",SUM(BA40:BA46))</f>
        <v>0</v>
      </c>
      <c r="BB39" s="28">
        <f>IF(AND(ISNUMBER(BC39),ISNUMBER(BA39)),BC39-BA39,"")</f>
        <v>0</v>
      </c>
      <c r="BC39" s="42" t="s">
        <v>1078</v>
      </c>
      <c r="BD39" s="28">
        <f>IF(AND(ISNUMBER(BE39),ISNUMBER(BC39)),BE39-BC39,"")</f>
        <v>0</v>
      </c>
      <c r="BE39" s="29">
        <f>IF(COUNT(BE40:BE46)=0,"",SUM(BE40:BE46))</f>
        <v>0</v>
      </c>
      <c r="BF39" s="28">
        <f>IF(AND(ISNUMBER(BG39),ISNUMBER(BE39)),BG39-BE39,"")</f>
        <v>0</v>
      </c>
      <c r="BG39" s="29">
        <f>IF(COUNT(BG40:BG46)=0,"",SUM(BG40:BG46))</f>
        <v>0</v>
      </c>
      <c r="BH39" s="28">
        <f>IF(AND(ISNUMBER(BI39),ISNUMBER(BG39)),BI39-BG39,"")</f>
        <v>0</v>
      </c>
      <c r="BI39" s="29">
        <f>IF(COUNT(BI40:BI46)=0,"",SUM(BI40:BI46))</f>
        <v>0</v>
      </c>
      <c r="BJ39" s="28">
        <f>IF(AND(ISNUMBER(BK39),ISNUMBER(BI39)),BK39-BI39,"")</f>
        <v>0</v>
      </c>
      <c r="BK39" s="29">
        <f>IF(COUNT(BK40:BK46)=0,"",SUM(BK40:BK46))</f>
        <v>0</v>
      </c>
      <c r="BL39" s="28">
        <f>IF(AND(ISNUMBER(BM39),ISNUMBER(BK39)),BM39-BK39,"")</f>
        <v>0</v>
      </c>
      <c r="BM39" s="29">
        <f>IF(COUNT(BM40:BM46)=0,"",SUM(BM40:BM46))</f>
        <v>0</v>
      </c>
      <c r="BN39" s="28">
        <f>IF(AND(ISNUMBER(BO39),ISNUMBER(BM39)),BO39-BM39,"")</f>
        <v>0</v>
      </c>
      <c r="BO39" s="29">
        <f>IF(COUNT(BO40:BO46)=0,"",SUM(BO40:BO46))</f>
        <v>0</v>
      </c>
      <c r="BP39" s="28">
        <f>IF(AND(ISNUMBER(BQ39),ISNUMBER(BO39)),BQ39-BO39,"")</f>
        <v>0</v>
      </c>
      <c r="BQ39" s="29">
        <f>IF(COUNT(BQ40:BQ46)=0,"",SUM(BQ40:BQ46))</f>
        <v>0</v>
      </c>
      <c r="BR39" s="28">
        <f>IF(AND(ISNUMBER(BS39),ISNUMBER(BQ39)),BS39-BQ39,"")</f>
        <v>0</v>
      </c>
      <c r="BS39" s="29">
        <f>IF(COUNT(BS40:BS46)=0,"",SUM(BS40:BS46))</f>
        <v>0</v>
      </c>
      <c r="BT39" s="28">
        <f>IF(AND(ISNUMBER(BU39),ISNUMBER(BS39)),BU39-BS39,"")</f>
        <v>0</v>
      </c>
      <c r="BU39" s="29">
        <f>IF(COUNT(BU40:BU46)=0,"",SUM(BU40:BU46))</f>
        <v>0</v>
      </c>
      <c r="BV39" s="28">
        <f>IF(AND(ISNUMBER(BW39),ISNUMBER(BU39)),BW39-BU39,"")</f>
        <v>0</v>
      </c>
      <c r="BW39" s="29">
        <f>IF(COUNT(BW40:BW46)=0,"",SUM(BW40:BW46))</f>
        <v>0</v>
      </c>
      <c r="BX39" s="28">
        <f>IF(AND(ISNUMBER(BY39),ISNUMBER(BW39)),BY39-BW39,"")</f>
        <v>0</v>
      </c>
      <c r="BY39" s="29">
        <f>IF(COUNT(BY40:BY46)=0,"",SUM(BY40:BY46))</f>
        <v>0</v>
      </c>
      <c r="BZ39" s="28">
        <f>IF(AND(ISNUMBER(CA39),ISNUMBER(BY39)),CA39-BY39,"")</f>
        <v>0</v>
      </c>
      <c r="CA39" s="29">
        <f>IF(COUNT(CA40:CA46)=0,"",SUM(CA40:CA46))</f>
        <v>0</v>
      </c>
      <c r="CB39" s="28">
        <f>IF(AND(ISNUMBER(CC39),ISNUMBER(CA39)),CC39-CA39,"")</f>
        <v>0</v>
      </c>
      <c r="CC39" s="29">
        <f>IF(COUNT(CC40:CC46)=0,"",SUM(CC40:CC46))</f>
        <v>0</v>
      </c>
      <c r="CD39" s="28">
        <f>IF(AND(ISNUMBER(CE39),ISNUMBER(CC39)),CE39-CC39,"")</f>
        <v>0</v>
      </c>
      <c r="CE39" s="29">
        <f>IF(COUNT(CE40:CE46)=0,"",SUM(CE40:CE46))</f>
        <v>0</v>
      </c>
      <c r="CF39" s="28">
        <f>IF(AND(ISNUMBER(CG39),ISNUMBER(CE39)),CG39-CE39,"")</f>
        <v>0</v>
      </c>
      <c r="CG39" s="29">
        <f>IF(COUNT(CG40:CG46)=0,"",SUM(CG40:CG46))</f>
        <v>0</v>
      </c>
      <c r="CH39" s="28">
        <f>IF(AND(ISNUMBER(CI39),ISNUMBER(CG39)),CI39-CG39,"")</f>
        <v>0</v>
      </c>
      <c r="CI39" s="29">
        <f>IF(COUNT(CI40:CI46)=0,"",SUM(CI40:CI46))</f>
        <v>0</v>
      </c>
      <c r="CJ39" s="28">
        <f>IF(AND(ISNUMBER(CK39),ISNUMBER(CI39)),CK39-CI39,"")</f>
        <v>0</v>
      </c>
      <c r="CK39" s="29">
        <f>IF(COUNT(CK40:CK46)=0,"",SUM(CK40:CK46))</f>
        <v>0</v>
      </c>
      <c r="CL39" s="28">
        <f>IF(AND(ISNUMBER(CM39),ISNUMBER(CK39)),CM39-CK39,"")</f>
        <v>0</v>
      </c>
      <c r="CM39" s="29">
        <f>IF(COUNT(CM40:CM46)=0,"",SUM(CM40:CM46))</f>
        <v>0</v>
      </c>
      <c r="CN39" s="28">
        <f>IF(AND(ISNUMBER(CO39),ISNUMBER(CM39)),CO39-CM39,"")</f>
        <v>0</v>
      </c>
      <c r="CO39" s="29">
        <f>IF(COUNT(CO40:CO46)=0,"",SUM(CO40:CO46))</f>
        <v>0</v>
      </c>
      <c r="CP39" s="28">
        <f>IF(AND(ISNUMBER(CQ39),ISNUMBER(CO39)),CQ39-CO39,"")</f>
        <v>0</v>
      </c>
      <c r="CQ39" s="29">
        <f>IF(COUNT(CQ40:CQ46)=0,"",SUM(CQ40:CQ46))</f>
        <v>0</v>
      </c>
      <c r="CR39" s="28">
        <f>IF(AND(ISNUMBER(CS39),ISNUMBER(CQ39)),CS39-CQ39,"")</f>
        <v>0</v>
      </c>
      <c r="CS39" s="29">
        <f>IF(COUNT(CS40:CS46)=0,"",SUM(CS40:CS46))</f>
        <v>0</v>
      </c>
      <c r="CT39" s="28">
        <f>IF(AND(ISNUMBER(CU39),ISNUMBER(CS39)),CU39-CS39,"")</f>
        <v>0</v>
      </c>
      <c r="CU39" s="29">
        <f>IF(COUNT(CU40:CU46)=0,"",SUM(CU40:CU46))</f>
        <v>0</v>
      </c>
      <c r="CV39" s="28">
        <f>IF(AND(ISNUMBER(CW39),ISNUMBER(CU39)),CW39-CU39,"")</f>
        <v>0</v>
      </c>
      <c r="CW39" s="29">
        <f>IF(COUNT(CW40:CW46)=0,"",SUM(CW40:CW46))</f>
        <v>0</v>
      </c>
      <c r="CX39" s="28">
        <f>IF(AND(ISNUMBER(CY39),ISNUMBER(CW39)),CY39-CW39,"")</f>
        <v>0</v>
      </c>
      <c r="CY39" s="29">
        <f>IF(COUNT(CY40:CY46)=0,"",SUM(CY40:CY46))</f>
        <v>0</v>
      </c>
      <c r="CZ39" s="28">
        <f>IF(AND(ISNUMBER(DA39),ISNUMBER(CY39)),DA39-CY39,"")</f>
        <v>0</v>
      </c>
      <c r="DA39" s="29">
        <f>IF(COUNT(DA40:DA46)=0,"",SUM(DA40:DA46))</f>
        <v>0</v>
      </c>
      <c r="DB39" s="28">
        <f>IF(AND(ISNUMBER(DC39),ISNUMBER(DA39)),DC39-DA39,"")</f>
        <v>0</v>
      </c>
      <c r="DC39" s="29">
        <f>IF(COUNT(DC40:DC46)=0,"",SUM(DC40:DC46))</f>
        <v>0</v>
      </c>
      <c r="DD39" s="28">
        <f>IF(AND(ISNUMBER(DE39),ISNUMBER(DC39)),DE39-DC39,"")</f>
        <v>0</v>
      </c>
      <c r="DE39" s="29">
        <f>IF(COUNT(DE40:DE46)=0,"",SUM(DE40:DE46))</f>
        <v>0</v>
      </c>
      <c r="DF39" s="28">
        <f>IF(AND(ISNUMBER(DG39),ISNUMBER(DE39)),DG39-DE39,"")</f>
        <v>0</v>
      </c>
      <c r="DG39" s="29">
        <f>IF(COUNT(DG40:DG46)=0,"",SUM(DG40:DG46))</f>
        <v>0</v>
      </c>
      <c r="DH39" s="28">
        <f>IF(AND(ISNUMBER(DI39),ISNUMBER(DG39)),DI39-DG39,"")</f>
        <v>0</v>
      </c>
      <c r="DI39" s="29">
        <f>IF(COUNT(DI40:DI46)=0,"",SUM(DI40:DI46))</f>
        <v>0</v>
      </c>
      <c r="DJ39" s="28">
        <f>IF(AND(ISNUMBER(DK39),ISNUMBER(DI39)),DK39-DI39,"")</f>
        <v>0</v>
      </c>
      <c r="DK39" s="29">
        <f>IF(COUNT(DK40:DK46)=0,"",SUM(DK40:DK46))</f>
        <v>0</v>
      </c>
      <c r="DL39" s="28">
        <f>IF(AND(ISNUMBER(DM39),ISNUMBER(DK39)),DM39-DK39,"")</f>
        <v>0</v>
      </c>
      <c r="DM39" s="29">
        <f>IF(COUNT(DM40:DM46)=0,"",SUM(DM40:DM46))</f>
        <v>0</v>
      </c>
      <c r="DN39" s="28">
        <f>IF(AND(ISNUMBER(DO39),ISNUMBER(DM39)),DO39-DM39,"")</f>
        <v>0</v>
      </c>
      <c r="DO39" s="27">
        <v>1</v>
      </c>
      <c r="DP39" s="28">
        <f>IF(AND(ISNUMBER(DQ39),ISNUMBER(DO39)),DQ39-DO39,"")</f>
        <v>0</v>
      </c>
      <c r="DQ39" s="29">
        <f>IF(COUNT(DQ40:DQ46)=0,"",SUM(DQ40:DQ46))</f>
        <v>0</v>
      </c>
      <c r="DR39" s="28">
        <f>IF(AND(ISNUMBER(DS39),ISNUMBER(DQ39)),DS39-DQ39,"")</f>
        <v>0</v>
      </c>
      <c r="DS39" s="29">
        <f>IF(COUNT(DS40:DS46)=0,"",SUM(DS40:DS46))</f>
        <v>0</v>
      </c>
      <c r="DT39" s="28">
        <f>IF(AND(ISNUMBER(DU39),ISNUMBER(DS39)),DU39-DS39,"")</f>
        <v>0</v>
      </c>
      <c r="DU39" s="29">
        <f>IF(COUNT(DU40:DU46)=0,"",SUM(DU40:DU46))</f>
        <v>0</v>
      </c>
      <c r="DV39" s="28">
        <f>IF(AND(ISNUMBER(DW39),ISNUMBER(DU39)),DW39-DU39,"")</f>
        <v>0</v>
      </c>
      <c r="DW39" s="29">
        <f>IF(COUNT(DW40:DW46)=0,"",SUM(DW40:DW46))</f>
        <v>0</v>
      </c>
      <c r="DX39" s="28">
        <f>IF(AND(ISNUMBER(DY39),ISNUMBER(DW39)),DY39-DW39,"")</f>
        <v>0</v>
      </c>
      <c r="DY39" s="29">
        <f>IF(COUNT(DY40:DY46)=0,"",SUM(DY40:DY46))</f>
        <v>0</v>
      </c>
      <c r="DZ39" s="28">
        <f>IF(AND(ISNUMBER(EA39),ISNUMBER(DY39)),EA39-DY39,"")</f>
        <v>0</v>
      </c>
      <c r="EA39" s="29">
        <f>IF(COUNT(EA40:EA46)=0,"",SUM(EA40:EA46))</f>
        <v>0</v>
      </c>
      <c r="EB39" s="28">
        <f>IF(AND(ISNUMBER(EC39),ISNUMBER(EA39)),EC39-EA39,"")</f>
        <v>0</v>
      </c>
      <c r="EC39" s="29">
        <f>IF(COUNT(EC40:EC46)=0,"",SUM(EC40:EC46))</f>
        <v>0</v>
      </c>
      <c r="ED39" s="28">
        <f>IF(AND(ISNUMBER(EE39),ISNUMBER(EC39)),EE39-EC39,"")</f>
        <v>0</v>
      </c>
      <c r="EE39" s="29">
        <f>IF(COUNT(EE40:EE46)=0,"",SUM(EE40:EE46))</f>
        <v>0</v>
      </c>
      <c r="EF39" s="28">
        <f>IF(AND(ISNUMBER(EG39),ISNUMBER(EE39)),EG39-EE39,"")</f>
        <v>0</v>
      </c>
      <c r="EG39" s="29">
        <f>IF(COUNT(EG40:EG46)=0,"",SUM(EG40:EG46))</f>
        <v>0</v>
      </c>
      <c r="EH39" s="28">
        <f>IF(AND(ISNUMBER(EI39),ISNUMBER(EG39)),EI39-EG39,"")</f>
        <v>0</v>
      </c>
      <c r="EI39" s="29">
        <f>IF(COUNT(EI40:EI46)=0,"",SUM(EI40:EI46))</f>
        <v>0</v>
      </c>
      <c r="EJ39" s="28">
        <f>IF(AND(ISNUMBER(EK39),ISNUMBER(EI39)),EK39-EI39,"")</f>
        <v>0</v>
      </c>
      <c r="EK39" s="29">
        <f>IF(COUNT(EK40:EK46)=0,"",SUM(EK40:EK46))</f>
        <v>0</v>
      </c>
      <c r="EL39" s="28">
        <f>IF(AND(ISNUMBER(EM39),ISNUMBER(EK39)),EM39-EK39,"")</f>
        <v>0</v>
      </c>
      <c r="EM39" s="29">
        <f>IF(COUNT(EM40:EM46)=0,"",SUM(EM40:EM46))</f>
        <v>0</v>
      </c>
      <c r="EN39" s="28">
        <f>IF(AND(ISNUMBER(EO39),ISNUMBER(EM39)),EO39-EM39,"")</f>
        <v>0</v>
      </c>
      <c r="EO39" s="29">
        <f>IF(COUNT(EO40:EO46)=0,"",SUM(EO40:EO46))</f>
        <v>0</v>
      </c>
      <c r="EP39" s="28">
        <f>IF(AND(ISNUMBER(EQ39),ISNUMBER(EO39)),EQ39-EO39,"")</f>
        <v>0</v>
      </c>
      <c r="EQ39" s="29">
        <f>IF(COUNT(EQ40:EQ46)=0,"",SUM(EQ40:EQ46))</f>
        <v>0</v>
      </c>
      <c r="ER39" s="28">
        <f>IF(AND(ISNUMBER(ES39),ISNUMBER(EQ39)),ES39-EQ39,"")</f>
        <v>0</v>
      </c>
      <c r="ES39" s="29">
        <f>IF(COUNT(ES40:ES46)=0,"",SUM(ES40:ES46))</f>
        <v>0</v>
      </c>
      <c r="ET39" s="28">
        <f>IF(AND(ISNUMBER(EU39),ISNUMBER(ES39)),EU39-ES39,"")</f>
        <v>0</v>
      </c>
      <c r="EU39" s="29">
        <f>IF(COUNT(EU40:EU46)=0,"",SUM(EU40:EU46))</f>
        <v>0</v>
      </c>
      <c r="EV39" s="28">
        <f>IF(AND(ISNUMBER(EW39),ISNUMBER(EU39)),EW39-EU39,"")</f>
        <v>0</v>
      </c>
      <c r="EW39" s="29">
        <f>IF(COUNT(EW40:EW46)=0,"",SUM(EW40:EW46))</f>
        <v>0</v>
      </c>
      <c r="EX39" s="28">
        <f>IF(AND(ISNUMBER(EY39),ISNUMBER(EW39)),EY39-EW39,"")</f>
        <v>0</v>
      </c>
      <c r="EY39" s="29">
        <f>IF(COUNT(EY40:EY46)=0,"",SUM(EY40:EY46))</f>
        <v>0</v>
      </c>
      <c r="EZ39" s="28">
        <f>IF(AND(ISNUMBER(FA39),ISNUMBER(EY39)),FA39-EY39,"")</f>
        <v>0</v>
      </c>
      <c r="FA39" s="29">
        <f>IF(COUNT(FA40:FA46)=0,"",SUM(FA40:FA46))</f>
        <v>0</v>
      </c>
      <c r="FB39" s="28">
        <f>IF(AND(ISNUMBER(FC39),ISNUMBER(FA39)),FC39-FA39,"")</f>
        <v>0</v>
      </c>
      <c r="FC39" s="29">
        <f>IF(COUNT(FC40:FC46)=0,"",SUM(FC40:FC46))</f>
        <v>0</v>
      </c>
      <c r="FD39" s="28">
        <f>IF(AND(ISNUMBER(FE39),ISNUMBER(FC39)),FE39-FC39,"")</f>
        <v>0</v>
      </c>
      <c r="FE39" s="29">
        <f>IF(COUNT(FE40:FE46)=0,"",SUM(FE40:FE46))</f>
        <v>0</v>
      </c>
      <c r="FF39" s="28">
        <f>IF(AND(ISNUMBER(FG39),ISNUMBER(FE39)),FG39-FE39,"")</f>
        <v>0</v>
      </c>
      <c r="FG39" s="29">
        <f>IF(COUNT(FG40:FG46)=0,"",SUM(FG40:FG46))</f>
        <v>0</v>
      </c>
      <c r="FH39" s="28">
        <f>IF(AND(ISNUMBER(FI39),ISNUMBER(FG39)),FI39-FG39,"")</f>
        <v>0</v>
      </c>
      <c r="FI39" s="29">
        <f>IF(COUNT(FI40:FI46)=0,"",SUM(FI40:FI46))</f>
        <v>0</v>
      </c>
      <c r="FJ39" s="28">
        <f>IF(AND(ISNUMBER(FK39),ISNUMBER(FI39)),FK39-FI39,"")</f>
        <v>0</v>
      </c>
      <c r="FK39" s="29">
        <f>IF(COUNT(FK40:FK46)=0,"",SUM(FK40:FK46))</f>
        <v>0</v>
      </c>
      <c r="FL39" s="28">
        <f>IF(AND(ISNUMBER(FM39),ISNUMBER(FK39)),FM39-FK39,"")</f>
        <v>0</v>
      </c>
      <c r="FM39" s="29">
        <f>IF(COUNT(FM40:FM46)=0,"",SUM(FM40:FM46))</f>
        <v>0</v>
      </c>
      <c r="FN39" s="28">
        <f>IF(AND(ISNUMBER(FO39),ISNUMBER(FM39)),FO39-FM39,"")</f>
        <v>0</v>
      </c>
      <c r="FO39" s="29">
        <f>IF(COUNT(FO40:FO46)=0,"",SUM(FO40:FO46))</f>
        <v>0</v>
      </c>
      <c r="FP39" s="28">
        <f>IF(AND(ISNUMBER(FQ39),ISNUMBER(FO39)),FQ39-FO39,"")</f>
        <v>0</v>
      </c>
      <c r="FQ39" s="29">
        <f>IF(COUNT(FQ40:FQ46)=0,"",SUM(FQ40:FQ46))</f>
        <v>0</v>
      </c>
      <c r="FR39" s="28">
        <f>IF(AND(ISNUMBER(FS39),ISNUMBER(FQ39)),FS39-FQ39,"")</f>
        <v>0</v>
      </c>
      <c r="FS39" s="29">
        <f>IF(COUNT(FS40:FS46)=0,"",SUM(FS40:FS46))</f>
        <v>0</v>
      </c>
      <c r="FT39" s="28">
        <f>IF(AND(ISNUMBER(FU39),ISNUMBER(FS39)),FU39-FS39,"")</f>
        <v>0</v>
      </c>
      <c r="FU39" s="29">
        <f>IF(COUNT(FU40:FU46)=0,"",SUM(FU40:FU46))</f>
        <v>0</v>
      </c>
      <c r="FV39" s="28">
        <f>IF(AND(ISNUMBER(FW39),ISNUMBER(FU39)),FW39-FU39,"")</f>
        <v>0</v>
      </c>
      <c r="FW39" s="29">
        <f>IF(COUNT(FW40:FW46)=0,"",SUM(FW40:FW46))</f>
        <v>0</v>
      </c>
      <c r="FX39" s="28">
        <f>IF(AND(ISNUMBER(FY39),ISNUMBER(FW39)),FY39-FW39,"")</f>
        <v>0</v>
      </c>
      <c r="FY39" s="29">
        <f>IF(COUNT(FY40:FY46)=0,"",SUM(FY40:FY46))</f>
        <v>0</v>
      </c>
      <c r="FZ39" s="28">
        <f>IF(AND(ISNUMBER(GA39),ISNUMBER(FY39)),GA39-FY39,"")</f>
        <v>0</v>
      </c>
      <c r="GA39" s="29">
        <f>IF(COUNT(GA40:GA46)=0,"",SUM(GA40:GA46))</f>
        <v>0</v>
      </c>
      <c r="GB39" s="28">
        <f>IF(AND(ISNUMBER(GC39),ISNUMBER(GA39)),GC39-GA39,"")</f>
        <v>0</v>
      </c>
      <c r="GC39" s="29">
        <f>IF(COUNT(GC40:GC46)=0,"",SUM(GC40:GC46))</f>
        <v>0</v>
      </c>
      <c r="GD39" s="28">
        <f>IF(AND(ISNUMBER(GE39),ISNUMBER(GC39)),GE39-GC39,"")</f>
        <v>0</v>
      </c>
      <c r="GE39" s="29">
        <f>IF(COUNT(GE40:GE46)=0,"",SUM(GE40:GE46))</f>
        <v>0</v>
      </c>
      <c r="GF39" s="28">
        <f>IF(AND(ISNUMBER(GG39),ISNUMBER(GE39)),GG39-GE39,"")</f>
        <v>0</v>
      </c>
      <c r="GG39" s="29">
        <f>IF(COUNT(GG40:GG46)=0,"",SUM(GG40:GG46))</f>
        <v>0</v>
      </c>
      <c r="GH39" s="28">
        <f>IF(AND(ISNUMBER(GI39),ISNUMBER(GG39)),GI39-GG39,"")</f>
        <v>0</v>
      </c>
      <c r="GI39" s="29">
        <f>IF(COUNT(GI40:GI46)=0,"",SUM(GI40:GI46))</f>
        <v>0</v>
      </c>
      <c r="GJ39" s="28">
        <f>IF(AND(ISNUMBER(GK39),ISNUMBER(GI39)),GK39-GI39,"")</f>
        <v>0</v>
      </c>
      <c r="GK39" s="29">
        <f>IF(COUNT(GK40:GK46)=0,"",SUM(GK40:GK46))</f>
        <v>0</v>
      </c>
      <c r="GL39" s="28">
        <f>IF(AND(ISNUMBER(GM39),ISNUMBER(GK39)),GM39-GK39,"")</f>
        <v>0</v>
      </c>
      <c r="GM39" s="29">
        <f>IF(COUNT(GM40:GM46)=0,"",SUM(GM40:GM46))</f>
        <v>0</v>
      </c>
      <c r="GN39" s="28">
        <f>IF(AND(ISNUMBER(GO39),ISNUMBER(GM39)),GO39-GM39,"")</f>
        <v>0</v>
      </c>
      <c r="GO39" s="29">
        <f>IF(COUNT(GO40:GO46)=0,"",SUM(GO40:GO46))</f>
        <v>0</v>
      </c>
      <c r="GP39" s="28">
        <f>IF(AND(ISNUMBER(GQ39),ISNUMBER(GO39)),GQ39-GO39,"")</f>
        <v>0</v>
      </c>
      <c r="GQ39" s="29">
        <f>IF(COUNT(GQ40:GQ46)=0,"",SUM(GQ40:GQ46))</f>
        <v>0</v>
      </c>
      <c r="GR39" s="28">
        <f>IF(AND(ISNUMBER(GS39),ISNUMBER(GQ39)),GS39-GQ39,"")</f>
        <v>0</v>
      </c>
      <c r="GS39" s="29">
        <f>IF(COUNT(GS40:GS46)=0,"",SUM(GS40:GS46))</f>
        <v>0</v>
      </c>
      <c r="GT39" s="28">
        <f>IF(AND(ISNUMBER(GU39),ISNUMBER(GS39)),GU39-GS39,"")</f>
        <v>0</v>
      </c>
      <c r="GU39" s="29">
        <f>IF(COUNT(GU40:GU46)=0,"",SUM(GU40:GU46))</f>
        <v>0</v>
      </c>
      <c r="GV39" s="28">
        <f>IF(AND(ISNUMBER(GW39),ISNUMBER(GU39)),GW39-GU39,"")</f>
        <v>0</v>
      </c>
      <c r="GW39" s="29">
        <f>IF(COUNT(GW40:GW46)=0,"",SUM(GW40:GW46))</f>
        <v>0</v>
      </c>
      <c r="GX39" s="28">
        <f>IF(AND(ISNUMBER(GY39),ISNUMBER(GW39)),GY39-GW39,"")</f>
        <v>0</v>
      </c>
      <c r="GY39" s="29">
        <f>IF(COUNT(GY40:GY46)=0,"",SUM(GY40:GY46))</f>
        <v>0</v>
      </c>
      <c r="GZ39" s="28">
        <f>IF(AND(ISNUMBER(HA39),ISNUMBER(GY39)),HA39-GY39,"")</f>
        <v>0</v>
      </c>
      <c r="HA39" s="29">
        <f>IF(COUNT(HA40:HA46)=0,"",SUM(HA40:HA46))</f>
        <v>0</v>
      </c>
      <c r="HB39" s="28">
        <f>IF(AND(ISNUMBER(HC39),ISNUMBER(HA39)),HC39-HA39,"")</f>
        <v>0</v>
      </c>
      <c r="HC39" s="29">
        <f>IF(COUNT(HC40:HC46)=0,"",SUM(HC40:HC46))</f>
        <v>0</v>
      </c>
      <c r="HD39" s="28">
        <f>IF(AND(ISNUMBER(HE39),ISNUMBER(HC39)),HE39-HC39,"")</f>
        <v>0</v>
      </c>
      <c r="HE39" s="29">
        <f>IF(COUNT(HE40:HE46)=0,"",SUM(HE40:HE46))</f>
        <v>0</v>
      </c>
      <c r="HF39" s="28">
        <f>IF(AND(ISNUMBER(HG39),ISNUMBER(HE39)),HG39-HE39,"")</f>
        <v>0</v>
      </c>
      <c r="HG39" s="29">
        <f>IF(COUNT(HG40:HG46)=0,"",SUM(HG40:HG46))</f>
        <v>0</v>
      </c>
      <c r="HH39" s="28">
        <f>IF(AND(ISNUMBER(HI39),ISNUMBER(HG39)),HI39-HG39,"")</f>
        <v>0</v>
      </c>
      <c r="HI39" s="29">
        <f>IF(COUNT(HI40:HI46)=0,"",SUM(HI40:HI46))</f>
        <v>0</v>
      </c>
      <c r="HJ39" s="28">
        <f>IF(AND(ISNUMBER(HK39),ISNUMBER(HI39)),HK39-HI39,"")</f>
        <v>0</v>
      </c>
      <c r="HK39" s="29">
        <f>IF(COUNT(HK40:HK46)=0,"",SUM(HK40:HK46))</f>
        <v>0</v>
      </c>
      <c r="HL39" s="28">
        <f>IF(AND(ISNUMBER(HM39),ISNUMBER(HK39)),HM39-HK39,"")</f>
        <v>0</v>
      </c>
      <c r="HM39" s="29">
        <f>IF(COUNT(HM40:HM46)=0,"",SUM(HM40:HM46))</f>
        <v>0</v>
      </c>
      <c r="HN39" s="28">
        <f>IF(AND(ISNUMBER(HO39),ISNUMBER(HM39)),HO39-HM39,"")</f>
        <v>0</v>
      </c>
      <c r="HO39" s="29">
        <f>IF(COUNT(HO40:HO46)=0,"",SUM(HO40:HO46))</f>
        <v>0</v>
      </c>
      <c r="HP39" s="28">
        <f>IF(AND(ISNUMBER(HQ39),ISNUMBER(HO39)),HQ39-HO39,"")</f>
        <v>0</v>
      </c>
      <c r="HQ39" s="29">
        <f>IF(COUNT(HQ40:HQ46)=0,"",SUM(HQ40:HQ46))</f>
        <v>0</v>
      </c>
      <c r="HR39" s="28">
        <f>IF(AND(ISNUMBER(HS39),ISNUMBER(HQ39)),HS39-HQ39,"")</f>
        <v>0</v>
      </c>
      <c r="HS39" s="29">
        <f>IF(COUNT(HS40:HS46)=0,"",SUM(HS40:HS46))</f>
        <v>0</v>
      </c>
      <c r="HT39" s="28">
        <f>IF(AND(ISNUMBER(HU39),ISNUMBER(HS39)),HU39-HS39,"")</f>
        <v>0</v>
      </c>
      <c r="HU39" s="29">
        <f>IF(COUNT(HU40:HU46)=0,"",SUM(HU40:HU46))</f>
        <v>0</v>
      </c>
      <c r="HV39" s="28">
        <f>IF(AND(ISNUMBER(HW39),ISNUMBER(HU39)),HW39-HU39,"")</f>
        <v>0</v>
      </c>
      <c r="HW39" s="29">
        <f>IF(COUNT(HW40:HW46)=0,"",SUM(HW40:HW46))</f>
        <v>0</v>
      </c>
      <c r="HX39" s="28">
        <f>IF(AND(ISNUMBER(HY39),ISNUMBER(HW39)),HY39-HW39,"")</f>
        <v>0</v>
      </c>
      <c r="HY39" s="29">
        <f>IF(COUNT(HY40:HY46)=0,"",SUM(HY40:HY46))</f>
        <v>0</v>
      </c>
      <c r="HZ39" s="28">
        <f>IF(AND(ISNUMBER(IA39),ISNUMBER(HY39)),IA39-HY39,"")</f>
        <v>0</v>
      </c>
      <c r="IA39" s="29">
        <f>IF(COUNT(IA40:IA46)=0,"",SUM(IA40:IA46))</f>
        <v>0</v>
      </c>
      <c r="IB39" s="28">
        <f>IF(AND(ISNUMBER(IC39),ISNUMBER(IA39)),IC39-IA39,"")</f>
        <v>0</v>
      </c>
      <c r="IC39" s="29">
        <f>IF(COUNT(IC40:IC46)=0,"",SUM(IC40:IC46))</f>
        <v>0</v>
      </c>
      <c r="ID39" s="28">
        <f>IF(AND(ISNUMBER(IE39),ISNUMBER(IC39)),IE39-IC39,"")</f>
        <v>0</v>
      </c>
      <c r="IE39" s="29">
        <f>IF(COUNT(IE40:IE46)=0,"",SUM(IE40:IE46))</f>
        <v>0</v>
      </c>
      <c r="IF39" s="28">
        <f>IF(AND(ISNUMBER(IG39),ISNUMBER(IE39)),IG39-IE39,"")</f>
        <v>0</v>
      </c>
      <c r="IG39" s="29">
        <f>IF(COUNT(IG40:IG46)=0,"",SUM(IG40:IG46))</f>
        <v>0</v>
      </c>
      <c r="IH39" s="28">
        <f>IF(AND(ISNUMBER(II39),ISNUMBER(IG39)),II39-IG39,"")</f>
        <v>0</v>
      </c>
      <c r="II39" s="29">
        <f>IF(COUNT(II40:II46)=0,"",SUM(II40:II46))</f>
        <v>0</v>
      </c>
      <c r="IJ39" s="28">
        <f>IF(AND(ISNUMBER(IK39),ISNUMBER(II39)),IK39-II39,"")</f>
        <v>0</v>
      </c>
      <c r="IK39" s="29">
        <f>IF(COUNT(IK40:IK46)=0,"",SUM(IK40:IK46))</f>
        <v>0</v>
      </c>
      <c r="IL39" s="28">
        <f>IF(AND(ISNUMBER(IM39),ISNUMBER(IK39)),IM39-IK39,"")</f>
        <v>0</v>
      </c>
      <c r="IM39" s="29">
        <f>IF(COUNT(IM40:IM46)=0,"",SUM(IM40:IM46))</f>
        <v>0</v>
      </c>
      <c r="IN39" s="28">
        <f>IF(AND(ISNUMBER(IO39),ISNUMBER(IM39)),IO39-IM39,"")</f>
        <v>0</v>
      </c>
      <c r="IO39" s="29">
        <f>IF(COUNT(IO40:IO46)=0,"",SUM(IO40:IO46))</f>
        <v>0</v>
      </c>
      <c r="IP39" s="28">
        <f>IF(AND(ISNUMBER(IQ39),ISNUMBER(IO39)),IQ39-IO39,"")</f>
        <v>0</v>
      </c>
      <c r="IQ39" s="29">
        <f>IF(COUNT(IQ40:IQ46)=0,"",SUM(IQ40:IQ46))</f>
        <v>0</v>
      </c>
      <c r="IR39" s="28">
        <f>IF(AND(ISNUMBER(IS39),ISNUMBER(IQ39)),IS39-IQ39,"")</f>
        <v>0</v>
      </c>
      <c r="IS39" s="29">
        <f>IF(COUNT(IS40:IS46)=0,"",SUM(IS40:IS46))</f>
        <v>0</v>
      </c>
      <c r="IT39" s="28">
        <f>IF(AND(ISNUMBER(IU39),ISNUMBER(IS39)),IU39-IS39,"")</f>
        <v>0</v>
      </c>
      <c r="IU39" s="29">
        <f>IF(COUNT(IU40:IU46)=0,"",SUM(IU40:IU46))</f>
        <v>0</v>
      </c>
      <c r="IV39" s="28">
        <f>IF(AND(ISNUMBER(IW39),ISNUMBER(IU39)),IW39-IU39,"")</f>
        <v>0</v>
      </c>
      <c r="IW39" s="29">
        <f>IF(COUNT(IW40:IW46)=0,"",SUM(IW40:IW46))</f>
        <v>0</v>
      </c>
      <c r="IX39" s="28">
        <f>IF(AND(ISNUMBER(IY39),ISNUMBER(IW39)),IY39-IW39,"")</f>
        <v>0</v>
      </c>
      <c r="IY39" s="29">
        <f>IF(COUNT(IY40:IY46)=0,"",SUM(IY40:IY46))</f>
        <v>0</v>
      </c>
      <c r="IZ39" s="28">
        <f>IF(AND(ISNUMBER(JA39),ISNUMBER(IY39)),JA39-IY39,"")</f>
        <v>0</v>
      </c>
      <c r="JA39" s="29">
        <f>IF(COUNT(JA40:JA46)=0,"",SUM(JA40:JA46))</f>
        <v>0</v>
      </c>
      <c r="JB39" s="28">
        <f>IF(AND(ISNUMBER(JC39),ISNUMBER(JA39)),JC39-JA39,"")</f>
        <v>0</v>
      </c>
      <c r="JC39" s="29">
        <f>IF(COUNT(JC40:JC46)=0,"",SUM(JC40:JC46))</f>
        <v>0</v>
      </c>
      <c r="JD39" s="28">
        <f>IF(AND(ISNUMBER(JE39),ISNUMBER(JC39)),JE39-JC39,"")</f>
        <v>0</v>
      </c>
      <c r="JE39" s="29">
        <f>IF(COUNT(JE40:JE46)=0,"",SUM(JE40:JE46))</f>
        <v>0</v>
      </c>
      <c r="JF39" s="28">
        <f>IF(AND(ISNUMBER(JG39),ISNUMBER(JE39)),JG39-JE39,"")</f>
        <v>0</v>
      </c>
      <c r="JG39" s="29">
        <f>IF(COUNT(JG40:JG46)=0,"",SUM(JG40:JG46))</f>
        <v>0</v>
      </c>
      <c r="JH39" s="28">
        <f>IF(AND(ISNUMBER(JI39),ISNUMBER(JG39)),JI39-JG39,"")</f>
        <v>0</v>
      </c>
      <c r="JI39" s="29">
        <f>IF(COUNT(JI40:JI46)=0,"",SUM(JI40:JI46))</f>
        <v>0</v>
      </c>
      <c r="JJ39" s="28">
        <f>IF(AND(ISNUMBER(JK39),ISNUMBER(JI39)),JK39-JI39,"")</f>
        <v>0</v>
      </c>
      <c r="JK39" s="29">
        <f>IF(COUNT(JK40:JK46)=0,"",SUM(JK40:JK46))</f>
        <v>0</v>
      </c>
      <c r="JL39" s="28">
        <f>IF(AND(ISNUMBER(JM39),ISNUMBER(JK39)),JM39-JK39,"")</f>
        <v>0</v>
      </c>
      <c r="JM39" s="29">
        <f>IF(COUNT(JM40:JM46)=0,"",SUM(JM40:JM46))</f>
        <v>0</v>
      </c>
      <c r="JN39" s="28">
        <f>IF(AND(ISNUMBER(JO39),ISNUMBER(JM39)),JO39-JM39,"")</f>
        <v>0</v>
      </c>
      <c r="JO39" s="29">
        <f>IF(COUNT(JO40:JO46)=0,"",SUM(JO40:JO46))</f>
        <v>0</v>
      </c>
      <c r="JP39" s="28">
        <f>IF(AND(ISNUMBER(JQ39),ISNUMBER(JO39)),JQ39-JO39,"")</f>
        <v>0</v>
      </c>
      <c r="JQ39" s="29">
        <f>IF(COUNT(JQ40:JQ46)=0,"",SUM(JQ40:JQ46))</f>
        <v>0</v>
      </c>
      <c r="JR39" s="28">
        <f>IF(AND(ISNUMBER(JS39),ISNUMBER(JQ39)),JS39-JQ39,"")</f>
        <v>0</v>
      </c>
      <c r="JS39" s="29">
        <f>IF(COUNT(JS40:JS46)=0,"",SUM(JS40:JS46))</f>
        <v>0</v>
      </c>
      <c r="JT39" s="28">
        <f>IF(AND(ISNUMBER(JU39),ISNUMBER(JS39)),JU39-JS39,"")</f>
        <v>0</v>
      </c>
      <c r="JU39" s="29">
        <f>IF(COUNT(JU40:JU46)=0,"",SUM(JU40:JU46))</f>
        <v>0</v>
      </c>
      <c r="JV39" s="28">
        <f>IF(AND(ISNUMBER(JW39),ISNUMBER(JU39)),JW39-JU39,"")</f>
        <v>0</v>
      </c>
      <c r="JW39" s="29">
        <f>IF(COUNT(JW40:JW46)=0,"",SUM(JW40:JW46))</f>
        <v>0</v>
      </c>
      <c r="JX39" s="28">
        <f>IF(AND(ISNUMBER(JY39),ISNUMBER(JW39)),JY39-JW39,"")</f>
        <v>0</v>
      </c>
      <c r="JY39" s="29">
        <f>IF(COUNT(JY40:JY46)=0,"",SUM(JY40:JY46))</f>
        <v>0</v>
      </c>
      <c r="JZ39" s="28">
        <f>IF(AND(ISNUMBER(KA39),ISNUMBER(JY39)),KA39-JY39,"")</f>
        <v>0</v>
      </c>
      <c r="KA39" s="29">
        <f>IF(COUNT(KA40:KA46)=0,"",SUM(KA40:KA46))</f>
        <v>0</v>
      </c>
      <c r="KB39" s="28">
        <f>IF(AND(ISNUMBER(KC39),ISNUMBER(KA39)),KC39-KA39,"")</f>
        <v>0</v>
      </c>
      <c r="KC39" s="29">
        <f>IF(COUNT(KC40:KC46)=0,"",SUM(KC40:KC46))</f>
        <v>0</v>
      </c>
      <c r="KD39" s="28">
        <f>IF(AND(ISNUMBER(KE39),ISNUMBER(KC39)),KE39-KC39,"")</f>
        <v>0</v>
      </c>
      <c r="KE39" s="29">
        <f>IF(COUNT(KE40:KE46)=0,"",SUM(KE40:KE46))</f>
        <v>0</v>
      </c>
      <c r="KF39" s="28">
        <f>IF(AND(ISNUMBER(KG39),ISNUMBER(KE39)),KG39-KE39,"")</f>
        <v>0</v>
      </c>
      <c r="KG39" s="29">
        <f>IF(COUNT(KG40:KG46)=0,"",SUM(KG40:KG46))</f>
        <v>0</v>
      </c>
      <c r="KH39" s="28">
        <f>IF(AND(ISNUMBER(KI39),ISNUMBER(KG39)),KI39-KG39,"")</f>
        <v>0</v>
      </c>
      <c r="KI39" s="29">
        <f>IF(COUNT(KI40:KI46)=0,"",SUM(KI40:KI46))</f>
        <v>0</v>
      </c>
      <c r="KJ39" s="28">
        <f>IF(AND(ISNUMBER(KK39),ISNUMBER(KI39)),KK39-KI39,"")</f>
        <v>0</v>
      </c>
      <c r="KK39" s="29">
        <f>IF(COUNT(KK40:KK46)=0,"",SUM(KK40:KK46))</f>
        <v>0</v>
      </c>
      <c r="KL39" s="28">
        <f>IF(AND(ISNUMBER(KM39),ISNUMBER(KK39)),KM39-KK39,"")</f>
        <v>0</v>
      </c>
      <c r="KM39" s="29">
        <f>IF(COUNT(KM40:KM46)=0,"",SUM(KM40:KM46))</f>
        <v>0</v>
      </c>
      <c r="KN39" s="28">
        <f>IF(AND(ISNUMBER(KO39),ISNUMBER(KM39)),KO39-KM39,"")</f>
        <v>0</v>
      </c>
      <c r="KO39" s="29">
        <f>IF(COUNT(KO40:KO46)=0,"",SUM(KO40:KO46))</f>
        <v>0</v>
      </c>
      <c r="KP39" s="28">
        <f>IF(AND(ISNUMBER(KQ39),ISNUMBER(KO39)),KQ39-KO39,"")</f>
        <v>0</v>
      </c>
      <c r="KQ39" s="29">
        <f>IF(COUNT(KQ40:KQ46)=0,"",SUM(KQ40:KQ46))</f>
        <v>0</v>
      </c>
      <c r="KR39" s="28">
        <f>IF(AND(ISNUMBER(KS39),ISNUMBER(KQ39)),KS39-KQ39,"")</f>
        <v>0</v>
      </c>
      <c r="KS39" s="29">
        <f>IF(COUNT(KS40:KS46)=0,"",SUM(KS40:KS46))</f>
        <v>0</v>
      </c>
      <c r="KT39" s="28">
        <f>IF(AND(ISNUMBER(KU39),ISNUMBER(KS39)),KU39-KS39,"")</f>
        <v>0</v>
      </c>
      <c r="KU39" s="29">
        <f>IF(COUNT(KU40:KU46)=0,"",SUM(KU40:KU46))</f>
        <v>0</v>
      </c>
      <c r="KV39" s="28">
        <f>IF(AND(ISNUMBER(KW39),ISNUMBER(KU39)),KW39-KU39,"")</f>
        <v>0</v>
      </c>
      <c r="KW39" s="29">
        <f>IF(COUNT(KW40:KW46)=0,"",SUM(KW40:KW46))</f>
        <v>0</v>
      </c>
      <c r="KX39" s="28">
        <f>IF(AND(ISNUMBER(KY39),ISNUMBER(KW39)),KY39-KW39,"")</f>
        <v>0</v>
      </c>
      <c r="KY39" s="29">
        <f>IF(COUNT(KY40:KY46)=0,"",SUM(KY40:KY46))</f>
        <v>0</v>
      </c>
      <c r="KZ39" s="28">
        <f>IF(AND(ISNUMBER(LA39),ISNUMBER(KY39)),LA39-KY39,"")</f>
        <v>0</v>
      </c>
      <c r="LA39" s="29">
        <f>IF(COUNT(LA40:LA46)=0,"",SUM(LA40:LA46))</f>
        <v>0</v>
      </c>
      <c r="LB39" s="28">
        <f>IF(AND(ISNUMBER(LC39),ISNUMBER(LA39)),LC39-LA39,"")</f>
        <v>0</v>
      </c>
      <c r="LC39" s="29">
        <f>IF(COUNT(LC40:LC46)=0,"",SUM(LC40:LC46))</f>
        <v>0</v>
      </c>
      <c r="LD39" s="28">
        <f>IF(AND(ISNUMBER(LE39),ISNUMBER(LC39)),LE39-LC39,"")</f>
        <v>0</v>
      </c>
      <c r="LE39" s="29">
        <f>IF(COUNT(LE40:LE46)=0,"",SUM(LE40:LE46))</f>
        <v>0</v>
      </c>
      <c r="LF39" s="28">
        <f>IF(AND(ISNUMBER(LG39),ISNUMBER(LE39)),LG39-LE39,"")</f>
        <v>0</v>
      </c>
      <c r="LG39" s="29">
        <f>IF(COUNT(LG40:LG46)=0,"",SUM(LG40:LG46))</f>
        <v>0</v>
      </c>
      <c r="LH39" s="30"/>
      <c r="LI39" s="30"/>
      <c r="LJ39" s="41" t="s">
        <v>1086</v>
      </c>
    </row>
    <row r="40" spans="1:322" hidden="1" outlineLevel="1">
      <c r="B40" s="23"/>
      <c r="D40" s="31" t="s">
        <v>710</v>
      </c>
      <c r="E40" s="32" t="s">
        <v>1083</v>
      </c>
      <c r="F40" s="38" t="s">
        <v>1097</v>
      </c>
      <c r="I40" s="40" t="s">
        <v>1078</v>
      </c>
      <c r="J40" s="34">
        <f>IF(AND(ISNUMBER(K40),ISNUMBER(I40)),K40-I40,"")</f>
        <v>0</v>
      </c>
      <c r="K40" s="40" t="s">
        <v>1078</v>
      </c>
      <c r="L40" s="34">
        <f>IF(AND(ISNUMBER(M40),ISNUMBER(K40)),M40-K40,"")</f>
        <v>0</v>
      </c>
      <c r="M40" s="40" t="s">
        <v>1078</v>
      </c>
      <c r="N40" s="34">
        <f>IF(AND(ISNUMBER(O40),ISNUMBER(M40)),O40-M40,"")</f>
        <v>0</v>
      </c>
      <c r="O40" s="40" t="s">
        <v>1078</v>
      </c>
      <c r="P40" s="34">
        <f>IF(AND(ISNUMBER(Q40),ISNUMBER(O40)),Q40-O40,"")</f>
        <v>0</v>
      </c>
      <c r="Q40" s="40" t="s">
        <v>1078</v>
      </c>
      <c r="R40" s="34">
        <f>IF(AND(ISNUMBER(S40),ISNUMBER(Q40)),S40-Q40,"")</f>
        <v>0</v>
      </c>
      <c r="S40" s="40" t="s">
        <v>1078</v>
      </c>
      <c r="T40" s="34">
        <f>IF(AND(ISNUMBER(U40),ISNUMBER(S40)),U40-S40,"")</f>
        <v>0</v>
      </c>
      <c r="U40" s="40" t="s">
        <v>1078</v>
      </c>
      <c r="V40" s="34">
        <f>IF(AND(ISNUMBER(W40),ISNUMBER(U40)),W40-U40,"")</f>
        <v>0</v>
      </c>
      <c r="W40" s="40" t="s">
        <v>1078</v>
      </c>
      <c r="X40" s="34">
        <f>IF(AND(ISNUMBER(Y40),ISNUMBER(W40)),Y40-W40,"")</f>
        <v>0</v>
      </c>
      <c r="Y40" s="40" t="s">
        <v>1078</v>
      </c>
      <c r="Z40" s="34">
        <f>IF(AND(ISNUMBER(AA40),ISNUMBER(Y40)),AA40-Y40,"")</f>
        <v>0</v>
      </c>
      <c r="AA40" s="40" t="s">
        <v>1078</v>
      </c>
      <c r="AB40" s="34">
        <f>IF(AND(ISNUMBER(AC40),ISNUMBER(AA40)),AC40-AA40,"")</f>
        <v>0</v>
      </c>
      <c r="AC40" s="40" t="s">
        <v>1078</v>
      </c>
      <c r="AD40" s="34">
        <f>IF(AND(ISNUMBER(AE40),ISNUMBER(AC40)),AE40-AC40,"")</f>
        <v>0</v>
      </c>
      <c r="AE40" s="40" t="s">
        <v>1078</v>
      </c>
      <c r="AF40" s="34">
        <f>IF(AND(ISNUMBER(AG40),ISNUMBER(AE40)),AG40-AE40,"")</f>
        <v>0</v>
      </c>
      <c r="AG40" s="40" t="s">
        <v>1078</v>
      </c>
      <c r="AH40" s="34">
        <f>IF(AND(ISNUMBER(AI40),ISNUMBER(AG40)),AI40-AG40,"")</f>
        <v>0</v>
      </c>
      <c r="AI40" s="40" t="s">
        <v>1078</v>
      </c>
      <c r="AJ40" s="34">
        <f>IF(AND(ISNUMBER(AK40),ISNUMBER(AI40)),AK40-AI40,"")</f>
        <v>0</v>
      </c>
      <c r="AK40" s="40" t="s">
        <v>1078</v>
      </c>
      <c r="AL40" s="34">
        <f>IF(AND(ISNUMBER(AM40),ISNUMBER(AK40)),AM40-AK40,"")</f>
        <v>0</v>
      </c>
      <c r="AM40" s="40" t="s">
        <v>1078</v>
      </c>
      <c r="AN40" s="34">
        <f>IF(AND(ISNUMBER(AO40),ISNUMBER(AM40)),AO40-AM40,"")</f>
        <v>0</v>
      </c>
      <c r="AO40" s="40" t="s">
        <v>1078</v>
      </c>
      <c r="AP40" s="34">
        <f>IF(AND(ISNUMBER(AQ40),ISNUMBER(AO40)),AQ40-AO40,"")</f>
        <v>0</v>
      </c>
      <c r="AQ40" s="40" t="s">
        <v>1078</v>
      </c>
      <c r="AR40" s="34">
        <f>IF(AND(ISNUMBER(AS40),ISNUMBER(AQ40)),AS40-AQ40,"")</f>
        <v>0</v>
      </c>
      <c r="AS40" s="33">
        <v>6</v>
      </c>
      <c r="AT40" s="34">
        <f>IF(AND(ISNUMBER(AU40),ISNUMBER(AS40)),AU40-AS40,"")</f>
        <v>0</v>
      </c>
      <c r="AU40" s="33">
        <v>10</v>
      </c>
      <c r="AV40" s="34">
        <f>IF(AND(ISNUMBER(AW40),ISNUMBER(AU40)),AW40-AU40,"")</f>
        <v>0</v>
      </c>
      <c r="AW40" s="33">
        <v>4</v>
      </c>
      <c r="AX40" s="34">
        <f>IF(AND(ISNUMBER(AY40),ISNUMBER(AW40)),AY40-AW40,"")</f>
        <v>0</v>
      </c>
      <c r="AY40" s="33">
        <v>1</v>
      </c>
      <c r="AZ40" s="34">
        <f>IF(AND(ISNUMBER(BA40),ISNUMBER(AY40)),BA40-AY40,"")</f>
        <v>0</v>
      </c>
      <c r="BA40" s="33">
        <v>0</v>
      </c>
      <c r="BB40" s="34">
        <f>IF(AND(ISNUMBER(BC40),ISNUMBER(BA40)),BC40-BA40,"")</f>
        <v>0</v>
      </c>
      <c r="BC40" s="33">
        <v>1</v>
      </c>
      <c r="BD40" s="34">
        <f>IF(AND(ISNUMBER(BE40),ISNUMBER(BC40)),BE40-BC40,"")</f>
        <v>0</v>
      </c>
      <c r="BE40" s="33">
        <v>2</v>
      </c>
      <c r="BF40" s="34">
        <f>IF(AND(ISNUMBER(BG40),ISNUMBER(BE40)),BG40-BE40,"")</f>
        <v>0</v>
      </c>
      <c r="BG40" s="33">
        <v>3</v>
      </c>
      <c r="BH40" s="34">
        <f>IF(AND(ISNUMBER(BI40),ISNUMBER(BG40)),BI40-BG40,"")</f>
        <v>0</v>
      </c>
      <c r="BI40" s="33">
        <v>1</v>
      </c>
      <c r="BJ40" s="34">
        <f>IF(AND(ISNUMBER(BK40),ISNUMBER(BI40)),BK40-BI40,"")</f>
        <v>0</v>
      </c>
      <c r="BK40" s="33">
        <v>2</v>
      </c>
      <c r="BL40" s="34">
        <f>IF(AND(ISNUMBER(BM40),ISNUMBER(BK40)),BM40-BK40,"")</f>
        <v>0</v>
      </c>
      <c r="BM40" s="33">
        <v>2</v>
      </c>
      <c r="BN40" s="34">
        <f>IF(AND(ISNUMBER(BO40),ISNUMBER(BM40)),BO40-BM40,"")</f>
        <v>0</v>
      </c>
      <c r="BO40" s="33">
        <v>1</v>
      </c>
      <c r="BP40" s="34">
        <f>IF(AND(ISNUMBER(BQ40),ISNUMBER(BO40)),BQ40-BO40,"")</f>
        <v>0</v>
      </c>
      <c r="BQ40" s="33">
        <v>1</v>
      </c>
      <c r="BR40" s="34">
        <f>IF(AND(ISNUMBER(BS40),ISNUMBER(BQ40)),BS40-BQ40,"")</f>
        <v>0</v>
      </c>
      <c r="BS40" s="33">
        <v>2</v>
      </c>
      <c r="BT40" s="34">
        <f>IF(AND(ISNUMBER(BU40),ISNUMBER(BS40)),BU40-BS40,"")</f>
        <v>0</v>
      </c>
      <c r="BU40" s="33">
        <v>4</v>
      </c>
      <c r="BV40" s="34">
        <f>IF(AND(ISNUMBER(BW40),ISNUMBER(BU40)),BW40-BU40,"")</f>
        <v>0</v>
      </c>
      <c r="BW40" s="33">
        <v>3</v>
      </c>
      <c r="BX40" s="34">
        <f>IF(AND(ISNUMBER(BY40),ISNUMBER(BW40)),BY40-BW40,"")</f>
        <v>0</v>
      </c>
      <c r="BY40" s="33">
        <v>3</v>
      </c>
      <c r="BZ40" s="34">
        <f>IF(AND(ISNUMBER(CA40),ISNUMBER(BY40)),CA40-BY40,"")</f>
        <v>0</v>
      </c>
      <c r="CA40" s="33">
        <v>2</v>
      </c>
      <c r="CB40" s="34">
        <f>IF(AND(ISNUMBER(CC40),ISNUMBER(CA40)),CC40-CA40,"")</f>
        <v>0</v>
      </c>
      <c r="CC40" s="33">
        <v>16</v>
      </c>
      <c r="CD40" s="34">
        <f>IF(AND(ISNUMBER(CE40),ISNUMBER(CC40)),CE40-CC40,"")</f>
        <v>0</v>
      </c>
      <c r="CE40" s="33">
        <v>11</v>
      </c>
      <c r="CF40" s="34">
        <f>IF(AND(ISNUMBER(CG40),ISNUMBER(CE40)),CG40-CE40,"")</f>
        <v>0</v>
      </c>
      <c r="CG40" s="33">
        <v>22</v>
      </c>
      <c r="CH40" s="34">
        <f>IF(AND(ISNUMBER(CI40),ISNUMBER(CG40)),CI40-CG40,"")</f>
        <v>0</v>
      </c>
      <c r="CI40" s="33">
        <v>7</v>
      </c>
      <c r="CJ40" s="34">
        <f>IF(AND(ISNUMBER(CK40),ISNUMBER(CI40)),CK40-CI40,"")</f>
        <v>0</v>
      </c>
      <c r="CK40" s="33">
        <v>2</v>
      </c>
      <c r="CL40" s="34">
        <f>IF(AND(ISNUMBER(CM40),ISNUMBER(CK40)),CM40-CK40,"")</f>
        <v>0</v>
      </c>
      <c r="CM40" s="33">
        <v>3</v>
      </c>
      <c r="CN40" s="34">
        <f>IF(AND(ISNUMBER(CO40),ISNUMBER(CM40)),CO40-CM40,"")</f>
        <v>0</v>
      </c>
      <c r="CO40" s="33">
        <v>5</v>
      </c>
      <c r="CP40" s="34">
        <f>IF(AND(ISNUMBER(CQ40),ISNUMBER(CO40)),CQ40-CO40,"")</f>
        <v>0</v>
      </c>
      <c r="CQ40" s="33">
        <v>5</v>
      </c>
      <c r="CR40" s="34">
        <f>IF(AND(ISNUMBER(CS40),ISNUMBER(CQ40)),CS40-CQ40,"")</f>
        <v>0</v>
      </c>
      <c r="CS40" s="33">
        <v>2</v>
      </c>
      <c r="CT40" s="34">
        <f>IF(AND(ISNUMBER(CU40),ISNUMBER(CS40)),CU40-CS40,"")</f>
        <v>0</v>
      </c>
      <c r="CU40" s="33">
        <v>11</v>
      </c>
      <c r="CV40" s="34">
        <f>IF(AND(ISNUMBER(CW40),ISNUMBER(CU40)),CW40-CU40,"")</f>
        <v>0</v>
      </c>
      <c r="CW40" s="33">
        <v>9</v>
      </c>
      <c r="CX40" s="34">
        <f>IF(AND(ISNUMBER(CY40),ISNUMBER(CW40)),CY40-CW40,"")</f>
        <v>0</v>
      </c>
      <c r="CY40" s="33">
        <v>2</v>
      </c>
      <c r="CZ40" s="34">
        <f>IF(AND(ISNUMBER(DA40),ISNUMBER(CY40)),DA40-CY40,"")</f>
        <v>0</v>
      </c>
      <c r="DA40" s="33">
        <v>3</v>
      </c>
      <c r="DB40" s="34">
        <f>IF(AND(ISNUMBER(DC40),ISNUMBER(DA40)),DC40-DA40,"")</f>
        <v>0</v>
      </c>
      <c r="DC40" s="33">
        <v>1</v>
      </c>
      <c r="DD40" s="34">
        <f>IF(AND(ISNUMBER(DE40),ISNUMBER(DC40)),DE40-DC40,"")</f>
        <v>0</v>
      </c>
      <c r="DE40" s="33">
        <v>3</v>
      </c>
      <c r="DF40" s="34">
        <f>IF(AND(ISNUMBER(DG40),ISNUMBER(DE40)),DG40-DE40,"")</f>
        <v>0</v>
      </c>
      <c r="DG40" s="33">
        <v>1</v>
      </c>
      <c r="DH40" s="34">
        <f>IF(AND(ISNUMBER(DI40),ISNUMBER(DG40)),DI40-DG40,"")</f>
        <v>0</v>
      </c>
      <c r="DI40" s="33">
        <v>1</v>
      </c>
      <c r="DJ40" s="34">
        <f>IF(AND(ISNUMBER(DK40),ISNUMBER(DI40)),DK40-DI40,"")</f>
        <v>0</v>
      </c>
      <c r="DK40" s="33">
        <v>0</v>
      </c>
      <c r="DL40" s="34">
        <f>IF(AND(ISNUMBER(DM40),ISNUMBER(DK40)),DM40-DK40,"")</f>
        <v>0</v>
      </c>
      <c r="DM40" s="33">
        <v>1</v>
      </c>
      <c r="DN40" s="34">
        <f>IF(AND(ISNUMBER(DO40),ISNUMBER(DM40)),DO40-DM40,"")</f>
        <v>0</v>
      </c>
      <c r="DO40" s="33"/>
      <c r="DP40" s="34">
        <f>IF(AND(ISNUMBER(DQ40),ISNUMBER(DO40)),DQ40-DO40,"")</f>
        <v>0</v>
      </c>
      <c r="DQ40" s="33">
        <v>0</v>
      </c>
      <c r="DR40" s="34">
        <f>IF(AND(ISNUMBER(DS40),ISNUMBER(DQ40)),DS40-DQ40,"")</f>
        <v>0</v>
      </c>
      <c r="DS40" s="33">
        <v>2</v>
      </c>
      <c r="DT40" s="34">
        <f>IF(AND(ISNUMBER(DU40),ISNUMBER(DS40)),DU40-DS40,"")</f>
        <v>0</v>
      </c>
      <c r="DU40" s="33">
        <v>1</v>
      </c>
      <c r="DV40" s="34">
        <f>IF(AND(ISNUMBER(DW40),ISNUMBER(DU40)),DW40-DU40,"")</f>
        <v>0</v>
      </c>
      <c r="DW40" s="33">
        <v>1</v>
      </c>
      <c r="DX40" s="34">
        <f>IF(AND(ISNUMBER(DY40),ISNUMBER(DW40)),DY40-DW40,"")</f>
        <v>0</v>
      </c>
      <c r="DY40" s="33">
        <v>2</v>
      </c>
      <c r="DZ40" s="34">
        <f>IF(AND(ISNUMBER(EA40),ISNUMBER(DY40)),EA40-DY40,"")</f>
        <v>0</v>
      </c>
      <c r="EA40" s="33">
        <v>0</v>
      </c>
      <c r="EB40" s="34">
        <f>IF(AND(ISNUMBER(EC40),ISNUMBER(EA40)),EC40-EA40,"")</f>
        <v>0</v>
      </c>
      <c r="EC40" s="33">
        <v>1</v>
      </c>
      <c r="ED40" s="34">
        <f>IF(AND(ISNUMBER(EE40),ISNUMBER(EC40)),EE40-EC40,"")</f>
        <v>0</v>
      </c>
      <c r="EE40" s="33">
        <v>1</v>
      </c>
      <c r="EF40" s="34">
        <f>IF(AND(ISNUMBER(EG40),ISNUMBER(EE40)),EG40-EE40,"")</f>
        <v>0</v>
      </c>
      <c r="EG40" s="33">
        <v>2</v>
      </c>
      <c r="EH40" s="34">
        <f>IF(AND(ISNUMBER(EI40),ISNUMBER(EG40)),EI40-EG40,"")</f>
        <v>0</v>
      </c>
      <c r="EI40" s="33"/>
      <c r="EJ40" s="34">
        <f>IF(AND(ISNUMBER(EK40),ISNUMBER(EI40)),EK40-EI40,"")</f>
        <v>0</v>
      </c>
      <c r="EK40" s="33">
        <v>2</v>
      </c>
      <c r="EL40" s="34">
        <f>IF(AND(ISNUMBER(EM40),ISNUMBER(EK40)),EM40-EK40,"")</f>
        <v>0</v>
      </c>
      <c r="EM40" s="33">
        <v>2</v>
      </c>
      <c r="EN40" s="34">
        <f>IF(AND(ISNUMBER(EO40),ISNUMBER(EM40)),EO40-EM40,"")</f>
        <v>0</v>
      </c>
      <c r="EO40" s="33">
        <v>1</v>
      </c>
      <c r="EP40" s="34">
        <f>IF(AND(ISNUMBER(EQ40),ISNUMBER(EO40)),EQ40-EO40,"")</f>
        <v>0</v>
      </c>
      <c r="EQ40" s="33">
        <v>1</v>
      </c>
      <c r="ER40" s="34">
        <f>IF(AND(ISNUMBER(ES40),ISNUMBER(EQ40)),ES40-EQ40,"")</f>
        <v>0</v>
      </c>
      <c r="ES40" s="33">
        <v>1</v>
      </c>
      <c r="ET40" s="34">
        <f>IF(AND(ISNUMBER(EU40),ISNUMBER(ES40)),EU40-ES40,"")</f>
        <v>0</v>
      </c>
      <c r="EU40" s="33">
        <v>3</v>
      </c>
      <c r="EV40" s="34">
        <f>IF(AND(ISNUMBER(EW40),ISNUMBER(EU40)),EW40-EU40,"")</f>
        <v>0</v>
      </c>
      <c r="EW40" s="33">
        <v>2</v>
      </c>
      <c r="EX40" s="34">
        <f>IF(AND(ISNUMBER(EY40),ISNUMBER(EW40)),EY40-EW40,"")</f>
        <v>0</v>
      </c>
      <c r="EY40" s="33">
        <v>0</v>
      </c>
      <c r="EZ40" s="34">
        <f>IF(AND(ISNUMBER(FA40),ISNUMBER(EY40)),FA40-EY40,"")</f>
        <v>0</v>
      </c>
      <c r="FA40" s="33">
        <v>1</v>
      </c>
      <c r="FB40" s="34">
        <f>IF(AND(ISNUMBER(FC40),ISNUMBER(FA40)),FC40-FA40,"")</f>
        <v>0</v>
      </c>
      <c r="FC40" s="33"/>
      <c r="FD40" s="34">
        <f>IF(AND(ISNUMBER(FE40),ISNUMBER(FC40)),FE40-FC40,"")</f>
        <v>0</v>
      </c>
      <c r="FE40" s="33"/>
      <c r="FF40" s="34">
        <f>IF(AND(ISNUMBER(FG40),ISNUMBER(FE40)),FG40-FE40,"")</f>
        <v>0</v>
      </c>
      <c r="FG40" s="33"/>
      <c r="FH40" s="34">
        <f>IF(AND(ISNUMBER(FI40),ISNUMBER(FG40)),FI40-FG40,"")</f>
        <v>0</v>
      </c>
      <c r="FI40" s="33"/>
      <c r="FJ40" s="34">
        <f>IF(AND(ISNUMBER(FK40),ISNUMBER(FI40)),FK40-FI40,"")</f>
        <v>0</v>
      </c>
      <c r="FK40" s="33"/>
      <c r="FL40" s="34">
        <f>IF(AND(ISNUMBER(FM40),ISNUMBER(FK40)),FM40-FK40,"")</f>
        <v>0</v>
      </c>
      <c r="FM40" s="33"/>
      <c r="FN40" s="34">
        <f>IF(AND(ISNUMBER(FO40),ISNUMBER(FM40)),FO40-FM40,"")</f>
        <v>0</v>
      </c>
      <c r="FO40" s="33"/>
      <c r="FP40" s="34">
        <f>IF(AND(ISNUMBER(FQ40),ISNUMBER(FO40)),FQ40-FO40,"")</f>
        <v>0</v>
      </c>
      <c r="FQ40" s="33"/>
      <c r="FR40" s="34">
        <f>IF(AND(ISNUMBER(FS40),ISNUMBER(FQ40)),FS40-FQ40,"")</f>
        <v>0</v>
      </c>
      <c r="FS40" s="33"/>
      <c r="FT40" s="34">
        <f>IF(AND(ISNUMBER(FU40),ISNUMBER(FS40)),FU40-FS40,"")</f>
        <v>0</v>
      </c>
      <c r="FU40" s="33"/>
      <c r="FV40" s="34">
        <f>IF(AND(ISNUMBER(FW40),ISNUMBER(FU40)),FW40-FU40,"")</f>
        <v>0</v>
      </c>
      <c r="FW40" s="33"/>
      <c r="FX40" s="34">
        <f>IF(AND(ISNUMBER(FY40),ISNUMBER(FW40)),FY40-FW40,"")</f>
        <v>0</v>
      </c>
      <c r="FY40" s="33"/>
      <c r="FZ40" s="34">
        <f>IF(AND(ISNUMBER(GA40),ISNUMBER(FY40)),GA40-FY40,"")</f>
        <v>0</v>
      </c>
      <c r="GA40" s="33"/>
      <c r="GB40" s="34">
        <f>IF(AND(ISNUMBER(GC40),ISNUMBER(GA40)),GC40-GA40,"")</f>
        <v>0</v>
      </c>
      <c r="GC40" s="33"/>
      <c r="GD40" s="34">
        <f>IF(AND(ISNUMBER(GE40),ISNUMBER(GC40)),GE40-GC40,"")</f>
        <v>0</v>
      </c>
      <c r="GE40" s="33"/>
      <c r="GF40" s="34">
        <f>IF(AND(ISNUMBER(GG40),ISNUMBER(GE40)),GG40-GE40,"")</f>
        <v>0</v>
      </c>
      <c r="GG40" s="33"/>
      <c r="GH40" s="34">
        <f>IF(AND(ISNUMBER(GI40),ISNUMBER(GG40)),GI40-GG40,"")</f>
        <v>0</v>
      </c>
      <c r="GI40" s="33"/>
      <c r="GJ40" s="34">
        <f>IF(AND(ISNUMBER(GK40),ISNUMBER(GI40)),GK40-GI40,"")</f>
        <v>0</v>
      </c>
      <c r="GK40" s="33"/>
      <c r="GL40" s="34">
        <f>IF(AND(ISNUMBER(GM40),ISNUMBER(GK40)),GM40-GK40,"")</f>
        <v>0</v>
      </c>
      <c r="GM40" s="33"/>
      <c r="GN40" s="34">
        <f>IF(AND(ISNUMBER(GO40),ISNUMBER(GM40)),GO40-GM40,"")</f>
        <v>0</v>
      </c>
      <c r="GO40" s="33"/>
      <c r="GP40" s="34">
        <f>IF(AND(ISNUMBER(GQ40),ISNUMBER(GO40)),GQ40-GO40,"")</f>
        <v>0</v>
      </c>
      <c r="GQ40" s="33"/>
      <c r="GR40" s="34">
        <f>IF(AND(ISNUMBER(GS40),ISNUMBER(GQ40)),GS40-GQ40,"")</f>
        <v>0</v>
      </c>
      <c r="GS40" s="33"/>
      <c r="GT40" s="34">
        <f>IF(AND(ISNUMBER(GU40),ISNUMBER(GS40)),GU40-GS40,"")</f>
        <v>0</v>
      </c>
      <c r="GU40" s="33"/>
      <c r="GV40" s="34">
        <f>IF(AND(ISNUMBER(GW40),ISNUMBER(GU40)),GW40-GU40,"")</f>
        <v>0</v>
      </c>
      <c r="GW40" s="33"/>
      <c r="GX40" s="34">
        <f>IF(AND(ISNUMBER(GY40),ISNUMBER(GW40)),GY40-GW40,"")</f>
        <v>0</v>
      </c>
      <c r="GY40" s="33"/>
      <c r="GZ40" s="34">
        <f>IF(AND(ISNUMBER(HA40),ISNUMBER(GY40)),HA40-GY40,"")</f>
        <v>0</v>
      </c>
      <c r="HA40" s="33"/>
      <c r="HB40" s="34">
        <f>IF(AND(ISNUMBER(HC40),ISNUMBER(HA40)),HC40-HA40,"")</f>
        <v>0</v>
      </c>
      <c r="HC40" s="33"/>
      <c r="HD40" s="34">
        <f>IF(AND(ISNUMBER(HE40),ISNUMBER(HC40)),HE40-HC40,"")</f>
        <v>0</v>
      </c>
      <c r="HE40" s="33"/>
      <c r="HF40" s="34">
        <f>IF(AND(ISNUMBER(HG40),ISNUMBER(HE40)),HG40-HE40,"")</f>
        <v>0</v>
      </c>
      <c r="HG40" s="33"/>
      <c r="HH40" s="34">
        <f>IF(AND(ISNUMBER(HI40),ISNUMBER(HG40)),HI40-HG40,"")</f>
        <v>0</v>
      </c>
      <c r="HI40" s="33"/>
      <c r="HJ40" s="34">
        <f>IF(AND(ISNUMBER(HK40),ISNUMBER(HI40)),HK40-HI40,"")</f>
        <v>0</v>
      </c>
      <c r="HK40" s="33"/>
      <c r="HL40" s="34">
        <f>IF(AND(ISNUMBER(HM40),ISNUMBER(HK40)),HM40-HK40,"")</f>
        <v>0</v>
      </c>
      <c r="HM40" s="33"/>
      <c r="HN40" s="34">
        <f>IF(AND(ISNUMBER(HO40),ISNUMBER(HM40)),HO40-HM40,"")</f>
        <v>0</v>
      </c>
      <c r="HO40" s="33"/>
      <c r="HP40" s="34">
        <f>IF(AND(ISNUMBER(HQ40),ISNUMBER(HO40)),HQ40-HO40,"")</f>
        <v>0</v>
      </c>
      <c r="HQ40" s="33"/>
      <c r="HR40" s="34">
        <f>IF(AND(ISNUMBER(HS40),ISNUMBER(HQ40)),HS40-HQ40,"")</f>
        <v>0</v>
      </c>
      <c r="HS40" s="33"/>
      <c r="HT40" s="34">
        <f>IF(AND(ISNUMBER(HU40),ISNUMBER(HS40)),HU40-HS40,"")</f>
        <v>0</v>
      </c>
      <c r="HU40" s="33"/>
      <c r="HV40" s="34">
        <f>IF(AND(ISNUMBER(HW40),ISNUMBER(HU40)),HW40-HU40,"")</f>
        <v>0</v>
      </c>
      <c r="HW40" s="33"/>
      <c r="HX40" s="34">
        <f>IF(AND(ISNUMBER(HY40),ISNUMBER(HW40)),HY40-HW40,"")</f>
        <v>0</v>
      </c>
      <c r="HY40" s="33"/>
      <c r="HZ40" s="34">
        <f>IF(AND(ISNUMBER(IA40),ISNUMBER(HY40)),IA40-HY40,"")</f>
        <v>0</v>
      </c>
      <c r="IA40" s="33"/>
      <c r="IB40" s="34">
        <f>IF(AND(ISNUMBER(IC40),ISNUMBER(IA40)),IC40-IA40,"")</f>
        <v>0</v>
      </c>
      <c r="IC40" s="33"/>
      <c r="ID40" s="34">
        <f>IF(AND(ISNUMBER(IE40),ISNUMBER(IC40)),IE40-IC40,"")</f>
        <v>0</v>
      </c>
      <c r="IE40" s="33"/>
      <c r="IF40" s="34">
        <f>IF(AND(ISNUMBER(IG40),ISNUMBER(IE40)),IG40-IE40,"")</f>
        <v>0</v>
      </c>
      <c r="IG40" s="33"/>
      <c r="IH40" s="34">
        <f>IF(AND(ISNUMBER(II40),ISNUMBER(IG40)),II40-IG40,"")</f>
        <v>0</v>
      </c>
      <c r="II40" s="33"/>
      <c r="IJ40" s="34">
        <f>IF(AND(ISNUMBER(IK40),ISNUMBER(II40)),IK40-II40,"")</f>
        <v>0</v>
      </c>
      <c r="IK40" s="33"/>
      <c r="IL40" s="34">
        <f>IF(AND(ISNUMBER(IM40),ISNUMBER(IK40)),IM40-IK40,"")</f>
        <v>0</v>
      </c>
      <c r="IM40" s="33"/>
      <c r="IN40" s="34">
        <f>IF(AND(ISNUMBER(IO40),ISNUMBER(IM40)),IO40-IM40,"")</f>
        <v>0</v>
      </c>
      <c r="IO40" s="33"/>
      <c r="IP40" s="34">
        <f>IF(AND(ISNUMBER(IQ40),ISNUMBER(IO40)),IQ40-IO40,"")</f>
        <v>0</v>
      </c>
      <c r="IQ40" s="33"/>
      <c r="IR40" s="34">
        <f>IF(AND(ISNUMBER(IS40),ISNUMBER(IQ40)),IS40-IQ40,"")</f>
        <v>0</v>
      </c>
      <c r="IS40" s="33"/>
      <c r="IT40" s="34">
        <f>IF(AND(ISNUMBER(IU40),ISNUMBER(IS40)),IU40-IS40,"")</f>
        <v>0</v>
      </c>
      <c r="IU40" s="33"/>
      <c r="IV40" s="34">
        <f>IF(AND(ISNUMBER(IW40),ISNUMBER(IU40)),IW40-IU40,"")</f>
        <v>0</v>
      </c>
      <c r="IW40" s="33"/>
      <c r="IX40" s="34">
        <f>IF(AND(ISNUMBER(IY40),ISNUMBER(IW40)),IY40-IW40,"")</f>
        <v>0</v>
      </c>
      <c r="IY40" s="33"/>
      <c r="IZ40" s="34">
        <f>IF(AND(ISNUMBER(JA40),ISNUMBER(IY40)),JA40-IY40,"")</f>
        <v>0</v>
      </c>
      <c r="JA40" s="33"/>
      <c r="JB40" s="34">
        <f>IF(AND(ISNUMBER(JC40),ISNUMBER(JA40)),JC40-JA40,"")</f>
        <v>0</v>
      </c>
      <c r="JC40" s="33"/>
      <c r="JD40" s="34">
        <f>IF(AND(ISNUMBER(JE40),ISNUMBER(JC40)),JE40-JC40,"")</f>
        <v>0</v>
      </c>
      <c r="JE40" s="33"/>
      <c r="JF40" s="34">
        <f>IF(AND(ISNUMBER(JG40),ISNUMBER(JE40)),JG40-JE40,"")</f>
        <v>0</v>
      </c>
      <c r="JG40" s="33"/>
      <c r="JH40" s="34">
        <f>IF(AND(ISNUMBER(JI40),ISNUMBER(JG40)),JI40-JG40,"")</f>
        <v>0</v>
      </c>
      <c r="JI40" s="33"/>
      <c r="JJ40" s="34">
        <f>IF(AND(ISNUMBER(JK40),ISNUMBER(JI40)),JK40-JI40,"")</f>
        <v>0</v>
      </c>
      <c r="JK40" s="33"/>
      <c r="JL40" s="34">
        <f>IF(AND(ISNUMBER(JM40),ISNUMBER(JK40)),JM40-JK40,"")</f>
        <v>0</v>
      </c>
      <c r="JM40" s="33"/>
      <c r="JN40" s="34">
        <f>IF(AND(ISNUMBER(JO40),ISNUMBER(JM40)),JO40-JM40,"")</f>
        <v>0</v>
      </c>
      <c r="JO40" s="33"/>
      <c r="JP40" s="34">
        <f>IF(AND(ISNUMBER(JQ40),ISNUMBER(JO40)),JQ40-JO40,"")</f>
        <v>0</v>
      </c>
      <c r="JQ40" s="33"/>
      <c r="JR40" s="34">
        <f>IF(AND(ISNUMBER(JS40),ISNUMBER(JQ40)),JS40-JQ40,"")</f>
        <v>0</v>
      </c>
      <c r="JS40" s="33"/>
      <c r="JT40" s="34">
        <f>IF(AND(ISNUMBER(JU40),ISNUMBER(JS40)),JU40-JS40,"")</f>
        <v>0</v>
      </c>
      <c r="JU40" s="33"/>
      <c r="JV40" s="34">
        <f>IF(AND(ISNUMBER(JW40),ISNUMBER(JU40)),JW40-JU40,"")</f>
        <v>0</v>
      </c>
      <c r="JW40" s="33"/>
      <c r="JX40" s="34">
        <f>IF(AND(ISNUMBER(JY40),ISNUMBER(JW40)),JY40-JW40,"")</f>
        <v>0</v>
      </c>
      <c r="JY40" s="33"/>
      <c r="JZ40" s="34">
        <f>IF(AND(ISNUMBER(KA40),ISNUMBER(JY40)),KA40-JY40,"")</f>
        <v>0</v>
      </c>
      <c r="KA40" s="33"/>
      <c r="KB40" s="34">
        <f>IF(AND(ISNUMBER(KC40),ISNUMBER(KA40)),KC40-KA40,"")</f>
        <v>0</v>
      </c>
      <c r="KC40" s="33"/>
      <c r="KD40" s="34">
        <f>IF(AND(ISNUMBER(KE40),ISNUMBER(KC40)),KE40-KC40,"")</f>
        <v>0</v>
      </c>
      <c r="KE40" s="33"/>
      <c r="KF40" s="34">
        <f>IF(AND(ISNUMBER(KG40),ISNUMBER(KE40)),KG40-KE40,"")</f>
        <v>0</v>
      </c>
      <c r="KG40" s="33"/>
      <c r="KH40" s="34">
        <f>IF(AND(ISNUMBER(KI40),ISNUMBER(KG40)),KI40-KG40,"")</f>
        <v>0</v>
      </c>
      <c r="KI40" s="33"/>
      <c r="KJ40" s="34">
        <f>IF(AND(ISNUMBER(KK40),ISNUMBER(KI40)),KK40-KI40,"")</f>
        <v>0</v>
      </c>
      <c r="KK40" s="33"/>
      <c r="KL40" s="34">
        <f>IF(AND(ISNUMBER(KM40),ISNUMBER(KK40)),KM40-KK40,"")</f>
        <v>0</v>
      </c>
      <c r="KM40" s="33"/>
      <c r="KN40" s="34">
        <f>IF(AND(ISNUMBER(KO40),ISNUMBER(KM40)),KO40-KM40,"")</f>
        <v>0</v>
      </c>
      <c r="KO40" s="33"/>
      <c r="KP40" s="34">
        <f>IF(AND(ISNUMBER(KQ40),ISNUMBER(KO40)),KQ40-KO40,"")</f>
        <v>0</v>
      </c>
      <c r="KQ40" s="33"/>
      <c r="KR40" s="34">
        <f>IF(AND(ISNUMBER(KS40),ISNUMBER(KQ40)),KS40-KQ40,"")</f>
        <v>0</v>
      </c>
      <c r="KS40" s="33"/>
      <c r="KT40" s="34">
        <f>IF(AND(ISNUMBER(KU40),ISNUMBER(KS40)),KU40-KS40,"")</f>
        <v>0</v>
      </c>
      <c r="KU40" s="33"/>
      <c r="KV40" s="34">
        <f>IF(AND(ISNUMBER(KW40),ISNUMBER(KU40)),KW40-KU40,"")</f>
        <v>0</v>
      </c>
      <c r="KW40" s="33"/>
      <c r="KX40" s="34">
        <f>IF(AND(ISNUMBER(KY40),ISNUMBER(KW40)),KY40-KW40,"")</f>
        <v>0</v>
      </c>
      <c r="KY40" s="33"/>
      <c r="KZ40" s="34">
        <f>IF(AND(ISNUMBER(LA40),ISNUMBER(KY40)),LA40-KY40,"")</f>
        <v>0</v>
      </c>
      <c r="LA40" s="33"/>
      <c r="LB40" s="34">
        <f>IF(AND(ISNUMBER(LC40),ISNUMBER(LA40)),LC40-LA40,"")</f>
        <v>0</v>
      </c>
      <c r="LC40" s="33"/>
      <c r="LD40" s="34">
        <f>IF(AND(ISNUMBER(LE40),ISNUMBER(LC40)),LE40-LC40,"")</f>
        <v>0</v>
      </c>
      <c r="LE40" s="33"/>
      <c r="LF40" s="34">
        <f>IF(AND(ISNUMBER(LG40),ISNUMBER(LE40)),LG40-LE40,"")</f>
        <v>0</v>
      </c>
      <c r="LG40" s="33"/>
    </row>
    <row r="41" spans="1:322" hidden="1" outlineLevel="1">
      <c r="B41" s="23"/>
      <c r="D41" s="31" t="s">
        <v>715</v>
      </c>
      <c r="E41" s="32" t="s">
        <v>1059</v>
      </c>
      <c r="I41" s="40" t="s">
        <v>1078</v>
      </c>
      <c r="J41" s="34">
        <f>IF(AND(ISNUMBER(K41),ISNUMBER(I41)),K41-I41,"")</f>
        <v>0</v>
      </c>
      <c r="K41" s="40" t="s">
        <v>1078</v>
      </c>
      <c r="L41" s="34">
        <f>IF(AND(ISNUMBER(M41),ISNUMBER(K41)),M41-K41,"")</f>
        <v>0</v>
      </c>
      <c r="M41" s="40" t="s">
        <v>1078</v>
      </c>
      <c r="N41" s="34">
        <f>IF(AND(ISNUMBER(O41),ISNUMBER(M41)),O41-M41,"")</f>
        <v>0</v>
      </c>
      <c r="O41" s="40" t="s">
        <v>1078</v>
      </c>
      <c r="P41" s="34">
        <f>IF(AND(ISNUMBER(Q41),ISNUMBER(O41)),Q41-O41,"")</f>
        <v>0</v>
      </c>
      <c r="Q41" s="40" t="s">
        <v>1078</v>
      </c>
      <c r="R41" s="34">
        <f>IF(AND(ISNUMBER(S41),ISNUMBER(Q41)),S41-Q41,"")</f>
        <v>0</v>
      </c>
      <c r="S41" s="40" t="s">
        <v>1078</v>
      </c>
      <c r="T41" s="34">
        <f>IF(AND(ISNUMBER(U41),ISNUMBER(S41)),U41-S41,"")</f>
        <v>0</v>
      </c>
      <c r="U41" s="40" t="s">
        <v>1078</v>
      </c>
      <c r="V41" s="34">
        <f>IF(AND(ISNUMBER(W41),ISNUMBER(U41)),W41-U41,"")</f>
        <v>0</v>
      </c>
      <c r="W41" s="40" t="s">
        <v>1078</v>
      </c>
      <c r="X41" s="34">
        <f>IF(AND(ISNUMBER(Y41),ISNUMBER(W41)),Y41-W41,"")</f>
        <v>0</v>
      </c>
      <c r="Y41" s="40" t="s">
        <v>1078</v>
      </c>
      <c r="Z41" s="34">
        <f>IF(AND(ISNUMBER(AA41),ISNUMBER(Y41)),AA41-Y41,"")</f>
        <v>0</v>
      </c>
      <c r="AA41" s="40" t="s">
        <v>1078</v>
      </c>
      <c r="AB41" s="34">
        <f>IF(AND(ISNUMBER(AC41),ISNUMBER(AA41)),AC41-AA41,"")</f>
        <v>0</v>
      </c>
      <c r="AC41" s="40" t="s">
        <v>1078</v>
      </c>
      <c r="AD41" s="34">
        <f>IF(AND(ISNUMBER(AE41),ISNUMBER(AC41)),AE41-AC41,"")</f>
        <v>0</v>
      </c>
      <c r="AE41" s="40" t="s">
        <v>1078</v>
      </c>
      <c r="AF41" s="34">
        <f>IF(AND(ISNUMBER(AG41),ISNUMBER(AE41)),AG41-AE41,"")</f>
        <v>0</v>
      </c>
      <c r="AG41" s="40" t="s">
        <v>1078</v>
      </c>
      <c r="AH41" s="34">
        <f>IF(AND(ISNUMBER(AI41),ISNUMBER(AG41)),AI41-AG41,"")</f>
        <v>0</v>
      </c>
      <c r="AI41" s="40" t="s">
        <v>1078</v>
      </c>
      <c r="AJ41" s="34">
        <f>IF(AND(ISNUMBER(AK41),ISNUMBER(AI41)),AK41-AI41,"")</f>
        <v>0</v>
      </c>
      <c r="AK41" s="40" t="s">
        <v>1078</v>
      </c>
      <c r="AL41" s="34">
        <f>IF(AND(ISNUMBER(AM41),ISNUMBER(AK41)),AM41-AK41,"")</f>
        <v>0</v>
      </c>
      <c r="AM41" s="40" t="s">
        <v>1078</v>
      </c>
      <c r="AN41" s="34">
        <f>IF(AND(ISNUMBER(AO41),ISNUMBER(AM41)),AO41-AM41,"")</f>
        <v>0</v>
      </c>
      <c r="AO41" s="40" t="s">
        <v>1078</v>
      </c>
      <c r="AP41" s="34">
        <f>IF(AND(ISNUMBER(AQ41),ISNUMBER(AO41)),AQ41-AO41,"")</f>
        <v>0</v>
      </c>
      <c r="AQ41" s="40" t="s">
        <v>1078</v>
      </c>
      <c r="AR41" s="34">
        <f>IF(AND(ISNUMBER(AS41),ISNUMBER(AQ41)),AS41-AQ41,"")</f>
        <v>0</v>
      </c>
      <c r="AS41" s="33">
        <v>0</v>
      </c>
      <c r="AT41" s="34">
        <f>IF(AND(ISNUMBER(AU41),ISNUMBER(AS41)),AU41-AS41,"")</f>
        <v>0</v>
      </c>
      <c r="AU41" s="33">
        <v>0</v>
      </c>
      <c r="AV41" s="34">
        <f>IF(AND(ISNUMBER(AW41),ISNUMBER(AU41)),AW41-AU41,"")</f>
        <v>0</v>
      </c>
      <c r="AW41" s="33">
        <v>0</v>
      </c>
      <c r="AX41" s="34">
        <f>IF(AND(ISNUMBER(AY41),ISNUMBER(AW41)),AY41-AW41,"")</f>
        <v>0</v>
      </c>
      <c r="AY41" s="33">
        <v>5</v>
      </c>
      <c r="AZ41" s="34">
        <f>IF(AND(ISNUMBER(BA41),ISNUMBER(AY41)),BA41-AY41,"")</f>
        <v>0</v>
      </c>
      <c r="BA41" s="33">
        <v>0</v>
      </c>
      <c r="BB41" s="34">
        <f>IF(AND(ISNUMBER(BC41),ISNUMBER(BA41)),BC41-BA41,"")</f>
        <v>0</v>
      </c>
      <c r="BC41" s="33">
        <v>2</v>
      </c>
      <c r="BD41" s="34">
        <f>IF(AND(ISNUMBER(BE41),ISNUMBER(BC41)),BE41-BC41,"")</f>
        <v>0</v>
      </c>
      <c r="BE41" s="33">
        <v>0</v>
      </c>
      <c r="BF41" s="34">
        <f>IF(AND(ISNUMBER(BG41),ISNUMBER(BE41)),BG41-BE41,"")</f>
        <v>0</v>
      </c>
      <c r="BG41" s="33">
        <v>0</v>
      </c>
      <c r="BH41" s="34">
        <f>IF(AND(ISNUMBER(BI41),ISNUMBER(BG41)),BI41-BG41,"")</f>
        <v>0</v>
      </c>
      <c r="BI41" s="33">
        <v>0</v>
      </c>
      <c r="BJ41" s="34">
        <f>IF(AND(ISNUMBER(BK41),ISNUMBER(BI41)),BK41-BI41,"")</f>
        <v>0</v>
      </c>
      <c r="BK41" s="33">
        <v>2</v>
      </c>
      <c r="BL41" s="34">
        <f>IF(AND(ISNUMBER(BM41),ISNUMBER(BK41)),BM41-BK41,"")</f>
        <v>0</v>
      </c>
      <c r="BM41" s="33">
        <v>0</v>
      </c>
      <c r="BN41" s="34">
        <f>IF(AND(ISNUMBER(BO41),ISNUMBER(BM41)),BO41-BM41,"")</f>
        <v>0</v>
      </c>
      <c r="BO41" s="33">
        <v>1</v>
      </c>
      <c r="BP41" s="34">
        <f>IF(AND(ISNUMBER(BQ41),ISNUMBER(BO41)),BQ41-BO41,"")</f>
        <v>0</v>
      </c>
      <c r="BQ41" s="33">
        <v>0</v>
      </c>
      <c r="BR41" s="34">
        <f>IF(AND(ISNUMBER(BS41),ISNUMBER(BQ41)),BS41-BQ41,"")</f>
        <v>0</v>
      </c>
      <c r="BS41" s="33">
        <v>0</v>
      </c>
      <c r="BT41" s="34">
        <f>IF(AND(ISNUMBER(BU41),ISNUMBER(BS41)),BU41-BS41,"")</f>
        <v>0</v>
      </c>
      <c r="BU41" s="33">
        <v>0</v>
      </c>
      <c r="BV41" s="34">
        <f>IF(AND(ISNUMBER(BW41),ISNUMBER(BU41)),BW41-BU41,"")</f>
        <v>0</v>
      </c>
      <c r="BW41" s="33">
        <v>0</v>
      </c>
      <c r="BX41" s="34">
        <f>IF(AND(ISNUMBER(BY41),ISNUMBER(BW41)),BY41-BW41,"")</f>
        <v>0</v>
      </c>
      <c r="BY41" s="33">
        <v>0</v>
      </c>
      <c r="BZ41" s="34">
        <f>IF(AND(ISNUMBER(CA41),ISNUMBER(BY41)),CA41-BY41,"")</f>
        <v>0</v>
      </c>
      <c r="CA41" s="33">
        <v>0</v>
      </c>
      <c r="CB41" s="34">
        <f>IF(AND(ISNUMBER(CC41),ISNUMBER(CA41)),CC41-CA41,"")</f>
        <v>0</v>
      </c>
      <c r="CC41" s="33">
        <v>0</v>
      </c>
      <c r="CD41" s="34">
        <f>IF(AND(ISNUMBER(CE41),ISNUMBER(CC41)),CE41-CC41,"")</f>
        <v>0</v>
      </c>
      <c r="CE41" s="33">
        <v>0</v>
      </c>
      <c r="CF41" s="34">
        <f>IF(AND(ISNUMBER(CG41),ISNUMBER(CE41)),CG41-CE41,"")</f>
        <v>0</v>
      </c>
      <c r="CG41" s="33">
        <v>0</v>
      </c>
      <c r="CH41" s="34">
        <f>IF(AND(ISNUMBER(CI41),ISNUMBER(CG41)),CI41-CG41,"")</f>
        <v>0</v>
      </c>
      <c r="CI41" s="33">
        <v>0</v>
      </c>
      <c r="CJ41" s="34">
        <f>IF(AND(ISNUMBER(CK41),ISNUMBER(CI41)),CK41-CI41,"")</f>
        <v>0</v>
      </c>
      <c r="CK41" s="33">
        <v>0</v>
      </c>
      <c r="CL41" s="34">
        <f>IF(AND(ISNUMBER(CM41),ISNUMBER(CK41)),CM41-CK41,"")</f>
        <v>0</v>
      </c>
      <c r="CM41" s="33">
        <v>0</v>
      </c>
      <c r="CN41" s="34">
        <f>IF(AND(ISNUMBER(CO41),ISNUMBER(CM41)),CO41-CM41,"")</f>
        <v>0</v>
      </c>
      <c r="CO41" s="33">
        <v>0</v>
      </c>
      <c r="CP41" s="34">
        <f>IF(AND(ISNUMBER(CQ41),ISNUMBER(CO41)),CQ41-CO41,"")</f>
        <v>0</v>
      </c>
      <c r="CQ41" s="33">
        <v>0</v>
      </c>
      <c r="CR41" s="34">
        <f>IF(AND(ISNUMBER(CS41),ISNUMBER(CQ41)),CS41-CQ41,"")</f>
        <v>0</v>
      </c>
      <c r="CS41" s="33">
        <v>0</v>
      </c>
      <c r="CT41" s="34">
        <f>IF(AND(ISNUMBER(CU41),ISNUMBER(CS41)),CU41-CS41,"")</f>
        <v>0</v>
      </c>
      <c r="CU41" s="33">
        <v>1</v>
      </c>
      <c r="CV41" s="34">
        <f>IF(AND(ISNUMBER(CW41),ISNUMBER(CU41)),CW41-CU41,"")</f>
        <v>0</v>
      </c>
      <c r="CW41" s="33">
        <v>0</v>
      </c>
      <c r="CX41" s="34">
        <f>IF(AND(ISNUMBER(CY41),ISNUMBER(CW41)),CY41-CW41,"")</f>
        <v>0</v>
      </c>
      <c r="CY41" s="33">
        <v>0</v>
      </c>
      <c r="CZ41" s="34">
        <f>IF(AND(ISNUMBER(DA41),ISNUMBER(CY41)),DA41-CY41,"")</f>
        <v>0</v>
      </c>
      <c r="DA41" s="33">
        <v>0</v>
      </c>
      <c r="DB41" s="34">
        <f>IF(AND(ISNUMBER(DC41),ISNUMBER(DA41)),DC41-DA41,"")</f>
        <v>0</v>
      </c>
      <c r="DC41" s="33">
        <v>0</v>
      </c>
      <c r="DD41" s="34">
        <f>IF(AND(ISNUMBER(DE41),ISNUMBER(DC41)),DE41-DC41,"")</f>
        <v>0</v>
      </c>
      <c r="DE41" s="33">
        <v>0</v>
      </c>
      <c r="DF41" s="34">
        <f>IF(AND(ISNUMBER(DG41),ISNUMBER(DE41)),DG41-DE41,"")</f>
        <v>0</v>
      </c>
      <c r="DG41" s="33">
        <v>0</v>
      </c>
      <c r="DH41" s="34">
        <f>IF(AND(ISNUMBER(DI41),ISNUMBER(DG41)),DI41-DG41,"")</f>
        <v>0</v>
      </c>
      <c r="DI41" s="33">
        <v>0</v>
      </c>
      <c r="DJ41" s="34">
        <f>IF(AND(ISNUMBER(DK41),ISNUMBER(DI41)),DK41-DI41,"")</f>
        <v>0</v>
      </c>
      <c r="DK41" s="33">
        <v>0</v>
      </c>
      <c r="DL41" s="34">
        <f>IF(AND(ISNUMBER(DM41),ISNUMBER(DK41)),DM41-DK41,"")</f>
        <v>0</v>
      </c>
      <c r="DM41" s="33">
        <v>0</v>
      </c>
      <c r="DN41" s="34">
        <f>IF(AND(ISNUMBER(DO41),ISNUMBER(DM41)),DO41-DM41,"")</f>
        <v>0</v>
      </c>
      <c r="DO41" s="33">
        <v>0</v>
      </c>
      <c r="DP41" s="34">
        <f>IF(AND(ISNUMBER(DQ41),ISNUMBER(DO41)),DQ41-DO41,"")</f>
        <v>0</v>
      </c>
      <c r="DQ41" s="33">
        <v>0</v>
      </c>
      <c r="DR41" s="34">
        <f>IF(AND(ISNUMBER(DS41),ISNUMBER(DQ41)),DS41-DQ41,"")</f>
        <v>0</v>
      </c>
      <c r="DS41" s="33">
        <v>0</v>
      </c>
      <c r="DT41" s="34">
        <f>IF(AND(ISNUMBER(DU41),ISNUMBER(DS41)),DU41-DS41,"")</f>
        <v>0</v>
      </c>
      <c r="DU41" s="33">
        <v>0</v>
      </c>
      <c r="DV41" s="34">
        <f>IF(AND(ISNUMBER(DW41),ISNUMBER(DU41)),DW41-DU41,"")</f>
        <v>0</v>
      </c>
      <c r="DW41" s="33">
        <v>0</v>
      </c>
      <c r="DX41" s="34">
        <f>IF(AND(ISNUMBER(DY41),ISNUMBER(DW41)),DY41-DW41,"")</f>
        <v>0</v>
      </c>
      <c r="DY41" s="33">
        <v>0</v>
      </c>
      <c r="DZ41" s="34">
        <f>IF(AND(ISNUMBER(EA41),ISNUMBER(DY41)),EA41-DY41,"")</f>
        <v>0</v>
      </c>
      <c r="EA41" s="33">
        <v>0</v>
      </c>
      <c r="EB41" s="34">
        <f>IF(AND(ISNUMBER(EC41),ISNUMBER(EA41)),EC41-EA41,"")</f>
        <v>0</v>
      </c>
      <c r="EC41" s="33">
        <v>0</v>
      </c>
      <c r="ED41" s="34">
        <f>IF(AND(ISNUMBER(EE41),ISNUMBER(EC41)),EE41-EC41,"")</f>
        <v>0</v>
      </c>
      <c r="EE41" s="33">
        <v>0</v>
      </c>
      <c r="EF41" s="34">
        <f>IF(AND(ISNUMBER(EG41),ISNUMBER(EE41)),EG41-EE41,"")</f>
        <v>0</v>
      </c>
      <c r="EG41" s="33">
        <v>0</v>
      </c>
      <c r="EH41" s="34">
        <f>IF(AND(ISNUMBER(EI41),ISNUMBER(EG41)),EI41-EG41,"")</f>
        <v>0</v>
      </c>
      <c r="EI41" s="33">
        <v>0</v>
      </c>
      <c r="EJ41" s="34">
        <f>IF(AND(ISNUMBER(EK41),ISNUMBER(EI41)),EK41-EI41,"")</f>
        <v>0</v>
      </c>
      <c r="EK41" s="33">
        <v>0</v>
      </c>
      <c r="EL41" s="34">
        <f>IF(AND(ISNUMBER(EM41),ISNUMBER(EK41)),EM41-EK41,"")</f>
        <v>0</v>
      </c>
      <c r="EM41" s="33">
        <v>0</v>
      </c>
      <c r="EN41" s="34">
        <f>IF(AND(ISNUMBER(EO41),ISNUMBER(EM41)),EO41-EM41,"")</f>
        <v>0</v>
      </c>
      <c r="EO41" s="33">
        <v>0</v>
      </c>
      <c r="EP41" s="34">
        <f>IF(AND(ISNUMBER(EQ41),ISNUMBER(EO41)),EQ41-EO41,"")</f>
        <v>0</v>
      </c>
      <c r="EQ41" s="33">
        <v>0</v>
      </c>
      <c r="ER41" s="34">
        <f>IF(AND(ISNUMBER(ES41),ISNUMBER(EQ41)),ES41-EQ41,"")</f>
        <v>0</v>
      </c>
      <c r="ES41" s="33">
        <v>2</v>
      </c>
      <c r="ET41" s="34">
        <f>IF(AND(ISNUMBER(EU41),ISNUMBER(ES41)),EU41-ES41,"")</f>
        <v>0</v>
      </c>
      <c r="EU41" s="33">
        <v>0</v>
      </c>
      <c r="EV41" s="34">
        <f>IF(AND(ISNUMBER(EW41),ISNUMBER(EU41)),EW41-EU41,"")</f>
        <v>0</v>
      </c>
      <c r="EW41" s="33">
        <v>0</v>
      </c>
      <c r="EX41" s="34">
        <f>IF(AND(ISNUMBER(EY41),ISNUMBER(EW41)),EY41-EW41,"")</f>
        <v>0</v>
      </c>
      <c r="EY41" s="33">
        <v>0</v>
      </c>
      <c r="EZ41" s="34">
        <f>IF(AND(ISNUMBER(FA41),ISNUMBER(EY41)),FA41-EY41,"")</f>
        <v>0</v>
      </c>
      <c r="FA41" s="33">
        <v>0</v>
      </c>
      <c r="FB41" s="34">
        <f>IF(AND(ISNUMBER(FC41),ISNUMBER(FA41)),FC41-FA41,"")</f>
        <v>0</v>
      </c>
      <c r="FC41" s="33"/>
      <c r="FD41" s="34">
        <f>IF(AND(ISNUMBER(FE41),ISNUMBER(FC41)),FE41-FC41,"")</f>
        <v>0</v>
      </c>
      <c r="FE41" s="33"/>
      <c r="FF41" s="34">
        <f>IF(AND(ISNUMBER(FG41),ISNUMBER(FE41)),FG41-FE41,"")</f>
        <v>0</v>
      </c>
      <c r="FG41" s="33"/>
      <c r="FH41" s="34">
        <f>IF(AND(ISNUMBER(FI41),ISNUMBER(FG41)),FI41-FG41,"")</f>
        <v>0</v>
      </c>
      <c r="FI41" s="33"/>
      <c r="FJ41" s="34">
        <f>IF(AND(ISNUMBER(FK41),ISNUMBER(FI41)),FK41-FI41,"")</f>
        <v>0</v>
      </c>
      <c r="FK41" s="33"/>
      <c r="FL41" s="34">
        <f>IF(AND(ISNUMBER(FM41),ISNUMBER(FK41)),FM41-FK41,"")</f>
        <v>0</v>
      </c>
      <c r="FM41" s="33"/>
      <c r="FN41" s="34">
        <f>IF(AND(ISNUMBER(FO41),ISNUMBER(FM41)),FO41-FM41,"")</f>
        <v>0</v>
      </c>
      <c r="FO41" s="33"/>
      <c r="FP41" s="34">
        <f>IF(AND(ISNUMBER(FQ41),ISNUMBER(FO41)),FQ41-FO41,"")</f>
        <v>0</v>
      </c>
      <c r="FQ41" s="33"/>
      <c r="FR41" s="34">
        <f>IF(AND(ISNUMBER(FS41),ISNUMBER(FQ41)),FS41-FQ41,"")</f>
        <v>0</v>
      </c>
      <c r="FS41" s="33"/>
      <c r="FT41" s="34">
        <f>IF(AND(ISNUMBER(FU41),ISNUMBER(FS41)),FU41-FS41,"")</f>
        <v>0</v>
      </c>
      <c r="FU41" s="33"/>
      <c r="FV41" s="34">
        <f>IF(AND(ISNUMBER(FW41),ISNUMBER(FU41)),FW41-FU41,"")</f>
        <v>0</v>
      </c>
      <c r="FW41" s="33"/>
      <c r="FX41" s="34">
        <f>IF(AND(ISNUMBER(FY41),ISNUMBER(FW41)),FY41-FW41,"")</f>
        <v>0</v>
      </c>
      <c r="FY41" s="33"/>
      <c r="FZ41" s="34">
        <f>IF(AND(ISNUMBER(GA41),ISNUMBER(FY41)),GA41-FY41,"")</f>
        <v>0</v>
      </c>
      <c r="GA41" s="33"/>
      <c r="GB41" s="34">
        <f>IF(AND(ISNUMBER(GC41),ISNUMBER(GA41)),GC41-GA41,"")</f>
        <v>0</v>
      </c>
      <c r="GC41" s="33"/>
      <c r="GD41" s="34">
        <f>IF(AND(ISNUMBER(GE41),ISNUMBER(GC41)),GE41-GC41,"")</f>
        <v>0</v>
      </c>
      <c r="GE41" s="33"/>
      <c r="GF41" s="34">
        <f>IF(AND(ISNUMBER(GG41),ISNUMBER(GE41)),GG41-GE41,"")</f>
        <v>0</v>
      </c>
      <c r="GG41" s="33"/>
      <c r="GH41" s="34">
        <f>IF(AND(ISNUMBER(GI41),ISNUMBER(GG41)),GI41-GG41,"")</f>
        <v>0</v>
      </c>
      <c r="GI41" s="33"/>
      <c r="GJ41" s="34">
        <f>IF(AND(ISNUMBER(GK41),ISNUMBER(GI41)),GK41-GI41,"")</f>
        <v>0</v>
      </c>
      <c r="GK41" s="33"/>
      <c r="GL41" s="34">
        <f>IF(AND(ISNUMBER(GM41),ISNUMBER(GK41)),GM41-GK41,"")</f>
        <v>0</v>
      </c>
      <c r="GM41" s="33"/>
      <c r="GN41" s="34">
        <f>IF(AND(ISNUMBER(GO41),ISNUMBER(GM41)),GO41-GM41,"")</f>
        <v>0</v>
      </c>
      <c r="GO41" s="33"/>
      <c r="GP41" s="34">
        <f>IF(AND(ISNUMBER(GQ41),ISNUMBER(GO41)),GQ41-GO41,"")</f>
        <v>0</v>
      </c>
      <c r="GQ41" s="33"/>
      <c r="GR41" s="34">
        <f>IF(AND(ISNUMBER(GS41),ISNUMBER(GQ41)),GS41-GQ41,"")</f>
        <v>0</v>
      </c>
      <c r="GS41" s="33"/>
      <c r="GT41" s="34">
        <f>IF(AND(ISNUMBER(GU41),ISNUMBER(GS41)),GU41-GS41,"")</f>
        <v>0</v>
      </c>
      <c r="GU41" s="33"/>
      <c r="GV41" s="34">
        <f>IF(AND(ISNUMBER(GW41),ISNUMBER(GU41)),GW41-GU41,"")</f>
        <v>0</v>
      </c>
      <c r="GW41" s="33"/>
      <c r="GX41" s="34">
        <f>IF(AND(ISNUMBER(GY41),ISNUMBER(GW41)),GY41-GW41,"")</f>
        <v>0</v>
      </c>
      <c r="GY41" s="33"/>
      <c r="GZ41" s="34">
        <f>IF(AND(ISNUMBER(HA41),ISNUMBER(GY41)),HA41-GY41,"")</f>
        <v>0</v>
      </c>
      <c r="HA41" s="33"/>
      <c r="HB41" s="34">
        <f>IF(AND(ISNUMBER(HC41),ISNUMBER(HA41)),HC41-HA41,"")</f>
        <v>0</v>
      </c>
      <c r="HC41" s="33"/>
      <c r="HD41" s="34">
        <f>IF(AND(ISNUMBER(HE41),ISNUMBER(HC41)),HE41-HC41,"")</f>
        <v>0</v>
      </c>
      <c r="HE41" s="33"/>
      <c r="HF41" s="34">
        <f>IF(AND(ISNUMBER(HG41),ISNUMBER(HE41)),HG41-HE41,"")</f>
        <v>0</v>
      </c>
      <c r="HG41" s="33"/>
      <c r="HH41" s="34">
        <f>IF(AND(ISNUMBER(HI41),ISNUMBER(HG41)),HI41-HG41,"")</f>
        <v>0</v>
      </c>
      <c r="HI41" s="33"/>
      <c r="HJ41" s="34">
        <f>IF(AND(ISNUMBER(HK41),ISNUMBER(HI41)),HK41-HI41,"")</f>
        <v>0</v>
      </c>
      <c r="HK41" s="33"/>
      <c r="HL41" s="34">
        <f>IF(AND(ISNUMBER(HM41),ISNUMBER(HK41)),HM41-HK41,"")</f>
        <v>0</v>
      </c>
      <c r="HM41" s="33"/>
      <c r="HN41" s="34">
        <f>IF(AND(ISNUMBER(HO41),ISNUMBER(HM41)),HO41-HM41,"")</f>
        <v>0</v>
      </c>
      <c r="HO41" s="33"/>
      <c r="HP41" s="34">
        <f>IF(AND(ISNUMBER(HQ41),ISNUMBER(HO41)),HQ41-HO41,"")</f>
        <v>0</v>
      </c>
      <c r="HQ41" s="33"/>
      <c r="HR41" s="34">
        <f>IF(AND(ISNUMBER(HS41),ISNUMBER(HQ41)),HS41-HQ41,"")</f>
        <v>0</v>
      </c>
      <c r="HS41" s="33"/>
      <c r="HT41" s="34">
        <f>IF(AND(ISNUMBER(HU41),ISNUMBER(HS41)),HU41-HS41,"")</f>
        <v>0</v>
      </c>
      <c r="HU41" s="33"/>
      <c r="HV41" s="34">
        <f>IF(AND(ISNUMBER(HW41),ISNUMBER(HU41)),HW41-HU41,"")</f>
        <v>0</v>
      </c>
      <c r="HW41" s="33"/>
      <c r="HX41" s="34">
        <f>IF(AND(ISNUMBER(HY41),ISNUMBER(HW41)),HY41-HW41,"")</f>
        <v>0</v>
      </c>
      <c r="HY41" s="33"/>
      <c r="HZ41" s="34">
        <f>IF(AND(ISNUMBER(IA41),ISNUMBER(HY41)),IA41-HY41,"")</f>
        <v>0</v>
      </c>
      <c r="IA41" s="33"/>
      <c r="IB41" s="34">
        <f>IF(AND(ISNUMBER(IC41),ISNUMBER(IA41)),IC41-IA41,"")</f>
        <v>0</v>
      </c>
      <c r="IC41" s="33"/>
      <c r="ID41" s="34">
        <f>IF(AND(ISNUMBER(IE41),ISNUMBER(IC41)),IE41-IC41,"")</f>
        <v>0</v>
      </c>
      <c r="IE41" s="33"/>
      <c r="IF41" s="34">
        <f>IF(AND(ISNUMBER(IG41),ISNUMBER(IE41)),IG41-IE41,"")</f>
        <v>0</v>
      </c>
      <c r="IG41" s="33"/>
      <c r="IH41" s="34">
        <f>IF(AND(ISNUMBER(II41),ISNUMBER(IG41)),II41-IG41,"")</f>
        <v>0</v>
      </c>
      <c r="II41" s="33"/>
      <c r="IJ41" s="34">
        <f>IF(AND(ISNUMBER(IK41),ISNUMBER(II41)),IK41-II41,"")</f>
        <v>0</v>
      </c>
      <c r="IK41" s="33"/>
      <c r="IL41" s="34">
        <f>IF(AND(ISNUMBER(IM41),ISNUMBER(IK41)),IM41-IK41,"")</f>
        <v>0</v>
      </c>
      <c r="IM41" s="33"/>
      <c r="IN41" s="34">
        <f>IF(AND(ISNUMBER(IO41),ISNUMBER(IM41)),IO41-IM41,"")</f>
        <v>0</v>
      </c>
      <c r="IO41" s="33"/>
      <c r="IP41" s="34">
        <f>IF(AND(ISNUMBER(IQ41),ISNUMBER(IO41)),IQ41-IO41,"")</f>
        <v>0</v>
      </c>
      <c r="IQ41" s="33"/>
      <c r="IR41" s="34">
        <f>IF(AND(ISNUMBER(IS41),ISNUMBER(IQ41)),IS41-IQ41,"")</f>
        <v>0</v>
      </c>
      <c r="IS41" s="33"/>
      <c r="IT41" s="34">
        <f>IF(AND(ISNUMBER(IU41),ISNUMBER(IS41)),IU41-IS41,"")</f>
        <v>0</v>
      </c>
      <c r="IU41" s="33"/>
      <c r="IV41" s="34">
        <f>IF(AND(ISNUMBER(IW41),ISNUMBER(IU41)),IW41-IU41,"")</f>
        <v>0</v>
      </c>
      <c r="IW41" s="33"/>
      <c r="IX41" s="34">
        <f>IF(AND(ISNUMBER(IY41),ISNUMBER(IW41)),IY41-IW41,"")</f>
        <v>0</v>
      </c>
      <c r="IY41" s="33"/>
      <c r="IZ41" s="34">
        <f>IF(AND(ISNUMBER(JA41),ISNUMBER(IY41)),JA41-IY41,"")</f>
        <v>0</v>
      </c>
      <c r="JA41" s="33"/>
      <c r="JB41" s="34">
        <f>IF(AND(ISNUMBER(JC41),ISNUMBER(JA41)),JC41-JA41,"")</f>
        <v>0</v>
      </c>
      <c r="JC41" s="33"/>
      <c r="JD41" s="34">
        <f>IF(AND(ISNUMBER(JE41),ISNUMBER(JC41)),JE41-JC41,"")</f>
        <v>0</v>
      </c>
      <c r="JE41" s="33"/>
      <c r="JF41" s="34">
        <f>IF(AND(ISNUMBER(JG41),ISNUMBER(JE41)),JG41-JE41,"")</f>
        <v>0</v>
      </c>
      <c r="JG41" s="33"/>
      <c r="JH41" s="34">
        <f>IF(AND(ISNUMBER(JI41),ISNUMBER(JG41)),JI41-JG41,"")</f>
        <v>0</v>
      </c>
      <c r="JI41" s="33"/>
      <c r="JJ41" s="34">
        <f>IF(AND(ISNUMBER(JK41),ISNUMBER(JI41)),JK41-JI41,"")</f>
        <v>0</v>
      </c>
      <c r="JK41" s="33"/>
      <c r="JL41" s="34">
        <f>IF(AND(ISNUMBER(JM41),ISNUMBER(JK41)),JM41-JK41,"")</f>
        <v>0</v>
      </c>
      <c r="JM41" s="33"/>
      <c r="JN41" s="34">
        <f>IF(AND(ISNUMBER(JO41),ISNUMBER(JM41)),JO41-JM41,"")</f>
        <v>0</v>
      </c>
      <c r="JO41" s="33"/>
      <c r="JP41" s="34">
        <f>IF(AND(ISNUMBER(JQ41),ISNUMBER(JO41)),JQ41-JO41,"")</f>
        <v>0</v>
      </c>
      <c r="JQ41" s="33"/>
      <c r="JR41" s="34">
        <f>IF(AND(ISNUMBER(JS41),ISNUMBER(JQ41)),JS41-JQ41,"")</f>
        <v>0</v>
      </c>
      <c r="JS41" s="33"/>
      <c r="JT41" s="34">
        <f>IF(AND(ISNUMBER(JU41),ISNUMBER(JS41)),JU41-JS41,"")</f>
        <v>0</v>
      </c>
      <c r="JU41" s="33"/>
      <c r="JV41" s="34">
        <f>IF(AND(ISNUMBER(JW41),ISNUMBER(JU41)),JW41-JU41,"")</f>
        <v>0</v>
      </c>
      <c r="JW41" s="33"/>
      <c r="JX41" s="34">
        <f>IF(AND(ISNUMBER(JY41),ISNUMBER(JW41)),JY41-JW41,"")</f>
        <v>0</v>
      </c>
      <c r="JY41" s="33"/>
      <c r="JZ41" s="34">
        <f>IF(AND(ISNUMBER(KA41),ISNUMBER(JY41)),KA41-JY41,"")</f>
        <v>0</v>
      </c>
      <c r="KA41" s="33"/>
      <c r="KB41" s="34">
        <f>IF(AND(ISNUMBER(KC41),ISNUMBER(KA41)),KC41-KA41,"")</f>
        <v>0</v>
      </c>
      <c r="KC41" s="33"/>
      <c r="KD41" s="34">
        <f>IF(AND(ISNUMBER(KE41),ISNUMBER(KC41)),KE41-KC41,"")</f>
        <v>0</v>
      </c>
      <c r="KE41" s="33"/>
      <c r="KF41" s="34">
        <f>IF(AND(ISNUMBER(KG41),ISNUMBER(KE41)),KG41-KE41,"")</f>
        <v>0</v>
      </c>
      <c r="KG41" s="33"/>
      <c r="KH41" s="34">
        <f>IF(AND(ISNUMBER(KI41),ISNUMBER(KG41)),KI41-KG41,"")</f>
        <v>0</v>
      </c>
      <c r="KI41" s="33"/>
      <c r="KJ41" s="34">
        <f>IF(AND(ISNUMBER(KK41),ISNUMBER(KI41)),KK41-KI41,"")</f>
        <v>0</v>
      </c>
      <c r="KK41" s="33"/>
      <c r="KL41" s="34">
        <f>IF(AND(ISNUMBER(KM41),ISNUMBER(KK41)),KM41-KK41,"")</f>
        <v>0</v>
      </c>
      <c r="KM41" s="33"/>
      <c r="KN41" s="34">
        <f>IF(AND(ISNUMBER(KO41),ISNUMBER(KM41)),KO41-KM41,"")</f>
        <v>0</v>
      </c>
      <c r="KO41" s="33"/>
      <c r="KP41" s="34">
        <f>IF(AND(ISNUMBER(KQ41),ISNUMBER(KO41)),KQ41-KO41,"")</f>
        <v>0</v>
      </c>
      <c r="KQ41" s="33"/>
      <c r="KR41" s="34">
        <f>IF(AND(ISNUMBER(KS41),ISNUMBER(KQ41)),KS41-KQ41,"")</f>
        <v>0</v>
      </c>
      <c r="KS41" s="33"/>
      <c r="KT41" s="34">
        <f>IF(AND(ISNUMBER(KU41),ISNUMBER(KS41)),KU41-KS41,"")</f>
        <v>0</v>
      </c>
      <c r="KU41" s="33"/>
      <c r="KV41" s="34">
        <f>IF(AND(ISNUMBER(KW41),ISNUMBER(KU41)),KW41-KU41,"")</f>
        <v>0</v>
      </c>
      <c r="KW41" s="33"/>
      <c r="KX41" s="34">
        <f>IF(AND(ISNUMBER(KY41),ISNUMBER(KW41)),KY41-KW41,"")</f>
        <v>0</v>
      </c>
      <c r="KY41" s="33"/>
      <c r="KZ41" s="34">
        <f>IF(AND(ISNUMBER(LA41),ISNUMBER(KY41)),LA41-KY41,"")</f>
        <v>0</v>
      </c>
      <c r="LA41" s="33"/>
      <c r="LB41" s="34">
        <f>IF(AND(ISNUMBER(LC41),ISNUMBER(LA41)),LC41-LA41,"")</f>
        <v>0</v>
      </c>
      <c r="LC41" s="33"/>
      <c r="LD41" s="34">
        <f>IF(AND(ISNUMBER(LE41),ISNUMBER(LC41)),LE41-LC41,"")</f>
        <v>0</v>
      </c>
      <c r="LE41" s="33"/>
      <c r="LF41" s="34">
        <f>IF(AND(ISNUMBER(LG41),ISNUMBER(LE41)),LG41-LE41,"")</f>
        <v>0</v>
      </c>
      <c r="LG41" s="33"/>
    </row>
    <row r="42" spans="1:322" hidden="1" outlineLevel="1">
      <c r="B42" s="23"/>
      <c r="D42" s="31" t="s">
        <v>717</v>
      </c>
      <c r="E42" s="32" t="s">
        <v>1047</v>
      </c>
      <c r="I42" s="40" t="s">
        <v>1078</v>
      </c>
      <c r="J42" s="34">
        <f>IF(AND(ISNUMBER(K42),ISNUMBER(I42)),K42-I42,"")</f>
        <v>0</v>
      </c>
      <c r="K42" s="40" t="s">
        <v>1078</v>
      </c>
      <c r="L42" s="34">
        <f>IF(AND(ISNUMBER(M42),ISNUMBER(K42)),M42-K42,"")</f>
        <v>0</v>
      </c>
      <c r="M42" s="40" t="s">
        <v>1078</v>
      </c>
      <c r="N42" s="34">
        <f>IF(AND(ISNUMBER(O42),ISNUMBER(M42)),O42-M42,"")</f>
        <v>0</v>
      </c>
      <c r="O42" s="40" t="s">
        <v>1078</v>
      </c>
      <c r="P42" s="34">
        <f>IF(AND(ISNUMBER(Q42),ISNUMBER(O42)),Q42-O42,"")</f>
        <v>0</v>
      </c>
      <c r="Q42" s="40" t="s">
        <v>1078</v>
      </c>
      <c r="R42" s="34">
        <f>IF(AND(ISNUMBER(S42),ISNUMBER(Q42)),S42-Q42,"")</f>
        <v>0</v>
      </c>
      <c r="S42" s="40" t="s">
        <v>1078</v>
      </c>
      <c r="T42" s="34">
        <f>IF(AND(ISNUMBER(U42),ISNUMBER(S42)),U42-S42,"")</f>
        <v>0</v>
      </c>
      <c r="U42" s="40" t="s">
        <v>1078</v>
      </c>
      <c r="V42" s="34">
        <f>IF(AND(ISNUMBER(W42),ISNUMBER(U42)),W42-U42,"")</f>
        <v>0</v>
      </c>
      <c r="W42" s="40" t="s">
        <v>1078</v>
      </c>
      <c r="X42" s="34">
        <f>IF(AND(ISNUMBER(Y42),ISNUMBER(W42)),Y42-W42,"")</f>
        <v>0</v>
      </c>
      <c r="Y42" s="40" t="s">
        <v>1078</v>
      </c>
      <c r="Z42" s="34">
        <f>IF(AND(ISNUMBER(AA42),ISNUMBER(Y42)),AA42-Y42,"")</f>
        <v>0</v>
      </c>
      <c r="AA42" s="40" t="s">
        <v>1078</v>
      </c>
      <c r="AB42" s="34">
        <f>IF(AND(ISNUMBER(AC42),ISNUMBER(AA42)),AC42-AA42,"")</f>
        <v>0</v>
      </c>
      <c r="AC42" s="40" t="s">
        <v>1078</v>
      </c>
      <c r="AD42" s="34">
        <f>IF(AND(ISNUMBER(AE42),ISNUMBER(AC42)),AE42-AC42,"")</f>
        <v>0</v>
      </c>
      <c r="AE42" s="40" t="s">
        <v>1078</v>
      </c>
      <c r="AF42" s="34">
        <f>IF(AND(ISNUMBER(AG42),ISNUMBER(AE42)),AG42-AE42,"")</f>
        <v>0</v>
      </c>
      <c r="AG42" s="40" t="s">
        <v>1078</v>
      </c>
      <c r="AH42" s="34">
        <f>IF(AND(ISNUMBER(AI42),ISNUMBER(AG42)),AI42-AG42,"")</f>
        <v>0</v>
      </c>
      <c r="AI42" s="40" t="s">
        <v>1078</v>
      </c>
      <c r="AJ42" s="34">
        <f>IF(AND(ISNUMBER(AK42),ISNUMBER(AI42)),AK42-AI42,"")</f>
        <v>0</v>
      </c>
      <c r="AK42" s="40" t="s">
        <v>1078</v>
      </c>
      <c r="AL42" s="34">
        <f>IF(AND(ISNUMBER(AM42),ISNUMBER(AK42)),AM42-AK42,"")</f>
        <v>0</v>
      </c>
      <c r="AM42" s="40" t="s">
        <v>1078</v>
      </c>
      <c r="AN42" s="34">
        <f>IF(AND(ISNUMBER(AO42),ISNUMBER(AM42)),AO42-AM42,"")</f>
        <v>0</v>
      </c>
      <c r="AO42" s="40" t="s">
        <v>1078</v>
      </c>
      <c r="AP42" s="34">
        <f>IF(AND(ISNUMBER(AQ42),ISNUMBER(AO42)),AQ42-AO42,"")</f>
        <v>0</v>
      </c>
      <c r="AQ42" s="40" t="s">
        <v>1078</v>
      </c>
      <c r="AR42" s="34">
        <f>IF(AND(ISNUMBER(AS42),ISNUMBER(AQ42)),AS42-AQ42,"")</f>
        <v>0</v>
      </c>
      <c r="AS42" s="33">
        <v>0</v>
      </c>
      <c r="AT42" s="34">
        <f>IF(AND(ISNUMBER(AU42),ISNUMBER(AS42)),AU42-AS42,"")</f>
        <v>0</v>
      </c>
      <c r="AU42" s="33">
        <v>0</v>
      </c>
      <c r="AV42" s="34">
        <f>IF(AND(ISNUMBER(AW42),ISNUMBER(AU42)),AW42-AU42,"")</f>
        <v>0</v>
      </c>
      <c r="AW42" s="33">
        <v>2</v>
      </c>
      <c r="AX42" s="34">
        <f>IF(AND(ISNUMBER(AY42),ISNUMBER(AW42)),AY42-AW42,"")</f>
        <v>0</v>
      </c>
      <c r="AY42" s="33">
        <v>2</v>
      </c>
      <c r="AZ42" s="34">
        <f>IF(AND(ISNUMBER(BA42),ISNUMBER(AY42)),BA42-AY42,"")</f>
        <v>0</v>
      </c>
      <c r="BA42" s="33">
        <v>0</v>
      </c>
      <c r="BB42" s="34">
        <f>IF(AND(ISNUMBER(BC42),ISNUMBER(BA42)),BC42-BA42,"")</f>
        <v>0</v>
      </c>
      <c r="BC42" s="33">
        <v>2</v>
      </c>
      <c r="BD42" s="34">
        <f>IF(AND(ISNUMBER(BE42),ISNUMBER(BC42)),BE42-BC42,"")</f>
        <v>0</v>
      </c>
      <c r="BE42" s="33">
        <v>0</v>
      </c>
      <c r="BF42" s="34">
        <f>IF(AND(ISNUMBER(BG42),ISNUMBER(BE42)),BG42-BE42,"")</f>
        <v>0</v>
      </c>
      <c r="BG42" s="33">
        <v>0</v>
      </c>
      <c r="BH42" s="34">
        <f>IF(AND(ISNUMBER(BI42),ISNUMBER(BG42)),BI42-BG42,"")</f>
        <v>0</v>
      </c>
      <c r="BI42" s="33">
        <v>4</v>
      </c>
      <c r="BJ42" s="34">
        <f>IF(AND(ISNUMBER(BK42),ISNUMBER(BI42)),BK42-BI42,"")</f>
        <v>0</v>
      </c>
      <c r="BK42" s="33">
        <v>2</v>
      </c>
      <c r="BL42" s="34">
        <f>IF(AND(ISNUMBER(BM42),ISNUMBER(BK42)),BM42-BK42,"")</f>
        <v>0</v>
      </c>
      <c r="BM42" s="33">
        <v>4</v>
      </c>
      <c r="BN42" s="34">
        <f>IF(AND(ISNUMBER(BO42),ISNUMBER(BM42)),BO42-BM42,"")</f>
        <v>0</v>
      </c>
      <c r="BO42" s="33">
        <v>3</v>
      </c>
      <c r="BP42" s="34">
        <f>IF(AND(ISNUMBER(BQ42),ISNUMBER(BO42)),BQ42-BO42,"")</f>
        <v>0</v>
      </c>
      <c r="BQ42" s="33">
        <v>1</v>
      </c>
      <c r="BR42" s="34">
        <f>IF(AND(ISNUMBER(BS42),ISNUMBER(BQ42)),BS42-BQ42,"")</f>
        <v>0</v>
      </c>
      <c r="BS42" s="33">
        <v>2</v>
      </c>
      <c r="BT42" s="34">
        <f>IF(AND(ISNUMBER(BU42),ISNUMBER(BS42)),BU42-BS42,"")</f>
        <v>0</v>
      </c>
      <c r="BU42" s="33">
        <v>3</v>
      </c>
      <c r="BV42" s="34">
        <f>IF(AND(ISNUMBER(BW42),ISNUMBER(BU42)),BW42-BU42,"")</f>
        <v>0</v>
      </c>
      <c r="BW42" s="33">
        <v>2</v>
      </c>
      <c r="BX42" s="34">
        <f>IF(AND(ISNUMBER(BY42),ISNUMBER(BW42)),BY42-BW42,"")</f>
        <v>0</v>
      </c>
      <c r="BY42" s="33">
        <v>2</v>
      </c>
      <c r="BZ42" s="34">
        <f>IF(AND(ISNUMBER(CA42),ISNUMBER(BY42)),CA42-BY42,"")</f>
        <v>0</v>
      </c>
      <c r="CA42" s="33">
        <v>3</v>
      </c>
      <c r="CB42" s="34">
        <f>IF(AND(ISNUMBER(CC42),ISNUMBER(CA42)),CC42-CA42,"")</f>
        <v>0</v>
      </c>
      <c r="CC42" s="33">
        <v>2</v>
      </c>
      <c r="CD42" s="34">
        <f>IF(AND(ISNUMBER(CE42),ISNUMBER(CC42)),CE42-CC42,"")</f>
        <v>0</v>
      </c>
      <c r="CE42" s="33">
        <v>1</v>
      </c>
      <c r="CF42" s="34">
        <f>IF(AND(ISNUMBER(CG42),ISNUMBER(CE42)),CG42-CE42,"")</f>
        <v>0</v>
      </c>
      <c r="CG42" s="33">
        <v>0</v>
      </c>
      <c r="CH42" s="34">
        <f>IF(AND(ISNUMBER(CI42),ISNUMBER(CG42)),CI42-CG42,"")</f>
        <v>0</v>
      </c>
      <c r="CI42" s="33">
        <v>2</v>
      </c>
      <c r="CJ42" s="34">
        <f>IF(AND(ISNUMBER(CK42),ISNUMBER(CI42)),CK42-CI42,"")</f>
        <v>0</v>
      </c>
      <c r="CK42" s="33">
        <v>4</v>
      </c>
      <c r="CL42" s="34">
        <f>IF(AND(ISNUMBER(CM42),ISNUMBER(CK42)),CM42-CK42,"")</f>
        <v>0</v>
      </c>
      <c r="CM42" s="33">
        <v>4</v>
      </c>
      <c r="CN42" s="34">
        <f>IF(AND(ISNUMBER(CO42),ISNUMBER(CM42)),CO42-CM42,"")</f>
        <v>0</v>
      </c>
      <c r="CO42" s="33">
        <v>2</v>
      </c>
      <c r="CP42" s="34">
        <f>IF(AND(ISNUMBER(CQ42),ISNUMBER(CO42)),CQ42-CO42,"")</f>
        <v>0</v>
      </c>
      <c r="CQ42" s="33">
        <v>0</v>
      </c>
      <c r="CR42" s="34">
        <f>IF(AND(ISNUMBER(CS42),ISNUMBER(CQ42)),CS42-CQ42,"")</f>
        <v>0</v>
      </c>
      <c r="CS42" s="33">
        <v>3</v>
      </c>
      <c r="CT42" s="34">
        <f>IF(AND(ISNUMBER(CU42),ISNUMBER(CS42)),CU42-CS42,"")</f>
        <v>0</v>
      </c>
      <c r="CU42" s="33">
        <v>2</v>
      </c>
      <c r="CV42" s="34">
        <f>IF(AND(ISNUMBER(CW42),ISNUMBER(CU42)),CW42-CU42,"")</f>
        <v>0</v>
      </c>
      <c r="CW42" s="33">
        <v>4</v>
      </c>
      <c r="CX42" s="34">
        <f>IF(AND(ISNUMBER(CY42),ISNUMBER(CW42)),CY42-CW42,"")</f>
        <v>0</v>
      </c>
      <c r="CY42" s="33">
        <v>2</v>
      </c>
      <c r="CZ42" s="34">
        <f>IF(AND(ISNUMBER(DA42),ISNUMBER(CY42)),DA42-CY42,"")</f>
        <v>0</v>
      </c>
      <c r="DA42" s="33">
        <v>0</v>
      </c>
      <c r="DB42" s="34">
        <f>IF(AND(ISNUMBER(DC42),ISNUMBER(DA42)),DC42-DA42,"")</f>
        <v>0</v>
      </c>
      <c r="DC42" s="33">
        <v>1</v>
      </c>
      <c r="DD42" s="34">
        <f>IF(AND(ISNUMBER(DE42),ISNUMBER(DC42)),DE42-DC42,"")</f>
        <v>0</v>
      </c>
      <c r="DE42" s="33">
        <v>2</v>
      </c>
      <c r="DF42" s="34">
        <f>IF(AND(ISNUMBER(DG42),ISNUMBER(DE42)),DG42-DE42,"")</f>
        <v>0</v>
      </c>
      <c r="DG42" s="33">
        <v>0</v>
      </c>
      <c r="DH42" s="34">
        <f>IF(AND(ISNUMBER(DI42),ISNUMBER(DG42)),DI42-DG42,"")</f>
        <v>0</v>
      </c>
      <c r="DI42" s="33">
        <v>2</v>
      </c>
      <c r="DJ42" s="34">
        <f>IF(AND(ISNUMBER(DK42),ISNUMBER(DI42)),DK42-DI42,"")</f>
        <v>0</v>
      </c>
      <c r="DK42" s="33">
        <v>1</v>
      </c>
      <c r="DL42" s="34">
        <f>IF(AND(ISNUMBER(DM42),ISNUMBER(DK42)),DM42-DK42,"")</f>
        <v>0</v>
      </c>
      <c r="DM42" s="33">
        <v>0</v>
      </c>
      <c r="DN42" s="34">
        <f>IF(AND(ISNUMBER(DO42),ISNUMBER(DM42)),DO42-DM42,"")</f>
        <v>0</v>
      </c>
      <c r="DO42" s="33">
        <v>0</v>
      </c>
      <c r="DP42" s="34">
        <f>IF(AND(ISNUMBER(DQ42),ISNUMBER(DO42)),DQ42-DO42,"")</f>
        <v>0</v>
      </c>
      <c r="DQ42" s="33">
        <v>2</v>
      </c>
      <c r="DR42" s="34">
        <f>IF(AND(ISNUMBER(DS42),ISNUMBER(DQ42)),DS42-DQ42,"")</f>
        <v>0</v>
      </c>
      <c r="DS42" s="33">
        <v>0</v>
      </c>
      <c r="DT42" s="34">
        <f>IF(AND(ISNUMBER(DU42),ISNUMBER(DS42)),DU42-DS42,"")</f>
        <v>0</v>
      </c>
      <c r="DU42" s="33">
        <v>3</v>
      </c>
      <c r="DV42" s="34">
        <f>IF(AND(ISNUMBER(DW42),ISNUMBER(DU42)),DW42-DU42,"")</f>
        <v>0</v>
      </c>
      <c r="DW42" s="33">
        <v>2</v>
      </c>
      <c r="DX42" s="34">
        <f>IF(AND(ISNUMBER(DY42),ISNUMBER(DW42)),DY42-DW42,"")</f>
        <v>0</v>
      </c>
      <c r="DY42" s="33">
        <v>2</v>
      </c>
      <c r="DZ42" s="34">
        <f>IF(AND(ISNUMBER(EA42),ISNUMBER(DY42)),EA42-DY42,"")</f>
        <v>0</v>
      </c>
      <c r="EA42" s="33">
        <v>2</v>
      </c>
      <c r="EB42" s="34">
        <f>IF(AND(ISNUMBER(EC42),ISNUMBER(EA42)),EC42-EA42,"")</f>
        <v>0</v>
      </c>
      <c r="EC42" s="33">
        <v>3</v>
      </c>
      <c r="ED42" s="34">
        <f>IF(AND(ISNUMBER(EE42),ISNUMBER(EC42)),EE42-EC42,"")</f>
        <v>0</v>
      </c>
      <c r="EE42" s="33">
        <v>0</v>
      </c>
      <c r="EF42" s="34">
        <f>IF(AND(ISNUMBER(EG42),ISNUMBER(EE42)),EG42-EE42,"")</f>
        <v>0</v>
      </c>
      <c r="EG42" s="33">
        <v>4</v>
      </c>
      <c r="EH42" s="34">
        <f>IF(AND(ISNUMBER(EI42),ISNUMBER(EG42)),EI42-EG42,"")</f>
        <v>0</v>
      </c>
      <c r="EI42" s="33">
        <v>2</v>
      </c>
      <c r="EJ42" s="34">
        <f>IF(AND(ISNUMBER(EK42),ISNUMBER(EI42)),EK42-EI42,"")</f>
        <v>0</v>
      </c>
      <c r="EK42" s="33">
        <v>0</v>
      </c>
      <c r="EL42" s="34">
        <f>IF(AND(ISNUMBER(EM42),ISNUMBER(EK42)),EM42-EK42,"")</f>
        <v>0</v>
      </c>
      <c r="EM42" s="33">
        <v>2</v>
      </c>
      <c r="EN42" s="34">
        <f>IF(AND(ISNUMBER(EO42),ISNUMBER(EM42)),EO42-EM42,"")</f>
        <v>0</v>
      </c>
      <c r="EO42" s="33">
        <v>0</v>
      </c>
      <c r="EP42" s="34">
        <f>IF(AND(ISNUMBER(EQ42),ISNUMBER(EO42)),EQ42-EO42,"")</f>
        <v>0</v>
      </c>
      <c r="EQ42" s="33">
        <v>2</v>
      </c>
      <c r="ER42" s="34">
        <f>IF(AND(ISNUMBER(ES42),ISNUMBER(EQ42)),ES42-EQ42,"")</f>
        <v>0</v>
      </c>
      <c r="ES42" s="33">
        <v>4</v>
      </c>
      <c r="ET42" s="34">
        <f>IF(AND(ISNUMBER(EU42),ISNUMBER(ES42)),EU42-ES42,"")</f>
        <v>0</v>
      </c>
      <c r="EU42" s="33">
        <v>0</v>
      </c>
      <c r="EV42" s="34">
        <f>IF(AND(ISNUMBER(EW42),ISNUMBER(EU42)),EW42-EU42,"")</f>
        <v>0</v>
      </c>
      <c r="EW42" s="33">
        <v>0</v>
      </c>
      <c r="EX42" s="34">
        <f>IF(AND(ISNUMBER(EY42),ISNUMBER(EW42)),EY42-EW42,"")</f>
        <v>0</v>
      </c>
      <c r="EY42" s="33">
        <v>0</v>
      </c>
      <c r="EZ42" s="34">
        <f>IF(AND(ISNUMBER(FA42),ISNUMBER(EY42)),FA42-EY42,"")</f>
        <v>0</v>
      </c>
      <c r="FA42" s="33">
        <v>2</v>
      </c>
      <c r="FB42" s="34">
        <f>IF(AND(ISNUMBER(FC42),ISNUMBER(FA42)),FC42-FA42,"")</f>
        <v>0</v>
      </c>
      <c r="FC42" s="33"/>
      <c r="FD42" s="34">
        <f>IF(AND(ISNUMBER(FE42),ISNUMBER(FC42)),FE42-FC42,"")</f>
        <v>0</v>
      </c>
      <c r="FE42" s="33"/>
      <c r="FF42" s="34">
        <f>IF(AND(ISNUMBER(FG42),ISNUMBER(FE42)),FG42-FE42,"")</f>
        <v>0</v>
      </c>
      <c r="FG42" s="33"/>
      <c r="FH42" s="34">
        <f>IF(AND(ISNUMBER(FI42),ISNUMBER(FG42)),FI42-FG42,"")</f>
        <v>0</v>
      </c>
      <c r="FI42" s="33"/>
      <c r="FJ42" s="34">
        <f>IF(AND(ISNUMBER(FK42),ISNUMBER(FI42)),FK42-FI42,"")</f>
        <v>0</v>
      </c>
      <c r="FK42" s="33"/>
      <c r="FL42" s="34">
        <f>IF(AND(ISNUMBER(FM42),ISNUMBER(FK42)),FM42-FK42,"")</f>
        <v>0</v>
      </c>
      <c r="FM42" s="33"/>
      <c r="FN42" s="34">
        <f>IF(AND(ISNUMBER(FO42),ISNUMBER(FM42)),FO42-FM42,"")</f>
        <v>0</v>
      </c>
      <c r="FO42" s="33"/>
      <c r="FP42" s="34">
        <f>IF(AND(ISNUMBER(FQ42),ISNUMBER(FO42)),FQ42-FO42,"")</f>
        <v>0</v>
      </c>
      <c r="FQ42" s="33"/>
      <c r="FR42" s="34">
        <f>IF(AND(ISNUMBER(FS42),ISNUMBER(FQ42)),FS42-FQ42,"")</f>
        <v>0</v>
      </c>
      <c r="FS42" s="33"/>
      <c r="FT42" s="34">
        <f>IF(AND(ISNUMBER(FU42),ISNUMBER(FS42)),FU42-FS42,"")</f>
        <v>0</v>
      </c>
      <c r="FU42" s="33"/>
      <c r="FV42" s="34">
        <f>IF(AND(ISNUMBER(FW42),ISNUMBER(FU42)),FW42-FU42,"")</f>
        <v>0</v>
      </c>
      <c r="FW42" s="33"/>
      <c r="FX42" s="34">
        <f>IF(AND(ISNUMBER(FY42),ISNUMBER(FW42)),FY42-FW42,"")</f>
        <v>0</v>
      </c>
      <c r="FY42" s="33"/>
      <c r="FZ42" s="34">
        <f>IF(AND(ISNUMBER(GA42),ISNUMBER(FY42)),GA42-FY42,"")</f>
        <v>0</v>
      </c>
      <c r="GA42" s="33"/>
      <c r="GB42" s="34">
        <f>IF(AND(ISNUMBER(GC42),ISNUMBER(GA42)),GC42-GA42,"")</f>
        <v>0</v>
      </c>
      <c r="GC42" s="33"/>
      <c r="GD42" s="34">
        <f>IF(AND(ISNUMBER(GE42),ISNUMBER(GC42)),GE42-GC42,"")</f>
        <v>0</v>
      </c>
      <c r="GE42" s="33"/>
      <c r="GF42" s="34">
        <f>IF(AND(ISNUMBER(GG42),ISNUMBER(GE42)),GG42-GE42,"")</f>
        <v>0</v>
      </c>
      <c r="GG42" s="33"/>
      <c r="GH42" s="34">
        <f>IF(AND(ISNUMBER(GI42),ISNUMBER(GG42)),GI42-GG42,"")</f>
        <v>0</v>
      </c>
      <c r="GI42" s="33"/>
      <c r="GJ42" s="34">
        <f>IF(AND(ISNUMBER(GK42),ISNUMBER(GI42)),GK42-GI42,"")</f>
        <v>0</v>
      </c>
      <c r="GK42" s="33"/>
      <c r="GL42" s="34">
        <f>IF(AND(ISNUMBER(GM42),ISNUMBER(GK42)),GM42-GK42,"")</f>
        <v>0</v>
      </c>
      <c r="GM42" s="33"/>
      <c r="GN42" s="34">
        <f>IF(AND(ISNUMBER(GO42),ISNUMBER(GM42)),GO42-GM42,"")</f>
        <v>0</v>
      </c>
      <c r="GO42" s="33"/>
      <c r="GP42" s="34">
        <f>IF(AND(ISNUMBER(GQ42),ISNUMBER(GO42)),GQ42-GO42,"")</f>
        <v>0</v>
      </c>
      <c r="GQ42" s="33"/>
      <c r="GR42" s="34">
        <f>IF(AND(ISNUMBER(GS42),ISNUMBER(GQ42)),GS42-GQ42,"")</f>
        <v>0</v>
      </c>
      <c r="GS42" s="33"/>
      <c r="GT42" s="34">
        <f>IF(AND(ISNUMBER(GU42),ISNUMBER(GS42)),GU42-GS42,"")</f>
        <v>0</v>
      </c>
      <c r="GU42" s="33"/>
      <c r="GV42" s="34">
        <f>IF(AND(ISNUMBER(GW42),ISNUMBER(GU42)),GW42-GU42,"")</f>
        <v>0</v>
      </c>
      <c r="GW42" s="33"/>
      <c r="GX42" s="34">
        <f>IF(AND(ISNUMBER(GY42),ISNUMBER(GW42)),GY42-GW42,"")</f>
        <v>0</v>
      </c>
      <c r="GY42" s="33"/>
      <c r="GZ42" s="34">
        <f>IF(AND(ISNUMBER(HA42),ISNUMBER(GY42)),HA42-GY42,"")</f>
        <v>0</v>
      </c>
      <c r="HA42" s="33"/>
      <c r="HB42" s="34">
        <f>IF(AND(ISNUMBER(HC42),ISNUMBER(HA42)),HC42-HA42,"")</f>
        <v>0</v>
      </c>
      <c r="HC42" s="33"/>
      <c r="HD42" s="34">
        <f>IF(AND(ISNUMBER(HE42),ISNUMBER(HC42)),HE42-HC42,"")</f>
        <v>0</v>
      </c>
      <c r="HE42" s="33"/>
      <c r="HF42" s="34">
        <f>IF(AND(ISNUMBER(HG42),ISNUMBER(HE42)),HG42-HE42,"")</f>
        <v>0</v>
      </c>
      <c r="HG42" s="33"/>
      <c r="HH42" s="34">
        <f>IF(AND(ISNUMBER(HI42),ISNUMBER(HG42)),HI42-HG42,"")</f>
        <v>0</v>
      </c>
      <c r="HI42" s="33"/>
      <c r="HJ42" s="34">
        <f>IF(AND(ISNUMBER(HK42),ISNUMBER(HI42)),HK42-HI42,"")</f>
        <v>0</v>
      </c>
      <c r="HK42" s="33"/>
      <c r="HL42" s="34">
        <f>IF(AND(ISNUMBER(HM42),ISNUMBER(HK42)),HM42-HK42,"")</f>
        <v>0</v>
      </c>
      <c r="HM42" s="33"/>
      <c r="HN42" s="34">
        <f>IF(AND(ISNUMBER(HO42),ISNUMBER(HM42)),HO42-HM42,"")</f>
        <v>0</v>
      </c>
      <c r="HO42" s="33"/>
      <c r="HP42" s="34">
        <f>IF(AND(ISNUMBER(HQ42),ISNUMBER(HO42)),HQ42-HO42,"")</f>
        <v>0</v>
      </c>
      <c r="HQ42" s="33"/>
      <c r="HR42" s="34">
        <f>IF(AND(ISNUMBER(HS42),ISNUMBER(HQ42)),HS42-HQ42,"")</f>
        <v>0</v>
      </c>
      <c r="HS42" s="33"/>
      <c r="HT42" s="34">
        <f>IF(AND(ISNUMBER(HU42),ISNUMBER(HS42)),HU42-HS42,"")</f>
        <v>0</v>
      </c>
      <c r="HU42" s="33"/>
      <c r="HV42" s="34">
        <f>IF(AND(ISNUMBER(HW42),ISNUMBER(HU42)),HW42-HU42,"")</f>
        <v>0</v>
      </c>
      <c r="HW42" s="33"/>
      <c r="HX42" s="34">
        <f>IF(AND(ISNUMBER(HY42),ISNUMBER(HW42)),HY42-HW42,"")</f>
        <v>0</v>
      </c>
      <c r="HY42" s="33"/>
      <c r="HZ42" s="34">
        <f>IF(AND(ISNUMBER(IA42),ISNUMBER(HY42)),IA42-HY42,"")</f>
        <v>0</v>
      </c>
      <c r="IA42" s="33"/>
      <c r="IB42" s="34">
        <f>IF(AND(ISNUMBER(IC42),ISNUMBER(IA42)),IC42-IA42,"")</f>
        <v>0</v>
      </c>
      <c r="IC42" s="33"/>
      <c r="ID42" s="34">
        <f>IF(AND(ISNUMBER(IE42),ISNUMBER(IC42)),IE42-IC42,"")</f>
        <v>0</v>
      </c>
      <c r="IE42" s="33"/>
      <c r="IF42" s="34">
        <f>IF(AND(ISNUMBER(IG42),ISNUMBER(IE42)),IG42-IE42,"")</f>
        <v>0</v>
      </c>
      <c r="IG42" s="33"/>
      <c r="IH42" s="34">
        <f>IF(AND(ISNUMBER(II42),ISNUMBER(IG42)),II42-IG42,"")</f>
        <v>0</v>
      </c>
      <c r="II42" s="33"/>
      <c r="IJ42" s="34">
        <f>IF(AND(ISNUMBER(IK42),ISNUMBER(II42)),IK42-II42,"")</f>
        <v>0</v>
      </c>
      <c r="IK42" s="33"/>
      <c r="IL42" s="34">
        <f>IF(AND(ISNUMBER(IM42),ISNUMBER(IK42)),IM42-IK42,"")</f>
        <v>0</v>
      </c>
      <c r="IM42" s="33"/>
      <c r="IN42" s="34">
        <f>IF(AND(ISNUMBER(IO42),ISNUMBER(IM42)),IO42-IM42,"")</f>
        <v>0</v>
      </c>
      <c r="IO42" s="33"/>
      <c r="IP42" s="34">
        <f>IF(AND(ISNUMBER(IQ42),ISNUMBER(IO42)),IQ42-IO42,"")</f>
        <v>0</v>
      </c>
      <c r="IQ42" s="33"/>
      <c r="IR42" s="34">
        <f>IF(AND(ISNUMBER(IS42),ISNUMBER(IQ42)),IS42-IQ42,"")</f>
        <v>0</v>
      </c>
      <c r="IS42" s="33"/>
      <c r="IT42" s="34">
        <f>IF(AND(ISNUMBER(IU42),ISNUMBER(IS42)),IU42-IS42,"")</f>
        <v>0</v>
      </c>
      <c r="IU42" s="33"/>
      <c r="IV42" s="34">
        <f>IF(AND(ISNUMBER(IW42),ISNUMBER(IU42)),IW42-IU42,"")</f>
        <v>0</v>
      </c>
      <c r="IW42" s="33"/>
      <c r="IX42" s="34">
        <f>IF(AND(ISNUMBER(IY42),ISNUMBER(IW42)),IY42-IW42,"")</f>
        <v>0</v>
      </c>
      <c r="IY42" s="33"/>
      <c r="IZ42" s="34">
        <f>IF(AND(ISNUMBER(JA42),ISNUMBER(IY42)),JA42-IY42,"")</f>
        <v>0</v>
      </c>
      <c r="JA42" s="33"/>
      <c r="JB42" s="34">
        <f>IF(AND(ISNUMBER(JC42),ISNUMBER(JA42)),JC42-JA42,"")</f>
        <v>0</v>
      </c>
      <c r="JC42" s="33"/>
      <c r="JD42" s="34">
        <f>IF(AND(ISNUMBER(JE42),ISNUMBER(JC42)),JE42-JC42,"")</f>
        <v>0</v>
      </c>
      <c r="JE42" s="33"/>
      <c r="JF42" s="34">
        <f>IF(AND(ISNUMBER(JG42),ISNUMBER(JE42)),JG42-JE42,"")</f>
        <v>0</v>
      </c>
      <c r="JG42" s="33"/>
      <c r="JH42" s="34">
        <f>IF(AND(ISNUMBER(JI42),ISNUMBER(JG42)),JI42-JG42,"")</f>
        <v>0</v>
      </c>
      <c r="JI42" s="33"/>
      <c r="JJ42" s="34">
        <f>IF(AND(ISNUMBER(JK42),ISNUMBER(JI42)),JK42-JI42,"")</f>
        <v>0</v>
      </c>
      <c r="JK42" s="33"/>
      <c r="JL42" s="34">
        <f>IF(AND(ISNUMBER(JM42),ISNUMBER(JK42)),JM42-JK42,"")</f>
        <v>0</v>
      </c>
      <c r="JM42" s="33"/>
      <c r="JN42" s="34">
        <f>IF(AND(ISNUMBER(JO42),ISNUMBER(JM42)),JO42-JM42,"")</f>
        <v>0</v>
      </c>
      <c r="JO42" s="33"/>
      <c r="JP42" s="34">
        <f>IF(AND(ISNUMBER(JQ42),ISNUMBER(JO42)),JQ42-JO42,"")</f>
        <v>0</v>
      </c>
      <c r="JQ42" s="33"/>
      <c r="JR42" s="34">
        <f>IF(AND(ISNUMBER(JS42),ISNUMBER(JQ42)),JS42-JQ42,"")</f>
        <v>0</v>
      </c>
      <c r="JS42" s="33"/>
      <c r="JT42" s="34">
        <f>IF(AND(ISNUMBER(JU42),ISNUMBER(JS42)),JU42-JS42,"")</f>
        <v>0</v>
      </c>
      <c r="JU42" s="33"/>
      <c r="JV42" s="34">
        <f>IF(AND(ISNUMBER(JW42),ISNUMBER(JU42)),JW42-JU42,"")</f>
        <v>0</v>
      </c>
      <c r="JW42" s="33"/>
      <c r="JX42" s="34">
        <f>IF(AND(ISNUMBER(JY42),ISNUMBER(JW42)),JY42-JW42,"")</f>
        <v>0</v>
      </c>
      <c r="JY42" s="33"/>
      <c r="JZ42" s="34">
        <f>IF(AND(ISNUMBER(KA42),ISNUMBER(JY42)),KA42-JY42,"")</f>
        <v>0</v>
      </c>
      <c r="KA42" s="33"/>
      <c r="KB42" s="34">
        <f>IF(AND(ISNUMBER(KC42),ISNUMBER(KA42)),KC42-KA42,"")</f>
        <v>0</v>
      </c>
      <c r="KC42" s="33"/>
      <c r="KD42" s="34">
        <f>IF(AND(ISNUMBER(KE42),ISNUMBER(KC42)),KE42-KC42,"")</f>
        <v>0</v>
      </c>
      <c r="KE42" s="33"/>
      <c r="KF42" s="34">
        <f>IF(AND(ISNUMBER(KG42),ISNUMBER(KE42)),KG42-KE42,"")</f>
        <v>0</v>
      </c>
      <c r="KG42" s="33"/>
      <c r="KH42" s="34">
        <f>IF(AND(ISNUMBER(KI42),ISNUMBER(KG42)),KI42-KG42,"")</f>
        <v>0</v>
      </c>
      <c r="KI42" s="33"/>
      <c r="KJ42" s="34">
        <f>IF(AND(ISNUMBER(KK42),ISNUMBER(KI42)),KK42-KI42,"")</f>
        <v>0</v>
      </c>
      <c r="KK42" s="33"/>
      <c r="KL42" s="34">
        <f>IF(AND(ISNUMBER(KM42),ISNUMBER(KK42)),KM42-KK42,"")</f>
        <v>0</v>
      </c>
      <c r="KM42" s="33"/>
      <c r="KN42" s="34">
        <f>IF(AND(ISNUMBER(KO42),ISNUMBER(KM42)),KO42-KM42,"")</f>
        <v>0</v>
      </c>
      <c r="KO42" s="33"/>
      <c r="KP42" s="34">
        <f>IF(AND(ISNUMBER(KQ42),ISNUMBER(KO42)),KQ42-KO42,"")</f>
        <v>0</v>
      </c>
      <c r="KQ42" s="33"/>
      <c r="KR42" s="34">
        <f>IF(AND(ISNUMBER(KS42),ISNUMBER(KQ42)),KS42-KQ42,"")</f>
        <v>0</v>
      </c>
      <c r="KS42" s="33"/>
      <c r="KT42" s="34">
        <f>IF(AND(ISNUMBER(KU42),ISNUMBER(KS42)),KU42-KS42,"")</f>
        <v>0</v>
      </c>
      <c r="KU42" s="33"/>
      <c r="KV42" s="34">
        <f>IF(AND(ISNUMBER(KW42),ISNUMBER(KU42)),KW42-KU42,"")</f>
        <v>0</v>
      </c>
      <c r="KW42" s="33"/>
      <c r="KX42" s="34">
        <f>IF(AND(ISNUMBER(KY42),ISNUMBER(KW42)),KY42-KW42,"")</f>
        <v>0</v>
      </c>
      <c r="KY42" s="33"/>
      <c r="KZ42" s="34">
        <f>IF(AND(ISNUMBER(LA42),ISNUMBER(KY42)),LA42-KY42,"")</f>
        <v>0</v>
      </c>
      <c r="LA42" s="33"/>
      <c r="LB42" s="34">
        <f>IF(AND(ISNUMBER(LC42),ISNUMBER(LA42)),LC42-LA42,"")</f>
        <v>0</v>
      </c>
      <c r="LC42" s="33"/>
      <c r="LD42" s="34">
        <f>IF(AND(ISNUMBER(LE42),ISNUMBER(LC42)),LE42-LC42,"")</f>
        <v>0</v>
      </c>
      <c r="LE42" s="33"/>
      <c r="LF42" s="34">
        <f>IF(AND(ISNUMBER(LG42),ISNUMBER(LE42)),LG42-LE42,"")</f>
        <v>0</v>
      </c>
      <c r="LG42" s="33"/>
    </row>
    <row r="43" spans="1:322" hidden="1" outlineLevel="1">
      <c r="B43" s="23"/>
      <c r="D43" s="31" t="s">
        <v>719</v>
      </c>
      <c r="E43" s="32" t="s">
        <v>1058</v>
      </c>
      <c r="I43" s="40" t="s">
        <v>1078</v>
      </c>
      <c r="J43" s="34">
        <f>IF(AND(ISNUMBER(K43),ISNUMBER(I43)),K43-I43,"")</f>
        <v>0</v>
      </c>
      <c r="K43" s="40" t="s">
        <v>1078</v>
      </c>
      <c r="L43" s="34">
        <f>IF(AND(ISNUMBER(M43),ISNUMBER(K43)),M43-K43,"")</f>
        <v>0</v>
      </c>
      <c r="M43" s="33">
        <v>2</v>
      </c>
      <c r="N43" s="34">
        <f>IF(AND(ISNUMBER(O43),ISNUMBER(M43)),O43-M43,"")</f>
        <v>0</v>
      </c>
      <c r="O43" s="40" t="s">
        <v>1078</v>
      </c>
      <c r="P43" s="34">
        <f>IF(AND(ISNUMBER(Q43),ISNUMBER(O43)),Q43-O43,"")</f>
        <v>0</v>
      </c>
      <c r="Q43" s="40" t="s">
        <v>1078</v>
      </c>
      <c r="R43" s="34">
        <f>IF(AND(ISNUMBER(S43),ISNUMBER(Q43)),S43-Q43,"")</f>
        <v>0</v>
      </c>
      <c r="S43" s="40" t="s">
        <v>1078</v>
      </c>
      <c r="T43" s="34">
        <f>IF(AND(ISNUMBER(U43),ISNUMBER(S43)),U43-S43,"")</f>
        <v>0</v>
      </c>
      <c r="U43" s="40" t="s">
        <v>1078</v>
      </c>
      <c r="V43" s="34">
        <f>IF(AND(ISNUMBER(W43),ISNUMBER(U43)),W43-U43,"")</f>
        <v>0</v>
      </c>
      <c r="W43" s="40" t="s">
        <v>1078</v>
      </c>
      <c r="X43" s="34">
        <f>IF(AND(ISNUMBER(Y43),ISNUMBER(W43)),Y43-W43,"")</f>
        <v>0</v>
      </c>
      <c r="Y43" s="40" t="s">
        <v>1078</v>
      </c>
      <c r="Z43" s="34">
        <f>IF(AND(ISNUMBER(AA43),ISNUMBER(Y43)),AA43-Y43,"")</f>
        <v>0</v>
      </c>
      <c r="AA43" s="40" t="s">
        <v>1078</v>
      </c>
      <c r="AB43" s="34">
        <f>IF(AND(ISNUMBER(AC43),ISNUMBER(AA43)),AC43-AA43,"")</f>
        <v>0</v>
      </c>
      <c r="AC43" s="40" t="s">
        <v>1078</v>
      </c>
      <c r="AD43" s="34">
        <f>IF(AND(ISNUMBER(AE43),ISNUMBER(AC43)),AE43-AC43,"")</f>
        <v>0</v>
      </c>
      <c r="AE43" s="40" t="s">
        <v>1078</v>
      </c>
      <c r="AF43" s="34">
        <f>IF(AND(ISNUMBER(AG43),ISNUMBER(AE43)),AG43-AE43,"")</f>
        <v>0</v>
      </c>
      <c r="AG43" s="40" t="s">
        <v>1078</v>
      </c>
      <c r="AH43" s="34">
        <f>IF(AND(ISNUMBER(AI43),ISNUMBER(AG43)),AI43-AG43,"")</f>
        <v>0</v>
      </c>
      <c r="AI43" s="40" t="s">
        <v>1078</v>
      </c>
      <c r="AJ43" s="34">
        <f>IF(AND(ISNUMBER(AK43),ISNUMBER(AI43)),AK43-AI43,"")</f>
        <v>0</v>
      </c>
      <c r="AK43" s="40" t="s">
        <v>1078</v>
      </c>
      <c r="AL43" s="34">
        <f>IF(AND(ISNUMBER(AM43),ISNUMBER(AK43)),AM43-AK43,"")</f>
        <v>0</v>
      </c>
      <c r="AM43" s="40" t="s">
        <v>1078</v>
      </c>
      <c r="AN43" s="34">
        <f>IF(AND(ISNUMBER(AO43),ISNUMBER(AM43)),AO43-AM43,"")</f>
        <v>0</v>
      </c>
      <c r="AO43" s="40" t="s">
        <v>1078</v>
      </c>
      <c r="AP43" s="34">
        <f>IF(AND(ISNUMBER(AQ43),ISNUMBER(AO43)),AQ43-AO43,"")</f>
        <v>0</v>
      </c>
      <c r="AQ43" s="40" t="s">
        <v>1078</v>
      </c>
      <c r="AR43" s="34">
        <f>IF(AND(ISNUMBER(AS43),ISNUMBER(AQ43)),AS43-AQ43,"")</f>
        <v>0</v>
      </c>
      <c r="AS43" s="33">
        <v>3</v>
      </c>
      <c r="AT43" s="34">
        <f>IF(AND(ISNUMBER(AU43),ISNUMBER(AS43)),AU43-AS43,"")</f>
        <v>0</v>
      </c>
      <c r="AU43" s="33">
        <v>1</v>
      </c>
      <c r="AV43" s="34">
        <f>IF(AND(ISNUMBER(AW43),ISNUMBER(AU43)),AW43-AU43,"")</f>
        <v>0</v>
      </c>
      <c r="AW43" s="33">
        <v>5</v>
      </c>
      <c r="AX43" s="34">
        <f>IF(AND(ISNUMBER(AY43),ISNUMBER(AW43)),AY43-AW43,"")</f>
        <v>0</v>
      </c>
      <c r="AY43" s="33">
        <v>1</v>
      </c>
      <c r="AZ43" s="34">
        <f>IF(AND(ISNUMBER(BA43),ISNUMBER(AY43)),BA43-AY43,"")</f>
        <v>0</v>
      </c>
      <c r="BA43" s="33">
        <v>0</v>
      </c>
      <c r="BB43" s="34">
        <f>IF(AND(ISNUMBER(BC43),ISNUMBER(BA43)),BC43-BA43,"")</f>
        <v>0</v>
      </c>
      <c r="BC43" s="33">
        <v>2</v>
      </c>
      <c r="BD43" s="34">
        <f>IF(AND(ISNUMBER(BE43),ISNUMBER(BC43)),BE43-BC43,"")</f>
        <v>0</v>
      </c>
      <c r="BE43" s="33">
        <v>5</v>
      </c>
      <c r="BF43" s="34">
        <f>IF(AND(ISNUMBER(BG43),ISNUMBER(BE43)),BG43-BE43,"")</f>
        <v>0</v>
      </c>
      <c r="BG43" s="33">
        <v>0</v>
      </c>
      <c r="BH43" s="34">
        <f>IF(AND(ISNUMBER(BI43),ISNUMBER(BG43)),BI43-BG43,"")</f>
        <v>0</v>
      </c>
      <c r="BI43" s="33">
        <v>0</v>
      </c>
      <c r="BJ43" s="34">
        <f>IF(AND(ISNUMBER(BK43),ISNUMBER(BI43)),BK43-BI43,"")</f>
        <v>0</v>
      </c>
      <c r="BK43" s="33">
        <v>2</v>
      </c>
      <c r="BL43" s="34">
        <f>IF(AND(ISNUMBER(BM43),ISNUMBER(BK43)),BM43-BK43,"")</f>
        <v>0</v>
      </c>
      <c r="BM43" s="33">
        <v>2</v>
      </c>
      <c r="BN43" s="34">
        <f>IF(AND(ISNUMBER(BO43),ISNUMBER(BM43)),BO43-BM43,"")</f>
        <v>0</v>
      </c>
      <c r="BO43" s="33">
        <v>0</v>
      </c>
      <c r="BP43" s="34">
        <f>IF(AND(ISNUMBER(BQ43),ISNUMBER(BO43)),BQ43-BO43,"")</f>
        <v>0</v>
      </c>
      <c r="BQ43" s="33">
        <v>2</v>
      </c>
      <c r="BR43" s="34">
        <f>IF(AND(ISNUMBER(BS43),ISNUMBER(BQ43)),BS43-BQ43,"")</f>
        <v>0</v>
      </c>
      <c r="BS43" s="33">
        <v>0</v>
      </c>
      <c r="BT43" s="34">
        <f>IF(AND(ISNUMBER(BU43),ISNUMBER(BS43)),BU43-BS43,"")</f>
        <v>0</v>
      </c>
      <c r="BU43" s="33">
        <v>1</v>
      </c>
      <c r="BV43" s="34">
        <f>IF(AND(ISNUMBER(BW43),ISNUMBER(BU43)),BW43-BU43,"")</f>
        <v>0</v>
      </c>
      <c r="BW43" s="33">
        <v>1</v>
      </c>
      <c r="BX43" s="34">
        <f>IF(AND(ISNUMBER(BY43),ISNUMBER(BW43)),BY43-BW43,"")</f>
        <v>0</v>
      </c>
      <c r="BY43" s="33">
        <v>1</v>
      </c>
      <c r="BZ43" s="34">
        <f>IF(AND(ISNUMBER(CA43),ISNUMBER(BY43)),CA43-BY43,"")</f>
        <v>0</v>
      </c>
      <c r="CA43" s="33">
        <v>6</v>
      </c>
      <c r="CB43" s="34">
        <f>IF(AND(ISNUMBER(CC43),ISNUMBER(CA43)),CC43-CA43,"")</f>
        <v>0</v>
      </c>
      <c r="CC43" s="33">
        <v>170</v>
      </c>
      <c r="CD43" s="34">
        <f>IF(AND(ISNUMBER(CE43),ISNUMBER(CC43)),CE43-CC43,"")</f>
        <v>0</v>
      </c>
      <c r="CE43" s="33">
        <v>170</v>
      </c>
      <c r="CF43" s="34">
        <f>IF(AND(ISNUMBER(CG43),ISNUMBER(CE43)),CG43-CE43,"")</f>
        <v>0</v>
      </c>
      <c r="CG43" s="33">
        <v>72</v>
      </c>
      <c r="CH43" s="34">
        <f>IF(AND(ISNUMBER(CI43),ISNUMBER(CG43)),CI43-CG43,"")</f>
        <v>0</v>
      </c>
      <c r="CI43" s="33">
        <v>14</v>
      </c>
      <c r="CJ43" s="34">
        <f>IF(AND(ISNUMBER(CK43),ISNUMBER(CI43)),CK43-CI43,"")</f>
        <v>0</v>
      </c>
      <c r="CK43" s="33">
        <v>14</v>
      </c>
      <c r="CL43" s="34">
        <f>IF(AND(ISNUMBER(CM43),ISNUMBER(CK43)),CM43-CK43,"")</f>
        <v>0</v>
      </c>
      <c r="CM43" s="33">
        <v>14</v>
      </c>
      <c r="CN43" s="34">
        <f>IF(AND(ISNUMBER(CO43),ISNUMBER(CM43)),CO43-CM43,"")</f>
        <v>0</v>
      </c>
      <c r="CO43" s="33">
        <v>0</v>
      </c>
      <c r="CP43" s="34">
        <f>IF(AND(ISNUMBER(CQ43),ISNUMBER(CO43)),CQ43-CO43,"")</f>
        <v>0</v>
      </c>
      <c r="CQ43" s="33">
        <v>2</v>
      </c>
      <c r="CR43" s="34">
        <f>IF(AND(ISNUMBER(CS43),ISNUMBER(CQ43)),CS43-CQ43,"")</f>
        <v>0</v>
      </c>
      <c r="CS43" s="33">
        <v>1</v>
      </c>
      <c r="CT43" s="34">
        <f>IF(AND(ISNUMBER(CU43),ISNUMBER(CS43)),CU43-CS43,"")</f>
        <v>0</v>
      </c>
      <c r="CU43" s="33">
        <v>2</v>
      </c>
      <c r="CV43" s="34">
        <f>IF(AND(ISNUMBER(CW43),ISNUMBER(CU43)),CW43-CU43,"")</f>
        <v>0</v>
      </c>
      <c r="CW43" s="33">
        <v>1</v>
      </c>
      <c r="CX43" s="34">
        <f>IF(AND(ISNUMBER(CY43),ISNUMBER(CW43)),CY43-CW43,"")</f>
        <v>0</v>
      </c>
      <c r="CY43" s="33">
        <v>1</v>
      </c>
      <c r="CZ43" s="34">
        <f>IF(AND(ISNUMBER(DA43),ISNUMBER(CY43)),DA43-CY43,"")</f>
        <v>0</v>
      </c>
      <c r="DA43" s="33"/>
      <c r="DB43" s="34">
        <f>IF(AND(ISNUMBER(DC43),ISNUMBER(DA43)),DC43-DA43,"")</f>
        <v>0</v>
      </c>
      <c r="DC43" s="33"/>
      <c r="DD43" s="34">
        <f>IF(AND(ISNUMBER(DE43),ISNUMBER(DC43)),DE43-DC43,"")</f>
        <v>0</v>
      </c>
      <c r="DE43" s="33"/>
      <c r="DF43" s="34">
        <f>IF(AND(ISNUMBER(DG43),ISNUMBER(DE43)),DG43-DE43,"")</f>
        <v>0</v>
      </c>
      <c r="DG43" s="33">
        <v>3</v>
      </c>
      <c r="DH43" s="34">
        <f>IF(AND(ISNUMBER(DI43),ISNUMBER(DG43)),DI43-DG43,"")</f>
        <v>0</v>
      </c>
      <c r="DI43" s="33">
        <v>2</v>
      </c>
      <c r="DJ43" s="34">
        <f>IF(AND(ISNUMBER(DK43),ISNUMBER(DI43)),DK43-DI43,"")</f>
        <v>0</v>
      </c>
      <c r="DK43" s="33">
        <v>1</v>
      </c>
      <c r="DL43" s="34">
        <f>IF(AND(ISNUMBER(DM43),ISNUMBER(DK43)),DM43-DK43,"")</f>
        <v>0</v>
      </c>
      <c r="DM43" s="33">
        <v>0</v>
      </c>
      <c r="DN43" s="34">
        <f>IF(AND(ISNUMBER(DO43),ISNUMBER(DM43)),DO43-DM43,"")</f>
        <v>0</v>
      </c>
      <c r="DO43" s="33">
        <v>0</v>
      </c>
      <c r="DP43" s="34">
        <f>IF(AND(ISNUMBER(DQ43),ISNUMBER(DO43)),DQ43-DO43,"")</f>
        <v>0</v>
      </c>
      <c r="DQ43" s="33">
        <v>0</v>
      </c>
      <c r="DR43" s="34">
        <f>IF(AND(ISNUMBER(DS43),ISNUMBER(DQ43)),DS43-DQ43,"")</f>
        <v>0</v>
      </c>
      <c r="DS43" s="33">
        <v>2</v>
      </c>
      <c r="DT43" s="34">
        <f>IF(AND(ISNUMBER(DU43),ISNUMBER(DS43)),DU43-DS43,"")</f>
        <v>0</v>
      </c>
      <c r="DU43" s="33">
        <v>2</v>
      </c>
      <c r="DV43" s="34">
        <f>IF(AND(ISNUMBER(DW43),ISNUMBER(DU43)),DW43-DU43,"")</f>
        <v>0</v>
      </c>
      <c r="DW43" s="33">
        <v>6</v>
      </c>
      <c r="DX43" s="34">
        <f>IF(AND(ISNUMBER(DY43),ISNUMBER(DW43)),DY43-DW43,"")</f>
        <v>0</v>
      </c>
      <c r="DY43" s="33">
        <v>3</v>
      </c>
      <c r="DZ43" s="34">
        <f>IF(AND(ISNUMBER(EA43),ISNUMBER(DY43)),EA43-DY43,"")</f>
        <v>0</v>
      </c>
      <c r="EA43" s="33">
        <v>12</v>
      </c>
      <c r="EB43" s="34">
        <f>IF(AND(ISNUMBER(EC43),ISNUMBER(EA43)),EC43-EA43,"")</f>
        <v>0</v>
      </c>
      <c r="EC43" s="33">
        <v>3</v>
      </c>
      <c r="ED43" s="34">
        <f>IF(AND(ISNUMBER(EE43),ISNUMBER(EC43)),EE43-EC43,"")</f>
        <v>0</v>
      </c>
      <c r="EE43" s="33">
        <v>2</v>
      </c>
      <c r="EF43" s="34">
        <f>IF(AND(ISNUMBER(EG43),ISNUMBER(EE43)),EG43-EE43,"")</f>
        <v>0</v>
      </c>
      <c r="EG43" s="33">
        <v>5</v>
      </c>
      <c r="EH43" s="34">
        <f>IF(AND(ISNUMBER(EI43),ISNUMBER(EG43)),EI43-EG43,"")</f>
        <v>0</v>
      </c>
      <c r="EI43" s="33">
        <v>0</v>
      </c>
      <c r="EJ43" s="34">
        <f>IF(AND(ISNUMBER(EK43),ISNUMBER(EI43)),EK43-EI43,"")</f>
        <v>0</v>
      </c>
      <c r="EK43" s="33">
        <v>2</v>
      </c>
      <c r="EL43" s="34">
        <f>IF(AND(ISNUMBER(EM43),ISNUMBER(EK43)),EM43-EK43,"")</f>
        <v>0</v>
      </c>
      <c r="EM43" s="33">
        <v>1</v>
      </c>
      <c r="EN43" s="34">
        <f>IF(AND(ISNUMBER(EO43),ISNUMBER(EM43)),EO43-EM43,"")</f>
        <v>0</v>
      </c>
      <c r="EO43" s="33">
        <v>0</v>
      </c>
      <c r="EP43" s="34">
        <f>IF(AND(ISNUMBER(EQ43),ISNUMBER(EO43)),EQ43-EO43,"")</f>
        <v>0</v>
      </c>
      <c r="EQ43" s="33">
        <v>0</v>
      </c>
      <c r="ER43" s="34">
        <f>IF(AND(ISNUMBER(ES43),ISNUMBER(EQ43)),ES43-EQ43,"")</f>
        <v>0</v>
      </c>
      <c r="ES43" s="33">
        <v>2</v>
      </c>
      <c r="ET43" s="34">
        <f>IF(AND(ISNUMBER(EU43),ISNUMBER(ES43)),EU43-ES43,"")</f>
        <v>0</v>
      </c>
      <c r="EU43" s="33">
        <v>2</v>
      </c>
      <c r="EV43" s="34">
        <f>IF(AND(ISNUMBER(EW43),ISNUMBER(EU43)),EW43-EU43,"")</f>
        <v>0</v>
      </c>
      <c r="EW43" s="33">
        <v>2</v>
      </c>
      <c r="EX43" s="34">
        <f>IF(AND(ISNUMBER(EY43),ISNUMBER(EW43)),EY43-EW43,"")</f>
        <v>0</v>
      </c>
      <c r="EY43" s="33">
        <v>3</v>
      </c>
      <c r="EZ43" s="34">
        <f>IF(AND(ISNUMBER(FA43),ISNUMBER(EY43)),FA43-EY43,"")</f>
        <v>0</v>
      </c>
      <c r="FA43" s="33"/>
      <c r="FB43" s="34">
        <f>IF(AND(ISNUMBER(FC43),ISNUMBER(FA43)),FC43-FA43,"")</f>
        <v>0</v>
      </c>
      <c r="FC43" s="33"/>
      <c r="FD43" s="34">
        <f>IF(AND(ISNUMBER(FE43),ISNUMBER(FC43)),FE43-FC43,"")</f>
        <v>0</v>
      </c>
      <c r="FE43" s="33"/>
      <c r="FF43" s="34">
        <f>IF(AND(ISNUMBER(FG43),ISNUMBER(FE43)),FG43-FE43,"")</f>
        <v>0</v>
      </c>
      <c r="FG43" s="33"/>
      <c r="FH43" s="34">
        <f>IF(AND(ISNUMBER(FI43),ISNUMBER(FG43)),FI43-FG43,"")</f>
        <v>0</v>
      </c>
      <c r="FI43" s="33"/>
      <c r="FJ43" s="34">
        <f>IF(AND(ISNUMBER(FK43),ISNUMBER(FI43)),FK43-FI43,"")</f>
        <v>0</v>
      </c>
      <c r="FK43" s="33"/>
      <c r="FL43" s="34">
        <f>IF(AND(ISNUMBER(FM43),ISNUMBER(FK43)),FM43-FK43,"")</f>
        <v>0</v>
      </c>
      <c r="FM43" s="33"/>
      <c r="FN43" s="34">
        <f>IF(AND(ISNUMBER(FO43),ISNUMBER(FM43)),FO43-FM43,"")</f>
        <v>0</v>
      </c>
      <c r="FO43" s="33"/>
      <c r="FP43" s="34">
        <f>IF(AND(ISNUMBER(FQ43),ISNUMBER(FO43)),FQ43-FO43,"")</f>
        <v>0</v>
      </c>
      <c r="FQ43" s="33"/>
      <c r="FR43" s="34">
        <f>IF(AND(ISNUMBER(FS43),ISNUMBER(FQ43)),FS43-FQ43,"")</f>
        <v>0</v>
      </c>
      <c r="FS43" s="33"/>
      <c r="FT43" s="34">
        <f>IF(AND(ISNUMBER(FU43),ISNUMBER(FS43)),FU43-FS43,"")</f>
        <v>0</v>
      </c>
      <c r="FU43" s="33"/>
      <c r="FV43" s="34">
        <f>IF(AND(ISNUMBER(FW43),ISNUMBER(FU43)),FW43-FU43,"")</f>
        <v>0</v>
      </c>
      <c r="FW43" s="33"/>
      <c r="FX43" s="34">
        <f>IF(AND(ISNUMBER(FY43),ISNUMBER(FW43)),FY43-FW43,"")</f>
        <v>0</v>
      </c>
      <c r="FY43" s="33"/>
      <c r="FZ43" s="34">
        <f>IF(AND(ISNUMBER(GA43),ISNUMBER(FY43)),GA43-FY43,"")</f>
        <v>0</v>
      </c>
      <c r="GA43" s="33"/>
      <c r="GB43" s="34">
        <f>IF(AND(ISNUMBER(GC43),ISNUMBER(GA43)),GC43-GA43,"")</f>
        <v>0</v>
      </c>
      <c r="GC43" s="33"/>
      <c r="GD43" s="34">
        <f>IF(AND(ISNUMBER(GE43),ISNUMBER(GC43)),GE43-GC43,"")</f>
        <v>0</v>
      </c>
      <c r="GE43" s="33"/>
      <c r="GF43" s="34">
        <f>IF(AND(ISNUMBER(GG43),ISNUMBER(GE43)),GG43-GE43,"")</f>
        <v>0</v>
      </c>
      <c r="GG43" s="33"/>
      <c r="GH43" s="34">
        <f>IF(AND(ISNUMBER(GI43),ISNUMBER(GG43)),GI43-GG43,"")</f>
        <v>0</v>
      </c>
      <c r="GI43" s="33"/>
      <c r="GJ43" s="34">
        <f>IF(AND(ISNUMBER(GK43),ISNUMBER(GI43)),GK43-GI43,"")</f>
        <v>0</v>
      </c>
      <c r="GK43" s="33"/>
      <c r="GL43" s="34">
        <f>IF(AND(ISNUMBER(GM43),ISNUMBER(GK43)),GM43-GK43,"")</f>
        <v>0</v>
      </c>
      <c r="GM43" s="33"/>
      <c r="GN43" s="34">
        <f>IF(AND(ISNUMBER(GO43),ISNUMBER(GM43)),GO43-GM43,"")</f>
        <v>0</v>
      </c>
      <c r="GO43" s="33"/>
      <c r="GP43" s="34">
        <f>IF(AND(ISNUMBER(GQ43),ISNUMBER(GO43)),GQ43-GO43,"")</f>
        <v>0</v>
      </c>
      <c r="GQ43" s="33"/>
      <c r="GR43" s="34">
        <f>IF(AND(ISNUMBER(GS43),ISNUMBER(GQ43)),GS43-GQ43,"")</f>
        <v>0</v>
      </c>
      <c r="GS43" s="33"/>
      <c r="GT43" s="34">
        <f>IF(AND(ISNUMBER(GU43),ISNUMBER(GS43)),GU43-GS43,"")</f>
        <v>0</v>
      </c>
      <c r="GU43" s="33"/>
      <c r="GV43" s="34">
        <f>IF(AND(ISNUMBER(GW43),ISNUMBER(GU43)),GW43-GU43,"")</f>
        <v>0</v>
      </c>
      <c r="GW43" s="33"/>
      <c r="GX43" s="34">
        <f>IF(AND(ISNUMBER(GY43),ISNUMBER(GW43)),GY43-GW43,"")</f>
        <v>0</v>
      </c>
      <c r="GY43" s="33"/>
      <c r="GZ43" s="34">
        <f>IF(AND(ISNUMBER(HA43),ISNUMBER(GY43)),HA43-GY43,"")</f>
        <v>0</v>
      </c>
      <c r="HA43" s="33"/>
      <c r="HB43" s="34">
        <f>IF(AND(ISNUMBER(HC43),ISNUMBER(HA43)),HC43-HA43,"")</f>
        <v>0</v>
      </c>
      <c r="HC43" s="33"/>
      <c r="HD43" s="34">
        <f>IF(AND(ISNUMBER(HE43),ISNUMBER(HC43)),HE43-HC43,"")</f>
        <v>0</v>
      </c>
      <c r="HE43" s="33"/>
      <c r="HF43" s="34">
        <f>IF(AND(ISNUMBER(HG43),ISNUMBER(HE43)),HG43-HE43,"")</f>
        <v>0</v>
      </c>
      <c r="HG43" s="33"/>
      <c r="HH43" s="34">
        <f>IF(AND(ISNUMBER(HI43),ISNUMBER(HG43)),HI43-HG43,"")</f>
        <v>0</v>
      </c>
      <c r="HI43" s="33"/>
      <c r="HJ43" s="34">
        <f>IF(AND(ISNUMBER(HK43),ISNUMBER(HI43)),HK43-HI43,"")</f>
        <v>0</v>
      </c>
      <c r="HK43" s="33"/>
      <c r="HL43" s="34">
        <f>IF(AND(ISNUMBER(HM43),ISNUMBER(HK43)),HM43-HK43,"")</f>
        <v>0</v>
      </c>
      <c r="HM43" s="33"/>
      <c r="HN43" s="34">
        <f>IF(AND(ISNUMBER(HO43),ISNUMBER(HM43)),HO43-HM43,"")</f>
        <v>0</v>
      </c>
      <c r="HO43" s="33"/>
      <c r="HP43" s="34">
        <f>IF(AND(ISNUMBER(HQ43),ISNUMBER(HO43)),HQ43-HO43,"")</f>
        <v>0</v>
      </c>
      <c r="HQ43" s="33"/>
      <c r="HR43" s="34">
        <f>IF(AND(ISNUMBER(HS43),ISNUMBER(HQ43)),HS43-HQ43,"")</f>
        <v>0</v>
      </c>
      <c r="HS43" s="33"/>
      <c r="HT43" s="34">
        <f>IF(AND(ISNUMBER(HU43),ISNUMBER(HS43)),HU43-HS43,"")</f>
        <v>0</v>
      </c>
      <c r="HU43" s="33"/>
      <c r="HV43" s="34">
        <f>IF(AND(ISNUMBER(HW43),ISNUMBER(HU43)),HW43-HU43,"")</f>
        <v>0</v>
      </c>
      <c r="HW43" s="33"/>
      <c r="HX43" s="34">
        <f>IF(AND(ISNUMBER(HY43),ISNUMBER(HW43)),HY43-HW43,"")</f>
        <v>0</v>
      </c>
      <c r="HY43" s="33"/>
      <c r="HZ43" s="34">
        <f>IF(AND(ISNUMBER(IA43),ISNUMBER(HY43)),IA43-HY43,"")</f>
        <v>0</v>
      </c>
      <c r="IA43" s="33"/>
      <c r="IB43" s="34">
        <f>IF(AND(ISNUMBER(IC43),ISNUMBER(IA43)),IC43-IA43,"")</f>
        <v>0</v>
      </c>
      <c r="IC43" s="33"/>
      <c r="ID43" s="34">
        <f>IF(AND(ISNUMBER(IE43),ISNUMBER(IC43)),IE43-IC43,"")</f>
        <v>0</v>
      </c>
      <c r="IE43" s="33"/>
      <c r="IF43" s="34">
        <f>IF(AND(ISNUMBER(IG43),ISNUMBER(IE43)),IG43-IE43,"")</f>
        <v>0</v>
      </c>
      <c r="IG43" s="33"/>
      <c r="IH43" s="34">
        <f>IF(AND(ISNUMBER(II43),ISNUMBER(IG43)),II43-IG43,"")</f>
        <v>0</v>
      </c>
      <c r="II43" s="33"/>
      <c r="IJ43" s="34">
        <f>IF(AND(ISNUMBER(IK43),ISNUMBER(II43)),IK43-II43,"")</f>
        <v>0</v>
      </c>
      <c r="IK43" s="33"/>
      <c r="IL43" s="34">
        <f>IF(AND(ISNUMBER(IM43),ISNUMBER(IK43)),IM43-IK43,"")</f>
        <v>0</v>
      </c>
      <c r="IM43" s="33"/>
      <c r="IN43" s="34">
        <f>IF(AND(ISNUMBER(IO43),ISNUMBER(IM43)),IO43-IM43,"")</f>
        <v>0</v>
      </c>
      <c r="IO43" s="33"/>
      <c r="IP43" s="34">
        <f>IF(AND(ISNUMBER(IQ43),ISNUMBER(IO43)),IQ43-IO43,"")</f>
        <v>0</v>
      </c>
      <c r="IQ43" s="33"/>
      <c r="IR43" s="34">
        <f>IF(AND(ISNUMBER(IS43),ISNUMBER(IQ43)),IS43-IQ43,"")</f>
        <v>0</v>
      </c>
      <c r="IS43" s="33"/>
      <c r="IT43" s="34">
        <f>IF(AND(ISNUMBER(IU43),ISNUMBER(IS43)),IU43-IS43,"")</f>
        <v>0</v>
      </c>
      <c r="IU43" s="33"/>
      <c r="IV43" s="34">
        <f>IF(AND(ISNUMBER(IW43),ISNUMBER(IU43)),IW43-IU43,"")</f>
        <v>0</v>
      </c>
      <c r="IW43" s="33"/>
      <c r="IX43" s="34">
        <f>IF(AND(ISNUMBER(IY43),ISNUMBER(IW43)),IY43-IW43,"")</f>
        <v>0</v>
      </c>
      <c r="IY43" s="33"/>
      <c r="IZ43" s="34">
        <f>IF(AND(ISNUMBER(JA43),ISNUMBER(IY43)),JA43-IY43,"")</f>
        <v>0</v>
      </c>
      <c r="JA43" s="33"/>
      <c r="JB43" s="34">
        <f>IF(AND(ISNUMBER(JC43),ISNUMBER(JA43)),JC43-JA43,"")</f>
        <v>0</v>
      </c>
      <c r="JC43" s="33"/>
      <c r="JD43" s="34">
        <f>IF(AND(ISNUMBER(JE43),ISNUMBER(JC43)),JE43-JC43,"")</f>
        <v>0</v>
      </c>
      <c r="JE43" s="33"/>
      <c r="JF43" s="34">
        <f>IF(AND(ISNUMBER(JG43),ISNUMBER(JE43)),JG43-JE43,"")</f>
        <v>0</v>
      </c>
      <c r="JG43" s="33"/>
      <c r="JH43" s="34">
        <f>IF(AND(ISNUMBER(JI43),ISNUMBER(JG43)),JI43-JG43,"")</f>
        <v>0</v>
      </c>
      <c r="JI43" s="33"/>
      <c r="JJ43" s="34">
        <f>IF(AND(ISNUMBER(JK43),ISNUMBER(JI43)),JK43-JI43,"")</f>
        <v>0</v>
      </c>
      <c r="JK43" s="33"/>
      <c r="JL43" s="34">
        <f>IF(AND(ISNUMBER(JM43),ISNUMBER(JK43)),JM43-JK43,"")</f>
        <v>0</v>
      </c>
      <c r="JM43" s="33"/>
      <c r="JN43" s="34">
        <f>IF(AND(ISNUMBER(JO43),ISNUMBER(JM43)),JO43-JM43,"")</f>
        <v>0</v>
      </c>
      <c r="JO43" s="33"/>
      <c r="JP43" s="34">
        <f>IF(AND(ISNUMBER(JQ43),ISNUMBER(JO43)),JQ43-JO43,"")</f>
        <v>0</v>
      </c>
      <c r="JQ43" s="33"/>
      <c r="JR43" s="34">
        <f>IF(AND(ISNUMBER(JS43),ISNUMBER(JQ43)),JS43-JQ43,"")</f>
        <v>0</v>
      </c>
      <c r="JS43" s="33"/>
      <c r="JT43" s="34">
        <f>IF(AND(ISNUMBER(JU43),ISNUMBER(JS43)),JU43-JS43,"")</f>
        <v>0</v>
      </c>
      <c r="JU43" s="33"/>
      <c r="JV43" s="34">
        <f>IF(AND(ISNUMBER(JW43),ISNUMBER(JU43)),JW43-JU43,"")</f>
        <v>0</v>
      </c>
      <c r="JW43" s="33"/>
      <c r="JX43" s="34">
        <f>IF(AND(ISNUMBER(JY43),ISNUMBER(JW43)),JY43-JW43,"")</f>
        <v>0</v>
      </c>
      <c r="JY43" s="33"/>
      <c r="JZ43" s="34">
        <f>IF(AND(ISNUMBER(KA43),ISNUMBER(JY43)),KA43-JY43,"")</f>
        <v>0</v>
      </c>
      <c r="KA43" s="33"/>
      <c r="KB43" s="34">
        <f>IF(AND(ISNUMBER(KC43),ISNUMBER(KA43)),KC43-KA43,"")</f>
        <v>0</v>
      </c>
      <c r="KC43" s="33"/>
      <c r="KD43" s="34">
        <f>IF(AND(ISNUMBER(KE43),ISNUMBER(KC43)),KE43-KC43,"")</f>
        <v>0</v>
      </c>
      <c r="KE43" s="33"/>
      <c r="KF43" s="34">
        <f>IF(AND(ISNUMBER(KG43),ISNUMBER(KE43)),KG43-KE43,"")</f>
        <v>0</v>
      </c>
      <c r="KG43" s="33"/>
      <c r="KH43" s="34">
        <f>IF(AND(ISNUMBER(KI43),ISNUMBER(KG43)),KI43-KG43,"")</f>
        <v>0</v>
      </c>
      <c r="KI43" s="33"/>
      <c r="KJ43" s="34">
        <f>IF(AND(ISNUMBER(KK43),ISNUMBER(KI43)),KK43-KI43,"")</f>
        <v>0</v>
      </c>
      <c r="KK43" s="33"/>
      <c r="KL43" s="34">
        <f>IF(AND(ISNUMBER(KM43),ISNUMBER(KK43)),KM43-KK43,"")</f>
        <v>0</v>
      </c>
      <c r="KM43" s="33"/>
      <c r="KN43" s="34">
        <f>IF(AND(ISNUMBER(KO43),ISNUMBER(KM43)),KO43-KM43,"")</f>
        <v>0</v>
      </c>
      <c r="KO43" s="33"/>
      <c r="KP43" s="34">
        <f>IF(AND(ISNUMBER(KQ43),ISNUMBER(KO43)),KQ43-KO43,"")</f>
        <v>0</v>
      </c>
      <c r="KQ43" s="33"/>
      <c r="KR43" s="34">
        <f>IF(AND(ISNUMBER(KS43),ISNUMBER(KQ43)),KS43-KQ43,"")</f>
        <v>0</v>
      </c>
      <c r="KS43" s="33"/>
      <c r="KT43" s="34">
        <f>IF(AND(ISNUMBER(KU43),ISNUMBER(KS43)),KU43-KS43,"")</f>
        <v>0</v>
      </c>
      <c r="KU43" s="33"/>
      <c r="KV43" s="34">
        <f>IF(AND(ISNUMBER(KW43),ISNUMBER(KU43)),KW43-KU43,"")</f>
        <v>0</v>
      </c>
      <c r="KW43" s="33"/>
      <c r="KX43" s="34">
        <f>IF(AND(ISNUMBER(KY43),ISNUMBER(KW43)),KY43-KW43,"")</f>
        <v>0</v>
      </c>
      <c r="KY43" s="33"/>
      <c r="KZ43" s="34">
        <f>IF(AND(ISNUMBER(LA43),ISNUMBER(KY43)),LA43-KY43,"")</f>
        <v>0</v>
      </c>
      <c r="LA43" s="33"/>
      <c r="LB43" s="34">
        <f>IF(AND(ISNUMBER(LC43),ISNUMBER(LA43)),LC43-LA43,"")</f>
        <v>0</v>
      </c>
      <c r="LC43" s="33"/>
      <c r="LD43" s="34">
        <f>IF(AND(ISNUMBER(LE43),ISNUMBER(LC43)),LE43-LC43,"")</f>
        <v>0</v>
      </c>
      <c r="LE43" s="33"/>
      <c r="LF43" s="34">
        <f>IF(AND(ISNUMBER(LG43),ISNUMBER(LE43)),LG43-LE43,"")</f>
        <v>0</v>
      </c>
      <c r="LG43" s="33"/>
    </row>
    <row r="44" spans="1:322" hidden="1" outlineLevel="1">
      <c r="B44" s="23"/>
      <c r="D44" s="31" t="s">
        <v>721</v>
      </c>
      <c r="E44" s="32" t="s">
        <v>1054</v>
      </c>
      <c r="I44" s="40" t="s">
        <v>1078</v>
      </c>
      <c r="J44" s="34">
        <f>IF(AND(ISNUMBER(K44),ISNUMBER(I44)),K44-I44,"")</f>
        <v>0</v>
      </c>
      <c r="K44" s="40" t="s">
        <v>1078</v>
      </c>
      <c r="L44" s="34">
        <f>IF(AND(ISNUMBER(M44),ISNUMBER(K44)),M44-K44,"")</f>
        <v>0</v>
      </c>
      <c r="M44" s="40" t="s">
        <v>1078</v>
      </c>
      <c r="N44" s="34">
        <f>IF(AND(ISNUMBER(O44),ISNUMBER(M44)),O44-M44,"")</f>
        <v>0</v>
      </c>
      <c r="O44" s="40" t="s">
        <v>1078</v>
      </c>
      <c r="P44" s="34">
        <f>IF(AND(ISNUMBER(Q44),ISNUMBER(O44)),Q44-O44,"")</f>
        <v>0</v>
      </c>
      <c r="Q44" s="40" t="s">
        <v>1078</v>
      </c>
      <c r="R44" s="34">
        <f>IF(AND(ISNUMBER(S44),ISNUMBER(Q44)),S44-Q44,"")</f>
        <v>0</v>
      </c>
      <c r="S44" s="40" t="s">
        <v>1078</v>
      </c>
      <c r="T44" s="34">
        <f>IF(AND(ISNUMBER(U44),ISNUMBER(S44)),U44-S44,"")</f>
        <v>0</v>
      </c>
      <c r="U44" s="40" t="s">
        <v>1078</v>
      </c>
      <c r="V44" s="34">
        <f>IF(AND(ISNUMBER(W44),ISNUMBER(U44)),W44-U44,"")</f>
        <v>0</v>
      </c>
      <c r="W44" s="40" t="s">
        <v>1078</v>
      </c>
      <c r="X44" s="34">
        <f>IF(AND(ISNUMBER(Y44),ISNUMBER(W44)),Y44-W44,"")</f>
        <v>0</v>
      </c>
      <c r="Y44" s="40" t="s">
        <v>1078</v>
      </c>
      <c r="Z44" s="34">
        <f>IF(AND(ISNUMBER(AA44),ISNUMBER(Y44)),AA44-Y44,"")</f>
        <v>0</v>
      </c>
      <c r="AA44" s="40" t="s">
        <v>1078</v>
      </c>
      <c r="AB44" s="34">
        <f>IF(AND(ISNUMBER(AC44),ISNUMBER(AA44)),AC44-AA44,"")</f>
        <v>0</v>
      </c>
      <c r="AC44" s="33">
        <v>3</v>
      </c>
      <c r="AD44" s="34">
        <f>IF(AND(ISNUMBER(AE44),ISNUMBER(AC44)),AE44-AC44,"")</f>
        <v>0</v>
      </c>
      <c r="AE44" s="40" t="s">
        <v>1078</v>
      </c>
      <c r="AF44" s="34">
        <f>IF(AND(ISNUMBER(AG44),ISNUMBER(AE44)),AG44-AE44,"")</f>
        <v>0</v>
      </c>
      <c r="AG44" s="40" t="s">
        <v>1078</v>
      </c>
      <c r="AH44" s="34">
        <f>IF(AND(ISNUMBER(AI44),ISNUMBER(AG44)),AI44-AG44,"")</f>
        <v>0</v>
      </c>
      <c r="AI44" s="40" t="s">
        <v>1078</v>
      </c>
      <c r="AJ44" s="34">
        <f>IF(AND(ISNUMBER(AK44),ISNUMBER(AI44)),AK44-AI44,"")</f>
        <v>0</v>
      </c>
      <c r="AK44" s="40" t="s">
        <v>1078</v>
      </c>
      <c r="AL44" s="34">
        <f>IF(AND(ISNUMBER(AM44),ISNUMBER(AK44)),AM44-AK44,"")</f>
        <v>0</v>
      </c>
      <c r="AM44" s="40" t="s">
        <v>1078</v>
      </c>
      <c r="AN44" s="34">
        <f>IF(AND(ISNUMBER(AO44),ISNUMBER(AM44)),AO44-AM44,"")</f>
        <v>0</v>
      </c>
      <c r="AO44" s="40" t="s">
        <v>1078</v>
      </c>
      <c r="AP44" s="34">
        <f>IF(AND(ISNUMBER(AQ44),ISNUMBER(AO44)),AQ44-AO44,"")</f>
        <v>0</v>
      </c>
      <c r="AQ44" s="33">
        <v>5</v>
      </c>
      <c r="AR44" s="34">
        <f>IF(AND(ISNUMBER(AS44),ISNUMBER(AQ44)),AS44-AQ44,"")</f>
        <v>0</v>
      </c>
      <c r="AS44" s="33">
        <v>2</v>
      </c>
      <c r="AT44" s="34">
        <f>IF(AND(ISNUMBER(AU44),ISNUMBER(AS44)),AU44-AS44,"")</f>
        <v>0</v>
      </c>
      <c r="AU44" s="33">
        <v>2</v>
      </c>
      <c r="AV44" s="34">
        <f>IF(AND(ISNUMBER(AW44),ISNUMBER(AU44)),AW44-AU44,"")</f>
        <v>0</v>
      </c>
      <c r="AW44" s="33">
        <v>2</v>
      </c>
      <c r="AX44" s="34">
        <f>IF(AND(ISNUMBER(AY44),ISNUMBER(AW44)),AY44-AW44,"")</f>
        <v>0</v>
      </c>
      <c r="AY44" s="33">
        <v>1</v>
      </c>
      <c r="AZ44" s="34">
        <f>IF(AND(ISNUMBER(BA44),ISNUMBER(AY44)),BA44-AY44,"")</f>
        <v>0</v>
      </c>
      <c r="BA44" s="33">
        <v>2</v>
      </c>
      <c r="BB44" s="34">
        <f>IF(AND(ISNUMBER(BC44),ISNUMBER(BA44)),BC44-BA44,"")</f>
        <v>0</v>
      </c>
      <c r="BC44" s="33">
        <v>3</v>
      </c>
      <c r="BD44" s="34">
        <f>IF(AND(ISNUMBER(BE44),ISNUMBER(BC44)),BE44-BC44,"")</f>
        <v>0</v>
      </c>
      <c r="BE44" s="33">
        <v>3</v>
      </c>
      <c r="BF44" s="34">
        <f>IF(AND(ISNUMBER(BG44),ISNUMBER(BE44)),BG44-BE44,"")</f>
        <v>0</v>
      </c>
      <c r="BG44" s="33">
        <v>0</v>
      </c>
      <c r="BH44" s="34">
        <f>IF(AND(ISNUMBER(BI44),ISNUMBER(BG44)),BI44-BG44,"")</f>
        <v>0</v>
      </c>
      <c r="BI44" s="33">
        <v>3</v>
      </c>
      <c r="BJ44" s="34">
        <f>IF(AND(ISNUMBER(BK44),ISNUMBER(BI44)),BK44-BI44,"")</f>
        <v>0</v>
      </c>
      <c r="BK44" s="33">
        <v>5</v>
      </c>
      <c r="BL44" s="34">
        <f>IF(AND(ISNUMBER(BM44),ISNUMBER(BK44)),BM44-BK44,"")</f>
        <v>0</v>
      </c>
      <c r="BM44" s="33">
        <v>9</v>
      </c>
      <c r="BN44" s="34">
        <f>IF(AND(ISNUMBER(BO44),ISNUMBER(BM44)),BO44-BM44,"")</f>
        <v>0</v>
      </c>
      <c r="BO44" s="33">
        <v>3</v>
      </c>
      <c r="BP44" s="34">
        <f>IF(AND(ISNUMBER(BQ44),ISNUMBER(BO44)),BQ44-BO44,"")</f>
        <v>0</v>
      </c>
      <c r="BQ44" s="33">
        <v>9</v>
      </c>
      <c r="BR44" s="34">
        <f>IF(AND(ISNUMBER(BS44),ISNUMBER(BQ44)),BS44-BQ44,"")</f>
        <v>0</v>
      </c>
      <c r="BS44" s="33">
        <v>2</v>
      </c>
      <c r="BT44" s="34">
        <f>IF(AND(ISNUMBER(BU44),ISNUMBER(BS44)),BU44-BS44,"")</f>
        <v>0</v>
      </c>
      <c r="BU44" s="33">
        <v>3</v>
      </c>
      <c r="BV44" s="34">
        <f>IF(AND(ISNUMBER(BW44),ISNUMBER(BU44)),BW44-BU44,"")</f>
        <v>0</v>
      </c>
      <c r="BW44" s="33">
        <v>3</v>
      </c>
      <c r="BX44" s="34">
        <f>IF(AND(ISNUMBER(BY44),ISNUMBER(BW44)),BY44-BW44,"")</f>
        <v>0</v>
      </c>
      <c r="BY44" s="33">
        <v>0</v>
      </c>
      <c r="BZ44" s="34">
        <f>IF(AND(ISNUMBER(CA44),ISNUMBER(BY44)),CA44-BY44,"")</f>
        <v>0</v>
      </c>
      <c r="CA44" s="33">
        <v>2</v>
      </c>
      <c r="CB44" s="34">
        <f>IF(AND(ISNUMBER(CC44),ISNUMBER(CA44)),CC44-CA44,"")</f>
        <v>0</v>
      </c>
      <c r="CC44" s="33">
        <v>1</v>
      </c>
      <c r="CD44" s="34">
        <f>IF(AND(ISNUMBER(CE44),ISNUMBER(CC44)),CE44-CC44,"")</f>
        <v>0</v>
      </c>
      <c r="CE44" s="33">
        <v>10</v>
      </c>
      <c r="CF44" s="34">
        <f>IF(AND(ISNUMBER(CG44),ISNUMBER(CE44)),CG44-CE44,"")</f>
        <v>0</v>
      </c>
      <c r="CG44" s="33">
        <v>0</v>
      </c>
      <c r="CH44" s="34">
        <f>IF(AND(ISNUMBER(CI44),ISNUMBER(CG44)),CI44-CG44,"")</f>
        <v>0</v>
      </c>
      <c r="CI44" s="33">
        <v>0</v>
      </c>
      <c r="CJ44" s="34">
        <f>IF(AND(ISNUMBER(CK44),ISNUMBER(CI44)),CK44-CI44,"")</f>
        <v>0</v>
      </c>
      <c r="CK44" s="33">
        <v>30</v>
      </c>
      <c r="CL44" s="34">
        <f>IF(AND(ISNUMBER(CM44),ISNUMBER(CK44)),CM44-CK44,"")</f>
        <v>0</v>
      </c>
      <c r="CM44" s="33">
        <v>1</v>
      </c>
      <c r="CN44" s="34">
        <f>IF(AND(ISNUMBER(CO44),ISNUMBER(CM44)),CO44-CM44,"")</f>
        <v>0</v>
      </c>
      <c r="CO44" s="33">
        <v>8</v>
      </c>
      <c r="CP44" s="34">
        <f>IF(AND(ISNUMBER(CQ44),ISNUMBER(CO44)),CQ44-CO44,"")</f>
        <v>0</v>
      </c>
      <c r="CQ44" s="33">
        <v>16</v>
      </c>
      <c r="CR44" s="34">
        <f>IF(AND(ISNUMBER(CS44),ISNUMBER(CQ44)),CS44-CQ44,"")</f>
        <v>0</v>
      </c>
      <c r="CS44" s="33">
        <v>4</v>
      </c>
      <c r="CT44" s="34">
        <f>IF(AND(ISNUMBER(CU44),ISNUMBER(CS44)),CU44-CS44,"")</f>
        <v>0</v>
      </c>
      <c r="CU44" s="33">
        <v>5</v>
      </c>
      <c r="CV44" s="34">
        <f>IF(AND(ISNUMBER(CW44),ISNUMBER(CU44)),CW44-CU44,"")</f>
        <v>0</v>
      </c>
      <c r="CW44" s="33">
        <v>2</v>
      </c>
      <c r="CX44" s="34">
        <f>IF(AND(ISNUMBER(CY44),ISNUMBER(CW44)),CY44-CW44,"")</f>
        <v>0</v>
      </c>
      <c r="CY44" s="33">
        <v>4</v>
      </c>
      <c r="CZ44" s="34">
        <f>IF(AND(ISNUMBER(DA44),ISNUMBER(CY44)),DA44-CY44,"")</f>
        <v>0</v>
      </c>
      <c r="DA44" s="33">
        <v>4</v>
      </c>
      <c r="DB44" s="34">
        <f>IF(AND(ISNUMBER(DC44),ISNUMBER(DA44)),DC44-DA44,"")</f>
        <v>0</v>
      </c>
      <c r="DC44" s="33">
        <v>2</v>
      </c>
      <c r="DD44" s="34">
        <f>IF(AND(ISNUMBER(DE44),ISNUMBER(DC44)),DE44-DC44,"")</f>
        <v>0</v>
      </c>
      <c r="DE44" s="33"/>
      <c r="DF44" s="34">
        <f>IF(AND(ISNUMBER(DG44),ISNUMBER(DE44)),DG44-DE44,"")</f>
        <v>0</v>
      </c>
      <c r="DG44" s="33">
        <v>1</v>
      </c>
      <c r="DH44" s="34">
        <f>IF(AND(ISNUMBER(DI44),ISNUMBER(DG44)),DI44-DG44,"")</f>
        <v>0</v>
      </c>
      <c r="DI44" s="33">
        <v>1</v>
      </c>
      <c r="DJ44" s="34">
        <f>IF(AND(ISNUMBER(DK44),ISNUMBER(DI44)),DK44-DI44,"")</f>
        <v>0</v>
      </c>
      <c r="DK44" s="33">
        <v>1</v>
      </c>
      <c r="DL44" s="34">
        <f>IF(AND(ISNUMBER(DM44),ISNUMBER(DK44)),DM44-DK44,"")</f>
        <v>0</v>
      </c>
      <c r="DM44" s="33">
        <v>2</v>
      </c>
      <c r="DN44" s="34">
        <f>IF(AND(ISNUMBER(DO44),ISNUMBER(DM44)),DO44-DM44,"")</f>
        <v>0</v>
      </c>
      <c r="DO44" s="33">
        <v>1</v>
      </c>
      <c r="DP44" s="34">
        <f>IF(AND(ISNUMBER(DQ44),ISNUMBER(DO44)),DQ44-DO44,"")</f>
        <v>0</v>
      </c>
      <c r="DQ44" s="33">
        <v>0</v>
      </c>
      <c r="DR44" s="34">
        <f>IF(AND(ISNUMBER(DS44),ISNUMBER(DQ44)),DS44-DQ44,"")</f>
        <v>0</v>
      </c>
      <c r="DS44" s="33"/>
      <c r="DT44" s="34">
        <f>IF(AND(ISNUMBER(DU44),ISNUMBER(DS44)),DU44-DS44,"")</f>
        <v>0</v>
      </c>
      <c r="DU44" s="33">
        <v>0</v>
      </c>
      <c r="DV44" s="34">
        <f>IF(AND(ISNUMBER(DW44),ISNUMBER(DU44)),DW44-DU44,"")</f>
        <v>0</v>
      </c>
      <c r="DW44" s="33">
        <v>0</v>
      </c>
      <c r="DX44" s="34">
        <f>IF(AND(ISNUMBER(DY44),ISNUMBER(DW44)),DY44-DW44,"")</f>
        <v>0</v>
      </c>
      <c r="DY44" s="33"/>
      <c r="DZ44" s="34">
        <f>IF(AND(ISNUMBER(EA44),ISNUMBER(DY44)),EA44-DY44,"")</f>
        <v>0</v>
      </c>
      <c r="EA44" s="33">
        <v>4</v>
      </c>
      <c r="EB44" s="34">
        <f>IF(AND(ISNUMBER(EC44),ISNUMBER(EA44)),EC44-EA44,"")</f>
        <v>0</v>
      </c>
      <c r="EC44" s="33">
        <v>4</v>
      </c>
      <c r="ED44" s="34">
        <f>IF(AND(ISNUMBER(EE44),ISNUMBER(EC44)),EE44-EC44,"")</f>
        <v>0</v>
      </c>
      <c r="EE44" s="33">
        <v>4</v>
      </c>
      <c r="EF44" s="34">
        <f>IF(AND(ISNUMBER(EG44),ISNUMBER(EE44)),EG44-EE44,"")</f>
        <v>0</v>
      </c>
      <c r="EG44" s="33">
        <v>2</v>
      </c>
      <c r="EH44" s="34">
        <f>IF(AND(ISNUMBER(EI44),ISNUMBER(EG44)),EI44-EG44,"")</f>
        <v>0</v>
      </c>
      <c r="EI44" s="33"/>
      <c r="EJ44" s="34">
        <f>IF(AND(ISNUMBER(EK44),ISNUMBER(EI44)),EK44-EI44,"")</f>
        <v>0</v>
      </c>
      <c r="EK44" s="33"/>
      <c r="EL44" s="34">
        <f>IF(AND(ISNUMBER(EM44),ISNUMBER(EK44)),EM44-EK44,"")</f>
        <v>0</v>
      </c>
      <c r="EM44" s="33">
        <v>5</v>
      </c>
      <c r="EN44" s="34">
        <f>IF(AND(ISNUMBER(EO44),ISNUMBER(EM44)),EO44-EM44,"")</f>
        <v>0</v>
      </c>
      <c r="EO44" s="33">
        <v>2</v>
      </c>
      <c r="EP44" s="34">
        <f>IF(AND(ISNUMBER(EQ44),ISNUMBER(EO44)),EQ44-EO44,"")</f>
        <v>0</v>
      </c>
      <c r="EQ44" s="33">
        <v>2</v>
      </c>
      <c r="ER44" s="34">
        <f>IF(AND(ISNUMBER(ES44),ISNUMBER(EQ44)),ES44-EQ44,"")</f>
        <v>0</v>
      </c>
      <c r="ES44" s="33">
        <v>4</v>
      </c>
      <c r="ET44" s="34">
        <f>IF(AND(ISNUMBER(EU44),ISNUMBER(ES44)),EU44-ES44,"")</f>
        <v>0</v>
      </c>
      <c r="EU44" s="33"/>
      <c r="EV44" s="34">
        <f>IF(AND(ISNUMBER(EW44),ISNUMBER(EU44)),EW44-EU44,"")</f>
        <v>0</v>
      </c>
      <c r="EW44" s="33">
        <v>3</v>
      </c>
      <c r="EX44" s="34">
        <f>IF(AND(ISNUMBER(EY44),ISNUMBER(EW44)),EY44-EW44,"")</f>
        <v>0</v>
      </c>
      <c r="EY44" s="33">
        <v>0</v>
      </c>
      <c r="EZ44" s="34">
        <f>IF(AND(ISNUMBER(FA44),ISNUMBER(EY44)),FA44-EY44,"")</f>
        <v>0</v>
      </c>
      <c r="FA44" s="33">
        <v>0</v>
      </c>
      <c r="FB44" s="34">
        <f>IF(AND(ISNUMBER(FC44),ISNUMBER(FA44)),FC44-FA44,"")</f>
        <v>0</v>
      </c>
      <c r="FC44" s="33"/>
      <c r="FD44" s="34">
        <f>IF(AND(ISNUMBER(FE44),ISNUMBER(FC44)),FE44-FC44,"")</f>
        <v>0</v>
      </c>
      <c r="FE44" s="33"/>
      <c r="FF44" s="34">
        <f>IF(AND(ISNUMBER(FG44),ISNUMBER(FE44)),FG44-FE44,"")</f>
        <v>0</v>
      </c>
      <c r="FG44" s="33"/>
      <c r="FH44" s="34">
        <f>IF(AND(ISNUMBER(FI44),ISNUMBER(FG44)),FI44-FG44,"")</f>
        <v>0</v>
      </c>
      <c r="FI44" s="33"/>
      <c r="FJ44" s="34">
        <f>IF(AND(ISNUMBER(FK44),ISNUMBER(FI44)),FK44-FI44,"")</f>
        <v>0</v>
      </c>
      <c r="FK44" s="33"/>
      <c r="FL44" s="34">
        <f>IF(AND(ISNUMBER(FM44),ISNUMBER(FK44)),FM44-FK44,"")</f>
        <v>0</v>
      </c>
      <c r="FM44" s="33"/>
      <c r="FN44" s="34">
        <f>IF(AND(ISNUMBER(FO44),ISNUMBER(FM44)),FO44-FM44,"")</f>
        <v>0</v>
      </c>
      <c r="FO44" s="33"/>
      <c r="FP44" s="34">
        <f>IF(AND(ISNUMBER(FQ44),ISNUMBER(FO44)),FQ44-FO44,"")</f>
        <v>0</v>
      </c>
      <c r="FQ44" s="33"/>
      <c r="FR44" s="34">
        <f>IF(AND(ISNUMBER(FS44),ISNUMBER(FQ44)),FS44-FQ44,"")</f>
        <v>0</v>
      </c>
      <c r="FS44" s="33"/>
      <c r="FT44" s="34">
        <f>IF(AND(ISNUMBER(FU44),ISNUMBER(FS44)),FU44-FS44,"")</f>
        <v>0</v>
      </c>
      <c r="FU44" s="33"/>
      <c r="FV44" s="34">
        <f>IF(AND(ISNUMBER(FW44),ISNUMBER(FU44)),FW44-FU44,"")</f>
        <v>0</v>
      </c>
      <c r="FW44" s="33"/>
      <c r="FX44" s="34">
        <f>IF(AND(ISNUMBER(FY44),ISNUMBER(FW44)),FY44-FW44,"")</f>
        <v>0</v>
      </c>
      <c r="FY44" s="33"/>
      <c r="FZ44" s="34">
        <f>IF(AND(ISNUMBER(GA44),ISNUMBER(FY44)),GA44-FY44,"")</f>
        <v>0</v>
      </c>
      <c r="GA44" s="33"/>
      <c r="GB44" s="34">
        <f>IF(AND(ISNUMBER(GC44),ISNUMBER(GA44)),GC44-GA44,"")</f>
        <v>0</v>
      </c>
      <c r="GC44" s="33"/>
      <c r="GD44" s="34">
        <f>IF(AND(ISNUMBER(GE44),ISNUMBER(GC44)),GE44-GC44,"")</f>
        <v>0</v>
      </c>
      <c r="GE44" s="33"/>
      <c r="GF44" s="34">
        <f>IF(AND(ISNUMBER(GG44),ISNUMBER(GE44)),GG44-GE44,"")</f>
        <v>0</v>
      </c>
      <c r="GG44" s="33"/>
      <c r="GH44" s="34">
        <f>IF(AND(ISNUMBER(GI44),ISNUMBER(GG44)),GI44-GG44,"")</f>
        <v>0</v>
      </c>
      <c r="GI44" s="33"/>
      <c r="GJ44" s="34">
        <f>IF(AND(ISNUMBER(GK44),ISNUMBER(GI44)),GK44-GI44,"")</f>
        <v>0</v>
      </c>
      <c r="GK44" s="33"/>
      <c r="GL44" s="34">
        <f>IF(AND(ISNUMBER(GM44),ISNUMBER(GK44)),GM44-GK44,"")</f>
        <v>0</v>
      </c>
      <c r="GM44" s="33"/>
      <c r="GN44" s="34">
        <f>IF(AND(ISNUMBER(GO44),ISNUMBER(GM44)),GO44-GM44,"")</f>
        <v>0</v>
      </c>
      <c r="GO44" s="33"/>
      <c r="GP44" s="34">
        <f>IF(AND(ISNUMBER(GQ44),ISNUMBER(GO44)),GQ44-GO44,"")</f>
        <v>0</v>
      </c>
      <c r="GQ44" s="33"/>
      <c r="GR44" s="34">
        <f>IF(AND(ISNUMBER(GS44),ISNUMBER(GQ44)),GS44-GQ44,"")</f>
        <v>0</v>
      </c>
      <c r="GS44" s="33"/>
      <c r="GT44" s="34">
        <f>IF(AND(ISNUMBER(GU44),ISNUMBER(GS44)),GU44-GS44,"")</f>
        <v>0</v>
      </c>
      <c r="GU44" s="33"/>
      <c r="GV44" s="34">
        <f>IF(AND(ISNUMBER(GW44),ISNUMBER(GU44)),GW44-GU44,"")</f>
        <v>0</v>
      </c>
      <c r="GW44" s="33"/>
      <c r="GX44" s="34">
        <f>IF(AND(ISNUMBER(GY44),ISNUMBER(GW44)),GY44-GW44,"")</f>
        <v>0</v>
      </c>
      <c r="GY44" s="33"/>
      <c r="GZ44" s="34">
        <f>IF(AND(ISNUMBER(HA44),ISNUMBER(GY44)),HA44-GY44,"")</f>
        <v>0</v>
      </c>
      <c r="HA44" s="33"/>
      <c r="HB44" s="34">
        <f>IF(AND(ISNUMBER(HC44),ISNUMBER(HA44)),HC44-HA44,"")</f>
        <v>0</v>
      </c>
      <c r="HC44" s="33"/>
      <c r="HD44" s="34">
        <f>IF(AND(ISNUMBER(HE44),ISNUMBER(HC44)),HE44-HC44,"")</f>
        <v>0</v>
      </c>
      <c r="HE44" s="33"/>
      <c r="HF44" s="34">
        <f>IF(AND(ISNUMBER(HG44),ISNUMBER(HE44)),HG44-HE44,"")</f>
        <v>0</v>
      </c>
      <c r="HG44" s="33"/>
      <c r="HH44" s="34">
        <f>IF(AND(ISNUMBER(HI44),ISNUMBER(HG44)),HI44-HG44,"")</f>
        <v>0</v>
      </c>
      <c r="HI44" s="33"/>
      <c r="HJ44" s="34">
        <f>IF(AND(ISNUMBER(HK44),ISNUMBER(HI44)),HK44-HI44,"")</f>
        <v>0</v>
      </c>
      <c r="HK44" s="33"/>
      <c r="HL44" s="34">
        <f>IF(AND(ISNUMBER(HM44),ISNUMBER(HK44)),HM44-HK44,"")</f>
        <v>0</v>
      </c>
      <c r="HM44" s="33"/>
      <c r="HN44" s="34">
        <f>IF(AND(ISNUMBER(HO44),ISNUMBER(HM44)),HO44-HM44,"")</f>
        <v>0</v>
      </c>
      <c r="HO44" s="33"/>
      <c r="HP44" s="34">
        <f>IF(AND(ISNUMBER(HQ44),ISNUMBER(HO44)),HQ44-HO44,"")</f>
        <v>0</v>
      </c>
      <c r="HQ44" s="33"/>
      <c r="HR44" s="34">
        <f>IF(AND(ISNUMBER(HS44),ISNUMBER(HQ44)),HS44-HQ44,"")</f>
        <v>0</v>
      </c>
      <c r="HS44" s="33"/>
      <c r="HT44" s="34">
        <f>IF(AND(ISNUMBER(HU44),ISNUMBER(HS44)),HU44-HS44,"")</f>
        <v>0</v>
      </c>
      <c r="HU44" s="33"/>
      <c r="HV44" s="34">
        <f>IF(AND(ISNUMBER(HW44),ISNUMBER(HU44)),HW44-HU44,"")</f>
        <v>0</v>
      </c>
      <c r="HW44" s="33"/>
      <c r="HX44" s="34">
        <f>IF(AND(ISNUMBER(HY44),ISNUMBER(HW44)),HY44-HW44,"")</f>
        <v>0</v>
      </c>
      <c r="HY44" s="33"/>
      <c r="HZ44" s="34">
        <f>IF(AND(ISNUMBER(IA44),ISNUMBER(HY44)),IA44-HY44,"")</f>
        <v>0</v>
      </c>
      <c r="IA44" s="33"/>
      <c r="IB44" s="34">
        <f>IF(AND(ISNUMBER(IC44),ISNUMBER(IA44)),IC44-IA44,"")</f>
        <v>0</v>
      </c>
      <c r="IC44" s="33"/>
      <c r="ID44" s="34">
        <f>IF(AND(ISNUMBER(IE44),ISNUMBER(IC44)),IE44-IC44,"")</f>
        <v>0</v>
      </c>
      <c r="IE44" s="33"/>
      <c r="IF44" s="34">
        <f>IF(AND(ISNUMBER(IG44),ISNUMBER(IE44)),IG44-IE44,"")</f>
        <v>0</v>
      </c>
      <c r="IG44" s="33"/>
      <c r="IH44" s="34">
        <f>IF(AND(ISNUMBER(II44),ISNUMBER(IG44)),II44-IG44,"")</f>
        <v>0</v>
      </c>
      <c r="II44" s="33"/>
      <c r="IJ44" s="34">
        <f>IF(AND(ISNUMBER(IK44),ISNUMBER(II44)),IK44-II44,"")</f>
        <v>0</v>
      </c>
      <c r="IK44" s="33"/>
      <c r="IL44" s="34">
        <f>IF(AND(ISNUMBER(IM44),ISNUMBER(IK44)),IM44-IK44,"")</f>
        <v>0</v>
      </c>
      <c r="IM44" s="33"/>
      <c r="IN44" s="34">
        <f>IF(AND(ISNUMBER(IO44),ISNUMBER(IM44)),IO44-IM44,"")</f>
        <v>0</v>
      </c>
      <c r="IO44" s="33"/>
      <c r="IP44" s="34">
        <f>IF(AND(ISNUMBER(IQ44),ISNUMBER(IO44)),IQ44-IO44,"")</f>
        <v>0</v>
      </c>
      <c r="IQ44" s="33"/>
      <c r="IR44" s="34">
        <f>IF(AND(ISNUMBER(IS44),ISNUMBER(IQ44)),IS44-IQ44,"")</f>
        <v>0</v>
      </c>
      <c r="IS44" s="33"/>
      <c r="IT44" s="34">
        <f>IF(AND(ISNUMBER(IU44),ISNUMBER(IS44)),IU44-IS44,"")</f>
        <v>0</v>
      </c>
      <c r="IU44" s="33"/>
      <c r="IV44" s="34">
        <f>IF(AND(ISNUMBER(IW44),ISNUMBER(IU44)),IW44-IU44,"")</f>
        <v>0</v>
      </c>
      <c r="IW44" s="33"/>
      <c r="IX44" s="34">
        <f>IF(AND(ISNUMBER(IY44),ISNUMBER(IW44)),IY44-IW44,"")</f>
        <v>0</v>
      </c>
      <c r="IY44" s="33"/>
      <c r="IZ44" s="34">
        <f>IF(AND(ISNUMBER(JA44),ISNUMBER(IY44)),JA44-IY44,"")</f>
        <v>0</v>
      </c>
      <c r="JA44" s="33"/>
      <c r="JB44" s="34">
        <f>IF(AND(ISNUMBER(JC44),ISNUMBER(JA44)),JC44-JA44,"")</f>
        <v>0</v>
      </c>
      <c r="JC44" s="33"/>
      <c r="JD44" s="34">
        <f>IF(AND(ISNUMBER(JE44),ISNUMBER(JC44)),JE44-JC44,"")</f>
        <v>0</v>
      </c>
      <c r="JE44" s="33"/>
      <c r="JF44" s="34">
        <f>IF(AND(ISNUMBER(JG44),ISNUMBER(JE44)),JG44-JE44,"")</f>
        <v>0</v>
      </c>
      <c r="JG44" s="33"/>
      <c r="JH44" s="34">
        <f>IF(AND(ISNUMBER(JI44),ISNUMBER(JG44)),JI44-JG44,"")</f>
        <v>0</v>
      </c>
      <c r="JI44" s="33"/>
      <c r="JJ44" s="34">
        <f>IF(AND(ISNUMBER(JK44),ISNUMBER(JI44)),JK44-JI44,"")</f>
        <v>0</v>
      </c>
      <c r="JK44" s="33"/>
      <c r="JL44" s="34">
        <f>IF(AND(ISNUMBER(JM44),ISNUMBER(JK44)),JM44-JK44,"")</f>
        <v>0</v>
      </c>
      <c r="JM44" s="33"/>
      <c r="JN44" s="34">
        <f>IF(AND(ISNUMBER(JO44),ISNUMBER(JM44)),JO44-JM44,"")</f>
        <v>0</v>
      </c>
      <c r="JO44" s="33"/>
      <c r="JP44" s="34">
        <f>IF(AND(ISNUMBER(JQ44),ISNUMBER(JO44)),JQ44-JO44,"")</f>
        <v>0</v>
      </c>
      <c r="JQ44" s="33"/>
      <c r="JR44" s="34">
        <f>IF(AND(ISNUMBER(JS44),ISNUMBER(JQ44)),JS44-JQ44,"")</f>
        <v>0</v>
      </c>
      <c r="JS44" s="33"/>
      <c r="JT44" s="34">
        <f>IF(AND(ISNUMBER(JU44),ISNUMBER(JS44)),JU44-JS44,"")</f>
        <v>0</v>
      </c>
      <c r="JU44" s="33"/>
      <c r="JV44" s="34">
        <f>IF(AND(ISNUMBER(JW44),ISNUMBER(JU44)),JW44-JU44,"")</f>
        <v>0</v>
      </c>
      <c r="JW44" s="33"/>
      <c r="JX44" s="34">
        <f>IF(AND(ISNUMBER(JY44),ISNUMBER(JW44)),JY44-JW44,"")</f>
        <v>0</v>
      </c>
      <c r="JY44" s="33"/>
      <c r="JZ44" s="34">
        <f>IF(AND(ISNUMBER(KA44),ISNUMBER(JY44)),KA44-JY44,"")</f>
        <v>0</v>
      </c>
      <c r="KA44" s="33"/>
      <c r="KB44" s="34">
        <f>IF(AND(ISNUMBER(KC44),ISNUMBER(KA44)),KC44-KA44,"")</f>
        <v>0</v>
      </c>
      <c r="KC44" s="33"/>
      <c r="KD44" s="34">
        <f>IF(AND(ISNUMBER(KE44),ISNUMBER(KC44)),KE44-KC44,"")</f>
        <v>0</v>
      </c>
      <c r="KE44" s="33"/>
      <c r="KF44" s="34">
        <f>IF(AND(ISNUMBER(KG44),ISNUMBER(KE44)),KG44-KE44,"")</f>
        <v>0</v>
      </c>
      <c r="KG44" s="33"/>
      <c r="KH44" s="34">
        <f>IF(AND(ISNUMBER(KI44),ISNUMBER(KG44)),KI44-KG44,"")</f>
        <v>0</v>
      </c>
      <c r="KI44" s="33"/>
      <c r="KJ44" s="34">
        <f>IF(AND(ISNUMBER(KK44),ISNUMBER(KI44)),KK44-KI44,"")</f>
        <v>0</v>
      </c>
      <c r="KK44" s="33"/>
      <c r="KL44" s="34">
        <f>IF(AND(ISNUMBER(KM44),ISNUMBER(KK44)),KM44-KK44,"")</f>
        <v>0</v>
      </c>
      <c r="KM44" s="33"/>
      <c r="KN44" s="34">
        <f>IF(AND(ISNUMBER(KO44),ISNUMBER(KM44)),KO44-KM44,"")</f>
        <v>0</v>
      </c>
      <c r="KO44" s="33"/>
      <c r="KP44" s="34">
        <f>IF(AND(ISNUMBER(KQ44),ISNUMBER(KO44)),KQ44-KO44,"")</f>
        <v>0</v>
      </c>
      <c r="KQ44" s="33"/>
      <c r="KR44" s="34">
        <f>IF(AND(ISNUMBER(KS44),ISNUMBER(KQ44)),KS44-KQ44,"")</f>
        <v>0</v>
      </c>
      <c r="KS44" s="33"/>
      <c r="KT44" s="34">
        <f>IF(AND(ISNUMBER(KU44),ISNUMBER(KS44)),KU44-KS44,"")</f>
        <v>0</v>
      </c>
      <c r="KU44" s="33"/>
      <c r="KV44" s="34">
        <f>IF(AND(ISNUMBER(KW44),ISNUMBER(KU44)),KW44-KU44,"")</f>
        <v>0</v>
      </c>
      <c r="KW44" s="33"/>
      <c r="KX44" s="34">
        <f>IF(AND(ISNUMBER(KY44),ISNUMBER(KW44)),KY44-KW44,"")</f>
        <v>0</v>
      </c>
      <c r="KY44" s="33"/>
      <c r="KZ44" s="34">
        <f>IF(AND(ISNUMBER(LA44),ISNUMBER(KY44)),LA44-KY44,"")</f>
        <v>0</v>
      </c>
      <c r="LA44" s="33"/>
      <c r="LB44" s="34">
        <f>IF(AND(ISNUMBER(LC44),ISNUMBER(LA44)),LC44-LA44,"")</f>
        <v>0</v>
      </c>
      <c r="LC44" s="33"/>
      <c r="LD44" s="34">
        <f>IF(AND(ISNUMBER(LE44),ISNUMBER(LC44)),LE44-LC44,"")</f>
        <v>0</v>
      </c>
      <c r="LE44" s="33"/>
      <c r="LF44" s="34">
        <f>IF(AND(ISNUMBER(LG44),ISNUMBER(LE44)),LG44-LE44,"")</f>
        <v>0</v>
      </c>
      <c r="LG44" s="33"/>
    </row>
    <row r="45" spans="1:322" hidden="1" outlineLevel="1">
      <c r="B45" s="23"/>
      <c r="D45" s="31" t="s">
        <v>723</v>
      </c>
      <c r="E45" s="32" t="s">
        <v>1052</v>
      </c>
      <c r="I45" s="40" t="s">
        <v>1078</v>
      </c>
      <c r="J45" s="34">
        <f>IF(AND(ISNUMBER(K45),ISNUMBER(I45)),K45-I45,"")</f>
        <v>0</v>
      </c>
      <c r="K45" s="40" t="s">
        <v>1078</v>
      </c>
      <c r="L45" s="34">
        <f>IF(AND(ISNUMBER(M45),ISNUMBER(K45)),M45-K45,"")</f>
        <v>0</v>
      </c>
      <c r="M45" s="40" t="s">
        <v>1078</v>
      </c>
      <c r="N45" s="34">
        <f>IF(AND(ISNUMBER(O45),ISNUMBER(M45)),O45-M45,"")</f>
        <v>0</v>
      </c>
      <c r="O45" s="40" t="s">
        <v>1078</v>
      </c>
      <c r="P45" s="34">
        <f>IF(AND(ISNUMBER(Q45),ISNUMBER(O45)),Q45-O45,"")</f>
        <v>0</v>
      </c>
      <c r="Q45" s="40" t="s">
        <v>1078</v>
      </c>
      <c r="R45" s="34">
        <f>IF(AND(ISNUMBER(S45),ISNUMBER(Q45)),S45-Q45,"")</f>
        <v>0</v>
      </c>
      <c r="S45" s="40" t="s">
        <v>1078</v>
      </c>
      <c r="T45" s="34">
        <f>IF(AND(ISNUMBER(U45),ISNUMBER(S45)),U45-S45,"")</f>
        <v>0</v>
      </c>
      <c r="U45" s="40" t="s">
        <v>1078</v>
      </c>
      <c r="V45" s="34">
        <f>IF(AND(ISNUMBER(W45),ISNUMBER(U45)),W45-U45,"")</f>
        <v>0</v>
      </c>
      <c r="W45" s="40" t="s">
        <v>1078</v>
      </c>
      <c r="X45" s="34">
        <f>IF(AND(ISNUMBER(Y45),ISNUMBER(W45)),Y45-W45,"")</f>
        <v>0</v>
      </c>
      <c r="Y45" s="40" t="s">
        <v>1078</v>
      </c>
      <c r="Z45" s="34">
        <f>IF(AND(ISNUMBER(AA45),ISNUMBER(Y45)),AA45-Y45,"")</f>
        <v>0</v>
      </c>
      <c r="AA45" s="40" t="s">
        <v>1078</v>
      </c>
      <c r="AB45" s="34">
        <f>IF(AND(ISNUMBER(AC45),ISNUMBER(AA45)),AC45-AA45,"")</f>
        <v>0</v>
      </c>
      <c r="AC45" s="33">
        <v>1</v>
      </c>
      <c r="AD45" s="34">
        <f>IF(AND(ISNUMBER(AE45),ISNUMBER(AC45)),AE45-AC45,"")</f>
        <v>0</v>
      </c>
      <c r="AE45" s="40" t="s">
        <v>1078</v>
      </c>
      <c r="AF45" s="34">
        <f>IF(AND(ISNUMBER(AG45),ISNUMBER(AE45)),AG45-AE45,"")</f>
        <v>0</v>
      </c>
      <c r="AG45" s="40" t="s">
        <v>1078</v>
      </c>
      <c r="AH45" s="34">
        <f>IF(AND(ISNUMBER(AI45),ISNUMBER(AG45)),AI45-AG45,"")</f>
        <v>0</v>
      </c>
      <c r="AI45" s="40" t="s">
        <v>1078</v>
      </c>
      <c r="AJ45" s="34">
        <f>IF(AND(ISNUMBER(AK45),ISNUMBER(AI45)),AK45-AI45,"")</f>
        <v>0</v>
      </c>
      <c r="AK45" s="40" t="s">
        <v>1078</v>
      </c>
      <c r="AL45" s="34">
        <f>IF(AND(ISNUMBER(AM45),ISNUMBER(AK45)),AM45-AK45,"")</f>
        <v>0</v>
      </c>
      <c r="AM45" s="40" t="s">
        <v>1078</v>
      </c>
      <c r="AN45" s="34">
        <f>IF(AND(ISNUMBER(AO45),ISNUMBER(AM45)),AO45-AM45,"")</f>
        <v>0</v>
      </c>
      <c r="AO45" s="40" t="s">
        <v>1078</v>
      </c>
      <c r="AP45" s="34">
        <f>IF(AND(ISNUMBER(AQ45),ISNUMBER(AO45)),AQ45-AO45,"")</f>
        <v>0</v>
      </c>
      <c r="AQ45" s="33">
        <v>3</v>
      </c>
      <c r="AR45" s="34">
        <f>IF(AND(ISNUMBER(AS45),ISNUMBER(AQ45)),AS45-AQ45,"")</f>
        <v>0</v>
      </c>
      <c r="AS45" s="33">
        <v>0</v>
      </c>
      <c r="AT45" s="34">
        <f>IF(AND(ISNUMBER(AU45),ISNUMBER(AS45)),AU45-AS45,"")</f>
        <v>0</v>
      </c>
      <c r="AU45" s="33">
        <v>2</v>
      </c>
      <c r="AV45" s="34">
        <f>IF(AND(ISNUMBER(AW45),ISNUMBER(AU45)),AW45-AU45,"")</f>
        <v>0</v>
      </c>
      <c r="AW45" s="33">
        <v>1</v>
      </c>
      <c r="AX45" s="34">
        <f>IF(AND(ISNUMBER(AY45),ISNUMBER(AW45)),AY45-AW45,"")</f>
        <v>0</v>
      </c>
      <c r="AY45" s="33">
        <v>1</v>
      </c>
      <c r="AZ45" s="34">
        <f>IF(AND(ISNUMBER(BA45),ISNUMBER(AY45)),BA45-AY45,"")</f>
        <v>0</v>
      </c>
      <c r="BA45" s="33">
        <v>0</v>
      </c>
      <c r="BB45" s="34">
        <f>IF(AND(ISNUMBER(BC45),ISNUMBER(BA45)),BC45-BA45,"")</f>
        <v>0</v>
      </c>
      <c r="BC45" s="33">
        <v>0</v>
      </c>
      <c r="BD45" s="34">
        <f>IF(AND(ISNUMBER(BE45),ISNUMBER(BC45)),BE45-BC45,"")</f>
        <v>0</v>
      </c>
      <c r="BE45" s="33">
        <v>0</v>
      </c>
      <c r="BF45" s="34">
        <f>IF(AND(ISNUMBER(BG45),ISNUMBER(BE45)),BG45-BE45,"")</f>
        <v>0</v>
      </c>
      <c r="BG45" s="33">
        <v>0</v>
      </c>
      <c r="BH45" s="34">
        <f>IF(AND(ISNUMBER(BI45),ISNUMBER(BG45)),BI45-BG45,"")</f>
        <v>0</v>
      </c>
      <c r="BI45" s="33">
        <v>0</v>
      </c>
      <c r="BJ45" s="34">
        <f>IF(AND(ISNUMBER(BK45),ISNUMBER(BI45)),BK45-BI45,"")</f>
        <v>0</v>
      </c>
      <c r="BK45" s="33">
        <v>2</v>
      </c>
      <c r="BL45" s="34">
        <f>IF(AND(ISNUMBER(BM45),ISNUMBER(BK45)),BM45-BK45,"")</f>
        <v>0</v>
      </c>
      <c r="BM45" s="33">
        <v>0</v>
      </c>
      <c r="BN45" s="34">
        <f>IF(AND(ISNUMBER(BO45),ISNUMBER(BM45)),BO45-BM45,"")</f>
        <v>0</v>
      </c>
      <c r="BO45" s="33">
        <v>0</v>
      </c>
      <c r="BP45" s="34">
        <f>IF(AND(ISNUMBER(BQ45),ISNUMBER(BO45)),BQ45-BO45,"")</f>
        <v>0</v>
      </c>
      <c r="BQ45" s="33">
        <v>0</v>
      </c>
      <c r="BR45" s="34">
        <f>IF(AND(ISNUMBER(BS45),ISNUMBER(BQ45)),BS45-BQ45,"")</f>
        <v>0</v>
      </c>
      <c r="BS45" s="33">
        <v>0</v>
      </c>
      <c r="BT45" s="34">
        <f>IF(AND(ISNUMBER(BU45),ISNUMBER(BS45)),BU45-BS45,"")</f>
        <v>0</v>
      </c>
      <c r="BU45" s="33">
        <v>0</v>
      </c>
      <c r="BV45" s="34">
        <f>IF(AND(ISNUMBER(BW45),ISNUMBER(BU45)),BW45-BU45,"")</f>
        <v>0</v>
      </c>
      <c r="BW45" s="33">
        <v>2</v>
      </c>
      <c r="BX45" s="34">
        <f>IF(AND(ISNUMBER(BY45),ISNUMBER(BW45)),BY45-BW45,"")</f>
        <v>0</v>
      </c>
      <c r="BY45" s="33">
        <v>1</v>
      </c>
      <c r="BZ45" s="34">
        <f>IF(AND(ISNUMBER(CA45),ISNUMBER(BY45)),CA45-BY45,"")</f>
        <v>0</v>
      </c>
      <c r="CA45" s="33">
        <v>0</v>
      </c>
      <c r="CB45" s="34">
        <f>IF(AND(ISNUMBER(CC45),ISNUMBER(CA45)),CC45-CA45,"")</f>
        <v>0</v>
      </c>
      <c r="CC45" s="33">
        <v>0</v>
      </c>
      <c r="CD45" s="34">
        <f>IF(AND(ISNUMBER(CE45),ISNUMBER(CC45)),CE45-CC45,"")</f>
        <v>0</v>
      </c>
      <c r="CE45" s="33">
        <v>10</v>
      </c>
      <c r="CF45" s="34">
        <f>IF(AND(ISNUMBER(CG45),ISNUMBER(CE45)),CG45-CE45,"")</f>
        <v>0</v>
      </c>
      <c r="CG45" s="33">
        <v>2</v>
      </c>
      <c r="CH45" s="34">
        <f>IF(AND(ISNUMBER(CI45),ISNUMBER(CG45)),CI45-CG45,"")</f>
        <v>0</v>
      </c>
      <c r="CI45" s="33">
        <v>3</v>
      </c>
      <c r="CJ45" s="34">
        <f>IF(AND(ISNUMBER(CK45),ISNUMBER(CI45)),CK45-CI45,"")</f>
        <v>0</v>
      </c>
      <c r="CK45" s="33">
        <v>3</v>
      </c>
      <c r="CL45" s="34">
        <f>IF(AND(ISNUMBER(CM45),ISNUMBER(CK45)),CM45-CK45,"")</f>
        <v>0</v>
      </c>
      <c r="CM45" s="33">
        <v>2</v>
      </c>
      <c r="CN45" s="34">
        <f>IF(AND(ISNUMBER(CO45),ISNUMBER(CM45)),CO45-CM45,"")</f>
        <v>0</v>
      </c>
      <c r="CO45" s="33">
        <v>3</v>
      </c>
      <c r="CP45" s="34">
        <f>IF(AND(ISNUMBER(CQ45),ISNUMBER(CO45)),CQ45-CO45,"")</f>
        <v>0</v>
      </c>
      <c r="CQ45" s="33">
        <v>2</v>
      </c>
      <c r="CR45" s="34">
        <f>IF(AND(ISNUMBER(CS45),ISNUMBER(CQ45)),CS45-CQ45,"")</f>
        <v>0</v>
      </c>
      <c r="CS45" s="33">
        <v>1</v>
      </c>
      <c r="CT45" s="34">
        <f>IF(AND(ISNUMBER(CU45),ISNUMBER(CS45)),CU45-CS45,"")</f>
        <v>0</v>
      </c>
      <c r="CU45" s="33">
        <v>0</v>
      </c>
      <c r="CV45" s="34">
        <f>IF(AND(ISNUMBER(CW45),ISNUMBER(CU45)),CW45-CU45,"")</f>
        <v>0</v>
      </c>
      <c r="CW45" s="33">
        <v>0</v>
      </c>
      <c r="CX45" s="34">
        <f>IF(AND(ISNUMBER(CY45),ISNUMBER(CW45)),CY45-CW45,"")</f>
        <v>0</v>
      </c>
      <c r="CY45" s="33">
        <v>2</v>
      </c>
      <c r="CZ45" s="34">
        <f>IF(AND(ISNUMBER(DA45),ISNUMBER(CY45)),DA45-CY45,"")</f>
        <v>0</v>
      </c>
      <c r="DA45" s="33">
        <v>4</v>
      </c>
      <c r="DB45" s="34">
        <f>IF(AND(ISNUMBER(DC45),ISNUMBER(DA45)),DC45-DA45,"")</f>
        <v>0</v>
      </c>
      <c r="DC45" s="33">
        <v>1</v>
      </c>
      <c r="DD45" s="34">
        <f>IF(AND(ISNUMBER(DE45),ISNUMBER(DC45)),DE45-DC45,"")</f>
        <v>0</v>
      </c>
      <c r="DE45" s="33">
        <v>1</v>
      </c>
      <c r="DF45" s="34">
        <f>IF(AND(ISNUMBER(DG45),ISNUMBER(DE45)),DG45-DE45,"")</f>
        <v>0</v>
      </c>
      <c r="DG45" s="33">
        <v>0</v>
      </c>
      <c r="DH45" s="34">
        <f>IF(AND(ISNUMBER(DI45),ISNUMBER(DG45)),DI45-DG45,"")</f>
        <v>0</v>
      </c>
      <c r="DI45" s="33">
        <v>4</v>
      </c>
      <c r="DJ45" s="34">
        <f>IF(AND(ISNUMBER(DK45),ISNUMBER(DI45)),DK45-DI45,"")</f>
        <v>0</v>
      </c>
      <c r="DK45" s="33">
        <v>1</v>
      </c>
      <c r="DL45" s="34">
        <f>IF(AND(ISNUMBER(DM45),ISNUMBER(DK45)),DM45-DK45,"")</f>
        <v>0</v>
      </c>
      <c r="DM45" s="33">
        <v>1</v>
      </c>
      <c r="DN45" s="34">
        <f>IF(AND(ISNUMBER(DO45),ISNUMBER(DM45)),DO45-DM45,"")</f>
        <v>0</v>
      </c>
      <c r="DO45" s="33">
        <v>3</v>
      </c>
      <c r="DP45" s="34">
        <f>IF(AND(ISNUMBER(DQ45),ISNUMBER(DO45)),DQ45-DO45,"")</f>
        <v>0</v>
      </c>
      <c r="DQ45" s="33">
        <v>1</v>
      </c>
      <c r="DR45" s="34">
        <f>IF(AND(ISNUMBER(DS45),ISNUMBER(DQ45)),DS45-DQ45,"")</f>
        <v>0</v>
      </c>
      <c r="DS45" s="33"/>
      <c r="DT45" s="34">
        <f>IF(AND(ISNUMBER(DU45),ISNUMBER(DS45)),DU45-DS45,"")</f>
        <v>0</v>
      </c>
      <c r="DU45" s="33">
        <v>1</v>
      </c>
      <c r="DV45" s="34">
        <f>IF(AND(ISNUMBER(DW45),ISNUMBER(DU45)),DW45-DU45,"")</f>
        <v>0</v>
      </c>
      <c r="DW45" s="33">
        <v>0</v>
      </c>
      <c r="DX45" s="34">
        <f>IF(AND(ISNUMBER(DY45),ISNUMBER(DW45)),DY45-DW45,"")</f>
        <v>0</v>
      </c>
      <c r="DY45" s="33"/>
      <c r="DZ45" s="34">
        <f>IF(AND(ISNUMBER(EA45),ISNUMBER(DY45)),EA45-DY45,"")</f>
        <v>0</v>
      </c>
      <c r="EA45" s="33">
        <v>1</v>
      </c>
      <c r="EB45" s="34">
        <f>IF(AND(ISNUMBER(EC45),ISNUMBER(EA45)),EC45-EA45,"")</f>
        <v>0</v>
      </c>
      <c r="EC45" s="33">
        <v>2</v>
      </c>
      <c r="ED45" s="34">
        <f>IF(AND(ISNUMBER(EE45),ISNUMBER(EC45)),EE45-EC45,"")</f>
        <v>0</v>
      </c>
      <c r="EE45" s="33">
        <v>1</v>
      </c>
      <c r="EF45" s="34">
        <f>IF(AND(ISNUMBER(EG45),ISNUMBER(EE45)),EG45-EE45,"")</f>
        <v>0</v>
      </c>
      <c r="EG45" s="33">
        <v>3</v>
      </c>
      <c r="EH45" s="34">
        <f>IF(AND(ISNUMBER(EI45),ISNUMBER(EG45)),EI45-EG45,"")</f>
        <v>0</v>
      </c>
      <c r="EI45" s="33"/>
      <c r="EJ45" s="34">
        <f>IF(AND(ISNUMBER(EK45),ISNUMBER(EI45)),EK45-EI45,"")</f>
        <v>0</v>
      </c>
      <c r="EK45" s="33"/>
      <c r="EL45" s="34">
        <f>IF(AND(ISNUMBER(EM45),ISNUMBER(EK45)),EM45-EK45,"")</f>
        <v>0</v>
      </c>
      <c r="EM45" s="33">
        <v>3</v>
      </c>
      <c r="EN45" s="34">
        <f>IF(AND(ISNUMBER(EO45),ISNUMBER(EM45)),EO45-EM45,"")</f>
        <v>0</v>
      </c>
      <c r="EO45" s="33">
        <v>6</v>
      </c>
      <c r="EP45" s="34">
        <f>IF(AND(ISNUMBER(EQ45),ISNUMBER(EO45)),EQ45-EO45,"")</f>
        <v>0</v>
      </c>
      <c r="EQ45" s="33">
        <v>9</v>
      </c>
      <c r="ER45" s="34">
        <f>IF(AND(ISNUMBER(ES45),ISNUMBER(EQ45)),ES45-EQ45,"")</f>
        <v>0</v>
      </c>
      <c r="ES45" s="33">
        <v>10</v>
      </c>
      <c r="ET45" s="34">
        <f>IF(AND(ISNUMBER(EU45),ISNUMBER(ES45)),EU45-ES45,"")</f>
        <v>0</v>
      </c>
      <c r="EU45" s="33"/>
      <c r="EV45" s="34">
        <f>IF(AND(ISNUMBER(EW45),ISNUMBER(EU45)),EW45-EU45,"")</f>
        <v>0</v>
      </c>
      <c r="EW45" s="33">
        <v>2</v>
      </c>
      <c r="EX45" s="34">
        <f>IF(AND(ISNUMBER(EY45),ISNUMBER(EW45)),EY45-EW45,"")</f>
        <v>0</v>
      </c>
      <c r="EY45" s="33">
        <v>7</v>
      </c>
      <c r="EZ45" s="34">
        <f>IF(AND(ISNUMBER(FA45),ISNUMBER(EY45)),FA45-EY45,"")</f>
        <v>0</v>
      </c>
      <c r="FA45" s="33">
        <v>1</v>
      </c>
      <c r="FB45" s="34">
        <f>IF(AND(ISNUMBER(FC45),ISNUMBER(FA45)),FC45-FA45,"")</f>
        <v>0</v>
      </c>
      <c r="FC45" s="33"/>
      <c r="FD45" s="34">
        <f>IF(AND(ISNUMBER(FE45),ISNUMBER(FC45)),FE45-FC45,"")</f>
        <v>0</v>
      </c>
      <c r="FE45" s="33"/>
      <c r="FF45" s="34">
        <f>IF(AND(ISNUMBER(FG45),ISNUMBER(FE45)),FG45-FE45,"")</f>
        <v>0</v>
      </c>
      <c r="FG45" s="33"/>
      <c r="FH45" s="34">
        <f>IF(AND(ISNUMBER(FI45),ISNUMBER(FG45)),FI45-FG45,"")</f>
        <v>0</v>
      </c>
      <c r="FI45" s="33"/>
      <c r="FJ45" s="34">
        <f>IF(AND(ISNUMBER(FK45),ISNUMBER(FI45)),FK45-FI45,"")</f>
        <v>0</v>
      </c>
      <c r="FK45" s="33"/>
      <c r="FL45" s="34">
        <f>IF(AND(ISNUMBER(FM45),ISNUMBER(FK45)),FM45-FK45,"")</f>
        <v>0</v>
      </c>
      <c r="FM45" s="33"/>
      <c r="FN45" s="34">
        <f>IF(AND(ISNUMBER(FO45),ISNUMBER(FM45)),FO45-FM45,"")</f>
        <v>0</v>
      </c>
      <c r="FO45" s="33"/>
      <c r="FP45" s="34">
        <f>IF(AND(ISNUMBER(FQ45),ISNUMBER(FO45)),FQ45-FO45,"")</f>
        <v>0</v>
      </c>
      <c r="FQ45" s="33"/>
      <c r="FR45" s="34">
        <f>IF(AND(ISNUMBER(FS45),ISNUMBER(FQ45)),FS45-FQ45,"")</f>
        <v>0</v>
      </c>
      <c r="FS45" s="33"/>
      <c r="FT45" s="34">
        <f>IF(AND(ISNUMBER(FU45),ISNUMBER(FS45)),FU45-FS45,"")</f>
        <v>0</v>
      </c>
      <c r="FU45" s="33"/>
      <c r="FV45" s="34">
        <f>IF(AND(ISNUMBER(FW45),ISNUMBER(FU45)),FW45-FU45,"")</f>
        <v>0</v>
      </c>
      <c r="FW45" s="33"/>
      <c r="FX45" s="34">
        <f>IF(AND(ISNUMBER(FY45),ISNUMBER(FW45)),FY45-FW45,"")</f>
        <v>0</v>
      </c>
      <c r="FY45" s="33"/>
      <c r="FZ45" s="34">
        <f>IF(AND(ISNUMBER(GA45),ISNUMBER(FY45)),GA45-FY45,"")</f>
        <v>0</v>
      </c>
      <c r="GA45" s="33"/>
      <c r="GB45" s="34">
        <f>IF(AND(ISNUMBER(GC45),ISNUMBER(GA45)),GC45-GA45,"")</f>
        <v>0</v>
      </c>
      <c r="GC45" s="33"/>
      <c r="GD45" s="34">
        <f>IF(AND(ISNUMBER(GE45),ISNUMBER(GC45)),GE45-GC45,"")</f>
        <v>0</v>
      </c>
      <c r="GE45" s="33"/>
      <c r="GF45" s="34">
        <f>IF(AND(ISNUMBER(GG45),ISNUMBER(GE45)),GG45-GE45,"")</f>
        <v>0</v>
      </c>
      <c r="GG45" s="33"/>
      <c r="GH45" s="34">
        <f>IF(AND(ISNUMBER(GI45),ISNUMBER(GG45)),GI45-GG45,"")</f>
        <v>0</v>
      </c>
      <c r="GI45" s="33"/>
      <c r="GJ45" s="34">
        <f>IF(AND(ISNUMBER(GK45),ISNUMBER(GI45)),GK45-GI45,"")</f>
        <v>0</v>
      </c>
      <c r="GK45" s="33"/>
      <c r="GL45" s="34">
        <f>IF(AND(ISNUMBER(GM45),ISNUMBER(GK45)),GM45-GK45,"")</f>
        <v>0</v>
      </c>
      <c r="GM45" s="33"/>
      <c r="GN45" s="34">
        <f>IF(AND(ISNUMBER(GO45),ISNUMBER(GM45)),GO45-GM45,"")</f>
        <v>0</v>
      </c>
      <c r="GO45" s="33"/>
      <c r="GP45" s="34">
        <f>IF(AND(ISNUMBER(GQ45),ISNUMBER(GO45)),GQ45-GO45,"")</f>
        <v>0</v>
      </c>
      <c r="GQ45" s="33"/>
      <c r="GR45" s="34">
        <f>IF(AND(ISNUMBER(GS45),ISNUMBER(GQ45)),GS45-GQ45,"")</f>
        <v>0</v>
      </c>
      <c r="GS45" s="33"/>
      <c r="GT45" s="34">
        <f>IF(AND(ISNUMBER(GU45),ISNUMBER(GS45)),GU45-GS45,"")</f>
        <v>0</v>
      </c>
      <c r="GU45" s="33"/>
      <c r="GV45" s="34">
        <f>IF(AND(ISNUMBER(GW45),ISNUMBER(GU45)),GW45-GU45,"")</f>
        <v>0</v>
      </c>
      <c r="GW45" s="33"/>
      <c r="GX45" s="34">
        <f>IF(AND(ISNUMBER(GY45),ISNUMBER(GW45)),GY45-GW45,"")</f>
        <v>0</v>
      </c>
      <c r="GY45" s="33"/>
      <c r="GZ45" s="34">
        <f>IF(AND(ISNUMBER(HA45),ISNUMBER(GY45)),HA45-GY45,"")</f>
        <v>0</v>
      </c>
      <c r="HA45" s="33"/>
      <c r="HB45" s="34">
        <f>IF(AND(ISNUMBER(HC45),ISNUMBER(HA45)),HC45-HA45,"")</f>
        <v>0</v>
      </c>
      <c r="HC45" s="33"/>
      <c r="HD45" s="34">
        <f>IF(AND(ISNUMBER(HE45),ISNUMBER(HC45)),HE45-HC45,"")</f>
        <v>0</v>
      </c>
      <c r="HE45" s="33"/>
      <c r="HF45" s="34">
        <f>IF(AND(ISNUMBER(HG45),ISNUMBER(HE45)),HG45-HE45,"")</f>
        <v>0</v>
      </c>
      <c r="HG45" s="33"/>
      <c r="HH45" s="34">
        <f>IF(AND(ISNUMBER(HI45),ISNUMBER(HG45)),HI45-HG45,"")</f>
        <v>0</v>
      </c>
      <c r="HI45" s="33"/>
      <c r="HJ45" s="34">
        <f>IF(AND(ISNUMBER(HK45),ISNUMBER(HI45)),HK45-HI45,"")</f>
        <v>0</v>
      </c>
      <c r="HK45" s="33"/>
      <c r="HL45" s="34">
        <f>IF(AND(ISNUMBER(HM45),ISNUMBER(HK45)),HM45-HK45,"")</f>
        <v>0</v>
      </c>
      <c r="HM45" s="33"/>
      <c r="HN45" s="34">
        <f>IF(AND(ISNUMBER(HO45),ISNUMBER(HM45)),HO45-HM45,"")</f>
        <v>0</v>
      </c>
      <c r="HO45" s="33"/>
      <c r="HP45" s="34">
        <f>IF(AND(ISNUMBER(HQ45),ISNUMBER(HO45)),HQ45-HO45,"")</f>
        <v>0</v>
      </c>
      <c r="HQ45" s="33"/>
      <c r="HR45" s="34">
        <f>IF(AND(ISNUMBER(HS45),ISNUMBER(HQ45)),HS45-HQ45,"")</f>
        <v>0</v>
      </c>
      <c r="HS45" s="33"/>
      <c r="HT45" s="34">
        <f>IF(AND(ISNUMBER(HU45),ISNUMBER(HS45)),HU45-HS45,"")</f>
        <v>0</v>
      </c>
      <c r="HU45" s="33"/>
      <c r="HV45" s="34">
        <f>IF(AND(ISNUMBER(HW45),ISNUMBER(HU45)),HW45-HU45,"")</f>
        <v>0</v>
      </c>
      <c r="HW45" s="33"/>
      <c r="HX45" s="34">
        <f>IF(AND(ISNUMBER(HY45),ISNUMBER(HW45)),HY45-HW45,"")</f>
        <v>0</v>
      </c>
      <c r="HY45" s="33"/>
      <c r="HZ45" s="34">
        <f>IF(AND(ISNUMBER(IA45),ISNUMBER(HY45)),IA45-HY45,"")</f>
        <v>0</v>
      </c>
      <c r="IA45" s="33"/>
      <c r="IB45" s="34">
        <f>IF(AND(ISNUMBER(IC45),ISNUMBER(IA45)),IC45-IA45,"")</f>
        <v>0</v>
      </c>
      <c r="IC45" s="33"/>
      <c r="ID45" s="34">
        <f>IF(AND(ISNUMBER(IE45),ISNUMBER(IC45)),IE45-IC45,"")</f>
        <v>0</v>
      </c>
      <c r="IE45" s="33"/>
      <c r="IF45" s="34">
        <f>IF(AND(ISNUMBER(IG45),ISNUMBER(IE45)),IG45-IE45,"")</f>
        <v>0</v>
      </c>
      <c r="IG45" s="33"/>
      <c r="IH45" s="34">
        <f>IF(AND(ISNUMBER(II45),ISNUMBER(IG45)),II45-IG45,"")</f>
        <v>0</v>
      </c>
      <c r="II45" s="33"/>
      <c r="IJ45" s="34">
        <f>IF(AND(ISNUMBER(IK45),ISNUMBER(II45)),IK45-II45,"")</f>
        <v>0</v>
      </c>
      <c r="IK45" s="33"/>
      <c r="IL45" s="34">
        <f>IF(AND(ISNUMBER(IM45),ISNUMBER(IK45)),IM45-IK45,"")</f>
        <v>0</v>
      </c>
      <c r="IM45" s="33"/>
      <c r="IN45" s="34">
        <f>IF(AND(ISNUMBER(IO45),ISNUMBER(IM45)),IO45-IM45,"")</f>
        <v>0</v>
      </c>
      <c r="IO45" s="33"/>
      <c r="IP45" s="34">
        <f>IF(AND(ISNUMBER(IQ45),ISNUMBER(IO45)),IQ45-IO45,"")</f>
        <v>0</v>
      </c>
      <c r="IQ45" s="33"/>
      <c r="IR45" s="34">
        <f>IF(AND(ISNUMBER(IS45),ISNUMBER(IQ45)),IS45-IQ45,"")</f>
        <v>0</v>
      </c>
      <c r="IS45" s="33"/>
      <c r="IT45" s="34">
        <f>IF(AND(ISNUMBER(IU45),ISNUMBER(IS45)),IU45-IS45,"")</f>
        <v>0</v>
      </c>
      <c r="IU45" s="33"/>
      <c r="IV45" s="34">
        <f>IF(AND(ISNUMBER(IW45),ISNUMBER(IU45)),IW45-IU45,"")</f>
        <v>0</v>
      </c>
      <c r="IW45" s="33"/>
      <c r="IX45" s="34">
        <f>IF(AND(ISNUMBER(IY45),ISNUMBER(IW45)),IY45-IW45,"")</f>
        <v>0</v>
      </c>
      <c r="IY45" s="33"/>
      <c r="IZ45" s="34">
        <f>IF(AND(ISNUMBER(JA45),ISNUMBER(IY45)),JA45-IY45,"")</f>
        <v>0</v>
      </c>
      <c r="JA45" s="33"/>
      <c r="JB45" s="34">
        <f>IF(AND(ISNUMBER(JC45),ISNUMBER(JA45)),JC45-JA45,"")</f>
        <v>0</v>
      </c>
      <c r="JC45" s="33"/>
      <c r="JD45" s="34">
        <f>IF(AND(ISNUMBER(JE45),ISNUMBER(JC45)),JE45-JC45,"")</f>
        <v>0</v>
      </c>
      <c r="JE45" s="33"/>
      <c r="JF45" s="34">
        <f>IF(AND(ISNUMBER(JG45),ISNUMBER(JE45)),JG45-JE45,"")</f>
        <v>0</v>
      </c>
      <c r="JG45" s="33"/>
      <c r="JH45" s="34">
        <f>IF(AND(ISNUMBER(JI45),ISNUMBER(JG45)),JI45-JG45,"")</f>
        <v>0</v>
      </c>
      <c r="JI45" s="33"/>
      <c r="JJ45" s="34">
        <f>IF(AND(ISNUMBER(JK45),ISNUMBER(JI45)),JK45-JI45,"")</f>
        <v>0</v>
      </c>
      <c r="JK45" s="33"/>
      <c r="JL45" s="34">
        <f>IF(AND(ISNUMBER(JM45),ISNUMBER(JK45)),JM45-JK45,"")</f>
        <v>0</v>
      </c>
      <c r="JM45" s="33"/>
      <c r="JN45" s="34">
        <f>IF(AND(ISNUMBER(JO45),ISNUMBER(JM45)),JO45-JM45,"")</f>
        <v>0</v>
      </c>
      <c r="JO45" s="33"/>
      <c r="JP45" s="34">
        <f>IF(AND(ISNUMBER(JQ45),ISNUMBER(JO45)),JQ45-JO45,"")</f>
        <v>0</v>
      </c>
      <c r="JQ45" s="33"/>
      <c r="JR45" s="34">
        <f>IF(AND(ISNUMBER(JS45),ISNUMBER(JQ45)),JS45-JQ45,"")</f>
        <v>0</v>
      </c>
      <c r="JS45" s="33"/>
      <c r="JT45" s="34">
        <f>IF(AND(ISNUMBER(JU45),ISNUMBER(JS45)),JU45-JS45,"")</f>
        <v>0</v>
      </c>
      <c r="JU45" s="33"/>
      <c r="JV45" s="34">
        <f>IF(AND(ISNUMBER(JW45),ISNUMBER(JU45)),JW45-JU45,"")</f>
        <v>0</v>
      </c>
      <c r="JW45" s="33"/>
      <c r="JX45" s="34">
        <f>IF(AND(ISNUMBER(JY45),ISNUMBER(JW45)),JY45-JW45,"")</f>
        <v>0</v>
      </c>
      <c r="JY45" s="33"/>
      <c r="JZ45" s="34">
        <f>IF(AND(ISNUMBER(KA45),ISNUMBER(JY45)),KA45-JY45,"")</f>
        <v>0</v>
      </c>
      <c r="KA45" s="33"/>
      <c r="KB45" s="34">
        <f>IF(AND(ISNUMBER(KC45),ISNUMBER(KA45)),KC45-KA45,"")</f>
        <v>0</v>
      </c>
      <c r="KC45" s="33"/>
      <c r="KD45" s="34">
        <f>IF(AND(ISNUMBER(KE45),ISNUMBER(KC45)),KE45-KC45,"")</f>
        <v>0</v>
      </c>
      <c r="KE45" s="33"/>
      <c r="KF45" s="34">
        <f>IF(AND(ISNUMBER(KG45),ISNUMBER(KE45)),KG45-KE45,"")</f>
        <v>0</v>
      </c>
      <c r="KG45" s="33"/>
      <c r="KH45" s="34">
        <f>IF(AND(ISNUMBER(KI45),ISNUMBER(KG45)),KI45-KG45,"")</f>
        <v>0</v>
      </c>
      <c r="KI45" s="33"/>
      <c r="KJ45" s="34">
        <f>IF(AND(ISNUMBER(KK45),ISNUMBER(KI45)),KK45-KI45,"")</f>
        <v>0</v>
      </c>
      <c r="KK45" s="33"/>
      <c r="KL45" s="34">
        <f>IF(AND(ISNUMBER(KM45),ISNUMBER(KK45)),KM45-KK45,"")</f>
        <v>0</v>
      </c>
      <c r="KM45" s="33"/>
      <c r="KN45" s="34">
        <f>IF(AND(ISNUMBER(KO45),ISNUMBER(KM45)),KO45-KM45,"")</f>
        <v>0</v>
      </c>
      <c r="KO45" s="33"/>
      <c r="KP45" s="34">
        <f>IF(AND(ISNUMBER(KQ45),ISNUMBER(KO45)),KQ45-KO45,"")</f>
        <v>0</v>
      </c>
      <c r="KQ45" s="33"/>
      <c r="KR45" s="34">
        <f>IF(AND(ISNUMBER(KS45),ISNUMBER(KQ45)),KS45-KQ45,"")</f>
        <v>0</v>
      </c>
      <c r="KS45" s="33"/>
      <c r="KT45" s="34">
        <f>IF(AND(ISNUMBER(KU45),ISNUMBER(KS45)),KU45-KS45,"")</f>
        <v>0</v>
      </c>
      <c r="KU45" s="33"/>
      <c r="KV45" s="34">
        <f>IF(AND(ISNUMBER(KW45),ISNUMBER(KU45)),KW45-KU45,"")</f>
        <v>0</v>
      </c>
      <c r="KW45" s="33"/>
      <c r="KX45" s="34">
        <f>IF(AND(ISNUMBER(KY45),ISNUMBER(KW45)),KY45-KW45,"")</f>
        <v>0</v>
      </c>
      <c r="KY45" s="33"/>
      <c r="KZ45" s="34">
        <f>IF(AND(ISNUMBER(LA45),ISNUMBER(KY45)),LA45-KY45,"")</f>
        <v>0</v>
      </c>
      <c r="LA45" s="33"/>
      <c r="LB45" s="34">
        <f>IF(AND(ISNUMBER(LC45),ISNUMBER(LA45)),LC45-LA45,"")</f>
        <v>0</v>
      </c>
      <c r="LC45" s="33"/>
      <c r="LD45" s="34">
        <f>IF(AND(ISNUMBER(LE45),ISNUMBER(LC45)),LE45-LC45,"")</f>
        <v>0</v>
      </c>
      <c r="LE45" s="33"/>
      <c r="LF45" s="34">
        <f>IF(AND(ISNUMBER(LG45),ISNUMBER(LE45)),LG45-LE45,"")</f>
        <v>0</v>
      </c>
      <c r="LG45" s="33"/>
    </row>
    <row r="46" spans="1:322" hidden="1" outlineLevel="1">
      <c r="B46" s="23"/>
      <c r="D46" s="31" t="s">
        <v>725</v>
      </c>
      <c r="E46" s="32" t="s">
        <v>1060</v>
      </c>
      <c r="I46" s="40" t="s">
        <v>1078</v>
      </c>
      <c r="J46" s="34">
        <f>IF(AND(ISNUMBER(K46),ISNUMBER(I46)),K46-I46,"")</f>
        <v>0</v>
      </c>
      <c r="K46" s="40" t="s">
        <v>1078</v>
      </c>
      <c r="L46" s="34">
        <f>IF(AND(ISNUMBER(M46),ISNUMBER(K46)),M46-K46,"")</f>
        <v>0</v>
      </c>
      <c r="M46" s="40" t="s">
        <v>1078</v>
      </c>
      <c r="N46" s="34">
        <f>IF(AND(ISNUMBER(O46),ISNUMBER(M46)),O46-M46,"")</f>
        <v>0</v>
      </c>
      <c r="O46" s="40" t="s">
        <v>1078</v>
      </c>
      <c r="P46" s="34">
        <f>IF(AND(ISNUMBER(Q46),ISNUMBER(O46)),Q46-O46,"")</f>
        <v>0</v>
      </c>
      <c r="Q46" s="40" t="s">
        <v>1078</v>
      </c>
      <c r="R46" s="34">
        <f>IF(AND(ISNUMBER(S46),ISNUMBER(Q46)),S46-Q46,"")</f>
        <v>0</v>
      </c>
      <c r="S46" s="40" t="s">
        <v>1078</v>
      </c>
      <c r="T46" s="34">
        <f>IF(AND(ISNUMBER(U46),ISNUMBER(S46)),U46-S46,"")</f>
        <v>0</v>
      </c>
      <c r="U46" s="40" t="s">
        <v>1078</v>
      </c>
      <c r="V46" s="34">
        <f>IF(AND(ISNUMBER(W46),ISNUMBER(U46)),W46-U46,"")</f>
        <v>0</v>
      </c>
      <c r="W46" s="40" t="s">
        <v>1078</v>
      </c>
      <c r="X46" s="34">
        <f>IF(AND(ISNUMBER(Y46),ISNUMBER(W46)),Y46-W46,"")</f>
        <v>0</v>
      </c>
      <c r="Y46" s="40" t="s">
        <v>1078</v>
      </c>
      <c r="Z46" s="34">
        <f>IF(AND(ISNUMBER(AA46),ISNUMBER(Y46)),AA46-Y46,"")</f>
        <v>0</v>
      </c>
      <c r="AA46" s="40" t="s">
        <v>1078</v>
      </c>
      <c r="AB46" s="34">
        <f>IF(AND(ISNUMBER(AC46),ISNUMBER(AA46)),AC46-AA46,"")</f>
        <v>0</v>
      </c>
      <c r="AC46" s="40" t="s">
        <v>1078</v>
      </c>
      <c r="AD46" s="34">
        <f>IF(AND(ISNUMBER(AE46),ISNUMBER(AC46)),AE46-AC46,"")</f>
        <v>0</v>
      </c>
      <c r="AE46" s="40" t="s">
        <v>1078</v>
      </c>
      <c r="AF46" s="34">
        <f>IF(AND(ISNUMBER(AG46),ISNUMBER(AE46)),AG46-AE46,"")</f>
        <v>0</v>
      </c>
      <c r="AG46" s="40" t="s">
        <v>1078</v>
      </c>
      <c r="AH46" s="34">
        <f>IF(AND(ISNUMBER(AI46),ISNUMBER(AG46)),AI46-AG46,"")</f>
        <v>0</v>
      </c>
      <c r="AI46" s="40" t="s">
        <v>1078</v>
      </c>
      <c r="AJ46" s="34">
        <f>IF(AND(ISNUMBER(AK46),ISNUMBER(AI46)),AK46-AI46,"")</f>
        <v>0</v>
      </c>
      <c r="AK46" s="40" t="s">
        <v>1078</v>
      </c>
      <c r="AL46" s="34">
        <f>IF(AND(ISNUMBER(AM46),ISNUMBER(AK46)),AM46-AK46,"")</f>
        <v>0</v>
      </c>
      <c r="AM46" s="40" t="s">
        <v>1078</v>
      </c>
      <c r="AN46" s="34">
        <f>IF(AND(ISNUMBER(AO46),ISNUMBER(AM46)),AO46-AM46,"")</f>
        <v>0</v>
      </c>
      <c r="AO46" s="40" t="s">
        <v>1078</v>
      </c>
      <c r="AP46" s="34">
        <f>IF(AND(ISNUMBER(AQ46),ISNUMBER(AO46)),AQ46-AO46,"")</f>
        <v>0</v>
      </c>
      <c r="AQ46" s="40" t="s">
        <v>1078</v>
      </c>
      <c r="AR46" s="34">
        <f>IF(AND(ISNUMBER(AS46),ISNUMBER(AQ46)),AS46-AQ46,"")</f>
        <v>0</v>
      </c>
      <c r="AS46" s="33">
        <v>0</v>
      </c>
      <c r="AT46" s="34">
        <f>IF(AND(ISNUMBER(AU46),ISNUMBER(AS46)),AU46-AS46,"")</f>
        <v>0</v>
      </c>
      <c r="AU46" s="33">
        <v>0</v>
      </c>
      <c r="AV46" s="34">
        <f>IF(AND(ISNUMBER(AW46),ISNUMBER(AU46)),AW46-AU46,"")</f>
        <v>0</v>
      </c>
      <c r="AW46" s="33">
        <v>25</v>
      </c>
      <c r="AX46" s="34">
        <f>IF(AND(ISNUMBER(AY46),ISNUMBER(AW46)),AY46-AW46,"")</f>
        <v>0</v>
      </c>
      <c r="AY46" s="33">
        <v>31</v>
      </c>
      <c r="AZ46" s="34">
        <f>IF(AND(ISNUMBER(BA46),ISNUMBER(AY46)),BA46-AY46,"")</f>
        <v>0</v>
      </c>
      <c r="BA46" s="33">
        <v>20</v>
      </c>
      <c r="BB46" s="34">
        <f>IF(AND(ISNUMBER(BC46),ISNUMBER(BA46)),BC46-BA46,"")</f>
        <v>0</v>
      </c>
      <c r="BC46" s="33">
        <v>9</v>
      </c>
      <c r="BD46" s="34">
        <f>IF(AND(ISNUMBER(BE46),ISNUMBER(BC46)),BE46-BC46,"")</f>
        <v>0</v>
      </c>
      <c r="BE46" s="33">
        <v>0</v>
      </c>
      <c r="BF46" s="34">
        <f>IF(AND(ISNUMBER(BG46),ISNUMBER(BE46)),BG46-BE46,"")</f>
        <v>0</v>
      </c>
      <c r="BG46" s="33">
        <v>3</v>
      </c>
      <c r="BH46" s="34">
        <f>IF(AND(ISNUMBER(BI46),ISNUMBER(BG46)),BI46-BG46,"")</f>
        <v>0</v>
      </c>
      <c r="BI46" s="33">
        <v>0</v>
      </c>
      <c r="BJ46" s="34">
        <f>IF(AND(ISNUMBER(BK46),ISNUMBER(BI46)),BK46-BI46,"")</f>
        <v>0</v>
      </c>
      <c r="BK46" s="33">
        <v>0</v>
      </c>
      <c r="BL46" s="34">
        <f>IF(AND(ISNUMBER(BM46),ISNUMBER(BK46)),BM46-BK46,"")</f>
        <v>0</v>
      </c>
      <c r="BM46" s="33">
        <v>2</v>
      </c>
      <c r="BN46" s="34">
        <f>IF(AND(ISNUMBER(BO46),ISNUMBER(BM46)),BO46-BM46,"")</f>
        <v>0</v>
      </c>
      <c r="BO46" s="33">
        <v>1</v>
      </c>
      <c r="BP46" s="34">
        <f>IF(AND(ISNUMBER(BQ46),ISNUMBER(BO46)),BQ46-BO46,"")</f>
        <v>0</v>
      </c>
      <c r="BQ46" s="33">
        <v>2</v>
      </c>
      <c r="BR46" s="34">
        <f>IF(AND(ISNUMBER(BS46),ISNUMBER(BQ46)),BS46-BQ46,"")</f>
        <v>0</v>
      </c>
      <c r="BS46" s="33">
        <v>2</v>
      </c>
      <c r="BT46" s="34">
        <f>IF(AND(ISNUMBER(BU46),ISNUMBER(BS46)),BU46-BS46,"")</f>
        <v>0</v>
      </c>
      <c r="BU46" s="33">
        <v>4</v>
      </c>
      <c r="BV46" s="34">
        <f>IF(AND(ISNUMBER(BW46),ISNUMBER(BU46)),BW46-BU46,"")</f>
        <v>0</v>
      </c>
      <c r="BW46" s="33">
        <v>0</v>
      </c>
      <c r="BX46" s="34">
        <f>IF(AND(ISNUMBER(BY46),ISNUMBER(BW46)),BY46-BW46,"")</f>
        <v>0</v>
      </c>
      <c r="BY46" s="33"/>
      <c r="BZ46" s="34">
        <f>IF(AND(ISNUMBER(CA46),ISNUMBER(BY46)),CA46-BY46,"")</f>
        <v>0</v>
      </c>
      <c r="CA46" s="33">
        <v>2</v>
      </c>
      <c r="CB46" s="34">
        <f>IF(AND(ISNUMBER(CC46),ISNUMBER(CA46)),CC46-CA46,"")</f>
        <v>0</v>
      </c>
      <c r="CC46" s="33">
        <v>24</v>
      </c>
      <c r="CD46" s="34">
        <f>IF(AND(ISNUMBER(CE46),ISNUMBER(CC46)),CE46-CC46,"")</f>
        <v>0</v>
      </c>
      <c r="CE46" s="33">
        <v>97</v>
      </c>
      <c r="CF46" s="34">
        <f>IF(AND(ISNUMBER(CG46),ISNUMBER(CE46)),CG46-CE46,"")</f>
        <v>0</v>
      </c>
      <c r="CG46" s="33">
        <v>80</v>
      </c>
      <c r="CH46" s="34">
        <f>IF(AND(ISNUMBER(CI46),ISNUMBER(CG46)),CI46-CG46,"")</f>
        <v>0</v>
      </c>
      <c r="CI46" s="33">
        <v>61</v>
      </c>
      <c r="CJ46" s="34">
        <f>IF(AND(ISNUMBER(CK46),ISNUMBER(CI46)),CK46-CI46,"")</f>
        <v>0</v>
      </c>
      <c r="CK46" s="33">
        <v>50</v>
      </c>
      <c r="CL46" s="34">
        <f>IF(AND(ISNUMBER(CM46),ISNUMBER(CK46)),CM46-CK46,"")</f>
        <v>0</v>
      </c>
      <c r="CM46" s="33">
        <v>44</v>
      </c>
      <c r="CN46" s="34">
        <f>IF(AND(ISNUMBER(CO46),ISNUMBER(CM46)),CO46-CM46,"")</f>
        <v>0</v>
      </c>
      <c r="CO46" s="33">
        <v>40</v>
      </c>
      <c r="CP46" s="34">
        <f>IF(AND(ISNUMBER(CQ46),ISNUMBER(CO46)),CQ46-CO46,"")</f>
        <v>0</v>
      </c>
      <c r="CQ46" s="33">
        <v>38</v>
      </c>
      <c r="CR46" s="34">
        <f>IF(AND(ISNUMBER(CS46),ISNUMBER(CQ46)),CS46-CQ46,"")</f>
        <v>0</v>
      </c>
      <c r="CS46" s="33">
        <v>35</v>
      </c>
      <c r="CT46" s="34">
        <f>IF(AND(ISNUMBER(CU46),ISNUMBER(CS46)),CU46-CS46,"")</f>
        <v>0</v>
      </c>
      <c r="CU46" s="33">
        <v>3</v>
      </c>
      <c r="CV46" s="34">
        <f>IF(AND(ISNUMBER(CW46),ISNUMBER(CU46)),CW46-CU46,"")</f>
        <v>0</v>
      </c>
      <c r="CW46" s="33">
        <v>3</v>
      </c>
      <c r="CX46" s="34">
        <f>IF(AND(ISNUMBER(CY46),ISNUMBER(CW46)),CY46-CW46,"")</f>
        <v>0</v>
      </c>
      <c r="CY46" s="33"/>
      <c r="CZ46" s="34">
        <f>IF(AND(ISNUMBER(DA46),ISNUMBER(CY46)),DA46-CY46,"")</f>
        <v>0</v>
      </c>
      <c r="DA46" s="33">
        <v>25</v>
      </c>
      <c r="DB46" s="34">
        <f>IF(AND(ISNUMBER(DC46),ISNUMBER(DA46)),DC46-DA46,"")</f>
        <v>0</v>
      </c>
      <c r="DC46" s="33">
        <v>26</v>
      </c>
      <c r="DD46" s="34">
        <f>IF(AND(ISNUMBER(DE46),ISNUMBER(DC46)),DE46-DC46,"")</f>
        <v>0</v>
      </c>
      <c r="DE46" s="33">
        <v>4</v>
      </c>
      <c r="DF46" s="34">
        <f>IF(AND(ISNUMBER(DG46),ISNUMBER(DE46)),DG46-DE46,"")</f>
        <v>0</v>
      </c>
      <c r="DG46" s="33">
        <v>2</v>
      </c>
      <c r="DH46" s="34">
        <f>IF(AND(ISNUMBER(DI46),ISNUMBER(DG46)),DI46-DG46,"")</f>
        <v>0</v>
      </c>
      <c r="DI46" s="33">
        <v>2</v>
      </c>
      <c r="DJ46" s="34">
        <f>IF(AND(ISNUMBER(DK46),ISNUMBER(DI46)),DK46-DI46,"")</f>
        <v>0</v>
      </c>
      <c r="DK46" s="33">
        <v>1</v>
      </c>
      <c r="DL46" s="34">
        <f>IF(AND(ISNUMBER(DM46),ISNUMBER(DK46)),DM46-DK46,"")</f>
        <v>0</v>
      </c>
      <c r="DM46" s="33">
        <v>1</v>
      </c>
      <c r="DN46" s="34">
        <f>IF(AND(ISNUMBER(DO46),ISNUMBER(DM46)),DO46-DM46,"")</f>
        <v>0</v>
      </c>
      <c r="DO46" s="33">
        <v>6</v>
      </c>
      <c r="DP46" s="34">
        <f>IF(AND(ISNUMBER(DQ46),ISNUMBER(DO46)),DQ46-DO46,"")</f>
        <v>0</v>
      </c>
      <c r="DQ46" s="33">
        <v>5</v>
      </c>
      <c r="DR46" s="34">
        <f>IF(AND(ISNUMBER(DS46),ISNUMBER(DQ46)),DS46-DQ46,"")</f>
        <v>0</v>
      </c>
      <c r="DS46" s="33">
        <v>3</v>
      </c>
      <c r="DT46" s="34">
        <f>IF(AND(ISNUMBER(DU46),ISNUMBER(DS46)),DU46-DS46,"")</f>
        <v>0</v>
      </c>
      <c r="DU46" s="33">
        <v>4</v>
      </c>
      <c r="DV46" s="34">
        <f>IF(AND(ISNUMBER(DW46),ISNUMBER(DU46)),DW46-DU46,"")</f>
        <v>0</v>
      </c>
      <c r="DW46" s="33">
        <v>2</v>
      </c>
      <c r="DX46" s="34">
        <f>IF(AND(ISNUMBER(DY46),ISNUMBER(DW46)),DY46-DW46,"")</f>
        <v>0</v>
      </c>
      <c r="DY46" s="33">
        <v>4</v>
      </c>
      <c r="DZ46" s="34">
        <f>IF(AND(ISNUMBER(EA46),ISNUMBER(DY46)),EA46-DY46,"")</f>
        <v>0</v>
      </c>
      <c r="EA46" s="33">
        <v>0</v>
      </c>
      <c r="EB46" s="34">
        <f>IF(AND(ISNUMBER(EC46),ISNUMBER(EA46)),EC46-EA46,"")</f>
        <v>0</v>
      </c>
      <c r="EC46" s="33">
        <v>8</v>
      </c>
      <c r="ED46" s="34">
        <f>IF(AND(ISNUMBER(EE46),ISNUMBER(EC46)),EE46-EC46,"")</f>
        <v>0</v>
      </c>
      <c r="EE46" s="33">
        <v>15</v>
      </c>
      <c r="EF46" s="34">
        <f>IF(AND(ISNUMBER(EG46),ISNUMBER(EE46)),EG46-EE46,"")</f>
        <v>0</v>
      </c>
      <c r="EG46" s="33">
        <v>1</v>
      </c>
      <c r="EH46" s="34">
        <f>IF(AND(ISNUMBER(EI46),ISNUMBER(EG46)),EI46-EG46,"")</f>
        <v>0</v>
      </c>
      <c r="EI46" s="33">
        <v>6</v>
      </c>
      <c r="EJ46" s="34">
        <f>IF(AND(ISNUMBER(EK46),ISNUMBER(EI46)),EK46-EI46,"")</f>
        <v>0</v>
      </c>
      <c r="EK46" s="33">
        <v>1</v>
      </c>
      <c r="EL46" s="34">
        <f>IF(AND(ISNUMBER(EM46),ISNUMBER(EK46)),EM46-EK46,"")</f>
        <v>0</v>
      </c>
      <c r="EM46" s="33">
        <v>1</v>
      </c>
      <c r="EN46" s="34">
        <f>IF(AND(ISNUMBER(EO46),ISNUMBER(EM46)),EO46-EM46,"")</f>
        <v>0</v>
      </c>
      <c r="EO46" s="33">
        <v>2</v>
      </c>
      <c r="EP46" s="34">
        <f>IF(AND(ISNUMBER(EQ46),ISNUMBER(EO46)),EQ46-EO46,"")</f>
        <v>0</v>
      </c>
      <c r="EQ46" s="33">
        <v>2</v>
      </c>
      <c r="ER46" s="34">
        <f>IF(AND(ISNUMBER(ES46),ISNUMBER(EQ46)),ES46-EQ46,"")</f>
        <v>0</v>
      </c>
      <c r="ES46" s="33">
        <v>1</v>
      </c>
      <c r="ET46" s="34">
        <f>IF(AND(ISNUMBER(EU46),ISNUMBER(ES46)),EU46-ES46,"")</f>
        <v>0</v>
      </c>
      <c r="EU46" s="33">
        <v>0</v>
      </c>
      <c r="EV46" s="34">
        <f>IF(AND(ISNUMBER(EW46),ISNUMBER(EU46)),EW46-EU46,"")</f>
        <v>0</v>
      </c>
      <c r="EW46" s="33">
        <v>10</v>
      </c>
      <c r="EX46" s="34">
        <f>IF(AND(ISNUMBER(EY46),ISNUMBER(EW46)),EY46-EW46,"")</f>
        <v>0</v>
      </c>
      <c r="EY46" s="33">
        <v>8</v>
      </c>
      <c r="EZ46" s="34">
        <f>IF(AND(ISNUMBER(FA46),ISNUMBER(EY46)),FA46-EY46,"")</f>
        <v>0</v>
      </c>
      <c r="FA46" s="33"/>
      <c r="FB46" s="34">
        <f>IF(AND(ISNUMBER(FC46),ISNUMBER(FA46)),FC46-FA46,"")</f>
        <v>0</v>
      </c>
      <c r="FC46" s="33"/>
      <c r="FD46" s="34">
        <f>IF(AND(ISNUMBER(FE46),ISNUMBER(FC46)),FE46-FC46,"")</f>
        <v>0</v>
      </c>
      <c r="FE46" s="33"/>
      <c r="FF46" s="34">
        <f>IF(AND(ISNUMBER(FG46),ISNUMBER(FE46)),FG46-FE46,"")</f>
        <v>0</v>
      </c>
      <c r="FG46" s="33"/>
      <c r="FH46" s="34">
        <f>IF(AND(ISNUMBER(FI46),ISNUMBER(FG46)),FI46-FG46,"")</f>
        <v>0</v>
      </c>
      <c r="FI46" s="33"/>
      <c r="FJ46" s="34">
        <f>IF(AND(ISNUMBER(FK46),ISNUMBER(FI46)),FK46-FI46,"")</f>
        <v>0</v>
      </c>
      <c r="FK46" s="33"/>
      <c r="FL46" s="34">
        <f>IF(AND(ISNUMBER(FM46),ISNUMBER(FK46)),FM46-FK46,"")</f>
        <v>0</v>
      </c>
      <c r="FM46" s="33"/>
      <c r="FN46" s="34">
        <f>IF(AND(ISNUMBER(FO46),ISNUMBER(FM46)),FO46-FM46,"")</f>
        <v>0</v>
      </c>
      <c r="FO46" s="33"/>
      <c r="FP46" s="34">
        <f>IF(AND(ISNUMBER(FQ46),ISNUMBER(FO46)),FQ46-FO46,"")</f>
        <v>0</v>
      </c>
      <c r="FQ46" s="33"/>
      <c r="FR46" s="34">
        <f>IF(AND(ISNUMBER(FS46),ISNUMBER(FQ46)),FS46-FQ46,"")</f>
        <v>0</v>
      </c>
      <c r="FS46" s="33"/>
      <c r="FT46" s="34">
        <f>IF(AND(ISNUMBER(FU46),ISNUMBER(FS46)),FU46-FS46,"")</f>
        <v>0</v>
      </c>
      <c r="FU46" s="33"/>
      <c r="FV46" s="34">
        <f>IF(AND(ISNUMBER(FW46),ISNUMBER(FU46)),FW46-FU46,"")</f>
        <v>0</v>
      </c>
      <c r="FW46" s="33"/>
      <c r="FX46" s="34">
        <f>IF(AND(ISNUMBER(FY46),ISNUMBER(FW46)),FY46-FW46,"")</f>
        <v>0</v>
      </c>
      <c r="FY46" s="33"/>
      <c r="FZ46" s="34">
        <f>IF(AND(ISNUMBER(GA46),ISNUMBER(FY46)),GA46-FY46,"")</f>
        <v>0</v>
      </c>
      <c r="GA46" s="33"/>
      <c r="GB46" s="34">
        <f>IF(AND(ISNUMBER(GC46),ISNUMBER(GA46)),GC46-GA46,"")</f>
        <v>0</v>
      </c>
      <c r="GC46" s="33"/>
      <c r="GD46" s="34">
        <f>IF(AND(ISNUMBER(GE46),ISNUMBER(GC46)),GE46-GC46,"")</f>
        <v>0</v>
      </c>
      <c r="GE46" s="33"/>
      <c r="GF46" s="34">
        <f>IF(AND(ISNUMBER(GG46),ISNUMBER(GE46)),GG46-GE46,"")</f>
        <v>0</v>
      </c>
      <c r="GG46" s="33"/>
      <c r="GH46" s="34">
        <f>IF(AND(ISNUMBER(GI46),ISNUMBER(GG46)),GI46-GG46,"")</f>
        <v>0</v>
      </c>
      <c r="GI46" s="33"/>
      <c r="GJ46" s="34">
        <f>IF(AND(ISNUMBER(GK46),ISNUMBER(GI46)),GK46-GI46,"")</f>
        <v>0</v>
      </c>
      <c r="GK46" s="33"/>
      <c r="GL46" s="34">
        <f>IF(AND(ISNUMBER(GM46),ISNUMBER(GK46)),GM46-GK46,"")</f>
        <v>0</v>
      </c>
      <c r="GM46" s="33"/>
      <c r="GN46" s="34">
        <f>IF(AND(ISNUMBER(GO46),ISNUMBER(GM46)),GO46-GM46,"")</f>
        <v>0</v>
      </c>
      <c r="GO46" s="33"/>
      <c r="GP46" s="34">
        <f>IF(AND(ISNUMBER(GQ46),ISNUMBER(GO46)),GQ46-GO46,"")</f>
        <v>0</v>
      </c>
      <c r="GQ46" s="33"/>
      <c r="GR46" s="34">
        <f>IF(AND(ISNUMBER(GS46),ISNUMBER(GQ46)),GS46-GQ46,"")</f>
        <v>0</v>
      </c>
      <c r="GS46" s="33"/>
      <c r="GT46" s="34">
        <f>IF(AND(ISNUMBER(GU46),ISNUMBER(GS46)),GU46-GS46,"")</f>
        <v>0</v>
      </c>
      <c r="GU46" s="33"/>
      <c r="GV46" s="34">
        <f>IF(AND(ISNUMBER(GW46),ISNUMBER(GU46)),GW46-GU46,"")</f>
        <v>0</v>
      </c>
      <c r="GW46" s="33"/>
      <c r="GX46" s="34">
        <f>IF(AND(ISNUMBER(GY46),ISNUMBER(GW46)),GY46-GW46,"")</f>
        <v>0</v>
      </c>
      <c r="GY46" s="33"/>
      <c r="GZ46" s="34">
        <f>IF(AND(ISNUMBER(HA46),ISNUMBER(GY46)),HA46-GY46,"")</f>
        <v>0</v>
      </c>
      <c r="HA46" s="33"/>
      <c r="HB46" s="34">
        <f>IF(AND(ISNUMBER(HC46),ISNUMBER(HA46)),HC46-HA46,"")</f>
        <v>0</v>
      </c>
      <c r="HC46" s="33"/>
      <c r="HD46" s="34">
        <f>IF(AND(ISNUMBER(HE46),ISNUMBER(HC46)),HE46-HC46,"")</f>
        <v>0</v>
      </c>
      <c r="HE46" s="33"/>
      <c r="HF46" s="34">
        <f>IF(AND(ISNUMBER(HG46),ISNUMBER(HE46)),HG46-HE46,"")</f>
        <v>0</v>
      </c>
      <c r="HG46" s="33"/>
      <c r="HH46" s="34">
        <f>IF(AND(ISNUMBER(HI46),ISNUMBER(HG46)),HI46-HG46,"")</f>
        <v>0</v>
      </c>
      <c r="HI46" s="33"/>
      <c r="HJ46" s="34">
        <f>IF(AND(ISNUMBER(HK46),ISNUMBER(HI46)),HK46-HI46,"")</f>
        <v>0</v>
      </c>
      <c r="HK46" s="33"/>
      <c r="HL46" s="34">
        <f>IF(AND(ISNUMBER(HM46),ISNUMBER(HK46)),HM46-HK46,"")</f>
        <v>0</v>
      </c>
      <c r="HM46" s="33"/>
      <c r="HN46" s="34">
        <f>IF(AND(ISNUMBER(HO46),ISNUMBER(HM46)),HO46-HM46,"")</f>
        <v>0</v>
      </c>
      <c r="HO46" s="33"/>
      <c r="HP46" s="34">
        <f>IF(AND(ISNUMBER(HQ46),ISNUMBER(HO46)),HQ46-HO46,"")</f>
        <v>0</v>
      </c>
      <c r="HQ46" s="33"/>
      <c r="HR46" s="34">
        <f>IF(AND(ISNUMBER(HS46),ISNUMBER(HQ46)),HS46-HQ46,"")</f>
        <v>0</v>
      </c>
      <c r="HS46" s="33"/>
      <c r="HT46" s="34">
        <f>IF(AND(ISNUMBER(HU46),ISNUMBER(HS46)),HU46-HS46,"")</f>
        <v>0</v>
      </c>
      <c r="HU46" s="33"/>
      <c r="HV46" s="34">
        <f>IF(AND(ISNUMBER(HW46),ISNUMBER(HU46)),HW46-HU46,"")</f>
        <v>0</v>
      </c>
      <c r="HW46" s="33"/>
      <c r="HX46" s="34">
        <f>IF(AND(ISNUMBER(HY46),ISNUMBER(HW46)),HY46-HW46,"")</f>
        <v>0</v>
      </c>
      <c r="HY46" s="33"/>
      <c r="HZ46" s="34">
        <f>IF(AND(ISNUMBER(IA46),ISNUMBER(HY46)),IA46-HY46,"")</f>
        <v>0</v>
      </c>
      <c r="IA46" s="33"/>
      <c r="IB46" s="34">
        <f>IF(AND(ISNUMBER(IC46),ISNUMBER(IA46)),IC46-IA46,"")</f>
        <v>0</v>
      </c>
      <c r="IC46" s="33"/>
      <c r="ID46" s="34">
        <f>IF(AND(ISNUMBER(IE46),ISNUMBER(IC46)),IE46-IC46,"")</f>
        <v>0</v>
      </c>
      <c r="IE46" s="33"/>
      <c r="IF46" s="34">
        <f>IF(AND(ISNUMBER(IG46),ISNUMBER(IE46)),IG46-IE46,"")</f>
        <v>0</v>
      </c>
      <c r="IG46" s="33"/>
      <c r="IH46" s="34">
        <f>IF(AND(ISNUMBER(II46),ISNUMBER(IG46)),II46-IG46,"")</f>
        <v>0</v>
      </c>
      <c r="II46" s="33"/>
      <c r="IJ46" s="34">
        <f>IF(AND(ISNUMBER(IK46),ISNUMBER(II46)),IK46-II46,"")</f>
        <v>0</v>
      </c>
      <c r="IK46" s="33"/>
      <c r="IL46" s="34">
        <f>IF(AND(ISNUMBER(IM46),ISNUMBER(IK46)),IM46-IK46,"")</f>
        <v>0</v>
      </c>
      <c r="IM46" s="33"/>
      <c r="IN46" s="34">
        <f>IF(AND(ISNUMBER(IO46),ISNUMBER(IM46)),IO46-IM46,"")</f>
        <v>0</v>
      </c>
      <c r="IO46" s="33"/>
      <c r="IP46" s="34">
        <f>IF(AND(ISNUMBER(IQ46),ISNUMBER(IO46)),IQ46-IO46,"")</f>
        <v>0</v>
      </c>
      <c r="IQ46" s="33"/>
      <c r="IR46" s="34">
        <f>IF(AND(ISNUMBER(IS46),ISNUMBER(IQ46)),IS46-IQ46,"")</f>
        <v>0</v>
      </c>
      <c r="IS46" s="33"/>
      <c r="IT46" s="34">
        <f>IF(AND(ISNUMBER(IU46),ISNUMBER(IS46)),IU46-IS46,"")</f>
        <v>0</v>
      </c>
      <c r="IU46" s="33"/>
      <c r="IV46" s="34">
        <f>IF(AND(ISNUMBER(IW46),ISNUMBER(IU46)),IW46-IU46,"")</f>
        <v>0</v>
      </c>
      <c r="IW46" s="33"/>
      <c r="IX46" s="34">
        <f>IF(AND(ISNUMBER(IY46),ISNUMBER(IW46)),IY46-IW46,"")</f>
        <v>0</v>
      </c>
      <c r="IY46" s="33"/>
      <c r="IZ46" s="34">
        <f>IF(AND(ISNUMBER(JA46),ISNUMBER(IY46)),JA46-IY46,"")</f>
        <v>0</v>
      </c>
      <c r="JA46" s="33"/>
      <c r="JB46" s="34">
        <f>IF(AND(ISNUMBER(JC46),ISNUMBER(JA46)),JC46-JA46,"")</f>
        <v>0</v>
      </c>
      <c r="JC46" s="33"/>
      <c r="JD46" s="34">
        <f>IF(AND(ISNUMBER(JE46),ISNUMBER(JC46)),JE46-JC46,"")</f>
        <v>0</v>
      </c>
      <c r="JE46" s="33"/>
      <c r="JF46" s="34">
        <f>IF(AND(ISNUMBER(JG46),ISNUMBER(JE46)),JG46-JE46,"")</f>
        <v>0</v>
      </c>
      <c r="JG46" s="33"/>
      <c r="JH46" s="34">
        <f>IF(AND(ISNUMBER(JI46),ISNUMBER(JG46)),JI46-JG46,"")</f>
        <v>0</v>
      </c>
      <c r="JI46" s="33"/>
      <c r="JJ46" s="34">
        <f>IF(AND(ISNUMBER(JK46),ISNUMBER(JI46)),JK46-JI46,"")</f>
        <v>0</v>
      </c>
      <c r="JK46" s="33"/>
      <c r="JL46" s="34">
        <f>IF(AND(ISNUMBER(JM46),ISNUMBER(JK46)),JM46-JK46,"")</f>
        <v>0</v>
      </c>
      <c r="JM46" s="33"/>
      <c r="JN46" s="34">
        <f>IF(AND(ISNUMBER(JO46),ISNUMBER(JM46)),JO46-JM46,"")</f>
        <v>0</v>
      </c>
      <c r="JO46" s="33"/>
      <c r="JP46" s="34">
        <f>IF(AND(ISNUMBER(JQ46),ISNUMBER(JO46)),JQ46-JO46,"")</f>
        <v>0</v>
      </c>
      <c r="JQ46" s="33"/>
      <c r="JR46" s="34">
        <f>IF(AND(ISNUMBER(JS46),ISNUMBER(JQ46)),JS46-JQ46,"")</f>
        <v>0</v>
      </c>
      <c r="JS46" s="33"/>
      <c r="JT46" s="34">
        <f>IF(AND(ISNUMBER(JU46),ISNUMBER(JS46)),JU46-JS46,"")</f>
        <v>0</v>
      </c>
      <c r="JU46" s="33"/>
      <c r="JV46" s="34">
        <f>IF(AND(ISNUMBER(JW46),ISNUMBER(JU46)),JW46-JU46,"")</f>
        <v>0</v>
      </c>
      <c r="JW46" s="33"/>
      <c r="JX46" s="34">
        <f>IF(AND(ISNUMBER(JY46),ISNUMBER(JW46)),JY46-JW46,"")</f>
        <v>0</v>
      </c>
      <c r="JY46" s="33"/>
      <c r="JZ46" s="34">
        <f>IF(AND(ISNUMBER(KA46),ISNUMBER(JY46)),KA46-JY46,"")</f>
        <v>0</v>
      </c>
      <c r="KA46" s="33"/>
      <c r="KB46" s="34">
        <f>IF(AND(ISNUMBER(KC46),ISNUMBER(KA46)),KC46-KA46,"")</f>
        <v>0</v>
      </c>
      <c r="KC46" s="33"/>
      <c r="KD46" s="34">
        <f>IF(AND(ISNUMBER(KE46),ISNUMBER(KC46)),KE46-KC46,"")</f>
        <v>0</v>
      </c>
      <c r="KE46" s="33"/>
      <c r="KF46" s="34">
        <f>IF(AND(ISNUMBER(KG46),ISNUMBER(KE46)),KG46-KE46,"")</f>
        <v>0</v>
      </c>
      <c r="KG46" s="33"/>
      <c r="KH46" s="34">
        <f>IF(AND(ISNUMBER(KI46),ISNUMBER(KG46)),KI46-KG46,"")</f>
        <v>0</v>
      </c>
      <c r="KI46" s="33"/>
      <c r="KJ46" s="34">
        <f>IF(AND(ISNUMBER(KK46),ISNUMBER(KI46)),KK46-KI46,"")</f>
        <v>0</v>
      </c>
      <c r="KK46" s="33"/>
      <c r="KL46" s="34">
        <f>IF(AND(ISNUMBER(KM46),ISNUMBER(KK46)),KM46-KK46,"")</f>
        <v>0</v>
      </c>
      <c r="KM46" s="33"/>
      <c r="KN46" s="34">
        <f>IF(AND(ISNUMBER(KO46),ISNUMBER(KM46)),KO46-KM46,"")</f>
        <v>0</v>
      </c>
      <c r="KO46" s="33"/>
      <c r="KP46" s="34">
        <f>IF(AND(ISNUMBER(KQ46),ISNUMBER(KO46)),KQ46-KO46,"")</f>
        <v>0</v>
      </c>
      <c r="KQ46" s="33"/>
      <c r="KR46" s="34">
        <f>IF(AND(ISNUMBER(KS46),ISNUMBER(KQ46)),KS46-KQ46,"")</f>
        <v>0</v>
      </c>
      <c r="KS46" s="33"/>
      <c r="KT46" s="34">
        <f>IF(AND(ISNUMBER(KU46),ISNUMBER(KS46)),KU46-KS46,"")</f>
        <v>0</v>
      </c>
      <c r="KU46" s="33"/>
      <c r="KV46" s="34">
        <f>IF(AND(ISNUMBER(KW46),ISNUMBER(KU46)),KW46-KU46,"")</f>
        <v>0</v>
      </c>
      <c r="KW46" s="33"/>
      <c r="KX46" s="34">
        <f>IF(AND(ISNUMBER(KY46),ISNUMBER(KW46)),KY46-KW46,"")</f>
        <v>0</v>
      </c>
      <c r="KY46" s="33"/>
      <c r="KZ46" s="34">
        <f>IF(AND(ISNUMBER(LA46),ISNUMBER(KY46)),LA46-KY46,"")</f>
        <v>0</v>
      </c>
      <c r="LA46" s="33"/>
      <c r="LB46" s="34">
        <f>IF(AND(ISNUMBER(LC46),ISNUMBER(LA46)),LC46-LA46,"")</f>
        <v>0</v>
      </c>
      <c r="LC46" s="33"/>
      <c r="LD46" s="34">
        <f>IF(AND(ISNUMBER(LE46),ISNUMBER(LC46)),LE46-LC46,"")</f>
        <v>0</v>
      </c>
      <c r="LE46" s="33"/>
      <c r="LF46" s="34">
        <f>IF(AND(ISNUMBER(LG46),ISNUMBER(LE46)),LG46-LE46,"")</f>
        <v>0</v>
      </c>
      <c r="LG46" s="33"/>
      <c r="LJ46" s="35" t="s">
        <v>1085</v>
      </c>
    </row>
    <row r="47" spans="1:322" ht="27.5" customHeight="1" collapsed="1">
      <c r="A47" s="22" t="s">
        <v>762</v>
      </c>
      <c r="B47" s="23" t="s">
        <v>1098</v>
      </c>
      <c r="C47" s="24" t="s">
        <v>708</v>
      </c>
      <c r="D47" s="24"/>
      <c r="E47" s="25" t="s">
        <v>1081</v>
      </c>
      <c r="F47" s="26"/>
      <c r="G47" s="26"/>
      <c r="H47" s="26" t="s">
        <v>1082</v>
      </c>
      <c r="I47" s="27"/>
      <c r="J47" s="28">
        <f>IF(AND(ISNUMBER(K47),ISNUMBER(I47)),K47-I47,"")</f>
        <v>0</v>
      </c>
      <c r="K47" s="27"/>
      <c r="L47" s="28">
        <f>IF(AND(ISNUMBER(M47),ISNUMBER(K47)),M47-K47,"")</f>
        <v>0</v>
      </c>
      <c r="M47" s="27"/>
      <c r="N47" s="28">
        <f>IF(AND(ISNUMBER(O47),ISNUMBER(M47)),O47-M47,"")</f>
        <v>0</v>
      </c>
      <c r="O47" s="27"/>
      <c r="P47" s="28">
        <f>IF(AND(ISNUMBER(Q47),ISNUMBER(O47)),Q47-O47,"")</f>
        <v>0</v>
      </c>
      <c r="Q47" s="27"/>
      <c r="R47" s="28">
        <f>IF(AND(ISNUMBER(S47),ISNUMBER(Q47)),S47-Q47,"")</f>
        <v>0</v>
      </c>
      <c r="S47" s="27"/>
      <c r="T47" s="28">
        <f>IF(AND(ISNUMBER(U47),ISNUMBER(S47)),U47-S47,"")</f>
        <v>0</v>
      </c>
      <c r="U47" s="27"/>
      <c r="V47" s="28">
        <f>IF(AND(ISNUMBER(W47),ISNUMBER(U47)),W47-U47,"")</f>
        <v>0</v>
      </c>
      <c r="W47" s="27"/>
      <c r="X47" s="28">
        <f>IF(AND(ISNUMBER(Y47),ISNUMBER(W47)),Y47-W47,"")</f>
        <v>0</v>
      </c>
      <c r="Y47" s="27"/>
      <c r="Z47" s="28">
        <f>IF(AND(ISNUMBER(AA47),ISNUMBER(Y47)),AA47-Y47,"")</f>
        <v>0</v>
      </c>
      <c r="AA47" s="27"/>
      <c r="AB47" s="28">
        <f>IF(AND(ISNUMBER(AC47),ISNUMBER(AA47)),AC47-AA47,"")</f>
        <v>0</v>
      </c>
      <c r="AC47" s="27"/>
      <c r="AD47" s="28">
        <f>IF(AND(ISNUMBER(AE47),ISNUMBER(AC47)),AE47-AC47,"")</f>
        <v>0</v>
      </c>
      <c r="AE47" s="27"/>
      <c r="AF47" s="28">
        <f>IF(AND(ISNUMBER(AG47),ISNUMBER(AE47)),AG47-AE47,"")</f>
        <v>0</v>
      </c>
      <c r="AG47" s="27"/>
      <c r="AH47" s="28">
        <f>IF(AND(ISNUMBER(AI47),ISNUMBER(AG47)),AI47-AG47,"")</f>
        <v>0</v>
      </c>
      <c r="AI47" s="27"/>
      <c r="AJ47" s="28">
        <f>IF(AND(ISNUMBER(AK47),ISNUMBER(AI47)),AK47-AI47,"")</f>
        <v>0</v>
      </c>
      <c r="AK47" s="27"/>
      <c r="AL47" s="28">
        <f>IF(AND(ISNUMBER(AM47),ISNUMBER(AK47)),AM47-AK47,"")</f>
        <v>0</v>
      </c>
      <c r="AM47" s="27"/>
      <c r="AN47" s="28">
        <f>IF(AND(ISNUMBER(AO47),ISNUMBER(AM47)),AO47-AM47,"")</f>
        <v>0</v>
      </c>
      <c r="AO47" s="27"/>
      <c r="AP47" s="28">
        <f>IF(AND(ISNUMBER(AQ47),ISNUMBER(AO47)),AQ47-AO47,"")</f>
        <v>0</v>
      </c>
      <c r="AQ47" s="27"/>
      <c r="AR47" s="28">
        <f>IF(AND(ISNUMBER(AS47),ISNUMBER(AQ47)),AS47-AQ47,"")</f>
        <v>0</v>
      </c>
      <c r="AS47" s="27"/>
      <c r="AT47" s="28">
        <f>IF(AND(ISNUMBER(AU47),ISNUMBER(AS47)),AU47-AS47,"")</f>
        <v>0</v>
      </c>
      <c r="AU47" s="27"/>
      <c r="AV47" s="28">
        <f>IF(AND(ISNUMBER(AW47),ISNUMBER(AU47)),AW47-AU47,"")</f>
        <v>0</v>
      </c>
      <c r="AW47" s="27"/>
      <c r="AX47" s="28">
        <f>IF(AND(ISNUMBER(AY47),ISNUMBER(AW47)),AY47-AW47,"")</f>
        <v>0</v>
      </c>
      <c r="AY47" s="27"/>
      <c r="AZ47" s="28">
        <f>IF(AND(ISNUMBER(BA47),ISNUMBER(AY47)),BA47-AY47,"")</f>
        <v>0</v>
      </c>
      <c r="BA47" s="27"/>
      <c r="BB47" s="28">
        <f>IF(AND(ISNUMBER(BC47),ISNUMBER(BA47)),BC47-BA47,"")</f>
        <v>0</v>
      </c>
      <c r="BC47" s="27"/>
      <c r="BD47" s="28">
        <f>IF(AND(ISNUMBER(BE47),ISNUMBER(BC47)),BE47-BC47,"")</f>
        <v>0</v>
      </c>
      <c r="BE47" s="27"/>
      <c r="BF47" s="28">
        <f>IF(AND(ISNUMBER(BG47),ISNUMBER(BE47)),BG47-BE47,"")</f>
        <v>0</v>
      </c>
      <c r="BG47" s="27"/>
      <c r="BH47" s="28">
        <f>IF(AND(ISNUMBER(BI47),ISNUMBER(BG47)),BI47-BG47,"")</f>
        <v>0</v>
      </c>
      <c r="BI47" s="27"/>
      <c r="BJ47" s="28">
        <f>IF(AND(ISNUMBER(BK47),ISNUMBER(BI47)),BK47-BI47,"")</f>
        <v>0</v>
      </c>
      <c r="BK47" s="27"/>
      <c r="BL47" s="28">
        <f>IF(AND(ISNUMBER(BM47),ISNUMBER(BK47)),BM47-BK47,"")</f>
        <v>0</v>
      </c>
      <c r="BM47" s="27"/>
      <c r="BN47" s="28">
        <f>IF(AND(ISNUMBER(BO47),ISNUMBER(BM47)),BO47-BM47,"")</f>
        <v>0</v>
      </c>
      <c r="BO47" s="27"/>
      <c r="BP47" s="28">
        <f>IF(AND(ISNUMBER(BQ47),ISNUMBER(BO47)),BQ47-BO47,"")</f>
        <v>0</v>
      </c>
      <c r="BQ47" s="27"/>
      <c r="BR47" s="28">
        <f>IF(AND(ISNUMBER(BS47),ISNUMBER(BQ47)),BS47-BQ47,"")</f>
        <v>0</v>
      </c>
      <c r="BS47" s="27"/>
      <c r="BT47" s="28">
        <f>IF(AND(ISNUMBER(BU47),ISNUMBER(BS47)),BU47-BS47,"")</f>
        <v>0</v>
      </c>
      <c r="BU47" s="27"/>
      <c r="BV47" s="28">
        <f>IF(AND(ISNUMBER(BW47),ISNUMBER(BU47)),BW47-BU47,"")</f>
        <v>0</v>
      </c>
      <c r="BW47" s="27"/>
      <c r="BX47" s="28">
        <f>IF(AND(ISNUMBER(BY47),ISNUMBER(BW47)),BY47-BW47,"")</f>
        <v>0</v>
      </c>
      <c r="BY47" s="29">
        <f>IF(COUNT(BY48:BY54)=0,"",SUM(BY48:BY54))</f>
        <v>0</v>
      </c>
      <c r="BZ47" s="28">
        <f>IF(AND(ISNUMBER(CA47),ISNUMBER(BY47)),CA47-BY47,"")</f>
        <v>0</v>
      </c>
      <c r="CA47" s="29">
        <f>IF(COUNT(CA48:CA54)=0,"",SUM(CA48:CA54))</f>
        <v>0</v>
      </c>
      <c r="CB47" s="28">
        <f>IF(AND(ISNUMBER(CC47),ISNUMBER(CA47)),CC47-CA47,"")</f>
        <v>0</v>
      </c>
      <c r="CC47" s="29">
        <f>IF(COUNT(CC48:CC54)=0,"",SUM(CC48:CC54))</f>
        <v>0</v>
      </c>
      <c r="CD47" s="28">
        <f>IF(AND(ISNUMBER(CE47),ISNUMBER(CC47)),CE47-CC47,"")</f>
        <v>0</v>
      </c>
      <c r="CE47" s="29">
        <f>IF(COUNT(CE48:CE54)=0,"",SUM(CE48:CE54))</f>
        <v>0</v>
      </c>
      <c r="CF47" s="28">
        <f>IF(AND(ISNUMBER(CG47),ISNUMBER(CE47)),CG47-CE47,"")</f>
        <v>0</v>
      </c>
      <c r="CG47" s="29">
        <f>IF(COUNT(CG48:CG54)=0,"",SUM(CG48:CG54))</f>
        <v>0</v>
      </c>
      <c r="CH47" s="28">
        <f>IF(AND(ISNUMBER(CI47),ISNUMBER(CG47)),CI47-CG47,"")</f>
        <v>0</v>
      </c>
      <c r="CI47" s="29">
        <f>IF(COUNT(CI48:CI54)=0,"",SUM(CI48:CI54))</f>
        <v>0</v>
      </c>
      <c r="CJ47" s="28">
        <f>IF(AND(ISNUMBER(CK47),ISNUMBER(CI47)),CK47-CI47,"")</f>
        <v>0</v>
      </c>
      <c r="CK47" s="29">
        <f>IF(COUNT(CK48:CK54)=0,"",SUM(CK48:CK54))</f>
        <v>0</v>
      </c>
      <c r="CL47" s="28">
        <f>IF(AND(ISNUMBER(CM47),ISNUMBER(CK47)),CM47-CK47,"")</f>
        <v>0</v>
      </c>
      <c r="CM47" s="29">
        <f>IF(COUNT(CM48:CM54)=0,"",SUM(CM48:CM54))</f>
        <v>0</v>
      </c>
      <c r="CN47" s="28">
        <f>IF(AND(ISNUMBER(CO47),ISNUMBER(CM47)),CO47-CM47,"")</f>
        <v>0</v>
      </c>
      <c r="CO47" s="29">
        <f>IF(COUNT(CO48:CO54)=0,"",SUM(CO48:CO54))</f>
        <v>0</v>
      </c>
      <c r="CP47" s="28">
        <f>IF(AND(ISNUMBER(CQ47),ISNUMBER(CO47)),CQ47-CO47,"")</f>
        <v>0</v>
      </c>
      <c r="CQ47" s="29">
        <f>IF(COUNT(CQ48:CQ54)=0,"",SUM(CQ48:CQ54))</f>
        <v>0</v>
      </c>
      <c r="CR47" s="28">
        <f>IF(AND(ISNUMBER(CS47),ISNUMBER(CQ47)),CS47-CQ47,"")</f>
        <v>0</v>
      </c>
      <c r="CS47" s="29">
        <f>IF(COUNT(CS48:CS54)=0,"",SUM(CS48:CS54))</f>
        <v>0</v>
      </c>
      <c r="CT47" s="28">
        <f>IF(AND(ISNUMBER(CU47),ISNUMBER(CS47)),CU47-CS47,"")</f>
        <v>0</v>
      </c>
      <c r="CU47" s="29">
        <f>IF(COUNT(CU48:CU54)=0,"",SUM(CU48:CU54))</f>
        <v>0</v>
      </c>
      <c r="CV47" s="28">
        <f>IF(AND(ISNUMBER(CW47),ISNUMBER(CU47)),CW47-CU47,"")</f>
        <v>0</v>
      </c>
      <c r="CW47" s="29">
        <f>IF(COUNT(CW48:CW54)=0,"",SUM(CW48:CW54))</f>
        <v>0</v>
      </c>
      <c r="CX47" s="28">
        <f>IF(AND(ISNUMBER(CY47),ISNUMBER(CW47)),CY47-CW47,"")</f>
        <v>0</v>
      </c>
      <c r="CY47" s="29">
        <f>IF(COUNT(CY48:CY54)=0,"",SUM(CY48:CY54))</f>
        <v>0</v>
      </c>
      <c r="CZ47" s="28">
        <f>IF(AND(ISNUMBER(DA47),ISNUMBER(CY47)),DA47-CY47,"")</f>
        <v>0</v>
      </c>
      <c r="DA47" s="29">
        <f>IF(COUNT(DA48:DA54)=0,"",SUM(DA48:DA54))</f>
        <v>0</v>
      </c>
      <c r="DB47" s="28">
        <f>IF(AND(ISNUMBER(DC47),ISNUMBER(DA47)),DC47-DA47,"")</f>
        <v>0</v>
      </c>
      <c r="DC47" s="29">
        <f>IF(COUNT(DC48:DC54)=0,"",SUM(DC48:DC54))</f>
        <v>0</v>
      </c>
      <c r="DD47" s="28">
        <f>IF(AND(ISNUMBER(DE47),ISNUMBER(DC47)),DE47-DC47,"")</f>
        <v>0</v>
      </c>
      <c r="DE47" s="29">
        <f>IF(COUNT(DE48:DE54)=0,"",SUM(DE48:DE54))</f>
        <v>0</v>
      </c>
      <c r="DF47" s="28">
        <f>IF(AND(ISNUMBER(DG47),ISNUMBER(DE47)),DG47-DE47,"")</f>
        <v>0</v>
      </c>
      <c r="DG47" s="29">
        <f>IF(COUNT(DG48:DG54)=0,"",SUM(DG48:DG54))</f>
        <v>0</v>
      </c>
      <c r="DH47" s="28">
        <f>IF(AND(ISNUMBER(DI47),ISNUMBER(DG47)),DI47-DG47,"")</f>
        <v>0</v>
      </c>
      <c r="DI47" s="29">
        <f>IF(COUNT(DI48:DI54)=0,"",SUM(DI48:DI54))</f>
        <v>0</v>
      </c>
      <c r="DJ47" s="28">
        <f>IF(AND(ISNUMBER(DK47),ISNUMBER(DI47)),DK47-DI47,"")</f>
        <v>0</v>
      </c>
      <c r="DK47" s="29">
        <f>IF(COUNT(DK48:DK54)=0,"",SUM(DK48:DK54))</f>
        <v>0</v>
      </c>
      <c r="DL47" s="28">
        <f>IF(AND(ISNUMBER(DM47),ISNUMBER(DK47)),DM47-DK47,"")</f>
        <v>0</v>
      </c>
      <c r="DM47" s="29">
        <f>IF(COUNT(DM48:DM54)=0,"",SUM(DM48:DM54))</f>
        <v>0</v>
      </c>
      <c r="DN47" s="28">
        <f>IF(AND(ISNUMBER(DO47),ISNUMBER(DM47)),DO47-DM47,"")</f>
        <v>0</v>
      </c>
      <c r="DO47" s="29">
        <f>IF(COUNT(DO48:DO54)=0,"",SUM(DO48:DO54))</f>
        <v>0</v>
      </c>
      <c r="DP47" s="28">
        <f>IF(AND(ISNUMBER(DQ47),ISNUMBER(DO47)),DQ47-DO47,"")</f>
        <v>0</v>
      </c>
      <c r="DQ47" s="29">
        <f>IF(COUNT(DQ48:DQ54)=0,"",SUM(DQ48:DQ54))</f>
        <v>0</v>
      </c>
      <c r="DR47" s="28">
        <f>IF(AND(ISNUMBER(DS47),ISNUMBER(DQ47)),DS47-DQ47,"")</f>
        <v>0</v>
      </c>
      <c r="DS47" s="29">
        <f>IF(COUNT(DS48:DS54)=0,"",SUM(DS48:DS54))</f>
        <v>0</v>
      </c>
      <c r="DT47" s="28">
        <f>IF(AND(ISNUMBER(DU47),ISNUMBER(DS47)),DU47-DS47,"")</f>
        <v>0</v>
      </c>
      <c r="DU47" s="29">
        <f>IF(COUNT(DU48:DU54)=0,"",SUM(DU48:DU54))</f>
        <v>0</v>
      </c>
      <c r="DV47" s="28">
        <f>IF(AND(ISNUMBER(DW47),ISNUMBER(DU47)),DW47-DU47,"")</f>
        <v>0</v>
      </c>
      <c r="DW47" s="29">
        <f>IF(COUNT(DW48:DW54)=0,"",SUM(DW48:DW54))</f>
        <v>0</v>
      </c>
      <c r="DX47" s="28">
        <f>IF(AND(ISNUMBER(DY47),ISNUMBER(DW47)),DY47-DW47,"")</f>
        <v>0</v>
      </c>
      <c r="DY47" s="29">
        <f>IF(COUNT(DY48:DY54)=0,"",SUM(DY48:DY54))</f>
        <v>0</v>
      </c>
      <c r="DZ47" s="28">
        <f>IF(AND(ISNUMBER(EA47),ISNUMBER(DY47)),EA47-DY47,"")</f>
        <v>0</v>
      </c>
      <c r="EA47" s="29">
        <f>IF(COUNT(EA48:EA54)=0,"",SUM(EA48:EA54))</f>
        <v>0</v>
      </c>
      <c r="EB47" s="28">
        <f>IF(AND(ISNUMBER(EC47),ISNUMBER(EA47)),EC47-EA47,"")</f>
        <v>0</v>
      </c>
      <c r="EC47" s="29">
        <f>IF(COUNT(EC48:EC54)=0,"",SUM(EC48:EC54))</f>
        <v>0</v>
      </c>
      <c r="ED47" s="28">
        <f>IF(AND(ISNUMBER(EE47),ISNUMBER(EC47)),EE47-EC47,"")</f>
        <v>0</v>
      </c>
      <c r="EE47" s="29">
        <f>IF(COUNT(EE48:EE54)=0,"",SUM(EE48:EE54))</f>
        <v>0</v>
      </c>
      <c r="EF47" s="28">
        <f>IF(AND(ISNUMBER(EG47),ISNUMBER(EE47)),EG47-EE47,"")</f>
        <v>0</v>
      </c>
      <c r="EG47" s="29">
        <f>IF(COUNT(EG48:EG54)=0,"",SUM(EG48:EG54))</f>
        <v>0</v>
      </c>
      <c r="EH47" s="28">
        <f>IF(AND(ISNUMBER(EI47),ISNUMBER(EG47)),EI47-EG47,"")</f>
        <v>0</v>
      </c>
      <c r="EI47" s="29">
        <f>IF(COUNT(EI48:EI54)=0,"",SUM(EI48:EI54))</f>
        <v>0</v>
      </c>
      <c r="EJ47" s="28">
        <f>IF(AND(ISNUMBER(EK47),ISNUMBER(EI47)),EK47-EI47,"")</f>
        <v>0</v>
      </c>
      <c r="EK47" s="29">
        <f>IF(COUNT(EK48:EK54)=0,"",SUM(EK48:EK54))</f>
        <v>0</v>
      </c>
      <c r="EL47" s="28">
        <f>IF(AND(ISNUMBER(EM47),ISNUMBER(EK47)),EM47-EK47,"")</f>
        <v>0</v>
      </c>
      <c r="EM47" s="29">
        <f>IF(COUNT(EM48:EM54)=0,"",SUM(EM48:EM54))</f>
        <v>0</v>
      </c>
      <c r="EN47" s="28">
        <f>IF(AND(ISNUMBER(EO47),ISNUMBER(EM47)),EO47-EM47,"")</f>
        <v>0</v>
      </c>
      <c r="EO47" s="29">
        <f>IF(COUNT(EO48:EO54)=0,"",SUM(EO48:EO54))</f>
        <v>0</v>
      </c>
      <c r="EP47" s="28">
        <f>IF(AND(ISNUMBER(EQ47),ISNUMBER(EO47)),EQ47-EO47,"")</f>
        <v>0</v>
      </c>
      <c r="EQ47" s="29">
        <f>IF(COUNT(EQ48:EQ54)=0,"",SUM(EQ48:EQ54))</f>
        <v>0</v>
      </c>
      <c r="ER47" s="28">
        <f>IF(AND(ISNUMBER(ES47),ISNUMBER(EQ47)),ES47-EQ47,"")</f>
        <v>0</v>
      </c>
      <c r="ES47" s="29">
        <f>IF(COUNT(ES48:ES54)=0,"",SUM(ES48:ES54))</f>
        <v>0</v>
      </c>
      <c r="ET47" s="28">
        <f>IF(AND(ISNUMBER(EU47),ISNUMBER(ES47)),EU47-ES47,"")</f>
        <v>0</v>
      </c>
      <c r="EU47" s="29">
        <f>IF(COUNT(EU48:EU54)=0,"",SUM(EU48:EU54))</f>
        <v>0</v>
      </c>
      <c r="EV47" s="28">
        <f>IF(AND(ISNUMBER(EW47),ISNUMBER(EU47)),EW47-EU47,"")</f>
        <v>0</v>
      </c>
      <c r="EW47" s="29">
        <f>IF(COUNT(EW48:EW54)=0,"",SUM(EW48:EW54))</f>
        <v>0</v>
      </c>
      <c r="EX47" s="28">
        <f>IF(AND(ISNUMBER(EY47),ISNUMBER(EW47)),EY47-EW47,"")</f>
        <v>0</v>
      </c>
      <c r="EY47" s="29">
        <f>IF(COUNT(EY48:EY54)=0,"",SUM(EY48:EY54))</f>
        <v>0</v>
      </c>
      <c r="EZ47" s="28">
        <f>IF(AND(ISNUMBER(FA47),ISNUMBER(EY47)),FA47-EY47,"")</f>
        <v>0</v>
      </c>
      <c r="FA47" s="29">
        <f>IF(COUNT(FA48:FA54)=0,"",SUM(FA48:FA54))</f>
        <v>0</v>
      </c>
      <c r="FB47" s="28">
        <f>IF(AND(ISNUMBER(FC47),ISNUMBER(FA47)),FC47-FA47,"")</f>
        <v>0</v>
      </c>
      <c r="FC47" s="29">
        <f>IF(COUNT(FC48:FC54)=0,"",SUM(FC48:FC54))</f>
        <v>0</v>
      </c>
      <c r="FD47" s="28">
        <f>IF(AND(ISNUMBER(FE47),ISNUMBER(FC47)),FE47-FC47,"")</f>
        <v>0</v>
      </c>
      <c r="FE47" s="29">
        <f>IF(COUNT(FE48:FE54)=0,"",SUM(FE48:FE54))</f>
        <v>0</v>
      </c>
      <c r="FF47" s="28">
        <f>IF(AND(ISNUMBER(FG47),ISNUMBER(FE47)),FG47-FE47,"")</f>
        <v>0</v>
      </c>
      <c r="FG47" s="29">
        <f>IF(COUNT(FG48:FG54)=0,"",SUM(FG48:FG54))</f>
        <v>0</v>
      </c>
      <c r="FH47" s="28">
        <f>IF(AND(ISNUMBER(FI47),ISNUMBER(FG47)),FI47-FG47,"")</f>
        <v>0</v>
      </c>
      <c r="FI47" s="29">
        <f>IF(COUNT(FI48:FI54)=0,"",SUM(FI48:FI54))</f>
        <v>0</v>
      </c>
      <c r="FJ47" s="28">
        <f>IF(AND(ISNUMBER(FK47),ISNUMBER(FI47)),FK47-FI47,"")</f>
        <v>0</v>
      </c>
      <c r="FK47" s="29">
        <f>IF(COUNT(FK48:FK54)=0,"",SUM(FK48:FK54))</f>
        <v>0</v>
      </c>
      <c r="FL47" s="28">
        <f>IF(AND(ISNUMBER(FM47),ISNUMBER(FK47)),FM47-FK47,"")</f>
        <v>0</v>
      </c>
      <c r="FM47" s="29">
        <f>IF(COUNT(FM48:FM54)=0,"",SUM(FM48:FM54))</f>
        <v>0</v>
      </c>
      <c r="FN47" s="28">
        <f>IF(AND(ISNUMBER(FO47),ISNUMBER(FM47)),FO47-FM47,"")</f>
        <v>0</v>
      </c>
      <c r="FO47" s="29">
        <f>IF(COUNT(FO48:FO54)=0,"",SUM(FO48:FO54))</f>
        <v>0</v>
      </c>
      <c r="FP47" s="28">
        <f>IF(AND(ISNUMBER(FQ47),ISNUMBER(FO47)),FQ47-FO47,"")</f>
        <v>0</v>
      </c>
      <c r="FQ47" s="29">
        <f>IF(COUNT(FQ48:FQ54)=0,"",SUM(FQ48:FQ54))</f>
        <v>0</v>
      </c>
      <c r="FR47" s="28">
        <f>IF(AND(ISNUMBER(FS47),ISNUMBER(FQ47)),FS47-FQ47,"")</f>
        <v>0</v>
      </c>
      <c r="FS47" s="29">
        <f>IF(COUNT(FS48:FS54)=0,"",SUM(FS48:FS54))</f>
        <v>0</v>
      </c>
      <c r="FT47" s="28">
        <f>IF(AND(ISNUMBER(FU47),ISNUMBER(FS47)),FU47-FS47,"")</f>
        <v>0</v>
      </c>
      <c r="FU47" s="29">
        <f>IF(COUNT(FU48:FU54)=0,"",SUM(FU48:FU54))</f>
        <v>0</v>
      </c>
      <c r="FV47" s="28">
        <f>IF(AND(ISNUMBER(FW47),ISNUMBER(FU47)),FW47-FU47,"")</f>
        <v>0</v>
      </c>
      <c r="FW47" s="29">
        <f>IF(COUNT(FW48:FW54)=0,"",SUM(FW48:FW54))</f>
        <v>0</v>
      </c>
      <c r="FX47" s="28">
        <f>IF(AND(ISNUMBER(FY47),ISNUMBER(FW47)),FY47-FW47,"")</f>
        <v>0</v>
      </c>
      <c r="FY47" s="29">
        <f>IF(COUNT(FY48:FY54)=0,"",SUM(FY48:FY54))</f>
        <v>0</v>
      </c>
      <c r="FZ47" s="28">
        <f>IF(AND(ISNUMBER(GA47),ISNUMBER(FY47)),GA47-FY47,"")</f>
        <v>0</v>
      </c>
      <c r="GA47" s="29">
        <f>IF(COUNT(GA48:GA54)=0,"",SUM(GA48:GA54))</f>
        <v>0</v>
      </c>
      <c r="GB47" s="28">
        <f>IF(AND(ISNUMBER(GC47),ISNUMBER(GA47)),GC47-GA47,"")</f>
        <v>0</v>
      </c>
      <c r="GC47" s="29">
        <f>IF(COUNT(GC48:GC54)=0,"",SUM(GC48:GC54))</f>
        <v>0</v>
      </c>
      <c r="GD47" s="28">
        <f>IF(AND(ISNUMBER(GE47),ISNUMBER(GC47)),GE47-GC47,"")</f>
        <v>0</v>
      </c>
      <c r="GE47" s="29">
        <f>IF(COUNT(GE48:GE54)=0,"",SUM(GE48:GE54))</f>
        <v>0</v>
      </c>
      <c r="GF47" s="28">
        <f>IF(AND(ISNUMBER(GG47),ISNUMBER(GE47)),GG47-GE47,"")</f>
        <v>0</v>
      </c>
      <c r="GG47" s="29">
        <f>IF(COUNT(GG48:GG54)=0,"",SUM(GG48:GG54))</f>
        <v>0</v>
      </c>
      <c r="GH47" s="28">
        <f>IF(AND(ISNUMBER(GI47),ISNUMBER(GG47)),GI47-GG47,"")</f>
        <v>0</v>
      </c>
      <c r="GI47" s="29">
        <f>IF(COUNT(GI48:GI54)=0,"",SUM(GI48:GI54))</f>
        <v>0</v>
      </c>
      <c r="GJ47" s="28">
        <f>IF(AND(ISNUMBER(GK47),ISNUMBER(GI47)),GK47-GI47,"")</f>
        <v>0</v>
      </c>
      <c r="GK47" s="29">
        <f>IF(COUNT(GK48:GK54)=0,"",SUM(GK48:GK54))</f>
        <v>0</v>
      </c>
      <c r="GL47" s="28">
        <f>IF(AND(ISNUMBER(GM47),ISNUMBER(GK47)),GM47-GK47,"")</f>
        <v>0</v>
      </c>
      <c r="GM47" s="29">
        <f>IF(COUNT(GM48:GM54)=0,"",SUM(GM48:GM54))</f>
        <v>0</v>
      </c>
      <c r="GN47" s="28">
        <f>IF(AND(ISNUMBER(GO47),ISNUMBER(GM47)),GO47-GM47,"")</f>
        <v>0</v>
      </c>
      <c r="GO47" s="29">
        <f>IF(COUNT(GO48:GO54)=0,"",SUM(GO48:GO54))</f>
        <v>0</v>
      </c>
      <c r="GP47" s="28">
        <f>IF(AND(ISNUMBER(GQ47),ISNUMBER(GO47)),GQ47-GO47,"")</f>
        <v>0</v>
      </c>
      <c r="GQ47" s="29">
        <f>IF(COUNT(GQ48:GQ54)=0,"",SUM(GQ48:GQ54))</f>
        <v>0</v>
      </c>
      <c r="GR47" s="28">
        <f>IF(AND(ISNUMBER(GS47),ISNUMBER(GQ47)),GS47-GQ47,"")</f>
        <v>0</v>
      </c>
      <c r="GS47" s="29">
        <f>IF(COUNT(GS48:GS54)=0,"",SUM(GS48:GS54))</f>
        <v>0</v>
      </c>
      <c r="GT47" s="28">
        <f>IF(AND(ISNUMBER(GU47),ISNUMBER(GS47)),GU47-GS47,"")</f>
        <v>0</v>
      </c>
      <c r="GU47" s="29">
        <f>IF(COUNT(GU48:GU54)=0,"",SUM(GU48:GU54))</f>
        <v>0</v>
      </c>
      <c r="GV47" s="28">
        <f>IF(AND(ISNUMBER(GW47),ISNUMBER(GU47)),GW47-GU47,"")</f>
        <v>0</v>
      </c>
      <c r="GW47" s="29">
        <f>IF(COUNT(GW48:GW54)=0,"",SUM(GW48:GW54))</f>
        <v>0</v>
      </c>
      <c r="GX47" s="28">
        <f>IF(AND(ISNUMBER(GY47),ISNUMBER(GW47)),GY47-GW47,"")</f>
        <v>0</v>
      </c>
      <c r="GY47" s="29">
        <f>IF(COUNT(GY48:GY54)=0,"",SUM(GY48:GY54))</f>
        <v>0</v>
      </c>
      <c r="GZ47" s="28">
        <f>IF(AND(ISNUMBER(HA47),ISNUMBER(GY47)),HA47-GY47,"")</f>
        <v>0</v>
      </c>
      <c r="HA47" s="29">
        <f>IF(COUNT(HA48:HA54)=0,"",SUM(HA48:HA54))</f>
        <v>0</v>
      </c>
      <c r="HB47" s="28">
        <f>IF(AND(ISNUMBER(HC47),ISNUMBER(HA47)),HC47-HA47,"")</f>
        <v>0</v>
      </c>
      <c r="HC47" s="29">
        <f>IF(COUNT(HC48:HC54)=0,"",SUM(HC48:HC54))</f>
        <v>0</v>
      </c>
      <c r="HD47" s="28">
        <f>IF(AND(ISNUMBER(HE47),ISNUMBER(HC47)),HE47-HC47,"")</f>
        <v>0</v>
      </c>
      <c r="HE47" s="29">
        <f>IF(COUNT(HE48:HE54)=0,"",SUM(HE48:HE54))</f>
        <v>0</v>
      </c>
      <c r="HF47" s="28">
        <f>IF(AND(ISNUMBER(HG47),ISNUMBER(HE47)),HG47-HE47,"")</f>
        <v>0</v>
      </c>
      <c r="HG47" s="29">
        <f>IF(COUNT(HG48:HG54)=0,"",SUM(HG48:HG54))</f>
        <v>0</v>
      </c>
      <c r="HH47" s="28">
        <f>IF(AND(ISNUMBER(HI47),ISNUMBER(HG47)),HI47-HG47,"")</f>
        <v>0</v>
      </c>
      <c r="HI47" s="29">
        <f>IF(COUNT(HI48:HI54)=0,"",SUM(HI48:HI54))</f>
        <v>0</v>
      </c>
      <c r="HJ47" s="28">
        <f>IF(AND(ISNUMBER(HK47),ISNUMBER(HI47)),HK47-HI47,"")</f>
        <v>0</v>
      </c>
      <c r="HK47" s="29">
        <f>IF(COUNT(HK48:HK54)=0,"",SUM(HK48:HK54))</f>
        <v>0</v>
      </c>
      <c r="HL47" s="28">
        <f>IF(AND(ISNUMBER(HM47),ISNUMBER(HK47)),HM47-HK47,"")</f>
        <v>0</v>
      </c>
      <c r="HM47" s="29">
        <f>IF(COUNT(HM48:HM54)=0,"",SUM(HM48:HM54))</f>
        <v>0</v>
      </c>
      <c r="HN47" s="28">
        <f>IF(AND(ISNUMBER(HO47),ISNUMBER(HM47)),HO47-HM47,"")</f>
        <v>0</v>
      </c>
      <c r="HO47" s="29">
        <f>IF(COUNT(HO48:HO54)=0,"",SUM(HO48:HO54))</f>
        <v>0</v>
      </c>
      <c r="HP47" s="28">
        <f>IF(AND(ISNUMBER(HQ47),ISNUMBER(HO47)),HQ47-HO47,"")</f>
        <v>0</v>
      </c>
      <c r="HQ47" s="29">
        <f>IF(COUNT(HQ48:HQ54)=0,"",SUM(HQ48:HQ54))</f>
        <v>0</v>
      </c>
      <c r="HR47" s="28">
        <f>IF(AND(ISNUMBER(HS47),ISNUMBER(HQ47)),HS47-HQ47,"")</f>
        <v>0</v>
      </c>
      <c r="HS47" s="29">
        <f>IF(COUNT(HS48:HS54)=0,"",SUM(HS48:HS54))</f>
        <v>0</v>
      </c>
      <c r="HT47" s="28">
        <f>IF(AND(ISNUMBER(HU47),ISNUMBER(HS47)),HU47-HS47,"")</f>
        <v>0</v>
      </c>
      <c r="HU47" s="29">
        <f>IF(COUNT(HU48:HU54)=0,"",SUM(HU48:HU54))</f>
        <v>0</v>
      </c>
      <c r="HV47" s="28">
        <f>IF(AND(ISNUMBER(HW47),ISNUMBER(HU47)),HW47-HU47,"")</f>
        <v>0</v>
      </c>
      <c r="HW47" s="29">
        <f>IF(COUNT(HW48:HW54)=0,"",SUM(HW48:HW54))</f>
        <v>0</v>
      </c>
      <c r="HX47" s="28">
        <f>IF(AND(ISNUMBER(HY47),ISNUMBER(HW47)),HY47-HW47,"")</f>
        <v>0</v>
      </c>
      <c r="HY47" s="29">
        <f>IF(COUNT(HY48:HY54)=0,"",SUM(HY48:HY54))</f>
        <v>0</v>
      </c>
      <c r="HZ47" s="28">
        <f>IF(AND(ISNUMBER(IA47),ISNUMBER(HY47)),IA47-HY47,"")</f>
        <v>0</v>
      </c>
      <c r="IA47" s="29">
        <f>IF(COUNT(IA48:IA54)=0,"",SUM(IA48:IA54))</f>
        <v>0</v>
      </c>
      <c r="IB47" s="28">
        <f>IF(AND(ISNUMBER(IC47),ISNUMBER(IA47)),IC47-IA47,"")</f>
        <v>0</v>
      </c>
      <c r="IC47" s="29">
        <f>IF(COUNT(IC48:IC54)=0,"",SUM(IC48:IC54))</f>
        <v>0</v>
      </c>
      <c r="ID47" s="28">
        <f>IF(AND(ISNUMBER(IE47),ISNUMBER(IC47)),IE47-IC47,"")</f>
        <v>0</v>
      </c>
      <c r="IE47" s="29">
        <f>IF(COUNT(IE48:IE54)=0,"",SUM(IE48:IE54))</f>
        <v>0</v>
      </c>
      <c r="IF47" s="28">
        <f>IF(AND(ISNUMBER(IG47),ISNUMBER(IE47)),IG47-IE47,"")</f>
        <v>0</v>
      </c>
      <c r="IG47" s="29">
        <f>IF(COUNT(IG48:IG54)=0,"",SUM(IG48:IG54))</f>
        <v>0</v>
      </c>
      <c r="IH47" s="28">
        <f>IF(AND(ISNUMBER(II47),ISNUMBER(IG47)),II47-IG47,"")</f>
        <v>0</v>
      </c>
      <c r="II47" s="29">
        <f>IF(COUNT(II48:II54)=0,"",SUM(II48:II54))</f>
        <v>0</v>
      </c>
      <c r="IJ47" s="28">
        <f>IF(AND(ISNUMBER(IK47),ISNUMBER(II47)),IK47-II47,"")</f>
        <v>0</v>
      </c>
      <c r="IK47" s="29">
        <f>IF(COUNT(IK48:IK54)=0,"",SUM(IK48:IK54))</f>
        <v>0</v>
      </c>
      <c r="IL47" s="28">
        <f>IF(AND(ISNUMBER(IM47),ISNUMBER(IK47)),IM47-IK47,"")</f>
        <v>0</v>
      </c>
      <c r="IM47" s="29">
        <f>IF(COUNT(IM48:IM54)=0,"",SUM(IM48:IM54))</f>
        <v>0</v>
      </c>
      <c r="IN47" s="28">
        <f>IF(AND(ISNUMBER(IO47),ISNUMBER(IM47)),IO47-IM47,"")</f>
        <v>0</v>
      </c>
      <c r="IO47" s="29">
        <f>IF(COUNT(IO48:IO54)=0,"",SUM(IO48:IO54))</f>
        <v>0</v>
      </c>
      <c r="IP47" s="28">
        <f>IF(AND(ISNUMBER(IQ47),ISNUMBER(IO47)),IQ47-IO47,"")</f>
        <v>0</v>
      </c>
      <c r="IQ47" s="29">
        <f>IF(COUNT(IQ48:IQ54)=0,"",SUM(IQ48:IQ54))</f>
        <v>0</v>
      </c>
      <c r="IR47" s="28">
        <f>IF(AND(ISNUMBER(IS47),ISNUMBER(IQ47)),IS47-IQ47,"")</f>
        <v>0</v>
      </c>
      <c r="IS47" s="29">
        <f>IF(COUNT(IS48:IS54)=0,"",SUM(IS48:IS54))</f>
        <v>0</v>
      </c>
      <c r="IT47" s="28">
        <f>IF(AND(ISNUMBER(IU47),ISNUMBER(IS47)),IU47-IS47,"")</f>
        <v>0</v>
      </c>
      <c r="IU47" s="29">
        <f>IF(COUNT(IU48:IU54)=0,"",SUM(IU48:IU54))</f>
        <v>0</v>
      </c>
      <c r="IV47" s="28">
        <f>IF(AND(ISNUMBER(IW47),ISNUMBER(IU47)),IW47-IU47,"")</f>
        <v>0</v>
      </c>
      <c r="IW47" s="29">
        <f>IF(COUNT(IW48:IW54)=0,"",SUM(IW48:IW54))</f>
        <v>0</v>
      </c>
      <c r="IX47" s="28">
        <f>IF(AND(ISNUMBER(IY47),ISNUMBER(IW47)),IY47-IW47,"")</f>
        <v>0</v>
      </c>
      <c r="IY47" s="29">
        <f>IF(COUNT(IY48:IY54)=0,"",SUM(IY48:IY54))</f>
        <v>0</v>
      </c>
      <c r="IZ47" s="28">
        <f>IF(AND(ISNUMBER(JA47),ISNUMBER(IY47)),JA47-IY47,"")</f>
        <v>0</v>
      </c>
      <c r="JA47" s="29">
        <f>IF(COUNT(JA48:JA54)=0,"",SUM(JA48:JA54))</f>
        <v>0</v>
      </c>
      <c r="JB47" s="28">
        <f>IF(AND(ISNUMBER(JC47),ISNUMBER(JA47)),JC47-JA47,"")</f>
        <v>0</v>
      </c>
      <c r="JC47" s="29">
        <f>IF(COUNT(JC48:JC54)=0,"",SUM(JC48:JC54))</f>
        <v>0</v>
      </c>
      <c r="JD47" s="28">
        <f>IF(AND(ISNUMBER(JE47),ISNUMBER(JC47)),JE47-JC47,"")</f>
        <v>0</v>
      </c>
      <c r="JE47" s="29">
        <f>IF(COUNT(JE48:JE54)=0,"",SUM(JE48:JE54))</f>
        <v>0</v>
      </c>
      <c r="JF47" s="28">
        <f>IF(AND(ISNUMBER(JG47),ISNUMBER(JE47)),JG47-JE47,"")</f>
        <v>0</v>
      </c>
      <c r="JG47" s="29">
        <f>IF(COUNT(JG48:JG54)=0,"",SUM(JG48:JG54))</f>
        <v>0</v>
      </c>
      <c r="JH47" s="28">
        <f>IF(AND(ISNUMBER(JI47),ISNUMBER(JG47)),JI47-JG47,"")</f>
        <v>0</v>
      </c>
      <c r="JI47" s="29">
        <f>IF(COUNT(JI48:JI54)=0,"",SUM(JI48:JI54))</f>
        <v>0</v>
      </c>
      <c r="JJ47" s="28">
        <f>IF(AND(ISNUMBER(JK47),ISNUMBER(JI47)),JK47-JI47,"")</f>
        <v>0</v>
      </c>
      <c r="JK47" s="29">
        <f>IF(COUNT(JK48:JK54)=0,"",SUM(JK48:JK54))</f>
        <v>0</v>
      </c>
      <c r="JL47" s="28">
        <f>IF(AND(ISNUMBER(JM47),ISNUMBER(JK47)),JM47-JK47,"")</f>
        <v>0</v>
      </c>
      <c r="JM47" s="29">
        <f>IF(COUNT(JM48:JM54)=0,"",SUM(JM48:JM54))</f>
        <v>0</v>
      </c>
      <c r="JN47" s="28">
        <f>IF(AND(ISNUMBER(JO47),ISNUMBER(JM47)),JO47-JM47,"")</f>
        <v>0</v>
      </c>
      <c r="JO47" s="29">
        <f>IF(COUNT(JO48:JO54)=0,"",SUM(JO48:JO54))</f>
        <v>0</v>
      </c>
      <c r="JP47" s="28">
        <f>IF(AND(ISNUMBER(JQ47),ISNUMBER(JO47)),JQ47-JO47,"")</f>
        <v>0</v>
      </c>
      <c r="JQ47" s="29">
        <f>IF(COUNT(JQ48:JQ54)=0,"",SUM(JQ48:JQ54))</f>
        <v>0</v>
      </c>
      <c r="JR47" s="28">
        <f>IF(AND(ISNUMBER(JS47),ISNUMBER(JQ47)),JS47-JQ47,"")</f>
        <v>0</v>
      </c>
      <c r="JS47" s="29">
        <f>IF(COUNT(JS48:JS54)=0,"",SUM(JS48:JS54))</f>
        <v>0</v>
      </c>
      <c r="JT47" s="28">
        <f>IF(AND(ISNUMBER(JU47),ISNUMBER(JS47)),JU47-JS47,"")</f>
        <v>0</v>
      </c>
      <c r="JU47" s="29">
        <f>IF(COUNT(JU48:JU54)=0,"",SUM(JU48:JU54))</f>
        <v>0</v>
      </c>
      <c r="JV47" s="28">
        <f>IF(AND(ISNUMBER(JW47),ISNUMBER(JU47)),JW47-JU47,"")</f>
        <v>0</v>
      </c>
      <c r="JW47" s="29">
        <f>IF(COUNT(JW48:JW54)=0,"",SUM(JW48:JW54))</f>
        <v>0</v>
      </c>
      <c r="JX47" s="28">
        <f>IF(AND(ISNUMBER(JY47),ISNUMBER(JW47)),JY47-JW47,"")</f>
        <v>0</v>
      </c>
      <c r="JY47" s="29">
        <f>IF(COUNT(JY48:JY54)=0,"",SUM(JY48:JY54))</f>
        <v>0</v>
      </c>
      <c r="JZ47" s="28">
        <f>IF(AND(ISNUMBER(KA47),ISNUMBER(JY47)),KA47-JY47,"")</f>
        <v>0</v>
      </c>
      <c r="KA47" s="29">
        <f>IF(COUNT(KA48:KA54)=0,"",SUM(KA48:KA54))</f>
        <v>0</v>
      </c>
      <c r="KB47" s="28">
        <f>IF(AND(ISNUMBER(KC47),ISNUMBER(KA47)),KC47-KA47,"")</f>
        <v>0</v>
      </c>
      <c r="KC47" s="29">
        <f>IF(COUNT(KC48:KC54)=0,"",SUM(KC48:KC54))</f>
        <v>0</v>
      </c>
      <c r="KD47" s="28">
        <f>IF(AND(ISNUMBER(KE47),ISNUMBER(KC47)),KE47-KC47,"")</f>
        <v>0</v>
      </c>
      <c r="KE47" s="29">
        <f>IF(COUNT(KE48:KE54)=0,"",SUM(KE48:KE54))</f>
        <v>0</v>
      </c>
      <c r="KF47" s="28">
        <f>IF(AND(ISNUMBER(KG47),ISNUMBER(KE47)),KG47-KE47,"")</f>
        <v>0</v>
      </c>
      <c r="KG47" s="29">
        <f>IF(COUNT(KG48:KG54)=0,"",SUM(KG48:KG54))</f>
        <v>0</v>
      </c>
      <c r="KH47" s="28">
        <f>IF(AND(ISNUMBER(KI47),ISNUMBER(KG47)),KI47-KG47,"")</f>
        <v>0</v>
      </c>
      <c r="KI47" s="29">
        <f>IF(COUNT(KI48:KI54)=0,"",SUM(KI48:KI54))</f>
        <v>0</v>
      </c>
      <c r="KJ47" s="28">
        <f>IF(AND(ISNUMBER(KK47),ISNUMBER(KI47)),KK47-KI47,"")</f>
        <v>0</v>
      </c>
      <c r="KK47" s="29">
        <f>IF(COUNT(KK48:KK54)=0,"",SUM(KK48:KK54))</f>
        <v>0</v>
      </c>
      <c r="KL47" s="28">
        <f>IF(AND(ISNUMBER(KM47),ISNUMBER(KK47)),KM47-KK47,"")</f>
        <v>0</v>
      </c>
      <c r="KM47" s="29">
        <f>IF(COUNT(KM48:KM54)=0,"",SUM(KM48:KM54))</f>
        <v>0</v>
      </c>
      <c r="KN47" s="28">
        <f>IF(AND(ISNUMBER(KO47),ISNUMBER(KM47)),KO47-KM47,"")</f>
        <v>0</v>
      </c>
      <c r="KO47" s="29">
        <f>IF(COUNT(KO48:KO54)=0,"",SUM(KO48:KO54))</f>
        <v>0</v>
      </c>
      <c r="KP47" s="28">
        <f>IF(AND(ISNUMBER(KQ47),ISNUMBER(KO47)),KQ47-KO47,"")</f>
        <v>0</v>
      </c>
      <c r="KQ47" s="29">
        <f>IF(COUNT(KQ48:KQ54)=0,"",SUM(KQ48:KQ54))</f>
        <v>0</v>
      </c>
      <c r="KR47" s="28">
        <f>IF(AND(ISNUMBER(KS47),ISNUMBER(KQ47)),KS47-KQ47,"")</f>
        <v>0</v>
      </c>
      <c r="KS47" s="29">
        <f>IF(COUNT(KS48:KS54)=0,"",SUM(KS48:KS54))</f>
        <v>0</v>
      </c>
      <c r="KT47" s="28">
        <f>IF(AND(ISNUMBER(KU47),ISNUMBER(KS47)),KU47-KS47,"")</f>
        <v>0</v>
      </c>
      <c r="KU47" s="29">
        <f>IF(COUNT(KU48:KU54)=0,"",SUM(KU48:KU54))</f>
        <v>0</v>
      </c>
      <c r="KV47" s="28">
        <f>IF(AND(ISNUMBER(KW47),ISNUMBER(KU47)),KW47-KU47,"")</f>
        <v>0</v>
      </c>
      <c r="KW47" s="29">
        <f>IF(COUNT(KW48:KW54)=0,"",SUM(KW48:KW54))</f>
        <v>0</v>
      </c>
      <c r="KX47" s="28">
        <f>IF(AND(ISNUMBER(KY47),ISNUMBER(KW47)),KY47-KW47,"")</f>
        <v>0</v>
      </c>
      <c r="KY47" s="29">
        <f>IF(COUNT(KY48:KY54)=0,"",SUM(KY48:KY54))</f>
        <v>0</v>
      </c>
      <c r="KZ47" s="28">
        <f>IF(AND(ISNUMBER(LA47),ISNUMBER(KY47)),LA47-KY47,"")</f>
        <v>0</v>
      </c>
      <c r="LA47" s="29">
        <f>IF(COUNT(LA48:LA54)=0,"",SUM(LA48:LA54))</f>
        <v>0</v>
      </c>
      <c r="LB47" s="28">
        <f>IF(AND(ISNUMBER(LC47),ISNUMBER(LA47)),LC47-LA47,"")</f>
        <v>0</v>
      </c>
      <c r="LC47" s="29">
        <f>IF(COUNT(LC48:LC54)=0,"",SUM(LC48:LC54))</f>
        <v>0</v>
      </c>
      <c r="LD47" s="28">
        <f>IF(AND(ISNUMBER(LE47),ISNUMBER(LC47)),LE47-LC47,"")</f>
        <v>0</v>
      </c>
      <c r="LE47" s="29">
        <f>IF(COUNT(LE48:LE54)=0,"",SUM(LE48:LE54))</f>
        <v>0</v>
      </c>
      <c r="LF47" s="28">
        <f>IF(AND(ISNUMBER(LG47),ISNUMBER(LE47)),LG47-LE47,"")</f>
        <v>0</v>
      </c>
      <c r="LG47" s="29">
        <f>IF(COUNT(LG48:LG54)=0,"",SUM(LG48:LG54))</f>
        <v>0</v>
      </c>
      <c r="LH47" s="30"/>
      <c r="LI47" s="30"/>
      <c r="LJ47" s="41" t="s">
        <v>1086</v>
      </c>
    </row>
    <row r="48" spans="1:322" hidden="1" outlineLevel="1">
      <c r="B48" s="23"/>
      <c r="D48" s="31" t="s">
        <v>710</v>
      </c>
      <c r="E48" s="32" t="s">
        <v>1099</v>
      </c>
      <c r="I48" s="40" t="s">
        <v>1078</v>
      </c>
      <c r="J48" s="34">
        <f>IF(AND(ISNUMBER(K48),ISNUMBER(I48)),K48-I48,"")</f>
        <v>0</v>
      </c>
      <c r="K48" s="40" t="s">
        <v>1078</v>
      </c>
      <c r="L48" s="34">
        <f>IF(AND(ISNUMBER(M48),ISNUMBER(K48)),M48-K48,"")</f>
        <v>0</v>
      </c>
      <c r="M48" s="40" t="s">
        <v>1078</v>
      </c>
      <c r="N48" s="34">
        <f>IF(AND(ISNUMBER(O48),ISNUMBER(M48)),O48-M48,"")</f>
        <v>0</v>
      </c>
      <c r="O48" s="40" t="s">
        <v>1078</v>
      </c>
      <c r="P48" s="34">
        <f>IF(AND(ISNUMBER(Q48),ISNUMBER(O48)),Q48-O48,"")</f>
        <v>0</v>
      </c>
      <c r="Q48" s="40" t="s">
        <v>1078</v>
      </c>
      <c r="R48" s="34">
        <f>IF(AND(ISNUMBER(S48),ISNUMBER(Q48)),S48-Q48,"")</f>
        <v>0</v>
      </c>
      <c r="S48" s="40" t="s">
        <v>1078</v>
      </c>
      <c r="T48" s="34">
        <f>IF(AND(ISNUMBER(U48),ISNUMBER(S48)),U48-S48,"")</f>
        <v>0</v>
      </c>
      <c r="U48" s="40" t="s">
        <v>1078</v>
      </c>
      <c r="V48" s="34">
        <f>IF(AND(ISNUMBER(W48),ISNUMBER(U48)),W48-U48,"")</f>
        <v>0</v>
      </c>
      <c r="W48" s="40" t="s">
        <v>1078</v>
      </c>
      <c r="X48" s="34">
        <f>IF(AND(ISNUMBER(Y48),ISNUMBER(W48)),Y48-W48,"")</f>
        <v>0</v>
      </c>
      <c r="Y48" s="40" t="s">
        <v>1078</v>
      </c>
      <c r="Z48" s="34">
        <f>IF(AND(ISNUMBER(AA48),ISNUMBER(Y48)),AA48-Y48,"")</f>
        <v>0</v>
      </c>
      <c r="AA48" s="40" t="s">
        <v>1078</v>
      </c>
      <c r="AB48" s="34">
        <f>IF(AND(ISNUMBER(AC48),ISNUMBER(AA48)),AC48-AA48,"")</f>
        <v>0</v>
      </c>
      <c r="AC48" s="40" t="s">
        <v>1078</v>
      </c>
      <c r="AD48" s="34">
        <f>IF(AND(ISNUMBER(AE48),ISNUMBER(AC48)),AE48-AC48,"")</f>
        <v>0</v>
      </c>
      <c r="AE48" s="40" t="s">
        <v>1078</v>
      </c>
      <c r="AF48" s="34">
        <f>IF(AND(ISNUMBER(AG48),ISNUMBER(AE48)),AG48-AE48,"")</f>
        <v>0</v>
      </c>
      <c r="AG48" s="40" t="s">
        <v>1078</v>
      </c>
      <c r="AH48" s="34">
        <f>IF(AND(ISNUMBER(AI48),ISNUMBER(AG48)),AI48-AG48,"")</f>
        <v>0</v>
      </c>
      <c r="AI48" s="40" t="s">
        <v>1078</v>
      </c>
      <c r="AJ48" s="34">
        <f>IF(AND(ISNUMBER(AK48),ISNUMBER(AI48)),AK48-AI48,"")</f>
        <v>0</v>
      </c>
      <c r="AK48" s="40" t="s">
        <v>1078</v>
      </c>
      <c r="AL48" s="34">
        <f>IF(AND(ISNUMBER(AM48),ISNUMBER(AK48)),AM48-AK48,"")</f>
        <v>0</v>
      </c>
      <c r="AM48" s="40" t="s">
        <v>1078</v>
      </c>
      <c r="AN48" s="34">
        <f>IF(AND(ISNUMBER(AO48),ISNUMBER(AM48)),AO48-AM48,"")</f>
        <v>0</v>
      </c>
      <c r="AO48" s="40" t="s">
        <v>1078</v>
      </c>
      <c r="AP48" s="34">
        <f>IF(AND(ISNUMBER(AQ48),ISNUMBER(AO48)),AQ48-AO48,"")</f>
        <v>0</v>
      </c>
      <c r="AQ48" s="40" t="s">
        <v>1078</v>
      </c>
      <c r="AR48" s="34">
        <f>IF(AND(ISNUMBER(AS48),ISNUMBER(AQ48)),AS48-AQ48,"")</f>
        <v>0</v>
      </c>
      <c r="AS48" s="33">
        <v>2</v>
      </c>
      <c r="AT48" s="34">
        <f>IF(AND(ISNUMBER(AU48),ISNUMBER(AS48)),AU48-AS48,"")</f>
        <v>0</v>
      </c>
      <c r="AU48" s="33">
        <v>6</v>
      </c>
      <c r="AV48" s="34">
        <f>IF(AND(ISNUMBER(AW48),ISNUMBER(AU48)),AW48-AU48,"")</f>
        <v>0</v>
      </c>
      <c r="AW48" s="33">
        <v>14</v>
      </c>
      <c r="AX48" s="34">
        <f>IF(AND(ISNUMBER(AY48),ISNUMBER(AW48)),AY48-AW48,"")</f>
        <v>0</v>
      </c>
      <c r="AY48" s="33">
        <v>3</v>
      </c>
      <c r="AZ48" s="34">
        <f>IF(AND(ISNUMBER(BA48),ISNUMBER(AY48)),BA48-AY48,"")</f>
        <v>0</v>
      </c>
      <c r="BA48" s="33">
        <v>1</v>
      </c>
      <c r="BB48" s="34">
        <f>IF(AND(ISNUMBER(BC48),ISNUMBER(BA48)),BC48-BA48,"")</f>
        <v>0</v>
      </c>
      <c r="BC48" s="33">
        <v>2</v>
      </c>
      <c r="BD48" s="34">
        <f>IF(AND(ISNUMBER(BE48),ISNUMBER(BC48)),BE48-BC48,"")</f>
        <v>0</v>
      </c>
      <c r="BE48" s="33">
        <v>1</v>
      </c>
      <c r="BF48" s="34">
        <f>IF(AND(ISNUMBER(BG48),ISNUMBER(BE48)),BG48-BE48,"")</f>
        <v>0</v>
      </c>
      <c r="BG48" s="33">
        <v>1</v>
      </c>
      <c r="BH48" s="34">
        <f>IF(AND(ISNUMBER(BI48),ISNUMBER(BG48)),BI48-BG48,"")</f>
        <v>0</v>
      </c>
      <c r="BI48" s="33">
        <v>0</v>
      </c>
      <c r="BJ48" s="34">
        <f>IF(AND(ISNUMBER(BK48),ISNUMBER(BI48)),BK48-BI48,"")</f>
        <v>0</v>
      </c>
      <c r="BK48" s="33">
        <v>0</v>
      </c>
      <c r="BL48" s="34">
        <f>IF(AND(ISNUMBER(BM48),ISNUMBER(BK48)),BM48-BK48,"")</f>
        <v>0</v>
      </c>
      <c r="BM48" s="33">
        <v>2</v>
      </c>
      <c r="BN48" s="34">
        <f>IF(AND(ISNUMBER(BO48),ISNUMBER(BM48)),BO48-BM48,"")</f>
        <v>0</v>
      </c>
      <c r="BO48" s="33">
        <v>1</v>
      </c>
      <c r="BP48" s="34">
        <f>IF(AND(ISNUMBER(BQ48),ISNUMBER(BO48)),BQ48-BO48,"")</f>
        <v>0</v>
      </c>
      <c r="BQ48" s="33">
        <v>1</v>
      </c>
      <c r="BR48" s="34">
        <f>IF(AND(ISNUMBER(BS48),ISNUMBER(BQ48)),BS48-BQ48,"")</f>
        <v>0</v>
      </c>
      <c r="BS48" s="33">
        <v>2</v>
      </c>
      <c r="BT48" s="34">
        <f>IF(AND(ISNUMBER(BU48),ISNUMBER(BS48)),BU48-BS48,"")</f>
        <v>0</v>
      </c>
      <c r="BU48" s="33">
        <v>2</v>
      </c>
      <c r="BV48" s="34">
        <f>IF(AND(ISNUMBER(BW48),ISNUMBER(BU48)),BW48-BU48,"")</f>
        <v>0</v>
      </c>
      <c r="BW48" s="33">
        <v>6</v>
      </c>
      <c r="BX48" s="34">
        <f>IF(AND(ISNUMBER(BY48),ISNUMBER(BW48)),BY48-BW48,"")</f>
        <v>0</v>
      </c>
      <c r="BY48" s="33">
        <v>1</v>
      </c>
      <c r="BZ48" s="34">
        <f>IF(AND(ISNUMBER(CA48),ISNUMBER(BY48)),CA48-BY48,"")</f>
        <v>0</v>
      </c>
      <c r="CA48" s="33">
        <v>3</v>
      </c>
      <c r="CB48" s="34">
        <f>IF(AND(ISNUMBER(CC48),ISNUMBER(CA48)),CC48-CA48,"")</f>
        <v>0</v>
      </c>
      <c r="CC48" s="33">
        <v>33</v>
      </c>
      <c r="CD48" s="34">
        <f>IF(AND(ISNUMBER(CE48),ISNUMBER(CC48)),CE48-CC48,"")</f>
        <v>0</v>
      </c>
      <c r="CE48" s="33">
        <v>23</v>
      </c>
      <c r="CF48" s="34">
        <f>IF(AND(ISNUMBER(CG48),ISNUMBER(CE48)),CG48-CE48,"")</f>
        <v>0</v>
      </c>
      <c r="CG48" s="33">
        <v>13</v>
      </c>
      <c r="CH48" s="34">
        <f>IF(AND(ISNUMBER(CI48),ISNUMBER(CG48)),CI48-CG48,"")</f>
        <v>0</v>
      </c>
      <c r="CI48" s="33">
        <v>43</v>
      </c>
      <c r="CJ48" s="34">
        <f>IF(AND(ISNUMBER(CK48),ISNUMBER(CI48)),CK48-CI48,"")</f>
        <v>0</v>
      </c>
      <c r="CK48" s="33">
        <v>13</v>
      </c>
      <c r="CL48" s="34">
        <f>IF(AND(ISNUMBER(CM48),ISNUMBER(CK48)),CM48-CK48,"")</f>
        <v>0</v>
      </c>
      <c r="CM48" s="33">
        <v>13</v>
      </c>
      <c r="CN48" s="34">
        <f>IF(AND(ISNUMBER(CO48),ISNUMBER(CM48)),CO48-CM48,"")</f>
        <v>0</v>
      </c>
      <c r="CO48" s="33">
        <v>13</v>
      </c>
      <c r="CP48" s="34">
        <f>IF(AND(ISNUMBER(CQ48),ISNUMBER(CO48)),CQ48-CO48,"")</f>
        <v>0</v>
      </c>
      <c r="CQ48" s="33">
        <v>13</v>
      </c>
      <c r="CR48" s="34">
        <f>IF(AND(ISNUMBER(CS48),ISNUMBER(CQ48)),CS48-CQ48,"")</f>
        <v>0</v>
      </c>
      <c r="CS48" s="33">
        <v>13</v>
      </c>
      <c r="CT48" s="34">
        <f>IF(AND(ISNUMBER(CU48),ISNUMBER(CS48)),CU48-CS48,"")</f>
        <v>0</v>
      </c>
      <c r="CU48" s="33">
        <v>3</v>
      </c>
      <c r="CV48" s="34">
        <f>IF(AND(ISNUMBER(CW48),ISNUMBER(CU48)),CW48-CU48,"")</f>
        <v>0</v>
      </c>
      <c r="CW48" s="33">
        <v>13</v>
      </c>
      <c r="CX48" s="34">
        <f>IF(AND(ISNUMBER(CY48),ISNUMBER(CW48)),CY48-CW48,"")</f>
        <v>0</v>
      </c>
      <c r="CY48" s="33">
        <v>13</v>
      </c>
      <c r="CZ48" s="34">
        <f>IF(AND(ISNUMBER(DA48),ISNUMBER(CY48)),DA48-CY48,"")</f>
        <v>0</v>
      </c>
      <c r="DA48" s="33"/>
      <c r="DB48" s="34">
        <f>IF(AND(ISNUMBER(DC48),ISNUMBER(DA48)),DC48-DA48,"")</f>
        <v>0</v>
      </c>
      <c r="DC48" s="33"/>
      <c r="DD48" s="34">
        <f>IF(AND(ISNUMBER(DE48),ISNUMBER(DC48)),DE48-DC48,"")</f>
        <v>0</v>
      </c>
      <c r="DE48" s="33">
        <v>4</v>
      </c>
      <c r="DF48" s="34">
        <f>IF(AND(ISNUMBER(DG48),ISNUMBER(DE48)),DG48-DE48,"")</f>
        <v>0</v>
      </c>
      <c r="DG48" s="33"/>
      <c r="DH48" s="34">
        <f>IF(AND(ISNUMBER(DI48),ISNUMBER(DG48)),DI48-DG48,"")</f>
        <v>0</v>
      </c>
      <c r="DI48" s="33">
        <v>1</v>
      </c>
      <c r="DJ48" s="34">
        <f>IF(AND(ISNUMBER(DK48),ISNUMBER(DI48)),DK48-DI48,"")</f>
        <v>0</v>
      </c>
      <c r="DK48" s="33"/>
      <c r="DL48" s="34">
        <f>IF(AND(ISNUMBER(DM48),ISNUMBER(DK48)),DM48-DK48,"")</f>
        <v>0</v>
      </c>
      <c r="DM48" s="33"/>
      <c r="DN48" s="34">
        <f>IF(AND(ISNUMBER(DO48),ISNUMBER(DM48)),DO48-DM48,"")</f>
        <v>0</v>
      </c>
      <c r="DO48" s="33"/>
      <c r="DP48" s="34">
        <f>IF(AND(ISNUMBER(DQ48),ISNUMBER(DO48)),DQ48-DO48,"")</f>
        <v>0</v>
      </c>
      <c r="DQ48" s="33"/>
      <c r="DR48" s="34">
        <f>IF(AND(ISNUMBER(DS48),ISNUMBER(DQ48)),DS48-DQ48,"")</f>
        <v>0</v>
      </c>
      <c r="DS48" s="33"/>
      <c r="DT48" s="34">
        <f>IF(AND(ISNUMBER(DU48),ISNUMBER(DS48)),DU48-DS48,"")</f>
        <v>0</v>
      </c>
      <c r="DU48" s="33"/>
      <c r="DV48" s="34">
        <f>IF(AND(ISNUMBER(DW48),ISNUMBER(DU48)),DW48-DU48,"")</f>
        <v>0</v>
      </c>
      <c r="DW48" s="33"/>
      <c r="DX48" s="34">
        <f>IF(AND(ISNUMBER(DY48),ISNUMBER(DW48)),DY48-DW48,"")</f>
        <v>0</v>
      </c>
      <c r="DY48" s="33"/>
      <c r="DZ48" s="34">
        <f>IF(AND(ISNUMBER(EA48),ISNUMBER(DY48)),EA48-DY48,"")</f>
        <v>0</v>
      </c>
      <c r="EA48" s="33"/>
      <c r="EB48" s="34">
        <f>IF(AND(ISNUMBER(EC48),ISNUMBER(EA48)),EC48-EA48,"")</f>
        <v>0</v>
      </c>
      <c r="EC48" s="33"/>
      <c r="ED48" s="34">
        <f>IF(AND(ISNUMBER(EE48),ISNUMBER(EC48)),EE48-EC48,"")</f>
        <v>0</v>
      </c>
      <c r="EE48" s="33">
        <v>0</v>
      </c>
      <c r="EF48" s="34">
        <f>IF(AND(ISNUMBER(EG48),ISNUMBER(EE48)),EG48-EE48,"")</f>
        <v>0</v>
      </c>
      <c r="EG48" s="33">
        <v>0</v>
      </c>
      <c r="EH48" s="34">
        <f>IF(AND(ISNUMBER(EI48),ISNUMBER(EG48)),EI48-EG48,"")</f>
        <v>0</v>
      </c>
      <c r="EI48" s="33"/>
      <c r="EJ48" s="34">
        <f>IF(AND(ISNUMBER(EK48),ISNUMBER(EI48)),EK48-EI48,"")</f>
        <v>0</v>
      </c>
      <c r="EK48" s="33"/>
      <c r="EL48" s="34">
        <f>IF(AND(ISNUMBER(EM48),ISNUMBER(EK48)),EM48-EK48,"")</f>
        <v>0</v>
      </c>
      <c r="EM48" s="33"/>
      <c r="EN48" s="34">
        <f>IF(AND(ISNUMBER(EO48),ISNUMBER(EM48)),EO48-EM48,"")</f>
        <v>0</v>
      </c>
      <c r="EO48" s="33"/>
      <c r="EP48" s="34">
        <f>IF(AND(ISNUMBER(EQ48),ISNUMBER(EO48)),EQ48-EO48,"")</f>
        <v>0</v>
      </c>
      <c r="EQ48" s="33"/>
      <c r="ER48" s="34">
        <f>IF(AND(ISNUMBER(ES48),ISNUMBER(EQ48)),ES48-EQ48,"")</f>
        <v>0</v>
      </c>
      <c r="ES48" s="33"/>
      <c r="ET48" s="34">
        <f>IF(AND(ISNUMBER(EU48),ISNUMBER(ES48)),EU48-ES48,"")</f>
        <v>0</v>
      </c>
      <c r="EU48" s="33"/>
      <c r="EV48" s="34">
        <f>IF(AND(ISNUMBER(EW48),ISNUMBER(EU48)),EW48-EU48,"")</f>
        <v>0</v>
      </c>
      <c r="EW48" s="33"/>
      <c r="EX48" s="34">
        <f>IF(AND(ISNUMBER(EY48),ISNUMBER(EW48)),EY48-EW48,"")</f>
        <v>0</v>
      </c>
      <c r="EY48" s="33"/>
      <c r="EZ48" s="34">
        <f>IF(AND(ISNUMBER(FA48),ISNUMBER(EY48)),FA48-EY48,"")</f>
        <v>0</v>
      </c>
      <c r="FA48" s="33"/>
      <c r="FB48" s="34">
        <f>IF(AND(ISNUMBER(FC48),ISNUMBER(FA48)),FC48-FA48,"")</f>
        <v>0</v>
      </c>
      <c r="FC48" s="33"/>
      <c r="FD48" s="34">
        <f>IF(AND(ISNUMBER(FE48),ISNUMBER(FC48)),FE48-FC48,"")</f>
        <v>0</v>
      </c>
      <c r="FE48" s="33"/>
      <c r="FF48" s="34">
        <f>IF(AND(ISNUMBER(FG48),ISNUMBER(FE48)),FG48-FE48,"")</f>
        <v>0</v>
      </c>
      <c r="FG48" s="33"/>
      <c r="FH48" s="34">
        <f>IF(AND(ISNUMBER(FI48),ISNUMBER(FG48)),FI48-FG48,"")</f>
        <v>0</v>
      </c>
      <c r="FI48" s="33"/>
      <c r="FJ48" s="34">
        <f>IF(AND(ISNUMBER(FK48),ISNUMBER(FI48)),FK48-FI48,"")</f>
        <v>0</v>
      </c>
      <c r="FK48" s="33"/>
      <c r="FL48" s="34">
        <f>IF(AND(ISNUMBER(FM48),ISNUMBER(FK48)),FM48-FK48,"")</f>
        <v>0</v>
      </c>
      <c r="FM48" s="33"/>
      <c r="FN48" s="34">
        <f>IF(AND(ISNUMBER(FO48),ISNUMBER(FM48)),FO48-FM48,"")</f>
        <v>0</v>
      </c>
      <c r="FO48" s="33"/>
      <c r="FP48" s="34">
        <f>IF(AND(ISNUMBER(FQ48),ISNUMBER(FO48)),FQ48-FO48,"")</f>
        <v>0</v>
      </c>
      <c r="FQ48" s="33"/>
      <c r="FR48" s="34">
        <f>IF(AND(ISNUMBER(FS48),ISNUMBER(FQ48)),FS48-FQ48,"")</f>
        <v>0</v>
      </c>
      <c r="FS48" s="33"/>
      <c r="FT48" s="34">
        <f>IF(AND(ISNUMBER(FU48),ISNUMBER(FS48)),FU48-FS48,"")</f>
        <v>0</v>
      </c>
      <c r="FU48" s="33"/>
      <c r="FV48" s="34">
        <f>IF(AND(ISNUMBER(FW48),ISNUMBER(FU48)),FW48-FU48,"")</f>
        <v>0</v>
      </c>
      <c r="FW48" s="33"/>
      <c r="FX48" s="34">
        <f>IF(AND(ISNUMBER(FY48),ISNUMBER(FW48)),FY48-FW48,"")</f>
        <v>0</v>
      </c>
      <c r="FY48" s="33"/>
      <c r="FZ48" s="34">
        <f>IF(AND(ISNUMBER(GA48),ISNUMBER(FY48)),GA48-FY48,"")</f>
        <v>0</v>
      </c>
      <c r="GA48" s="33"/>
      <c r="GB48" s="34">
        <f>IF(AND(ISNUMBER(GC48),ISNUMBER(GA48)),GC48-GA48,"")</f>
        <v>0</v>
      </c>
      <c r="GC48" s="33"/>
      <c r="GD48" s="34">
        <f>IF(AND(ISNUMBER(GE48),ISNUMBER(GC48)),GE48-GC48,"")</f>
        <v>0</v>
      </c>
      <c r="GE48" s="33"/>
      <c r="GF48" s="34">
        <f>IF(AND(ISNUMBER(GG48),ISNUMBER(GE48)),GG48-GE48,"")</f>
        <v>0</v>
      </c>
      <c r="GG48" s="33"/>
      <c r="GH48" s="34">
        <f>IF(AND(ISNUMBER(GI48),ISNUMBER(GG48)),GI48-GG48,"")</f>
        <v>0</v>
      </c>
      <c r="GI48" s="33"/>
      <c r="GJ48" s="34">
        <f>IF(AND(ISNUMBER(GK48),ISNUMBER(GI48)),GK48-GI48,"")</f>
        <v>0</v>
      </c>
      <c r="GK48" s="33"/>
      <c r="GL48" s="34">
        <f>IF(AND(ISNUMBER(GM48),ISNUMBER(GK48)),GM48-GK48,"")</f>
        <v>0</v>
      </c>
      <c r="GM48" s="33"/>
      <c r="GN48" s="34">
        <f>IF(AND(ISNUMBER(GO48),ISNUMBER(GM48)),GO48-GM48,"")</f>
        <v>0</v>
      </c>
      <c r="GO48" s="33"/>
      <c r="GP48" s="34">
        <f>IF(AND(ISNUMBER(GQ48),ISNUMBER(GO48)),GQ48-GO48,"")</f>
        <v>0</v>
      </c>
      <c r="GQ48" s="33"/>
      <c r="GR48" s="34">
        <f>IF(AND(ISNUMBER(GS48),ISNUMBER(GQ48)),GS48-GQ48,"")</f>
        <v>0</v>
      </c>
      <c r="GS48" s="33"/>
      <c r="GT48" s="34">
        <f>IF(AND(ISNUMBER(GU48),ISNUMBER(GS48)),GU48-GS48,"")</f>
        <v>0</v>
      </c>
      <c r="GU48" s="33"/>
      <c r="GV48" s="34">
        <f>IF(AND(ISNUMBER(GW48),ISNUMBER(GU48)),GW48-GU48,"")</f>
        <v>0</v>
      </c>
      <c r="GW48" s="33"/>
      <c r="GX48" s="34">
        <f>IF(AND(ISNUMBER(GY48),ISNUMBER(GW48)),GY48-GW48,"")</f>
        <v>0</v>
      </c>
      <c r="GY48" s="33"/>
      <c r="GZ48" s="34">
        <f>IF(AND(ISNUMBER(HA48),ISNUMBER(GY48)),HA48-GY48,"")</f>
        <v>0</v>
      </c>
      <c r="HA48" s="33"/>
      <c r="HB48" s="34">
        <f>IF(AND(ISNUMBER(HC48),ISNUMBER(HA48)),HC48-HA48,"")</f>
        <v>0</v>
      </c>
      <c r="HC48" s="33"/>
      <c r="HD48" s="34">
        <f>IF(AND(ISNUMBER(HE48),ISNUMBER(HC48)),HE48-HC48,"")</f>
        <v>0</v>
      </c>
      <c r="HE48" s="33"/>
      <c r="HF48" s="34">
        <f>IF(AND(ISNUMBER(HG48),ISNUMBER(HE48)),HG48-HE48,"")</f>
        <v>0</v>
      </c>
      <c r="HG48" s="33"/>
      <c r="HH48" s="34">
        <f>IF(AND(ISNUMBER(HI48),ISNUMBER(HG48)),HI48-HG48,"")</f>
        <v>0</v>
      </c>
      <c r="HI48" s="33"/>
      <c r="HJ48" s="34">
        <f>IF(AND(ISNUMBER(HK48),ISNUMBER(HI48)),HK48-HI48,"")</f>
        <v>0</v>
      </c>
      <c r="HK48" s="33"/>
      <c r="HL48" s="34">
        <f>IF(AND(ISNUMBER(HM48),ISNUMBER(HK48)),HM48-HK48,"")</f>
        <v>0</v>
      </c>
      <c r="HM48" s="33"/>
      <c r="HN48" s="34">
        <f>IF(AND(ISNUMBER(HO48),ISNUMBER(HM48)),HO48-HM48,"")</f>
        <v>0</v>
      </c>
      <c r="HO48" s="33"/>
      <c r="HP48" s="34">
        <f>IF(AND(ISNUMBER(HQ48),ISNUMBER(HO48)),HQ48-HO48,"")</f>
        <v>0</v>
      </c>
      <c r="HQ48" s="33"/>
      <c r="HR48" s="34">
        <f>IF(AND(ISNUMBER(HS48),ISNUMBER(HQ48)),HS48-HQ48,"")</f>
        <v>0</v>
      </c>
      <c r="HS48" s="33"/>
      <c r="HT48" s="34">
        <f>IF(AND(ISNUMBER(HU48),ISNUMBER(HS48)),HU48-HS48,"")</f>
        <v>0</v>
      </c>
      <c r="HU48" s="33"/>
      <c r="HV48" s="34">
        <f>IF(AND(ISNUMBER(HW48),ISNUMBER(HU48)),HW48-HU48,"")</f>
        <v>0</v>
      </c>
      <c r="HW48" s="33"/>
      <c r="HX48" s="34">
        <f>IF(AND(ISNUMBER(HY48),ISNUMBER(HW48)),HY48-HW48,"")</f>
        <v>0</v>
      </c>
      <c r="HY48" s="33"/>
      <c r="HZ48" s="34">
        <f>IF(AND(ISNUMBER(IA48),ISNUMBER(HY48)),IA48-HY48,"")</f>
        <v>0</v>
      </c>
      <c r="IA48" s="33"/>
      <c r="IB48" s="34">
        <f>IF(AND(ISNUMBER(IC48),ISNUMBER(IA48)),IC48-IA48,"")</f>
        <v>0</v>
      </c>
      <c r="IC48" s="33"/>
      <c r="ID48" s="34">
        <f>IF(AND(ISNUMBER(IE48),ISNUMBER(IC48)),IE48-IC48,"")</f>
        <v>0</v>
      </c>
      <c r="IE48" s="33"/>
      <c r="IF48" s="34">
        <f>IF(AND(ISNUMBER(IG48),ISNUMBER(IE48)),IG48-IE48,"")</f>
        <v>0</v>
      </c>
      <c r="IG48" s="33"/>
      <c r="IH48" s="34">
        <f>IF(AND(ISNUMBER(II48),ISNUMBER(IG48)),II48-IG48,"")</f>
        <v>0</v>
      </c>
      <c r="II48" s="33"/>
      <c r="IJ48" s="34">
        <f>IF(AND(ISNUMBER(IK48),ISNUMBER(II48)),IK48-II48,"")</f>
        <v>0</v>
      </c>
      <c r="IK48" s="33"/>
      <c r="IL48" s="34">
        <f>IF(AND(ISNUMBER(IM48),ISNUMBER(IK48)),IM48-IK48,"")</f>
        <v>0</v>
      </c>
      <c r="IM48" s="33"/>
      <c r="IN48" s="34">
        <f>IF(AND(ISNUMBER(IO48),ISNUMBER(IM48)),IO48-IM48,"")</f>
        <v>0</v>
      </c>
      <c r="IO48" s="33"/>
      <c r="IP48" s="34">
        <f>IF(AND(ISNUMBER(IQ48),ISNUMBER(IO48)),IQ48-IO48,"")</f>
        <v>0</v>
      </c>
      <c r="IQ48" s="33"/>
      <c r="IR48" s="34">
        <f>IF(AND(ISNUMBER(IS48),ISNUMBER(IQ48)),IS48-IQ48,"")</f>
        <v>0</v>
      </c>
      <c r="IS48" s="33"/>
      <c r="IT48" s="34">
        <f>IF(AND(ISNUMBER(IU48),ISNUMBER(IS48)),IU48-IS48,"")</f>
        <v>0</v>
      </c>
      <c r="IU48" s="33"/>
      <c r="IV48" s="34">
        <f>IF(AND(ISNUMBER(IW48),ISNUMBER(IU48)),IW48-IU48,"")</f>
        <v>0</v>
      </c>
      <c r="IW48" s="33"/>
      <c r="IX48" s="34">
        <f>IF(AND(ISNUMBER(IY48),ISNUMBER(IW48)),IY48-IW48,"")</f>
        <v>0</v>
      </c>
      <c r="IY48" s="33"/>
      <c r="IZ48" s="34">
        <f>IF(AND(ISNUMBER(JA48),ISNUMBER(IY48)),JA48-IY48,"")</f>
        <v>0</v>
      </c>
      <c r="JA48" s="33"/>
      <c r="JB48" s="34">
        <f>IF(AND(ISNUMBER(JC48),ISNUMBER(JA48)),JC48-JA48,"")</f>
        <v>0</v>
      </c>
      <c r="JC48" s="33"/>
      <c r="JD48" s="34">
        <f>IF(AND(ISNUMBER(JE48),ISNUMBER(JC48)),JE48-JC48,"")</f>
        <v>0</v>
      </c>
      <c r="JE48" s="33"/>
      <c r="JF48" s="34">
        <f>IF(AND(ISNUMBER(JG48),ISNUMBER(JE48)),JG48-JE48,"")</f>
        <v>0</v>
      </c>
      <c r="JG48" s="33"/>
      <c r="JH48" s="34">
        <f>IF(AND(ISNUMBER(JI48),ISNUMBER(JG48)),JI48-JG48,"")</f>
        <v>0</v>
      </c>
      <c r="JI48" s="33"/>
      <c r="JJ48" s="34">
        <f>IF(AND(ISNUMBER(JK48),ISNUMBER(JI48)),JK48-JI48,"")</f>
        <v>0</v>
      </c>
      <c r="JK48" s="33"/>
      <c r="JL48" s="34">
        <f>IF(AND(ISNUMBER(JM48),ISNUMBER(JK48)),JM48-JK48,"")</f>
        <v>0</v>
      </c>
      <c r="JM48" s="33"/>
      <c r="JN48" s="34">
        <f>IF(AND(ISNUMBER(JO48),ISNUMBER(JM48)),JO48-JM48,"")</f>
        <v>0</v>
      </c>
      <c r="JO48" s="33"/>
      <c r="JP48" s="34">
        <f>IF(AND(ISNUMBER(JQ48),ISNUMBER(JO48)),JQ48-JO48,"")</f>
        <v>0</v>
      </c>
      <c r="JQ48" s="33"/>
      <c r="JR48" s="34">
        <f>IF(AND(ISNUMBER(JS48),ISNUMBER(JQ48)),JS48-JQ48,"")</f>
        <v>0</v>
      </c>
      <c r="JS48" s="33"/>
      <c r="JT48" s="34">
        <f>IF(AND(ISNUMBER(JU48),ISNUMBER(JS48)),JU48-JS48,"")</f>
        <v>0</v>
      </c>
      <c r="JU48" s="33"/>
      <c r="JV48" s="34">
        <f>IF(AND(ISNUMBER(JW48),ISNUMBER(JU48)),JW48-JU48,"")</f>
        <v>0</v>
      </c>
      <c r="JW48" s="33"/>
      <c r="JX48" s="34">
        <f>IF(AND(ISNUMBER(JY48),ISNUMBER(JW48)),JY48-JW48,"")</f>
        <v>0</v>
      </c>
      <c r="JY48" s="33"/>
      <c r="JZ48" s="34">
        <f>IF(AND(ISNUMBER(KA48),ISNUMBER(JY48)),KA48-JY48,"")</f>
        <v>0</v>
      </c>
      <c r="KA48" s="33"/>
      <c r="KB48" s="34">
        <f>IF(AND(ISNUMBER(KC48),ISNUMBER(KA48)),KC48-KA48,"")</f>
        <v>0</v>
      </c>
      <c r="KC48" s="33"/>
      <c r="KD48" s="34">
        <f>IF(AND(ISNUMBER(KE48),ISNUMBER(KC48)),KE48-KC48,"")</f>
        <v>0</v>
      </c>
      <c r="KE48" s="33"/>
      <c r="KF48" s="34">
        <f>IF(AND(ISNUMBER(KG48),ISNUMBER(KE48)),KG48-KE48,"")</f>
        <v>0</v>
      </c>
      <c r="KG48" s="33"/>
      <c r="KH48" s="34">
        <f>IF(AND(ISNUMBER(KI48),ISNUMBER(KG48)),KI48-KG48,"")</f>
        <v>0</v>
      </c>
      <c r="KI48" s="33"/>
      <c r="KJ48" s="34">
        <f>IF(AND(ISNUMBER(KK48),ISNUMBER(KI48)),KK48-KI48,"")</f>
        <v>0</v>
      </c>
      <c r="KK48" s="33"/>
      <c r="KL48" s="34">
        <f>IF(AND(ISNUMBER(KM48),ISNUMBER(KK48)),KM48-KK48,"")</f>
        <v>0</v>
      </c>
      <c r="KM48" s="33"/>
      <c r="KN48" s="34">
        <f>IF(AND(ISNUMBER(KO48),ISNUMBER(KM48)),KO48-KM48,"")</f>
        <v>0</v>
      </c>
      <c r="KO48" s="33"/>
      <c r="KP48" s="34">
        <f>IF(AND(ISNUMBER(KQ48),ISNUMBER(KO48)),KQ48-KO48,"")</f>
        <v>0</v>
      </c>
      <c r="KQ48" s="33"/>
      <c r="KR48" s="34">
        <f>IF(AND(ISNUMBER(KS48),ISNUMBER(KQ48)),KS48-KQ48,"")</f>
        <v>0</v>
      </c>
      <c r="KS48" s="33"/>
      <c r="KT48" s="34">
        <f>IF(AND(ISNUMBER(KU48),ISNUMBER(KS48)),KU48-KS48,"")</f>
        <v>0</v>
      </c>
      <c r="KU48" s="33"/>
      <c r="KV48" s="34">
        <f>IF(AND(ISNUMBER(KW48),ISNUMBER(KU48)),KW48-KU48,"")</f>
        <v>0</v>
      </c>
      <c r="KW48" s="33"/>
      <c r="KX48" s="34">
        <f>IF(AND(ISNUMBER(KY48),ISNUMBER(KW48)),KY48-KW48,"")</f>
        <v>0</v>
      </c>
      <c r="KY48" s="33"/>
      <c r="KZ48" s="34">
        <f>IF(AND(ISNUMBER(LA48),ISNUMBER(KY48)),LA48-KY48,"")</f>
        <v>0</v>
      </c>
      <c r="LA48" s="33"/>
      <c r="LB48" s="34">
        <f>IF(AND(ISNUMBER(LC48),ISNUMBER(LA48)),LC48-LA48,"")</f>
        <v>0</v>
      </c>
      <c r="LC48" s="33"/>
      <c r="LD48" s="34">
        <f>IF(AND(ISNUMBER(LE48),ISNUMBER(LC48)),LE48-LC48,"")</f>
        <v>0</v>
      </c>
      <c r="LE48" s="33"/>
      <c r="LF48" s="34">
        <f>IF(AND(ISNUMBER(LG48),ISNUMBER(LE48)),LG48-LE48,"")</f>
        <v>0</v>
      </c>
      <c r="LG48" s="33"/>
    </row>
    <row r="49" spans="1:322" hidden="1" outlineLevel="1">
      <c r="B49" s="23"/>
      <c r="D49" s="31" t="s">
        <v>715</v>
      </c>
      <c r="E49" s="32" t="s">
        <v>1059</v>
      </c>
      <c r="I49" s="40" t="s">
        <v>1078</v>
      </c>
      <c r="J49" s="34">
        <f>IF(AND(ISNUMBER(K49),ISNUMBER(I49)),K49-I49,"")</f>
        <v>0</v>
      </c>
      <c r="K49" s="40" t="s">
        <v>1078</v>
      </c>
      <c r="L49" s="34">
        <f>IF(AND(ISNUMBER(M49),ISNUMBER(K49)),M49-K49,"")</f>
        <v>0</v>
      </c>
      <c r="M49" s="40" t="s">
        <v>1078</v>
      </c>
      <c r="N49" s="34">
        <f>IF(AND(ISNUMBER(O49),ISNUMBER(M49)),O49-M49,"")</f>
        <v>0</v>
      </c>
      <c r="O49" s="40" t="s">
        <v>1078</v>
      </c>
      <c r="P49" s="34">
        <f>IF(AND(ISNUMBER(Q49),ISNUMBER(O49)),Q49-O49,"")</f>
        <v>0</v>
      </c>
      <c r="Q49" s="40" t="s">
        <v>1078</v>
      </c>
      <c r="R49" s="34">
        <f>IF(AND(ISNUMBER(S49),ISNUMBER(Q49)),S49-Q49,"")</f>
        <v>0</v>
      </c>
      <c r="S49" s="40" t="s">
        <v>1078</v>
      </c>
      <c r="T49" s="34">
        <f>IF(AND(ISNUMBER(U49),ISNUMBER(S49)),U49-S49,"")</f>
        <v>0</v>
      </c>
      <c r="U49" s="40" t="s">
        <v>1078</v>
      </c>
      <c r="V49" s="34">
        <f>IF(AND(ISNUMBER(W49),ISNUMBER(U49)),W49-U49,"")</f>
        <v>0</v>
      </c>
      <c r="W49" s="40" t="s">
        <v>1078</v>
      </c>
      <c r="X49" s="34">
        <f>IF(AND(ISNUMBER(Y49),ISNUMBER(W49)),Y49-W49,"")</f>
        <v>0</v>
      </c>
      <c r="Y49" s="40" t="s">
        <v>1078</v>
      </c>
      <c r="Z49" s="34">
        <f>IF(AND(ISNUMBER(AA49),ISNUMBER(Y49)),AA49-Y49,"")</f>
        <v>0</v>
      </c>
      <c r="AA49" s="40" t="s">
        <v>1078</v>
      </c>
      <c r="AB49" s="34">
        <f>IF(AND(ISNUMBER(AC49),ISNUMBER(AA49)),AC49-AA49,"")</f>
        <v>0</v>
      </c>
      <c r="AC49" s="40" t="s">
        <v>1078</v>
      </c>
      <c r="AD49" s="34">
        <f>IF(AND(ISNUMBER(AE49),ISNUMBER(AC49)),AE49-AC49,"")</f>
        <v>0</v>
      </c>
      <c r="AE49" s="40" t="s">
        <v>1078</v>
      </c>
      <c r="AF49" s="34">
        <f>IF(AND(ISNUMBER(AG49),ISNUMBER(AE49)),AG49-AE49,"")</f>
        <v>0</v>
      </c>
      <c r="AG49" s="40" t="s">
        <v>1078</v>
      </c>
      <c r="AH49" s="34">
        <f>IF(AND(ISNUMBER(AI49),ISNUMBER(AG49)),AI49-AG49,"")</f>
        <v>0</v>
      </c>
      <c r="AI49" s="40" t="s">
        <v>1078</v>
      </c>
      <c r="AJ49" s="34">
        <f>IF(AND(ISNUMBER(AK49),ISNUMBER(AI49)),AK49-AI49,"")</f>
        <v>0</v>
      </c>
      <c r="AK49" s="40" t="s">
        <v>1078</v>
      </c>
      <c r="AL49" s="34">
        <f>IF(AND(ISNUMBER(AM49),ISNUMBER(AK49)),AM49-AK49,"")</f>
        <v>0</v>
      </c>
      <c r="AM49" s="40" t="s">
        <v>1078</v>
      </c>
      <c r="AN49" s="34">
        <f>IF(AND(ISNUMBER(AO49),ISNUMBER(AM49)),AO49-AM49,"")</f>
        <v>0</v>
      </c>
      <c r="AO49" s="40" t="s">
        <v>1078</v>
      </c>
      <c r="AP49" s="34">
        <f>IF(AND(ISNUMBER(AQ49),ISNUMBER(AO49)),AQ49-AO49,"")</f>
        <v>0</v>
      </c>
      <c r="AQ49" s="40" t="s">
        <v>1078</v>
      </c>
      <c r="AR49" s="34">
        <f>IF(AND(ISNUMBER(AS49),ISNUMBER(AQ49)),AS49-AQ49,"")</f>
        <v>0</v>
      </c>
      <c r="AS49" s="33">
        <v>0</v>
      </c>
      <c r="AT49" s="34">
        <f>IF(AND(ISNUMBER(AU49),ISNUMBER(AS49)),AU49-AS49,"")</f>
        <v>0</v>
      </c>
      <c r="AU49" s="33">
        <v>0</v>
      </c>
      <c r="AV49" s="34">
        <f>IF(AND(ISNUMBER(AW49),ISNUMBER(AU49)),AW49-AU49,"")</f>
        <v>0</v>
      </c>
      <c r="AW49" s="33">
        <v>0</v>
      </c>
      <c r="AX49" s="34">
        <f>IF(AND(ISNUMBER(AY49),ISNUMBER(AW49)),AY49-AW49,"")</f>
        <v>0</v>
      </c>
      <c r="AY49" s="33">
        <v>2</v>
      </c>
      <c r="AZ49" s="34">
        <f>IF(AND(ISNUMBER(BA49),ISNUMBER(AY49)),BA49-AY49,"")</f>
        <v>0</v>
      </c>
      <c r="BA49" s="33">
        <v>0</v>
      </c>
      <c r="BB49" s="34">
        <f>IF(AND(ISNUMBER(BC49),ISNUMBER(BA49)),BC49-BA49,"")</f>
        <v>0</v>
      </c>
      <c r="BC49" s="33">
        <v>0</v>
      </c>
      <c r="BD49" s="34">
        <f>IF(AND(ISNUMBER(BE49),ISNUMBER(BC49)),BE49-BC49,"")</f>
        <v>0</v>
      </c>
      <c r="BE49" s="33">
        <v>0</v>
      </c>
      <c r="BF49" s="34">
        <f>IF(AND(ISNUMBER(BG49),ISNUMBER(BE49)),BG49-BE49,"")</f>
        <v>0</v>
      </c>
      <c r="BG49" s="33">
        <v>0</v>
      </c>
      <c r="BH49" s="34">
        <f>IF(AND(ISNUMBER(BI49),ISNUMBER(BG49)),BI49-BG49,"")</f>
        <v>0</v>
      </c>
      <c r="BI49" s="33">
        <v>0</v>
      </c>
      <c r="BJ49" s="34">
        <f>IF(AND(ISNUMBER(BK49),ISNUMBER(BI49)),BK49-BI49,"")</f>
        <v>0</v>
      </c>
      <c r="BK49" s="33">
        <v>0</v>
      </c>
      <c r="BL49" s="34">
        <f>IF(AND(ISNUMBER(BM49),ISNUMBER(BK49)),BM49-BK49,"")</f>
        <v>0</v>
      </c>
      <c r="BM49" s="33">
        <v>0</v>
      </c>
      <c r="BN49" s="34">
        <f>IF(AND(ISNUMBER(BO49),ISNUMBER(BM49)),BO49-BM49,"")</f>
        <v>0</v>
      </c>
      <c r="BO49" s="33">
        <v>0</v>
      </c>
      <c r="BP49" s="34">
        <f>IF(AND(ISNUMBER(BQ49),ISNUMBER(BO49)),BQ49-BO49,"")</f>
        <v>0</v>
      </c>
      <c r="BQ49" s="33">
        <v>0</v>
      </c>
      <c r="BR49" s="34">
        <f>IF(AND(ISNUMBER(BS49),ISNUMBER(BQ49)),BS49-BQ49,"")</f>
        <v>0</v>
      </c>
      <c r="BS49" s="33">
        <v>0</v>
      </c>
      <c r="BT49" s="34">
        <f>IF(AND(ISNUMBER(BU49),ISNUMBER(BS49)),BU49-BS49,"")</f>
        <v>0</v>
      </c>
      <c r="BU49" s="33">
        <v>0</v>
      </c>
      <c r="BV49" s="34">
        <f>IF(AND(ISNUMBER(BW49),ISNUMBER(BU49)),BW49-BU49,"")</f>
        <v>0</v>
      </c>
      <c r="BW49" s="33">
        <v>0</v>
      </c>
      <c r="BX49" s="34">
        <f>IF(AND(ISNUMBER(BY49),ISNUMBER(BW49)),BY49-BW49,"")</f>
        <v>0</v>
      </c>
      <c r="BY49" s="33">
        <v>3</v>
      </c>
      <c r="BZ49" s="34">
        <f>IF(AND(ISNUMBER(CA49),ISNUMBER(BY49)),CA49-BY49,"")</f>
        <v>0</v>
      </c>
      <c r="CA49" s="33">
        <v>13</v>
      </c>
      <c r="CB49" s="34">
        <f>IF(AND(ISNUMBER(CC49),ISNUMBER(CA49)),CC49-CA49,"")</f>
        <v>0</v>
      </c>
      <c r="CC49" s="33">
        <v>23</v>
      </c>
      <c r="CD49" s="34">
        <f>IF(AND(ISNUMBER(CE49),ISNUMBER(CC49)),CE49-CC49,"")</f>
        <v>0</v>
      </c>
      <c r="CE49" s="33">
        <v>12</v>
      </c>
      <c r="CF49" s="34">
        <f>IF(AND(ISNUMBER(CG49),ISNUMBER(CE49)),CG49-CE49,"")</f>
        <v>0</v>
      </c>
      <c r="CG49" s="33">
        <v>23</v>
      </c>
      <c r="CH49" s="34">
        <f>IF(AND(ISNUMBER(CI49),ISNUMBER(CG49)),CI49-CG49,"")</f>
        <v>0</v>
      </c>
      <c r="CI49" s="33">
        <v>23</v>
      </c>
      <c r="CJ49" s="34">
        <f>IF(AND(ISNUMBER(CK49),ISNUMBER(CI49)),CK49-CI49,"")</f>
        <v>0</v>
      </c>
      <c r="CK49" s="33">
        <v>23</v>
      </c>
      <c r="CL49" s="34">
        <f>IF(AND(ISNUMBER(CM49),ISNUMBER(CK49)),CM49-CK49,"")</f>
        <v>0</v>
      </c>
      <c r="CM49" s="33">
        <v>23</v>
      </c>
      <c r="CN49" s="34">
        <f>IF(AND(ISNUMBER(CO49),ISNUMBER(CM49)),CO49-CM49,"")</f>
        <v>0</v>
      </c>
      <c r="CO49" s="33">
        <v>23</v>
      </c>
      <c r="CP49" s="34">
        <f>IF(AND(ISNUMBER(CQ49),ISNUMBER(CO49)),CQ49-CO49,"")</f>
        <v>0</v>
      </c>
      <c r="CQ49" s="33">
        <v>23</v>
      </c>
      <c r="CR49" s="34">
        <f>IF(AND(ISNUMBER(CS49),ISNUMBER(CQ49)),CS49-CQ49,"")</f>
        <v>0</v>
      </c>
      <c r="CS49" s="33">
        <v>45</v>
      </c>
      <c r="CT49" s="34">
        <f>IF(AND(ISNUMBER(CU49),ISNUMBER(CS49)),CU49-CS49,"")</f>
        <v>0</v>
      </c>
      <c r="CU49" s="33">
        <v>23</v>
      </c>
      <c r="CV49" s="34">
        <f>IF(AND(ISNUMBER(CW49),ISNUMBER(CU49)),CW49-CU49,"")</f>
        <v>0</v>
      </c>
      <c r="CW49" s="33">
        <v>23</v>
      </c>
      <c r="CX49" s="34">
        <f>IF(AND(ISNUMBER(CY49),ISNUMBER(CW49)),CY49-CW49,"")</f>
        <v>0</v>
      </c>
      <c r="CY49" s="33">
        <v>23</v>
      </c>
      <c r="CZ49" s="34">
        <f>IF(AND(ISNUMBER(DA49),ISNUMBER(CY49)),DA49-CY49,"")</f>
        <v>0</v>
      </c>
      <c r="DA49" s="33"/>
      <c r="DB49" s="34">
        <f>IF(AND(ISNUMBER(DC49),ISNUMBER(DA49)),DC49-DA49,"")</f>
        <v>0</v>
      </c>
      <c r="DC49" s="33"/>
      <c r="DD49" s="34">
        <f>IF(AND(ISNUMBER(DE49),ISNUMBER(DC49)),DE49-DC49,"")</f>
        <v>0</v>
      </c>
      <c r="DE49" s="33"/>
      <c r="DF49" s="34">
        <f>IF(AND(ISNUMBER(DG49),ISNUMBER(DE49)),DG49-DE49,"")</f>
        <v>0</v>
      </c>
      <c r="DG49" s="33"/>
      <c r="DH49" s="34">
        <f>IF(AND(ISNUMBER(DI49),ISNUMBER(DG49)),DI49-DG49,"")</f>
        <v>0</v>
      </c>
      <c r="DI49" s="33"/>
      <c r="DJ49" s="34">
        <f>IF(AND(ISNUMBER(DK49),ISNUMBER(DI49)),DK49-DI49,"")</f>
        <v>0</v>
      </c>
      <c r="DK49" s="33"/>
      <c r="DL49" s="34">
        <f>IF(AND(ISNUMBER(DM49),ISNUMBER(DK49)),DM49-DK49,"")</f>
        <v>0</v>
      </c>
      <c r="DM49" s="33"/>
      <c r="DN49" s="34">
        <f>IF(AND(ISNUMBER(DO49),ISNUMBER(DM49)),DO49-DM49,"")</f>
        <v>0</v>
      </c>
      <c r="DO49" s="33"/>
      <c r="DP49" s="34">
        <f>IF(AND(ISNUMBER(DQ49),ISNUMBER(DO49)),DQ49-DO49,"")</f>
        <v>0</v>
      </c>
      <c r="DQ49" s="33"/>
      <c r="DR49" s="34">
        <f>IF(AND(ISNUMBER(DS49),ISNUMBER(DQ49)),DS49-DQ49,"")</f>
        <v>0</v>
      </c>
      <c r="DS49" s="33"/>
      <c r="DT49" s="34">
        <f>IF(AND(ISNUMBER(DU49),ISNUMBER(DS49)),DU49-DS49,"")</f>
        <v>0</v>
      </c>
      <c r="DU49" s="33"/>
      <c r="DV49" s="34">
        <f>IF(AND(ISNUMBER(DW49),ISNUMBER(DU49)),DW49-DU49,"")</f>
        <v>0</v>
      </c>
      <c r="DW49" s="33"/>
      <c r="DX49" s="34">
        <f>IF(AND(ISNUMBER(DY49),ISNUMBER(DW49)),DY49-DW49,"")</f>
        <v>0</v>
      </c>
      <c r="DY49" s="33"/>
      <c r="DZ49" s="34">
        <f>IF(AND(ISNUMBER(EA49),ISNUMBER(DY49)),EA49-DY49,"")</f>
        <v>0</v>
      </c>
      <c r="EA49" s="33"/>
      <c r="EB49" s="34">
        <f>IF(AND(ISNUMBER(EC49),ISNUMBER(EA49)),EC49-EA49,"")</f>
        <v>0</v>
      </c>
      <c r="EC49" s="33"/>
      <c r="ED49" s="34">
        <f>IF(AND(ISNUMBER(EE49),ISNUMBER(EC49)),EE49-EC49,"")</f>
        <v>0</v>
      </c>
      <c r="EE49" s="33"/>
      <c r="EF49" s="34">
        <f>IF(AND(ISNUMBER(EG49),ISNUMBER(EE49)),EG49-EE49,"")</f>
        <v>0</v>
      </c>
      <c r="EG49" s="33"/>
      <c r="EH49" s="34">
        <f>IF(AND(ISNUMBER(EI49),ISNUMBER(EG49)),EI49-EG49,"")</f>
        <v>0</v>
      </c>
      <c r="EI49" s="33"/>
      <c r="EJ49" s="34">
        <f>IF(AND(ISNUMBER(EK49),ISNUMBER(EI49)),EK49-EI49,"")</f>
        <v>0</v>
      </c>
      <c r="EK49" s="33"/>
      <c r="EL49" s="34">
        <f>IF(AND(ISNUMBER(EM49),ISNUMBER(EK49)),EM49-EK49,"")</f>
        <v>0</v>
      </c>
      <c r="EM49" s="33"/>
      <c r="EN49" s="34">
        <f>IF(AND(ISNUMBER(EO49),ISNUMBER(EM49)),EO49-EM49,"")</f>
        <v>0</v>
      </c>
      <c r="EO49" s="33"/>
      <c r="EP49" s="34">
        <f>IF(AND(ISNUMBER(EQ49),ISNUMBER(EO49)),EQ49-EO49,"")</f>
        <v>0</v>
      </c>
      <c r="EQ49" s="33"/>
      <c r="ER49" s="34">
        <f>IF(AND(ISNUMBER(ES49),ISNUMBER(EQ49)),ES49-EQ49,"")</f>
        <v>0</v>
      </c>
      <c r="ES49" s="33"/>
      <c r="ET49" s="34">
        <f>IF(AND(ISNUMBER(EU49),ISNUMBER(ES49)),EU49-ES49,"")</f>
        <v>0</v>
      </c>
      <c r="EU49" s="33"/>
      <c r="EV49" s="34">
        <f>IF(AND(ISNUMBER(EW49),ISNUMBER(EU49)),EW49-EU49,"")</f>
        <v>0</v>
      </c>
      <c r="EW49" s="33"/>
      <c r="EX49" s="34">
        <f>IF(AND(ISNUMBER(EY49),ISNUMBER(EW49)),EY49-EW49,"")</f>
        <v>0</v>
      </c>
      <c r="EY49" s="33"/>
      <c r="EZ49" s="34">
        <f>IF(AND(ISNUMBER(FA49),ISNUMBER(EY49)),FA49-EY49,"")</f>
        <v>0</v>
      </c>
      <c r="FA49" s="33"/>
      <c r="FB49" s="34">
        <f>IF(AND(ISNUMBER(FC49),ISNUMBER(FA49)),FC49-FA49,"")</f>
        <v>0</v>
      </c>
      <c r="FC49" s="33"/>
      <c r="FD49" s="34">
        <f>IF(AND(ISNUMBER(FE49),ISNUMBER(FC49)),FE49-FC49,"")</f>
        <v>0</v>
      </c>
      <c r="FE49" s="33"/>
      <c r="FF49" s="34">
        <f>IF(AND(ISNUMBER(FG49),ISNUMBER(FE49)),FG49-FE49,"")</f>
        <v>0</v>
      </c>
      <c r="FG49" s="33"/>
      <c r="FH49" s="34">
        <f>IF(AND(ISNUMBER(FI49),ISNUMBER(FG49)),FI49-FG49,"")</f>
        <v>0</v>
      </c>
      <c r="FI49" s="33"/>
      <c r="FJ49" s="34">
        <f>IF(AND(ISNUMBER(FK49),ISNUMBER(FI49)),FK49-FI49,"")</f>
        <v>0</v>
      </c>
      <c r="FK49" s="33"/>
      <c r="FL49" s="34">
        <f>IF(AND(ISNUMBER(FM49),ISNUMBER(FK49)),FM49-FK49,"")</f>
        <v>0</v>
      </c>
      <c r="FM49" s="33"/>
      <c r="FN49" s="34">
        <f>IF(AND(ISNUMBER(FO49),ISNUMBER(FM49)),FO49-FM49,"")</f>
        <v>0</v>
      </c>
      <c r="FO49" s="33"/>
      <c r="FP49" s="34">
        <f>IF(AND(ISNUMBER(FQ49),ISNUMBER(FO49)),FQ49-FO49,"")</f>
        <v>0</v>
      </c>
      <c r="FQ49" s="33"/>
      <c r="FR49" s="34">
        <f>IF(AND(ISNUMBER(FS49),ISNUMBER(FQ49)),FS49-FQ49,"")</f>
        <v>0</v>
      </c>
      <c r="FS49" s="33"/>
      <c r="FT49" s="34">
        <f>IF(AND(ISNUMBER(FU49),ISNUMBER(FS49)),FU49-FS49,"")</f>
        <v>0</v>
      </c>
      <c r="FU49" s="33"/>
      <c r="FV49" s="34">
        <f>IF(AND(ISNUMBER(FW49),ISNUMBER(FU49)),FW49-FU49,"")</f>
        <v>0</v>
      </c>
      <c r="FW49" s="33"/>
      <c r="FX49" s="34">
        <f>IF(AND(ISNUMBER(FY49),ISNUMBER(FW49)),FY49-FW49,"")</f>
        <v>0</v>
      </c>
      <c r="FY49" s="33"/>
      <c r="FZ49" s="34">
        <f>IF(AND(ISNUMBER(GA49),ISNUMBER(FY49)),GA49-FY49,"")</f>
        <v>0</v>
      </c>
      <c r="GA49" s="33"/>
      <c r="GB49" s="34">
        <f>IF(AND(ISNUMBER(GC49),ISNUMBER(GA49)),GC49-GA49,"")</f>
        <v>0</v>
      </c>
      <c r="GC49" s="33"/>
      <c r="GD49" s="34">
        <f>IF(AND(ISNUMBER(GE49),ISNUMBER(GC49)),GE49-GC49,"")</f>
        <v>0</v>
      </c>
      <c r="GE49" s="33"/>
      <c r="GF49" s="34">
        <f>IF(AND(ISNUMBER(GG49),ISNUMBER(GE49)),GG49-GE49,"")</f>
        <v>0</v>
      </c>
      <c r="GG49" s="33"/>
      <c r="GH49" s="34">
        <f>IF(AND(ISNUMBER(GI49),ISNUMBER(GG49)),GI49-GG49,"")</f>
        <v>0</v>
      </c>
      <c r="GI49" s="33"/>
      <c r="GJ49" s="34">
        <f>IF(AND(ISNUMBER(GK49),ISNUMBER(GI49)),GK49-GI49,"")</f>
        <v>0</v>
      </c>
      <c r="GK49" s="33"/>
      <c r="GL49" s="34">
        <f>IF(AND(ISNUMBER(GM49),ISNUMBER(GK49)),GM49-GK49,"")</f>
        <v>0</v>
      </c>
      <c r="GM49" s="33"/>
      <c r="GN49" s="34">
        <f>IF(AND(ISNUMBER(GO49),ISNUMBER(GM49)),GO49-GM49,"")</f>
        <v>0</v>
      </c>
      <c r="GO49" s="33"/>
      <c r="GP49" s="34">
        <f>IF(AND(ISNUMBER(GQ49),ISNUMBER(GO49)),GQ49-GO49,"")</f>
        <v>0</v>
      </c>
      <c r="GQ49" s="33"/>
      <c r="GR49" s="34">
        <f>IF(AND(ISNUMBER(GS49),ISNUMBER(GQ49)),GS49-GQ49,"")</f>
        <v>0</v>
      </c>
      <c r="GS49" s="33"/>
      <c r="GT49" s="34">
        <f>IF(AND(ISNUMBER(GU49),ISNUMBER(GS49)),GU49-GS49,"")</f>
        <v>0</v>
      </c>
      <c r="GU49" s="33"/>
      <c r="GV49" s="34">
        <f>IF(AND(ISNUMBER(GW49),ISNUMBER(GU49)),GW49-GU49,"")</f>
        <v>0</v>
      </c>
      <c r="GW49" s="33"/>
      <c r="GX49" s="34">
        <f>IF(AND(ISNUMBER(GY49),ISNUMBER(GW49)),GY49-GW49,"")</f>
        <v>0</v>
      </c>
      <c r="GY49" s="33"/>
      <c r="GZ49" s="34">
        <f>IF(AND(ISNUMBER(HA49),ISNUMBER(GY49)),HA49-GY49,"")</f>
        <v>0</v>
      </c>
      <c r="HA49" s="33"/>
      <c r="HB49" s="34">
        <f>IF(AND(ISNUMBER(HC49),ISNUMBER(HA49)),HC49-HA49,"")</f>
        <v>0</v>
      </c>
      <c r="HC49" s="33"/>
      <c r="HD49" s="34">
        <f>IF(AND(ISNUMBER(HE49),ISNUMBER(HC49)),HE49-HC49,"")</f>
        <v>0</v>
      </c>
      <c r="HE49" s="33"/>
      <c r="HF49" s="34">
        <f>IF(AND(ISNUMBER(HG49),ISNUMBER(HE49)),HG49-HE49,"")</f>
        <v>0</v>
      </c>
      <c r="HG49" s="33"/>
      <c r="HH49" s="34">
        <f>IF(AND(ISNUMBER(HI49),ISNUMBER(HG49)),HI49-HG49,"")</f>
        <v>0</v>
      </c>
      <c r="HI49" s="33"/>
      <c r="HJ49" s="34">
        <f>IF(AND(ISNUMBER(HK49),ISNUMBER(HI49)),HK49-HI49,"")</f>
        <v>0</v>
      </c>
      <c r="HK49" s="33"/>
      <c r="HL49" s="34">
        <f>IF(AND(ISNUMBER(HM49),ISNUMBER(HK49)),HM49-HK49,"")</f>
        <v>0</v>
      </c>
      <c r="HM49" s="33"/>
      <c r="HN49" s="34">
        <f>IF(AND(ISNUMBER(HO49),ISNUMBER(HM49)),HO49-HM49,"")</f>
        <v>0</v>
      </c>
      <c r="HO49" s="33"/>
      <c r="HP49" s="34">
        <f>IF(AND(ISNUMBER(HQ49),ISNUMBER(HO49)),HQ49-HO49,"")</f>
        <v>0</v>
      </c>
      <c r="HQ49" s="33"/>
      <c r="HR49" s="34">
        <f>IF(AND(ISNUMBER(HS49),ISNUMBER(HQ49)),HS49-HQ49,"")</f>
        <v>0</v>
      </c>
      <c r="HS49" s="33"/>
      <c r="HT49" s="34">
        <f>IF(AND(ISNUMBER(HU49),ISNUMBER(HS49)),HU49-HS49,"")</f>
        <v>0</v>
      </c>
      <c r="HU49" s="33"/>
      <c r="HV49" s="34">
        <f>IF(AND(ISNUMBER(HW49),ISNUMBER(HU49)),HW49-HU49,"")</f>
        <v>0</v>
      </c>
      <c r="HW49" s="33"/>
      <c r="HX49" s="34">
        <f>IF(AND(ISNUMBER(HY49),ISNUMBER(HW49)),HY49-HW49,"")</f>
        <v>0</v>
      </c>
      <c r="HY49" s="33"/>
      <c r="HZ49" s="34">
        <f>IF(AND(ISNUMBER(IA49),ISNUMBER(HY49)),IA49-HY49,"")</f>
        <v>0</v>
      </c>
      <c r="IA49" s="33"/>
      <c r="IB49" s="34">
        <f>IF(AND(ISNUMBER(IC49),ISNUMBER(IA49)),IC49-IA49,"")</f>
        <v>0</v>
      </c>
      <c r="IC49" s="33"/>
      <c r="ID49" s="34">
        <f>IF(AND(ISNUMBER(IE49),ISNUMBER(IC49)),IE49-IC49,"")</f>
        <v>0</v>
      </c>
      <c r="IE49" s="33"/>
      <c r="IF49" s="34">
        <f>IF(AND(ISNUMBER(IG49),ISNUMBER(IE49)),IG49-IE49,"")</f>
        <v>0</v>
      </c>
      <c r="IG49" s="33"/>
      <c r="IH49" s="34">
        <f>IF(AND(ISNUMBER(II49),ISNUMBER(IG49)),II49-IG49,"")</f>
        <v>0</v>
      </c>
      <c r="II49" s="33"/>
      <c r="IJ49" s="34">
        <f>IF(AND(ISNUMBER(IK49),ISNUMBER(II49)),IK49-II49,"")</f>
        <v>0</v>
      </c>
      <c r="IK49" s="33"/>
      <c r="IL49" s="34">
        <f>IF(AND(ISNUMBER(IM49),ISNUMBER(IK49)),IM49-IK49,"")</f>
        <v>0</v>
      </c>
      <c r="IM49" s="33"/>
      <c r="IN49" s="34">
        <f>IF(AND(ISNUMBER(IO49),ISNUMBER(IM49)),IO49-IM49,"")</f>
        <v>0</v>
      </c>
      <c r="IO49" s="33"/>
      <c r="IP49" s="34">
        <f>IF(AND(ISNUMBER(IQ49),ISNUMBER(IO49)),IQ49-IO49,"")</f>
        <v>0</v>
      </c>
      <c r="IQ49" s="33"/>
      <c r="IR49" s="34">
        <f>IF(AND(ISNUMBER(IS49),ISNUMBER(IQ49)),IS49-IQ49,"")</f>
        <v>0</v>
      </c>
      <c r="IS49" s="33"/>
      <c r="IT49" s="34">
        <f>IF(AND(ISNUMBER(IU49),ISNUMBER(IS49)),IU49-IS49,"")</f>
        <v>0</v>
      </c>
      <c r="IU49" s="33"/>
      <c r="IV49" s="34">
        <f>IF(AND(ISNUMBER(IW49),ISNUMBER(IU49)),IW49-IU49,"")</f>
        <v>0</v>
      </c>
      <c r="IW49" s="33"/>
      <c r="IX49" s="34">
        <f>IF(AND(ISNUMBER(IY49),ISNUMBER(IW49)),IY49-IW49,"")</f>
        <v>0</v>
      </c>
      <c r="IY49" s="33"/>
      <c r="IZ49" s="34">
        <f>IF(AND(ISNUMBER(JA49),ISNUMBER(IY49)),JA49-IY49,"")</f>
        <v>0</v>
      </c>
      <c r="JA49" s="33"/>
      <c r="JB49" s="34">
        <f>IF(AND(ISNUMBER(JC49),ISNUMBER(JA49)),JC49-JA49,"")</f>
        <v>0</v>
      </c>
      <c r="JC49" s="33"/>
      <c r="JD49" s="34">
        <f>IF(AND(ISNUMBER(JE49),ISNUMBER(JC49)),JE49-JC49,"")</f>
        <v>0</v>
      </c>
      <c r="JE49" s="33"/>
      <c r="JF49" s="34">
        <f>IF(AND(ISNUMBER(JG49),ISNUMBER(JE49)),JG49-JE49,"")</f>
        <v>0</v>
      </c>
      <c r="JG49" s="33"/>
      <c r="JH49" s="34">
        <f>IF(AND(ISNUMBER(JI49),ISNUMBER(JG49)),JI49-JG49,"")</f>
        <v>0</v>
      </c>
      <c r="JI49" s="33"/>
      <c r="JJ49" s="34">
        <f>IF(AND(ISNUMBER(JK49),ISNUMBER(JI49)),JK49-JI49,"")</f>
        <v>0</v>
      </c>
      <c r="JK49" s="33"/>
      <c r="JL49" s="34">
        <f>IF(AND(ISNUMBER(JM49),ISNUMBER(JK49)),JM49-JK49,"")</f>
        <v>0</v>
      </c>
      <c r="JM49" s="33"/>
      <c r="JN49" s="34">
        <f>IF(AND(ISNUMBER(JO49),ISNUMBER(JM49)),JO49-JM49,"")</f>
        <v>0</v>
      </c>
      <c r="JO49" s="33"/>
      <c r="JP49" s="34">
        <f>IF(AND(ISNUMBER(JQ49),ISNUMBER(JO49)),JQ49-JO49,"")</f>
        <v>0</v>
      </c>
      <c r="JQ49" s="33"/>
      <c r="JR49" s="34">
        <f>IF(AND(ISNUMBER(JS49),ISNUMBER(JQ49)),JS49-JQ49,"")</f>
        <v>0</v>
      </c>
      <c r="JS49" s="33"/>
      <c r="JT49" s="34">
        <f>IF(AND(ISNUMBER(JU49),ISNUMBER(JS49)),JU49-JS49,"")</f>
        <v>0</v>
      </c>
      <c r="JU49" s="33"/>
      <c r="JV49" s="34">
        <f>IF(AND(ISNUMBER(JW49),ISNUMBER(JU49)),JW49-JU49,"")</f>
        <v>0</v>
      </c>
      <c r="JW49" s="33"/>
      <c r="JX49" s="34">
        <f>IF(AND(ISNUMBER(JY49),ISNUMBER(JW49)),JY49-JW49,"")</f>
        <v>0</v>
      </c>
      <c r="JY49" s="33"/>
      <c r="JZ49" s="34">
        <f>IF(AND(ISNUMBER(KA49),ISNUMBER(JY49)),KA49-JY49,"")</f>
        <v>0</v>
      </c>
      <c r="KA49" s="33"/>
      <c r="KB49" s="34">
        <f>IF(AND(ISNUMBER(KC49),ISNUMBER(KA49)),KC49-KA49,"")</f>
        <v>0</v>
      </c>
      <c r="KC49" s="33"/>
      <c r="KD49" s="34">
        <f>IF(AND(ISNUMBER(KE49),ISNUMBER(KC49)),KE49-KC49,"")</f>
        <v>0</v>
      </c>
      <c r="KE49" s="33"/>
      <c r="KF49" s="34">
        <f>IF(AND(ISNUMBER(KG49),ISNUMBER(KE49)),KG49-KE49,"")</f>
        <v>0</v>
      </c>
      <c r="KG49" s="33"/>
      <c r="KH49" s="34">
        <f>IF(AND(ISNUMBER(KI49),ISNUMBER(KG49)),KI49-KG49,"")</f>
        <v>0</v>
      </c>
      <c r="KI49" s="33"/>
      <c r="KJ49" s="34">
        <f>IF(AND(ISNUMBER(KK49),ISNUMBER(KI49)),KK49-KI49,"")</f>
        <v>0</v>
      </c>
      <c r="KK49" s="33"/>
      <c r="KL49" s="34">
        <f>IF(AND(ISNUMBER(KM49),ISNUMBER(KK49)),KM49-KK49,"")</f>
        <v>0</v>
      </c>
      <c r="KM49" s="33"/>
      <c r="KN49" s="34">
        <f>IF(AND(ISNUMBER(KO49),ISNUMBER(KM49)),KO49-KM49,"")</f>
        <v>0</v>
      </c>
      <c r="KO49" s="33"/>
      <c r="KP49" s="34">
        <f>IF(AND(ISNUMBER(KQ49),ISNUMBER(KO49)),KQ49-KO49,"")</f>
        <v>0</v>
      </c>
      <c r="KQ49" s="33"/>
      <c r="KR49" s="34">
        <f>IF(AND(ISNUMBER(KS49),ISNUMBER(KQ49)),KS49-KQ49,"")</f>
        <v>0</v>
      </c>
      <c r="KS49" s="33"/>
      <c r="KT49" s="34">
        <f>IF(AND(ISNUMBER(KU49),ISNUMBER(KS49)),KU49-KS49,"")</f>
        <v>0</v>
      </c>
      <c r="KU49" s="33"/>
      <c r="KV49" s="34">
        <f>IF(AND(ISNUMBER(KW49),ISNUMBER(KU49)),KW49-KU49,"")</f>
        <v>0</v>
      </c>
      <c r="KW49" s="33"/>
      <c r="KX49" s="34">
        <f>IF(AND(ISNUMBER(KY49),ISNUMBER(KW49)),KY49-KW49,"")</f>
        <v>0</v>
      </c>
      <c r="KY49" s="33"/>
      <c r="KZ49" s="34">
        <f>IF(AND(ISNUMBER(LA49),ISNUMBER(KY49)),LA49-KY49,"")</f>
        <v>0</v>
      </c>
      <c r="LA49" s="33"/>
      <c r="LB49" s="34">
        <f>IF(AND(ISNUMBER(LC49),ISNUMBER(LA49)),LC49-LA49,"")</f>
        <v>0</v>
      </c>
      <c r="LC49" s="33"/>
      <c r="LD49" s="34">
        <f>IF(AND(ISNUMBER(LE49),ISNUMBER(LC49)),LE49-LC49,"")</f>
        <v>0</v>
      </c>
      <c r="LE49" s="33"/>
      <c r="LF49" s="34">
        <f>IF(AND(ISNUMBER(LG49),ISNUMBER(LE49)),LG49-LE49,"")</f>
        <v>0</v>
      </c>
      <c r="LG49" s="33"/>
    </row>
    <row r="50" spans="1:322" hidden="1" outlineLevel="1">
      <c r="B50" s="23"/>
      <c r="D50" s="31" t="s">
        <v>717</v>
      </c>
      <c r="E50" s="32" t="s">
        <v>1047</v>
      </c>
      <c r="I50" s="40" t="s">
        <v>1078</v>
      </c>
      <c r="J50" s="34">
        <f>IF(AND(ISNUMBER(K50),ISNUMBER(I50)),K50-I50,"")</f>
        <v>0</v>
      </c>
      <c r="K50" s="40" t="s">
        <v>1078</v>
      </c>
      <c r="L50" s="34">
        <f>IF(AND(ISNUMBER(M50),ISNUMBER(K50)),M50-K50,"")</f>
        <v>0</v>
      </c>
      <c r="M50" s="40" t="s">
        <v>1078</v>
      </c>
      <c r="N50" s="34">
        <f>IF(AND(ISNUMBER(O50),ISNUMBER(M50)),O50-M50,"")</f>
        <v>0</v>
      </c>
      <c r="O50" s="40" t="s">
        <v>1078</v>
      </c>
      <c r="P50" s="34">
        <f>IF(AND(ISNUMBER(Q50),ISNUMBER(O50)),Q50-O50,"")</f>
        <v>0</v>
      </c>
      <c r="Q50" s="40" t="s">
        <v>1078</v>
      </c>
      <c r="R50" s="34">
        <f>IF(AND(ISNUMBER(S50),ISNUMBER(Q50)),S50-Q50,"")</f>
        <v>0</v>
      </c>
      <c r="S50" s="40" t="s">
        <v>1078</v>
      </c>
      <c r="T50" s="34">
        <f>IF(AND(ISNUMBER(U50),ISNUMBER(S50)),U50-S50,"")</f>
        <v>0</v>
      </c>
      <c r="U50" s="40" t="s">
        <v>1078</v>
      </c>
      <c r="V50" s="34">
        <f>IF(AND(ISNUMBER(W50),ISNUMBER(U50)),W50-U50,"")</f>
        <v>0</v>
      </c>
      <c r="W50" s="40" t="s">
        <v>1078</v>
      </c>
      <c r="X50" s="34">
        <f>IF(AND(ISNUMBER(Y50),ISNUMBER(W50)),Y50-W50,"")</f>
        <v>0</v>
      </c>
      <c r="Y50" s="40" t="s">
        <v>1078</v>
      </c>
      <c r="Z50" s="34">
        <f>IF(AND(ISNUMBER(AA50),ISNUMBER(Y50)),AA50-Y50,"")</f>
        <v>0</v>
      </c>
      <c r="AA50" s="40" t="s">
        <v>1078</v>
      </c>
      <c r="AB50" s="34">
        <f>IF(AND(ISNUMBER(AC50),ISNUMBER(AA50)),AC50-AA50,"")</f>
        <v>0</v>
      </c>
      <c r="AC50" s="40" t="s">
        <v>1078</v>
      </c>
      <c r="AD50" s="34">
        <f>IF(AND(ISNUMBER(AE50),ISNUMBER(AC50)),AE50-AC50,"")</f>
        <v>0</v>
      </c>
      <c r="AE50" s="40" t="s">
        <v>1078</v>
      </c>
      <c r="AF50" s="34">
        <f>IF(AND(ISNUMBER(AG50),ISNUMBER(AE50)),AG50-AE50,"")</f>
        <v>0</v>
      </c>
      <c r="AG50" s="40" t="s">
        <v>1078</v>
      </c>
      <c r="AH50" s="34">
        <f>IF(AND(ISNUMBER(AI50),ISNUMBER(AG50)),AI50-AG50,"")</f>
        <v>0</v>
      </c>
      <c r="AI50" s="40" t="s">
        <v>1078</v>
      </c>
      <c r="AJ50" s="34">
        <f>IF(AND(ISNUMBER(AK50),ISNUMBER(AI50)),AK50-AI50,"")</f>
        <v>0</v>
      </c>
      <c r="AK50" s="40" t="s">
        <v>1078</v>
      </c>
      <c r="AL50" s="34">
        <f>IF(AND(ISNUMBER(AM50),ISNUMBER(AK50)),AM50-AK50,"")</f>
        <v>0</v>
      </c>
      <c r="AM50" s="40" t="s">
        <v>1078</v>
      </c>
      <c r="AN50" s="34">
        <f>IF(AND(ISNUMBER(AO50),ISNUMBER(AM50)),AO50-AM50,"")</f>
        <v>0</v>
      </c>
      <c r="AO50" s="40" t="s">
        <v>1078</v>
      </c>
      <c r="AP50" s="34">
        <f>IF(AND(ISNUMBER(AQ50),ISNUMBER(AO50)),AQ50-AO50,"")</f>
        <v>0</v>
      </c>
      <c r="AQ50" s="40" t="s">
        <v>1078</v>
      </c>
      <c r="AR50" s="34">
        <f>IF(AND(ISNUMBER(AS50),ISNUMBER(AQ50)),AS50-AQ50,"")</f>
        <v>0</v>
      </c>
      <c r="AS50" s="33">
        <v>0</v>
      </c>
      <c r="AT50" s="34">
        <f>IF(AND(ISNUMBER(AU50),ISNUMBER(AS50)),AU50-AS50,"")</f>
        <v>0</v>
      </c>
      <c r="AU50" s="33">
        <v>0</v>
      </c>
      <c r="AV50" s="34">
        <f>IF(AND(ISNUMBER(AW50),ISNUMBER(AU50)),AW50-AU50,"")</f>
        <v>0</v>
      </c>
      <c r="AW50" s="33">
        <v>0</v>
      </c>
      <c r="AX50" s="34">
        <f>IF(AND(ISNUMBER(AY50),ISNUMBER(AW50)),AY50-AW50,"")</f>
        <v>0</v>
      </c>
      <c r="AY50" s="33">
        <v>0</v>
      </c>
      <c r="AZ50" s="34">
        <f>IF(AND(ISNUMBER(BA50),ISNUMBER(AY50)),BA50-AY50,"")</f>
        <v>0</v>
      </c>
      <c r="BA50" s="33">
        <v>0</v>
      </c>
      <c r="BB50" s="34">
        <f>IF(AND(ISNUMBER(BC50),ISNUMBER(BA50)),BC50-BA50,"")</f>
        <v>0</v>
      </c>
      <c r="BC50" s="33">
        <v>0</v>
      </c>
      <c r="BD50" s="34">
        <f>IF(AND(ISNUMBER(BE50),ISNUMBER(BC50)),BE50-BC50,"")</f>
        <v>0</v>
      </c>
      <c r="BE50" s="33">
        <v>0</v>
      </c>
      <c r="BF50" s="34">
        <f>IF(AND(ISNUMBER(BG50),ISNUMBER(BE50)),BG50-BE50,"")</f>
        <v>0</v>
      </c>
      <c r="BG50" s="33">
        <v>0</v>
      </c>
      <c r="BH50" s="34">
        <f>IF(AND(ISNUMBER(BI50),ISNUMBER(BG50)),BI50-BG50,"")</f>
        <v>0</v>
      </c>
      <c r="BI50" s="33">
        <v>0</v>
      </c>
      <c r="BJ50" s="34">
        <f>IF(AND(ISNUMBER(BK50),ISNUMBER(BI50)),BK50-BI50,"")</f>
        <v>0</v>
      </c>
      <c r="BK50" s="33">
        <v>0</v>
      </c>
      <c r="BL50" s="34">
        <f>IF(AND(ISNUMBER(BM50),ISNUMBER(BK50)),BM50-BK50,"")</f>
        <v>0</v>
      </c>
      <c r="BM50" s="33">
        <v>0</v>
      </c>
      <c r="BN50" s="34">
        <f>IF(AND(ISNUMBER(BO50),ISNUMBER(BM50)),BO50-BM50,"")</f>
        <v>0</v>
      </c>
      <c r="BO50" s="33">
        <v>0</v>
      </c>
      <c r="BP50" s="34">
        <f>IF(AND(ISNUMBER(BQ50),ISNUMBER(BO50)),BQ50-BO50,"")</f>
        <v>0</v>
      </c>
      <c r="BQ50" s="33">
        <v>0</v>
      </c>
      <c r="BR50" s="34">
        <f>IF(AND(ISNUMBER(BS50),ISNUMBER(BQ50)),BS50-BQ50,"")</f>
        <v>0</v>
      </c>
      <c r="BS50" s="33">
        <v>0</v>
      </c>
      <c r="BT50" s="34">
        <f>IF(AND(ISNUMBER(BU50),ISNUMBER(BS50)),BU50-BS50,"")</f>
        <v>0</v>
      </c>
      <c r="BU50" s="33">
        <v>1</v>
      </c>
      <c r="BV50" s="34">
        <f>IF(AND(ISNUMBER(BW50),ISNUMBER(BU50)),BW50-BU50,"")</f>
        <v>0</v>
      </c>
      <c r="BW50" s="33">
        <v>0</v>
      </c>
      <c r="BX50" s="34">
        <f>IF(AND(ISNUMBER(BY50),ISNUMBER(BW50)),BY50-BW50,"")</f>
        <v>0</v>
      </c>
      <c r="BY50" s="33">
        <v>34</v>
      </c>
      <c r="BZ50" s="34">
        <f>IF(AND(ISNUMBER(CA50),ISNUMBER(BY50)),CA50-BY50,"")</f>
        <v>0</v>
      </c>
      <c r="CA50" s="33">
        <v>34</v>
      </c>
      <c r="CB50" s="34">
        <f>IF(AND(ISNUMBER(CC50),ISNUMBER(CA50)),CC50-CA50,"")</f>
        <v>0</v>
      </c>
      <c r="CC50" s="33">
        <v>34</v>
      </c>
      <c r="CD50" s="34">
        <f>IF(AND(ISNUMBER(CE50),ISNUMBER(CC50)),CE50-CC50,"")</f>
        <v>0</v>
      </c>
      <c r="CE50" s="33">
        <v>4</v>
      </c>
      <c r="CF50" s="34">
        <f>IF(AND(ISNUMBER(CG50),ISNUMBER(CE50)),CG50-CE50,"")</f>
        <v>0</v>
      </c>
      <c r="CG50" s="33">
        <v>2</v>
      </c>
      <c r="CH50" s="34">
        <f>IF(AND(ISNUMBER(CI50),ISNUMBER(CG50)),CI50-CG50,"")</f>
        <v>0</v>
      </c>
      <c r="CI50" s="33">
        <v>34</v>
      </c>
      <c r="CJ50" s="34">
        <f>IF(AND(ISNUMBER(CK50),ISNUMBER(CI50)),CK50-CI50,"")</f>
        <v>0</v>
      </c>
      <c r="CK50" s="33">
        <v>43</v>
      </c>
      <c r="CL50" s="34">
        <f>IF(AND(ISNUMBER(CM50),ISNUMBER(CK50)),CM50-CK50,"")</f>
        <v>0</v>
      </c>
      <c r="CM50" s="33">
        <v>34</v>
      </c>
      <c r="CN50" s="34">
        <f>IF(AND(ISNUMBER(CO50),ISNUMBER(CM50)),CO50-CM50,"")</f>
        <v>0</v>
      </c>
      <c r="CO50" s="33">
        <v>34</v>
      </c>
      <c r="CP50" s="34">
        <f>IF(AND(ISNUMBER(CQ50),ISNUMBER(CO50)),CQ50-CO50,"")</f>
        <v>0</v>
      </c>
      <c r="CQ50" s="33">
        <v>34</v>
      </c>
      <c r="CR50" s="34">
        <f>IF(AND(ISNUMBER(CS50),ISNUMBER(CQ50)),CS50-CQ50,"")</f>
        <v>0</v>
      </c>
      <c r="CS50" s="33">
        <v>7</v>
      </c>
      <c r="CT50" s="34">
        <f>IF(AND(ISNUMBER(CU50),ISNUMBER(CS50)),CU50-CS50,"")</f>
        <v>0</v>
      </c>
      <c r="CU50" s="33">
        <v>34</v>
      </c>
      <c r="CV50" s="34">
        <f>IF(AND(ISNUMBER(CW50),ISNUMBER(CU50)),CW50-CU50,"")</f>
        <v>0</v>
      </c>
      <c r="CW50" s="33">
        <v>34</v>
      </c>
      <c r="CX50" s="34">
        <f>IF(AND(ISNUMBER(CY50),ISNUMBER(CW50)),CY50-CW50,"")</f>
        <v>0</v>
      </c>
      <c r="CY50" s="33">
        <v>34</v>
      </c>
      <c r="CZ50" s="34">
        <f>IF(AND(ISNUMBER(DA50),ISNUMBER(CY50)),DA50-CY50,"")</f>
        <v>0</v>
      </c>
      <c r="DA50" s="33"/>
      <c r="DB50" s="34">
        <f>IF(AND(ISNUMBER(DC50),ISNUMBER(DA50)),DC50-DA50,"")</f>
        <v>0</v>
      </c>
      <c r="DC50" s="33"/>
      <c r="DD50" s="34">
        <f>IF(AND(ISNUMBER(DE50),ISNUMBER(DC50)),DE50-DC50,"")</f>
        <v>0</v>
      </c>
      <c r="DE50" s="33"/>
      <c r="DF50" s="34">
        <f>IF(AND(ISNUMBER(DG50),ISNUMBER(DE50)),DG50-DE50,"")</f>
        <v>0</v>
      </c>
      <c r="DG50" s="33"/>
      <c r="DH50" s="34">
        <f>IF(AND(ISNUMBER(DI50),ISNUMBER(DG50)),DI50-DG50,"")</f>
        <v>0</v>
      </c>
      <c r="DI50" s="33"/>
      <c r="DJ50" s="34">
        <f>IF(AND(ISNUMBER(DK50),ISNUMBER(DI50)),DK50-DI50,"")</f>
        <v>0</v>
      </c>
      <c r="DK50" s="33"/>
      <c r="DL50" s="34">
        <f>IF(AND(ISNUMBER(DM50),ISNUMBER(DK50)),DM50-DK50,"")</f>
        <v>0</v>
      </c>
      <c r="DM50" s="33"/>
      <c r="DN50" s="34">
        <f>IF(AND(ISNUMBER(DO50),ISNUMBER(DM50)),DO50-DM50,"")</f>
        <v>0</v>
      </c>
      <c r="DO50" s="33"/>
      <c r="DP50" s="34">
        <f>IF(AND(ISNUMBER(DQ50),ISNUMBER(DO50)),DQ50-DO50,"")</f>
        <v>0</v>
      </c>
      <c r="DQ50" s="33"/>
      <c r="DR50" s="34">
        <f>IF(AND(ISNUMBER(DS50),ISNUMBER(DQ50)),DS50-DQ50,"")</f>
        <v>0</v>
      </c>
      <c r="DS50" s="33"/>
      <c r="DT50" s="34">
        <f>IF(AND(ISNUMBER(DU50),ISNUMBER(DS50)),DU50-DS50,"")</f>
        <v>0</v>
      </c>
      <c r="DU50" s="33"/>
      <c r="DV50" s="34">
        <f>IF(AND(ISNUMBER(DW50),ISNUMBER(DU50)),DW50-DU50,"")</f>
        <v>0</v>
      </c>
      <c r="DW50" s="33"/>
      <c r="DX50" s="34">
        <f>IF(AND(ISNUMBER(DY50),ISNUMBER(DW50)),DY50-DW50,"")</f>
        <v>0</v>
      </c>
      <c r="DY50" s="33"/>
      <c r="DZ50" s="34">
        <f>IF(AND(ISNUMBER(EA50),ISNUMBER(DY50)),EA50-DY50,"")</f>
        <v>0</v>
      </c>
      <c r="EA50" s="33"/>
      <c r="EB50" s="34">
        <f>IF(AND(ISNUMBER(EC50),ISNUMBER(EA50)),EC50-EA50,"")</f>
        <v>0</v>
      </c>
      <c r="EC50" s="33"/>
      <c r="ED50" s="34">
        <f>IF(AND(ISNUMBER(EE50),ISNUMBER(EC50)),EE50-EC50,"")</f>
        <v>0</v>
      </c>
      <c r="EE50" s="33"/>
      <c r="EF50" s="34">
        <f>IF(AND(ISNUMBER(EG50),ISNUMBER(EE50)),EG50-EE50,"")</f>
        <v>0</v>
      </c>
      <c r="EG50" s="33"/>
      <c r="EH50" s="34">
        <f>IF(AND(ISNUMBER(EI50),ISNUMBER(EG50)),EI50-EG50,"")</f>
        <v>0</v>
      </c>
      <c r="EI50" s="33"/>
      <c r="EJ50" s="34">
        <f>IF(AND(ISNUMBER(EK50),ISNUMBER(EI50)),EK50-EI50,"")</f>
        <v>0</v>
      </c>
      <c r="EK50" s="33"/>
      <c r="EL50" s="34">
        <f>IF(AND(ISNUMBER(EM50),ISNUMBER(EK50)),EM50-EK50,"")</f>
        <v>0</v>
      </c>
      <c r="EM50" s="33"/>
      <c r="EN50" s="34">
        <f>IF(AND(ISNUMBER(EO50),ISNUMBER(EM50)),EO50-EM50,"")</f>
        <v>0</v>
      </c>
      <c r="EO50" s="33"/>
      <c r="EP50" s="34">
        <f>IF(AND(ISNUMBER(EQ50),ISNUMBER(EO50)),EQ50-EO50,"")</f>
        <v>0</v>
      </c>
      <c r="EQ50" s="33"/>
      <c r="ER50" s="34">
        <f>IF(AND(ISNUMBER(ES50),ISNUMBER(EQ50)),ES50-EQ50,"")</f>
        <v>0</v>
      </c>
      <c r="ES50" s="33"/>
      <c r="ET50" s="34">
        <f>IF(AND(ISNUMBER(EU50),ISNUMBER(ES50)),EU50-ES50,"")</f>
        <v>0</v>
      </c>
      <c r="EU50" s="33"/>
      <c r="EV50" s="34">
        <f>IF(AND(ISNUMBER(EW50),ISNUMBER(EU50)),EW50-EU50,"")</f>
        <v>0</v>
      </c>
      <c r="EW50" s="33"/>
      <c r="EX50" s="34">
        <f>IF(AND(ISNUMBER(EY50),ISNUMBER(EW50)),EY50-EW50,"")</f>
        <v>0</v>
      </c>
      <c r="EY50" s="33"/>
      <c r="EZ50" s="34">
        <f>IF(AND(ISNUMBER(FA50),ISNUMBER(EY50)),FA50-EY50,"")</f>
        <v>0</v>
      </c>
      <c r="FA50" s="33"/>
      <c r="FB50" s="34">
        <f>IF(AND(ISNUMBER(FC50),ISNUMBER(FA50)),FC50-FA50,"")</f>
        <v>0</v>
      </c>
      <c r="FC50" s="33"/>
      <c r="FD50" s="34">
        <f>IF(AND(ISNUMBER(FE50),ISNUMBER(FC50)),FE50-FC50,"")</f>
        <v>0</v>
      </c>
      <c r="FE50" s="33"/>
      <c r="FF50" s="34">
        <f>IF(AND(ISNUMBER(FG50),ISNUMBER(FE50)),FG50-FE50,"")</f>
        <v>0</v>
      </c>
      <c r="FG50" s="33"/>
      <c r="FH50" s="34">
        <f>IF(AND(ISNUMBER(FI50),ISNUMBER(FG50)),FI50-FG50,"")</f>
        <v>0</v>
      </c>
      <c r="FI50" s="33"/>
      <c r="FJ50" s="34">
        <f>IF(AND(ISNUMBER(FK50),ISNUMBER(FI50)),FK50-FI50,"")</f>
        <v>0</v>
      </c>
      <c r="FK50" s="33"/>
      <c r="FL50" s="34">
        <f>IF(AND(ISNUMBER(FM50),ISNUMBER(FK50)),FM50-FK50,"")</f>
        <v>0</v>
      </c>
      <c r="FM50" s="33"/>
      <c r="FN50" s="34">
        <f>IF(AND(ISNUMBER(FO50),ISNUMBER(FM50)),FO50-FM50,"")</f>
        <v>0</v>
      </c>
      <c r="FO50" s="33"/>
      <c r="FP50" s="34">
        <f>IF(AND(ISNUMBER(FQ50),ISNUMBER(FO50)),FQ50-FO50,"")</f>
        <v>0</v>
      </c>
      <c r="FQ50" s="33"/>
      <c r="FR50" s="34">
        <f>IF(AND(ISNUMBER(FS50),ISNUMBER(FQ50)),FS50-FQ50,"")</f>
        <v>0</v>
      </c>
      <c r="FS50" s="33"/>
      <c r="FT50" s="34">
        <f>IF(AND(ISNUMBER(FU50),ISNUMBER(FS50)),FU50-FS50,"")</f>
        <v>0</v>
      </c>
      <c r="FU50" s="33"/>
      <c r="FV50" s="34">
        <f>IF(AND(ISNUMBER(FW50),ISNUMBER(FU50)),FW50-FU50,"")</f>
        <v>0</v>
      </c>
      <c r="FW50" s="33"/>
      <c r="FX50" s="34">
        <f>IF(AND(ISNUMBER(FY50),ISNUMBER(FW50)),FY50-FW50,"")</f>
        <v>0</v>
      </c>
      <c r="FY50" s="33"/>
      <c r="FZ50" s="34">
        <f>IF(AND(ISNUMBER(GA50),ISNUMBER(FY50)),GA50-FY50,"")</f>
        <v>0</v>
      </c>
      <c r="GA50" s="33"/>
      <c r="GB50" s="34">
        <f>IF(AND(ISNUMBER(GC50),ISNUMBER(GA50)),GC50-GA50,"")</f>
        <v>0</v>
      </c>
      <c r="GC50" s="33"/>
      <c r="GD50" s="34">
        <f>IF(AND(ISNUMBER(GE50),ISNUMBER(GC50)),GE50-GC50,"")</f>
        <v>0</v>
      </c>
      <c r="GE50" s="33"/>
      <c r="GF50" s="34">
        <f>IF(AND(ISNUMBER(GG50),ISNUMBER(GE50)),GG50-GE50,"")</f>
        <v>0</v>
      </c>
      <c r="GG50" s="33"/>
      <c r="GH50" s="34">
        <f>IF(AND(ISNUMBER(GI50),ISNUMBER(GG50)),GI50-GG50,"")</f>
        <v>0</v>
      </c>
      <c r="GI50" s="33"/>
      <c r="GJ50" s="34">
        <f>IF(AND(ISNUMBER(GK50),ISNUMBER(GI50)),GK50-GI50,"")</f>
        <v>0</v>
      </c>
      <c r="GK50" s="33"/>
      <c r="GL50" s="34">
        <f>IF(AND(ISNUMBER(GM50),ISNUMBER(GK50)),GM50-GK50,"")</f>
        <v>0</v>
      </c>
      <c r="GM50" s="33"/>
      <c r="GN50" s="34">
        <f>IF(AND(ISNUMBER(GO50),ISNUMBER(GM50)),GO50-GM50,"")</f>
        <v>0</v>
      </c>
      <c r="GO50" s="33"/>
      <c r="GP50" s="34">
        <f>IF(AND(ISNUMBER(GQ50),ISNUMBER(GO50)),GQ50-GO50,"")</f>
        <v>0</v>
      </c>
      <c r="GQ50" s="33"/>
      <c r="GR50" s="34">
        <f>IF(AND(ISNUMBER(GS50),ISNUMBER(GQ50)),GS50-GQ50,"")</f>
        <v>0</v>
      </c>
      <c r="GS50" s="33"/>
      <c r="GT50" s="34">
        <f>IF(AND(ISNUMBER(GU50),ISNUMBER(GS50)),GU50-GS50,"")</f>
        <v>0</v>
      </c>
      <c r="GU50" s="33"/>
      <c r="GV50" s="34">
        <f>IF(AND(ISNUMBER(GW50),ISNUMBER(GU50)),GW50-GU50,"")</f>
        <v>0</v>
      </c>
      <c r="GW50" s="33"/>
      <c r="GX50" s="34">
        <f>IF(AND(ISNUMBER(GY50),ISNUMBER(GW50)),GY50-GW50,"")</f>
        <v>0</v>
      </c>
      <c r="GY50" s="33"/>
      <c r="GZ50" s="34">
        <f>IF(AND(ISNUMBER(HA50),ISNUMBER(GY50)),HA50-GY50,"")</f>
        <v>0</v>
      </c>
      <c r="HA50" s="33"/>
      <c r="HB50" s="34">
        <f>IF(AND(ISNUMBER(HC50),ISNUMBER(HA50)),HC50-HA50,"")</f>
        <v>0</v>
      </c>
      <c r="HC50" s="33"/>
      <c r="HD50" s="34">
        <f>IF(AND(ISNUMBER(HE50),ISNUMBER(HC50)),HE50-HC50,"")</f>
        <v>0</v>
      </c>
      <c r="HE50" s="33"/>
      <c r="HF50" s="34">
        <f>IF(AND(ISNUMBER(HG50),ISNUMBER(HE50)),HG50-HE50,"")</f>
        <v>0</v>
      </c>
      <c r="HG50" s="33"/>
      <c r="HH50" s="34">
        <f>IF(AND(ISNUMBER(HI50),ISNUMBER(HG50)),HI50-HG50,"")</f>
        <v>0</v>
      </c>
      <c r="HI50" s="33"/>
      <c r="HJ50" s="34">
        <f>IF(AND(ISNUMBER(HK50),ISNUMBER(HI50)),HK50-HI50,"")</f>
        <v>0</v>
      </c>
      <c r="HK50" s="33"/>
      <c r="HL50" s="34">
        <f>IF(AND(ISNUMBER(HM50),ISNUMBER(HK50)),HM50-HK50,"")</f>
        <v>0</v>
      </c>
      <c r="HM50" s="33"/>
      <c r="HN50" s="34">
        <f>IF(AND(ISNUMBER(HO50),ISNUMBER(HM50)),HO50-HM50,"")</f>
        <v>0</v>
      </c>
      <c r="HO50" s="33"/>
      <c r="HP50" s="34">
        <f>IF(AND(ISNUMBER(HQ50),ISNUMBER(HO50)),HQ50-HO50,"")</f>
        <v>0</v>
      </c>
      <c r="HQ50" s="33"/>
      <c r="HR50" s="34">
        <f>IF(AND(ISNUMBER(HS50),ISNUMBER(HQ50)),HS50-HQ50,"")</f>
        <v>0</v>
      </c>
      <c r="HS50" s="33"/>
      <c r="HT50" s="34">
        <f>IF(AND(ISNUMBER(HU50),ISNUMBER(HS50)),HU50-HS50,"")</f>
        <v>0</v>
      </c>
      <c r="HU50" s="33"/>
      <c r="HV50" s="34">
        <f>IF(AND(ISNUMBER(HW50),ISNUMBER(HU50)),HW50-HU50,"")</f>
        <v>0</v>
      </c>
      <c r="HW50" s="33"/>
      <c r="HX50" s="34">
        <f>IF(AND(ISNUMBER(HY50),ISNUMBER(HW50)),HY50-HW50,"")</f>
        <v>0</v>
      </c>
      <c r="HY50" s="33"/>
      <c r="HZ50" s="34">
        <f>IF(AND(ISNUMBER(IA50),ISNUMBER(HY50)),IA50-HY50,"")</f>
        <v>0</v>
      </c>
      <c r="IA50" s="33"/>
      <c r="IB50" s="34">
        <f>IF(AND(ISNUMBER(IC50),ISNUMBER(IA50)),IC50-IA50,"")</f>
        <v>0</v>
      </c>
      <c r="IC50" s="33"/>
      <c r="ID50" s="34">
        <f>IF(AND(ISNUMBER(IE50),ISNUMBER(IC50)),IE50-IC50,"")</f>
        <v>0</v>
      </c>
      <c r="IE50" s="33"/>
      <c r="IF50" s="34">
        <f>IF(AND(ISNUMBER(IG50),ISNUMBER(IE50)),IG50-IE50,"")</f>
        <v>0</v>
      </c>
      <c r="IG50" s="33"/>
      <c r="IH50" s="34">
        <f>IF(AND(ISNUMBER(II50),ISNUMBER(IG50)),II50-IG50,"")</f>
        <v>0</v>
      </c>
      <c r="II50" s="33"/>
      <c r="IJ50" s="34">
        <f>IF(AND(ISNUMBER(IK50),ISNUMBER(II50)),IK50-II50,"")</f>
        <v>0</v>
      </c>
      <c r="IK50" s="33"/>
      <c r="IL50" s="34">
        <f>IF(AND(ISNUMBER(IM50),ISNUMBER(IK50)),IM50-IK50,"")</f>
        <v>0</v>
      </c>
      <c r="IM50" s="33"/>
      <c r="IN50" s="34">
        <f>IF(AND(ISNUMBER(IO50),ISNUMBER(IM50)),IO50-IM50,"")</f>
        <v>0</v>
      </c>
      <c r="IO50" s="33"/>
      <c r="IP50" s="34">
        <f>IF(AND(ISNUMBER(IQ50),ISNUMBER(IO50)),IQ50-IO50,"")</f>
        <v>0</v>
      </c>
      <c r="IQ50" s="33"/>
      <c r="IR50" s="34">
        <f>IF(AND(ISNUMBER(IS50),ISNUMBER(IQ50)),IS50-IQ50,"")</f>
        <v>0</v>
      </c>
      <c r="IS50" s="33"/>
      <c r="IT50" s="34">
        <f>IF(AND(ISNUMBER(IU50),ISNUMBER(IS50)),IU50-IS50,"")</f>
        <v>0</v>
      </c>
      <c r="IU50" s="33"/>
      <c r="IV50" s="34">
        <f>IF(AND(ISNUMBER(IW50),ISNUMBER(IU50)),IW50-IU50,"")</f>
        <v>0</v>
      </c>
      <c r="IW50" s="33"/>
      <c r="IX50" s="34">
        <f>IF(AND(ISNUMBER(IY50),ISNUMBER(IW50)),IY50-IW50,"")</f>
        <v>0</v>
      </c>
      <c r="IY50" s="33"/>
      <c r="IZ50" s="34">
        <f>IF(AND(ISNUMBER(JA50),ISNUMBER(IY50)),JA50-IY50,"")</f>
        <v>0</v>
      </c>
      <c r="JA50" s="33"/>
      <c r="JB50" s="34">
        <f>IF(AND(ISNUMBER(JC50),ISNUMBER(JA50)),JC50-JA50,"")</f>
        <v>0</v>
      </c>
      <c r="JC50" s="33"/>
      <c r="JD50" s="34">
        <f>IF(AND(ISNUMBER(JE50),ISNUMBER(JC50)),JE50-JC50,"")</f>
        <v>0</v>
      </c>
      <c r="JE50" s="33"/>
      <c r="JF50" s="34">
        <f>IF(AND(ISNUMBER(JG50),ISNUMBER(JE50)),JG50-JE50,"")</f>
        <v>0</v>
      </c>
      <c r="JG50" s="33"/>
      <c r="JH50" s="34">
        <f>IF(AND(ISNUMBER(JI50),ISNUMBER(JG50)),JI50-JG50,"")</f>
        <v>0</v>
      </c>
      <c r="JI50" s="33"/>
      <c r="JJ50" s="34">
        <f>IF(AND(ISNUMBER(JK50),ISNUMBER(JI50)),JK50-JI50,"")</f>
        <v>0</v>
      </c>
      <c r="JK50" s="33"/>
      <c r="JL50" s="34">
        <f>IF(AND(ISNUMBER(JM50),ISNUMBER(JK50)),JM50-JK50,"")</f>
        <v>0</v>
      </c>
      <c r="JM50" s="33"/>
      <c r="JN50" s="34">
        <f>IF(AND(ISNUMBER(JO50),ISNUMBER(JM50)),JO50-JM50,"")</f>
        <v>0</v>
      </c>
      <c r="JO50" s="33"/>
      <c r="JP50" s="34">
        <f>IF(AND(ISNUMBER(JQ50),ISNUMBER(JO50)),JQ50-JO50,"")</f>
        <v>0</v>
      </c>
      <c r="JQ50" s="33"/>
      <c r="JR50" s="34">
        <f>IF(AND(ISNUMBER(JS50),ISNUMBER(JQ50)),JS50-JQ50,"")</f>
        <v>0</v>
      </c>
      <c r="JS50" s="33"/>
      <c r="JT50" s="34">
        <f>IF(AND(ISNUMBER(JU50),ISNUMBER(JS50)),JU50-JS50,"")</f>
        <v>0</v>
      </c>
      <c r="JU50" s="33"/>
      <c r="JV50" s="34">
        <f>IF(AND(ISNUMBER(JW50),ISNUMBER(JU50)),JW50-JU50,"")</f>
        <v>0</v>
      </c>
      <c r="JW50" s="33"/>
      <c r="JX50" s="34">
        <f>IF(AND(ISNUMBER(JY50),ISNUMBER(JW50)),JY50-JW50,"")</f>
        <v>0</v>
      </c>
      <c r="JY50" s="33"/>
      <c r="JZ50" s="34">
        <f>IF(AND(ISNUMBER(KA50),ISNUMBER(JY50)),KA50-JY50,"")</f>
        <v>0</v>
      </c>
      <c r="KA50" s="33"/>
      <c r="KB50" s="34">
        <f>IF(AND(ISNUMBER(KC50),ISNUMBER(KA50)),KC50-KA50,"")</f>
        <v>0</v>
      </c>
      <c r="KC50" s="33"/>
      <c r="KD50" s="34">
        <f>IF(AND(ISNUMBER(KE50),ISNUMBER(KC50)),KE50-KC50,"")</f>
        <v>0</v>
      </c>
      <c r="KE50" s="33"/>
      <c r="KF50" s="34">
        <f>IF(AND(ISNUMBER(KG50),ISNUMBER(KE50)),KG50-KE50,"")</f>
        <v>0</v>
      </c>
      <c r="KG50" s="33"/>
      <c r="KH50" s="34">
        <f>IF(AND(ISNUMBER(KI50),ISNUMBER(KG50)),KI50-KG50,"")</f>
        <v>0</v>
      </c>
      <c r="KI50" s="33"/>
      <c r="KJ50" s="34">
        <f>IF(AND(ISNUMBER(KK50),ISNUMBER(KI50)),KK50-KI50,"")</f>
        <v>0</v>
      </c>
      <c r="KK50" s="33"/>
      <c r="KL50" s="34">
        <f>IF(AND(ISNUMBER(KM50),ISNUMBER(KK50)),KM50-KK50,"")</f>
        <v>0</v>
      </c>
      <c r="KM50" s="33"/>
      <c r="KN50" s="34">
        <f>IF(AND(ISNUMBER(KO50),ISNUMBER(KM50)),KO50-KM50,"")</f>
        <v>0</v>
      </c>
      <c r="KO50" s="33"/>
      <c r="KP50" s="34">
        <f>IF(AND(ISNUMBER(KQ50),ISNUMBER(KO50)),KQ50-KO50,"")</f>
        <v>0</v>
      </c>
      <c r="KQ50" s="33"/>
      <c r="KR50" s="34">
        <f>IF(AND(ISNUMBER(KS50),ISNUMBER(KQ50)),KS50-KQ50,"")</f>
        <v>0</v>
      </c>
      <c r="KS50" s="33"/>
      <c r="KT50" s="34">
        <f>IF(AND(ISNUMBER(KU50),ISNUMBER(KS50)),KU50-KS50,"")</f>
        <v>0</v>
      </c>
      <c r="KU50" s="33"/>
      <c r="KV50" s="34">
        <f>IF(AND(ISNUMBER(KW50),ISNUMBER(KU50)),KW50-KU50,"")</f>
        <v>0</v>
      </c>
      <c r="KW50" s="33"/>
      <c r="KX50" s="34">
        <f>IF(AND(ISNUMBER(KY50),ISNUMBER(KW50)),KY50-KW50,"")</f>
        <v>0</v>
      </c>
      <c r="KY50" s="33"/>
      <c r="KZ50" s="34">
        <f>IF(AND(ISNUMBER(LA50),ISNUMBER(KY50)),LA50-KY50,"")</f>
        <v>0</v>
      </c>
      <c r="LA50" s="33"/>
      <c r="LB50" s="34">
        <f>IF(AND(ISNUMBER(LC50),ISNUMBER(LA50)),LC50-LA50,"")</f>
        <v>0</v>
      </c>
      <c r="LC50" s="33"/>
      <c r="LD50" s="34">
        <f>IF(AND(ISNUMBER(LE50),ISNUMBER(LC50)),LE50-LC50,"")</f>
        <v>0</v>
      </c>
      <c r="LE50" s="33"/>
      <c r="LF50" s="34">
        <f>IF(AND(ISNUMBER(LG50),ISNUMBER(LE50)),LG50-LE50,"")</f>
        <v>0</v>
      </c>
      <c r="LG50" s="33"/>
    </row>
    <row r="51" spans="1:322" hidden="1" outlineLevel="1">
      <c r="B51" s="23"/>
      <c r="D51" s="31" t="s">
        <v>719</v>
      </c>
      <c r="E51" s="32" t="s">
        <v>1058</v>
      </c>
      <c r="I51" s="40" t="s">
        <v>1078</v>
      </c>
      <c r="J51" s="34">
        <f>IF(AND(ISNUMBER(K51),ISNUMBER(I51)),K51-I51,"")</f>
        <v>0</v>
      </c>
      <c r="K51" s="40" t="s">
        <v>1078</v>
      </c>
      <c r="L51" s="34">
        <f>IF(AND(ISNUMBER(M51),ISNUMBER(K51)),M51-K51,"")</f>
        <v>0</v>
      </c>
      <c r="M51" s="40" t="s">
        <v>1078</v>
      </c>
      <c r="N51" s="34">
        <f>IF(AND(ISNUMBER(O51),ISNUMBER(M51)),O51-M51,"")</f>
        <v>0</v>
      </c>
      <c r="O51" s="40" t="s">
        <v>1078</v>
      </c>
      <c r="P51" s="34">
        <f>IF(AND(ISNUMBER(Q51),ISNUMBER(O51)),Q51-O51,"")</f>
        <v>0</v>
      </c>
      <c r="Q51" s="40" t="s">
        <v>1078</v>
      </c>
      <c r="R51" s="34">
        <f>IF(AND(ISNUMBER(S51),ISNUMBER(Q51)),S51-Q51,"")</f>
        <v>0</v>
      </c>
      <c r="S51" s="40" t="s">
        <v>1078</v>
      </c>
      <c r="T51" s="34">
        <f>IF(AND(ISNUMBER(U51),ISNUMBER(S51)),U51-S51,"")</f>
        <v>0</v>
      </c>
      <c r="U51" s="40" t="s">
        <v>1078</v>
      </c>
      <c r="V51" s="34">
        <f>IF(AND(ISNUMBER(W51),ISNUMBER(U51)),W51-U51,"")</f>
        <v>0</v>
      </c>
      <c r="W51" s="40" t="s">
        <v>1078</v>
      </c>
      <c r="X51" s="34">
        <f>IF(AND(ISNUMBER(Y51),ISNUMBER(W51)),Y51-W51,"")</f>
        <v>0</v>
      </c>
      <c r="Y51" s="40" t="s">
        <v>1078</v>
      </c>
      <c r="Z51" s="34">
        <f>IF(AND(ISNUMBER(AA51),ISNUMBER(Y51)),AA51-Y51,"")</f>
        <v>0</v>
      </c>
      <c r="AA51" s="40" t="s">
        <v>1078</v>
      </c>
      <c r="AB51" s="34">
        <f>IF(AND(ISNUMBER(AC51),ISNUMBER(AA51)),AC51-AA51,"")</f>
        <v>0</v>
      </c>
      <c r="AC51" s="40" t="s">
        <v>1078</v>
      </c>
      <c r="AD51" s="34">
        <f>IF(AND(ISNUMBER(AE51),ISNUMBER(AC51)),AE51-AC51,"")</f>
        <v>0</v>
      </c>
      <c r="AE51" s="40" t="s">
        <v>1078</v>
      </c>
      <c r="AF51" s="34">
        <f>IF(AND(ISNUMBER(AG51),ISNUMBER(AE51)),AG51-AE51,"")</f>
        <v>0</v>
      </c>
      <c r="AG51" s="40" t="s">
        <v>1078</v>
      </c>
      <c r="AH51" s="34">
        <f>IF(AND(ISNUMBER(AI51),ISNUMBER(AG51)),AI51-AG51,"")</f>
        <v>0</v>
      </c>
      <c r="AI51" s="40" t="s">
        <v>1078</v>
      </c>
      <c r="AJ51" s="34">
        <f>IF(AND(ISNUMBER(AK51),ISNUMBER(AI51)),AK51-AI51,"")</f>
        <v>0</v>
      </c>
      <c r="AK51" s="40" t="s">
        <v>1078</v>
      </c>
      <c r="AL51" s="34">
        <f>IF(AND(ISNUMBER(AM51),ISNUMBER(AK51)),AM51-AK51,"")</f>
        <v>0</v>
      </c>
      <c r="AM51" s="40" t="s">
        <v>1078</v>
      </c>
      <c r="AN51" s="34">
        <f>IF(AND(ISNUMBER(AO51),ISNUMBER(AM51)),AO51-AM51,"")</f>
        <v>0</v>
      </c>
      <c r="AO51" s="40" t="s">
        <v>1078</v>
      </c>
      <c r="AP51" s="34">
        <f>IF(AND(ISNUMBER(AQ51),ISNUMBER(AO51)),AQ51-AO51,"")</f>
        <v>0</v>
      </c>
      <c r="AQ51" s="40" t="s">
        <v>1078</v>
      </c>
      <c r="AR51" s="34">
        <f>IF(AND(ISNUMBER(AS51),ISNUMBER(AQ51)),AS51-AQ51,"")</f>
        <v>0</v>
      </c>
      <c r="AS51" s="33">
        <v>2</v>
      </c>
      <c r="AT51" s="34">
        <f>IF(AND(ISNUMBER(AU51),ISNUMBER(AS51)),AU51-AS51,"")</f>
        <v>0</v>
      </c>
      <c r="AU51" s="33">
        <v>0</v>
      </c>
      <c r="AV51" s="34">
        <f>IF(AND(ISNUMBER(AW51),ISNUMBER(AU51)),AW51-AU51,"")</f>
        <v>0</v>
      </c>
      <c r="AW51" s="33">
        <v>0</v>
      </c>
      <c r="AX51" s="34">
        <f>IF(AND(ISNUMBER(AY51),ISNUMBER(AW51)),AY51-AW51,"")</f>
        <v>0</v>
      </c>
      <c r="AY51" s="33">
        <v>0</v>
      </c>
      <c r="AZ51" s="34">
        <f>IF(AND(ISNUMBER(BA51),ISNUMBER(AY51)),BA51-AY51,"")</f>
        <v>0</v>
      </c>
      <c r="BA51" s="33">
        <v>0</v>
      </c>
      <c r="BB51" s="34">
        <f>IF(AND(ISNUMBER(BC51),ISNUMBER(BA51)),BC51-BA51,"")</f>
        <v>0</v>
      </c>
      <c r="BC51" s="33">
        <v>5</v>
      </c>
      <c r="BD51" s="34">
        <f>IF(AND(ISNUMBER(BE51),ISNUMBER(BC51)),BE51-BC51,"")</f>
        <v>0</v>
      </c>
      <c r="BE51" s="33">
        <v>3</v>
      </c>
      <c r="BF51" s="34">
        <f>IF(AND(ISNUMBER(BG51),ISNUMBER(BE51)),BG51-BE51,"")</f>
        <v>0</v>
      </c>
      <c r="BG51" s="33">
        <v>3</v>
      </c>
      <c r="BH51" s="34">
        <f>IF(AND(ISNUMBER(BI51),ISNUMBER(BG51)),BI51-BG51,"")</f>
        <v>0</v>
      </c>
      <c r="BI51" s="33">
        <v>0</v>
      </c>
      <c r="BJ51" s="34">
        <f>IF(AND(ISNUMBER(BK51),ISNUMBER(BI51)),BK51-BI51,"")</f>
        <v>0</v>
      </c>
      <c r="BK51" s="33">
        <v>0</v>
      </c>
      <c r="BL51" s="34">
        <f>IF(AND(ISNUMBER(BM51),ISNUMBER(BK51)),BM51-BK51,"")</f>
        <v>0</v>
      </c>
      <c r="BM51" s="33">
        <v>0</v>
      </c>
      <c r="BN51" s="34">
        <f>IF(AND(ISNUMBER(BO51),ISNUMBER(BM51)),BO51-BM51,"")</f>
        <v>0</v>
      </c>
      <c r="BO51" s="33">
        <v>3</v>
      </c>
      <c r="BP51" s="34">
        <f>IF(AND(ISNUMBER(BQ51),ISNUMBER(BO51)),BQ51-BO51,"")</f>
        <v>0</v>
      </c>
      <c r="BQ51" s="33">
        <v>0</v>
      </c>
      <c r="BR51" s="34">
        <f>IF(AND(ISNUMBER(BS51),ISNUMBER(BQ51)),BS51-BQ51,"")</f>
        <v>0</v>
      </c>
      <c r="BS51" s="33">
        <v>1</v>
      </c>
      <c r="BT51" s="34">
        <f>IF(AND(ISNUMBER(BU51),ISNUMBER(BS51)),BU51-BS51,"")</f>
        <v>0</v>
      </c>
      <c r="BU51" s="33">
        <v>1</v>
      </c>
      <c r="BV51" s="34">
        <f>IF(AND(ISNUMBER(BW51),ISNUMBER(BU51)),BW51-BU51,"")</f>
        <v>0</v>
      </c>
      <c r="BW51" s="33">
        <v>0</v>
      </c>
      <c r="BX51" s="34">
        <f>IF(AND(ISNUMBER(BY51),ISNUMBER(BW51)),BY51-BW51,"")</f>
        <v>0</v>
      </c>
      <c r="BY51" s="33">
        <v>34</v>
      </c>
      <c r="BZ51" s="34">
        <f>IF(AND(ISNUMBER(CA51),ISNUMBER(BY51)),CA51-BY51,"")</f>
        <v>0</v>
      </c>
      <c r="CA51" s="33">
        <v>54</v>
      </c>
      <c r="CB51" s="34">
        <f>IF(AND(ISNUMBER(CC51),ISNUMBER(CA51)),CC51-CA51,"")</f>
        <v>0</v>
      </c>
      <c r="CC51" s="33">
        <v>14</v>
      </c>
      <c r="CD51" s="34">
        <f>IF(AND(ISNUMBER(CE51),ISNUMBER(CC51)),CE51-CC51,"")</f>
        <v>0</v>
      </c>
      <c r="CE51" s="33">
        <v>8</v>
      </c>
      <c r="CF51" s="34">
        <f>IF(AND(ISNUMBER(CG51),ISNUMBER(CE51)),CG51-CE51,"")</f>
        <v>0</v>
      </c>
      <c r="CG51" s="33">
        <v>23</v>
      </c>
      <c r="CH51" s="34">
        <f>IF(AND(ISNUMBER(CI51),ISNUMBER(CG51)),CI51-CG51,"")</f>
        <v>0</v>
      </c>
      <c r="CI51" s="33">
        <v>33</v>
      </c>
      <c r="CJ51" s="34">
        <f>IF(AND(ISNUMBER(CK51),ISNUMBER(CI51)),CK51-CI51,"")</f>
        <v>0</v>
      </c>
      <c r="CK51" s="33">
        <v>54</v>
      </c>
      <c r="CL51" s="34">
        <f>IF(AND(ISNUMBER(CM51),ISNUMBER(CK51)),CM51-CK51,"")</f>
        <v>0</v>
      </c>
      <c r="CM51" s="33">
        <v>33</v>
      </c>
      <c r="CN51" s="34">
        <f>IF(AND(ISNUMBER(CO51),ISNUMBER(CM51)),CO51-CM51,"")</f>
        <v>0</v>
      </c>
      <c r="CO51" s="33">
        <v>33</v>
      </c>
      <c r="CP51" s="34">
        <f>IF(AND(ISNUMBER(CQ51),ISNUMBER(CO51)),CQ51-CO51,"")</f>
        <v>0</v>
      </c>
      <c r="CQ51" s="33">
        <v>3</v>
      </c>
      <c r="CR51" s="34">
        <f>IF(AND(ISNUMBER(CS51),ISNUMBER(CQ51)),CS51-CQ51,"")</f>
        <v>0</v>
      </c>
      <c r="CS51" s="33">
        <v>9</v>
      </c>
      <c r="CT51" s="34">
        <f>IF(AND(ISNUMBER(CU51),ISNUMBER(CS51)),CU51-CS51,"")</f>
        <v>0</v>
      </c>
      <c r="CU51" s="33">
        <v>54</v>
      </c>
      <c r="CV51" s="34">
        <f>IF(AND(ISNUMBER(CW51),ISNUMBER(CU51)),CW51-CU51,"")</f>
        <v>0</v>
      </c>
      <c r="CW51" s="33">
        <v>3</v>
      </c>
      <c r="CX51" s="34">
        <f>IF(AND(ISNUMBER(CY51),ISNUMBER(CW51)),CY51-CW51,"")</f>
        <v>0</v>
      </c>
      <c r="CY51" s="33">
        <v>3</v>
      </c>
      <c r="CZ51" s="34">
        <f>IF(AND(ISNUMBER(DA51),ISNUMBER(CY51)),DA51-CY51,"")</f>
        <v>0</v>
      </c>
      <c r="DA51" s="33"/>
      <c r="DB51" s="34">
        <f>IF(AND(ISNUMBER(DC51),ISNUMBER(DA51)),DC51-DA51,"")</f>
        <v>0</v>
      </c>
      <c r="DC51" s="33"/>
      <c r="DD51" s="34">
        <f>IF(AND(ISNUMBER(DE51),ISNUMBER(DC51)),DE51-DC51,"")</f>
        <v>0</v>
      </c>
      <c r="DE51" s="33"/>
      <c r="DF51" s="34">
        <f>IF(AND(ISNUMBER(DG51),ISNUMBER(DE51)),DG51-DE51,"")</f>
        <v>0</v>
      </c>
      <c r="DG51" s="33"/>
      <c r="DH51" s="34">
        <f>IF(AND(ISNUMBER(DI51),ISNUMBER(DG51)),DI51-DG51,"")</f>
        <v>0</v>
      </c>
      <c r="DI51" s="33">
        <v>3</v>
      </c>
      <c r="DJ51" s="34">
        <f>IF(AND(ISNUMBER(DK51),ISNUMBER(DI51)),DK51-DI51,"")</f>
        <v>0</v>
      </c>
      <c r="DK51" s="33">
        <v>6</v>
      </c>
      <c r="DL51" s="34">
        <f>IF(AND(ISNUMBER(DM51),ISNUMBER(DK51)),DM51-DK51,"")</f>
        <v>0</v>
      </c>
      <c r="DM51" s="33">
        <v>6</v>
      </c>
      <c r="DN51" s="34">
        <f>IF(AND(ISNUMBER(DO51),ISNUMBER(DM51)),DO51-DM51,"")</f>
        <v>0</v>
      </c>
      <c r="DO51" s="33">
        <v>7</v>
      </c>
      <c r="DP51" s="34">
        <f>IF(AND(ISNUMBER(DQ51),ISNUMBER(DO51)),DQ51-DO51,"")</f>
        <v>0</v>
      </c>
      <c r="DQ51" s="33">
        <v>4</v>
      </c>
      <c r="DR51" s="34">
        <f>IF(AND(ISNUMBER(DS51),ISNUMBER(DQ51)),DS51-DQ51,"")</f>
        <v>0</v>
      </c>
      <c r="DS51" s="33">
        <v>0</v>
      </c>
      <c r="DT51" s="34">
        <f>IF(AND(ISNUMBER(DU51),ISNUMBER(DS51)),DU51-DS51,"")</f>
        <v>0</v>
      </c>
      <c r="DU51" s="33">
        <v>2</v>
      </c>
      <c r="DV51" s="34">
        <f>IF(AND(ISNUMBER(DW51),ISNUMBER(DU51)),DW51-DU51,"")</f>
        <v>0</v>
      </c>
      <c r="DW51" s="33">
        <v>3</v>
      </c>
      <c r="DX51" s="34">
        <f>IF(AND(ISNUMBER(DY51),ISNUMBER(DW51)),DY51-DW51,"")</f>
        <v>0</v>
      </c>
      <c r="DY51" s="33">
        <v>0</v>
      </c>
      <c r="DZ51" s="34">
        <f>IF(AND(ISNUMBER(EA51),ISNUMBER(DY51)),EA51-DY51,"")</f>
        <v>0</v>
      </c>
      <c r="EA51" s="33">
        <v>2</v>
      </c>
      <c r="EB51" s="34">
        <f>IF(AND(ISNUMBER(EC51),ISNUMBER(EA51)),EC51-EA51,"")</f>
        <v>0</v>
      </c>
      <c r="EC51" s="33">
        <v>2</v>
      </c>
      <c r="ED51" s="34">
        <f>IF(AND(ISNUMBER(EE51),ISNUMBER(EC51)),EE51-EC51,"")</f>
        <v>0</v>
      </c>
      <c r="EE51" s="33">
        <v>1</v>
      </c>
      <c r="EF51" s="34">
        <f>IF(AND(ISNUMBER(EG51),ISNUMBER(EE51)),EG51-EE51,"")</f>
        <v>0</v>
      </c>
      <c r="EG51" s="33">
        <v>3</v>
      </c>
      <c r="EH51" s="34">
        <f>IF(AND(ISNUMBER(EI51),ISNUMBER(EG51)),EI51-EG51,"")</f>
        <v>0</v>
      </c>
      <c r="EI51" s="33">
        <v>1</v>
      </c>
      <c r="EJ51" s="34">
        <f>IF(AND(ISNUMBER(EK51),ISNUMBER(EI51)),EK51-EI51,"")</f>
        <v>0</v>
      </c>
      <c r="EK51" s="33">
        <v>1</v>
      </c>
      <c r="EL51" s="34">
        <f>IF(AND(ISNUMBER(EM51),ISNUMBER(EK51)),EM51-EK51,"")</f>
        <v>0</v>
      </c>
      <c r="EM51" s="33">
        <v>2</v>
      </c>
      <c r="EN51" s="34">
        <f>IF(AND(ISNUMBER(EO51),ISNUMBER(EM51)),EO51-EM51,"")</f>
        <v>0</v>
      </c>
      <c r="EO51" s="33">
        <v>1</v>
      </c>
      <c r="EP51" s="34">
        <f>IF(AND(ISNUMBER(EQ51),ISNUMBER(EO51)),EQ51-EO51,"")</f>
        <v>0</v>
      </c>
      <c r="EQ51" s="33">
        <v>3</v>
      </c>
      <c r="ER51" s="34">
        <f>IF(AND(ISNUMBER(ES51),ISNUMBER(EQ51)),ES51-EQ51,"")</f>
        <v>0</v>
      </c>
      <c r="ES51" s="33"/>
      <c r="ET51" s="34">
        <f>IF(AND(ISNUMBER(EU51),ISNUMBER(ES51)),EU51-ES51,"")</f>
        <v>0</v>
      </c>
      <c r="EU51" s="33">
        <v>1</v>
      </c>
      <c r="EV51" s="34">
        <f>IF(AND(ISNUMBER(EW51),ISNUMBER(EU51)),EW51-EU51,"")</f>
        <v>0</v>
      </c>
      <c r="EW51" s="33"/>
      <c r="EX51" s="34">
        <f>IF(AND(ISNUMBER(EY51),ISNUMBER(EW51)),EY51-EW51,"")</f>
        <v>0</v>
      </c>
      <c r="EY51" s="33">
        <v>2</v>
      </c>
      <c r="EZ51" s="34">
        <f>IF(AND(ISNUMBER(FA51),ISNUMBER(EY51)),FA51-EY51,"")</f>
        <v>0</v>
      </c>
      <c r="FA51" s="33"/>
      <c r="FB51" s="34">
        <f>IF(AND(ISNUMBER(FC51),ISNUMBER(FA51)),FC51-FA51,"")</f>
        <v>0</v>
      </c>
      <c r="FC51" s="33"/>
      <c r="FD51" s="34">
        <f>IF(AND(ISNUMBER(FE51),ISNUMBER(FC51)),FE51-FC51,"")</f>
        <v>0</v>
      </c>
      <c r="FE51" s="33"/>
      <c r="FF51" s="34">
        <f>IF(AND(ISNUMBER(FG51),ISNUMBER(FE51)),FG51-FE51,"")</f>
        <v>0</v>
      </c>
      <c r="FG51" s="33"/>
      <c r="FH51" s="34">
        <f>IF(AND(ISNUMBER(FI51),ISNUMBER(FG51)),FI51-FG51,"")</f>
        <v>0</v>
      </c>
      <c r="FI51" s="33"/>
      <c r="FJ51" s="34">
        <f>IF(AND(ISNUMBER(FK51),ISNUMBER(FI51)),FK51-FI51,"")</f>
        <v>0</v>
      </c>
      <c r="FK51" s="33"/>
      <c r="FL51" s="34">
        <f>IF(AND(ISNUMBER(FM51),ISNUMBER(FK51)),FM51-FK51,"")</f>
        <v>0</v>
      </c>
      <c r="FM51" s="33"/>
      <c r="FN51" s="34">
        <f>IF(AND(ISNUMBER(FO51),ISNUMBER(FM51)),FO51-FM51,"")</f>
        <v>0</v>
      </c>
      <c r="FO51" s="33"/>
      <c r="FP51" s="34">
        <f>IF(AND(ISNUMBER(FQ51),ISNUMBER(FO51)),FQ51-FO51,"")</f>
        <v>0</v>
      </c>
      <c r="FQ51" s="33"/>
      <c r="FR51" s="34">
        <f>IF(AND(ISNUMBER(FS51),ISNUMBER(FQ51)),FS51-FQ51,"")</f>
        <v>0</v>
      </c>
      <c r="FS51" s="33"/>
      <c r="FT51" s="34">
        <f>IF(AND(ISNUMBER(FU51),ISNUMBER(FS51)),FU51-FS51,"")</f>
        <v>0</v>
      </c>
      <c r="FU51" s="33"/>
      <c r="FV51" s="34">
        <f>IF(AND(ISNUMBER(FW51),ISNUMBER(FU51)),FW51-FU51,"")</f>
        <v>0</v>
      </c>
      <c r="FW51" s="33"/>
      <c r="FX51" s="34">
        <f>IF(AND(ISNUMBER(FY51),ISNUMBER(FW51)),FY51-FW51,"")</f>
        <v>0</v>
      </c>
      <c r="FY51" s="33"/>
      <c r="FZ51" s="34">
        <f>IF(AND(ISNUMBER(GA51),ISNUMBER(FY51)),GA51-FY51,"")</f>
        <v>0</v>
      </c>
      <c r="GA51" s="33"/>
      <c r="GB51" s="34">
        <f>IF(AND(ISNUMBER(GC51),ISNUMBER(GA51)),GC51-GA51,"")</f>
        <v>0</v>
      </c>
      <c r="GC51" s="33"/>
      <c r="GD51" s="34">
        <f>IF(AND(ISNUMBER(GE51),ISNUMBER(GC51)),GE51-GC51,"")</f>
        <v>0</v>
      </c>
      <c r="GE51" s="33"/>
      <c r="GF51" s="34">
        <f>IF(AND(ISNUMBER(GG51),ISNUMBER(GE51)),GG51-GE51,"")</f>
        <v>0</v>
      </c>
      <c r="GG51" s="33"/>
      <c r="GH51" s="34">
        <f>IF(AND(ISNUMBER(GI51),ISNUMBER(GG51)),GI51-GG51,"")</f>
        <v>0</v>
      </c>
      <c r="GI51" s="33"/>
      <c r="GJ51" s="34">
        <f>IF(AND(ISNUMBER(GK51),ISNUMBER(GI51)),GK51-GI51,"")</f>
        <v>0</v>
      </c>
      <c r="GK51" s="33"/>
      <c r="GL51" s="34">
        <f>IF(AND(ISNUMBER(GM51),ISNUMBER(GK51)),GM51-GK51,"")</f>
        <v>0</v>
      </c>
      <c r="GM51" s="33"/>
      <c r="GN51" s="34">
        <f>IF(AND(ISNUMBER(GO51),ISNUMBER(GM51)),GO51-GM51,"")</f>
        <v>0</v>
      </c>
      <c r="GO51" s="33"/>
      <c r="GP51" s="34">
        <f>IF(AND(ISNUMBER(GQ51),ISNUMBER(GO51)),GQ51-GO51,"")</f>
        <v>0</v>
      </c>
      <c r="GQ51" s="33"/>
      <c r="GR51" s="34">
        <f>IF(AND(ISNUMBER(GS51),ISNUMBER(GQ51)),GS51-GQ51,"")</f>
        <v>0</v>
      </c>
      <c r="GS51" s="33"/>
      <c r="GT51" s="34">
        <f>IF(AND(ISNUMBER(GU51),ISNUMBER(GS51)),GU51-GS51,"")</f>
        <v>0</v>
      </c>
      <c r="GU51" s="33"/>
      <c r="GV51" s="34">
        <f>IF(AND(ISNUMBER(GW51),ISNUMBER(GU51)),GW51-GU51,"")</f>
        <v>0</v>
      </c>
      <c r="GW51" s="33"/>
      <c r="GX51" s="34">
        <f>IF(AND(ISNUMBER(GY51),ISNUMBER(GW51)),GY51-GW51,"")</f>
        <v>0</v>
      </c>
      <c r="GY51" s="33"/>
      <c r="GZ51" s="34">
        <f>IF(AND(ISNUMBER(HA51),ISNUMBER(GY51)),HA51-GY51,"")</f>
        <v>0</v>
      </c>
      <c r="HA51" s="33"/>
      <c r="HB51" s="34">
        <f>IF(AND(ISNUMBER(HC51),ISNUMBER(HA51)),HC51-HA51,"")</f>
        <v>0</v>
      </c>
      <c r="HC51" s="33"/>
      <c r="HD51" s="34">
        <f>IF(AND(ISNUMBER(HE51),ISNUMBER(HC51)),HE51-HC51,"")</f>
        <v>0</v>
      </c>
      <c r="HE51" s="33"/>
      <c r="HF51" s="34">
        <f>IF(AND(ISNUMBER(HG51),ISNUMBER(HE51)),HG51-HE51,"")</f>
        <v>0</v>
      </c>
      <c r="HG51" s="33"/>
      <c r="HH51" s="34">
        <f>IF(AND(ISNUMBER(HI51),ISNUMBER(HG51)),HI51-HG51,"")</f>
        <v>0</v>
      </c>
      <c r="HI51" s="33"/>
      <c r="HJ51" s="34">
        <f>IF(AND(ISNUMBER(HK51),ISNUMBER(HI51)),HK51-HI51,"")</f>
        <v>0</v>
      </c>
      <c r="HK51" s="33"/>
      <c r="HL51" s="34">
        <f>IF(AND(ISNUMBER(HM51),ISNUMBER(HK51)),HM51-HK51,"")</f>
        <v>0</v>
      </c>
      <c r="HM51" s="33"/>
      <c r="HN51" s="34">
        <f>IF(AND(ISNUMBER(HO51),ISNUMBER(HM51)),HO51-HM51,"")</f>
        <v>0</v>
      </c>
      <c r="HO51" s="33"/>
      <c r="HP51" s="34">
        <f>IF(AND(ISNUMBER(HQ51),ISNUMBER(HO51)),HQ51-HO51,"")</f>
        <v>0</v>
      </c>
      <c r="HQ51" s="33"/>
      <c r="HR51" s="34">
        <f>IF(AND(ISNUMBER(HS51),ISNUMBER(HQ51)),HS51-HQ51,"")</f>
        <v>0</v>
      </c>
      <c r="HS51" s="33"/>
      <c r="HT51" s="34">
        <f>IF(AND(ISNUMBER(HU51),ISNUMBER(HS51)),HU51-HS51,"")</f>
        <v>0</v>
      </c>
      <c r="HU51" s="33"/>
      <c r="HV51" s="34">
        <f>IF(AND(ISNUMBER(HW51),ISNUMBER(HU51)),HW51-HU51,"")</f>
        <v>0</v>
      </c>
      <c r="HW51" s="33"/>
      <c r="HX51" s="34">
        <f>IF(AND(ISNUMBER(HY51),ISNUMBER(HW51)),HY51-HW51,"")</f>
        <v>0</v>
      </c>
      <c r="HY51" s="33"/>
      <c r="HZ51" s="34">
        <f>IF(AND(ISNUMBER(IA51),ISNUMBER(HY51)),IA51-HY51,"")</f>
        <v>0</v>
      </c>
      <c r="IA51" s="33"/>
      <c r="IB51" s="34">
        <f>IF(AND(ISNUMBER(IC51),ISNUMBER(IA51)),IC51-IA51,"")</f>
        <v>0</v>
      </c>
      <c r="IC51" s="33"/>
      <c r="ID51" s="34">
        <f>IF(AND(ISNUMBER(IE51),ISNUMBER(IC51)),IE51-IC51,"")</f>
        <v>0</v>
      </c>
      <c r="IE51" s="33"/>
      <c r="IF51" s="34">
        <f>IF(AND(ISNUMBER(IG51),ISNUMBER(IE51)),IG51-IE51,"")</f>
        <v>0</v>
      </c>
      <c r="IG51" s="33"/>
      <c r="IH51" s="34">
        <f>IF(AND(ISNUMBER(II51),ISNUMBER(IG51)),II51-IG51,"")</f>
        <v>0</v>
      </c>
      <c r="II51" s="33"/>
      <c r="IJ51" s="34">
        <f>IF(AND(ISNUMBER(IK51),ISNUMBER(II51)),IK51-II51,"")</f>
        <v>0</v>
      </c>
      <c r="IK51" s="33"/>
      <c r="IL51" s="34">
        <f>IF(AND(ISNUMBER(IM51),ISNUMBER(IK51)),IM51-IK51,"")</f>
        <v>0</v>
      </c>
      <c r="IM51" s="33"/>
      <c r="IN51" s="34">
        <f>IF(AND(ISNUMBER(IO51),ISNUMBER(IM51)),IO51-IM51,"")</f>
        <v>0</v>
      </c>
      <c r="IO51" s="33"/>
      <c r="IP51" s="34">
        <f>IF(AND(ISNUMBER(IQ51),ISNUMBER(IO51)),IQ51-IO51,"")</f>
        <v>0</v>
      </c>
      <c r="IQ51" s="33"/>
      <c r="IR51" s="34">
        <f>IF(AND(ISNUMBER(IS51),ISNUMBER(IQ51)),IS51-IQ51,"")</f>
        <v>0</v>
      </c>
      <c r="IS51" s="33"/>
      <c r="IT51" s="34">
        <f>IF(AND(ISNUMBER(IU51),ISNUMBER(IS51)),IU51-IS51,"")</f>
        <v>0</v>
      </c>
      <c r="IU51" s="33"/>
      <c r="IV51" s="34">
        <f>IF(AND(ISNUMBER(IW51),ISNUMBER(IU51)),IW51-IU51,"")</f>
        <v>0</v>
      </c>
      <c r="IW51" s="33"/>
      <c r="IX51" s="34">
        <f>IF(AND(ISNUMBER(IY51),ISNUMBER(IW51)),IY51-IW51,"")</f>
        <v>0</v>
      </c>
      <c r="IY51" s="33"/>
      <c r="IZ51" s="34">
        <f>IF(AND(ISNUMBER(JA51),ISNUMBER(IY51)),JA51-IY51,"")</f>
        <v>0</v>
      </c>
      <c r="JA51" s="33"/>
      <c r="JB51" s="34">
        <f>IF(AND(ISNUMBER(JC51),ISNUMBER(JA51)),JC51-JA51,"")</f>
        <v>0</v>
      </c>
      <c r="JC51" s="33"/>
      <c r="JD51" s="34">
        <f>IF(AND(ISNUMBER(JE51),ISNUMBER(JC51)),JE51-JC51,"")</f>
        <v>0</v>
      </c>
      <c r="JE51" s="33"/>
      <c r="JF51" s="34">
        <f>IF(AND(ISNUMBER(JG51),ISNUMBER(JE51)),JG51-JE51,"")</f>
        <v>0</v>
      </c>
      <c r="JG51" s="33"/>
      <c r="JH51" s="34">
        <f>IF(AND(ISNUMBER(JI51),ISNUMBER(JG51)),JI51-JG51,"")</f>
        <v>0</v>
      </c>
      <c r="JI51" s="33"/>
      <c r="JJ51" s="34">
        <f>IF(AND(ISNUMBER(JK51),ISNUMBER(JI51)),JK51-JI51,"")</f>
        <v>0</v>
      </c>
      <c r="JK51" s="33"/>
      <c r="JL51" s="34">
        <f>IF(AND(ISNUMBER(JM51),ISNUMBER(JK51)),JM51-JK51,"")</f>
        <v>0</v>
      </c>
      <c r="JM51" s="33"/>
      <c r="JN51" s="34">
        <f>IF(AND(ISNUMBER(JO51),ISNUMBER(JM51)),JO51-JM51,"")</f>
        <v>0</v>
      </c>
      <c r="JO51" s="33"/>
      <c r="JP51" s="34">
        <f>IF(AND(ISNUMBER(JQ51),ISNUMBER(JO51)),JQ51-JO51,"")</f>
        <v>0</v>
      </c>
      <c r="JQ51" s="33"/>
      <c r="JR51" s="34">
        <f>IF(AND(ISNUMBER(JS51),ISNUMBER(JQ51)),JS51-JQ51,"")</f>
        <v>0</v>
      </c>
      <c r="JS51" s="33"/>
      <c r="JT51" s="34">
        <f>IF(AND(ISNUMBER(JU51),ISNUMBER(JS51)),JU51-JS51,"")</f>
        <v>0</v>
      </c>
      <c r="JU51" s="33"/>
      <c r="JV51" s="34">
        <f>IF(AND(ISNUMBER(JW51),ISNUMBER(JU51)),JW51-JU51,"")</f>
        <v>0</v>
      </c>
      <c r="JW51" s="33"/>
      <c r="JX51" s="34">
        <f>IF(AND(ISNUMBER(JY51),ISNUMBER(JW51)),JY51-JW51,"")</f>
        <v>0</v>
      </c>
      <c r="JY51" s="33"/>
      <c r="JZ51" s="34">
        <f>IF(AND(ISNUMBER(KA51),ISNUMBER(JY51)),KA51-JY51,"")</f>
        <v>0</v>
      </c>
      <c r="KA51" s="33"/>
      <c r="KB51" s="34">
        <f>IF(AND(ISNUMBER(KC51),ISNUMBER(KA51)),KC51-KA51,"")</f>
        <v>0</v>
      </c>
      <c r="KC51" s="33"/>
      <c r="KD51" s="34">
        <f>IF(AND(ISNUMBER(KE51),ISNUMBER(KC51)),KE51-KC51,"")</f>
        <v>0</v>
      </c>
      <c r="KE51" s="33"/>
      <c r="KF51" s="34">
        <f>IF(AND(ISNUMBER(KG51),ISNUMBER(KE51)),KG51-KE51,"")</f>
        <v>0</v>
      </c>
      <c r="KG51" s="33"/>
      <c r="KH51" s="34">
        <f>IF(AND(ISNUMBER(KI51),ISNUMBER(KG51)),KI51-KG51,"")</f>
        <v>0</v>
      </c>
      <c r="KI51" s="33"/>
      <c r="KJ51" s="34">
        <f>IF(AND(ISNUMBER(KK51),ISNUMBER(KI51)),KK51-KI51,"")</f>
        <v>0</v>
      </c>
      <c r="KK51" s="33"/>
      <c r="KL51" s="34">
        <f>IF(AND(ISNUMBER(KM51),ISNUMBER(KK51)),KM51-KK51,"")</f>
        <v>0</v>
      </c>
      <c r="KM51" s="33"/>
      <c r="KN51" s="34">
        <f>IF(AND(ISNUMBER(KO51),ISNUMBER(KM51)),KO51-KM51,"")</f>
        <v>0</v>
      </c>
      <c r="KO51" s="33"/>
      <c r="KP51" s="34">
        <f>IF(AND(ISNUMBER(KQ51),ISNUMBER(KO51)),KQ51-KO51,"")</f>
        <v>0</v>
      </c>
      <c r="KQ51" s="33"/>
      <c r="KR51" s="34">
        <f>IF(AND(ISNUMBER(KS51),ISNUMBER(KQ51)),KS51-KQ51,"")</f>
        <v>0</v>
      </c>
      <c r="KS51" s="33"/>
      <c r="KT51" s="34">
        <f>IF(AND(ISNUMBER(KU51),ISNUMBER(KS51)),KU51-KS51,"")</f>
        <v>0</v>
      </c>
      <c r="KU51" s="33"/>
      <c r="KV51" s="34">
        <f>IF(AND(ISNUMBER(KW51),ISNUMBER(KU51)),KW51-KU51,"")</f>
        <v>0</v>
      </c>
      <c r="KW51" s="33"/>
      <c r="KX51" s="34">
        <f>IF(AND(ISNUMBER(KY51),ISNUMBER(KW51)),KY51-KW51,"")</f>
        <v>0</v>
      </c>
      <c r="KY51" s="33"/>
      <c r="KZ51" s="34">
        <f>IF(AND(ISNUMBER(LA51),ISNUMBER(KY51)),LA51-KY51,"")</f>
        <v>0</v>
      </c>
      <c r="LA51" s="33"/>
      <c r="LB51" s="34">
        <f>IF(AND(ISNUMBER(LC51),ISNUMBER(LA51)),LC51-LA51,"")</f>
        <v>0</v>
      </c>
      <c r="LC51" s="33"/>
      <c r="LD51" s="34">
        <f>IF(AND(ISNUMBER(LE51),ISNUMBER(LC51)),LE51-LC51,"")</f>
        <v>0</v>
      </c>
      <c r="LE51" s="33"/>
      <c r="LF51" s="34">
        <f>IF(AND(ISNUMBER(LG51),ISNUMBER(LE51)),LG51-LE51,"")</f>
        <v>0</v>
      </c>
      <c r="LG51" s="33"/>
      <c r="LJ51" s="35" t="s">
        <v>1100</v>
      </c>
    </row>
    <row r="52" spans="1:322" hidden="1" outlineLevel="1">
      <c r="B52" s="23"/>
      <c r="D52" s="31" t="s">
        <v>721</v>
      </c>
      <c r="E52" s="32" t="s">
        <v>1054</v>
      </c>
      <c r="I52" s="40" t="s">
        <v>1078</v>
      </c>
      <c r="J52" s="34">
        <f>IF(AND(ISNUMBER(K52),ISNUMBER(I52)),K52-I52,"")</f>
        <v>0</v>
      </c>
      <c r="K52" s="40" t="s">
        <v>1078</v>
      </c>
      <c r="L52" s="34">
        <f>IF(AND(ISNUMBER(M52),ISNUMBER(K52)),M52-K52,"")</f>
        <v>0</v>
      </c>
      <c r="M52" s="40" t="s">
        <v>1078</v>
      </c>
      <c r="N52" s="34">
        <f>IF(AND(ISNUMBER(O52),ISNUMBER(M52)),O52-M52,"")</f>
        <v>0</v>
      </c>
      <c r="O52" s="40" t="s">
        <v>1078</v>
      </c>
      <c r="P52" s="34">
        <f>IF(AND(ISNUMBER(Q52),ISNUMBER(O52)),Q52-O52,"")</f>
        <v>0</v>
      </c>
      <c r="Q52" s="40" t="s">
        <v>1078</v>
      </c>
      <c r="R52" s="34">
        <f>IF(AND(ISNUMBER(S52),ISNUMBER(Q52)),S52-Q52,"")</f>
        <v>0</v>
      </c>
      <c r="S52" s="40" t="s">
        <v>1078</v>
      </c>
      <c r="T52" s="34">
        <f>IF(AND(ISNUMBER(U52),ISNUMBER(S52)),U52-S52,"")</f>
        <v>0</v>
      </c>
      <c r="U52" s="40" t="s">
        <v>1078</v>
      </c>
      <c r="V52" s="34">
        <f>IF(AND(ISNUMBER(W52),ISNUMBER(U52)),W52-U52,"")</f>
        <v>0</v>
      </c>
      <c r="W52" s="40" t="s">
        <v>1078</v>
      </c>
      <c r="X52" s="34">
        <f>IF(AND(ISNUMBER(Y52),ISNUMBER(W52)),Y52-W52,"")</f>
        <v>0</v>
      </c>
      <c r="Y52" s="40" t="s">
        <v>1078</v>
      </c>
      <c r="Z52" s="34">
        <f>IF(AND(ISNUMBER(AA52),ISNUMBER(Y52)),AA52-Y52,"")</f>
        <v>0</v>
      </c>
      <c r="AA52" s="40" t="s">
        <v>1078</v>
      </c>
      <c r="AB52" s="34">
        <f>IF(AND(ISNUMBER(AC52),ISNUMBER(AA52)),AC52-AA52,"")</f>
        <v>0</v>
      </c>
      <c r="AC52" s="40" t="s">
        <v>1078</v>
      </c>
      <c r="AD52" s="34">
        <f>IF(AND(ISNUMBER(AE52),ISNUMBER(AC52)),AE52-AC52,"")</f>
        <v>0</v>
      </c>
      <c r="AE52" s="40" t="s">
        <v>1078</v>
      </c>
      <c r="AF52" s="34">
        <f>IF(AND(ISNUMBER(AG52),ISNUMBER(AE52)),AG52-AE52,"")</f>
        <v>0</v>
      </c>
      <c r="AG52" s="40" t="s">
        <v>1078</v>
      </c>
      <c r="AH52" s="34">
        <f>IF(AND(ISNUMBER(AI52),ISNUMBER(AG52)),AI52-AG52,"")</f>
        <v>0</v>
      </c>
      <c r="AI52" s="40" t="s">
        <v>1078</v>
      </c>
      <c r="AJ52" s="34">
        <f>IF(AND(ISNUMBER(AK52),ISNUMBER(AI52)),AK52-AI52,"")</f>
        <v>0</v>
      </c>
      <c r="AK52" s="40" t="s">
        <v>1078</v>
      </c>
      <c r="AL52" s="34">
        <f>IF(AND(ISNUMBER(AM52),ISNUMBER(AK52)),AM52-AK52,"")</f>
        <v>0</v>
      </c>
      <c r="AM52" s="40" t="s">
        <v>1078</v>
      </c>
      <c r="AN52" s="34">
        <f>IF(AND(ISNUMBER(AO52),ISNUMBER(AM52)),AO52-AM52,"")</f>
        <v>0</v>
      </c>
      <c r="AO52" s="40" t="s">
        <v>1078</v>
      </c>
      <c r="AP52" s="34">
        <f>IF(AND(ISNUMBER(AQ52),ISNUMBER(AO52)),AQ52-AO52,"")</f>
        <v>0</v>
      </c>
      <c r="AQ52" s="40" t="s">
        <v>1078</v>
      </c>
      <c r="AR52" s="34">
        <f>IF(AND(ISNUMBER(AS52),ISNUMBER(AQ52)),AS52-AQ52,"")</f>
        <v>0</v>
      </c>
      <c r="AS52" s="33">
        <v>4</v>
      </c>
      <c r="AT52" s="34">
        <f>IF(AND(ISNUMBER(AU52),ISNUMBER(AS52)),AU52-AS52,"")</f>
        <v>0</v>
      </c>
      <c r="AU52" s="33">
        <v>6</v>
      </c>
      <c r="AV52" s="34">
        <f>IF(AND(ISNUMBER(AW52),ISNUMBER(AU52)),AW52-AU52,"")</f>
        <v>0</v>
      </c>
      <c r="AW52" s="33">
        <v>9</v>
      </c>
      <c r="AX52" s="34">
        <f>IF(AND(ISNUMBER(AY52),ISNUMBER(AW52)),AY52-AW52,"")</f>
        <v>0</v>
      </c>
      <c r="AY52" s="33">
        <v>2</v>
      </c>
      <c r="AZ52" s="34">
        <f>IF(AND(ISNUMBER(BA52),ISNUMBER(AY52)),BA52-AY52,"")</f>
        <v>0</v>
      </c>
      <c r="BA52" s="33">
        <v>7</v>
      </c>
      <c r="BB52" s="34">
        <f>IF(AND(ISNUMBER(BC52),ISNUMBER(BA52)),BC52-BA52,"")</f>
        <v>0</v>
      </c>
      <c r="BC52" s="33">
        <v>4</v>
      </c>
      <c r="BD52" s="34">
        <f>IF(AND(ISNUMBER(BE52),ISNUMBER(BC52)),BE52-BC52,"")</f>
        <v>0</v>
      </c>
      <c r="BE52" s="33">
        <v>8</v>
      </c>
      <c r="BF52" s="34">
        <f>IF(AND(ISNUMBER(BG52),ISNUMBER(BE52)),BG52-BE52,"")</f>
        <v>0</v>
      </c>
      <c r="BG52" s="33">
        <v>5</v>
      </c>
      <c r="BH52" s="34">
        <f>IF(AND(ISNUMBER(BI52),ISNUMBER(BG52)),BI52-BG52,"")</f>
        <v>0</v>
      </c>
      <c r="BI52" s="33">
        <v>3</v>
      </c>
      <c r="BJ52" s="34">
        <f>IF(AND(ISNUMBER(BK52),ISNUMBER(BI52)),BK52-BI52,"")</f>
        <v>0</v>
      </c>
      <c r="BK52" s="33">
        <v>2</v>
      </c>
      <c r="BL52" s="34">
        <f>IF(AND(ISNUMBER(BM52),ISNUMBER(BK52)),BM52-BK52,"")</f>
        <v>0</v>
      </c>
      <c r="BM52" s="33">
        <v>5</v>
      </c>
      <c r="BN52" s="34">
        <f>IF(AND(ISNUMBER(BO52),ISNUMBER(BM52)),BO52-BM52,"")</f>
        <v>0</v>
      </c>
      <c r="BO52" s="33">
        <v>3</v>
      </c>
      <c r="BP52" s="34">
        <f>IF(AND(ISNUMBER(BQ52),ISNUMBER(BO52)),BQ52-BO52,"")</f>
        <v>0</v>
      </c>
      <c r="BQ52" s="33">
        <v>5</v>
      </c>
      <c r="BR52" s="34">
        <f>IF(AND(ISNUMBER(BS52),ISNUMBER(BQ52)),BS52-BQ52,"")</f>
        <v>0</v>
      </c>
      <c r="BS52" s="33">
        <v>9</v>
      </c>
      <c r="BT52" s="34">
        <f>IF(AND(ISNUMBER(BU52),ISNUMBER(BS52)),BU52-BS52,"")</f>
        <v>0</v>
      </c>
      <c r="BU52" s="33">
        <v>0</v>
      </c>
      <c r="BV52" s="34">
        <f>IF(AND(ISNUMBER(BW52),ISNUMBER(BU52)),BW52-BU52,"")</f>
        <v>0</v>
      </c>
      <c r="BW52" s="33">
        <v>2</v>
      </c>
      <c r="BX52" s="34">
        <f>IF(AND(ISNUMBER(BY52),ISNUMBER(BW52)),BY52-BW52,"")</f>
        <v>0</v>
      </c>
      <c r="BY52" s="33">
        <v>12</v>
      </c>
      <c r="BZ52" s="34">
        <f>IF(AND(ISNUMBER(CA52),ISNUMBER(BY52)),CA52-BY52,"")</f>
        <v>0</v>
      </c>
      <c r="CA52" s="33">
        <v>34</v>
      </c>
      <c r="CB52" s="34">
        <f>IF(AND(ISNUMBER(CC52),ISNUMBER(CA52)),CC52-CA52,"")</f>
        <v>0</v>
      </c>
      <c r="CC52" s="33">
        <v>12</v>
      </c>
      <c r="CD52" s="34">
        <f>IF(AND(ISNUMBER(CE52),ISNUMBER(CC52)),CE52-CC52,"")</f>
        <v>0</v>
      </c>
      <c r="CE52" s="33">
        <v>7</v>
      </c>
      <c r="CF52" s="34">
        <f>IF(AND(ISNUMBER(CG52),ISNUMBER(CE52)),CG52-CE52,"")</f>
        <v>0</v>
      </c>
      <c r="CG52" s="33">
        <v>12</v>
      </c>
      <c r="CH52" s="34">
        <f>IF(AND(ISNUMBER(CI52),ISNUMBER(CG52)),CI52-CG52,"")</f>
        <v>0</v>
      </c>
      <c r="CI52" s="33">
        <v>2</v>
      </c>
      <c r="CJ52" s="34">
        <f>IF(AND(ISNUMBER(CK52),ISNUMBER(CI52)),CK52-CI52,"")</f>
        <v>0</v>
      </c>
      <c r="CK52" s="33">
        <v>12</v>
      </c>
      <c r="CL52" s="34">
        <f>IF(AND(ISNUMBER(CM52),ISNUMBER(CK52)),CM52-CK52,"")</f>
        <v>0</v>
      </c>
      <c r="CM52" s="33">
        <v>12</v>
      </c>
      <c r="CN52" s="34">
        <f>IF(AND(ISNUMBER(CO52),ISNUMBER(CM52)),CO52-CM52,"")</f>
        <v>0</v>
      </c>
      <c r="CO52" s="33">
        <v>12</v>
      </c>
      <c r="CP52" s="34">
        <f>IF(AND(ISNUMBER(CQ52),ISNUMBER(CO52)),CQ52-CO52,"")</f>
        <v>0</v>
      </c>
      <c r="CQ52" s="33">
        <v>23</v>
      </c>
      <c r="CR52" s="34">
        <f>IF(AND(ISNUMBER(CS52),ISNUMBER(CQ52)),CS52-CQ52,"")</f>
        <v>0</v>
      </c>
      <c r="CS52" s="33">
        <v>5</v>
      </c>
      <c r="CT52" s="34">
        <f>IF(AND(ISNUMBER(CU52),ISNUMBER(CS52)),CU52-CS52,"")</f>
        <v>0</v>
      </c>
      <c r="CU52" s="33">
        <v>12</v>
      </c>
      <c r="CV52" s="34">
        <f>IF(AND(ISNUMBER(CW52),ISNUMBER(CU52)),CW52-CU52,"")</f>
        <v>0</v>
      </c>
      <c r="CW52" s="33">
        <v>23</v>
      </c>
      <c r="CX52" s="34">
        <f>IF(AND(ISNUMBER(CY52),ISNUMBER(CW52)),CY52-CW52,"")</f>
        <v>0</v>
      </c>
      <c r="CY52" s="33">
        <v>23</v>
      </c>
      <c r="CZ52" s="34">
        <f>IF(AND(ISNUMBER(DA52),ISNUMBER(CY52)),DA52-CY52,"")</f>
        <v>0</v>
      </c>
      <c r="DA52" s="33"/>
      <c r="DB52" s="34">
        <f>IF(AND(ISNUMBER(DC52),ISNUMBER(DA52)),DC52-DA52,"")</f>
        <v>0</v>
      </c>
      <c r="DC52" s="33"/>
      <c r="DD52" s="34">
        <f>IF(AND(ISNUMBER(DE52),ISNUMBER(DC52)),DE52-DC52,"")</f>
        <v>0</v>
      </c>
      <c r="DE52" s="33"/>
      <c r="DF52" s="34">
        <f>IF(AND(ISNUMBER(DG52),ISNUMBER(DE52)),DG52-DE52,"")</f>
        <v>0</v>
      </c>
      <c r="DG52" s="33">
        <v>4</v>
      </c>
      <c r="DH52" s="34">
        <f>IF(AND(ISNUMBER(DI52),ISNUMBER(DG52)),DI52-DG52,"")</f>
        <v>0</v>
      </c>
      <c r="DI52" s="33">
        <v>0</v>
      </c>
      <c r="DJ52" s="34">
        <f>IF(AND(ISNUMBER(DK52),ISNUMBER(DI52)),DK52-DI52,"")</f>
        <v>0</v>
      </c>
      <c r="DK52" s="33"/>
      <c r="DL52" s="34">
        <f>IF(AND(ISNUMBER(DM52),ISNUMBER(DK52)),DM52-DK52,"")</f>
        <v>0</v>
      </c>
      <c r="DM52" s="33"/>
      <c r="DN52" s="34">
        <f>IF(AND(ISNUMBER(DO52),ISNUMBER(DM52)),DO52-DM52,"")</f>
        <v>0</v>
      </c>
      <c r="DO52" s="33"/>
      <c r="DP52" s="34">
        <f>IF(AND(ISNUMBER(DQ52),ISNUMBER(DO52)),DQ52-DO52,"")</f>
        <v>0</v>
      </c>
      <c r="DQ52" s="33"/>
      <c r="DR52" s="34">
        <f>IF(AND(ISNUMBER(DS52),ISNUMBER(DQ52)),DS52-DQ52,"")</f>
        <v>0</v>
      </c>
      <c r="DS52" s="33"/>
      <c r="DT52" s="34">
        <f>IF(AND(ISNUMBER(DU52),ISNUMBER(DS52)),DU52-DS52,"")</f>
        <v>0</v>
      </c>
      <c r="DU52" s="33">
        <v>18</v>
      </c>
      <c r="DV52" s="34">
        <f>IF(AND(ISNUMBER(DW52),ISNUMBER(DU52)),DW52-DU52,"")</f>
        <v>0</v>
      </c>
      <c r="DW52" s="33"/>
      <c r="DX52" s="34">
        <f>IF(AND(ISNUMBER(DY52),ISNUMBER(DW52)),DY52-DW52,"")</f>
        <v>0</v>
      </c>
      <c r="DY52" s="33"/>
      <c r="DZ52" s="34">
        <f>IF(AND(ISNUMBER(EA52),ISNUMBER(DY52)),EA52-DY52,"")</f>
        <v>0</v>
      </c>
      <c r="EA52" s="33"/>
      <c r="EB52" s="34">
        <f>IF(AND(ISNUMBER(EC52),ISNUMBER(EA52)),EC52-EA52,"")</f>
        <v>0</v>
      </c>
      <c r="EC52" s="33"/>
      <c r="ED52" s="34">
        <f>IF(AND(ISNUMBER(EE52),ISNUMBER(EC52)),EE52-EC52,"")</f>
        <v>0</v>
      </c>
      <c r="EE52" s="33"/>
      <c r="EF52" s="34">
        <f>IF(AND(ISNUMBER(EG52),ISNUMBER(EE52)),EG52-EE52,"")</f>
        <v>0</v>
      </c>
      <c r="EG52" s="33"/>
      <c r="EH52" s="34">
        <f>IF(AND(ISNUMBER(EI52),ISNUMBER(EG52)),EI52-EG52,"")</f>
        <v>0</v>
      </c>
      <c r="EI52" s="33"/>
      <c r="EJ52" s="34">
        <f>IF(AND(ISNUMBER(EK52),ISNUMBER(EI52)),EK52-EI52,"")</f>
        <v>0</v>
      </c>
      <c r="EK52" s="33"/>
      <c r="EL52" s="34">
        <f>IF(AND(ISNUMBER(EM52),ISNUMBER(EK52)),EM52-EK52,"")</f>
        <v>0</v>
      </c>
      <c r="EM52" s="33"/>
      <c r="EN52" s="34">
        <f>IF(AND(ISNUMBER(EO52),ISNUMBER(EM52)),EO52-EM52,"")</f>
        <v>0</v>
      </c>
      <c r="EO52" s="33"/>
      <c r="EP52" s="34">
        <f>IF(AND(ISNUMBER(EQ52),ISNUMBER(EO52)),EQ52-EO52,"")</f>
        <v>0</v>
      </c>
      <c r="EQ52" s="33"/>
      <c r="ER52" s="34">
        <f>IF(AND(ISNUMBER(ES52),ISNUMBER(EQ52)),ES52-EQ52,"")</f>
        <v>0</v>
      </c>
      <c r="ES52" s="33"/>
      <c r="ET52" s="34">
        <f>IF(AND(ISNUMBER(EU52),ISNUMBER(ES52)),EU52-ES52,"")</f>
        <v>0</v>
      </c>
      <c r="EU52" s="33"/>
      <c r="EV52" s="34">
        <f>IF(AND(ISNUMBER(EW52),ISNUMBER(EU52)),EW52-EU52,"")</f>
        <v>0</v>
      </c>
      <c r="EW52" s="33"/>
      <c r="EX52" s="34">
        <f>IF(AND(ISNUMBER(EY52),ISNUMBER(EW52)),EY52-EW52,"")</f>
        <v>0</v>
      </c>
      <c r="EY52" s="33"/>
      <c r="EZ52" s="34">
        <f>IF(AND(ISNUMBER(FA52),ISNUMBER(EY52)),FA52-EY52,"")</f>
        <v>0</v>
      </c>
      <c r="FA52" s="33"/>
      <c r="FB52" s="34">
        <f>IF(AND(ISNUMBER(FC52),ISNUMBER(FA52)),FC52-FA52,"")</f>
        <v>0</v>
      </c>
      <c r="FC52" s="33"/>
      <c r="FD52" s="34">
        <f>IF(AND(ISNUMBER(FE52),ISNUMBER(FC52)),FE52-FC52,"")</f>
        <v>0</v>
      </c>
      <c r="FE52" s="33"/>
      <c r="FF52" s="34">
        <f>IF(AND(ISNUMBER(FG52),ISNUMBER(FE52)),FG52-FE52,"")</f>
        <v>0</v>
      </c>
      <c r="FG52" s="33"/>
      <c r="FH52" s="34">
        <f>IF(AND(ISNUMBER(FI52),ISNUMBER(FG52)),FI52-FG52,"")</f>
        <v>0</v>
      </c>
      <c r="FI52" s="33"/>
      <c r="FJ52" s="34">
        <f>IF(AND(ISNUMBER(FK52),ISNUMBER(FI52)),FK52-FI52,"")</f>
        <v>0</v>
      </c>
      <c r="FK52" s="33"/>
      <c r="FL52" s="34">
        <f>IF(AND(ISNUMBER(FM52),ISNUMBER(FK52)),FM52-FK52,"")</f>
        <v>0</v>
      </c>
      <c r="FM52" s="33"/>
      <c r="FN52" s="34">
        <f>IF(AND(ISNUMBER(FO52),ISNUMBER(FM52)),FO52-FM52,"")</f>
        <v>0</v>
      </c>
      <c r="FO52" s="33"/>
      <c r="FP52" s="34">
        <f>IF(AND(ISNUMBER(FQ52),ISNUMBER(FO52)),FQ52-FO52,"")</f>
        <v>0</v>
      </c>
      <c r="FQ52" s="33"/>
      <c r="FR52" s="34">
        <f>IF(AND(ISNUMBER(FS52),ISNUMBER(FQ52)),FS52-FQ52,"")</f>
        <v>0</v>
      </c>
      <c r="FS52" s="33"/>
      <c r="FT52" s="34">
        <f>IF(AND(ISNUMBER(FU52),ISNUMBER(FS52)),FU52-FS52,"")</f>
        <v>0</v>
      </c>
      <c r="FU52" s="33"/>
      <c r="FV52" s="34">
        <f>IF(AND(ISNUMBER(FW52),ISNUMBER(FU52)),FW52-FU52,"")</f>
        <v>0</v>
      </c>
      <c r="FW52" s="33"/>
      <c r="FX52" s="34">
        <f>IF(AND(ISNUMBER(FY52),ISNUMBER(FW52)),FY52-FW52,"")</f>
        <v>0</v>
      </c>
      <c r="FY52" s="33"/>
      <c r="FZ52" s="34">
        <f>IF(AND(ISNUMBER(GA52),ISNUMBER(FY52)),GA52-FY52,"")</f>
        <v>0</v>
      </c>
      <c r="GA52" s="33"/>
      <c r="GB52" s="34">
        <f>IF(AND(ISNUMBER(GC52),ISNUMBER(GA52)),GC52-GA52,"")</f>
        <v>0</v>
      </c>
      <c r="GC52" s="33"/>
      <c r="GD52" s="34">
        <f>IF(AND(ISNUMBER(GE52),ISNUMBER(GC52)),GE52-GC52,"")</f>
        <v>0</v>
      </c>
      <c r="GE52" s="33"/>
      <c r="GF52" s="34">
        <f>IF(AND(ISNUMBER(GG52),ISNUMBER(GE52)),GG52-GE52,"")</f>
        <v>0</v>
      </c>
      <c r="GG52" s="33"/>
      <c r="GH52" s="34">
        <f>IF(AND(ISNUMBER(GI52),ISNUMBER(GG52)),GI52-GG52,"")</f>
        <v>0</v>
      </c>
      <c r="GI52" s="33"/>
      <c r="GJ52" s="34">
        <f>IF(AND(ISNUMBER(GK52),ISNUMBER(GI52)),GK52-GI52,"")</f>
        <v>0</v>
      </c>
      <c r="GK52" s="33"/>
      <c r="GL52" s="34">
        <f>IF(AND(ISNUMBER(GM52),ISNUMBER(GK52)),GM52-GK52,"")</f>
        <v>0</v>
      </c>
      <c r="GM52" s="33"/>
      <c r="GN52" s="34">
        <f>IF(AND(ISNUMBER(GO52),ISNUMBER(GM52)),GO52-GM52,"")</f>
        <v>0</v>
      </c>
      <c r="GO52" s="33"/>
      <c r="GP52" s="34">
        <f>IF(AND(ISNUMBER(GQ52),ISNUMBER(GO52)),GQ52-GO52,"")</f>
        <v>0</v>
      </c>
      <c r="GQ52" s="33"/>
      <c r="GR52" s="34">
        <f>IF(AND(ISNUMBER(GS52),ISNUMBER(GQ52)),GS52-GQ52,"")</f>
        <v>0</v>
      </c>
      <c r="GS52" s="33"/>
      <c r="GT52" s="34">
        <f>IF(AND(ISNUMBER(GU52),ISNUMBER(GS52)),GU52-GS52,"")</f>
        <v>0</v>
      </c>
      <c r="GU52" s="33"/>
      <c r="GV52" s="34">
        <f>IF(AND(ISNUMBER(GW52),ISNUMBER(GU52)),GW52-GU52,"")</f>
        <v>0</v>
      </c>
      <c r="GW52" s="33"/>
      <c r="GX52" s="34">
        <f>IF(AND(ISNUMBER(GY52),ISNUMBER(GW52)),GY52-GW52,"")</f>
        <v>0</v>
      </c>
      <c r="GY52" s="33"/>
      <c r="GZ52" s="34">
        <f>IF(AND(ISNUMBER(HA52),ISNUMBER(GY52)),HA52-GY52,"")</f>
        <v>0</v>
      </c>
      <c r="HA52" s="33"/>
      <c r="HB52" s="34">
        <f>IF(AND(ISNUMBER(HC52),ISNUMBER(HA52)),HC52-HA52,"")</f>
        <v>0</v>
      </c>
      <c r="HC52" s="33"/>
      <c r="HD52" s="34">
        <f>IF(AND(ISNUMBER(HE52),ISNUMBER(HC52)),HE52-HC52,"")</f>
        <v>0</v>
      </c>
      <c r="HE52" s="33"/>
      <c r="HF52" s="34">
        <f>IF(AND(ISNUMBER(HG52),ISNUMBER(HE52)),HG52-HE52,"")</f>
        <v>0</v>
      </c>
      <c r="HG52" s="33"/>
      <c r="HH52" s="34">
        <f>IF(AND(ISNUMBER(HI52),ISNUMBER(HG52)),HI52-HG52,"")</f>
        <v>0</v>
      </c>
      <c r="HI52" s="33"/>
      <c r="HJ52" s="34">
        <f>IF(AND(ISNUMBER(HK52),ISNUMBER(HI52)),HK52-HI52,"")</f>
        <v>0</v>
      </c>
      <c r="HK52" s="33"/>
      <c r="HL52" s="34">
        <f>IF(AND(ISNUMBER(HM52),ISNUMBER(HK52)),HM52-HK52,"")</f>
        <v>0</v>
      </c>
      <c r="HM52" s="33"/>
      <c r="HN52" s="34">
        <f>IF(AND(ISNUMBER(HO52),ISNUMBER(HM52)),HO52-HM52,"")</f>
        <v>0</v>
      </c>
      <c r="HO52" s="33"/>
      <c r="HP52" s="34">
        <f>IF(AND(ISNUMBER(HQ52),ISNUMBER(HO52)),HQ52-HO52,"")</f>
        <v>0</v>
      </c>
      <c r="HQ52" s="33"/>
      <c r="HR52" s="34">
        <f>IF(AND(ISNUMBER(HS52),ISNUMBER(HQ52)),HS52-HQ52,"")</f>
        <v>0</v>
      </c>
      <c r="HS52" s="33"/>
      <c r="HT52" s="34">
        <f>IF(AND(ISNUMBER(HU52),ISNUMBER(HS52)),HU52-HS52,"")</f>
        <v>0</v>
      </c>
      <c r="HU52" s="33"/>
      <c r="HV52" s="34">
        <f>IF(AND(ISNUMBER(HW52),ISNUMBER(HU52)),HW52-HU52,"")</f>
        <v>0</v>
      </c>
      <c r="HW52" s="33"/>
      <c r="HX52" s="34">
        <f>IF(AND(ISNUMBER(HY52),ISNUMBER(HW52)),HY52-HW52,"")</f>
        <v>0</v>
      </c>
      <c r="HY52" s="33"/>
      <c r="HZ52" s="34">
        <f>IF(AND(ISNUMBER(IA52),ISNUMBER(HY52)),IA52-HY52,"")</f>
        <v>0</v>
      </c>
      <c r="IA52" s="33"/>
      <c r="IB52" s="34">
        <f>IF(AND(ISNUMBER(IC52),ISNUMBER(IA52)),IC52-IA52,"")</f>
        <v>0</v>
      </c>
      <c r="IC52" s="33"/>
      <c r="ID52" s="34">
        <f>IF(AND(ISNUMBER(IE52),ISNUMBER(IC52)),IE52-IC52,"")</f>
        <v>0</v>
      </c>
      <c r="IE52" s="33"/>
      <c r="IF52" s="34">
        <f>IF(AND(ISNUMBER(IG52),ISNUMBER(IE52)),IG52-IE52,"")</f>
        <v>0</v>
      </c>
      <c r="IG52" s="33"/>
      <c r="IH52" s="34">
        <f>IF(AND(ISNUMBER(II52),ISNUMBER(IG52)),II52-IG52,"")</f>
        <v>0</v>
      </c>
      <c r="II52" s="33"/>
      <c r="IJ52" s="34">
        <f>IF(AND(ISNUMBER(IK52),ISNUMBER(II52)),IK52-II52,"")</f>
        <v>0</v>
      </c>
      <c r="IK52" s="33"/>
      <c r="IL52" s="34">
        <f>IF(AND(ISNUMBER(IM52),ISNUMBER(IK52)),IM52-IK52,"")</f>
        <v>0</v>
      </c>
      <c r="IM52" s="33"/>
      <c r="IN52" s="34">
        <f>IF(AND(ISNUMBER(IO52),ISNUMBER(IM52)),IO52-IM52,"")</f>
        <v>0</v>
      </c>
      <c r="IO52" s="33"/>
      <c r="IP52" s="34">
        <f>IF(AND(ISNUMBER(IQ52),ISNUMBER(IO52)),IQ52-IO52,"")</f>
        <v>0</v>
      </c>
      <c r="IQ52" s="33"/>
      <c r="IR52" s="34">
        <f>IF(AND(ISNUMBER(IS52),ISNUMBER(IQ52)),IS52-IQ52,"")</f>
        <v>0</v>
      </c>
      <c r="IS52" s="33"/>
      <c r="IT52" s="34">
        <f>IF(AND(ISNUMBER(IU52),ISNUMBER(IS52)),IU52-IS52,"")</f>
        <v>0</v>
      </c>
      <c r="IU52" s="33"/>
      <c r="IV52" s="34">
        <f>IF(AND(ISNUMBER(IW52),ISNUMBER(IU52)),IW52-IU52,"")</f>
        <v>0</v>
      </c>
      <c r="IW52" s="33"/>
      <c r="IX52" s="34">
        <f>IF(AND(ISNUMBER(IY52),ISNUMBER(IW52)),IY52-IW52,"")</f>
        <v>0</v>
      </c>
      <c r="IY52" s="33"/>
      <c r="IZ52" s="34">
        <f>IF(AND(ISNUMBER(JA52),ISNUMBER(IY52)),JA52-IY52,"")</f>
        <v>0</v>
      </c>
      <c r="JA52" s="33"/>
      <c r="JB52" s="34">
        <f>IF(AND(ISNUMBER(JC52),ISNUMBER(JA52)),JC52-JA52,"")</f>
        <v>0</v>
      </c>
      <c r="JC52" s="33"/>
      <c r="JD52" s="34">
        <f>IF(AND(ISNUMBER(JE52),ISNUMBER(JC52)),JE52-JC52,"")</f>
        <v>0</v>
      </c>
      <c r="JE52" s="33"/>
      <c r="JF52" s="34">
        <f>IF(AND(ISNUMBER(JG52),ISNUMBER(JE52)),JG52-JE52,"")</f>
        <v>0</v>
      </c>
      <c r="JG52" s="33"/>
      <c r="JH52" s="34">
        <f>IF(AND(ISNUMBER(JI52),ISNUMBER(JG52)),JI52-JG52,"")</f>
        <v>0</v>
      </c>
      <c r="JI52" s="33"/>
      <c r="JJ52" s="34">
        <f>IF(AND(ISNUMBER(JK52),ISNUMBER(JI52)),JK52-JI52,"")</f>
        <v>0</v>
      </c>
      <c r="JK52" s="33"/>
      <c r="JL52" s="34">
        <f>IF(AND(ISNUMBER(JM52),ISNUMBER(JK52)),JM52-JK52,"")</f>
        <v>0</v>
      </c>
      <c r="JM52" s="33"/>
      <c r="JN52" s="34">
        <f>IF(AND(ISNUMBER(JO52),ISNUMBER(JM52)),JO52-JM52,"")</f>
        <v>0</v>
      </c>
      <c r="JO52" s="33"/>
      <c r="JP52" s="34">
        <f>IF(AND(ISNUMBER(JQ52),ISNUMBER(JO52)),JQ52-JO52,"")</f>
        <v>0</v>
      </c>
      <c r="JQ52" s="33"/>
      <c r="JR52" s="34">
        <f>IF(AND(ISNUMBER(JS52),ISNUMBER(JQ52)),JS52-JQ52,"")</f>
        <v>0</v>
      </c>
      <c r="JS52" s="33"/>
      <c r="JT52" s="34">
        <f>IF(AND(ISNUMBER(JU52),ISNUMBER(JS52)),JU52-JS52,"")</f>
        <v>0</v>
      </c>
      <c r="JU52" s="33"/>
      <c r="JV52" s="34">
        <f>IF(AND(ISNUMBER(JW52),ISNUMBER(JU52)),JW52-JU52,"")</f>
        <v>0</v>
      </c>
      <c r="JW52" s="33"/>
      <c r="JX52" s="34">
        <f>IF(AND(ISNUMBER(JY52),ISNUMBER(JW52)),JY52-JW52,"")</f>
        <v>0</v>
      </c>
      <c r="JY52" s="33"/>
      <c r="JZ52" s="34">
        <f>IF(AND(ISNUMBER(KA52),ISNUMBER(JY52)),KA52-JY52,"")</f>
        <v>0</v>
      </c>
      <c r="KA52" s="33"/>
      <c r="KB52" s="34">
        <f>IF(AND(ISNUMBER(KC52),ISNUMBER(KA52)),KC52-KA52,"")</f>
        <v>0</v>
      </c>
      <c r="KC52" s="33"/>
      <c r="KD52" s="34">
        <f>IF(AND(ISNUMBER(KE52),ISNUMBER(KC52)),KE52-KC52,"")</f>
        <v>0</v>
      </c>
      <c r="KE52" s="33"/>
      <c r="KF52" s="34">
        <f>IF(AND(ISNUMBER(KG52),ISNUMBER(KE52)),KG52-KE52,"")</f>
        <v>0</v>
      </c>
      <c r="KG52" s="33"/>
      <c r="KH52" s="34">
        <f>IF(AND(ISNUMBER(KI52),ISNUMBER(KG52)),KI52-KG52,"")</f>
        <v>0</v>
      </c>
      <c r="KI52" s="33"/>
      <c r="KJ52" s="34">
        <f>IF(AND(ISNUMBER(KK52),ISNUMBER(KI52)),KK52-KI52,"")</f>
        <v>0</v>
      </c>
      <c r="KK52" s="33"/>
      <c r="KL52" s="34">
        <f>IF(AND(ISNUMBER(KM52),ISNUMBER(KK52)),KM52-KK52,"")</f>
        <v>0</v>
      </c>
      <c r="KM52" s="33"/>
      <c r="KN52" s="34">
        <f>IF(AND(ISNUMBER(KO52),ISNUMBER(KM52)),KO52-KM52,"")</f>
        <v>0</v>
      </c>
      <c r="KO52" s="33"/>
      <c r="KP52" s="34">
        <f>IF(AND(ISNUMBER(KQ52),ISNUMBER(KO52)),KQ52-KO52,"")</f>
        <v>0</v>
      </c>
      <c r="KQ52" s="33"/>
      <c r="KR52" s="34">
        <f>IF(AND(ISNUMBER(KS52),ISNUMBER(KQ52)),KS52-KQ52,"")</f>
        <v>0</v>
      </c>
      <c r="KS52" s="33"/>
      <c r="KT52" s="34">
        <f>IF(AND(ISNUMBER(KU52),ISNUMBER(KS52)),KU52-KS52,"")</f>
        <v>0</v>
      </c>
      <c r="KU52" s="33"/>
      <c r="KV52" s="34">
        <f>IF(AND(ISNUMBER(KW52),ISNUMBER(KU52)),KW52-KU52,"")</f>
        <v>0</v>
      </c>
      <c r="KW52" s="33"/>
      <c r="KX52" s="34">
        <f>IF(AND(ISNUMBER(KY52),ISNUMBER(KW52)),KY52-KW52,"")</f>
        <v>0</v>
      </c>
      <c r="KY52" s="33"/>
      <c r="KZ52" s="34">
        <f>IF(AND(ISNUMBER(LA52),ISNUMBER(KY52)),LA52-KY52,"")</f>
        <v>0</v>
      </c>
      <c r="LA52" s="33"/>
      <c r="LB52" s="34">
        <f>IF(AND(ISNUMBER(LC52),ISNUMBER(LA52)),LC52-LA52,"")</f>
        <v>0</v>
      </c>
      <c r="LC52" s="33"/>
      <c r="LD52" s="34">
        <f>IF(AND(ISNUMBER(LE52),ISNUMBER(LC52)),LE52-LC52,"")</f>
        <v>0</v>
      </c>
      <c r="LE52" s="33"/>
      <c r="LF52" s="34">
        <f>IF(AND(ISNUMBER(LG52),ISNUMBER(LE52)),LG52-LE52,"")</f>
        <v>0</v>
      </c>
      <c r="LG52" s="33"/>
    </row>
    <row r="53" spans="1:322" hidden="1" outlineLevel="1">
      <c r="B53" s="23"/>
      <c r="D53" s="31" t="s">
        <v>723</v>
      </c>
      <c r="E53" s="32" t="s">
        <v>1052</v>
      </c>
      <c r="I53" s="40" t="s">
        <v>1078</v>
      </c>
      <c r="J53" s="34">
        <f>IF(AND(ISNUMBER(K53),ISNUMBER(I53)),K53-I53,"")</f>
        <v>0</v>
      </c>
      <c r="K53" s="40" t="s">
        <v>1078</v>
      </c>
      <c r="L53" s="34">
        <f>IF(AND(ISNUMBER(M53),ISNUMBER(K53)),M53-K53,"")</f>
        <v>0</v>
      </c>
      <c r="M53" s="40" t="s">
        <v>1078</v>
      </c>
      <c r="N53" s="34">
        <f>IF(AND(ISNUMBER(O53),ISNUMBER(M53)),O53-M53,"")</f>
        <v>0</v>
      </c>
      <c r="O53" s="40" t="s">
        <v>1078</v>
      </c>
      <c r="P53" s="34">
        <f>IF(AND(ISNUMBER(Q53),ISNUMBER(O53)),Q53-O53,"")</f>
        <v>0</v>
      </c>
      <c r="Q53" s="40" t="s">
        <v>1078</v>
      </c>
      <c r="R53" s="34">
        <f>IF(AND(ISNUMBER(S53),ISNUMBER(Q53)),S53-Q53,"")</f>
        <v>0</v>
      </c>
      <c r="S53" s="40" t="s">
        <v>1078</v>
      </c>
      <c r="T53" s="34">
        <f>IF(AND(ISNUMBER(U53),ISNUMBER(S53)),U53-S53,"")</f>
        <v>0</v>
      </c>
      <c r="U53" s="40" t="s">
        <v>1078</v>
      </c>
      <c r="V53" s="34">
        <f>IF(AND(ISNUMBER(W53),ISNUMBER(U53)),W53-U53,"")</f>
        <v>0</v>
      </c>
      <c r="W53" s="40" t="s">
        <v>1078</v>
      </c>
      <c r="X53" s="34">
        <f>IF(AND(ISNUMBER(Y53),ISNUMBER(W53)),Y53-W53,"")</f>
        <v>0</v>
      </c>
      <c r="Y53" s="40" t="s">
        <v>1078</v>
      </c>
      <c r="Z53" s="34">
        <f>IF(AND(ISNUMBER(AA53),ISNUMBER(Y53)),AA53-Y53,"")</f>
        <v>0</v>
      </c>
      <c r="AA53" s="40" t="s">
        <v>1078</v>
      </c>
      <c r="AB53" s="34">
        <f>IF(AND(ISNUMBER(AC53),ISNUMBER(AA53)),AC53-AA53,"")</f>
        <v>0</v>
      </c>
      <c r="AC53" s="40" t="s">
        <v>1078</v>
      </c>
      <c r="AD53" s="34">
        <f>IF(AND(ISNUMBER(AE53),ISNUMBER(AC53)),AE53-AC53,"")</f>
        <v>0</v>
      </c>
      <c r="AE53" s="40" t="s">
        <v>1078</v>
      </c>
      <c r="AF53" s="34">
        <f>IF(AND(ISNUMBER(AG53),ISNUMBER(AE53)),AG53-AE53,"")</f>
        <v>0</v>
      </c>
      <c r="AG53" s="40" t="s">
        <v>1078</v>
      </c>
      <c r="AH53" s="34">
        <f>IF(AND(ISNUMBER(AI53),ISNUMBER(AG53)),AI53-AG53,"")</f>
        <v>0</v>
      </c>
      <c r="AI53" s="40" t="s">
        <v>1078</v>
      </c>
      <c r="AJ53" s="34">
        <f>IF(AND(ISNUMBER(AK53),ISNUMBER(AI53)),AK53-AI53,"")</f>
        <v>0</v>
      </c>
      <c r="AK53" s="40" t="s">
        <v>1078</v>
      </c>
      <c r="AL53" s="34">
        <f>IF(AND(ISNUMBER(AM53),ISNUMBER(AK53)),AM53-AK53,"")</f>
        <v>0</v>
      </c>
      <c r="AM53" s="40" t="s">
        <v>1078</v>
      </c>
      <c r="AN53" s="34">
        <f>IF(AND(ISNUMBER(AO53),ISNUMBER(AM53)),AO53-AM53,"")</f>
        <v>0</v>
      </c>
      <c r="AO53" s="40" t="s">
        <v>1078</v>
      </c>
      <c r="AP53" s="34">
        <f>IF(AND(ISNUMBER(AQ53),ISNUMBER(AO53)),AQ53-AO53,"")</f>
        <v>0</v>
      </c>
      <c r="AQ53" s="40" t="s">
        <v>1078</v>
      </c>
      <c r="AR53" s="34">
        <f>IF(AND(ISNUMBER(AS53),ISNUMBER(AQ53)),AS53-AQ53,"")</f>
        <v>0</v>
      </c>
      <c r="AS53" s="33">
        <v>0</v>
      </c>
      <c r="AT53" s="34">
        <f>IF(AND(ISNUMBER(AU53),ISNUMBER(AS53)),AU53-AS53,"")</f>
        <v>0</v>
      </c>
      <c r="AU53" s="33">
        <v>0</v>
      </c>
      <c r="AV53" s="34">
        <f>IF(AND(ISNUMBER(AW53),ISNUMBER(AU53)),AW53-AU53,"")</f>
        <v>0</v>
      </c>
      <c r="AW53" s="33">
        <v>0</v>
      </c>
      <c r="AX53" s="34">
        <f>IF(AND(ISNUMBER(AY53),ISNUMBER(AW53)),AY53-AW53,"")</f>
        <v>0</v>
      </c>
      <c r="AY53" s="33">
        <v>0</v>
      </c>
      <c r="AZ53" s="34">
        <f>IF(AND(ISNUMBER(BA53),ISNUMBER(AY53)),BA53-AY53,"")</f>
        <v>0</v>
      </c>
      <c r="BA53" s="33">
        <v>0</v>
      </c>
      <c r="BB53" s="34">
        <f>IF(AND(ISNUMBER(BC53),ISNUMBER(BA53)),BC53-BA53,"")</f>
        <v>0</v>
      </c>
      <c r="BC53" s="33">
        <v>0</v>
      </c>
      <c r="BD53" s="34">
        <f>IF(AND(ISNUMBER(BE53),ISNUMBER(BC53)),BE53-BC53,"")</f>
        <v>0</v>
      </c>
      <c r="BE53" s="33">
        <v>2</v>
      </c>
      <c r="BF53" s="34">
        <f>IF(AND(ISNUMBER(BG53),ISNUMBER(BE53)),BG53-BE53,"")</f>
        <v>0</v>
      </c>
      <c r="BG53" s="33">
        <v>0</v>
      </c>
      <c r="BH53" s="34">
        <f>IF(AND(ISNUMBER(BI53),ISNUMBER(BG53)),BI53-BG53,"")</f>
        <v>0</v>
      </c>
      <c r="BI53" s="33">
        <v>0</v>
      </c>
      <c r="BJ53" s="34">
        <f>IF(AND(ISNUMBER(BK53),ISNUMBER(BI53)),BK53-BI53,"")</f>
        <v>0</v>
      </c>
      <c r="BK53" s="33">
        <v>0</v>
      </c>
      <c r="BL53" s="34">
        <f>IF(AND(ISNUMBER(BM53),ISNUMBER(BK53)),BM53-BK53,"")</f>
        <v>0</v>
      </c>
      <c r="BM53" s="33">
        <v>1</v>
      </c>
      <c r="BN53" s="34">
        <f>IF(AND(ISNUMBER(BO53),ISNUMBER(BM53)),BO53-BM53,"")</f>
        <v>0</v>
      </c>
      <c r="BO53" s="33">
        <v>1</v>
      </c>
      <c r="BP53" s="34">
        <f>IF(AND(ISNUMBER(BQ53),ISNUMBER(BO53)),BQ53-BO53,"")</f>
        <v>0</v>
      </c>
      <c r="BQ53" s="33">
        <v>1</v>
      </c>
      <c r="BR53" s="34">
        <f>IF(AND(ISNUMBER(BS53),ISNUMBER(BQ53)),BS53-BQ53,"")</f>
        <v>0</v>
      </c>
      <c r="BS53" s="33">
        <v>0</v>
      </c>
      <c r="BT53" s="34">
        <f>IF(AND(ISNUMBER(BU53),ISNUMBER(BS53)),BU53-BS53,"")</f>
        <v>0</v>
      </c>
      <c r="BU53" s="33">
        <v>0</v>
      </c>
      <c r="BV53" s="34">
        <f>IF(AND(ISNUMBER(BW53),ISNUMBER(BU53)),BW53-BU53,"")</f>
        <v>0</v>
      </c>
      <c r="BW53" s="33">
        <v>0</v>
      </c>
      <c r="BX53" s="34">
        <f>IF(AND(ISNUMBER(BY53),ISNUMBER(BW53)),BY53-BW53,"")</f>
        <v>0</v>
      </c>
      <c r="BY53" s="33">
        <v>1</v>
      </c>
      <c r="BZ53" s="34">
        <f>IF(AND(ISNUMBER(CA53),ISNUMBER(BY53)),CA53-BY53,"")</f>
        <v>0</v>
      </c>
      <c r="CA53" s="33">
        <v>1</v>
      </c>
      <c r="CB53" s="34">
        <f>IF(AND(ISNUMBER(CC53),ISNUMBER(CA53)),CC53-CA53,"")</f>
        <v>0</v>
      </c>
      <c r="CC53" s="33">
        <v>1</v>
      </c>
      <c r="CD53" s="34">
        <f>IF(AND(ISNUMBER(CE53),ISNUMBER(CC53)),CE53-CC53,"")</f>
        <v>0</v>
      </c>
      <c r="CE53" s="33">
        <v>42</v>
      </c>
      <c r="CF53" s="34">
        <f>IF(AND(ISNUMBER(CG53),ISNUMBER(CE53)),CG53-CE53,"")</f>
        <v>0</v>
      </c>
      <c r="CG53" s="33">
        <v>1</v>
      </c>
      <c r="CH53" s="34">
        <f>IF(AND(ISNUMBER(CI53),ISNUMBER(CG53)),CI53-CG53,"")</f>
        <v>0</v>
      </c>
      <c r="CI53" s="33">
        <v>1</v>
      </c>
      <c r="CJ53" s="34">
        <f>IF(AND(ISNUMBER(CK53),ISNUMBER(CI53)),CK53-CI53,"")</f>
        <v>0</v>
      </c>
      <c r="CK53" s="33">
        <v>1</v>
      </c>
      <c r="CL53" s="34">
        <f>IF(AND(ISNUMBER(CM53),ISNUMBER(CK53)),CM53-CK53,"")</f>
        <v>0</v>
      </c>
      <c r="CM53" s="33">
        <v>1</v>
      </c>
      <c r="CN53" s="34">
        <f>IF(AND(ISNUMBER(CO53),ISNUMBER(CM53)),CO53-CM53,"")</f>
        <v>0</v>
      </c>
      <c r="CO53" s="33">
        <v>1</v>
      </c>
      <c r="CP53" s="34">
        <f>IF(AND(ISNUMBER(CQ53),ISNUMBER(CO53)),CQ53-CO53,"")</f>
        <v>0</v>
      </c>
      <c r="CQ53" s="33">
        <v>1</v>
      </c>
      <c r="CR53" s="34">
        <f>IF(AND(ISNUMBER(CS53),ISNUMBER(CQ53)),CS53-CQ53,"")</f>
        <v>0</v>
      </c>
      <c r="CS53" s="33">
        <v>1</v>
      </c>
      <c r="CT53" s="34">
        <f>IF(AND(ISNUMBER(CU53),ISNUMBER(CS53)),CU53-CS53,"")</f>
        <v>0</v>
      </c>
      <c r="CU53" s="33">
        <v>1</v>
      </c>
      <c r="CV53" s="34">
        <f>IF(AND(ISNUMBER(CW53),ISNUMBER(CU53)),CW53-CU53,"")</f>
        <v>0</v>
      </c>
      <c r="CW53" s="33">
        <v>1</v>
      </c>
      <c r="CX53" s="34">
        <f>IF(AND(ISNUMBER(CY53),ISNUMBER(CW53)),CY53-CW53,"")</f>
        <v>0</v>
      </c>
      <c r="CY53" s="33">
        <v>1</v>
      </c>
      <c r="CZ53" s="34">
        <f>IF(AND(ISNUMBER(DA53),ISNUMBER(CY53)),DA53-CY53,"")</f>
        <v>0</v>
      </c>
      <c r="DA53" s="33"/>
      <c r="DB53" s="34">
        <f>IF(AND(ISNUMBER(DC53),ISNUMBER(DA53)),DC53-DA53,"")</f>
        <v>0</v>
      </c>
      <c r="DC53" s="33"/>
      <c r="DD53" s="34">
        <f>IF(AND(ISNUMBER(DE53),ISNUMBER(DC53)),DE53-DC53,"")</f>
        <v>0</v>
      </c>
      <c r="DE53" s="33"/>
      <c r="DF53" s="34">
        <f>IF(AND(ISNUMBER(DG53),ISNUMBER(DE53)),DG53-DE53,"")</f>
        <v>0</v>
      </c>
      <c r="DG53" s="33">
        <v>1</v>
      </c>
      <c r="DH53" s="34">
        <f>IF(AND(ISNUMBER(DI53),ISNUMBER(DG53)),DI53-DG53,"")</f>
        <v>0</v>
      </c>
      <c r="DI53" s="33">
        <v>2</v>
      </c>
      <c r="DJ53" s="34">
        <f>IF(AND(ISNUMBER(DK53),ISNUMBER(DI53)),DK53-DI53,"")</f>
        <v>0</v>
      </c>
      <c r="DK53" s="33"/>
      <c r="DL53" s="34">
        <f>IF(AND(ISNUMBER(DM53),ISNUMBER(DK53)),DM53-DK53,"")</f>
        <v>0</v>
      </c>
      <c r="DM53" s="33"/>
      <c r="DN53" s="34">
        <f>IF(AND(ISNUMBER(DO53),ISNUMBER(DM53)),DO53-DM53,"")</f>
        <v>0</v>
      </c>
      <c r="DO53" s="33"/>
      <c r="DP53" s="34">
        <f>IF(AND(ISNUMBER(DQ53),ISNUMBER(DO53)),DQ53-DO53,"")</f>
        <v>0</v>
      </c>
      <c r="DQ53" s="33"/>
      <c r="DR53" s="34">
        <f>IF(AND(ISNUMBER(DS53),ISNUMBER(DQ53)),DS53-DQ53,"")</f>
        <v>0</v>
      </c>
      <c r="DS53" s="33"/>
      <c r="DT53" s="34">
        <f>IF(AND(ISNUMBER(DU53),ISNUMBER(DS53)),DU53-DS53,"")</f>
        <v>0</v>
      </c>
      <c r="DU53" s="33">
        <v>0</v>
      </c>
      <c r="DV53" s="34">
        <f>IF(AND(ISNUMBER(DW53),ISNUMBER(DU53)),DW53-DU53,"")</f>
        <v>0</v>
      </c>
      <c r="DW53" s="33"/>
      <c r="DX53" s="34">
        <f>IF(AND(ISNUMBER(DY53),ISNUMBER(DW53)),DY53-DW53,"")</f>
        <v>0</v>
      </c>
      <c r="DY53" s="33"/>
      <c r="DZ53" s="34">
        <f>IF(AND(ISNUMBER(EA53),ISNUMBER(DY53)),EA53-DY53,"")</f>
        <v>0</v>
      </c>
      <c r="EA53" s="33"/>
      <c r="EB53" s="34">
        <f>IF(AND(ISNUMBER(EC53),ISNUMBER(EA53)),EC53-EA53,"")</f>
        <v>0</v>
      </c>
      <c r="EC53" s="33"/>
      <c r="ED53" s="34">
        <f>IF(AND(ISNUMBER(EE53),ISNUMBER(EC53)),EE53-EC53,"")</f>
        <v>0</v>
      </c>
      <c r="EE53" s="33"/>
      <c r="EF53" s="34">
        <f>IF(AND(ISNUMBER(EG53),ISNUMBER(EE53)),EG53-EE53,"")</f>
        <v>0</v>
      </c>
      <c r="EG53" s="33"/>
      <c r="EH53" s="34">
        <f>IF(AND(ISNUMBER(EI53),ISNUMBER(EG53)),EI53-EG53,"")</f>
        <v>0</v>
      </c>
      <c r="EI53" s="33"/>
      <c r="EJ53" s="34">
        <f>IF(AND(ISNUMBER(EK53),ISNUMBER(EI53)),EK53-EI53,"")</f>
        <v>0</v>
      </c>
      <c r="EK53" s="33"/>
      <c r="EL53" s="34">
        <f>IF(AND(ISNUMBER(EM53),ISNUMBER(EK53)),EM53-EK53,"")</f>
        <v>0</v>
      </c>
      <c r="EM53" s="33"/>
      <c r="EN53" s="34">
        <f>IF(AND(ISNUMBER(EO53),ISNUMBER(EM53)),EO53-EM53,"")</f>
        <v>0</v>
      </c>
      <c r="EO53" s="33"/>
      <c r="EP53" s="34">
        <f>IF(AND(ISNUMBER(EQ53),ISNUMBER(EO53)),EQ53-EO53,"")</f>
        <v>0</v>
      </c>
      <c r="EQ53" s="33"/>
      <c r="ER53" s="34">
        <f>IF(AND(ISNUMBER(ES53),ISNUMBER(EQ53)),ES53-EQ53,"")</f>
        <v>0</v>
      </c>
      <c r="ES53" s="33"/>
      <c r="ET53" s="34">
        <f>IF(AND(ISNUMBER(EU53),ISNUMBER(ES53)),EU53-ES53,"")</f>
        <v>0</v>
      </c>
      <c r="EU53" s="33"/>
      <c r="EV53" s="34">
        <f>IF(AND(ISNUMBER(EW53),ISNUMBER(EU53)),EW53-EU53,"")</f>
        <v>0</v>
      </c>
      <c r="EW53" s="33"/>
      <c r="EX53" s="34">
        <f>IF(AND(ISNUMBER(EY53),ISNUMBER(EW53)),EY53-EW53,"")</f>
        <v>0</v>
      </c>
      <c r="EY53" s="33"/>
      <c r="EZ53" s="34">
        <f>IF(AND(ISNUMBER(FA53),ISNUMBER(EY53)),FA53-EY53,"")</f>
        <v>0</v>
      </c>
      <c r="FA53" s="33"/>
      <c r="FB53" s="34">
        <f>IF(AND(ISNUMBER(FC53),ISNUMBER(FA53)),FC53-FA53,"")</f>
        <v>0</v>
      </c>
      <c r="FC53" s="33"/>
      <c r="FD53" s="34">
        <f>IF(AND(ISNUMBER(FE53),ISNUMBER(FC53)),FE53-FC53,"")</f>
        <v>0</v>
      </c>
      <c r="FE53" s="33"/>
      <c r="FF53" s="34">
        <f>IF(AND(ISNUMBER(FG53),ISNUMBER(FE53)),FG53-FE53,"")</f>
        <v>0</v>
      </c>
      <c r="FG53" s="33"/>
      <c r="FH53" s="34">
        <f>IF(AND(ISNUMBER(FI53),ISNUMBER(FG53)),FI53-FG53,"")</f>
        <v>0</v>
      </c>
      <c r="FI53" s="33"/>
      <c r="FJ53" s="34">
        <f>IF(AND(ISNUMBER(FK53),ISNUMBER(FI53)),FK53-FI53,"")</f>
        <v>0</v>
      </c>
      <c r="FK53" s="33"/>
      <c r="FL53" s="34">
        <f>IF(AND(ISNUMBER(FM53),ISNUMBER(FK53)),FM53-FK53,"")</f>
        <v>0</v>
      </c>
      <c r="FM53" s="33"/>
      <c r="FN53" s="34">
        <f>IF(AND(ISNUMBER(FO53),ISNUMBER(FM53)),FO53-FM53,"")</f>
        <v>0</v>
      </c>
      <c r="FO53" s="33"/>
      <c r="FP53" s="34">
        <f>IF(AND(ISNUMBER(FQ53),ISNUMBER(FO53)),FQ53-FO53,"")</f>
        <v>0</v>
      </c>
      <c r="FQ53" s="33"/>
      <c r="FR53" s="34">
        <f>IF(AND(ISNUMBER(FS53),ISNUMBER(FQ53)),FS53-FQ53,"")</f>
        <v>0</v>
      </c>
      <c r="FS53" s="33"/>
      <c r="FT53" s="34">
        <f>IF(AND(ISNUMBER(FU53),ISNUMBER(FS53)),FU53-FS53,"")</f>
        <v>0</v>
      </c>
      <c r="FU53" s="33"/>
      <c r="FV53" s="34">
        <f>IF(AND(ISNUMBER(FW53),ISNUMBER(FU53)),FW53-FU53,"")</f>
        <v>0</v>
      </c>
      <c r="FW53" s="33"/>
      <c r="FX53" s="34">
        <f>IF(AND(ISNUMBER(FY53),ISNUMBER(FW53)),FY53-FW53,"")</f>
        <v>0</v>
      </c>
      <c r="FY53" s="33"/>
      <c r="FZ53" s="34">
        <f>IF(AND(ISNUMBER(GA53),ISNUMBER(FY53)),GA53-FY53,"")</f>
        <v>0</v>
      </c>
      <c r="GA53" s="33"/>
      <c r="GB53" s="34">
        <f>IF(AND(ISNUMBER(GC53),ISNUMBER(GA53)),GC53-GA53,"")</f>
        <v>0</v>
      </c>
      <c r="GC53" s="33"/>
      <c r="GD53" s="34">
        <f>IF(AND(ISNUMBER(GE53),ISNUMBER(GC53)),GE53-GC53,"")</f>
        <v>0</v>
      </c>
      <c r="GE53" s="33"/>
      <c r="GF53" s="34">
        <f>IF(AND(ISNUMBER(GG53),ISNUMBER(GE53)),GG53-GE53,"")</f>
        <v>0</v>
      </c>
      <c r="GG53" s="33"/>
      <c r="GH53" s="34">
        <f>IF(AND(ISNUMBER(GI53),ISNUMBER(GG53)),GI53-GG53,"")</f>
        <v>0</v>
      </c>
      <c r="GI53" s="33"/>
      <c r="GJ53" s="34">
        <f>IF(AND(ISNUMBER(GK53),ISNUMBER(GI53)),GK53-GI53,"")</f>
        <v>0</v>
      </c>
      <c r="GK53" s="33"/>
      <c r="GL53" s="34">
        <f>IF(AND(ISNUMBER(GM53),ISNUMBER(GK53)),GM53-GK53,"")</f>
        <v>0</v>
      </c>
      <c r="GM53" s="33"/>
      <c r="GN53" s="34">
        <f>IF(AND(ISNUMBER(GO53),ISNUMBER(GM53)),GO53-GM53,"")</f>
        <v>0</v>
      </c>
      <c r="GO53" s="33"/>
      <c r="GP53" s="34">
        <f>IF(AND(ISNUMBER(GQ53),ISNUMBER(GO53)),GQ53-GO53,"")</f>
        <v>0</v>
      </c>
      <c r="GQ53" s="33"/>
      <c r="GR53" s="34">
        <f>IF(AND(ISNUMBER(GS53),ISNUMBER(GQ53)),GS53-GQ53,"")</f>
        <v>0</v>
      </c>
      <c r="GS53" s="33"/>
      <c r="GT53" s="34">
        <f>IF(AND(ISNUMBER(GU53),ISNUMBER(GS53)),GU53-GS53,"")</f>
        <v>0</v>
      </c>
      <c r="GU53" s="33"/>
      <c r="GV53" s="34">
        <f>IF(AND(ISNUMBER(GW53),ISNUMBER(GU53)),GW53-GU53,"")</f>
        <v>0</v>
      </c>
      <c r="GW53" s="33"/>
      <c r="GX53" s="34">
        <f>IF(AND(ISNUMBER(GY53),ISNUMBER(GW53)),GY53-GW53,"")</f>
        <v>0</v>
      </c>
      <c r="GY53" s="33"/>
      <c r="GZ53" s="34">
        <f>IF(AND(ISNUMBER(HA53),ISNUMBER(GY53)),HA53-GY53,"")</f>
        <v>0</v>
      </c>
      <c r="HA53" s="33"/>
      <c r="HB53" s="34">
        <f>IF(AND(ISNUMBER(HC53),ISNUMBER(HA53)),HC53-HA53,"")</f>
        <v>0</v>
      </c>
      <c r="HC53" s="33"/>
      <c r="HD53" s="34">
        <f>IF(AND(ISNUMBER(HE53),ISNUMBER(HC53)),HE53-HC53,"")</f>
        <v>0</v>
      </c>
      <c r="HE53" s="33"/>
      <c r="HF53" s="34">
        <f>IF(AND(ISNUMBER(HG53),ISNUMBER(HE53)),HG53-HE53,"")</f>
        <v>0</v>
      </c>
      <c r="HG53" s="33"/>
      <c r="HH53" s="34">
        <f>IF(AND(ISNUMBER(HI53),ISNUMBER(HG53)),HI53-HG53,"")</f>
        <v>0</v>
      </c>
      <c r="HI53" s="33"/>
      <c r="HJ53" s="34">
        <f>IF(AND(ISNUMBER(HK53),ISNUMBER(HI53)),HK53-HI53,"")</f>
        <v>0</v>
      </c>
      <c r="HK53" s="33"/>
      <c r="HL53" s="34">
        <f>IF(AND(ISNUMBER(HM53),ISNUMBER(HK53)),HM53-HK53,"")</f>
        <v>0</v>
      </c>
      <c r="HM53" s="33"/>
      <c r="HN53" s="34">
        <f>IF(AND(ISNUMBER(HO53),ISNUMBER(HM53)),HO53-HM53,"")</f>
        <v>0</v>
      </c>
      <c r="HO53" s="33"/>
      <c r="HP53" s="34">
        <f>IF(AND(ISNUMBER(HQ53),ISNUMBER(HO53)),HQ53-HO53,"")</f>
        <v>0</v>
      </c>
      <c r="HQ53" s="33"/>
      <c r="HR53" s="34">
        <f>IF(AND(ISNUMBER(HS53),ISNUMBER(HQ53)),HS53-HQ53,"")</f>
        <v>0</v>
      </c>
      <c r="HS53" s="33"/>
      <c r="HT53" s="34">
        <f>IF(AND(ISNUMBER(HU53),ISNUMBER(HS53)),HU53-HS53,"")</f>
        <v>0</v>
      </c>
      <c r="HU53" s="33"/>
      <c r="HV53" s="34">
        <f>IF(AND(ISNUMBER(HW53),ISNUMBER(HU53)),HW53-HU53,"")</f>
        <v>0</v>
      </c>
      <c r="HW53" s="33"/>
      <c r="HX53" s="34">
        <f>IF(AND(ISNUMBER(HY53),ISNUMBER(HW53)),HY53-HW53,"")</f>
        <v>0</v>
      </c>
      <c r="HY53" s="33"/>
      <c r="HZ53" s="34">
        <f>IF(AND(ISNUMBER(IA53),ISNUMBER(HY53)),IA53-HY53,"")</f>
        <v>0</v>
      </c>
      <c r="IA53" s="33"/>
      <c r="IB53" s="34">
        <f>IF(AND(ISNUMBER(IC53),ISNUMBER(IA53)),IC53-IA53,"")</f>
        <v>0</v>
      </c>
      <c r="IC53" s="33"/>
      <c r="ID53" s="34">
        <f>IF(AND(ISNUMBER(IE53),ISNUMBER(IC53)),IE53-IC53,"")</f>
        <v>0</v>
      </c>
      <c r="IE53" s="33"/>
      <c r="IF53" s="34">
        <f>IF(AND(ISNUMBER(IG53),ISNUMBER(IE53)),IG53-IE53,"")</f>
        <v>0</v>
      </c>
      <c r="IG53" s="33"/>
      <c r="IH53" s="34">
        <f>IF(AND(ISNUMBER(II53),ISNUMBER(IG53)),II53-IG53,"")</f>
        <v>0</v>
      </c>
      <c r="II53" s="33"/>
      <c r="IJ53" s="34">
        <f>IF(AND(ISNUMBER(IK53),ISNUMBER(II53)),IK53-II53,"")</f>
        <v>0</v>
      </c>
      <c r="IK53" s="33"/>
      <c r="IL53" s="34">
        <f>IF(AND(ISNUMBER(IM53),ISNUMBER(IK53)),IM53-IK53,"")</f>
        <v>0</v>
      </c>
      <c r="IM53" s="33"/>
      <c r="IN53" s="34">
        <f>IF(AND(ISNUMBER(IO53),ISNUMBER(IM53)),IO53-IM53,"")</f>
        <v>0</v>
      </c>
      <c r="IO53" s="33"/>
      <c r="IP53" s="34">
        <f>IF(AND(ISNUMBER(IQ53),ISNUMBER(IO53)),IQ53-IO53,"")</f>
        <v>0</v>
      </c>
      <c r="IQ53" s="33"/>
      <c r="IR53" s="34">
        <f>IF(AND(ISNUMBER(IS53),ISNUMBER(IQ53)),IS53-IQ53,"")</f>
        <v>0</v>
      </c>
      <c r="IS53" s="33"/>
      <c r="IT53" s="34">
        <f>IF(AND(ISNUMBER(IU53),ISNUMBER(IS53)),IU53-IS53,"")</f>
        <v>0</v>
      </c>
      <c r="IU53" s="33"/>
      <c r="IV53" s="34">
        <f>IF(AND(ISNUMBER(IW53),ISNUMBER(IU53)),IW53-IU53,"")</f>
        <v>0</v>
      </c>
      <c r="IW53" s="33"/>
      <c r="IX53" s="34">
        <f>IF(AND(ISNUMBER(IY53),ISNUMBER(IW53)),IY53-IW53,"")</f>
        <v>0</v>
      </c>
      <c r="IY53" s="33"/>
      <c r="IZ53" s="34">
        <f>IF(AND(ISNUMBER(JA53),ISNUMBER(IY53)),JA53-IY53,"")</f>
        <v>0</v>
      </c>
      <c r="JA53" s="33"/>
      <c r="JB53" s="34">
        <f>IF(AND(ISNUMBER(JC53),ISNUMBER(JA53)),JC53-JA53,"")</f>
        <v>0</v>
      </c>
      <c r="JC53" s="33"/>
      <c r="JD53" s="34">
        <f>IF(AND(ISNUMBER(JE53),ISNUMBER(JC53)),JE53-JC53,"")</f>
        <v>0</v>
      </c>
      <c r="JE53" s="33"/>
      <c r="JF53" s="34">
        <f>IF(AND(ISNUMBER(JG53),ISNUMBER(JE53)),JG53-JE53,"")</f>
        <v>0</v>
      </c>
      <c r="JG53" s="33"/>
      <c r="JH53" s="34">
        <f>IF(AND(ISNUMBER(JI53),ISNUMBER(JG53)),JI53-JG53,"")</f>
        <v>0</v>
      </c>
      <c r="JI53" s="33"/>
      <c r="JJ53" s="34">
        <f>IF(AND(ISNUMBER(JK53),ISNUMBER(JI53)),JK53-JI53,"")</f>
        <v>0</v>
      </c>
      <c r="JK53" s="33"/>
      <c r="JL53" s="34">
        <f>IF(AND(ISNUMBER(JM53),ISNUMBER(JK53)),JM53-JK53,"")</f>
        <v>0</v>
      </c>
      <c r="JM53" s="33"/>
      <c r="JN53" s="34">
        <f>IF(AND(ISNUMBER(JO53),ISNUMBER(JM53)),JO53-JM53,"")</f>
        <v>0</v>
      </c>
      <c r="JO53" s="33"/>
      <c r="JP53" s="34">
        <f>IF(AND(ISNUMBER(JQ53),ISNUMBER(JO53)),JQ53-JO53,"")</f>
        <v>0</v>
      </c>
      <c r="JQ53" s="33"/>
      <c r="JR53" s="34">
        <f>IF(AND(ISNUMBER(JS53),ISNUMBER(JQ53)),JS53-JQ53,"")</f>
        <v>0</v>
      </c>
      <c r="JS53" s="33"/>
      <c r="JT53" s="34">
        <f>IF(AND(ISNUMBER(JU53),ISNUMBER(JS53)),JU53-JS53,"")</f>
        <v>0</v>
      </c>
      <c r="JU53" s="33"/>
      <c r="JV53" s="34">
        <f>IF(AND(ISNUMBER(JW53),ISNUMBER(JU53)),JW53-JU53,"")</f>
        <v>0</v>
      </c>
      <c r="JW53" s="33"/>
      <c r="JX53" s="34">
        <f>IF(AND(ISNUMBER(JY53),ISNUMBER(JW53)),JY53-JW53,"")</f>
        <v>0</v>
      </c>
      <c r="JY53" s="33"/>
      <c r="JZ53" s="34">
        <f>IF(AND(ISNUMBER(KA53),ISNUMBER(JY53)),KA53-JY53,"")</f>
        <v>0</v>
      </c>
      <c r="KA53" s="33"/>
      <c r="KB53" s="34">
        <f>IF(AND(ISNUMBER(KC53),ISNUMBER(KA53)),KC53-KA53,"")</f>
        <v>0</v>
      </c>
      <c r="KC53" s="33"/>
      <c r="KD53" s="34">
        <f>IF(AND(ISNUMBER(KE53),ISNUMBER(KC53)),KE53-KC53,"")</f>
        <v>0</v>
      </c>
      <c r="KE53" s="33"/>
      <c r="KF53" s="34">
        <f>IF(AND(ISNUMBER(KG53),ISNUMBER(KE53)),KG53-KE53,"")</f>
        <v>0</v>
      </c>
      <c r="KG53" s="33"/>
      <c r="KH53" s="34">
        <f>IF(AND(ISNUMBER(KI53),ISNUMBER(KG53)),KI53-KG53,"")</f>
        <v>0</v>
      </c>
      <c r="KI53" s="33"/>
      <c r="KJ53" s="34">
        <f>IF(AND(ISNUMBER(KK53),ISNUMBER(KI53)),KK53-KI53,"")</f>
        <v>0</v>
      </c>
      <c r="KK53" s="33"/>
      <c r="KL53" s="34">
        <f>IF(AND(ISNUMBER(KM53),ISNUMBER(KK53)),KM53-KK53,"")</f>
        <v>0</v>
      </c>
      <c r="KM53" s="33"/>
      <c r="KN53" s="34">
        <f>IF(AND(ISNUMBER(KO53),ISNUMBER(KM53)),KO53-KM53,"")</f>
        <v>0</v>
      </c>
      <c r="KO53" s="33"/>
      <c r="KP53" s="34">
        <f>IF(AND(ISNUMBER(KQ53),ISNUMBER(KO53)),KQ53-KO53,"")</f>
        <v>0</v>
      </c>
      <c r="KQ53" s="33"/>
      <c r="KR53" s="34">
        <f>IF(AND(ISNUMBER(KS53),ISNUMBER(KQ53)),KS53-KQ53,"")</f>
        <v>0</v>
      </c>
      <c r="KS53" s="33"/>
      <c r="KT53" s="34">
        <f>IF(AND(ISNUMBER(KU53),ISNUMBER(KS53)),KU53-KS53,"")</f>
        <v>0</v>
      </c>
      <c r="KU53" s="33"/>
      <c r="KV53" s="34">
        <f>IF(AND(ISNUMBER(KW53),ISNUMBER(KU53)),KW53-KU53,"")</f>
        <v>0</v>
      </c>
      <c r="KW53" s="33"/>
      <c r="KX53" s="34">
        <f>IF(AND(ISNUMBER(KY53),ISNUMBER(KW53)),KY53-KW53,"")</f>
        <v>0</v>
      </c>
      <c r="KY53" s="33"/>
      <c r="KZ53" s="34">
        <f>IF(AND(ISNUMBER(LA53),ISNUMBER(KY53)),LA53-KY53,"")</f>
        <v>0</v>
      </c>
      <c r="LA53" s="33"/>
      <c r="LB53" s="34">
        <f>IF(AND(ISNUMBER(LC53),ISNUMBER(LA53)),LC53-LA53,"")</f>
        <v>0</v>
      </c>
      <c r="LC53" s="33"/>
      <c r="LD53" s="34">
        <f>IF(AND(ISNUMBER(LE53),ISNUMBER(LC53)),LE53-LC53,"")</f>
        <v>0</v>
      </c>
      <c r="LE53" s="33"/>
      <c r="LF53" s="34">
        <f>IF(AND(ISNUMBER(LG53),ISNUMBER(LE53)),LG53-LE53,"")</f>
        <v>0</v>
      </c>
      <c r="LG53" s="33"/>
    </row>
    <row r="54" spans="1:322" hidden="1" outlineLevel="1">
      <c r="B54" s="23"/>
      <c r="D54" s="31" t="s">
        <v>725</v>
      </c>
      <c r="E54" s="32" t="s">
        <v>1060</v>
      </c>
      <c r="I54" s="40" t="s">
        <v>1078</v>
      </c>
      <c r="J54" s="34">
        <f>IF(AND(ISNUMBER(K54),ISNUMBER(I54)),K54-I54,"")</f>
        <v>0</v>
      </c>
      <c r="K54" s="40" t="s">
        <v>1078</v>
      </c>
      <c r="L54" s="34">
        <f>IF(AND(ISNUMBER(M54),ISNUMBER(K54)),M54-K54,"")</f>
        <v>0</v>
      </c>
      <c r="M54" s="40" t="s">
        <v>1078</v>
      </c>
      <c r="N54" s="34">
        <f>IF(AND(ISNUMBER(O54),ISNUMBER(M54)),O54-M54,"")</f>
        <v>0</v>
      </c>
      <c r="O54" s="40" t="s">
        <v>1078</v>
      </c>
      <c r="P54" s="34">
        <f>IF(AND(ISNUMBER(Q54),ISNUMBER(O54)),Q54-O54,"")</f>
        <v>0</v>
      </c>
      <c r="Q54" s="40" t="s">
        <v>1078</v>
      </c>
      <c r="R54" s="34">
        <f>IF(AND(ISNUMBER(S54),ISNUMBER(Q54)),S54-Q54,"")</f>
        <v>0</v>
      </c>
      <c r="S54" s="40" t="s">
        <v>1078</v>
      </c>
      <c r="T54" s="34">
        <f>IF(AND(ISNUMBER(U54),ISNUMBER(S54)),U54-S54,"")</f>
        <v>0</v>
      </c>
      <c r="U54" s="40" t="s">
        <v>1078</v>
      </c>
      <c r="V54" s="34">
        <f>IF(AND(ISNUMBER(W54),ISNUMBER(U54)),W54-U54,"")</f>
        <v>0</v>
      </c>
      <c r="W54" s="40" t="s">
        <v>1078</v>
      </c>
      <c r="X54" s="34">
        <f>IF(AND(ISNUMBER(Y54),ISNUMBER(W54)),Y54-W54,"")</f>
        <v>0</v>
      </c>
      <c r="Y54" s="40" t="s">
        <v>1078</v>
      </c>
      <c r="Z54" s="34">
        <f>IF(AND(ISNUMBER(AA54),ISNUMBER(Y54)),AA54-Y54,"")</f>
        <v>0</v>
      </c>
      <c r="AA54" s="40" t="s">
        <v>1078</v>
      </c>
      <c r="AB54" s="34">
        <f>IF(AND(ISNUMBER(AC54),ISNUMBER(AA54)),AC54-AA54,"")</f>
        <v>0</v>
      </c>
      <c r="AC54" s="40" t="s">
        <v>1078</v>
      </c>
      <c r="AD54" s="34">
        <f>IF(AND(ISNUMBER(AE54),ISNUMBER(AC54)),AE54-AC54,"")</f>
        <v>0</v>
      </c>
      <c r="AE54" s="40" t="s">
        <v>1078</v>
      </c>
      <c r="AF54" s="34">
        <f>IF(AND(ISNUMBER(AG54),ISNUMBER(AE54)),AG54-AE54,"")</f>
        <v>0</v>
      </c>
      <c r="AG54" s="40" t="s">
        <v>1078</v>
      </c>
      <c r="AH54" s="34">
        <f>IF(AND(ISNUMBER(AI54),ISNUMBER(AG54)),AI54-AG54,"")</f>
        <v>0</v>
      </c>
      <c r="AI54" s="40" t="s">
        <v>1078</v>
      </c>
      <c r="AJ54" s="34">
        <f>IF(AND(ISNUMBER(AK54),ISNUMBER(AI54)),AK54-AI54,"")</f>
        <v>0</v>
      </c>
      <c r="AK54" s="40" t="s">
        <v>1078</v>
      </c>
      <c r="AL54" s="34">
        <f>IF(AND(ISNUMBER(AM54),ISNUMBER(AK54)),AM54-AK54,"")</f>
        <v>0</v>
      </c>
      <c r="AM54" s="40" t="s">
        <v>1078</v>
      </c>
      <c r="AN54" s="34">
        <f>IF(AND(ISNUMBER(AO54),ISNUMBER(AM54)),AO54-AM54,"")</f>
        <v>0</v>
      </c>
      <c r="AO54" s="40" t="s">
        <v>1078</v>
      </c>
      <c r="AP54" s="34">
        <f>IF(AND(ISNUMBER(AQ54),ISNUMBER(AO54)),AQ54-AO54,"")</f>
        <v>0</v>
      </c>
      <c r="AQ54" s="40" t="s">
        <v>1078</v>
      </c>
      <c r="AR54" s="34">
        <f>IF(AND(ISNUMBER(AS54),ISNUMBER(AQ54)),AS54-AQ54,"")</f>
        <v>0</v>
      </c>
      <c r="AS54" s="33">
        <v>3</v>
      </c>
      <c r="AT54" s="34">
        <f>IF(AND(ISNUMBER(AU54),ISNUMBER(AS54)),AU54-AS54,"")</f>
        <v>0</v>
      </c>
      <c r="AU54" s="33">
        <v>1</v>
      </c>
      <c r="AV54" s="34">
        <f>IF(AND(ISNUMBER(AW54),ISNUMBER(AU54)),AW54-AU54,"")</f>
        <v>0</v>
      </c>
      <c r="AW54" s="33">
        <v>0</v>
      </c>
      <c r="AX54" s="34">
        <f>IF(AND(ISNUMBER(AY54),ISNUMBER(AW54)),AY54-AW54,"")</f>
        <v>0</v>
      </c>
      <c r="AY54" s="33">
        <v>0</v>
      </c>
      <c r="AZ54" s="34">
        <f>IF(AND(ISNUMBER(BA54),ISNUMBER(AY54)),BA54-AY54,"")</f>
        <v>0</v>
      </c>
      <c r="BA54" s="33">
        <v>0</v>
      </c>
      <c r="BB54" s="34">
        <f>IF(AND(ISNUMBER(BC54),ISNUMBER(BA54)),BC54-BA54,"")</f>
        <v>0</v>
      </c>
      <c r="BC54" s="33">
        <v>4</v>
      </c>
      <c r="BD54" s="34">
        <f>IF(AND(ISNUMBER(BE54),ISNUMBER(BC54)),BE54-BC54,"")</f>
        <v>0</v>
      </c>
      <c r="BE54" s="33">
        <v>6</v>
      </c>
      <c r="BF54" s="34">
        <f>IF(AND(ISNUMBER(BG54),ISNUMBER(BE54)),BG54-BE54,"")</f>
        <v>0</v>
      </c>
      <c r="BG54" s="33">
        <v>4</v>
      </c>
      <c r="BH54" s="34">
        <f>IF(AND(ISNUMBER(BI54),ISNUMBER(BG54)),BI54-BG54,"")</f>
        <v>0</v>
      </c>
      <c r="BI54" s="33">
        <v>6</v>
      </c>
      <c r="BJ54" s="34">
        <f>IF(AND(ISNUMBER(BK54),ISNUMBER(BI54)),BK54-BI54,"")</f>
        <v>0</v>
      </c>
      <c r="BK54" s="33">
        <v>4</v>
      </c>
      <c r="BL54" s="34">
        <f>IF(AND(ISNUMBER(BM54),ISNUMBER(BK54)),BM54-BK54,"")</f>
        <v>0</v>
      </c>
      <c r="BM54" s="33">
        <v>5</v>
      </c>
      <c r="BN54" s="34">
        <f>IF(AND(ISNUMBER(BO54),ISNUMBER(BM54)),BO54-BM54,"")</f>
        <v>0</v>
      </c>
      <c r="BO54" s="33">
        <v>1</v>
      </c>
      <c r="BP54" s="34">
        <f>IF(AND(ISNUMBER(BQ54),ISNUMBER(BO54)),BQ54-BO54,"")</f>
        <v>0</v>
      </c>
      <c r="BQ54" s="33">
        <v>7</v>
      </c>
      <c r="BR54" s="34">
        <f>IF(AND(ISNUMBER(BS54),ISNUMBER(BQ54)),BS54-BQ54,"")</f>
        <v>0</v>
      </c>
      <c r="BS54" s="33">
        <v>7</v>
      </c>
      <c r="BT54" s="34">
        <f>IF(AND(ISNUMBER(BU54),ISNUMBER(BS54)),BU54-BS54,"")</f>
        <v>0</v>
      </c>
      <c r="BU54" s="33">
        <v>7</v>
      </c>
      <c r="BV54" s="34">
        <f>IF(AND(ISNUMBER(BW54),ISNUMBER(BU54)),BW54-BU54,"")</f>
        <v>0</v>
      </c>
      <c r="BW54" s="33">
        <v>2</v>
      </c>
      <c r="BX54" s="34">
        <f>IF(AND(ISNUMBER(BY54),ISNUMBER(BW54)),BY54-BW54,"")</f>
        <v>0</v>
      </c>
      <c r="BY54" s="33">
        <v>3</v>
      </c>
      <c r="BZ54" s="34">
        <f>IF(AND(ISNUMBER(CA54),ISNUMBER(BY54)),CA54-BY54,"")</f>
        <v>0</v>
      </c>
      <c r="CA54" s="33">
        <v>3</v>
      </c>
      <c r="CB54" s="34">
        <f>IF(AND(ISNUMBER(CC54),ISNUMBER(CA54)),CC54-CA54,"")</f>
        <v>0</v>
      </c>
      <c r="CC54" s="33">
        <v>34</v>
      </c>
      <c r="CD54" s="34">
        <f>IF(AND(ISNUMBER(CE54),ISNUMBER(CC54)),CE54-CC54,"")</f>
        <v>0</v>
      </c>
      <c r="CE54" s="33">
        <v>13</v>
      </c>
      <c r="CF54" s="34">
        <f>IF(AND(ISNUMBER(CG54),ISNUMBER(CE54)),CG54-CE54,"")</f>
        <v>0</v>
      </c>
      <c r="CG54" s="33">
        <v>13</v>
      </c>
      <c r="CH54" s="34">
        <f>IF(AND(ISNUMBER(CI54),ISNUMBER(CG54)),CI54-CG54,"")</f>
        <v>0</v>
      </c>
      <c r="CI54" s="33">
        <v>1</v>
      </c>
      <c r="CJ54" s="34">
        <f>IF(AND(ISNUMBER(CK54),ISNUMBER(CI54)),CK54-CI54,"")</f>
        <v>0</v>
      </c>
      <c r="CK54" s="33">
        <v>3</v>
      </c>
      <c r="CL54" s="34">
        <f>IF(AND(ISNUMBER(CM54),ISNUMBER(CK54)),CM54-CK54,"")</f>
        <v>0</v>
      </c>
      <c r="CM54" s="33">
        <v>3</v>
      </c>
      <c r="CN54" s="34">
        <f>IF(AND(ISNUMBER(CO54),ISNUMBER(CM54)),CO54-CM54,"")</f>
        <v>0</v>
      </c>
      <c r="CO54" s="33">
        <v>3</v>
      </c>
      <c r="CP54" s="34">
        <f>IF(AND(ISNUMBER(CQ54),ISNUMBER(CO54)),CQ54-CO54,"")</f>
        <v>0</v>
      </c>
      <c r="CQ54" s="33">
        <v>3</v>
      </c>
      <c r="CR54" s="34">
        <f>IF(AND(ISNUMBER(CS54),ISNUMBER(CQ54)),CS54-CQ54,"")</f>
        <v>0</v>
      </c>
      <c r="CS54" s="33">
        <v>3</v>
      </c>
      <c r="CT54" s="34">
        <f>IF(AND(ISNUMBER(CU54),ISNUMBER(CS54)),CU54-CS54,"")</f>
        <v>0</v>
      </c>
      <c r="CU54" s="33">
        <v>3</v>
      </c>
      <c r="CV54" s="34">
        <f>IF(AND(ISNUMBER(CW54),ISNUMBER(CU54)),CW54-CU54,"")</f>
        <v>0</v>
      </c>
      <c r="CW54" s="33">
        <v>3</v>
      </c>
      <c r="CX54" s="34">
        <f>IF(AND(ISNUMBER(CY54),ISNUMBER(CW54)),CY54-CW54,"")</f>
        <v>0</v>
      </c>
      <c r="CY54" s="33">
        <v>3</v>
      </c>
      <c r="CZ54" s="34">
        <f>IF(AND(ISNUMBER(DA54),ISNUMBER(CY54)),DA54-CY54,"")</f>
        <v>0</v>
      </c>
      <c r="DA54" s="33"/>
      <c r="DB54" s="34">
        <f>IF(AND(ISNUMBER(DC54),ISNUMBER(DA54)),DC54-DA54,"")</f>
        <v>0</v>
      </c>
      <c r="DC54" s="33"/>
      <c r="DD54" s="34">
        <f>IF(AND(ISNUMBER(DE54),ISNUMBER(DC54)),DE54-DC54,"")</f>
        <v>0</v>
      </c>
      <c r="DE54" s="33"/>
      <c r="DF54" s="34">
        <f>IF(AND(ISNUMBER(DG54),ISNUMBER(DE54)),DG54-DE54,"")</f>
        <v>0</v>
      </c>
      <c r="DG54" s="33"/>
      <c r="DH54" s="34">
        <f>IF(AND(ISNUMBER(DI54),ISNUMBER(DG54)),DI54-DG54,"")</f>
        <v>0</v>
      </c>
      <c r="DI54" s="33"/>
      <c r="DJ54" s="34">
        <f>IF(AND(ISNUMBER(DK54),ISNUMBER(DI54)),DK54-DI54,"")</f>
        <v>0</v>
      </c>
      <c r="DK54" s="33"/>
      <c r="DL54" s="34">
        <f>IF(AND(ISNUMBER(DM54),ISNUMBER(DK54)),DM54-DK54,"")</f>
        <v>0</v>
      </c>
      <c r="DM54" s="33"/>
      <c r="DN54" s="34">
        <f>IF(AND(ISNUMBER(DO54),ISNUMBER(DM54)),DO54-DM54,"")</f>
        <v>0</v>
      </c>
      <c r="DO54" s="33"/>
      <c r="DP54" s="34">
        <f>IF(AND(ISNUMBER(DQ54),ISNUMBER(DO54)),DQ54-DO54,"")</f>
        <v>0</v>
      </c>
      <c r="DQ54" s="33"/>
      <c r="DR54" s="34">
        <f>IF(AND(ISNUMBER(DS54),ISNUMBER(DQ54)),DS54-DQ54,"")</f>
        <v>0</v>
      </c>
      <c r="DS54" s="33"/>
      <c r="DT54" s="34">
        <f>IF(AND(ISNUMBER(DU54),ISNUMBER(DS54)),DU54-DS54,"")</f>
        <v>0</v>
      </c>
      <c r="DU54" s="33"/>
      <c r="DV54" s="34">
        <f>IF(AND(ISNUMBER(DW54),ISNUMBER(DU54)),DW54-DU54,"")</f>
        <v>0</v>
      </c>
      <c r="DW54" s="33"/>
      <c r="DX54" s="34">
        <f>IF(AND(ISNUMBER(DY54),ISNUMBER(DW54)),DY54-DW54,"")</f>
        <v>0</v>
      </c>
      <c r="DY54" s="33">
        <v>6</v>
      </c>
      <c r="DZ54" s="34">
        <f>IF(AND(ISNUMBER(EA54),ISNUMBER(DY54)),EA54-DY54,"")</f>
        <v>0</v>
      </c>
      <c r="EA54" s="33"/>
      <c r="EB54" s="34">
        <f>IF(AND(ISNUMBER(EC54),ISNUMBER(EA54)),EC54-EA54,"")</f>
        <v>0</v>
      </c>
      <c r="EC54" s="33"/>
      <c r="ED54" s="34">
        <f>IF(AND(ISNUMBER(EE54),ISNUMBER(EC54)),EE54-EC54,"")</f>
        <v>0</v>
      </c>
      <c r="EE54" s="33">
        <v>8</v>
      </c>
      <c r="EF54" s="34">
        <f>IF(AND(ISNUMBER(EG54),ISNUMBER(EE54)),EG54-EE54,"")</f>
        <v>0</v>
      </c>
      <c r="EG54" s="33"/>
      <c r="EH54" s="34">
        <f>IF(AND(ISNUMBER(EI54),ISNUMBER(EG54)),EI54-EG54,"")</f>
        <v>0</v>
      </c>
      <c r="EI54" s="33"/>
      <c r="EJ54" s="34">
        <f>IF(AND(ISNUMBER(EK54),ISNUMBER(EI54)),EK54-EI54,"")</f>
        <v>0</v>
      </c>
      <c r="EK54" s="33"/>
      <c r="EL54" s="34">
        <f>IF(AND(ISNUMBER(EM54),ISNUMBER(EK54)),EM54-EK54,"")</f>
        <v>0</v>
      </c>
      <c r="EM54" s="33"/>
      <c r="EN54" s="34">
        <f>IF(AND(ISNUMBER(EO54),ISNUMBER(EM54)),EO54-EM54,"")</f>
        <v>0</v>
      </c>
      <c r="EO54" s="33"/>
      <c r="EP54" s="34">
        <f>IF(AND(ISNUMBER(EQ54),ISNUMBER(EO54)),EQ54-EO54,"")</f>
        <v>0</v>
      </c>
      <c r="EQ54" s="33"/>
      <c r="ER54" s="34">
        <f>IF(AND(ISNUMBER(ES54),ISNUMBER(EQ54)),ES54-EQ54,"")</f>
        <v>0</v>
      </c>
      <c r="ES54" s="33"/>
      <c r="ET54" s="34">
        <f>IF(AND(ISNUMBER(EU54),ISNUMBER(ES54)),EU54-ES54,"")</f>
        <v>0</v>
      </c>
      <c r="EU54" s="33"/>
      <c r="EV54" s="34">
        <f>IF(AND(ISNUMBER(EW54),ISNUMBER(EU54)),EW54-EU54,"")</f>
        <v>0</v>
      </c>
      <c r="EW54" s="33"/>
      <c r="EX54" s="34">
        <f>IF(AND(ISNUMBER(EY54),ISNUMBER(EW54)),EY54-EW54,"")</f>
        <v>0</v>
      </c>
      <c r="EY54" s="33"/>
      <c r="EZ54" s="34">
        <f>IF(AND(ISNUMBER(FA54),ISNUMBER(EY54)),FA54-EY54,"")</f>
        <v>0</v>
      </c>
      <c r="FA54" s="33"/>
      <c r="FB54" s="34">
        <f>IF(AND(ISNUMBER(FC54),ISNUMBER(FA54)),FC54-FA54,"")</f>
        <v>0</v>
      </c>
      <c r="FC54" s="33"/>
      <c r="FD54" s="34">
        <f>IF(AND(ISNUMBER(FE54),ISNUMBER(FC54)),FE54-FC54,"")</f>
        <v>0</v>
      </c>
      <c r="FE54" s="33"/>
      <c r="FF54" s="34">
        <f>IF(AND(ISNUMBER(FG54),ISNUMBER(FE54)),FG54-FE54,"")</f>
        <v>0</v>
      </c>
      <c r="FG54" s="33"/>
      <c r="FH54" s="34">
        <f>IF(AND(ISNUMBER(FI54),ISNUMBER(FG54)),FI54-FG54,"")</f>
        <v>0</v>
      </c>
      <c r="FI54" s="33"/>
      <c r="FJ54" s="34">
        <f>IF(AND(ISNUMBER(FK54),ISNUMBER(FI54)),FK54-FI54,"")</f>
        <v>0</v>
      </c>
      <c r="FK54" s="33"/>
      <c r="FL54" s="34">
        <f>IF(AND(ISNUMBER(FM54),ISNUMBER(FK54)),FM54-FK54,"")</f>
        <v>0</v>
      </c>
      <c r="FM54" s="33"/>
      <c r="FN54" s="34">
        <f>IF(AND(ISNUMBER(FO54),ISNUMBER(FM54)),FO54-FM54,"")</f>
        <v>0</v>
      </c>
      <c r="FO54" s="33"/>
      <c r="FP54" s="34">
        <f>IF(AND(ISNUMBER(FQ54),ISNUMBER(FO54)),FQ54-FO54,"")</f>
        <v>0</v>
      </c>
      <c r="FQ54" s="33"/>
      <c r="FR54" s="34">
        <f>IF(AND(ISNUMBER(FS54),ISNUMBER(FQ54)),FS54-FQ54,"")</f>
        <v>0</v>
      </c>
      <c r="FS54" s="33"/>
      <c r="FT54" s="34">
        <f>IF(AND(ISNUMBER(FU54),ISNUMBER(FS54)),FU54-FS54,"")</f>
        <v>0</v>
      </c>
      <c r="FU54" s="33"/>
      <c r="FV54" s="34">
        <f>IF(AND(ISNUMBER(FW54),ISNUMBER(FU54)),FW54-FU54,"")</f>
        <v>0</v>
      </c>
      <c r="FW54" s="33"/>
      <c r="FX54" s="34">
        <f>IF(AND(ISNUMBER(FY54),ISNUMBER(FW54)),FY54-FW54,"")</f>
        <v>0</v>
      </c>
      <c r="FY54" s="33"/>
      <c r="FZ54" s="34">
        <f>IF(AND(ISNUMBER(GA54),ISNUMBER(FY54)),GA54-FY54,"")</f>
        <v>0</v>
      </c>
      <c r="GA54" s="33"/>
      <c r="GB54" s="34">
        <f>IF(AND(ISNUMBER(GC54),ISNUMBER(GA54)),GC54-GA54,"")</f>
        <v>0</v>
      </c>
      <c r="GC54" s="33"/>
      <c r="GD54" s="34">
        <f>IF(AND(ISNUMBER(GE54),ISNUMBER(GC54)),GE54-GC54,"")</f>
        <v>0</v>
      </c>
      <c r="GE54" s="33"/>
      <c r="GF54" s="34">
        <f>IF(AND(ISNUMBER(GG54),ISNUMBER(GE54)),GG54-GE54,"")</f>
        <v>0</v>
      </c>
      <c r="GG54" s="33"/>
      <c r="GH54" s="34">
        <f>IF(AND(ISNUMBER(GI54),ISNUMBER(GG54)),GI54-GG54,"")</f>
        <v>0</v>
      </c>
      <c r="GI54" s="33"/>
      <c r="GJ54" s="34">
        <f>IF(AND(ISNUMBER(GK54),ISNUMBER(GI54)),GK54-GI54,"")</f>
        <v>0</v>
      </c>
      <c r="GK54" s="33"/>
      <c r="GL54" s="34">
        <f>IF(AND(ISNUMBER(GM54),ISNUMBER(GK54)),GM54-GK54,"")</f>
        <v>0</v>
      </c>
      <c r="GM54" s="33"/>
      <c r="GN54" s="34">
        <f>IF(AND(ISNUMBER(GO54),ISNUMBER(GM54)),GO54-GM54,"")</f>
        <v>0</v>
      </c>
      <c r="GO54" s="33"/>
      <c r="GP54" s="34">
        <f>IF(AND(ISNUMBER(GQ54),ISNUMBER(GO54)),GQ54-GO54,"")</f>
        <v>0</v>
      </c>
      <c r="GQ54" s="33"/>
      <c r="GR54" s="34">
        <f>IF(AND(ISNUMBER(GS54),ISNUMBER(GQ54)),GS54-GQ54,"")</f>
        <v>0</v>
      </c>
      <c r="GS54" s="33"/>
      <c r="GT54" s="34">
        <f>IF(AND(ISNUMBER(GU54),ISNUMBER(GS54)),GU54-GS54,"")</f>
        <v>0</v>
      </c>
      <c r="GU54" s="33"/>
      <c r="GV54" s="34">
        <f>IF(AND(ISNUMBER(GW54),ISNUMBER(GU54)),GW54-GU54,"")</f>
        <v>0</v>
      </c>
      <c r="GW54" s="33"/>
      <c r="GX54" s="34">
        <f>IF(AND(ISNUMBER(GY54),ISNUMBER(GW54)),GY54-GW54,"")</f>
        <v>0</v>
      </c>
      <c r="GY54" s="33"/>
      <c r="GZ54" s="34">
        <f>IF(AND(ISNUMBER(HA54),ISNUMBER(GY54)),HA54-GY54,"")</f>
        <v>0</v>
      </c>
      <c r="HA54" s="33"/>
      <c r="HB54" s="34">
        <f>IF(AND(ISNUMBER(HC54),ISNUMBER(HA54)),HC54-HA54,"")</f>
        <v>0</v>
      </c>
      <c r="HC54" s="33"/>
      <c r="HD54" s="34">
        <f>IF(AND(ISNUMBER(HE54),ISNUMBER(HC54)),HE54-HC54,"")</f>
        <v>0</v>
      </c>
      <c r="HE54" s="33"/>
      <c r="HF54" s="34">
        <f>IF(AND(ISNUMBER(HG54),ISNUMBER(HE54)),HG54-HE54,"")</f>
        <v>0</v>
      </c>
      <c r="HG54" s="33"/>
      <c r="HH54" s="34">
        <f>IF(AND(ISNUMBER(HI54),ISNUMBER(HG54)),HI54-HG54,"")</f>
        <v>0</v>
      </c>
      <c r="HI54" s="33"/>
      <c r="HJ54" s="34">
        <f>IF(AND(ISNUMBER(HK54),ISNUMBER(HI54)),HK54-HI54,"")</f>
        <v>0</v>
      </c>
      <c r="HK54" s="33"/>
      <c r="HL54" s="34">
        <f>IF(AND(ISNUMBER(HM54),ISNUMBER(HK54)),HM54-HK54,"")</f>
        <v>0</v>
      </c>
      <c r="HM54" s="33"/>
      <c r="HN54" s="34">
        <f>IF(AND(ISNUMBER(HO54),ISNUMBER(HM54)),HO54-HM54,"")</f>
        <v>0</v>
      </c>
      <c r="HO54" s="33"/>
      <c r="HP54" s="34">
        <f>IF(AND(ISNUMBER(HQ54),ISNUMBER(HO54)),HQ54-HO54,"")</f>
        <v>0</v>
      </c>
      <c r="HQ54" s="33"/>
      <c r="HR54" s="34">
        <f>IF(AND(ISNUMBER(HS54),ISNUMBER(HQ54)),HS54-HQ54,"")</f>
        <v>0</v>
      </c>
      <c r="HS54" s="33"/>
      <c r="HT54" s="34">
        <f>IF(AND(ISNUMBER(HU54),ISNUMBER(HS54)),HU54-HS54,"")</f>
        <v>0</v>
      </c>
      <c r="HU54" s="33"/>
      <c r="HV54" s="34">
        <f>IF(AND(ISNUMBER(HW54),ISNUMBER(HU54)),HW54-HU54,"")</f>
        <v>0</v>
      </c>
      <c r="HW54" s="33"/>
      <c r="HX54" s="34">
        <f>IF(AND(ISNUMBER(HY54),ISNUMBER(HW54)),HY54-HW54,"")</f>
        <v>0</v>
      </c>
      <c r="HY54" s="33"/>
      <c r="HZ54" s="34">
        <f>IF(AND(ISNUMBER(IA54),ISNUMBER(HY54)),IA54-HY54,"")</f>
        <v>0</v>
      </c>
      <c r="IA54" s="33"/>
      <c r="IB54" s="34">
        <f>IF(AND(ISNUMBER(IC54),ISNUMBER(IA54)),IC54-IA54,"")</f>
        <v>0</v>
      </c>
      <c r="IC54" s="33"/>
      <c r="ID54" s="34">
        <f>IF(AND(ISNUMBER(IE54),ISNUMBER(IC54)),IE54-IC54,"")</f>
        <v>0</v>
      </c>
      <c r="IE54" s="33"/>
      <c r="IF54" s="34">
        <f>IF(AND(ISNUMBER(IG54),ISNUMBER(IE54)),IG54-IE54,"")</f>
        <v>0</v>
      </c>
      <c r="IG54" s="33"/>
      <c r="IH54" s="34">
        <f>IF(AND(ISNUMBER(II54),ISNUMBER(IG54)),II54-IG54,"")</f>
        <v>0</v>
      </c>
      <c r="II54" s="33"/>
      <c r="IJ54" s="34">
        <f>IF(AND(ISNUMBER(IK54),ISNUMBER(II54)),IK54-II54,"")</f>
        <v>0</v>
      </c>
      <c r="IK54" s="33"/>
      <c r="IL54" s="34">
        <f>IF(AND(ISNUMBER(IM54),ISNUMBER(IK54)),IM54-IK54,"")</f>
        <v>0</v>
      </c>
      <c r="IM54" s="33"/>
      <c r="IN54" s="34">
        <f>IF(AND(ISNUMBER(IO54),ISNUMBER(IM54)),IO54-IM54,"")</f>
        <v>0</v>
      </c>
      <c r="IO54" s="33"/>
      <c r="IP54" s="34">
        <f>IF(AND(ISNUMBER(IQ54),ISNUMBER(IO54)),IQ54-IO54,"")</f>
        <v>0</v>
      </c>
      <c r="IQ54" s="33"/>
      <c r="IR54" s="34">
        <f>IF(AND(ISNUMBER(IS54),ISNUMBER(IQ54)),IS54-IQ54,"")</f>
        <v>0</v>
      </c>
      <c r="IS54" s="33"/>
      <c r="IT54" s="34">
        <f>IF(AND(ISNUMBER(IU54),ISNUMBER(IS54)),IU54-IS54,"")</f>
        <v>0</v>
      </c>
      <c r="IU54" s="33"/>
      <c r="IV54" s="34">
        <f>IF(AND(ISNUMBER(IW54),ISNUMBER(IU54)),IW54-IU54,"")</f>
        <v>0</v>
      </c>
      <c r="IW54" s="33"/>
      <c r="IX54" s="34">
        <f>IF(AND(ISNUMBER(IY54),ISNUMBER(IW54)),IY54-IW54,"")</f>
        <v>0</v>
      </c>
      <c r="IY54" s="33"/>
      <c r="IZ54" s="34">
        <f>IF(AND(ISNUMBER(JA54),ISNUMBER(IY54)),JA54-IY54,"")</f>
        <v>0</v>
      </c>
      <c r="JA54" s="33"/>
      <c r="JB54" s="34">
        <f>IF(AND(ISNUMBER(JC54),ISNUMBER(JA54)),JC54-JA54,"")</f>
        <v>0</v>
      </c>
      <c r="JC54" s="33"/>
      <c r="JD54" s="34">
        <f>IF(AND(ISNUMBER(JE54),ISNUMBER(JC54)),JE54-JC54,"")</f>
        <v>0</v>
      </c>
      <c r="JE54" s="33"/>
      <c r="JF54" s="34">
        <f>IF(AND(ISNUMBER(JG54),ISNUMBER(JE54)),JG54-JE54,"")</f>
        <v>0</v>
      </c>
      <c r="JG54" s="33"/>
      <c r="JH54" s="34">
        <f>IF(AND(ISNUMBER(JI54),ISNUMBER(JG54)),JI54-JG54,"")</f>
        <v>0</v>
      </c>
      <c r="JI54" s="33"/>
      <c r="JJ54" s="34">
        <f>IF(AND(ISNUMBER(JK54),ISNUMBER(JI54)),JK54-JI54,"")</f>
        <v>0</v>
      </c>
      <c r="JK54" s="33"/>
      <c r="JL54" s="34">
        <f>IF(AND(ISNUMBER(JM54),ISNUMBER(JK54)),JM54-JK54,"")</f>
        <v>0</v>
      </c>
      <c r="JM54" s="33"/>
      <c r="JN54" s="34">
        <f>IF(AND(ISNUMBER(JO54),ISNUMBER(JM54)),JO54-JM54,"")</f>
        <v>0</v>
      </c>
      <c r="JO54" s="33"/>
      <c r="JP54" s="34">
        <f>IF(AND(ISNUMBER(JQ54),ISNUMBER(JO54)),JQ54-JO54,"")</f>
        <v>0</v>
      </c>
      <c r="JQ54" s="33"/>
      <c r="JR54" s="34">
        <f>IF(AND(ISNUMBER(JS54),ISNUMBER(JQ54)),JS54-JQ54,"")</f>
        <v>0</v>
      </c>
      <c r="JS54" s="33"/>
      <c r="JT54" s="34">
        <f>IF(AND(ISNUMBER(JU54),ISNUMBER(JS54)),JU54-JS54,"")</f>
        <v>0</v>
      </c>
      <c r="JU54" s="33"/>
      <c r="JV54" s="34">
        <f>IF(AND(ISNUMBER(JW54),ISNUMBER(JU54)),JW54-JU54,"")</f>
        <v>0</v>
      </c>
      <c r="JW54" s="33"/>
      <c r="JX54" s="34">
        <f>IF(AND(ISNUMBER(JY54),ISNUMBER(JW54)),JY54-JW54,"")</f>
        <v>0</v>
      </c>
      <c r="JY54" s="33"/>
      <c r="JZ54" s="34">
        <f>IF(AND(ISNUMBER(KA54),ISNUMBER(JY54)),KA54-JY54,"")</f>
        <v>0</v>
      </c>
      <c r="KA54" s="33"/>
      <c r="KB54" s="34">
        <f>IF(AND(ISNUMBER(KC54),ISNUMBER(KA54)),KC54-KA54,"")</f>
        <v>0</v>
      </c>
      <c r="KC54" s="33"/>
      <c r="KD54" s="34">
        <f>IF(AND(ISNUMBER(KE54),ISNUMBER(KC54)),KE54-KC54,"")</f>
        <v>0</v>
      </c>
      <c r="KE54" s="33"/>
      <c r="KF54" s="34">
        <f>IF(AND(ISNUMBER(KG54),ISNUMBER(KE54)),KG54-KE54,"")</f>
        <v>0</v>
      </c>
      <c r="KG54" s="33"/>
      <c r="KH54" s="34">
        <f>IF(AND(ISNUMBER(KI54),ISNUMBER(KG54)),KI54-KG54,"")</f>
        <v>0</v>
      </c>
      <c r="KI54" s="33"/>
      <c r="KJ54" s="34">
        <f>IF(AND(ISNUMBER(KK54),ISNUMBER(KI54)),KK54-KI54,"")</f>
        <v>0</v>
      </c>
      <c r="KK54" s="33"/>
      <c r="KL54" s="34">
        <f>IF(AND(ISNUMBER(KM54),ISNUMBER(KK54)),KM54-KK54,"")</f>
        <v>0</v>
      </c>
      <c r="KM54" s="33"/>
      <c r="KN54" s="34">
        <f>IF(AND(ISNUMBER(KO54),ISNUMBER(KM54)),KO54-KM54,"")</f>
        <v>0</v>
      </c>
      <c r="KO54" s="33"/>
      <c r="KP54" s="34">
        <f>IF(AND(ISNUMBER(KQ54),ISNUMBER(KO54)),KQ54-KO54,"")</f>
        <v>0</v>
      </c>
      <c r="KQ54" s="33"/>
      <c r="KR54" s="34">
        <f>IF(AND(ISNUMBER(KS54),ISNUMBER(KQ54)),KS54-KQ54,"")</f>
        <v>0</v>
      </c>
      <c r="KS54" s="33"/>
      <c r="KT54" s="34">
        <f>IF(AND(ISNUMBER(KU54),ISNUMBER(KS54)),KU54-KS54,"")</f>
        <v>0</v>
      </c>
      <c r="KU54" s="33"/>
      <c r="KV54" s="34">
        <f>IF(AND(ISNUMBER(KW54),ISNUMBER(KU54)),KW54-KU54,"")</f>
        <v>0</v>
      </c>
      <c r="KW54" s="33"/>
      <c r="KX54" s="34">
        <f>IF(AND(ISNUMBER(KY54),ISNUMBER(KW54)),KY54-KW54,"")</f>
        <v>0</v>
      </c>
      <c r="KY54" s="33"/>
      <c r="KZ54" s="34">
        <f>IF(AND(ISNUMBER(LA54),ISNUMBER(KY54)),LA54-KY54,"")</f>
        <v>0</v>
      </c>
      <c r="LA54" s="33"/>
      <c r="LB54" s="34">
        <f>IF(AND(ISNUMBER(LC54),ISNUMBER(LA54)),LC54-LA54,"")</f>
        <v>0</v>
      </c>
      <c r="LC54" s="33"/>
      <c r="LD54" s="34">
        <f>IF(AND(ISNUMBER(LE54),ISNUMBER(LC54)),LE54-LC54,"")</f>
        <v>0</v>
      </c>
      <c r="LE54" s="33"/>
      <c r="LF54" s="34">
        <f>IF(AND(ISNUMBER(LG54),ISNUMBER(LE54)),LG54-LE54,"")</f>
        <v>0</v>
      </c>
      <c r="LG54" s="33"/>
      <c r="LJ54" s="35" t="s">
        <v>1085</v>
      </c>
    </row>
    <row r="55" spans="1:322" hidden="1" outlineLevel="1">
      <c r="A55" s="36" t="s">
        <v>770</v>
      </c>
      <c r="B55" s="23"/>
      <c r="C55" s="37" t="s">
        <v>728</v>
      </c>
      <c r="E55" s="32" t="s">
        <v>1081</v>
      </c>
      <c r="F55" s="38">
        <f>MIN(F56:F62)</f>
        <v>45689.0</v>
      </c>
      <c r="H55" s="38" t="s">
        <v>1082</v>
      </c>
      <c r="I55" s="33">
        <v>167</v>
      </c>
      <c r="J55" s="34">
        <f>IF(AND(ISNUMBER(K55),ISNUMBER(I55)),K55-I55,"")</f>
        <v>0</v>
      </c>
      <c r="K55" s="33">
        <v>97</v>
      </c>
      <c r="L55" s="34">
        <f>IF(AND(ISNUMBER(M55),ISNUMBER(K55)),M55-K55,"")</f>
        <v>0</v>
      </c>
      <c r="M55" s="33">
        <v>74</v>
      </c>
      <c r="N55" s="34">
        <f>IF(AND(ISNUMBER(O55),ISNUMBER(M55)),O55-M55,"")</f>
        <v>0</v>
      </c>
      <c r="O55" s="33">
        <v>47</v>
      </c>
      <c r="P55" s="34">
        <f>IF(AND(ISNUMBER(Q55),ISNUMBER(O55)),Q55-O55,"")</f>
        <v>0</v>
      </c>
      <c r="Q55" s="33">
        <v>60</v>
      </c>
      <c r="R55" s="34">
        <f>IF(AND(ISNUMBER(S55),ISNUMBER(Q55)),S55-Q55,"")</f>
        <v>0</v>
      </c>
      <c r="S55" s="33">
        <v>56</v>
      </c>
      <c r="T55" s="34">
        <f>IF(AND(ISNUMBER(U55),ISNUMBER(S55)),U55-S55,"")</f>
        <v>0</v>
      </c>
      <c r="U55" s="33">
        <v>75</v>
      </c>
      <c r="V55" s="34">
        <f>IF(AND(ISNUMBER(W55),ISNUMBER(U55)),W55-U55,"")</f>
        <v>0</v>
      </c>
      <c r="W55" s="33">
        <v>62</v>
      </c>
      <c r="X55" s="34">
        <f>IF(AND(ISNUMBER(Y55),ISNUMBER(W55)),Y55-W55,"")</f>
        <v>0</v>
      </c>
      <c r="Y55" s="40" t="s">
        <v>1088</v>
      </c>
      <c r="Z55" s="34">
        <f>IF(AND(ISNUMBER(AA55),ISNUMBER(Y55)),AA55-Y55,"")</f>
        <v>0</v>
      </c>
      <c r="AA55" s="40" t="s">
        <v>1088</v>
      </c>
      <c r="AB55" s="34">
        <f>IF(AND(ISNUMBER(AC55),ISNUMBER(AA55)),AC55-AA55,"")</f>
        <v>0</v>
      </c>
      <c r="AC55" s="33">
        <v>59</v>
      </c>
      <c r="AD55" s="34">
        <f>IF(AND(ISNUMBER(AE55),ISNUMBER(AC55)),AE55-AC55,"")</f>
        <v>0</v>
      </c>
      <c r="AE55" s="33">
        <v>59</v>
      </c>
      <c r="AF55" s="34">
        <f>IF(AND(ISNUMBER(AG55),ISNUMBER(AE55)),AG55-AE55,"")</f>
        <v>0</v>
      </c>
      <c r="AG55" s="33">
        <v>65</v>
      </c>
      <c r="AH55" s="34">
        <f>IF(AND(ISNUMBER(AI55),ISNUMBER(AG55)),AI55-AG55,"")</f>
        <v>0</v>
      </c>
      <c r="AI55" s="33">
        <v>68</v>
      </c>
      <c r="AJ55" s="34">
        <f>IF(AND(ISNUMBER(AK55),ISNUMBER(AI55)),AK55-AI55,"")</f>
        <v>0</v>
      </c>
      <c r="AK55" s="33">
        <v>61</v>
      </c>
      <c r="AL55" s="34">
        <f>IF(AND(ISNUMBER(AM55),ISNUMBER(AK55)),AM55-AK55,"")</f>
        <v>0</v>
      </c>
      <c r="AM55" s="33">
        <v>58</v>
      </c>
      <c r="AN55" s="34">
        <f>IF(AND(ISNUMBER(AO55),ISNUMBER(AM55)),AO55-AM55,"")</f>
        <v>0</v>
      </c>
      <c r="AO55" s="33">
        <v>70</v>
      </c>
      <c r="AP55" s="34">
        <f>IF(AND(ISNUMBER(AQ55),ISNUMBER(AO55)),AQ55-AO55,"")</f>
        <v>0</v>
      </c>
      <c r="AQ55" s="33">
        <v>102</v>
      </c>
      <c r="AR55" s="34">
        <f>IF(AND(ISNUMBER(AS55),ISNUMBER(AQ55)),AS55-AQ55,"")</f>
        <v>0</v>
      </c>
      <c r="AS55" s="39">
        <f>IF(COUNT(AS56:AS62)=0,"",SUM(AS56:AS62))</f>
        <v>0</v>
      </c>
      <c r="AT55" s="34">
        <f>IF(AND(ISNUMBER(AU55),ISNUMBER(AS55)),AU55-AS55,"")</f>
        <v>0</v>
      </c>
      <c r="AU55" s="39">
        <f>IF(COUNT(AU56:AU62)=0,"",SUM(AU56:AU62))</f>
        <v>0</v>
      </c>
      <c r="AV55" s="34">
        <f>IF(AND(ISNUMBER(AW55),ISNUMBER(AU55)),AW55-AU55,"")</f>
        <v>0</v>
      </c>
      <c r="AW55" s="39">
        <f>IF(COUNT(AW56:AW62)=0,"",SUM(AW56:AW62))</f>
        <v>0</v>
      </c>
      <c r="AX55" s="34">
        <f>IF(AND(ISNUMBER(AY55),ISNUMBER(AW55)),AY55-AW55,"")</f>
        <v>0</v>
      </c>
      <c r="AY55" s="39">
        <f>IF(COUNT(AY56:AY62)=0,"",SUM(AY56:AY62))</f>
        <v>0</v>
      </c>
      <c r="AZ55" s="34">
        <f>IF(AND(ISNUMBER(BA55),ISNUMBER(AY55)),BA55-AY55,"")</f>
        <v>0</v>
      </c>
      <c r="BA55" s="39">
        <f>IF(COUNT(BA56:BA62)=0,"",SUM(BA56:BA62))</f>
        <v>0</v>
      </c>
      <c r="BB55" s="34">
        <f>IF(AND(ISNUMBER(BC55),ISNUMBER(BA55)),BC55-BA55,"")</f>
        <v>0</v>
      </c>
      <c r="BC55" s="40" t="s">
        <v>1078</v>
      </c>
      <c r="BD55" s="34">
        <f>IF(AND(ISNUMBER(BE55),ISNUMBER(BC55)),BE55-BC55,"")</f>
        <v>0</v>
      </c>
      <c r="BE55" s="39">
        <f>IF(COUNT(BE56:BE62)=0,"",SUM(BE56:BE62))</f>
        <v>0</v>
      </c>
      <c r="BF55" s="34">
        <f>IF(AND(ISNUMBER(BG55),ISNUMBER(BE55)),BG55-BE55,"")</f>
        <v>0</v>
      </c>
      <c r="BG55" s="39">
        <f>IF(COUNT(BG56:BG62)=0,"",SUM(BG56:BG62))</f>
        <v>0</v>
      </c>
      <c r="BH55" s="34">
        <f>IF(AND(ISNUMBER(BI55),ISNUMBER(BG55)),BI55-BG55,"")</f>
        <v>0</v>
      </c>
      <c r="BI55" s="39">
        <f>IF(COUNT(BI56:BI62)=0,"",SUM(BI56:BI62))</f>
        <v>0</v>
      </c>
      <c r="BJ55" s="34">
        <f>IF(AND(ISNUMBER(BK55),ISNUMBER(BI55)),BK55-BI55,"")</f>
        <v>0</v>
      </c>
      <c r="BK55" s="39">
        <f>IF(COUNT(BK56:BK62)=0,"",SUM(BK56:BK62))</f>
        <v>0</v>
      </c>
      <c r="BL55" s="34">
        <f>IF(AND(ISNUMBER(BM55),ISNUMBER(BK55)),BM55-BK55,"")</f>
        <v>0</v>
      </c>
      <c r="BM55" s="39">
        <f>IF(COUNT(BM56:BM62)=0,"",SUM(BM56:BM62))</f>
        <v>0</v>
      </c>
      <c r="BN55" s="34">
        <f>IF(AND(ISNUMBER(BO55),ISNUMBER(BM55)),BO55-BM55,"")</f>
        <v>0</v>
      </c>
      <c r="BO55" s="39">
        <f>IF(COUNT(BO56:BO62)=0,"",SUM(BO56:BO62))</f>
        <v>0</v>
      </c>
      <c r="BP55" s="34">
        <f>IF(AND(ISNUMBER(BQ55),ISNUMBER(BO55)),BQ55-BO55,"")</f>
        <v>0</v>
      </c>
      <c r="BQ55" s="39">
        <f>IF(COUNT(BQ56:BQ62)=0,"",SUM(BQ56:BQ62))</f>
        <v>0</v>
      </c>
      <c r="BR55" s="34">
        <f>IF(AND(ISNUMBER(BS55),ISNUMBER(BQ55)),BS55-BQ55,"")</f>
        <v>0</v>
      </c>
      <c r="BS55" s="39">
        <f>IF(COUNT(BS56:BS62)=0,"",SUM(BS56:BS62))</f>
        <v>0</v>
      </c>
      <c r="BT55" s="34">
        <f>IF(AND(ISNUMBER(BU55),ISNUMBER(BS55)),BU55-BS55,"")</f>
        <v>0</v>
      </c>
      <c r="BU55" s="39">
        <f>IF(COUNT(BU56:BU62)=0,"",SUM(BU56:BU62))</f>
        <v>0</v>
      </c>
      <c r="BV55" s="34">
        <f>IF(AND(ISNUMBER(BW55),ISNUMBER(BU55)),BW55-BU55,"")</f>
        <v>0</v>
      </c>
      <c r="BW55" s="39">
        <f>IF(COUNT(BW56:BW62)=0,"",SUM(BW56:BW62))</f>
        <v>0</v>
      </c>
      <c r="BX55" s="34">
        <f>IF(AND(ISNUMBER(BY55),ISNUMBER(BW55)),BY55-BW55,"")</f>
        <v>0</v>
      </c>
      <c r="BY55" s="39">
        <f>IF(COUNT(BY56:BY62)=0,"",SUM(BY56:BY62))</f>
        <v>0</v>
      </c>
      <c r="BZ55" s="34">
        <f>IF(AND(ISNUMBER(CA55),ISNUMBER(BY55)),CA55-BY55,"")</f>
        <v>0</v>
      </c>
      <c r="CA55" s="39">
        <f>IF(COUNT(CA56:CA62)=0,"",SUM(CA56:CA62))</f>
        <v>0</v>
      </c>
      <c r="CB55" s="34">
        <f>IF(AND(ISNUMBER(CC55),ISNUMBER(CA55)),CC55-CA55,"")</f>
        <v>0</v>
      </c>
      <c r="CC55" s="39">
        <f>IF(COUNT(CC56:CC62)=0,"",SUM(CC56:CC62))</f>
        <v>0</v>
      </c>
      <c r="CD55" s="34">
        <f>IF(AND(ISNUMBER(CE55),ISNUMBER(CC55)),CE55-CC55,"")</f>
        <v>0</v>
      </c>
      <c r="CE55" s="39">
        <f>IF(COUNT(CE56:CE62)=0,"",SUM(CE56:CE62))</f>
        <v>0</v>
      </c>
      <c r="CF55" s="34">
        <f>IF(AND(ISNUMBER(CG55),ISNUMBER(CE55)),CG55-CE55,"")</f>
        <v>0</v>
      </c>
      <c r="CG55" s="39">
        <f>IF(COUNT(CG56:CG62)=0,"",SUM(CG56:CG62))</f>
        <v>0</v>
      </c>
      <c r="CH55" s="34">
        <f>IF(AND(ISNUMBER(CI55),ISNUMBER(CG55)),CI55-CG55,"")</f>
        <v>0</v>
      </c>
      <c r="CI55" s="39">
        <f>IF(COUNT(CI56:CI62)=0,"",SUM(CI56:CI62))</f>
        <v>0</v>
      </c>
      <c r="CJ55" s="34">
        <f>IF(AND(ISNUMBER(CK55),ISNUMBER(CI55)),CK55-CI55,"")</f>
        <v>0</v>
      </c>
      <c r="CK55" s="39">
        <f>IF(COUNT(CK56:CK62)=0,"",SUM(CK56:CK62))</f>
        <v>0</v>
      </c>
      <c r="CL55" s="34">
        <f>IF(AND(ISNUMBER(CM55),ISNUMBER(CK55)),CM55-CK55,"")</f>
        <v>0</v>
      </c>
      <c r="CM55" s="39">
        <f>IF(COUNT(CM56:CM62)=0,"",SUM(CM56:CM62))</f>
        <v>0</v>
      </c>
      <c r="CN55" s="34">
        <f>IF(AND(ISNUMBER(CO55),ISNUMBER(CM55)),CO55-CM55,"")</f>
        <v>0</v>
      </c>
      <c r="CO55" s="39">
        <f>IF(COUNT(CO56:CO62)=0,"",SUM(CO56:CO62))</f>
        <v>0</v>
      </c>
      <c r="CP55" s="34">
        <f>IF(AND(ISNUMBER(CQ55),ISNUMBER(CO55)),CQ55-CO55,"")</f>
        <v>0</v>
      </c>
      <c r="CQ55" s="39">
        <f>IF(COUNT(CQ56:CQ62)=0,"",SUM(CQ56:CQ62))</f>
        <v>0</v>
      </c>
      <c r="CR55" s="34">
        <f>IF(AND(ISNUMBER(CS55),ISNUMBER(CQ55)),CS55-CQ55,"")</f>
        <v>0</v>
      </c>
      <c r="CS55" s="39">
        <f>IF(COUNT(CS56:CS62)=0,"",SUM(CS56:CS62))</f>
        <v>0</v>
      </c>
      <c r="CT55" s="34">
        <f>IF(AND(ISNUMBER(CU55),ISNUMBER(CS55)),CU55-CS55,"")</f>
        <v>0</v>
      </c>
      <c r="CU55" s="33">
        <v>3</v>
      </c>
      <c r="CV55" s="34">
        <f>IF(AND(ISNUMBER(CW55),ISNUMBER(CU55)),CW55-CU55,"")</f>
        <v>0</v>
      </c>
      <c r="CW55" s="39">
        <f>IF(COUNT(CW56:CW62)=0,"",SUM(CW56:CW62))</f>
        <v>0</v>
      </c>
      <c r="CX55" s="34">
        <f>IF(AND(ISNUMBER(CY55),ISNUMBER(CW55)),CY55-CW55,"")</f>
        <v>0</v>
      </c>
      <c r="CY55" s="39">
        <f>IF(COUNT(CY56:CY62)=0,"",SUM(CY56:CY62))</f>
        <v>0</v>
      </c>
      <c r="CZ55" s="34">
        <f>IF(AND(ISNUMBER(DA55),ISNUMBER(CY55)),DA55-CY55,"")</f>
        <v>0</v>
      </c>
      <c r="DA55" s="33"/>
      <c r="DB55" s="34">
        <f>IF(AND(ISNUMBER(DC55),ISNUMBER(DA55)),DC55-DA55,"")</f>
        <v>0</v>
      </c>
      <c r="DC55" s="39">
        <f>IF(COUNT(DC56:DC62)=0,"",SUM(DC56:DC62))</f>
        <v>0</v>
      </c>
      <c r="DD55" s="34">
        <f>IF(AND(ISNUMBER(DE55),ISNUMBER(DC55)),DE55-DC55,"")</f>
        <v>0</v>
      </c>
      <c r="DE55" s="39">
        <f>IF(COUNT(DE56:DE62)=0,"",SUM(DE56:DE62))</f>
        <v>0</v>
      </c>
      <c r="DF55" s="34">
        <f>IF(AND(ISNUMBER(DG55),ISNUMBER(DE55)),DG55-DE55,"")</f>
        <v>0</v>
      </c>
      <c r="DG55" s="39">
        <f>IF(COUNT(DG56:DG62)=0,"",SUM(DG56:DG62))</f>
        <v>0</v>
      </c>
      <c r="DH55" s="34">
        <f>IF(AND(ISNUMBER(DI55),ISNUMBER(DG55)),DI55-DG55,"")</f>
        <v>0</v>
      </c>
      <c r="DI55" s="39">
        <f>IF(COUNT(DI56:DI62)=0,"",SUM(DI56:DI62))</f>
        <v>0</v>
      </c>
      <c r="DJ55" s="34">
        <f>IF(AND(ISNUMBER(DK55),ISNUMBER(DI55)),DK55-DI55,"")</f>
        <v>0</v>
      </c>
      <c r="DK55" s="39">
        <f>IF(COUNT(DK56:DK62)=0,"",SUM(DK56:DK62))</f>
        <v>0</v>
      </c>
      <c r="DL55" s="34">
        <f>IF(AND(ISNUMBER(DM55),ISNUMBER(DK55)),DM55-DK55,"")</f>
        <v>0</v>
      </c>
      <c r="DM55" s="39">
        <f>IF(COUNT(DM56:DM62)=0,"",SUM(DM56:DM62))</f>
        <v>0</v>
      </c>
      <c r="DN55" s="34">
        <f>IF(AND(ISNUMBER(DO55),ISNUMBER(DM55)),DO55-DM55,"")</f>
        <v>0</v>
      </c>
      <c r="DO55" s="33">
        <v>3</v>
      </c>
      <c r="DP55" s="34">
        <f>IF(AND(ISNUMBER(DQ55),ISNUMBER(DO55)),DQ55-DO55,"")</f>
        <v>0</v>
      </c>
      <c r="DQ55" s="39">
        <f>IF(COUNT(DQ56:DQ62)=0,"",SUM(DQ56:DQ62))</f>
        <v>0</v>
      </c>
      <c r="DR55" s="34">
        <f>IF(AND(ISNUMBER(DS55),ISNUMBER(DQ55)),DS55-DQ55,"")</f>
        <v>0</v>
      </c>
      <c r="DS55" s="39">
        <f>IF(COUNT(DS56:DS62)=0,"",SUM(DS56:DS62))</f>
        <v>0</v>
      </c>
      <c r="DT55" s="34">
        <f>IF(AND(ISNUMBER(DU55),ISNUMBER(DS55)),DU55-DS55,"")</f>
        <v>0</v>
      </c>
      <c r="DU55" s="39">
        <f>IF(COUNT(DU56:DU62)=0,"",SUM(DU56:DU62))</f>
        <v>0</v>
      </c>
      <c r="DV55" s="34">
        <f>IF(AND(ISNUMBER(DW55),ISNUMBER(DU55)),DW55-DU55,"")</f>
        <v>0</v>
      </c>
      <c r="DW55" s="39">
        <f>IF(COUNT(DW56:DW62)=0,"",SUM(DW56:DW62))</f>
        <v>0</v>
      </c>
      <c r="DX55" s="34">
        <f>IF(AND(ISNUMBER(DY55),ISNUMBER(DW55)),DY55-DW55,"")</f>
        <v>0</v>
      </c>
      <c r="DY55" s="39">
        <f>IF(COUNT(DY56:DY62)=0,"",SUM(DY56:DY62))</f>
        <v>0</v>
      </c>
      <c r="DZ55" s="34">
        <f>IF(AND(ISNUMBER(EA55),ISNUMBER(DY55)),EA55-DY55,"")</f>
        <v>0</v>
      </c>
      <c r="EA55" s="39">
        <f>IF(COUNT(EA56:EA62)=0,"",SUM(EA56:EA62))</f>
        <v>0</v>
      </c>
      <c r="EB55" s="34">
        <f>IF(AND(ISNUMBER(EC55),ISNUMBER(EA55)),EC55-EA55,"")</f>
        <v>0</v>
      </c>
      <c r="EC55" s="39">
        <f>IF(COUNT(EC56:EC62)=0,"",SUM(EC56:EC62))</f>
        <v>0</v>
      </c>
      <c r="ED55" s="34">
        <f>IF(AND(ISNUMBER(EE55),ISNUMBER(EC55)),EE55-EC55,"")</f>
        <v>0</v>
      </c>
      <c r="EE55" s="39">
        <f>IF(COUNT(EE56:EE62)=0,"",SUM(EE56:EE62))</f>
        <v>0</v>
      </c>
      <c r="EF55" s="34">
        <f>IF(AND(ISNUMBER(EG55),ISNUMBER(EE55)),EG55-EE55,"")</f>
        <v>0</v>
      </c>
      <c r="EG55" s="39">
        <f>IF(COUNT(EG56:EG62)=0,"",SUM(EG56:EG62))</f>
        <v>0</v>
      </c>
      <c r="EH55" s="34">
        <f>IF(AND(ISNUMBER(EI55),ISNUMBER(EG55)),EI55-EG55,"")</f>
        <v>0</v>
      </c>
      <c r="EI55" s="39">
        <f>IF(COUNT(EI56:EI62)=0,"",SUM(EI56:EI62))</f>
        <v>0</v>
      </c>
      <c r="EJ55" s="34">
        <f>IF(AND(ISNUMBER(EK55),ISNUMBER(EI55)),EK55-EI55,"")</f>
        <v>0</v>
      </c>
      <c r="EK55" s="39">
        <f>IF(COUNT(EK56:EK62)=0,"",SUM(EK56:EK62))</f>
        <v>0</v>
      </c>
      <c r="EL55" s="34">
        <f>IF(AND(ISNUMBER(EM55),ISNUMBER(EK55)),EM55-EK55,"")</f>
        <v>0</v>
      </c>
      <c r="EM55" s="39">
        <f>IF(COUNT(EM56:EM62)=0,"",SUM(EM56:EM62))</f>
        <v>0</v>
      </c>
      <c r="EN55" s="34">
        <f>IF(AND(ISNUMBER(EO55),ISNUMBER(EM55)),EO55-EM55,"")</f>
        <v>0</v>
      </c>
      <c r="EO55" s="39">
        <f>IF(COUNT(EO56:EO62)=0,"",SUM(EO56:EO62))</f>
        <v>0</v>
      </c>
      <c r="EP55" s="34">
        <f>IF(AND(ISNUMBER(EQ55),ISNUMBER(EO55)),EQ55-EO55,"")</f>
        <v>0</v>
      </c>
      <c r="EQ55" s="39">
        <f>IF(COUNT(EQ56:EQ62)=0,"",SUM(EQ56:EQ62))</f>
        <v>0</v>
      </c>
      <c r="ER55" s="34">
        <f>IF(AND(ISNUMBER(ES55),ISNUMBER(EQ55)),ES55-EQ55,"")</f>
        <v>0</v>
      </c>
      <c r="ES55" s="39">
        <f>IF(COUNT(ES56:ES62)=0,"",SUM(ES56:ES62))</f>
        <v>0</v>
      </c>
      <c r="ET55" s="34">
        <f>IF(AND(ISNUMBER(EU55),ISNUMBER(ES55)),EU55-ES55,"")</f>
        <v>0</v>
      </c>
      <c r="EU55" s="39">
        <f>IF(COUNT(EU56:EU62)=0,"",SUM(EU56:EU62))</f>
        <v>0</v>
      </c>
      <c r="EV55" s="34">
        <f>IF(AND(ISNUMBER(EW55),ISNUMBER(EU55)),EW55-EU55,"")</f>
        <v>0</v>
      </c>
      <c r="EW55" s="39">
        <f>IF(COUNT(EW56:EW62)=0,"",SUM(EW56:EW62))</f>
        <v>0</v>
      </c>
      <c r="EX55" s="34">
        <f>IF(AND(ISNUMBER(EY55),ISNUMBER(EW55)),EY55-EW55,"")</f>
        <v>0</v>
      </c>
      <c r="EY55" s="39">
        <f>IF(COUNT(EY56:EY62)=0,"",SUM(EY56:EY62))</f>
        <v>0</v>
      </c>
      <c r="EZ55" s="34">
        <f>IF(AND(ISNUMBER(FA55),ISNUMBER(EY55)),FA55-EY55,"")</f>
        <v>0</v>
      </c>
      <c r="FA55" s="39">
        <f>IF(COUNT(FA56:FA62)=0,"",SUM(FA56:FA62))</f>
        <v>0</v>
      </c>
      <c r="FB55" s="34">
        <f>IF(AND(ISNUMBER(FC55),ISNUMBER(FA55)),FC55-FA55,"")</f>
        <v>0</v>
      </c>
      <c r="FC55" s="39">
        <f>IF(COUNT(FC56:FC62)=0,"",SUM(FC56:FC62))</f>
        <v>0</v>
      </c>
      <c r="FD55" s="34">
        <f>IF(AND(ISNUMBER(FE55),ISNUMBER(FC55)),FE55-FC55,"")</f>
        <v>0</v>
      </c>
      <c r="FE55" s="39">
        <f>IF(COUNT(FE56:FE62)=0,"",SUM(FE56:FE62))</f>
        <v>0</v>
      </c>
      <c r="FF55" s="34">
        <f>IF(AND(ISNUMBER(FG55),ISNUMBER(FE55)),FG55-FE55,"")</f>
        <v>0</v>
      </c>
      <c r="FG55" s="39">
        <f>IF(COUNT(FG56:FG62)=0,"",SUM(FG56:FG62))</f>
        <v>0</v>
      </c>
      <c r="FH55" s="34">
        <f>IF(AND(ISNUMBER(FI55),ISNUMBER(FG55)),FI55-FG55,"")</f>
        <v>0</v>
      </c>
      <c r="FI55" s="39">
        <f>IF(COUNT(FI56:FI62)=0,"",SUM(FI56:FI62))</f>
        <v>0</v>
      </c>
      <c r="FJ55" s="34">
        <f>IF(AND(ISNUMBER(FK55),ISNUMBER(FI55)),FK55-FI55,"")</f>
        <v>0</v>
      </c>
      <c r="FK55" s="39">
        <f>IF(COUNT(FK56:FK62)=0,"",SUM(FK56:FK62))</f>
        <v>0</v>
      </c>
      <c r="FL55" s="34">
        <f>IF(AND(ISNUMBER(FM55),ISNUMBER(FK55)),FM55-FK55,"")</f>
        <v>0</v>
      </c>
      <c r="FM55" s="39">
        <f>IF(COUNT(FM56:FM62)=0,"",SUM(FM56:FM62))</f>
        <v>0</v>
      </c>
      <c r="FN55" s="34">
        <f>IF(AND(ISNUMBER(FO55),ISNUMBER(FM55)),FO55-FM55,"")</f>
        <v>0</v>
      </c>
      <c r="FO55" s="39">
        <f>IF(COUNT(FO56:FO62)=0,"",SUM(FO56:FO62))</f>
        <v>0</v>
      </c>
      <c r="FP55" s="34">
        <f>IF(AND(ISNUMBER(FQ55),ISNUMBER(FO55)),FQ55-FO55,"")</f>
        <v>0</v>
      </c>
      <c r="FQ55" s="39">
        <f>IF(COUNT(FQ56:FQ62)=0,"",SUM(FQ56:FQ62))</f>
        <v>0</v>
      </c>
      <c r="FR55" s="34">
        <f>IF(AND(ISNUMBER(FS55),ISNUMBER(FQ55)),FS55-FQ55,"")</f>
        <v>0</v>
      </c>
      <c r="FS55" s="39">
        <f>IF(COUNT(FS56:FS62)=0,"",SUM(FS56:FS62))</f>
        <v>0</v>
      </c>
      <c r="FT55" s="34">
        <f>IF(AND(ISNUMBER(FU55),ISNUMBER(FS55)),FU55-FS55,"")</f>
        <v>0</v>
      </c>
      <c r="FU55" s="39">
        <f>IF(COUNT(FU56:FU62)=0,"",SUM(FU56:FU62))</f>
        <v>0</v>
      </c>
      <c r="FV55" s="34">
        <f>IF(AND(ISNUMBER(FW55),ISNUMBER(FU55)),FW55-FU55,"")</f>
        <v>0</v>
      </c>
      <c r="FW55" s="39">
        <f>IF(COUNT(FW56:FW62)=0,"",SUM(FW56:FW62))</f>
        <v>0</v>
      </c>
      <c r="FX55" s="34">
        <f>IF(AND(ISNUMBER(FY55),ISNUMBER(FW55)),FY55-FW55,"")</f>
        <v>0</v>
      </c>
      <c r="FY55" s="39">
        <f>IF(COUNT(FY56:FY62)=0,"",SUM(FY56:FY62))</f>
        <v>0</v>
      </c>
      <c r="FZ55" s="34">
        <f>IF(AND(ISNUMBER(GA55),ISNUMBER(FY55)),GA55-FY55,"")</f>
        <v>0</v>
      </c>
      <c r="GA55" s="39">
        <f>IF(COUNT(GA56:GA62)=0,"",SUM(GA56:GA62))</f>
        <v>0</v>
      </c>
      <c r="GB55" s="34">
        <f>IF(AND(ISNUMBER(GC55),ISNUMBER(GA55)),GC55-GA55,"")</f>
        <v>0</v>
      </c>
      <c r="GC55" s="39">
        <f>IF(COUNT(GC56:GC62)=0,"",SUM(GC56:GC62))</f>
        <v>0</v>
      </c>
      <c r="GD55" s="34">
        <f>IF(AND(ISNUMBER(GE55),ISNUMBER(GC55)),GE55-GC55,"")</f>
        <v>0</v>
      </c>
      <c r="GE55" s="39">
        <f>IF(COUNT(GE56:GE62)=0,"",SUM(GE56:GE62))</f>
        <v>0</v>
      </c>
      <c r="GF55" s="34">
        <f>IF(AND(ISNUMBER(GG55),ISNUMBER(GE55)),GG55-GE55,"")</f>
        <v>0</v>
      </c>
      <c r="GG55" s="39">
        <f>IF(COUNT(GG56:GG62)=0,"",SUM(GG56:GG62))</f>
        <v>0</v>
      </c>
      <c r="GH55" s="34">
        <f>IF(AND(ISNUMBER(GI55),ISNUMBER(GG55)),GI55-GG55,"")</f>
        <v>0</v>
      </c>
      <c r="GI55" s="39">
        <f>IF(COUNT(GI56:GI62)=0,"",SUM(GI56:GI62))</f>
        <v>0</v>
      </c>
      <c r="GJ55" s="34">
        <f>IF(AND(ISNUMBER(GK55),ISNUMBER(GI55)),GK55-GI55,"")</f>
        <v>0</v>
      </c>
      <c r="GK55" s="39">
        <f>IF(COUNT(GK56:GK62)=0,"",SUM(GK56:GK62))</f>
        <v>0</v>
      </c>
      <c r="GL55" s="34">
        <f>IF(AND(ISNUMBER(GM55),ISNUMBER(GK55)),GM55-GK55,"")</f>
        <v>0</v>
      </c>
      <c r="GM55" s="39">
        <f>IF(COUNT(GM56:GM62)=0,"",SUM(GM56:GM62))</f>
        <v>0</v>
      </c>
      <c r="GN55" s="34">
        <f>IF(AND(ISNUMBER(GO55),ISNUMBER(GM55)),GO55-GM55,"")</f>
        <v>0</v>
      </c>
      <c r="GO55" s="39">
        <f>IF(COUNT(GO56:GO62)=0,"",SUM(GO56:GO62))</f>
        <v>0</v>
      </c>
      <c r="GP55" s="34">
        <f>IF(AND(ISNUMBER(GQ55),ISNUMBER(GO55)),GQ55-GO55,"")</f>
        <v>0</v>
      </c>
      <c r="GQ55" s="39">
        <f>IF(COUNT(GQ56:GQ62)=0,"",SUM(GQ56:GQ62))</f>
        <v>0</v>
      </c>
      <c r="GR55" s="34">
        <f>IF(AND(ISNUMBER(GS55),ISNUMBER(GQ55)),GS55-GQ55,"")</f>
        <v>0</v>
      </c>
      <c r="GS55" s="39">
        <f>IF(COUNT(GS56:GS62)=0,"",SUM(GS56:GS62))</f>
        <v>0</v>
      </c>
      <c r="GT55" s="34">
        <f>IF(AND(ISNUMBER(GU55),ISNUMBER(GS55)),GU55-GS55,"")</f>
        <v>0</v>
      </c>
      <c r="GU55" s="39">
        <f>IF(COUNT(GU56:GU62)=0,"",SUM(GU56:GU62))</f>
        <v>0</v>
      </c>
      <c r="GV55" s="34">
        <f>IF(AND(ISNUMBER(GW55),ISNUMBER(GU55)),GW55-GU55,"")</f>
        <v>0</v>
      </c>
      <c r="GW55" s="39">
        <f>IF(COUNT(GW56:GW62)=0,"",SUM(GW56:GW62))</f>
        <v>0</v>
      </c>
      <c r="GX55" s="34">
        <f>IF(AND(ISNUMBER(GY55),ISNUMBER(GW55)),GY55-GW55,"")</f>
        <v>0</v>
      </c>
      <c r="GY55" s="39">
        <f>IF(COUNT(GY56:GY62)=0,"",SUM(GY56:GY62))</f>
        <v>0</v>
      </c>
      <c r="GZ55" s="34">
        <f>IF(AND(ISNUMBER(HA55),ISNUMBER(GY55)),HA55-GY55,"")</f>
        <v>0</v>
      </c>
      <c r="HA55" s="39">
        <f>IF(COUNT(HA56:HA62)=0,"",SUM(HA56:HA62))</f>
        <v>0</v>
      </c>
      <c r="HB55" s="34">
        <f>IF(AND(ISNUMBER(HC55),ISNUMBER(HA55)),HC55-HA55,"")</f>
        <v>0</v>
      </c>
      <c r="HC55" s="39">
        <f>IF(COUNT(HC56:HC62)=0,"",SUM(HC56:HC62))</f>
        <v>0</v>
      </c>
      <c r="HD55" s="34">
        <f>IF(AND(ISNUMBER(HE55),ISNUMBER(HC55)),HE55-HC55,"")</f>
        <v>0</v>
      </c>
      <c r="HE55" s="39">
        <f>IF(COUNT(HE56:HE62)=0,"",SUM(HE56:HE62))</f>
        <v>0</v>
      </c>
      <c r="HF55" s="34">
        <f>IF(AND(ISNUMBER(HG55),ISNUMBER(HE55)),HG55-HE55,"")</f>
        <v>0</v>
      </c>
      <c r="HG55" s="39">
        <f>IF(COUNT(HG56:HG62)=0,"",SUM(HG56:HG62))</f>
        <v>0</v>
      </c>
      <c r="HH55" s="34">
        <f>IF(AND(ISNUMBER(HI55),ISNUMBER(HG55)),HI55-HG55,"")</f>
        <v>0</v>
      </c>
      <c r="HI55" s="39">
        <f>IF(COUNT(HI56:HI62)=0,"",SUM(HI56:HI62))</f>
        <v>0</v>
      </c>
      <c r="HJ55" s="34">
        <f>IF(AND(ISNUMBER(HK55),ISNUMBER(HI55)),HK55-HI55,"")</f>
        <v>0</v>
      </c>
      <c r="HK55" s="39">
        <f>IF(COUNT(HK56:HK62)=0,"",SUM(HK56:HK62))</f>
        <v>0</v>
      </c>
      <c r="HL55" s="34">
        <f>IF(AND(ISNUMBER(HM55),ISNUMBER(HK55)),HM55-HK55,"")</f>
        <v>0</v>
      </c>
      <c r="HM55" s="39">
        <f>IF(COUNT(HM56:HM62)=0,"",SUM(HM56:HM62))</f>
        <v>0</v>
      </c>
      <c r="HN55" s="34">
        <f>IF(AND(ISNUMBER(HO55),ISNUMBER(HM55)),HO55-HM55,"")</f>
        <v>0</v>
      </c>
      <c r="HO55" s="39">
        <f>IF(COUNT(HO56:HO62)=0,"",SUM(HO56:HO62))</f>
        <v>0</v>
      </c>
      <c r="HP55" s="34">
        <f>IF(AND(ISNUMBER(HQ55),ISNUMBER(HO55)),HQ55-HO55,"")</f>
        <v>0</v>
      </c>
      <c r="HQ55" s="39">
        <f>IF(COUNT(HQ56:HQ62)=0,"",SUM(HQ56:HQ62))</f>
        <v>0</v>
      </c>
      <c r="HR55" s="34">
        <f>IF(AND(ISNUMBER(HS55),ISNUMBER(HQ55)),HS55-HQ55,"")</f>
        <v>0</v>
      </c>
      <c r="HS55" s="39">
        <f>IF(COUNT(HS56:HS62)=0,"",SUM(HS56:HS62))</f>
        <v>0</v>
      </c>
      <c r="HT55" s="34">
        <f>IF(AND(ISNUMBER(HU55),ISNUMBER(HS55)),HU55-HS55,"")</f>
        <v>0</v>
      </c>
      <c r="HU55" s="39">
        <f>IF(COUNT(HU56:HU62)=0,"",SUM(HU56:HU62))</f>
        <v>0</v>
      </c>
      <c r="HV55" s="34">
        <f>IF(AND(ISNUMBER(HW55),ISNUMBER(HU55)),HW55-HU55,"")</f>
        <v>0</v>
      </c>
      <c r="HW55" s="39">
        <f>IF(COUNT(HW56:HW62)=0,"",SUM(HW56:HW62))</f>
        <v>0</v>
      </c>
      <c r="HX55" s="34">
        <f>IF(AND(ISNUMBER(HY55),ISNUMBER(HW55)),HY55-HW55,"")</f>
        <v>0</v>
      </c>
      <c r="HY55" s="39">
        <f>IF(COUNT(HY56:HY62)=0,"",SUM(HY56:HY62))</f>
        <v>0</v>
      </c>
      <c r="HZ55" s="34">
        <f>IF(AND(ISNUMBER(IA55),ISNUMBER(HY55)),IA55-HY55,"")</f>
        <v>0</v>
      </c>
      <c r="IA55" s="39">
        <f>IF(COUNT(IA56:IA62)=0,"",SUM(IA56:IA62))</f>
        <v>0</v>
      </c>
      <c r="IB55" s="34">
        <f>IF(AND(ISNUMBER(IC55),ISNUMBER(IA55)),IC55-IA55,"")</f>
        <v>0</v>
      </c>
      <c r="IC55" s="39">
        <f>IF(COUNT(IC56:IC62)=0,"",SUM(IC56:IC62))</f>
        <v>0</v>
      </c>
      <c r="ID55" s="34">
        <f>IF(AND(ISNUMBER(IE55),ISNUMBER(IC55)),IE55-IC55,"")</f>
        <v>0</v>
      </c>
      <c r="IE55" s="39">
        <f>IF(COUNT(IE56:IE62)=0,"",SUM(IE56:IE62))</f>
        <v>0</v>
      </c>
      <c r="IF55" s="34">
        <f>IF(AND(ISNUMBER(IG55),ISNUMBER(IE55)),IG55-IE55,"")</f>
        <v>0</v>
      </c>
      <c r="IG55" s="39">
        <f>IF(COUNT(IG56:IG62)=0,"",SUM(IG56:IG62))</f>
        <v>0</v>
      </c>
      <c r="IH55" s="34">
        <f>IF(AND(ISNUMBER(II55),ISNUMBER(IG55)),II55-IG55,"")</f>
        <v>0</v>
      </c>
      <c r="II55" s="39">
        <f>IF(COUNT(II56:II62)=0,"",SUM(II56:II62))</f>
        <v>0</v>
      </c>
      <c r="IJ55" s="34">
        <f>IF(AND(ISNUMBER(IK55),ISNUMBER(II55)),IK55-II55,"")</f>
        <v>0</v>
      </c>
      <c r="IK55" s="39">
        <f>IF(COUNT(IK56:IK62)=0,"",SUM(IK56:IK62))</f>
        <v>0</v>
      </c>
      <c r="IL55" s="34">
        <f>IF(AND(ISNUMBER(IM55),ISNUMBER(IK55)),IM55-IK55,"")</f>
        <v>0</v>
      </c>
      <c r="IM55" s="39">
        <f>IF(COUNT(IM56:IM62)=0,"",SUM(IM56:IM62))</f>
        <v>0</v>
      </c>
      <c r="IN55" s="34">
        <f>IF(AND(ISNUMBER(IO55),ISNUMBER(IM55)),IO55-IM55,"")</f>
        <v>0</v>
      </c>
      <c r="IO55" s="39">
        <f>IF(COUNT(IO56:IO62)=0,"",SUM(IO56:IO62))</f>
        <v>0</v>
      </c>
      <c r="IP55" s="34">
        <f>IF(AND(ISNUMBER(IQ55),ISNUMBER(IO55)),IQ55-IO55,"")</f>
        <v>0</v>
      </c>
      <c r="IQ55" s="39">
        <f>IF(COUNT(IQ56:IQ62)=0,"",SUM(IQ56:IQ62))</f>
        <v>0</v>
      </c>
      <c r="IR55" s="34">
        <f>IF(AND(ISNUMBER(IS55),ISNUMBER(IQ55)),IS55-IQ55,"")</f>
        <v>0</v>
      </c>
      <c r="IS55" s="39">
        <f>IF(COUNT(IS56:IS62)=0,"",SUM(IS56:IS62))</f>
        <v>0</v>
      </c>
      <c r="IT55" s="34">
        <f>IF(AND(ISNUMBER(IU55),ISNUMBER(IS55)),IU55-IS55,"")</f>
        <v>0</v>
      </c>
      <c r="IU55" s="39">
        <f>IF(COUNT(IU56:IU62)=0,"",SUM(IU56:IU62))</f>
        <v>0</v>
      </c>
      <c r="IV55" s="34">
        <f>IF(AND(ISNUMBER(IW55),ISNUMBER(IU55)),IW55-IU55,"")</f>
        <v>0</v>
      </c>
      <c r="IW55" s="39">
        <f>IF(COUNT(IW56:IW62)=0,"",SUM(IW56:IW62))</f>
        <v>0</v>
      </c>
      <c r="IX55" s="34">
        <f>IF(AND(ISNUMBER(IY55),ISNUMBER(IW55)),IY55-IW55,"")</f>
        <v>0</v>
      </c>
      <c r="IY55" s="39">
        <f>IF(COUNT(IY56:IY62)=0,"",SUM(IY56:IY62))</f>
        <v>0</v>
      </c>
      <c r="IZ55" s="34">
        <f>IF(AND(ISNUMBER(JA55),ISNUMBER(IY55)),JA55-IY55,"")</f>
        <v>0</v>
      </c>
      <c r="JA55" s="39">
        <f>IF(COUNT(JA56:JA62)=0,"",SUM(JA56:JA62))</f>
        <v>0</v>
      </c>
      <c r="JB55" s="34">
        <f>IF(AND(ISNUMBER(JC55),ISNUMBER(JA55)),JC55-JA55,"")</f>
        <v>0</v>
      </c>
      <c r="JC55" s="39">
        <f>IF(COUNT(JC56:JC62)=0,"",SUM(JC56:JC62))</f>
        <v>0</v>
      </c>
      <c r="JD55" s="34">
        <f>IF(AND(ISNUMBER(JE55),ISNUMBER(JC55)),JE55-JC55,"")</f>
        <v>0</v>
      </c>
      <c r="JE55" s="39">
        <f>IF(COUNT(JE56:JE62)=0,"",SUM(JE56:JE62))</f>
        <v>0</v>
      </c>
      <c r="JF55" s="34">
        <f>IF(AND(ISNUMBER(JG55),ISNUMBER(JE55)),JG55-JE55,"")</f>
        <v>0</v>
      </c>
      <c r="JG55" s="39">
        <f>IF(COUNT(JG56:JG62)=0,"",SUM(JG56:JG62))</f>
        <v>0</v>
      </c>
      <c r="JH55" s="34">
        <f>IF(AND(ISNUMBER(JI55),ISNUMBER(JG55)),JI55-JG55,"")</f>
        <v>0</v>
      </c>
      <c r="JI55" s="39">
        <f>IF(COUNT(JI56:JI62)=0,"",SUM(JI56:JI62))</f>
        <v>0</v>
      </c>
      <c r="JJ55" s="34">
        <f>IF(AND(ISNUMBER(JK55),ISNUMBER(JI55)),JK55-JI55,"")</f>
        <v>0</v>
      </c>
      <c r="JK55" s="39">
        <f>IF(COUNT(JK56:JK62)=0,"",SUM(JK56:JK62))</f>
        <v>0</v>
      </c>
      <c r="JL55" s="34">
        <f>IF(AND(ISNUMBER(JM55),ISNUMBER(JK55)),JM55-JK55,"")</f>
        <v>0</v>
      </c>
      <c r="JM55" s="39">
        <f>IF(COUNT(JM56:JM62)=0,"",SUM(JM56:JM62))</f>
        <v>0</v>
      </c>
      <c r="JN55" s="34">
        <f>IF(AND(ISNUMBER(JO55),ISNUMBER(JM55)),JO55-JM55,"")</f>
        <v>0</v>
      </c>
      <c r="JO55" s="39">
        <f>IF(COUNT(JO56:JO62)=0,"",SUM(JO56:JO62))</f>
        <v>0</v>
      </c>
      <c r="JP55" s="34">
        <f>IF(AND(ISNUMBER(JQ55),ISNUMBER(JO55)),JQ55-JO55,"")</f>
        <v>0</v>
      </c>
      <c r="JQ55" s="39">
        <f>IF(COUNT(JQ56:JQ62)=0,"",SUM(JQ56:JQ62))</f>
        <v>0</v>
      </c>
      <c r="JR55" s="34">
        <f>IF(AND(ISNUMBER(JS55),ISNUMBER(JQ55)),JS55-JQ55,"")</f>
        <v>0</v>
      </c>
      <c r="JS55" s="39">
        <f>IF(COUNT(JS56:JS62)=0,"",SUM(JS56:JS62))</f>
        <v>0</v>
      </c>
      <c r="JT55" s="34">
        <f>IF(AND(ISNUMBER(JU55),ISNUMBER(JS55)),JU55-JS55,"")</f>
        <v>0</v>
      </c>
      <c r="JU55" s="39">
        <f>IF(COUNT(JU56:JU62)=0,"",SUM(JU56:JU62))</f>
        <v>0</v>
      </c>
      <c r="JV55" s="34">
        <f>IF(AND(ISNUMBER(JW55),ISNUMBER(JU55)),JW55-JU55,"")</f>
        <v>0</v>
      </c>
      <c r="JW55" s="39">
        <f>IF(COUNT(JW56:JW62)=0,"",SUM(JW56:JW62))</f>
        <v>0</v>
      </c>
      <c r="JX55" s="34">
        <f>IF(AND(ISNUMBER(JY55),ISNUMBER(JW55)),JY55-JW55,"")</f>
        <v>0</v>
      </c>
      <c r="JY55" s="39">
        <f>IF(COUNT(JY56:JY62)=0,"",SUM(JY56:JY62))</f>
        <v>0</v>
      </c>
      <c r="JZ55" s="34">
        <f>IF(AND(ISNUMBER(KA55),ISNUMBER(JY55)),KA55-JY55,"")</f>
        <v>0</v>
      </c>
      <c r="KA55" s="39">
        <f>IF(COUNT(KA56:KA62)=0,"",SUM(KA56:KA62))</f>
        <v>0</v>
      </c>
      <c r="KB55" s="34">
        <f>IF(AND(ISNUMBER(KC55),ISNUMBER(KA55)),KC55-KA55,"")</f>
        <v>0</v>
      </c>
      <c r="KC55" s="39">
        <f>IF(COUNT(KC56:KC62)=0,"",SUM(KC56:KC62))</f>
        <v>0</v>
      </c>
      <c r="KD55" s="34">
        <f>IF(AND(ISNUMBER(KE55),ISNUMBER(KC55)),KE55-KC55,"")</f>
        <v>0</v>
      </c>
      <c r="KE55" s="39">
        <f>IF(COUNT(KE56:KE62)=0,"",SUM(KE56:KE62))</f>
        <v>0</v>
      </c>
      <c r="KF55" s="34">
        <f>IF(AND(ISNUMBER(KG55),ISNUMBER(KE55)),KG55-KE55,"")</f>
        <v>0</v>
      </c>
      <c r="KG55" s="39">
        <f>IF(COUNT(KG56:KG62)=0,"",SUM(KG56:KG62))</f>
        <v>0</v>
      </c>
      <c r="KH55" s="34">
        <f>IF(AND(ISNUMBER(KI55),ISNUMBER(KG55)),KI55-KG55,"")</f>
        <v>0</v>
      </c>
      <c r="KI55" s="39">
        <f>IF(COUNT(KI56:KI62)=0,"",SUM(KI56:KI62))</f>
        <v>0</v>
      </c>
      <c r="KJ55" s="34">
        <f>IF(AND(ISNUMBER(KK55),ISNUMBER(KI55)),KK55-KI55,"")</f>
        <v>0</v>
      </c>
      <c r="KK55" s="39">
        <f>IF(COUNT(KK56:KK62)=0,"",SUM(KK56:KK62))</f>
        <v>0</v>
      </c>
      <c r="KL55" s="34">
        <f>IF(AND(ISNUMBER(KM55),ISNUMBER(KK55)),KM55-KK55,"")</f>
        <v>0</v>
      </c>
      <c r="KM55" s="39">
        <f>IF(COUNT(KM56:KM62)=0,"",SUM(KM56:KM62))</f>
        <v>0</v>
      </c>
      <c r="KN55" s="34">
        <f>IF(AND(ISNUMBER(KO55),ISNUMBER(KM55)),KO55-KM55,"")</f>
        <v>0</v>
      </c>
      <c r="KO55" s="39">
        <f>IF(COUNT(KO56:KO62)=0,"",SUM(KO56:KO62))</f>
        <v>0</v>
      </c>
      <c r="KP55" s="34">
        <f>IF(AND(ISNUMBER(KQ55),ISNUMBER(KO55)),KQ55-KO55,"")</f>
        <v>0</v>
      </c>
      <c r="KQ55" s="39">
        <f>IF(COUNT(KQ56:KQ62)=0,"",SUM(KQ56:KQ62))</f>
        <v>0</v>
      </c>
      <c r="KR55" s="34">
        <f>IF(AND(ISNUMBER(KS55),ISNUMBER(KQ55)),KS55-KQ55,"")</f>
        <v>0</v>
      </c>
      <c r="KS55" s="39">
        <f>IF(COUNT(KS56:KS62)=0,"",SUM(KS56:KS62))</f>
        <v>0</v>
      </c>
      <c r="KT55" s="34">
        <f>IF(AND(ISNUMBER(KU55),ISNUMBER(KS55)),KU55-KS55,"")</f>
        <v>0</v>
      </c>
      <c r="KU55" s="39">
        <f>IF(COUNT(KU56:KU62)=0,"",SUM(KU56:KU62))</f>
        <v>0</v>
      </c>
      <c r="KV55" s="34">
        <f>IF(AND(ISNUMBER(KW55),ISNUMBER(KU55)),KW55-KU55,"")</f>
        <v>0</v>
      </c>
      <c r="KW55" s="39">
        <f>IF(COUNT(KW56:KW62)=0,"",SUM(KW56:KW62))</f>
        <v>0</v>
      </c>
      <c r="KX55" s="34">
        <f>IF(AND(ISNUMBER(KY55),ISNUMBER(KW55)),KY55-KW55,"")</f>
        <v>0</v>
      </c>
      <c r="KY55" s="39">
        <f>IF(COUNT(KY56:KY62)=0,"",SUM(KY56:KY62))</f>
        <v>0</v>
      </c>
      <c r="KZ55" s="34">
        <f>IF(AND(ISNUMBER(LA55),ISNUMBER(KY55)),LA55-KY55,"")</f>
        <v>0</v>
      </c>
      <c r="LA55" s="39">
        <f>IF(COUNT(LA56:LA62)=0,"",SUM(LA56:LA62))</f>
        <v>0</v>
      </c>
      <c r="LB55" s="34">
        <f>IF(AND(ISNUMBER(LC55),ISNUMBER(LA55)),LC55-LA55,"")</f>
        <v>0</v>
      </c>
      <c r="LC55" s="39">
        <f>IF(COUNT(LC56:LC62)=0,"",SUM(LC56:LC62))</f>
        <v>0</v>
      </c>
      <c r="LD55" s="34">
        <f>IF(AND(ISNUMBER(LE55),ISNUMBER(LC55)),LE55-LC55,"")</f>
        <v>0</v>
      </c>
      <c r="LE55" s="39">
        <f>IF(COUNT(LE56:LE62)=0,"",SUM(LE56:LE62))</f>
        <v>0</v>
      </c>
      <c r="LF55" s="34">
        <f>IF(AND(ISNUMBER(LG55),ISNUMBER(LE55)),LG55-LE55,"")</f>
        <v>0</v>
      </c>
      <c r="LG55" s="39">
        <f>IF(COUNT(LG56:LG62)=0,"",SUM(LG56:LG62))</f>
        <v>0</v>
      </c>
      <c r="LJ55" s="35" t="s">
        <v>1086</v>
      </c>
    </row>
    <row r="56" spans="1:322" hidden="1" outlineLevel="1">
      <c r="B56" s="23"/>
      <c r="D56" s="31" t="s">
        <v>710</v>
      </c>
      <c r="E56" s="32" t="s">
        <v>1083</v>
      </c>
      <c r="F56" s="38" t="s">
        <v>1101</v>
      </c>
      <c r="I56" s="40" t="s">
        <v>1078</v>
      </c>
      <c r="J56" s="34">
        <f>IF(AND(ISNUMBER(K56),ISNUMBER(I56)),K56-I56,"")</f>
        <v>0</v>
      </c>
      <c r="K56" s="40" t="s">
        <v>1078</v>
      </c>
      <c r="L56" s="34">
        <f>IF(AND(ISNUMBER(M56),ISNUMBER(K56)),M56-K56,"")</f>
        <v>0</v>
      </c>
      <c r="M56" s="40" t="s">
        <v>1078</v>
      </c>
      <c r="N56" s="34">
        <f>IF(AND(ISNUMBER(O56),ISNUMBER(M56)),O56-M56,"")</f>
        <v>0</v>
      </c>
      <c r="O56" s="40" t="s">
        <v>1078</v>
      </c>
      <c r="P56" s="34">
        <f>IF(AND(ISNUMBER(Q56),ISNUMBER(O56)),Q56-O56,"")</f>
        <v>0</v>
      </c>
      <c r="Q56" s="40" t="s">
        <v>1078</v>
      </c>
      <c r="R56" s="34">
        <f>IF(AND(ISNUMBER(S56),ISNUMBER(Q56)),S56-Q56,"")</f>
        <v>0</v>
      </c>
      <c r="S56" s="40" t="s">
        <v>1078</v>
      </c>
      <c r="T56" s="34">
        <f>IF(AND(ISNUMBER(U56),ISNUMBER(S56)),U56-S56,"")</f>
        <v>0</v>
      </c>
      <c r="U56" s="40" t="s">
        <v>1078</v>
      </c>
      <c r="V56" s="34">
        <f>IF(AND(ISNUMBER(W56),ISNUMBER(U56)),W56-U56,"")</f>
        <v>0</v>
      </c>
      <c r="W56" s="40" t="s">
        <v>1078</v>
      </c>
      <c r="X56" s="34">
        <f>IF(AND(ISNUMBER(Y56),ISNUMBER(W56)),Y56-W56,"")</f>
        <v>0</v>
      </c>
      <c r="Y56" s="40" t="s">
        <v>1078</v>
      </c>
      <c r="Z56" s="34">
        <f>IF(AND(ISNUMBER(AA56),ISNUMBER(Y56)),AA56-Y56,"")</f>
        <v>0</v>
      </c>
      <c r="AA56" s="40" t="s">
        <v>1078</v>
      </c>
      <c r="AB56" s="34">
        <f>IF(AND(ISNUMBER(AC56),ISNUMBER(AA56)),AC56-AA56,"")</f>
        <v>0</v>
      </c>
      <c r="AC56" s="40" t="s">
        <v>1078</v>
      </c>
      <c r="AD56" s="34">
        <f>IF(AND(ISNUMBER(AE56),ISNUMBER(AC56)),AE56-AC56,"")</f>
        <v>0</v>
      </c>
      <c r="AE56" s="40" t="s">
        <v>1078</v>
      </c>
      <c r="AF56" s="34">
        <f>IF(AND(ISNUMBER(AG56),ISNUMBER(AE56)),AG56-AE56,"")</f>
        <v>0</v>
      </c>
      <c r="AG56" s="40" t="s">
        <v>1078</v>
      </c>
      <c r="AH56" s="34">
        <f>IF(AND(ISNUMBER(AI56),ISNUMBER(AG56)),AI56-AG56,"")</f>
        <v>0</v>
      </c>
      <c r="AI56" s="40" t="s">
        <v>1078</v>
      </c>
      <c r="AJ56" s="34">
        <f>IF(AND(ISNUMBER(AK56),ISNUMBER(AI56)),AK56-AI56,"")</f>
        <v>0</v>
      </c>
      <c r="AK56" s="40" t="s">
        <v>1078</v>
      </c>
      <c r="AL56" s="34">
        <f>IF(AND(ISNUMBER(AM56),ISNUMBER(AK56)),AM56-AK56,"")</f>
        <v>0</v>
      </c>
      <c r="AM56" s="40" t="s">
        <v>1078</v>
      </c>
      <c r="AN56" s="34">
        <f>IF(AND(ISNUMBER(AO56),ISNUMBER(AM56)),AO56-AM56,"")</f>
        <v>0</v>
      </c>
      <c r="AO56" s="40" t="s">
        <v>1078</v>
      </c>
      <c r="AP56" s="34">
        <f>IF(AND(ISNUMBER(AQ56),ISNUMBER(AO56)),AQ56-AO56,"")</f>
        <v>0</v>
      </c>
      <c r="AQ56" s="40" t="s">
        <v>1078</v>
      </c>
      <c r="AR56" s="34">
        <f>IF(AND(ISNUMBER(AS56),ISNUMBER(AQ56)),AS56-AQ56,"")</f>
        <v>0</v>
      </c>
      <c r="AS56" s="33">
        <v>2</v>
      </c>
      <c r="AT56" s="34">
        <f>IF(AND(ISNUMBER(AU56),ISNUMBER(AS56)),AU56-AS56,"")</f>
        <v>0</v>
      </c>
      <c r="AU56" s="33">
        <v>6</v>
      </c>
      <c r="AV56" s="34">
        <f>IF(AND(ISNUMBER(AW56),ISNUMBER(AU56)),AW56-AU56,"")</f>
        <v>0</v>
      </c>
      <c r="AW56" s="33">
        <v>14</v>
      </c>
      <c r="AX56" s="34">
        <f>IF(AND(ISNUMBER(AY56),ISNUMBER(AW56)),AY56-AW56,"")</f>
        <v>0</v>
      </c>
      <c r="AY56" s="33">
        <v>3</v>
      </c>
      <c r="AZ56" s="34">
        <f>IF(AND(ISNUMBER(BA56),ISNUMBER(AY56)),BA56-AY56,"")</f>
        <v>0</v>
      </c>
      <c r="BA56" s="33">
        <v>1</v>
      </c>
      <c r="BB56" s="34">
        <f>IF(AND(ISNUMBER(BC56),ISNUMBER(BA56)),BC56-BA56,"")</f>
        <v>0</v>
      </c>
      <c r="BC56" s="33">
        <v>2</v>
      </c>
      <c r="BD56" s="34">
        <f>IF(AND(ISNUMBER(BE56),ISNUMBER(BC56)),BE56-BC56,"")</f>
        <v>0</v>
      </c>
      <c r="BE56" s="33">
        <v>1</v>
      </c>
      <c r="BF56" s="34">
        <f>IF(AND(ISNUMBER(BG56),ISNUMBER(BE56)),BG56-BE56,"")</f>
        <v>0</v>
      </c>
      <c r="BG56" s="33">
        <v>1</v>
      </c>
      <c r="BH56" s="34">
        <f>IF(AND(ISNUMBER(BI56),ISNUMBER(BG56)),BI56-BG56,"")</f>
        <v>0</v>
      </c>
      <c r="BI56" s="33">
        <v>0</v>
      </c>
      <c r="BJ56" s="34">
        <f>IF(AND(ISNUMBER(BK56),ISNUMBER(BI56)),BK56-BI56,"")</f>
        <v>0</v>
      </c>
      <c r="BK56" s="33">
        <v>0</v>
      </c>
      <c r="BL56" s="34">
        <f>IF(AND(ISNUMBER(BM56),ISNUMBER(BK56)),BM56-BK56,"")</f>
        <v>0</v>
      </c>
      <c r="BM56" s="33">
        <v>2</v>
      </c>
      <c r="BN56" s="34">
        <f>IF(AND(ISNUMBER(BO56),ISNUMBER(BM56)),BO56-BM56,"")</f>
        <v>0</v>
      </c>
      <c r="BO56" s="33">
        <v>1</v>
      </c>
      <c r="BP56" s="34">
        <f>IF(AND(ISNUMBER(BQ56),ISNUMBER(BO56)),BQ56-BO56,"")</f>
        <v>0</v>
      </c>
      <c r="BQ56" s="33">
        <v>1</v>
      </c>
      <c r="BR56" s="34">
        <f>IF(AND(ISNUMBER(BS56),ISNUMBER(BQ56)),BS56-BQ56,"")</f>
        <v>0</v>
      </c>
      <c r="BS56" s="33">
        <v>2</v>
      </c>
      <c r="BT56" s="34">
        <f>IF(AND(ISNUMBER(BU56),ISNUMBER(BS56)),BU56-BS56,"")</f>
        <v>0</v>
      </c>
      <c r="BU56" s="33">
        <v>2</v>
      </c>
      <c r="BV56" s="34">
        <f>IF(AND(ISNUMBER(BW56),ISNUMBER(BU56)),BW56-BU56,"")</f>
        <v>0</v>
      </c>
      <c r="BW56" s="33">
        <v>6</v>
      </c>
      <c r="BX56" s="34">
        <f>IF(AND(ISNUMBER(BY56),ISNUMBER(BW56)),BY56-BW56,"")</f>
        <v>0</v>
      </c>
      <c r="BY56" s="33">
        <v>3</v>
      </c>
      <c r="BZ56" s="34">
        <f>IF(AND(ISNUMBER(CA56),ISNUMBER(BY56)),CA56-BY56,"")</f>
        <v>0</v>
      </c>
      <c r="CA56" s="33">
        <v>2</v>
      </c>
      <c r="CB56" s="34">
        <f>IF(AND(ISNUMBER(CC56),ISNUMBER(CA56)),CC56-CA56,"")</f>
        <v>0</v>
      </c>
      <c r="CC56" s="33">
        <v>6</v>
      </c>
      <c r="CD56" s="34">
        <f>IF(AND(ISNUMBER(CE56),ISNUMBER(CC56)),CE56-CC56,"")</f>
        <v>0</v>
      </c>
      <c r="CE56" s="33">
        <v>1</v>
      </c>
      <c r="CF56" s="34">
        <f>IF(AND(ISNUMBER(CG56),ISNUMBER(CE56)),CG56-CE56,"")</f>
        <v>0</v>
      </c>
      <c r="CG56" s="33">
        <v>6</v>
      </c>
      <c r="CH56" s="34">
        <f>IF(AND(ISNUMBER(CI56),ISNUMBER(CG56)),CI56-CG56,"")</f>
        <v>0</v>
      </c>
      <c r="CI56" s="33">
        <v>3</v>
      </c>
      <c r="CJ56" s="34">
        <f>IF(AND(ISNUMBER(CK56),ISNUMBER(CI56)),CK56-CI56,"")</f>
        <v>0</v>
      </c>
      <c r="CK56" s="33">
        <v>3</v>
      </c>
      <c r="CL56" s="34">
        <f>IF(AND(ISNUMBER(CM56),ISNUMBER(CK56)),CM56-CK56,"")</f>
        <v>0</v>
      </c>
      <c r="CM56" s="33">
        <v>7</v>
      </c>
      <c r="CN56" s="34">
        <f>IF(AND(ISNUMBER(CO56),ISNUMBER(CM56)),CO56-CM56,"")</f>
        <v>0</v>
      </c>
      <c r="CO56" s="33">
        <v>3</v>
      </c>
      <c r="CP56" s="34">
        <f>IF(AND(ISNUMBER(CQ56),ISNUMBER(CO56)),CQ56-CO56,"")</f>
        <v>0</v>
      </c>
      <c r="CQ56" s="33">
        <v>5</v>
      </c>
      <c r="CR56" s="34">
        <f>IF(AND(ISNUMBER(CS56),ISNUMBER(CQ56)),CS56-CQ56,"")</f>
        <v>0</v>
      </c>
      <c r="CS56" s="33">
        <v>7</v>
      </c>
      <c r="CT56" s="34">
        <f>IF(AND(ISNUMBER(CU56),ISNUMBER(CS56)),CU56-CS56,"")</f>
        <v>0</v>
      </c>
      <c r="CU56" s="33">
        <v>3</v>
      </c>
      <c r="CV56" s="34">
        <f>IF(AND(ISNUMBER(CW56),ISNUMBER(CU56)),CW56-CU56,"")</f>
        <v>0</v>
      </c>
      <c r="CW56" s="33">
        <v>5</v>
      </c>
      <c r="CX56" s="34">
        <f>IF(AND(ISNUMBER(CY56),ISNUMBER(CW56)),CY56-CW56,"")</f>
        <v>0</v>
      </c>
      <c r="CY56" s="33">
        <v>5</v>
      </c>
      <c r="CZ56" s="34">
        <f>IF(AND(ISNUMBER(DA56),ISNUMBER(CY56)),DA56-CY56,"")</f>
        <v>0</v>
      </c>
      <c r="DA56" s="33">
        <v>5</v>
      </c>
      <c r="DB56" s="34">
        <f>IF(AND(ISNUMBER(DC56),ISNUMBER(DA56)),DC56-DA56,"")</f>
        <v>0</v>
      </c>
      <c r="DC56" s="33">
        <v>2</v>
      </c>
      <c r="DD56" s="34">
        <f>IF(AND(ISNUMBER(DE56),ISNUMBER(DC56)),DE56-DC56,"")</f>
        <v>0</v>
      </c>
      <c r="DE56" s="33"/>
      <c r="DF56" s="34">
        <f>IF(AND(ISNUMBER(DG56),ISNUMBER(DE56)),DG56-DE56,"")</f>
        <v>0</v>
      </c>
      <c r="DG56" s="33">
        <v>7</v>
      </c>
      <c r="DH56" s="34">
        <f>IF(AND(ISNUMBER(DI56),ISNUMBER(DG56)),DI56-DG56,"")</f>
        <v>0</v>
      </c>
      <c r="DI56" s="33"/>
      <c r="DJ56" s="34">
        <f>IF(AND(ISNUMBER(DK56),ISNUMBER(DI56)),DK56-DI56,"")</f>
        <v>0</v>
      </c>
      <c r="DK56" s="33">
        <v>2</v>
      </c>
      <c r="DL56" s="34">
        <f>IF(AND(ISNUMBER(DM56),ISNUMBER(DK56)),DM56-DK56,"")</f>
        <v>0</v>
      </c>
      <c r="DM56" s="33">
        <v>1</v>
      </c>
      <c r="DN56" s="34">
        <f>IF(AND(ISNUMBER(DO56),ISNUMBER(DM56)),DO56-DM56,"")</f>
        <v>0</v>
      </c>
      <c r="DO56" s="33"/>
      <c r="DP56" s="34">
        <f>IF(AND(ISNUMBER(DQ56),ISNUMBER(DO56)),DQ56-DO56,"")</f>
        <v>0</v>
      </c>
      <c r="DQ56" s="33">
        <v>3</v>
      </c>
      <c r="DR56" s="34">
        <f>IF(AND(ISNUMBER(DS56),ISNUMBER(DQ56)),DS56-DQ56,"")</f>
        <v>0</v>
      </c>
      <c r="DS56" s="33">
        <v>5</v>
      </c>
      <c r="DT56" s="34">
        <f>IF(AND(ISNUMBER(DU56),ISNUMBER(DS56)),DU56-DS56,"")</f>
        <v>0</v>
      </c>
      <c r="DU56" s="33">
        <v>1</v>
      </c>
      <c r="DV56" s="34">
        <f>IF(AND(ISNUMBER(DW56),ISNUMBER(DU56)),DW56-DU56,"")</f>
        <v>0</v>
      </c>
      <c r="DW56" s="33">
        <v>1</v>
      </c>
      <c r="DX56" s="34">
        <f>IF(AND(ISNUMBER(DY56),ISNUMBER(DW56)),DY56-DW56,"")</f>
        <v>0</v>
      </c>
      <c r="DY56" s="33">
        <v>2</v>
      </c>
      <c r="DZ56" s="34">
        <f>IF(AND(ISNUMBER(EA56),ISNUMBER(DY56)),EA56-DY56,"")</f>
        <v>0</v>
      </c>
      <c r="EA56" s="33">
        <v>0</v>
      </c>
      <c r="EB56" s="34">
        <f>IF(AND(ISNUMBER(EC56),ISNUMBER(EA56)),EC56-EA56,"")</f>
        <v>0</v>
      </c>
      <c r="EC56" s="33"/>
      <c r="ED56" s="34">
        <f>IF(AND(ISNUMBER(EE56),ISNUMBER(EC56)),EE56-EC56,"")</f>
        <v>0</v>
      </c>
      <c r="EE56" s="33"/>
      <c r="EF56" s="34">
        <f>IF(AND(ISNUMBER(EG56),ISNUMBER(EE56)),EG56-EE56,"")</f>
        <v>0</v>
      </c>
      <c r="EG56" s="33"/>
      <c r="EH56" s="34">
        <f>IF(AND(ISNUMBER(EI56),ISNUMBER(EG56)),EI56-EG56,"")</f>
        <v>0</v>
      </c>
      <c r="EI56" s="33">
        <v>3</v>
      </c>
      <c r="EJ56" s="34">
        <f>IF(AND(ISNUMBER(EK56),ISNUMBER(EI56)),EK56-EI56,"")</f>
        <v>0</v>
      </c>
      <c r="EK56" s="33"/>
      <c r="EL56" s="34">
        <f>IF(AND(ISNUMBER(EM56),ISNUMBER(EK56)),EM56-EK56,"")</f>
        <v>0</v>
      </c>
      <c r="EM56" s="33">
        <v>1</v>
      </c>
      <c r="EN56" s="34">
        <f>IF(AND(ISNUMBER(EO56),ISNUMBER(EM56)),EO56-EM56,"")</f>
        <v>0</v>
      </c>
      <c r="EO56" s="33">
        <v>2</v>
      </c>
      <c r="EP56" s="34">
        <f>IF(AND(ISNUMBER(EQ56),ISNUMBER(EO56)),EQ56-EO56,"")</f>
        <v>0</v>
      </c>
      <c r="EQ56" s="33">
        <v>6</v>
      </c>
      <c r="ER56" s="34">
        <f>IF(AND(ISNUMBER(ES56),ISNUMBER(EQ56)),ES56-EQ56,"")</f>
        <v>0</v>
      </c>
      <c r="ES56" s="33">
        <v>6</v>
      </c>
      <c r="ET56" s="34">
        <f>IF(AND(ISNUMBER(EU56),ISNUMBER(ES56)),EU56-ES56,"")</f>
        <v>0</v>
      </c>
      <c r="EU56" s="33"/>
      <c r="EV56" s="34">
        <f>IF(AND(ISNUMBER(EW56),ISNUMBER(EU56)),EW56-EU56,"")</f>
        <v>0</v>
      </c>
      <c r="EW56" s="33">
        <v>2</v>
      </c>
      <c r="EX56" s="34">
        <f>IF(AND(ISNUMBER(EY56),ISNUMBER(EW56)),EY56-EW56,"")</f>
        <v>0</v>
      </c>
      <c r="EY56" s="33">
        <v>2</v>
      </c>
      <c r="EZ56" s="34">
        <f>IF(AND(ISNUMBER(FA56),ISNUMBER(EY56)),FA56-EY56,"")</f>
        <v>0</v>
      </c>
      <c r="FA56" s="33">
        <v>9</v>
      </c>
      <c r="FB56" s="34">
        <f>IF(AND(ISNUMBER(FC56),ISNUMBER(FA56)),FC56-FA56,"")</f>
        <v>0</v>
      </c>
      <c r="FC56" s="33"/>
      <c r="FD56" s="34">
        <f>IF(AND(ISNUMBER(FE56),ISNUMBER(FC56)),FE56-FC56,"")</f>
        <v>0</v>
      </c>
      <c r="FE56" s="33"/>
      <c r="FF56" s="34">
        <f>IF(AND(ISNUMBER(FG56),ISNUMBER(FE56)),FG56-FE56,"")</f>
        <v>0</v>
      </c>
      <c r="FG56" s="33"/>
      <c r="FH56" s="34">
        <f>IF(AND(ISNUMBER(FI56),ISNUMBER(FG56)),FI56-FG56,"")</f>
        <v>0</v>
      </c>
      <c r="FI56" s="33"/>
      <c r="FJ56" s="34">
        <f>IF(AND(ISNUMBER(FK56),ISNUMBER(FI56)),FK56-FI56,"")</f>
        <v>0</v>
      </c>
      <c r="FK56" s="33"/>
      <c r="FL56" s="34">
        <f>IF(AND(ISNUMBER(FM56),ISNUMBER(FK56)),FM56-FK56,"")</f>
        <v>0</v>
      </c>
      <c r="FM56" s="33"/>
      <c r="FN56" s="34">
        <f>IF(AND(ISNUMBER(FO56),ISNUMBER(FM56)),FO56-FM56,"")</f>
        <v>0</v>
      </c>
      <c r="FO56" s="33"/>
      <c r="FP56" s="34">
        <f>IF(AND(ISNUMBER(FQ56),ISNUMBER(FO56)),FQ56-FO56,"")</f>
        <v>0</v>
      </c>
      <c r="FQ56" s="33"/>
      <c r="FR56" s="34">
        <f>IF(AND(ISNUMBER(FS56),ISNUMBER(FQ56)),FS56-FQ56,"")</f>
        <v>0</v>
      </c>
      <c r="FS56" s="33"/>
      <c r="FT56" s="34">
        <f>IF(AND(ISNUMBER(FU56),ISNUMBER(FS56)),FU56-FS56,"")</f>
        <v>0</v>
      </c>
      <c r="FU56" s="33"/>
      <c r="FV56" s="34">
        <f>IF(AND(ISNUMBER(FW56),ISNUMBER(FU56)),FW56-FU56,"")</f>
        <v>0</v>
      </c>
      <c r="FW56" s="33"/>
      <c r="FX56" s="34">
        <f>IF(AND(ISNUMBER(FY56),ISNUMBER(FW56)),FY56-FW56,"")</f>
        <v>0</v>
      </c>
      <c r="FY56" s="33"/>
      <c r="FZ56" s="34">
        <f>IF(AND(ISNUMBER(GA56),ISNUMBER(FY56)),GA56-FY56,"")</f>
        <v>0</v>
      </c>
      <c r="GA56" s="33"/>
      <c r="GB56" s="34">
        <f>IF(AND(ISNUMBER(GC56),ISNUMBER(GA56)),GC56-GA56,"")</f>
        <v>0</v>
      </c>
      <c r="GC56" s="33"/>
      <c r="GD56" s="34">
        <f>IF(AND(ISNUMBER(GE56),ISNUMBER(GC56)),GE56-GC56,"")</f>
        <v>0</v>
      </c>
      <c r="GE56" s="33"/>
      <c r="GF56" s="34">
        <f>IF(AND(ISNUMBER(GG56),ISNUMBER(GE56)),GG56-GE56,"")</f>
        <v>0</v>
      </c>
      <c r="GG56" s="33"/>
      <c r="GH56" s="34">
        <f>IF(AND(ISNUMBER(GI56),ISNUMBER(GG56)),GI56-GG56,"")</f>
        <v>0</v>
      </c>
      <c r="GI56" s="33"/>
      <c r="GJ56" s="34">
        <f>IF(AND(ISNUMBER(GK56),ISNUMBER(GI56)),GK56-GI56,"")</f>
        <v>0</v>
      </c>
      <c r="GK56" s="33"/>
      <c r="GL56" s="34">
        <f>IF(AND(ISNUMBER(GM56),ISNUMBER(GK56)),GM56-GK56,"")</f>
        <v>0</v>
      </c>
      <c r="GM56" s="33"/>
      <c r="GN56" s="34">
        <f>IF(AND(ISNUMBER(GO56),ISNUMBER(GM56)),GO56-GM56,"")</f>
        <v>0</v>
      </c>
      <c r="GO56" s="33"/>
      <c r="GP56" s="34">
        <f>IF(AND(ISNUMBER(GQ56),ISNUMBER(GO56)),GQ56-GO56,"")</f>
        <v>0</v>
      </c>
      <c r="GQ56" s="33"/>
      <c r="GR56" s="34">
        <f>IF(AND(ISNUMBER(GS56),ISNUMBER(GQ56)),GS56-GQ56,"")</f>
        <v>0</v>
      </c>
      <c r="GS56" s="33"/>
      <c r="GT56" s="34">
        <f>IF(AND(ISNUMBER(GU56),ISNUMBER(GS56)),GU56-GS56,"")</f>
        <v>0</v>
      </c>
      <c r="GU56" s="33"/>
      <c r="GV56" s="34">
        <f>IF(AND(ISNUMBER(GW56),ISNUMBER(GU56)),GW56-GU56,"")</f>
        <v>0</v>
      </c>
      <c r="GW56" s="33"/>
      <c r="GX56" s="34">
        <f>IF(AND(ISNUMBER(GY56),ISNUMBER(GW56)),GY56-GW56,"")</f>
        <v>0</v>
      </c>
      <c r="GY56" s="33"/>
      <c r="GZ56" s="34">
        <f>IF(AND(ISNUMBER(HA56),ISNUMBER(GY56)),HA56-GY56,"")</f>
        <v>0</v>
      </c>
      <c r="HA56" s="33"/>
      <c r="HB56" s="34">
        <f>IF(AND(ISNUMBER(HC56),ISNUMBER(HA56)),HC56-HA56,"")</f>
        <v>0</v>
      </c>
      <c r="HC56" s="33"/>
      <c r="HD56" s="34">
        <f>IF(AND(ISNUMBER(HE56),ISNUMBER(HC56)),HE56-HC56,"")</f>
        <v>0</v>
      </c>
      <c r="HE56" s="33"/>
      <c r="HF56" s="34">
        <f>IF(AND(ISNUMBER(HG56),ISNUMBER(HE56)),HG56-HE56,"")</f>
        <v>0</v>
      </c>
      <c r="HG56" s="33"/>
      <c r="HH56" s="34">
        <f>IF(AND(ISNUMBER(HI56),ISNUMBER(HG56)),HI56-HG56,"")</f>
        <v>0</v>
      </c>
      <c r="HI56" s="33"/>
      <c r="HJ56" s="34">
        <f>IF(AND(ISNUMBER(HK56),ISNUMBER(HI56)),HK56-HI56,"")</f>
        <v>0</v>
      </c>
      <c r="HK56" s="33"/>
      <c r="HL56" s="34">
        <f>IF(AND(ISNUMBER(HM56),ISNUMBER(HK56)),HM56-HK56,"")</f>
        <v>0</v>
      </c>
      <c r="HM56" s="33"/>
      <c r="HN56" s="34">
        <f>IF(AND(ISNUMBER(HO56),ISNUMBER(HM56)),HO56-HM56,"")</f>
        <v>0</v>
      </c>
      <c r="HO56" s="33"/>
      <c r="HP56" s="34">
        <f>IF(AND(ISNUMBER(HQ56),ISNUMBER(HO56)),HQ56-HO56,"")</f>
        <v>0</v>
      </c>
      <c r="HQ56" s="33"/>
      <c r="HR56" s="34">
        <f>IF(AND(ISNUMBER(HS56),ISNUMBER(HQ56)),HS56-HQ56,"")</f>
        <v>0</v>
      </c>
      <c r="HS56" s="33"/>
      <c r="HT56" s="34">
        <f>IF(AND(ISNUMBER(HU56),ISNUMBER(HS56)),HU56-HS56,"")</f>
        <v>0</v>
      </c>
      <c r="HU56" s="33"/>
      <c r="HV56" s="34">
        <f>IF(AND(ISNUMBER(HW56),ISNUMBER(HU56)),HW56-HU56,"")</f>
        <v>0</v>
      </c>
      <c r="HW56" s="33"/>
      <c r="HX56" s="34">
        <f>IF(AND(ISNUMBER(HY56),ISNUMBER(HW56)),HY56-HW56,"")</f>
        <v>0</v>
      </c>
      <c r="HY56" s="33"/>
      <c r="HZ56" s="34">
        <f>IF(AND(ISNUMBER(IA56),ISNUMBER(HY56)),IA56-HY56,"")</f>
        <v>0</v>
      </c>
      <c r="IA56" s="33"/>
      <c r="IB56" s="34">
        <f>IF(AND(ISNUMBER(IC56),ISNUMBER(IA56)),IC56-IA56,"")</f>
        <v>0</v>
      </c>
      <c r="IC56" s="33"/>
      <c r="ID56" s="34">
        <f>IF(AND(ISNUMBER(IE56),ISNUMBER(IC56)),IE56-IC56,"")</f>
        <v>0</v>
      </c>
      <c r="IE56" s="33"/>
      <c r="IF56" s="34">
        <f>IF(AND(ISNUMBER(IG56),ISNUMBER(IE56)),IG56-IE56,"")</f>
        <v>0</v>
      </c>
      <c r="IG56" s="33"/>
      <c r="IH56" s="34">
        <f>IF(AND(ISNUMBER(II56),ISNUMBER(IG56)),II56-IG56,"")</f>
        <v>0</v>
      </c>
      <c r="II56" s="33"/>
      <c r="IJ56" s="34">
        <f>IF(AND(ISNUMBER(IK56),ISNUMBER(II56)),IK56-II56,"")</f>
        <v>0</v>
      </c>
      <c r="IK56" s="33"/>
      <c r="IL56" s="34">
        <f>IF(AND(ISNUMBER(IM56),ISNUMBER(IK56)),IM56-IK56,"")</f>
        <v>0</v>
      </c>
      <c r="IM56" s="33"/>
      <c r="IN56" s="34">
        <f>IF(AND(ISNUMBER(IO56),ISNUMBER(IM56)),IO56-IM56,"")</f>
        <v>0</v>
      </c>
      <c r="IO56" s="33"/>
      <c r="IP56" s="34">
        <f>IF(AND(ISNUMBER(IQ56),ISNUMBER(IO56)),IQ56-IO56,"")</f>
        <v>0</v>
      </c>
      <c r="IQ56" s="33"/>
      <c r="IR56" s="34">
        <f>IF(AND(ISNUMBER(IS56),ISNUMBER(IQ56)),IS56-IQ56,"")</f>
        <v>0</v>
      </c>
      <c r="IS56" s="33"/>
      <c r="IT56" s="34">
        <f>IF(AND(ISNUMBER(IU56),ISNUMBER(IS56)),IU56-IS56,"")</f>
        <v>0</v>
      </c>
      <c r="IU56" s="33"/>
      <c r="IV56" s="34">
        <f>IF(AND(ISNUMBER(IW56),ISNUMBER(IU56)),IW56-IU56,"")</f>
        <v>0</v>
      </c>
      <c r="IW56" s="33"/>
      <c r="IX56" s="34">
        <f>IF(AND(ISNUMBER(IY56),ISNUMBER(IW56)),IY56-IW56,"")</f>
        <v>0</v>
      </c>
      <c r="IY56" s="33"/>
      <c r="IZ56" s="34">
        <f>IF(AND(ISNUMBER(JA56),ISNUMBER(IY56)),JA56-IY56,"")</f>
        <v>0</v>
      </c>
      <c r="JA56" s="33"/>
      <c r="JB56" s="34">
        <f>IF(AND(ISNUMBER(JC56),ISNUMBER(JA56)),JC56-JA56,"")</f>
        <v>0</v>
      </c>
      <c r="JC56" s="33"/>
      <c r="JD56" s="34">
        <f>IF(AND(ISNUMBER(JE56),ISNUMBER(JC56)),JE56-JC56,"")</f>
        <v>0</v>
      </c>
      <c r="JE56" s="33"/>
      <c r="JF56" s="34">
        <f>IF(AND(ISNUMBER(JG56),ISNUMBER(JE56)),JG56-JE56,"")</f>
        <v>0</v>
      </c>
      <c r="JG56" s="33"/>
      <c r="JH56" s="34">
        <f>IF(AND(ISNUMBER(JI56),ISNUMBER(JG56)),JI56-JG56,"")</f>
        <v>0</v>
      </c>
      <c r="JI56" s="33"/>
      <c r="JJ56" s="34">
        <f>IF(AND(ISNUMBER(JK56),ISNUMBER(JI56)),JK56-JI56,"")</f>
        <v>0</v>
      </c>
      <c r="JK56" s="33"/>
      <c r="JL56" s="34">
        <f>IF(AND(ISNUMBER(JM56),ISNUMBER(JK56)),JM56-JK56,"")</f>
        <v>0</v>
      </c>
      <c r="JM56" s="33"/>
      <c r="JN56" s="34">
        <f>IF(AND(ISNUMBER(JO56),ISNUMBER(JM56)),JO56-JM56,"")</f>
        <v>0</v>
      </c>
      <c r="JO56" s="33"/>
      <c r="JP56" s="34">
        <f>IF(AND(ISNUMBER(JQ56),ISNUMBER(JO56)),JQ56-JO56,"")</f>
        <v>0</v>
      </c>
      <c r="JQ56" s="33"/>
      <c r="JR56" s="34">
        <f>IF(AND(ISNUMBER(JS56),ISNUMBER(JQ56)),JS56-JQ56,"")</f>
        <v>0</v>
      </c>
      <c r="JS56" s="33"/>
      <c r="JT56" s="34">
        <f>IF(AND(ISNUMBER(JU56),ISNUMBER(JS56)),JU56-JS56,"")</f>
        <v>0</v>
      </c>
      <c r="JU56" s="33"/>
      <c r="JV56" s="34">
        <f>IF(AND(ISNUMBER(JW56),ISNUMBER(JU56)),JW56-JU56,"")</f>
        <v>0</v>
      </c>
      <c r="JW56" s="33"/>
      <c r="JX56" s="34">
        <f>IF(AND(ISNUMBER(JY56),ISNUMBER(JW56)),JY56-JW56,"")</f>
        <v>0</v>
      </c>
      <c r="JY56" s="33"/>
      <c r="JZ56" s="34">
        <f>IF(AND(ISNUMBER(KA56),ISNUMBER(JY56)),KA56-JY56,"")</f>
        <v>0</v>
      </c>
      <c r="KA56" s="33"/>
      <c r="KB56" s="34">
        <f>IF(AND(ISNUMBER(KC56),ISNUMBER(KA56)),KC56-KA56,"")</f>
        <v>0</v>
      </c>
      <c r="KC56" s="33"/>
      <c r="KD56" s="34">
        <f>IF(AND(ISNUMBER(KE56),ISNUMBER(KC56)),KE56-KC56,"")</f>
        <v>0</v>
      </c>
      <c r="KE56" s="33"/>
      <c r="KF56" s="34">
        <f>IF(AND(ISNUMBER(KG56),ISNUMBER(KE56)),KG56-KE56,"")</f>
        <v>0</v>
      </c>
      <c r="KG56" s="33"/>
      <c r="KH56" s="34">
        <f>IF(AND(ISNUMBER(KI56),ISNUMBER(KG56)),KI56-KG56,"")</f>
        <v>0</v>
      </c>
      <c r="KI56" s="33"/>
      <c r="KJ56" s="34">
        <f>IF(AND(ISNUMBER(KK56),ISNUMBER(KI56)),KK56-KI56,"")</f>
        <v>0</v>
      </c>
      <c r="KK56" s="33"/>
      <c r="KL56" s="34">
        <f>IF(AND(ISNUMBER(KM56),ISNUMBER(KK56)),KM56-KK56,"")</f>
        <v>0</v>
      </c>
      <c r="KM56" s="33"/>
      <c r="KN56" s="34">
        <f>IF(AND(ISNUMBER(KO56),ISNUMBER(KM56)),KO56-KM56,"")</f>
        <v>0</v>
      </c>
      <c r="KO56" s="33"/>
      <c r="KP56" s="34">
        <f>IF(AND(ISNUMBER(KQ56),ISNUMBER(KO56)),KQ56-KO56,"")</f>
        <v>0</v>
      </c>
      <c r="KQ56" s="33"/>
      <c r="KR56" s="34">
        <f>IF(AND(ISNUMBER(KS56),ISNUMBER(KQ56)),KS56-KQ56,"")</f>
        <v>0</v>
      </c>
      <c r="KS56" s="33"/>
      <c r="KT56" s="34">
        <f>IF(AND(ISNUMBER(KU56),ISNUMBER(KS56)),KU56-KS56,"")</f>
        <v>0</v>
      </c>
      <c r="KU56" s="33"/>
      <c r="KV56" s="34">
        <f>IF(AND(ISNUMBER(KW56),ISNUMBER(KU56)),KW56-KU56,"")</f>
        <v>0</v>
      </c>
      <c r="KW56" s="33"/>
      <c r="KX56" s="34">
        <f>IF(AND(ISNUMBER(KY56),ISNUMBER(KW56)),KY56-KW56,"")</f>
        <v>0</v>
      </c>
      <c r="KY56" s="33"/>
      <c r="KZ56" s="34">
        <f>IF(AND(ISNUMBER(LA56),ISNUMBER(KY56)),LA56-KY56,"")</f>
        <v>0</v>
      </c>
      <c r="LA56" s="33"/>
      <c r="LB56" s="34">
        <f>IF(AND(ISNUMBER(LC56),ISNUMBER(LA56)),LC56-LA56,"")</f>
        <v>0</v>
      </c>
      <c r="LC56" s="33"/>
      <c r="LD56" s="34">
        <f>IF(AND(ISNUMBER(LE56),ISNUMBER(LC56)),LE56-LC56,"")</f>
        <v>0</v>
      </c>
      <c r="LE56" s="33"/>
      <c r="LF56" s="34">
        <f>IF(AND(ISNUMBER(LG56),ISNUMBER(LE56)),LG56-LE56,"")</f>
        <v>0</v>
      </c>
      <c r="LG56" s="33"/>
    </row>
    <row r="57" spans="1:322" hidden="1" outlineLevel="1">
      <c r="B57" s="23"/>
      <c r="D57" s="31" t="s">
        <v>715</v>
      </c>
      <c r="E57" s="32" t="s">
        <v>1059</v>
      </c>
      <c r="F57" s="38">
        <v>45689</v>
      </c>
      <c r="I57" s="40" t="s">
        <v>1078</v>
      </c>
      <c r="J57" s="34">
        <f>IF(AND(ISNUMBER(K57),ISNUMBER(I57)),K57-I57,"")</f>
        <v>0</v>
      </c>
      <c r="K57" s="40" t="s">
        <v>1078</v>
      </c>
      <c r="L57" s="34">
        <f>IF(AND(ISNUMBER(M57),ISNUMBER(K57)),M57-K57,"")</f>
        <v>0</v>
      </c>
      <c r="M57" s="40" t="s">
        <v>1078</v>
      </c>
      <c r="N57" s="34">
        <f>IF(AND(ISNUMBER(O57),ISNUMBER(M57)),O57-M57,"")</f>
        <v>0</v>
      </c>
      <c r="O57" s="40" t="s">
        <v>1078</v>
      </c>
      <c r="P57" s="34">
        <f>IF(AND(ISNUMBER(Q57),ISNUMBER(O57)),Q57-O57,"")</f>
        <v>0</v>
      </c>
      <c r="Q57" s="40" t="s">
        <v>1078</v>
      </c>
      <c r="R57" s="34">
        <f>IF(AND(ISNUMBER(S57),ISNUMBER(Q57)),S57-Q57,"")</f>
        <v>0</v>
      </c>
      <c r="S57" s="40" t="s">
        <v>1078</v>
      </c>
      <c r="T57" s="34">
        <f>IF(AND(ISNUMBER(U57),ISNUMBER(S57)),U57-S57,"")</f>
        <v>0</v>
      </c>
      <c r="U57" s="40" t="s">
        <v>1078</v>
      </c>
      <c r="V57" s="34">
        <f>IF(AND(ISNUMBER(W57),ISNUMBER(U57)),W57-U57,"")</f>
        <v>0</v>
      </c>
      <c r="W57" s="40" t="s">
        <v>1078</v>
      </c>
      <c r="X57" s="34">
        <f>IF(AND(ISNUMBER(Y57),ISNUMBER(W57)),Y57-W57,"")</f>
        <v>0</v>
      </c>
      <c r="Y57" s="40" t="s">
        <v>1078</v>
      </c>
      <c r="Z57" s="34">
        <f>IF(AND(ISNUMBER(AA57),ISNUMBER(Y57)),AA57-Y57,"")</f>
        <v>0</v>
      </c>
      <c r="AA57" s="40" t="s">
        <v>1078</v>
      </c>
      <c r="AB57" s="34">
        <f>IF(AND(ISNUMBER(AC57),ISNUMBER(AA57)),AC57-AA57,"")</f>
        <v>0</v>
      </c>
      <c r="AC57" s="40" t="s">
        <v>1078</v>
      </c>
      <c r="AD57" s="34">
        <f>IF(AND(ISNUMBER(AE57),ISNUMBER(AC57)),AE57-AC57,"")</f>
        <v>0</v>
      </c>
      <c r="AE57" s="40" t="s">
        <v>1078</v>
      </c>
      <c r="AF57" s="34">
        <f>IF(AND(ISNUMBER(AG57),ISNUMBER(AE57)),AG57-AE57,"")</f>
        <v>0</v>
      </c>
      <c r="AG57" s="40" t="s">
        <v>1078</v>
      </c>
      <c r="AH57" s="34">
        <f>IF(AND(ISNUMBER(AI57),ISNUMBER(AG57)),AI57-AG57,"")</f>
        <v>0</v>
      </c>
      <c r="AI57" s="40" t="s">
        <v>1078</v>
      </c>
      <c r="AJ57" s="34">
        <f>IF(AND(ISNUMBER(AK57),ISNUMBER(AI57)),AK57-AI57,"")</f>
        <v>0</v>
      </c>
      <c r="AK57" s="40" t="s">
        <v>1078</v>
      </c>
      <c r="AL57" s="34">
        <f>IF(AND(ISNUMBER(AM57),ISNUMBER(AK57)),AM57-AK57,"")</f>
        <v>0</v>
      </c>
      <c r="AM57" s="40" t="s">
        <v>1078</v>
      </c>
      <c r="AN57" s="34">
        <f>IF(AND(ISNUMBER(AO57),ISNUMBER(AM57)),AO57-AM57,"")</f>
        <v>0</v>
      </c>
      <c r="AO57" s="40" t="s">
        <v>1078</v>
      </c>
      <c r="AP57" s="34">
        <f>IF(AND(ISNUMBER(AQ57),ISNUMBER(AO57)),AQ57-AO57,"")</f>
        <v>0</v>
      </c>
      <c r="AQ57" s="40" t="s">
        <v>1078</v>
      </c>
      <c r="AR57" s="34">
        <f>IF(AND(ISNUMBER(AS57),ISNUMBER(AQ57)),AS57-AQ57,"")</f>
        <v>0</v>
      </c>
      <c r="AS57" s="33">
        <v>0</v>
      </c>
      <c r="AT57" s="34">
        <f>IF(AND(ISNUMBER(AU57),ISNUMBER(AS57)),AU57-AS57,"")</f>
        <v>0</v>
      </c>
      <c r="AU57" s="33">
        <v>0</v>
      </c>
      <c r="AV57" s="34">
        <f>IF(AND(ISNUMBER(AW57),ISNUMBER(AU57)),AW57-AU57,"")</f>
        <v>0</v>
      </c>
      <c r="AW57" s="33">
        <v>0</v>
      </c>
      <c r="AX57" s="34">
        <f>IF(AND(ISNUMBER(AY57),ISNUMBER(AW57)),AY57-AW57,"")</f>
        <v>0</v>
      </c>
      <c r="AY57" s="33">
        <v>2</v>
      </c>
      <c r="AZ57" s="34">
        <f>IF(AND(ISNUMBER(BA57),ISNUMBER(AY57)),BA57-AY57,"")</f>
        <v>0</v>
      </c>
      <c r="BA57" s="33">
        <v>0</v>
      </c>
      <c r="BB57" s="34">
        <f>IF(AND(ISNUMBER(BC57),ISNUMBER(BA57)),BC57-BA57,"")</f>
        <v>0</v>
      </c>
      <c r="BC57" s="33">
        <v>0</v>
      </c>
      <c r="BD57" s="34">
        <f>IF(AND(ISNUMBER(BE57),ISNUMBER(BC57)),BE57-BC57,"")</f>
        <v>0</v>
      </c>
      <c r="BE57" s="33">
        <v>0</v>
      </c>
      <c r="BF57" s="34">
        <f>IF(AND(ISNUMBER(BG57),ISNUMBER(BE57)),BG57-BE57,"")</f>
        <v>0</v>
      </c>
      <c r="BG57" s="33">
        <v>0</v>
      </c>
      <c r="BH57" s="34">
        <f>IF(AND(ISNUMBER(BI57),ISNUMBER(BG57)),BI57-BG57,"")</f>
        <v>0</v>
      </c>
      <c r="BI57" s="33">
        <v>0</v>
      </c>
      <c r="BJ57" s="34">
        <f>IF(AND(ISNUMBER(BK57),ISNUMBER(BI57)),BK57-BI57,"")</f>
        <v>0</v>
      </c>
      <c r="BK57" s="33">
        <v>0</v>
      </c>
      <c r="BL57" s="34">
        <f>IF(AND(ISNUMBER(BM57),ISNUMBER(BK57)),BM57-BK57,"")</f>
        <v>0</v>
      </c>
      <c r="BM57" s="33">
        <v>0</v>
      </c>
      <c r="BN57" s="34">
        <f>IF(AND(ISNUMBER(BO57),ISNUMBER(BM57)),BO57-BM57,"")</f>
        <v>0</v>
      </c>
      <c r="BO57" s="33">
        <v>0</v>
      </c>
      <c r="BP57" s="34">
        <f>IF(AND(ISNUMBER(BQ57),ISNUMBER(BO57)),BQ57-BO57,"")</f>
        <v>0</v>
      </c>
      <c r="BQ57" s="33">
        <v>0</v>
      </c>
      <c r="BR57" s="34">
        <f>IF(AND(ISNUMBER(BS57),ISNUMBER(BQ57)),BS57-BQ57,"")</f>
        <v>0</v>
      </c>
      <c r="BS57" s="33">
        <v>0</v>
      </c>
      <c r="BT57" s="34">
        <f>IF(AND(ISNUMBER(BU57),ISNUMBER(BS57)),BU57-BS57,"")</f>
        <v>0</v>
      </c>
      <c r="BU57" s="33">
        <v>0</v>
      </c>
      <c r="BV57" s="34">
        <f>IF(AND(ISNUMBER(BW57),ISNUMBER(BU57)),BW57-BU57,"")</f>
        <v>0</v>
      </c>
      <c r="BW57" s="33">
        <v>0</v>
      </c>
      <c r="BX57" s="34">
        <f>IF(AND(ISNUMBER(BY57),ISNUMBER(BW57)),BY57-BW57,"")</f>
        <v>0</v>
      </c>
      <c r="BY57" s="33">
        <v>3</v>
      </c>
      <c r="BZ57" s="34">
        <f>IF(AND(ISNUMBER(CA57),ISNUMBER(BY57)),CA57-BY57,"")</f>
        <v>0</v>
      </c>
      <c r="CA57" s="33">
        <v>0</v>
      </c>
      <c r="CB57" s="34">
        <f>IF(AND(ISNUMBER(CC57),ISNUMBER(CA57)),CC57-CA57,"")</f>
        <v>0</v>
      </c>
      <c r="CC57" s="33">
        <v>0</v>
      </c>
      <c r="CD57" s="34">
        <f>IF(AND(ISNUMBER(CE57),ISNUMBER(CC57)),CE57-CC57,"")</f>
        <v>0</v>
      </c>
      <c r="CE57" s="33">
        <v>0</v>
      </c>
      <c r="CF57" s="34">
        <f>IF(AND(ISNUMBER(CG57),ISNUMBER(CE57)),CG57-CE57,"")</f>
        <v>0</v>
      </c>
      <c r="CG57" s="33">
        <v>0</v>
      </c>
      <c r="CH57" s="34">
        <f>IF(AND(ISNUMBER(CI57),ISNUMBER(CG57)),CI57-CG57,"")</f>
        <v>0</v>
      </c>
      <c r="CI57" s="33">
        <v>0</v>
      </c>
      <c r="CJ57" s="34">
        <f>IF(AND(ISNUMBER(CK57),ISNUMBER(CI57)),CK57-CI57,"")</f>
        <v>0</v>
      </c>
      <c r="CK57" s="33">
        <v>0</v>
      </c>
      <c r="CL57" s="34">
        <f>IF(AND(ISNUMBER(CM57),ISNUMBER(CK57)),CM57-CK57,"")</f>
        <v>0</v>
      </c>
      <c r="CM57" s="33">
        <v>0</v>
      </c>
      <c r="CN57" s="34">
        <f>IF(AND(ISNUMBER(CO57),ISNUMBER(CM57)),CO57-CM57,"")</f>
        <v>0</v>
      </c>
      <c r="CO57" s="33">
        <v>0</v>
      </c>
      <c r="CP57" s="34">
        <f>IF(AND(ISNUMBER(CQ57),ISNUMBER(CO57)),CQ57-CO57,"")</f>
        <v>0</v>
      </c>
      <c r="CQ57" s="33">
        <v>0</v>
      </c>
      <c r="CR57" s="34">
        <f>IF(AND(ISNUMBER(CS57),ISNUMBER(CQ57)),CS57-CQ57,"")</f>
        <v>0</v>
      </c>
      <c r="CS57" s="33">
        <v>0</v>
      </c>
      <c r="CT57" s="34">
        <f>IF(AND(ISNUMBER(CU57),ISNUMBER(CS57)),CU57-CS57,"")</f>
        <v>0</v>
      </c>
      <c r="CU57" s="33">
        <v>0</v>
      </c>
      <c r="CV57" s="34">
        <f>IF(AND(ISNUMBER(CW57),ISNUMBER(CU57)),CW57-CU57,"")</f>
        <v>0</v>
      </c>
      <c r="CW57" s="33">
        <v>0</v>
      </c>
      <c r="CX57" s="34">
        <f>IF(AND(ISNUMBER(CY57),ISNUMBER(CW57)),CY57-CW57,"")</f>
        <v>0</v>
      </c>
      <c r="CY57" s="33">
        <v>0</v>
      </c>
      <c r="CZ57" s="34">
        <f>IF(AND(ISNUMBER(DA57),ISNUMBER(CY57)),DA57-CY57,"")</f>
        <v>0</v>
      </c>
      <c r="DA57" s="33">
        <v>0</v>
      </c>
      <c r="DB57" s="34">
        <f>IF(AND(ISNUMBER(DC57),ISNUMBER(DA57)),DC57-DA57,"")</f>
        <v>0</v>
      </c>
      <c r="DC57" s="33">
        <v>0</v>
      </c>
      <c r="DD57" s="34">
        <f>IF(AND(ISNUMBER(DE57),ISNUMBER(DC57)),DE57-DC57,"")</f>
        <v>0</v>
      </c>
      <c r="DE57" s="33">
        <v>0</v>
      </c>
      <c r="DF57" s="34">
        <f>IF(AND(ISNUMBER(DG57),ISNUMBER(DE57)),DG57-DE57,"")</f>
        <v>0</v>
      </c>
      <c r="DG57" s="33">
        <v>0</v>
      </c>
      <c r="DH57" s="34">
        <f>IF(AND(ISNUMBER(DI57),ISNUMBER(DG57)),DI57-DG57,"")</f>
        <v>0</v>
      </c>
      <c r="DI57" s="33">
        <v>0</v>
      </c>
      <c r="DJ57" s="34">
        <f>IF(AND(ISNUMBER(DK57),ISNUMBER(DI57)),DK57-DI57,"")</f>
        <v>0</v>
      </c>
      <c r="DK57" s="33">
        <v>0</v>
      </c>
      <c r="DL57" s="34">
        <f>IF(AND(ISNUMBER(DM57),ISNUMBER(DK57)),DM57-DK57,"")</f>
        <v>0</v>
      </c>
      <c r="DM57" s="33">
        <v>0</v>
      </c>
      <c r="DN57" s="34">
        <f>IF(AND(ISNUMBER(DO57),ISNUMBER(DM57)),DO57-DM57,"")</f>
        <v>0</v>
      </c>
      <c r="DO57" s="33">
        <v>0</v>
      </c>
      <c r="DP57" s="34">
        <f>IF(AND(ISNUMBER(DQ57),ISNUMBER(DO57)),DQ57-DO57,"")</f>
        <v>0</v>
      </c>
      <c r="DQ57" s="33">
        <v>0</v>
      </c>
      <c r="DR57" s="34">
        <f>IF(AND(ISNUMBER(DS57),ISNUMBER(DQ57)),DS57-DQ57,"")</f>
        <v>0</v>
      </c>
      <c r="DS57" s="33">
        <v>0</v>
      </c>
      <c r="DT57" s="34">
        <f>IF(AND(ISNUMBER(DU57),ISNUMBER(DS57)),DU57-DS57,"")</f>
        <v>0</v>
      </c>
      <c r="DU57" s="33">
        <v>0</v>
      </c>
      <c r="DV57" s="34">
        <f>IF(AND(ISNUMBER(DW57),ISNUMBER(DU57)),DW57-DU57,"")</f>
        <v>0</v>
      </c>
      <c r="DW57" s="33">
        <v>0</v>
      </c>
      <c r="DX57" s="34">
        <f>IF(AND(ISNUMBER(DY57),ISNUMBER(DW57)),DY57-DW57,"")</f>
        <v>0</v>
      </c>
      <c r="DY57" s="33">
        <v>0</v>
      </c>
      <c r="DZ57" s="34">
        <f>IF(AND(ISNUMBER(EA57),ISNUMBER(DY57)),EA57-DY57,"")</f>
        <v>0</v>
      </c>
      <c r="EA57" s="33">
        <v>0</v>
      </c>
      <c r="EB57" s="34">
        <f>IF(AND(ISNUMBER(EC57),ISNUMBER(EA57)),EC57-EA57,"")</f>
        <v>0</v>
      </c>
      <c r="EC57" s="33">
        <v>0</v>
      </c>
      <c r="ED57" s="34">
        <f>IF(AND(ISNUMBER(EE57),ISNUMBER(EC57)),EE57-EC57,"")</f>
        <v>0</v>
      </c>
      <c r="EE57" s="33">
        <v>0</v>
      </c>
      <c r="EF57" s="34">
        <f>IF(AND(ISNUMBER(EG57),ISNUMBER(EE57)),EG57-EE57,"")</f>
        <v>0</v>
      </c>
      <c r="EG57" s="33">
        <v>0</v>
      </c>
      <c r="EH57" s="34">
        <f>IF(AND(ISNUMBER(EI57),ISNUMBER(EG57)),EI57-EG57,"")</f>
        <v>0</v>
      </c>
      <c r="EI57" s="33">
        <v>0</v>
      </c>
      <c r="EJ57" s="34">
        <f>IF(AND(ISNUMBER(EK57),ISNUMBER(EI57)),EK57-EI57,"")</f>
        <v>0</v>
      </c>
      <c r="EK57" s="33">
        <v>0</v>
      </c>
      <c r="EL57" s="34">
        <f>IF(AND(ISNUMBER(EM57),ISNUMBER(EK57)),EM57-EK57,"")</f>
        <v>0</v>
      </c>
      <c r="EM57" s="33">
        <v>0</v>
      </c>
      <c r="EN57" s="34">
        <f>IF(AND(ISNUMBER(EO57),ISNUMBER(EM57)),EO57-EM57,"")</f>
        <v>0</v>
      </c>
      <c r="EO57" s="33">
        <v>0</v>
      </c>
      <c r="EP57" s="34">
        <f>IF(AND(ISNUMBER(EQ57),ISNUMBER(EO57)),EQ57-EO57,"")</f>
        <v>0</v>
      </c>
      <c r="EQ57" s="33">
        <v>0</v>
      </c>
      <c r="ER57" s="34">
        <f>IF(AND(ISNUMBER(ES57),ISNUMBER(EQ57)),ES57-EQ57,"")</f>
        <v>0</v>
      </c>
      <c r="ES57" s="33">
        <v>0</v>
      </c>
      <c r="ET57" s="34">
        <f>IF(AND(ISNUMBER(EU57),ISNUMBER(ES57)),EU57-ES57,"")</f>
        <v>0</v>
      </c>
      <c r="EU57" s="33">
        <v>0</v>
      </c>
      <c r="EV57" s="34">
        <f>IF(AND(ISNUMBER(EW57),ISNUMBER(EU57)),EW57-EU57,"")</f>
        <v>0</v>
      </c>
      <c r="EW57" s="33">
        <v>0</v>
      </c>
      <c r="EX57" s="34">
        <f>IF(AND(ISNUMBER(EY57),ISNUMBER(EW57)),EY57-EW57,"")</f>
        <v>0</v>
      </c>
      <c r="EY57" s="33">
        <v>0</v>
      </c>
      <c r="EZ57" s="34">
        <f>IF(AND(ISNUMBER(FA57),ISNUMBER(EY57)),FA57-EY57,"")</f>
        <v>0</v>
      </c>
      <c r="FA57" s="33">
        <v>0</v>
      </c>
      <c r="FB57" s="34">
        <f>IF(AND(ISNUMBER(FC57),ISNUMBER(FA57)),FC57-FA57,"")</f>
        <v>0</v>
      </c>
      <c r="FC57" s="33"/>
      <c r="FD57" s="34">
        <f>IF(AND(ISNUMBER(FE57),ISNUMBER(FC57)),FE57-FC57,"")</f>
        <v>0</v>
      </c>
      <c r="FE57" s="33"/>
      <c r="FF57" s="34">
        <f>IF(AND(ISNUMBER(FG57),ISNUMBER(FE57)),FG57-FE57,"")</f>
        <v>0</v>
      </c>
      <c r="FG57" s="33"/>
      <c r="FH57" s="34">
        <f>IF(AND(ISNUMBER(FI57),ISNUMBER(FG57)),FI57-FG57,"")</f>
        <v>0</v>
      </c>
      <c r="FI57" s="33"/>
      <c r="FJ57" s="34">
        <f>IF(AND(ISNUMBER(FK57),ISNUMBER(FI57)),FK57-FI57,"")</f>
        <v>0</v>
      </c>
      <c r="FK57" s="33"/>
      <c r="FL57" s="34">
        <f>IF(AND(ISNUMBER(FM57),ISNUMBER(FK57)),FM57-FK57,"")</f>
        <v>0</v>
      </c>
      <c r="FM57" s="33"/>
      <c r="FN57" s="34">
        <f>IF(AND(ISNUMBER(FO57),ISNUMBER(FM57)),FO57-FM57,"")</f>
        <v>0</v>
      </c>
      <c r="FO57" s="33"/>
      <c r="FP57" s="34">
        <f>IF(AND(ISNUMBER(FQ57),ISNUMBER(FO57)),FQ57-FO57,"")</f>
        <v>0</v>
      </c>
      <c r="FQ57" s="33"/>
      <c r="FR57" s="34">
        <f>IF(AND(ISNUMBER(FS57),ISNUMBER(FQ57)),FS57-FQ57,"")</f>
        <v>0</v>
      </c>
      <c r="FS57" s="33"/>
      <c r="FT57" s="34">
        <f>IF(AND(ISNUMBER(FU57),ISNUMBER(FS57)),FU57-FS57,"")</f>
        <v>0</v>
      </c>
      <c r="FU57" s="33"/>
      <c r="FV57" s="34">
        <f>IF(AND(ISNUMBER(FW57),ISNUMBER(FU57)),FW57-FU57,"")</f>
        <v>0</v>
      </c>
      <c r="FW57" s="33"/>
      <c r="FX57" s="34">
        <f>IF(AND(ISNUMBER(FY57),ISNUMBER(FW57)),FY57-FW57,"")</f>
        <v>0</v>
      </c>
      <c r="FY57" s="33"/>
      <c r="FZ57" s="34">
        <f>IF(AND(ISNUMBER(GA57),ISNUMBER(FY57)),GA57-FY57,"")</f>
        <v>0</v>
      </c>
      <c r="GA57" s="33"/>
      <c r="GB57" s="34">
        <f>IF(AND(ISNUMBER(GC57),ISNUMBER(GA57)),GC57-GA57,"")</f>
        <v>0</v>
      </c>
      <c r="GC57" s="33"/>
      <c r="GD57" s="34">
        <f>IF(AND(ISNUMBER(GE57),ISNUMBER(GC57)),GE57-GC57,"")</f>
        <v>0</v>
      </c>
      <c r="GE57" s="33"/>
      <c r="GF57" s="34">
        <f>IF(AND(ISNUMBER(GG57),ISNUMBER(GE57)),GG57-GE57,"")</f>
        <v>0</v>
      </c>
      <c r="GG57" s="33"/>
      <c r="GH57" s="34">
        <f>IF(AND(ISNUMBER(GI57),ISNUMBER(GG57)),GI57-GG57,"")</f>
        <v>0</v>
      </c>
      <c r="GI57" s="33"/>
      <c r="GJ57" s="34">
        <f>IF(AND(ISNUMBER(GK57),ISNUMBER(GI57)),GK57-GI57,"")</f>
        <v>0</v>
      </c>
      <c r="GK57" s="33"/>
      <c r="GL57" s="34">
        <f>IF(AND(ISNUMBER(GM57),ISNUMBER(GK57)),GM57-GK57,"")</f>
        <v>0</v>
      </c>
      <c r="GM57" s="33"/>
      <c r="GN57" s="34">
        <f>IF(AND(ISNUMBER(GO57),ISNUMBER(GM57)),GO57-GM57,"")</f>
        <v>0</v>
      </c>
      <c r="GO57" s="33"/>
      <c r="GP57" s="34">
        <f>IF(AND(ISNUMBER(GQ57),ISNUMBER(GO57)),GQ57-GO57,"")</f>
        <v>0</v>
      </c>
      <c r="GQ57" s="33"/>
      <c r="GR57" s="34">
        <f>IF(AND(ISNUMBER(GS57),ISNUMBER(GQ57)),GS57-GQ57,"")</f>
        <v>0</v>
      </c>
      <c r="GS57" s="33"/>
      <c r="GT57" s="34">
        <f>IF(AND(ISNUMBER(GU57),ISNUMBER(GS57)),GU57-GS57,"")</f>
        <v>0</v>
      </c>
      <c r="GU57" s="33"/>
      <c r="GV57" s="34">
        <f>IF(AND(ISNUMBER(GW57),ISNUMBER(GU57)),GW57-GU57,"")</f>
        <v>0</v>
      </c>
      <c r="GW57" s="33"/>
      <c r="GX57" s="34">
        <f>IF(AND(ISNUMBER(GY57),ISNUMBER(GW57)),GY57-GW57,"")</f>
        <v>0</v>
      </c>
      <c r="GY57" s="33"/>
      <c r="GZ57" s="34">
        <f>IF(AND(ISNUMBER(HA57),ISNUMBER(GY57)),HA57-GY57,"")</f>
        <v>0</v>
      </c>
      <c r="HA57" s="33"/>
      <c r="HB57" s="34">
        <f>IF(AND(ISNUMBER(HC57),ISNUMBER(HA57)),HC57-HA57,"")</f>
        <v>0</v>
      </c>
      <c r="HC57" s="33"/>
      <c r="HD57" s="34">
        <f>IF(AND(ISNUMBER(HE57),ISNUMBER(HC57)),HE57-HC57,"")</f>
        <v>0</v>
      </c>
      <c r="HE57" s="33"/>
      <c r="HF57" s="34">
        <f>IF(AND(ISNUMBER(HG57),ISNUMBER(HE57)),HG57-HE57,"")</f>
        <v>0</v>
      </c>
      <c r="HG57" s="33"/>
      <c r="HH57" s="34">
        <f>IF(AND(ISNUMBER(HI57),ISNUMBER(HG57)),HI57-HG57,"")</f>
        <v>0</v>
      </c>
      <c r="HI57" s="33"/>
      <c r="HJ57" s="34">
        <f>IF(AND(ISNUMBER(HK57),ISNUMBER(HI57)),HK57-HI57,"")</f>
        <v>0</v>
      </c>
      <c r="HK57" s="33"/>
      <c r="HL57" s="34">
        <f>IF(AND(ISNUMBER(HM57),ISNUMBER(HK57)),HM57-HK57,"")</f>
        <v>0</v>
      </c>
      <c r="HM57" s="33"/>
      <c r="HN57" s="34">
        <f>IF(AND(ISNUMBER(HO57),ISNUMBER(HM57)),HO57-HM57,"")</f>
        <v>0</v>
      </c>
      <c r="HO57" s="33"/>
      <c r="HP57" s="34">
        <f>IF(AND(ISNUMBER(HQ57),ISNUMBER(HO57)),HQ57-HO57,"")</f>
        <v>0</v>
      </c>
      <c r="HQ57" s="33"/>
      <c r="HR57" s="34">
        <f>IF(AND(ISNUMBER(HS57),ISNUMBER(HQ57)),HS57-HQ57,"")</f>
        <v>0</v>
      </c>
      <c r="HS57" s="33"/>
      <c r="HT57" s="34">
        <f>IF(AND(ISNUMBER(HU57),ISNUMBER(HS57)),HU57-HS57,"")</f>
        <v>0</v>
      </c>
      <c r="HU57" s="33"/>
      <c r="HV57" s="34">
        <f>IF(AND(ISNUMBER(HW57),ISNUMBER(HU57)),HW57-HU57,"")</f>
        <v>0</v>
      </c>
      <c r="HW57" s="33"/>
      <c r="HX57" s="34">
        <f>IF(AND(ISNUMBER(HY57),ISNUMBER(HW57)),HY57-HW57,"")</f>
        <v>0</v>
      </c>
      <c r="HY57" s="33"/>
      <c r="HZ57" s="34">
        <f>IF(AND(ISNUMBER(IA57),ISNUMBER(HY57)),IA57-HY57,"")</f>
        <v>0</v>
      </c>
      <c r="IA57" s="33"/>
      <c r="IB57" s="34">
        <f>IF(AND(ISNUMBER(IC57),ISNUMBER(IA57)),IC57-IA57,"")</f>
        <v>0</v>
      </c>
      <c r="IC57" s="33"/>
      <c r="ID57" s="34">
        <f>IF(AND(ISNUMBER(IE57),ISNUMBER(IC57)),IE57-IC57,"")</f>
        <v>0</v>
      </c>
      <c r="IE57" s="33"/>
      <c r="IF57" s="34">
        <f>IF(AND(ISNUMBER(IG57),ISNUMBER(IE57)),IG57-IE57,"")</f>
        <v>0</v>
      </c>
      <c r="IG57" s="33"/>
      <c r="IH57" s="34">
        <f>IF(AND(ISNUMBER(II57),ISNUMBER(IG57)),II57-IG57,"")</f>
        <v>0</v>
      </c>
      <c r="II57" s="33"/>
      <c r="IJ57" s="34">
        <f>IF(AND(ISNUMBER(IK57),ISNUMBER(II57)),IK57-II57,"")</f>
        <v>0</v>
      </c>
      <c r="IK57" s="33"/>
      <c r="IL57" s="34">
        <f>IF(AND(ISNUMBER(IM57),ISNUMBER(IK57)),IM57-IK57,"")</f>
        <v>0</v>
      </c>
      <c r="IM57" s="33"/>
      <c r="IN57" s="34">
        <f>IF(AND(ISNUMBER(IO57),ISNUMBER(IM57)),IO57-IM57,"")</f>
        <v>0</v>
      </c>
      <c r="IO57" s="33"/>
      <c r="IP57" s="34">
        <f>IF(AND(ISNUMBER(IQ57),ISNUMBER(IO57)),IQ57-IO57,"")</f>
        <v>0</v>
      </c>
      <c r="IQ57" s="33"/>
      <c r="IR57" s="34">
        <f>IF(AND(ISNUMBER(IS57),ISNUMBER(IQ57)),IS57-IQ57,"")</f>
        <v>0</v>
      </c>
      <c r="IS57" s="33"/>
      <c r="IT57" s="34">
        <f>IF(AND(ISNUMBER(IU57),ISNUMBER(IS57)),IU57-IS57,"")</f>
        <v>0</v>
      </c>
      <c r="IU57" s="33"/>
      <c r="IV57" s="34">
        <f>IF(AND(ISNUMBER(IW57),ISNUMBER(IU57)),IW57-IU57,"")</f>
        <v>0</v>
      </c>
      <c r="IW57" s="33"/>
      <c r="IX57" s="34">
        <f>IF(AND(ISNUMBER(IY57),ISNUMBER(IW57)),IY57-IW57,"")</f>
        <v>0</v>
      </c>
      <c r="IY57" s="33"/>
      <c r="IZ57" s="34">
        <f>IF(AND(ISNUMBER(JA57),ISNUMBER(IY57)),JA57-IY57,"")</f>
        <v>0</v>
      </c>
      <c r="JA57" s="33"/>
      <c r="JB57" s="34">
        <f>IF(AND(ISNUMBER(JC57),ISNUMBER(JA57)),JC57-JA57,"")</f>
        <v>0</v>
      </c>
      <c r="JC57" s="33"/>
      <c r="JD57" s="34">
        <f>IF(AND(ISNUMBER(JE57),ISNUMBER(JC57)),JE57-JC57,"")</f>
        <v>0</v>
      </c>
      <c r="JE57" s="33"/>
      <c r="JF57" s="34">
        <f>IF(AND(ISNUMBER(JG57),ISNUMBER(JE57)),JG57-JE57,"")</f>
        <v>0</v>
      </c>
      <c r="JG57" s="33"/>
      <c r="JH57" s="34">
        <f>IF(AND(ISNUMBER(JI57),ISNUMBER(JG57)),JI57-JG57,"")</f>
        <v>0</v>
      </c>
      <c r="JI57" s="33"/>
      <c r="JJ57" s="34">
        <f>IF(AND(ISNUMBER(JK57),ISNUMBER(JI57)),JK57-JI57,"")</f>
        <v>0</v>
      </c>
      <c r="JK57" s="33"/>
      <c r="JL57" s="34">
        <f>IF(AND(ISNUMBER(JM57),ISNUMBER(JK57)),JM57-JK57,"")</f>
        <v>0</v>
      </c>
      <c r="JM57" s="33"/>
      <c r="JN57" s="34">
        <f>IF(AND(ISNUMBER(JO57),ISNUMBER(JM57)),JO57-JM57,"")</f>
        <v>0</v>
      </c>
      <c r="JO57" s="33"/>
      <c r="JP57" s="34">
        <f>IF(AND(ISNUMBER(JQ57),ISNUMBER(JO57)),JQ57-JO57,"")</f>
        <v>0</v>
      </c>
      <c r="JQ57" s="33"/>
      <c r="JR57" s="34">
        <f>IF(AND(ISNUMBER(JS57),ISNUMBER(JQ57)),JS57-JQ57,"")</f>
        <v>0</v>
      </c>
      <c r="JS57" s="33"/>
      <c r="JT57" s="34">
        <f>IF(AND(ISNUMBER(JU57),ISNUMBER(JS57)),JU57-JS57,"")</f>
        <v>0</v>
      </c>
      <c r="JU57" s="33"/>
      <c r="JV57" s="34">
        <f>IF(AND(ISNUMBER(JW57),ISNUMBER(JU57)),JW57-JU57,"")</f>
        <v>0</v>
      </c>
      <c r="JW57" s="33"/>
      <c r="JX57" s="34">
        <f>IF(AND(ISNUMBER(JY57),ISNUMBER(JW57)),JY57-JW57,"")</f>
        <v>0</v>
      </c>
      <c r="JY57" s="33"/>
      <c r="JZ57" s="34">
        <f>IF(AND(ISNUMBER(KA57),ISNUMBER(JY57)),KA57-JY57,"")</f>
        <v>0</v>
      </c>
      <c r="KA57" s="33"/>
      <c r="KB57" s="34">
        <f>IF(AND(ISNUMBER(KC57),ISNUMBER(KA57)),KC57-KA57,"")</f>
        <v>0</v>
      </c>
      <c r="KC57" s="33"/>
      <c r="KD57" s="34">
        <f>IF(AND(ISNUMBER(KE57),ISNUMBER(KC57)),KE57-KC57,"")</f>
        <v>0</v>
      </c>
      <c r="KE57" s="33"/>
      <c r="KF57" s="34">
        <f>IF(AND(ISNUMBER(KG57),ISNUMBER(KE57)),KG57-KE57,"")</f>
        <v>0</v>
      </c>
      <c r="KG57" s="33"/>
      <c r="KH57" s="34">
        <f>IF(AND(ISNUMBER(KI57),ISNUMBER(KG57)),KI57-KG57,"")</f>
        <v>0</v>
      </c>
      <c r="KI57" s="33"/>
      <c r="KJ57" s="34">
        <f>IF(AND(ISNUMBER(KK57),ISNUMBER(KI57)),KK57-KI57,"")</f>
        <v>0</v>
      </c>
      <c r="KK57" s="33"/>
      <c r="KL57" s="34">
        <f>IF(AND(ISNUMBER(KM57),ISNUMBER(KK57)),KM57-KK57,"")</f>
        <v>0</v>
      </c>
      <c r="KM57" s="33"/>
      <c r="KN57" s="34">
        <f>IF(AND(ISNUMBER(KO57),ISNUMBER(KM57)),KO57-KM57,"")</f>
        <v>0</v>
      </c>
      <c r="KO57" s="33"/>
      <c r="KP57" s="34">
        <f>IF(AND(ISNUMBER(KQ57),ISNUMBER(KO57)),KQ57-KO57,"")</f>
        <v>0</v>
      </c>
      <c r="KQ57" s="33"/>
      <c r="KR57" s="34">
        <f>IF(AND(ISNUMBER(KS57),ISNUMBER(KQ57)),KS57-KQ57,"")</f>
        <v>0</v>
      </c>
      <c r="KS57" s="33"/>
      <c r="KT57" s="34">
        <f>IF(AND(ISNUMBER(KU57),ISNUMBER(KS57)),KU57-KS57,"")</f>
        <v>0</v>
      </c>
      <c r="KU57" s="33"/>
      <c r="KV57" s="34">
        <f>IF(AND(ISNUMBER(KW57),ISNUMBER(KU57)),KW57-KU57,"")</f>
        <v>0</v>
      </c>
      <c r="KW57" s="33"/>
      <c r="KX57" s="34">
        <f>IF(AND(ISNUMBER(KY57),ISNUMBER(KW57)),KY57-KW57,"")</f>
        <v>0</v>
      </c>
      <c r="KY57" s="33"/>
      <c r="KZ57" s="34">
        <f>IF(AND(ISNUMBER(LA57),ISNUMBER(KY57)),LA57-KY57,"")</f>
        <v>0</v>
      </c>
      <c r="LA57" s="33"/>
      <c r="LB57" s="34">
        <f>IF(AND(ISNUMBER(LC57),ISNUMBER(LA57)),LC57-LA57,"")</f>
        <v>0</v>
      </c>
      <c r="LC57" s="33"/>
      <c r="LD57" s="34">
        <f>IF(AND(ISNUMBER(LE57),ISNUMBER(LC57)),LE57-LC57,"")</f>
        <v>0</v>
      </c>
      <c r="LE57" s="33"/>
      <c r="LF57" s="34">
        <f>IF(AND(ISNUMBER(LG57),ISNUMBER(LE57)),LG57-LE57,"")</f>
        <v>0</v>
      </c>
      <c r="LG57" s="33"/>
    </row>
    <row r="58" spans="1:322" hidden="1" outlineLevel="1">
      <c r="B58" s="23"/>
      <c r="D58" s="31" t="s">
        <v>717</v>
      </c>
      <c r="E58" s="32" t="s">
        <v>1047</v>
      </c>
      <c r="I58" s="40" t="s">
        <v>1078</v>
      </c>
      <c r="J58" s="34">
        <f>IF(AND(ISNUMBER(K58),ISNUMBER(I58)),K58-I58,"")</f>
        <v>0</v>
      </c>
      <c r="K58" s="40" t="s">
        <v>1078</v>
      </c>
      <c r="L58" s="34">
        <f>IF(AND(ISNUMBER(M58),ISNUMBER(K58)),M58-K58,"")</f>
        <v>0</v>
      </c>
      <c r="M58" s="40" t="s">
        <v>1078</v>
      </c>
      <c r="N58" s="34">
        <f>IF(AND(ISNUMBER(O58),ISNUMBER(M58)),O58-M58,"")</f>
        <v>0</v>
      </c>
      <c r="O58" s="40" t="s">
        <v>1078</v>
      </c>
      <c r="P58" s="34">
        <f>IF(AND(ISNUMBER(Q58),ISNUMBER(O58)),Q58-O58,"")</f>
        <v>0</v>
      </c>
      <c r="Q58" s="40" t="s">
        <v>1078</v>
      </c>
      <c r="R58" s="34">
        <f>IF(AND(ISNUMBER(S58),ISNUMBER(Q58)),S58-Q58,"")</f>
        <v>0</v>
      </c>
      <c r="S58" s="40" t="s">
        <v>1078</v>
      </c>
      <c r="T58" s="34">
        <f>IF(AND(ISNUMBER(U58),ISNUMBER(S58)),U58-S58,"")</f>
        <v>0</v>
      </c>
      <c r="U58" s="40" t="s">
        <v>1078</v>
      </c>
      <c r="V58" s="34">
        <f>IF(AND(ISNUMBER(W58),ISNUMBER(U58)),W58-U58,"")</f>
        <v>0</v>
      </c>
      <c r="W58" s="40" t="s">
        <v>1078</v>
      </c>
      <c r="X58" s="34">
        <f>IF(AND(ISNUMBER(Y58),ISNUMBER(W58)),Y58-W58,"")</f>
        <v>0</v>
      </c>
      <c r="Y58" s="40" t="s">
        <v>1078</v>
      </c>
      <c r="Z58" s="34">
        <f>IF(AND(ISNUMBER(AA58),ISNUMBER(Y58)),AA58-Y58,"")</f>
        <v>0</v>
      </c>
      <c r="AA58" s="40" t="s">
        <v>1078</v>
      </c>
      <c r="AB58" s="34">
        <f>IF(AND(ISNUMBER(AC58),ISNUMBER(AA58)),AC58-AA58,"")</f>
        <v>0</v>
      </c>
      <c r="AC58" s="40" t="s">
        <v>1078</v>
      </c>
      <c r="AD58" s="34">
        <f>IF(AND(ISNUMBER(AE58),ISNUMBER(AC58)),AE58-AC58,"")</f>
        <v>0</v>
      </c>
      <c r="AE58" s="40" t="s">
        <v>1078</v>
      </c>
      <c r="AF58" s="34">
        <f>IF(AND(ISNUMBER(AG58),ISNUMBER(AE58)),AG58-AE58,"")</f>
        <v>0</v>
      </c>
      <c r="AG58" s="40" t="s">
        <v>1078</v>
      </c>
      <c r="AH58" s="34">
        <f>IF(AND(ISNUMBER(AI58),ISNUMBER(AG58)),AI58-AG58,"")</f>
        <v>0</v>
      </c>
      <c r="AI58" s="40" t="s">
        <v>1078</v>
      </c>
      <c r="AJ58" s="34">
        <f>IF(AND(ISNUMBER(AK58),ISNUMBER(AI58)),AK58-AI58,"")</f>
        <v>0</v>
      </c>
      <c r="AK58" s="40" t="s">
        <v>1078</v>
      </c>
      <c r="AL58" s="34">
        <f>IF(AND(ISNUMBER(AM58),ISNUMBER(AK58)),AM58-AK58,"")</f>
        <v>0</v>
      </c>
      <c r="AM58" s="40" t="s">
        <v>1078</v>
      </c>
      <c r="AN58" s="34">
        <f>IF(AND(ISNUMBER(AO58),ISNUMBER(AM58)),AO58-AM58,"")</f>
        <v>0</v>
      </c>
      <c r="AO58" s="40" t="s">
        <v>1078</v>
      </c>
      <c r="AP58" s="34">
        <f>IF(AND(ISNUMBER(AQ58),ISNUMBER(AO58)),AQ58-AO58,"")</f>
        <v>0</v>
      </c>
      <c r="AQ58" s="40" t="s">
        <v>1078</v>
      </c>
      <c r="AR58" s="34">
        <f>IF(AND(ISNUMBER(AS58),ISNUMBER(AQ58)),AS58-AQ58,"")</f>
        <v>0</v>
      </c>
      <c r="AS58" s="33">
        <v>0</v>
      </c>
      <c r="AT58" s="34">
        <f>IF(AND(ISNUMBER(AU58),ISNUMBER(AS58)),AU58-AS58,"")</f>
        <v>0</v>
      </c>
      <c r="AU58" s="33">
        <v>0</v>
      </c>
      <c r="AV58" s="34">
        <f>IF(AND(ISNUMBER(AW58),ISNUMBER(AU58)),AW58-AU58,"")</f>
        <v>0</v>
      </c>
      <c r="AW58" s="33">
        <v>0</v>
      </c>
      <c r="AX58" s="34">
        <f>IF(AND(ISNUMBER(AY58),ISNUMBER(AW58)),AY58-AW58,"")</f>
        <v>0</v>
      </c>
      <c r="AY58" s="33">
        <v>0</v>
      </c>
      <c r="AZ58" s="34">
        <f>IF(AND(ISNUMBER(BA58),ISNUMBER(AY58)),BA58-AY58,"")</f>
        <v>0</v>
      </c>
      <c r="BA58" s="33">
        <v>0</v>
      </c>
      <c r="BB58" s="34">
        <f>IF(AND(ISNUMBER(BC58),ISNUMBER(BA58)),BC58-BA58,"")</f>
        <v>0</v>
      </c>
      <c r="BC58" s="33">
        <v>0</v>
      </c>
      <c r="BD58" s="34">
        <f>IF(AND(ISNUMBER(BE58),ISNUMBER(BC58)),BE58-BC58,"")</f>
        <v>0</v>
      </c>
      <c r="BE58" s="33">
        <v>0</v>
      </c>
      <c r="BF58" s="34">
        <f>IF(AND(ISNUMBER(BG58),ISNUMBER(BE58)),BG58-BE58,"")</f>
        <v>0</v>
      </c>
      <c r="BG58" s="33">
        <v>0</v>
      </c>
      <c r="BH58" s="34">
        <f>IF(AND(ISNUMBER(BI58),ISNUMBER(BG58)),BI58-BG58,"")</f>
        <v>0</v>
      </c>
      <c r="BI58" s="33">
        <v>0</v>
      </c>
      <c r="BJ58" s="34">
        <f>IF(AND(ISNUMBER(BK58),ISNUMBER(BI58)),BK58-BI58,"")</f>
        <v>0</v>
      </c>
      <c r="BK58" s="33">
        <v>0</v>
      </c>
      <c r="BL58" s="34">
        <f>IF(AND(ISNUMBER(BM58),ISNUMBER(BK58)),BM58-BK58,"")</f>
        <v>0</v>
      </c>
      <c r="BM58" s="33">
        <v>0</v>
      </c>
      <c r="BN58" s="34">
        <f>IF(AND(ISNUMBER(BO58),ISNUMBER(BM58)),BO58-BM58,"")</f>
        <v>0</v>
      </c>
      <c r="BO58" s="33">
        <v>0</v>
      </c>
      <c r="BP58" s="34">
        <f>IF(AND(ISNUMBER(BQ58),ISNUMBER(BO58)),BQ58-BO58,"")</f>
        <v>0</v>
      </c>
      <c r="BQ58" s="33">
        <v>0</v>
      </c>
      <c r="BR58" s="34">
        <f>IF(AND(ISNUMBER(BS58),ISNUMBER(BQ58)),BS58-BQ58,"")</f>
        <v>0</v>
      </c>
      <c r="BS58" s="33">
        <v>0</v>
      </c>
      <c r="BT58" s="34">
        <f>IF(AND(ISNUMBER(BU58),ISNUMBER(BS58)),BU58-BS58,"")</f>
        <v>0</v>
      </c>
      <c r="BU58" s="33">
        <v>1</v>
      </c>
      <c r="BV58" s="34">
        <f>IF(AND(ISNUMBER(BW58),ISNUMBER(BU58)),BW58-BU58,"")</f>
        <v>0</v>
      </c>
      <c r="BW58" s="33">
        <v>0</v>
      </c>
      <c r="BX58" s="34">
        <f>IF(AND(ISNUMBER(BY58),ISNUMBER(BW58)),BY58-BW58,"")</f>
        <v>0</v>
      </c>
      <c r="BY58" s="33">
        <v>0</v>
      </c>
      <c r="BZ58" s="34">
        <f>IF(AND(ISNUMBER(CA58),ISNUMBER(BY58)),CA58-BY58,"")</f>
        <v>0</v>
      </c>
      <c r="CA58" s="33">
        <v>0</v>
      </c>
      <c r="CB58" s="34">
        <f>IF(AND(ISNUMBER(CC58),ISNUMBER(CA58)),CC58-CA58,"")</f>
        <v>0</v>
      </c>
      <c r="CC58" s="33">
        <v>0</v>
      </c>
      <c r="CD58" s="34">
        <f>IF(AND(ISNUMBER(CE58),ISNUMBER(CC58)),CE58-CC58,"")</f>
        <v>0</v>
      </c>
      <c r="CE58" s="33">
        <v>0</v>
      </c>
      <c r="CF58" s="34">
        <f>IF(AND(ISNUMBER(CG58),ISNUMBER(CE58)),CG58-CE58,"")</f>
        <v>0</v>
      </c>
      <c r="CG58" s="33">
        <v>0</v>
      </c>
      <c r="CH58" s="34">
        <f>IF(AND(ISNUMBER(CI58),ISNUMBER(CG58)),CI58-CG58,"")</f>
        <v>0</v>
      </c>
      <c r="CI58" s="33">
        <v>0</v>
      </c>
      <c r="CJ58" s="34">
        <f>IF(AND(ISNUMBER(CK58),ISNUMBER(CI58)),CK58-CI58,"")</f>
        <v>0</v>
      </c>
      <c r="CK58" s="33">
        <v>0</v>
      </c>
      <c r="CL58" s="34">
        <f>IF(AND(ISNUMBER(CM58),ISNUMBER(CK58)),CM58-CK58,"")</f>
        <v>0</v>
      </c>
      <c r="CM58" s="33">
        <v>2</v>
      </c>
      <c r="CN58" s="34">
        <f>IF(AND(ISNUMBER(CO58),ISNUMBER(CM58)),CO58-CM58,"")</f>
        <v>0</v>
      </c>
      <c r="CO58" s="33">
        <v>0</v>
      </c>
      <c r="CP58" s="34">
        <f>IF(AND(ISNUMBER(CQ58),ISNUMBER(CO58)),CQ58-CO58,"")</f>
        <v>0</v>
      </c>
      <c r="CQ58" s="33">
        <v>0</v>
      </c>
      <c r="CR58" s="34">
        <f>IF(AND(ISNUMBER(CS58),ISNUMBER(CQ58)),CS58-CQ58,"")</f>
        <v>0</v>
      </c>
      <c r="CS58" s="33">
        <v>1</v>
      </c>
      <c r="CT58" s="34">
        <f>IF(AND(ISNUMBER(CU58),ISNUMBER(CS58)),CU58-CS58,"")</f>
        <v>0</v>
      </c>
      <c r="CU58" s="33">
        <v>0</v>
      </c>
      <c r="CV58" s="34">
        <f>IF(AND(ISNUMBER(CW58),ISNUMBER(CU58)),CW58-CU58,"")</f>
        <v>0</v>
      </c>
      <c r="CW58" s="33">
        <v>2</v>
      </c>
      <c r="CX58" s="34">
        <f>IF(AND(ISNUMBER(CY58),ISNUMBER(CW58)),CY58-CW58,"")</f>
        <v>0</v>
      </c>
      <c r="CY58" s="33">
        <v>1</v>
      </c>
      <c r="CZ58" s="34">
        <f>IF(AND(ISNUMBER(DA58),ISNUMBER(CY58)),DA58-CY58,"")</f>
        <v>0</v>
      </c>
      <c r="DA58" s="33">
        <v>0</v>
      </c>
      <c r="DB58" s="34">
        <f>IF(AND(ISNUMBER(DC58),ISNUMBER(DA58)),DC58-DA58,"")</f>
        <v>0</v>
      </c>
      <c r="DC58" s="33">
        <v>0</v>
      </c>
      <c r="DD58" s="34">
        <f>IF(AND(ISNUMBER(DE58),ISNUMBER(DC58)),DE58-DC58,"")</f>
        <v>0</v>
      </c>
      <c r="DE58" s="33"/>
      <c r="DF58" s="34">
        <f>IF(AND(ISNUMBER(DG58),ISNUMBER(DE58)),DG58-DE58,"")</f>
        <v>0</v>
      </c>
      <c r="DG58" s="33">
        <v>0</v>
      </c>
      <c r="DH58" s="34">
        <f>IF(AND(ISNUMBER(DI58),ISNUMBER(DG58)),DI58-DG58,"")</f>
        <v>0</v>
      </c>
      <c r="DI58" s="33">
        <v>1</v>
      </c>
      <c r="DJ58" s="34">
        <f>IF(AND(ISNUMBER(DK58),ISNUMBER(DI58)),DK58-DI58,"")</f>
        <v>0</v>
      </c>
      <c r="DK58" s="33">
        <v>0</v>
      </c>
      <c r="DL58" s="34">
        <f>IF(AND(ISNUMBER(DM58),ISNUMBER(DK58)),DM58-DK58,"")</f>
        <v>0</v>
      </c>
      <c r="DM58" s="33">
        <v>0</v>
      </c>
      <c r="DN58" s="34">
        <f>IF(AND(ISNUMBER(DO58),ISNUMBER(DM58)),DO58-DM58,"")</f>
        <v>0</v>
      </c>
      <c r="DO58" s="33">
        <v>1</v>
      </c>
      <c r="DP58" s="34">
        <f>IF(AND(ISNUMBER(DQ58),ISNUMBER(DO58)),DQ58-DO58,"")</f>
        <v>0</v>
      </c>
      <c r="DQ58" s="33">
        <v>0</v>
      </c>
      <c r="DR58" s="34">
        <f>IF(AND(ISNUMBER(DS58),ISNUMBER(DQ58)),DS58-DQ58,"")</f>
        <v>0</v>
      </c>
      <c r="DS58" s="33">
        <v>0</v>
      </c>
      <c r="DT58" s="34">
        <f>IF(AND(ISNUMBER(DU58),ISNUMBER(DS58)),DU58-DS58,"")</f>
        <v>0</v>
      </c>
      <c r="DU58" s="33">
        <v>2</v>
      </c>
      <c r="DV58" s="34">
        <f>IF(AND(ISNUMBER(DW58),ISNUMBER(DU58)),DW58-DU58,"")</f>
        <v>0</v>
      </c>
      <c r="DW58" s="33">
        <v>0</v>
      </c>
      <c r="DX58" s="34">
        <f>IF(AND(ISNUMBER(DY58),ISNUMBER(DW58)),DY58-DW58,"")</f>
        <v>0</v>
      </c>
      <c r="DY58" s="33">
        <v>0</v>
      </c>
      <c r="DZ58" s="34">
        <f>IF(AND(ISNUMBER(EA58),ISNUMBER(DY58)),EA58-DY58,"")</f>
        <v>0</v>
      </c>
      <c r="EA58" s="33">
        <v>0</v>
      </c>
      <c r="EB58" s="34">
        <f>IF(AND(ISNUMBER(EC58),ISNUMBER(EA58)),EC58-EA58,"")</f>
        <v>0</v>
      </c>
      <c r="EC58" s="33">
        <v>0</v>
      </c>
      <c r="ED58" s="34">
        <f>IF(AND(ISNUMBER(EE58),ISNUMBER(EC58)),EE58-EC58,"")</f>
        <v>0</v>
      </c>
      <c r="EE58" s="33">
        <v>0</v>
      </c>
      <c r="EF58" s="34">
        <f>IF(AND(ISNUMBER(EG58),ISNUMBER(EE58)),EG58-EE58,"")</f>
        <v>0</v>
      </c>
      <c r="EG58" s="33">
        <v>1</v>
      </c>
      <c r="EH58" s="34">
        <f>IF(AND(ISNUMBER(EI58),ISNUMBER(EG58)),EI58-EG58,"")</f>
        <v>0</v>
      </c>
      <c r="EI58" s="33">
        <v>2</v>
      </c>
      <c r="EJ58" s="34">
        <f>IF(AND(ISNUMBER(EK58),ISNUMBER(EI58)),EK58-EI58,"")</f>
        <v>0</v>
      </c>
      <c r="EK58" s="33">
        <v>0</v>
      </c>
      <c r="EL58" s="34">
        <f>IF(AND(ISNUMBER(EM58),ISNUMBER(EK58)),EM58-EK58,"")</f>
        <v>0</v>
      </c>
      <c r="EM58" s="33">
        <v>1</v>
      </c>
      <c r="EN58" s="34">
        <f>IF(AND(ISNUMBER(EO58),ISNUMBER(EM58)),EO58-EM58,"")</f>
        <v>0</v>
      </c>
      <c r="EO58" s="33">
        <v>0</v>
      </c>
      <c r="EP58" s="34">
        <f>IF(AND(ISNUMBER(EQ58),ISNUMBER(EO58)),EQ58-EO58,"")</f>
        <v>0</v>
      </c>
      <c r="EQ58" s="33">
        <v>2</v>
      </c>
      <c r="ER58" s="34">
        <f>IF(AND(ISNUMBER(ES58),ISNUMBER(EQ58)),ES58-EQ58,"")</f>
        <v>0</v>
      </c>
      <c r="ES58" s="33">
        <v>0</v>
      </c>
      <c r="ET58" s="34">
        <f>IF(AND(ISNUMBER(EU58),ISNUMBER(ES58)),EU58-ES58,"")</f>
        <v>0</v>
      </c>
      <c r="EU58" s="33">
        <v>0</v>
      </c>
      <c r="EV58" s="34">
        <f>IF(AND(ISNUMBER(EW58),ISNUMBER(EU58)),EW58-EU58,"")</f>
        <v>0</v>
      </c>
      <c r="EW58" s="33">
        <v>0</v>
      </c>
      <c r="EX58" s="34">
        <f>IF(AND(ISNUMBER(EY58),ISNUMBER(EW58)),EY58-EW58,"")</f>
        <v>0</v>
      </c>
      <c r="EY58" s="33">
        <v>0</v>
      </c>
      <c r="EZ58" s="34">
        <f>IF(AND(ISNUMBER(FA58),ISNUMBER(EY58)),FA58-EY58,"")</f>
        <v>0</v>
      </c>
      <c r="FA58" s="33">
        <v>2</v>
      </c>
      <c r="FB58" s="34">
        <f>IF(AND(ISNUMBER(FC58),ISNUMBER(FA58)),FC58-FA58,"")</f>
        <v>0</v>
      </c>
      <c r="FC58" s="33"/>
      <c r="FD58" s="34">
        <f>IF(AND(ISNUMBER(FE58),ISNUMBER(FC58)),FE58-FC58,"")</f>
        <v>0</v>
      </c>
      <c r="FE58" s="33"/>
      <c r="FF58" s="34">
        <f>IF(AND(ISNUMBER(FG58),ISNUMBER(FE58)),FG58-FE58,"")</f>
        <v>0</v>
      </c>
      <c r="FG58" s="33"/>
      <c r="FH58" s="34">
        <f>IF(AND(ISNUMBER(FI58),ISNUMBER(FG58)),FI58-FG58,"")</f>
        <v>0</v>
      </c>
      <c r="FI58" s="33"/>
      <c r="FJ58" s="34">
        <f>IF(AND(ISNUMBER(FK58),ISNUMBER(FI58)),FK58-FI58,"")</f>
        <v>0</v>
      </c>
      <c r="FK58" s="33"/>
      <c r="FL58" s="34">
        <f>IF(AND(ISNUMBER(FM58),ISNUMBER(FK58)),FM58-FK58,"")</f>
        <v>0</v>
      </c>
      <c r="FM58" s="33"/>
      <c r="FN58" s="34">
        <f>IF(AND(ISNUMBER(FO58),ISNUMBER(FM58)),FO58-FM58,"")</f>
        <v>0</v>
      </c>
      <c r="FO58" s="33"/>
      <c r="FP58" s="34">
        <f>IF(AND(ISNUMBER(FQ58),ISNUMBER(FO58)),FQ58-FO58,"")</f>
        <v>0</v>
      </c>
      <c r="FQ58" s="33"/>
      <c r="FR58" s="34">
        <f>IF(AND(ISNUMBER(FS58),ISNUMBER(FQ58)),FS58-FQ58,"")</f>
        <v>0</v>
      </c>
      <c r="FS58" s="33"/>
      <c r="FT58" s="34">
        <f>IF(AND(ISNUMBER(FU58),ISNUMBER(FS58)),FU58-FS58,"")</f>
        <v>0</v>
      </c>
      <c r="FU58" s="33"/>
      <c r="FV58" s="34">
        <f>IF(AND(ISNUMBER(FW58),ISNUMBER(FU58)),FW58-FU58,"")</f>
        <v>0</v>
      </c>
      <c r="FW58" s="33"/>
      <c r="FX58" s="34">
        <f>IF(AND(ISNUMBER(FY58),ISNUMBER(FW58)),FY58-FW58,"")</f>
        <v>0</v>
      </c>
      <c r="FY58" s="33"/>
      <c r="FZ58" s="34">
        <f>IF(AND(ISNUMBER(GA58),ISNUMBER(FY58)),GA58-FY58,"")</f>
        <v>0</v>
      </c>
      <c r="GA58" s="33"/>
      <c r="GB58" s="34">
        <f>IF(AND(ISNUMBER(GC58),ISNUMBER(GA58)),GC58-GA58,"")</f>
        <v>0</v>
      </c>
      <c r="GC58" s="33"/>
      <c r="GD58" s="34">
        <f>IF(AND(ISNUMBER(GE58),ISNUMBER(GC58)),GE58-GC58,"")</f>
        <v>0</v>
      </c>
      <c r="GE58" s="33"/>
      <c r="GF58" s="34">
        <f>IF(AND(ISNUMBER(GG58),ISNUMBER(GE58)),GG58-GE58,"")</f>
        <v>0</v>
      </c>
      <c r="GG58" s="33"/>
      <c r="GH58" s="34">
        <f>IF(AND(ISNUMBER(GI58),ISNUMBER(GG58)),GI58-GG58,"")</f>
        <v>0</v>
      </c>
      <c r="GI58" s="33"/>
      <c r="GJ58" s="34">
        <f>IF(AND(ISNUMBER(GK58),ISNUMBER(GI58)),GK58-GI58,"")</f>
        <v>0</v>
      </c>
      <c r="GK58" s="33"/>
      <c r="GL58" s="34">
        <f>IF(AND(ISNUMBER(GM58),ISNUMBER(GK58)),GM58-GK58,"")</f>
        <v>0</v>
      </c>
      <c r="GM58" s="33"/>
      <c r="GN58" s="34">
        <f>IF(AND(ISNUMBER(GO58),ISNUMBER(GM58)),GO58-GM58,"")</f>
        <v>0</v>
      </c>
      <c r="GO58" s="33"/>
      <c r="GP58" s="34">
        <f>IF(AND(ISNUMBER(GQ58),ISNUMBER(GO58)),GQ58-GO58,"")</f>
        <v>0</v>
      </c>
      <c r="GQ58" s="33"/>
      <c r="GR58" s="34">
        <f>IF(AND(ISNUMBER(GS58),ISNUMBER(GQ58)),GS58-GQ58,"")</f>
        <v>0</v>
      </c>
      <c r="GS58" s="33"/>
      <c r="GT58" s="34">
        <f>IF(AND(ISNUMBER(GU58),ISNUMBER(GS58)),GU58-GS58,"")</f>
        <v>0</v>
      </c>
      <c r="GU58" s="33"/>
      <c r="GV58" s="34">
        <f>IF(AND(ISNUMBER(GW58),ISNUMBER(GU58)),GW58-GU58,"")</f>
        <v>0</v>
      </c>
      <c r="GW58" s="33"/>
      <c r="GX58" s="34">
        <f>IF(AND(ISNUMBER(GY58),ISNUMBER(GW58)),GY58-GW58,"")</f>
        <v>0</v>
      </c>
      <c r="GY58" s="33"/>
      <c r="GZ58" s="34">
        <f>IF(AND(ISNUMBER(HA58),ISNUMBER(GY58)),HA58-GY58,"")</f>
        <v>0</v>
      </c>
      <c r="HA58" s="33"/>
      <c r="HB58" s="34">
        <f>IF(AND(ISNUMBER(HC58),ISNUMBER(HA58)),HC58-HA58,"")</f>
        <v>0</v>
      </c>
      <c r="HC58" s="33"/>
      <c r="HD58" s="34">
        <f>IF(AND(ISNUMBER(HE58),ISNUMBER(HC58)),HE58-HC58,"")</f>
        <v>0</v>
      </c>
      <c r="HE58" s="33"/>
      <c r="HF58" s="34">
        <f>IF(AND(ISNUMBER(HG58),ISNUMBER(HE58)),HG58-HE58,"")</f>
        <v>0</v>
      </c>
      <c r="HG58" s="33"/>
      <c r="HH58" s="34">
        <f>IF(AND(ISNUMBER(HI58),ISNUMBER(HG58)),HI58-HG58,"")</f>
        <v>0</v>
      </c>
      <c r="HI58" s="33"/>
      <c r="HJ58" s="34">
        <f>IF(AND(ISNUMBER(HK58),ISNUMBER(HI58)),HK58-HI58,"")</f>
        <v>0</v>
      </c>
      <c r="HK58" s="33"/>
      <c r="HL58" s="34">
        <f>IF(AND(ISNUMBER(HM58),ISNUMBER(HK58)),HM58-HK58,"")</f>
        <v>0</v>
      </c>
      <c r="HM58" s="33"/>
      <c r="HN58" s="34">
        <f>IF(AND(ISNUMBER(HO58),ISNUMBER(HM58)),HO58-HM58,"")</f>
        <v>0</v>
      </c>
      <c r="HO58" s="33"/>
      <c r="HP58" s="34">
        <f>IF(AND(ISNUMBER(HQ58),ISNUMBER(HO58)),HQ58-HO58,"")</f>
        <v>0</v>
      </c>
      <c r="HQ58" s="33"/>
      <c r="HR58" s="34">
        <f>IF(AND(ISNUMBER(HS58),ISNUMBER(HQ58)),HS58-HQ58,"")</f>
        <v>0</v>
      </c>
      <c r="HS58" s="33"/>
      <c r="HT58" s="34">
        <f>IF(AND(ISNUMBER(HU58),ISNUMBER(HS58)),HU58-HS58,"")</f>
        <v>0</v>
      </c>
      <c r="HU58" s="33"/>
      <c r="HV58" s="34">
        <f>IF(AND(ISNUMBER(HW58),ISNUMBER(HU58)),HW58-HU58,"")</f>
        <v>0</v>
      </c>
      <c r="HW58" s="33"/>
      <c r="HX58" s="34">
        <f>IF(AND(ISNUMBER(HY58),ISNUMBER(HW58)),HY58-HW58,"")</f>
        <v>0</v>
      </c>
      <c r="HY58" s="33"/>
      <c r="HZ58" s="34">
        <f>IF(AND(ISNUMBER(IA58),ISNUMBER(HY58)),IA58-HY58,"")</f>
        <v>0</v>
      </c>
      <c r="IA58" s="33"/>
      <c r="IB58" s="34">
        <f>IF(AND(ISNUMBER(IC58),ISNUMBER(IA58)),IC58-IA58,"")</f>
        <v>0</v>
      </c>
      <c r="IC58" s="33"/>
      <c r="ID58" s="34">
        <f>IF(AND(ISNUMBER(IE58),ISNUMBER(IC58)),IE58-IC58,"")</f>
        <v>0</v>
      </c>
      <c r="IE58" s="33"/>
      <c r="IF58" s="34">
        <f>IF(AND(ISNUMBER(IG58),ISNUMBER(IE58)),IG58-IE58,"")</f>
        <v>0</v>
      </c>
      <c r="IG58" s="33"/>
      <c r="IH58" s="34">
        <f>IF(AND(ISNUMBER(II58),ISNUMBER(IG58)),II58-IG58,"")</f>
        <v>0</v>
      </c>
      <c r="II58" s="33"/>
      <c r="IJ58" s="34">
        <f>IF(AND(ISNUMBER(IK58),ISNUMBER(II58)),IK58-II58,"")</f>
        <v>0</v>
      </c>
      <c r="IK58" s="33"/>
      <c r="IL58" s="34">
        <f>IF(AND(ISNUMBER(IM58),ISNUMBER(IK58)),IM58-IK58,"")</f>
        <v>0</v>
      </c>
      <c r="IM58" s="33"/>
      <c r="IN58" s="34">
        <f>IF(AND(ISNUMBER(IO58),ISNUMBER(IM58)),IO58-IM58,"")</f>
        <v>0</v>
      </c>
      <c r="IO58" s="33"/>
      <c r="IP58" s="34">
        <f>IF(AND(ISNUMBER(IQ58),ISNUMBER(IO58)),IQ58-IO58,"")</f>
        <v>0</v>
      </c>
      <c r="IQ58" s="33"/>
      <c r="IR58" s="34">
        <f>IF(AND(ISNUMBER(IS58),ISNUMBER(IQ58)),IS58-IQ58,"")</f>
        <v>0</v>
      </c>
      <c r="IS58" s="33"/>
      <c r="IT58" s="34">
        <f>IF(AND(ISNUMBER(IU58),ISNUMBER(IS58)),IU58-IS58,"")</f>
        <v>0</v>
      </c>
      <c r="IU58" s="33"/>
      <c r="IV58" s="34">
        <f>IF(AND(ISNUMBER(IW58),ISNUMBER(IU58)),IW58-IU58,"")</f>
        <v>0</v>
      </c>
      <c r="IW58" s="33"/>
      <c r="IX58" s="34">
        <f>IF(AND(ISNUMBER(IY58),ISNUMBER(IW58)),IY58-IW58,"")</f>
        <v>0</v>
      </c>
      <c r="IY58" s="33"/>
      <c r="IZ58" s="34">
        <f>IF(AND(ISNUMBER(JA58),ISNUMBER(IY58)),JA58-IY58,"")</f>
        <v>0</v>
      </c>
      <c r="JA58" s="33"/>
      <c r="JB58" s="34">
        <f>IF(AND(ISNUMBER(JC58),ISNUMBER(JA58)),JC58-JA58,"")</f>
        <v>0</v>
      </c>
      <c r="JC58" s="33"/>
      <c r="JD58" s="34">
        <f>IF(AND(ISNUMBER(JE58),ISNUMBER(JC58)),JE58-JC58,"")</f>
        <v>0</v>
      </c>
      <c r="JE58" s="33"/>
      <c r="JF58" s="34">
        <f>IF(AND(ISNUMBER(JG58),ISNUMBER(JE58)),JG58-JE58,"")</f>
        <v>0</v>
      </c>
      <c r="JG58" s="33"/>
      <c r="JH58" s="34">
        <f>IF(AND(ISNUMBER(JI58),ISNUMBER(JG58)),JI58-JG58,"")</f>
        <v>0</v>
      </c>
      <c r="JI58" s="33"/>
      <c r="JJ58" s="34">
        <f>IF(AND(ISNUMBER(JK58),ISNUMBER(JI58)),JK58-JI58,"")</f>
        <v>0</v>
      </c>
      <c r="JK58" s="33"/>
      <c r="JL58" s="34">
        <f>IF(AND(ISNUMBER(JM58),ISNUMBER(JK58)),JM58-JK58,"")</f>
        <v>0</v>
      </c>
      <c r="JM58" s="33"/>
      <c r="JN58" s="34">
        <f>IF(AND(ISNUMBER(JO58),ISNUMBER(JM58)),JO58-JM58,"")</f>
        <v>0</v>
      </c>
      <c r="JO58" s="33"/>
      <c r="JP58" s="34">
        <f>IF(AND(ISNUMBER(JQ58),ISNUMBER(JO58)),JQ58-JO58,"")</f>
        <v>0</v>
      </c>
      <c r="JQ58" s="33"/>
      <c r="JR58" s="34">
        <f>IF(AND(ISNUMBER(JS58),ISNUMBER(JQ58)),JS58-JQ58,"")</f>
        <v>0</v>
      </c>
      <c r="JS58" s="33"/>
      <c r="JT58" s="34">
        <f>IF(AND(ISNUMBER(JU58),ISNUMBER(JS58)),JU58-JS58,"")</f>
        <v>0</v>
      </c>
      <c r="JU58" s="33"/>
      <c r="JV58" s="34">
        <f>IF(AND(ISNUMBER(JW58),ISNUMBER(JU58)),JW58-JU58,"")</f>
        <v>0</v>
      </c>
      <c r="JW58" s="33"/>
      <c r="JX58" s="34">
        <f>IF(AND(ISNUMBER(JY58),ISNUMBER(JW58)),JY58-JW58,"")</f>
        <v>0</v>
      </c>
      <c r="JY58" s="33"/>
      <c r="JZ58" s="34">
        <f>IF(AND(ISNUMBER(KA58),ISNUMBER(JY58)),KA58-JY58,"")</f>
        <v>0</v>
      </c>
      <c r="KA58" s="33"/>
      <c r="KB58" s="34">
        <f>IF(AND(ISNUMBER(KC58),ISNUMBER(KA58)),KC58-KA58,"")</f>
        <v>0</v>
      </c>
      <c r="KC58" s="33"/>
      <c r="KD58" s="34">
        <f>IF(AND(ISNUMBER(KE58),ISNUMBER(KC58)),KE58-KC58,"")</f>
        <v>0</v>
      </c>
      <c r="KE58" s="33"/>
      <c r="KF58" s="34">
        <f>IF(AND(ISNUMBER(KG58),ISNUMBER(KE58)),KG58-KE58,"")</f>
        <v>0</v>
      </c>
      <c r="KG58" s="33"/>
      <c r="KH58" s="34">
        <f>IF(AND(ISNUMBER(KI58),ISNUMBER(KG58)),KI58-KG58,"")</f>
        <v>0</v>
      </c>
      <c r="KI58" s="33"/>
      <c r="KJ58" s="34">
        <f>IF(AND(ISNUMBER(KK58),ISNUMBER(KI58)),KK58-KI58,"")</f>
        <v>0</v>
      </c>
      <c r="KK58" s="33"/>
      <c r="KL58" s="34">
        <f>IF(AND(ISNUMBER(KM58),ISNUMBER(KK58)),KM58-KK58,"")</f>
        <v>0</v>
      </c>
      <c r="KM58" s="33"/>
      <c r="KN58" s="34">
        <f>IF(AND(ISNUMBER(KO58),ISNUMBER(KM58)),KO58-KM58,"")</f>
        <v>0</v>
      </c>
      <c r="KO58" s="33"/>
      <c r="KP58" s="34">
        <f>IF(AND(ISNUMBER(KQ58),ISNUMBER(KO58)),KQ58-KO58,"")</f>
        <v>0</v>
      </c>
      <c r="KQ58" s="33"/>
      <c r="KR58" s="34">
        <f>IF(AND(ISNUMBER(KS58),ISNUMBER(KQ58)),KS58-KQ58,"")</f>
        <v>0</v>
      </c>
      <c r="KS58" s="33"/>
      <c r="KT58" s="34">
        <f>IF(AND(ISNUMBER(KU58),ISNUMBER(KS58)),KU58-KS58,"")</f>
        <v>0</v>
      </c>
      <c r="KU58" s="33"/>
      <c r="KV58" s="34">
        <f>IF(AND(ISNUMBER(KW58),ISNUMBER(KU58)),KW58-KU58,"")</f>
        <v>0</v>
      </c>
      <c r="KW58" s="33"/>
      <c r="KX58" s="34">
        <f>IF(AND(ISNUMBER(KY58),ISNUMBER(KW58)),KY58-KW58,"")</f>
        <v>0</v>
      </c>
      <c r="KY58" s="33"/>
      <c r="KZ58" s="34">
        <f>IF(AND(ISNUMBER(LA58),ISNUMBER(KY58)),LA58-KY58,"")</f>
        <v>0</v>
      </c>
      <c r="LA58" s="33"/>
      <c r="LB58" s="34">
        <f>IF(AND(ISNUMBER(LC58),ISNUMBER(LA58)),LC58-LA58,"")</f>
        <v>0</v>
      </c>
      <c r="LC58" s="33"/>
      <c r="LD58" s="34">
        <f>IF(AND(ISNUMBER(LE58),ISNUMBER(LC58)),LE58-LC58,"")</f>
        <v>0</v>
      </c>
      <c r="LE58" s="33"/>
      <c r="LF58" s="34">
        <f>IF(AND(ISNUMBER(LG58),ISNUMBER(LE58)),LG58-LE58,"")</f>
        <v>0</v>
      </c>
      <c r="LG58" s="33"/>
    </row>
    <row r="59" spans="1:322" hidden="1" outlineLevel="1">
      <c r="B59" s="23"/>
      <c r="D59" s="31" t="s">
        <v>719</v>
      </c>
      <c r="E59" s="32" t="s">
        <v>1058</v>
      </c>
      <c r="F59" s="38">
        <v>45689</v>
      </c>
      <c r="I59" s="40" t="s">
        <v>1078</v>
      </c>
      <c r="J59" s="34">
        <f>IF(AND(ISNUMBER(K59),ISNUMBER(I59)),K59-I59,"")</f>
        <v>0</v>
      </c>
      <c r="K59" s="40" t="s">
        <v>1078</v>
      </c>
      <c r="L59" s="34">
        <f>IF(AND(ISNUMBER(M59),ISNUMBER(K59)),M59-K59,"")</f>
        <v>0</v>
      </c>
      <c r="M59" s="40" t="s">
        <v>1078</v>
      </c>
      <c r="N59" s="34">
        <f>IF(AND(ISNUMBER(O59),ISNUMBER(M59)),O59-M59,"")</f>
        <v>0</v>
      </c>
      <c r="O59" s="40" t="s">
        <v>1078</v>
      </c>
      <c r="P59" s="34">
        <f>IF(AND(ISNUMBER(Q59),ISNUMBER(O59)),Q59-O59,"")</f>
        <v>0</v>
      </c>
      <c r="Q59" s="40" t="s">
        <v>1078</v>
      </c>
      <c r="R59" s="34">
        <f>IF(AND(ISNUMBER(S59),ISNUMBER(Q59)),S59-Q59,"")</f>
        <v>0</v>
      </c>
      <c r="S59" s="40" t="s">
        <v>1078</v>
      </c>
      <c r="T59" s="34">
        <f>IF(AND(ISNUMBER(U59),ISNUMBER(S59)),U59-S59,"")</f>
        <v>0</v>
      </c>
      <c r="U59" s="40" t="s">
        <v>1078</v>
      </c>
      <c r="V59" s="34">
        <f>IF(AND(ISNUMBER(W59),ISNUMBER(U59)),W59-U59,"")</f>
        <v>0</v>
      </c>
      <c r="W59" s="40" t="s">
        <v>1078</v>
      </c>
      <c r="X59" s="34">
        <f>IF(AND(ISNUMBER(Y59),ISNUMBER(W59)),Y59-W59,"")</f>
        <v>0</v>
      </c>
      <c r="Y59" s="40" t="s">
        <v>1078</v>
      </c>
      <c r="Z59" s="34">
        <f>IF(AND(ISNUMBER(AA59),ISNUMBER(Y59)),AA59-Y59,"")</f>
        <v>0</v>
      </c>
      <c r="AA59" s="40" t="s">
        <v>1078</v>
      </c>
      <c r="AB59" s="34">
        <f>IF(AND(ISNUMBER(AC59),ISNUMBER(AA59)),AC59-AA59,"")</f>
        <v>0</v>
      </c>
      <c r="AC59" s="40" t="s">
        <v>1078</v>
      </c>
      <c r="AD59" s="34">
        <f>IF(AND(ISNUMBER(AE59),ISNUMBER(AC59)),AE59-AC59,"")</f>
        <v>0</v>
      </c>
      <c r="AE59" s="40" t="s">
        <v>1078</v>
      </c>
      <c r="AF59" s="34">
        <f>IF(AND(ISNUMBER(AG59),ISNUMBER(AE59)),AG59-AE59,"")</f>
        <v>0</v>
      </c>
      <c r="AG59" s="40" t="s">
        <v>1078</v>
      </c>
      <c r="AH59" s="34">
        <f>IF(AND(ISNUMBER(AI59),ISNUMBER(AG59)),AI59-AG59,"")</f>
        <v>0</v>
      </c>
      <c r="AI59" s="40" t="s">
        <v>1078</v>
      </c>
      <c r="AJ59" s="34">
        <f>IF(AND(ISNUMBER(AK59),ISNUMBER(AI59)),AK59-AI59,"")</f>
        <v>0</v>
      </c>
      <c r="AK59" s="40" t="s">
        <v>1078</v>
      </c>
      <c r="AL59" s="34">
        <f>IF(AND(ISNUMBER(AM59),ISNUMBER(AK59)),AM59-AK59,"")</f>
        <v>0</v>
      </c>
      <c r="AM59" s="40" t="s">
        <v>1078</v>
      </c>
      <c r="AN59" s="34">
        <f>IF(AND(ISNUMBER(AO59),ISNUMBER(AM59)),AO59-AM59,"")</f>
        <v>0</v>
      </c>
      <c r="AO59" s="40" t="s">
        <v>1078</v>
      </c>
      <c r="AP59" s="34">
        <f>IF(AND(ISNUMBER(AQ59),ISNUMBER(AO59)),AQ59-AO59,"")</f>
        <v>0</v>
      </c>
      <c r="AQ59" s="40" t="s">
        <v>1078</v>
      </c>
      <c r="AR59" s="34">
        <f>IF(AND(ISNUMBER(AS59),ISNUMBER(AQ59)),AS59-AQ59,"")</f>
        <v>0</v>
      </c>
      <c r="AS59" s="33">
        <v>2</v>
      </c>
      <c r="AT59" s="34">
        <f>IF(AND(ISNUMBER(AU59),ISNUMBER(AS59)),AU59-AS59,"")</f>
        <v>0</v>
      </c>
      <c r="AU59" s="33">
        <v>0</v>
      </c>
      <c r="AV59" s="34">
        <f>IF(AND(ISNUMBER(AW59),ISNUMBER(AU59)),AW59-AU59,"")</f>
        <v>0</v>
      </c>
      <c r="AW59" s="33">
        <v>0</v>
      </c>
      <c r="AX59" s="34">
        <f>IF(AND(ISNUMBER(AY59),ISNUMBER(AW59)),AY59-AW59,"")</f>
        <v>0</v>
      </c>
      <c r="AY59" s="33">
        <v>0</v>
      </c>
      <c r="AZ59" s="34">
        <f>IF(AND(ISNUMBER(BA59),ISNUMBER(AY59)),BA59-AY59,"")</f>
        <v>0</v>
      </c>
      <c r="BA59" s="33">
        <v>0</v>
      </c>
      <c r="BB59" s="34">
        <f>IF(AND(ISNUMBER(BC59),ISNUMBER(BA59)),BC59-BA59,"")</f>
        <v>0</v>
      </c>
      <c r="BC59" s="33">
        <v>5</v>
      </c>
      <c r="BD59" s="34">
        <f>IF(AND(ISNUMBER(BE59),ISNUMBER(BC59)),BE59-BC59,"")</f>
        <v>0</v>
      </c>
      <c r="BE59" s="33">
        <v>3</v>
      </c>
      <c r="BF59" s="34">
        <f>IF(AND(ISNUMBER(BG59),ISNUMBER(BE59)),BG59-BE59,"")</f>
        <v>0</v>
      </c>
      <c r="BG59" s="33">
        <v>3</v>
      </c>
      <c r="BH59" s="34">
        <f>IF(AND(ISNUMBER(BI59),ISNUMBER(BG59)),BI59-BG59,"")</f>
        <v>0</v>
      </c>
      <c r="BI59" s="33">
        <v>0</v>
      </c>
      <c r="BJ59" s="34">
        <f>IF(AND(ISNUMBER(BK59),ISNUMBER(BI59)),BK59-BI59,"")</f>
        <v>0</v>
      </c>
      <c r="BK59" s="33">
        <v>0</v>
      </c>
      <c r="BL59" s="34">
        <f>IF(AND(ISNUMBER(BM59),ISNUMBER(BK59)),BM59-BK59,"")</f>
        <v>0</v>
      </c>
      <c r="BM59" s="33">
        <v>0</v>
      </c>
      <c r="BN59" s="34">
        <f>IF(AND(ISNUMBER(BO59),ISNUMBER(BM59)),BO59-BM59,"")</f>
        <v>0</v>
      </c>
      <c r="BO59" s="33">
        <v>3</v>
      </c>
      <c r="BP59" s="34">
        <f>IF(AND(ISNUMBER(BQ59),ISNUMBER(BO59)),BQ59-BO59,"")</f>
        <v>0</v>
      </c>
      <c r="BQ59" s="33">
        <v>0</v>
      </c>
      <c r="BR59" s="34">
        <f>IF(AND(ISNUMBER(BS59),ISNUMBER(BQ59)),BS59-BQ59,"")</f>
        <v>0</v>
      </c>
      <c r="BS59" s="33">
        <v>1</v>
      </c>
      <c r="BT59" s="34">
        <f>IF(AND(ISNUMBER(BU59),ISNUMBER(BS59)),BU59-BS59,"")</f>
        <v>0</v>
      </c>
      <c r="BU59" s="33">
        <v>1</v>
      </c>
      <c r="BV59" s="34">
        <f>IF(AND(ISNUMBER(BW59),ISNUMBER(BU59)),BW59-BU59,"")</f>
        <v>0</v>
      </c>
      <c r="BW59" s="33">
        <v>0</v>
      </c>
      <c r="BX59" s="34">
        <f>IF(AND(ISNUMBER(BY59),ISNUMBER(BW59)),BY59-BW59,"")</f>
        <v>0</v>
      </c>
      <c r="BY59" s="33">
        <v>1</v>
      </c>
      <c r="BZ59" s="34">
        <f>IF(AND(ISNUMBER(CA59),ISNUMBER(BY59)),CA59-BY59,"")</f>
        <v>0</v>
      </c>
      <c r="CA59" s="33">
        <v>2</v>
      </c>
      <c r="CB59" s="34">
        <f>IF(AND(ISNUMBER(CC59),ISNUMBER(CA59)),CC59-CA59,"")</f>
        <v>0</v>
      </c>
      <c r="CC59" s="33">
        <v>0</v>
      </c>
      <c r="CD59" s="34">
        <f>IF(AND(ISNUMBER(CE59),ISNUMBER(CC59)),CE59-CC59,"")</f>
        <v>0</v>
      </c>
      <c r="CE59" s="33">
        <v>0</v>
      </c>
      <c r="CF59" s="34">
        <f>IF(AND(ISNUMBER(CG59),ISNUMBER(CE59)),CG59-CE59,"")</f>
        <v>0</v>
      </c>
      <c r="CG59" s="33">
        <v>0</v>
      </c>
      <c r="CH59" s="34">
        <f>IF(AND(ISNUMBER(CI59),ISNUMBER(CG59)),CI59-CG59,"")</f>
        <v>0</v>
      </c>
      <c r="CI59" s="33">
        <v>0</v>
      </c>
      <c r="CJ59" s="34">
        <f>IF(AND(ISNUMBER(CK59),ISNUMBER(CI59)),CK59-CI59,"")</f>
        <v>0</v>
      </c>
      <c r="CK59" s="33">
        <v>0</v>
      </c>
      <c r="CL59" s="34">
        <f>IF(AND(ISNUMBER(CM59),ISNUMBER(CK59)),CM59-CK59,"")</f>
        <v>0</v>
      </c>
      <c r="CM59" s="33"/>
      <c r="CN59" s="34">
        <f>IF(AND(ISNUMBER(CO59),ISNUMBER(CM59)),CO59-CM59,"")</f>
        <v>0</v>
      </c>
      <c r="CO59" s="33">
        <v>0</v>
      </c>
      <c r="CP59" s="34">
        <f>IF(AND(ISNUMBER(CQ59),ISNUMBER(CO59)),CQ59-CO59,"")</f>
        <v>0</v>
      </c>
      <c r="CQ59" s="33">
        <v>0</v>
      </c>
      <c r="CR59" s="34">
        <f>IF(AND(ISNUMBER(CS59),ISNUMBER(CQ59)),CS59-CQ59,"")</f>
        <v>0</v>
      </c>
      <c r="CS59" s="33">
        <v>0</v>
      </c>
      <c r="CT59" s="34">
        <f>IF(AND(ISNUMBER(CU59),ISNUMBER(CS59)),CU59-CS59,"")</f>
        <v>0</v>
      </c>
      <c r="CU59" s="33">
        <v>0</v>
      </c>
      <c r="CV59" s="34">
        <f>IF(AND(ISNUMBER(CW59),ISNUMBER(CU59)),CW59-CU59,"")</f>
        <v>0</v>
      </c>
      <c r="CW59" s="33">
        <v>0</v>
      </c>
      <c r="CX59" s="34">
        <f>IF(AND(ISNUMBER(CY59),ISNUMBER(CW59)),CY59-CW59,"")</f>
        <v>0</v>
      </c>
      <c r="CY59" s="33">
        <v>0</v>
      </c>
      <c r="CZ59" s="34">
        <f>IF(AND(ISNUMBER(DA59),ISNUMBER(CY59)),DA59-CY59,"")</f>
        <v>0</v>
      </c>
      <c r="DA59" s="33"/>
      <c r="DB59" s="34">
        <f>IF(AND(ISNUMBER(DC59),ISNUMBER(DA59)),DC59-DA59,"")</f>
        <v>0</v>
      </c>
      <c r="DC59" s="33"/>
      <c r="DD59" s="34">
        <f>IF(AND(ISNUMBER(DE59),ISNUMBER(DC59)),DE59-DC59,"")</f>
        <v>0</v>
      </c>
      <c r="DE59" s="33"/>
      <c r="DF59" s="34">
        <f>IF(AND(ISNUMBER(DG59),ISNUMBER(DE59)),DG59-DE59,"")</f>
        <v>0</v>
      </c>
      <c r="DG59" s="33">
        <v>0</v>
      </c>
      <c r="DH59" s="34">
        <f>IF(AND(ISNUMBER(DI59),ISNUMBER(DG59)),DI59-DG59,"")</f>
        <v>0</v>
      </c>
      <c r="DI59" s="33">
        <v>0</v>
      </c>
      <c r="DJ59" s="34">
        <f>IF(AND(ISNUMBER(DK59),ISNUMBER(DI59)),DK59-DI59,"")</f>
        <v>0</v>
      </c>
      <c r="DK59" s="33">
        <v>0</v>
      </c>
      <c r="DL59" s="34">
        <f>IF(AND(ISNUMBER(DM59),ISNUMBER(DK59)),DM59-DK59,"")</f>
        <v>0</v>
      </c>
      <c r="DM59" s="33">
        <v>2</v>
      </c>
      <c r="DN59" s="34">
        <f>IF(AND(ISNUMBER(DO59),ISNUMBER(DM59)),DO59-DM59,"")</f>
        <v>0</v>
      </c>
      <c r="DO59" s="33">
        <v>1</v>
      </c>
      <c r="DP59" s="34">
        <f>IF(AND(ISNUMBER(DQ59),ISNUMBER(DO59)),DQ59-DO59,"")</f>
        <v>0</v>
      </c>
      <c r="DQ59" s="33">
        <v>0</v>
      </c>
      <c r="DR59" s="34">
        <f>IF(AND(ISNUMBER(DS59),ISNUMBER(DQ59)),DS59-DQ59,"")</f>
        <v>0</v>
      </c>
      <c r="DS59" s="33">
        <v>3</v>
      </c>
      <c r="DT59" s="34">
        <f>IF(AND(ISNUMBER(DU59),ISNUMBER(DS59)),DU59-DS59,"")</f>
        <v>0</v>
      </c>
      <c r="DU59" s="33">
        <v>0</v>
      </c>
      <c r="DV59" s="34">
        <f>IF(AND(ISNUMBER(DW59),ISNUMBER(DU59)),DW59-DU59,"")</f>
        <v>0</v>
      </c>
      <c r="DW59" s="33"/>
      <c r="DX59" s="34">
        <f>IF(AND(ISNUMBER(DY59),ISNUMBER(DW59)),DY59-DW59,"")</f>
        <v>0</v>
      </c>
      <c r="DY59" s="33">
        <v>5</v>
      </c>
      <c r="DZ59" s="34">
        <f>IF(AND(ISNUMBER(EA59),ISNUMBER(DY59)),EA59-DY59,"")</f>
        <v>0</v>
      </c>
      <c r="EA59" s="33">
        <v>0</v>
      </c>
      <c r="EB59" s="34">
        <f>IF(AND(ISNUMBER(EC59),ISNUMBER(EA59)),EC59-EA59,"")</f>
        <v>0</v>
      </c>
      <c r="EC59" s="33">
        <v>0</v>
      </c>
      <c r="ED59" s="34">
        <f>IF(AND(ISNUMBER(EE59),ISNUMBER(EC59)),EE59-EC59,"")</f>
        <v>0</v>
      </c>
      <c r="EE59" s="33">
        <v>0</v>
      </c>
      <c r="EF59" s="34">
        <f>IF(AND(ISNUMBER(EG59),ISNUMBER(EE59)),EG59-EE59,"")</f>
        <v>0</v>
      </c>
      <c r="EG59" s="33">
        <v>0</v>
      </c>
      <c r="EH59" s="34">
        <f>IF(AND(ISNUMBER(EI59),ISNUMBER(EG59)),EI59-EG59,"")</f>
        <v>0</v>
      </c>
      <c r="EI59" s="33">
        <v>0</v>
      </c>
      <c r="EJ59" s="34">
        <f>IF(AND(ISNUMBER(EK59),ISNUMBER(EI59)),EK59-EI59,"")</f>
        <v>0</v>
      </c>
      <c r="EK59" s="33">
        <v>0</v>
      </c>
      <c r="EL59" s="34">
        <f>IF(AND(ISNUMBER(EM59),ISNUMBER(EK59)),EM59-EK59,"")</f>
        <v>0</v>
      </c>
      <c r="EM59" s="33">
        <v>0</v>
      </c>
      <c r="EN59" s="34">
        <f>IF(AND(ISNUMBER(EO59),ISNUMBER(EM59)),EO59-EM59,"")</f>
        <v>0</v>
      </c>
      <c r="EO59" s="33"/>
      <c r="EP59" s="34">
        <f>IF(AND(ISNUMBER(EQ59),ISNUMBER(EO59)),EQ59-EO59,"")</f>
        <v>0</v>
      </c>
      <c r="EQ59" s="33"/>
      <c r="ER59" s="34">
        <f>IF(AND(ISNUMBER(ES59),ISNUMBER(EQ59)),ES59-EQ59,"")</f>
        <v>0</v>
      </c>
      <c r="ES59" s="33">
        <v>2</v>
      </c>
      <c r="ET59" s="34">
        <f>IF(AND(ISNUMBER(EU59),ISNUMBER(ES59)),EU59-ES59,"")</f>
        <v>0</v>
      </c>
      <c r="EU59" s="33">
        <v>0</v>
      </c>
      <c r="EV59" s="34">
        <f>IF(AND(ISNUMBER(EW59),ISNUMBER(EU59)),EW59-EU59,"")</f>
        <v>0</v>
      </c>
      <c r="EW59" s="33"/>
      <c r="EX59" s="34">
        <f>IF(AND(ISNUMBER(EY59),ISNUMBER(EW59)),EY59-EW59,"")</f>
        <v>0</v>
      </c>
      <c r="EY59" s="33"/>
      <c r="EZ59" s="34">
        <f>IF(AND(ISNUMBER(FA59),ISNUMBER(EY59)),FA59-EY59,"")</f>
        <v>0</v>
      </c>
      <c r="FA59" s="33"/>
      <c r="FB59" s="34">
        <f>IF(AND(ISNUMBER(FC59),ISNUMBER(FA59)),FC59-FA59,"")</f>
        <v>0</v>
      </c>
      <c r="FC59" s="33"/>
      <c r="FD59" s="34">
        <f>IF(AND(ISNUMBER(FE59),ISNUMBER(FC59)),FE59-FC59,"")</f>
        <v>0</v>
      </c>
      <c r="FE59" s="33"/>
      <c r="FF59" s="34">
        <f>IF(AND(ISNUMBER(FG59),ISNUMBER(FE59)),FG59-FE59,"")</f>
        <v>0</v>
      </c>
      <c r="FG59" s="33"/>
      <c r="FH59" s="34">
        <f>IF(AND(ISNUMBER(FI59),ISNUMBER(FG59)),FI59-FG59,"")</f>
        <v>0</v>
      </c>
      <c r="FI59" s="33"/>
      <c r="FJ59" s="34">
        <f>IF(AND(ISNUMBER(FK59),ISNUMBER(FI59)),FK59-FI59,"")</f>
        <v>0</v>
      </c>
      <c r="FK59" s="33"/>
      <c r="FL59" s="34">
        <f>IF(AND(ISNUMBER(FM59),ISNUMBER(FK59)),FM59-FK59,"")</f>
        <v>0</v>
      </c>
      <c r="FM59" s="33"/>
      <c r="FN59" s="34">
        <f>IF(AND(ISNUMBER(FO59),ISNUMBER(FM59)),FO59-FM59,"")</f>
        <v>0</v>
      </c>
      <c r="FO59" s="33"/>
      <c r="FP59" s="34">
        <f>IF(AND(ISNUMBER(FQ59),ISNUMBER(FO59)),FQ59-FO59,"")</f>
        <v>0</v>
      </c>
      <c r="FQ59" s="33"/>
      <c r="FR59" s="34">
        <f>IF(AND(ISNUMBER(FS59),ISNUMBER(FQ59)),FS59-FQ59,"")</f>
        <v>0</v>
      </c>
      <c r="FS59" s="33"/>
      <c r="FT59" s="34">
        <f>IF(AND(ISNUMBER(FU59),ISNUMBER(FS59)),FU59-FS59,"")</f>
        <v>0</v>
      </c>
      <c r="FU59" s="33"/>
      <c r="FV59" s="34">
        <f>IF(AND(ISNUMBER(FW59),ISNUMBER(FU59)),FW59-FU59,"")</f>
        <v>0</v>
      </c>
      <c r="FW59" s="33"/>
      <c r="FX59" s="34">
        <f>IF(AND(ISNUMBER(FY59),ISNUMBER(FW59)),FY59-FW59,"")</f>
        <v>0</v>
      </c>
      <c r="FY59" s="33"/>
      <c r="FZ59" s="34">
        <f>IF(AND(ISNUMBER(GA59),ISNUMBER(FY59)),GA59-FY59,"")</f>
        <v>0</v>
      </c>
      <c r="GA59" s="33"/>
      <c r="GB59" s="34">
        <f>IF(AND(ISNUMBER(GC59),ISNUMBER(GA59)),GC59-GA59,"")</f>
        <v>0</v>
      </c>
      <c r="GC59" s="33"/>
      <c r="GD59" s="34">
        <f>IF(AND(ISNUMBER(GE59),ISNUMBER(GC59)),GE59-GC59,"")</f>
        <v>0</v>
      </c>
      <c r="GE59" s="33"/>
      <c r="GF59" s="34">
        <f>IF(AND(ISNUMBER(GG59),ISNUMBER(GE59)),GG59-GE59,"")</f>
        <v>0</v>
      </c>
      <c r="GG59" s="33"/>
      <c r="GH59" s="34">
        <f>IF(AND(ISNUMBER(GI59),ISNUMBER(GG59)),GI59-GG59,"")</f>
        <v>0</v>
      </c>
      <c r="GI59" s="33"/>
      <c r="GJ59" s="34">
        <f>IF(AND(ISNUMBER(GK59),ISNUMBER(GI59)),GK59-GI59,"")</f>
        <v>0</v>
      </c>
      <c r="GK59" s="33"/>
      <c r="GL59" s="34">
        <f>IF(AND(ISNUMBER(GM59),ISNUMBER(GK59)),GM59-GK59,"")</f>
        <v>0</v>
      </c>
      <c r="GM59" s="33"/>
      <c r="GN59" s="34">
        <f>IF(AND(ISNUMBER(GO59),ISNUMBER(GM59)),GO59-GM59,"")</f>
        <v>0</v>
      </c>
      <c r="GO59" s="33"/>
      <c r="GP59" s="34">
        <f>IF(AND(ISNUMBER(GQ59),ISNUMBER(GO59)),GQ59-GO59,"")</f>
        <v>0</v>
      </c>
      <c r="GQ59" s="33"/>
      <c r="GR59" s="34">
        <f>IF(AND(ISNUMBER(GS59),ISNUMBER(GQ59)),GS59-GQ59,"")</f>
        <v>0</v>
      </c>
      <c r="GS59" s="33"/>
      <c r="GT59" s="34">
        <f>IF(AND(ISNUMBER(GU59),ISNUMBER(GS59)),GU59-GS59,"")</f>
        <v>0</v>
      </c>
      <c r="GU59" s="33"/>
      <c r="GV59" s="34">
        <f>IF(AND(ISNUMBER(GW59),ISNUMBER(GU59)),GW59-GU59,"")</f>
        <v>0</v>
      </c>
      <c r="GW59" s="33"/>
      <c r="GX59" s="34">
        <f>IF(AND(ISNUMBER(GY59),ISNUMBER(GW59)),GY59-GW59,"")</f>
        <v>0</v>
      </c>
      <c r="GY59" s="33"/>
      <c r="GZ59" s="34">
        <f>IF(AND(ISNUMBER(HA59),ISNUMBER(GY59)),HA59-GY59,"")</f>
        <v>0</v>
      </c>
      <c r="HA59" s="33"/>
      <c r="HB59" s="34">
        <f>IF(AND(ISNUMBER(HC59),ISNUMBER(HA59)),HC59-HA59,"")</f>
        <v>0</v>
      </c>
      <c r="HC59" s="33"/>
      <c r="HD59" s="34">
        <f>IF(AND(ISNUMBER(HE59),ISNUMBER(HC59)),HE59-HC59,"")</f>
        <v>0</v>
      </c>
      <c r="HE59" s="33"/>
      <c r="HF59" s="34">
        <f>IF(AND(ISNUMBER(HG59),ISNUMBER(HE59)),HG59-HE59,"")</f>
        <v>0</v>
      </c>
      <c r="HG59" s="33"/>
      <c r="HH59" s="34">
        <f>IF(AND(ISNUMBER(HI59),ISNUMBER(HG59)),HI59-HG59,"")</f>
        <v>0</v>
      </c>
      <c r="HI59" s="33"/>
      <c r="HJ59" s="34">
        <f>IF(AND(ISNUMBER(HK59),ISNUMBER(HI59)),HK59-HI59,"")</f>
        <v>0</v>
      </c>
      <c r="HK59" s="33"/>
      <c r="HL59" s="34">
        <f>IF(AND(ISNUMBER(HM59),ISNUMBER(HK59)),HM59-HK59,"")</f>
        <v>0</v>
      </c>
      <c r="HM59" s="33"/>
      <c r="HN59" s="34">
        <f>IF(AND(ISNUMBER(HO59),ISNUMBER(HM59)),HO59-HM59,"")</f>
        <v>0</v>
      </c>
      <c r="HO59" s="33"/>
      <c r="HP59" s="34">
        <f>IF(AND(ISNUMBER(HQ59),ISNUMBER(HO59)),HQ59-HO59,"")</f>
        <v>0</v>
      </c>
      <c r="HQ59" s="33"/>
      <c r="HR59" s="34">
        <f>IF(AND(ISNUMBER(HS59),ISNUMBER(HQ59)),HS59-HQ59,"")</f>
        <v>0</v>
      </c>
      <c r="HS59" s="33"/>
      <c r="HT59" s="34">
        <f>IF(AND(ISNUMBER(HU59),ISNUMBER(HS59)),HU59-HS59,"")</f>
        <v>0</v>
      </c>
      <c r="HU59" s="33"/>
      <c r="HV59" s="34">
        <f>IF(AND(ISNUMBER(HW59),ISNUMBER(HU59)),HW59-HU59,"")</f>
        <v>0</v>
      </c>
      <c r="HW59" s="33"/>
      <c r="HX59" s="34">
        <f>IF(AND(ISNUMBER(HY59),ISNUMBER(HW59)),HY59-HW59,"")</f>
        <v>0</v>
      </c>
      <c r="HY59" s="33"/>
      <c r="HZ59" s="34">
        <f>IF(AND(ISNUMBER(IA59),ISNUMBER(HY59)),IA59-HY59,"")</f>
        <v>0</v>
      </c>
      <c r="IA59" s="33"/>
      <c r="IB59" s="34">
        <f>IF(AND(ISNUMBER(IC59),ISNUMBER(IA59)),IC59-IA59,"")</f>
        <v>0</v>
      </c>
      <c r="IC59" s="33"/>
      <c r="ID59" s="34">
        <f>IF(AND(ISNUMBER(IE59),ISNUMBER(IC59)),IE59-IC59,"")</f>
        <v>0</v>
      </c>
      <c r="IE59" s="33"/>
      <c r="IF59" s="34">
        <f>IF(AND(ISNUMBER(IG59),ISNUMBER(IE59)),IG59-IE59,"")</f>
        <v>0</v>
      </c>
      <c r="IG59" s="33"/>
      <c r="IH59" s="34">
        <f>IF(AND(ISNUMBER(II59),ISNUMBER(IG59)),II59-IG59,"")</f>
        <v>0</v>
      </c>
      <c r="II59" s="33"/>
      <c r="IJ59" s="34">
        <f>IF(AND(ISNUMBER(IK59),ISNUMBER(II59)),IK59-II59,"")</f>
        <v>0</v>
      </c>
      <c r="IK59" s="33"/>
      <c r="IL59" s="34">
        <f>IF(AND(ISNUMBER(IM59),ISNUMBER(IK59)),IM59-IK59,"")</f>
        <v>0</v>
      </c>
      <c r="IM59" s="33"/>
      <c r="IN59" s="34">
        <f>IF(AND(ISNUMBER(IO59),ISNUMBER(IM59)),IO59-IM59,"")</f>
        <v>0</v>
      </c>
      <c r="IO59" s="33"/>
      <c r="IP59" s="34">
        <f>IF(AND(ISNUMBER(IQ59),ISNUMBER(IO59)),IQ59-IO59,"")</f>
        <v>0</v>
      </c>
      <c r="IQ59" s="33"/>
      <c r="IR59" s="34">
        <f>IF(AND(ISNUMBER(IS59),ISNUMBER(IQ59)),IS59-IQ59,"")</f>
        <v>0</v>
      </c>
      <c r="IS59" s="33"/>
      <c r="IT59" s="34">
        <f>IF(AND(ISNUMBER(IU59),ISNUMBER(IS59)),IU59-IS59,"")</f>
        <v>0</v>
      </c>
      <c r="IU59" s="33"/>
      <c r="IV59" s="34">
        <f>IF(AND(ISNUMBER(IW59),ISNUMBER(IU59)),IW59-IU59,"")</f>
        <v>0</v>
      </c>
      <c r="IW59" s="33"/>
      <c r="IX59" s="34">
        <f>IF(AND(ISNUMBER(IY59),ISNUMBER(IW59)),IY59-IW59,"")</f>
        <v>0</v>
      </c>
      <c r="IY59" s="33"/>
      <c r="IZ59" s="34">
        <f>IF(AND(ISNUMBER(JA59),ISNUMBER(IY59)),JA59-IY59,"")</f>
        <v>0</v>
      </c>
      <c r="JA59" s="33"/>
      <c r="JB59" s="34">
        <f>IF(AND(ISNUMBER(JC59),ISNUMBER(JA59)),JC59-JA59,"")</f>
        <v>0</v>
      </c>
      <c r="JC59" s="33"/>
      <c r="JD59" s="34">
        <f>IF(AND(ISNUMBER(JE59),ISNUMBER(JC59)),JE59-JC59,"")</f>
        <v>0</v>
      </c>
      <c r="JE59" s="33"/>
      <c r="JF59" s="34">
        <f>IF(AND(ISNUMBER(JG59),ISNUMBER(JE59)),JG59-JE59,"")</f>
        <v>0</v>
      </c>
      <c r="JG59" s="33"/>
      <c r="JH59" s="34">
        <f>IF(AND(ISNUMBER(JI59),ISNUMBER(JG59)),JI59-JG59,"")</f>
        <v>0</v>
      </c>
      <c r="JI59" s="33"/>
      <c r="JJ59" s="34">
        <f>IF(AND(ISNUMBER(JK59),ISNUMBER(JI59)),JK59-JI59,"")</f>
        <v>0</v>
      </c>
      <c r="JK59" s="33"/>
      <c r="JL59" s="34">
        <f>IF(AND(ISNUMBER(JM59),ISNUMBER(JK59)),JM59-JK59,"")</f>
        <v>0</v>
      </c>
      <c r="JM59" s="33"/>
      <c r="JN59" s="34">
        <f>IF(AND(ISNUMBER(JO59),ISNUMBER(JM59)),JO59-JM59,"")</f>
        <v>0</v>
      </c>
      <c r="JO59" s="33"/>
      <c r="JP59" s="34">
        <f>IF(AND(ISNUMBER(JQ59),ISNUMBER(JO59)),JQ59-JO59,"")</f>
        <v>0</v>
      </c>
      <c r="JQ59" s="33"/>
      <c r="JR59" s="34">
        <f>IF(AND(ISNUMBER(JS59),ISNUMBER(JQ59)),JS59-JQ59,"")</f>
        <v>0</v>
      </c>
      <c r="JS59" s="33"/>
      <c r="JT59" s="34">
        <f>IF(AND(ISNUMBER(JU59),ISNUMBER(JS59)),JU59-JS59,"")</f>
        <v>0</v>
      </c>
      <c r="JU59" s="33"/>
      <c r="JV59" s="34">
        <f>IF(AND(ISNUMBER(JW59),ISNUMBER(JU59)),JW59-JU59,"")</f>
        <v>0</v>
      </c>
      <c r="JW59" s="33"/>
      <c r="JX59" s="34">
        <f>IF(AND(ISNUMBER(JY59),ISNUMBER(JW59)),JY59-JW59,"")</f>
        <v>0</v>
      </c>
      <c r="JY59" s="33"/>
      <c r="JZ59" s="34">
        <f>IF(AND(ISNUMBER(KA59),ISNUMBER(JY59)),KA59-JY59,"")</f>
        <v>0</v>
      </c>
      <c r="KA59" s="33"/>
      <c r="KB59" s="34">
        <f>IF(AND(ISNUMBER(KC59),ISNUMBER(KA59)),KC59-KA59,"")</f>
        <v>0</v>
      </c>
      <c r="KC59" s="33"/>
      <c r="KD59" s="34">
        <f>IF(AND(ISNUMBER(KE59),ISNUMBER(KC59)),KE59-KC59,"")</f>
        <v>0</v>
      </c>
      <c r="KE59" s="33"/>
      <c r="KF59" s="34">
        <f>IF(AND(ISNUMBER(KG59),ISNUMBER(KE59)),KG59-KE59,"")</f>
        <v>0</v>
      </c>
      <c r="KG59" s="33"/>
      <c r="KH59" s="34">
        <f>IF(AND(ISNUMBER(KI59),ISNUMBER(KG59)),KI59-KG59,"")</f>
        <v>0</v>
      </c>
      <c r="KI59" s="33"/>
      <c r="KJ59" s="34">
        <f>IF(AND(ISNUMBER(KK59),ISNUMBER(KI59)),KK59-KI59,"")</f>
        <v>0</v>
      </c>
      <c r="KK59" s="33"/>
      <c r="KL59" s="34">
        <f>IF(AND(ISNUMBER(KM59),ISNUMBER(KK59)),KM59-KK59,"")</f>
        <v>0</v>
      </c>
      <c r="KM59" s="33"/>
      <c r="KN59" s="34">
        <f>IF(AND(ISNUMBER(KO59),ISNUMBER(KM59)),KO59-KM59,"")</f>
        <v>0</v>
      </c>
      <c r="KO59" s="33"/>
      <c r="KP59" s="34">
        <f>IF(AND(ISNUMBER(KQ59),ISNUMBER(KO59)),KQ59-KO59,"")</f>
        <v>0</v>
      </c>
      <c r="KQ59" s="33"/>
      <c r="KR59" s="34">
        <f>IF(AND(ISNUMBER(KS59),ISNUMBER(KQ59)),KS59-KQ59,"")</f>
        <v>0</v>
      </c>
      <c r="KS59" s="33"/>
      <c r="KT59" s="34">
        <f>IF(AND(ISNUMBER(KU59),ISNUMBER(KS59)),KU59-KS59,"")</f>
        <v>0</v>
      </c>
      <c r="KU59" s="33"/>
      <c r="KV59" s="34">
        <f>IF(AND(ISNUMBER(KW59),ISNUMBER(KU59)),KW59-KU59,"")</f>
        <v>0</v>
      </c>
      <c r="KW59" s="33"/>
      <c r="KX59" s="34">
        <f>IF(AND(ISNUMBER(KY59),ISNUMBER(KW59)),KY59-KW59,"")</f>
        <v>0</v>
      </c>
      <c r="KY59" s="33"/>
      <c r="KZ59" s="34">
        <f>IF(AND(ISNUMBER(LA59),ISNUMBER(KY59)),LA59-KY59,"")</f>
        <v>0</v>
      </c>
      <c r="LA59" s="33"/>
      <c r="LB59" s="34">
        <f>IF(AND(ISNUMBER(LC59),ISNUMBER(LA59)),LC59-LA59,"")</f>
        <v>0</v>
      </c>
      <c r="LC59" s="33"/>
      <c r="LD59" s="34">
        <f>IF(AND(ISNUMBER(LE59),ISNUMBER(LC59)),LE59-LC59,"")</f>
        <v>0</v>
      </c>
      <c r="LE59" s="33"/>
      <c r="LF59" s="34">
        <f>IF(AND(ISNUMBER(LG59),ISNUMBER(LE59)),LG59-LE59,"")</f>
        <v>0</v>
      </c>
      <c r="LG59" s="33"/>
      <c r="LJ59" s="35" t="s">
        <v>1100</v>
      </c>
    </row>
    <row r="60" spans="1:322" hidden="1" outlineLevel="1">
      <c r="B60" s="23"/>
      <c r="D60" s="31" t="s">
        <v>721</v>
      </c>
      <c r="E60" s="32" t="s">
        <v>1054</v>
      </c>
      <c r="F60" s="38">
        <v>45689</v>
      </c>
      <c r="I60" s="40" t="s">
        <v>1078</v>
      </c>
      <c r="J60" s="34">
        <f>IF(AND(ISNUMBER(K60),ISNUMBER(I60)),K60-I60,"")</f>
        <v>0</v>
      </c>
      <c r="K60" s="40" t="s">
        <v>1078</v>
      </c>
      <c r="L60" s="34">
        <f>IF(AND(ISNUMBER(M60),ISNUMBER(K60)),M60-K60,"")</f>
        <v>0</v>
      </c>
      <c r="M60" s="40" t="s">
        <v>1078</v>
      </c>
      <c r="N60" s="34">
        <f>IF(AND(ISNUMBER(O60),ISNUMBER(M60)),O60-M60,"")</f>
        <v>0</v>
      </c>
      <c r="O60" s="40" t="s">
        <v>1078</v>
      </c>
      <c r="P60" s="34">
        <f>IF(AND(ISNUMBER(Q60),ISNUMBER(O60)),Q60-O60,"")</f>
        <v>0</v>
      </c>
      <c r="Q60" s="40" t="s">
        <v>1078</v>
      </c>
      <c r="R60" s="34">
        <f>IF(AND(ISNUMBER(S60),ISNUMBER(Q60)),S60-Q60,"")</f>
        <v>0</v>
      </c>
      <c r="S60" s="40" t="s">
        <v>1078</v>
      </c>
      <c r="T60" s="34">
        <f>IF(AND(ISNUMBER(U60),ISNUMBER(S60)),U60-S60,"")</f>
        <v>0</v>
      </c>
      <c r="U60" s="40" t="s">
        <v>1078</v>
      </c>
      <c r="V60" s="34">
        <f>IF(AND(ISNUMBER(W60),ISNUMBER(U60)),W60-U60,"")</f>
        <v>0</v>
      </c>
      <c r="W60" s="40" t="s">
        <v>1078</v>
      </c>
      <c r="X60" s="34">
        <f>IF(AND(ISNUMBER(Y60),ISNUMBER(W60)),Y60-W60,"")</f>
        <v>0</v>
      </c>
      <c r="Y60" s="40" t="s">
        <v>1078</v>
      </c>
      <c r="Z60" s="34">
        <f>IF(AND(ISNUMBER(AA60),ISNUMBER(Y60)),AA60-Y60,"")</f>
        <v>0</v>
      </c>
      <c r="AA60" s="40" t="s">
        <v>1078</v>
      </c>
      <c r="AB60" s="34">
        <f>IF(AND(ISNUMBER(AC60),ISNUMBER(AA60)),AC60-AA60,"")</f>
        <v>0</v>
      </c>
      <c r="AC60" s="33">
        <v>4</v>
      </c>
      <c r="AD60" s="34">
        <f>IF(AND(ISNUMBER(AE60),ISNUMBER(AC60)),AE60-AC60,"")</f>
        <v>0</v>
      </c>
      <c r="AE60" s="40" t="s">
        <v>1078</v>
      </c>
      <c r="AF60" s="34">
        <f>IF(AND(ISNUMBER(AG60),ISNUMBER(AE60)),AG60-AE60,"")</f>
        <v>0</v>
      </c>
      <c r="AG60" s="40" t="s">
        <v>1078</v>
      </c>
      <c r="AH60" s="34">
        <f>IF(AND(ISNUMBER(AI60),ISNUMBER(AG60)),AI60-AG60,"")</f>
        <v>0</v>
      </c>
      <c r="AI60" s="40" t="s">
        <v>1078</v>
      </c>
      <c r="AJ60" s="34">
        <f>IF(AND(ISNUMBER(AK60),ISNUMBER(AI60)),AK60-AI60,"")</f>
        <v>0</v>
      </c>
      <c r="AK60" s="40" t="s">
        <v>1078</v>
      </c>
      <c r="AL60" s="34">
        <f>IF(AND(ISNUMBER(AM60),ISNUMBER(AK60)),AM60-AK60,"")</f>
        <v>0</v>
      </c>
      <c r="AM60" s="40" t="s">
        <v>1078</v>
      </c>
      <c r="AN60" s="34">
        <f>IF(AND(ISNUMBER(AO60),ISNUMBER(AM60)),AO60-AM60,"")</f>
        <v>0</v>
      </c>
      <c r="AO60" s="40" t="s">
        <v>1078</v>
      </c>
      <c r="AP60" s="34">
        <f>IF(AND(ISNUMBER(AQ60),ISNUMBER(AO60)),AQ60-AO60,"")</f>
        <v>0</v>
      </c>
      <c r="AQ60" s="33">
        <v>1</v>
      </c>
      <c r="AR60" s="34">
        <f>IF(AND(ISNUMBER(AS60),ISNUMBER(AQ60)),AS60-AQ60,"")</f>
        <v>0</v>
      </c>
      <c r="AS60" s="33">
        <v>4</v>
      </c>
      <c r="AT60" s="34">
        <f>IF(AND(ISNUMBER(AU60),ISNUMBER(AS60)),AU60-AS60,"")</f>
        <v>0</v>
      </c>
      <c r="AU60" s="33">
        <v>6</v>
      </c>
      <c r="AV60" s="34">
        <f>IF(AND(ISNUMBER(AW60),ISNUMBER(AU60)),AW60-AU60,"")</f>
        <v>0</v>
      </c>
      <c r="AW60" s="33">
        <v>9</v>
      </c>
      <c r="AX60" s="34">
        <f>IF(AND(ISNUMBER(AY60),ISNUMBER(AW60)),AY60-AW60,"")</f>
        <v>0</v>
      </c>
      <c r="AY60" s="33">
        <v>2</v>
      </c>
      <c r="AZ60" s="34">
        <f>IF(AND(ISNUMBER(BA60),ISNUMBER(AY60)),BA60-AY60,"")</f>
        <v>0</v>
      </c>
      <c r="BA60" s="33">
        <v>7</v>
      </c>
      <c r="BB60" s="34">
        <f>IF(AND(ISNUMBER(BC60),ISNUMBER(BA60)),BC60-BA60,"")</f>
        <v>0</v>
      </c>
      <c r="BC60" s="33">
        <v>4</v>
      </c>
      <c r="BD60" s="34">
        <f>IF(AND(ISNUMBER(BE60),ISNUMBER(BC60)),BE60-BC60,"")</f>
        <v>0</v>
      </c>
      <c r="BE60" s="33">
        <v>8</v>
      </c>
      <c r="BF60" s="34">
        <f>IF(AND(ISNUMBER(BG60),ISNUMBER(BE60)),BG60-BE60,"")</f>
        <v>0</v>
      </c>
      <c r="BG60" s="33">
        <v>5</v>
      </c>
      <c r="BH60" s="34">
        <f>IF(AND(ISNUMBER(BI60),ISNUMBER(BG60)),BI60-BG60,"")</f>
        <v>0</v>
      </c>
      <c r="BI60" s="33">
        <v>3</v>
      </c>
      <c r="BJ60" s="34">
        <f>IF(AND(ISNUMBER(BK60),ISNUMBER(BI60)),BK60-BI60,"")</f>
        <v>0</v>
      </c>
      <c r="BK60" s="33">
        <v>2</v>
      </c>
      <c r="BL60" s="34">
        <f>IF(AND(ISNUMBER(BM60),ISNUMBER(BK60)),BM60-BK60,"")</f>
        <v>0</v>
      </c>
      <c r="BM60" s="33">
        <v>5</v>
      </c>
      <c r="BN60" s="34">
        <f>IF(AND(ISNUMBER(BO60),ISNUMBER(BM60)),BO60-BM60,"")</f>
        <v>0</v>
      </c>
      <c r="BO60" s="33">
        <v>3</v>
      </c>
      <c r="BP60" s="34">
        <f>IF(AND(ISNUMBER(BQ60),ISNUMBER(BO60)),BQ60-BO60,"")</f>
        <v>0</v>
      </c>
      <c r="BQ60" s="33">
        <v>5</v>
      </c>
      <c r="BR60" s="34">
        <f>IF(AND(ISNUMBER(BS60),ISNUMBER(BQ60)),BS60-BQ60,"")</f>
        <v>0</v>
      </c>
      <c r="BS60" s="33">
        <v>9</v>
      </c>
      <c r="BT60" s="34">
        <f>IF(AND(ISNUMBER(BU60),ISNUMBER(BS60)),BU60-BS60,"")</f>
        <v>0</v>
      </c>
      <c r="BU60" s="33">
        <v>0</v>
      </c>
      <c r="BV60" s="34">
        <f>IF(AND(ISNUMBER(BW60),ISNUMBER(BU60)),BW60-BU60,"")</f>
        <v>0</v>
      </c>
      <c r="BW60" s="33">
        <v>2</v>
      </c>
      <c r="BX60" s="34">
        <f>IF(AND(ISNUMBER(BY60),ISNUMBER(BW60)),BY60-BW60,"")</f>
        <v>0</v>
      </c>
      <c r="BY60" s="33">
        <v>2</v>
      </c>
      <c r="BZ60" s="34">
        <f>IF(AND(ISNUMBER(CA60),ISNUMBER(BY60)),CA60-BY60,"")</f>
        <v>0</v>
      </c>
      <c r="CA60" s="33">
        <v>2</v>
      </c>
      <c r="CB60" s="34">
        <f>IF(AND(ISNUMBER(CC60),ISNUMBER(CA60)),CC60-CA60,"")</f>
        <v>0</v>
      </c>
      <c r="CC60" s="33">
        <v>2</v>
      </c>
      <c r="CD60" s="34">
        <f>IF(AND(ISNUMBER(CE60),ISNUMBER(CC60)),CE60-CC60,"")</f>
        <v>0</v>
      </c>
      <c r="CE60" s="33">
        <v>4</v>
      </c>
      <c r="CF60" s="34">
        <f>IF(AND(ISNUMBER(CG60),ISNUMBER(CE60)),CG60-CE60,"")</f>
        <v>0</v>
      </c>
      <c r="CG60" s="33">
        <v>1</v>
      </c>
      <c r="CH60" s="34">
        <f>IF(AND(ISNUMBER(CI60),ISNUMBER(CG60)),CI60-CG60,"")</f>
        <v>0</v>
      </c>
      <c r="CI60" s="33">
        <v>1</v>
      </c>
      <c r="CJ60" s="34">
        <f>IF(AND(ISNUMBER(CK60),ISNUMBER(CI60)),CK60-CI60,"")</f>
        <v>0</v>
      </c>
      <c r="CK60" s="33">
        <v>0</v>
      </c>
      <c r="CL60" s="34">
        <f>IF(AND(ISNUMBER(CM60),ISNUMBER(CK60)),CM60-CK60,"")</f>
        <v>0</v>
      </c>
      <c r="CM60" s="33">
        <v>1</v>
      </c>
      <c r="CN60" s="34">
        <f>IF(AND(ISNUMBER(CO60),ISNUMBER(CM60)),CO60-CM60,"")</f>
        <v>0</v>
      </c>
      <c r="CO60" s="33">
        <v>0</v>
      </c>
      <c r="CP60" s="34">
        <f>IF(AND(ISNUMBER(CQ60),ISNUMBER(CO60)),CQ60-CO60,"")</f>
        <v>0</v>
      </c>
      <c r="CQ60" s="33">
        <v>3</v>
      </c>
      <c r="CR60" s="34">
        <f>IF(AND(ISNUMBER(CS60),ISNUMBER(CQ60)),CS60-CQ60,"")</f>
        <v>0</v>
      </c>
      <c r="CS60" s="33">
        <v>5</v>
      </c>
      <c r="CT60" s="34">
        <f>IF(AND(ISNUMBER(CU60),ISNUMBER(CS60)),CU60-CS60,"")</f>
        <v>0</v>
      </c>
      <c r="CU60" s="33">
        <v>1</v>
      </c>
      <c r="CV60" s="34">
        <f>IF(AND(ISNUMBER(CW60),ISNUMBER(CU60)),CW60-CU60,"")</f>
        <v>0</v>
      </c>
      <c r="CW60" s="33">
        <v>4</v>
      </c>
      <c r="CX60" s="34">
        <f>IF(AND(ISNUMBER(CY60),ISNUMBER(CW60)),CY60-CW60,"")</f>
        <v>0</v>
      </c>
      <c r="CY60" s="33">
        <v>2</v>
      </c>
      <c r="CZ60" s="34">
        <f>IF(AND(ISNUMBER(DA60),ISNUMBER(CY60)),DA60-CY60,"")</f>
        <v>0</v>
      </c>
      <c r="DA60" s="33">
        <v>3</v>
      </c>
      <c r="DB60" s="34">
        <f>IF(AND(ISNUMBER(DC60),ISNUMBER(DA60)),DC60-DA60,"")</f>
        <v>0</v>
      </c>
      <c r="DC60" s="33">
        <v>3</v>
      </c>
      <c r="DD60" s="34">
        <f>IF(AND(ISNUMBER(DE60),ISNUMBER(DC60)),DE60-DC60,"")</f>
        <v>0</v>
      </c>
      <c r="DE60" s="33"/>
      <c r="DF60" s="34">
        <f>IF(AND(ISNUMBER(DG60),ISNUMBER(DE60)),DG60-DE60,"")</f>
        <v>0</v>
      </c>
      <c r="DG60" s="33"/>
      <c r="DH60" s="34">
        <f>IF(AND(ISNUMBER(DI60),ISNUMBER(DG60)),DI60-DG60,"")</f>
        <v>0</v>
      </c>
      <c r="DI60" s="33"/>
      <c r="DJ60" s="34">
        <f>IF(AND(ISNUMBER(DK60),ISNUMBER(DI60)),DK60-DI60,"")</f>
        <v>0</v>
      </c>
      <c r="DK60" s="33">
        <v>1</v>
      </c>
      <c r="DL60" s="34">
        <f>IF(AND(ISNUMBER(DM60),ISNUMBER(DK60)),DM60-DK60,"")</f>
        <v>0</v>
      </c>
      <c r="DM60" s="33">
        <v>2</v>
      </c>
      <c r="DN60" s="34">
        <f>IF(AND(ISNUMBER(DO60),ISNUMBER(DM60)),DO60-DM60,"")</f>
        <v>0</v>
      </c>
      <c r="DO60" s="33">
        <v>1</v>
      </c>
      <c r="DP60" s="34">
        <f>IF(AND(ISNUMBER(DQ60),ISNUMBER(DO60)),DQ60-DO60,"")</f>
        <v>0</v>
      </c>
      <c r="DQ60" s="33">
        <v>2</v>
      </c>
      <c r="DR60" s="34">
        <f>IF(AND(ISNUMBER(DS60),ISNUMBER(DQ60)),DS60-DQ60,"")</f>
        <v>0</v>
      </c>
      <c r="DS60" s="33"/>
      <c r="DT60" s="34">
        <f>IF(AND(ISNUMBER(DU60),ISNUMBER(DS60)),DU60-DS60,"")</f>
        <v>0</v>
      </c>
      <c r="DU60" s="33">
        <v>18</v>
      </c>
      <c r="DV60" s="34">
        <f>IF(AND(ISNUMBER(DW60),ISNUMBER(DU60)),DW60-DU60,"")</f>
        <v>0</v>
      </c>
      <c r="DW60" s="33">
        <v>2</v>
      </c>
      <c r="DX60" s="34">
        <f>IF(AND(ISNUMBER(DY60),ISNUMBER(DW60)),DY60-DW60,"")</f>
        <v>0</v>
      </c>
      <c r="DY60" s="33"/>
      <c r="DZ60" s="34">
        <f>IF(AND(ISNUMBER(EA60),ISNUMBER(DY60)),EA60-DY60,"")</f>
        <v>0</v>
      </c>
      <c r="EA60" s="33">
        <v>3</v>
      </c>
      <c r="EB60" s="34">
        <f>IF(AND(ISNUMBER(EC60),ISNUMBER(EA60)),EC60-EA60,"")</f>
        <v>0</v>
      </c>
      <c r="EC60" s="33">
        <v>0</v>
      </c>
      <c r="ED60" s="34">
        <f>IF(AND(ISNUMBER(EE60),ISNUMBER(EC60)),EE60-EC60,"")</f>
        <v>0</v>
      </c>
      <c r="EE60" s="33">
        <v>3</v>
      </c>
      <c r="EF60" s="34">
        <f>IF(AND(ISNUMBER(EG60),ISNUMBER(EE60)),EG60-EE60,"")</f>
        <v>0</v>
      </c>
      <c r="EG60" s="33">
        <v>3</v>
      </c>
      <c r="EH60" s="34">
        <f>IF(AND(ISNUMBER(EI60),ISNUMBER(EG60)),EI60-EG60,"")</f>
        <v>0</v>
      </c>
      <c r="EI60" s="33"/>
      <c r="EJ60" s="34">
        <f>IF(AND(ISNUMBER(EK60),ISNUMBER(EI60)),EK60-EI60,"")</f>
        <v>0</v>
      </c>
      <c r="EK60" s="33"/>
      <c r="EL60" s="34">
        <f>IF(AND(ISNUMBER(EM60),ISNUMBER(EK60)),EM60-EK60,"")</f>
        <v>0</v>
      </c>
      <c r="EM60" s="33">
        <v>1</v>
      </c>
      <c r="EN60" s="34">
        <f>IF(AND(ISNUMBER(EO60),ISNUMBER(EM60)),EO60-EM60,"")</f>
        <v>0</v>
      </c>
      <c r="EO60" s="33">
        <v>0</v>
      </c>
      <c r="EP60" s="34">
        <f>IF(AND(ISNUMBER(EQ60),ISNUMBER(EO60)),EQ60-EO60,"")</f>
        <v>0</v>
      </c>
      <c r="EQ60" s="33">
        <v>0</v>
      </c>
      <c r="ER60" s="34">
        <f>IF(AND(ISNUMBER(ES60),ISNUMBER(EQ60)),ES60-EQ60,"")</f>
        <v>0</v>
      </c>
      <c r="ES60" s="33">
        <v>4</v>
      </c>
      <c r="ET60" s="34">
        <f>IF(AND(ISNUMBER(EU60),ISNUMBER(ES60)),EU60-ES60,"")</f>
        <v>0</v>
      </c>
      <c r="EU60" s="33"/>
      <c r="EV60" s="34">
        <f>IF(AND(ISNUMBER(EW60),ISNUMBER(EU60)),EW60-EU60,"")</f>
        <v>0</v>
      </c>
      <c r="EW60" s="33">
        <v>2</v>
      </c>
      <c r="EX60" s="34">
        <f>IF(AND(ISNUMBER(EY60),ISNUMBER(EW60)),EY60-EW60,"")</f>
        <v>0</v>
      </c>
      <c r="EY60" s="33">
        <v>0</v>
      </c>
      <c r="EZ60" s="34">
        <f>IF(AND(ISNUMBER(FA60),ISNUMBER(EY60)),FA60-EY60,"")</f>
        <v>0</v>
      </c>
      <c r="FA60" s="33">
        <v>0</v>
      </c>
      <c r="FB60" s="34">
        <f>IF(AND(ISNUMBER(FC60),ISNUMBER(FA60)),FC60-FA60,"")</f>
        <v>0</v>
      </c>
      <c r="FC60" s="33"/>
      <c r="FD60" s="34">
        <f>IF(AND(ISNUMBER(FE60),ISNUMBER(FC60)),FE60-FC60,"")</f>
        <v>0</v>
      </c>
      <c r="FE60" s="33"/>
      <c r="FF60" s="34">
        <f>IF(AND(ISNUMBER(FG60),ISNUMBER(FE60)),FG60-FE60,"")</f>
        <v>0</v>
      </c>
      <c r="FG60" s="33"/>
      <c r="FH60" s="34">
        <f>IF(AND(ISNUMBER(FI60),ISNUMBER(FG60)),FI60-FG60,"")</f>
        <v>0</v>
      </c>
      <c r="FI60" s="33"/>
      <c r="FJ60" s="34">
        <f>IF(AND(ISNUMBER(FK60),ISNUMBER(FI60)),FK60-FI60,"")</f>
        <v>0</v>
      </c>
      <c r="FK60" s="33"/>
      <c r="FL60" s="34">
        <f>IF(AND(ISNUMBER(FM60),ISNUMBER(FK60)),FM60-FK60,"")</f>
        <v>0</v>
      </c>
      <c r="FM60" s="33"/>
      <c r="FN60" s="34">
        <f>IF(AND(ISNUMBER(FO60),ISNUMBER(FM60)),FO60-FM60,"")</f>
        <v>0</v>
      </c>
      <c r="FO60" s="33"/>
      <c r="FP60" s="34">
        <f>IF(AND(ISNUMBER(FQ60),ISNUMBER(FO60)),FQ60-FO60,"")</f>
        <v>0</v>
      </c>
      <c r="FQ60" s="33"/>
      <c r="FR60" s="34">
        <f>IF(AND(ISNUMBER(FS60),ISNUMBER(FQ60)),FS60-FQ60,"")</f>
        <v>0</v>
      </c>
      <c r="FS60" s="33"/>
      <c r="FT60" s="34">
        <f>IF(AND(ISNUMBER(FU60),ISNUMBER(FS60)),FU60-FS60,"")</f>
        <v>0</v>
      </c>
      <c r="FU60" s="33"/>
      <c r="FV60" s="34">
        <f>IF(AND(ISNUMBER(FW60),ISNUMBER(FU60)),FW60-FU60,"")</f>
        <v>0</v>
      </c>
      <c r="FW60" s="33"/>
      <c r="FX60" s="34">
        <f>IF(AND(ISNUMBER(FY60),ISNUMBER(FW60)),FY60-FW60,"")</f>
        <v>0</v>
      </c>
      <c r="FY60" s="33"/>
      <c r="FZ60" s="34">
        <f>IF(AND(ISNUMBER(GA60),ISNUMBER(FY60)),GA60-FY60,"")</f>
        <v>0</v>
      </c>
      <c r="GA60" s="33"/>
      <c r="GB60" s="34">
        <f>IF(AND(ISNUMBER(GC60),ISNUMBER(GA60)),GC60-GA60,"")</f>
        <v>0</v>
      </c>
      <c r="GC60" s="33"/>
      <c r="GD60" s="34">
        <f>IF(AND(ISNUMBER(GE60),ISNUMBER(GC60)),GE60-GC60,"")</f>
        <v>0</v>
      </c>
      <c r="GE60" s="33"/>
      <c r="GF60" s="34">
        <f>IF(AND(ISNUMBER(GG60),ISNUMBER(GE60)),GG60-GE60,"")</f>
        <v>0</v>
      </c>
      <c r="GG60" s="33"/>
      <c r="GH60" s="34">
        <f>IF(AND(ISNUMBER(GI60),ISNUMBER(GG60)),GI60-GG60,"")</f>
        <v>0</v>
      </c>
      <c r="GI60" s="33"/>
      <c r="GJ60" s="34">
        <f>IF(AND(ISNUMBER(GK60),ISNUMBER(GI60)),GK60-GI60,"")</f>
        <v>0</v>
      </c>
      <c r="GK60" s="33"/>
      <c r="GL60" s="34">
        <f>IF(AND(ISNUMBER(GM60),ISNUMBER(GK60)),GM60-GK60,"")</f>
        <v>0</v>
      </c>
      <c r="GM60" s="33"/>
      <c r="GN60" s="34">
        <f>IF(AND(ISNUMBER(GO60),ISNUMBER(GM60)),GO60-GM60,"")</f>
        <v>0</v>
      </c>
      <c r="GO60" s="33"/>
      <c r="GP60" s="34">
        <f>IF(AND(ISNUMBER(GQ60),ISNUMBER(GO60)),GQ60-GO60,"")</f>
        <v>0</v>
      </c>
      <c r="GQ60" s="33"/>
      <c r="GR60" s="34">
        <f>IF(AND(ISNUMBER(GS60),ISNUMBER(GQ60)),GS60-GQ60,"")</f>
        <v>0</v>
      </c>
      <c r="GS60" s="33"/>
      <c r="GT60" s="34">
        <f>IF(AND(ISNUMBER(GU60),ISNUMBER(GS60)),GU60-GS60,"")</f>
        <v>0</v>
      </c>
      <c r="GU60" s="33"/>
      <c r="GV60" s="34">
        <f>IF(AND(ISNUMBER(GW60),ISNUMBER(GU60)),GW60-GU60,"")</f>
        <v>0</v>
      </c>
      <c r="GW60" s="33"/>
      <c r="GX60" s="34">
        <f>IF(AND(ISNUMBER(GY60),ISNUMBER(GW60)),GY60-GW60,"")</f>
        <v>0</v>
      </c>
      <c r="GY60" s="33"/>
      <c r="GZ60" s="34">
        <f>IF(AND(ISNUMBER(HA60),ISNUMBER(GY60)),HA60-GY60,"")</f>
        <v>0</v>
      </c>
      <c r="HA60" s="33"/>
      <c r="HB60" s="34">
        <f>IF(AND(ISNUMBER(HC60),ISNUMBER(HA60)),HC60-HA60,"")</f>
        <v>0</v>
      </c>
      <c r="HC60" s="33"/>
      <c r="HD60" s="34">
        <f>IF(AND(ISNUMBER(HE60),ISNUMBER(HC60)),HE60-HC60,"")</f>
        <v>0</v>
      </c>
      <c r="HE60" s="33"/>
      <c r="HF60" s="34">
        <f>IF(AND(ISNUMBER(HG60),ISNUMBER(HE60)),HG60-HE60,"")</f>
        <v>0</v>
      </c>
      <c r="HG60" s="33"/>
      <c r="HH60" s="34">
        <f>IF(AND(ISNUMBER(HI60),ISNUMBER(HG60)),HI60-HG60,"")</f>
        <v>0</v>
      </c>
      <c r="HI60" s="33"/>
      <c r="HJ60" s="34">
        <f>IF(AND(ISNUMBER(HK60),ISNUMBER(HI60)),HK60-HI60,"")</f>
        <v>0</v>
      </c>
      <c r="HK60" s="33"/>
      <c r="HL60" s="34">
        <f>IF(AND(ISNUMBER(HM60),ISNUMBER(HK60)),HM60-HK60,"")</f>
        <v>0</v>
      </c>
      <c r="HM60" s="33"/>
      <c r="HN60" s="34">
        <f>IF(AND(ISNUMBER(HO60),ISNUMBER(HM60)),HO60-HM60,"")</f>
        <v>0</v>
      </c>
      <c r="HO60" s="33"/>
      <c r="HP60" s="34">
        <f>IF(AND(ISNUMBER(HQ60),ISNUMBER(HO60)),HQ60-HO60,"")</f>
        <v>0</v>
      </c>
      <c r="HQ60" s="33"/>
      <c r="HR60" s="34">
        <f>IF(AND(ISNUMBER(HS60),ISNUMBER(HQ60)),HS60-HQ60,"")</f>
        <v>0</v>
      </c>
      <c r="HS60" s="33"/>
      <c r="HT60" s="34">
        <f>IF(AND(ISNUMBER(HU60),ISNUMBER(HS60)),HU60-HS60,"")</f>
        <v>0</v>
      </c>
      <c r="HU60" s="33"/>
      <c r="HV60" s="34">
        <f>IF(AND(ISNUMBER(HW60),ISNUMBER(HU60)),HW60-HU60,"")</f>
        <v>0</v>
      </c>
      <c r="HW60" s="33"/>
      <c r="HX60" s="34">
        <f>IF(AND(ISNUMBER(HY60),ISNUMBER(HW60)),HY60-HW60,"")</f>
        <v>0</v>
      </c>
      <c r="HY60" s="33"/>
      <c r="HZ60" s="34">
        <f>IF(AND(ISNUMBER(IA60),ISNUMBER(HY60)),IA60-HY60,"")</f>
        <v>0</v>
      </c>
      <c r="IA60" s="33"/>
      <c r="IB60" s="34">
        <f>IF(AND(ISNUMBER(IC60),ISNUMBER(IA60)),IC60-IA60,"")</f>
        <v>0</v>
      </c>
      <c r="IC60" s="33"/>
      <c r="ID60" s="34">
        <f>IF(AND(ISNUMBER(IE60),ISNUMBER(IC60)),IE60-IC60,"")</f>
        <v>0</v>
      </c>
      <c r="IE60" s="33"/>
      <c r="IF60" s="34">
        <f>IF(AND(ISNUMBER(IG60),ISNUMBER(IE60)),IG60-IE60,"")</f>
        <v>0</v>
      </c>
      <c r="IG60" s="33"/>
      <c r="IH60" s="34">
        <f>IF(AND(ISNUMBER(II60),ISNUMBER(IG60)),II60-IG60,"")</f>
        <v>0</v>
      </c>
      <c r="II60" s="33"/>
      <c r="IJ60" s="34">
        <f>IF(AND(ISNUMBER(IK60),ISNUMBER(II60)),IK60-II60,"")</f>
        <v>0</v>
      </c>
      <c r="IK60" s="33"/>
      <c r="IL60" s="34">
        <f>IF(AND(ISNUMBER(IM60),ISNUMBER(IK60)),IM60-IK60,"")</f>
        <v>0</v>
      </c>
      <c r="IM60" s="33"/>
      <c r="IN60" s="34">
        <f>IF(AND(ISNUMBER(IO60),ISNUMBER(IM60)),IO60-IM60,"")</f>
        <v>0</v>
      </c>
      <c r="IO60" s="33"/>
      <c r="IP60" s="34">
        <f>IF(AND(ISNUMBER(IQ60),ISNUMBER(IO60)),IQ60-IO60,"")</f>
        <v>0</v>
      </c>
      <c r="IQ60" s="33"/>
      <c r="IR60" s="34">
        <f>IF(AND(ISNUMBER(IS60),ISNUMBER(IQ60)),IS60-IQ60,"")</f>
        <v>0</v>
      </c>
      <c r="IS60" s="33"/>
      <c r="IT60" s="34">
        <f>IF(AND(ISNUMBER(IU60),ISNUMBER(IS60)),IU60-IS60,"")</f>
        <v>0</v>
      </c>
      <c r="IU60" s="33"/>
      <c r="IV60" s="34">
        <f>IF(AND(ISNUMBER(IW60),ISNUMBER(IU60)),IW60-IU60,"")</f>
        <v>0</v>
      </c>
      <c r="IW60" s="33"/>
      <c r="IX60" s="34">
        <f>IF(AND(ISNUMBER(IY60),ISNUMBER(IW60)),IY60-IW60,"")</f>
        <v>0</v>
      </c>
      <c r="IY60" s="33"/>
      <c r="IZ60" s="34">
        <f>IF(AND(ISNUMBER(JA60),ISNUMBER(IY60)),JA60-IY60,"")</f>
        <v>0</v>
      </c>
      <c r="JA60" s="33"/>
      <c r="JB60" s="34">
        <f>IF(AND(ISNUMBER(JC60),ISNUMBER(JA60)),JC60-JA60,"")</f>
        <v>0</v>
      </c>
      <c r="JC60" s="33"/>
      <c r="JD60" s="34">
        <f>IF(AND(ISNUMBER(JE60),ISNUMBER(JC60)),JE60-JC60,"")</f>
        <v>0</v>
      </c>
      <c r="JE60" s="33"/>
      <c r="JF60" s="34">
        <f>IF(AND(ISNUMBER(JG60),ISNUMBER(JE60)),JG60-JE60,"")</f>
        <v>0</v>
      </c>
      <c r="JG60" s="33"/>
      <c r="JH60" s="34">
        <f>IF(AND(ISNUMBER(JI60),ISNUMBER(JG60)),JI60-JG60,"")</f>
        <v>0</v>
      </c>
      <c r="JI60" s="33"/>
      <c r="JJ60" s="34">
        <f>IF(AND(ISNUMBER(JK60),ISNUMBER(JI60)),JK60-JI60,"")</f>
        <v>0</v>
      </c>
      <c r="JK60" s="33"/>
      <c r="JL60" s="34">
        <f>IF(AND(ISNUMBER(JM60),ISNUMBER(JK60)),JM60-JK60,"")</f>
        <v>0</v>
      </c>
      <c r="JM60" s="33"/>
      <c r="JN60" s="34">
        <f>IF(AND(ISNUMBER(JO60),ISNUMBER(JM60)),JO60-JM60,"")</f>
        <v>0</v>
      </c>
      <c r="JO60" s="33"/>
      <c r="JP60" s="34">
        <f>IF(AND(ISNUMBER(JQ60),ISNUMBER(JO60)),JQ60-JO60,"")</f>
        <v>0</v>
      </c>
      <c r="JQ60" s="33"/>
      <c r="JR60" s="34">
        <f>IF(AND(ISNUMBER(JS60),ISNUMBER(JQ60)),JS60-JQ60,"")</f>
        <v>0</v>
      </c>
      <c r="JS60" s="33"/>
      <c r="JT60" s="34">
        <f>IF(AND(ISNUMBER(JU60),ISNUMBER(JS60)),JU60-JS60,"")</f>
        <v>0</v>
      </c>
      <c r="JU60" s="33"/>
      <c r="JV60" s="34">
        <f>IF(AND(ISNUMBER(JW60),ISNUMBER(JU60)),JW60-JU60,"")</f>
        <v>0</v>
      </c>
      <c r="JW60" s="33"/>
      <c r="JX60" s="34">
        <f>IF(AND(ISNUMBER(JY60),ISNUMBER(JW60)),JY60-JW60,"")</f>
        <v>0</v>
      </c>
      <c r="JY60" s="33"/>
      <c r="JZ60" s="34">
        <f>IF(AND(ISNUMBER(KA60),ISNUMBER(JY60)),KA60-JY60,"")</f>
        <v>0</v>
      </c>
      <c r="KA60" s="33"/>
      <c r="KB60" s="34">
        <f>IF(AND(ISNUMBER(KC60),ISNUMBER(KA60)),KC60-KA60,"")</f>
        <v>0</v>
      </c>
      <c r="KC60" s="33"/>
      <c r="KD60" s="34">
        <f>IF(AND(ISNUMBER(KE60),ISNUMBER(KC60)),KE60-KC60,"")</f>
        <v>0</v>
      </c>
      <c r="KE60" s="33"/>
      <c r="KF60" s="34">
        <f>IF(AND(ISNUMBER(KG60),ISNUMBER(KE60)),KG60-KE60,"")</f>
        <v>0</v>
      </c>
      <c r="KG60" s="33"/>
      <c r="KH60" s="34">
        <f>IF(AND(ISNUMBER(KI60),ISNUMBER(KG60)),KI60-KG60,"")</f>
        <v>0</v>
      </c>
      <c r="KI60" s="33"/>
      <c r="KJ60" s="34">
        <f>IF(AND(ISNUMBER(KK60),ISNUMBER(KI60)),KK60-KI60,"")</f>
        <v>0</v>
      </c>
      <c r="KK60" s="33"/>
      <c r="KL60" s="34">
        <f>IF(AND(ISNUMBER(KM60),ISNUMBER(KK60)),KM60-KK60,"")</f>
        <v>0</v>
      </c>
      <c r="KM60" s="33"/>
      <c r="KN60" s="34">
        <f>IF(AND(ISNUMBER(KO60),ISNUMBER(KM60)),KO60-KM60,"")</f>
        <v>0</v>
      </c>
      <c r="KO60" s="33"/>
      <c r="KP60" s="34">
        <f>IF(AND(ISNUMBER(KQ60),ISNUMBER(KO60)),KQ60-KO60,"")</f>
        <v>0</v>
      </c>
      <c r="KQ60" s="33"/>
      <c r="KR60" s="34">
        <f>IF(AND(ISNUMBER(KS60),ISNUMBER(KQ60)),KS60-KQ60,"")</f>
        <v>0</v>
      </c>
      <c r="KS60" s="33"/>
      <c r="KT60" s="34">
        <f>IF(AND(ISNUMBER(KU60),ISNUMBER(KS60)),KU60-KS60,"")</f>
        <v>0</v>
      </c>
      <c r="KU60" s="33"/>
      <c r="KV60" s="34">
        <f>IF(AND(ISNUMBER(KW60),ISNUMBER(KU60)),KW60-KU60,"")</f>
        <v>0</v>
      </c>
      <c r="KW60" s="33"/>
      <c r="KX60" s="34">
        <f>IF(AND(ISNUMBER(KY60),ISNUMBER(KW60)),KY60-KW60,"")</f>
        <v>0</v>
      </c>
      <c r="KY60" s="33"/>
      <c r="KZ60" s="34">
        <f>IF(AND(ISNUMBER(LA60),ISNUMBER(KY60)),LA60-KY60,"")</f>
        <v>0</v>
      </c>
      <c r="LA60" s="33"/>
      <c r="LB60" s="34">
        <f>IF(AND(ISNUMBER(LC60),ISNUMBER(LA60)),LC60-LA60,"")</f>
        <v>0</v>
      </c>
      <c r="LC60" s="33"/>
      <c r="LD60" s="34">
        <f>IF(AND(ISNUMBER(LE60),ISNUMBER(LC60)),LE60-LC60,"")</f>
        <v>0</v>
      </c>
      <c r="LE60" s="33"/>
      <c r="LF60" s="34">
        <f>IF(AND(ISNUMBER(LG60),ISNUMBER(LE60)),LG60-LE60,"")</f>
        <v>0</v>
      </c>
      <c r="LG60" s="33"/>
    </row>
    <row r="61" spans="1:322" hidden="1" outlineLevel="1">
      <c r="B61" s="23"/>
      <c r="D61" s="31" t="s">
        <v>723</v>
      </c>
      <c r="E61" s="32" t="s">
        <v>1052</v>
      </c>
      <c r="F61" s="38">
        <v>45689</v>
      </c>
      <c r="I61" s="40" t="s">
        <v>1078</v>
      </c>
      <c r="J61" s="34">
        <f>IF(AND(ISNUMBER(K61),ISNUMBER(I61)),K61-I61,"")</f>
        <v>0</v>
      </c>
      <c r="K61" s="40" t="s">
        <v>1078</v>
      </c>
      <c r="L61" s="34">
        <f>IF(AND(ISNUMBER(M61),ISNUMBER(K61)),M61-K61,"")</f>
        <v>0</v>
      </c>
      <c r="M61" s="40" t="s">
        <v>1078</v>
      </c>
      <c r="N61" s="34">
        <f>IF(AND(ISNUMBER(O61),ISNUMBER(M61)),O61-M61,"")</f>
        <v>0</v>
      </c>
      <c r="O61" s="40" t="s">
        <v>1078</v>
      </c>
      <c r="P61" s="34">
        <f>IF(AND(ISNUMBER(Q61),ISNUMBER(O61)),Q61-O61,"")</f>
        <v>0</v>
      </c>
      <c r="Q61" s="40" t="s">
        <v>1078</v>
      </c>
      <c r="R61" s="34">
        <f>IF(AND(ISNUMBER(S61),ISNUMBER(Q61)),S61-Q61,"")</f>
        <v>0</v>
      </c>
      <c r="S61" s="40" t="s">
        <v>1078</v>
      </c>
      <c r="T61" s="34">
        <f>IF(AND(ISNUMBER(U61),ISNUMBER(S61)),U61-S61,"")</f>
        <v>0</v>
      </c>
      <c r="U61" s="40" t="s">
        <v>1078</v>
      </c>
      <c r="V61" s="34">
        <f>IF(AND(ISNUMBER(W61),ISNUMBER(U61)),W61-U61,"")</f>
        <v>0</v>
      </c>
      <c r="W61" s="40" t="s">
        <v>1078</v>
      </c>
      <c r="X61" s="34">
        <f>IF(AND(ISNUMBER(Y61),ISNUMBER(W61)),Y61-W61,"")</f>
        <v>0</v>
      </c>
      <c r="Y61" s="40" t="s">
        <v>1078</v>
      </c>
      <c r="Z61" s="34">
        <f>IF(AND(ISNUMBER(AA61),ISNUMBER(Y61)),AA61-Y61,"")</f>
        <v>0</v>
      </c>
      <c r="AA61" s="40" t="s">
        <v>1078</v>
      </c>
      <c r="AB61" s="34">
        <f>IF(AND(ISNUMBER(AC61),ISNUMBER(AA61)),AC61-AA61,"")</f>
        <v>0</v>
      </c>
      <c r="AC61" s="33">
        <v>0</v>
      </c>
      <c r="AD61" s="34">
        <f>IF(AND(ISNUMBER(AE61),ISNUMBER(AC61)),AE61-AC61,"")</f>
        <v>0</v>
      </c>
      <c r="AE61" s="40" t="s">
        <v>1078</v>
      </c>
      <c r="AF61" s="34">
        <f>IF(AND(ISNUMBER(AG61),ISNUMBER(AE61)),AG61-AE61,"")</f>
        <v>0</v>
      </c>
      <c r="AG61" s="40" t="s">
        <v>1078</v>
      </c>
      <c r="AH61" s="34">
        <f>IF(AND(ISNUMBER(AI61),ISNUMBER(AG61)),AI61-AG61,"")</f>
        <v>0</v>
      </c>
      <c r="AI61" s="40" t="s">
        <v>1078</v>
      </c>
      <c r="AJ61" s="34">
        <f>IF(AND(ISNUMBER(AK61),ISNUMBER(AI61)),AK61-AI61,"")</f>
        <v>0</v>
      </c>
      <c r="AK61" s="40" t="s">
        <v>1078</v>
      </c>
      <c r="AL61" s="34">
        <f>IF(AND(ISNUMBER(AM61),ISNUMBER(AK61)),AM61-AK61,"")</f>
        <v>0</v>
      </c>
      <c r="AM61" s="40" t="s">
        <v>1078</v>
      </c>
      <c r="AN61" s="34">
        <f>IF(AND(ISNUMBER(AO61),ISNUMBER(AM61)),AO61-AM61,"")</f>
        <v>0</v>
      </c>
      <c r="AO61" s="40" t="s">
        <v>1078</v>
      </c>
      <c r="AP61" s="34">
        <f>IF(AND(ISNUMBER(AQ61),ISNUMBER(AO61)),AQ61-AO61,"")</f>
        <v>0</v>
      </c>
      <c r="AQ61" s="33">
        <v>1</v>
      </c>
      <c r="AR61" s="34">
        <f>IF(AND(ISNUMBER(AS61),ISNUMBER(AQ61)),AS61-AQ61,"")</f>
        <v>0</v>
      </c>
      <c r="AS61" s="33">
        <v>0</v>
      </c>
      <c r="AT61" s="34">
        <f>IF(AND(ISNUMBER(AU61),ISNUMBER(AS61)),AU61-AS61,"")</f>
        <v>0</v>
      </c>
      <c r="AU61" s="33">
        <v>0</v>
      </c>
      <c r="AV61" s="34">
        <f>IF(AND(ISNUMBER(AW61),ISNUMBER(AU61)),AW61-AU61,"")</f>
        <v>0</v>
      </c>
      <c r="AW61" s="33">
        <v>0</v>
      </c>
      <c r="AX61" s="34">
        <f>IF(AND(ISNUMBER(AY61),ISNUMBER(AW61)),AY61-AW61,"")</f>
        <v>0</v>
      </c>
      <c r="AY61" s="33">
        <v>0</v>
      </c>
      <c r="AZ61" s="34">
        <f>IF(AND(ISNUMBER(BA61),ISNUMBER(AY61)),BA61-AY61,"")</f>
        <v>0</v>
      </c>
      <c r="BA61" s="33">
        <v>0</v>
      </c>
      <c r="BB61" s="34">
        <f>IF(AND(ISNUMBER(BC61),ISNUMBER(BA61)),BC61-BA61,"")</f>
        <v>0</v>
      </c>
      <c r="BC61" s="33">
        <v>0</v>
      </c>
      <c r="BD61" s="34">
        <f>IF(AND(ISNUMBER(BE61),ISNUMBER(BC61)),BE61-BC61,"")</f>
        <v>0</v>
      </c>
      <c r="BE61" s="33">
        <v>2</v>
      </c>
      <c r="BF61" s="34">
        <f>IF(AND(ISNUMBER(BG61),ISNUMBER(BE61)),BG61-BE61,"")</f>
        <v>0</v>
      </c>
      <c r="BG61" s="33">
        <v>0</v>
      </c>
      <c r="BH61" s="34">
        <f>IF(AND(ISNUMBER(BI61),ISNUMBER(BG61)),BI61-BG61,"")</f>
        <v>0</v>
      </c>
      <c r="BI61" s="33">
        <v>0</v>
      </c>
      <c r="BJ61" s="34">
        <f>IF(AND(ISNUMBER(BK61),ISNUMBER(BI61)),BK61-BI61,"")</f>
        <v>0</v>
      </c>
      <c r="BK61" s="33">
        <v>0</v>
      </c>
      <c r="BL61" s="34">
        <f>IF(AND(ISNUMBER(BM61),ISNUMBER(BK61)),BM61-BK61,"")</f>
        <v>0</v>
      </c>
      <c r="BM61" s="33">
        <v>1</v>
      </c>
      <c r="BN61" s="34">
        <f>IF(AND(ISNUMBER(BO61),ISNUMBER(BM61)),BO61-BM61,"")</f>
        <v>0</v>
      </c>
      <c r="BO61" s="33">
        <v>1</v>
      </c>
      <c r="BP61" s="34">
        <f>IF(AND(ISNUMBER(BQ61),ISNUMBER(BO61)),BQ61-BO61,"")</f>
        <v>0</v>
      </c>
      <c r="BQ61" s="33">
        <v>1</v>
      </c>
      <c r="BR61" s="34">
        <f>IF(AND(ISNUMBER(BS61),ISNUMBER(BQ61)),BS61-BQ61,"")</f>
        <v>0</v>
      </c>
      <c r="BS61" s="33">
        <v>0</v>
      </c>
      <c r="BT61" s="34">
        <f>IF(AND(ISNUMBER(BU61),ISNUMBER(BS61)),BU61-BS61,"")</f>
        <v>0</v>
      </c>
      <c r="BU61" s="33">
        <v>0</v>
      </c>
      <c r="BV61" s="34">
        <f>IF(AND(ISNUMBER(BW61),ISNUMBER(BU61)),BW61-BU61,"")</f>
        <v>0</v>
      </c>
      <c r="BW61" s="33">
        <v>0</v>
      </c>
      <c r="BX61" s="34">
        <f>IF(AND(ISNUMBER(BY61),ISNUMBER(BW61)),BY61-BW61,"")</f>
        <v>0</v>
      </c>
      <c r="BY61" s="33">
        <v>1</v>
      </c>
      <c r="BZ61" s="34">
        <f>IF(AND(ISNUMBER(CA61),ISNUMBER(BY61)),CA61-BY61,"")</f>
        <v>0</v>
      </c>
      <c r="CA61" s="33">
        <v>0</v>
      </c>
      <c r="CB61" s="34">
        <f>IF(AND(ISNUMBER(CC61),ISNUMBER(CA61)),CC61-CA61,"")</f>
        <v>0</v>
      </c>
      <c r="CC61" s="33">
        <v>1</v>
      </c>
      <c r="CD61" s="34">
        <f>IF(AND(ISNUMBER(CE61),ISNUMBER(CC61)),CE61-CC61,"")</f>
        <v>0</v>
      </c>
      <c r="CE61" s="33">
        <v>0</v>
      </c>
      <c r="CF61" s="34">
        <f>IF(AND(ISNUMBER(CG61),ISNUMBER(CE61)),CG61-CE61,"")</f>
        <v>0</v>
      </c>
      <c r="CG61" s="33">
        <v>0</v>
      </c>
      <c r="CH61" s="34">
        <f>IF(AND(ISNUMBER(CI61),ISNUMBER(CG61)),CI61-CG61,"")</f>
        <v>0</v>
      </c>
      <c r="CI61" s="33">
        <v>1</v>
      </c>
      <c r="CJ61" s="34">
        <f>IF(AND(ISNUMBER(CK61),ISNUMBER(CI61)),CK61-CI61,"")</f>
        <v>0</v>
      </c>
      <c r="CK61" s="33">
        <v>3</v>
      </c>
      <c r="CL61" s="34">
        <f>IF(AND(ISNUMBER(CM61),ISNUMBER(CK61)),CM61-CK61,"")</f>
        <v>0</v>
      </c>
      <c r="CM61" s="33">
        <v>1</v>
      </c>
      <c r="CN61" s="34">
        <f>IF(AND(ISNUMBER(CO61),ISNUMBER(CM61)),CO61-CM61,"")</f>
        <v>0</v>
      </c>
      <c r="CO61" s="33">
        <v>0</v>
      </c>
      <c r="CP61" s="34">
        <f>IF(AND(ISNUMBER(CQ61),ISNUMBER(CO61)),CQ61-CO61,"")</f>
        <v>0</v>
      </c>
      <c r="CQ61" s="33">
        <v>0</v>
      </c>
      <c r="CR61" s="34">
        <f>IF(AND(ISNUMBER(CS61),ISNUMBER(CQ61)),CS61-CQ61,"")</f>
        <v>0</v>
      </c>
      <c r="CS61" s="33">
        <v>6</v>
      </c>
      <c r="CT61" s="34">
        <f>IF(AND(ISNUMBER(CU61),ISNUMBER(CS61)),CU61-CS61,"")</f>
        <v>0</v>
      </c>
      <c r="CU61" s="33">
        <v>0</v>
      </c>
      <c r="CV61" s="34">
        <f>IF(AND(ISNUMBER(CW61),ISNUMBER(CU61)),CW61-CU61,"")</f>
        <v>0</v>
      </c>
      <c r="CW61" s="33">
        <v>2</v>
      </c>
      <c r="CX61" s="34">
        <f>IF(AND(ISNUMBER(CY61),ISNUMBER(CW61)),CY61-CW61,"")</f>
        <v>0</v>
      </c>
      <c r="CY61" s="33">
        <v>0</v>
      </c>
      <c r="CZ61" s="34">
        <f>IF(AND(ISNUMBER(DA61),ISNUMBER(CY61)),DA61-CY61,"")</f>
        <v>0</v>
      </c>
      <c r="DA61" s="33">
        <v>2</v>
      </c>
      <c r="DB61" s="34">
        <f>IF(AND(ISNUMBER(DC61),ISNUMBER(DA61)),DC61-DA61,"")</f>
        <v>0</v>
      </c>
      <c r="DC61" s="33">
        <v>2</v>
      </c>
      <c r="DD61" s="34">
        <f>IF(AND(ISNUMBER(DE61),ISNUMBER(DC61)),DE61-DC61,"")</f>
        <v>0</v>
      </c>
      <c r="DE61" s="33">
        <v>1</v>
      </c>
      <c r="DF61" s="34">
        <f>IF(AND(ISNUMBER(DG61),ISNUMBER(DE61)),DG61-DE61,"")</f>
        <v>0</v>
      </c>
      <c r="DG61" s="33"/>
      <c r="DH61" s="34">
        <f>IF(AND(ISNUMBER(DI61),ISNUMBER(DG61)),DI61-DG61,"")</f>
        <v>0</v>
      </c>
      <c r="DI61" s="33"/>
      <c r="DJ61" s="34">
        <f>IF(AND(ISNUMBER(DK61),ISNUMBER(DI61)),DK61-DI61,"")</f>
        <v>0</v>
      </c>
      <c r="DK61" s="33">
        <v>1</v>
      </c>
      <c r="DL61" s="34">
        <f>IF(AND(ISNUMBER(DM61),ISNUMBER(DK61)),DM61-DK61,"")</f>
        <v>0</v>
      </c>
      <c r="DM61" s="33">
        <v>1</v>
      </c>
      <c r="DN61" s="34">
        <f>IF(AND(ISNUMBER(DO61),ISNUMBER(DM61)),DO61-DM61,"")</f>
        <v>0</v>
      </c>
      <c r="DO61" s="33">
        <v>3</v>
      </c>
      <c r="DP61" s="34">
        <f>IF(AND(ISNUMBER(DQ61),ISNUMBER(DO61)),DQ61-DO61,"")</f>
        <v>0</v>
      </c>
      <c r="DQ61" s="33">
        <v>0</v>
      </c>
      <c r="DR61" s="34">
        <f>IF(AND(ISNUMBER(DS61),ISNUMBER(DQ61)),DS61-DQ61,"")</f>
        <v>0</v>
      </c>
      <c r="DS61" s="33"/>
      <c r="DT61" s="34">
        <f>IF(AND(ISNUMBER(DU61),ISNUMBER(DS61)),DU61-DS61,"")</f>
        <v>0</v>
      </c>
      <c r="DU61" s="33">
        <v>0</v>
      </c>
      <c r="DV61" s="34">
        <f>IF(AND(ISNUMBER(DW61),ISNUMBER(DU61)),DW61-DU61,"")</f>
        <v>0</v>
      </c>
      <c r="DW61" s="33">
        <v>4</v>
      </c>
      <c r="DX61" s="34">
        <f>IF(AND(ISNUMBER(DY61),ISNUMBER(DW61)),DY61-DW61,"")</f>
        <v>0</v>
      </c>
      <c r="DY61" s="33"/>
      <c r="DZ61" s="34">
        <f>IF(AND(ISNUMBER(EA61),ISNUMBER(DY61)),EA61-DY61,"")</f>
        <v>0</v>
      </c>
      <c r="EA61" s="33">
        <v>0</v>
      </c>
      <c r="EB61" s="34">
        <f>IF(AND(ISNUMBER(EC61),ISNUMBER(EA61)),EC61-EA61,"")</f>
        <v>0</v>
      </c>
      <c r="EC61" s="33">
        <v>0</v>
      </c>
      <c r="ED61" s="34">
        <f>IF(AND(ISNUMBER(EE61),ISNUMBER(EC61)),EE61-EC61,"")</f>
        <v>0</v>
      </c>
      <c r="EE61" s="33">
        <v>0</v>
      </c>
      <c r="EF61" s="34">
        <f>IF(AND(ISNUMBER(EG61),ISNUMBER(EE61)),EG61-EE61,"")</f>
        <v>0</v>
      </c>
      <c r="EG61" s="33">
        <v>1</v>
      </c>
      <c r="EH61" s="34">
        <f>IF(AND(ISNUMBER(EI61),ISNUMBER(EG61)),EI61-EG61,"")</f>
        <v>0</v>
      </c>
      <c r="EI61" s="33"/>
      <c r="EJ61" s="34">
        <f>IF(AND(ISNUMBER(EK61),ISNUMBER(EI61)),EK61-EI61,"")</f>
        <v>0</v>
      </c>
      <c r="EK61" s="33"/>
      <c r="EL61" s="34">
        <f>IF(AND(ISNUMBER(EM61),ISNUMBER(EK61)),EM61-EK61,"")</f>
        <v>0</v>
      </c>
      <c r="EM61" s="33">
        <v>1</v>
      </c>
      <c r="EN61" s="34">
        <f>IF(AND(ISNUMBER(EO61),ISNUMBER(EM61)),EO61-EM61,"")</f>
        <v>0</v>
      </c>
      <c r="EO61" s="33">
        <v>5</v>
      </c>
      <c r="EP61" s="34">
        <f>IF(AND(ISNUMBER(EQ61),ISNUMBER(EO61)),EQ61-EO61,"")</f>
        <v>0</v>
      </c>
      <c r="EQ61" s="33">
        <v>5</v>
      </c>
      <c r="ER61" s="34">
        <f>IF(AND(ISNUMBER(ES61),ISNUMBER(EQ61)),ES61-EQ61,"")</f>
        <v>0</v>
      </c>
      <c r="ES61" s="33">
        <v>6</v>
      </c>
      <c r="ET61" s="34">
        <f>IF(AND(ISNUMBER(EU61),ISNUMBER(ES61)),EU61-ES61,"")</f>
        <v>0</v>
      </c>
      <c r="EU61" s="33"/>
      <c r="EV61" s="34">
        <f>IF(AND(ISNUMBER(EW61),ISNUMBER(EU61)),EW61-EU61,"")</f>
        <v>0</v>
      </c>
      <c r="EW61" s="33">
        <v>0</v>
      </c>
      <c r="EX61" s="34">
        <f>IF(AND(ISNUMBER(EY61),ISNUMBER(EW61)),EY61-EW61,"")</f>
        <v>0</v>
      </c>
      <c r="EY61" s="33">
        <v>4</v>
      </c>
      <c r="EZ61" s="34">
        <f>IF(AND(ISNUMBER(FA61),ISNUMBER(EY61)),FA61-EY61,"")</f>
        <v>0</v>
      </c>
      <c r="FA61" s="33">
        <v>4</v>
      </c>
      <c r="FB61" s="34">
        <f>IF(AND(ISNUMBER(FC61),ISNUMBER(FA61)),FC61-FA61,"")</f>
        <v>0</v>
      </c>
      <c r="FC61" s="33"/>
      <c r="FD61" s="34">
        <f>IF(AND(ISNUMBER(FE61),ISNUMBER(FC61)),FE61-FC61,"")</f>
        <v>0</v>
      </c>
      <c r="FE61" s="33"/>
      <c r="FF61" s="34">
        <f>IF(AND(ISNUMBER(FG61),ISNUMBER(FE61)),FG61-FE61,"")</f>
        <v>0</v>
      </c>
      <c r="FG61" s="33"/>
      <c r="FH61" s="34">
        <f>IF(AND(ISNUMBER(FI61),ISNUMBER(FG61)),FI61-FG61,"")</f>
        <v>0</v>
      </c>
      <c r="FI61" s="33"/>
      <c r="FJ61" s="34">
        <f>IF(AND(ISNUMBER(FK61),ISNUMBER(FI61)),FK61-FI61,"")</f>
        <v>0</v>
      </c>
      <c r="FK61" s="33"/>
      <c r="FL61" s="34">
        <f>IF(AND(ISNUMBER(FM61),ISNUMBER(FK61)),FM61-FK61,"")</f>
        <v>0</v>
      </c>
      <c r="FM61" s="33"/>
      <c r="FN61" s="34">
        <f>IF(AND(ISNUMBER(FO61),ISNUMBER(FM61)),FO61-FM61,"")</f>
        <v>0</v>
      </c>
      <c r="FO61" s="33"/>
      <c r="FP61" s="34">
        <f>IF(AND(ISNUMBER(FQ61),ISNUMBER(FO61)),FQ61-FO61,"")</f>
        <v>0</v>
      </c>
      <c r="FQ61" s="33"/>
      <c r="FR61" s="34">
        <f>IF(AND(ISNUMBER(FS61),ISNUMBER(FQ61)),FS61-FQ61,"")</f>
        <v>0</v>
      </c>
      <c r="FS61" s="33"/>
      <c r="FT61" s="34">
        <f>IF(AND(ISNUMBER(FU61),ISNUMBER(FS61)),FU61-FS61,"")</f>
        <v>0</v>
      </c>
      <c r="FU61" s="33"/>
      <c r="FV61" s="34">
        <f>IF(AND(ISNUMBER(FW61),ISNUMBER(FU61)),FW61-FU61,"")</f>
        <v>0</v>
      </c>
      <c r="FW61" s="33"/>
      <c r="FX61" s="34">
        <f>IF(AND(ISNUMBER(FY61),ISNUMBER(FW61)),FY61-FW61,"")</f>
        <v>0</v>
      </c>
      <c r="FY61" s="33"/>
      <c r="FZ61" s="34">
        <f>IF(AND(ISNUMBER(GA61),ISNUMBER(FY61)),GA61-FY61,"")</f>
        <v>0</v>
      </c>
      <c r="GA61" s="33"/>
      <c r="GB61" s="34">
        <f>IF(AND(ISNUMBER(GC61),ISNUMBER(GA61)),GC61-GA61,"")</f>
        <v>0</v>
      </c>
      <c r="GC61" s="33"/>
      <c r="GD61" s="34">
        <f>IF(AND(ISNUMBER(GE61),ISNUMBER(GC61)),GE61-GC61,"")</f>
        <v>0</v>
      </c>
      <c r="GE61" s="33"/>
      <c r="GF61" s="34">
        <f>IF(AND(ISNUMBER(GG61),ISNUMBER(GE61)),GG61-GE61,"")</f>
        <v>0</v>
      </c>
      <c r="GG61" s="33"/>
      <c r="GH61" s="34">
        <f>IF(AND(ISNUMBER(GI61),ISNUMBER(GG61)),GI61-GG61,"")</f>
        <v>0</v>
      </c>
      <c r="GI61" s="33"/>
      <c r="GJ61" s="34">
        <f>IF(AND(ISNUMBER(GK61),ISNUMBER(GI61)),GK61-GI61,"")</f>
        <v>0</v>
      </c>
      <c r="GK61" s="33"/>
      <c r="GL61" s="34">
        <f>IF(AND(ISNUMBER(GM61),ISNUMBER(GK61)),GM61-GK61,"")</f>
        <v>0</v>
      </c>
      <c r="GM61" s="33"/>
      <c r="GN61" s="34">
        <f>IF(AND(ISNUMBER(GO61),ISNUMBER(GM61)),GO61-GM61,"")</f>
        <v>0</v>
      </c>
      <c r="GO61" s="33"/>
      <c r="GP61" s="34">
        <f>IF(AND(ISNUMBER(GQ61),ISNUMBER(GO61)),GQ61-GO61,"")</f>
        <v>0</v>
      </c>
      <c r="GQ61" s="33"/>
      <c r="GR61" s="34">
        <f>IF(AND(ISNUMBER(GS61),ISNUMBER(GQ61)),GS61-GQ61,"")</f>
        <v>0</v>
      </c>
      <c r="GS61" s="33"/>
      <c r="GT61" s="34">
        <f>IF(AND(ISNUMBER(GU61),ISNUMBER(GS61)),GU61-GS61,"")</f>
        <v>0</v>
      </c>
      <c r="GU61" s="33"/>
      <c r="GV61" s="34">
        <f>IF(AND(ISNUMBER(GW61),ISNUMBER(GU61)),GW61-GU61,"")</f>
        <v>0</v>
      </c>
      <c r="GW61" s="33"/>
      <c r="GX61" s="34">
        <f>IF(AND(ISNUMBER(GY61),ISNUMBER(GW61)),GY61-GW61,"")</f>
        <v>0</v>
      </c>
      <c r="GY61" s="33"/>
      <c r="GZ61" s="34">
        <f>IF(AND(ISNUMBER(HA61),ISNUMBER(GY61)),HA61-GY61,"")</f>
        <v>0</v>
      </c>
      <c r="HA61" s="33"/>
      <c r="HB61" s="34">
        <f>IF(AND(ISNUMBER(HC61),ISNUMBER(HA61)),HC61-HA61,"")</f>
        <v>0</v>
      </c>
      <c r="HC61" s="33"/>
      <c r="HD61" s="34">
        <f>IF(AND(ISNUMBER(HE61),ISNUMBER(HC61)),HE61-HC61,"")</f>
        <v>0</v>
      </c>
      <c r="HE61" s="33"/>
      <c r="HF61" s="34">
        <f>IF(AND(ISNUMBER(HG61),ISNUMBER(HE61)),HG61-HE61,"")</f>
        <v>0</v>
      </c>
      <c r="HG61" s="33"/>
      <c r="HH61" s="34">
        <f>IF(AND(ISNUMBER(HI61),ISNUMBER(HG61)),HI61-HG61,"")</f>
        <v>0</v>
      </c>
      <c r="HI61" s="33"/>
      <c r="HJ61" s="34">
        <f>IF(AND(ISNUMBER(HK61),ISNUMBER(HI61)),HK61-HI61,"")</f>
        <v>0</v>
      </c>
      <c r="HK61" s="33"/>
      <c r="HL61" s="34">
        <f>IF(AND(ISNUMBER(HM61),ISNUMBER(HK61)),HM61-HK61,"")</f>
        <v>0</v>
      </c>
      <c r="HM61" s="33"/>
      <c r="HN61" s="34">
        <f>IF(AND(ISNUMBER(HO61),ISNUMBER(HM61)),HO61-HM61,"")</f>
        <v>0</v>
      </c>
      <c r="HO61" s="33"/>
      <c r="HP61" s="34">
        <f>IF(AND(ISNUMBER(HQ61),ISNUMBER(HO61)),HQ61-HO61,"")</f>
        <v>0</v>
      </c>
      <c r="HQ61" s="33"/>
      <c r="HR61" s="34">
        <f>IF(AND(ISNUMBER(HS61),ISNUMBER(HQ61)),HS61-HQ61,"")</f>
        <v>0</v>
      </c>
      <c r="HS61" s="33"/>
      <c r="HT61" s="34">
        <f>IF(AND(ISNUMBER(HU61),ISNUMBER(HS61)),HU61-HS61,"")</f>
        <v>0</v>
      </c>
      <c r="HU61" s="33"/>
      <c r="HV61" s="34">
        <f>IF(AND(ISNUMBER(HW61),ISNUMBER(HU61)),HW61-HU61,"")</f>
        <v>0</v>
      </c>
      <c r="HW61" s="33"/>
      <c r="HX61" s="34">
        <f>IF(AND(ISNUMBER(HY61),ISNUMBER(HW61)),HY61-HW61,"")</f>
        <v>0</v>
      </c>
      <c r="HY61" s="33"/>
      <c r="HZ61" s="34">
        <f>IF(AND(ISNUMBER(IA61),ISNUMBER(HY61)),IA61-HY61,"")</f>
        <v>0</v>
      </c>
      <c r="IA61" s="33"/>
      <c r="IB61" s="34">
        <f>IF(AND(ISNUMBER(IC61),ISNUMBER(IA61)),IC61-IA61,"")</f>
        <v>0</v>
      </c>
      <c r="IC61" s="33"/>
      <c r="ID61" s="34">
        <f>IF(AND(ISNUMBER(IE61),ISNUMBER(IC61)),IE61-IC61,"")</f>
        <v>0</v>
      </c>
      <c r="IE61" s="33"/>
      <c r="IF61" s="34">
        <f>IF(AND(ISNUMBER(IG61),ISNUMBER(IE61)),IG61-IE61,"")</f>
        <v>0</v>
      </c>
      <c r="IG61" s="33"/>
      <c r="IH61" s="34">
        <f>IF(AND(ISNUMBER(II61),ISNUMBER(IG61)),II61-IG61,"")</f>
        <v>0</v>
      </c>
      <c r="II61" s="33"/>
      <c r="IJ61" s="34">
        <f>IF(AND(ISNUMBER(IK61),ISNUMBER(II61)),IK61-II61,"")</f>
        <v>0</v>
      </c>
      <c r="IK61" s="33"/>
      <c r="IL61" s="34">
        <f>IF(AND(ISNUMBER(IM61),ISNUMBER(IK61)),IM61-IK61,"")</f>
        <v>0</v>
      </c>
      <c r="IM61" s="33"/>
      <c r="IN61" s="34">
        <f>IF(AND(ISNUMBER(IO61),ISNUMBER(IM61)),IO61-IM61,"")</f>
        <v>0</v>
      </c>
      <c r="IO61" s="33"/>
      <c r="IP61" s="34">
        <f>IF(AND(ISNUMBER(IQ61),ISNUMBER(IO61)),IQ61-IO61,"")</f>
        <v>0</v>
      </c>
      <c r="IQ61" s="33"/>
      <c r="IR61" s="34">
        <f>IF(AND(ISNUMBER(IS61),ISNUMBER(IQ61)),IS61-IQ61,"")</f>
        <v>0</v>
      </c>
      <c r="IS61" s="33"/>
      <c r="IT61" s="34">
        <f>IF(AND(ISNUMBER(IU61),ISNUMBER(IS61)),IU61-IS61,"")</f>
        <v>0</v>
      </c>
      <c r="IU61" s="33"/>
      <c r="IV61" s="34">
        <f>IF(AND(ISNUMBER(IW61),ISNUMBER(IU61)),IW61-IU61,"")</f>
        <v>0</v>
      </c>
      <c r="IW61" s="33"/>
      <c r="IX61" s="34">
        <f>IF(AND(ISNUMBER(IY61),ISNUMBER(IW61)),IY61-IW61,"")</f>
        <v>0</v>
      </c>
      <c r="IY61" s="33"/>
      <c r="IZ61" s="34">
        <f>IF(AND(ISNUMBER(JA61),ISNUMBER(IY61)),JA61-IY61,"")</f>
        <v>0</v>
      </c>
      <c r="JA61" s="33"/>
      <c r="JB61" s="34">
        <f>IF(AND(ISNUMBER(JC61),ISNUMBER(JA61)),JC61-JA61,"")</f>
        <v>0</v>
      </c>
      <c r="JC61" s="33"/>
      <c r="JD61" s="34">
        <f>IF(AND(ISNUMBER(JE61),ISNUMBER(JC61)),JE61-JC61,"")</f>
        <v>0</v>
      </c>
      <c r="JE61" s="33"/>
      <c r="JF61" s="34">
        <f>IF(AND(ISNUMBER(JG61),ISNUMBER(JE61)),JG61-JE61,"")</f>
        <v>0</v>
      </c>
      <c r="JG61" s="33"/>
      <c r="JH61" s="34">
        <f>IF(AND(ISNUMBER(JI61),ISNUMBER(JG61)),JI61-JG61,"")</f>
        <v>0</v>
      </c>
      <c r="JI61" s="33"/>
      <c r="JJ61" s="34">
        <f>IF(AND(ISNUMBER(JK61),ISNUMBER(JI61)),JK61-JI61,"")</f>
        <v>0</v>
      </c>
      <c r="JK61" s="33"/>
      <c r="JL61" s="34">
        <f>IF(AND(ISNUMBER(JM61),ISNUMBER(JK61)),JM61-JK61,"")</f>
        <v>0</v>
      </c>
      <c r="JM61" s="33"/>
      <c r="JN61" s="34">
        <f>IF(AND(ISNUMBER(JO61),ISNUMBER(JM61)),JO61-JM61,"")</f>
        <v>0</v>
      </c>
      <c r="JO61" s="33"/>
      <c r="JP61" s="34">
        <f>IF(AND(ISNUMBER(JQ61),ISNUMBER(JO61)),JQ61-JO61,"")</f>
        <v>0</v>
      </c>
      <c r="JQ61" s="33"/>
      <c r="JR61" s="34">
        <f>IF(AND(ISNUMBER(JS61),ISNUMBER(JQ61)),JS61-JQ61,"")</f>
        <v>0</v>
      </c>
      <c r="JS61" s="33"/>
      <c r="JT61" s="34">
        <f>IF(AND(ISNUMBER(JU61),ISNUMBER(JS61)),JU61-JS61,"")</f>
        <v>0</v>
      </c>
      <c r="JU61" s="33"/>
      <c r="JV61" s="34">
        <f>IF(AND(ISNUMBER(JW61),ISNUMBER(JU61)),JW61-JU61,"")</f>
        <v>0</v>
      </c>
      <c r="JW61" s="33"/>
      <c r="JX61" s="34">
        <f>IF(AND(ISNUMBER(JY61),ISNUMBER(JW61)),JY61-JW61,"")</f>
        <v>0</v>
      </c>
      <c r="JY61" s="33"/>
      <c r="JZ61" s="34">
        <f>IF(AND(ISNUMBER(KA61),ISNUMBER(JY61)),KA61-JY61,"")</f>
        <v>0</v>
      </c>
      <c r="KA61" s="33"/>
      <c r="KB61" s="34">
        <f>IF(AND(ISNUMBER(KC61),ISNUMBER(KA61)),KC61-KA61,"")</f>
        <v>0</v>
      </c>
      <c r="KC61" s="33"/>
      <c r="KD61" s="34">
        <f>IF(AND(ISNUMBER(KE61),ISNUMBER(KC61)),KE61-KC61,"")</f>
        <v>0</v>
      </c>
      <c r="KE61" s="33"/>
      <c r="KF61" s="34">
        <f>IF(AND(ISNUMBER(KG61),ISNUMBER(KE61)),KG61-KE61,"")</f>
        <v>0</v>
      </c>
      <c r="KG61" s="33"/>
      <c r="KH61" s="34">
        <f>IF(AND(ISNUMBER(KI61),ISNUMBER(KG61)),KI61-KG61,"")</f>
        <v>0</v>
      </c>
      <c r="KI61" s="33"/>
      <c r="KJ61" s="34">
        <f>IF(AND(ISNUMBER(KK61),ISNUMBER(KI61)),KK61-KI61,"")</f>
        <v>0</v>
      </c>
      <c r="KK61" s="33"/>
      <c r="KL61" s="34">
        <f>IF(AND(ISNUMBER(KM61),ISNUMBER(KK61)),KM61-KK61,"")</f>
        <v>0</v>
      </c>
      <c r="KM61" s="33"/>
      <c r="KN61" s="34">
        <f>IF(AND(ISNUMBER(KO61),ISNUMBER(KM61)),KO61-KM61,"")</f>
        <v>0</v>
      </c>
      <c r="KO61" s="33"/>
      <c r="KP61" s="34">
        <f>IF(AND(ISNUMBER(KQ61),ISNUMBER(KO61)),KQ61-KO61,"")</f>
        <v>0</v>
      </c>
      <c r="KQ61" s="33"/>
      <c r="KR61" s="34">
        <f>IF(AND(ISNUMBER(KS61),ISNUMBER(KQ61)),KS61-KQ61,"")</f>
        <v>0</v>
      </c>
      <c r="KS61" s="33"/>
      <c r="KT61" s="34">
        <f>IF(AND(ISNUMBER(KU61),ISNUMBER(KS61)),KU61-KS61,"")</f>
        <v>0</v>
      </c>
      <c r="KU61" s="33"/>
      <c r="KV61" s="34">
        <f>IF(AND(ISNUMBER(KW61),ISNUMBER(KU61)),KW61-KU61,"")</f>
        <v>0</v>
      </c>
      <c r="KW61" s="33"/>
      <c r="KX61" s="34">
        <f>IF(AND(ISNUMBER(KY61),ISNUMBER(KW61)),KY61-KW61,"")</f>
        <v>0</v>
      </c>
      <c r="KY61" s="33"/>
      <c r="KZ61" s="34">
        <f>IF(AND(ISNUMBER(LA61),ISNUMBER(KY61)),LA61-KY61,"")</f>
        <v>0</v>
      </c>
      <c r="LA61" s="33"/>
      <c r="LB61" s="34">
        <f>IF(AND(ISNUMBER(LC61),ISNUMBER(LA61)),LC61-LA61,"")</f>
        <v>0</v>
      </c>
      <c r="LC61" s="33"/>
      <c r="LD61" s="34">
        <f>IF(AND(ISNUMBER(LE61),ISNUMBER(LC61)),LE61-LC61,"")</f>
        <v>0</v>
      </c>
      <c r="LE61" s="33"/>
      <c r="LF61" s="34">
        <f>IF(AND(ISNUMBER(LG61),ISNUMBER(LE61)),LG61-LE61,"")</f>
        <v>0</v>
      </c>
      <c r="LG61" s="33"/>
    </row>
    <row r="62" spans="1:322" hidden="1" outlineLevel="1">
      <c r="B62" s="23"/>
      <c r="D62" s="31" t="s">
        <v>725</v>
      </c>
      <c r="E62" s="32" t="s">
        <v>1060</v>
      </c>
      <c r="F62" s="38">
        <v>45689</v>
      </c>
      <c r="I62" s="40" t="s">
        <v>1078</v>
      </c>
      <c r="J62" s="34">
        <f>IF(AND(ISNUMBER(K62),ISNUMBER(I62)),K62-I62,"")</f>
        <v>0</v>
      </c>
      <c r="K62" s="40" t="s">
        <v>1078</v>
      </c>
      <c r="L62" s="34">
        <f>IF(AND(ISNUMBER(M62),ISNUMBER(K62)),M62-K62,"")</f>
        <v>0</v>
      </c>
      <c r="M62" s="40" t="s">
        <v>1078</v>
      </c>
      <c r="N62" s="34">
        <f>IF(AND(ISNUMBER(O62),ISNUMBER(M62)),O62-M62,"")</f>
        <v>0</v>
      </c>
      <c r="O62" s="40" t="s">
        <v>1078</v>
      </c>
      <c r="P62" s="34">
        <f>IF(AND(ISNUMBER(Q62),ISNUMBER(O62)),Q62-O62,"")</f>
        <v>0</v>
      </c>
      <c r="Q62" s="40" t="s">
        <v>1078</v>
      </c>
      <c r="R62" s="34">
        <f>IF(AND(ISNUMBER(S62),ISNUMBER(Q62)),S62-Q62,"")</f>
        <v>0</v>
      </c>
      <c r="S62" s="40" t="s">
        <v>1078</v>
      </c>
      <c r="T62" s="34">
        <f>IF(AND(ISNUMBER(U62),ISNUMBER(S62)),U62-S62,"")</f>
        <v>0</v>
      </c>
      <c r="U62" s="40" t="s">
        <v>1078</v>
      </c>
      <c r="V62" s="34">
        <f>IF(AND(ISNUMBER(W62),ISNUMBER(U62)),W62-U62,"")</f>
        <v>0</v>
      </c>
      <c r="W62" s="40" t="s">
        <v>1078</v>
      </c>
      <c r="X62" s="34">
        <f>IF(AND(ISNUMBER(Y62),ISNUMBER(W62)),Y62-W62,"")</f>
        <v>0</v>
      </c>
      <c r="Y62" s="40" t="s">
        <v>1078</v>
      </c>
      <c r="Z62" s="34">
        <f>IF(AND(ISNUMBER(AA62),ISNUMBER(Y62)),AA62-Y62,"")</f>
        <v>0</v>
      </c>
      <c r="AA62" s="40" t="s">
        <v>1078</v>
      </c>
      <c r="AB62" s="34">
        <f>IF(AND(ISNUMBER(AC62),ISNUMBER(AA62)),AC62-AA62,"")</f>
        <v>0</v>
      </c>
      <c r="AC62" s="40" t="s">
        <v>1078</v>
      </c>
      <c r="AD62" s="34">
        <f>IF(AND(ISNUMBER(AE62),ISNUMBER(AC62)),AE62-AC62,"")</f>
        <v>0</v>
      </c>
      <c r="AE62" s="40" t="s">
        <v>1078</v>
      </c>
      <c r="AF62" s="34">
        <f>IF(AND(ISNUMBER(AG62),ISNUMBER(AE62)),AG62-AE62,"")</f>
        <v>0</v>
      </c>
      <c r="AG62" s="40" t="s">
        <v>1078</v>
      </c>
      <c r="AH62" s="34">
        <f>IF(AND(ISNUMBER(AI62),ISNUMBER(AG62)),AI62-AG62,"")</f>
        <v>0</v>
      </c>
      <c r="AI62" s="40" t="s">
        <v>1078</v>
      </c>
      <c r="AJ62" s="34">
        <f>IF(AND(ISNUMBER(AK62),ISNUMBER(AI62)),AK62-AI62,"")</f>
        <v>0</v>
      </c>
      <c r="AK62" s="40" t="s">
        <v>1078</v>
      </c>
      <c r="AL62" s="34">
        <f>IF(AND(ISNUMBER(AM62),ISNUMBER(AK62)),AM62-AK62,"")</f>
        <v>0</v>
      </c>
      <c r="AM62" s="40" t="s">
        <v>1078</v>
      </c>
      <c r="AN62" s="34">
        <f>IF(AND(ISNUMBER(AO62),ISNUMBER(AM62)),AO62-AM62,"")</f>
        <v>0</v>
      </c>
      <c r="AO62" s="40" t="s">
        <v>1078</v>
      </c>
      <c r="AP62" s="34">
        <f>IF(AND(ISNUMBER(AQ62),ISNUMBER(AO62)),AQ62-AO62,"")</f>
        <v>0</v>
      </c>
      <c r="AQ62" s="40" t="s">
        <v>1078</v>
      </c>
      <c r="AR62" s="34">
        <f>IF(AND(ISNUMBER(AS62),ISNUMBER(AQ62)),AS62-AQ62,"")</f>
        <v>0</v>
      </c>
      <c r="AS62" s="33">
        <v>3</v>
      </c>
      <c r="AT62" s="34">
        <f>IF(AND(ISNUMBER(AU62),ISNUMBER(AS62)),AU62-AS62,"")</f>
        <v>0</v>
      </c>
      <c r="AU62" s="33">
        <v>1</v>
      </c>
      <c r="AV62" s="34">
        <f>IF(AND(ISNUMBER(AW62),ISNUMBER(AU62)),AW62-AU62,"")</f>
        <v>0</v>
      </c>
      <c r="AW62" s="33">
        <v>0</v>
      </c>
      <c r="AX62" s="34">
        <f>IF(AND(ISNUMBER(AY62),ISNUMBER(AW62)),AY62-AW62,"")</f>
        <v>0</v>
      </c>
      <c r="AY62" s="33">
        <v>0</v>
      </c>
      <c r="AZ62" s="34">
        <f>IF(AND(ISNUMBER(BA62),ISNUMBER(AY62)),BA62-AY62,"")</f>
        <v>0</v>
      </c>
      <c r="BA62" s="33">
        <v>0</v>
      </c>
      <c r="BB62" s="34">
        <f>IF(AND(ISNUMBER(BC62),ISNUMBER(BA62)),BC62-BA62,"")</f>
        <v>0</v>
      </c>
      <c r="BC62" s="33">
        <v>4</v>
      </c>
      <c r="BD62" s="34">
        <f>IF(AND(ISNUMBER(BE62),ISNUMBER(BC62)),BE62-BC62,"")</f>
        <v>0</v>
      </c>
      <c r="BE62" s="33">
        <v>6</v>
      </c>
      <c r="BF62" s="34">
        <f>IF(AND(ISNUMBER(BG62),ISNUMBER(BE62)),BG62-BE62,"")</f>
        <v>0</v>
      </c>
      <c r="BG62" s="33">
        <v>4</v>
      </c>
      <c r="BH62" s="34">
        <f>IF(AND(ISNUMBER(BI62),ISNUMBER(BG62)),BI62-BG62,"")</f>
        <v>0</v>
      </c>
      <c r="BI62" s="33">
        <v>6</v>
      </c>
      <c r="BJ62" s="34">
        <f>IF(AND(ISNUMBER(BK62),ISNUMBER(BI62)),BK62-BI62,"")</f>
        <v>0</v>
      </c>
      <c r="BK62" s="33">
        <v>4</v>
      </c>
      <c r="BL62" s="34">
        <f>IF(AND(ISNUMBER(BM62),ISNUMBER(BK62)),BM62-BK62,"")</f>
        <v>0</v>
      </c>
      <c r="BM62" s="33">
        <v>5</v>
      </c>
      <c r="BN62" s="34">
        <f>IF(AND(ISNUMBER(BO62),ISNUMBER(BM62)),BO62-BM62,"")</f>
        <v>0</v>
      </c>
      <c r="BO62" s="33">
        <v>1</v>
      </c>
      <c r="BP62" s="34">
        <f>IF(AND(ISNUMBER(BQ62),ISNUMBER(BO62)),BQ62-BO62,"")</f>
        <v>0</v>
      </c>
      <c r="BQ62" s="33">
        <v>7</v>
      </c>
      <c r="BR62" s="34">
        <f>IF(AND(ISNUMBER(BS62),ISNUMBER(BQ62)),BS62-BQ62,"")</f>
        <v>0</v>
      </c>
      <c r="BS62" s="33">
        <v>7</v>
      </c>
      <c r="BT62" s="34">
        <f>IF(AND(ISNUMBER(BU62),ISNUMBER(BS62)),BU62-BS62,"")</f>
        <v>0</v>
      </c>
      <c r="BU62" s="33">
        <v>7</v>
      </c>
      <c r="BV62" s="34">
        <f>IF(AND(ISNUMBER(BW62),ISNUMBER(BU62)),BW62-BU62,"")</f>
        <v>0</v>
      </c>
      <c r="BW62" s="33">
        <v>2</v>
      </c>
      <c r="BX62" s="34">
        <f>IF(AND(ISNUMBER(BY62),ISNUMBER(BW62)),BY62-BW62,"")</f>
        <v>0</v>
      </c>
      <c r="BY62" s="33"/>
      <c r="BZ62" s="34">
        <f>IF(AND(ISNUMBER(CA62),ISNUMBER(BY62)),CA62-BY62,"")</f>
        <v>0</v>
      </c>
      <c r="CA62" s="33">
        <v>1</v>
      </c>
      <c r="CB62" s="34">
        <f>IF(AND(ISNUMBER(CC62),ISNUMBER(CA62)),CC62-CA62,"")</f>
        <v>0</v>
      </c>
      <c r="CC62" s="33">
        <v>2</v>
      </c>
      <c r="CD62" s="34">
        <f>IF(AND(ISNUMBER(CE62),ISNUMBER(CC62)),CE62-CC62,"")</f>
        <v>0</v>
      </c>
      <c r="CE62" s="33">
        <v>9</v>
      </c>
      <c r="CF62" s="34">
        <f>IF(AND(ISNUMBER(CG62),ISNUMBER(CE62)),CG62-CE62,"")</f>
        <v>0</v>
      </c>
      <c r="CG62" s="33">
        <v>0</v>
      </c>
      <c r="CH62" s="34">
        <f>IF(AND(ISNUMBER(CI62),ISNUMBER(CG62)),CI62-CG62,"")</f>
        <v>0</v>
      </c>
      <c r="CI62" s="33">
        <v>4</v>
      </c>
      <c r="CJ62" s="34">
        <f>IF(AND(ISNUMBER(CK62),ISNUMBER(CI62)),CK62-CI62,"")</f>
        <v>0</v>
      </c>
      <c r="CK62" s="33">
        <v>0</v>
      </c>
      <c r="CL62" s="34">
        <f>IF(AND(ISNUMBER(CM62),ISNUMBER(CK62)),CM62-CK62,"")</f>
        <v>0</v>
      </c>
      <c r="CM62" s="33">
        <v>3</v>
      </c>
      <c r="CN62" s="34">
        <f>IF(AND(ISNUMBER(CO62),ISNUMBER(CM62)),CO62-CM62,"")</f>
        <v>0</v>
      </c>
      <c r="CO62" s="33">
        <v>0</v>
      </c>
      <c r="CP62" s="34">
        <f>IF(AND(ISNUMBER(CQ62),ISNUMBER(CO62)),CQ62-CO62,"")</f>
        <v>0</v>
      </c>
      <c r="CQ62" s="33">
        <v>0</v>
      </c>
      <c r="CR62" s="34">
        <f>IF(AND(ISNUMBER(CS62),ISNUMBER(CQ62)),CS62-CQ62,"")</f>
        <v>0</v>
      </c>
      <c r="CS62" s="33">
        <v>0</v>
      </c>
      <c r="CT62" s="34">
        <f>IF(AND(ISNUMBER(CU62),ISNUMBER(CS62)),CU62-CS62,"")</f>
        <v>0</v>
      </c>
      <c r="CU62" s="33">
        <v>0</v>
      </c>
      <c r="CV62" s="34">
        <f>IF(AND(ISNUMBER(CW62),ISNUMBER(CU62)),CW62-CU62,"")</f>
        <v>0</v>
      </c>
      <c r="CW62" s="33">
        <v>0</v>
      </c>
      <c r="CX62" s="34">
        <f>IF(AND(ISNUMBER(CY62),ISNUMBER(CW62)),CY62-CW62,"")</f>
        <v>0</v>
      </c>
      <c r="CY62" s="33"/>
      <c r="CZ62" s="34">
        <f>IF(AND(ISNUMBER(DA62),ISNUMBER(CY62)),DA62-CY62,"")</f>
        <v>0</v>
      </c>
      <c r="DA62" s="33">
        <v>0</v>
      </c>
      <c r="DB62" s="34">
        <f>IF(AND(ISNUMBER(DC62),ISNUMBER(DA62)),DC62-DA62,"")</f>
        <v>0</v>
      </c>
      <c r="DC62" s="33">
        <v>1</v>
      </c>
      <c r="DD62" s="34">
        <f>IF(AND(ISNUMBER(DE62),ISNUMBER(DC62)),DE62-DC62,"")</f>
        <v>0</v>
      </c>
      <c r="DE62" s="33">
        <v>0</v>
      </c>
      <c r="DF62" s="34">
        <f>IF(AND(ISNUMBER(DG62),ISNUMBER(DE62)),DG62-DE62,"")</f>
        <v>0</v>
      </c>
      <c r="DG62" s="33">
        <v>2</v>
      </c>
      <c r="DH62" s="34">
        <f>IF(AND(ISNUMBER(DI62),ISNUMBER(DG62)),DI62-DG62,"")</f>
        <v>0</v>
      </c>
      <c r="DI62" s="33">
        <v>5</v>
      </c>
      <c r="DJ62" s="34">
        <f>IF(AND(ISNUMBER(DK62),ISNUMBER(DI62)),DK62-DI62,"")</f>
        <v>0</v>
      </c>
      <c r="DK62" s="33">
        <v>4</v>
      </c>
      <c r="DL62" s="34">
        <f>IF(AND(ISNUMBER(DM62),ISNUMBER(DK62)),DM62-DK62,"")</f>
        <v>0</v>
      </c>
      <c r="DM62" s="33">
        <v>4</v>
      </c>
      <c r="DN62" s="34">
        <f>IF(AND(ISNUMBER(DO62),ISNUMBER(DM62)),DO62-DM62,"")</f>
        <v>0</v>
      </c>
      <c r="DO62" s="33">
        <v>3</v>
      </c>
      <c r="DP62" s="34">
        <f>IF(AND(ISNUMBER(DQ62),ISNUMBER(DO62)),DQ62-DO62,"")</f>
        <v>0</v>
      </c>
      <c r="DQ62" s="33">
        <v>2</v>
      </c>
      <c r="DR62" s="34">
        <f>IF(AND(ISNUMBER(DS62),ISNUMBER(DQ62)),DS62-DQ62,"")</f>
        <v>0</v>
      </c>
      <c r="DS62" s="33">
        <v>2</v>
      </c>
      <c r="DT62" s="34">
        <f>IF(AND(ISNUMBER(DU62),ISNUMBER(DS62)),DU62-DS62,"")</f>
        <v>0</v>
      </c>
      <c r="DU62" s="33">
        <v>4</v>
      </c>
      <c r="DV62" s="34">
        <f>IF(AND(ISNUMBER(DW62),ISNUMBER(DU62)),DW62-DU62,"")</f>
        <v>0</v>
      </c>
      <c r="DW62" s="33">
        <v>0</v>
      </c>
      <c r="DX62" s="34">
        <f>IF(AND(ISNUMBER(DY62),ISNUMBER(DW62)),DY62-DW62,"")</f>
        <v>0</v>
      </c>
      <c r="DY62" s="33"/>
      <c r="DZ62" s="34">
        <f>IF(AND(ISNUMBER(EA62),ISNUMBER(DY62)),EA62-DY62,"")</f>
        <v>0</v>
      </c>
      <c r="EA62" s="33">
        <v>0</v>
      </c>
      <c r="EB62" s="34">
        <f>IF(AND(ISNUMBER(EC62),ISNUMBER(EA62)),EC62-EA62,"")</f>
        <v>0</v>
      </c>
      <c r="EC62" s="33">
        <v>3</v>
      </c>
      <c r="ED62" s="34">
        <f>IF(AND(ISNUMBER(EE62),ISNUMBER(EC62)),EE62-EC62,"")</f>
        <v>0</v>
      </c>
      <c r="EE62" s="33">
        <v>0</v>
      </c>
      <c r="EF62" s="34">
        <f>IF(AND(ISNUMBER(EG62),ISNUMBER(EE62)),EG62-EE62,"")</f>
        <v>0</v>
      </c>
      <c r="EG62" s="33">
        <v>1</v>
      </c>
      <c r="EH62" s="34">
        <f>IF(AND(ISNUMBER(EI62),ISNUMBER(EG62)),EI62-EG62,"")</f>
        <v>0</v>
      </c>
      <c r="EI62" s="33">
        <v>0</v>
      </c>
      <c r="EJ62" s="34">
        <f>IF(AND(ISNUMBER(EK62),ISNUMBER(EI62)),EK62-EI62,"")</f>
        <v>0</v>
      </c>
      <c r="EK62" s="33">
        <v>0</v>
      </c>
      <c r="EL62" s="34">
        <f>IF(AND(ISNUMBER(EM62),ISNUMBER(EK62)),EM62-EK62,"")</f>
        <v>0</v>
      </c>
      <c r="EM62" s="33">
        <v>0</v>
      </c>
      <c r="EN62" s="34">
        <f>IF(AND(ISNUMBER(EO62),ISNUMBER(EM62)),EO62-EM62,"")</f>
        <v>0</v>
      </c>
      <c r="EO62" s="33">
        <v>0</v>
      </c>
      <c r="EP62" s="34">
        <f>IF(AND(ISNUMBER(EQ62),ISNUMBER(EO62)),EQ62-EO62,"")</f>
        <v>0</v>
      </c>
      <c r="EQ62" s="33">
        <v>0</v>
      </c>
      <c r="ER62" s="34">
        <f>IF(AND(ISNUMBER(ES62),ISNUMBER(EQ62)),ES62-EQ62,"")</f>
        <v>0</v>
      </c>
      <c r="ES62" s="33">
        <v>0</v>
      </c>
      <c r="ET62" s="34">
        <f>IF(AND(ISNUMBER(EU62),ISNUMBER(ES62)),EU62-ES62,"")</f>
        <v>0</v>
      </c>
      <c r="EU62" s="33">
        <v>0</v>
      </c>
      <c r="EV62" s="34">
        <f>IF(AND(ISNUMBER(EW62),ISNUMBER(EU62)),EW62-EU62,"")</f>
        <v>0</v>
      </c>
      <c r="EW62" s="33">
        <v>10</v>
      </c>
      <c r="EX62" s="34">
        <f>IF(AND(ISNUMBER(EY62),ISNUMBER(EW62)),EY62-EW62,"")</f>
        <v>0</v>
      </c>
      <c r="EY62" s="33">
        <v>5</v>
      </c>
      <c r="EZ62" s="34">
        <f>IF(AND(ISNUMBER(FA62),ISNUMBER(EY62)),FA62-EY62,"")</f>
        <v>0</v>
      </c>
      <c r="FA62" s="33"/>
      <c r="FB62" s="34">
        <f>IF(AND(ISNUMBER(FC62),ISNUMBER(FA62)),FC62-FA62,"")</f>
        <v>0</v>
      </c>
      <c r="FC62" s="33"/>
      <c r="FD62" s="34">
        <f>IF(AND(ISNUMBER(FE62),ISNUMBER(FC62)),FE62-FC62,"")</f>
        <v>0</v>
      </c>
      <c r="FE62" s="33"/>
      <c r="FF62" s="34">
        <f>IF(AND(ISNUMBER(FG62),ISNUMBER(FE62)),FG62-FE62,"")</f>
        <v>0</v>
      </c>
      <c r="FG62" s="33"/>
      <c r="FH62" s="34">
        <f>IF(AND(ISNUMBER(FI62),ISNUMBER(FG62)),FI62-FG62,"")</f>
        <v>0</v>
      </c>
      <c r="FI62" s="33"/>
      <c r="FJ62" s="34">
        <f>IF(AND(ISNUMBER(FK62),ISNUMBER(FI62)),FK62-FI62,"")</f>
        <v>0</v>
      </c>
      <c r="FK62" s="33"/>
      <c r="FL62" s="34">
        <f>IF(AND(ISNUMBER(FM62),ISNUMBER(FK62)),FM62-FK62,"")</f>
        <v>0</v>
      </c>
      <c r="FM62" s="33"/>
      <c r="FN62" s="34">
        <f>IF(AND(ISNUMBER(FO62),ISNUMBER(FM62)),FO62-FM62,"")</f>
        <v>0</v>
      </c>
      <c r="FO62" s="33"/>
      <c r="FP62" s="34">
        <f>IF(AND(ISNUMBER(FQ62),ISNUMBER(FO62)),FQ62-FO62,"")</f>
        <v>0</v>
      </c>
      <c r="FQ62" s="33"/>
      <c r="FR62" s="34">
        <f>IF(AND(ISNUMBER(FS62),ISNUMBER(FQ62)),FS62-FQ62,"")</f>
        <v>0</v>
      </c>
      <c r="FS62" s="33"/>
      <c r="FT62" s="34">
        <f>IF(AND(ISNUMBER(FU62),ISNUMBER(FS62)),FU62-FS62,"")</f>
        <v>0</v>
      </c>
      <c r="FU62" s="33"/>
      <c r="FV62" s="34">
        <f>IF(AND(ISNUMBER(FW62),ISNUMBER(FU62)),FW62-FU62,"")</f>
        <v>0</v>
      </c>
      <c r="FW62" s="33"/>
      <c r="FX62" s="34">
        <f>IF(AND(ISNUMBER(FY62),ISNUMBER(FW62)),FY62-FW62,"")</f>
        <v>0</v>
      </c>
      <c r="FY62" s="33"/>
      <c r="FZ62" s="34">
        <f>IF(AND(ISNUMBER(GA62),ISNUMBER(FY62)),GA62-FY62,"")</f>
        <v>0</v>
      </c>
      <c r="GA62" s="33"/>
      <c r="GB62" s="34">
        <f>IF(AND(ISNUMBER(GC62),ISNUMBER(GA62)),GC62-GA62,"")</f>
        <v>0</v>
      </c>
      <c r="GC62" s="33"/>
      <c r="GD62" s="34">
        <f>IF(AND(ISNUMBER(GE62),ISNUMBER(GC62)),GE62-GC62,"")</f>
        <v>0</v>
      </c>
      <c r="GE62" s="33"/>
      <c r="GF62" s="34">
        <f>IF(AND(ISNUMBER(GG62),ISNUMBER(GE62)),GG62-GE62,"")</f>
        <v>0</v>
      </c>
      <c r="GG62" s="33"/>
      <c r="GH62" s="34">
        <f>IF(AND(ISNUMBER(GI62),ISNUMBER(GG62)),GI62-GG62,"")</f>
        <v>0</v>
      </c>
      <c r="GI62" s="33"/>
      <c r="GJ62" s="34">
        <f>IF(AND(ISNUMBER(GK62),ISNUMBER(GI62)),GK62-GI62,"")</f>
        <v>0</v>
      </c>
      <c r="GK62" s="33"/>
      <c r="GL62" s="34">
        <f>IF(AND(ISNUMBER(GM62),ISNUMBER(GK62)),GM62-GK62,"")</f>
        <v>0</v>
      </c>
      <c r="GM62" s="33"/>
      <c r="GN62" s="34">
        <f>IF(AND(ISNUMBER(GO62),ISNUMBER(GM62)),GO62-GM62,"")</f>
        <v>0</v>
      </c>
      <c r="GO62" s="33"/>
      <c r="GP62" s="34">
        <f>IF(AND(ISNUMBER(GQ62),ISNUMBER(GO62)),GQ62-GO62,"")</f>
        <v>0</v>
      </c>
      <c r="GQ62" s="33"/>
      <c r="GR62" s="34">
        <f>IF(AND(ISNUMBER(GS62),ISNUMBER(GQ62)),GS62-GQ62,"")</f>
        <v>0</v>
      </c>
      <c r="GS62" s="33"/>
      <c r="GT62" s="34">
        <f>IF(AND(ISNUMBER(GU62),ISNUMBER(GS62)),GU62-GS62,"")</f>
        <v>0</v>
      </c>
      <c r="GU62" s="33"/>
      <c r="GV62" s="34">
        <f>IF(AND(ISNUMBER(GW62),ISNUMBER(GU62)),GW62-GU62,"")</f>
        <v>0</v>
      </c>
      <c r="GW62" s="33"/>
      <c r="GX62" s="34">
        <f>IF(AND(ISNUMBER(GY62),ISNUMBER(GW62)),GY62-GW62,"")</f>
        <v>0</v>
      </c>
      <c r="GY62" s="33"/>
      <c r="GZ62" s="34">
        <f>IF(AND(ISNUMBER(HA62),ISNUMBER(GY62)),HA62-GY62,"")</f>
        <v>0</v>
      </c>
      <c r="HA62" s="33"/>
      <c r="HB62" s="34">
        <f>IF(AND(ISNUMBER(HC62),ISNUMBER(HA62)),HC62-HA62,"")</f>
        <v>0</v>
      </c>
      <c r="HC62" s="33"/>
      <c r="HD62" s="34">
        <f>IF(AND(ISNUMBER(HE62),ISNUMBER(HC62)),HE62-HC62,"")</f>
        <v>0</v>
      </c>
      <c r="HE62" s="33"/>
      <c r="HF62" s="34">
        <f>IF(AND(ISNUMBER(HG62),ISNUMBER(HE62)),HG62-HE62,"")</f>
        <v>0</v>
      </c>
      <c r="HG62" s="33"/>
      <c r="HH62" s="34">
        <f>IF(AND(ISNUMBER(HI62),ISNUMBER(HG62)),HI62-HG62,"")</f>
        <v>0</v>
      </c>
      <c r="HI62" s="33"/>
      <c r="HJ62" s="34">
        <f>IF(AND(ISNUMBER(HK62),ISNUMBER(HI62)),HK62-HI62,"")</f>
        <v>0</v>
      </c>
      <c r="HK62" s="33"/>
      <c r="HL62" s="34">
        <f>IF(AND(ISNUMBER(HM62),ISNUMBER(HK62)),HM62-HK62,"")</f>
        <v>0</v>
      </c>
      <c r="HM62" s="33"/>
      <c r="HN62" s="34">
        <f>IF(AND(ISNUMBER(HO62),ISNUMBER(HM62)),HO62-HM62,"")</f>
        <v>0</v>
      </c>
      <c r="HO62" s="33"/>
      <c r="HP62" s="34">
        <f>IF(AND(ISNUMBER(HQ62),ISNUMBER(HO62)),HQ62-HO62,"")</f>
        <v>0</v>
      </c>
      <c r="HQ62" s="33"/>
      <c r="HR62" s="34">
        <f>IF(AND(ISNUMBER(HS62),ISNUMBER(HQ62)),HS62-HQ62,"")</f>
        <v>0</v>
      </c>
      <c r="HS62" s="33"/>
      <c r="HT62" s="34">
        <f>IF(AND(ISNUMBER(HU62),ISNUMBER(HS62)),HU62-HS62,"")</f>
        <v>0</v>
      </c>
      <c r="HU62" s="33"/>
      <c r="HV62" s="34">
        <f>IF(AND(ISNUMBER(HW62),ISNUMBER(HU62)),HW62-HU62,"")</f>
        <v>0</v>
      </c>
      <c r="HW62" s="33"/>
      <c r="HX62" s="34">
        <f>IF(AND(ISNUMBER(HY62),ISNUMBER(HW62)),HY62-HW62,"")</f>
        <v>0</v>
      </c>
      <c r="HY62" s="33"/>
      <c r="HZ62" s="34">
        <f>IF(AND(ISNUMBER(IA62),ISNUMBER(HY62)),IA62-HY62,"")</f>
        <v>0</v>
      </c>
      <c r="IA62" s="33"/>
      <c r="IB62" s="34">
        <f>IF(AND(ISNUMBER(IC62),ISNUMBER(IA62)),IC62-IA62,"")</f>
        <v>0</v>
      </c>
      <c r="IC62" s="33"/>
      <c r="ID62" s="34">
        <f>IF(AND(ISNUMBER(IE62),ISNUMBER(IC62)),IE62-IC62,"")</f>
        <v>0</v>
      </c>
      <c r="IE62" s="33"/>
      <c r="IF62" s="34">
        <f>IF(AND(ISNUMBER(IG62),ISNUMBER(IE62)),IG62-IE62,"")</f>
        <v>0</v>
      </c>
      <c r="IG62" s="33"/>
      <c r="IH62" s="34">
        <f>IF(AND(ISNUMBER(II62),ISNUMBER(IG62)),II62-IG62,"")</f>
        <v>0</v>
      </c>
      <c r="II62" s="33"/>
      <c r="IJ62" s="34">
        <f>IF(AND(ISNUMBER(IK62),ISNUMBER(II62)),IK62-II62,"")</f>
        <v>0</v>
      </c>
      <c r="IK62" s="33"/>
      <c r="IL62" s="34">
        <f>IF(AND(ISNUMBER(IM62),ISNUMBER(IK62)),IM62-IK62,"")</f>
        <v>0</v>
      </c>
      <c r="IM62" s="33"/>
      <c r="IN62" s="34">
        <f>IF(AND(ISNUMBER(IO62),ISNUMBER(IM62)),IO62-IM62,"")</f>
        <v>0</v>
      </c>
      <c r="IO62" s="33"/>
      <c r="IP62" s="34">
        <f>IF(AND(ISNUMBER(IQ62),ISNUMBER(IO62)),IQ62-IO62,"")</f>
        <v>0</v>
      </c>
      <c r="IQ62" s="33"/>
      <c r="IR62" s="34">
        <f>IF(AND(ISNUMBER(IS62),ISNUMBER(IQ62)),IS62-IQ62,"")</f>
        <v>0</v>
      </c>
      <c r="IS62" s="33"/>
      <c r="IT62" s="34">
        <f>IF(AND(ISNUMBER(IU62),ISNUMBER(IS62)),IU62-IS62,"")</f>
        <v>0</v>
      </c>
      <c r="IU62" s="33"/>
      <c r="IV62" s="34">
        <f>IF(AND(ISNUMBER(IW62),ISNUMBER(IU62)),IW62-IU62,"")</f>
        <v>0</v>
      </c>
      <c r="IW62" s="33"/>
      <c r="IX62" s="34">
        <f>IF(AND(ISNUMBER(IY62),ISNUMBER(IW62)),IY62-IW62,"")</f>
        <v>0</v>
      </c>
      <c r="IY62" s="33"/>
      <c r="IZ62" s="34">
        <f>IF(AND(ISNUMBER(JA62),ISNUMBER(IY62)),JA62-IY62,"")</f>
        <v>0</v>
      </c>
      <c r="JA62" s="33"/>
      <c r="JB62" s="34">
        <f>IF(AND(ISNUMBER(JC62),ISNUMBER(JA62)),JC62-JA62,"")</f>
        <v>0</v>
      </c>
      <c r="JC62" s="33"/>
      <c r="JD62" s="34">
        <f>IF(AND(ISNUMBER(JE62),ISNUMBER(JC62)),JE62-JC62,"")</f>
        <v>0</v>
      </c>
      <c r="JE62" s="33"/>
      <c r="JF62" s="34">
        <f>IF(AND(ISNUMBER(JG62),ISNUMBER(JE62)),JG62-JE62,"")</f>
        <v>0</v>
      </c>
      <c r="JG62" s="33"/>
      <c r="JH62" s="34">
        <f>IF(AND(ISNUMBER(JI62),ISNUMBER(JG62)),JI62-JG62,"")</f>
        <v>0</v>
      </c>
      <c r="JI62" s="33"/>
      <c r="JJ62" s="34">
        <f>IF(AND(ISNUMBER(JK62),ISNUMBER(JI62)),JK62-JI62,"")</f>
        <v>0</v>
      </c>
      <c r="JK62" s="33"/>
      <c r="JL62" s="34">
        <f>IF(AND(ISNUMBER(JM62),ISNUMBER(JK62)),JM62-JK62,"")</f>
        <v>0</v>
      </c>
      <c r="JM62" s="33"/>
      <c r="JN62" s="34">
        <f>IF(AND(ISNUMBER(JO62),ISNUMBER(JM62)),JO62-JM62,"")</f>
        <v>0</v>
      </c>
      <c r="JO62" s="33"/>
      <c r="JP62" s="34">
        <f>IF(AND(ISNUMBER(JQ62),ISNUMBER(JO62)),JQ62-JO62,"")</f>
        <v>0</v>
      </c>
      <c r="JQ62" s="33"/>
      <c r="JR62" s="34">
        <f>IF(AND(ISNUMBER(JS62),ISNUMBER(JQ62)),JS62-JQ62,"")</f>
        <v>0</v>
      </c>
      <c r="JS62" s="33"/>
      <c r="JT62" s="34">
        <f>IF(AND(ISNUMBER(JU62),ISNUMBER(JS62)),JU62-JS62,"")</f>
        <v>0</v>
      </c>
      <c r="JU62" s="33"/>
      <c r="JV62" s="34">
        <f>IF(AND(ISNUMBER(JW62),ISNUMBER(JU62)),JW62-JU62,"")</f>
        <v>0</v>
      </c>
      <c r="JW62" s="33"/>
      <c r="JX62" s="34">
        <f>IF(AND(ISNUMBER(JY62),ISNUMBER(JW62)),JY62-JW62,"")</f>
        <v>0</v>
      </c>
      <c r="JY62" s="33"/>
      <c r="JZ62" s="34">
        <f>IF(AND(ISNUMBER(KA62),ISNUMBER(JY62)),KA62-JY62,"")</f>
        <v>0</v>
      </c>
      <c r="KA62" s="33"/>
      <c r="KB62" s="34">
        <f>IF(AND(ISNUMBER(KC62),ISNUMBER(KA62)),KC62-KA62,"")</f>
        <v>0</v>
      </c>
      <c r="KC62" s="33"/>
      <c r="KD62" s="34">
        <f>IF(AND(ISNUMBER(KE62),ISNUMBER(KC62)),KE62-KC62,"")</f>
        <v>0</v>
      </c>
      <c r="KE62" s="33"/>
      <c r="KF62" s="34">
        <f>IF(AND(ISNUMBER(KG62),ISNUMBER(KE62)),KG62-KE62,"")</f>
        <v>0</v>
      </c>
      <c r="KG62" s="33"/>
      <c r="KH62" s="34">
        <f>IF(AND(ISNUMBER(KI62),ISNUMBER(KG62)),KI62-KG62,"")</f>
        <v>0</v>
      </c>
      <c r="KI62" s="33"/>
      <c r="KJ62" s="34">
        <f>IF(AND(ISNUMBER(KK62),ISNUMBER(KI62)),KK62-KI62,"")</f>
        <v>0</v>
      </c>
      <c r="KK62" s="33"/>
      <c r="KL62" s="34">
        <f>IF(AND(ISNUMBER(KM62),ISNUMBER(KK62)),KM62-KK62,"")</f>
        <v>0</v>
      </c>
      <c r="KM62" s="33"/>
      <c r="KN62" s="34">
        <f>IF(AND(ISNUMBER(KO62),ISNUMBER(KM62)),KO62-KM62,"")</f>
        <v>0</v>
      </c>
      <c r="KO62" s="33"/>
      <c r="KP62" s="34">
        <f>IF(AND(ISNUMBER(KQ62),ISNUMBER(KO62)),KQ62-KO62,"")</f>
        <v>0</v>
      </c>
      <c r="KQ62" s="33"/>
      <c r="KR62" s="34">
        <f>IF(AND(ISNUMBER(KS62),ISNUMBER(KQ62)),KS62-KQ62,"")</f>
        <v>0</v>
      </c>
      <c r="KS62" s="33"/>
      <c r="KT62" s="34">
        <f>IF(AND(ISNUMBER(KU62),ISNUMBER(KS62)),KU62-KS62,"")</f>
        <v>0</v>
      </c>
      <c r="KU62" s="33"/>
      <c r="KV62" s="34">
        <f>IF(AND(ISNUMBER(KW62),ISNUMBER(KU62)),KW62-KU62,"")</f>
        <v>0</v>
      </c>
      <c r="KW62" s="33"/>
      <c r="KX62" s="34">
        <f>IF(AND(ISNUMBER(KY62),ISNUMBER(KW62)),KY62-KW62,"")</f>
        <v>0</v>
      </c>
      <c r="KY62" s="33"/>
      <c r="KZ62" s="34">
        <f>IF(AND(ISNUMBER(LA62),ISNUMBER(KY62)),LA62-KY62,"")</f>
        <v>0</v>
      </c>
      <c r="LA62" s="33"/>
      <c r="LB62" s="34">
        <f>IF(AND(ISNUMBER(LC62),ISNUMBER(LA62)),LC62-LA62,"")</f>
        <v>0</v>
      </c>
      <c r="LC62" s="33"/>
      <c r="LD62" s="34">
        <f>IF(AND(ISNUMBER(LE62),ISNUMBER(LC62)),LE62-LC62,"")</f>
        <v>0</v>
      </c>
      <c r="LE62" s="33"/>
      <c r="LF62" s="34">
        <f>IF(AND(ISNUMBER(LG62),ISNUMBER(LE62)),LG62-LE62,"")</f>
        <v>0</v>
      </c>
      <c r="LG62" s="33"/>
      <c r="LJ62" s="35" t="s">
        <v>1085</v>
      </c>
    </row>
    <row r="63" spans="1:322">
      <c r="A63" s="22">
        <v>5</v>
      </c>
      <c r="B63" s="23" t="s">
        <v>1102</v>
      </c>
      <c r="C63" s="43" t="s">
        <v>728</v>
      </c>
      <c r="D63" s="43"/>
      <c r="E63" s="25" t="s">
        <v>1041</v>
      </c>
      <c r="F63" s="26"/>
      <c r="G63" s="26"/>
      <c r="H63" s="26" t="s">
        <v>1096</v>
      </c>
      <c r="I63" s="27">
        <v>4</v>
      </c>
      <c r="J63" s="28">
        <f>IF(AND(ISNUMBER(K63),ISNUMBER(I63)),K63-I63,"")</f>
        <v>0</v>
      </c>
      <c r="K63" s="27">
        <v>23</v>
      </c>
      <c r="L63" s="28">
        <f>IF(AND(ISNUMBER(M63),ISNUMBER(K63)),M63-K63,"")</f>
        <v>0</v>
      </c>
      <c r="M63" s="27">
        <v>5</v>
      </c>
      <c r="N63" s="28">
        <f>IF(AND(ISNUMBER(O63),ISNUMBER(M63)),O63-M63,"")</f>
        <v>0</v>
      </c>
      <c r="O63" s="27">
        <v>13</v>
      </c>
      <c r="P63" s="28">
        <f>IF(AND(ISNUMBER(Q63),ISNUMBER(O63)),Q63-O63,"")</f>
        <v>0</v>
      </c>
      <c r="Q63" s="27">
        <v>21</v>
      </c>
      <c r="R63" s="28">
        <f>IF(AND(ISNUMBER(S63),ISNUMBER(Q63)),S63-Q63,"")</f>
        <v>0</v>
      </c>
      <c r="S63" s="27">
        <v>19</v>
      </c>
      <c r="T63" s="28">
        <f>IF(AND(ISNUMBER(U63),ISNUMBER(S63)),U63-S63,"")</f>
        <v>0</v>
      </c>
      <c r="U63" s="42" t="s">
        <v>1088</v>
      </c>
      <c r="V63" s="28">
        <f>IF(AND(ISNUMBER(W63),ISNUMBER(U63)),W63-U63,"")</f>
        <v>0</v>
      </c>
      <c r="W63" s="27">
        <v>11</v>
      </c>
      <c r="X63" s="28">
        <f>IF(AND(ISNUMBER(Y63),ISNUMBER(W63)),Y63-W63,"")</f>
        <v>0</v>
      </c>
      <c r="Y63" s="27">
        <v>4</v>
      </c>
      <c r="Z63" s="28">
        <f>IF(AND(ISNUMBER(AA63),ISNUMBER(Y63)),AA63-Y63,"")</f>
        <v>0</v>
      </c>
      <c r="AA63" s="27">
        <v>1</v>
      </c>
      <c r="AB63" s="28">
        <f>IF(AND(ISNUMBER(AC63),ISNUMBER(AA63)),AC63-AA63,"")</f>
        <v>0</v>
      </c>
      <c r="AC63" s="27">
        <v>8</v>
      </c>
      <c r="AD63" s="28">
        <f>IF(AND(ISNUMBER(AE63),ISNUMBER(AC63)),AE63-AC63,"")</f>
        <v>0</v>
      </c>
      <c r="AE63" s="27">
        <v>0</v>
      </c>
      <c r="AF63" s="28">
        <f>IF(AND(ISNUMBER(AG63),ISNUMBER(AE63)),AG63-AE63,"")</f>
        <v>0</v>
      </c>
      <c r="AG63" s="27">
        <v>12</v>
      </c>
      <c r="AH63" s="28">
        <f>IF(AND(ISNUMBER(AI63),ISNUMBER(AG63)),AI63-AG63,"")</f>
        <v>0</v>
      </c>
      <c r="AI63" s="27">
        <v>30</v>
      </c>
      <c r="AJ63" s="28">
        <f>IF(AND(ISNUMBER(AK63),ISNUMBER(AI63)),AK63-AI63,"")</f>
        <v>0</v>
      </c>
      <c r="AK63" s="27">
        <v>30</v>
      </c>
      <c r="AL63" s="28">
        <f>IF(AND(ISNUMBER(AM63),ISNUMBER(AK63)),AM63-AK63,"")</f>
        <v>0</v>
      </c>
      <c r="AM63" s="27">
        <v>10</v>
      </c>
      <c r="AN63" s="28">
        <f>IF(AND(ISNUMBER(AO63),ISNUMBER(AM63)),AO63-AM63,"")</f>
        <v>0</v>
      </c>
      <c r="AO63" s="27">
        <v>41</v>
      </c>
      <c r="AP63" s="28">
        <f>IF(AND(ISNUMBER(AQ63),ISNUMBER(AO63)),AQ63-AO63,"")</f>
        <v>0</v>
      </c>
      <c r="AQ63" s="27">
        <v>48</v>
      </c>
      <c r="AR63" s="28">
        <f>IF(AND(ISNUMBER(AS63),ISNUMBER(AQ63)),AS63-AQ63,"")</f>
        <v>0</v>
      </c>
      <c r="AS63" s="27">
        <v>33</v>
      </c>
      <c r="AT63" s="28">
        <f>IF(AND(ISNUMBER(AU63),ISNUMBER(AS63)),AU63-AS63,"")</f>
        <v>0</v>
      </c>
      <c r="AU63" s="27">
        <v>14</v>
      </c>
      <c r="AV63" s="28">
        <f>IF(AND(ISNUMBER(AW63),ISNUMBER(AU63)),AW63-AU63,"")</f>
        <v>0</v>
      </c>
      <c r="AW63" s="27">
        <v>0</v>
      </c>
      <c r="AX63" s="28">
        <f>IF(AND(ISNUMBER(AY63),ISNUMBER(AW63)),AY63-AW63,"")</f>
        <v>0</v>
      </c>
      <c r="AY63" s="27">
        <v>19</v>
      </c>
      <c r="AZ63" s="28">
        <f>IF(AND(ISNUMBER(BA63),ISNUMBER(AY63)),BA63-AY63,"")</f>
        <v>0</v>
      </c>
      <c r="BA63" s="27">
        <v>19</v>
      </c>
      <c r="BB63" s="28">
        <f>IF(AND(ISNUMBER(BC63),ISNUMBER(BA63)),BC63-BA63,"")</f>
        <v>0</v>
      </c>
      <c r="BC63" s="27">
        <v>7</v>
      </c>
      <c r="BD63" s="28">
        <f>IF(AND(ISNUMBER(BE63),ISNUMBER(BC63)),BE63-BC63,"")</f>
        <v>0</v>
      </c>
      <c r="BE63" s="27">
        <v>14</v>
      </c>
      <c r="BF63" s="28">
        <f>IF(AND(ISNUMBER(BG63),ISNUMBER(BE63)),BG63-BE63,"")</f>
        <v>0</v>
      </c>
      <c r="BG63" s="27">
        <v>30</v>
      </c>
      <c r="BH63" s="28">
        <f>IF(AND(ISNUMBER(BI63),ISNUMBER(BG63)),BI63-BG63,"")</f>
        <v>0</v>
      </c>
      <c r="BI63" s="27">
        <v>15</v>
      </c>
      <c r="BJ63" s="28">
        <f>IF(AND(ISNUMBER(BK63),ISNUMBER(BI63)),BK63-BI63,"")</f>
        <v>0</v>
      </c>
      <c r="BK63" s="27">
        <v>1</v>
      </c>
      <c r="BL63" s="28">
        <f>IF(AND(ISNUMBER(BM63),ISNUMBER(BK63)),BM63-BK63,"")</f>
        <v>0</v>
      </c>
      <c r="BM63" s="27">
        <v>11</v>
      </c>
      <c r="BN63" s="28">
        <f>IF(AND(ISNUMBER(BO63),ISNUMBER(BM63)),BO63-BM63,"")</f>
        <v>0</v>
      </c>
      <c r="BO63" s="27">
        <v>18</v>
      </c>
      <c r="BP63" s="28">
        <f>IF(AND(ISNUMBER(BQ63),ISNUMBER(BO63)),BQ63-BO63,"")</f>
        <v>0</v>
      </c>
      <c r="BQ63" s="27">
        <v>19</v>
      </c>
      <c r="BR63" s="28">
        <f>IF(AND(ISNUMBER(BS63),ISNUMBER(BQ63)),BS63-BQ63,"")</f>
        <v>0</v>
      </c>
      <c r="BS63" s="27">
        <v>12</v>
      </c>
      <c r="BT63" s="28">
        <f>IF(AND(ISNUMBER(BU63),ISNUMBER(BS63)),BU63-BS63,"")</f>
        <v>0</v>
      </c>
      <c r="BU63" s="27">
        <v>21</v>
      </c>
      <c r="BV63" s="28">
        <f>IF(AND(ISNUMBER(BW63),ISNUMBER(BU63)),BW63-BU63,"")</f>
        <v>0</v>
      </c>
      <c r="BW63" s="27">
        <v>7</v>
      </c>
      <c r="BX63" s="28">
        <f>IF(AND(ISNUMBER(BY63),ISNUMBER(BW63)),BY63-BW63,"")</f>
        <v>0</v>
      </c>
      <c r="BY63" s="27">
        <v>28</v>
      </c>
      <c r="BZ63" s="28">
        <f>IF(AND(ISNUMBER(CA63),ISNUMBER(BY63)),CA63-BY63,"")</f>
        <v>0</v>
      </c>
      <c r="CA63" s="27">
        <v>34</v>
      </c>
      <c r="CB63" s="28">
        <f>IF(AND(ISNUMBER(CC63),ISNUMBER(CA63)),CC63-CA63,"")</f>
        <v>0</v>
      </c>
      <c r="CC63" s="27">
        <v>11</v>
      </c>
      <c r="CD63" s="28">
        <f>IF(AND(ISNUMBER(CE63),ISNUMBER(CC63)),CE63-CC63,"")</f>
        <v>0</v>
      </c>
      <c r="CE63" s="27">
        <v>7</v>
      </c>
      <c r="CF63" s="28">
        <f>IF(AND(ISNUMBER(CG63),ISNUMBER(CE63)),CG63-CE63,"")</f>
        <v>0</v>
      </c>
      <c r="CG63" s="27">
        <v>4</v>
      </c>
      <c r="CH63" s="28">
        <f>IF(AND(ISNUMBER(CI63),ISNUMBER(CG63)),CI63-CG63,"")</f>
        <v>0</v>
      </c>
      <c r="CI63" s="27">
        <v>4</v>
      </c>
      <c r="CJ63" s="28">
        <f>IF(AND(ISNUMBER(CK63),ISNUMBER(CI63)),CK63-CI63,"")</f>
        <v>0</v>
      </c>
      <c r="CK63" s="27">
        <v>4</v>
      </c>
      <c r="CL63" s="28">
        <f>IF(AND(ISNUMBER(CM63),ISNUMBER(CK63)),CM63-CK63,"")</f>
        <v>0</v>
      </c>
      <c r="CM63" s="27">
        <v>25</v>
      </c>
      <c r="CN63" s="28">
        <f>IF(AND(ISNUMBER(CO63),ISNUMBER(CM63)),CO63-CM63,"")</f>
        <v>0</v>
      </c>
      <c r="CO63" s="27">
        <v>6</v>
      </c>
      <c r="CP63" s="28">
        <f>IF(AND(ISNUMBER(CQ63),ISNUMBER(CO63)),CQ63-CO63,"")</f>
        <v>0</v>
      </c>
      <c r="CQ63" s="27">
        <v>9</v>
      </c>
      <c r="CR63" s="28">
        <f>IF(AND(ISNUMBER(CS63),ISNUMBER(CQ63)),CS63-CQ63,"")</f>
        <v>0</v>
      </c>
      <c r="CS63" s="27">
        <v>15</v>
      </c>
      <c r="CT63" s="28">
        <f>IF(AND(ISNUMBER(CU63),ISNUMBER(CS63)),CU63-CS63,"")</f>
        <v>0</v>
      </c>
      <c r="CU63" s="27">
        <v>3</v>
      </c>
      <c r="CV63" s="28">
        <f>IF(AND(ISNUMBER(CW63),ISNUMBER(CU63)),CW63-CU63,"")</f>
        <v>0</v>
      </c>
      <c r="CW63" s="27">
        <v>6</v>
      </c>
      <c r="CX63" s="28">
        <f>IF(AND(ISNUMBER(CY63),ISNUMBER(CW63)),CY63-CW63,"")</f>
        <v>0</v>
      </c>
      <c r="CY63" s="27">
        <v>65</v>
      </c>
      <c r="CZ63" s="28">
        <f>IF(AND(ISNUMBER(DA63),ISNUMBER(CY63)),DA63-CY63,"")</f>
        <v>0</v>
      </c>
      <c r="DA63" s="27">
        <v>7</v>
      </c>
      <c r="DB63" s="28">
        <f>IF(AND(ISNUMBER(DC63),ISNUMBER(DA63)),DC63-DA63,"")</f>
        <v>0</v>
      </c>
      <c r="DC63" s="27">
        <v>7</v>
      </c>
      <c r="DD63" s="28">
        <f>IF(AND(ISNUMBER(DE63),ISNUMBER(DC63)),DE63-DC63,"")</f>
        <v>0</v>
      </c>
      <c r="DE63" s="27">
        <v>23</v>
      </c>
      <c r="DF63" s="28">
        <f>IF(AND(ISNUMBER(DG63),ISNUMBER(DE63)),DG63-DE63,"")</f>
        <v>0</v>
      </c>
      <c r="DG63" s="27">
        <v>4</v>
      </c>
      <c r="DH63" s="28">
        <f>IF(AND(ISNUMBER(DI63),ISNUMBER(DG63)),DI63-DG63,"")</f>
        <v>0</v>
      </c>
      <c r="DI63" s="27">
        <v>9</v>
      </c>
      <c r="DJ63" s="28">
        <f>IF(AND(ISNUMBER(DK63),ISNUMBER(DI63)),DK63-DI63,"")</f>
        <v>0</v>
      </c>
      <c r="DK63" s="27">
        <v>0</v>
      </c>
      <c r="DL63" s="28">
        <f>IF(AND(ISNUMBER(DM63),ISNUMBER(DK63)),DM63-DK63,"")</f>
        <v>0</v>
      </c>
      <c r="DM63" s="27">
        <v>0</v>
      </c>
      <c r="DN63" s="28">
        <f>IF(AND(ISNUMBER(DO63),ISNUMBER(DM63)),DO63-DM63,"")</f>
        <v>0</v>
      </c>
      <c r="DO63" s="27">
        <v>0</v>
      </c>
      <c r="DP63" s="28">
        <f>IF(AND(ISNUMBER(DQ63),ISNUMBER(DO63)),DQ63-DO63,"")</f>
        <v>0</v>
      </c>
      <c r="DQ63" s="27">
        <v>9</v>
      </c>
      <c r="DR63" s="28">
        <f>IF(AND(ISNUMBER(DS63),ISNUMBER(DQ63)),DS63-DQ63,"")</f>
        <v>0</v>
      </c>
      <c r="DS63" s="27">
        <v>13</v>
      </c>
      <c r="DT63" s="28">
        <f>IF(AND(ISNUMBER(DU63),ISNUMBER(DS63)),DU63-DS63,"")</f>
        <v>0</v>
      </c>
      <c r="DU63" s="27">
        <v>5</v>
      </c>
      <c r="DV63" s="28">
        <f>IF(AND(ISNUMBER(DW63),ISNUMBER(DU63)),DW63-DU63,"")</f>
        <v>0</v>
      </c>
      <c r="DW63" s="27">
        <v>4</v>
      </c>
      <c r="DX63" s="28">
        <f>IF(AND(ISNUMBER(DY63),ISNUMBER(DW63)),DY63-DW63,"")</f>
        <v>0</v>
      </c>
      <c r="DY63" s="27">
        <v>2</v>
      </c>
      <c r="DZ63" s="28">
        <f>IF(AND(ISNUMBER(EA63),ISNUMBER(DY63)),EA63-DY63,"")</f>
        <v>0</v>
      </c>
      <c r="EA63" s="27">
        <v>14</v>
      </c>
      <c r="EB63" s="28">
        <f>IF(AND(ISNUMBER(EC63),ISNUMBER(EA63)),EC63-EA63,"")</f>
        <v>0</v>
      </c>
      <c r="EC63" s="27">
        <v>0</v>
      </c>
      <c r="ED63" s="28">
        <f>IF(AND(ISNUMBER(EE63),ISNUMBER(EC63)),EE63-EC63,"")</f>
        <v>0</v>
      </c>
      <c r="EE63" s="27">
        <v>6</v>
      </c>
      <c r="EF63" s="28">
        <f>IF(AND(ISNUMBER(EG63),ISNUMBER(EE63)),EG63-EE63,"")</f>
        <v>0</v>
      </c>
      <c r="EG63" s="27">
        <v>14</v>
      </c>
      <c r="EH63" s="28">
        <f>IF(AND(ISNUMBER(EI63),ISNUMBER(EG63)),EI63-EG63,"")</f>
        <v>0</v>
      </c>
      <c r="EI63" s="27">
        <v>7</v>
      </c>
      <c r="EJ63" s="28">
        <f>IF(AND(ISNUMBER(EK63),ISNUMBER(EI63)),EK63-EI63,"")</f>
        <v>0</v>
      </c>
      <c r="EK63" s="27">
        <v>41</v>
      </c>
      <c r="EL63" s="28">
        <f>IF(AND(ISNUMBER(EM63),ISNUMBER(EK63)),EM63-EK63,"")</f>
        <v>0</v>
      </c>
      <c r="EM63" s="27">
        <v>1</v>
      </c>
      <c r="EN63" s="28">
        <f>IF(AND(ISNUMBER(EO63),ISNUMBER(EM63)),EO63-EM63,"")</f>
        <v>0</v>
      </c>
      <c r="EO63" s="27">
        <v>5</v>
      </c>
      <c r="EP63" s="28">
        <f>IF(AND(ISNUMBER(EQ63),ISNUMBER(EO63)),EQ63-EO63,"")</f>
        <v>0</v>
      </c>
      <c r="EQ63" s="27">
        <v>6</v>
      </c>
      <c r="ER63" s="28">
        <f>IF(AND(ISNUMBER(ES63),ISNUMBER(EQ63)),ES63-EQ63,"")</f>
        <v>0</v>
      </c>
      <c r="ES63" s="27">
        <v>7</v>
      </c>
      <c r="ET63" s="28">
        <f>IF(AND(ISNUMBER(EU63),ISNUMBER(ES63)),EU63-ES63,"")</f>
        <v>0</v>
      </c>
      <c r="EU63" s="27">
        <v>3</v>
      </c>
      <c r="EV63" s="28">
        <f>IF(AND(ISNUMBER(EW63),ISNUMBER(EU63)),EW63-EU63,"")</f>
        <v>0</v>
      </c>
      <c r="EW63" s="27">
        <v>5</v>
      </c>
      <c r="EX63" s="28">
        <f>IF(AND(ISNUMBER(EY63),ISNUMBER(EW63)),EY63-EW63,"")</f>
        <v>0</v>
      </c>
      <c r="EY63" s="27">
        <v>9</v>
      </c>
      <c r="EZ63" s="28">
        <f>IF(AND(ISNUMBER(FA63),ISNUMBER(EY63)),FA63-EY63,"")</f>
        <v>0</v>
      </c>
      <c r="FA63" s="27">
        <v>8</v>
      </c>
      <c r="FB63" s="28">
        <f>IF(AND(ISNUMBER(FC63),ISNUMBER(FA63)),FC63-FA63,"")</f>
        <v>0</v>
      </c>
      <c r="FC63" s="27"/>
      <c r="FD63" s="28">
        <f>IF(AND(ISNUMBER(FE63),ISNUMBER(FC63)),FE63-FC63,"")</f>
        <v>0</v>
      </c>
      <c r="FE63" s="27"/>
      <c r="FF63" s="28">
        <f>IF(AND(ISNUMBER(FG63),ISNUMBER(FE63)),FG63-FE63,"")</f>
        <v>0</v>
      </c>
      <c r="FG63" s="27"/>
      <c r="FH63" s="28">
        <f>IF(AND(ISNUMBER(FI63),ISNUMBER(FG63)),FI63-FG63,"")</f>
        <v>0</v>
      </c>
      <c r="FI63" s="27"/>
      <c r="FJ63" s="28">
        <f>IF(AND(ISNUMBER(FK63),ISNUMBER(FI63)),FK63-FI63,"")</f>
        <v>0</v>
      </c>
      <c r="FK63" s="27"/>
      <c r="FL63" s="28">
        <f>IF(AND(ISNUMBER(FM63),ISNUMBER(FK63)),FM63-FK63,"")</f>
        <v>0</v>
      </c>
      <c r="FM63" s="27"/>
      <c r="FN63" s="28">
        <f>IF(AND(ISNUMBER(FO63),ISNUMBER(FM63)),FO63-FM63,"")</f>
        <v>0</v>
      </c>
      <c r="FO63" s="27"/>
      <c r="FP63" s="28">
        <f>IF(AND(ISNUMBER(FQ63),ISNUMBER(FO63)),FQ63-FO63,"")</f>
        <v>0</v>
      </c>
      <c r="FQ63" s="27"/>
      <c r="FR63" s="28">
        <f>IF(AND(ISNUMBER(FS63),ISNUMBER(FQ63)),FS63-FQ63,"")</f>
        <v>0</v>
      </c>
      <c r="FS63" s="27"/>
      <c r="FT63" s="28">
        <f>IF(AND(ISNUMBER(FU63),ISNUMBER(FS63)),FU63-FS63,"")</f>
        <v>0</v>
      </c>
      <c r="FU63" s="27"/>
      <c r="FV63" s="28">
        <f>IF(AND(ISNUMBER(FW63),ISNUMBER(FU63)),FW63-FU63,"")</f>
        <v>0</v>
      </c>
      <c r="FW63" s="27"/>
      <c r="FX63" s="28">
        <f>IF(AND(ISNUMBER(FY63),ISNUMBER(FW63)),FY63-FW63,"")</f>
        <v>0</v>
      </c>
      <c r="FY63" s="27"/>
      <c r="FZ63" s="28">
        <f>IF(AND(ISNUMBER(GA63),ISNUMBER(FY63)),GA63-FY63,"")</f>
        <v>0</v>
      </c>
      <c r="GA63" s="27"/>
      <c r="GB63" s="28">
        <f>IF(AND(ISNUMBER(GC63),ISNUMBER(GA63)),GC63-GA63,"")</f>
        <v>0</v>
      </c>
      <c r="GC63" s="27"/>
      <c r="GD63" s="28">
        <f>IF(AND(ISNUMBER(GE63),ISNUMBER(GC63)),GE63-GC63,"")</f>
        <v>0</v>
      </c>
      <c r="GE63" s="27"/>
      <c r="GF63" s="28">
        <f>IF(AND(ISNUMBER(GG63),ISNUMBER(GE63)),GG63-GE63,"")</f>
        <v>0</v>
      </c>
      <c r="GG63" s="27"/>
      <c r="GH63" s="28">
        <f>IF(AND(ISNUMBER(GI63),ISNUMBER(GG63)),GI63-GG63,"")</f>
        <v>0</v>
      </c>
      <c r="GI63" s="27"/>
      <c r="GJ63" s="28">
        <f>IF(AND(ISNUMBER(GK63),ISNUMBER(GI63)),GK63-GI63,"")</f>
        <v>0</v>
      </c>
      <c r="GK63" s="27"/>
      <c r="GL63" s="28">
        <f>IF(AND(ISNUMBER(GM63),ISNUMBER(GK63)),GM63-GK63,"")</f>
        <v>0</v>
      </c>
      <c r="GM63" s="27"/>
      <c r="GN63" s="28">
        <f>IF(AND(ISNUMBER(GO63),ISNUMBER(GM63)),GO63-GM63,"")</f>
        <v>0</v>
      </c>
      <c r="GO63" s="27"/>
      <c r="GP63" s="28">
        <f>IF(AND(ISNUMBER(GQ63),ISNUMBER(GO63)),GQ63-GO63,"")</f>
        <v>0</v>
      </c>
      <c r="GQ63" s="27"/>
      <c r="GR63" s="28">
        <f>IF(AND(ISNUMBER(GS63),ISNUMBER(GQ63)),GS63-GQ63,"")</f>
        <v>0</v>
      </c>
      <c r="GS63" s="27"/>
      <c r="GT63" s="28">
        <f>IF(AND(ISNUMBER(GU63),ISNUMBER(GS63)),GU63-GS63,"")</f>
        <v>0</v>
      </c>
      <c r="GU63" s="27"/>
      <c r="GV63" s="28">
        <f>IF(AND(ISNUMBER(GW63),ISNUMBER(GU63)),GW63-GU63,"")</f>
        <v>0</v>
      </c>
      <c r="GW63" s="27"/>
      <c r="GX63" s="28">
        <f>IF(AND(ISNUMBER(GY63),ISNUMBER(GW63)),GY63-GW63,"")</f>
        <v>0</v>
      </c>
      <c r="GY63" s="27"/>
      <c r="GZ63" s="28">
        <f>IF(AND(ISNUMBER(HA63),ISNUMBER(GY63)),HA63-GY63,"")</f>
        <v>0</v>
      </c>
      <c r="HA63" s="27"/>
      <c r="HB63" s="28">
        <f>IF(AND(ISNUMBER(HC63),ISNUMBER(HA63)),HC63-HA63,"")</f>
        <v>0</v>
      </c>
      <c r="HC63" s="27"/>
      <c r="HD63" s="28">
        <f>IF(AND(ISNUMBER(HE63),ISNUMBER(HC63)),HE63-HC63,"")</f>
        <v>0</v>
      </c>
      <c r="HE63" s="27"/>
      <c r="HF63" s="28">
        <f>IF(AND(ISNUMBER(HG63),ISNUMBER(HE63)),HG63-HE63,"")</f>
        <v>0</v>
      </c>
      <c r="HG63" s="27"/>
      <c r="HH63" s="28">
        <f>IF(AND(ISNUMBER(HI63),ISNUMBER(HG63)),HI63-HG63,"")</f>
        <v>0</v>
      </c>
      <c r="HI63" s="27"/>
      <c r="HJ63" s="28">
        <f>IF(AND(ISNUMBER(HK63),ISNUMBER(HI63)),HK63-HI63,"")</f>
        <v>0</v>
      </c>
      <c r="HK63" s="27"/>
      <c r="HL63" s="28">
        <f>IF(AND(ISNUMBER(HM63),ISNUMBER(HK63)),HM63-HK63,"")</f>
        <v>0</v>
      </c>
      <c r="HM63" s="27"/>
      <c r="HN63" s="28">
        <f>IF(AND(ISNUMBER(HO63),ISNUMBER(HM63)),HO63-HM63,"")</f>
        <v>0</v>
      </c>
      <c r="HO63" s="27"/>
      <c r="HP63" s="28">
        <f>IF(AND(ISNUMBER(HQ63),ISNUMBER(HO63)),HQ63-HO63,"")</f>
        <v>0</v>
      </c>
      <c r="HQ63" s="27"/>
      <c r="HR63" s="28">
        <f>IF(AND(ISNUMBER(HS63),ISNUMBER(HQ63)),HS63-HQ63,"")</f>
        <v>0</v>
      </c>
      <c r="HS63" s="27"/>
      <c r="HT63" s="28">
        <f>IF(AND(ISNUMBER(HU63),ISNUMBER(HS63)),HU63-HS63,"")</f>
        <v>0</v>
      </c>
      <c r="HU63" s="27"/>
      <c r="HV63" s="28">
        <f>IF(AND(ISNUMBER(HW63),ISNUMBER(HU63)),HW63-HU63,"")</f>
        <v>0</v>
      </c>
      <c r="HW63" s="27"/>
      <c r="HX63" s="28">
        <f>IF(AND(ISNUMBER(HY63),ISNUMBER(HW63)),HY63-HW63,"")</f>
        <v>0</v>
      </c>
      <c r="HY63" s="27"/>
      <c r="HZ63" s="28">
        <f>IF(AND(ISNUMBER(IA63),ISNUMBER(HY63)),IA63-HY63,"")</f>
        <v>0</v>
      </c>
      <c r="IA63" s="27"/>
      <c r="IB63" s="28">
        <f>IF(AND(ISNUMBER(IC63),ISNUMBER(IA63)),IC63-IA63,"")</f>
        <v>0</v>
      </c>
      <c r="IC63" s="27"/>
      <c r="ID63" s="28">
        <f>IF(AND(ISNUMBER(IE63),ISNUMBER(IC63)),IE63-IC63,"")</f>
        <v>0</v>
      </c>
      <c r="IE63" s="27"/>
      <c r="IF63" s="28">
        <f>IF(AND(ISNUMBER(IG63),ISNUMBER(IE63)),IG63-IE63,"")</f>
        <v>0</v>
      </c>
      <c r="IG63" s="27"/>
      <c r="IH63" s="28">
        <f>IF(AND(ISNUMBER(II63),ISNUMBER(IG63)),II63-IG63,"")</f>
        <v>0</v>
      </c>
      <c r="II63" s="27"/>
      <c r="IJ63" s="28">
        <f>IF(AND(ISNUMBER(IK63),ISNUMBER(II63)),IK63-II63,"")</f>
        <v>0</v>
      </c>
      <c r="IK63" s="27"/>
      <c r="IL63" s="28">
        <f>IF(AND(ISNUMBER(IM63),ISNUMBER(IK63)),IM63-IK63,"")</f>
        <v>0</v>
      </c>
      <c r="IM63" s="27"/>
      <c r="IN63" s="28">
        <f>IF(AND(ISNUMBER(IO63),ISNUMBER(IM63)),IO63-IM63,"")</f>
        <v>0</v>
      </c>
      <c r="IO63" s="27"/>
      <c r="IP63" s="28">
        <f>IF(AND(ISNUMBER(IQ63),ISNUMBER(IO63)),IQ63-IO63,"")</f>
        <v>0</v>
      </c>
      <c r="IQ63" s="27"/>
      <c r="IR63" s="28">
        <f>IF(AND(ISNUMBER(IS63),ISNUMBER(IQ63)),IS63-IQ63,"")</f>
        <v>0</v>
      </c>
      <c r="IS63" s="27"/>
      <c r="IT63" s="28">
        <f>IF(AND(ISNUMBER(IU63),ISNUMBER(IS63)),IU63-IS63,"")</f>
        <v>0</v>
      </c>
      <c r="IU63" s="27"/>
      <c r="IV63" s="28">
        <f>IF(AND(ISNUMBER(IW63),ISNUMBER(IU63)),IW63-IU63,"")</f>
        <v>0</v>
      </c>
      <c r="IW63" s="27"/>
      <c r="IX63" s="28">
        <f>IF(AND(ISNUMBER(IY63),ISNUMBER(IW63)),IY63-IW63,"")</f>
        <v>0</v>
      </c>
      <c r="IY63" s="27"/>
      <c r="IZ63" s="28">
        <f>IF(AND(ISNUMBER(JA63),ISNUMBER(IY63)),JA63-IY63,"")</f>
        <v>0</v>
      </c>
      <c r="JA63" s="27"/>
      <c r="JB63" s="28">
        <f>IF(AND(ISNUMBER(JC63),ISNUMBER(JA63)),JC63-JA63,"")</f>
        <v>0</v>
      </c>
      <c r="JC63" s="27"/>
      <c r="JD63" s="28">
        <f>IF(AND(ISNUMBER(JE63),ISNUMBER(JC63)),JE63-JC63,"")</f>
        <v>0</v>
      </c>
      <c r="JE63" s="27"/>
      <c r="JF63" s="28">
        <f>IF(AND(ISNUMBER(JG63),ISNUMBER(JE63)),JG63-JE63,"")</f>
        <v>0</v>
      </c>
      <c r="JG63" s="27"/>
      <c r="JH63" s="28">
        <f>IF(AND(ISNUMBER(JI63),ISNUMBER(JG63)),JI63-JG63,"")</f>
        <v>0</v>
      </c>
      <c r="JI63" s="27"/>
      <c r="JJ63" s="28">
        <f>IF(AND(ISNUMBER(JK63),ISNUMBER(JI63)),JK63-JI63,"")</f>
        <v>0</v>
      </c>
      <c r="JK63" s="27"/>
      <c r="JL63" s="28">
        <f>IF(AND(ISNUMBER(JM63),ISNUMBER(JK63)),JM63-JK63,"")</f>
        <v>0</v>
      </c>
      <c r="JM63" s="27"/>
      <c r="JN63" s="28">
        <f>IF(AND(ISNUMBER(JO63),ISNUMBER(JM63)),JO63-JM63,"")</f>
        <v>0</v>
      </c>
      <c r="JO63" s="27"/>
      <c r="JP63" s="28">
        <f>IF(AND(ISNUMBER(JQ63),ISNUMBER(JO63)),JQ63-JO63,"")</f>
        <v>0</v>
      </c>
      <c r="JQ63" s="27"/>
      <c r="JR63" s="28">
        <f>IF(AND(ISNUMBER(JS63),ISNUMBER(JQ63)),JS63-JQ63,"")</f>
        <v>0</v>
      </c>
      <c r="JS63" s="27"/>
      <c r="JT63" s="28">
        <f>IF(AND(ISNUMBER(JU63),ISNUMBER(JS63)),JU63-JS63,"")</f>
        <v>0</v>
      </c>
      <c r="JU63" s="27"/>
      <c r="JV63" s="28">
        <f>IF(AND(ISNUMBER(JW63),ISNUMBER(JU63)),JW63-JU63,"")</f>
        <v>0</v>
      </c>
      <c r="JW63" s="27"/>
      <c r="JX63" s="28">
        <f>IF(AND(ISNUMBER(JY63),ISNUMBER(JW63)),JY63-JW63,"")</f>
        <v>0</v>
      </c>
      <c r="JY63" s="27"/>
      <c r="JZ63" s="28">
        <f>IF(AND(ISNUMBER(KA63),ISNUMBER(JY63)),KA63-JY63,"")</f>
        <v>0</v>
      </c>
      <c r="KA63" s="27"/>
      <c r="KB63" s="28">
        <f>IF(AND(ISNUMBER(KC63),ISNUMBER(KA63)),KC63-KA63,"")</f>
        <v>0</v>
      </c>
      <c r="KC63" s="27"/>
      <c r="KD63" s="28">
        <f>IF(AND(ISNUMBER(KE63),ISNUMBER(KC63)),KE63-KC63,"")</f>
        <v>0</v>
      </c>
      <c r="KE63" s="27"/>
      <c r="KF63" s="28">
        <f>IF(AND(ISNUMBER(KG63),ISNUMBER(KE63)),KG63-KE63,"")</f>
        <v>0</v>
      </c>
      <c r="KG63" s="27"/>
      <c r="KH63" s="28">
        <f>IF(AND(ISNUMBER(KI63),ISNUMBER(KG63)),KI63-KG63,"")</f>
        <v>0</v>
      </c>
      <c r="KI63" s="27"/>
      <c r="KJ63" s="28">
        <f>IF(AND(ISNUMBER(KK63),ISNUMBER(KI63)),KK63-KI63,"")</f>
        <v>0</v>
      </c>
      <c r="KK63" s="27"/>
      <c r="KL63" s="28">
        <f>IF(AND(ISNUMBER(KM63),ISNUMBER(KK63)),KM63-KK63,"")</f>
        <v>0</v>
      </c>
      <c r="KM63" s="27"/>
      <c r="KN63" s="28">
        <f>IF(AND(ISNUMBER(KO63),ISNUMBER(KM63)),KO63-KM63,"")</f>
        <v>0</v>
      </c>
      <c r="KO63" s="27"/>
      <c r="KP63" s="28">
        <f>IF(AND(ISNUMBER(KQ63),ISNUMBER(KO63)),KQ63-KO63,"")</f>
        <v>0</v>
      </c>
      <c r="KQ63" s="27"/>
      <c r="KR63" s="28">
        <f>IF(AND(ISNUMBER(KS63),ISNUMBER(KQ63)),KS63-KQ63,"")</f>
        <v>0</v>
      </c>
      <c r="KS63" s="27"/>
      <c r="KT63" s="28">
        <f>IF(AND(ISNUMBER(KU63),ISNUMBER(KS63)),KU63-KS63,"")</f>
        <v>0</v>
      </c>
      <c r="KU63" s="27"/>
      <c r="KV63" s="28">
        <f>IF(AND(ISNUMBER(KW63),ISNUMBER(KU63)),KW63-KU63,"")</f>
        <v>0</v>
      </c>
      <c r="KW63" s="27"/>
      <c r="KX63" s="28">
        <f>IF(AND(ISNUMBER(KY63),ISNUMBER(KW63)),KY63-KW63,"")</f>
        <v>0</v>
      </c>
      <c r="KY63" s="27"/>
      <c r="KZ63" s="28">
        <f>IF(AND(ISNUMBER(LA63),ISNUMBER(KY63)),LA63-KY63,"")</f>
        <v>0</v>
      </c>
      <c r="LA63" s="27"/>
      <c r="LB63" s="28">
        <f>IF(AND(ISNUMBER(LC63),ISNUMBER(LA63)),LC63-LA63,"")</f>
        <v>0</v>
      </c>
      <c r="LC63" s="27"/>
      <c r="LD63" s="28">
        <f>IF(AND(ISNUMBER(LE63),ISNUMBER(LC63)),LE63-LC63,"")</f>
        <v>0</v>
      </c>
      <c r="LE63" s="27"/>
      <c r="LF63" s="28">
        <f>IF(AND(ISNUMBER(LG63),ISNUMBER(LE63)),LG63-LE63,"")</f>
        <v>0</v>
      </c>
      <c r="LG63" s="27"/>
      <c r="LH63" s="30"/>
      <c r="LI63" s="30"/>
      <c r="LJ63" s="30"/>
    </row>
    <row r="64" spans="1:322">
      <c r="A64" s="22" t="s">
        <v>102</v>
      </c>
      <c r="B64" s="23" t="s">
        <v>1103</v>
      </c>
      <c r="C64" s="43" t="s">
        <v>728</v>
      </c>
      <c r="D64" s="43"/>
      <c r="E64" s="25" t="s">
        <v>1104</v>
      </c>
      <c r="F64" s="26"/>
      <c r="G64" s="26"/>
      <c r="H64" s="26" t="s">
        <v>1105</v>
      </c>
      <c r="I64" s="27">
        <v>7080</v>
      </c>
      <c r="J64" s="28">
        <f>IF(AND(ISNUMBER(K64),ISNUMBER(I64)),K64-I64,"")</f>
        <v>0</v>
      </c>
      <c r="K64" s="27">
        <v>6733</v>
      </c>
      <c r="L64" s="28">
        <f>IF(AND(ISNUMBER(M64),ISNUMBER(K64)),M64-K64,"")</f>
        <v>0</v>
      </c>
      <c r="M64" s="27">
        <v>23634</v>
      </c>
      <c r="N64" s="28">
        <f>IF(AND(ISNUMBER(O64),ISNUMBER(M64)),O64-M64,"")</f>
        <v>0</v>
      </c>
      <c r="O64" s="27">
        <v>22033</v>
      </c>
      <c r="P64" s="28">
        <f>IF(AND(ISNUMBER(Q64),ISNUMBER(O64)),Q64-O64,"")</f>
        <v>0</v>
      </c>
      <c r="Q64" s="27">
        <v>6755</v>
      </c>
      <c r="R64" s="28">
        <f>IF(AND(ISNUMBER(S64),ISNUMBER(Q64)),S64-Q64,"")</f>
        <v>0</v>
      </c>
      <c r="S64" s="27">
        <v>8092</v>
      </c>
      <c r="T64" s="28">
        <f>IF(AND(ISNUMBER(U64),ISNUMBER(S64)),U64-S64,"")</f>
        <v>0</v>
      </c>
      <c r="U64" s="27">
        <v>9677</v>
      </c>
      <c r="V64" s="28">
        <f>IF(AND(ISNUMBER(W64),ISNUMBER(U64)),W64-U64,"")</f>
        <v>0</v>
      </c>
      <c r="W64" s="27">
        <v>9976</v>
      </c>
      <c r="X64" s="28">
        <f>IF(AND(ISNUMBER(Y64),ISNUMBER(W64)),Y64-W64,"")</f>
        <v>0</v>
      </c>
      <c r="Y64" s="27">
        <v>10246</v>
      </c>
      <c r="Z64" s="28">
        <f>IF(AND(ISNUMBER(AA64),ISNUMBER(Y64)),AA64-Y64,"")</f>
        <v>0</v>
      </c>
      <c r="AA64" s="27">
        <v>10526</v>
      </c>
      <c r="AB64" s="28">
        <f>IF(AND(ISNUMBER(AC64),ISNUMBER(AA64)),AC64-AA64,"")</f>
        <v>0</v>
      </c>
      <c r="AC64" s="27">
        <v>13173</v>
      </c>
      <c r="AD64" s="28">
        <f>IF(AND(ISNUMBER(AE64),ISNUMBER(AC64)),AE64-AC64,"")</f>
        <v>0</v>
      </c>
      <c r="AE64" s="27">
        <v>14309</v>
      </c>
      <c r="AF64" s="28">
        <f>IF(AND(ISNUMBER(AG64),ISNUMBER(AE64)),AG64-AE64,"")</f>
        <v>0</v>
      </c>
      <c r="AG64" s="27">
        <v>18334</v>
      </c>
      <c r="AH64" s="28">
        <f>IF(AND(ISNUMBER(AI64),ISNUMBER(AG64)),AI64-AG64,"")</f>
        <v>0</v>
      </c>
      <c r="AI64" s="27">
        <v>18587</v>
      </c>
      <c r="AJ64" s="28">
        <f>IF(AND(ISNUMBER(AK64),ISNUMBER(AI64)),AK64-AI64,"")</f>
        <v>0</v>
      </c>
      <c r="AK64" s="27">
        <v>18808</v>
      </c>
      <c r="AL64" s="28">
        <f>IF(AND(ISNUMBER(AM64),ISNUMBER(AK64)),AM64-AK64,"")</f>
        <v>0</v>
      </c>
      <c r="AM64" s="42" t="s">
        <v>1088</v>
      </c>
      <c r="AN64" s="28">
        <f>IF(AND(ISNUMBER(AO64),ISNUMBER(AM64)),AO64-AM64,"")</f>
        <v>0</v>
      </c>
      <c r="AO64" s="27">
        <v>21739</v>
      </c>
      <c r="AP64" s="28">
        <f>IF(AND(ISNUMBER(AQ64),ISNUMBER(AO64)),AQ64-AO64,"")</f>
        <v>0</v>
      </c>
      <c r="AQ64" s="27">
        <v>21905</v>
      </c>
      <c r="AR64" s="28">
        <f>IF(AND(ISNUMBER(AS64),ISNUMBER(AQ64)),AS64-AQ64,"")</f>
        <v>0</v>
      </c>
      <c r="AS64" s="27">
        <v>42475</v>
      </c>
      <c r="AT64" s="28">
        <f>IF(AND(ISNUMBER(AU64),ISNUMBER(AS64)),AU64-AS64,"")</f>
        <v>0</v>
      </c>
      <c r="AU64" s="27">
        <v>43984</v>
      </c>
      <c r="AV64" s="28">
        <f>IF(AND(ISNUMBER(AW64),ISNUMBER(AU64)),AW64-AU64,"")</f>
        <v>0</v>
      </c>
      <c r="AW64" s="27">
        <v>38319</v>
      </c>
      <c r="AX64" s="28">
        <f>IF(AND(ISNUMBER(AY64),ISNUMBER(AW64)),AY64-AW64,"")</f>
        <v>0</v>
      </c>
      <c r="AY64" s="27">
        <v>17399</v>
      </c>
      <c r="AZ64" s="28">
        <f>IF(AND(ISNUMBER(BA64),ISNUMBER(AY64)),BA64-AY64,"")</f>
        <v>0</v>
      </c>
      <c r="BA64" s="27">
        <v>17330</v>
      </c>
      <c r="BB64" s="28">
        <f>IF(AND(ISNUMBER(BC64),ISNUMBER(BA64)),BC64-BA64,"")</f>
        <v>0</v>
      </c>
      <c r="BC64" s="27">
        <v>17706</v>
      </c>
      <c r="BD64" s="28">
        <f>IF(AND(ISNUMBER(BE64),ISNUMBER(BC64)),BE64-BC64,"")</f>
        <v>0</v>
      </c>
      <c r="BE64" s="27">
        <v>13911</v>
      </c>
      <c r="BF64" s="28">
        <f>IF(AND(ISNUMBER(BG64),ISNUMBER(BE64)),BG64-BE64,"")</f>
        <v>0</v>
      </c>
      <c r="BG64" s="27">
        <v>14126</v>
      </c>
      <c r="BH64" s="28">
        <f>IF(AND(ISNUMBER(BI64),ISNUMBER(BG64)),BI64-BG64,"")</f>
        <v>0</v>
      </c>
      <c r="BI64" s="27">
        <v>14569</v>
      </c>
      <c r="BJ64" s="28">
        <f>IF(AND(ISNUMBER(BK64),ISNUMBER(BI64)),BK64-BI64,"")</f>
        <v>0</v>
      </c>
      <c r="BK64" s="27">
        <v>15607</v>
      </c>
      <c r="BL64" s="28">
        <f>IF(AND(ISNUMBER(BM64),ISNUMBER(BK64)),BM64-BK64,"")</f>
        <v>0</v>
      </c>
      <c r="BM64" s="27">
        <v>16102</v>
      </c>
      <c r="BN64" s="28">
        <f>IF(AND(ISNUMBER(BO64),ISNUMBER(BM64)),BO64-BM64,"")</f>
        <v>0</v>
      </c>
      <c r="BO64" s="27">
        <v>16286</v>
      </c>
      <c r="BP64" s="28">
        <f>IF(AND(ISNUMBER(BQ64),ISNUMBER(BO64)),BQ64-BO64,"")</f>
        <v>0</v>
      </c>
      <c r="BQ64" s="27">
        <v>17749</v>
      </c>
      <c r="BR64" s="28">
        <f>IF(AND(ISNUMBER(BS64),ISNUMBER(BQ64)),BS64-BQ64,"")</f>
        <v>0</v>
      </c>
      <c r="BS64" s="27"/>
      <c r="BT64" s="28">
        <f>IF(AND(ISNUMBER(BU64),ISNUMBER(BS64)),BU64-BS64,"")</f>
        <v>0</v>
      </c>
      <c r="BU64" s="27">
        <v>17943</v>
      </c>
      <c r="BV64" s="28">
        <f>IF(AND(ISNUMBER(BW64),ISNUMBER(BU64)),BW64-BU64,"")</f>
        <v>0</v>
      </c>
      <c r="BW64" s="27">
        <v>18069</v>
      </c>
      <c r="BX64" s="28">
        <f>IF(AND(ISNUMBER(BY64),ISNUMBER(BW64)),BY64-BW64,"")</f>
        <v>0</v>
      </c>
      <c r="BY64" s="27">
        <v>18410</v>
      </c>
      <c r="BZ64" s="28">
        <f>IF(AND(ISNUMBER(CA64),ISNUMBER(BY64)),CA64-BY64,"")</f>
        <v>0</v>
      </c>
      <c r="CA64" s="27">
        <v>18781</v>
      </c>
      <c r="CB64" s="28">
        <f>IF(AND(ISNUMBER(CC64),ISNUMBER(CA64)),CC64-CA64,"")</f>
        <v>0</v>
      </c>
      <c r="CC64" s="27">
        <v>20478</v>
      </c>
      <c r="CD64" s="28">
        <f>IF(AND(ISNUMBER(CE64),ISNUMBER(CC64)),CE64-CC64,"")</f>
        <v>0</v>
      </c>
      <c r="CE64" s="27">
        <v>20084</v>
      </c>
      <c r="CF64" s="28">
        <f>IF(AND(ISNUMBER(CG64),ISNUMBER(CE64)),CG64-CE64,"")</f>
        <v>0</v>
      </c>
      <c r="CG64" s="27">
        <v>21344</v>
      </c>
      <c r="CH64" s="28">
        <f>IF(AND(ISNUMBER(CI64),ISNUMBER(CG64)),CI64-CG64,"")</f>
        <v>0</v>
      </c>
      <c r="CI64" s="27">
        <v>19977</v>
      </c>
      <c r="CJ64" s="28">
        <f>IF(AND(ISNUMBER(CK64),ISNUMBER(CI64)),CK64-CI64,"")</f>
        <v>0</v>
      </c>
      <c r="CK64" s="27">
        <v>22020</v>
      </c>
      <c r="CL64" s="28">
        <f>IF(AND(ISNUMBER(CM64),ISNUMBER(CK64)),CM64-CK64,"")</f>
        <v>0</v>
      </c>
      <c r="CM64" s="27">
        <v>22306</v>
      </c>
      <c r="CN64" s="28">
        <f>IF(AND(ISNUMBER(CO64),ISNUMBER(CM64)),CO64-CM64,"")</f>
        <v>0</v>
      </c>
      <c r="CO64" s="27">
        <v>22781</v>
      </c>
      <c r="CP64" s="28">
        <f>IF(AND(ISNUMBER(CQ64),ISNUMBER(CO64)),CQ64-CO64,"")</f>
        <v>0</v>
      </c>
      <c r="CQ64" s="27">
        <v>25953</v>
      </c>
      <c r="CR64" s="28">
        <f>IF(AND(ISNUMBER(CS64),ISNUMBER(CQ64)),CS64-CQ64,"")</f>
        <v>0</v>
      </c>
      <c r="CS64" s="27">
        <v>47301</v>
      </c>
      <c r="CT64" s="28">
        <f>IF(AND(ISNUMBER(CU64),ISNUMBER(CS64)),CU64-CS64,"")</f>
        <v>0</v>
      </c>
      <c r="CU64" s="27">
        <v>45291</v>
      </c>
      <c r="CV64" s="28">
        <f>IF(AND(ISNUMBER(CW64),ISNUMBER(CU64)),CW64-CU64,"")</f>
        <v>0</v>
      </c>
      <c r="CW64" s="27">
        <v>44488</v>
      </c>
      <c r="CX64" s="28">
        <f>IF(AND(ISNUMBER(CY64),ISNUMBER(CW64)),CY64-CW64,"")</f>
        <v>0</v>
      </c>
      <c r="CY64" s="27">
        <v>45400</v>
      </c>
      <c r="CZ64" s="28">
        <f>IF(AND(ISNUMBER(DA64),ISNUMBER(CY64)),DA64-CY64,"")</f>
        <v>0</v>
      </c>
      <c r="DA64" s="27">
        <v>44589</v>
      </c>
      <c r="DB64" s="28">
        <f>IF(AND(ISNUMBER(DC64),ISNUMBER(DA64)),DC64-DA64,"")</f>
        <v>0</v>
      </c>
      <c r="DC64" s="27">
        <v>35651</v>
      </c>
      <c r="DD64" s="28">
        <f>IF(AND(ISNUMBER(DE64),ISNUMBER(DC64)),DE64-DC64,"")</f>
        <v>0</v>
      </c>
      <c r="DE64" s="27">
        <v>35886</v>
      </c>
      <c r="DF64" s="28">
        <f>IF(AND(ISNUMBER(DG64),ISNUMBER(DE64)),DG64-DE64,"")</f>
        <v>0</v>
      </c>
      <c r="DG64" s="27">
        <v>36382</v>
      </c>
      <c r="DH64" s="28">
        <f>IF(AND(ISNUMBER(DI64),ISNUMBER(DG64)),DI64-DG64,"")</f>
        <v>0</v>
      </c>
      <c r="DI64" s="27">
        <v>37641</v>
      </c>
      <c r="DJ64" s="28">
        <f>IF(AND(ISNUMBER(DK64),ISNUMBER(DI64)),DK64-DI64,"")</f>
        <v>0</v>
      </c>
      <c r="DK64" s="27">
        <v>37667</v>
      </c>
      <c r="DL64" s="28">
        <f>IF(AND(ISNUMBER(DM64),ISNUMBER(DK64)),DM64-DK64,"")</f>
        <v>0</v>
      </c>
      <c r="DM64" s="27">
        <v>37939</v>
      </c>
      <c r="DN64" s="28">
        <f>IF(AND(ISNUMBER(DO64),ISNUMBER(DM64)),DO64-DM64,"")</f>
        <v>0</v>
      </c>
      <c r="DO64" s="27">
        <v>38099</v>
      </c>
      <c r="DP64" s="28">
        <f>IF(AND(ISNUMBER(DQ64),ISNUMBER(DO64)),DQ64-DO64,"")</f>
        <v>0</v>
      </c>
      <c r="DQ64" s="27">
        <v>38584</v>
      </c>
      <c r="DR64" s="28">
        <f>IF(AND(ISNUMBER(DS64),ISNUMBER(DQ64)),DS64-DQ64,"")</f>
        <v>0</v>
      </c>
      <c r="DS64" s="27">
        <v>38298</v>
      </c>
      <c r="DT64" s="28">
        <f>IF(AND(ISNUMBER(DU64),ISNUMBER(DS64)),DU64-DS64,"")</f>
        <v>0</v>
      </c>
      <c r="DU64" s="27">
        <v>38500</v>
      </c>
      <c r="DV64" s="28">
        <f>IF(AND(ISNUMBER(DW64),ISNUMBER(DU64)),DW64-DU64,"")</f>
        <v>0</v>
      </c>
      <c r="DW64" s="27">
        <v>38514</v>
      </c>
      <c r="DX64" s="28">
        <f>IF(AND(ISNUMBER(DY64),ISNUMBER(DW64)),DY64-DW64,"")</f>
        <v>0</v>
      </c>
      <c r="DY64" s="27">
        <v>39308</v>
      </c>
      <c r="DZ64" s="28">
        <f>IF(AND(ISNUMBER(EA64),ISNUMBER(DY64)),EA64-DY64,"")</f>
        <v>0</v>
      </c>
      <c r="EA64" s="27">
        <v>40054</v>
      </c>
      <c r="EB64" s="28">
        <f>IF(AND(ISNUMBER(EC64),ISNUMBER(EA64)),EC64-EA64,"")</f>
        <v>0</v>
      </c>
      <c r="EC64" s="27">
        <v>40119</v>
      </c>
      <c r="ED64" s="28">
        <f>IF(AND(ISNUMBER(EE64),ISNUMBER(EC64)),EE64-EC64,"")</f>
        <v>0</v>
      </c>
      <c r="EE64" s="27">
        <v>40568</v>
      </c>
      <c r="EF64" s="28">
        <f>IF(AND(ISNUMBER(EG64),ISNUMBER(EE64)),EG64-EE64,"")</f>
        <v>0</v>
      </c>
      <c r="EG64" s="27">
        <v>41888</v>
      </c>
      <c r="EH64" s="28">
        <f>IF(AND(ISNUMBER(EI64),ISNUMBER(EG64)),EI64-EG64,"")</f>
        <v>0</v>
      </c>
      <c r="EI64" s="27">
        <v>42225</v>
      </c>
      <c r="EJ64" s="28">
        <f>IF(AND(ISNUMBER(EK64),ISNUMBER(EI64)),EK64-EI64,"")</f>
        <v>0</v>
      </c>
      <c r="EK64" s="27">
        <v>42541</v>
      </c>
      <c r="EL64" s="28">
        <f>IF(AND(ISNUMBER(EM64),ISNUMBER(EK64)),EM64-EK64,"")</f>
        <v>0</v>
      </c>
      <c r="EM64" s="27">
        <v>42789</v>
      </c>
      <c r="EN64" s="28">
        <f>IF(AND(ISNUMBER(EO64),ISNUMBER(EM64)),EO64-EM64,"")</f>
        <v>0</v>
      </c>
      <c r="EO64" s="27">
        <v>44453</v>
      </c>
      <c r="EP64" s="28">
        <f>IF(AND(ISNUMBER(EQ64),ISNUMBER(EO64)),EQ64-EO64,"")</f>
        <v>0</v>
      </c>
      <c r="EQ64" s="27">
        <v>46157</v>
      </c>
      <c r="ER64" s="28">
        <f>IF(AND(ISNUMBER(ES64),ISNUMBER(EQ64)),ES64-EQ64,"")</f>
        <v>0</v>
      </c>
      <c r="ES64" s="27">
        <v>45977</v>
      </c>
      <c r="ET64" s="28">
        <f>IF(AND(ISNUMBER(EU64),ISNUMBER(ES64)),EU64-ES64,"")</f>
        <v>0</v>
      </c>
      <c r="EU64" s="27">
        <v>48260</v>
      </c>
      <c r="EV64" s="28">
        <f>IF(AND(ISNUMBER(EW64),ISNUMBER(EU64)),EW64-EU64,"")</f>
        <v>0</v>
      </c>
      <c r="EW64" s="27">
        <v>48329</v>
      </c>
      <c r="EX64" s="28">
        <f>IF(AND(ISNUMBER(EY64),ISNUMBER(EW64)),EY64-EW64,"")</f>
        <v>0</v>
      </c>
      <c r="EY64" s="27">
        <v>48713</v>
      </c>
      <c r="EZ64" s="28">
        <f>IF(AND(ISNUMBER(FA64),ISNUMBER(EY64)),FA64-EY64,"")</f>
        <v>0</v>
      </c>
      <c r="FA64" s="27">
        <v>39487</v>
      </c>
      <c r="FB64" s="28">
        <f>IF(AND(ISNUMBER(FC64),ISNUMBER(FA64)),FC64-FA64,"")</f>
        <v>0</v>
      </c>
      <c r="FC64" s="27">
        <v>39733</v>
      </c>
      <c r="FD64" s="28">
        <f>IF(AND(ISNUMBER(FE64),ISNUMBER(FC64)),FE64-FC64,"")</f>
        <v>0</v>
      </c>
      <c r="FE64" s="27">
        <v>39976</v>
      </c>
      <c r="FF64" s="28">
        <f>IF(AND(ISNUMBER(FG64),ISNUMBER(FE64)),FG64-FE64,"")</f>
        <v>0</v>
      </c>
      <c r="FG64" s="27">
        <v>41357</v>
      </c>
      <c r="FH64" s="28">
        <f>IF(AND(ISNUMBER(FI64),ISNUMBER(FG64)),FI64-FG64,"")</f>
        <v>0</v>
      </c>
      <c r="FI64" s="27">
        <v>42161</v>
      </c>
      <c r="FJ64" s="28">
        <f>IF(AND(ISNUMBER(FK64),ISNUMBER(FI64)),FK64-FI64,"")</f>
        <v>0</v>
      </c>
      <c r="FK64" s="27">
        <v>42260</v>
      </c>
      <c r="FL64" s="28">
        <f>IF(AND(ISNUMBER(FM64),ISNUMBER(FK64)),FM64-FK64,"")</f>
        <v>0</v>
      </c>
      <c r="FM64" s="27">
        <v>42378</v>
      </c>
      <c r="FN64" s="28">
        <f>IF(AND(ISNUMBER(FO64),ISNUMBER(FM64)),FO64-FM64,"")</f>
        <v>0</v>
      </c>
      <c r="FO64" s="27">
        <v>43046</v>
      </c>
      <c r="FP64" s="28">
        <f>IF(AND(ISNUMBER(FQ64),ISNUMBER(FO64)),FQ64-FO64,"")</f>
        <v>0</v>
      </c>
      <c r="FQ64" s="27">
        <v>44208</v>
      </c>
      <c r="FR64" s="28">
        <f>IF(AND(ISNUMBER(FS64),ISNUMBER(FQ64)),FS64-FQ64,"")</f>
        <v>0</v>
      </c>
      <c r="FS64" s="27">
        <v>44121</v>
      </c>
      <c r="FT64" s="28">
        <f>IF(AND(ISNUMBER(FU64),ISNUMBER(FS64)),FU64-FS64,"")</f>
        <v>0</v>
      </c>
      <c r="FU64" s="27">
        <v>44253</v>
      </c>
      <c r="FV64" s="28">
        <f>IF(AND(ISNUMBER(FW64),ISNUMBER(FU64)),FW64-FU64,"")</f>
        <v>0</v>
      </c>
      <c r="FW64" s="27">
        <v>44258</v>
      </c>
      <c r="FX64" s="28">
        <f>IF(AND(ISNUMBER(FY64),ISNUMBER(FW64)),FY64-FW64,"")</f>
        <v>0</v>
      </c>
      <c r="FY64" s="27">
        <v>45440</v>
      </c>
      <c r="FZ64" s="28">
        <f>IF(AND(ISNUMBER(GA64),ISNUMBER(FY64)),GA64-FY64,"")</f>
        <v>0</v>
      </c>
      <c r="GA64" s="27">
        <v>42333</v>
      </c>
      <c r="GB64" s="28">
        <f>IF(AND(ISNUMBER(GC64),ISNUMBER(GA64)),GC64-GA64,"")</f>
        <v>0</v>
      </c>
      <c r="GC64" s="27">
        <v>41831</v>
      </c>
      <c r="GD64" s="28">
        <f>IF(AND(ISNUMBER(GE64),ISNUMBER(GC64)),GE64-GC64,"")</f>
        <v>0</v>
      </c>
      <c r="GE64" s="27">
        <v>43927</v>
      </c>
      <c r="GF64" s="28">
        <f>IF(AND(ISNUMBER(GG64),ISNUMBER(GE64)),GG64-GE64,"")</f>
        <v>0</v>
      </c>
      <c r="GG64" s="27">
        <v>43946</v>
      </c>
      <c r="GH64" s="28">
        <f>IF(AND(ISNUMBER(GI64),ISNUMBER(GG64)),GI64-GG64,"")</f>
        <v>0</v>
      </c>
      <c r="GI64" s="27">
        <v>45359</v>
      </c>
      <c r="GJ64" s="28">
        <f>IF(AND(ISNUMBER(GK64),ISNUMBER(GI64)),GK64-GI64,"")</f>
        <v>0</v>
      </c>
      <c r="GK64" s="27">
        <v>46024</v>
      </c>
      <c r="GL64" s="28">
        <f>IF(AND(ISNUMBER(GM64),ISNUMBER(GK64)),GM64-GK64,"")</f>
        <v>0</v>
      </c>
      <c r="GM64" s="27">
        <v>30431</v>
      </c>
      <c r="GN64" s="28">
        <f>IF(AND(ISNUMBER(GO64),ISNUMBER(GM64)),GO64-GM64,"")</f>
        <v>0</v>
      </c>
      <c r="GO64" s="27">
        <v>19638</v>
      </c>
      <c r="GP64" s="28">
        <f>IF(AND(ISNUMBER(GQ64),ISNUMBER(GO64)),GQ64-GO64,"")</f>
        <v>0</v>
      </c>
      <c r="GQ64" s="27">
        <v>34202</v>
      </c>
      <c r="GR64" s="28">
        <f>IF(AND(ISNUMBER(GS64),ISNUMBER(GQ64)),GS64-GQ64,"")</f>
        <v>0</v>
      </c>
      <c r="GS64" s="27">
        <v>17465</v>
      </c>
      <c r="GT64" s="28">
        <f>IF(AND(ISNUMBER(GU64),ISNUMBER(GS64)),GU64-GS64,"")</f>
        <v>0</v>
      </c>
      <c r="GU64" s="27">
        <v>16082</v>
      </c>
      <c r="GV64" s="28">
        <f>IF(AND(ISNUMBER(GW64),ISNUMBER(GU64)),GW64-GU64,"")</f>
        <v>0</v>
      </c>
      <c r="GW64" s="27">
        <v>16637</v>
      </c>
      <c r="GX64" s="28">
        <f>IF(AND(ISNUMBER(GY64),ISNUMBER(GW64)),GY64-GW64,"")</f>
        <v>0</v>
      </c>
      <c r="GY64" s="27">
        <v>17943</v>
      </c>
      <c r="GZ64" s="28">
        <f>IF(AND(ISNUMBER(HA64),ISNUMBER(GY64)),HA64-GY64,"")</f>
        <v>0</v>
      </c>
      <c r="HA64" s="27">
        <v>17200</v>
      </c>
      <c r="HB64" s="28">
        <f>IF(AND(ISNUMBER(HC64),ISNUMBER(HA64)),HC64-HA64,"")</f>
        <v>0</v>
      </c>
      <c r="HC64" s="27">
        <v>16908</v>
      </c>
      <c r="HD64" s="28">
        <f>IF(AND(ISNUMBER(HE64),ISNUMBER(HC64)),HE64-HC64,"")</f>
        <v>0</v>
      </c>
      <c r="HE64" s="27">
        <v>16827</v>
      </c>
      <c r="HF64" s="28">
        <f>IF(AND(ISNUMBER(HG64),ISNUMBER(HE64)),HG64-HE64,"")</f>
        <v>0</v>
      </c>
      <c r="HG64" s="27">
        <v>17645</v>
      </c>
      <c r="HH64" s="28">
        <f>IF(AND(ISNUMBER(HI64),ISNUMBER(HG64)),HI64-HG64,"")</f>
        <v>0</v>
      </c>
      <c r="HI64" s="27">
        <v>18023</v>
      </c>
      <c r="HJ64" s="28">
        <f>IF(AND(ISNUMBER(HK64),ISNUMBER(HI64)),HK64-HI64,"")</f>
        <v>0</v>
      </c>
      <c r="HK64" s="27">
        <v>17943</v>
      </c>
      <c r="HL64" s="28">
        <f>IF(AND(ISNUMBER(HM64),ISNUMBER(HK64)),HM64-HK64,"")</f>
        <v>0</v>
      </c>
      <c r="HM64" s="27">
        <v>17883</v>
      </c>
      <c r="HN64" s="28">
        <f>IF(AND(ISNUMBER(HO64),ISNUMBER(HM64)),HO64-HM64,"")</f>
        <v>0</v>
      </c>
      <c r="HO64" s="27">
        <v>19811</v>
      </c>
      <c r="HP64" s="28">
        <f>IF(AND(ISNUMBER(HQ64),ISNUMBER(HO64)),HQ64-HO64,"")</f>
        <v>0</v>
      </c>
      <c r="HQ64" s="27">
        <v>19458</v>
      </c>
      <c r="HR64" s="28">
        <f>IF(AND(ISNUMBER(HS64),ISNUMBER(HQ64)),HS64-HQ64,"")</f>
        <v>0</v>
      </c>
      <c r="HS64" s="27">
        <v>19095</v>
      </c>
      <c r="HT64" s="28">
        <f>IF(AND(ISNUMBER(HU64),ISNUMBER(HS64)),HU64-HS64,"")</f>
        <v>0</v>
      </c>
      <c r="HU64" s="27">
        <v>18240</v>
      </c>
      <c r="HV64" s="28">
        <f>IF(AND(ISNUMBER(HW64),ISNUMBER(HU64)),HW64-HU64,"")</f>
        <v>0</v>
      </c>
      <c r="HW64" s="27">
        <v>18390</v>
      </c>
      <c r="HX64" s="28">
        <f>IF(AND(ISNUMBER(HY64),ISNUMBER(HW64)),HY64-HW64,"")</f>
        <v>0</v>
      </c>
      <c r="HY64" s="27">
        <v>18229</v>
      </c>
      <c r="HZ64" s="28">
        <f>IF(AND(ISNUMBER(IA64),ISNUMBER(HY64)),IA64-HY64,"")</f>
        <v>0</v>
      </c>
      <c r="IA64" s="27">
        <v>18086</v>
      </c>
      <c r="IB64" s="28">
        <f>IF(AND(ISNUMBER(IC64),ISNUMBER(IA64)),IC64-IA64,"")</f>
        <v>0</v>
      </c>
      <c r="IC64" s="27">
        <v>17999</v>
      </c>
      <c r="ID64" s="28">
        <f>IF(AND(ISNUMBER(IE64),ISNUMBER(IC64)),IE64-IC64,"")</f>
        <v>0</v>
      </c>
      <c r="IE64" s="27">
        <v>17765</v>
      </c>
      <c r="IF64" s="28">
        <f>IF(AND(ISNUMBER(IG64),ISNUMBER(IE64)),IG64-IE64,"")</f>
        <v>0</v>
      </c>
      <c r="IG64" s="27">
        <v>17875</v>
      </c>
      <c r="IH64" s="28">
        <f>IF(AND(ISNUMBER(II64),ISNUMBER(IG64)),II64-IG64,"")</f>
        <v>0</v>
      </c>
      <c r="II64" s="27">
        <v>19412</v>
      </c>
      <c r="IJ64" s="28">
        <f>IF(AND(ISNUMBER(IK64),ISNUMBER(II64)),IK64-II64,"")</f>
        <v>0</v>
      </c>
      <c r="IK64" s="27">
        <v>19429</v>
      </c>
      <c r="IL64" s="28">
        <f>IF(AND(ISNUMBER(IM64),ISNUMBER(IK64)),IM64-IK64,"")</f>
        <v>0</v>
      </c>
      <c r="IM64" s="27">
        <v>19505</v>
      </c>
      <c r="IN64" s="28">
        <f>IF(AND(ISNUMBER(IO64),ISNUMBER(IM64)),IO64-IM64,"")</f>
        <v>0</v>
      </c>
      <c r="IO64" s="27">
        <v>21620</v>
      </c>
      <c r="IP64" s="28">
        <f>IF(AND(ISNUMBER(IQ64),ISNUMBER(IO64)),IQ64-IO64,"")</f>
        <v>0</v>
      </c>
      <c r="IQ64" s="27">
        <v>21772</v>
      </c>
      <c r="IR64" s="28">
        <f>IF(AND(ISNUMBER(IS64),ISNUMBER(IQ64)),IS64-IQ64,"")</f>
        <v>0</v>
      </c>
      <c r="IS64" s="27">
        <v>6568</v>
      </c>
      <c r="IT64" s="28">
        <f>IF(AND(ISNUMBER(IU64),ISNUMBER(IS64)),IU64-IS64,"")</f>
        <v>0</v>
      </c>
      <c r="IU64" s="27">
        <v>6092</v>
      </c>
      <c r="IV64" s="28">
        <f>IF(AND(ISNUMBER(IW64),ISNUMBER(IU64)),IW64-IU64,"")</f>
        <v>0</v>
      </c>
      <c r="IW64" s="27">
        <v>6622</v>
      </c>
      <c r="IX64" s="28">
        <f>IF(AND(ISNUMBER(IY64),ISNUMBER(IW64)),IY64-IW64,"")</f>
        <v>0</v>
      </c>
      <c r="IY64" s="27">
        <v>6502</v>
      </c>
      <c r="IZ64" s="28">
        <f>IF(AND(ISNUMBER(JA64),ISNUMBER(IY64)),JA64-IY64,"")</f>
        <v>0</v>
      </c>
      <c r="JA64" s="27">
        <v>6150</v>
      </c>
      <c r="JB64" s="28">
        <f>IF(AND(ISNUMBER(JC64),ISNUMBER(JA64)),JC64-JA64,"")</f>
        <v>0</v>
      </c>
      <c r="JC64" s="27">
        <v>5512</v>
      </c>
      <c r="JD64" s="28">
        <f>IF(AND(ISNUMBER(JE64),ISNUMBER(JC64)),JE64-JC64,"")</f>
        <v>0</v>
      </c>
      <c r="JE64" s="27">
        <v>5284</v>
      </c>
      <c r="JF64" s="28">
        <f>IF(AND(ISNUMBER(JG64),ISNUMBER(JE64)),JG64-JE64,"")</f>
        <v>0</v>
      </c>
      <c r="JG64" s="27">
        <v>3551</v>
      </c>
      <c r="JH64" s="28">
        <f>IF(AND(ISNUMBER(JI64),ISNUMBER(JG64)),JI64-JG64,"")</f>
        <v>0</v>
      </c>
      <c r="JI64" s="27">
        <v>4291</v>
      </c>
      <c r="JJ64" s="28">
        <f>IF(AND(ISNUMBER(JK64),ISNUMBER(JI64)),JK64-JI64,"")</f>
        <v>0</v>
      </c>
      <c r="JK64" s="27">
        <v>3009</v>
      </c>
      <c r="JL64" s="28">
        <f>IF(AND(ISNUMBER(JM64),ISNUMBER(JK64)),JM64-JK64,"")</f>
        <v>0</v>
      </c>
      <c r="JM64" s="27">
        <v>3340</v>
      </c>
      <c r="JN64" s="28">
        <f>IF(AND(ISNUMBER(JO64),ISNUMBER(JM64)),JO64-JM64,"")</f>
        <v>0</v>
      </c>
      <c r="JO64" s="27">
        <v>3251</v>
      </c>
      <c r="JP64" s="28">
        <f>IF(AND(ISNUMBER(JQ64),ISNUMBER(JO64)),JQ64-JO64,"")</f>
        <v>0</v>
      </c>
      <c r="JQ64" s="27">
        <v>3664</v>
      </c>
      <c r="JR64" s="28">
        <f>IF(AND(ISNUMBER(JS64),ISNUMBER(JQ64)),JS64-JQ64,"")</f>
        <v>0</v>
      </c>
      <c r="JS64" s="27">
        <v>2756</v>
      </c>
      <c r="JT64" s="28">
        <f>IF(AND(ISNUMBER(JU64),ISNUMBER(JS64)),JU64-JS64,"")</f>
        <v>0</v>
      </c>
      <c r="JU64" s="27">
        <v>2536</v>
      </c>
      <c r="JV64" s="28">
        <f>IF(AND(ISNUMBER(JW64),ISNUMBER(JU64)),JW64-JU64,"")</f>
        <v>0</v>
      </c>
      <c r="JW64" s="27">
        <v>2635</v>
      </c>
      <c r="JX64" s="28">
        <f>IF(AND(ISNUMBER(JY64),ISNUMBER(JW64)),JY64-JW64,"")</f>
        <v>0</v>
      </c>
      <c r="JY64" s="27">
        <v>2518</v>
      </c>
      <c r="JZ64" s="28">
        <f>IF(AND(ISNUMBER(KA64),ISNUMBER(JY64)),KA64-JY64,"")</f>
        <v>0</v>
      </c>
      <c r="KA64" s="27"/>
      <c r="KB64" s="28">
        <f>IF(AND(ISNUMBER(KC64),ISNUMBER(KA64)),KC64-KA64,"")</f>
        <v>0</v>
      </c>
      <c r="KC64" s="27"/>
      <c r="KD64" s="28">
        <f>IF(AND(ISNUMBER(KE64),ISNUMBER(KC64)),KE64-KC64,"")</f>
        <v>0</v>
      </c>
      <c r="KE64" s="27"/>
      <c r="KF64" s="28">
        <f>IF(AND(ISNUMBER(KG64),ISNUMBER(KE64)),KG64-KE64,"")</f>
        <v>0</v>
      </c>
      <c r="KG64" s="27"/>
      <c r="KH64" s="28">
        <f>IF(AND(ISNUMBER(KI64),ISNUMBER(KG64)),KI64-KG64,"")</f>
        <v>0</v>
      </c>
      <c r="KI64" s="27"/>
      <c r="KJ64" s="28">
        <f>IF(AND(ISNUMBER(KK64),ISNUMBER(KI64)),KK64-KI64,"")</f>
        <v>0</v>
      </c>
      <c r="KK64" s="27"/>
      <c r="KL64" s="28">
        <f>IF(AND(ISNUMBER(KM64),ISNUMBER(KK64)),KM64-KK64,"")</f>
        <v>0</v>
      </c>
      <c r="KM64" s="27"/>
      <c r="KN64" s="28">
        <f>IF(AND(ISNUMBER(KO64),ISNUMBER(KM64)),KO64-KM64,"")</f>
        <v>0</v>
      </c>
      <c r="KO64" s="27"/>
      <c r="KP64" s="28">
        <f>IF(AND(ISNUMBER(KQ64),ISNUMBER(KO64)),KQ64-KO64,"")</f>
        <v>0</v>
      </c>
      <c r="KQ64" s="27"/>
      <c r="KR64" s="28">
        <f>IF(AND(ISNUMBER(KS64),ISNUMBER(KQ64)),KS64-KQ64,"")</f>
        <v>0</v>
      </c>
      <c r="KS64" s="27"/>
      <c r="KT64" s="28">
        <f>IF(AND(ISNUMBER(KU64),ISNUMBER(KS64)),KU64-KS64,"")</f>
        <v>0</v>
      </c>
      <c r="KU64" s="27"/>
      <c r="KV64" s="28">
        <f>IF(AND(ISNUMBER(KW64),ISNUMBER(KU64)),KW64-KU64,"")</f>
        <v>0</v>
      </c>
      <c r="KW64" s="27"/>
      <c r="KX64" s="28">
        <f>IF(AND(ISNUMBER(KY64),ISNUMBER(KW64)),KY64-KW64,"")</f>
        <v>0</v>
      </c>
      <c r="KY64" s="27"/>
      <c r="KZ64" s="28">
        <f>IF(AND(ISNUMBER(LA64),ISNUMBER(KY64)),LA64-KY64,"")</f>
        <v>0</v>
      </c>
      <c r="LA64" s="27"/>
      <c r="LB64" s="28">
        <f>IF(AND(ISNUMBER(LC64),ISNUMBER(LA64)),LC64-LA64,"")</f>
        <v>0</v>
      </c>
      <c r="LC64" s="27"/>
      <c r="LD64" s="28">
        <f>IF(AND(ISNUMBER(LE64),ISNUMBER(LC64)),LE64-LC64,"")</f>
        <v>0</v>
      </c>
      <c r="LE64" s="27"/>
      <c r="LF64" s="28">
        <f>IF(AND(ISNUMBER(LG64),ISNUMBER(LE64)),LG64-LE64,"")</f>
        <v>0</v>
      </c>
      <c r="LG64" s="27"/>
      <c r="LH64" s="30"/>
      <c r="LI64" s="30"/>
      <c r="LJ64" s="41" t="s">
        <v>1106</v>
      </c>
    </row>
    <row r="65" spans="1:322" collapsed="1">
      <c r="A65" s="36" t="s">
        <v>785</v>
      </c>
      <c r="B65" s="23"/>
      <c r="C65" s="31" t="s">
        <v>783</v>
      </c>
      <c r="H65" s="38" t="s">
        <v>1105</v>
      </c>
      <c r="I65" s="33">
        <v>7080</v>
      </c>
      <c r="J65" s="34">
        <f>IF(AND(ISNUMBER(K65),ISNUMBER(I65)),K65-I65,"")</f>
        <v>0</v>
      </c>
      <c r="K65" s="33">
        <v>6733</v>
      </c>
      <c r="L65" s="34">
        <f>IF(AND(ISNUMBER(M65),ISNUMBER(K65)),M65-K65,"")</f>
        <v>0</v>
      </c>
      <c r="M65" s="33">
        <v>23634</v>
      </c>
      <c r="N65" s="34">
        <f>IF(AND(ISNUMBER(O65),ISNUMBER(M65)),O65-M65,"")</f>
        <v>0</v>
      </c>
      <c r="O65" s="33">
        <v>22033</v>
      </c>
      <c r="P65" s="34">
        <f>IF(AND(ISNUMBER(Q65),ISNUMBER(O65)),Q65-O65,"")</f>
        <v>0</v>
      </c>
      <c r="Q65" s="33">
        <v>6755</v>
      </c>
      <c r="R65" s="34">
        <f>IF(AND(ISNUMBER(S65),ISNUMBER(Q65)),S65-Q65,"")</f>
        <v>0</v>
      </c>
      <c r="S65" s="33">
        <v>8092</v>
      </c>
      <c r="T65" s="34">
        <f>IF(AND(ISNUMBER(U65),ISNUMBER(S65)),U65-S65,"")</f>
        <v>0</v>
      </c>
      <c r="U65" s="33">
        <v>9677</v>
      </c>
      <c r="V65" s="34">
        <f>IF(AND(ISNUMBER(W65),ISNUMBER(U65)),W65-U65,"")</f>
        <v>0</v>
      </c>
      <c r="W65" s="33">
        <v>9976</v>
      </c>
      <c r="X65" s="34">
        <f>IF(AND(ISNUMBER(Y65),ISNUMBER(W65)),Y65-W65,"")</f>
        <v>0</v>
      </c>
      <c r="Y65" s="33">
        <v>10246</v>
      </c>
      <c r="Z65" s="34">
        <f>IF(AND(ISNUMBER(AA65),ISNUMBER(Y65)),AA65-Y65,"")</f>
        <v>0</v>
      </c>
      <c r="AA65" s="33">
        <v>10526</v>
      </c>
      <c r="AB65" s="34">
        <f>IF(AND(ISNUMBER(AC65),ISNUMBER(AA65)),AC65-AA65,"")</f>
        <v>0</v>
      </c>
      <c r="AC65" s="33">
        <v>13173</v>
      </c>
      <c r="AD65" s="34">
        <f>IF(AND(ISNUMBER(AE65),ISNUMBER(AC65)),AE65-AC65,"")</f>
        <v>0</v>
      </c>
      <c r="AE65" s="33">
        <v>14309</v>
      </c>
      <c r="AF65" s="34">
        <f>IF(AND(ISNUMBER(AG65),ISNUMBER(AE65)),AG65-AE65,"")</f>
        <v>0</v>
      </c>
      <c r="AG65" s="33">
        <v>18334</v>
      </c>
      <c r="AH65" s="34">
        <f>IF(AND(ISNUMBER(AI65),ISNUMBER(AG65)),AI65-AG65,"")</f>
        <v>0</v>
      </c>
      <c r="AI65" s="33">
        <v>18587</v>
      </c>
      <c r="AJ65" s="34">
        <f>IF(AND(ISNUMBER(AK65),ISNUMBER(AI65)),AK65-AI65,"")</f>
        <v>0</v>
      </c>
      <c r="AK65" s="33">
        <v>18808</v>
      </c>
      <c r="AL65" s="34">
        <f>IF(AND(ISNUMBER(AM65),ISNUMBER(AK65)),AM65-AK65,"")</f>
        <v>0</v>
      </c>
      <c r="AM65" s="40" t="s">
        <v>1088</v>
      </c>
      <c r="AN65" s="34">
        <f>IF(AND(ISNUMBER(AO65),ISNUMBER(AM65)),AO65-AM65,"")</f>
        <v>0</v>
      </c>
      <c r="AO65" s="33">
        <v>21739</v>
      </c>
      <c r="AP65" s="34">
        <f>IF(AND(ISNUMBER(AQ65),ISNUMBER(AO65)),AQ65-AO65,"")</f>
        <v>0</v>
      </c>
      <c r="AQ65" s="33">
        <v>21905</v>
      </c>
      <c r="AR65" s="34">
        <f>IF(AND(ISNUMBER(AS65),ISNUMBER(AQ65)),AS65-AQ65,"")</f>
        <v>0</v>
      </c>
      <c r="AS65" s="33">
        <v>42475</v>
      </c>
      <c r="AT65" s="34">
        <f>IF(AND(ISNUMBER(AU65),ISNUMBER(AS65)),AU65-AS65,"")</f>
        <v>0</v>
      </c>
      <c r="AU65" s="33">
        <v>43984</v>
      </c>
      <c r="AV65" s="34">
        <f>IF(AND(ISNUMBER(AW65),ISNUMBER(AU65)),AW65-AU65,"")</f>
        <v>0</v>
      </c>
      <c r="AW65" s="33">
        <v>38319</v>
      </c>
      <c r="AX65" s="34">
        <f>IF(AND(ISNUMBER(AY65),ISNUMBER(AW65)),AY65-AW65,"")</f>
        <v>0</v>
      </c>
      <c r="AY65" s="33">
        <v>17399</v>
      </c>
      <c r="AZ65" s="34">
        <f>IF(AND(ISNUMBER(BA65),ISNUMBER(AY65)),BA65-AY65,"")</f>
        <v>0</v>
      </c>
      <c r="BA65" s="33">
        <v>17330</v>
      </c>
      <c r="BB65" s="34">
        <f>IF(AND(ISNUMBER(BC65),ISNUMBER(BA65)),BC65-BA65,"")</f>
        <v>0</v>
      </c>
      <c r="BC65" s="33">
        <v>17706</v>
      </c>
      <c r="BD65" s="34">
        <f>IF(AND(ISNUMBER(BE65),ISNUMBER(BC65)),BE65-BC65,"")</f>
        <v>0</v>
      </c>
      <c r="BE65" s="33">
        <v>13911</v>
      </c>
      <c r="BF65" s="34">
        <f>IF(AND(ISNUMBER(BG65),ISNUMBER(BE65)),BG65-BE65,"")</f>
        <v>0</v>
      </c>
      <c r="BG65" s="33">
        <v>14126</v>
      </c>
      <c r="BH65" s="34">
        <f>IF(AND(ISNUMBER(BI65),ISNUMBER(BG65)),BI65-BG65,"")</f>
        <v>0</v>
      </c>
      <c r="BI65" s="33">
        <v>14569</v>
      </c>
      <c r="BJ65" s="34">
        <f>IF(AND(ISNUMBER(BK65),ISNUMBER(BI65)),BK65-BI65,"")</f>
        <v>0</v>
      </c>
      <c r="BK65" s="33">
        <v>15607</v>
      </c>
      <c r="BL65" s="34">
        <f>IF(AND(ISNUMBER(BM65),ISNUMBER(BK65)),BM65-BK65,"")</f>
        <v>0</v>
      </c>
      <c r="BM65" s="33">
        <v>16102</v>
      </c>
      <c r="BN65" s="34">
        <f>IF(AND(ISNUMBER(BO65),ISNUMBER(BM65)),BO65-BM65,"")</f>
        <v>0</v>
      </c>
      <c r="BO65" s="33">
        <v>16286</v>
      </c>
      <c r="BP65" s="34">
        <f>IF(AND(ISNUMBER(BQ65),ISNUMBER(BO65)),BQ65-BO65,"")</f>
        <v>0</v>
      </c>
      <c r="BQ65" s="33">
        <v>17749</v>
      </c>
      <c r="BR65" s="34">
        <f>IF(AND(ISNUMBER(BS65),ISNUMBER(BQ65)),BS65-BQ65,"")</f>
        <v>0</v>
      </c>
      <c r="BS65" s="33"/>
      <c r="BT65" s="34">
        <f>IF(AND(ISNUMBER(BU65),ISNUMBER(BS65)),BU65-BS65,"")</f>
        <v>0</v>
      </c>
      <c r="BU65" s="33">
        <v>17943</v>
      </c>
      <c r="BV65" s="34">
        <f>IF(AND(ISNUMBER(BW65),ISNUMBER(BU65)),BW65-BU65,"")</f>
        <v>0</v>
      </c>
      <c r="BW65" s="33">
        <v>18069</v>
      </c>
      <c r="BX65" s="34">
        <f>IF(AND(ISNUMBER(BY65),ISNUMBER(BW65)),BY65-BW65,"")</f>
        <v>0</v>
      </c>
      <c r="BY65" s="33"/>
      <c r="BZ65" s="34">
        <f>IF(AND(ISNUMBER(CA65),ISNUMBER(BY65)),CA65-BY65,"")</f>
        <v>0</v>
      </c>
      <c r="CA65" s="33">
        <v>500</v>
      </c>
      <c r="CB65" s="34">
        <f>IF(AND(ISNUMBER(CC65),ISNUMBER(CA65)),CC65-CA65,"")</f>
        <v>0</v>
      </c>
      <c r="CC65" s="33">
        <v>1000</v>
      </c>
      <c r="CD65" s="34">
        <f>IF(AND(ISNUMBER(CE65),ISNUMBER(CC65)),CE65-CC65,"")</f>
        <v>0</v>
      </c>
      <c r="CE65" s="33">
        <v>150</v>
      </c>
      <c r="CF65" s="34">
        <f>IF(AND(ISNUMBER(CG65),ISNUMBER(CE65)),CG65-CE65,"")</f>
        <v>0</v>
      </c>
      <c r="CG65" s="33">
        <v>500</v>
      </c>
      <c r="CH65" s="34">
        <f>IF(AND(ISNUMBER(CI65),ISNUMBER(CG65)),CI65-CG65,"")</f>
        <v>0</v>
      </c>
      <c r="CI65" s="33">
        <v>2000</v>
      </c>
      <c r="CJ65" s="34">
        <f>IF(AND(ISNUMBER(CK65),ISNUMBER(CI65)),CK65-CI65,"")</f>
        <v>0</v>
      </c>
      <c r="CK65" s="33">
        <v>190</v>
      </c>
      <c r="CL65" s="34">
        <f>IF(AND(ISNUMBER(CM65),ISNUMBER(CK65)),CM65-CK65,"")</f>
        <v>0</v>
      </c>
      <c r="CM65" s="33">
        <v>500</v>
      </c>
      <c r="CN65" s="34">
        <f>IF(AND(ISNUMBER(CO65),ISNUMBER(CM65)),CO65-CM65,"")</f>
        <v>0</v>
      </c>
      <c r="CO65" s="33">
        <v>500</v>
      </c>
      <c r="CP65" s="34">
        <f>IF(AND(ISNUMBER(CQ65),ISNUMBER(CO65)),CQ65-CO65,"")</f>
        <v>0</v>
      </c>
      <c r="CQ65" s="33">
        <v>1000</v>
      </c>
      <c r="CR65" s="34">
        <f>IF(AND(ISNUMBER(CS65),ISNUMBER(CQ65)),CS65-CQ65,"")</f>
        <v>0</v>
      </c>
      <c r="CS65" s="33">
        <v>1000</v>
      </c>
      <c r="CT65" s="34">
        <f>IF(AND(ISNUMBER(CU65),ISNUMBER(CS65)),CU65-CS65,"")</f>
        <v>0</v>
      </c>
      <c r="CU65" s="33">
        <v>3000</v>
      </c>
      <c r="CV65" s="34">
        <f>IF(AND(ISNUMBER(CW65),ISNUMBER(CU65)),CW65-CU65,"")</f>
        <v>0</v>
      </c>
      <c r="CW65" s="33">
        <v>500</v>
      </c>
      <c r="CX65" s="34">
        <f>IF(AND(ISNUMBER(CY65),ISNUMBER(CW65)),CY65-CW65,"")</f>
        <v>0</v>
      </c>
      <c r="CY65" s="33">
        <v>345</v>
      </c>
      <c r="CZ65" s="34">
        <f>IF(AND(ISNUMBER(DA65),ISNUMBER(CY65)),DA65-CY65,"")</f>
        <v>0</v>
      </c>
      <c r="DA65" s="33"/>
      <c r="DB65" s="34">
        <f>IF(AND(ISNUMBER(DC65),ISNUMBER(DA65)),DC65-DA65,"")</f>
        <v>0</v>
      </c>
      <c r="DC65" s="33"/>
      <c r="DD65" s="34">
        <f>IF(AND(ISNUMBER(DE65),ISNUMBER(DC65)),DE65-DC65,"")</f>
        <v>0</v>
      </c>
      <c r="DE65" s="33"/>
      <c r="DF65" s="34">
        <f>IF(AND(ISNUMBER(DG65),ISNUMBER(DE65)),DG65-DE65,"")</f>
        <v>0</v>
      </c>
      <c r="DG65" s="33"/>
      <c r="DH65" s="34">
        <f>IF(AND(ISNUMBER(DI65),ISNUMBER(DG65)),DI65-DG65,"")</f>
        <v>0</v>
      </c>
      <c r="DI65" s="33"/>
      <c r="DJ65" s="34">
        <f>IF(AND(ISNUMBER(DK65),ISNUMBER(DI65)),DK65-DI65,"")</f>
        <v>0</v>
      </c>
      <c r="DK65" s="33"/>
      <c r="DL65" s="34">
        <f>IF(AND(ISNUMBER(DM65),ISNUMBER(DK65)),DM65-DK65,"")</f>
        <v>0</v>
      </c>
      <c r="DM65" s="33"/>
      <c r="DN65" s="34">
        <f>IF(AND(ISNUMBER(DO65),ISNUMBER(DM65)),DO65-DM65,"")</f>
        <v>0</v>
      </c>
      <c r="DO65" s="33"/>
      <c r="DP65" s="34">
        <f>IF(AND(ISNUMBER(DQ65),ISNUMBER(DO65)),DQ65-DO65,"")</f>
        <v>0</v>
      </c>
      <c r="DQ65" s="33"/>
      <c r="DR65" s="34">
        <f>IF(AND(ISNUMBER(DS65),ISNUMBER(DQ65)),DS65-DQ65,"")</f>
        <v>0</v>
      </c>
      <c r="DS65" s="33"/>
      <c r="DT65" s="34">
        <f>IF(AND(ISNUMBER(DU65),ISNUMBER(DS65)),DU65-DS65,"")</f>
        <v>0</v>
      </c>
      <c r="DU65" s="33"/>
      <c r="DV65" s="34">
        <f>IF(AND(ISNUMBER(DW65),ISNUMBER(DU65)),DW65-DU65,"")</f>
        <v>0</v>
      </c>
      <c r="DW65" s="33"/>
      <c r="DX65" s="34">
        <f>IF(AND(ISNUMBER(DY65),ISNUMBER(DW65)),DY65-DW65,"")</f>
        <v>0</v>
      </c>
      <c r="DY65" s="33"/>
      <c r="DZ65" s="34">
        <f>IF(AND(ISNUMBER(EA65),ISNUMBER(DY65)),EA65-DY65,"")</f>
        <v>0</v>
      </c>
      <c r="EA65" s="33"/>
      <c r="EB65" s="34">
        <f>IF(AND(ISNUMBER(EC65),ISNUMBER(EA65)),EC65-EA65,"")</f>
        <v>0</v>
      </c>
      <c r="EC65" s="33"/>
      <c r="ED65" s="34">
        <f>IF(AND(ISNUMBER(EE65),ISNUMBER(EC65)),EE65-EC65,"")</f>
        <v>0</v>
      </c>
      <c r="EE65" s="33"/>
      <c r="EF65" s="34">
        <f>IF(AND(ISNUMBER(EG65),ISNUMBER(EE65)),EG65-EE65,"")</f>
        <v>0</v>
      </c>
      <c r="EG65" s="33"/>
      <c r="EH65" s="34">
        <f>IF(AND(ISNUMBER(EI65),ISNUMBER(EG65)),EI65-EG65,"")</f>
        <v>0</v>
      </c>
      <c r="EI65" s="33"/>
      <c r="EJ65" s="34">
        <f>IF(AND(ISNUMBER(EK65),ISNUMBER(EI65)),EK65-EI65,"")</f>
        <v>0</v>
      </c>
      <c r="EK65" s="33"/>
      <c r="EL65" s="34">
        <f>IF(AND(ISNUMBER(EM65),ISNUMBER(EK65)),EM65-EK65,"")</f>
        <v>0</v>
      </c>
      <c r="EM65" s="33"/>
      <c r="EN65" s="34">
        <f>IF(AND(ISNUMBER(EO65),ISNUMBER(EM65)),EO65-EM65,"")</f>
        <v>0</v>
      </c>
      <c r="EO65" s="33"/>
      <c r="EP65" s="34">
        <f>IF(AND(ISNUMBER(EQ65),ISNUMBER(EO65)),EQ65-EO65,"")</f>
        <v>0</v>
      </c>
      <c r="EQ65" s="33"/>
      <c r="ER65" s="34">
        <f>IF(AND(ISNUMBER(ES65),ISNUMBER(EQ65)),ES65-EQ65,"")</f>
        <v>0</v>
      </c>
      <c r="ES65" s="33"/>
      <c r="ET65" s="34">
        <f>IF(AND(ISNUMBER(EU65),ISNUMBER(ES65)),EU65-ES65,"")</f>
        <v>0</v>
      </c>
      <c r="EU65" s="33"/>
      <c r="EV65" s="34">
        <f>IF(AND(ISNUMBER(EW65),ISNUMBER(EU65)),EW65-EU65,"")</f>
        <v>0</v>
      </c>
      <c r="EW65" s="33"/>
      <c r="EX65" s="34">
        <f>IF(AND(ISNUMBER(EY65),ISNUMBER(EW65)),EY65-EW65,"")</f>
        <v>0</v>
      </c>
      <c r="EY65" s="33"/>
      <c r="EZ65" s="34">
        <f>IF(AND(ISNUMBER(FA65),ISNUMBER(EY65)),FA65-EY65,"")</f>
        <v>0</v>
      </c>
      <c r="FA65" s="33"/>
      <c r="FB65" s="34">
        <f>IF(AND(ISNUMBER(FC65),ISNUMBER(FA65)),FC65-FA65,"")</f>
        <v>0</v>
      </c>
      <c r="FC65" s="33"/>
      <c r="FD65" s="34">
        <f>IF(AND(ISNUMBER(FE65),ISNUMBER(FC65)),FE65-FC65,"")</f>
        <v>0</v>
      </c>
      <c r="FE65" s="33"/>
      <c r="FF65" s="34">
        <f>IF(AND(ISNUMBER(FG65),ISNUMBER(FE65)),FG65-FE65,"")</f>
        <v>0</v>
      </c>
      <c r="FG65" s="33"/>
      <c r="FH65" s="34">
        <f>IF(AND(ISNUMBER(FI65),ISNUMBER(FG65)),FI65-FG65,"")</f>
        <v>0</v>
      </c>
      <c r="FI65" s="33"/>
      <c r="FJ65" s="34">
        <f>IF(AND(ISNUMBER(FK65),ISNUMBER(FI65)),FK65-FI65,"")</f>
        <v>0</v>
      </c>
      <c r="FK65" s="33"/>
      <c r="FL65" s="34">
        <f>IF(AND(ISNUMBER(FM65),ISNUMBER(FK65)),FM65-FK65,"")</f>
        <v>0</v>
      </c>
      <c r="FM65" s="33"/>
      <c r="FN65" s="34">
        <f>IF(AND(ISNUMBER(FO65),ISNUMBER(FM65)),FO65-FM65,"")</f>
        <v>0</v>
      </c>
      <c r="FO65" s="33"/>
      <c r="FP65" s="34">
        <f>IF(AND(ISNUMBER(FQ65),ISNUMBER(FO65)),FQ65-FO65,"")</f>
        <v>0</v>
      </c>
      <c r="FQ65" s="33"/>
      <c r="FR65" s="34">
        <f>IF(AND(ISNUMBER(FS65),ISNUMBER(FQ65)),FS65-FQ65,"")</f>
        <v>0</v>
      </c>
      <c r="FS65" s="33"/>
      <c r="FT65" s="34">
        <f>IF(AND(ISNUMBER(FU65),ISNUMBER(FS65)),FU65-FS65,"")</f>
        <v>0</v>
      </c>
      <c r="FU65" s="33"/>
      <c r="FV65" s="34">
        <f>IF(AND(ISNUMBER(FW65),ISNUMBER(FU65)),FW65-FU65,"")</f>
        <v>0</v>
      </c>
      <c r="FW65" s="33"/>
      <c r="FX65" s="34">
        <f>IF(AND(ISNUMBER(FY65),ISNUMBER(FW65)),FY65-FW65,"")</f>
        <v>0</v>
      </c>
      <c r="FY65" s="33"/>
      <c r="FZ65" s="34">
        <f>IF(AND(ISNUMBER(GA65),ISNUMBER(FY65)),GA65-FY65,"")</f>
        <v>0</v>
      </c>
      <c r="GA65" s="33"/>
      <c r="GB65" s="34">
        <f>IF(AND(ISNUMBER(GC65),ISNUMBER(GA65)),GC65-GA65,"")</f>
        <v>0</v>
      </c>
      <c r="GC65" s="33"/>
      <c r="GD65" s="34">
        <f>IF(AND(ISNUMBER(GE65),ISNUMBER(GC65)),GE65-GC65,"")</f>
        <v>0</v>
      </c>
      <c r="GE65" s="33"/>
      <c r="GF65" s="34">
        <f>IF(AND(ISNUMBER(GG65),ISNUMBER(GE65)),GG65-GE65,"")</f>
        <v>0</v>
      </c>
      <c r="GG65" s="33"/>
      <c r="GH65" s="34">
        <f>IF(AND(ISNUMBER(GI65),ISNUMBER(GG65)),GI65-GG65,"")</f>
        <v>0</v>
      </c>
      <c r="GI65" s="33"/>
      <c r="GJ65" s="34">
        <f>IF(AND(ISNUMBER(GK65),ISNUMBER(GI65)),GK65-GI65,"")</f>
        <v>0</v>
      </c>
      <c r="GK65" s="33"/>
      <c r="GL65" s="34">
        <f>IF(AND(ISNUMBER(GM65),ISNUMBER(GK65)),GM65-GK65,"")</f>
        <v>0</v>
      </c>
      <c r="GM65" s="33"/>
      <c r="GN65" s="34">
        <f>IF(AND(ISNUMBER(GO65),ISNUMBER(GM65)),GO65-GM65,"")</f>
        <v>0</v>
      </c>
      <c r="GO65" s="33"/>
      <c r="GP65" s="34">
        <f>IF(AND(ISNUMBER(GQ65),ISNUMBER(GO65)),GQ65-GO65,"")</f>
        <v>0</v>
      </c>
      <c r="GQ65" s="33"/>
      <c r="GR65" s="34">
        <f>IF(AND(ISNUMBER(GS65),ISNUMBER(GQ65)),GS65-GQ65,"")</f>
        <v>0</v>
      </c>
      <c r="GS65" s="33"/>
      <c r="GT65" s="34">
        <f>IF(AND(ISNUMBER(GU65),ISNUMBER(GS65)),GU65-GS65,"")</f>
        <v>0</v>
      </c>
      <c r="GU65" s="33"/>
      <c r="GV65" s="34">
        <f>IF(AND(ISNUMBER(GW65),ISNUMBER(GU65)),GW65-GU65,"")</f>
        <v>0</v>
      </c>
      <c r="GW65" s="33"/>
      <c r="GX65" s="34">
        <f>IF(AND(ISNUMBER(GY65),ISNUMBER(GW65)),GY65-GW65,"")</f>
        <v>0</v>
      </c>
      <c r="GY65" s="33"/>
      <c r="GZ65" s="34">
        <f>IF(AND(ISNUMBER(HA65),ISNUMBER(GY65)),HA65-GY65,"")</f>
        <v>0</v>
      </c>
      <c r="HA65" s="33"/>
      <c r="HB65" s="34">
        <f>IF(AND(ISNUMBER(HC65),ISNUMBER(HA65)),HC65-HA65,"")</f>
        <v>0</v>
      </c>
      <c r="HC65" s="33"/>
      <c r="HD65" s="34">
        <f>IF(AND(ISNUMBER(HE65),ISNUMBER(HC65)),HE65-HC65,"")</f>
        <v>0</v>
      </c>
      <c r="HE65" s="33"/>
      <c r="HF65" s="34">
        <f>IF(AND(ISNUMBER(HG65),ISNUMBER(HE65)),HG65-HE65,"")</f>
        <v>0</v>
      </c>
      <c r="HG65" s="33"/>
      <c r="HH65" s="34">
        <f>IF(AND(ISNUMBER(HI65),ISNUMBER(HG65)),HI65-HG65,"")</f>
        <v>0</v>
      </c>
      <c r="HI65" s="33"/>
      <c r="HJ65" s="34">
        <f>IF(AND(ISNUMBER(HK65),ISNUMBER(HI65)),HK65-HI65,"")</f>
        <v>0</v>
      </c>
      <c r="HK65" s="33"/>
      <c r="HL65" s="34">
        <f>IF(AND(ISNUMBER(HM65),ISNUMBER(HK65)),HM65-HK65,"")</f>
        <v>0</v>
      </c>
      <c r="HM65" s="33"/>
      <c r="HN65" s="34">
        <f>IF(AND(ISNUMBER(HO65),ISNUMBER(HM65)),HO65-HM65,"")</f>
        <v>0</v>
      </c>
      <c r="HO65" s="33"/>
      <c r="HP65" s="34">
        <f>IF(AND(ISNUMBER(HQ65),ISNUMBER(HO65)),HQ65-HO65,"")</f>
        <v>0</v>
      </c>
      <c r="HQ65" s="33"/>
      <c r="HR65" s="34">
        <f>IF(AND(ISNUMBER(HS65),ISNUMBER(HQ65)),HS65-HQ65,"")</f>
        <v>0</v>
      </c>
      <c r="HS65" s="33"/>
      <c r="HT65" s="34">
        <f>IF(AND(ISNUMBER(HU65),ISNUMBER(HS65)),HU65-HS65,"")</f>
        <v>0</v>
      </c>
      <c r="HU65" s="33"/>
      <c r="HV65" s="34">
        <f>IF(AND(ISNUMBER(HW65),ISNUMBER(HU65)),HW65-HU65,"")</f>
        <v>0</v>
      </c>
      <c r="HW65" s="33"/>
      <c r="HX65" s="34">
        <f>IF(AND(ISNUMBER(HY65),ISNUMBER(HW65)),HY65-HW65,"")</f>
        <v>0</v>
      </c>
      <c r="HY65" s="33"/>
      <c r="HZ65" s="34">
        <f>IF(AND(ISNUMBER(IA65),ISNUMBER(HY65)),IA65-HY65,"")</f>
        <v>0</v>
      </c>
      <c r="IA65" s="33"/>
      <c r="IB65" s="34">
        <f>IF(AND(ISNUMBER(IC65),ISNUMBER(IA65)),IC65-IA65,"")</f>
        <v>0</v>
      </c>
      <c r="IC65" s="33"/>
      <c r="ID65" s="34">
        <f>IF(AND(ISNUMBER(IE65),ISNUMBER(IC65)),IE65-IC65,"")</f>
        <v>0</v>
      </c>
      <c r="IE65" s="33"/>
      <c r="IF65" s="34">
        <f>IF(AND(ISNUMBER(IG65),ISNUMBER(IE65)),IG65-IE65,"")</f>
        <v>0</v>
      </c>
      <c r="IG65" s="33"/>
      <c r="IH65" s="34">
        <f>IF(AND(ISNUMBER(II65),ISNUMBER(IG65)),II65-IG65,"")</f>
        <v>0</v>
      </c>
      <c r="II65" s="33"/>
      <c r="IJ65" s="34">
        <f>IF(AND(ISNUMBER(IK65),ISNUMBER(II65)),IK65-II65,"")</f>
        <v>0</v>
      </c>
      <c r="IK65" s="33"/>
      <c r="IL65" s="34">
        <f>IF(AND(ISNUMBER(IM65),ISNUMBER(IK65)),IM65-IK65,"")</f>
        <v>0</v>
      </c>
      <c r="IM65" s="33"/>
      <c r="IN65" s="34">
        <f>IF(AND(ISNUMBER(IO65),ISNUMBER(IM65)),IO65-IM65,"")</f>
        <v>0</v>
      </c>
      <c r="IO65" s="33"/>
      <c r="IP65" s="34">
        <f>IF(AND(ISNUMBER(IQ65),ISNUMBER(IO65)),IQ65-IO65,"")</f>
        <v>0</v>
      </c>
      <c r="IQ65" s="33"/>
      <c r="IR65" s="34">
        <f>IF(AND(ISNUMBER(IS65),ISNUMBER(IQ65)),IS65-IQ65,"")</f>
        <v>0</v>
      </c>
      <c r="IS65" s="33"/>
      <c r="IT65" s="34">
        <f>IF(AND(ISNUMBER(IU65),ISNUMBER(IS65)),IU65-IS65,"")</f>
        <v>0</v>
      </c>
      <c r="IU65" s="33"/>
      <c r="IV65" s="34">
        <f>IF(AND(ISNUMBER(IW65),ISNUMBER(IU65)),IW65-IU65,"")</f>
        <v>0</v>
      </c>
      <c r="IW65" s="33"/>
      <c r="IX65" s="34">
        <f>IF(AND(ISNUMBER(IY65),ISNUMBER(IW65)),IY65-IW65,"")</f>
        <v>0</v>
      </c>
      <c r="IY65" s="33"/>
      <c r="IZ65" s="34">
        <f>IF(AND(ISNUMBER(JA65),ISNUMBER(IY65)),JA65-IY65,"")</f>
        <v>0</v>
      </c>
      <c r="JA65" s="33"/>
      <c r="JB65" s="34">
        <f>IF(AND(ISNUMBER(JC65),ISNUMBER(JA65)),JC65-JA65,"")</f>
        <v>0</v>
      </c>
      <c r="JC65" s="33"/>
      <c r="JD65" s="34">
        <f>IF(AND(ISNUMBER(JE65),ISNUMBER(JC65)),JE65-JC65,"")</f>
        <v>0</v>
      </c>
      <c r="JE65" s="33"/>
      <c r="JF65" s="34">
        <f>IF(AND(ISNUMBER(JG65),ISNUMBER(JE65)),JG65-JE65,"")</f>
        <v>0</v>
      </c>
      <c r="JG65" s="33"/>
      <c r="JH65" s="34">
        <f>IF(AND(ISNUMBER(JI65),ISNUMBER(JG65)),JI65-JG65,"")</f>
        <v>0</v>
      </c>
      <c r="JI65" s="33"/>
      <c r="JJ65" s="34">
        <f>IF(AND(ISNUMBER(JK65),ISNUMBER(JI65)),JK65-JI65,"")</f>
        <v>0</v>
      </c>
      <c r="JK65" s="33"/>
      <c r="JL65" s="34">
        <f>IF(AND(ISNUMBER(JM65),ISNUMBER(JK65)),JM65-JK65,"")</f>
        <v>0</v>
      </c>
      <c r="JM65" s="33"/>
      <c r="JN65" s="34">
        <f>IF(AND(ISNUMBER(JO65),ISNUMBER(JM65)),JO65-JM65,"")</f>
        <v>0</v>
      </c>
      <c r="JO65" s="33"/>
      <c r="JP65" s="34">
        <f>IF(AND(ISNUMBER(JQ65),ISNUMBER(JO65)),JQ65-JO65,"")</f>
        <v>0</v>
      </c>
      <c r="JQ65" s="33"/>
      <c r="JR65" s="34">
        <f>IF(AND(ISNUMBER(JS65),ISNUMBER(JQ65)),JS65-JQ65,"")</f>
        <v>0</v>
      </c>
      <c r="JS65" s="33"/>
      <c r="JT65" s="34">
        <f>IF(AND(ISNUMBER(JU65),ISNUMBER(JS65)),JU65-JS65,"")</f>
        <v>0</v>
      </c>
      <c r="JU65" s="33"/>
      <c r="JV65" s="34">
        <f>IF(AND(ISNUMBER(JW65),ISNUMBER(JU65)),JW65-JU65,"")</f>
        <v>0</v>
      </c>
      <c r="JW65" s="33"/>
      <c r="JX65" s="34">
        <f>IF(AND(ISNUMBER(JY65),ISNUMBER(JW65)),JY65-JW65,"")</f>
        <v>0</v>
      </c>
      <c r="JY65" s="33"/>
      <c r="JZ65" s="34">
        <f>IF(AND(ISNUMBER(KA65),ISNUMBER(JY65)),KA65-JY65,"")</f>
        <v>0</v>
      </c>
      <c r="KA65" s="33"/>
      <c r="KB65" s="34">
        <f>IF(AND(ISNUMBER(KC65),ISNUMBER(KA65)),KC65-KA65,"")</f>
        <v>0</v>
      </c>
      <c r="KC65" s="33"/>
      <c r="KD65" s="34">
        <f>IF(AND(ISNUMBER(KE65),ISNUMBER(KC65)),KE65-KC65,"")</f>
        <v>0</v>
      </c>
      <c r="KE65" s="33"/>
      <c r="KF65" s="34">
        <f>IF(AND(ISNUMBER(KG65),ISNUMBER(KE65)),KG65-KE65,"")</f>
        <v>0</v>
      </c>
      <c r="KG65" s="33"/>
      <c r="KH65" s="34">
        <f>IF(AND(ISNUMBER(KI65),ISNUMBER(KG65)),KI65-KG65,"")</f>
        <v>0</v>
      </c>
      <c r="KI65" s="33"/>
      <c r="KJ65" s="34">
        <f>IF(AND(ISNUMBER(KK65),ISNUMBER(KI65)),KK65-KI65,"")</f>
        <v>0</v>
      </c>
      <c r="KK65" s="33"/>
      <c r="KL65" s="34">
        <f>IF(AND(ISNUMBER(KM65),ISNUMBER(KK65)),KM65-KK65,"")</f>
        <v>0</v>
      </c>
      <c r="KM65" s="33"/>
      <c r="KN65" s="34">
        <f>IF(AND(ISNUMBER(KO65),ISNUMBER(KM65)),KO65-KM65,"")</f>
        <v>0</v>
      </c>
      <c r="KO65" s="33"/>
      <c r="KP65" s="34">
        <f>IF(AND(ISNUMBER(KQ65),ISNUMBER(KO65)),KQ65-KO65,"")</f>
        <v>0</v>
      </c>
      <c r="KQ65" s="33"/>
      <c r="KR65" s="34">
        <f>IF(AND(ISNUMBER(KS65),ISNUMBER(KQ65)),KS65-KQ65,"")</f>
        <v>0</v>
      </c>
      <c r="KS65" s="33"/>
      <c r="KT65" s="34">
        <f>IF(AND(ISNUMBER(KU65),ISNUMBER(KS65)),KU65-KS65,"")</f>
        <v>0</v>
      </c>
      <c r="KU65" s="33"/>
      <c r="KV65" s="34">
        <f>IF(AND(ISNUMBER(KW65),ISNUMBER(KU65)),KW65-KU65,"")</f>
        <v>0</v>
      </c>
      <c r="KW65" s="33"/>
      <c r="KX65" s="34">
        <f>IF(AND(ISNUMBER(KY65),ISNUMBER(KW65)),KY65-KW65,"")</f>
        <v>0</v>
      </c>
      <c r="KY65" s="33"/>
      <c r="KZ65" s="34">
        <f>IF(AND(ISNUMBER(LA65),ISNUMBER(KY65)),LA65-KY65,"")</f>
        <v>0</v>
      </c>
      <c r="LA65" s="33"/>
      <c r="LB65" s="34">
        <f>IF(AND(ISNUMBER(LC65),ISNUMBER(LA65)),LC65-LA65,"")</f>
        <v>0</v>
      </c>
      <c r="LC65" s="33"/>
      <c r="LD65" s="34">
        <f>IF(AND(ISNUMBER(LE65),ISNUMBER(LC65)),LE65-LC65,"")</f>
        <v>0</v>
      </c>
      <c r="LE65" s="33"/>
      <c r="LF65" s="34">
        <f>IF(AND(ISNUMBER(LG65),ISNUMBER(LE65)),LG65-LE65,"")</f>
        <v>0</v>
      </c>
      <c r="LG65" s="33"/>
      <c r="LJ65" s="35" t="s">
        <v>1106</v>
      </c>
    </row>
    <row r="66" spans="1:322" hidden="1" outlineLevel="1">
      <c r="A66" s="36" t="s">
        <v>788</v>
      </c>
      <c r="B66" s="23"/>
      <c r="C66" s="31" t="s">
        <v>786</v>
      </c>
      <c r="E66" s="32" t="s">
        <v>1104</v>
      </c>
      <c r="H66" s="38" t="s">
        <v>1105</v>
      </c>
      <c r="I66" s="33">
        <v>7080</v>
      </c>
      <c r="J66" s="34">
        <f>IF(AND(ISNUMBER(K66),ISNUMBER(I66)),K66-I66,"")</f>
        <v>0</v>
      </c>
      <c r="K66" s="33">
        <v>6733</v>
      </c>
      <c r="L66" s="34">
        <f>IF(AND(ISNUMBER(M66),ISNUMBER(K66)),M66-K66,"")</f>
        <v>0</v>
      </c>
      <c r="M66" s="33">
        <v>23634</v>
      </c>
      <c r="N66" s="34">
        <f>IF(AND(ISNUMBER(O66),ISNUMBER(M66)),O66-M66,"")</f>
        <v>0</v>
      </c>
      <c r="O66" s="33">
        <v>22033</v>
      </c>
      <c r="P66" s="34">
        <f>IF(AND(ISNUMBER(Q66),ISNUMBER(O66)),Q66-O66,"")</f>
        <v>0</v>
      </c>
      <c r="Q66" s="33">
        <v>6755</v>
      </c>
      <c r="R66" s="34">
        <f>IF(AND(ISNUMBER(S66),ISNUMBER(Q66)),S66-Q66,"")</f>
        <v>0</v>
      </c>
      <c r="S66" s="33">
        <v>8092</v>
      </c>
      <c r="T66" s="34">
        <f>IF(AND(ISNUMBER(U66),ISNUMBER(S66)),U66-S66,"")</f>
        <v>0</v>
      </c>
      <c r="U66" s="33">
        <v>9677</v>
      </c>
      <c r="V66" s="34">
        <f>IF(AND(ISNUMBER(W66),ISNUMBER(U66)),W66-U66,"")</f>
        <v>0</v>
      </c>
      <c r="W66" s="33">
        <v>9976</v>
      </c>
      <c r="X66" s="34">
        <f>IF(AND(ISNUMBER(Y66),ISNUMBER(W66)),Y66-W66,"")</f>
        <v>0</v>
      </c>
      <c r="Y66" s="33">
        <v>10246</v>
      </c>
      <c r="Z66" s="34">
        <f>IF(AND(ISNUMBER(AA66),ISNUMBER(Y66)),AA66-Y66,"")</f>
        <v>0</v>
      </c>
      <c r="AA66" s="33">
        <v>10526</v>
      </c>
      <c r="AB66" s="34">
        <f>IF(AND(ISNUMBER(AC66),ISNUMBER(AA66)),AC66-AA66,"")</f>
        <v>0</v>
      </c>
      <c r="AC66" s="33">
        <v>13173</v>
      </c>
      <c r="AD66" s="34">
        <f>IF(AND(ISNUMBER(AE66),ISNUMBER(AC66)),AE66-AC66,"")</f>
        <v>0</v>
      </c>
      <c r="AE66" s="33">
        <v>14309</v>
      </c>
      <c r="AF66" s="34">
        <f>IF(AND(ISNUMBER(AG66),ISNUMBER(AE66)),AG66-AE66,"")</f>
        <v>0</v>
      </c>
      <c r="AG66" s="33">
        <v>18334</v>
      </c>
      <c r="AH66" s="34">
        <f>IF(AND(ISNUMBER(AI66),ISNUMBER(AG66)),AI66-AG66,"")</f>
        <v>0</v>
      </c>
      <c r="AI66" s="33">
        <v>18587</v>
      </c>
      <c r="AJ66" s="34">
        <f>IF(AND(ISNUMBER(AK66),ISNUMBER(AI66)),AK66-AI66,"")</f>
        <v>0</v>
      </c>
      <c r="AK66" s="33">
        <v>18808</v>
      </c>
      <c r="AL66" s="34">
        <f>IF(AND(ISNUMBER(AM66),ISNUMBER(AK66)),AM66-AK66,"")</f>
        <v>0</v>
      </c>
      <c r="AM66" s="40" t="s">
        <v>1088</v>
      </c>
      <c r="AN66" s="34">
        <f>IF(AND(ISNUMBER(AO66),ISNUMBER(AM66)),AO66-AM66,"")</f>
        <v>0</v>
      </c>
      <c r="AO66" s="33">
        <v>21739</v>
      </c>
      <c r="AP66" s="34">
        <f>IF(AND(ISNUMBER(AQ66),ISNUMBER(AO66)),AQ66-AO66,"")</f>
        <v>0</v>
      </c>
      <c r="AQ66" s="33">
        <v>21905</v>
      </c>
      <c r="AR66" s="34">
        <f>IF(AND(ISNUMBER(AS66),ISNUMBER(AQ66)),AS66-AQ66,"")</f>
        <v>0</v>
      </c>
      <c r="AS66" s="33">
        <v>42475</v>
      </c>
      <c r="AT66" s="34">
        <f>IF(AND(ISNUMBER(AU66),ISNUMBER(AS66)),AU66-AS66,"")</f>
        <v>0</v>
      </c>
      <c r="AU66" s="33">
        <v>43984</v>
      </c>
      <c r="AV66" s="34">
        <f>IF(AND(ISNUMBER(AW66),ISNUMBER(AU66)),AW66-AU66,"")</f>
        <v>0</v>
      </c>
      <c r="AW66" s="33">
        <v>38319</v>
      </c>
      <c r="AX66" s="34">
        <f>IF(AND(ISNUMBER(AY66),ISNUMBER(AW66)),AY66-AW66,"")</f>
        <v>0</v>
      </c>
      <c r="AY66" s="33">
        <v>17399</v>
      </c>
      <c r="AZ66" s="34">
        <f>IF(AND(ISNUMBER(BA66),ISNUMBER(AY66)),BA66-AY66,"")</f>
        <v>0</v>
      </c>
      <c r="BA66" s="33">
        <v>17330</v>
      </c>
      <c r="BB66" s="34">
        <f>IF(AND(ISNUMBER(BC66),ISNUMBER(BA66)),BC66-BA66,"")</f>
        <v>0</v>
      </c>
      <c r="BC66" s="33">
        <v>17706</v>
      </c>
      <c r="BD66" s="34">
        <f>IF(AND(ISNUMBER(BE66),ISNUMBER(BC66)),BE66-BC66,"")</f>
        <v>0</v>
      </c>
      <c r="BE66" s="33">
        <v>13911</v>
      </c>
      <c r="BF66" s="34">
        <f>IF(AND(ISNUMBER(BG66),ISNUMBER(BE66)),BG66-BE66,"")</f>
        <v>0</v>
      </c>
      <c r="BG66" s="33">
        <v>14126</v>
      </c>
      <c r="BH66" s="34">
        <f>IF(AND(ISNUMBER(BI66),ISNUMBER(BG66)),BI66-BG66,"")</f>
        <v>0</v>
      </c>
      <c r="BI66" s="33">
        <v>14569</v>
      </c>
      <c r="BJ66" s="34">
        <f>IF(AND(ISNUMBER(BK66),ISNUMBER(BI66)),BK66-BI66,"")</f>
        <v>0</v>
      </c>
      <c r="BK66" s="33">
        <v>15607</v>
      </c>
      <c r="BL66" s="34">
        <f>IF(AND(ISNUMBER(BM66),ISNUMBER(BK66)),BM66-BK66,"")</f>
        <v>0</v>
      </c>
      <c r="BM66" s="33">
        <v>16102</v>
      </c>
      <c r="BN66" s="34">
        <f>IF(AND(ISNUMBER(BO66),ISNUMBER(BM66)),BO66-BM66,"")</f>
        <v>0</v>
      </c>
      <c r="BO66" s="33">
        <v>16286</v>
      </c>
      <c r="BP66" s="34">
        <f>IF(AND(ISNUMBER(BQ66),ISNUMBER(BO66)),BQ66-BO66,"")</f>
        <v>0</v>
      </c>
      <c r="BQ66" s="33">
        <v>17749</v>
      </c>
      <c r="BR66" s="34">
        <f>IF(AND(ISNUMBER(BS66),ISNUMBER(BQ66)),BS66-BQ66,"")</f>
        <v>0</v>
      </c>
      <c r="BS66" s="33"/>
      <c r="BT66" s="34">
        <f>IF(AND(ISNUMBER(BU66),ISNUMBER(BS66)),BU66-BS66,"")</f>
        <v>0</v>
      </c>
      <c r="BU66" s="33">
        <v>17943</v>
      </c>
      <c r="BV66" s="34">
        <f>IF(AND(ISNUMBER(BW66),ISNUMBER(BU66)),BW66-BU66,"")</f>
        <v>0</v>
      </c>
      <c r="BW66" s="33">
        <v>18069</v>
      </c>
      <c r="BX66" s="34">
        <f>IF(AND(ISNUMBER(BY66),ISNUMBER(BW66)),BY66-BW66,"")</f>
        <v>0</v>
      </c>
      <c r="BY66" s="33"/>
      <c r="BZ66" s="34">
        <f>IF(AND(ISNUMBER(CA66),ISNUMBER(BY66)),CA66-BY66,"")</f>
        <v>0</v>
      </c>
      <c r="CA66" s="33">
        <v>600</v>
      </c>
      <c r="CB66" s="34">
        <f>IF(AND(ISNUMBER(CC66),ISNUMBER(CA66)),CC66-CA66,"")</f>
        <v>0</v>
      </c>
      <c r="CC66" s="33">
        <v>1371</v>
      </c>
      <c r="CD66" s="34">
        <f>IF(AND(ISNUMBER(CE66),ISNUMBER(CC66)),CE66-CC66,"")</f>
        <v>0</v>
      </c>
      <c r="CE66" s="33">
        <v>1847</v>
      </c>
      <c r="CF66" s="34">
        <f>IF(AND(ISNUMBER(CG66),ISNUMBER(CE66)),CG66-CE66,"")</f>
        <v>0</v>
      </c>
      <c r="CG66" s="33">
        <v>106</v>
      </c>
      <c r="CH66" s="34">
        <f>IF(AND(ISNUMBER(CI66),ISNUMBER(CG66)),CI66-CG66,"")</f>
        <v>0</v>
      </c>
      <c r="CI66" s="33">
        <v>633</v>
      </c>
      <c r="CJ66" s="34">
        <f>IF(AND(ISNUMBER(CK66),ISNUMBER(CI66)),CK66-CI66,"")</f>
        <v>0</v>
      </c>
      <c r="CK66" s="33">
        <v>2233</v>
      </c>
      <c r="CL66" s="34">
        <f>IF(AND(ISNUMBER(CM66),ISNUMBER(CK66)),CM66-CK66,"")</f>
        <v>0</v>
      </c>
      <c r="CM66" s="33">
        <v>786</v>
      </c>
      <c r="CN66" s="34">
        <f>IF(AND(ISNUMBER(CO66),ISNUMBER(CM66)),CO66-CM66,"")</f>
        <v>0</v>
      </c>
      <c r="CO66" s="33">
        <v>786</v>
      </c>
      <c r="CP66" s="34">
        <f>IF(AND(ISNUMBER(CQ66),ISNUMBER(CO66)),CQ66-CO66,"")</f>
        <v>0</v>
      </c>
      <c r="CQ66" s="33">
        <v>4647</v>
      </c>
      <c r="CR66" s="34">
        <f>IF(AND(ISNUMBER(CS66),ISNUMBER(CQ66)),CS66-CQ66,"")</f>
        <v>0</v>
      </c>
      <c r="CS66" s="33">
        <v>130</v>
      </c>
      <c r="CT66" s="34">
        <f>IF(AND(ISNUMBER(CU66),ISNUMBER(CS66)),CU66-CS66,"")</f>
        <v>0</v>
      </c>
      <c r="CU66" s="33">
        <v>990</v>
      </c>
      <c r="CV66" s="34">
        <f>IF(AND(ISNUMBER(CW66),ISNUMBER(CU66)),CW66-CU66,"")</f>
        <v>0</v>
      </c>
      <c r="CW66" s="33">
        <v>234</v>
      </c>
      <c r="CX66" s="34">
        <f>IF(AND(ISNUMBER(CY66),ISNUMBER(CW66)),CY66-CW66,"")</f>
        <v>0</v>
      </c>
      <c r="CY66" s="33">
        <v>235</v>
      </c>
      <c r="CZ66" s="34">
        <f>IF(AND(ISNUMBER(DA66),ISNUMBER(CY66)),DA66-CY66,"")</f>
        <v>0</v>
      </c>
      <c r="DA66" s="33"/>
      <c r="DB66" s="34">
        <f>IF(AND(ISNUMBER(DC66),ISNUMBER(DA66)),DC66-DA66,"")</f>
        <v>0</v>
      </c>
      <c r="DC66" s="33"/>
      <c r="DD66" s="34">
        <f>IF(AND(ISNUMBER(DE66),ISNUMBER(DC66)),DE66-DC66,"")</f>
        <v>0</v>
      </c>
      <c r="DE66" s="33"/>
      <c r="DF66" s="34">
        <f>IF(AND(ISNUMBER(DG66),ISNUMBER(DE66)),DG66-DE66,"")</f>
        <v>0</v>
      </c>
      <c r="DG66" s="33"/>
      <c r="DH66" s="34">
        <f>IF(AND(ISNUMBER(DI66),ISNUMBER(DG66)),DI66-DG66,"")</f>
        <v>0</v>
      </c>
      <c r="DI66" s="33"/>
      <c r="DJ66" s="34">
        <f>IF(AND(ISNUMBER(DK66),ISNUMBER(DI66)),DK66-DI66,"")</f>
        <v>0</v>
      </c>
      <c r="DK66" s="33"/>
      <c r="DL66" s="34">
        <f>IF(AND(ISNUMBER(DM66),ISNUMBER(DK66)),DM66-DK66,"")</f>
        <v>0</v>
      </c>
      <c r="DM66" s="33"/>
      <c r="DN66" s="34">
        <f>IF(AND(ISNUMBER(DO66),ISNUMBER(DM66)),DO66-DM66,"")</f>
        <v>0</v>
      </c>
      <c r="DO66" s="33"/>
      <c r="DP66" s="34">
        <f>IF(AND(ISNUMBER(DQ66),ISNUMBER(DO66)),DQ66-DO66,"")</f>
        <v>0</v>
      </c>
      <c r="DQ66" s="33"/>
      <c r="DR66" s="34">
        <f>IF(AND(ISNUMBER(DS66),ISNUMBER(DQ66)),DS66-DQ66,"")</f>
        <v>0</v>
      </c>
      <c r="DS66" s="33"/>
      <c r="DT66" s="34">
        <f>IF(AND(ISNUMBER(DU66),ISNUMBER(DS66)),DU66-DS66,"")</f>
        <v>0</v>
      </c>
      <c r="DU66" s="33"/>
      <c r="DV66" s="34">
        <f>IF(AND(ISNUMBER(DW66),ISNUMBER(DU66)),DW66-DU66,"")</f>
        <v>0</v>
      </c>
      <c r="DW66" s="33"/>
      <c r="DX66" s="34">
        <f>IF(AND(ISNUMBER(DY66),ISNUMBER(DW66)),DY66-DW66,"")</f>
        <v>0</v>
      </c>
      <c r="DY66" s="33"/>
      <c r="DZ66" s="34">
        <f>IF(AND(ISNUMBER(EA66),ISNUMBER(DY66)),EA66-DY66,"")</f>
        <v>0</v>
      </c>
      <c r="EA66" s="33"/>
      <c r="EB66" s="34">
        <f>IF(AND(ISNUMBER(EC66),ISNUMBER(EA66)),EC66-EA66,"")</f>
        <v>0</v>
      </c>
      <c r="EC66" s="33"/>
      <c r="ED66" s="34">
        <f>IF(AND(ISNUMBER(EE66),ISNUMBER(EC66)),EE66-EC66,"")</f>
        <v>0</v>
      </c>
      <c r="EE66" s="33"/>
      <c r="EF66" s="34">
        <f>IF(AND(ISNUMBER(EG66),ISNUMBER(EE66)),EG66-EE66,"")</f>
        <v>0</v>
      </c>
      <c r="EG66" s="33"/>
      <c r="EH66" s="34">
        <f>IF(AND(ISNUMBER(EI66),ISNUMBER(EG66)),EI66-EG66,"")</f>
        <v>0</v>
      </c>
      <c r="EI66" s="33"/>
      <c r="EJ66" s="34">
        <f>IF(AND(ISNUMBER(EK66),ISNUMBER(EI66)),EK66-EI66,"")</f>
        <v>0</v>
      </c>
      <c r="EK66" s="33"/>
      <c r="EL66" s="34">
        <f>IF(AND(ISNUMBER(EM66),ISNUMBER(EK66)),EM66-EK66,"")</f>
        <v>0</v>
      </c>
      <c r="EM66" s="33"/>
      <c r="EN66" s="34">
        <f>IF(AND(ISNUMBER(EO66),ISNUMBER(EM66)),EO66-EM66,"")</f>
        <v>0</v>
      </c>
      <c r="EO66" s="33"/>
      <c r="EP66" s="34">
        <f>IF(AND(ISNUMBER(EQ66),ISNUMBER(EO66)),EQ66-EO66,"")</f>
        <v>0</v>
      </c>
      <c r="EQ66" s="33"/>
      <c r="ER66" s="34">
        <f>IF(AND(ISNUMBER(ES66),ISNUMBER(EQ66)),ES66-EQ66,"")</f>
        <v>0</v>
      </c>
      <c r="ES66" s="33"/>
      <c r="ET66" s="34">
        <f>IF(AND(ISNUMBER(EU66),ISNUMBER(ES66)),EU66-ES66,"")</f>
        <v>0</v>
      </c>
      <c r="EU66" s="33"/>
      <c r="EV66" s="34">
        <f>IF(AND(ISNUMBER(EW66),ISNUMBER(EU66)),EW66-EU66,"")</f>
        <v>0</v>
      </c>
      <c r="EW66" s="33"/>
      <c r="EX66" s="34">
        <f>IF(AND(ISNUMBER(EY66),ISNUMBER(EW66)),EY66-EW66,"")</f>
        <v>0</v>
      </c>
      <c r="EY66" s="33"/>
      <c r="EZ66" s="34">
        <f>IF(AND(ISNUMBER(FA66),ISNUMBER(EY66)),FA66-EY66,"")</f>
        <v>0</v>
      </c>
      <c r="FA66" s="33"/>
      <c r="FB66" s="34">
        <f>IF(AND(ISNUMBER(FC66),ISNUMBER(FA66)),FC66-FA66,"")</f>
        <v>0</v>
      </c>
      <c r="FC66" s="33"/>
      <c r="FD66" s="34">
        <f>IF(AND(ISNUMBER(FE66),ISNUMBER(FC66)),FE66-FC66,"")</f>
        <v>0</v>
      </c>
      <c r="FE66" s="33"/>
      <c r="FF66" s="34">
        <f>IF(AND(ISNUMBER(FG66),ISNUMBER(FE66)),FG66-FE66,"")</f>
        <v>0</v>
      </c>
      <c r="FG66" s="33"/>
      <c r="FH66" s="34">
        <f>IF(AND(ISNUMBER(FI66),ISNUMBER(FG66)),FI66-FG66,"")</f>
        <v>0</v>
      </c>
      <c r="FI66" s="33"/>
      <c r="FJ66" s="34">
        <f>IF(AND(ISNUMBER(FK66),ISNUMBER(FI66)),FK66-FI66,"")</f>
        <v>0</v>
      </c>
      <c r="FK66" s="33"/>
      <c r="FL66" s="34">
        <f>IF(AND(ISNUMBER(FM66),ISNUMBER(FK66)),FM66-FK66,"")</f>
        <v>0</v>
      </c>
      <c r="FM66" s="33"/>
      <c r="FN66" s="34">
        <f>IF(AND(ISNUMBER(FO66),ISNUMBER(FM66)),FO66-FM66,"")</f>
        <v>0</v>
      </c>
      <c r="FO66" s="33"/>
      <c r="FP66" s="34">
        <f>IF(AND(ISNUMBER(FQ66),ISNUMBER(FO66)),FQ66-FO66,"")</f>
        <v>0</v>
      </c>
      <c r="FQ66" s="33"/>
      <c r="FR66" s="34">
        <f>IF(AND(ISNUMBER(FS66),ISNUMBER(FQ66)),FS66-FQ66,"")</f>
        <v>0</v>
      </c>
      <c r="FS66" s="33"/>
      <c r="FT66" s="34">
        <f>IF(AND(ISNUMBER(FU66),ISNUMBER(FS66)),FU66-FS66,"")</f>
        <v>0</v>
      </c>
      <c r="FU66" s="33"/>
      <c r="FV66" s="34">
        <f>IF(AND(ISNUMBER(FW66),ISNUMBER(FU66)),FW66-FU66,"")</f>
        <v>0</v>
      </c>
      <c r="FW66" s="33"/>
      <c r="FX66" s="34">
        <f>IF(AND(ISNUMBER(FY66),ISNUMBER(FW66)),FY66-FW66,"")</f>
        <v>0</v>
      </c>
      <c r="FY66" s="33"/>
      <c r="FZ66" s="34">
        <f>IF(AND(ISNUMBER(GA66),ISNUMBER(FY66)),GA66-FY66,"")</f>
        <v>0</v>
      </c>
      <c r="GA66" s="33"/>
      <c r="GB66" s="34">
        <f>IF(AND(ISNUMBER(GC66),ISNUMBER(GA66)),GC66-GA66,"")</f>
        <v>0</v>
      </c>
      <c r="GC66" s="33"/>
      <c r="GD66" s="34">
        <f>IF(AND(ISNUMBER(GE66),ISNUMBER(GC66)),GE66-GC66,"")</f>
        <v>0</v>
      </c>
      <c r="GE66" s="33"/>
      <c r="GF66" s="34">
        <f>IF(AND(ISNUMBER(GG66),ISNUMBER(GE66)),GG66-GE66,"")</f>
        <v>0</v>
      </c>
      <c r="GG66" s="33"/>
      <c r="GH66" s="34">
        <f>IF(AND(ISNUMBER(GI66),ISNUMBER(GG66)),GI66-GG66,"")</f>
        <v>0</v>
      </c>
      <c r="GI66" s="33"/>
      <c r="GJ66" s="34">
        <f>IF(AND(ISNUMBER(GK66),ISNUMBER(GI66)),GK66-GI66,"")</f>
        <v>0</v>
      </c>
      <c r="GK66" s="33"/>
      <c r="GL66" s="34">
        <f>IF(AND(ISNUMBER(GM66),ISNUMBER(GK66)),GM66-GK66,"")</f>
        <v>0</v>
      </c>
      <c r="GM66" s="33"/>
      <c r="GN66" s="34">
        <f>IF(AND(ISNUMBER(GO66),ISNUMBER(GM66)),GO66-GM66,"")</f>
        <v>0</v>
      </c>
      <c r="GO66" s="33"/>
      <c r="GP66" s="34">
        <f>IF(AND(ISNUMBER(GQ66),ISNUMBER(GO66)),GQ66-GO66,"")</f>
        <v>0</v>
      </c>
      <c r="GQ66" s="33"/>
      <c r="GR66" s="34">
        <f>IF(AND(ISNUMBER(GS66),ISNUMBER(GQ66)),GS66-GQ66,"")</f>
        <v>0</v>
      </c>
      <c r="GS66" s="33"/>
      <c r="GT66" s="34">
        <f>IF(AND(ISNUMBER(GU66),ISNUMBER(GS66)),GU66-GS66,"")</f>
        <v>0</v>
      </c>
      <c r="GU66" s="33"/>
      <c r="GV66" s="34">
        <f>IF(AND(ISNUMBER(GW66),ISNUMBER(GU66)),GW66-GU66,"")</f>
        <v>0</v>
      </c>
      <c r="GW66" s="33"/>
      <c r="GX66" s="34">
        <f>IF(AND(ISNUMBER(GY66),ISNUMBER(GW66)),GY66-GW66,"")</f>
        <v>0</v>
      </c>
      <c r="GY66" s="33"/>
      <c r="GZ66" s="34">
        <f>IF(AND(ISNUMBER(HA66),ISNUMBER(GY66)),HA66-GY66,"")</f>
        <v>0</v>
      </c>
      <c r="HA66" s="33"/>
      <c r="HB66" s="34">
        <f>IF(AND(ISNUMBER(HC66),ISNUMBER(HA66)),HC66-HA66,"")</f>
        <v>0</v>
      </c>
      <c r="HC66" s="33"/>
      <c r="HD66" s="34">
        <f>IF(AND(ISNUMBER(HE66),ISNUMBER(HC66)),HE66-HC66,"")</f>
        <v>0</v>
      </c>
      <c r="HE66" s="33"/>
      <c r="HF66" s="34">
        <f>IF(AND(ISNUMBER(HG66),ISNUMBER(HE66)),HG66-HE66,"")</f>
        <v>0</v>
      </c>
      <c r="HG66" s="33"/>
      <c r="HH66" s="34">
        <f>IF(AND(ISNUMBER(HI66),ISNUMBER(HG66)),HI66-HG66,"")</f>
        <v>0</v>
      </c>
      <c r="HI66" s="33"/>
      <c r="HJ66" s="34">
        <f>IF(AND(ISNUMBER(HK66),ISNUMBER(HI66)),HK66-HI66,"")</f>
        <v>0</v>
      </c>
      <c r="HK66" s="33"/>
      <c r="HL66" s="34">
        <f>IF(AND(ISNUMBER(HM66),ISNUMBER(HK66)),HM66-HK66,"")</f>
        <v>0</v>
      </c>
      <c r="HM66" s="33"/>
      <c r="HN66" s="34">
        <f>IF(AND(ISNUMBER(HO66),ISNUMBER(HM66)),HO66-HM66,"")</f>
        <v>0</v>
      </c>
      <c r="HO66" s="33"/>
      <c r="HP66" s="34">
        <f>IF(AND(ISNUMBER(HQ66),ISNUMBER(HO66)),HQ66-HO66,"")</f>
        <v>0</v>
      </c>
      <c r="HQ66" s="33"/>
      <c r="HR66" s="34">
        <f>IF(AND(ISNUMBER(HS66),ISNUMBER(HQ66)),HS66-HQ66,"")</f>
        <v>0</v>
      </c>
      <c r="HS66" s="33"/>
      <c r="HT66" s="34">
        <f>IF(AND(ISNUMBER(HU66),ISNUMBER(HS66)),HU66-HS66,"")</f>
        <v>0</v>
      </c>
      <c r="HU66" s="33"/>
      <c r="HV66" s="34">
        <f>IF(AND(ISNUMBER(HW66),ISNUMBER(HU66)),HW66-HU66,"")</f>
        <v>0</v>
      </c>
      <c r="HW66" s="33"/>
      <c r="HX66" s="34">
        <f>IF(AND(ISNUMBER(HY66),ISNUMBER(HW66)),HY66-HW66,"")</f>
        <v>0</v>
      </c>
      <c r="HY66" s="33"/>
      <c r="HZ66" s="34">
        <f>IF(AND(ISNUMBER(IA66),ISNUMBER(HY66)),IA66-HY66,"")</f>
        <v>0</v>
      </c>
      <c r="IA66" s="33"/>
      <c r="IB66" s="34">
        <f>IF(AND(ISNUMBER(IC66),ISNUMBER(IA66)),IC66-IA66,"")</f>
        <v>0</v>
      </c>
      <c r="IC66" s="33"/>
      <c r="ID66" s="34">
        <f>IF(AND(ISNUMBER(IE66),ISNUMBER(IC66)),IE66-IC66,"")</f>
        <v>0</v>
      </c>
      <c r="IE66" s="33"/>
      <c r="IF66" s="34">
        <f>IF(AND(ISNUMBER(IG66),ISNUMBER(IE66)),IG66-IE66,"")</f>
        <v>0</v>
      </c>
      <c r="IG66" s="33"/>
      <c r="IH66" s="34">
        <f>IF(AND(ISNUMBER(II66),ISNUMBER(IG66)),II66-IG66,"")</f>
        <v>0</v>
      </c>
      <c r="II66" s="33"/>
      <c r="IJ66" s="34">
        <f>IF(AND(ISNUMBER(IK66),ISNUMBER(II66)),IK66-II66,"")</f>
        <v>0</v>
      </c>
      <c r="IK66" s="33"/>
      <c r="IL66" s="34">
        <f>IF(AND(ISNUMBER(IM66),ISNUMBER(IK66)),IM66-IK66,"")</f>
        <v>0</v>
      </c>
      <c r="IM66" s="33"/>
      <c r="IN66" s="34">
        <f>IF(AND(ISNUMBER(IO66),ISNUMBER(IM66)),IO66-IM66,"")</f>
        <v>0</v>
      </c>
      <c r="IO66" s="33"/>
      <c r="IP66" s="34">
        <f>IF(AND(ISNUMBER(IQ66),ISNUMBER(IO66)),IQ66-IO66,"")</f>
        <v>0</v>
      </c>
      <c r="IQ66" s="33"/>
      <c r="IR66" s="34">
        <f>IF(AND(ISNUMBER(IS66),ISNUMBER(IQ66)),IS66-IQ66,"")</f>
        <v>0</v>
      </c>
      <c r="IS66" s="33"/>
      <c r="IT66" s="34">
        <f>IF(AND(ISNUMBER(IU66),ISNUMBER(IS66)),IU66-IS66,"")</f>
        <v>0</v>
      </c>
      <c r="IU66" s="33"/>
      <c r="IV66" s="34">
        <f>IF(AND(ISNUMBER(IW66),ISNUMBER(IU66)),IW66-IU66,"")</f>
        <v>0</v>
      </c>
      <c r="IW66" s="33"/>
      <c r="IX66" s="34">
        <f>IF(AND(ISNUMBER(IY66),ISNUMBER(IW66)),IY66-IW66,"")</f>
        <v>0</v>
      </c>
      <c r="IY66" s="33"/>
      <c r="IZ66" s="34">
        <f>IF(AND(ISNUMBER(JA66),ISNUMBER(IY66)),JA66-IY66,"")</f>
        <v>0</v>
      </c>
      <c r="JA66" s="33"/>
      <c r="JB66" s="34">
        <f>IF(AND(ISNUMBER(JC66),ISNUMBER(JA66)),JC66-JA66,"")</f>
        <v>0</v>
      </c>
      <c r="JC66" s="33"/>
      <c r="JD66" s="34">
        <f>IF(AND(ISNUMBER(JE66),ISNUMBER(JC66)),JE66-JC66,"")</f>
        <v>0</v>
      </c>
      <c r="JE66" s="33"/>
      <c r="JF66" s="34">
        <f>IF(AND(ISNUMBER(JG66),ISNUMBER(JE66)),JG66-JE66,"")</f>
        <v>0</v>
      </c>
      <c r="JG66" s="33"/>
      <c r="JH66" s="34">
        <f>IF(AND(ISNUMBER(JI66),ISNUMBER(JG66)),JI66-JG66,"")</f>
        <v>0</v>
      </c>
      <c r="JI66" s="33"/>
      <c r="JJ66" s="34">
        <f>IF(AND(ISNUMBER(JK66),ISNUMBER(JI66)),JK66-JI66,"")</f>
        <v>0</v>
      </c>
      <c r="JK66" s="33"/>
      <c r="JL66" s="34">
        <f>IF(AND(ISNUMBER(JM66),ISNUMBER(JK66)),JM66-JK66,"")</f>
        <v>0</v>
      </c>
      <c r="JM66" s="33"/>
      <c r="JN66" s="34">
        <f>IF(AND(ISNUMBER(JO66),ISNUMBER(JM66)),JO66-JM66,"")</f>
        <v>0</v>
      </c>
      <c r="JO66" s="33"/>
      <c r="JP66" s="34">
        <f>IF(AND(ISNUMBER(JQ66),ISNUMBER(JO66)),JQ66-JO66,"")</f>
        <v>0</v>
      </c>
      <c r="JQ66" s="33"/>
      <c r="JR66" s="34">
        <f>IF(AND(ISNUMBER(JS66),ISNUMBER(JQ66)),JS66-JQ66,"")</f>
        <v>0</v>
      </c>
      <c r="JS66" s="33"/>
      <c r="JT66" s="34">
        <f>IF(AND(ISNUMBER(JU66),ISNUMBER(JS66)),JU66-JS66,"")</f>
        <v>0</v>
      </c>
      <c r="JU66" s="33"/>
      <c r="JV66" s="34">
        <f>IF(AND(ISNUMBER(JW66),ISNUMBER(JU66)),JW66-JU66,"")</f>
        <v>0</v>
      </c>
      <c r="JW66" s="33"/>
      <c r="JX66" s="34">
        <f>IF(AND(ISNUMBER(JY66),ISNUMBER(JW66)),JY66-JW66,"")</f>
        <v>0</v>
      </c>
      <c r="JY66" s="33"/>
      <c r="JZ66" s="34">
        <f>IF(AND(ISNUMBER(KA66),ISNUMBER(JY66)),KA66-JY66,"")</f>
        <v>0</v>
      </c>
      <c r="KA66" s="33"/>
      <c r="KB66" s="34">
        <f>IF(AND(ISNUMBER(KC66),ISNUMBER(KA66)),KC66-KA66,"")</f>
        <v>0</v>
      </c>
      <c r="KC66" s="33"/>
      <c r="KD66" s="34">
        <f>IF(AND(ISNUMBER(KE66),ISNUMBER(KC66)),KE66-KC66,"")</f>
        <v>0</v>
      </c>
      <c r="KE66" s="33"/>
      <c r="KF66" s="34">
        <f>IF(AND(ISNUMBER(KG66),ISNUMBER(KE66)),KG66-KE66,"")</f>
        <v>0</v>
      </c>
      <c r="KG66" s="33"/>
      <c r="KH66" s="34">
        <f>IF(AND(ISNUMBER(KI66),ISNUMBER(KG66)),KI66-KG66,"")</f>
        <v>0</v>
      </c>
      <c r="KI66" s="33"/>
      <c r="KJ66" s="34">
        <f>IF(AND(ISNUMBER(KK66),ISNUMBER(KI66)),KK66-KI66,"")</f>
        <v>0</v>
      </c>
      <c r="KK66" s="33"/>
      <c r="KL66" s="34">
        <f>IF(AND(ISNUMBER(KM66),ISNUMBER(KK66)),KM66-KK66,"")</f>
        <v>0</v>
      </c>
      <c r="KM66" s="33"/>
      <c r="KN66" s="34">
        <f>IF(AND(ISNUMBER(KO66),ISNUMBER(KM66)),KO66-KM66,"")</f>
        <v>0</v>
      </c>
      <c r="KO66" s="33"/>
      <c r="KP66" s="34">
        <f>IF(AND(ISNUMBER(KQ66),ISNUMBER(KO66)),KQ66-KO66,"")</f>
        <v>0</v>
      </c>
      <c r="KQ66" s="33"/>
      <c r="KR66" s="34">
        <f>IF(AND(ISNUMBER(KS66),ISNUMBER(KQ66)),KS66-KQ66,"")</f>
        <v>0</v>
      </c>
      <c r="KS66" s="33"/>
      <c r="KT66" s="34">
        <f>IF(AND(ISNUMBER(KU66),ISNUMBER(KS66)),KU66-KS66,"")</f>
        <v>0</v>
      </c>
      <c r="KU66" s="33"/>
      <c r="KV66" s="34">
        <f>IF(AND(ISNUMBER(KW66),ISNUMBER(KU66)),KW66-KU66,"")</f>
        <v>0</v>
      </c>
      <c r="KW66" s="33"/>
      <c r="KX66" s="34">
        <f>IF(AND(ISNUMBER(KY66),ISNUMBER(KW66)),KY66-KW66,"")</f>
        <v>0</v>
      </c>
      <c r="KY66" s="33"/>
      <c r="KZ66" s="34">
        <f>IF(AND(ISNUMBER(LA66),ISNUMBER(KY66)),LA66-KY66,"")</f>
        <v>0</v>
      </c>
      <c r="LA66" s="33"/>
      <c r="LB66" s="34">
        <f>IF(AND(ISNUMBER(LC66),ISNUMBER(LA66)),LC66-LA66,"")</f>
        <v>0</v>
      </c>
      <c r="LC66" s="33"/>
      <c r="LD66" s="34">
        <f>IF(AND(ISNUMBER(LE66),ISNUMBER(LC66)),LE66-LC66,"")</f>
        <v>0</v>
      </c>
      <c r="LE66" s="33"/>
      <c r="LF66" s="34">
        <f>IF(AND(ISNUMBER(LG66),ISNUMBER(LE66)),LG66-LE66,"")</f>
        <v>0</v>
      </c>
      <c r="LG66" s="33"/>
      <c r="LJ66" s="35" t="s">
        <v>1106</v>
      </c>
    </row>
    <row r="67" spans="1:322">
      <c r="A67" s="22" t="s">
        <v>145</v>
      </c>
      <c r="B67" s="23" t="s">
        <v>1107</v>
      </c>
      <c r="C67" s="43" t="s">
        <v>1108</v>
      </c>
      <c r="D67" s="43" t="s">
        <v>1109</v>
      </c>
      <c r="E67" s="25"/>
      <c r="F67" s="26"/>
      <c r="G67" s="26"/>
      <c r="H67" s="26" t="s">
        <v>1082</v>
      </c>
      <c r="I67" s="27"/>
      <c r="J67" s="28">
        <f>IF(AND(ISNUMBER(K67),ISNUMBER(I67)),K67-I67,"")</f>
        <v>0</v>
      </c>
      <c r="K67" s="27"/>
      <c r="L67" s="28">
        <f>IF(AND(ISNUMBER(M67),ISNUMBER(K67)),M67-K67,"")</f>
        <v>0</v>
      </c>
      <c r="M67" s="27"/>
      <c r="N67" s="28">
        <f>IF(AND(ISNUMBER(O67),ISNUMBER(M67)),O67-M67,"")</f>
        <v>0</v>
      </c>
      <c r="O67" s="27"/>
      <c r="P67" s="28">
        <f>IF(AND(ISNUMBER(Q67),ISNUMBER(O67)),Q67-O67,"")</f>
        <v>0</v>
      </c>
      <c r="Q67" s="27"/>
      <c r="R67" s="28">
        <f>IF(AND(ISNUMBER(S67),ISNUMBER(Q67)),S67-Q67,"")</f>
        <v>0</v>
      </c>
      <c r="S67" s="27"/>
      <c r="T67" s="28">
        <f>IF(AND(ISNUMBER(U67),ISNUMBER(S67)),U67-S67,"")</f>
        <v>0</v>
      </c>
      <c r="U67" s="27"/>
      <c r="V67" s="28">
        <f>IF(AND(ISNUMBER(W67),ISNUMBER(U67)),W67-U67,"")</f>
        <v>0</v>
      </c>
      <c r="W67" s="27"/>
      <c r="X67" s="28">
        <f>IF(AND(ISNUMBER(Y67),ISNUMBER(W67)),Y67-W67,"")</f>
        <v>0</v>
      </c>
      <c r="Y67" s="27"/>
      <c r="Z67" s="28">
        <f>IF(AND(ISNUMBER(AA67),ISNUMBER(Y67)),AA67-Y67,"")</f>
        <v>0</v>
      </c>
      <c r="AA67" s="27"/>
      <c r="AB67" s="28">
        <f>IF(AND(ISNUMBER(AC67),ISNUMBER(AA67)),AC67-AA67,"")</f>
        <v>0</v>
      </c>
      <c r="AC67" s="27"/>
      <c r="AD67" s="28">
        <f>IF(AND(ISNUMBER(AE67),ISNUMBER(AC67)),AE67-AC67,"")</f>
        <v>0</v>
      </c>
      <c r="AE67" s="27"/>
      <c r="AF67" s="28">
        <f>IF(AND(ISNUMBER(AG67),ISNUMBER(AE67)),AG67-AE67,"")</f>
        <v>0</v>
      </c>
      <c r="AG67" s="27"/>
      <c r="AH67" s="28">
        <f>IF(AND(ISNUMBER(AI67),ISNUMBER(AG67)),AI67-AG67,"")</f>
        <v>0</v>
      </c>
      <c r="AI67" s="27"/>
      <c r="AJ67" s="28">
        <f>IF(AND(ISNUMBER(AK67),ISNUMBER(AI67)),AK67-AI67,"")</f>
        <v>0</v>
      </c>
      <c r="AK67" s="27"/>
      <c r="AL67" s="28">
        <f>IF(AND(ISNUMBER(AM67),ISNUMBER(AK67)),AM67-AK67,"")</f>
        <v>0</v>
      </c>
      <c r="AM67" s="27"/>
      <c r="AN67" s="28">
        <f>IF(AND(ISNUMBER(AO67),ISNUMBER(AM67)),AO67-AM67,"")</f>
        <v>0</v>
      </c>
      <c r="AO67" s="27"/>
      <c r="AP67" s="28">
        <f>IF(AND(ISNUMBER(AQ67),ISNUMBER(AO67)),AQ67-AO67,"")</f>
        <v>0</v>
      </c>
      <c r="AQ67" s="27"/>
      <c r="AR67" s="28">
        <f>IF(AND(ISNUMBER(AS67),ISNUMBER(AQ67)),AS67-AQ67,"")</f>
        <v>0</v>
      </c>
      <c r="AS67" s="27"/>
      <c r="AT67" s="28">
        <f>IF(AND(ISNUMBER(AU67),ISNUMBER(AS67)),AU67-AS67,"")</f>
        <v>0</v>
      </c>
      <c r="AU67" s="27"/>
      <c r="AV67" s="28">
        <f>IF(AND(ISNUMBER(AW67),ISNUMBER(AU67)),AW67-AU67,"")</f>
        <v>0</v>
      </c>
      <c r="AW67" s="27"/>
      <c r="AX67" s="28">
        <f>IF(AND(ISNUMBER(AY67),ISNUMBER(AW67)),AY67-AW67,"")</f>
        <v>0</v>
      </c>
      <c r="AY67" s="27"/>
      <c r="AZ67" s="28">
        <f>IF(AND(ISNUMBER(BA67),ISNUMBER(AY67)),BA67-AY67,"")</f>
        <v>0</v>
      </c>
      <c r="BA67" s="27"/>
      <c r="BB67" s="28">
        <f>IF(AND(ISNUMBER(BC67),ISNUMBER(BA67)),BC67-BA67,"")</f>
        <v>0</v>
      </c>
      <c r="BC67" s="27"/>
      <c r="BD67" s="28">
        <f>IF(AND(ISNUMBER(BE67),ISNUMBER(BC67)),BE67-BC67,"")</f>
        <v>0</v>
      </c>
      <c r="BE67" s="27"/>
      <c r="BF67" s="28">
        <f>IF(AND(ISNUMBER(BG67),ISNUMBER(BE67)),BG67-BE67,"")</f>
        <v>0</v>
      </c>
      <c r="BG67" s="27"/>
      <c r="BH67" s="28">
        <f>IF(AND(ISNUMBER(BI67),ISNUMBER(BG67)),BI67-BG67,"")</f>
        <v>0</v>
      </c>
      <c r="BI67" s="27"/>
      <c r="BJ67" s="28">
        <f>IF(AND(ISNUMBER(BK67),ISNUMBER(BI67)),BK67-BI67,"")</f>
        <v>0</v>
      </c>
      <c r="BK67" s="27"/>
      <c r="BL67" s="28">
        <f>IF(AND(ISNUMBER(BM67),ISNUMBER(BK67)),BM67-BK67,"")</f>
        <v>0</v>
      </c>
      <c r="BM67" s="27"/>
      <c r="BN67" s="28">
        <f>IF(AND(ISNUMBER(BO67),ISNUMBER(BM67)),BO67-BM67,"")</f>
        <v>0</v>
      </c>
      <c r="BO67" s="27"/>
      <c r="BP67" s="28">
        <f>IF(AND(ISNUMBER(BQ67),ISNUMBER(BO67)),BQ67-BO67,"")</f>
        <v>0</v>
      </c>
      <c r="BQ67" s="27"/>
      <c r="BR67" s="28">
        <f>IF(AND(ISNUMBER(BS67),ISNUMBER(BQ67)),BS67-BQ67,"")</f>
        <v>0</v>
      </c>
      <c r="BS67" s="27"/>
      <c r="BT67" s="28">
        <f>IF(AND(ISNUMBER(BU67),ISNUMBER(BS67)),BU67-BS67,"")</f>
        <v>0</v>
      </c>
      <c r="BU67" s="27"/>
      <c r="BV67" s="28">
        <f>IF(AND(ISNUMBER(BW67),ISNUMBER(BU67)),BW67-BU67,"")</f>
        <v>0</v>
      </c>
      <c r="BW67" s="27"/>
      <c r="BX67" s="28">
        <f>IF(AND(ISNUMBER(BY67),ISNUMBER(BW67)),BY67-BW67,"")</f>
        <v>0</v>
      </c>
      <c r="BY67" s="27"/>
      <c r="BZ67" s="28">
        <f>IF(AND(ISNUMBER(CA67),ISNUMBER(BY67)),CA67-BY67,"")</f>
        <v>0</v>
      </c>
      <c r="CA67" s="27"/>
      <c r="CB67" s="28">
        <f>IF(AND(ISNUMBER(CC67),ISNUMBER(CA67)),CC67-CA67,"")</f>
        <v>0</v>
      </c>
      <c r="CC67" s="27"/>
      <c r="CD67" s="28">
        <f>IF(AND(ISNUMBER(CE67),ISNUMBER(CC67)),CE67-CC67,"")</f>
        <v>0</v>
      </c>
      <c r="CE67" s="27"/>
      <c r="CF67" s="28">
        <f>IF(AND(ISNUMBER(CG67),ISNUMBER(CE67)),CG67-CE67,"")</f>
        <v>0</v>
      </c>
      <c r="CG67" s="27"/>
      <c r="CH67" s="28">
        <f>IF(AND(ISNUMBER(CI67),ISNUMBER(CG67)),CI67-CG67,"")</f>
        <v>0</v>
      </c>
      <c r="CI67" s="27"/>
      <c r="CJ67" s="28">
        <f>IF(AND(ISNUMBER(CK67),ISNUMBER(CI67)),CK67-CI67,"")</f>
        <v>0</v>
      </c>
      <c r="CK67" s="27"/>
      <c r="CL67" s="28">
        <f>IF(AND(ISNUMBER(CM67),ISNUMBER(CK67)),CM67-CK67,"")</f>
        <v>0</v>
      </c>
      <c r="CM67" s="27"/>
      <c r="CN67" s="28">
        <f>IF(AND(ISNUMBER(CO67),ISNUMBER(CM67)),CO67-CM67,"")</f>
        <v>0</v>
      </c>
      <c r="CO67" s="27"/>
      <c r="CP67" s="28">
        <f>IF(AND(ISNUMBER(CQ67),ISNUMBER(CO67)),CQ67-CO67,"")</f>
        <v>0</v>
      </c>
      <c r="CQ67" s="27"/>
      <c r="CR67" s="28">
        <f>IF(AND(ISNUMBER(CS67),ISNUMBER(CQ67)),CS67-CQ67,"")</f>
        <v>0</v>
      </c>
      <c r="CS67" s="27"/>
      <c r="CT67" s="28">
        <f>IF(AND(ISNUMBER(CU67),ISNUMBER(CS67)),CU67-CS67,"")</f>
        <v>0</v>
      </c>
      <c r="CU67" s="27"/>
      <c r="CV67" s="28">
        <f>IF(AND(ISNUMBER(CW67),ISNUMBER(CU67)),CW67-CU67,"")</f>
        <v>0</v>
      </c>
      <c r="CW67" s="27"/>
      <c r="CX67" s="28">
        <f>IF(AND(ISNUMBER(CY67),ISNUMBER(CW67)),CY67-CW67,"")</f>
        <v>0</v>
      </c>
      <c r="CY67" s="27"/>
      <c r="CZ67" s="28">
        <f>IF(AND(ISNUMBER(DA67),ISNUMBER(CY67)),DA67-CY67,"")</f>
        <v>0</v>
      </c>
      <c r="DA67" s="27"/>
      <c r="DB67" s="28">
        <f>IF(AND(ISNUMBER(DC67),ISNUMBER(DA67)),DC67-DA67,"")</f>
        <v>0</v>
      </c>
      <c r="DC67" s="27"/>
      <c r="DD67" s="28">
        <f>IF(AND(ISNUMBER(DE67),ISNUMBER(DC67)),DE67-DC67,"")</f>
        <v>0</v>
      </c>
      <c r="DE67" s="27"/>
      <c r="DF67" s="28">
        <f>IF(AND(ISNUMBER(DG67),ISNUMBER(DE67)),DG67-DE67,"")</f>
        <v>0</v>
      </c>
      <c r="DG67" s="27"/>
      <c r="DH67" s="28">
        <f>IF(AND(ISNUMBER(DI67),ISNUMBER(DG67)),DI67-DG67,"")</f>
        <v>0</v>
      </c>
      <c r="DI67" s="27"/>
      <c r="DJ67" s="28">
        <f>IF(AND(ISNUMBER(DK67),ISNUMBER(DI67)),DK67-DI67,"")</f>
        <v>0</v>
      </c>
      <c r="DK67" s="27"/>
      <c r="DL67" s="28">
        <f>IF(AND(ISNUMBER(DM67),ISNUMBER(DK67)),DM67-DK67,"")</f>
        <v>0</v>
      </c>
      <c r="DM67" s="27"/>
      <c r="DN67" s="28">
        <f>IF(AND(ISNUMBER(DO67),ISNUMBER(DM67)),DO67-DM67,"")</f>
        <v>0</v>
      </c>
      <c r="DO67" s="27"/>
      <c r="DP67" s="28">
        <f>IF(AND(ISNUMBER(DQ67),ISNUMBER(DO67)),DQ67-DO67,"")</f>
        <v>0</v>
      </c>
      <c r="DQ67" s="27"/>
      <c r="DR67" s="28">
        <f>IF(AND(ISNUMBER(DS67),ISNUMBER(DQ67)),DS67-DQ67,"")</f>
        <v>0</v>
      </c>
      <c r="DS67" s="27"/>
      <c r="DT67" s="28">
        <f>IF(AND(ISNUMBER(DU67),ISNUMBER(DS67)),DU67-DS67,"")</f>
        <v>0</v>
      </c>
      <c r="DU67" s="27"/>
      <c r="DV67" s="28">
        <f>IF(AND(ISNUMBER(DW67),ISNUMBER(DU67)),DW67-DU67,"")</f>
        <v>0</v>
      </c>
      <c r="DW67" s="27"/>
      <c r="DX67" s="28">
        <f>IF(AND(ISNUMBER(DY67),ISNUMBER(DW67)),DY67-DW67,"")</f>
        <v>0</v>
      </c>
      <c r="DY67" s="27"/>
      <c r="DZ67" s="28">
        <f>IF(AND(ISNUMBER(EA67),ISNUMBER(DY67)),EA67-DY67,"")</f>
        <v>0</v>
      </c>
      <c r="EA67" s="27"/>
      <c r="EB67" s="28">
        <f>IF(AND(ISNUMBER(EC67),ISNUMBER(EA67)),EC67-EA67,"")</f>
        <v>0</v>
      </c>
      <c r="EC67" s="27"/>
      <c r="ED67" s="28">
        <f>IF(AND(ISNUMBER(EE67),ISNUMBER(EC67)),EE67-EC67,"")</f>
        <v>0</v>
      </c>
      <c r="EE67" s="27"/>
      <c r="EF67" s="28">
        <f>IF(AND(ISNUMBER(EG67),ISNUMBER(EE67)),EG67-EE67,"")</f>
        <v>0</v>
      </c>
      <c r="EG67" s="27"/>
      <c r="EH67" s="28">
        <f>IF(AND(ISNUMBER(EI67),ISNUMBER(EG67)),EI67-EG67,"")</f>
        <v>0</v>
      </c>
      <c r="EI67" s="27"/>
      <c r="EJ67" s="28">
        <f>IF(AND(ISNUMBER(EK67),ISNUMBER(EI67)),EK67-EI67,"")</f>
        <v>0</v>
      </c>
      <c r="EK67" s="27"/>
      <c r="EL67" s="28">
        <f>IF(AND(ISNUMBER(EM67),ISNUMBER(EK67)),EM67-EK67,"")</f>
        <v>0</v>
      </c>
      <c r="EM67" s="27"/>
      <c r="EN67" s="28">
        <f>IF(AND(ISNUMBER(EO67),ISNUMBER(EM67)),EO67-EM67,"")</f>
        <v>0</v>
      </c>
      <c r="EO67" s="27"/>
      <c r="EP67" s="28">
        <f>IF(AND(ISNUMBER(EQ67),ISNUMBER(EO67)),EQ67-EO67,"")</f>
        <v>0</v>
      </c>
      <c r="EQ67" s="27"/>
      <c r="ER67" s="28">
        <f>IF(AND(ISNUMBER(ES67),ISNUMBER(EQ67)),ES67-EQ67,"")</f>
        <v>0</v>
      </c>
      <c r="ES67" s="27"/>
      <c r="ET67" s="28">
        <f>IF(AND(ISNUMBER(EU67),ISNUMBER(ES67)),EU67-ES67,"")</f>
        <v>0</v>
      </c>
      <c r="EU67" s="27"/>
      <c r="EV67" s="28">
        <f>IF(AND(ISNUMBER(EW67),ISNUMBER(EU67)),EW67-EU67,"")</f>
        <v>0</v>
      </c>
      <c r="EW67" s="27"/>
      <c r="EX67" s="28">
        <f>IF(AND(ISNUMBER(EY67),ISNUMBER(EW67)),EY67-EW67,"")</f>
        <v>0</v>
      </c>
      <c r="EY67" s="27"/>
      <c r="EZ67" s="28">
        <f>IF(AND(ISNUMBER(FA67),ISNUMBER(EY67)),FA67-EY67,"")</f>
        <v>0</v>
      </c>
      <c r="FA67" s="27"/>
      <c r="FB67" s="28">
        <f>IF(AND(ISNUMBER(FC67),ISNUMBER(FA67)),FC67-FA67,"")</f>
        <v>0</v>
      </c>
      <c r="FC67" s="27"/>
      <c r="FD67" s="28">
        <f>IF(AND(ISNUMBER(FE67),ISNUMBER(FC67)),FE67-FC67,"")</f>
        <v>0</v>
      </c>
      <c r="FE67" s="27"/>
      <c r="FF67" s="28">
        <f>IF(AND(ISNUMBER(FG67),ISNUMBER(FE67)),FG67-FE67,"")</f>
        <v>0</v>
      </c>
      <c r="FG67" s="27"/>
      <c r="FH67" s="28">
        <f>IF(AND(ISNUMBER(FI67),ISNUMBER(FG67)),FI67-FG67,"")</f>
        <v>0</v>
      </c>
      <c r="FI67" s="27"/>
      <c r="FJ67" s="28">
        <f>IF(AND(ISNUMBER(FK67),ISNUMBER(FI67)),FK67-FI67,"")</f>
        <v>0</v>
      </c>
      <c r="FK67" s="27"/>
      <c r="FL67" s="28">
        <f>IF(AND(ISNUMBER(FM67),ISNUMBER(FK67)),FM67-FK67,"")</f>
        <v>0</v>
      </c>
      <c r="FM67" s="27"/>
      <c r="FN67" s="28">
        <f>IF(AND(ISNUMBER(FO67),ISNUMBER(FM67)),FO67-FM67,"")</f>
        <v>0</v>
      </c>
      <c r="FO67" s="27"/>
      <c r="FP67" s="28">
        <f>IF(AND(ISNUMBER(FQ67),ISNUMBER(FO67)),FQ67-FO67,"")</f>
        <v>0</v>
      </c>
      <c r="FQ67" s="27"/>
      <c r="FR67" s="28">
        <f>IF(AND(ISNUMBER(FS67),ISNUMBER(FQ67)),FS67-FQ67,"")</f>
        <v>0</v>
      </c>
      <c r="FS67" s="27"/>
      <c r="FT67" s="28">
        <f>IF(AND(ISNUMBER(FU67),ISNUMBER(FS67)),FU67-FS67,"")</f>
        <v>0</v>
      </c>
      <c r="FU67" s="27"/>
      <c r="FV67" s="28">
        <f>IF(AND(ISNUMBER(FW67),ISNUMBER(FU67)),FW67-FU67,"")</f>
        <v>0</v>
      </c>
      <c r="FW67" s="27"/>
      <c r="FX67" s="28">
        <f>IF(AND(ISNUMBER(FY67),ISNUMBER(FW67)),FY67-FW67,"")</f>
        <v>0</v>
      </c>
      <c r="FY67" s="27"/>
      <c r="FZ67" s="28">
        <f>IF(AND(ISNUMBER(GA67),ISNUMBER(FY67)),GA67-FY67,"")</f>
        <v>0</v>
      </c>
      <c r="GA67" s="27"/>
      <c r="GB67" s="28">
        <f>IF(AND(ISNUMBER(GC67),ISNUMBER(GA67)),GC67-GA67,"")</f>
        <v>0</v>
      </c>
      <c r="GC67" s="27"/>
      <c r="GD67" s="28">
        <f>IF(AND(ISNUMBER(GE67),ISNUMBER(GC67)),GE67-GC67,"")</f>
        <v>0</v>
      </c>
      <c r="GE67" s="27"/>
      <c r="GF67" s="28">
        <f>IF(AND(ISNUMBER(GG67),ISNUMBER(GE67)),GG67-GE67,"")</f>
        <v>0</v>
      </c>
      <c r="GG67" s="27"/>
      <c r="GH67" s="28">
        <f>IF(AND(ISNUMBER(GI67),ISNUMBER(GG67)),GI67-GG67,"")</f>
        <v>0</v>
      </c>
      <c r="GI67" s="27"/>
      <c r="GJ67" s="28">
        <f>IF(AND(ISNUMBER(GK67),ISNUMBER(GI67)),GK67-GI67,"")</f>
        <v>0</v>
      </c>
      <c r="GK67" s="27"/>
      <c r="GL67" s="28">
        <f>IF(AND(ISNUMBER(GM67),ISNUMBER(GK67)),GM67-GK67,"")</f>
        <v>0</v>
      </c>
      <c r="GM67" s="27"/>
      <c r="GN67" s="28">
        <f>IF(AND(ISNUMBER(GO67),ISNUMBER(GM67)),GO67-GM67,"")</f>
        <v>0</v>
      </c>
      <c r="GO67" s="27"/>
      <c r="GP67" s="28">
        <f>IF(AND(ISNUMBER(GQ67),ISNUMBER(GO67)),GQ67-GO67,"")</f>
        <v>0</v>
      </c>
      <c r="GQ67" s="27"/>
      <c r="GR67" s="28">
        <f>IF(AND(ISNUMBER(GS67),ISNUMBER(GQ67)),GS67-GQ67,"")</f>
        <v>0</v>
      </c>
      <c r="GS67" s="27"/>
      <c r="GT67" s="28">
        <f>IF(AND(ISNUMBER(GU67),ISNUMBER(GS67)),GU67-GS67,"")</f>
        <v>0</v>
      </c>
      <c r="GU67" s="27"/>
      <c r="GV67" s="28">
        <f>IF(AND(ISNUMBER(GW67),ISNUMBER(GU67)),GW67-GU67,"")</f>
        <v>0</v>
      </c>
      <c r="GW67" s="27"/>
      <c r="GX67" s="28">
        <f>IF(AND(ISNUMBER(GY67),ISNUMBER(GW67)),GY67-GW67,"")</f>
        <v>0</v>
      </c>
      <c r="GY67" s="27"/>
      <c r="GZ67" s="28">
        <f>IF(AND(ISNUMBER(HA67),ISNUMBER(GY67)),HA67-GY67,"")</f>
        <v>0</v>
      </c>
      <c r="HA67" s="27"/>
      <c r="HB67" s="28">
        <f>IF(AND(ISNUMBER(HC67),ISNUMBER(HA67)),HC67-HA67,"")</f>
        <v>0</v>
      </c>
      <c r="HC67" s="27"/>
      <c r="HD67" s="28">
        <f>IF(AND(ISNUMBER(HE67),ISNUMBER(HC67)),HE67-HC67,"")</f>
        <v>0</v>
      </c>
      <c r="HE67" s="27"/>
      <c r="HF67" s="28">
        <f>IF(AND(ISNUMBER(HG67),ISNUMBER(HE67)),HG67-HE67,"")</f>
        <v>0</v>
      </c>
      <c r="HG67" s="27"/>
      <c r="HH67" s="28">
        <f>IF(AND(ISNUMBER(HI67),ISNUMBER(HG67)),HI67-HG67,"")</f>
        <v>0</v>
      </c>
      <c r="HI67" s="27"/>
      <c r="HJ67" s="28">
        <f>IF(AND(ISNUMBER(HK67),ISNUMBER(HI67)),HK67-HI67,"")</f>
        <v>0</v>
      </c>
      <c r="HK67" s="27"/>
      <c r="HL67" s="28">
        <f>IF(AND(ISNUMBER(HM67),ISNUMBER(HK67)),HM67-HK67,"")</f>
        <v>0</v>
      </c>
      <c r="HM67" s="27"/>
      <c r="HN67" s="28">
        <f>IF(AND(ISNUMBER(HO67),ISNUMBER(HM67)),HO67-HM67,"")</f>
        <v>0</v>
      </c>
      <c r="HO67" s="27"/>
      <c r="HP67" s="28">
        <f>IF(AND(ISNUMBER(HQ67),ISNUMBER(HO67)),HQ67-HO67,"")</f>
        <v>0</v>
      </c>
      <c r="HQ67" s="27"/>
      <c r="HR67" s="28">
        <f>IF(AND(ISNUMBER(HS67),ISNUMBER(HQ67)),HS67-HQ67,"")</f>
        <v>0</v>
      </c>
      <c r="HS67" s="27"/>
      <c r="HT67" s="28">
        <f>IF(AND(ISNUMBER(HU67),ISNUMBER(HS67)),HU67-HS67,"")</f>
        <v>0</v>
      </c>
      <c r="HU67" s="27"/>
      <c r="HV67" s="28">
        <f>IF(AND(ISNUMBER(HW67),ISNUMBER(HU67)),HW67-HU67,"")</f>
        <v>0</v>
      </c>
      <c r="HW67" s="27"/>
      <c r="HX67" s="28">
        <f>IF(AND(ISNUMBER(HY67),ISNUMBER(HW67)),HY67-HW67,"")</f>
        <v>0</v>
      </c>
      <c r="HY67" s="27"/>
      <c r="HZ67" s="28">
        <f>IF(AND(ISNUMBER(IA67),ISNUMBER(HY67)),IA67-HY67,"")</f>
        <v>0</v>
      </c>
      <c r="IA67" s="27"/>
      <c r="IB67" s="28">
        <f>IF(AND(ISNUMBER(IC67),ISNUMBER(IA67)),IC67-IA67,"")</f>
        <v>0</v>
      </c>
      <c r="IC67" s="27"/>
      <c r="ID67" s="28">
        <f>IF(AND(ISNUMBER(IE67),ISNUMBER(IC67)),IE67-IC67,"")</f>
        <v>0</v>
      </c>
      <c r="IE67" s="27"/>
      <c r="IF67" s="28">
        <f>IF(AND(ISNUMBER(IG67),ISNUMBER(IE67)),IG67-IE67,"")</f>
        <v>0</v>
      </c>
      <c r="IG67" s="27"/>
      <c r="IH67" s="28">
        <f>IF(AND(ISNUMBER(II67),ISNUMBER(IG67)),II67-IG67,"")</f>
        <v>0</v>
      </c>
      <c r="II67" s="27"/>
      <c r="IJ67" s="28">
        <f>IF(AND(ISNUMBER(IK67),ISNUMBER(II67)),IK67-II67,"")</f>
        <v>0</v>
      </c>
      <c r="IK67" s="27"/>
      <c r="IL67" s="28">
        <f>IF(AND(ISNUMBER(IM67),ISNUMBER(IK67)),IM67-IK67,"")</f>
        <v>0</v>
      </c>
      <c r="IM67" s="27"/>
      <c r="IN67" s="28">
        <f>IF(AND(ISNUMBER(IO67),ISNUMBER(IM67)),IO67-IM67,"")</f>
        <v>0</v>
      </c>
      <c r="IO67" s="27"/>
      <c r="IP67" s="28">
        <f>IF(AND(ISNUMBER(IQ67),ISNUMBER(IO67)),IQ67-IO67,"")</f>
        <v>0</v>
      </c>
      <c r="IQ67" s="27"/>
      <c r="IR67" s="28">
        <f>IF(AND(ISNUMBER(IS67),ISNUMBER(IQ67)),IS67-IQ67,"")</f>
        <v>0</v>
      </c>
      <c r="IS67" s="27"/>
      <c r="IT67" s="28">
        <f>IF(AND(ISNUMBER(IU67),ISNUMBER(IS67)),IU67-IS67,"")</f>
        <v>0</v>
      </c>
      <c r="IU67" s="27"/>
      <c r="IV67" s="28">
        <f>IF(AND(ISNUMBER(IW67),ISNUMBER(IU67)),IW67-IU67,"")</f>
        <v>0</v>
      </c>
      <c r="IW67" s="27"/>
      <c r="IX67" s="28">
        <f>IF(AND(ISNUMBER(IY67),ISNUMBER(IW67)),IY67-IW67,"")</f>
        <v>0</v>
      </c>
      <c r="IY67" s="27"/>
      <c r="IZ67" s="28">
        <f>IF(AND(ISNUMBER(JA67),ISNUMBER(IY67)),JA67-IY67,"")</f>
        <v>0</v>
      </c>
      <c r="JA67" s="27"/>
      <c r="JB67" s="28">
        <f>IF(AND(ISNUMBER(JC67),ISNUMBER(JA67)),JC67-JA67,"")</f>
        <v>0</v>
      </c>
      <c r="JC67" s="27"/>
      <c r="JD67" s="28">
        <f>IF(AND(ISNUMBER(JE67),ISNUMBER(JC67)),JE67-JC67,"")</f>
        <v>0</v>
      </c>
      <c r="JE67" s="27"/>
      <c r="JF67" s="28">
        <f>IF(AND(ISNUMBER(JG67),ISNUMBER(JE67)),JG67-JE67,"")</f>
        <v>0</v>
      </c>
      <c r="JG67" s="27"/>
      <c r="JH67" s="28">
        <f>IF(AND(ISNUMBER(JI67),ISNUMBER(JG67)),JI67-JG67,"")</f>
        <v>0</v>
      </c>
      <c r="JI67" s="27"/>
      <c r="JJ67" s="28">
        <f>IF(AND(ISNUMBER(JK67),ISNUMBER(JI67)),JK67-JI67,"")</f>
        <v>0</v>
      </c>
      <c r="JK67" s="27"/>
      <c r="JL67" s="28">
        <f>IF(AND(ISNUMBER(JM67),ISNUMBER(JK67)),JM67-JK67,"")</f>
        <v>0</v>
      </c>
      <c r="JM67" s="27"/>
      <c r="JN67" s="28">
        <f>IF(AND(ISNUMBER(JO67),ISNUMBER(JM67)),JO67-JM67,"")</f>
        <v>0</v>
      </c>
      <c r="JO67" s="27"/>
      <c r="JP67" s="28">
        <f>IF(AND(ISNUMBER(JQ67),ISNUMBER(JO67)),JQ67-JO67,"")</f>
        <v>0</v>
      </c>
      <c r="JQ67" s="27">
        <v>11516</v>
      </c>
      <c r="JR67" s="28">
        <f>IF(AND(ISNUMBER(JS67),ISNUMBER(JQ67)),JS67-JQ67,"")</f>
        <v>0</v>
      </c>
      <c r="JS67" s="27">
        <v>12615</v>
      </c>
      <c r="JT67" s="28">
        <f>IF(AND(ISNUMBER(JU67),ISNUMBER(JS67)),JU67-JS67,"")</f>
        <v>0</v>
      </c>
      <c r="JU67" s="27">
        <v>12187</v>
      </c>
      <c r="JV67" s="28">
        <f>IF(AND(ISNUMBER(JW67),ISNUMBER(JU67)),JW67-JU67,"")</f>
        <v>0</v>
      </c>
      <c r="JW67" s="27"/>
      <c r="JX67" s="28">
        <f>IF(AND(ISNUMBER(JY67),ISNUMBER(JW67)),JY67-JW67,"")</f>
        <v>0</v>
      </c>
      <c r="JY67" s="27"/>
      <c r="JZ67" s="28">
        <f>IF(AND(ISNUMBER(KA67),ISNUMBER(JY67)),KA67-JY67,"")</f>
        <v>0</v>
      </c>
      <c r="KA67" s="27"/>
      <c r="KB67" s="28">
        <f>IF(AND(ISNUMBER(KC67),ISNUMBER(KA67)),KC67-KA67,"")</f>
        <v>0</v>
      </c>
      <c r="KC67" s="27"/>
      <c r="KD67" s="28">
        <f>IF(AND(ISNUMBER(KE67),ISNUMBER(KC67)),KE67-KC67,"")</f>
        <v>0</v>
      </c>
      <c r="KE67" s="27"/>
      <c r="KF67" s="28">
        <f>IF(AND(ISNUMBER(KG67),ISNUMBER(KE67)),KG67-KE67,"")</f>
        <v>0</v>
      </c>
      <c r="KG67" s="27"/>
      <c r="KH67" s="28">
        <f>IF(AND(ISNUMBER(KI67),ISNUMBER(KG67)),KI67-KG67,"")</f>
        <v>0</v>
      </c>
      <c r="KI67" s="27"/>
      <c r="KJ67" s="28">
        <f>IF(AND(ISNUMBER(KK67),ISNUMBER(KI67)),KK67-KI67,"")</f>
        <v>0</v>
      </c>
      <c r="KK67" s="27"/>
      <c r="KL67" s="28">
        <f>IF(AND(ISNUMBER(KM67),ISNUMBER(KK67)),KM67-KK67,"")</f>
        <v>0</v>
      </c>
      <c r="KM67" s="27"/>
      <c r="KN67" s="28">
        <f>IF(AND(ISNUMBER(KO67),ISNUMBER(KM67)),KO67-KM67,"")</f>
        <v>0</v>
      </c>
      <c r="KO67" s="27"/>
      <c r="KP67" s="28">
        <f>IF(AND(ISNUMBER(KQ67),ISNUMBER(KO67)),KQ67-KO67,"")</f>
        <v>0</v>
      </c>
      <c r="KQ67" s="27"/>
      <c r="KR67" s="28">
        <f>IF(AND(ISNUMBER(KS67),ISNUMBER(KQ67)),KS67-KQ67,"")</f>
        <v>0</v>
      </c>
      <c r="KS67" s="27"/>
      <c r="KT67" s="28">
        <f>IF(AND(ISNUMBER(KU67),ISNUMBER(KS67)),KU67-KS67,"")</f>
        <v>0</v>
      </c>
      <c r="KU67" s="27"/>
      <c r="KV67" s="28">
        <f>IF(AND(ISNUMBER(KW67),ISNUMBER(KU67)),KW67-KU67,"")</f>
        <v>0</v>
      </c>
      <c r="KW67" s="27"/>
      <c r="KX67" s="28">
        <f>IF(AND(ISNUMBER(KY67),ISNUMBER(KW67)),KY67-KW67,"")</f>
        <v>0</v>
      </c>
      <c r="KY67" s="27"/>
      <c r="KZ67" s="28">
        <f>IF(AND(ISNUMBER(LA67),ISNUMBER(KY67)),LA67-KY67,"")</f>
        <v>0</v>
      </c>
      <c r="LA67" s="27"/>
      <c r="LB67" s="28">
        <f>IF(AND(ISNUMBER(LC67),ISNUMBER(LA67)),LC67-LA67,"")</f>
        <v>0</v>
      </c>
      <c r="LC67" s="27"/>
      <c r="LD67" s="28">
        <f>IF(AND(ISNUMBER(LE67),ISNUMBER(LC67)),LE67-LC67,"")</f>
        <v>0</v>
      </c>
      <c r="LE67" s="27"/>
      <c r="LF67" s="28">
        <f>IF(AND(ISNUMBER(LG67),ISNUMBER(LE67)),LG67-LE67,"")</f>
        <v>0</v>
      </c>
      <c r="LG67" s="27"/>
      <c r="LH67" s="30"/>
      <c r="LI67" s="30"/>
      <c r="LJ67" s="30"/>
    </row>
    <row r="68" spans="1:322">
      <c r="A68" s="36" t="s">
        <v>147</v>
      </c>
      <c r="B68" s="23"/>
      <c r="C68" s="31" t="s">
        <v>728</v>
      </c>
      <c r="D68" s="31" t="s">
        <v>793</v>
      </c>
      <c r="E68" s="32" t="s">
        <v>1036</v>
      </c>
      <c r="H68" s="38" t="s">
        <v>1082</v>
      </c>
      <c r="I68" s="33"/>
      <c r="J68" s="34">
        <f>IF(AND(ISNUMBER(K68),ISNUMBER(I68)),K68-I68,"")</f>
        <v>0</v>
      </c>
      <c r="K68" s="33"/>
      <c r="L68" s="34">
        <f>IF(AND(ISNUMBER(M68),ISNUMBER(K68)),M68-K68,"")</f>
        <v>0</v>
      </c>
      <c r="M68" s="33"/>
      <c r="N68" s="34">
        <f>IF(AND(ISNUMBER(O68),ISNUMBER(M68)),O68-M68,"")</f>
        <v>0</v>
      </c>
      <c r="O68" s="33"/>
      <c r="P68" s="34">
        <f>IF(AND(ISNUMBER(Q68),ISNUMBER(O68)),Q68-O68,"")</f>
        <v>0</v>
      </c>
      <c r="Q68" s="33"/>
      <c r="R68" s="34">
        <f>IF(AND(ISNUMBER(S68),ISNUMBER(Q68)),S68-Q68,"")</f>
        <v>0</v>
      </c>
      <c r="S68" s="33"/>
      <c r="T68" s="34">
        <f>IF(AND(ISNUMBER(U68),ISNUMBER(S68)),U68-S68,"")</f>
        <v>0</v>
      </c>
      <c r="U68" s="33"/>
      <c r="V68" s="34">
        <f>IF(AND(ISNUMBER(W68),ISNUMBER(U68)),W68-U68,"")</f>
        <v>0</v>
      </c>
      <c r="W68" s="33"/>
      <c r="X68" s="34">
        <f>IF(AND(ISNUMBER(Y68),ISNUMBER(W68)),Y68-W68,"")</f>
        <v>0</v>
      </c>
      <c r="Y68" s="33"/>
      <c r="Z68" s="34">
        <f>IF(AND(ISNUMBER(AA68),ISNUMBER(Y68)),AA68-Y68,"")</f>
        <v>0</v>
      </c>
      <c r="AA68" s="33"/>
      <c r="AB68" s="34">
        <f>IF(AND(ISNUMBER(AC68),ISNUMBER(AA68)),AC68-AA68,"")</f>
        <v>0</v>
      </c>
      <c r="AC68" s="33"/>
      <c r="AD68" s="34">
        <f>IF(AND(ISNUMBER(AE68),ISNUMBER(AC68)),AE68-AC68,"")</f>
        <v>0</v>
      </c>
      <c r="AE68" s="33"/>
      <c r="AF68" s="34">
        <f>IF(AND(ISNUMBER(AG68),ISNUMBER(AE68)),AG68-AE68,"")</f>
        <v>0</v>
      </c>
      <c r="AG68" s="33"/>
      <c r="AH68" s="34">
        <f>IF(AND(ISNUMBER(AI68),ISNUMBER(AG68)),AI68-AG68,"")</f>
        <v>0</v>
      </c>
      <c r="AI68" s="33"/>
      <c r="AJ68" s="34">
        <f>IF(AND(ISNUMBER(AK68),ISNUMBER(AI68)),AK68-AI68,"")</f>
        <v>0</v>
      </c>
      <c r="AK68" s="33"/>
      <c r="AL68" s="34">
        <f>IF(AND(ISNUMBER(AM68),ISNUMBER(AK68)),AM68-AK68,"")</f>
        <v>0</v>
      </c>
      <c r="AM68" s="33"/>
      <c r="AN68" s="34">
        <f>IF(AND(ISNUMBER(AO68),ISNUMBER(AM68)),AO68-AM68,"")</f>
        <v>0</v>
      </c>
      <c r="AO68" s="33"/>
      <c r="AP68" s="34">
        <f>IF(AND(ISNUMBER(AQ68),ISNUMBER(AO68)),AQ68-AO68,"")</f>
        <v>0</v>
      </c>
      <c r="AQ68" s="33"/>
      <c r="AR68" s="34">
        <f>IF(AND(ISNUMBER(AS68),ISNUMBER(AQ68)),AS68-AQ68,"")</f>
        <v>0</v>
      </c>
      <c r="AS68" s="33"/>
      <c r="AT68" s="34">
        <f>IF(AND(ISNUMBER(AU68),ISNUMBER(AS68)),AU68-AS68,"")</f>
        <v>0</v>
      </c>
      <c r="AU68" s="33"/>
      <c r="AV68" s="34">
        <f>IF(AND(ISNUMBER(AW68),ISNUMBER(AU68)),AW68-AU68,"")</f>
        <v>0</v>
      </c>
      <c r="AW68" s="33"/>
      <c r="AX68" s="34">
        <f>IF(AND(ISNUMBER(AY68),ISNUMBER(AW68)),AY68-AW68,"")</f>
        <v>0</v>
      </c>
      <c r="AY68" s="33"/>
      <c r="AZ68" s="34">
        <f>IF(AND(ISNUMBER(BA68),ISNUMBER(AY68)),BA68-AY68,"")</f>
        <v>0</v>
      </c>
      <c r="BA68" s="33"/>
      <c r="BB68" s="34">
        <f>IF(AND(ISNUMBER(BC68),ISNUMBER(BA68)),BC68-BA68,"")</f>
        <v>0</v>
      </c>
      <c r="BC68" s="33"/>
      <c r="BD68" s="34">
        <f>IF(AND(ISNUMBER(BE68),ISNUMBER(BC68)),BE68-BC68,"")</f>
        <v>0</v>
      </c>
      <c r="BE68" s="33"/>
      <c r="BF68" s="34">
        <f>IF(AND(ISNUMBER(BG68),ISNUMBER(BE68)),BG68-BE68,"")</f>
        <v>0</v>
      </c>
      <c r="BG68" s="33"/>
      <c r="BH68" s="34">
        <f>IF(AND(ISNUMBER(BI68),ISNUMBER(BG68)),BI68-BG68,"")</f>
        <v>0</v>
      </c>
      <c r="BI68" s="33"/>
      <c r="BJ68" s="34">
        <f>IF(AND(ISNUMBER(BK68),ISNUMBER(BI68)),BK68-BI68,"")</f>
        <v>0</v>
      </c>
      <c r="BK68" s="33"/>
      <c r="BL68" s="34">
        <f>IF(AND(ISNUMBER(BM68),ISNUMBER(BK68)),BM68-BK68,"")</f>
        <v>0</v>
      </c>
      <c r="BM68" s="33"/>
      <c r="BN68" s="34">
        <f>IF(AND(ISNUMBER(BO68),ISNUMBER(BM68)),BO68-BM68,"")</f>
        <v>0</v>
      </c>
      <c r="BO68" s="33"/>
      <c r="BP68" s="34">
        <f>IF(AND(ISNUMBER(BQ68),ISNUMBER(BO68)),BQ68-BO68,"")</f>
        <v>0</v>
      </c>
      <c r="BQ68" s="33"/>
      <c r="BR68" s="34">
        <f>IF(AND(ISNUMBER(BS68),ISNUMBER(BQ68)),BS68-BQ68,"")</f>
        <v>0</v>
      </c>
      <c r="BS68" s="33"/>
      <c r="BT68" s="34">
        <f>IF(AND(ISNUMBER(BU68),ISNUMBER(BS68)),BU68-BS68,"")</f>
        <v>0</v>
      </c>
      <c r="BU68" s="33"/>
      <c r="BV68" s="34">
        <f>IF(AND(ISNUMBER(BW68),ISNUMBER(BU68)),BW68-BU68,"")</f>
        <v>0</v>
      </c>
      <c r="BW68" s="33"/>
      <c r="BX68" s="34">
        <f>IF(AND(ISNUMBER(BY68),ISNUMBER(BW68)),BY68-BW68,"")</f>
        <v>0</v>
      </c>
      <c r="BY68" s="33"/>
      <c r="BZ68" s="34">
        <f>IF(AND(ISNUMBER(CA68),ISNUMBER(BY68)),CA68-BY68,"")</f>
        <v>0</v>
      </c>
      <c r="CA68" s="33"/>
      <c r="CB68" s="34">
        <f>IF(AND(ISNUMBER(CC68),ISNUMBER(CA68)),CC68-CA68,"")</f>
        <v>0</v>
      </c>
      <c r="CC68" s="33"/>
      <c r="CD68" s="34">
        <f>IF(AND(ISNUMBER(CE68),ISNUMBER(CC68)),CE68-CC68,"")</f>
        <v>0</v>
      </c>
      <c r="CE68" s="33"/>
      <c r="CF68" s="34">
        <f>IF(AND(ISNUMBER(CG68),ISNUMBER(CE68)),CG68-CE68,"")</f>
        <v>0</v>
      </c>
      <c r="CG68" s="33"/>
      <c r="CH68" s="34">
        <f>IF(AND(ISNUMBER(CI68),ISNUMBER(CG68)),CI68-CG68,"")</f>
        <v>0</v>
      </c>
      <c r="CI68" s="33"/>
      <c r="CJ68" s="34">
        <f>IF(AND(ISNUMBER(CK68),ISNUMBER(CI68)),CK68-CI68,"")</f>
        <v>0</v>
      </c>
      <c r="CK68" s="33"/>
      <c r="CL68" s="34">
        <f>IF(AND(ISNUMBER(CM68),ISNUMBER(CK68)),CM68-CK68,"")</f>
        <v>0</v>
      </c>
      <c r="CM68" s="33"/>
      <c r="CN68" s="34">
        <f>IF(AND(ISNUMBER(CO68),ISNUMBER(CM68)),CO68-CM68,"")</f>
        <v>0</v>
      </c>
      <c r="CO68" s="33"/>
      <c r="CP68" s="34">
        <f>IF(AND(ISNUMBER(CQ68),ISNUMBER(CO68)),CQ68-CO68,"")</f>
        <v>0</v>
      </c>
      <c r="CQ68" s="33"/>
      <c r="CR68" s="34">
        <f>IF(AND(ISNUMBER(CS68),ISNUMBER(CQ68)),CS68-CQ68,"")</f>
        <v>0</v>
      </c>
      <c r="CS68" s="33"/>
      <c r="CT68" s="34">
        <f>IF(AND(ISNUMBER(CU68),ISNUMBER(CS68)),CU68-CS68,"")</f>
        <v>0</v>
      </c>
      <c r="CU68" s="33"/>
      <c r="CV68" s="34">
        <f>IF(AND(ISNUMBER(CW68),ISNUMBER(CU68)),CW68-CU68,"")</f>
        <v>0</v>
      </c>
      <c r="CW68" s="33"/>
      <c r="CX68" s="34">
        <f>IF(AND(ISNUMBER(CY68),ISNUMBER(CW68)),CY68-CW68,"")</f>
        <v>0</v>
      </c>
      <c r="CY68" s="33"/>
      <c r="CZ68" s="34">
        <f>IF(AND(ISNUMBER(DA68),ISNUMBER(CY68)),DA68-CY68,"")</f>
        <v>0</v>
      </c>
      <c r="DA68" s="33"/>
      <c r="DB68" s="34">
        <f>IF(AND(ISNUMBER(DC68),ISNUMBER(DA68)),DC68-DA68,"")</f>
        <v>0</v>
      </c>
      <c r="DC68" s="33"/>
      <c r="DD68" s="34">
        <f>IF(AND(ISNUMBER(DE68),ISNUMBER(DC68)),DE68-DC68,"")</f>
        <v>0</v>
      </c>
      <c r="DE68" s="33"/>
      <c r="DF68" s="34">
        <f>IF(AND(ISNUMBER(DG68),ISNUMBER(DE68)),DG68-DE68,"")</f>
        <v>0</v>
      </c>
      <c r="DG68" s="33"/>
      <c r="DH68" s="34">
        <f>IF(AND(ISNUMBER(DI68),ISNUMBER(DG68)),DI68-DG68,"")</f>
        <v>0</v>
      </c>
      <c r="DI68" s="33"/>
      <c r="DJ68" s="34">
        <f>IF(AND(ISNUMBER(DK68),ISNUMBER(DI68)),DK68-DI68,"")</f>
        <v>0</v>
      </c>
      <c r="DK68" s="33"/>
      <c r="DL68" s="34">
        <f>IF(AND(ISNUMBER(DM68),ISNUMBER(DK68)),DM68-DK68,"")</f>
        <v>0</v>
      </c>
      <c r="DM68" s="33"/>
      <c r="DN68" s="34">
        <f>IF(AND(ISNUMBER(DO68),ISNUMBER(DM68)),DO68-DM68,"")</f>
        <v>0</v>
      </c>
      <c r="DO68" s="33"/>
      <c r="DP68" s="34">
        <f>IF(AND(ISNUMBER(DQ68),ISNUMBER(DO68)),DQ68-DO68,"")</f>
        <v>0</v>
      </c>
      <c r="DQ68" s="33"/>
      <c r="DR68" s="34">
        <f>IF(AND(ISNUMBER(DS68),ISNUMBER(DQ68)),DS68-DQ68,"")</f>
        <v>0</v>
      </c>
      <c r="DS68" s="33"/>
      <c r="DT68" s="34">
        <f>IF(AND(ISNUMBER(DU68),ISNUMBER(DS68)),DU68-DS68,"")</f>
        <v>0</v>
      </c>
      <c r="DU68" s="33"/>
      <c r="DV68" s="34">
        <f>IF(AND(ISNUMBER(DW68),ISNUMBER(DU68)),DW68-DU68,"")</f>
        <v>0</v>
      </c>
      <c r="DW68" s="33"/>
      <c r="DX68" s="34">
        <f>IF(AND(ISNUMBER(DY68),ISNUMBER(DW68)),DY68-DW68,"")</f>
        <v>0</v>
      </c>
      <c r="DY68" s="33"/>
      <c r="DZ68" s="34">
        <f>IF(AND(ISNUMBER(EA68),ISNUMBER(DY68)),EA68-DY68,"")</f>
        <v>0</v>
      </c>
      <c r="EA68" s="33"/>
      <c r="EB68" s="34">
        <f>IF(AND(ISNUMBER(EC68),ISNUMBER(EA68)),EC68-EA68,"")</f>
        <v>0</v>
      </c>
      <c r="EC68" s="33"/>
      <c r="ED68" s="34">
        <f>IF(AND(ISNUMBER(EE68),ISNUMBER(EC68)),EE68-EC68,"")</f>
        <v>0</v>
      </c>
      <c r="EE68" s="33"/>
      <c r="EF68" s="34">
        <f>IF(AND(ISNUMBER(EG68),ISNUMBER(EE68)),EG68-EE68,"")</f>
        <v>0</v>
      </c>
      <c r="EG68" s="33"/>
      <c r="EH68" s="34">
        <f>IF(AND(ISNUMBER(EI68),ISNUMBER(EG68)),EI68-EG68,"")</f>
        <v>0</v>
      </c>
      <c r="EI68" s="33"/>
      <c r="EJ68" s="34">
        <f>IF(AND(ISNUMBER(EK68),ISNUMBER(EI68)),EK68-EI68,"")</f>
        <v>0</v>
      </c>
      <c r="EK68" s="33"/>
      <c r="EL68" s="34">
        <f>IF(AND(ISNUMBER(EM68),ISNUMBER(EK68)),EM68-EK68,"")</f>
        <v>0</v>
      </c>
      <c r="EM68" s="33"/>
      <c r="EN68" s="34">
        <f>IF(AND(ISNUMBER(EO68),ISNUMBER(EM68)),EO68-EM68,"")</f>
        <v>0</v>
      </c>
      <c r="EO68" s="33"/>
      <c r="EP68" s="34">
        <f>IF(AND(ISNUMBER(EQ68),ISNUMBER(EO68)),EQ68-EO68,"")</f>
        <v>0</v>
      </c>
      <c r="EQ68" s="33"/>
      <c r="ER68" s="34">
        <f>IF(AND(ISNUMBER(ES68),ISNUMBER(EQ68)),ES68-EQ68,"")</f>
        <v>0</v>
      </c>
      <c r="ES68" s="33"/>
      <c r="ET68" s="34">
        <f>IF(AND(ISNUMBER(EU68),ISNUMBER(ES68)),EU68-ES68,"")</f>
        <v>0</v>
      </c>
      <c r="EU68" s="33"/>
      <c r="EV68" s="34">
        <f>IF(AND(ISNUMBER(EW68),ISNUMBER(EU68)),EW68-EU68,"")</f>
        <v>0</v>
      </c>
      <c r="EW68" s="33"/>
      <c r="EX68" s="34">
        <f>IF(AND(ISNUMBER(EY68),ISNUMBER(EW68)),EY68-EW68,"")</f>
        <v>0</v>
      </c>
      <c r="EY68" s="33"/>
      <c r="EZ68" s="34">
        <f>IF(AND(ISNUMBER(FA68),ISNUMBER(EY68)),FA68-EY68,"")</f>
        <v>0</v>
      </c>
      <c r="FA68" s="33"/>
      <c r="FB68" s="34">
        <f>IF(AND(ISNUMBER(FC68),ISNUMBER(FA68)),FC68-FA68,"")</f>
        <v>0</v>
      </c>
      <c r="FC68" s="33"/>
      <c r="FD68" s="34">
        <f>IF(AND(ISNUMBER(FE68),ISNUMBER(FC68)),FE68-FC68,"")</f>
        <v>0</v>
      </c>
      <c r="FE68" s="33"/>
      <c r="FF68" s="34">
        <f>IF(AND(ISNUMBER(FG68),ISNUMBER(FE68)),FG68-FE68,"")</f>
        <v>0</v>
      </c>
      <c r="FG68" s="33"/>
      <c r="FH68" s="34">
        <f>IF(AND(ISNUMBER(FI68),ISNUMBER(FG68)),FI68-FG68,"")</f>
        <v>0</v>
      </c>
      <c r="FI68" s="33"/>
      <c r="FJ68" s="34">
        <f>IF(AND(ISNUMBER(FK68),ISNUMBER(FI68)),FK68-FI68,"")</f>
        <v>0</v>
      </c>
      <c r="FK68" s="33"/>
      <c r="FL68" s="34">
        <f>IF(AND(ISNUMBER(FM68),ISNUMBER(FK68)),FM68-FK68,"")</f>
        <v>0</v>
      </c>
      <c r="FM68" s="33"/>
      <c r="FN68" s="34">
        <f>IF(AND(ISNUMBER(FO68),ISNUMBER(FM68)),FO68-FM68,"")</f>
        <v>0</v>
      </c>
      <c r="FO68" s="33"/>
      <c r="FP68" s="34">
        <f>IF(AND(ISNUMBER(FQ68),ISNUMBER(FO68)),FQ68-FO68,"")</f>
        <v>0</v>
      </c>
      <c r="FQ68" s="33"/>
      <c r="FR68" s="34">
        <f>IF(AND(ISNUMBER(FS68),ISNUMBER(FQ68)),FS68-FQ68,"")</f>
        <v>0</v>
      </c>
      <c r="FS68" s="33"/>
      <c r="FT68" s="34">
        <f>IF(AND(ISNUMBER(FU68),ISNUMBER(FS68)),FU68-FS68,"")</f>
        <v>0</v>
      </c>
      <c r="FU68" s="33"/>
      <c r="FV68" s="34">
        <f>IF(AND(ISNUMBER(FW68),ISNUMBER(FU68)),FW68-FU68,"")</f>
        <v>0</v>
      </c>
      <c r="FW68" s="33"/>
      <c r="FX68" s="34">
        <f>IF(AND(ISNUMBER(FY68),ISNUMBER(FW68)),FY68-FW68,"")</f>
        <v>0</v>
      </c>
      <c r="FY68" s="33"/>
      <c r="FZ68" s="34">
        <f>IF(AND(ISNUMBER(GA68),ISNUMBER(FY68)),GA68-FY68,"")</f>
        <v>0</v>
      </c>
      <c r="GA68" s="33"/>
      <c r="GB68" s="34">
        <f>IF(AND(ISNUMBER(GC68),ISNUMBER(GA68)),GC68-GA68,"")</f>
        <v>0</v>
      </c>
      <c r="GC68" s="33"/>
      <c r="GD68" s="34">
        <f>IF(AND(ISNUMBER(GE68),ISNUMBER(GC68)),GE68-GC68,"")</f>
        <v>0</v>
      </c>
      <c r="GE68" s="33"/>
      <c r="GF68" s="34">
        <f>IF(AND(ISNUMBER(GG68),ISNUMBER(GE68)),GG68-GE68,"")</f>
        <v>0</v>
      </c>
      <c r="GG68" s="33"/>
      <c r="GH68" s="34">
        <f>IF(AND(ISNUMBER(GI68),ISNUMBER(GG68)),GI68-GG68,"")</f>
        <v>0</v>
      </c>
      <c r="GI68" s="33"/>
      <c r="GJ68" s="34">
        <f>IF(AND(ISNUMBER(GK68),ISNUMBER(GI68)),GK68-GI68,"")</f>
        <v>0</v>
      </c>
      <c r="GK68" s="33"/>
      <c r="GL68" s="34">
        <f>IF(AND(ISNUMBER(GM68),ISNUMBER(GK68)),GM68-GK68,"")</f>
        <v>0</v>
      </c>
      <c r="GM68" s="33"/>
      <c r="GN68" s="34">
        <f>IF(AND(ISNUMBER(GO68),ISNUMBER(GM68)),GO68-GM68,"")</f>
        <v>0</v>
      </c>
      <c r="GO68" s="33"/>
      <c r="GP68" s="34">
        <f>IF(AND(ISNUMBER(GQ68),ISNUMBER(GO68)),GQ68-GO68,"")</f>
        <v>0</v>
      </c>
      <c r="GQ68" s="33"/>
      <c r="GR68" s="34">
        <f>IF(AND(ISNUMBER(GS68),ISNUMBER(GQ68)),GS68-GQ68,"")</f>
        <v>0</v>
      </c>
      <c r="GS68" s="33"/>
      <c r="GT68" s="34">
        <f>IF(AND(ISNUMBER(GU68),ISNUMBER(GS68)),GU68-GS68,"")</f>
        <v>0</v>
      </c>
      <c r="GU68" s="33"/>
      <c r="GV68" s="34">
        <f>IF(AND(ISNUMBER(GW68),ISNUMBER(GU68)),GW68-GU68,"")</f>
        <v>0</v>
      </c>
      <c r="GW68" s="33"/>
      <c r="GX68" s="34">
        <f>IF(AND(ISNUMBER(GY68),ISNUMBER(GW68)),GY68-GW68,"")</f>
        <v>0</v>
      </c>
      <c r="GY68" s="33"/>
      <c r="GZ68" s="34">
        <f>IF(AND(ISNUMBER(HA68),ISNUMBER(GY68)),HA68-GY68,"")</f>
        <v>0</v>
      </c>
      <c r="HA68" s="33"/>
      <c r="HB68" s="34">
        <f>IF(AND(ISNUMBER(HC68),ISNUMBER(HA68)),HC68-HA68,"")</f>
        <v>0</v>
      </c>
      <c r="HC68" s="33"/>
      <c r="HD68" s="34">
        <f>IF(AND(ISNUMBER(HE68),ISNUMBER(HC68)),HE68-HC68,"")</f>
        <v>0</v>
      </c>
      <c r="HE68" s="33"/>
      <c r="HF68" s="34">
        <f>IF(AND(ISNUMBER(HG68),ISNUMBER(HE68)),HG68-HE68,"")</f>
        <v>0</v>
      </c>
      <c r="HG68" s="33"/>
      <c r="HH68" s="34">
        <f>IF(AND(ISNUMBER(HI68),ISNUMBER(HG68)),HI68-HG68,"")</f>
        <v>0</v>
      </c>
      <c r="HI68" s="33"/>
      <c r="HJ68" s="34">
        <f>IF(AND(ISNUMBER(HK68),ISNUMBER(HI68)),HK68-HI68,"")</f>
        <v>0</v>
      </c>
      <c r="HK68" s="33"/>
      <c r="HL68" s="34">
        <f>IF(AND(ISNUMBER(HM68),ISNUMBER(HK68)),HM68-HK68,"")</f>
        <v>0</v>
      </c>
      <c r="HM68" s="33"/>
      <c r="HN68" s="34">
        <f>IF(AND(ISNUMBER(HO68),ISNUMBER(HM68)),HO68-HM68,"")</f>
        <v>0</v>
      </c>
      <c r="HO68" s="33"/>
      <c r="HP68" s="34">
        <f>IF(AND(ISNUMBER(HQ68),ISNUMBER(HO68)),HQ68-HO68,"")</f>
        <v>0</v>
      </c>
      <c r="HQ68" s="33"/>
      <c r="HR68" s="34">
        <f>IF(AND(ISNUMBER(HS68),ISNUMBER(HQ68)),HS68-HQ68,"")</f>
        <v>0</v>
      </c>
      <c r="HS68" s="33"/>
      <c r="HT68" s="34">
        <f>IF(AND(ISNUMBER(HU68),ISNUMBER(HS68)),HU68-HS68,"")</f>
        <v>0</v>
      </c>
      <c r="HU68" s="33"/>
      <c r="HV68" s="34">
        <f>IF(AND(ISNUMBER(HW68),ISNUMBER(HU68)),HW68-HU68,"")</f>
        <v>0</v>
      </c>
      <c r="HW68" s="33"/>
      <c r="HX68" s="34">
        <f>IF(AND(ISNUMBER(HY68),ISNUMBER(HW68)),HY68-HW68,"")</f>
        <v>0</v>
      </c>
      <c r="HY68" s="33"/>
      <c r="HZ68" s="34">
        <f>IF(AND(ISNUMBER(IA68),ISNUMBER(HY68)),IA68-HY68,"")</f>
        <v>0</v>
      </c>
      <c r="IA68" s="33"/>
      <c r="IB68" s="34">
        <f>IF(AND(ISNUMBER(IC68),ISNUMBER(IA68)),IC68-IA68,"")</f>
        <v>0</v>
      </c>
      <c r="IC68" s="33"/>
      <c r="ID68" s="34">
        <f>IF(AND(ISNUMBER(IE68),ISNUMBER(IC68)),IE68-IC68,"")</f>
        <v>0</v>
      </c>
      <c r="IE68" s="33"/>
      <c r="IF68" s="34">
        <f>IF(AND(ISNUMBER(IG68),ISNUMBER(IE68)),IG68-IE68,"")</f>
        <v>0</v>
      </c>
      <c r="IG68" s="33"/>
      <c r="IH68" s="34">
        <f>IF(AND(ISNUMBER(II68),ISNUMBER(IG68)),II68-IG68,"")</f>
        <v>0</v>
      </c>
      <c r="II68" s="33"/>
      <c r="IJ68" s="34">
        <f>IF(AND(ISNUMBER(IK68),ISNUMBER(II68)),IK68-II68,"")</f>
        <v>0</v>
      </c>
      <c r="IK68" s="33"/>
      <c r="IL68" s="34">
        <f>IF(AND(ISNUMBER(IM68),ISNUMBER(IK68)),IM68-IK68,"")</f>
        <v>0</v>
      </c>
      <c r="IM68" s="33"/>
      <c r="IN68" s="34">
        <f>IF(AND(ISNUMBER(IO68),ISNUMBER(IM68)),IO68-IM68,"")</f>
        <v>0</v>
      </c>
      <c r="IO68" s="33"/>
      <c r="IP68" s="34">
        <f>IF(AND(ISNUMBER(IQ68),ISNUMBER(IO68)),IQ68-IO68,"")</f>
        <v>0</v>
      </c>
      <c r="IQ68" s="33"/>
      <c r="IR68" s="34">
        <f>IF(AND(ISNUMBER(IS68),ISNUMBER(IQ68)),IS68-IQ68,"")</f>
        <v>0</v>
      </c>
      <c r="IS68" s="33"/>
      <c r="IT68" s="34">
        <f>IF(AND(ISNUMBER(IU68),ISNUMBER(IS68)),IU68-IS68,"")</f>
        <v>0</v>
      </c>
      <c r="IU68" s="33"/>
      <c r="IV68" s="34">
        <f>IF(AND(ISNUMBER(IW68),ISNUMBER(IU68)),IW68-IU68,"")</f>
        <v>0</v>
      </c>
      <c r="IW68" s="33"/>
      <c r="IX68" s="34">
        <f>IF(AND(ISNUMBER(IY68),ISNUMBER(IW68)),IY68-IW68,"")</f>
        <v>0</v>
      </c>
      <c r="IY68" s="33"/>
      <c r="IZ68" s="34">
        <f>IF(AND(ISNUMBER(JA68),ISNUMBER(IY68)),JA68-IY68,"")</f>
        <v>0</v>
      </c>
      <c r="JA68" s="33"/>
      <c r="JB68" s="34">
        <f>IF(AND(ISNUMBER(JC68),ISNUMBER(JA68)),JC68-JA68,"")</f>
        <v>0</v>
      </c>
      <c r="JC68" s="33"/>
      <c r="JD68" s="34">
        <f>IF(AND(ISNUMBER(JE68),ISNUMBER(JC68)),JE68-JC68,"")</f>
        <v>0</v>
      </c>
      <c r="JE68" s="33"/>
      <c r="JF68" s="34">
        <f>IF(AND(ISNUMBER(JG68),ISNUMBER(JE68)),JG68-JE68,"")</f>
        <v>0</v>
      </c>
      <c r="JG68" s="33"/>
      <c r="JH68" s="34">
        <f>IF(AND(ISNUMBER(JI68),ISNUMBER(JG68)),JI68-JG68,"")</f>
        <v>0</v>
      </c>
      <c r="JI68" s="33"/>
      <c r="JJ68" s="34">
        <f>IF(AND(ISNUMBER(JK68),ISNUMBER(JI68)),JK68-JI68,"")</f>
        <v>0</v>
      </c>
      <c r="JK68" s="33"/>
      <c r="JL68" s="34">
        <f>IF(AND(ISNUMBER(JM68),ISNUMBER(JK68)),JM68-JK68,"")</f>
        <v>0</v>
      </c>
      <c r="JM68" s="33"/>
      <c r="JN68" s="34">
        <f>IF(AND(ISNUMBER(JO68),ISNUMBER(JM68)),JO68-JM68,"")</f>
        <v>0</v>
      </c>
      <c r="JO68" s="33"/>
      <c r="JP68" s="34">
        <f>IF(AND(ISNUMBER(JQ68),ISNUMBER(JO68)),JQ68-JO68,"")</f>
        <v>0</v>
      </c>
      <c r="JQ68" s="33">
        <v>1895</v>
      </c>
      <c r="JR68" s="34">
        <f>IF(AND(ISNUMBER(JS68),ISNUMBER(JQ68)),JS68-JQ68,"")</f>
        <v>0</v>
      </c>
      <c r="JS68" s="33">
        <v>2042</v>
      </c>
      <c r="JT68" s="34">
        <f>IF(AND(ISNUMBER(JU68),ISNUMBER(JS68)),JU68-JS68,"")</f>
        <v>0</v>
      </c>
      <c r="JU68" s="33">
        <v>2141</v>
      </c>
      <c r="JV68" s="34">
        <f>IF(AND(ISNUMBER(JW68),ISNUMBER(JU68)),JW68-JU68,"")</f>
        <v>0</v>
      </c>
      <c r="JW68" s="33"/>
      <c r="JX68" s="34">
        <f>IF(AND(ISNUMBER(JY68),ISNUMBER(JW68)),JY68-JW68,"")</f>
        <v>0</v>
      </c>
      <c r="JY68" s="33"/>
      <c r="JZ68" s="34">
        <f>IF(AND(ISNUMBER(KA68),ISNUMBER(JY68)),KA68-JY68,"")</f>
        <v>0</v>
      </c>
      <c r="KA68" s="33"/>
      <c r="KB68" s="34">
        <f>IF(AND(ISNUMBER(KC68),ISNUMBER(KA68)),KC68-KA68,"")</f>
        <v>0</v>
      </c>
      <c r="KC68" s="33"/>
      <c r="KD68" s="34">
        <f>IF(AND(ISNUMBER(KE68),ISNUMBER(KC68)),KE68-KC68,"")</f>
        <v>0</v>
      </c>
      <c r="KE68" s="33"/>
      <c r="KF68" s="34">
        <f>IF(AND(ISNUMBER(KG68),ISNUMBER(KE68)),KG68-KE68,"")</f>
        <v>0</v>
      </c>
      <c r="KG68" s="33"/>
      <c r="KH68" s="34">
        <f>IF(AND(ISNUMBER(KI68),ISNUMBER(KG68)),KI68-KG68,"")</f>
        <v>0</v>
      </c>
      <c r="KI68" s="33"/>
      <c r="KJ68" s="34">
        <f>IF(AND(ISNUMBER(KK68),ISNUMBER(KI68)),KK68-KI68,"")</f>
        <v>0</v>
      </c>
      <c r="KK68" s="33"/>
      <c r="KL68" s="34">
        <f>IF(AND(ISNUMBER(KM68),ISNUMBER(KK68)),KM68-KK68,"")</f>
        <v>0</v>
      </c>
      <c r="KM68" s="33"/>
      <c r="KN68" s="34">
        <f>IF(AND(ISNUMBER(KO68),ISNUMBER(KM68)),KO68-KM68,"")</f>
        <v>0</v>
      </c>
      <c r="KO68" s="33"/>
      <c r="KP68" s="34">
        <f>IF(AND(ISNUMBER(KQ68),ISNUMBER(KO68)),KQ68-KO68,"")</f>
        <v>0</v>
      </c>
      <c r="KQ68" s="33"/>
      <c r="KR68" s="34">
        <f>IF(AND(ISNUMBER(KS68),ISNUMBER(KQ68)),KS68-KQ68,"")</f>
        <v>0</v>
      </c>
      <c r="KS68" s="33"/>
      <c r="KT68" s="34">
        <f>IF(AND(ISNUMBER(KU68),ISNUMBER(KS68)),KU68-KS68,"")</f>
        <v>0</v>
      </c>
      <c r="KU68" s="33"/>
      <c r="KV68" s="34">
        <f>IF(AND(ISNUMBER(KW68),ISNUMBER(KU68)),KW68-KU68,"")</f>
        <v>0</v>
      </c>
      <c r="KW68" s="33"/>
      <c r="KX68" s="34">
        <f>IF(AND(ISNUMBER(KY68),ISNUMBER(KW68)),KY68-KW68,"")</f>
        <v>0</v>
      </c>
      <c r="KY68" s="33"/>
      <c r="KZ68" s="34">
        <f>IF(AND(ISNUMBER(LA68),ISNUMBER(KY68)),LA68-KY68,"")</f>
        <v>0</v>
      </c>
      <c r="LA68" s="33"/>
      <c r="LB68" s="34">
        <f>IF(AND(ISNUMBER(LC68),ISNUMBER(LA68)),LC68-LA68,"")</f>
        <v>0</v>
      </c>
      <c r="LC68" s="33"/>
      <c r="LD68" s="34">
        <f>IF(AND(ISNUMBER(LE68),ISNUMBER(LC68)),LE68-LC68,"")</f>
        <v>0</v>
      </c>
      <c r="LE68" s="33"/>
      <c r="LF68" s="34">
        <f>IF(AND(ISNUMBER(LG68),ISNUMBER(LE68)),LG68-LE68,"")</f>
        <v>0</v>
      </c>
      <c r="LG68" s="33"/>
    </row>
    <row r="69" spans="1:322">
      <c r="A69" s="36" t="s">
        <v>149</v>
      </c>
      <c r="B69" s="23"/>
      <c r="C69" s="31" t="s">
        <v>728</v>
      </c>
      <c r="D69" s="31" t="s">
        <v>795</v>
      </c>
      <c r="E69" s="32" t="s">
        <v>1036</v>
      </c>
      <c r="H69" s="38" t="s">
        <v>1082</v>
      </c>
      <c r="I69" s="33"/>
      <c r="J69" s="34">
        <f>IF(AND(ISNUMBER(K69),ISNUMBER(I69)),K69-I69,"")</f>
        <v>0</v>
      </c>
      <c r="K69" s="33"/>
      <c r="L69" s="34">
        <f>IF(AND(ISNUMBER(M69),ISNUMBER(K69)),M69-K69,"")</f>
        <v>0</v>
      </c>
      <c r="M69" s="33"/>
      <c r="N69" s="34">
        <f>IF(AND(ISNUMBER(O69),ISNUMBER(M69)),O69-M69,"")</f>
        <v>0</v>
      </c>
      <c r="O69" s="33"/>
      <c r="P69" s="34">
        <f>IF(AND(ISNUMBER(Q69),ISNUMBER(O69)),Q69-O69,"")</f>
        <v>0</v>
      </c>
      <c r="Q69" s="33"/>
      <c r="R69" s="34">
        <f>IF(AND(ISNUMBER(S69),ISNUMBER(Q69)),S69-Q69,"")</f>
        <v>0</v>
      </c>
      <c r="S69" s="33"/>
      <c r="T69" s="34">
        <f>IF(AND(ISNUMBER(U69),ISNUMBER(S69)),U69-S69,"")</f>
        <v>0</v>
      </c>
      <c r="U69" s="33"/>
      <c r="V69" s="34">
        <f>IF(AND(ISNUMBER(W69),ISNUMBER(U69)),W69-U69,"")</f>
        <v>0</v>
      </c>
      <c r="W69" s="33"/>
      <c r="X69" s="34">
        <f>IF(AND(ISNUMBER(Y69),ISNUMBER(W69)),Y69-W69,"")</f>
        <v>0</v>
      </c>
      <c r="Y69" s="33"/>
      <c r="Z69" s="34">
        <f>IF(AND(ISNUMBER(AA69),ISNUMBER(Y69)),AA69-Y69,"")</f>
        <v>0</v>
      </c>
      <c r="AA69" s="33"/>
      <c r="AB69" s="34">
        <f>IF(AND(ISNUMBER(AC69),ISNUMBER(AA69)),AC69-AA69,"")</f>
        <v>0</v>
      </c>
      <c r="AC69" s="33"/>
      <c r="AD69" s="34">
        <f>IF(AND(ISNUMBER(AE69),ISNUMBER(AC69)),AE69-AC69,"")</f>
        <v>0</v>
      </c>
      <c r="AE69" s="33"/>
      <c r="AF69" s="34">
        <f>IF(AND(ISNUMBER(AG69),ISNUMBER(AE69)),AG69-AE69,"")</f>
        <v>0</v>
      </c>
      <c r="AG69" s="33"/>
      <c r="AH69" s="34">
        <f>IF(AND(ISNUMBER(AI69),ISNUMBER(AG69)),AI69-AG69,"")</f>
        <v>0</v>
      </c>
      <c r="AI69" s="33"/>
      <c r="AJ69" s="34">
        <f>IF(AND(ISNUMBER(AK69),ISNUMBER(AI69)),AK69-AI69,"")</f>
        <v>0</v>
      </c>
      <c r="AK69" s="33"/>
      <c r="AL69" s="34">
        <f>IF(AND(ISNUMBER(AM69),ISNUMBER(AK69)),AM69-AK69,"")</f>
        <v>0</v>
      </c>
      <c r="AM69" s="33"/>
      <c r="AN69" s="34">
        <f>IF(AND(ISNUMBER(AO69),ISNUMBER(AM69)),AO69-AM69,"")</f>
        <v>0</v>
      </c>
      <c r="AO69" s="33"/>
      <c r="AP69" s="34">
        <f>IF(AND(ISNUMBER(AQ69),ISNUMBER(AO69)),AQ69-AO69,"")</f>
        <v>0</v>
      </c>
      <c r="AQ69" s="33"/>
      <c r="AR69" s="34">
        <f>IF(AND(ISNUMBER(AS69),ISNUMBER(AQ69)),AS69-AQ69,"")</f>
        <v>0</v>
      </c>
      <c r="AS69" s="33"/>
      <c r="AT69" s="34">
        <f>IF(AND(ISNUMBER(AU69),ISNUMBER(AS69)),AU69-AS69,"")</f>
        <v>0</v>
      </c>
      <c r="AU69" s="33"/>
      <c r="AV69" s="34">
        <f>IF(AND(ISNUMBER(AW69),ISNUMBER(AU69)),AW69-AU69,"")</f>
        <v>0</v>
      </c>
      <c r="AW69" s="33"/>
      <c r="AX69" s="34">
        <f>IF(AND(ISNUMBER(AY69),ISNUMBER(AW69)),AY69-AW69,"")</f>
        <v>0</v>
      </c>
      <c r="AY69" s="33"/>
      <c r="AZ69" s="34">
        <f>IF(AND(ISNUMBER(BA69),ISNUMBER(AY69)),BA69-AY69,"")</f>
        <v>0</v>
      </c>
      <c r="BA69" s="33"/>
      <c r="BB69" s="34">
        <f>IF(AND(ISNUMBER(BC69),ISNUMBER(BA69)),BC69-BA69,"")</f>
        <v>0</v>
      </c>
      <c r="BC69" s="33"/>
      <c r="BD69" s="34">
        <f>IF(AND(ISNUMBER(BE69),ISNUMBER(BC69)),BE69-BC69,"")</f>
        <v>0</v>
      </c>
      <c r="BE69" s="33"/>
      <c r="BF69" s="34">
        <f>IF(AND(ISNUMBER(BG69),ISNUMBER(BE69)),BG69-BE69,"")</f>
        <v>0</v>
      </c>
      <c r="BG69" s="33"/>
      <c r="BH69" s="34">
        <f>IF(AND(ISNUMBER(BI69),ISNUMBER(BG69)),BI69-BG69,"")</f>
        <v>0</v>
      </c>
      <c r="BI69" s="33"/>
      <c r="BJ69" s="34">
        <f>IF(AND(ISNUMBER(BK69),ISNUMBER(BI69)),BK69-BI69,"")</f>
        <v>0</v>
      </c>
      <c r="BK69" s="33"/>
      <c r="BL69" s="34">
        <f>IF(AND(ISNUMBER(BM69),ISNUMBER(BK69)),BM69-BK69,"")</f>
        <v>0</v>
      </c>
      <c r="BM69" s="33"/>
      <c r="BN69" s="34">
        <f>IF(AND(ISNUMBER(BO69),ISNUMBER(BM69)),BO69-BM69,"")</f>
        <v>0</v>
      </c>
      <c r="BO69" s="33"/>
      <c r="BP69" s="34">
        <f>IF(AND(ISNUMBER(BQ69),ISNUMBER(BO69)),BQ69-BO69,"")</f>
        <v>0</v>
      </c>
      <c r="BQ69" s="33"/>
      <c r="BR69" s="34">
        <f>IF(AND(ISNUMBER(BS69),ISNUMBER(BQ69)),BS69-BQ69,"")</f>
        <v>0</v>
      </c>
      <c r="BS69" s="33"/>
      <c r="BT69" s="34">
        <f>IF(AND(ISNUMBER(BU69),ISNUMBER(BS69)),BU69-BS69,"")</f>
        <v>0</v>
      </c>
      <c r="BU69" s="33"/>
      <c r="BV69" s="34">
        <f>IF(AND(ISNUMBER(BW69),ISNUMBER(BU69)),BW69-BU69,"")</f>
        <v>0</v>
      </c>
      <c r="BW69" s="33"/>
      <c r="BX69" s="34">
        <f>IF(AND(ISNUMBER(BY69),ISNUMBER(BW69)),BY69-BW69,"")</f>
        <v>0</v>
      </c>
      <c r="BY69" s="33"/>
      <c r="BZ69" s="34">
        <f>IF(AND(ISNUMBER(CA69),ISNUMBER(BY69)),CA69-BY69,"")</f>
        <v>0</v>
      </c>
      <c r="CA69" s="33"/>
      <c r="CB69" s="34">
        <f>IF(AND(ISNUMBER(CC69),ISNUMBER(CA69)),CC69-CA69,"")</f>
        <v>0</v>
      </c>
      <c r="CC69" s="33"/>
      <c r="CD69" s="34">
        <f>IF(AND(ISNUMBER(CE69),ISNUMBER(CC69)),CE69-CC69,"")</f>
        <v>0</v>
      </c>
      <c r="CE69" s="33"/>
      <c r="CF69" s="34">
        <f>IF(AND(ISNUMBER(CG69),ISNUMBER(CE69)),CG69-CE69,"")</f>
        <v>0</v>
      </c>
      <c r="CG69" s="33"/>
      <c r="CH69" s="34">
        <f>IF(AND(ISNUMBER(CI69),ISNUMBER(CG69)),CI69-CG69,"")</f>
        <v>0</v>
      </c>
      <c r="CI69" s="33"/>
      <c r="CJ69" s="34">
        <f>IF(AND(ISNUMBER(CK69),ISNUMBER(CI69)),CK69-CI69,"")</f>
        <v>0</v>
      </c>
      <c r="CK69" s="33"/>
      <c r="CL69" s="34">
        <f>IF(AND(ISNUMBER(CM69),ISNUMBER(CK69)),CM69-CK69,"")</f>
        <v>0</v>
      </c>
      <c r="CM69" s="33"/>
      <c r="CN69" s="34">
        <f>IF(AND(ISNUMBER(CO69),ISNUMBER(CM69)),CO69-CM69,"")</f>
        <v>0</v>
      </c>
      <c r="CO69" s="33"/>
      <c r="CP69" s="34">
        <f>IF(AND(ISNUMBER(CQ69),ISNUMBER(CO69)),CQ69-CO69,"")</f>
        <v>0</v>
      </c>
      <c r="CQ69" s="33"/>
      <c r="CR69" s="34">
        <f>IF(AND(ISNUMBER(CS69),ISNUMBER(CQ69)),CS69-CQ69,"")</f>
        <v>0</v>
      </c>
      <c r="CS69" s="33"/>
      <c r="CT69" s="34">
        <f>IF(AND(ISNUMBER(CU69),ISNUMBER(CS69)),CU69-CS69,"")</f>
        <v>0</v>
      </c>
      <c r="CU69" s="33"/>
      <c r="CV69" s="34">
        <f>IF(AND(ISNUMBER(CW69),ISNUMBER(CU69)),CW69-CU69,"")</f>
        <v>0</v>
      </c>
      <c r="CW69" s="33"/>
      <c r="CX69" s="34">
        <f>IF(AND(ISNUMBER(CY69),ISNUMBER(CW69)),CY69-CW69,"")</f>
        <v>0</v>
      </c>
      <c r="CY69" s="33"/>
      <c r="CZ69" s="34">
        <f>IF(AND(ISNUMBER(DA69),ISNUMBER(CY69)),DA69-CY69,"")</f>
        <v>0</v>
      </c>
      <c r="DA69" s="33"/>
      <c r="DB69" s="34">
        <f>IF(AND(ISNUMBER(DC69),ISNUMBER(DA69)),DC69-DA69,"")</f>
        <v>0</v>
      </c>
      <c r="DC69" s="33"/>
      <c r="DD69" s="34">
        <f>IF(AND(ISNUMBER(DE69),ISNUMBER(DC69)),DE69-DC69,"")</f>
        <v>0</v>
      </c>
      <c r="DE69" s="33"/>
      <c r="DF69" s="34">
        <f>IF(AND(ISNUMBER(DG69),ISNUMBER(DE69)),DG69-DE69,"")</f>
        <v>0</v>
      </c>
      <c r="DG69" s="33"/>
      <c r="DH69" s="34">
        <f>IF(AND(ISNUMBER(DI69),ISNUMBER(DG69)),DI69-DG69,"")</f>
        <v>0</v>
      </c>
      <c r="DI69" s="33"/>
      <c r="DJ69" s="34">
        <f>IF(AND(ISNUMBER(DK69),ISNUMBER(DI69)),DK69-DI69,"")</f>
        <v>0</v>
      </c>
      <c r="DK69" s="33"/>
      <c r="DL69" s="34">
        <f>IF(AND(ISNUMBER(DM69),ISNUMBER(DK69)),DM69-DK69,"")</f>
        <v>0</v>
      </c>
      <c r="DM69" s="33"/>
      <c r="DN69" s="34">
        <f>IF(AND(ISNUMBER(DO69),ISNUMBER(DM69)),DO69-DM69,"")</f>
        <v>0</v>
      </c>
      <c r="DO69" s="33"/>
      <c r="DP69" s="34">
        <f>IF(AND(ISNUMBER(DQ69),ISNUMBER(DO69)),DQ69-DO69,"")</f>
        <v>0</v>
      </c>
      <c r="DQ69" s="33"/>
      <c r="DR69" s="34">
        <f>IF(AND(ISNUMBER(DS69),ISNUMBER(DQ69)),DS69-DQ69,"")</f>
        <v>0</v>
      </c>
      <c r="DS69" s="33"/>
      <c r="DT69" s="34">
        <f>IF(AND(ISNUMBER(DU69),ISNUMBER(DS69)),DU69-DS69,"")</f>
        <v>0</v>
      </c>
      <c r="DU69" s="33"/>
      <c r="DV69" s="34">
        <f>IF(AND(ISNUMBER(DW69),ISNUMBER(DU69)),DW69-DU69,"")</f>
        <v>0</v>
      </c>
      <c r="DW69" s="33"/>
      <c r="DX69" s="34">
        <f>IF(AND(ISNUMBER(DY69),ISNUMBER(DW69)),DY69-DW69,"")</f>
        <v>0</v>
      </c>
      <c r="DY69" s="33"/>
      <c r="DZ69" s="34">
        <f>IF(AND(ISNUMBER(EA69),ISNUMBER(DY69)),EA69-DY69,"")</f>
        <v>0</v>
      </c>
      <c r="EA69" s="33"/>
      <c r="EB69" s="34">
        <f>IF(AND(ISNUMBER(EC69),ISNUMBER(EA69)),EC69-EA69,"")</f>
        <v>0</v>
      </c>
      <c r="EC69" s="33"/>
      <c r="ED69" s="34">
        <f>IF(AND(ISNUMBER(EE69),ISNUMBER(EC69)),EE69-EC69,"")</f>
        <v>0</v>
      </c>
      <c r="EE69" s="33"/>
      <c r="EF69" s="34">
        <f>IF(AND(ISNUMBER(EG69),ISNUMBER(EE69)),EG69-EE69,"")</f>
        <v>0</v>
      </c>
      <c r="EG69" s="33"/>
      <c r="EH69" s="34">
        <f>IF(AND(ISNUMBER(EI69),ISNUMBER(EG69)),EI69-EG69,"")</f>
        <v>0</v>
      </c>
      <c r="EI69" s="33"/>
      <c r="EJ69" s="34">
        <f>IF(AND(ISNUMBER(EK69),ISNUMBER(EI69)),EK69-EI69,"")</f>
        <v>0</v>
      </c>
      <c r="EK69" s="33"/>
      <c r="EL69" s="34">
        <f>IF(AND(ISNUMBER(EM69),ISNUMBER(EK69)),EM69-EK69,"")</f>
        <v>0</v>
      </c>
      <c r="EM69" s="33"/>
      <c r="EN69" s="34">
        <f>IF(AND(ISNUMBER(EO69),ISNUMBER(EM69)),EO69-EM69,"")</f>
        <v>0</v>
      </c>
      <c r="EO69" s="33"/>
      <c r="EP69" s="34">
        <f>IF(AND(ISNUMBER(EQ69),ISNUMBER(EO69)),EQ69-EO69,"")</f>
        <v>0</v>
      </c>
      <c r="EQ69" s="33"/>
      <c r="ER69" s="34">
        <f>IF(AND(ISNUMBER(ES69),ISNUMBER(EQ69)),ES69-EQ69,"")</f>
        <v>0</v>
      </c>
      <c r="ES69" s="33"/>
      <c r="ET69" s="34">
        <f>IF(AND(ISNUMBER(EU69),ISNUMBER(ES69)),EU69-ES69,"")</f>
        <v>0</v>
      </c>
      <c r="EU69" s="33"/>
      <c r="EV69" s="34">
        <f>IF(AND(ISNUMBER(EW69),ISNUMBER(EU69)),EW69-EU69,"")</f>
        <v>0</v>
      </c>
      <c r="EW69" s="33"/>
      <c r="EX69" s="34">
        <f>IF(AND(ISNUMBER(EY69),ISNUMBER(EW69)),EY69-EW69,"")</f>
        <v>0</v>
      </c>
      <c r="EY69" s="33"/>
      <c r="EZ69" s="34">
        <f>IF(AND(ISNUMBER(FA69),ISNUMBER(EY69)),FA69-EY69,"")</f>
        <v>0</v>
      </c>
      <c r="FA69" s="33"/>
      <c r="FB69" s="34">
        <f>IF(AND(ISNUMBER(FC69),ISNUMBER(FA69)),FC69-FA69,"")</f>
        <v>0</v>
      </c>
      <c r="FC69" s="33"/>
      <c r="FD69" s="34">
        <f>IF(AND(ISNUMBER(FE69),ISNUMBER(FC69)),FE69-FC69,"")</f>
        <v>0</v>
      </c>
      <c r="FE69" s="33"/>
      <c r="FF69" s="34">
        <f>IF(AND(ISNUMBER(FG69),ISNUMBER(FE69)),FG69-FE69,"")</f>
        <v>0</v>
      </c>
      <c r="FG69" s="33"/>
      <c r="FH69" s="34">
        <f>IF(AND(ISNUMBER(FI69),ISNUMBER(FG69)),FI69-FG69,"")</f>
        <v>0</v>
      </c>
      <c r="FI69" s="33"/>
      <c r="FJ69" s="34">
        <f>IF(AND(ISNUMBER(FK69),ISNUMBER(FI69)),FK69-FI69,"")</f>
        <v>0</v>
      </c>
      <c r="FK69" s="33"/>
      <c r="FL69" s="34">
        <f>IF(AND(ISNUMBER(FM69),ISNUMBER(FK69)),FM69-FK69,"")</f>
        <v>0</v>
      </c>
      <c r="FM69" s="33"/>
      <c r="FN69" s="34">
        <f>IF(AND(ISNUMBER(FO69),ISNUMBER(FM69)),FO69-FM69,"")</f>
        <v>0</v>
      </c>
      <c r="FO69" s="33"/>
      <c r="FP69" s="34">
        <f>IF(AND(ISNUMBER(FQ69),ISNUMBER(FO69)),FQ69-FO69,"")</f>
        <v>0</v>
      </c>
      <c r="FQ69" s="33"/>
      <c r="FR69" s="34">
        <f>IF(AND(ISNUMBER(FS69),ISNUMBER(FQ69)),FS69-FQ69,"")</f>
        <v>0</v>
      </c>
      <c r="FS69" s="33"/>
      <c r="FT69" s="34">
        <f>IF(AND(ISNUMBER(FU69),ISNUMBER(FS69)),FU69-FS69,"")</f>
        <v>0</v>
      </c>
      <c r="FU69" s="33"/>
      <c r="FV69" s="34">
        <f>IF(AND(ISNUMBER(FW69),ISNUMBER(FU69)),FW69-FU69,"")</f>
        <v>0</v>
      </c>
      <c r="FW69" s="33"/>
      <c r="FX69" s="34">
        <f>IF(AND(ISNUMBER(FY69),ISNUMBER(FW69)),FY69-FW69,"")</f>
        <v>0</v>
      </c>
      <c r="FY69" s="33"/>
      <c r="FZ69" s="34">
        <f>IF(AND(ISNUMBER(GA69),ISNUMBER(FY69)),GA69-FY69,"")</f>
        <v>0</v>
      </c>
      <c r="GA69" s="33"/>
      <c r="GB69" s="34">
        <f>IF(AND(ISNUMBER(GC69),ISNUMBER(GA69)),GC69-GA69,"")</f>
        <v>0</v>
      </c>
      <c r="GC69" s="33"/>
      <c r="GD69" s="34">
        <f>IF(AND(ISNUMBER(GE69),ISNUMBER(GC69)),GE69-GC69,"")</f>
        <v>0</v>
      </c>
      <c r="GE69" s="33"/>
      <c r="GF69" s="34">
        <f>IF(AND(ISNUMBER(GG69),ISNUMBER(GE69)),GG69-GE69,"")</f>
        <v>0</v>
      </c>
      <c r="GG69" s="33"/>
      <c r="GH69" s="34">
        <f>IF(AND(ISNUMBER(GI69),ISNUMBER(GG69)),GI69-GG69,"")</f>
        <v>0</v>
      </c>
      <c r="GI69" s="33"/>
      <c r="GJ69" s="34">
        <f>IF(AND(ISNUMBER(GK69),ISNUMBER(GI69)),GK69-GI69,"")</f>
        <v>0</v>
      </c>
      <c r="GK69" s="33"/>
      <c r="GL69" s="34">
        <f>IF(AND(ISNUMBER(GM69),ISNUMBER(GK69)),GM69-GK69,"")</f>
        <v>0</v>
      </c>
      <c r="GM69" s="33"/>
      <c r="GN69" s="34">
        <f>IF(AND(ISNUMBER(GO69),ISNUMBER(GM69)),GO69-GM69,"")</f>
        <v>0</v>
      </c>
      <c r="GO69" s="33"/>
      <c r="GP69" s="34">
        <f>IF(AND(ISNUMBER(GQ69),ISNUMBER(GO69)),GQ69-GO69,"")</f>
        <v>0</v>
      </c>
      <c r="GQ69" s="33"/>
      <c r="GR69" s="34">
        <f>IF(AND(ISNUMBER(GS69),ISNUMBER(GQ69)),GS69-GQ69,"")</f>
        <v>0</v>
      </c>
      <c r="GS69" s="33"/>
      <c r="GT69" s="34">
        <f>IF(AND(ISNUMBER(GU69),ISNUMBER(GS69)),GU69-GS69,"")</f>
        <v>0</v>
      </c>
      <c r="GU69" s="33"/>
      <c r="GV69" s="34">
        <f>IF(AND(ISNUMBER(GW69),ISNUMBER(GU69)),GW69-GU69,"")</f>
        <v>0</v>
      </c>
      <c r="GW69" s="33"/>
      <c r="GX69" s="34">
        <f>IF(AND(ISNUMBER(GY69),ISNUMBER(GW69)),GY69-GW69,"")</f>
        <v>0</v>
      </c>
      <c r="GY69" s="33"/>
      <c r="GZ69" s="34">
        <f>IF(AND(ISNUMBER(HA69),ISNUMBER(GY69)),HA69-GY69,"")</f>
        <v>0</v>
      </c>
      <c r="HA69" s="33"/>
      <c r="HB69" s="34">
        <f>IF(AND(ISNUMBER(HC69),ISNUMBER(HA69)),HC69-HA69,"")</f>
        <v>0</v>
      </c>
      <c r="HC69" s="33"/>
      <c r="HD69" s="34">
        <f>IF(AND(ISNUMBER(HE69),ISNUMBER(HC69)),HE69-HC69,"")</f>
        <v>0</v>
      </c>
      <c r="HE69" s="33"/>
      <c r="HF69" s="34">
        <f>IF(AND(ISNUMBER(HG69),ISNUMBER(HE69)),HG69-HE69,"")</f>
        <v>0</v>
      </c>
      <c r="HG69" s="33"/>
      <c r="HH69" s="34">
        <f>IF(AND(ISNUMBER(HI69),ISNUMBER(HG69)),HI69-HG69,"")</f>
        <v>0</v>
      </c>
      <c r="HI69" s="33"/>
      <c r="HJ69" s="34">
        <f>IF(AND(ISNUMBER(HK69),ISNUMBER(HI69)),HK69-HI69,"")</f>
        <v>0</v>
      </c>
      <c r="HK69" s="33"/>
      <c r="HL69" s="34">
        <f>IF(AND(ISNUMBER(HM69),ISNUMBER(HK69)),HM69-HK69,"")</f>
        <v>0</v>
      </c>
      <c r="HM69" s="33"/>
      <c r="HN69" s="34">
        <f>IF(AND(ISNUMBER(HO69),ISNUMBER(HM69)),HO69-HM69,"")</f>
        <v>0</v>
      </c>
      <c r="HO69" s="33"/>
      <c r="HP69" s="34">
        <f>IF(AND(ISNUMBER(HQ69),ISNUMBER(HO69)),HQ69-HO69,"")</f>
        <v>0</v>
      </c>
      <c r="HQ69" s="33"/>
      <c r="HR69" s="34">
        <f>IF(AND(ISNUMBER(HS69),ISNUMBER(HQ69)),HS69-HQ69,"")</f>
        <v>0</v>
      </c>
      <c r="HS69" s="33"/>
      <c r="HT69" s="34">
        <f>IF(AND(ISNUMBER(HU69),ISNUMBER(HS69)),HU69-HS69,"")</f>
        <v>0</v>
      </c>
      <c r="HU69" s="33"/>
      <c r="HV69" s="34">
        <f>IF(AND(ISNUMBER(HW69),ISNUMBER(HU69)),HW69-HU69,"")</f>
        <v>0</v>
      </c>
      <c r="HW69" s="33"/>
      <c r="HX69" s="34">
        <f>IF(AND(ISNUMBER(HY69),ISNUMBER(HW69)),HY69-HW69,"")</f>
        <v>0</v>
      </c>
      <c r="HY69" s="33"/>
      <c r="HZ69" s="34">
        <f>IF(AND(ISNUMBER(IA69),ISNUMBER(HY69)),IA69-HY69,"")</f>
        <v>0</v>
      </c>
      <c r="IA69" s="33"/>
      <c r="IB69" s="34">
        <f>IF(AND(ISNUMBER(IC69),ISNUMBER(IA69)),IC69-IA69,"")</f>
        <v>0</v>
      </c>
      <c r="IC69" s="33"/>
      <c r="ID69" s="34">
        <f>IF(AND(ISNUMBER(IE69),ISNUMBER(IC69)),IE69-IC69,"")</f>
        <v>0</v>
      </c>
      <c r="IE69" s="33"/>
      <c r="IF69" s="34">
        <f>IF(AND(ISNUMBER(IG69),ISNUMBER(IE69)),IG69-IE69,"")</f>
        <v>0</v>
      </c>
      <c r="IG69" s="33"/>
      <c r="IH69" s="34">
        <f>IF(AND(ISNUMBER(II69),ISNUMBER(IG69)),II69-IG69,"")</f>
        <v>0</v>
      </c>
      <c r="II69" s="33"/>
      <c r="IJ69" s="34">
        <f>IF(AND(ISNUMBER(IK69),ISNUMBER(II69)),IK69-II69,"")</f>
        <v>0</v>
      </c>
      <c r="IK69" s="33"/>
      <c r="IL69" s="34">
        <f>IF(AND(ISNUMBER(IM69),ISNUMBER(IK69)),IM69-IK69,"")</f>
        <v>0</v>
      </c>
      <c r="IM69" s="33"/>
      <c r="IN69" s="34">
        <f>IF(AND(ISNUMBER(IO69),ISNUMBER(IM69)),IO69-IM69,"")</f>
        <v>0</v>
      </c>
      <c r="IO69" s="33"/>
      <c r="IP69" s="34">
        <f>IF(AND(ISNUMBER(IQ69),ISNUMBER(IO69)),IQ69-IO69,"")</f>
        <v>0</v>
      </c>
      <c r="IQ69" s="33"/>
      <c r="IR69" s="34">
        <f>IF(AND(ISNUMBER(IS69),ISNUMBER(IQ69)),IS69-IQ69,"")</f>
        <v>0</v>
      </c>
      <c r="IS69" s="33"/>
      <c r="IT69" s="34">
        <f>IF(AND(ISNUMBER(IU69),ISNUMBER(IS69)),IU69-IS69,"")</f>
        <v>0</v>
      </c>
      <c r="IU69" s="33"/>
      <c r="IV69" s="34">
        <f>IF(AND(ISNUMBER(IW69),ISNUMBER(IU69)),IW69-IU69,"")</f>
        <v>0</v>
      </c>
      <c r="IW69" s="33"/>
      <c r="IX69" s="34">
        <f>IF(AND(ISNUMBER(IY69),ISNUMBER(IW69)),IY69-IW69,"")</f>
        <v>0</v>
      </c>
      <c r="IY69" s="33"/>
      <c r="IZ69" s="34">
        <f>IF(AND(ISNUMBER(JA69),ISNUMBER(IY69)),JA69-IY69,"")</f>
        <v>0</v>
      </c>
      <c r="JA69" s="33"/>
      <c r="JB69" s="34">
        <f>IF(AND(ISNUMBER(JC69),ISNUMBER(JA69)),JC69-JA69,"")</f>
        <v>0</v>
      </c>
      <c r="JC69" s="33"/>
      <c r="JD69" s="34">
        <f>IF(AND(ISNUMBER(JE69),ISNUMBER(JC69)),JE69-JC69,"")</f>
        <v>0</v>
      </c>
      <c r="JE69" s="33"/>
      <c r="JF69" s="34">
        <f>IF(AND(ISNUMBER(JG69),ISNUMBER(JE69)),JG69-JE69,"")</f>
        <v>0</v>
      </c>
      <c r="JG69" s="33"/>
      <c r="JH69" s="34">
        <f>IF(AND(ISNUMBER(JI69),ISNUMBER(JG69)),JI69-JG69,"")</f>
        <v>0</v>
      </c>
      <c r="JI69" s="33"/>
      <c r="JJ69" s="34">
        <f>IF(AND(ISNUMBER(JK69),ISNUMBER(JI69)),JK69-JI69,"")</f>
        <v>0</v>
      </c>
      <c r="JK69" s="33"/>
      <c r="JL69" s="34">
        <f>IF(AND(ISNUMBER(JM69),ISNUMBER(JK69)),JM69-JK69,"")</f>
        <v>0</v>
      </c>
      <c r="JM69" s="33"/>
      <c r="JN69" s="34">
        <f>IF(AND(ISNUMBER(JO69),ISNUMBER(JM69)),JO69-JM69,"")</f>
        <v>0</v>
      </c>
      <c r="JO69" s="33"/>
      <c r="JP69" s="34">
        <f>IF(AND(ISNUMBER(JQ69),ISNUMBER(JO69)),JQ69-JO69,"")</f>
        <v>0</v>
      </c>
      <c r="JQ69" s="33">
        <v>8128</v>
      </c>
      <c r="JR69" s="34">
        <f>IF(AND(ISNUMBER(JS69),ISNUMBER(JQ69)),JS69-JQ69,"")</f>
        <v>0</v>
      </c>
      <c r="JS69" s="33">
        <v>8934</v>
      </c>
      <c r="JT69" s="34">
        <f>IF(AND(ISNUMBER(JU69),ISNUMBER(JS69)),JU69-JS69,"")</f>
        <v>0</v>
      </c>
      <c r="JU69" s="33">
        <v>9001</v>
      </c>
      <c r="JV69" s="34">
        <f>IF(AND(ISNUMBER(JW69),ISNUMBER(JU69)),JW69-JU69,"")</f>
        <v>0</v>
      </c>
      <c r="JW69" s="33"/>
      <c r="JX69" s="34">
        <f>IF(AND(ISNUMBER(JY69),ISNUMBER(JW69)),JY69-JW69,"")</f>
        <v>0</v>
      </c>
      <c r="JY69" s="33"/>
      <c r="JZ69" s="34">
        <f>IF(AND(ISNUMBER(KA69),ISNUMBER(JY69)),KA69-JY69,"")</f>
        <v>0</v>
      </c>
      <c r="KA69" s="33"/>
      <c r="KB69" s="34">
        <f>IF(AND(ISNUMBER(KC69),ISNUMBER(KA69)),KC69-KA69,"")</f>
        <v>0</v>
      </c>
      <c r="KC69" s="33"/>
      <c r="KD69" s="34">
        <f>IF(AND(ISNUMBER(KE69),ISNUMBER(KC69)),KE69-KC69,"")</f>
        <v>0</v>
      </c>
      <c r="KE69" s="33"/>
      <c r="KF69" s="34">
        <f>IF(AND(ISNUMBER(KG69),ISNUMBER(KE69)),KG69-KE69,"")</f>
        <v>0</v>
      </c>
      <c r="KG69" s="33"/>
      <c r="KH69" s="34">
        <f>IF(AND(ISNUMBER(KI69),ISNUMBER(KG69)),KI69-KG69,"")</f>
        <v>0</v>
      </c>
      <c r="KI69" s="33"/>
      <c r="KJ69" s="34">
        <f>IF(AND(ISNUMBER(KK69),ISNUMBER(KI69)),KK69-KI69,"")</f>
        <v>0</v>
      </c>
      <c r="KK69" s="33"/>
      <c r="KL69" s="34">
        <f>IF(AND(ISNUMBER(KM69),ISNUMBER(KK69)),KM69-KK69,"")</f>
        <v>0</v>
      </c>
      <c r="KM69" s="33"/>
      <c r="KN69" s="34">
        <f>IF(AND(ISNUMBER(KO69),ISNUMBER(KM69)),KO69-KM69,"")</f>
        <v>0</v>
      </c>
      <c r="KO69" s="33"/>
      <c r="KP69" s="34">
        <f>IF(AND(ISNUMBER(KQ69),ISNUMBER(KO69)),KQ69-KO69,"")</f>
        <v>0</v>
      </c>
      <c r="KQ69" s="33"/>
      <c r="KR69" s="34">
        <f>IF(AND(ISNUMBER(KS69),ISNUMBER(KQ69)),KS69-KQ69,"")</f>
        <v>0</v>
      </c>
      <c r="KS69" s="33"/>
      <c r="KT69" s="34">
        <f>IF(AND(ISNUMBER(KU69),ISNUMBER(KS69)),KU69-KS69,"")</f>
        <v>0</v>
      </c>
      <c r="KU69" s="33"/>
      <c r="KV69" s="34">
        <f>IF(AND(ISNUMBER(KW69),ISNUMBER(KU69)),KW69-KU69,"")</f>
        <v>0</v>
      </c>
      <c r="KW69" s="33"/>
      <c r="KX69" s="34">
        <f>IF(AND(ISNUMBER(KY69),ISNUMBER(KW69)),KY69-KW69,"")</f>
        <v>0</v>
      </c>
      <c r="KY69" s="33"/>
      <c r="KZ69" s="34">
        <f>IF(AND(ISNUMBER(LA69),ISNUMBER(KY69)),LA69-KY69,"")</f>
        <v>0</v>
      </c>
      <c r="LA69" s="33"/>
      <c r="LB69" s="34">
        <f>IF(AND(ISNUMBER(LC69),ISNUMBER(LA69)),LC69-LA69,"")</f>
        <v>0</v>
      </c>
      <c r="LC69" s="33"/>
      <c r="LD69" s="34">
        <f>IF(AND(ISNUMBER(LE69),ISNUMBER(LC69)),LE69-LC69,"")</f>
        <v>0</v>
      </c>
      <c r="LE69" s="33"/>
      <c r="LF69" s="34">
        <f>IF(AND(ISNUMBER(LG69),ISNUMBER(LE69)),LG69-LE69,"")</f>
        <v>0</v>
      </c>
      <c r="LG69" s="33"/>
    </row>
    <row r="70" spans="1:322">
      <c r="A70" s="36" t="s">
        <v>151</v>
      </c>
      <c r="B70" s="23"/>
      <c r="C70" s="31" t="s">
        <v>728</v>
      </c>
      <c r="D70" s="31" t="s">
        <v>797</v>
      </c>
      <c r="E70" s="32" t="s">
        <v>1036</v>
      </c>
      <c r="H70" s="38" t="s">
        <v>1082</v>
      </c>
      <c r="I70" s="33"/>
      <c r="J70" s="34">
        <f>IF(AND(ISNUMBER(K70),ISNUMBER(I70)),K70-I70,"")</f>
        <v>0</v>
      </c>
      <c r="K70" s="33"/>
      <c r="L70" s="34">
        <f>IF(AND(ISNUMBER(M70),ISNUMBER(K70)),M70-K70,"")</f>
        <v>0</v>
      </c>
      <c r="M70" s="33"/>
      <c r="N70" s="34">
        <f>IF(AND(ISNUMBER(O70),ISNUMBER(M70)),O70-M70,"")</f>
        <v>0</v>
      </c>
      <c r="O70" s="33"/>
      <c r="P70" s="34">
        <f>IF(AND(ISNUMBER(Q70),ISNUMBER(O70)),Q70-O70,"")</f>
        <v>0</v>
      </c>
      <c r="Q70" s="33"/>
      <c r="R70" s="34">
        <f>IF(AND(ISNUMBER(S70),ISNUMBER(Q70)),S70-Q70,"")</f>
        <v>0</v>
      </c>
      <c r="S70" s="33"/>
      <c r="T70" s="34">
        <f>IF(AND(ISNUMBER(U70),ISNUMBER(S70)),U70-S70,"")</f>
        <v>0</v>
      </c>
      <c r="U70" s="33"/>
      <c r="V70" s="34">
        <f>IF(AND(ISNUMBER(W70),ISNUMBER(U70)),W70-U70,"")</f>
        <v>0</v>
      </c>
      <c r="W70" s="33"/>
      <c r="X70" s="34">
        <f>IF(AND(ISNUMBER(Y70),ISNUMBER(W70)),Y70-W70,"")</f>
        <v>0</v>
      </c>
      <c r="Y70" s="33"/>
      <c r="Z70" s="34">
        <f>IF(AND(ISNUMBER(AA70),ISNUMBER(Y70)),AA70-Y70,"")</f>
        <v>0</v>
      </c>
      <c r="AA70" s="33"/>
      <c r="AB70" s="34">
        <f>IF(AND(ISNUMBER(AC70),ISNUMBER(AA70)),AC70-AA70,"")</f>
        <v>0</v>
      </c>
      <c r="AC70" s="33"/>
      <c r="AD70" s="34">
        <f>IF(AND(ISNUMBER(AE70),ISNUMBER(AC70)),AE70-AC70,"")</f>
        <v>0</v>
      </c>
      <c r="AE70" s="33"/>
      <c r="AF70" s="34">
        <f>IF(AND(ISNUMBER(AG70),ISNUMBER(AE70)),AG70-AE70,"")</f>
        <v>0</v>
      </c>
      <c r="AG70" s="33"/>
      <c r="AH70" s="34">
        <f>IF(AND(ISNUMBER(AI70),ISNUMBER(AG70)),AI70-AG70,"")</f>
        <v>0</v>
      </c>
      <c r="AI70" s="33"/>
      <c r="AJ70" s="34">
        <f>IF(AND(ISNUMBER(AK70),ISNUMBER(AI70)),AK70-AI70,"")</f>
        <v>0</v>
      </c>
      <c r="AK70" s="33"/>
      <c r="AL70" s="34">
        <f>IF(AND(ISNUMBER(AM70),ISNUMBER(AK70)),AM70-AK70,"")</f>
        <v>0</v>
      </c>
      <c r="AM70" s="33"/>
      <c r="AN70" s="34">
        <f>IF(AND(ISNUMBER(AO70),ISNUMBER(AM70)),AO70-AM70,"")</f>
        <v>0</v>
      </c>
      <c r="AO70" s="33"/>
      <c r="AP70" s="34">
        <f>IF(AND(ISNUMBER(AQ70),ISNUMBER(AO70)),AQ70-AO70,"")</f>
        <v>0</v>
      </c>
      <c r="AQ70" s="33"/>
      <c r="AR70" s="34">
        <f>IF(AND(ISNUMBER(AS70),ISNUMBER(AQ70)),AS70-AQ70,"")</f>
        <v>0</v>
      </c>
      <c r="AS70" s="33"/>
      <c r="AT70" s="34">
        <f>IF(AND(ISNUMBER(AU70),ISNUMBER(AS70)),AU70-AS70,"")</f>
        <v>0</v>
      </c>
      <c r="AU70" s="33"/>
      <c r="AV70" s="34">
        <f>IF(AND(ISNUMBER(AW70),ISNUMBER(AU70)),AW70-AU70,"")</f>
        <v>0</v>
      </c>
      <c r="AW70" s="33"/>
      <c r="AX70" s="34">
        <f>IF(AND(ISNUMBER(AY70),ISNUMBER(AW70)),AY70-AW70,"")</f>
        <v>0</v>
      </c>
      <c r="AY70" s="33"/>
      <c r="AZ70" s="34">
        <f>IF(AND(ISNUMBER(BA70),ISNUMBER(AY70)),BA70-AY70,"")</f>
        <v>0</v>
      </c>
      <c r="BA70" s="33"/>
      <c r="BB70" s="34">
        <f>IF(AND(ISNUMBER(BC70),ISNUMBER(BA70)),BC70-BA70,"")</f>
        <v>0</v>
      </c>
      <c r="BC70" s="33"/>
      <c r="BD70" s="34">
        <f>IF(AND(ISNUMBER(BE70),ISNUMBER(BC70)),BE70-BC70,"")</f>
        <v>0</v>
      </c>
      <c r="BE70" s="33"/>
      <c r="BF70" s="34">
        <f>IF(AND(ISNUMBER(BG70),ISNUMBER(BE70)),BG70-BE70,"")</f>
        <v>0</v>
      </c>
      <c r="BG70" s="33"/>
      <c r="BH70" s="34">
        <f>IF(AND(ISNUMBER(BI70),ISNUMBER(BG70)),BI70-BG70,"")</f>
        <v>0</v>
      </c>
      <c r="BI70" s="33"/>
      <c r="BJ70" s="34">
        <f>IF(AND(ISNUMBER(BK70),ISNUMBER(BI70)),BK70-BI70,"")</f>
        <v>0</v>
      </c>
      <c r="BK70" s="33"/>
      <c r="BL70" s="34">
        <f>IF(AND(ISNUMBER(BM70),ISNUMBER(BK70)),BM70-BK70,"")</f>
        <v>0</v>
      </c>
      <c r="BM70" s="33"/>
      <c r="BN70" s="34">
        <f>IF(AND(ISNUMBER(BO70),ISNUMBER(BM70)),BO70-BM70,"")</f>
        <v>0</v>
      </c>
      <c r="BO70" s="33"/>
      <c r="BP70" s="34">
        <f>IF(AND(ISNUMBER(BQ70),ISNUMBER(BO70)),BQ70-BO70,"")</f>
        <v>0</v>
      </c>
      <c r="BQ70" s="33"/>
      <c r="BR70" s="34">
        <f>IF(AND(ISNUMBER(BS70),ISNUMBER(BQ70)),BS70-BQ70,"")</f>
        <v>0</v>
      </c>
      <c r="BS70" s="33"/>
      <c r="BT70" s="34">
        <f>IF(AND(ISNUMBER(BU70),ISNUMBER(BS70)),BU70-BS70,"")</f>
        <v>0</v>
      </c>
      <c r="BU70" s="33"/>
      <c r="BV70" s="34">
        <f>IF(AND(ISNUMBER(BW70),ISNUMBER(BU70)),BW70-BU70,"")</f>
        <v>0</v>
      </c>
      <c r="BW70" s="33"/>
      <c r="BX70" s="34">
        <f>IF(AND(ISNUMBER(BY70),ISNUMBER(BW70)),BY70-BW70,"")</f>
        <v>0</v>
      </c>
      <c r="BY70" s="33"/>
      <c r="BZ70" s="34">
        <f>IF(AND(ISNUMBER(CA70),ISNUMBER(BY70)),CA70-BY70,"")</f>
        <v>0</v>
      </c>
      <c r="CA70" s="33"/>
      <c r="CB70" s="34">
        <f>IF(AND(ISNUMBER(CC70),ISNUMBER(CA70)),CC70-CA70,"")</f>
        <v>0</v>
      </c>
      <c r="CC70" s="33"/>
      <c r="CD70" s="34">
        <f>IF(AND(ISNUMBER(CE70),ISNUMBER(CC70)),CE70-CC70,"")</f>
        <v>0</v>
      </c>
      <c r="CE70" s="33"/>
      <c r="CF70" s="34">
        <f>IF(AND(ISNUMBER(CG70),ISNUMBER(CE70)),CG70-CE70,"")</f>
        <v>0</v>
      </c>
      <c r="CG70" s="33"/>
      <c r="CH70" s="34">
        <f>IF(AND(ISNUMBER(CI70),ISNUMBER(CG70)),CI70-CG70,"")</f>
        <v>0</v>
      </c>
      <c r="CI70" s="33"/>
      <c r="CJ70" s="34">
        <f>IF(AND(ISNUMBER(CK70),ISNUMBER(CI70)),CK70-CI70,"")</f>
        <v>0</v>
      </c>
      <c r="CK70" s="33"/>
      <c r="CL70" s="34">
        <f>IF(AND(ISNUMBER(CM70),ISNUMBER(CK70)),CM70-CK70,"")</f>
        <v>0</v>
      </c>
      <c r="CM70" s="33"/>
      <c r="CN70" s="34">
        <f>IF(AND(ISNUMBER(CO70),ISNUMBER(CM70)),CO70-CM70,"")</f>
        <v>0</v>
      </c>
      <c r="CO70" s="33"/>
      <c r="CP70" s="34">
        <f>IF(AND(ISNUMBER(CQ70),ISNUMBER(CO70)),CQ70-CO70,"")</f>
        <v>0</v>
      </c>
      <c r="CQ70" s="33"/>
      <c r="CR70" s="34">
        <f>IF(AND(ISNUMBER(CS70),ISNUMBER(CQ70)),CS70-CQ70,"")</f>
        <v>0</v>
      </c>
      <c r="CS70" s="33"/>
      <c r="CT70" s="34">
        <f>IF(AND(ISNUMBER(CU70),ISNUMBER(CS70)),CU70-CS70,"")</f>
        <v>0</v>
      </c>
      <c r="CU70" s="33"/>
      <c r="CV70" s="34">
        <f>IF(AND(ISNUMBER(CW70),ISNUMBER(CU70)),CW70-CU70,"")</f>
        <v>0</v>
      </c>
      <c r="CW70" s="33"/>
      <c r="CX70" s="34">
        <f>IF(AND(ISNUMBER(CY70),ISNUMBER(CW70)),CY70-CW70,"")</f>
        <v>0</v>
      </c>
      <c r="CY70" s="33"/>
      <c r="CZ70" s="34">
        <f>IF(AND(ISNUMBER(DA70),ISNUMBER(CY70)),DA70-CY70,"")</f>
        <v>0</v>
      </c>
      <c r="DA70" s="33"/>
      <c r="DB70" s="34">
        <f>IF(AND(ISNUMBER(DC70),ISNUMBER(DA70)),DC70-DA70,"")</f>
        <v>0</v>
      </c>
      <c r="DC70" s="33"/>
      <c r="DD70" s="34">
        <f>IF(AND(ISNUMBER(DE70),ISNUMBER(DC70)),DE70-DC70,"")</f>
        <v>0</v>
      </c>
      <c r="DE70" s="33"/>
      <c r="DF70" s="34">
        <f>IF(AND(ISNUMBER(DG70),ISNUMBER(DE70)),DG70-DE70,"")</f>
        <v>0</v>
      </c>
      <c r="DG70" s="33"/>
      <c r="DH70" s="34">
        <f>IF(AND(ISNUMBER(DI70),ISNUMBER(DG70)),DI70-DG70,"")</f>
        <v>0</v>
      </c>
      <c r="DI70" s="33"/>
      <c r="DJ70" s="34">
        <f>IF(AND(ISNUMBER(DK70),ISNUMBER(DI70)),DK70-DI70,"")</f>
        <v>0</v>
      </c>
      <c r="DK70" s="33"/>
      <c r="DL70" s="34">
        <f>IF(AND(ISNUMBER(DM70),ISNUMBER(DK70)),DM70-DK70,"")</f>
        <v>0</v>
      </c>
      <c r="DM70" s="33"/>
      <c r="DN70" s="34">
        <f>IF(AND(ISNUMBER(DO70),ISNUMBER(DM70)),DO70-DM70,"")</f>
        <v>0</v>
      </c>
      <c r="DO70" s="33"/>
      <c r="DP70" s="34">
        <f>IF(AND(ISNUMBER(DQ70),ISNUMBER(DO70)),DQ70-DO70,"")</f>
        <v>0</v>
      </c>
      <c r="DQ70" s="33"/>
      <c r="DR70" s="34">
        <f>IF(AND(ISNUMBER(DS70),ISNUMBER(DQ70)),DS70-DQ70,"")</f>
        <v>0</v>
      </c>
      <c r="DS70" s="33"/>
      <c r="DT70" s="34">
        <f>IF(AND(ISNUMBER(DU70),ISNUMBER(DS70)),DU70-DS70,"")</f>
        <v>0</v>
      </c>
      <c r="DU70" s="33"/>
      <c r="DV70" s="34">
        <f>IF(AND(ISNUMBER(DW70),ISNUMBER(DU70)),DW70-DU70,"")</f>
        <v>0</v>
      </c>
      <c r="DW70" s="33"/>
      <c r="DX70" s="34">
        <f>IF(AND(ISNUMBER(DY70),ISNUMBER(DW70)),DY70-DW70,"")</f>
        <v>0</v>
      </c>
      <c r="DY70" s="33"/>
      <c r="DZ70" s="34">
        <f>IF(AND(ISNUMBER(EA70),ISNUMBER(DY70)),EA70-DY70,"")</f>
        <v>0</v>
      </c>
      <c r="EA70" s="33"/>
      <c r="EB70" s="34">
        <f>IF(AND(ISNUMBER(EC70),ISNUMBER(EA70)),EC70-EA70,"")</f>
        <v>0</v>
      </c>
      <c r="EC70" s="33"/>
      <c r="ED70" s="34">
        <f>IF(AND(ISNUMBER(EE70),ISNUMBER(EC70)),EE70-EC70,"")</f>
        <v>0</v>
      </c>
      <c r="EE70" s="33"/>
      <c r="EF70" s="34">
        <f>IF(AND(ISNUMBER(EG70),ISNUMBER(EE70)),EG70-EE70,"")</f>
        <v>0</v>
      </c>
      <c r="EG70" s="33"/>
      <c r="EH70" s="34">
        <f>IF(AND(ISNUMBER(EI70),ISNUMBER(EG70)),EI70-EG70,"")</f>
        <v>0</v>
      </c>
      <c r="EI70" s="33"/>
      <c r="EJ70" s="34">
        <f>IF(AND(ISNUMBER(EK70),ISNUMBER(EI70)),EK70-EI70,"")</f>
        <v>0</v>
      </c>
      <c r="EK70" s="33"/>
      <c r="EL70" s="34">
        <f>IF(AND(ISNUMBER(EM70),ISNUMBER(EK70)),EM70-EK70,"")</f>
        <v>0</v>
      </c>
      <c r="EM70" s="33"/>
      <c r="EN70" s="34">
        <f>IF(AND(ISNUMBER(EO70),ISNUMBER(EM70)),EO70-EM70,"")</f>
        <v>0</v>
      </c>
      <c r="EO70" s="33"/>
      <c r="EP70" s="34">
        <f>IF(AND(ISNUMBER(EQ70),ISNUMBER(EO70)),EQ70-EO70,"")</f>
        <v>0</v>
      </c>
      <c r="EQ70" s="33"/>
      <c r="ER70" s="34">
        <f>IF(AND(ISNUMBER(ES70),ISNUMBER(EQ70)),ES70-EQ70,"")</f>
        <v>0</v>
      </c>
      <c r="ES70" s="33"/>
      <c r="ET70" s="34">
        <f>IF(AND(ISNUMBER(EU70),ISNUMBER(ES70)),EU70-ES70,"")</f>
        <v>0</v>
      </c>
      <c r="EU70" s="33"/>
      <c r="EV70" s="34">
        <f>IF(AND(ISNUMBER(EW70),ISNUMBER(EU70)),EW70-EU70,"")</f>
        <v>0</v>
      </c>
      <c r="EW70" s="33"/>
      <c r="EX70" s="34">
        <f>IF(AND(ISNUMBER(EY70),ISNUMBER(EW70)),EY70-EW70,"")</f>
        <v>0</v>
      </c>
      <c r="EY70" s="33"/>
      <c r="EZ70" s="34">
        <f>IF(AND(ISNUMBER(FA70),ISNUMBER(EY70)),FA70-EY70,"")</f>
        <v>0</v>
      </c>
      <c r="FA70" s="33"/>
      <c r="FB70" s="34">
        <f>IF(AND(ISNUMBER(FC70),ISNUMBER(FA70)),FC70-FA70,"")</f>
        <v>0</v>
      </c>
      <c r="FC70" s="33"/>
      <c r="FD70" s="34">
        <f>IF(AND(ISNUMBER(FE70),ISNUMBER(FC70)),FE70-FC70,"")</f>
        <v>0</v>
      </c>
      <c r="FE70" s="33"/>
      <c r="FF70" s="34">
        <f>IF(AND(ISNUMBER(FG70),ISNUMBER(FE70)),FG70-FE70,"")</f>
        <v>0</v>
      </c>
      <c r="FG70" s="33"/>
      <c r="FH70" s="34">
        <f>IF(AND(ISNUMBER(FI70),ISNUMBER(FG70)),FI70-FG70,"")</f>
        <v>0</v>
      </c>
      <c r="FI70" s="33"/>
      <c r="FJ70" s="34">
        <f>IF(AND(ISNUMBER(FK70),ISNUMBER(FI70)),FK70-FI70,"")</f>
        <v>0</v>
      </c>
      <c r="FK70" s="33"/>
      <c r="FL70" s="34">
        <f>IF(AND(ISNUMBER(FM70),ISNUMBER(FK70)),FM70-FK70,"")</f>
        <v>0</v>
      </c>
      <c r="FM70" s="33"/>
      <c r="FN70" s="34">
        <f>IF(AND(ISNUMBER(FO70),ISNUMBER(FM70)),FO70-FM70,"")</f>
        <v>0</v>
      </c>
      <c r="FO70" s="33"/>
      <c r="FP70" s="34">
        <f>IF(AND(ISNUMBER(FQ70),ISNUMBER(FO70)),FQ70-FO70,"")</f>
        <v>0</v>
      </c>
      <c r="FQ70" s="33"/>
      <c r="FR70" s="34">
        <f>IF(AND(ISNUMBER(FS70),ISNUMBER(FQ70)),FS70-FQ70,"")</f>
        <v>0</v>
      </c>
      <c r="FS70" s="33"/>
      <c r="FT70" s="34">
        <f>IF(AND(ISNUMBER(FU70),ISNUMBER(FS70)),FU70-FS70,"")</f>
        <v>0</v>
      </c>
      <c r="FU70" s="33"/>
      <c r="FV70" s="34">
        <f>IF(AND(ISNUMBER(FW70),ISNUMBER(FU70)),FW70-FU70,"")</f>
        <v>0</v>
      </c>
      <c r="FW70" s="33"/>
      <c r="FX70" s="34">
        <f>IF(AND(ISNUMBER(FY70),ISNUMBER(FW70)),FY70-FW70,"")</f>
        <v>0</v>
      </c>
      <c r="FY70" s="33"/>
      <c r="FZ70" s="34">
        <f>IF(AND(ISNUMBER(GA70),ISNUMBER(FY70)),GA70-FY70,"")</f>
        <v>0</v>
      </c>
      <c r="GA70" s="33"/>
      <c r="GB70" s="34">
        <f>IF(AND(ISNUMBER(GC70),ISNUMBER(GA70)),GC70-GA70,"")</f>
        <v>0</v>
      </c>
      <c r="GC70" s="33"/>
      <c r="GD70" s="34">
        <f>IF(AND(ISNUMBER(GE70),ISNUMBER(GC70)),GE70-GC70,"")</f>
        <v>0</v>
      </c>
      <c r="GE70" s="33"/>
      <c r="GF70" s="34">
        <f>IF(AND(ISNUMBER(GG70),ISNUMBER(GE70)),GG70-GE70,"")</f>
        <v>0</v>
      </c>
      <c r="GG70" s="33"/>
      <c r="GH70" s="34">
        <f>IF(AND(ISNUMBER(GI70),ISNUMBER(GG70)),GI70-GG70,"")</f>
        <v>0</v>
      </c>
      <c r="GI70" s="33"/>
      <c r="GJ70" s="34">
        <f>IF(AND(ISNUMBER(GK70),ISNUMBER(GI70)),GK70-GI70,"")</f>
        <v>0</v>
      </c>
      <c r="GK70" s="33"/>
      <c r="GL70" s="34">
        <f>IF(AND(ISNUMBER(GM70),ISNUMBER(GK70)),GM70-GK70,"")</f>
        <v>0</v>
      </c>
      <c r="GM70" s="33"/>
      <c r="GN70" s="34">
        <f>IF(AND(ISNUMBER(GO70),ISNUMBER(GM70)),GO70-GM70,"")</f>
        <v>0</v>
      </c>
      <c r="GO70" s="33"/>
      <c r="GP70" s="34">
        <f>IF(AND(ISNUMBER(GQ70),ISNUMBER(GO70)),GQ70-GO70,"")</f>
        <v>0</v>
      </c>
      <c r="GQ70" s="33"/>
      <c r="GR70" s="34">
        <f>IF(AND(ISNUMBER(GS70),ISNUMBER(GQ70)),GS70-GQ70,"")</f>
        <v>0</v>
      </c>
      <c r="GS70" s="33"/>
      <c r="GT70" s="34">
        <f>IF(AND(ISNUMBER(GU70),ISNUMBER(GS70)),GU70-GS70,"")</f>
        <v>0</v>
      </c>
      <c r="GU70" s="33"/>
      <c r="GV70" s="34">
        <f>IF(AND(ISNUMBER(GW70),ISNUMBER(GU70)),GW70-GU70,"")</f>
        <v>0</v>
      </c>
      <c r="GW70" s="33"/>
      <c r="GX70" s="34">
        <f>IF(AND(ISNUMBER(GY70),ISNUMBER(GW70)),GY70-GW70,"")</f>
        <v>0</v>
      </c>
      <c r="GY70" s="33"/>
      <c r="GZ70" s="34">
        <f>IF(AND(ISNUMBER(HA70),ISNUMBER(GY70)),HA70-GY70,"")</f>
        <v>0</v>
      </c>
      <c r="HA70" s="33"/>
      <c r="HB70" s="34">
        <f>IF(AND(ISNUMBER(HC70),ISNUMBER(HA70)),HC70-HA70,"")</f>
        <v>0</v>
      </c>
      <c r="HC70" s="33"/>
      <c r="HD70" s="34">
        <f>IF(AND(ISNUMBER(HE70),ISNUMBER(HC70)),HE70-HC70,"")</f>
        <v>0</v>
      </c>
      <c r="HE70" s="33"/>
      <c r="HF70" s="34">
        <f>IF(AND(ISNUMBER(HG70),ISNUMBER(HE70)),HG70-HE70,"")</f>
        <v>0</v>
      </c>
      <c r="HG70" s="33"/>
      <c r="HH70" s="34">
        <f>IF(AND(ISNUMBER(HI70),ISNUMBER(HG70)),HI70-HG70,"")</f>
        <v>0</v>
      </c>
      <c r="HI70" s="33"/>
      <c r="HJ70" s="34">
        <f>IF(AND(ISNUMBER(HK70),ISNUMBER(HI70)),HK70-HI70,"")</f>
        <v>0</v>
      </c>
      <c r="HK70" s="33"/>
      <c r="HL70" s="34">
        <f>IF(AND(ISNUMBER(HM70),ISNUMBER(HK70)),HM70-HK70,"")</f>
        <v>0</v>
      </c>
      <c r="HM70" s="33"/>
      <c r="HN70" s="34">
        <f>IF(AND(ISNUMBER(HO70),ISNUMBER(HM70)),HO70-HM70,"")</f>
        <v>0</v>
      </c>
      <c r="HO70" s="33"/>
      <c r="HP70" s="34">
        <f>IF(AND(ISNUMBER(HQ70),ISNUMBER(HO70)),HQ70-HO70,"")</f>
        <v>0</v>
      </c>
      <c r="HQ70" s="33"/>
      <c r="HR70" s="34">
        <f>IF(AND(ISNUMBER(HS70),ISNUMBER(HQ70)),HS70-HQ70,"")</f>
        <v>0</v>
      </c>
      <c r="HS70" s="33"/>
      <c r="HT70" s="34">
        <f>IF(AND(ISNUMBER(HU70),ISNUMBER(HS70)),HU70-HS70,"")</f>
        <v>0</v>
      </c>
      <c r="HU70" s="33"/>
      <c r="HV70" s="34">
        <f>IF(AND(ISNUMBER(HW70),ISNUMBER(HU70)),HW70-HU70,"")</f>
        <v>0</v>
      </c>
      <c r="HW70" s="33"/>
      <c r="HX70" s="34">
        <f>IF(AND(ISNUMBER(HY70),ISNUMBER(HW70)),HY70-HW70,"")</f>
        <v>0</v>
      </c>
      <c r="HY70" s="33"/>
      <c r="HZ70" s="34">
        <f>IF(AND(ISNUMBER(IA70),ISNUMBER(HY70)),IA70-HY70,"")</f>
        <v>0</v>
      </c>
      <c r="IA70" s="33"/>
      <c r="IB70" s="34">
        <f>IF(AND(ISNUMBER(IC70),ISNUMBER(IA70)),IC70-IA70,"")</f>
        <v>0</v>
      </c>
      <c r="IC70" s="33"/>
      <c r="ID70" s="34">
        <f>IF(AND(ISNUMBER(IE70),ISNUMBER(IC70)),IE70-IC70,"")</f>
        <v>0</v>
      </c>
      <c r="IE70" s="33"/>
      <c r="IF70" s="34">
        <f>IF(AND(ISNUMBER(IG70),ISNUMBER(IE70)),IG70-IE70,"")</f>
        <v>0</v>
      </c>
      <c r="IG70" s="33"/>
      <c r="IH70" s="34">
        <f>IF(AND(ISNUMBER(II70),ISNUMBER(IG70)),II70-IG70,"")</f>
        <v>0</v>
      </c>
      <c r="II70" s="33"/>
      <c r="IJ70" s="34">
        <f>IF(AND(ISNUMBER(IK70),ISNUMBER(II70)),IK70-II70,"")</f>
        <v>0</v>
      </c>
      <c r="IK70" s="33"/>
      <c r="IL70" s="34">
        <f>IF(AND(ISNUMBER(IM70),ISNUMBER(IK70)),IM70-IK70,"")</f>
        <v>0</v>
      </c>
      <c r="IM70" s="33"/>
      <c r="IN70" s="34">
        <f>IF(AND(ISNUMBER(IO70),ISNUMBER(IM70)),IO70-IM70,"")</f>
        <v>0</v>
      </c>
      <c r="IO70" s="33"/>
      <c r="IP70" s="34">
        <f>IF(AND(ISNUMBER(IQ70),ISNUMBER(IO70)),IQ70-IO70,"")</f>
        <v>0</v>
      </c>
      <c r="IQ70" s="33"/>
      <c r="IR70" s="34">
        <f>IF(AND(ISNUMBER(IS70),ISNUMBER(IQ70)),IS70-IQ70,"")</f>
        <v>0</v>
      </c>
      <c r="IS70" s="33"/>
      <c r="IT70" s="34">
        <f>IF(AND(ISNUMBER(IU70),ISNUMBER(IS70)),IU70-IS70,"")</f>
        <v>0</v>
      </c>
      <c r="IU70" s="33"/>
      <c r="IV70" s="34">
        <f>IF(AND(ISNUMBER(IW70),ISNUMBER(IU70)),IW70-IU70,"")</f>
        <v>0</v>
      </c>
      <c r="IW70" s="33"/>
      <c r="IX70" s="34">
        <f>IF(AND(ISNUMBER(IY70),ISNUMBER(IW70)),IY70-IW70,"")</f>
        <v>0</v>
      </c>
      <c r="IY70" s="33"/>
      <c r="IZ70" s="34">
        <f>IF(AND(ISNUMBER(JA70),ISNUMBER(IY70)),JA70-IY70,"")</f>
        <v>0</v>
      </c>
      <c r="JA70" s="33"/>
      <c r="JB70" s="34">
        <f>IF(AND(ISNUMBER(JC70),ISNUMBER(JA70)),JC70-JA70,"")</f>
        <v>0</v>
      </c>
      <c r="JC70" s="33"/>
      <c r="JD70" s="34">
        <f>IF(AND(ISNUMBER(JE70),ISNUMBER(JC70)),JE70-JC70,"")</f>
        <v>0</v>
      </c>
      <c r="JE70" s="33"/>
      <c r="JF70" s="34">
        <f>IF(AND(ISNUMBER(JG70),ISNUMBER(JE70)),JG70-JE70,"")</f>
        <v>0</v>
      </c>
      <c r="JG70" s="33"/>
      <c r="JH70" s="34">
        <f>IF(AND(ISNUMBER(JI70),ISNUMBER(JG70)),JI70-JG70,"")</f>
        <v>0</v>
      </c>
      <c r="JI70" s="33"/>
      <c r="JJ70" s="34">
        <f>IF(AND(ISNUMBER(JK70),ISNUMBER(JI70)),JK70-JI70,"")</f>
        <v>0</v>
      </c>
      <c r="JK70" s="33"/>
      <c r="JL70" s="34">
        <f>IF(AND(ISNUMBER(JM70),ISNUMBER(JK70)),JM70-JK70,"")</f>
        <v>0</v>
      </c>
      <c r="JM70" s="33"/>
      <c r="JN70" s="34">
        <f>IF(AND(ISNUMBER(JO70),ISNUMBER(JM70)),JO70-JM70,"")</f>
        <v>0</v>
      </c>
      <c r="JO70" s="33"/>
      <c r="JP70" s="34">
        <f>IF(AND(ISNUMBER(JQ70),ISNUMBER(JO70)),JQ70-JO70,"")</f>
        <v>0</v>
      </c>
      <c r="JQ70" s="33">
        <v>1493</v>
      </c>
      <c r="JR70" s="34">
        <f>IF(AND(ISNUMBER(JS70),ISNUMBER(JQ70)),JS70-JQ70,"")</f>
        <v>0</v>
      </c>
      <c r="JS70" s="33">
        <v>1639</v>
      </c>
      <c r="JT70" s="34">
        <f>IF(AND(ISNUMBER(JU70),ISNUMBER(JS70)),JU70-JS70,"")</f>
        <v>0</v>
      </c>
      <c r="JU70" s="33">
        <v>1045</v>
      </c>
      <c r="JV70" s="34">
        <f>IF(AND(ISNUMBER(JW70),ISNUMBER(JU70)),JW70-JU70,"")</f>
        <v>0</v>
      </c>
      <c r="JW70" s="33"/>
      <c r="JX70" s="34">
        <f>IF(AND(ISNUMBER(JY70),ISNUMBER(JW70)),JY70-JW70,"")</f>
        <v>0</v>
      </c>
      <c r="JY70" s="33"/>
      <c r="JZ70" s="34">
        <f>IF(AND(ISNUMBER(KA70),ISNUMBER(JY70)),KA70-JY70,"")</f>
        <v>0</v>
      </c>
      <c r="KA70" s="33"/>
      <c r="KB70" s="34">
        <f>IF(AND(ISNUMBER(KC70),ISNUMBER(KA70)),KC70-KA70,"")</f>
        <v>0</v>
      </c>
      <c r="KC70" s="33"/>
      <c r="KD70" s="34">
        <f>IF(AND(ISNUMBER(KE70),ISNUMBER(KC70)),KE70-KC70,"")</f>
        <v>0</v>
      </c>
      <c r="KE70" s="33"/>
      <c r="KF70" s="34">
        <f>IF(AND(ISNUMBER(KG70),ISNUMBER(KE70)),KG70-KE70,"")</f>
        <v>0</v>
      </c>
      <c r="KG70" s="33"/>
      <c r="KH70" s="34">
        <f>IF(AND(ISNUMBER(KI70),ISNUMBER(KG70)),KI70-KG70,"")</f>
        <v>0</v>
      </c>
      <c r="KI70" s="33"/>
      <c r="KJ70" s="34">
        <f>IF(AND(ISNUMBER(KK70),ISNUMBER(KI70)),KK70-KI70,"")</f>
        <v>0</v>
      </c>
      <c r="KK70" s="33"/>
      <c r="KL70" s="34">
        <f>IF(AND(ISNUMBER(KM70),ISNUMBER(KK70)),KM70-KK70,"")</f>
        <v>0</v>
      </c>
      <c r="KM70" s="33"/>
      <c r="KN70" s="34">
        <f>IF(AND(ISNUMBER(KO70),ISNUMBER(KM70)),KO70-KM70,"")</f>
        <v>0</v>
      </c>
      <c r="KO70" s="33"/>
      <c r="KP70" s="34">
        <f>IF(AND(ISNUMBER(KQ70),ISNUMBER(KO70)),KQ70-KO70,"")</f>
        <v>0</v>
      </c>
      <c r="KQ70" s="33"/>
      <c r="KR70" s="34">
        <f>IF(AND(ISNUMBER(KS70),ISNUMBER(KQ70)),KS70-KQ70,"")</f>
        <v>0</v>
      </c>
      <c r="KS70" s="33"/>
      <c r="KT70" s="34">
        <f>IF(AND(ISNUMBER(KU70),ISNUMBER(KS70)),KU70-KS70,"")</f>
        <v>0</v>
      </c>
      <c r="KU70" s="33"/>
      <c r="KV70" s="34">
        <f>IF(AND(ISNUMBER(KW70),ISNUMBER(KU70)),KW70-KU70,"")</f>
        <v>0</v>
      </c>
      <c r="KW70" s="33"/>
      <c r="KX70" s="34">
        <f>IF(AND(ISNUMBER(KY70),ISNUMBER(KW70)),KY70-KW70,"")</f>
        <v>0</v>
      </c>
      <c r="KY70" s="33"/>
      <c r="KZ70" s="34">
        <f>IF(AND(ISNUMBER(LA70),ISNUMBER(KY70)),LA70-KY70,"")</f>
        <v>0</v>
      </c>
      <c r="LA70" s="33"/>
      <c r="LB70" s="34">
        <f>IF(AND(ISNUMBER(LC70),ISNUMBER(LA70)),LC70-LA70,"")</f>
        <v>0</v>
      </c>
      <c r="LC70" s="33"/>
      <c r="LD70" s="34">
        <f>IF(AND(ISNUMBER(LE70),ISNUMBER(LC70)),LE70-LC70,"")</f>
        <v>0</v>
      </c>
      <c r="LE70" s="33"/>
      <c r="LF70" s="34">
        <f>IF(AND(ISNUMBER(LG70),ISNUMBER(LE70)),LG70-LE70,"")</f>
        <v>0</v>
      </c>
      <c r="LG70" s="33"/>
    </row>
    <row r="71" spans="1:322">
      <c r="A71" s="36" t="s">
        <v>801</v>
      </c>
      <c r="B71" s="23"/>
      <c r="C71" s="31" t="s">
        <v>1110</v>
      </c>
      <c r="D71" s="31" t="s">
        <v>1109</v>
      </c>
      <c r="H71" s="38" t="s">
        <v>1082</v>
      </c>
      <c r="I71" s="33"/>
      <c r="J71" s="34">
        <f>IF(AND(ISNUMBER(K71),ISNUMBER(I71)),K71-I71,"")</f>
        <v>0</v>
      </c>
      <c r="K71" s="33"/>
      <c r="L71" s="34">
        <f>IF(AND(ISNUMBER(M71),ISNUMBER(K71)),M71-K71,"")</f>
        <v>0</v>
      </c>
      <c r="M71" s="33"/>
      <c r="N71" s="34">
        <f>IF(AND(ISNUMBER(O71),ISNUMBER(M71)),O71-M71,"")</f>
        <v>0</v>
      </c>
      <c r="O71" s="33"/>
      <c r="P71" s="34">
        <f>IF(AND(ISNUMBER(Q71),ISNUMBER(O71)),Q71-O71,"")</f>
        <v>0</v>
      </c>
      <c r="Q71" s="33"/>
      <c r="R71" s="34">
        <f>IF(AND(ISNUMBER(S71),ISNUMBER(Q71)),S71-Q71,"")</f>
        <v>0</v>
      </c>
      <c r="S71" s="33"/>
      <c r="T71" s="34">
        <f>IF(AND(ISNUMBER(U71),ISNUMBER(S71)),U71-S71,"")</f>
        <v>0</v>
      </c>
      <c r="U71" s="33"/>
      <c r="V71" s="34">
        <f>IF(AND(ISNUMBER(W71),ISNUMBER(U71)),W71-U71,"")</f>
        <v>0</v>
      </c>
      <c r="W71" s="33"/>
      <c r="X71" s="34">
        <f>IF(AND(ISNUMBER(Y71),ISNUMBER(W71)),Y71-W71,"")</f>
        <v>0</v>
      </c>
      <c r="Y71" s="33"/>
      <c r="Z71" s="34">
        <f>IF(AND(ISNUMBER(AA71),ISNUMBER(Y71)),AA71-Y71,"")</f>
        <v>0</v>
      </c>
      <c r="AA71" s="33"/>
      <c r="AB71" s="34">
        <f>IF(AND(ISNUMBER(AC71),ISNUMBER(AA71)),AC71-AA71,"")</f>
        <v>0</v>
      </c>
      <c r="AC71" s="33"/>
      <c r="AD71" s="34">
        <f>IF(AND(ISNUMBER(AE71),ISNUMBER(AC71)),AE71-AC71,"")</f>
        <v>0</v>
      </c>
      <c r="AE71" s="33"/>
      <c r="AF71" s="34">
        <f>IF(AND(ISNUMBER(AG71),ISNUMBER(AE71)),AG71-AE71,"")</f>
        <v>0</v>
      </c>
      <c r="AG71" s="33"/>
      <c r="AH71" s="34">
        <f>IF(AND(ISNUMBER(AI71),ISNUMBER(AG71)),AI71-AG71,"")</f>
        <v>0</v>
      </c>
      <c r="AI71" s="33"/>
      <c r="AJ71" s="34">
        <f>IF(AND(ISNUMBER(AK71),ISNUMBER(AI71)),AK71-AI71,"")</f>
        <v>0</v>
      </c>
      <c r="AK71" s="33"/>
      <c r="AL71" s="34">
        <f>IF(AND(ISNUMBER(AM71),ISNUMBER(AK71)),AM71-AK71,"")</f>
        <v>0</v>
      </c>
      <c r="AM71" s="33"/>
      <c r="AN71" s="34">
        <f>IF(AND(ISNUMBER(AO71),ISNUMBER(AM71)),AO71-AM71,"")</f>
        <v>0</v>
      </c>
      <c r="AO71" s="33"/>
      <c r="AP71" s="34">
        <f>IF(AND(ISNUMBER(AQ71),ISNUMBER(AO71)),AQ71-AO71,"")</f>
        <v>0</v>
      </c>
      <c r="AQ71" s="33"/>
      <c r="AR71" s="34">
        <f>IF(AND(ISNUMBER(AS71),ISNUMBER(AQ71)),AS71-AQ71,"")</f>
        <v>0</v>
      </c>
      <c r="AS71" s="33"/>
      <c r="AT71" s="34">
        <f>IF(AND(ISNUMBER(AU71),ISNUMBER(AS71)),AU71-AS71,"")</f>
        <v>0</v>
      </c>
      <c r="AU71" s="33"/>
      <c r="AV71" s="34">
        <f>IF(AND(ISNUMBER(AW71),ISNUMBER(AU71)),AW71-AU71,"")</f>
        <v>0</v>
      </c>
      <c r="AW71" s="33"/>
      <c r="AX71" s="34">
        <f>IF(AND(ISNUMBER(AY71),ISNUMBER(AW71)),AY71-AW71,"")</f>
        <v>0</v>
      </c>
      <c r="AY71" s="33"/>
      <c r="AZ71" s="34">
        <f>IF(AND(ISNUMBER(BA71),ISNUMBER(AY71)),BA71-AY71,"")</f>
        <v>0</v>
      </c>
      <c r="BA71" s="33"/>
      <c r="BB71" s="34">
        <f>IF(AND(ISNUMBER(BC71),ISNUMBER(BA71)),BC71-BA71,"")</f>
        <v>0</v>
      </c>
      <c r="BC71" s="33"/>
      <c r="BD71" s="34">
        <f>IF(AND(ISNUMBER(BE71),ISNUMBER(BC71)),BE71-BC71,"")</f>
        <v>0</v>
      </c>
      <c r="BE71" s="33"/>
      <c r="BF71" s="34">
        <f>IF(AND(ISNUMBER(BG71),ISNUMBER(BE71)),BG71-BE71,"")</f>
        <v>0</v>
      </c>
      <c r="BG71" s="33"/>
      <c r="BH71" s="34">
        <f>IF(AND(ISNUMBER(BI71),ISNUMBER(BG71)),BI71-BG71,"")</f>
        <v>0</v>
      </c>
      <c r="BI71" s="33"/>
      <c r="BJ71" s="34">
        <f>IF(AND(ISNUMBER(BK71),ISNUMBER(BI71)),BK71-BI71,"")</f>
        <v>0</v>
      </c>
      <c r="BK71" s="33"/>
      <c r="BL71" s="34">
        <f>IF(AND(ISNUMBER(BM71),ISNUMBER(BK71)),BM71-BK71,"")</f>
        <v>0</v>
      </c>
      <c r="BM71" s="33"/>
      <c r="BN71" s="34">
        <f>IF(AND(ISNUMBER(BO71),ISNUMBER(BM71)),BO71-BM71,"")</f>
        <v>0</v>
      </c>
      <c r="BO71" s="33"/>
      <c r="BP71" s="34">
        <f>IF(AND(ISNUMBER(BQ71),ISNUMBER(BO71)),BQ71-BO71,"")</f>
        <v>0</v>
      </c>
      <c r="BQ71" s="33"/>
      <c r="BR71" s="34">
        <f>IF(AND(ISNUMBER(BS71),ISNUMBER(BQ71)),BS71-BQ71,"")</f>
        <v>0</v>
      </c>
      <c r="BS71" s="33"/>
      <c r="BT71" s="34">
        <f>IF(AND(ISNUMBER(BU71),ISNUMBER(BS71)),BU71-BS71,"")</f>
        <v>0</v>
      </c>
      <c r="BU71" s="33"/>
      <c r="BV71" s="34">
        <f>IF(AND(ISNUMBER(BW71),ISNUMBER(BU71)),BW71-BU71,"")</f>
        <v>0</v>
      </c>
      <c r="BW71" s="33"/>
      <c r="BX71" s="34">
        <f>IF(AND(ISNUMBER(BY71),ISNUMBER(BW71)),BY71-BW71,"")</f>
        <v>0</v>
      </c>
      <c r="BY71" s="33"/>
      <c r="BZ71" s="34">
        <f>IF(AND(ISNUMBER(CA71),ISNUMBER(BY71)),CA71-BY71,"")</f>
        <v>0</v>
      </c>
      <c r="CA71" s="33"/>
      <c r="CB71" s="34">
        <f>IF(AND(ISNUMBER(CC71),ISNUMBER(CA71)),CC71-CA71,"")</f>
        <v>0</v>
      </c>
      <c r="CC71" s="33"/>
      <c r="CD71" s="34">
        <f>IF(AND(ISNUMBER(CE71),ISNUMBER(CC71)),CE71-CC71,"")</f>
        <v>0</v>
      </c>
      <c r="CE71" s="33"/>
      <c r="CF71" s="34">
        <f>IF(AND(ISNUMBER(CG71),ISNUMBER(CE71)),CG71-CE71,"")</f>
        <v>0</v>
      </c>
      <c r="CG71" s="33"/>
      <c r="CH71" s="34">
        <f>IF(AND(ISNUMBER(CI71),ISNUMBER(CG71)),CI71-CG71,"")</f>
        <v>0</v>
      </c>
      <c r="CI71" s="33"/>
      <c r="CJ71" s="34">
        <f>IF(AND(ISNUMBER(CK71),ISNUMBER(CI71)),CK71-CI71,"")</f>
        <v>0</v>
      </c>
      <c r="CK71" s="33"/>
      <c r="CL71" s="34">
        <f>IF(AND(ISNUMBER(CM71),ISNUMBER(CK71)),CM71-CK71,"")</f>
        <v>0</v>
      </c>
      <c r="CM71" s="33"/>
      <c r="CN71" s="34">
        <f>IF(AND(ISNUMBER(CO71),ISNUMBER(CM71)),CO71-CM71,"")</f>
        <v>0</v>
      </c>
      <c r="CO71" s="33"/>
      <c r="CP71" s="34">
        <f>IF(AND(ISNUMBER(CQ71),ISNUMBER(CO71)),CQ71-CO71,"")</f>
        <v>0</v>
      </c>
      <c r="CQ71" s="33"/>
      <c r="CR71" s="34">
        <f>IF(AND(ISNUMBER(CS71),ISNUMBER(CQ71)),CS71-CQ71,"")</f>
        <v>0</v>
      </c>
      <c r="CS71" s="33"/>
      <c r="CT71" s="34">
        <f>IF(AND(ISNUMBER(CU71),ISNUMBER(CS71)),CU71-CS71,"")</f>
        <v>0</v>
      </c>
      <c r="CU71" s="33"/>
      <c r="CV71" s="34">
        <f>IF(AND(ISNUMBER(CW71),ISNUMBER(CU71)),CW71-CU71,"")</f>
        <v>0</v>
      </c>
      <c r="CW71" s="33"/>
      <c r="CX71" s="34">
        <f>IF(AND(ISNUMBER(CY71),ISNUMBER(CW71)),CY71-CW71,"")</f>
        <v>0</v>
      </c>
      <c r="CY71" s="33"/>
      <c r="CZ71" s="34">
        <f>IF(AND(ISNUMBER(DA71),ISNUMBER(CY71)),DA71-CY71,"")</f>
        <v>0</v>
      </c>
      <c r="DA71" s="33"/>
      <c r="DB71" s="34">
        <f>IF(AND(ISNUMBER(DC71),ISNUMBER(DA71)),DC71-DA71,"")</f>
        <v>0</v>
      </c>
      <c r="DC71" s="33"/>
      <c r="DD71" s="34">
        <f>IF(AND(ISNUMBER(DE71),ISNUMBER(DC71)),DE71-DC71,"")</f>
        <v>0</v>
      </c>
      <c r="DE71" s="33"/>
      <c r="DF71" s="34">
        <f>IF(AND(ISNUMBER(DG71),ISNUMBER(DE71)),DG71-DE71,"")</f>
        <v>0</v>
      </c>
      <c r="DG71" s="33"/>
      <c r="DH71" s="34">
        <f>IF(AND(ISNUMBER(DI71),ISNUMBER(DG71)),DI71-DG71,"")</f>
        <v>0</v>
      </c>
      <c r="DI71" s="33"/>
      <c r="DJ71" s="34">
        <f>IF(AND(ISNUMBER(DK71),ISNUMBER(DI71)),DK71-DI71,"")</f>
        <v>0</v>
      </c>
      <c r="DK71" s="33"/>
      <c r="DL71" s="34">
        <f>IF(AND(ISNUMBER(DM71),ISNUMBER(DK71)),DM71-DK71,"")</f>
        <v>0</v>
      </c>
      <c r="DM71" s="33"/>
      <c r="DN71" s="34">
        <f>IF(AND(ISNUMBER(DO71),ISNUMBER(DM71)),DO71-DM71,"")</f>
        <v>0</v>
      </c>
      <c r="DO71" s="33"/>
      <c r="DP71" s="34">
        <f>IF(AND(ISNUMBER(DQ71),ISNUMBER(DO71)),DQ71-DO71,"")</f>
        <v>0</v>
      </c>
      <c r="DQ71" s="33"/>
      <c r="DR71" s="34">
        <f>IF(AND(ISNUMBER(DS71),ISNUMBER(DQ71)),DS71-DQ71,"")</f>
        <v>0</v>
      </c>
      <c r="DS71" s="33"/>
      <c r="DT71" s="34">
        <f>IF(AND(ISNUMBER(DU71),ISNUMBER(DS71)),DU71-DS71,"")</f>
        <v>0</v>
      </c>
      <c r="DU71" s="33"/>
      <c r="DV71" s="34">
        <f>IF(AND(ISNUMBER(DW71),ISNUMBER(DU71)),DW71-DU71,"")</f>
        <v>0</v>
      </c>
      <c r="DW71" s="33"/>
      <c r="DX71" s="34">
        <f>IF(AND(ISNUMBER(DY71),ISNUMBER(DW71)),DY71-DW71,"")</f>
        <v>0</v>
      </c>
      <c r="DY71" s="33"/>
      <c r="DZ71" s="34">
        <f>IF(AND(ISNUMBER(EA71),ISNUMBER(DY71)),EA71-DY71,"")</f>
        <v>0</v>
      </c>
      <c r="EA71" s="33"/>
      <c r="EB71" s="34">
        <f>IF(AND(ISNUMBER(EC71),ISNUMBER(EA71)),EC71-EA71,"")</f>
        <v>0</v>
      </c>
      <c r="EC71" s="33"/>
      <c r="ED71" s="34">
        <f>IF(AND(ISNUMBER(EE71),ISNUMBER(EC71)),EE71-EC71,"")</f>
        <v>0</v>
      </c>
      <c r="EE71" s="33"/>
      <c r="EF71" s="34">
        <f>IF(AND(ISNUMBER(EG71),ISNUMBER(EE71)),EG71-EE71,"")</f>
        <v>0</v>
      </c>
      <c r="EG71" s="33"/>
      <c r="EH71" s="34">
        <f>IF(AND(ISNUMBER(EI71),ISNUMBER(EG71)),EI71-EG71,"")</f>
        <v>0</v>
      </c>
      <c r="EI71" s="33"/>
      <c r="EJ71" s="34">
        <f>IF(AND(ISNUMBER(EK71),ISNUMBER(EI71)),EK71-EI71,"")</f>
        <v>0</v>
      </c>
      <c r="EK71" s="33"/>
      <c r="EL71" s="34">
        <f>IF(AND(ISNUMBER(EM71),ISNUMBER(EK71)),EM71-EK71,"")</f>
        <v>0</v>
      </c>
      <c r="EM71" s="33"/>
      <c r="EN71" s="34">
        <f>IF(AND(ISNUMBER(EO71),ISNUMBER(EM71)),EO71-EM71,"")</f>
        <v>0</v>
      </c>
      <c r="EO71" s="33"/>
      <c r="EP71" s="34">
        <f>IF(AND(ISNUMBER(EQ71),ISNUMBER(EO71)),EQ71-EO71,"")</f>
        <v>0</v>
      </c>
      <c r="EQ71" s="33"/>
      <c r="ER71" s="34">
        <f>IF(AND(ISNUMBER(ES71),ISNUMBER(EQ71)),ES71-EQ71,"")</f>
        <v>0</v>
      </c>
      <c r="ES71" s="33"/>
      <c r="ET71" s="34">
        <f>IF(AND(ISNUMBER(EU71),ISNUMBER(ES71)),EU71-ES71,"")</f>
        <v>0</v>
      </c>
      <c r="EU71" s="33"/>
      <c r="EV71" s="34">
        <f>IF(AND(ISNUMBER(EW71),ISNUMBER(EU71)),EW71-EU71,"")</f>
        <v>0</v>
      </c>
      <c r="EW71" s="33"/>
      <c r="EX71" s="34">
        <f>IF(AND(ISNUMBER(EY71),ISNUMBER(EW71)),EY71-EW71,"")</f>
        <v>0</v>
      </c>
      <c r="EY71" s="33"/>
      <c r="EZ71" s="34">
        <f>IF(AND(ISNUMBER(FA71),ISNUMBER(EY71)),FA71-EY71,"")</f>
        <v>0</v>
      </c>
      <c r="FA71" s="33"/>
      <c r="FB71" s="34">
        <f>IF(AND(ISNUMBER(FC71),ISNUMBER(FA71)),FC71-FA71,"")</f>
        <v>0</v>
      </c>
      <c r="FC71" s="33"/>
      <c r="FD71" s="34">
        <f>IF(AND(ISNUMBER(FE71),ISNUMBER(FC71)),FE71-FC71,"")</f>
        <v>0</v>
      </c>
      <c r="FE71" s="33"/>
      <c r="FF71" s="34">
        <f>IF(AND(ISNUMBER(FG71),ISNUMBER(FE71)),FG71-FE71,"")</f>
        <v>0</v>
      </c>
      <c r="FG71" s="33"/>
      <c r="FH71" s="34">
        <f>IF(AND(ISNUMBER(FI71),ISNUMBER(FG71)),FI71-FG71,"")</f>
        <v>0</v>
      </c>
      <c r="FI71" s="33"/>
      <c r="FJ71" s="34">
        <f>IF(AND(ISNUMBER(FK71),ISNUMBER(FI71)),FK71-FI71,"")</f>
        <v>0</v>
      </c>
      <c r="FK71" s="33"/>
      <c r="FL71" s="34">
        <f>IF(AND(ISNUMBER(FM71),ISNUMBER(FK71)),FM71-FK71,"")</f>
        <v>0</v>
      </c>
      <c r="FM71" s="33"/>
      <c r="FN71" s="34">
        <f>IF(AND(ISNUMBER(FO71),ISNUMBER(FM71)),FO71-FM71,"")</f>
        <v>0</v>
      </c>
      <c r="FO71" s="33"/>
      <c r="FP71" s="34">
        <f>IF(AND(ISNUMBER(FQ71),ISNUMBER(FO71)),FQ71-FO71,"")</f>
        <v>0</v>
      </c>
      <c r="FQ71" s="33"/>
      <c r="FR71" s="34">
        <f>IF(AND(ISNUMBER(FS71),ISNUMBER(FQ71)),FS71-FQ71,"")</f>
        <v>0</v>
      </c>
      <c r="FS71" s="33"/>
      <c r="FT71" s="34">
        <f>IF(AND(ISNUMBER(FU71),ISNUMBER(FS71)),FU71-FS71,"")</f>
        <v>0</v>
      </c>
      <c r="FU71" s="33"/>
      <c r="FV71" s="34">
        <f>IF(AND(ISNUMBER(FW71),ISNUMBER(FU71)),FW71-FU71,"")</f>
        <v>0</v>
      </c>
      <c r="FW71" s="33"/>
      <c r="FX71" s="34">
        <f>IF(AND(ISNUMBER(FY71),ISNUMBER(FW71)),FY71-FW71,"")</f>
        <v>0</v>
      </c>
      <c r="FY71" s="33"/>
      <c r="FZ71" s="34">
        <f>IF(AND(ISNUMBER(GA71),ISNUMBER(FY71)),GA71-FY71,"")</f>
        <v>0</v>
      </c>
      <c r="GA71" s="33"/>
      <c r="GB71" s="34">
        <f>IF(AND(ISNUMBER(GC71),ISNUMBER(GA71)),GC71-GA71,"")</f>
        <v>0</v>
      </c>
      <c r="GC71" s="33"/>
      <c r="GD71" s="34">
        <f>IF(AND(ISNUMBER(GE71),ISNUMBER(GC71)),GE71-GC71,"")</f>
        <v>0</v>
      </c>
      <c r="GE71" s="33"/>
      <c r="GF71" s="34">
        <f>IF(AND(ISNUMBER(GG71),ISNUMBER(GE71)),GG71-GE71,"")</f>
        <v>0</v>
      </c>
      <c r="GG71" s="33"/>
      <c r="GH71" s="34">
        <f>IF(AND(ISNUMBER(GI71),ISNUMBER(GG71)),GI71-GG71,"")</f>
        <v>0</v>
      </c>
      <c r="GI71" s="33"/>
      <c r="GJ71" s="34">
        <f>IF(AND(ISNUMBER(GK71),ISNUMBER(GI71)),GK71-GI71,"")</f>
        <v>0</v>
      </c>
      <c r="GK71" s="33"/>
      <c r="GL71" s="34">
        <f>IF(AND(ISNUMBER(GM71),ISNUMBER(GK71)),GM71-GK71,"")</f>
        <v>0</v>
      </c>
      <c r="GM71" s="33"/>
      <c r="GN71" s="34">
        <f>IF(AND(ISNUMBER(GO71),ISNUMBER(GM71)),GO71-GM71,"")</f>
        <v>0</v>
      </c>
      <c r="GO71" s="33"/>
      <c r="GP71" s="34">
        <f>IF(AND(ISNUMBER(GQ71),ISNUMBER(GO71)),GQ71-GO71,"")</f>
        <v>0</v>
      </c>
      <c r="GQ71" s="33"/>
      <c r="GR71" s="34">
        <f>IF(AND(ISNUMBER(GS71),ISNUMBER(GQ71)),GS71-GQ71,"")</f>
        <v>0</v>
      </c>
      <c r="GS71" s="33"/>
      <c r="GT71" s="34">
        <f>IF(AND(ISNUMBER(GU71),ISNUMBER(GS71)),GU71-GS71,"")</f>
        <v>0</v>
      </c>
      <c r="GU71" s="33"/>
      <c r="GV71" s="34">
        <f>IF(AND(ISNUMBER(GW71),ISNUMBER(GU71)),GW71-GU71,"")</f>
        <v>0</v>
      </c>
      <c r="GW71" s="33"/>
      <c r="GX71" s="34">
        <f>IF(AND(ISNUMBER(GY71),ISNUMBER(GW71)),GY71-GW71,"")</f>
        <v>0</v>
      </c>
      <c r="GY71" s="33"/>
      <c r="GZ71" s="34">
        <f>IF(AND(ISNUMBER(HA71),ISNUMBER(GY71)),HA71-GY71,"")</f>
        <v>0</v>
      </c>
      <c r="HA71" s="33"/>
      <c r="HB71" s="34">
        <f>IF(AND(ISNUMBER(HC71),ISNUMBER(HA71)),HC71-HA71,"")</f>
        <v>0</v>
      </c>
      <c r="HC71" s="33"/>
      <c r="HD71" s="34">
        <f>IF(AND(ISNUMBER(HE71),ISNUMBER(HC71)),HE71-HC71,"")</f>
        <v>0</v>
      </c>
      <c r="HE71" s="33"/>
      <c r="HF71" s="34">
        <f>IF(AND(ISNUMBER(HG71),ISNUMBER(HE71)),HG71-HE71,"")</f>
        <v>0</v>
      </c>
      <c r="HG71" s="33"/>
      <c r="HH71" s="34">
        <f>IF(AND(ISNUMBER(HI71),ISNUMBER(HG71)),HI71-HG71,"")</f>
        <v>0</v>
      </c>
      <c r="HI71" s="33"/>
      <c r="HJ71" s="34">
        <f>IF(AND(ISNUMBER(HK71),ISNUMBER(HI71)),HK71-HI71,"")</f>
        <v>0</v>
      </c>
      <c r="HK71" s="33"/>
      <c r="HL71" s="34">
        <f>IF(AND(ISNUMBER(HM71),ISNUMBER(HK71)),HM71-HK71,"")</f>
        <v>0</v>
      </c>
      <c r="HM71" s="33"/>
      <c r="HN71" s="34">
        <f>IF(AND(ISNUMBER(HO71),ISNUMBER(HM71)),HO71-HM71,"")</f>
        <v>0</v>
      </c>
      <c r="HO71" s="33"/>
      <c r="HP71" s="34">
        <f>IF(AND(ISNUMBER(HQ71),ISNUMBER(HO71)),HQ71-HO71,"")</f>
        <v>0</v>
      </c>
      <c r="HQ71" s="33"/>
      <c r="HR71" s="34">
        <f>IF(AND(ISNUMBER(HS71),ISNUMBER(HQ71)),HS71-HQ71,"")</f>
        <v>0</v>
      </c>
      <c r="HS71" s="33"/>
      <c r="HT71" s="34">
        <f>IF(AND(ISNUMBER(HU71),ISNUMBER(HS71)),HU71-HS71,"")</f>
        <v>0</v>
      </c>
      <c r="HU71" s="33"/>
      <c r="HV71" s="34">
        <f>IF(AND(ISNUMBER(HW71),ISNUMBER(HU71)),HW71-HU71,"")</f>
        <v>0</v>
      </c>
      <c r="HW71" s="33"/>
      <c r="HX71" s="34">
        <f>IF(AND(ISNUMBER(HY71),ISNUMBER(HW71)),HY71-HW71,"")</f>
        <v>0</v>
      </c>
      <c r="HY71" s="33"/>
      <c r="HZ71" s="34">
        <f>IF(AND(ISNUMBER(IA71),ISNUMBER(HY71)),IA71-HY71,"")</f>
        <v>0</v>
      </c>
      <c r="IA71" s="33"/>
      <c r="IB71" s="34">
        <f>IF(AND(ISNUMBER(IC71),ISNUMBER(IA71)),IC71-IA71,"")</f>
        <v>0</v>
      </c>
      <c r="IC71" s="33"/>
      <c r="ID71" s="34">
        <f>IF(AND(ISNUMBER(IE71),ISNUMBER(IC71)),IE71-IC71,"")</f>
        <v>0</v>
      </c>
      <c r="IE71" s="33"/>
      <c r="IF71" s="34">
        <f>IF(AND(ISNUMBER(IG71),ISNUMBER(IE71)),IG71-IE71,"")</f>
        <v>0</v>
      </c>
      <c r="IG71" s="33"/>
      <c r="IH71" s="34">
        <f>IF(AND(ISNUMBER(II71),ISNUMBER(IG71)),II71-IG71,"")</f>
        <v>0</v>
      </c>
      <c r="II71" s="33"/>
      <c r="IJ71" s="34">
        <f>IF(AND(ISNUMBER(IK71),ISNUMBER(II71)),IK71-II71,"")</f>
        <v>0</v>
      </c>
      <c r="IK71" s="33"/>
      <c r="IL71" s="34">
        <f>IF(AND(ISNUMBER(IM71),ISNUMBER(IK71)),IM71-IK71,"")</f>
        <v>0</v>
      </c>
      <c r="IM71" s="33"/>
      <c r="IN71" s="34">
        <f>IF(AND(ISNUMBER(IO71),ISNUMBER(IM71)),IO71-IM71,"")</f>
        <v>0</v>
      </c>
      <c r="IO71" s="33"/>
      <c r="IP71" s="34">
        <f>IF(AND(ISNUMBER(IQ71),ISNUMBER(IO71)),IQ71-IO71,"")</f>
        <v>0</v>
      </c>
      <c r="IQ71" s="33"/>
      <c r="IR71" s="34">
        <f>IF(AND(ISNUMBER(IS71),ISNUMBER(IQ71)),IS71-IQ71,"")</f>
        <v>0</v>
      </c>
      <c r="IS71" s="33"/>
      <c r="IT71" s="34">
        <f>IF(AND(ISNUMBER(IU71),ISNUMBER(IS71)),IU71-IS71,"")</f>
        <v>0</v>
      </c>
      <c r="IU71" s="33"/>
      <c r="IV71" s="34">
        <f>IF(AND(ISNUMBER(IW71),ISNUMBER(IU71)),IW71-IU71,"")</f>
        <v>0</v>
      </c>
      <c r="IW71" s="33"/>
      <c r="IX71" s="34">
        <f>IF(AND(ISNUMBER(IY71),ISNUMBER(IW71)),IY71-IW71,"")</f>
        <v>0</v>
      </c>
      <c r="IY71" s="33"/>
      <c r="IZ71" s="34">
        <f>IF(AND(ISNUMBER(JA71),ISNUMBER(IY71)),JA71-IY71,"")</f>
        <v>0</v>
      </c>
      <c r="JA71" s="33"/>
      <c r="JB71" s="34">
        <f>IF(AND(ISNUMBER(JC71),ISNUMBER(JA71)),JC71-JA71,"")</f>
        <v>0</v>
      </c>
      <c r="JC71" s="33"/>
      <c r="JD71" s="34">
        <f>IF(AND(ISNUMBER(JE71),ISNUMBER(JC71)),JE71-JC71,"")</f>
        <v>0</v>
      </c>
      <c r="JE71" s="33"/>
      <c r="JF71" s="34">
        <f>IF(AND(ISNUMBER(JG71),ISNUMBER(JE71)),JG71-JE71,"")</f>
        <v>0</v>
      </c>
      <c r="JG71" s="33"/>
      <c r="JH71" s="34">
        <f>IF(AND(ISNUMBER(JI71),ISNUMBER(JG71)),JI71-JG71,"")</f>
        <v>0</v>
      </c>
      <c r="JI71" s="33"/>
      <c r="JJ71" s="34">
        <f>IF(AND(ISNUMBER(JK71),ISNUMBER(JI71)),JK71-JI71,"")</f>
        <v>0</v>
      </c>
      <c r="JK71" s="33"/>
      <c r="JL71" s="34">
        <f>IF(AND(ISNUMBER(JM71),ISNUMBER(JK71)),JM71-JK71,"")</f>
        <v>0</v>
      </c>
      <c r="JM71" s="33"/>
      <c r="JN71" s="34">
        <f>IF(AND(ISNUMBER(JO71),ISNUMBER(JM71)),JO71-JM71,"")</f>
        <v>0</v>
      </c>
      <c r="JO71" s="33"/>
      <c r="JP71" s="34">
        <f>IF(AND(ISNUMBER(JQ71),ISNUMBER(JO71)),JQ71-JO71,"")</f>
        <v>0</v>
      </c>
      <c r="JQ71" s="33">
        <v>5</v>
      </c>
      <c r="JR71" s="34">
        <f>IF(AND(ISNUMBER(JS71),ISNUMBER(JQ71)),JS71-JQ71,"")</f>
        <v>0</v>
      </c>
      <c r="JS71" s="33">
        <v>3438</v>
      </c>
      <c r="JT71" s="34">
        <f>IF(AND(ISNUMBER(JU71),ISNUMBER(JS71)),JU71-JS71,"")</f>
        <v>0</v>
      </c>
      <c r="JU71" s="33">
        <v>1415</v>
      </c>
      <c r="JV71" s="34">
        <f>IF(AND(ISNUMBER(JW71),ISNUMBER(JU71)),JW71-JU71,"")</f>
        <v>0</v>
      </c>
      <c r="JW71" s="33"/>
      <c r="JX71" s="34">
        <f>IF(AND(ISNUMBER(JY71),ISNUMBER(JW71)),JY71-JW71,"")</f>
        <v>0</v>
      </c>
      <c r="JY71" s="33"/>
      <c r="JZ71" s="34">
        <f>IF(AND(ISNUMBER(KA71),ISNUMBER(JY71)),KA71-JY71,"")</f>
        <v>0</v>
      </c>
      <c r="KA71" s="33"/>
      <c r="KB71" s="34">
        <f>IF(AND(ISNUMBER(KC71),ISNUMBER(KA71)),KC71-KA71,"")</f>
        <v>0</v>
      </c>
      <c r="KC71" s="33"/>
      <c r="KD71" s="34">
        <f>IF(AND(ISNUMBER(KE71),ISNUMBER(KC71)),KE71-KC71,"")</f>
        <v>0</v>
      </c>
      <c r="KE71" s="33"/>
      <c r="KF71" s="34">
        <f>IF(AND(ISNUMBER(KG71),ISNUMBER(KE71)),KG71-KE71,"")</f>
        <v>0</v>
      </c>
      <c r="KG71" s="33"/>
      <c r="KH71" s="34">
        <f>IF(AND(ISNUMBER(KI71),ISNUMBER(KG71)),KI71-KG71,"")</f>
        <v>0</v>
      </c>
      <c r="KI71" s="33"/>
      <c r="KJ71" s="34">
        <f>IF(AND(ISNUMBER(KK71),ISNUMBER(KI71)),KK71-KI71,"")</f>
        <v>0</v>
      </c>
      <c r="KK71" s="33"/>
      <c r="KL71" s="34">
        <f>IF(AND(ISNUMBER(KM71),ISNUMBER(KK71)),KM71-KK71,"")</f>
        <v>0</v>
      </c>
      <c r="KM71" s="33"/>
      <c r="KN71" s="34">
        <f>IF(AND(ISNUMBER(KO71),ISNUMBER(KM71)),KO71-KM71,"")</f>
        <v>0</v>
      </c>
      <c r="KO71" s="33"/>
      <c r="KP71" s="34">
        <f>IF(AND(ISNUMBER(KQ71),ISNUMBER(KO71)),KQ71-KO71,"")</f>
        <v>0</v>
      </c>
      <c r="KQ71" s="33"/>
      <c r="KR71" s="34">
        <f>IF(AND(ISNUMBER(KS71),ISNUMBER(KQ71)),KS71-KQ71,"")</f>
        <v>0</v>
      </c>
      <c r="KS71" s="33"/>
      <c r="KT71" s="34">
        <f>IF(AND(ISNUMBER(KU71),ISNUMBER(KS71)),KU71-KS71,"")</f>
        <v>0</v>
      </c>
      <c r="KU71" s="33"/>
      <c r="KV71" s="34">
        <f>IF(AND(ISNUMBER(KW71),ISNUMBER(KU71)),KW71-KU71,"")</f>
        <v>0</v>
      </c>
      <c r="KW71" s="33"/>
      <c r="KX71" s="34">
        <f>IF(AND(ISNUMBER(KY71),ISNUMBER(KW71)),KY71-KW71,"")</f>
        <v>0</v>
      </c>
      <c r="KY71" s="33"/>
      <c r="KZ71" s="34">
        <f>IF(AND(ISNUMBER(LA71),ISNUMBER(KY71)),LA71-KY71,"")</f>
        <v>0</v>
      </c>
      <c r="LA71" s="33"/>
      <c r="LB71" s="34">
        <f>IF(AND(ISNUMBER(LC71),ISNUMBER(LA71)),LC71-LA71,"")</f>
        <v>0</v>
      </c>
      <c r="LC71" s="33"/>
      <c r="LD71" s="34">
        <f>IF(AND(ISNUMBER(LE71),ISNUMBER(LC71)),LE71-LC71,"")</f>
        <v>0</v>
      </c>
      <c r="LE71" s="33"/>
      <c r="LF71" s="34">
        <f>IF(AND(ISNUMBER(LG71),ISNUMBER(LE71)),LG71-LE71,"")</f>
        <v>0</v>
      </c>
      <c r="LG71" s="33"/>
    </row>
    <row r="72" spans="1:322">
      <c r="A72" s="36" t="s">
        <v>153</v>
      </c>
      <c r="B72" s="23"/>
      <c r="C72" s="31" t="s">
        <v>783</v>
      </c>
      <c r="D72" s="31" t="s">
        <v>793</v>
      </c>
      <c r="E72" s="32" t="s">
        <v>1036</v>
      </c>
      <c r="H72" s="38" t="s">
        <v>1082</v>
      </c>
      <c r="I72" s="33"/>
      <c r="J72" s="34">
        <f>IF(AND(ISNUMBER(K72),ISNUMBER(I72)),K72-I72,"")</f>
        <v>0</v>
      </c>
      <c r="K72" s="33"/>
      <c r="L72" s="34">
        <f>IF(AND(ISNUMBER(M72),ISNUMBER(K72)),M72-K72,"")</f>
        <v>0</v>
      </c>
      <c r="M72" s="33"/>
      <c r="N72" s="34">
        <f>IF(AND(ISNUMBER(O72),ISNUMBER(M72)),O72-M72,"")</f>
        <v>0</v>
      </c>
      <c r="O72" s="33"/>
      <c r="P72" s="34">
        <f>IF(AND(ISNUMBER(Q72),ISNUMBER(O72)),Q72-O72,"")</f>
        <v>0</v>
      </c>
      <c r="Q72" s="33"/>
      <c r="R72" s="34">
        <f>IF(AND(ISNUMBER(S72),ISNUMBER(Q72)),S72-Q72,"")</f>
        <v>0</v>
      </c>
      <c r="S72" s="33"/>
      <c r="T72" s="34">
        <f>IF(AND(ISNUMBER(U72),ISNUMBER(S72)),U72-S72,"")</f>
        <v>0</v>
      </c>
      <c r="U72" s="33"/>
      <c r="V72" s="34">
        <f>IF(AND(ISNUMBER(W72),ISNUMBER(U72)),W72-U72,"")</f>
        <v>0</v>
      </c>
      <c r="W72" s="33"/>
      <c r="X72" s="34">
        <f>IF(AND(ISNUMBER(Y72),ISNUMBER(W72)),Y72-W72,"")</f>
        <v>0</v>
      </c>
      <c r="Y72" s="33"/>
      <c r="Z72" s="34">
        <f>IF(AND(ISNUMBER(AA72),ISNUMBER(Y72)),AA72-Y72,"")</f>
        <v>0</v>
      </c>
      <c r="AA72" s="33"/>
      <c r="AB72" s="34">
        <f>IF(AND(ISNUMBER(AC72),ISNUMBER(AA72)),AC72-AA72,"")</f>
        <v>0</v>
      </c>
      <c r="AC72" s="33"/>
      <c r="AD72" s="34">
        <f>IF(AND(ISNUMBER(AE72),ISNUMBER(AC72)),AE72-AC72,"")</f>
        <v>0</v>
      </c>
      <c r="AE72" s="33"/>
      <c r="AF72" s="34">
        <f>IF(AND(ISNUMBER(AG72),ISNUMBER(AE72)),AG72-AE72,"")</f>
        <v>0</v>
      </c>
      <c r="AG72" s="33"/>
      <c r="AH72" s="34">
        <f>IF(AND(ISNUMBER(AI72),ISNUMBER(AG72)),AI72-AG72,"")</f>
        <v>0</v>
      </c>
      <c r="AI72" s="33"/>
      <c r="AJ72" s="34">
        <f>IF(AND(ISNUMBER(AK72),ISNUMBER(AI72)),AK72-AI72,"")</f>
        <v>0</v>
      </c>
      <c r="AK72" s="33"/>
      <c r="AL72" s="34">
        <f>IF(AND(ISNUMBER(AM72),ISNUMBER(AK72)),AM72-AK72,"")</f>
        <v>0</v>
      </c>
      <c r="AM72" s="33"/>
      <c r="AN72" s="34">
        <f>IF(AND(ISNUMBER(AO72),ISNUMBER(AM72)),AO72-AM72,"")</f>
        <v>0</v>
      </c>
      <c r="AO72" s="33"/>
      <c r="AP72" s="34">
        <f>IF(AND(ISNUMBER(AQ72),ISNUMBER(AO72)),AQ72-AO72,"")</f>
        <v>0</v>
      </c>
      <c r="AQ72" s="33"/>
      <c r="AR72" s="34">
        <f>IF(AND(ISNUMBER(AS72),ISNUMBER(AQ72)),AS72-AQ72,"")</f>
        <v>0</v>
      </c>
      <c r="AS72" s="33"/>
      <c r="AT72" s="34">
        <f>IF(AND(ISNUMBER(AU72),ISNUMBER(AS72)),AU72-AS72,"")</f>
        <v>0</v>
      </c>
      <c r="AU72" s="33"/>
      <c r="AV72" s="34">
        <f>IF(AND(ISNUMBER(AW72),ISNUMBER(AU72)),AW72-AU72,"")</f>
        <v>0</v>
      </c>
      <c r="AW72" s="33"/>
      <c r="AX72" s="34">
        <f>IF(AND(ISNUMBER(AY72),ISNUMBER(AW72)),AY72-AW72,"")</f>
        <v>0</v>
      </c>
      <c r="AY72" s="33"/>
      <c r="AZ72" s="34">
        <f>IF(AND(ISNUMBER(BA72),ISNUMBER(AY72)),BA72-AY72,"")</f>
        <v>0</v>
      </c>
      <c r="BA72" s="33"/>
      <c r="BB72" s="34">
        <f>IF(AND(ISNUMBER(BC72),ISNUMBER(BA72)),BC72-BA72,"")</f>
        <v>0</v>
      </c>
      <c r="BC72" s="33"/>
      <c r="BD72" s="34">
        <f>IF(AND(ISNUMBER(BE72),ISNUMBER(BC72)),BE72-BC72,"")</f>
        <v>0</v>
      </c>
      <c r="BE72" s="33"/>
      <c r="BF72" s="34">
        <f>IF(AND(ISNUMBER(BG72),ISNUMBER(BE72)),BG72-BE72,"")</f>
        <v>0</v>
      </c>
      <c r="BG72" s="33"/>
      <c r="BH72" s="34">
        <f>IF(AND(ISNUMBER(BI72),ISNUMBER(BG72)),BI72-BG72,"")</f>
        <v>0</v>
      </c>
      <c r="BI72" s="33"/>
      <c r="BJ72" s="34">
        <f>IF(AND(ISNUMBER(BK72),ISNUMBER(BI72)),BK72-BI72,"")</f>
        <v>0</v>
      </c>
      <c r="BK72" s="33"/>
      <c r="BL72" s="34">
        <f>IF(AND(ISNUMBER(BM72),ISNUMBER(BK72)),BM72-BK72,"")</f>
        <v>0</v>
      </c>
      <c r="BM72" s="33"/>
      <c r="BN72" s="34">
        <f>IF(AND(ISNUMBER(BO72),ISNUMBER(BM72)),BO72-BM72,"")</f>
        <v>0</v>
      </c>
      <c r="BO72" s="33"/>
      <c r="BP72" s="34">
        <f>IF(AND(ISNUMBER(BQ72),ISNUMBER(BO72)),BQ72-BO72,"")</f>
        <v>0</v>
      </c>
      <c r="BQ72" s="33"/>
      <c r="BR72" s="34">
        <f>IF(AND(ISNUMBER(BS72),ISNUMBER(BQ72)),BS72-BQ72,"")</f>
        <v>0</v>
      </c>
      <c r="BS72" s="33"/>
      <c r="BT72" s="34">
        <f>IF(AND(ISNUMBER(BU72),ISNUMBER(BS72)),BU72-BS72,"")</f>
        <v>0</v>
      </c>
      <c r="BU72" s="33"/>
      <c r="BV72" s="34">
        <f>IF(AND(ISNUMBER(BW72),ISNUMBER(BU72)),BW72-BU72,"")</f>
        <v>0</v>
      </c>
      <c r="BW72" s="33"/>
      <c r="BX72" s="34">
        <f>IF(AND(ISNUMBER(BY72),ISNUMBER(BW72)),BY72-BW72,"")</f>
        <v>0</v>
      </c>
      <c r="BY72" s="33"/>
      <c r="BZ72" s="34">
        <f>IF(AND(ISNUMBER(CA72),ISNUMBER(BY72)),CA72-BY72,"")</f>
        <v>0</v>
      </c>
      <c r="CA72" s="33"/>
      <c r="CB72" s="34">
        <f>IF(AND(ISNUMBER(CC72),ISNUMBER(CA72)),CC72-CA72,"")</f>
        <v>0</v>
      </c>
      <c r="CC72" s="33"/>
      <c r="CD72" s="34">
        <f>IF(AND(ISNUMBER(CE72),ISNUMBER(CC72)),CE72-CC72,"")</f>
        <v>0</v>
      </c>
      <c r="CE72" s="33"/>
      <c r="CF72" s="34">
        <f>IF(AND(ISNUMBER(CG72),ISNUMBER(CE72)),CG72-CE72,"")</f>
        <v>0</v>
      </c>
      <c r="CG72" s="33"/>
      <c r="CH72" s="34">
        <f>IF(AND(ISNUMBER(CI72),ISNUMBER(CG72)),CI72-CG72,"")</f>
        <v>0</v>
      </c>
      <c r="CI72" s="33"/>
      <c r="CJ72" s="34">
        <f>IF(AND(ISNUMBER(CK72),ISNUMBER(CI72)),CK72-CI72,"")</f>
        <v>0</v>
      </c>
      <c r="CK72" s="33"/>
      <c r="CL72" s="34">
        <f>IF(AND(ISNUMBER(CM72),ISNUMBER(CK72)),CM72-CK72,"")</f>
        <v>0</v>
      </c>
      <c r="CM72" s="33"/>
      <c r="CN72" s="34">
        <f>IF(AND(ISNUMBER(CO72),ISNUMBER(CM72)),CO72-CM72,"")</f>
        <v>0</v>
      </c>
      <c r="CO72" s="33"/>
      <c r="CP72" s="34">
        <f>IF(AND(ISNUMBER(CQ72),ISNUMBER(CO72)),CQ72-CO72,"")</f>
        <v>0</v>
      </c>
      <c r="CQ72" s="33"/>
      <c r="CR72" s="34">
        <f>IF(AND(ISNUMBER(CS72),ISNUMBER(CQ72)),CS72-CQ72,"")</f>
        <v>0</v>
      </c>
      <c r="CS72" s="33"/>
      <c r="CT72" s="34">
        <f>IF(AND(ISNUMBER(CU72),ISNUMBER(CS72)),CU72-CS72,"")</f>
        <v>0</v>
      </c>
      <c r="CU72" s="33"/>
      <c r="CV72" s="34">
        <f>IF(AND(ISNUMBER(CW72),ISNUMBER(CU72)),CW72-CU72,"")</f>
        <v>0</v>
      </c>
      <c r="CW72" s="33"/>
      <c r="CX72" s="34">
        <f>IF(AND(ISNUMBER(CY72),ISNUMBER(CW72)),CY72-CW72,"")</f>
        <v>0</v>
      </c>
      <c r="CY72" s="33"/>
      <c r="CZ72" s="34">
        <f>IF(AND(ISNUMBER(DA72),ISNUMBER(CY72)),DA72-CY72,"")</f>
        <v>0</v>
      </c>
      <c r="DA72" s="33"/>
      <c r="DB72" s="34">
        <f>IF(AND(ISNUMBER(DC72),ISNUMBER(DA72)),DC72-DA72,"")</f>
        <v>0</v>
      </c>
      <c r="DC72" s="33"/>
      <c r="DD72" s="34">
        <f>IF(AND(ISNUMBER(DE72),ISNUMBER(DC72)),DE72-DC72,"")</f>
        <v>0</v>
      </c>
      <c r="DE72" s="33"/>
      <c r="DF72" s="34">
        <f>IF(AND(ISNUMBER(DG72),ISNUMBER(DE72)),DG72-DE72,"")</f>
        <v>0</v>
      </c>
      <c r="DG72" s="33"/>
      <c r="DH72" s="34">
        <f>IF(AND(ISNUMBER(DI72),ISNUMBER(DG72)),DI72-DG72,"")</f>
        <v>0</v>
      </c>
      <c r="DI72" s="33"/>
      <c r="DJ72" s="34">
        <f>IF(AND(ISNUMBER(DK72),ISNUMBER(DI72)),DK72-DI72,"")</f>
        <v>0</v>
      </c>
      <c r="DK72" s="33"/>
      <c r="DL72" s="34">
        <f>IF(AND(ISNUMBER(DM72),ISNUMBER(DK72)),DM72-DK72,"")</f>
        <v>0</v>
      </c>
      <c r="DM72" s="33"/>
      <c r="DN72" s="34">
        <f>IF(AND(ISNUMBER(DO72),ISNUMBER(DM72)),DO72-DM72,"")</f>
        <v>0</v>
      </c>
      <c r="DO72" s="33"/>
      <c r="DP72" s="34">
        <f>IF(AND(ISNUMBER(DQ72),ISNUMBER(DO72)),DQ72-DO72,"")</f>
        <v>0</v>
      </c>
      <c r="DQ72" s="33"/>
      <c r="DR72" s="34">
        <f>IF(AND(ISNUMBER(DS72),ISNUMBER(DQ72)),DS72-DQ72,"")</f>
        <v>0</v>
      </c>
      <c r="DS72" s="33"/>
      <c r="DT72" s="34">
        <f>IF(AND(ISNUMBER(DU72),ISNUMBER(DS72)),DU72-DS72,"")</f>
        <v>0</v>
      </c>
      <c r="DU72" s="33"/>
      <c r="DV72" s="34">
        <f>IF(AND(ISNUMBER(DW72),ISNUMBER(DU72)),DW72-DU72,"")</f>
        <v>0</v>
      </c>
      <c r="DW72" s="33"/>
      <c r="DX72" s="34">
        <f>IF(AND(ISNUMBER(DY72),ISNUMBER(DW72)),DY72-DW72,"")</f>
        <v>0</v>
      </c>
      <c r="DY72" s="33"/>
      <c r="DZ72" s="34">
        <f>IF(AND(ISNUMBER(EA72),ISNUMBER(DY72)),EA72-DY72,"")</f>
        <v>0</v>
      </c>
      <c r="EA72" s="33"/>
      <c r="EB72" s="34">
        <f>IF(AND(ISNUMBER(EC72),ISNUMBER(EA72)),EC72-EA72,"")</f>
        <v>0</v>
      </c>
      <c r="EC72" s="33"/>
      <c r="ED72" s="34">
        <f>IF(AND(ISNUMBER(EE72),ISNUMBER(EC72)),EE72-EC72,"")</f>
        <v>0</v>
      </c>
      <c r="EE72" s="33"/>
      <c r="EF72" s="34">
        <f>IF(AND(ISNUMBER(EG72),ISNUMBER(EE72)),EG72-EE72,"")</f>
        <v>0</v>
      </c>
      <c r="EG72" s="33"/>
      <c r="EH72" s="34">
        <f>IF(AND(ISNUMBER(EI72),ISNUMBER(EG72)),EI72-EG72,"")</f>
        <v>0</v>
      </c>
      <c r="EI72" s="33"/>
      <c r="EJ72" s="34">
        <f>IF(AND(ISNUMBER(EK72),ISNUMBER(EI72)),EK72-EI72,"")</f>
        <v>0</v>
      </c>
      <c r="EK72" s="33"/>
      <c r="EL72" s="34">
        <f>IF(AND(ISNUMBER(EM72),ISNUMBER(EK72)),EM72-EK72,"")</f>
        <v>0</v>
      </c>
      <c r="EM72" s="33"/>
      <c r="EN72" s="34">
        <f>IF(AND(ISNUMBER(EO72),ISNUMBER(EM72)),EO72-EM72,"")</f>
        <v>0</v>
      </c>
      <c r="EO72" s="33"/>
      <c r="EP72" s="34">
        <f>IF(AND(ISNUMBER(EQ72),ISNUMBER(EO72)),EQ72-EO72,"")</f>
        <v>0</v>
      </c>
      <c r="EQ72" s="33"/>
      <c r="ER72" s="34">
        <f>IF(AND(ISNUMBER(ES72),ISNUMBER(EQ72)),ES72-EQ72,"")</f>
        <v>0</v>
      </c>
      <c r="ES72" s="33"/>
      <c r="ET72" s="34">
        <f>IF(AND(ISNUMBER(EU72),ISNUMBER(ES72)),EU72-ES72,"")</f>
        <v>0</v>
      </c>
      <c r="EU72" s="33"/>
      <c r="EV72" s="34">
        <f>IF(AND(ISNUMBER(EW72),ISNUMBER(EU72)),EW72-EU72,"")</f>
        <v>0</v>
      </c>
      <c r="EW72" s="33"/>
      <c r="EX72" s="34">
        <f>IF(AND(ISNUMBER(EY72),ISNUMBER(EW72)),EY72-EW72,"")</f>
        <v>0</v>
      </c>
      <c r="EY72" s="33"/>
      <c r="EZ72" s="34">
        <f>IF(AND(ISNUMBER(FA72),ISNUMBER(EY72)),FA72-EY72,"")</f>
        <v>0</v>
      </c>
      <c r="FA72" s="33"/>
      <c r="FB72" s="34">
        <f>IF(AND(ISNUMBER(FC72),ISNUMBER(FA72)),FC72-FA72,"")</f>
        <v>0</v>
      </c>
      <c r="FC72" s="33"/>
      <c r="FD72" s="34">
        <f>IF(AND(ISNUMBER(FE72),ISNUMBER(FC72)),FE72-FC72,"")</f>
        <v>0</v>
      </c>
      <c r="FE72" s="33"/>
      <c r="FF72" s="34">
        <f>IF(AND(ISNUMBER(FG72),ISNUMBER(FE72)),FG72-FE72,"")</f>
        <v>0</v>
      </c>
      <c r="FG72" s="33"/>
      <c r="FH72" s="34">
        <f>IF(AND(ISNUMBER(FI72),ISNUMBER(FG72)),FI72-FG72,"")</f>
        <v>0</v>
      </c>
      <c r="FI72" s="33"/>
      <c r="FJ72" s="34">
        <f>IF(AND(ISNUMBER(FK72),ISNUMBER(FI72)),FK72-FI72,"")</f>
        <v>0</v>
      </c>
      <c r="FK72" s="33"/>
      <c r="FL72" s="34">
        <f>IF(AND(ISNUMBER(FM72),ISNUMBER(FK72)),FM72-FK72,"")</f>
        <v>0</v>
      </c>
      <c r="FM72" s="33"/>
      <c r="FN72" s="34">
        <f>IF(AND(ISNUMBER(FO72),ISNUMBER(FM72)),FO72-FM72,"")</f>
        <v>0</v>
      </c>
      <c r="FO72" s="33"/>
      <c r="FP72" s="34">
        <f>IF(AND(ISNUMBER(FQ72),ISNUMBER(FO72)),FQ72-FO72,"")</f>
        <v>0</v>
      </c>
      <c r="FQ72" s="33"/>
      <c r="FR72" s="34">
        <f>IF(AND(ISNUMBER(FS72),ISNUMBER(FQ72)),FS72-FQ72,"")</f>
        <v>0</v>
      </c>
      <c r="FS72" s="33"/>
      <c r="FT72" s="34">
        <f>IF(AND(ISNUMBER(FU72),ISNUMBER(FS72)),FU72-FS72,"")</f>
        <v>0</v>
      </c>
      <c r="FU72" s="33"/>
      <c r="FV72" s="34">
        <f>IF(AND(ISNUMBER(FW72),ISNUMBER(FU72)),FW72-FU72,"")</f>
        <v>0</v>
      </c>
      <c r="FW72" s="33"/>
      <c r="FX72" s="34">
        <f>IF(AND(ISNUMBER(FY72),ISNUMBER(FW72)),FY72-FW72,"")</f>
        <v>0</v>
      </c>
      <c r="FY72" s="33"/>
      <c r="FZ72" s="34">
        <f>IF(AND(ISNUMBER(GA72),ISNUMBER(FY72)),GA72-FY72,"")</f>
        <v>0</v>
      </c>
      <c r="GA72" s="33"/>
      <c r="GB72" s="34">
        <f>IF(AND(ISNUMBER(GC72),ISNUMBER(GA72)),GC72-GA72,"")</f>
        <v>0</v>
      </c>
      <c r="GC72" s="33"/>
      <c r="GD72" s="34">
        <f>IF(AND(ISNUMBER(GE72),ISNUMBER(GC72)),GE72-GC72,"")</f>
        <v>0</v>
      </c>
      <c r="GE72" s="33"/>
      <c r="GF72" s="34">
        <f>IF(AND(ISNUMBER(GG72),ISNUMBER(GE72)),GG72-GE72,"")</f>
        <v>0</v>
      </c>
      <c r="GG72" s="33"/>
      <c r="GH72" s="34">
        <f>IF(AND(ISNUMBER(GI72),ISNUMBER(GG72)),GI72-GG72,"")</f>
        <v>0</v>
      </c>
      <c r="GI72" s="33"/>
      <c r="GJ72" s="34">
        <f>IF(AND(ISNUMBER(GK72),ISNUMBER(GI72)),GK72-GI72,"")</f>
        <v>0</v>
      </c>
      <c r="GK72" s="33"/>
      <c r="GL72" s="34">
        <f>IF(AND(ISNUMBER(GM72),ISNUMBER(GK72)),GM72-GK72,"")</f>
        <v>0</v>
      </c>
      <c r="GM72" s="33"/>
      <c r="GN72" s="34">
        <f>IF(AND(ISNUMBER(GO72),ISNUMBER(GM72)),GO72-GM72,"")</f>
        <v>0</v>
      </c>
      <c r="GO72" s="33"/>
      <c r="GP72" s="34">
        <f>IF(AND(ISNUMBER(GQ72),ISNUMBER(GO72)),GQ72-GO72,"")</f>
        <v>0</v>
      </c>
      <c r="GQ72" s="33"/>
      <c r="GR72" s="34">
        <f>IF(AND(ISNUMBER(GS72),ISNUMBER(GQ72)),GS72-GQ72,"")</f>
        <v>0</v>
      </c>
      <c r="GS72" s="33"/>
      <c r="GT72" s="34">
        <f>IF(AND(ISNUMBER(GU72),ISNUMBER(GS72)),GU72-GS72,"")</f>
        <v>0</v>
      </c>
      <c r="GU72" s="33"/>
      <c r="GV72" s="34">
        <f>IF(AND(ISNUMBER(GW72),ISNUMBER(GU72)),GW72-GU72,"")</f>
        <v>0</v>
      </c>
      <c r="GW72" s="33"/>
      <c r="GX72" s="34">
        <f>IF(AND(ISNUMBER(GY72),ISNUMBER(GW72)),GY72-GW72,"")</f>
        <v>0</v>
      </c>
      <c r="GY72" s="33"/>
      <c r="GZ72" s="34">
        <f>IF(AND(ISNUMBER(HA72),ISNUMBER(GY72)),HA72-GY72,"")</f>
        <v>0</v>
      </c>
      <c r="HA72" s="33"/>
      <c r="HB72" s="34">
        <f>IF(AND(ISNUMBER(HC72),ISNUMBER(HA72)),HC72-HA72,"")</f>
        <v>0</v>
      </c>
      <c r="HC72" s="33"/>
      <c r="HD72" s="34">
        <f>IF(AND(ISNUMBER(HE72),ISNUMBER(HC72)),HE72-HC72,"")</f>
        <v>0</v>
      </c>
      <c r="HE72" s="33"/>
      <c r="HF72" s="34">
        <f>IF(AND(ISNUMBER(HG72),ISNUMBER(HE72)),HG72-HE72,"")</f>
        <v>0</v>
      </c>
      <c r="HG72" s="33"/>
      <c r="HH72" s="34">
        <f>IF(AND(ISNUMBER(HI72),ISNUMBER(HG72)),HI72-HG72,"")</f>
        <v>0</v>
      </c>
      <c r="HI72" s="33"/>
      <c r="HJ72" s="34">
        <f>IF(AND(ISNUMBER(HK72),ISNUMBER(HI72)),HK72-HI72,"")</f>
        <v>0</v>
      </c>
      <c r="HK72" s="33"/>
      <c r="HL72" s="34">
        <f>IF(AND(ISNUMBER(HM72),ISNUMBER(HK72)),HM72-HK72,"")</f>
        <v>0</v>
      </c>
      <c r="HM72" s="33"/>
      <c r="HN72" s="34">
        <f>IF(AND(ISNUMBER(HO72),ISNUMBER(HM72)),HO72-HM72,"")</f>
        <v>0</v>
      </c>
      <c r="HO72" s="33"/>
      <c r="HP72" s="34">
        <f>IF(AND(ISNUMBER(HQ72),ISNUMBER(HO72)),HQ72-HO72,"")</f>
        <v>0</v>
      </c>
      <c r="HQ72" s="33"/>
      <c r="HR72" s="34">
        <f>IF(AND(ISNUMBER(HS72),ISNUMBER(HQ72)),HS72-HQ72,"")</f>
        <v>0</v>
      </c>
      <c r="HS72" s="33"/>
      <c r="HT72" s="34">
        <f>IF(AND(ISNUMBER(HU72),ISNUMBER(HS72)),HU72-HS72,"")</f>
        <v>0</v>
      </c>
      <c r="HU72" s="33"/>
      <c r="HV72" s="34">
        <f>IF(AND(ISNUMBER(HW72),ISNUMBER(HU72)),HW72-HU72,"")</f>
        <v>0</v>
      </c>
      <c r="HW72" s="33"/>
      <c r="HX72" s="34">
        <f>IF(AND(ISNUMBER(HY72),ISNUMBER(HW72)),HY72-HW72,"")</f>
        <v>0</v>
      </c>
      <c r="HY72" s="33"/>
      <c r="HZ72" s="34">
        <f>IF(AND(ISNUMBER(IA72),ISNUMBER(HY72)),IA72-HY72,"")</f>
        <v>0</v>
      </c>
      <c r="IA72" s="33"/>
      <c r="IB72" s="34">
        <f>IF(AND(ISNUMBER(IC72),ISNUMBER(IA72)),IC72-IA72,"")</f>
        <v>0</v>
      </c>
      <c r="IC72" s="33"/>
      <c r="ID72" s="34">
        <f>IF(AND(ISNUMBER(IE72),ISNUMBER(IC72)),IE72-IC72,"")</f>
        <v>0</v>
      </c>
      <c r="IE72" s="33"/>
      <c r="IF72" s="34">
        <f>IF(AND(ISNUMBER(IG72),ISNUMBER(IE72)),IG72-IE72,"")</f>
        <v>0</v>
      </c>
      <c r="IG72" s="33"/>
      <c r="IH72" s="34">
        <f>IF(AND(ISNUMBER(II72),ISNUMBER(IG72)),II72-IG72,"")</f>
        <v>0</v>
      </c>
      <c r="II72" s="33"/>
      <c r="IJ72" s="34">
        <f>IF(AND(ISNUMBER(IK72),ISNUMBER(II72)),IK72-II72,"")</f>
        <v>0</v>
      </c>
      <c r="IK72" s="33"/>
      <c r="IL72" s="34">
        <f>IF(AND(ISNUMBER(IM72),ISNUMBER(IK72)),IM72-IK72,"")</f>
        <v>0</v>
      </c>
      <c r="IM72" s="33"/>
      <c r="IN72" s="34">
        <f>IF(AND(ISNUMBER(IO72),ISNUMBER(IM72)),IO72-IM72,"")</f>
        <v>0</v>
      </c>
      <c r="IO72" s="33"/>
      <c r="IP72" s="34">
        <f>IF(AND(ISNUMBER(IQ72),ISNUMBER(IO72)),IQ72-IO72,"")</f>
        <v>0</v>
      </c>
      <c r="IQ72" s="33"/>
      <c r="IR72" s="34">
        <f>IF(AND(ISNUMBER(IS72),ISNUMBER(IQ72)),IS72-IQ72,"")</f>
        <v>0</v>
      </c>
      <c r="IS72" s="33"/>
      <c r="IT72" s="34">
        <f>IF(AND(ISNUMBER(IU72),ISNUMBER(IS72)),IU72-IS72,"")</f>
        <v>0</v>
      </c>
      <c r="IU72" s="33"/>
      <c r="IV72" s="34">
        <f>IF(AND(ISNUMBER(IW72),ISNUMBER(IU72)),IW72-IU72,"")</f>
        <v>0</v>
      </c>
      <c r="IW72" s="33"/>
      <c r="IX72" s="34">
        <f>IF(AND(ISNUMBER(IY72),ISNUMBER(IW72)),IY72-IW72,"")</f>
        <v>0</v>
      </c>
      <c r="IY72" s="33"/>
      <c r="IZ72" s="34">
        <f>IF(AND(ISNUMBER(JA72),ISNUMBER(IY72)),JA72-IY72,"")</f>
        <v>0</v>
      </c>
      <c r="JA72" s="33"/>
      <c r="JB72" s="34">
        <f>IF(AND(ISNUMBER(JC72),ISNUMBER(JA72)),JC72-JA72,"")</f>
        <v>0</v>
      </c>
      <c r="JC72" s="33"/>
      <c r="JD72" s="34">
        <f>IF(AND(ISNUMBER(JE72),ISNUMBER(JC72)),JE72-JC72,"")</f>
        <v>0</v>
      </c>
      <c r="JE72" s="33"/>
      <c r="JF72" s="34">
        <f>IF(AND(ISNUMBER(JG72),ISNUMBER(JE72)),JG72-JE72,"")</f>
        <v>0</v>
      </c>
      <c r="JG72" s="33"/>
      <c r="JH72" s="34">
        <f>IF(AND(ISNUMBER(JI72),ISNUMBER(JG72)),JI72-JG72,"")</f>
        <v>0</v>
      </c>
      <c r="JI72" s="33"/>
      <c r="JJ72" s="34">
        <f>IF(AND(ISNUMBER(JK72),ISNUMBER(JI72)),JK72-JI72,"")</f>
        <v>0</v>
      </c>
      <c r="JK72" s="33"/>
      <c r="JL72" s="34">
        <f>IF(AND(ISNUMBER(JM72),ISNUMBER(JK72)),JM72-JK72,"")</f>
        <v>0</v>
      </c>
      <c r="JM72" s="33"/>
      <c r="JN72" s="34">
        <f>IF(AND(ISNUMBER(JO72),ISNUMBER(JM72)),JO72-JM72,"")</f>
        <v>0</v>
      </c>
      <c r="JO72" s="33"/>
      <c r="JP72" s="34">
        <f>IF(AND(ISNUMBER(JQ72),ISNUMBER(JO72)),JQ72-JO72,"")</f>
        <v>0</v>
      </c>
      <c r="JQ72" s="33">
        <v>5</v>
      </c>
      <c r="JR72" s="34">
        <f>IF(AND(ISNUMBER(JS72),ISNUMBER(JQ72)),JS72-JQ72,"")</f>
        <v>0</v>
      </c>
      <c r="JS72" s="33">
        <v>1023</v>
      </c>
      <c r="JT72" s="34">
        <f>IF(AND(ISNUMBER(JU72),ISNUMBER(JS72)),JU72-JS72,"")</f>
        <v>0</v>
      </c>
      <c r="JU72" s="33">
        <v>499</v>
      </c>
      <c r="JV72" s="34">
        <f>IF(AND(ISNUMBER(JW72),ISNUMBER(JU72)),JW72-JU72,"")</f>
        <v>0</v>
      </c>
      <c r="JW72" s="33"/>
      <c r="JX72" s="34">
        <f>IF(AND(ISNUMBER(JY72),ISNUMBER(JW72)),JY72-JW72,"")</f>
        <v>0</v>
      </c>
      <c r="JY72" s="33"/>
      <c r="JZ72" s="34">
        <f>IF(AND(ISNUMBER(KA72),ISNUMBER(JY72)),KA72-JY72,"")</f>
        <v>0</v>
      </c>
      <c r="KA72" s="33"/>
      <c r="KB72" s="34">
        <f>IF(AND(ISNUMBER(KC72),ISNUMBER(KA72)),KC72-KA72,"")</f>
        <v>0</v>
      </c>
      <c r="KC72" s="33"/>
      <c r="KD72" s="34">
        <f>IF(AND(ISNUMBER(KE72),ISNUMBER(KC72)),KE72-KC72,"")</f>
        <v>0</v>
      </c>
      <c r="KE72" s="33"/>
      <c r="KF72" s="34">
        <f>IF(AND(ISNUMBER(KG72),ISNUMBER(KE72)),KG72-KE72,"")</f>
        <v>0</v>
      </c>
      <c r="KG72" s="33"/>
      <c r="KH72" s="34">
        <f>IF(AND(ISNUMBER(KI72),ISNUMBER(KG72)),KI72-KG72,"")</f>
        <v>0</v>
      </c>
      <c r="KI72" s="33"/>
      <c r="KJ72" s="34">
        <f>IF(AND(ISNUMBER(KK72),ISNUMBER(KI72)),KK72-KI72,"")</f>
        <v>0</v>
      </c>
      <c r="KK72" s="33"/>
      <c r="KL72" s="34">
        <f>IF(AND(ISNUMBER(KM72),ISNUMBER(KK72)),KM72-KK72,"")</f>
        <v>0</v>
      </c>
      <c r="KM72" s="33"/>
      <c r="KN72" s="34">
        <f>IF(AND(ISNUMBER(KO72),ISNUMBER(KM72)),KO72-KM72,"")</f>
        <v>0</v>
      </c>
      <c r="KO72" s="33"/>
      <c r="KP72" s="34">
        <f>IF(AND(ISNUMBER(KQ72),ISNUMBER(KO72)),KQ72-KO72,"")</f>
        <v>0</v>
      </c>
      <c r="KQ72" s="33"/>
      <c r="KR72" s="34">
        <f>IF(AND(ISNUMBER(KS72),ISNUMBER(KQ72)),KS72-KQ72,"")</f>
        <v>0</v>
      </c>
      <c r="KS72" s="33"/>
      <c r="KT72" s="34">
        <f>IF(AND(ISNUMBER(KU72),ISNUMBER(KS72)),KU72-KS72,"")</f>
        <v>0</v>
      </c>
      <c r="KU72" s="33"/>
      <c r="KV72" s="34">
        <f>IF(AND(ISNUMBER(KW72),ISNUMBER(KU72)),KW72-KU72,"")</f>
        <v>0</v>
      </c>
      <c r="KW72" s="33"/>
      <c r="KX72" s="34">
        <f>IF(AND(ISNUMBER(KY72),ISNUMBER(KW72)),KY72-KW72,"")</f>
        <v>0</v>
      </c>
      <c r="KY72" s="33"/>
      <c r="KZ72" s="34">
        <f>IF(AND(ISNUMBER(LA72),ISNUMBER(KY72)),LA72-KY72,"")</f>
        <v>0</v>
      </c>
      <c r="LA72" s="33"/>
      <c r="LB72" s="34">
        <f>IF(AND(ISNUMBER(LC72),ISNUMBER(LA72)),LC72-LA72,"")</f>
        <v>0</v>
      </c>
      <c r="LC72" s="33"/>
      <c r="LD72" s="34">
        <f>IF(AND(ISNUMBER(LE72),ISNUMBER(LC72)),LE72-LC72,"")</f>
        <v>0</v>
      </c>
      <c r="LE72" s="33"/>
      <c r="LF72" s="34">
        <f>IF(AND(ISNUMBER(LG72),ISNUMBER(LE72)),LG72-LE72,"")</f>
        <v>0</v>
      </c>
      <c r="LG72" s="33"/>
    </row>
    <row r="73" spans="1:322">
      <c r="A73" s="36" t="s">
        <v>157</v>
      </c>
      <c r="B73" s="23"/>
      <c r="C73" s="31" t="s">
        <v>783</v>
      </c>
      <c r="D73" s="31" t="s">
        <v>795</v>
      </c>
      <c r="E73" s="32" t="s">
        <v>1036</v>
      </c>
      <c r="H73" s="38" t="s">
        <v>1082</v>
      </c>
      <c r="I73" s="33"/>
      <c r="J73" s="34">
        <f>IF(AND(ISNUMBER(K73),ISNUMBER(I73)),K73-I73,"")</f>
        <v>0</v>
      </c>
      <c r="K73" s="33"/>
      <c r="L73" s="34">
        <f>IF(AND(ISNUMBER(M73),ISNUMBER(K73)),M73-K73,"")</f>
        <v>0</v>
      </c>
      <c r="M73" s="33"/>
      <c r="N73" s="34">
        <f>IF(AND(ISNUMBER(O73),ISNUMBER(M73)),O73-M73,"")</f>
        <v>0</v>
      </c>
      <c r="O73" s="33"/>
      <c r="P73" s="34">
        <f>IF(AND(ISNUMBER(Q73),ISNUMBER(O73)),Q73-O73,"")</f>
        <v>0</v>
      </c>
      <c r="Q73" s="33"/>
      <c r="R73" s="34">
        <f>IF(AND(ISNUMBER(S73),ISNUMBER(Q73)),S73-Q73,"")</f>
        <v>0</v>
      </c>
      <c r="S73" s="33"/>
      <c r="T73" s="34">
        <f>IF(AND(ISNUMBER(U73),ISNUMBER(S73)),U73-S73,"")</f>
        <v>0</v>
      </c>
      <c r="U73" s="33"/>
      <c r="V73" s="34">
        <f>IF(AND(ISNUMBER(W73),ISNUMBER(U73)),W73-U73,"")</f>
        <v>0</v>
      </c>
      <c r="W73" s="33"/>
      <c r="X73" s="34">
        <f>IF(AND(ISNUMBER(Y73),ISNUMBER(W73)),Y73-W73,"")</f>
        <v>0</v>
      </c>
      <c r="Y73" s="33"/>
      <c r="Z73" s="34">
        <f>IF(AND(ISNUMBER(AA73),ISNUMBER(Y73)),AA73-Y73,"")</f>
        <v>0</v>
      </c>
      <c r="AA73" s="33"/>
      <c r="AB73" s="34">
        <f>IF(AND(ISNUMBER(AC73),ISNUMBER(AA73)),AC73-AA73,"")</f>
        <v>0</v>
      </c>
      <c r="AC73" s="33"/>
      <c r="AD73" s="34">
        <f>IF(AND(ISNUMBER(AE73),ISNUMBER(AC73)),AE73-AC73,"")</f>
        <v>0</v>
      </c>
      <c r="AE73" s="33"/>
      <c r="AF73" s="34">
        <f>IF(AND(ISNUMBER(AG73),ISNUMBER(AE73)),AG73-AE73,"")</f>
        <v>0</v>
      </c>
      <c r="AG73" s="33"/>
      <c r="AH73" s="34">
        <f>IF(AND(ISNUMBER(AI73),ISNUMBER(AG73)),AI73-AG73,"")</f>
        <v>0</v>
      </c>
      <c r="AI73" s="33"/>
      <c r="AJ73" s="34">
        <f>IF(AND(ISNUMBER(AK73),ISNUMBER(AI73)),AK73-AI73,"")</f>
        <v>0</v>
      </c>
      <c r="AK73" s="33"/>
      <c r="AL73" s="34">
        <f>IF(AND(ISNUMBER(AM73),ISNUMBER(AK73)),AM73-AK73,"")</f>
        <v>0</v>
      </c>
      <c r="AM73" s="33"/>
      <c r="AN73" s="34">
        <f>IF(AND(ISNUMBER(AO73),ISNUMBER(AM73)),AO73-AM73,"")</f>
        <v>0</v>
      </c>
      <c r="AO73" s="33"/>
      <c r="AP73" s="34">
        <f>IF(AND(ISNUMBER(AQ73),ISNUMBER(AO73)),AQ73-AO73,"")</f>
        <v>0</v>
      </c>
      <c r="AQ73" s="33"/>
      <c r="AR73" s="34">
        <f>IF(AND(ISNUMBER(AS73),ISNUMBER(AQ73)),AS73-AQ73,"")</f>
        <v>0</v>
      </c>
      <c r="AS73" s="33"/>
      <c r="AT73" s="34">
        <f>IF(AND(ISNUMBER(AU73),ISNUMBER(AS73)),AU73-AS73,"")</f>
        <v>0</v>
      </c>
      <c r="AU73" s="33"/>
      <c r="AV73" s="34">
        <f>IF(AND(ISNUMBER(AW73),ISNUMBER(AU73)),AW73-AU73,"")</f>
        <v>0</v>
      </c>
      <c r="AW73" s="33"/>
      <c r="AX73" s="34">
        <f>IF(AND(ISNUMBER(AY73),ISNUMBER(AW73)),AY73-AW73,"")</f>
        <v>0</v>
      </c>
      <c r="AY73" s="33"/>
      <c r="AZ73" s="34">
        <f>IF(AND(ISNUMBER(BA73),ISNUMBER(AY73)),BA73-AY73,"")</f>
        <v>0</v>
      </c>
      <c r="BA73" s="33"/>
      <c r="BB73" s="34">
        <f>IF(AND(ISNUMBER(BC73),ISNUMBER(BA73)),BC73-BA73,"")</f>
        <v>0</v>
      </c>
      <c r="BC73" s="33"/>
      <c r="BD73" s="34">
        <f>IF(AND(ISNUMBER(BE73),ISNUMBER(BC73)),BE73-BC73,"")</f>
        <v>0</v>
      </c>
      <c r="BE73" s="33"/>
      <c r="BF73" s="34">
        <f>IF(AND(ISNUMBER(BG73),ISNUMBER(BE73)),BG73-BE73,"")</f>
        <v>0</v>
      </c>
      <c r="BG73" s="33"/>
      <c r="BH73" s="34">
        <f>IF(AND(ISNUMBER(BI73),ISNUMBER(BG73)),BI73-BG73,"")</f>
        <v>0</v>
      </c>
      <c r="BI73" s="33"/>
      <c r="BJ73" s="34">
        <f>IF(AND(ISNUMBER(BK73),ISNUMBER(BI73)),BK73-BI73,"")</f>
        <v>0</v>
      </c>
      <c r="BK73" s="33"/>
      <c r="BL73" s="34">
        <f>IF(AND(ISNUMBER(BM73),ISNUMBER(BK73)),BM73-BK73,"")</f>
        <v>0</v>
      </c>
      <c r="BM73" s="33"/>
      <c r="BN73" s="34">
        <f>IF(AND(ISNUMBER(BO73),ISNUMBER(BM73)),BO73-BM73,"")</f>
        <v>0</v>
      </c>
      <c r="BO73" s="33"/>
      <c r="BP73" s="34">
        <f>IF(AND(ISNUMBER(BQ73),ISNUMBER(BO73)),BQ73-BO73,"")</f>
        <v>0</v>
      </c>
      <c r="BQ73" s="33"/>
      <c r="BR73" s="34">
        <f>IF(AND(ISNUMBER(BS73),ISNUMBER(BQ73)),BS73-BQ73,"")</f>
        <v>0</v>
      </c>
      <c r="BS73" s="33"/>
      <c r="BT73" s="34">
        <f>IF(AND(ISNUMBER(BU73),ISNUMBER(BS73)),BU73-BS73,"")</f>
        <v>0</v>
      </c>
      <c r="BU73" s="33"/>
      <c r="BV73" s="34">
        <f>IF(AND(ISNUMBER(BW73),ISNUMBER(BU73)),BW73-BU73,"")</f>
        <v>0</v>
      </c>
      <c r="BW73" s="33"/>
      <c r="BX73" s="34">
        <f>IF(AND(ISNUMBER(BY73),ISNUMBER(BW73)),BY73-BW73,"")</f>
        <v>0</v>
      </c>
      <c r="BY73" s="33"/>
      <c r="BZ73" s="34">
        <f>IF(AND(ISNUMBER(CA73),ISNUMBER(BY73)),CA73-BY73,"")</f>
        <v>0</v>
      </c>
      <c r="CA73" s="33"/>
      <c r="CB73" s="34">
        <f>IF(AND(ISNUMBER(CC73),ISNUMBER(CA73)),CC73-CA73,"")</f>
        <v>0</v>
      </c>
      <c r="CC73" s="33"/>
      <c r="CD73" s="34">
        <f>IF(AND(ISNUMBER(CE73),ISNUMBER(CC73)),CE73-CC73,"")</f>
        <v>0</v>
      </c>
      <c r="CE73" s="33"/>
      <c r="CF73" s="34">
        <f>IF(AND(ISNUMBER(CG73),ISNUMBER(CE73)),CG73-CE73,"")</f>
        <v>0</v>
      </c>
      <c r="CG73" s="33"/>
      <c r="CH73" s="34">
        <f>IF(AND(ISNUMBER(CI73),ISNUMBER(CG73)),CI73-CG73,"")</f>
        <v>0</v>
      </c>
      <c r="CI73" s="33"/>
      <c r="CJ73" s="34">
        <f>IF(AND(ISNUMBER(CK73),ISNUMBER(CI73)),CK73-CI73,"")</f>
        <v>0</v>
      </c>
      <c r="CK73" s="33"/>
      <c r="CL73" s="34">
        <f>IF(AND(ISNUMBER(CM73),ISNUMBER(CK73)),CM73-CK73,"")</f>
        <v>0</v>
      </c>
      <c r="CM73" s="33"/>
      <c r="CN73" s="34">
        <f>IF(AND(ISNUMBER(CO73),ISNUMBER(CM73)),CO73-CM73,"")</f>
        <v>0</v>
      </c>
      <c r="CO73" s="33"/>
      <c r="CP73" s="34">
        <f>IF(AND(ISNUMBER(CQ73),ISNUMBER(CO73)),CQ73-CO73,"")</f>
        <v>0</v>
      </c>
      <c r="CQ73" s="33"/>
      <c r="CR73" s="34">
        <f>IF(AND(ISNUMBER(CS73),ISNUMBER(CQ73)),CS73-CQ73,"")</f>
        <v>0</v>
      </c>
      <c r="CS73" s="33"/>
      <c r="CT73" s="34">
        <f>IF(AND(ISNUMBER(CU73),ISNUMBER(CS73)),CU73-CS73,"")</f>
        <v>0</v>
      </c>
      <c r="CU73" s="33"/>
      <c r="CV73" s="34">
        <f>IF(AND(ISNUMBER(CW73),ISNUMBER(CU73)),CW73-CU73,"")</f>
        <v>0</v>
      </c>
      <c r="CW73" s="33"/>
      <c r="CX73" s="34">
        <f>IF(AND(ISNUMBER(CY73),ISNUMBER(CW73)),CY73-CW73,"")</f>
        <v>0</v>
      </c>
      <c r="CY73" s="33"/>
      <c r="CZ73" s="34">
        <f>IF(AND(ISNUMBER(DA73),ISNUMBER(CY73)),DA73-CY73,"")</f>
        <v>0</v>
      </c>
      <c r="DA73" s="33"/>
      <c r="DB73" s="34">
        <f>IF(AND(ISNUMBER(DC73),ISNUMBER(DA73)),DC73-DA73,"")</f>
        <v>0</v>
      </c>
      <c r="DC73" s="33"/>
      <c r="DD73" s="34">
        <f>IF(AND(ISNUMBER(DE73),ISNUMBER(DC73)),DE73-DC73,"")</f>
        <v>0</v>
      </c>
      <c r="DE73" s="33"/>
      <c r="DF73" s="34">
        <f>IF(AND(ISNUMBER(DG73),ISNUMBER(DE73)),DG73-DE73,"")</f>
        <v>0</v>
      </c>
      <c r="DG73" s="33"/>
      <c r="DH73" s="34">
        <f>IF(AND(ISNUMBER(DI73),ISNUMBER(DG73)),DI73-DG73,"")</f>
        <v>0</v>
      </c>
      <c r="DI73" s="33"/>
      <c r="DJ73" s="34">
        <f>IF(AND(ISNUMBER(DK73),ISNUMBER(DI73)),DK73-DI73,"")</f>
        <v>0</v>
      </c>
      <c r="DK73" s="33"/>
      <c r="DL73" s="34">
        <f>IF(AND(ISNUMBER(DM73),ISNUMBER(DK73)),DM73-DK73,"")</f>
        <v>0</v>
      </c>
      <c r="DM73" s="33"/>
      <c r="DN73" s="34">
        <f>IF(AND(ISNUMBER(DO73),ISNUMBER(DM73)),DO73-DM73,"")</f>
        <v>0</v>
      </c>
      <c r="DO73" s="33"/>
      <c r="DP73" s="34">
        <f>IF(AND(ISNUMBER(DQ73),ISNUMBER(DO73)),DQ73-DO73,"")</f>
        <v>0</v>
      </c>
      <c r="DQ73" s="33"/>
      <c r="DR73" s="34">
        <f>IF(AND(ISNUMBER(DS73),ISNUMBER(DQ73)),DS73-DQ73,"")</f>
        <v>0</v>
      </c>
      <c r="DS73" s="33"/>
      <c r="DT73" s="34">
        <f>IF(AND(ISNUMBER(DU73),ISNUMBER(DS73)),DU73-DS73,"")</f>
        <v>0</v>
      </c>
      <c r="DU73" s="33"/>
      <c r="DV73" s="34">
        <f>IF(AND(ISNUMBER(DW73),ISNUMBER(DU73)),DW73-DU73,"")</f>
        <v>0</v>
      </c>
      <c r="DW73" s="33"/>
      <c r="DX73" s="34">
        <f>IF(AND(ISNUMBER(DY73),ISNUMBER(DW73)),DY73-DW73,"")</f>
        <v>0</v>
      </c>
      <c r="DY73" s="33"/>
      <c r="DZ73" s="34">
        <f>IF(AND(ISNUMBER(EA73),ISNUMBER(DY73)),EA73-DY73,"")</f>
        <v>0</v>
      </c>
      <c r="EA73" s="33"/>
      <c r="EB73" s="34">
        <f>IF(AND(ISNUMBER(EC73),ISNUMBER(EA73)),EC73-EA73,"")</f>
        <v>0</v>
      </c>
      <c r="EC73" s="33"/>
      <c r="ED73" s="34">
        <f>IF(AND(ISNUMBER(EE73),ISNUMBER(EC73)),EE73-EC73,"")</f>
        <v>0</v>
      </c>
      <c r="EE73" s="33"/>
      <c r="EF73" s="34">
        <f>IF(AND(ISNUMBER(EG73),ISNUMBER(EE73)),EG73-EE73,"")</f>
        <v>0</v>
      </c>
      <c r="EG73" s="33"/>
      <c r="EH73" s="34">
        <f>IF(AND(ISNUMBER(EI73),ISNUMBER(EG73)),EI73-EG73,"")</f>
        <v>0</v>
      </c>
      <c r="EI73" s="33"/>
      <c r="EJ73" s="34">
        <f>IF(AND(ISNUMBER(EK73),ISNUMBER(EI73)),EK73-EI73,"")</f>
        <v>0</v>
      </c>
      <c r="EK73" s="33"/>
      <c r="EL73" s="34">
        <f>IF(AND(ISNUMBER(EM73),ISNUMBER(EK73)),EM73-EK73,"")</f>
        <v>0</v>
      </c>
      <c r="EM73" s="33"/>
      <c r="EN73" s="34">
        <f>IF(AND(ISNUMBER(EO73),ISNUMBER(EM73)),EO73-EM73,"")</f>
        <v>0</v>
      </c>
      <c r="EO73" s="33"/>
      <c r="EP73" s="34">
        <f>IF(AND(ISNUMBER(EQ73),ISNUMBER(EO73)),EQ73-EO73,"")</f>
        <v>0</v>
      </c>
      <c r="EQ73" s="33"/>
      <c r="ER73" s="34">
        <f>IF(AND(ISNUMBER(ES73),ISNUMBER(EQ73)),ES73-EQ73,"")</f>
        <v>0</v>
      </c>
      <c r="ES73" s="33"/>
      <c r="ET73" s="34">
        <f>IF(AND(ISNUMBER(EU73),ISNUMBER(ES73)),EU73-ES73,"")</f>
        <v>0</v>
      </c>
      <c r="EU73" s="33"/>
      <c r="EV73" s="34">
        <f>IF(AND(ISNUMBER(EW73),ISNUMBER(EU73)),EW73-EU73,"")</f>
        <v>0</v>
      </c>
      <c r="EW73" s="33"/>
      <c r="EX73" s="34">
        <f>IF(AND(ISNUMBER(EY73),ISNUMBER(EW73)),EY73-EW73,"")</f>
        <v>0</v>
      </c>
      <c r="EY73" s="33"/>
      <c r="EZ73" s="34">
        <f>IF(AND(ISNUMBER(FA73),ISNUMBER(EY73)),FA73-EY73,"")</f>
        <v>0</v>
      </c>
      <c r="FA73" s="33"/>
      <c r="FB73" s="34">
        <f>IF(AND(ISNUMBER(FC73),ISNUMBER(FA73)),FC73-FA73,"")</f>
        <v>0</v>
      </c>
      <c r="FC73" s="33"/>
      <c r="FD73" s="34">
        <f>IF(AND(ISNUMBER(FE73),ISNUMBER(FC73)),FE73-FC73,"")</f>
        <v>0</v>
      </c>
      <c r="FE73" s="33"/>
      <c r="FF73" s="34">
        <f>IF(AND(ISNUMBER(FG73),ISNUMBER(FE73)),FG73-FE73,"")</f>
        <v>0</v>
      </c>
      <c r="FG73" s="33"/>
      <c r="FH73" s="34">
        <f>IF(AND(ISNUMBER(FI73),ISNUMBER(FG73)),FI73-FG73,"")</f>
        <v>0</v>
      </c>
      <c r="FI73" s="33"/>
      <c r="FJ73" s="34">
        <f>IF(AND(ISNUMBER(FK73),ISNUMBER(FI73)),FK73-FI73,"")</f>
        <v>0</v>
      </c>
      <c r="FK73" s="33"/>
      <c r="FL73" s="34">
        <f>IF(AND(ISNUMBER(FM73),ISNUMBER(FK73)),FM73-FK73,"")</f>
        <v>0</v>
      </c>
      <c r="FM73" s="33"/>
      <c r="FN73" s="34">
        <f>IF(AND(ISNUMBER(FO73),ISNUMBER(FM73)),FO73-FM73,"")</f>
        <v>0</v>
      </c>
      <c r="FO73" s="33"/>
      <c r="FP73" s="34">
        <f>IF(AND(ISNUMBER(FQ73),ISNUMBER(FO73)),FQ73-FO73,"")</f>
        <v>0</v>
      </c>
      <c r="FQ73" s="33"/>
      <c r="FR73" s="34">
        <f>IF(AND(ISNUMBER(FS73),ISNUMBER(FQ73)),FS73-FQ73,"")</f>
        <v>0</v>
      </c>
      <c r="FS73" s="33"/>
      <c r="FT73" s="34">
        <f>IF(AND(ISNUMBER(FU73),ISNUMBER(FS73)),FU73-FS73,"")</f>
        <v>0</v>
      </c>
      <c r="FU73" s="33"/>
      <c r="FV73" s="34">
        <f>IF(AND(ISNUMBER(FW73),ISNUMBER(FU73)),FW73-FU73,"")</f>
        <v>0</v>
      </c>
      <c r="FW73" s="33"/>
      <c r="FX73" s="34">
        <f>IF(AND(ISNUMBER(FY73),ISNUMBER(FW73)),FY73-FW73,"")</f>
        <v>0</v>
      </c>
      <c r="FY73" s="33"/>
      <c r="FZ73" s="34">
        <f>IF(AND(ISNUMBER(GA73),ISNUMBER(FY73)),GA73-FY73,"")</f>
        <v>0</v>
      </c>
      <c r="GA73" s="33"/>
      <c r="GB73" s="34">
        <f>IF(AND(ISNUMBER(GC73),ISNUMBER(GA73)),GC73-GA73,"")</f>
        <v>0</v>
      </c>
      <c r="GC73" s="33"/>
      <c r="GD73" s="34">
        <f>IF(AND(ISNUMBER(GE73),ISNUMBER(GC73)),GE73-GC73,"")</f>
        <v>0</v>
      </c>
      <c r="GE73" s="33"/>
      <c r="GF73" s="34">
        <f>IF(AND(ISNUMBER(GG73),ISNUMBER(GE73)),GG73-GE73,"")</f>
        <v>0</v>
      </c>
      <c r="GG73" s="33"/>
      <c r="GH73" s="34">
        <f>IF(AND(ISNUMBER(GI73),ISNUMBER(GG73)),GI73-GG73,"")</f>
        <v>0</v>
      </c>
      <c r="GI73" s="33"/>
      <c r="GJ73" s="34">
        <f>IF(AND(ISNUMBER(GK73),ISNUMBER(GI73)),GK73-GI73,"")</f>
        <v>0</v>
      </c>
      <c r="GK73" s="33"/>
      <c r="GL73" s="34">
        <f>IF(AND(ISNUMBER(GM73),ISNUMBER(GK73)),GM73-GK73,"")</f>
        <v>0</v>
      </c>
      <c r="GM73" s="33"/>
      <c r="GN73" s="34">
        <f>IF(AND(ISNUMBER(GO73),ISNUMBER(GM73)),GO73-GM73,"")</f>
        <v>0</v>
      </c>
      <c r="GO73" s="33"/>
      <c r="GP73" s="34">
        <f>IF(AND(ISNUMBER(GQ73),ISNUMBER(GO73)),GQ73-GO73,"")</f>
        <v>0</v>
      </c>
      <c r="GQ73" s="33"/>
      <c r="GR73" s="34">
        <f>IF(AND(ISNUMBER(GS73),ISNUMBER(GQ73)),GS73-GQ73,"")</f>
        <v>0</v>
      </c>
      <c r="GS73" s="33"/>
      <c r="GT73" s="34">
        <f>IF(AND(ISNUMBER(GU73),ISNUMBER(GS73)),GU73-GS73,"")</f>
        <v>0</v>
      </c>
      <c r="GU73" s="33"/>
      <c r="GV73" s="34">
        <f>IF(AND(ISNUMBER(GW73),ISNUMBER(GU73)),GW73-GU73,"")</f>
        <v>0</v>
      </c>
      <c r="GW73" s="33"/>
      <c r="GX73" s="34">
        <f>IF(AND(ISNUMBER(GY73),ISNUMBER(GW73)),GY73-GW73,"")</f>
        <v>0</v>
      </c>
      <c r="GY73" s="33"/>
      <c r="GZ73" s="34">
        <f>IF(AND(ISNUMBER(HA73),ISNUMBER(GY73)),HA73-GY73,"")</f>
        <v>0</v>
      </c>
      <c r="HA73" s="33"/>
      <c r="HB73" s="34">
        <f>IF(AND(ISNUMBER(HC73),ISNUMBER(HA73)),HC73-HA73,"")</f>
        <v>0</v>
      </c>
      <c r="HC73" s="33"/>
      <c r="HD73" s="34">
        <f>IF(AND(ISNUMBER(HE73),ISNUMBER(HC73)),HE73-HC73,"")</f>
        <v>0</v>
      </c>
      <c r="HE73" s="33"/>
      <c r="HF73" s="34">
        <f>IF(AND(ISNUMBER(HG73),ISNUMBER(HE73)),HG73-HE73,"")</f>
        <v>0</v>
      </c>
      <c r="HG73" s="33"/>
      <c r="HH73" s="34">
        <f>IF(AND(ISNUMBER(HI73),ISNUMBER(HG73)),HI73-HG73,"")</f>
        <v>0</v>
      </c>
      <c r="HI73" s="33"/>
      <c r="HJ73" s="34">
        <f>IF(AND(ISNUMBER(HK73),ISNUMBER(HI73)),HK73-HI73,"")</f>
        <v>0</v>
      </c>
      <c r="HK73" s="33"/>
      <c r="HL73" s="34">
        <f>IF(AND(ISNUMBER(HM73),ISNUMBER(HK73)),HM73-HK73,"")</f>
        <v>0</v>
      </c>
      <c r="HM73" s="33"/>
      <c r="HN73" s="34">
        <f>IF(AND(ISNUMBER(HO73),ISNUMBER(HM73)),HO73-HM73,"")</f>
        <v>0</v>
      </c>
      <c r="HO73" s="33"/>
      <c r="HP73" s="34">
        <f>IF(AND(ISNUMBER(HQ73),ISNUMBER(HO73)),HQ73-HO73,"")</f>
        <v>0</v>
      </c>
      <c r="HQ73" s="33"/>
      <c r="HR73" s="34">
        <f>IF(AND(ISNUMBER(HS73),ISNUMBER(HQ73)),HS73-HQ73,"")</f>
        <v>0</v>
      </c>
      <c r="HS73" s="33"/>
      <c r="HT73" s="34">
        <f>IF(AND(ISNUMBER(HU73),ISNUMBER(HS73)),HU73-HS73,"")</f>
        <v>0</v>
      </c>
      <c r="HU73" s="33"/>
      <c r="HV73" s="34">
        <f>IF(AND(ISNUMBER(HW73),ISNUMBER(HU73)),HW73-HU73,"")</f>
        <v>0</v>
      </c>
      <c r="HW73" s="33"/>
      <c r="HX73" s="34">
        <f>IF(AND(ISNUMBER(HY73),ISNUMBER(HW73)),HY73-HW73,"")</f>
        <v>0</v>
      </c>
      <c r="HY73" s="33"/>
      <c r="HZ73" s="34">
        <f>IF(AND(ISNUMBER(IA73),ISNUMBER(HY73)),IA73-HY73,"")</f>
        <v>0</v>
      </c>
      <c r="IA73" s="33"/>
      <c r="IB73" s="34">
        <f>IF(AND(ISNUMBER(IC73),ISNUMBER(IA73)),IC73-IA73,"")</f>
        <v>0</v>
      </c>
      <c r="IC73" s="33"/>
      <c r="ID73" s="34">
        <f>IF(AND(ISNUMBER(IE73),ISNUMBER(IC73)),IE73-IC73,"")</f>
        <v>0</v>
      </c>
      <c r="IE73" s="33"/>
      <c r="IF73" s="34">
        <f>IF(AND(ISNUMBER(IG73),ISNUMBER(IE73)),IG73-IE73,"")</f>
        <v>0</v>
      </c>
      <c r="IG73" s="33"/>
      <c r="IH73" s="34">
        <f>IF(AND(ISNUMBER(II73),ISNUMBER(IG73)),II73-IG73,"")</f>
        <v>0</v>
      </c>
      <c r="II73" s="33"/>
      <c r="IJ73" s="34">
        <f>IF(AND(ISNUMBER(IK73),ISNUMBER(II73)),IK73-II73,"")</f>
        <v>0</v>
      </c>
      <c r="IK73" s="33"/>
      <c r="IL73" s="34">
        <f>IF(AND(ISNUMBER(IM73),ISNUMBER(IK73)),IM73-IK73,"")</f>
        <v>0</v>
      </c>
      <c r="IM73" s="33"/>
      <c r="IN73" s="34">
        <f>IF(AND(ISNUMBER(IO73),ISNUMBER(IM73)),IO73-IM73,"")</f>
        <v>0</v>
      </c>
      <c r="IO73" s="33"/>
      <c r="IP73" s="34">
        <f>IF(AND(ISNUMBER(IQ73),ISNUMBER(IO73)),IQ73-IO73,"")</f>
        <v>0</v>
      </c>
      <c r="IQ73" s="33"/>
      <c r="IR73" s="34">
        <f>IF(AND(ISNUMBER(IS73),ISNUMBER(IQ73)),IS73-IQ73,"")</f>
        <v>0</v>
      </c>
      <c r="IS73" s="33"/>
      <c r="IT73" s="34">
        <f>IF(AND(ISNUMBER(IU73),ISNUMBER(IS73)),IU73-IS73,"")</f>
        <v>0</v>
      </c>
      <c r="IU73" s="33"/>
      <c r="IV73" s="34">
        <f>IF(AND(ISNUMBER(IW73),ISNUMBER(IU73)),IW73-IU73,"")</f>
        <v>0</v>
      </c>
      <c r="IW73" s="33"/>
      <c r="IX73" s="34">
        <f>IF(AND(ISNUMBER(IY73),ISNUMBER(IW73)),IY73-IW73,"")</f>
        <v>0</v>
      </c>
      <c r="IY73" s="33"/>
      <c r="IZ73" s="34">
        <f>IF(AND(ISNUMBER(JA73),ISNUMBER(IY73)),JA73-IY73,"")</f>
        <v>0</v>
      </c>
      <c r="JA73" s="33"/>
      <c r="JB73" s="34">
        <f>IF(AND(ISNUMBER(JC73),ISNUMBER(JA73)),JC73-JA73,"")</f>
        <v>0</v>
      </c>
      <c r="JC73" s="33"/>
      <c r="JD73" s="34">
        <f>IF(AND(ISNUMBER(JE73),ISNUMBER(JC73)),JE73-JC73,"")</f>
        <v>0</v>
      </c>
      <c r="JE73" s="33"/>
      <c r="JF73" s="34">
        <f>IF(AND(ISNUMBER(JG73),ISNUMBER(JE73)),JG73-JE73,"")</f>
        <v>0</v>
      </c>
      <c r="JG73" s="33"/>
      <c r="JH73" s="34">
        <f>IF(AND(ISNUMBER(JI73),ISNUMBER(JG73)),JI73-JG73,"")</f>
        <v>0</v>
      </c>
      <c r="JI73" s="33"/>
      <c r="JJ73" s="34">
        <f>IF(AND(ISNUMBER(JK73),ISNUMBER(JI73)),JK73-JI73,"")</f>
        <v>0</v>
      </c>
      <c r="JK73" s="33"/>
      <c r="JL73" s="34">
        <f>IF(AND(ISNUMBER(JM73),ISNUMBER(JK73)),JM73-JK73,"")</f>
        <v>0</v>
      </c>
      <c r="JM73" s="33"/>
      <c r="JN73" s="34">
        <f>IF(AND(ISNUMBER(JO73),ISNUMBER(JM73)),JO73-JM73,"")</f>
        <v>0</v>
      </c>
      <c r="JO73" s="33"/>
      <c r="JP73" s="34">
        <f>IF(AND(ISNUMBER(JQ73),ISNUMBER(JO73)),JQ73-JO73,"")</f>
        <v>0</v>
      </c>
      <c r="JQ73" s="33">
        <v>0</v>
      </c>
      <c r="JR73" s="34">
        <f>IF(AND(ISNUMBER(JS73),ISNUMBER(JQ73)),JS73-JQ73,"")</f>
        <v>0</v>
      </c>
      <c r="JS73" s="33">
        <v>1912</v>
      </c>
      <c r="JT73" s="34">
        <f>IF(AND(ISNUMBER(JU73),ISNUMBER(JS73)),JU73-JS73,"")</f>
        <v>0</v>
      </c>
      <c r="JU73" s="33">
        <v>549</v>
      </c>
      <c r="JV73" s="34">
        <f>IF(AND(ISNUMBER(JW73),ISNUMBER(JU73)),JW73-JU73,"")</f>
        <v>0</v>
      </c>
      <c r="JW73" s="33"/>
      <c r="JX73" s="34">
        <f>IF(AND(ISNUMBER(JY73),ISNUMBER(JW73)),JY73-JW73,"")</f>
        <v>0</v>
      </c>
      <c r="JY73" s="33"/>
      <c r="JZ73" s="34">
        <f>IF(AND(ISNUMBER(KA73),ISNUMBER(JY73)),KA73-JY73,"")</f>
        <v>0</v>
      </c>
      <c r="KA73" s="33"/>
      <c r="KB73" s="34">
        <f>IF(AND(ISNUMBER(KC73),ISNUMBER(KA73)),KC73-KA73,"")</f>
        <v>0</v>
      </c>
      <c r="KC73" s="33"/>
      <c r="KD73" s="34">
        <f>IF(AND(ISNUMBER(KE73),ISNUMBER(KC73)),KE73-KC73,"")</f>
        <v>0</v>
      </c>
      <c r="KE73" s="33"/>
      <c r="KF73" s="34">
        <f>IF(AND(ISNUMBER(KG73),ISNUMBER(KE73)),KG73-KE73,"")</f>
        <v>0</v>
      </c>
      <c r="KG73" s="33"/>
      <c r="KH73" s="34">
        <f>IF(AND(ISNUMBER(KI73),ISNUMBER(KG73)),KI73-KG73,"")</f>
        <v>0</v>
      </c>
      <c r="KI73" s="33"/>
      <c r="KJ73" s="34">
        <f>IF(AND(ISNUMBER(KK73),ISNUMBER(KI73)),KK73-KI73,"")</f>
        <v>0</v>
      </c>
      <c r="KK73" s="33"/>
      <c r="KL73" s="34">
        <f>IF(AND(ISNUMBER(KM73),ISNUMBER(KK73)),KM73-KK73,"")</f>
        <v>0</v>
      </c>
      <c r="KM73" s="33"/>
      <c r="KN73" s="34">
        <f>IF(AND(ISNUMBER(KO73),ISNUMBER(KM73)),KO73-KM73,"")</f>
        <v>0</v>
      </c>
      <c r="KO73" s="33"/>
      <c r="KP73" s="34">
        <f>IF(AND(ISNUMBER(KQ73),ISNUMBER(KO73)),KQ73-KO73,"")</f>
        <v>0</v>
      </c>
      <c r="KQ73" s="33"/>
      <c r="KR73" s="34">
        <f>IF(AND(ISNUMBER(KS73),ISNUMBER(KQ73)),KS73-KQ73,"")</f>
        <v>0</v>
      </c>
      <c r="KS73" s="33"/>
      <c r="KT73" s="34">
        <f>IF(AND(ISNUMBER(KU73),ISNUMBER(KS73)),KU73-KS73,"")</f>
        <v>0</v>
      </c>
      <c r="KU73" s="33"/>
      <c r="KV73" s="34">
        <f>IF(AND(ISNUMBER(KW73),ISNUMBER(KU73)),KW73-KU73,"")</f>
        <v>0</v>
      </c>
      <c r="KW73" s="33"/>
      <c r="KX73" s="34">
        <f>IF(AND(ISNUMBER(KY73),ISNUMBER(KW73)),KY73-KW73,"")</f>
        <v>0</v>
      </c>
      <c r="KY73" s="33"/>
      <c r="KZ73" s="34">
        <f>IF(AND(ISNUMBER(LA73),ISNUMBER(KY73)),LA73-KY73,"")</f>
        <v>0</v>
      </c>
      <c r="LA73" s="33"/>
      <c r="LB73" s="34">
        <f>IF(AND(ISNUMBER(LC73),ISNUMBER(LA73)),LC73-LA73,"")</f>
        <v>0</v>
      </c>
      <c r="LC73" s="33"/>
      <c r="LD73" s="34">
        <f>IF(AND(ISNUMBER(LE73),ISNUMBER(LC73)),LE73-LC73,"")</f>
        <v>0</v>
      </c>
      <c r="LE73" s="33"/>
      <c r="LF73" s="34">
        <f>IF(AND(ISNUMBER(LG73),ISNUMBER(LE73)),LG73-LE73,"")</f>
        <v>0</v>
      </c>
      <c r="LG73" s="33"/>
    </row>
    <row r="74" spans="1:322">
      <c r="A74" s="36" t="s">
        <v>161</v>
      </c>
      <c r="B74" s="23"/>
      <c r="C74" s="31" t="s">
        <v>783</v>
      </c>
      <c r="D74" s="31" t="s">
        <v>797</v>
      </c>
      <c r="E74" s="32" t="s">
        <v>1036</v>
      </c>
      <c r="H74" s="38" t="s">
        <v>1082</v>
      </c>
      <c r="I74" s="33"/>
      <c r="J74" s="34">
        <f>IF(AND(ISNUMBER(K74),ISNUMBER(I74)),K74-I74,"")</f>
        <v>0</v>
      </c>
      <c r="K74" s="33"/>
      <c r="L74" s="34">
        <f>IF(AND(ISNUMBER(M74),ISNUMBER(K74)),M74-K74,"")</f>
        <v>0</v>
      </c>
      <c r="M74" s="33"/>
      <c r="N74" s="34">
        <f>IF(AND(ISNUMBER(O74),ISNUMBER(M74)),O74-M74,"")</f>
        <v>0</v>
      </c>
      <c r="O74" s="33"/>
      <c r="P74" s="34">
        <f>IF(AND(ISNUMBER(Q74),ISNUMBER(O74)),Q74-O74,"")</f>
        <v>0</v>
      </c>
      <c r="Q74" s="33"/>
      <c r="R74" s="34">
        <f>IF(AND(ISNUMBER(S74),ISNUMBER(Q74)),S74-Q74,"")</f>
        <v>0</v>
      </c>
      <c r="S74" s="33"/>
      <c r="T74" s="34">
        <f>IF(AND(ISNUMBER(U74),ISNUMBER(S74)),U74-S74,"")</f>
        <v>0</v>
      </c>
      <c r="U74" s="33"/>
      <c r="V74" s="34">
        <f>IF(AND(ISNUMBER(W74),ISNUMBER(U74)),W74-U74,"")</f>
        <v>0</v>
      </c>
      <c r="W74" s="33"/>
      <c r="X74" s="34">
        <f>IF(AND(ISNUMBER(Y74),ISNUMBER(W74)),Y74-W74,"")</f>
        <v>0</v>
      </c>
      <c r="Y74" s="33"/>
      <c r="Z74" s="34">
        <f>IF(AND(ISNUMBER(AA74),ISNUMBER(Y74)),AA74-Y74,"")</f>
        <v>0</v>
      </c>
      <c r="AA74" s="33"/>
      <c r="AB74" s="34">
        <f>IF(AND(ISNUMBER(AC74),ISNUMBER(AA74)),AC74-AA74,"")</f>
        <v>0</v>
      </c>
      <c r="AC74" s="33"/>
      <c r="AD74" s="34">
        <f>IF(AND(ISNUMBER(AE74),ISNUMBER(AC74)),AE74-AC74,"")</f>
        <v>0</v>
      </c>
      <c r="AE74" s="33"/>
      <c r="AF74" s="34">
        <f>IF(AND(ISNUMBER(AG74),ISNUMBER(AE74)),AG74-AE74,"")</f>
        <v>0</v>
      </c>
      <c r="AG74" s="33"/>
      <c r="AH74" s="34">
        <f>IF(AND(ISNUMBER(AI74),ISNUMBER(AG74)),AI74-AG74,"")</f>
        <v>0</v>
      </c>
      <c r="AI74" s="33"/>
      <c r="AJ74" s="34">
        <f>IF(AND(ISNUMBER(AK74),ISNUMBER(AI74)),AK74-AI74,"")</f>
        <v>0</v>
      </c>
      <c r="AK74" s="33"/>
      <c r="AL74" s="34">
        <f>IF(AND(ISNUMBER(AM74),ISNUMBER(AK74)),AM74-AK74,"")</f>
        <v>0</v>
      </c>
      <c r="AM74" s="33"/>
      <c r="AN74" s="34">
        <f>IF(AND(ISNUMBER(AO74),ISNUMBER(AM74)),AO74-AM74,"")</f>
        <v>0</v>
      </c>
      <c r="AO74" s="33"/>
      <c r="AP74" s="34">
        <f>IF(AND(ISNUMBER(AQ74),ISNUMBER(AO74)),AQ74-AO74,"")</f>
        <v>0</v>
      </c>
      <c r="AQ74" s="33"/>
      <c r="AR74" s="34">
        <f>IF(AND(ISNUMBER(AS74),ISNUMBER(AQ74)),AS74-AQ74,"")</f>
        <v>0</v>
      </c>
      <c r="AS74" s="33"/>
      <c r="AT74" s="34">
        <f>IF(AND(ISNUMBER(AU74),ISNUMBER(AS74)),AU74-AS74,"")</f>
        <v>0</v>
      </c>
      <c r="AU74" s="33"/>
      <c r="AV74" s="34">
        <f>IF(AND(ISNUMBER(AW74),ISNUMBER(AU74)),AW74-AU74,"")</f>
        <v>0</v>
      </c>
      <c r="AW74" s="33"/>
      <c r="AX74" s="34">
        <f>IF(AND(ISNUMBER(AY74),ISNUMBER(AW74)),AY74-AW74,"")</f>
        <v>0</v>
      </c>
      <c r="AY74" s="33"/>
      <c r="AZ74" s="34">
        <f>IF(AND(ISNUMBER(BA74),ISNUMBER(AY74)),BA74-AY74,"")</f>
        <v>0</v>
      </c>
      <c r="BA74" s="33"/>
      <c r="BB74" s="34">
        <f>IF(AND(ISNUMBER(BC74),ISNUMBER(BA74)),BC74-BA74,"")</f>
        <v>0</v>
      </c>
      <c r="BC74" s="33"/>
      <c r="BD74" s="34">
        <f>IF(AND(ISNUMBER(BE74),ISNUMBER(BC74)),BE74-BC74,"")</f>
        <v>0</v>
      </c>
      <c r="BE74" s="33"/>
      <c r="BF74" s="34">
        <f>IF(AND(ISNUMBER(BG74),ISNUMBER(BE74)),BG74-BE74,"")</f>
        <v>0</v>
      </c>
      <c r="BG74" s="33"/>
      <c r="BH74" s="34">
        <f>IF(AND(ISNUMBER(BI74),ISNUMBER(BG74)),BI74-BG74,"")</f>
        <v>0</v>
      </c>
      <c r="BI74" s="33"/>
      <c r="BJ74" s="34">
        <f>IF(AND(ISNUMBER(BK74),ISNUMBER(BI74)),BK74-BI74,"")</f>
        <v>0</v>
      </c>
      <c r="BK74" s="33"/>
      <c r="BL74" s="34">
        <f>IF(AND(ISNUMBER(BM74),ISNUMBER(BK74)),BM74-BK74,"")</f>
        <v>0</v>
      </c>
      <c r="BM74" s="33"/>
      <c r="BN74" s="34">
        <f>IF(AND(ISNUMBER(BO74),ISNUMBER(BM74)),BO74-BM74,"")</f>
        <v>0</v>
      </c>
      <c r="BO74" s="33"/>
      <c r="BP74" s="34">
        <f>IF(AND(ISNUMBER(BQ74),ISNUMBER(BO74)),BQ74-BO74,"")</f>
        <v>0</v>
      </c>
      <c r="BQ74" s="33"/>
      <c r="BR74" s="34">
        <f>IF(AND(ISNUMBER(BS74),ISNUMBER(BQ74)),BS74-BQ74,"")</f>
        <v>0</v>
      </c>
      <c r="BS74" s="33"/>
      <c r="BT74" s="34">
        <f>IF(AND(ISNUMBER(BU74),ISNUMBER(BS74)),BU74-BS74,"")</f>
        <v>0</v>
      </c>
      <c r="BU74" s="33"/>
      <c r="BV74" s="34">
        <f>IF(AND(ISNUMBER(BW74),ISNUMBER(BU74)),BW74-BU74,"")</f>
        <v>0</v>
      </c>
      <c r="BW74" s="33"/>
      <c r="BX74" s="34">
        <f>IF(AND(ISNUMBER(BY74),ISNUMBER(BW74)),BY74-BW74,"")</f>
        <v>0</v>
      </c>
      <c r="BY74" s="33"/>
      <c r="BZ74" s="34">
        <f>IF(AND(ISNUMBER(CA74),ISNUMBER(BY74)),CA74-BY74,"")</f>
        <v>0</v>
      </c>
      <c r="CA74" s="33"/>
      <c r="CB74" s="34">
        <f>IF(AND(ISNUMBER(CC74),ISNUMBER(CA74)),CC74-CA74,"")</f>
        <v>0</v>
      </c>
      <c r="CC74" s="33"/>
      <c r="CD74" s="34">
        <f>IF(AND(ISNUMBER(CE74),ISNUMBER(CC74)),CE74-CC74,"")</f>
        <v>0</v>
      </c>
      <c r="CE74" s="33"/>
      <c r="CF74" s="34">
        <f>IF(AND(ISNUMBER(CG74),ISNUMBER(CE74)),CG74-CE74,"")</f>
        <v>0</v>
      </c>
      <c r="CG74" s="33"/>
      <c r="CH74" s="34">
        <f>IF(AND(ISNUMBER(CI74),ISNUMBER(CG74)),CI74-CG74,"")</f>
        <v>0</v>
      </c>
      <c r="CI74" s="33"/>
      <c r="CJ74" s="34">
        <f>IF(AND(ISNUMBER(CK74),ISNUMBER(CI74)),CK74-CI74,"")</f>
        <v>0</v>
      </c>
      <c r="CK74" s="33"/>
      <c r="CL74" s="34">
        <f>IF(AND(ISNUMBER(CM74),ISNUMBER(CK74)),CM74-CK74,"")</f>
        <v>0</v>
      </c>
      <c r="CM74" s="33"/>
      <c r="CN74" s="34">
        <f>IF(AND(ISNUMBER(CO74),ISNUMBER(CM74)),CO74-CM74,"")</f>
        <v>0</v>
      </c>
      <c r="CO74" s="33"/>
      <c r="CP74" s="34">
        <f>IF(AND(ISNUMBER(CQ74),ISNUMBER(CO74)),CQ74-CO74,"")</f>
        <v>0</v>
      </c>
      <c r="CQ74" s="33"/>
      <c r="CR74" s="34">
        <f>IF(AND(ISNUMBER(CS74),ISNUMBER(CQ74)),CS74-CQ74,"")</f>
        <v>0</v>
      </c>
      <c r="CS74" s="33"/>
      <c r="CT74" s="34">
        <f>IF(AND(ISNUMBER(CU74),ISNUMBER(CS74)),CU74-CS74,"")</f>
        <v>0</v>
      </c>
      <c r="CU74" s="33"/>
      <c r="CV74" s="34">
        <f>IF(AND(ISNUMBER(CW74),ISNUMBER(CU74)),CW74-CU74,"")</f>
        <v>0</v>
      </c>
      <c r="CW74" s="33"/>
      <c r="CX74" s="34">
        <f>IF(AND(ISNUMBER(CY74),ISNUMBER(CW74)),CY74-CW74,"")</f>
        <v>0</v>
      </c>
      <c r="CY74" s="33"/>
      <c r="CZ74" s="34">
        <f>IF(AND(ISNUMBER(DA74),ISNUMBER(CY74)),DA74-CY74,"")</f>
        <v>0</v>
      </c>
      <c r="DA74" s="33"/>
      <c r="DB74" s="34">
        <f>IF(AND(ISNUMBER(DC74),ISNUMBER(DA74)),DC74-DA74,"")</f>
        <v>0</v>
      </c>
      <c r="DC74" s="33"/>
      <c r="DD74" s="34">
        <f>IF(AND(ISNUMBER(DE74),ISNUMBER(DC74)),DE74-DC74,"")</f>
        <v>0</v>
      </c>
      <c r="DE74" s="33"/>
      <c r="DF74" s="34">
        <f>IF(AND(ISNUMBER(DG74),ISNUMBER(DE74)),DG74-DE74,"")</f>
        <v>0</v>
      </c>
      <c r="DG74" s="33"/>
      <c r="DH74" s="34">
        <f>IF(AND(ISNUMBER(DI74),ISNUMBER(DG74)),DI74-DG74,"")</f>
        <v>0</v>
      </c>
      <c r="DI74" s="33"/>
      <c r="DJ74" s="34">
        <f>IF(AND(ISNUMBER(DK74),ISNUMBER(DI74)),DK74-DI74,"")</f>
        <v>0</v>
      </c>
      <c r="DK74" s="33"/>
      <c r="DL74" s="34">
        <f>IF(AND(ISNUMBER(DM74),ISNUMBER(DK74)),DM74-DK74,"")</f>
        <v>0</v>
      </c>
      <c r="DM74" s="33"/>
      <c r="DN74" s="34">
        <f>IF(AND(ISNUMBER(DO74),ISNUMBER(DM74)),DO74-DM74,"")</f>
        <v>0</v>
      </c>
      <c r="DO74" s="33"/>
      <c r="DP74" s="34">
        <f>IF(AND(ISNUMBER(DQ74),ISNUMBER(DO74)),DQ74-DO74,"")</f>
        <v>0</v>
      </c>
      <c r="DQ74" s="33"/>
      <c r="DR74" s="34">
        <f>IF(AND(ISNUMBER(DS74),ISNUMBER(DQ74)),DS74-DQ74,"")</f>
        <v>0</v>
      </c>
      <c r="DS74" s="33"/>
      <c r="DT74" s="34">
        <f>IF(AND(ISNUMBER(DU74),ISNUMBER(DS74)),DU74-DS74,"")</f>
        <v>0</v>
      </c>
      <c r="DU74" s="33"/>
      <c r="DV74" s="34">
        <f>IF(AND(ISNUMBER(DW74),ISNUMBER(DU74)),DW74-DU74,"")</f>
        <v>0</v>
      </c>
      <c r="DW74" s="33"/>
      <c r="DX74" s="34">
        <f>IF(AND(ISNUMBER(DY74),ISNUMBER(DW74)),DY74-DW74,"")</f>
        <v>0</v>
      </c>
      <c r="DY74" s="33"/>
      <c r="DZ74" s="34">
        <f>IF(AND(ISNUMBER(EA74),ISNUMBER(DY74)),EA74-DY74,"")</f>
        <v>0</v>
      </c>
      <c r="EA74" s="33"/>
      <c r="EB74" s="34">
        <f>IF(AND(ISNUMBER(EC74),ISNUMBER(EA74)),EC74-EA74,"")</f>
        <v>0</v>
      </c>
      <c r="EC74" s="33"/>
      <c r="ED74" s="34">
        <f>IF(AND(ISNUMBER(EE74),ISNUMBER(EC74)),EE74-EC74,"")</f>
        <v>0</v>
      </c>
      <c r="EE74" s="33"/>
      <c r="EF74" s="34">
        <f>IF(AND(ISNUMBER(EG74),ISNUMBER(EE74)),EG74-EE74,"")</f>
        <v>0</v>
      </c>
      <c r="EG74" s="33"/>
      <c r="EH74" s="34">
        <f>IF(AND(ISNUMBER(EI74),ISNUMBER(EG74)),EI74-EG74,"")</f>
        <v>0</v>
      </c>
      <c r="EI74" s="33"/>
      <c r="EJ74" s="34">
        <f>IF(AND(ISNUMBER(EK74),ISNUMBER(EI74)),EK74-EI74,"")</f>
        <v>0</v>
      </c>
      <c r="EK74" s="33"/>
      <c r="EL74" s="34">
        <f>IF(AND(ISNUMBER(EM74),ISNUMBER(EK74)),EM74-EK74,"")</f>
        <v>0</v>
      </c>
      <c r="EM74" s="33"/>
      <c r="EN74" s="34">
        <f>IF(AND(ISNUMBER(EO74),ISNUMBER(EM74)),EO74-EM74,"")</f>
        <v>0</v>
      </c>
      <c r="EO74" s="33"/>
      <c r="EP74" s="34">
        <f>IF(AND(ISNUMBER(EQ74),ISNUMBER(EO74)),EQ74-EO74,"")</f>
        <v>0</v>
      </c>
      <c r="EQ74" s="33"/>
      <c r="ER74" s="34">
        <f>IF(AND(ISNUMBER(ES74),ISNUMBER(EQ74)),ES74-EQ74,"")</f>
        <v>0</v>
      </c>
      <c r="ES74" s="33"/>
      <c r="ET74" s="34">
        <f>IF(AND(ISNUMBER(EU74),ISNUMBER(ES74)),EU74-ES74,"")</f>
        <v>0</v>
      </c>
      <c r="EU74" s="33"/>
      <c r="EV74" s="34">
        <f>IF(AND(ISNUMBER(EW74),ISNUMBER(EU74)),EW74-EU74,"")</f>
        <v>0</v>
      </c>
      <c r="EW74" s="33"/>
      <c r="EX74" s="34">
        <f>IF(AND(ISNUMBER(EY74),ISNUMBER(EW74)),EY74-EW74,"")</f>
        <v>0</v>
      </c>
      <c r="EY74" s="33"/>
      <c r="EZ74" s="34">
        <f>IF(AND(ISNUMBER(FA74),ISNUMBER(EY74)),FA74-EY74,"")</f>
        <v>0</v>
      </c>
      <c r="FA74" s="33"/>
      <c r="FB74" s="34">
        <f>IF(AND(ISNUMBER(FC74),ISNUMBER(FA74)),FC74-FA74,"")</f>
        <v>0</v>
      </c>
      <c r="FC74" s="33"/>
      <c r="FD74" s="34">
        <f>IF(AND(ISNUMBER(FE74),ISNUMBER(FC74)),FE74-FC74,"")</f>
        <v>0</v>
      </c>
      <c r="FE74" s="33"/>
      <c r="FF74" s="34">
        <f>IF(AND(ISNUMBER(FG74),ISNUMBER(FE74)),FG74-FE74,"")</f>
        <v>0</v>
      </c>
      <c r="FG74" s="33"/>
      <c r="FH74" s="34">
        <f>IF(AND(ISNUMBER(FI74),ISNUMBER(FG74)),FI74-FG74,"")</f>
        <v>0</v>
      </c>
      <c r="FI74" s="33"/>
      <c r="FJ74" s="34">
        <f>IF(AND(ISNUMBER(FK74),ISNUMBER(FI74)),FK74-FI74,"")</f>
        <v>0</v>
      </c>
      <c r="FK74" s="33"/>
      <c r="FL74" s="34">
        <f>IF(AND(ISNUMBER(FM74),ISNUMBER(FK74)),FM74-FK74,"")</f>
        <v>0</v>
      </c>
      <c r="FM74" s="33"/>
      <c r="FN74" s="34">
        <f>IF(AND(ISNUMBER(FO74),ISNUMBER(FM74)),FO74-FM74,"")</f>
        <v>0</v>
      </c>
      <c r="FO74" s="33"/>
      <c r="FP74" s="34">
        <f>IF(AND(ISNUMBER(FQ74),ISNUMBER(FO74)),FQ74-FO74,"")</f>
        <v>0</v>
      </c>
      <c r="FQ74" s="33"/>
      <c r="FR74" s="34">
        <f>IF(AND(ISNUMBER(FS74),ISNUMBER(FQ74)),FS74-FQ74,"")</f>
        <v>0</v>
      </c>
      <c r="FS74" s="33"/>
      <c r="FT74" s="34">
        <f>IF(AND(ISNUMBER(FU74),ISNUMBER(FS74)),FU74-FS74,"")</f>
        <v>0</v>
      </c>
      <c r="FU74" s="33"/>
      <c r="FV74" s="34">
        <f>IF(AND(ISNUMBER(FW74),ISNUMBER(FU74)),FW74-FU74,"")</f>
        <v>0</v>
      </c>
      <c r="FW74" s="33"/>
      <c r="FX74" s="34">
        <f>IF(AND(ISNUMBER(FY74),ISNUMBER(FW74)),FY74-FW74,"")</f>
        <v>0</v>
      </c>
      <c r="FY74" s="33"/>
      <c r="FZ74" s="34">
        <f>IF(AND(ISNUMBER(GA74),ISNUMBER(FY74)),GA74-FY74,"")</f>
        <v>0</v>
      </c>
      <c r="GA74" s="33"/>
      <c r="GB74" s="34">
        <f>IF(AND(ISNUMBER(GC74),ISNUMBER(GA74)),GC74-GA74,"")</f>
        <v>0</v>
      </c>
      <c r="GC74" s="33"/>
      <c r="GD74" s="34">
        <f>IF(AND(ISNUMBER(GE74),ISNUMBER(GC74)),GE74-GC74,"")</f>
        <v>0</v>
      </c>
      <c r="GE74" s="33"/>
      <c r="GF74" s="34">
        <f>IF(AND(ISNUMBER(GG74),ISNUMBER(GE74)),GG74-GE74,"")</f>
        <v>0</v>
      </c>
      <c r="GG74" s="33"/>
      <c r="GH74" s="34">
        <f>IF(AND(ISNUMBER(GI74),ISNUMBER(GG74)),GI74-GG74,"")</f>
        <v>0</v>
      </c>
      <c r="GI74" s="33"/>
      <c r="GJ74" s="34">
        <f>IF(AND(ISNUMBER(GK74),ISNUMBER(GI74)),GK74-GI74,"")</f>
        <v>0</v>
      </c>
      <c r="GK74" s="33"/>
      <c r="GL74" s="34">
        <f>IF(AND(ISNUMBER(GM74),ISNUMBER(GK74)),GM74-GK74,"")</f>
        <v>0</v>
      </c>
      <c r="GM74" s="33"/>
      <c r="GN74" s="34">
        <f>IF(AND(ISNUMBER(GO74),ISNUMBER(GM74)),GO74-GM74,"")</f>
        <v>0</v>
      </c>
      <c r="GO74" s="33"/>
      <c r="GP74" s="34">
        <f>IF(AND(ISNUMBER(GQ74),ISNUMBER(GO74)),GQ74-GO74,"")</f>
        <v>0</v>
      </c>
      <c r="GQ74" s="33"/>
      <c r="GR74" s="34">
        <f>IF(AND(ISNUMBER(GS74),ISNUMBER(GQ74)),GS74-GQ74,"")</f>
        <v>0</v>
      </c>
      <c r="GS74" s="33"/>
      <c r="GT74" s="34">
        <f>IF(AND(ISNUMBER(GU74),ISNUMBER(GS74)),GU74-GS74,"")</f>
        <v>0</v>
      </c>
      <c r="GU74" s="33"/>
      <c r="GV74" s="34">
        <f>IF(AND(ISNUMBER(GW74),ISNUMBER(GU74)),GW74-GU74,"")</f>
        <v>0</v>
      </c>
      <c r="GW74" s="33"/>
      <c r="GX74" s="34">
        <f>IF(AND(ISNUMBER(GY74),ISNUMBER(GW74)),GY74-GW74,"")</f>
        <v>0</v>
      </c>
      <c r="GY74" s="33"/>
      <c r="GZ74" s="34">
        <f>IF(AND(ISNUMBER(HA74),ISNUMBER(GY74)),HA74-GY74,"")</f>
        <v>0</v>
      </c>
      <c r="HA74" s="33"/>
      <c r="HB74" s="34">
        <f>IF(AND(ISNUMBER(HC74),ISNUMBER(HA74)),HC74-HA74,"")</f>
        <v>0</v>
      </c>
      <c r="HC74" s="33"/>
      <c r="HD74" s="34">
        <f>IF(AND(ISNUMBER(HE74),ISNUMBER(HC74)),HE74-HC74,"")</f>
        <v>0</v>
      </c>
      <c r="HE74" s="33"/>
      <c r="HF74" s="34">
        <f>IF(AND(ISNUMBER(HG74),ISNUMBER(HE74)),HG74-HE74,"")</f>
        <v>0</v>
      </c>
      <c r="HG74" s="33"/>
      <c r="HH74" s="34">
        <f>IF(AND(ISNUMBER(HI74),ISNUMBER(HG74)),HI74-HG74,"")</f>
        <v>0</v>
      </c>
      <c r="HI74" s="33"/>
      <c r="HJ74" s="34">
        <f>IF(AND(ISNUMBER(HK74),ISNUMBER(HI74)),HK74-HI74,"")</f>
        <v>0</v>
      </c>
      <c r="HK74" s="33"/>
      <c r="HL74" s="34">
        <f>IF(AND(ISNUMBER(HM74),ISNUMBER(HK74)),HM74-HK74,"")</f>
        <v>0</v>
      </c>
      <c r="HM74" s="33"/>
      <c r="HN74" s="34">
        <f>IF(AND(ISNUMBER(HO74),ISNUMBER(HM74)),HO74-HM74,"")</f>
        <v>0</v>
      </c>
      <c r="HO74" s="33"/>
      <c r="HP74" s="34">
        <f>IF(AND(ISNUMBER(HQ74),ISNUMBER(HO74)),HQ74-HO74,"")</f>
        <v>0</v>
      </c>
      <c r="HQ74" s="33"/>
      <c r="HR74" s="34">
        <f>IF(AND(ISNUMBER(HS74),ISNUMBER(HQ74)),HS74-HQ74,"")</f>
        <v>0</v>
      </c>
      <c r="HS74" s="33"/>
      <c r="HT74" s="34">
        <f>IF(AND(ISNUMBER(HU74),ISNUMBER(HS74)),HU74-HS74,"")</f>
        <v>0</v>
      </c>
      <c r="HU74" s="33"/>
      <c r="HV74" s="34">
        <f>IF(AND(ISNUMBER(HW74),ISNUMBER(HU74)),HW74-HU74,"")</f>
        <v>0</v>
      </c>
      <c r="HW74" s="33"/>
      <c r="HX74" s="34">
        <f>IF(AND(ISNUMBER(HY74),ISNUMBER(HW74)),HY74-HW74,"")</f>
        <v>0</v>
      </c>
      <c r="HY74" s="33"/>
      <c r="HZ74" s="34">
        <f>IF(AND(ISNUMBER(IA74),ISNUMBER(HY74)),IA74-HY74,"")</f>
        <v>0</v>
      </c>
      <c r="IA74" s="33"/>
      <c r="IB74" s="34">
        <f>IF(AND(ISNUMBER(IC74),ISNUMBER(IA74)),IC74-IA74,"")</f>
        <v>0</v>
      </c>
      <c r="IC74" s="33"/>
      <c r="ID74" s="34">
        <f>IF(AND(ISNUMBER(IE74),ISNUMBER(IC74)),IE74-IC74,"")</f>
        <v>0</v>
      </c>
      <c r="IE74" s="33"/>
      <c r="IF74" s="34">
        <f>IF(AND(ISNUMBER(IG74),ISNUMBER(IE74)),IG74-IE74,"")</f>
        <v>0</v>
      </c>
      <c r="IG74" s="33"/>
      <c r="IH74" s="34">
        <f>IF(AND(ISNUMBER(II74),ISNUMBER(IG74)),II74-IG74,"")</f>
        <v>0</v>
      </c>
      <c r="II74" s="33"/>
      <c r="IJ74" s="34">
        <f>IF(AND(ISNUMBER(IK74),ISNUMBER(II74)),IK74-II74,"")</f>
        <v>0</v>
      </c>
      <c r="IK74" s="33"/>
      <c r="IL74" s="34">
        <f>IF(AND(ISNUMBER(IM74),ISNUMBER(IK74)),IM74-IK74,"")</f>
        <v>0</v>
      </c>
      <c r="IM74" s="33"/>
      <c r="IN74" s="34">
        <f>IF(AND(ISNUMBER(IO74),ISNUMBER(IM74)),IO74-IM74,"")</f>
        <v>0</v>
      </c>
      <c r="IO74" s="33"/>
      <c r="IP74" s="34">
        <f>IF(AND(ISNUMBER(IQ74),ISNUMBER(IO74)),IQ74-IO74,"")</f>
        <v>0</v>
      </c>
      <c r="IQ74" s="33"/>
      <c r="IR74" s="34">
        <f>IF(AND(ISNUMBER(IS74),ISNUMBER(IQ74)),IS74-IQ74,"")</f>
        <v>0</v>
      </c>
      <c r="IS74" s="33"/>
      <c r="IT74" s="34">
        <f>IF(AND(ISNUMBER(IU74),ISNUMBER(IS74)),IU74-IS74,"")</f>
        <v>0</v>
      </c>
      <c r="IU74" s="33"/>
      <c r="IV74" s="34">
        <f>IF(AND(ISNUMBER(IW74),ISNUMBER(IU74)),IW74-IU74,"")</f>
        <v>0</v>
      </c>
      <c r="IW74" s="33"/>
      <c r="IX74" s="34">
        <f>IF(AND(ISNUMBER(IY74),ISNUMBER(IW74)),IY74-IW74,"")</f>
        <v>0</v>
      </c>
      <c r="IY74" s="33"/>
      <c r="IZ74" s="34">
        <f>IF(AND(ISNUMBER(JA74),ISNUMBER(IY74)),JA74-IY74,"")</f>
        <v>0</v>
      </c>
      <c r="JA74" s="33"/>
      <c r="JB74" s="34">
        <f>IF(AND(ISNUMBER(JC74),ISNUMBER(JA74)),JC74-JA74,"")</f>
        <v>0</v>
      </c>
      <c r="JC74" s="33"/>
      <c r="JD74" s="34">
        <f>IF(AND(ISNUMBER(JE74),ISNUMBER(JC74)),JE74-JC74,"")</f>
        <v>0</v>
      </c>
      <c r="JE74" s="33"/>
      <c r="JF74" s="34">
        <f>IF(AND(ISNUMBER(JG74),ISNUMBER(JE74)),JG74-JE74,"")</f>
        <v>0</v>
      </c>
      <c r="JG74" s="33"/>
      <c r="JH74" s="34">
        <f>IF(AND(ISNUMBER(JI74),ISNUMBER(JG74)),JI74-JG74,"")</f>
        <v>0</v>
      </c>
      <c r="JI74" s="33"/>
      <c r="JJ74" s="34">
        <f>IF(AND(ISNUMBER(JK74),ISNUMBER(JI74)),JK74-JI74,"")</f>
        <v>0</v>
      </c>
      <c r="JK74" s="33"/>
      <c r="JL74" s="34">
        <f>IF(AND(ISNUMBER(JM74),ISNUMBER(JK74)),JM74-JK74,"")</f>
        <v>0</v>
      </c>
      <c r="JM74" s="33"/>
      <c r="JN74" s="34">
        <f>IF(AND(ISNUMBER(JO74),ISNUMBER(JM74)),JO74-JM74,"")</f>
        <v>0</v>
      </c>
      <c r="JO74" s="33"/>
      <c r="JP74" s="34">
        <f>IF(AND(ISNUMBER(JQ74),ISNUMBER(JO74)),JQ74-JO74,"")</f>
        <v>0</v>
      </c>
      <c r="JQ74" s="33">
        <v>0</v>
      </c>
      <c r="JR74" s="34">
        <f>IF(AND(ISNUMBER(JS74),ISNUMBER(JQ74)),JS74-JQ74,"")</f>
        <v>0</v>
      </c>
      <c r="JS74" s="33">
        <v>503</v>
      </c>
      <c r="JT74" s="34">
        <f>IF(AND(ISNUMBER(JU74),ISNUMBER(JS74)),JU74-JS74,"")</f>
        <v>0</v>
      </c>
      <c r="JU74" s="33">
        <v>367</v>
      </c>
      <c r="JV74" s="34">
        <f>IF(AND(ISNUMBER(JW74),ISNUMBER(JU74)),JW74-JU74,"")</f>
        <v>0</v>
      </c>
      <c r="JW74" s="33"/>
      <c r="JX74" s="34">
        <f>IF(AND(ISNUMBER(JY74),ISNUMBER(JW74)),JY74-JW74,"")</f>
        <v>0</v>
      </c>
      <c r="JY74" s="33"/>
      <c r="JZ74" s="34">
        <f>IF(AND(ISNUMBER(KA74),ISNUMBER(JY74)),KA74-JY74,"")</f>
        <v>0</v>
      </c>
      <c r="KA74" s="33"/>
      <c r="KB74" s="34">
        <f>IF(AND(ISNUMBER(KC74),ISNUMBER(KA74)),KC74-KA74,"")</f>
        <v>0</v>
      </c>
      <c r="KC74" s="33"/>
      <c r="KD74" s="34">
        <f>IF(AND(ISNUMBER(KE74),ISNUMBER(KC74)),KE74-KC74,"")</f>
        <v>0</v>
      </c>
      <c r="KE74" s="33"/>
      <c r="KF74" s="34">
        <f>IF(AND(ISNUMBER(KG74),ISNUMBER(KE74)),KG74-KE74,"")</f>
        <v>0</v>
      </c>
      <c r="KG74" s="33"/>
      <c r="KH74" s="34">
        <f>IF(AND(ISNUMBER(KI74),ISNUMBER(KG74)),KI74-KG74,"")</f>
        <v>0</v>
      </c>
      <c r="KI74" s="33"/>
      <c r="KJ74" s="34">
        <f>IF(AND(ISNUMBER(KK74),ISNUMBER(KI74)),KK74-KI74,"")</f>
        <v>0</v>
      </c>
      <c r="KK74" s="33"/>
      <c r="KL74" s="34">
        <f>IF(AND(ISNUMBER(KM74),ISNUMBER(KK74)),KM74-KK74,"")</f>
        <v>0</v>
      </c>
      <c r="KM74" s="33"/>
      <c r="KN74" s="34">
        <f>IF(AND(ISNUMBER(KO74),ISNUMBER(KM74)),KO74-KM74,"")</f>
        <v>0</v>
      </c>
      <c r="KO74" s="33"/>
      <c r="KP74" s="34">
        <f>IF(AND(ISNUMBER(KQ74),ISNUMBER(KO74)),KQ74-KO74,"")</f>
        <v>0</v>
      </c>
      <c r="KQ74" s="33"/>
      <c r="KR74" s="34">
        <f>IF(AND(ISNUMBER(KS74),ISNUMBER(KQ74)),KS74-KQ74,"")</f>
        <v>0</v>
      </c>
      <c r="KS74" s="33"/>
      <c r="KT74" s="34">
        <f>IF(AND(ISNUMBER(KU74),ISNUMBER(KS74)),KU74-KS74,"")</f>
        <v>0</v>
      </c>
      <c r="KU74" s="33"/>
      <c r="KV74" s="34">
        <f>IF(AND(ISNUMBER(KW74),ISNUMBER(KU74)),KW74-KU74,"")</f>
        <v>0</v>
      </c>
      <c r="KW74" s="33"/>
      <c r="KX74" s="34">
        <f>IF(AND(ISNUMBER(KY74),ISNUMBER(KW74)),KY74-KW74,"")</f>
        <v>0</v>
      </c>
      <c r="KY74" s="33"/>
      <c r="KZ74" s="34">
        <f>IF(AND(ISNUMBER(LA74),ISNUMBER(KY74)),LA74-KY74,"")</f>
        <v>0</v>
      </c>
      <c r="LA74" s="33"/>
      <c r="LB74" s="34">
        <f>IF(AND(ISNUMBER(LC74),ISNUMBER(LA74)),LC74-LA74,"")</f>
        <v>0</v>
      </c>
      <c r="LC74" s="33"/>
      <c r="LD74" s="34">
        <f>IF(AND(ISNUMBER(LE74),ISNUMBER(LC74)),LE74-LC74,"")</f>
        <v>0</v>
      </c>
      <c r="LE74" s="33"/>
      <c r="LF74" s="34">
        <f>IF(AND(ISNUMBER(LG74),ISNUMBER(LE74)),LG74-LE74,"")</f>
        <v>0</v>
      </c>
      <c r="LG74" s="33"/>
    </row>
    <row r="75" spans="1:322">
      <c r="A75" s="36" t="s">
        <v>807</v>
      </c>
      <c r="B75" s="23"/>
      <c r="C75" s="31" t="s">
        <v>1111</v>
      </c>
      <c r="D75" s="31" t="s">
        <v>1109</v>
      </c>
      <c r="H75" s="38" t="s">
        <v>1082</v>
      </c>
      <c r="I75" s="33"/>
      <c r="J75" s="34">
        <f>IF(AND(ISNUMBER(K75),ISNUMBER(I75)),K75-I75,"")</f>
        <v>0</v>
      </c>
      <c r="K75" s="33"/>
      <c r="L75" s="34">
        <f>IF(AND(ISNUMBER(M75),ISNUMBER(K75)),M75-K75,"")</f>
        <v>0</v>
      </c>
      <c r="M75" s="33"/>
      <c r="N75" s="34">
        <f>IF(AND(ISNUMBER(O75),ISNUMBER(M75)),O75-M75,"")</f>
        <v>0</v>
      </c>
      <c r="O75" s="33"/>
      <c r="P75" s="34">
        <f>IF(AND(ISNUMBER(Q75),ISNUMBER(O75)),Q75-O75,"")</f>
        <v>0</v>
      </c>
      <c r="Q75" s="33"/>
      <c r="R75" s="34">
        <f>IF(AND(ISNUMBER(S75),ISNUMBER(Q75)),S75-Q75,"")</f>
        <v>0</v>
      </c>
      <c r="S75" s="33"/>
      <c r="T75" s="34">
        <f>IF(AND(ISNUMBER(U75),ISNUMBER(S75)),U75-S75,"")</f>
        <v>0</v>
      </c>
      <c r="U75" s="33"/>
      <c r="V75" s="34">
        <f>IF(AND(ISNUMBER(W75),ISNUMBER(U75)),W75-U75,"")</f>
        <v>0</v>
      </c>
      <c r="W75" s="33"/>
      <c r="X75" s="34">
        <f>IF(AND(ISNUMBER(Y75),ISNUMBER(W75)),Y75-W75,"")</f>
        <v>0</v>
      </c>
      <c r="Y75" s="33"/>
      <c r="Z75" s="34">
        <f>IF(AND(ISNUMBER(AA75),ISNUMBER(Y75)),AA75-Y75,"")</f>
        <v>0</v>
      </c>
      <c r="AA75" s="33"/>
      <c r="AB75" s="34">
        <f>IF(AND(ISNUMBER(AC75),ISNUMBER(AA75)),AC75-AA75,"")</f>
        <v>0</v>
      </c>
      <c r="AC75" s="33"/>
      <c r="AD75" s="34">
        <f>IF(AND(ISNUMBER(AE75),ISNUMBER(AC75)),AE75-AC75,"")</f>
        <v>0</v>
      </c>
      <c r="AE75" s="33"/>
      <c r="AF75" s="34">
        <f>IF(AND(ISNUMBER(AG75),ISNUMBER(AE75)),AG75-AE75,"")</f>
        <v>0</v>
      </c>
      <c r="AG75" s="33"/>
      <c r="AH75" s="34">
        <f>IF(AND(ISNUMBER(AI75),ISNUMBER(AG75)),AI75-AG75,"")</f>
        <v>0</v>
      </c>
      <c r="AI75" s="33"/>
      <c r="AJ75" s="34">
        <f>IF(AND(ISNUMBER(AK75),ISNUMBER(AI75)),AK75-AI75,"")</f>
        <v>0</v>
      </c>
      <c r="AK75" s="33"/>
      <c r="AL75" s="34">
        <f>IF(AND(ISNUMBER(AM75),ISNUMBER(AK75)),AM75-AK75,"")</f>
        <v>0</v>
      </c>
      <c r="AM75" s="33"/>
      <c r="AN75" s="34">
        <f>IF(AND(ISNUMBER(AO75),ISNUMBER(AM75)),AO75-AM75,"")</f>
        <v>0</v>
      </c>
      <c r="AO75" s="33"/>
      <c r="AP75" s="34">
        <f>IF(AND(ISNUMBER(AQ75),ISNUMBER(AO75)),AQ75-AO75,"")</f>
        <v>0</v>
      </c>
      <c r="AQ75" s="33"/>
      <c r="AR75" s="34">
        <f>IF(AND(ISNUMBER(AS75),ISNUMBER(AQ75)),AS75-AQ75,"")</f>
        <v>0</v>
      </c>
      <c r="AS75" s="33"/>
      <c r="AT75" s="34">
        <f>IF(AND(ISNUMBER(AU75),ISNUMBER(AS75)),AU75-AS75,"")</f>
        <v>0</v>
      </c>
      <c r="AU75" s="33"/>
      <c r="AV75" s="34">
        <f>IF(AND(ISNUMBER(AW75),ISNUMBER(AU75)),AW75-AU75,"")</f>
        <v>0</v>
      </c>
      <c r="AW75" s="33"/>
      <c r="AX75" s="34">
        <f>IF(AND(ISNUMBER(AY75),ISNUMBER(AW75)),AY75-AW75,"")</f>
        <v>0</v>
      </c>
      <c r="AY75" s="33"/>
      <c r="AZ75" s="34">
        <f>IF(AND(ISNUMBER(BA75),ISNUMBER(AY75)),BA75-AY75,"")</f>
        <v>0</v>
      </c>
      <c r="BA75" s="33"/>
      <c r="BB75" s="34">
        <f>IF(AND(ISNUMBER(BC75),ISNUMBER(BA75)),BC75-BA75,"")</f>
        <v>0</v>
      </c>
      <c r="BC75" s="33"/>
      <c r="BD75" s="34">
        <f>IF(AND(ISNUMBER(BE75),ISNUMBER(BC75)),BE75-BC75,"")</f>
        <v>0</v>
      </c>
      <c r="BE75" s="33"/>
      <c r="BF75" s="34">
        <f>IF(AND(ISNUMBER(BG75),ISNUMBER(BE75)),BG75-BE75,"")</f>
        <v>0</v>
      </c>
      <c r="BG75" s="33"/>
      <c r="BH75" s="34">
        <f>IF(AND(ISNUMBER(BI75),ISNUMBER(BG75)),BI75-BG75,"")</f>
        <v>0</v>
      </c>
      <c r="BI75" s="33"/>
      <c r="BJ75" s="34">
        <f>IF(AND(ISNUMBER(BK75),ISNUMBER(BI75)),BK75-BI75,"")</f>
        <v>0</v>
      </c>
      <c r="BK75" s="33"/>
      <c r="BL75" s="34">
        <f>IF(AND(ISNUMBER(BM75),ISNUMBER(BK75)),BM75-BK75,"")</f>
        <v>0</v>
      </c>
      <c r="BM75" s="33"/>
      <c r="BN75" s="34">
        <f>IF(AND(ISNUMBER(BO75),ISNUMBER(BM75)),BO75-BM75,"")</f>
        <v>0</v>
      </c>
      <c r="BO75" s="33"/>
      <c r="BP75" s="34">
        <f>IF(AND(ISNUMBER(BQ75),ISNUMBER(BO75)),BQ75-BO75,"")</f>
        <v>0</v>
      </c>
      <c r="BQ75" s="33"/>
      <c r="BR75" s="34">
        <f>IF(AND(ISNUMBER(BS75),ISNUMBER(BQ75)),BS75-BQ75,"")</f>
        <v>0</v>
      </c>
      <c r="BS75" s="33"/>
      <c r="BT75" s="34">
        <f>IF(AND(ISNUMBER(BU75),ISNUMBER(BS75)),BU75-BS75,"")</f>
        <v>0</v>
      </c>
      <c r="BU75" s="33"/>
      <c r="BV75" s="34">
        <f>IF(AND(ISNUMBER(BW75),ISNUMBER(BU75)),BW75-BU75,"")</f>
        <v>0</v>
      </c>
      <c r="BW75" s="33"/>
      <c r="BX75" s="34">
        <f>IF(AND(ISNUMBER(BY75),ISNUMBER(BW75)),BY75-BW75,"")</f>
        <v>0</v>
      </c>
      <c r="BY75" s="33"/>
      <c r="BZ75" s="34">
        <f>IF(AND(ISNUMBER(CA75),ISNUMBER(BY75)),CA75-BY75,"")</f>
        <v>0</v>
      </c>
      <c r="CA75" s="33"/>
      <c r="CB75" s="34">
        <f>IF(AND(ISNUMBER(CC75),ISNUMBER(CA75)),CC75-CA75,"")</f>
        <v>0</v>
      </c>
      <c r="CC75" s="33"/>
      <c r="CD75" s="34">
        <f>IF(AND(ISNUMBER(CE75),ISNUMBER(CC75)),CE75-CC75,"")</f>
        <v>0</v>
      </c>
      <c r="CE75" s="33"/>
      <c r="CF75" s="34">
        <f>IF(AND(ISNUMBER(CG75),ISNUMBER(CE75)),CG75-CE75,"")</f>
        <v>0</v>
      </c>
      <c r="CG75" s="33"/>
      <c r="CH75" s="34">
        <f>IF(AND(ISNUMBER(CI75),ISNUMBER(CG75)),CI75-CG75,"")</f>
        <v>0</v>
      </c>
      <c r="CI75" s="33"/>
      <c r="CJ75" s="34">
        <f>IF(AND(ISNUMBER(CK75),ISNUMBER(CI75)),CK75-CI75,"")</f>
        <v>0</v>
      </c>
      <c r="CK75" s="33"/>
      <c r="CL75" s="34">
        <f>IF(AND(ISNUMBER(CM75),ISNUMBER(CK75)),CM75-CK75,"")</f>
        <v>0</v>
      </c>
      <c r="CM75" s="33"/>
      <c r="CN75" s="34">
        <f>IF(AND(ISNUMBER(CO75),ISNUMBER(CM75)),CO75-CM75,"")</f>
        <v>0</v>
      </c>
      <c r="CO75" s="33"/>
      <c r="CP75" s="34">
        <f>IF(AND(ISNUMBER(CQ75),ISNUMBER(CO75)),CQ75-CO75,"")</f>
        <v>0</v>
      </c>
      <c r="CQ75" s="33"/>
      <c r="CR75" s="34">
        <f>IF(AND(ISNUMBER(CS75),ISNUMBER(CQ75)),CS75-CQ75,"")</f>
        <v>0</v>
      </c>
      <c r="CS75" s="33"/>
      <c r="CT75" s="34">
        <f>IF(AND(ISNUMBER(CU75),ISNUMBER(CS75)),CU75-CS75,"")</f>
        <v>0</v>
      </c>
      <c r="CU75" s="33"/>
      <c r="CV75" s="34">
        <f>IF(AND(ISNUMBER(CW75),ISNUMBER(CU75)),CW75-CU75,"")</f>
        <v>0</v>
      </c>
      <c r="CW75" s="33"/>
      <c r="CX75" s="34">
        <f>IF(AND(ISNUMBER(CY75),ISNUMBER(CW75)),CY75-CW75,"")</f>
        <v>0</v>
      </c>
      <c r="CY75" s="33"/>
      <c r="CZ75" s="34">
        <f>IF(AND(ISNUMBER(DA75),ISNUMBER(CY75)),DA75-CY75,"")</f>
        <v>0</v>
      </c>
      <c r="DA75" s="33"/>
      <c r="DB75" s="34">
        <f>IF(AND(ISNUMBER(DC75),ISNUMBER(DA75)),DC75-DA75,"")</f>
        <v>0</v>
      </c>
      <c r="DC75" s="33"/>
      <c r="DD75" s="34">
        <f>IF(AND(ISNUMBER(DE75),ISNUMBER(DC75)),DE75-DC75,"")</f>
        <v>0</v>
      </c>
      <c r="DE75" s="33"/>
      <c r="DF75" s="34">
        <f>IF(AND(ISNUMBER(DG75),ISNUMBER(DE75)),DG75-DE75,"")</f>
        <v>0</v>
      </c>
      <c r="DG75" s="33"/>
      <c r="DH75" s="34">
        <f>IF(AND(ISNUMBER(DI75),ISNUMBER(DG75)),DI75-DG75,"")</f>
        <v>0</v>
      </c>
      <c r="DI75" s="33"/>
      <c r="DJ75" s="34">
        <f>IF(AND(ISNUMBER(DK75),ISNUMBER(DI75)),DK75-DI75,"")</f>
        <v>0</v>
      </c>
      <c r="DK75" s="33"/>
      <c r="DL75" s="34">
        <f>IF(AND(ISNUMBER(DM75),ISNUMBER(DK75)),DM75-DK75,"")</f>
        <v>0</v>
      </c>
      <c r="DM75" s="33"/>
      <c r="DN75" s="34">
        <f>IF(AND(ISNUMBER(DO75),ISNUMBER(DM75)),DO75-DM75,"")</f>
        <v>0</v>
      </c>
      <c r="DO75" s="33"/>
      <c r="DP75" s="34">
        <f>IF(AND(ISNUMBER(DQ75),ISNUMBER(DO75)),DQ75-DO75,"")</f>
        <v>0</v>
      </c>
      <c r="DQ75" s="33"/>
      <c r="DR75" s="34">
        <f>IF(AND(ISNUMBER(DS75),ISNUMBER(DQ75)),DS75-DQ75,"")</f>
        <v>0</v>
      </c>
      <c r="DS75" s="33"/>
      <c r="DT75" s="34">
        <f>IF(AND(ISNUMBER(DU75),ISNUMBER(DS75)),DU75-DS75,"")</f>
        <v>0</v>
      </c>
      <c r="DU75" s="33"/>
      <c r="DV75" s="34">
        <f>IF(AND(ISNUMBER(DW75),ISNUMBER(DU75)),DW75-DU75,"")</f>
        <v>0</v>
      </c>
      <c r="DW75" s="33"/>
      <c r="DX75" s="34">
        <f>IF(AND(ISNUMBER(DY75),ISNUMBER(DW75)),DY75-DW75,"")</f>
        <v>0</v>
      </c>
      <c r="DY75" s="33"/>
      <c r="DZ75" s="34">
        <f>IF(AND(ISNUMBER(EA75),ISNUMBER(DY75)),EA75-DY75,"")</f>
        <v>0</v>
      </c>
      <c r="EA75" s="33"/>
      <c r="EB75" s="34">
        <f>IF(AND(ISNUMBER(EC75),ISNUMBER(EA75)),EC75-EA75,"")</f>
        <v>0</v>
      </c>
      <c r="EC75" s="33"/>
      <c r="ED75" s="34">
        <f>IF(AND(ISNUMBER(EE75),ISNUMBER(EC75)),EE75-EC75,"")</f>
        <v>0</v>
      </c>
      <c r="EE75" s="33"/>
      <c r="EF75" s="34">
        <f>IF(AND(ISNUMBER(EG75),ISNUMBER(EE75)),EG75-EE75,"")</f>
        <v>0</v>
      </c>
      <c r="EG75" s="33"/>
      <c r="EH75" s="34">
        <f>IF(AND(ISNUMBER(EI75),ISNUMBER(EG75)),EI75-EG75,"")</f>
        <v>0</v>
      </c>
      <c r="EI75" s="33"/>
      <c r="EJ75" s="34">
        <f>IF(AND(ISNUMBER(EK75),ISNUMBER(EI75)),EK75-EI75,"")</f>
        <v>0</v>
      </c>
      <c r="EK75" s="33"/>
      <c r="EL75" s="34">
        <f>IF(AND(ISNUMBER(EM75),ISNUMBER(EK75)),EM75-EK75,"")</f>
        <v>0</v>
      </c>
      <c r="EM75" s="33"/>
      <c r="EN75" s="34">
        <f>IF(AND(ISNUMBER(EO75),ISNUMBER(EM75)),EO75-EM75,"")</f>
        <v>0</v>
      </c>
      <c r="EO75" s="33"/>
      <c r="EP75" s="34">
        <f>IF(AND(ISNUMBER(EQ75),ISNUMBER(EO75)),EQ75-EO75,"")</f>
        <v>0</v>
      </c>
      <c r="EQ75" s="33"/>
      <c r="ER75" s="34">
        <f>IF(AND(ISNUMBER(ES75),ISNUMBER(EQ75)),ES75-EQ75,"")</f>
        <v>0</v>
      </c>
      <c r="ES75" s="33"/>
      <c r="ET75" s="34">
        <f>IF(AND(ISNUMBER(EU75),ISNUMBER(ES75)),EU75-ES75,"")</f>
        <v>0</v>
      </c>
      <c r="EU75" s="33"/>
      <c r="EV75" s="34">
        <f>IF(AND(ISNUMBER(EW75),ISNUMBER(EU75)),EW75-EU75,"")</f>
        <v>0</v>
      </c>
      <c r="EW75" s="33"/>
      <c r="EX75" s="34">
        <f>IF(AND(ISNUMBER(EY75),ISNUMBER(EW75)),EY75-EW75,"")</f>
        <v>0</v>
      </c>
      <c r="EY75" s="33"/>
      <c r="EZ75" s="34">
        <f>IF(AND(ISNUMBER(FA75),ISNUMBER(EY75)),FA75-EY75,"")</f>
        <v>0</v>
      </c>
      <c r="FA75" s="33"/>
      <c r="FB75" s="34">
        <f>IF(AND(ISNUMBER(FC75),ISNUMBER(FA75)),FC75-FA75,"")</f>
        <v>0</v>
      </c>
      <c r="FC75" s="33"/>
      <c r="FD75" s="34">
        <f>IF(AND(ISNUMBER(FE75),ISNUMBER(FC75)),FE75-FC75,"")</f>
        <v>0</v>
      </c>
      <c r="FE75" s="33"/>
      <c r="FF75" s="34">
        <f>IF(AND(ISNUMBER(FG75),ISNUMBER(FE75)),FG75-FE75,"")</f>
        <v>0</v>
      </c>
      <c r="FG75" s="33"/>
      <c r="FH75" s="34">
        <f>IF(AND(ISNUMBER(FI75),ISNUMBER(FG75)),FI75-FG75,"")</f>
        <v>0</v>
      </c>
      <c r="FI75" s="33"/>
      <c r="FJ75" s="34">
        <f>IF(AND(ISNUMBER(FK75),ISNUMBER(FI75)),FK75-FI75,"")</f>
        <v>0</v>
      </c>
      <c r="FK75" s="33"/>
      <c r="FL75" s="34">
        <f>IF(AND(ISNUMBER(FM75),ISNUMBER(FK75)),FM75-FK75,"")</f>
        <v>0</v>
      </c>
      <c r="FM75" s="33"/>
      <c r="FN75" s="34">
        <f>IF(AND(ISNUMBER(FO75),ISNUMBER(FM75)),FO75-FM75,"")</f>
        <v>0</v>
      </c>
      <c r="FO75" s="33"/>
      <c r="FP75" s="34">
        <f>IF(AND(ISNUMBER(FQ75),ISNUMBER(FO75)),FQ75-FO75,"")</f>
        <v>0</v>
      </c>
      <c r="FQ75" s="33"/>
      <c r="FR75" s="34">
        <f>IF(AND(ISNUMBER(FS75),ISNUMBER(FQ75)),FS75-FQ75,"")</f>
        <v>0</v>
      </c>
      <c r="FS75" s="33"/>
      <c r="FT75" s="34">
        <f>IF(AND(ISNUMBER(FU75),ISNUMBER(FS75)),FU75-FS75,"")</f>
        <v>0</v>
      </c>
      <c r="FU75" s="33"/>
      <c r="FV75" s="34">
        <f>IF(AND(ISNUMBER(FW75),ISNUMBER(FU75)),FW75-FU75,"")</f>
        <v>0</v>
      </c>
      <c r="FW75" s="33"/>
      <c r="FX75" s="34">
        <f>IF(AND(ISNUMBER(FY75),ISNUMBER(FW75)),FY75-FW75,"")</f>
        <v>0</v>
      </c>
      <c r="FY75" s="33"/>
      <c r="FZ75" s="34">
        <f>IF(AND(ISNUMBER(GA75),ISNUMBER(FY75)),GA75-FY75,"")</f>
        <v>0</v>
      </c>
      <c r="GA75" s="33"/>
      <c r="GB75" s="34">
        <f>IF(AND(ISNUMBER(GC75),ISNUMBER(GA75)),GC75-GA75,"")</f>
        <v>0</v>
      </c>
      <c r="GC75" s="33"/>
      <c r="GD75" s="34">
        <f>IF(AND(ISNUMBER(GE75),ISNUMBER(GC75)),GE75-GC75,"")</f>
        <v>0</v>
      </c>
      <c r="GE75" s="33"/>
      <c r="GF75" s="34">
        <f>IF(AND(ISNUMBER(GG75),ISNUMBER(GE75)),GG75-GE75,"")</f>
        <v>0</v>
      </c>
      <c r="GG75" s="33"/>
      <c r="GH75" s="34">
        <f>IF(AND(ISNUMBER(GI75),ISNUMBER(GG75)),GI75-GG75,"")</f>
        <v>0</v>
      </c>
      <c r="GI75" s="33"/>
      <c r="GJ75" s="34">
        <f>IF(AND(ISNUMBER(GK75),ISNUMBER(GI75)),GK75-GI75,"")</f>
        <v>0</v>
      </c>
      <c r="GK75" s="33"/>
      <c r="GL75" s="34">
        <f>IF(AND(ISNUMBER(GM75),ISNUMBER(GK75)),GM75-GK75,"")</f>
        <v>0</v>
      </c>
      <c r="GM75" s="33"/>
      <c r="GN75" s="34">
        <f>IF(AND(ISNUMBER(GO75),ISNUMBER(GM75)),GO75-GM75,"")</f>
        <v>0</v>
      </c>
      <c r="GO75" s="33"/>
      <c r="GP75" s="34">
        <f>IF(AND(ISNUMBER(GQ75),ISNUMBER(GO75)),GQ75-GO75,"")</f>
        <v>0</v>
      </c>
      <c r="GQ75" s="33"/>
      <c r="GR75" s="34">
        <f>IF(AND(ISNUMBER(GS75),ISNUMBER(GQ75)),GS75-GQ75,"")</f>
        <v>0</v>
      </c>
      <c r="GS75" s="33"/>
      <c r="GT75" s="34">
        <f>IF(AND(ISNUMBER(GU75),ISNUMBER(GS75)),GU75-GS75,"")</f>
        <v>0</v>
      </c>
      <c r="GU75" s="33"/>
      <c r="GV75" s="34">
        <f>IF(AND(ISNUMBER(GW75),ISNUMBER(GU75)),GW75-GU75,"")</f>
        <v>0</v>
      </c>
      <c r="GW75" s="33"/>
      <c r="GX75" s="34">
        <f>IF(AND(ISNUMBER(GY75),ISNUMBER(GW75)),GY75-GW75,"")</f>
        <v>0</v>
      </c>
      <c r="GY75" s="33"/>
      <c r="GZ75" s="34">
        <f>IF(AND(ISNUMBER(HA75),ISNUMBER(GY75)),HA75-GY75,"")</f>
        <v>0</v>
      </c>
      <c r="HA75" s="33"/>
      <c r="HB75" s="34">
        <f>IF(AND(ISNUMBER(HC75),ISNUMBER(HA75)),HC75-HA75,"")</f>
        <v>0</v>
      </c>
      <c r="HC75" s="33"/>
      <c r="HD75" s="34">
        <f>IF(AND(ISNUMBER(HE75),ISNUMBER(HC75)),HE75-HC75,"")</f>
        <v>0</v>
      </c>
      <c r="HE75" s="33"/>
      <c r="HF75" s="34">
        <f>IF(AND(ISNUMBER(HG75),ISNUMBER(HE75)),HG75-HE75,"")</f>
        <v>0</v>
      </c>
      <c r="HG75" s="33"/>
      <c r="HH75" s="34">
        <f>IF(AND(ISNUMBER(HI75),ISNUMBER(HG75)),HI75-HG75,"")</f>
        <v>0</v>
      </c>
      <c r="HI75" s="33"/>
      <c r="HJ75" s="34">
        <f>IF(AND(ISNUMBER(HK75),ISNUMBER(HI75)),HK75-HI75,"")</f>
        <v>0</v>
      </c>
      <c r="HK75" s="33"/>
      <c r="HL75" s="34">
        <f>IF(AND(ISNUMBER(HM75),ISNUMBER(HK75)),HM75-HK75,"")</f>
        <v>0</v>
      </c>
      <c r="HM75" s="33"/>
      <c r="HN75" s="34">
        <f>IF(AND(ISNUMBER(HO75),ISNUMBER(HM75)),HO75-HM75,"")</f>
        <v>0</v>
      </c>
      <c r="HO75" s="33"/>
      <c r="HP75" s="34">
        <f>IF(AND(ISNUMBER(HQ75),ISNUMBER(HO75)),HQ75-HO75,"")</f>
        <v>0</v>
      </c>
      <c r="HQ75" s="33"/>
      <c r="HR75" s="34">
        <f>IF(AND(ISNUMBER(HS75),ISNUMBER(HQ75)),HS75-HQ75,"")</f>
        <v>0</v>
      </c>
      <c r="HS75" s="33"/>
      <c r="HT75" s="34">
        <f>IF(AND(ISNUMBER(HU75),ISNUMBER(HS75)),HU75-HS75,"")</f>
        <v>0</v>
      </c>
      <c r="HU75" s="33"/>
      <c r="HV75" s="34">
        <f>IF(AND(ISNUMBER(HW75),ISNUMBER(HU75)),HW75-HU75,"")</f>
        <v>0</v>
      </c>
      <c r="HW75" s="33"/>
      <c r="HX75" s="34">
        <f>IF(AND(ISNUMBER(HY75),ISNUMBER(HW75)),HY75-HW75,"")</f>
        <v>0</v>
      </c>
      <c r="HY75" s="33"/>
      <c r="HZ75" s="34">
        <f>IF(AND(ISNUMBER(IA75),ISNUMBER(HY75)),IA75-HY75,"")</f>
        <v>0</v>
      </c>
      <c r="IA75" s="33"/>
      <c r="IB75" s="34">
        <f>IF(AND(ISNUMBER(IC75),ISNUMBER(IA75)),IC75-IA75,"")</f>
        <v>0</v>
      </c>
      <c r="IC75" s="33"/>
      <c r="ID75" s="34">
        <f>IF(AND(ISNUMBER(IE75),ISNUMBER(IC75)),IE75-IC75,"")</f>
        <v>0</v>
      </c>
      <c r="IE75" s="33"/>
      <c r="IF75" s="34">
        <f>IF(AND(ISNUMBER(IG75),ISNUMBER(IE75)),IG75-IE75,"")</f>
        <v>0</v>
      </c>
      <c r="IG75" s="33"/>
      <c r="IH75" s="34">
        <f>IF(AND(ISNUMBER(II75),ISNUMBER(IG75)),II75-IG75,"")</f>
        <v>0</v>
      </c>
      <c r="II75" s="33"/>
      <c r="IJ75" s="34">
        <f>IF(AND(ISNUMBER(IK75),ISNUMBER(II75)),IK75-II75,"")</f>
        <v>0</v>
      </c>
      <c r="IK75" s="33"/>
      <c r="IL75" s="34">
        <f>IF(AND(ISNUMBER(IM75),ISNUMBER(IK75)),IM75-IK75,"")</f>
        <v>0</v>
      </c>
      <c r="IM75" s="33"/>
      <c r="IN75" s="34">
        <f>IF(AND(ISNUMBER(IO75),ISNUMBER(IM75)),IO75-IM75,"")</f>
        <v>0</v>
      </c>
      <c r="IO75" s="33"/>
      <c r="IP75" s="34">
        <f>IF(AND(ISNUMBER(IQ75),ISNUMBER(IO75)),IQ75-IO75,"")</f>
        <v>0</v>
      </c>
      <c r="IQ75" s="33"/>
      <c r="IR75" s="34">
        <f>IF(AND(ISNUMBER(IS75),ISNUMBER(IQ75)),IS75-IQ75,"")</f>
        <v>0</v>
      </c>
      <c r="IS75" s="33"/>
      <c r="IT75" s="34">
        <f>IF(AND(ISNUMBER(IU75),ISNUMBER(IS75)),IU75-IS75,"")</f>
        <v>0</v>
      </c>
      <c r="IU75" s="33"/>
      <c r="IV75" s="34">
        <f>IF(AND(ISNUMBER(IW75),ISNUMBER(IU75)),IW75-IU75,"")</f>
        <v>0</v>
      </c>
      <c r="IW75" s="33"/>
      <c r="IX75" s="34">
        <f>IF(AND(ISNUMBER(IY75),ISNUMBER(IW75)),IY75-IW75,"")</f>
        <v>0</v>
      </c>
      <c r="IY75" s="33"/>
      <c r="IZ75" s="34">
        <f>IF(AND(ISNUMBER(JA75),ISNUMBER(IY75)),JA75-IY75,"")</f>
        <v>0</v>
      </c>
      <c r="JA75" s="33"/>
      <c r="JB75" s="34">
        <f>IF(AND(ISNUMBER(JC75),ISNUMBER(JA75)),JC75-JA75,"")</f>
        <v>0</v>
      </c>
      <c r="JC75" s="33"/>
      <c r="JD75" s="34">
        <f>IF(AND(ISNUMBER(JE75),ISNUMBER(JC75)),JE75-JC75,"")</f>
        <v>0</v>
      </c>
      <c r="JE75" s="33"/>
      <c r="JF75" s="34">
        <f>IF(AND(ISNUMBER(JG75),ISNUMBER(JE75)),JG75-JE75,"")</f>
        <v>0</v>
      </c>
      <c r="JG75" s="33"/>
      <c r="JH75" s="34">
        <f>IF(AND(ISNUMBER(JI75),ISNUMBER(JG75)),JI75-JG75,"")</f>
        <v>0</v>
      </c>
      <c r="JI75" s="33"/>
      <c r="JJ75" s="34">
        <f>IF(AND(ISNUMBER(JK75),ISNUMBER(JI75)),JK75-JI75,"")</f>
        <v>0</v>
      </c>
      <c r="JK75" s="33"/>
      <c r="JL75" s="34">
        <f>IF(AND(ISNUMBER(JM75),ISNUMBER(JK75)),JM75-JK75,"")</f>
        <v>0</v>
      </c>
      <c r="JM75" s="33"/>
      <c r="JN75" s="34">
        <f>IF(AND(ISNUMBER(JO75),ISNUMBER(JM75)),JO75-JM75,"")</f>
        <v>0</v>
      </c>
      <c r="JO75" s="33"/>
      <c r="JP75" s="34">
        <f>IF(AND(ISNUMBER(JQ75),ISNUMBER(JO75)),JQ75-JO75,"")</f>
        <v>0</v>
      </c>
      <c r="JQ75" s="33">
        <v>0</v>
      </c>
      <c r="JR75" s="34">
        <f>IF(AND(ISNUMBER(JS75),ISNUMBER(JQ75)),JS75-JQ75,"")</f>
        <v>0</v>
      </c>
      <c r="JS75" s="33">
        <v>2339</v>
      </c>
      <c r="JT75" s="34">
        <f>IF(AND(ISNUMBER(JU75),ISNUMBER(JS75)),JU75-JS75,"")</f>
        <v>0</v>
      </c>
      <c r="JU75" s="33">
        <v>1843</v>
      </c>
      <c r="JV75" s="34">
        <f>IF(AND(ISNUMBER(JW75),ISNUMBER(JU75)),JW75-JU75,"")</f>
        <v>0</v>
      </c>
      <c r="JW75" s="33"/>
      <c r="JX75" s="34">
        <f>IF(AND(ISNUMBER(JY75),ISNUMBER(JW75)),JY75-JW75,"")</f>
        <v>0</v>
      </c>
      <c r="JY75" s="33"/>
      <c r="JZ75" s="34">
        <f>IF(AND(ISNUMBER(KA75),ISNUMBER(JY75)),KA75-JY75,"")</f>
        <v>0</v>
      </c>
      <c r="KA75" s="33"/>
      <c r="KB75" s="34">
        <f>IF(AND(ISNUMBER(KC75),ISNUMBER(KA75)),KC75-KA75,"")</f>
        <v>0</v>
      </c>
      <c r="KC75" s="33"/>
      <c r="KD75" s="34">
        <f>IF(AND(ISNUMBER(KE75),ISNUMBER(KC75)),KE75-KC75,"")</f>
        <v>0</v>
      </c>
      <c r="KE75" s="33"/>
      <c r="KF75" s="34">
        <f>IF(AND(ISNUMBER(KG75),ISNUMBER(KE75)),KG75-KE75,"")</f>
        <v>0</v>
      </c>
      <c r="KG75" s="33"/>
      <c r="KH75" s="34">
        <f>IF(AND(ISNUMBER(KI75),ISNUMBER(KG75)),KI75-KG75,"")</f>
        <v>0</v>
      </c>
      <c r="KI75" s="33"/>
      <c r="KJ75" s="34">
        <f>IF(AND(ISNUMBER(KK75),ISNUMBER(KI75)),KK75-KI75,"")</f>
        <v>0</v>
      </c>
      <c r="KK75" s="33"/>
      <c r="KL75" s="34">
        <f>IF(AND(ISNUMBER(KM75),ISNUMBER(KK75)),KM75-KK75,"")</f>
        <v>0</v>
      </c>
      <c r="KM75" s="33"/>
      <c r="KN75" s="34">
        <f>IF(AND(ISNUMBER(KO75),ISNUMBER(KM75)),KO75-KM75,"")</f>
        <v>0</v>
      </c>
      <c r="KO75" s="33"/>
      <c r="KP75" s="34">
        <f>IF(AND(ISNUMBER(KQ75),ISNUMBER(KO75)),KQ75-KO75,"")</f>
        <v>0</v>
      </c>
      <c r="KQ75" s="33"/>
      <c r="KR75" s="34">
        <f>IF(AND(ISNUMBER(KS75),ISNUMBER(KQ75)),KS75-KQ75,"")</f>
        <v>0</v>
      </c>
      <c r="KS75" s="33"/>
      <c r="KT75" s="34">
        <f>IF(AND(ISNUMBER(KU75),ISNUMBER(KS75)),KU75-KS75,"")</f>
        <v>0</v>
      </c>
      <c r="KU75" s="33"/>
      <c r="KV75" s="34">
        <f>IF(AND(ISNUMBER(KW75),ISNUMBER(KU75)),KW75-KU75,"")</f>
        <v>0</v>
      </c>
      <c r="KW75" s="33"/>
      <c r="KX75" s="34">
        <f>IF(AND(ISNUMBER(KY75),ISNUMBER(KW75)),KY75-KW75,"")</f>
        <v>0</v>
      </c>
      <c r="KY75" s="33"/>
      <c r="KZ75" s="34">
        <f>IF(AND(ISNUMBER(LA75),ISNUMBER(KY75)),LA75-KY75,"")</f>
        <v>0</v>
      </c>
      <c r="LA75" s="33"/>
      <c r="LB75" s="34">
        <f>IF(AND(ISNUMBER(LC75),ISNUMBER(LA75)),LC75-LA75,"")</f>
        <v>0</v>
      </c>
      <c r="LC75" s="33"/>
      <c r="LD75" s="34">
        <f>IF(AND(ISNUMBER(LE75),ISNUMBER(LC75)),LE75-LC75,"")</f>
        <v>0</v>
      </c>
      <c r="LE75" s="33"/>
      <c r="LF75" s="34">
        <f>IF(AND(ISNUMBER(LG75),ISNUMBER(LE75)),LG75-LE75,"")</f>
        <v>0</v>
      </c>
      <c r="LG75" s="33"/>
    </row>
    <row r="76" spans="1:322">
      <c r="A76" s="36" t="s">
        <v>155</v>
      </c>
      <c r="B76" s="23"/>
      <c r="C76" s="31" t="s">
        <v>786</v>
      </c>
      <c r="D76" s="31" t="s">
        <v>793</v>
      </c>
      <c r="E76" s="32" t="s">
        <v>1036</v>
      </c>
      <c r="H76" s="38" t="s">
        <v>1082</v>
      </c>
      <c r="I76" s="33"/>
      <c r="J76" s="34">
        <f>IF(AND(ISNUMBER(K76),ISNUMBER(I76)),K76-I76,"")</f>
        <v>0</v>
      </c>
      <c r="K76" s="33"/>
      <c r="L76" s="34">
        <f>IF(AND(ISNUMBER(M76),ISNUMBER(K76)),M76-K76,"")</f>
        <v>0</v>
      </c>
      <c r="M76" s="33"/>
      <c r="N76" s="34">
        <f>IF(AND(ISNUMBER(O76),ISNUMBER(M76)),O76-M76,"")</f>
        <v>0</v>
      </c>
      <c r="O76" s="33"/>
      <c r="P76" s="34">
        <f>IF(AND(ISNUMBER(Q76),ISNUMBER(O76)),Q76-O76,"")</f>
        <v>0</v>
      </c>
      <c r="Q76" s="33"/>
      <c r="R76" s="34">
        <f>IF(AND(ISNUMBER(S76),ISNUMBER(Q76)),S76-Q76,"")</f>
        <v>0</v>
      </c>
      <c r="S76" s="33"/>
      <c r="T76" s="34">
        <f>IF(AND(ISNUMBER(U76),ISNUMBER(S76)),U76-S76,"")</f>
        <v>0</v>
      </c>
      <c r="U76" s="33"/>
      <c r="V76" s="34">
        <f>IF(AND(ISNUMBER(W76),ISNUMBER(U76)),W76-U76,"")</f>
        <v>0</v>
      </c>
      <c r="W76" s="33"/>
      <c r="X76" s="34">
        <f>IF(AND(ISNUMBER(Y76),ISNUMBER(W76)),Y76-W76,"")</f>
        <v>0</v>
      </c>
      <c r="Y76" s="33"/>
      <c r="Z76" s="34">
        <f>IF(AND(ISNUMBER(AA76),ISNUMBER(Y76)),AA76-Y76,"")</f>
        <v>0</v>
      </c>
      <c r="AA76" s="33"/>
      <c r="AB76" s="34">
        <f>IF(AND(ISNUMBER(AC76),ISNUMBER(AA76)),AC76-AA76,"")</f>
        <v>0</v>
      </c>
      <c r="AC76" s="33"/>
      <c r="AD76" s="34">
        <f>IF(AND(ISNUMBER(AE76),ISNUMBER(AC76)),AE76-AC76,"")</f>
        <v>0</v>
      </c>
      <c r="AE76" s="33"/>
      <c r="AF76" s="34">
        <f>IF(AND(ISNUMBER(AG76),ISNUMBER(AE76)),AG76-AE76,"")</f>
        <v>0</v>
      </c>
      <c r="AG76" s="33"/>
      <c r="AH76" s="34">
        <f>IF(AND(ISNUMBER(AI76),ISNUMBER(AG76)),AI76-AG76,"")</f>
        <v>0</v>
      </c>
      <c r="AI76" s="33"/>
      <c r="AJ76" s="34">
        <f>IF(AND(ISNUMBER(AK76),ISNUMBER(AI76)),AK76-AI76,"")</f>
        <v>0</v>
      </c>
      <c r="AK76" s="33"/>
      <c r="AL76" s="34">
        <f>IF(AND(ISNUMBER(AM76),ISNUMBER(AK76)),AM76-AK76,"")</f>
        <v>0</v>
      </c>
      <c r="AM76" s="33"/>
      <c r="AN76" s="34">
        <f>IF(AND(ISNUMBER(AO76),ISNUMBER(AM76)),AO76-AM76,"")</f>
        <v>0</v>
      </c>
      <c r="AO76" s="33"/>
      <c r="AP76" s="34">
        <f>IF(AND(ISNUMBER(AQ76),ISNUMBER(AO76)),AQ76-AO76,"")</f>
        <v>0</v>
      </c>
      <c r="AQ76" s="33"/>
      <c r="AR76" s="34">
        <f>IF(AND(ISNUMBER(AS76),ISNUMBER(AQ76)),AS76-AQ76,"")</f>
        <v>0</v>
      </c>
      <c r="AS76" s="33"/>
      <c r="AT76" s="34">
        <f>IF(AND(ISNUMBER(AU76),ISNUMBER(AS76)),AU76-AS76,"")</f>
        <v>0</v>
      </c>
      <c r="AU76" s="33"/>
      <c r="AV76" s="34">
        <f>IF(AND(ISNUMBER(AW76),ISNUMBER(AU76)),AW76-AU76,"")</f>
        <v>0</v>
      </c>
      <c r="AW76" s="33"/>
      <c r="AX76" s="34">
        <f>IF(AND(ISNUMBER(AY76),ISNUMBER(AW76)),AY76-AW76,"")</f>
        <v>0</v>
      </c>
      <c r="AY76" s="33"/>
      <c r="AZ76" s="34">
        <f>IF(AND(ISNUMBER(BA76),ISNUMBER(AY76)),BA76-AY76,"")</f>
        <v>0</v>
      </c>
      <c r="BA76" s="33"/>
      <c r="BB76" s="34">
        <f>IF(AND(ISNUMBER(BC76),ISNUMBER(BA76)),BC76-BA76,"")</f>
        <v>0</v>
      </c>
      <c r="BC76" s="33"/>
      <c r="BD76" s="34">
        <f>IF(AND(ISNUMBER(BE76),ISNUMBER(BC76)),BE76-BC76,"")</f>
        <v>0</v>
      </c>
      <c r="BE76" s="33"/>
      <c r="BF76" s="34">
        <f>IF(AND(ISNUMBER(BG76),ISNUMBER(BE76)),BG76-BE76,"")</f>
        <v>0</v>
      </c>
      <c r="BG76" s="33"/>
      <c r="BH76" s="34">
        <f>IF(AND(ISNUMBER(BI76),ISNUMBER(BG76)),BI76-BG76,"")</f>
        <v>0</v>
      </c>
      <c r="BI76" s="33"/>
      <c r="BJ76" s="34">
        <f>IF(AND(ISNUMBER(BK76),ISNUMBER(BI76)),BK76-BI76,"")</f>
        <v>0</v>
      </c>
      <c r="BK76" s="33"/>
      <c r="BL76" s="34">
        <f>IF(AND(ISNUMBER(BM76),ISNUMBER(BK76)),BM76-BK76,"")</f>
        <v>0</v>
      </c>
      <c r="BM76" s="33"/>
      <c r="BN76" s="34">
        <f>IF(AND(ISNUMBER(BO76),ISNUMBER(BM76)),BO76-BM76,"")</f>
        <v>0</v>
      </c>
      <c r="BO76" s="33"/>
      <c r="BP76" s="34">
        <f>IF(AND(ISNUMBER(BQ76),ISNUMBER(BO76)),BQ76-BO76,"")</f>
        <v>0</v>
      </c>
      <c r="BQ76" s="33"/>
      <c r="BR76" s="34">
        <f>IF(AND(ISNUMBER(BS76),ISNUMBER(BQ76)),BS76-BQ76,"")</f>
        <v>0</v>
      </c>
      <c r="BS76" s="33"/>
      <c r="BT76" s="34">
        <f>IF(AND(ISNUMBER(BU76),ISNUMBER(BS76)),BU76-BS76,"")</f>
        <v>0</v>
      </c>
      <c r="BU76" s="33"/>
      <c r="BV76" s="34">
        <f>IF(AND(ISNUMBER(BW76),ISNUMBER(BU76)),BW76-BU76,"")</f>
        <v>0</v>
      </c>
      <c r="BW76" s="33"/>
      <c r="BX76" s="34">
        <f>IF(AND(ISNUMBER(BY76),ISNUMBER(BW76)),BY76-BW76,"")</f>
        <v>0</v>
      </c>
      <c r="BY76" s="33"/>
      <c r="BZ76" s="34">
        <f>IF(AND(ISNUMBER(CA76),ISNUMBER(BY76)),CA76-BY76,"")</f>
        <v>0</v>
      </c>
      <c r="CA76" s="33"/>
      <c r="CB76" s="34">
        <f>IF(AND(ISNUMBER(CC76),ISNUMBER(CA76)),CC76-CA76,"")</f>
        <v>0</v>
      </c>
      <c r="CC76" s="33"/>
      <c r="CD76" s="34">
        <f>IF(AND(ISNUMBER(CE76),ISNUMBER(CC76)),CE76-CC76,"")</f>
        <v>0</v>
      </c>
      <c r="CE76" s="33"/>
      <c r="CF76" s="34">
        <f>IF(AND(ISNUMBER(CG76),ISNUMBER(CE76)),CG76-CE76,"")</f>
        <v>0</v>
      </c>
      <c r="CG76" s="33"/>
      <c r="CH76" s="34">
        <f>IF(AND(ISNUMBER(CI76),ISNUMBER(CG76)),CI76-CG76,"")</f>
        <v>0</v>
      </c>
      <c r="CI76" s="33"/>
      <c r="CJ76" s="34">
        <f>IF(AND(ISNUMBER(CK76),ISNUMBER(CI76)),CK76-CI76,"")</f>
        <v>0</v>
      </c>
      <c r="CK76" s="33"/>
      <c r="CL76" s="34">
        <f>IF(AND(ISNUMBER(CM76),ISNUMBER(CK76)),CM76-CK76,"")</f>
        <v>0</v>
      </c>
      <c r="CM76" s="33"/>
      <c r="CN76" s="34">
        <f>IF(AND(ISNUMBER(CO76),ISNUMBER(CM76)),CO76-CM76,"")</f>
        <v>0</v>
      </c>
      <c r="CO76" s="33"/>
      <c r="CP76" s="34">
        <f>IF(AND(ISNUMBER(CQ76),ISNUMBER(CO76)),CQ76-CO76,"")</f>
        <v>0</v>
      </c>
      <c r="CQ76" s="33"/>
      <c r="CR76" s="34">
        <f>IF(AND(ISNUMBER(CS76),ISNUMBER(CQ76)),CS76-CQ76,"")</f>
        <v>0</v>
      </c>
      <c r="CS76" s="33"/>
      <c r="CT76" s="34">
        <f>IF(AND(ISNUMBER(CU76),ISNUMBER(CS76)),CU76-CS76,"")</f>
        <v>0</v>
      </c>
      <c r="CU76" s="33"/>
      <c r="CV76" s="34">
        <f>IF(AND(ISNUMBER(CW76),ISNUMBER(CU76)),CW76-CU76,"")</f>
        <v>0</v>
      </c>
      <c r="CW76" s="33"/>
      <c r="CX76" s="34">
        <f>IF(AND(ISNUMBER(CY76),ISNUMBER(CW76)),CY76-CW76,"")</f>
        <v>0</v>
      </c>
      <c r="CY76" s="33"/>
      <c r="CZ76" s="34">
        <f>IF(AND(ISNUMBER(DA76),ISNUMBER(CY76)),DA76-CY76,"")</f>
        <v>0</v>
      </c>
      <c r="DA76" s="33"/>
      <c r="DB76" s="34">
        <f>IF(AND(ISNUMBER(DC76),ISNUMBER(DA76)),DC76-DA76,"")</f>
        <v>0</v>
      </c>
      <c r="DC76" s="33"/>
      <c r="DD76" s="34">
        <f>IF(AND(ISNUMBER(DE76),ISNUMBER(DC76)),DE76-DC76,"")</f>
        <v>0</v>
      </c>
      <c r="DE76" s="33"/>
      <c r="DF76" s="34">
        <f>IF(AND(ISNUMBER(DG76),ISNUMBER(DE76)),DG76-DE76,"")</f>
        <v>0</v>
      </c>
      <c r="DG76" s="33"/>
      <c r="DH76" s="34">
        <f>IF(AND(ISNUMBER(DI76),ISNUMBER(DG76)),DI76-DG76,"")</f>
        <v>0</v>
      </c>
      <c r="DI76" s="33"/>
      <c r="DJ76" s="34">
        <f>IF(AND(ISNUMBER(DK76),ISNUMBER(DI76)),DK76-DI76,"")</f>
        <v>0</v>
      </c>
      <c r="DK76" s="33"/>
      <c r="DL76" s="34">
        <f>IF(AND(ISNUMBER(DM76),ISNUMBER(DK76)),DM76-DK76,"")</f>
        <v>0</v>
      </c>
      <c r="DM76" s="33"/>
      <c r="DN76" s="34">
        <f>IF(AND(ISNUMBER(DO76),ISNUMBER(DM76)),DO76-DM76,"")</f>
        <v>0</v>
      </c>
      <c r="DO76" s="33"/>
      <c r="DP76" s="34">
        <f>IF(AND(ISNUMBER(DQ76),ISNUMBER(DO76)),DQ76-DO76,"")</f>
        <v>0</v>
      </c>
      <c r="DQ76" s="33"/>
      <c r="DR76" s="34">
        <f>IF(AND(ISNUMBER(DS76),ISNUMBER(DQ76)),DS76-DQ76,"")</f>
        <v>0</v>
      </c>
      <c r="DS76" s="33"/>
      <c r="DT76" s="34">
        <f>IF(AND(ISNUMBER(DU76),ISNUMBER(DS76)),DU76-DS76,"")</f>
        <v>0</v>
      </c>
      <c r="DU76" s="33"/>
      <c r="DV76" s="34">
        <f>IF(AND(ISNUMBER(DW76),ISNUMBER(DU76)),DW76-DU76,"")</f>
        <v>0</v>
      </c>
      <c r="DW76" s="33"/>
      <c r="DX76" s="34">
        <f>IF(AND(ISNUMBER(DY76),ISNUMBER(DW76)),DY76-DW76,"")</f>
        <v>0</v>
      </c>
      <c r="DY76" s="33"/>
      <c r="DZ76" s="34">
        <f>IF(AND(ISNUMBER(EA76),ISNUMBER(DY76)),EA76-DY76,"")</f>
        <v>0</v>
      </c>
      <c r="EA76" s="33"/>
      <c r="EB76" s="34">
        <f>IF(AND(ISNUMBER(EC76),ISNUMBER(EA76)),EC76-EA76,"")</f>
        <v>0</v>
      </c>
      <c r="EC76" s="33"/>
      <c r="ED76" s="34">
        <f>IF(AND(ISNUMBER(EE76),ISNUMBER(EC76)),EE76-EC76,"")</f>
        <v>0</v>
      </c>
      <c r="EE76" s="33"/>
      <c r="EF76" s="34">
        <f>IF(AND(ISNUMBER(EG76),ISNUMBER(EE76)),EG76-EE76,"")</f>
        <v>0</v>
      </c>
      <c r="EG76" s="33"/>
      <c r="EH76" s="34">
        <f>IF(AND(ISNUMBER(EI76),ISNUMBER(EG76)),EI76-EG76,"")</f>
        <v>0</v>
      </c>
      <c r="EI76" s="33"/>
      <c r="EJ76" s="34">
        <f>IF(AND(ISNUMBER(EK76),ISNUMBER(EI76)),EK76-EI76,"")</f>
        <v>0</v>
      </c>
      <c r="EK76" s="33"/>
      <c r="EL76" s="34">
        <f>IF(AND(ISNUMBER(EM76),ISNUMBER(EK76)),EM76-EK76,"")</f>
        <v>0</v>
      </c>
      <c r="EM76" s="33"/>
      <c r="EN76" s="34">
        <f>IF(AND(ISNUMBER(EO76),ISNUMBER(EM76)),EO76-EM76,"")</f>
        <v>0</v>
      </c>
      <c r="EO76" s="33"/>
      <c r="EP76" s="34">
        <f>IF(AND(ISNUMBER(EQ76),ISNUMBER(EO76)),EQ76-EO76,"")</f>
        <v>0</v>
      </c>
      <c r="EQ76" s="33"/>
      <c r="ER76" s="34">
        <f>IF(AND(ISNUMBER(ES76),ISNUMBER(EQ76)),ES76-EQ76,"")</f>
        <v>0</v>
      </c>
      <c r="ES76" s="33"/>
      <c r="ET76" s="34">
        <f>IF(AND(ISNUMBER(EU76),ISNUMBER(ES76)),EU76-ES76,"")</f>
        <v>0</v>
      </c>
      <c r="EU76" s="33"/>
      <c r="EV76" s="34">
        <f>IF(AND(ISNUMBER(EW76),ISNUMBER(EU76)),EW76-EU76,"")</f>
        <v>0</v>
      </c>
      <c r="EW76" s="33"/>
      <c r="EX76" s="34">
        <f>IF(AND(ISNUMBER(EY76),ISNUMBER(EW76)),EY76-EW76,"")</f>
        <v>0</v>
      </c>
      <c r="EY76" s="33"/>
      <c r="EZ76" s="34">
        <f>IF(AND(ISNUMBER(FA76),ISNUMBER(EY76)),FA76-EY76,"")</f>
        <v>0</v>
      </c>
      <c r="FA76" s="33"/>
      <c r="FB76" s="34">
        <f>IF(AND(ISNUMBER(FC76),ISNUMBER(FA76)),FC76-FA76,"")</f>
        <v>0</v>
      </c>
      <c r="FC76" s="33"/>
      <c r="FD76" s="34">
        <f>IF(AND(ISNUMBER(FE76),ISNUMBER(FC76)),FE76-FC76,"")</f>
        <v>0</v>
      </c>
      <c r="FE76" s="33"/>
      <c r="FF76" s="34">
        <f>IF(AND(ISNUMBER(FG76),ISNUMBER(FE76)),FG76-FE76,"")</f>
        <v>0</v>
      </c>
      <c r="FG76" s="33"/>
      <c r="FH76" s="34">
        <f>IF(AND(ISNUMBER(FI76),ISNUMBER(FG76)),FI76-FG76,"")</f>
        <v>0</v>
      </c>
      <c r="FI76" s="33"/>
      <c r="FJ76" s="34">
        <f>IF(AND(ISNUMBER(FK76),ISNUMBER(FI76)),FK76-FI76,"")</f>
        <v>0</v>
      </c>
      <c r="FK76" s="33"/>
      <c r="FL76" s="34">
        <f>IF(AND(ISNUMBER(FM76),ISNUMBER(FK76)),FM76-FK76,"")</f>
        <v>0</v>
      </c>
      <c r="FM76" s="33"/>
      <c r="FN76" s="34">
        <f>IF(AND(ISNUMBER(FO76),ISNUMBER(FM76)),FO76-FM76,"")</f>
        <v>0</v>
      </c>
      <c r="FO76" s="33"/>
      <c r="FP76" s="34">
        <f>IF(AND(ISNUMBER(FQ76),ISNUMBER(FO76)),FQ76-FO76,"")</f>
        <v>0</v>
      </c>
      <c r="FQ76" s="33"/>
      <c r="FR76" s="34">
        <f>IF(AND(ISNUMBER(FS76),ISNUMBER(FQ76)),FS76-FQ76,"")</f>
        <v>0</v>
      </c>
      <c r="FS76" s="33"/>
      <c r="FT76" s="34">
        <f>IF(AND(ISNUMBER(FU76),ISNUMBER(FS76)),FU76-FS76,"")</f>
        <v>0</v>
      </c>
      <c r="FU76" s="33"/>
      <c r="FV76" s="34">
        <f>IF(AND(ISNUMBER(FW76),ISNUMBER(FU76)),FW76-FU76,"")</f>
        <v>0</v>
      </c>
      <c r="FW76" s="33"/>
      <c r="FX76" s="34">
        <f>IF(AND(ISNUMBER(FY76),ISNUMBER(FW76)),FY76-FW76,"")</f>
        <v>0</v>
      </c>
      <c r="FY76" s="33"/>
      <c r="FZ76" s="34">
        <f>IF(AND(ISNUMBER(GA76),ISNUMBER(FY76)),GA76-FY76,"")</f>
        <v>0</v>
      </c>
      <c r="GA76" s="33"/>
      <c r="GB76" s="34">
        <f>IF(AND(ISNUMBER(GC76),ISNUMBER(GA76)),GC76-GA76,"")</f>
        <v>0</v>
      </c>
      <c r="GC76" s="33"/>
      <c r="GD76" s="34">
        <f>IF(AND(ISNUMBER(GE76),ISNUMBER(GC76)),GE76-GC76,"")</f>
        <v>0</v>
      </c>
      <c r="GE76" s="33"/>
      <c r="GF76" s="34">
        <f>IF(AND(ISNUMBER(GG76),ISNUMBER(GE76)),GG76-GE76,"")</f>
        <v>0</v>
      </c>
      <c r="GG76" s="33"/>
      <c r="GH76" s="34">
        <f>IF(AND(ISNUMBER(GI76),ISNUMBER(GG76)),GI76-GG76,"")</f>
        <v>0</v>
      </c>
      <c r="GI76" s="33"/>
      <c r="GJ76" s="34">
        <f>IF(AND(ISNUMBER(GK76),ISNUMBER(GI76)),GK76-GI76,"")</f>
        <v>0</v>
      </c>
      <c r="GK76" s="33"/>
      <c r="GL76" s="34">
        <f>IF(AND(ISNUMBER(GM76),ISNUMBER(GK76)),GM76-GK76,"")</f>
        <v>0</v>
      </c>
      <c r="GM76" s="33"/>
      <c r="GN76" s="34">
        <f>IF(AND(ISNUMBER(GO76),ISNUMBER(GM76)),GO76-GM76,"")</f>
        <v>0</v>
      </c>
      <c r="GO76" s="33"/>
      <c r="GP76" s="34">
        <f>IF(AND(ISNUMBER(GQ76),ISNUMBER(GO76)),GQ76-GO76,"")</f>
        <v>0</v>
      </c>
      <c r="GQ76" s="33"/>
      <c r="GR76" s="34">
        <f>IF(AND(ISNUMBER(GS76),ISNUMBER(GQ76)),GS76-GQ76,"")</f>
        <v>0</v>
      </c>
      <c r="GS76" s="33"/>
      <c r="GT76" s="34">
        <f>IF(AND(ISNUMBER(GU76),ISNUMBER(GS76)),GU76-GS76,"")</f>
        <v>0</v>
      </c>
      <c r="GU76" s="33"/>
      <c r="GV76" s="34">
        <f>IF(AND(ISNUMBER(GW76),ISNUMBER(GU76)),GW76-GU76,"")</f>
        <v>0</v>
      </c>
      <c r="GW76" s="33"/>
      <c r="GX76" s="34">
        <f>IF(AND(ISNUMBER(GY76),ISNUMBER(GW76)),GY76-GW76,"")</f>
        <v>0</v>
      </c>
      <c r="GY76" s="33"/>
      <c r="GZ76" s="34">
        <f>IF(AND(ISNUMBER(HA76),ISNUMBER(GY76)),HA76-GY76,"")</f>
        <v>0</v>
      </c>
      <c r="HA76" s="33"/>
      <c r="HB76" s="34">
        <f>IF(AND(ISNUMBER(HC76),ISNUMBER(HA76)),HC76-HA76,"")</f>
        <v>0</v>
      </c>
      <c r="HC76" s="33"/>
      <c r="HD76" s="34">
        <f>IF(AND(ISNUMBER(HE76),ISNUMBER(HC76)),HE76-HC76,"")</f>
        <v>0</v>
      </c>
      <c r="HE76" s="33"/>
      <c r="HF76" s="34">
        <f>IF(AND(ISNUMBER(HG76),ISNUMBER(HE76)),HG76-HE76,"")</f>
        <v>0</v>
      </c>
      <c r="HG76" s="33"/>
      <c r="HH76" s="34">
        <f>IF(AND(ISNUMBER(HI76),ISNUMBER(HG76)),HI76-HG76,"")</f>
        <v>0</v>
      </c>
      <c r="HI76" s="33"/>
      <c r="HJ76" s="34">
        <f>IF(AND(ISNUMBER(HK76),ISNUMBER(HI76)),HK76-HI76,"")</f>
        <v>0</v>
      </c>
      <c r="HK76" s="33"/>
      <c r="HL76" s="34">
        <f>IF(AND(ISNUMBER(HM76),ISNUMBER(HK76)),HM76-HK76,"")</f>
        <v>0</v>
      </c>
      <c r="HM76" s="33"/>
      <c r="HN76" s="34">
        <f>IF(AND(ISNUMBER(HO76),ISNUMBER(HM76)),HO76-HM76,"")</f>
        <v>0</v>
      </c>
      <c r="HO76" s="33"/>
      <c r="HP76" s="34">
        <f>IF(AND(ISNUMBER(HQ76),ISNUMBER(HO76)),HQ76-HO76,"")</f>
        <v>0</v>
      </c>
      <c r="HQ76" s="33"/>
      <c r="HR76" s="34">
        <f>IF(AND(ISNUMBER(HS76),ISNUMBER(HQ76)),HS76-HQ76,"")</f>
        <v>0</v>
      </c>
      <c r="HS76" s="33"/>
      <c r="HT76" s="34">
        <f>IF(AND(ISNUMBER(HU76),ISNUMBER(HS76)),HU76-HS76,"")</f>
        <v>0</v>
      </c>
      <c r="HU76" s="33"/>
      <c r="HV76" s="34">
        <f>IF(AND(ISNUMBER(HW76),ISNUMBER(HU76)),HW76-HU76,"")</f>
        <v>0</v>
      </c>
      <c r="HW76" s="33"/>
      <c r="HX76" s="34">
        <f>IF(AND(ISNUMBER(HY76),ISNUMBER(HW76)),HY76-HW76,"")</f>
        <v>0</v>
      </c>
      <c r="HY76" s="33"/>
      <c r="HZ76" s="34">
        <f>IF(AND(ISNUMBER(IA76),ISNUMBER(HY76)),IA76-HY76,"")</f>
        <v>0</v>
      </c>
      <c r="IA76" s="33"/>
      <c r="IB76" s="34">
        <f>IF(AND(ISNUMBER(IC76),ISNUMBER(IA76)),IC76-IA76,"")</f>
        <v>0</v>
      </c>
      <c r="IC76" s="33"/>
      <c r="ID76" s="34">
        <f>IF(AND(ISNUMBER(IE76),ISNUMBER(IC76)),IE76-IC76,"")</f>
        <v>0</v>
      </c>
      <c r="IE76" s="33"/>
      <c r="IF76" s="34">
        <f>IF(AND(ISNUMBER(IG76),ISNUMBER(IE76)),IG76-IE76,"")</f>
        <v>0</v>
      </c>
      <c r="IG76" s="33"/>
      <c r="IH76" s="34">
        <f>IF(AND(ISNUMBER(II76),ISNUMBER(IG76)),II76-IG76,"")</f>
        <v>0</v>
      </c>
      <c r="II76" s="33"/>
      <c r="IJ76" s="34">
        <f>IF(AND(ISNUMBER(IK76),ISNUMBER(II76)),IK76-II76,"")</f>
        <v>0</v>
      </c>
      <c r="IK76" s="33"/>
      <c r="IL76" s="34">
        <f>IF(AND(ISNUMBER(IM76),ISNUMBER(IK76)),IM76-IK76,"")</f>
        <v>0</v>
      </c>
      <c r="IM76" s="33"/>
      <c r="IN76" s="34">
        <f>IF(AND(ISNUMBER(IO76),ISNUMBER(IM76)),IO76-IM76,"")</f>
        <v>0</v>
      </c>
      <c r="IO76" s="33"/>
      <c r="IP76" s="34">
        <f>IF(AND(ISNUMBER(IQ76),ISNUMBER(IO76)),IQ76-IO76,"")</f>
        <v>0</v>
      </c>
      <c r="IQ76" s="33"/>
      <c r="IR76" s="34">
        <f>IF(AND(ISNUMBER(IS76),ISNUMBER(IQ76)),IS76-IQ76,"")</f>
        <v>0</v>
      </c>
      <c r="IS76" s="33"/>
      <c r="IT76" s="34">
        <f>IF(AND(ISNUMBER(IU76),ISNUMBER(IS76)),IU76-IS76,"")</f>
        <v>0</v>
      </c>
      <c r="IU76" s="33"/>
      <c r="IV76" s="34">
        <f>IF(AND(ISNUMBER(IW76),ISNUMBER(IU76)),IW76-IU76,"")</f>
        <v>0</v>
      </c>
      <c r="IW76" s="33"/>
      <c r="IX76" s="34">
        <f>IF(AND(ISNUMBER(IY76),ISNUMBER(IW76)),IY76-IW76,"")</f>
        <v>0</v>
      </c>
      <c r="IY76" s="33"/>
      <c r="IZ76" s="34">
        <f>IF(AND(ISNUMBER(JA76),ISNUMBER(IY76)),JA76-IY76,"")</f>
        <v>0</v>
      </c>
      <c r="JA76" s="33"/>
      <c r="JB76" s="34">
        <f>IF(AND(ISNUMBER(JC76),ISNUMBER(JA76)),JC76-JA76,"")</f>
        <v>0</v>
      </c>
      <c r="JC76" s="33"/>
      <c r="JD76" s="34">
        <f>IF(AND(ISNUMBER(JE76),ISNUMBER(JC76)),JE76-JC76,"")</f>
        <v>0</v>
      </c>
      <c r="JE76" s="33"/>
      <c r="JF76" s="34">
        <f>IF(AND(ISNUMBER(JG76),ISNUMBER(JE76)),JG76-JE76,"")</f>
        <v>0</v>
      </c>
      <c r="JG76" s="33"/>
      <c r="JH76" s="34">
        <f>IF(AND(ISNUMBER(JI76),ISNUMBER(JG76)),JI76-JG76,"")</f>
        <v>0</v>
      </c>
      <c r="JI76" s="33"/>
      <c r="JJ76" s="34">
        <f>IF(AND(ISNUMBER(JK76),ISNUMBER(JI76)),JK76-JI76,"")</f>
        <v>0</v>
      </c>
      <c r="JK76" s="33"/>
      <c r="JL76" s="34">
        <f>IF(AND(ISNUMBER(JM76),ISNUMBER(JK76)),JM76-JK76,"")</f>
        <v>0</v>
      </c>
      <c r="JM76" s="33"/>
      <c r="JN76" s="34">
        <f>IF(AND(ISNUMBER(JO76),ISNUMBER(JM76)),JO76-JM76,"")</f>
        <v>0</v>
      </c>
      <c r="JO76" s="33"/>
      <c r="JP76" s="34">
        <f>IF(AND(ISNUMBER(JQ76),ISNUMBER(JO76)),JQ76-JO76,"")</f>
        <v>0</v>
      </c>
      <c r="JQ76" s="33">
        <v>0</v>
      </c>
      <c r="JR76" s="34">
        <f>IF(AND(ISNUMBER(JS76),ISNUMBER(JQ76)),JS76-JQ76,"")</f>
        <v>0</v>
      </c>
      <c r="JS76" s="33">
        <v>876</v>
      </c>
      <c r="JT76" s="34">
        <f>IF(AND(ISNUMBER(JU76),ISNUMBER(JS76)),JU76-JS76,"")</f>
        <v>0</v>
      </c>
      <c r="JU76" s="33">
        <v>400</v>
      </c>
      <c r="JV76" s="34">
        <f>IF(AND(ISNUMBER(JW76),ISNUMBER(JU76)),JW76-JU76,"")</f>
        <v>0</v>
      </c>
      <c r="JW76" s="33"/>
      <c r="JX76" s="34">
        <f>IF(AND(ISNUMBER(JY76),ISNUMBER(JW76)),JY76-JW76,"")</f>
        <v>0</v>
      </c>
      <c r="JY76" s="33"/>
      <c r="JZ76" s="34">
        <f>IF(AND(ISNUMBER(KA76),ISNUMBER(JY76)),KA76-JY76,"")</f>
        <v>0</v>
      </c>
      <c r="KA76" s="33"/>
      <c r="KB76" s="34">
        <f>IF(AND(ISNUMBER(KC76),ISNUMBER(KA76)),KC76-KA76,"")</f>
        <v>0</v>
      </c>
      <c r="KC76" s="33"/>
      <c r="KD76" s="34">
        <f>IF(AND(ISNUMBER(KE76),ISNUMBER(KC76)),KE76-KC76,"")</f>
        <v>0</v>
      </c>
      <c r="KE76" s="33"/>
      <c r="KF76" s="34">
        <f>IF(AND(ISNUMBER(KG76),ISNUMBER(KE76)),KG76-KE76,"")</f>
        <v>0</v>
      </c>
      <c r="KG76" s="33"/>
      <c r="KH76" s="34">
        <f>IF(AND(ISNUMBER(KI76),ISNUMBER(KG76)),KI76-KG76,"")</f>
        <v>0</v>
      </c>
      <c r="KI76" s="33"/>
      <c r="KJ76" s="34">
        <f>IF(AND(ISNUMBER(KK76),ISNUMBER(KI76)),KK76-KI76,"")</f>
        <v>0</v>
      </c>
      <c r="KK76" s="33"/>
      <c r="KL76" s="34">
        <f>IF(AND(ISNUMBER(KM76),ISNUMBER(KK76)),KM76-KK76,"")</f>
        <v>0</v>
      </c>
      <c r="KM76" s="33"/>
      <c r="KN76" s="34">
        <f>IF(AND(ISNUMBER(KO76),ISNUMBER(KM76)),KO76-KM76,"")</f>
        <v>0</v>
      </c>
      <c r="KO76" s="33"/>
      <c r="KP76" s="34">
        <f>IF(AND(ISNUMBER(KQ76),ISNUMBER(KO76)),KQ76-KO76,"")</f>
        <v>0</v>
      </c>
      <c r="KQ76" s="33"/>
      <c r="KR76" s="34">
        <f>IF(AND(ISNUMBER(KS76),ISNUMBER(KQ76)),KS76-KQ76,"")</f>
        <v>0</v>
      </c>
      <c r="KS76" s="33"/>
      <c r="KT76" s="34">
        <f>IF(AND(ISNUMBER(KU76),ISNUMBER(KS76)),KU76-KS76,"")</f>
        <v>0</v>
      </c>
      <c r="KU76" s="33"/>
      <c r="KV76" s="34">
        <f>IF(AND(ISNUMBER(KW76),ISNUMBER(KU76)),KW76-KU76,"")</f>
        <v>0</v>
      </c>
      <c r="KW76" s="33"/>
      <c r="KX76" s="34">
        <f>IF(AND(ISNUMBER(KY76),ISNUMBER(KW76)),KY76-KW76,"")</f>
        <v>0</v>
      </c>
      <c r="KY76" s="33"/>
      <c r="KZ76" s="34">
        <f>IF(AND(ISNUMBER(LA76),ISNUMBER(KY76)),LA76-KY76,"")</f>
        <v>0</v>
      </c>
      <c r="LA76" s="33"/>
      <c r="LB76" s="34">
        <f>IF(AND(ISNUMBER(LC76),ISNUMBER(LA76)),LC76-LA76,"")</f>
        <v>0</v>
      </c>
      <c r="LC76" s="33"/>
      <c r="LD76" s="34">
        <f>IF(AND(ISNUMBER(LE76),ISNUMBER(LC76)),LE76-LC76,"")</f>
        <v>0</v>
      </c>
      <c r="LE76" s="33"/>
      <c r="LF76" s="34">
        <f>IF(AND(ISNUMBER(LG76),ISNUMBER(LE76)),LG76-LE76,"")</f>
        <v>0</v>
      </c>
      <c r="LG76" s="33"/>
    </row>
    <row r="77" spans="1:322">
      <c r="A77" s="36" t="s">
        <v>159</v>
      </c>
      <c r="B77" s="23"/>
      <c r="C77" s="31" t="s">
        <v>786</v>
      </c>
      <c r="D77" s="31" t="s">
        <v>795</v>
      </c>
      <c r="E77" s="32" t="s">
        <v>1036</v>
      </c>
      <c r="H77" s="38" t="s">
        <v>1082</v>
      </c>
      <c r="I77" s="33"/>
      <c r="J77" s="34">
        <f>IF(AND(ISNUMBER(K77),ISNUMBER(I77)),K77-I77,"")</f>
        <v>0</v>
      </c>
      <c r="K77" s="33"/>
      <c r="L77" s="34">
        <f>IF(AND(ISNUMBER(M77),ISNUMBER(K77)),M77-K77,"")</f>
        <v>0</v>
      </c>
      <c r="M77" s="33"/>
      <c r="N77" s="34">
        <f>IF(AND(ISNUMBER(O77),ISNUMBER(M77)),O77-M77,"")</f>
        <v>0</v>
      </c>
      <c r="O77" s="33"/>
      <c r="P77" s="34">
        <f>IF(AND(ISNUMBER(Q77),ISNUMBER(O77)),Q77-O77,"")</f>
        <v>0</v>
      </c>
      <c r="Q77" s="33"/>
      <c r="R77" s="34">
        <f>IF(AND(ISNUMBER(S77),ISNUMBER(Q77)),S77-Q77,"")</f>
        <v>0</v>
      </c>
      <c r="S77" s="33"/>
      <c r="T77" s="34">
        <f>IF(AND(ISNUMBER(U77),ISNUMBER(S77)),U77-S77,"")</f>
        <v>0</v>
      </c>
      <c r="U77" s="33"/>
      <c r="V77" s="34">
        <f>IF(AND(ISNUMBER(W77),ISNUMBER(U77)),W77-U77,"")</f>
        <v>0</v>
      </c>
      <c r="W77" s="33"/>
      <c r="X77" s="34">
        <f>IF(AND(ISNUMBER(Y77),ISNUMBER(W77)),Y77-W77,"")</f>
        <v>0</v>
      </c>
      <c r="Y77" s="33"/>
      <c r="Z77" s="34">
        <f>IF(AND(ISNUMBER(AA77),ISNUMBER(Y77)),AA77-Y77,"")</f>
        <v>0</v>
      </c>
      <c r="AA77" s="33"/>
      <c r="AB77" s="34">
        <f>IF(AND(ISNUMBER(AC77),ISNUMBER(AA77)),AC77-AA77,"")</f>
        <v>0</v>
      </c>
      <c r="AC77" s="33"/>
      <c r="AD77" s="34">
        <f>IF(AND(ISNUMBER(AE77),ISNUMBER(AC77)),AE77-AC77,"")</f>
        <v>0</v>
      </c>
      <c r="AE77" s="33"/>
      <c r="AF77" s="34">
        <f>IF(AND(ISNUMBER(AG77),ISNUMBER(AE77)),AG77-AE77,"")</f>
        <v>0</v>
      </c>
      <c r="AG77" s="33"/>
      <c r="AH77" s="34">
        <f>IF(AND(ISNUMBER(AI77),ISNUMBER(AG77)),AI77-AG77,"")</f>
        <v>0</v>
      </c>
      <c r="AI77" s="33"/>
      <c r="AJ77" s="34">
        <f>IF(AND(ISNUMBER(AK77),ISNUMBER(AI77)),AK77-AI77,"")</f>
        <v>0</v>
      </c>
      <c r="AK77" s="33"/>
      <c r="AL77" s="34">
        <f>IF(AND(ISNUMBER(AM77),ISNUMBER(AK77)),AM77-AK77,"")</f>
        <v>0</v>
      </c>
      <c r="AM77" s="33"/>
      <c r="AN77" s="34">
        <f>IF(AND(ISNUMBER(AO77),ISNUMBER(AM77)),AO77-AM77,"")</f>
        <v>0</v>
      </c>
      <c r="AO77" s="33"/>
      <c r="AP77" s="34">
        <f>IF(AND(ISNUMBER(AQ77),ISNUMBER(AO77)),AQ77-AO77,"")</f>
        <v>0</v>
      </c>
      <c r="AQ77" s="33"/>
      <c r="AR77" s="34">
        <f>IF(AND(ISNUMBER(AS77),ISNUMBER(AQ77)),AS77-AQ77,"")</f>
        <v>0</v>
      </c>
      <c r="AS77" s="33"/>
      <c r="AT77" s="34">
        <f>IF(AND(ISNUMBER(AU77),ISNUMBER(AS77)),AU77-AS77,"")</f>
        <v>0</v>
      </c>
      <c r="AU77" s="33"/>
      <c r="AV77" s="34">
        <f>IF(AND(ISNUMBER(AW77),ISNUMBER(AU77)),AW77-AU77,"")</f>
        <v>0</v>
      </c>
      <c r="AW77" s="33"/>
      <c r="AX77" s="34">
        <f>IF(AND(ISNUMBER(AY77),ISNUMBER(AW77)),AY77-AW77,"")</f>
        <v>0</v>
      </c>
      <c r="AY77" s="33"/>
      <c r="AZ77" s="34">
        <f>IF(AND(ISNUMBER(BA77),ISNUMBER(AY77)),BA77-AY77,"")</f>
        <v>0</v>
      </c>
      <c r="BA77" s="33"/>
      <c r="BB77" s="34">
        <f>IF(AND(ISNUMBER(BC77),ISNUMBER(BA77)),BC77-BA77,"")</f>
        <v>0</v>
      </c>
      <c r="BC77" s="33"/>
      <c r="BD77" s="34">
        <f>IF(AND(ISNUMBER(BE77),ISNUMBER(BC77)),BE77-BC77,"")</f>
        <v>0</v>
      </c>
      <c r="BE77" s="33"/>
      <c r="BF77" s="34">
        <f>IF(AND(ISNUMBER(BG77),ISNUMBER(BE77)),BG77-BE77,"")</f>
        <v>0</v>
      </c>
      <c r="BG77" s="33"/>
      <c r="BH77" s="34">
        <f>IF(AND(ISNUMBER(BI77),ISNUMBER(BG77)),BI77-BG77,"")</f>
        <v>0</v>
      </c>
      <c r="BI77" s="33"/>
      <c r="BJ77" s="34">
        <f>IF(AND(ISNUMBER(BK77),ISNUMBER(BI77)),BK77-BI77,"")</f>
        <v>0</v>
      </c>
      <c r="BK77" s="33"/>
      <c r="BL77" s="34">
        <f>IF(AND(ISNUMBER(BM77),ISNUMBER(BK77)),BM77-BK77,"")</f>
        <v>0</v>
      </c>
      <c r="BM77" s="33"/>
      <c r="BN77" s="34">
        <f>IF(AND(ISNUMBER(BO77),ISNUMBER(BM77)),BO77-BM77,"")</f>
        <v>0</v>
      </c>
      <c r="BO77" s="33"/>
      <c r="BP77" s="34">
        <f>IF(AND(ISNUMBER(BQ77),ISNUMBER(BO77)),BQ77-BO77,"")</f>
        <v>0</v>
      </c>
      <c r="BQ77" s="33"/>
      <c r="BR77" s="34">
        <f>IF(AND(ISNUMBER(BS77),ISNUMBER(BQ77)),BS77-BQ77,"")</f>
        <v>0</v>
      </c>
      <c r="BS77" s="33"/>
      <c r="BT77" s="34">
        <f>IF(AND(ISNUMBER(BU77),ISNUMBER(BS77)),BU77-BS77,"")</f>
        <v>0</v>
      </c>
      <c r="BU77" s="33"/>
      <c r="BV77" s="34">
        <f>IF(AND(ISNUMBER(BW77),ISNUMBER(BU77)),BW77-BU77,"")</f>
        <v>0</v>
      </c>
      <c r="BW77" s="33"/>
      <c r="BX77" s="34">
        <f>IF(AND(ISNUMBER(BY77),ISNUMBER(BW77)),BY77-BW77,"")</f>
        <v>0</v>
      </c>
      <c r="BY77" s="33"/>
      <c r="BZ77" s="34">
        <f>IF(AND(ISNUMBER(CA77),ISNUMBER(BY77)),CA77-BY77,"")</f>
        <v>0</v>
      </c>
      <c r="CA77" s="33"/>
      <c r="CB77" s="34">
        <f>IF(AND(ISNUMBER(CC77),ISNUMBER(CA77)),CC77-CA77,"")</f>
        <v>0</v>
      </c>
      <c r="CC77" s="33"/>
      <c r="CD77" s="34">
        <f>IF(AND(ISNUMBER(CE77),ISNUMBER(CC77)),CE77-CC77,"")</f>
        <v>0</v>
      </c>
      <c r="CE77" s="33"/>
      <c r="CF77" s="34">
        <f>IF(AND(ISNUMBER(CG77),ISNUMBER(CE77)),CG77-CE77,"")</f>
        <v>0</v>
      </c>
      <c r="CG77" s="33"/>
      <c r="CH77" s="34">
        <f>IF(AND(ISNUMBER(CI77),ISNUMBER(CG77)),CI77-CG77,"")</f>
        <v>0</v>
      </c>
      <c r="CI77" s="33"/>
      <c r="CJ77" s="34">
        <f>IF(AND(ISNUMBER(CK77),ISNUMBER(CI77)),CK77-CI77,"")</f>
        <v>0</v>
      </c>
      <c r="CK77" s="33"/>
      <c r="CL77" s="34">
        <f>IF(AND(ISNUMBER(CM77),ISNUMBER(CK77)),CM77-CK77,"")</f>
        <v>0</v>
      </c>
      <c r="CM77" s="33"/>
      <c r="CN77" s="34">
        <f>IF(AND(ISNUMBER(CO77),ISNUMBER(CM77)),CO77-CM77,"")</f>
        <v>0</v>
      </c>
      <c r="CO77" s="33"/>
      <c r="CP77" s="34">
        <f>IF(AND(ISNUMBER(CQ77),ISNUMBER(CO77)),CQ77-CO77,"")</f>
        <v>0</v>
      </c>
      <c r="CQ77" s="33"/>
      <c r="CR77" s="34">
        <f>IF(AND(ISNUMBER(CS77),ISNUMBER(CQ77)),CS77-CQ77,"")</f>
        <v>0</v>
      </c>
      <c r="CS77" s="33"/>
      <c r="CT77" s="34">
        <f>IF(AND(ISNUMBER(CU77),ISNUMBER(CS77)),CU77-CS77,"")</f>
        <v>0</v>
      </c>
      <c r="CU77" s="33"/>
      <c r="CV77" s="34">
        <f>IF(AND(ISNUMBER(CW77),ISNUMBER(CU77)),CW77-CU77,"")</f>
        <v>0</v>
      </c>
      <c r="CW77" s="33"/>
      <c r="CX77" s="34">
        <f>IF(AND(ISNUMBER(CY77),ISNUMBER(CW77)),CY77-CW77,"")</f>
        <v>0</v>
      </c>
      <c r="CY77" s="33"/>
      <c r="CZ77" s="34">
        <f>IF(AND(ISNUMBER(DA77),ISNUMBER(CY77)),DA77-CY77,"")</f>
        <v>0</v>
      </c>
      <c r="DA77" s="33"/>
      <c r="DB77" s="34">
        <f>IF(AND(ISNUMBER(DC77),ISNUMBER(DA77)),DC77-DA77,"")</f>
        <v>0</v>
      </c>
      <c r="DC77" s="33"/>
      <c r="DD77" s="34">
        <f>IF(AND(ISNUMBER(DE77),ISNUMBER(DC77)),DE77-DC77,"")</f>
        <v>0</v>
      </c>
      <c r="DE77" s="33"/>
      <c r="DF77" s="34">
        <f>IF(AND(ISNUMBER(DG77),ISNUMBER(DE77)),DG77-DE77,"")</f>
        <v>0</v>
      </c>
      <c r="DG77" s="33"/>
      <c r="DH77" s="34">
        <f>IF(AND(ISNUMBER(DI77),ISNUMBER(DG77)),DI77-DG77,"")</f>
        <v>0</v>
      </c>
      <c r="DI77" s="33"/>
      <c r="DJ77" s="34">
        <f>IF(AND(ISNUMBER(DK77),ISNUMBER(DI77)),DK77-DI77,"")</f>
        <v>0</v>
      </c>
      <c r="DK77" s="33"/>
      <c r="DL77" s="34">
        <f>IF(AND(ISNUMBER(DM77),ISNUMBER(DK77)),DM77-DK77,"")</f>
        <v>0</v>
      </c>
      <c r="DM77" s="33"/>
      <c r="DN77" s="34">
        <f>IF(AND(ISNUMBER(DO77),ISNUMBER(DM77)),DO77-DM77,"")</f>
        <v>0</v>
      </c>
      <c r="DO77" s="33"/>
      <c r="DP77" s="34">
        <f>IF(AND(ISNUMBER(DQ77),ISNUMBER(DO77)),DQ77-DO77,"")</f>
        <v>0</v>
      </c>
      <c r="DQ77" s="33"/>
      <c r="DR77" s="34">
        <f>IF(AND(ISNUMBER(DS77),ISNUMBER(DQ77)),DS77-DQ77,"")</f>
        <v>0</v>
      </c>
      <c r="DS77" s="33"/>
      <c r="DT77" s="34">
        <f>IF(AND(ISNUMBER(DU77),ISNUMBER(DS77)),DU77-DS77,"")</f>
        <v>0</v>
      </c>
      <c r="DU77" s="33"/>
      <c r="DV77" s="34">
        <f>IF(AND(ISNUMBER(DW77),ISNUMBER(DU77)),DW77-DU77,"")</f>
        <v>0</v>
      </c>
      <c r="DW77" s="33"/>
      <c r="DX77" s="34">
        <f>IF(AND(ISNUMBER(DY77),ISNUMBER(DW77)),DY77-DW77,"")</f>
        <v>0</v>
      </c>
      <c r="DY77" s="33"/>
      <c r="DZ77" s="34">
        <f>IF(AND(ISNUMBER(EA77),ISNUMBER(DY77)),EA77-DY77,"")</f>
        <v>0</v>
      </c>
      <c r="EA77" s="33"/>
      <c r="EB77" s="34">
        <f>IF(AND(ISNUMBER(EC77),ISNUMBER(EA77)),EC77-EA77,"")</f>
        <v>0</v>
      </c>
      <c r="EC77" s="33"/>
      <c r="ED77" s="34">
        <f>IF(AND(ISNUMBER(EE77),ISNUMBER(EC77)),EE77-EC77,"")</f>
        <v>0</v>
      </c>
      <c r="EE77" s="33"/>
      <c r="EF77" s="34">
        <f>IF(AND(ISNUMBER(EG77),ISNUMBER(EE77)),EG77-EE77,"")</f>
        <v>0</v>
      </c>
      <c r="EG77" s="33"/>
      <c r="EH77" s="34">
        <f>IF(AND(ISNUMBER(EI77),ISNUMBER(EG77)),EI77-EG77,"")</f>
        <v>0</v>
      </c>
      <c r="EI77" s="33"/>
      <c r="EJ77" s="34">
        <f>IF(AND(ISNUMBER(EK77),ISNUMBER(EI77)),EK77-EI77,"")</f>
        <v>0</v>
      </c>
      <c r="EK77" s="33"/>
      <c r="EL77" s="34">
        <f>IF(AND(ISNUMBER(EM77),ISNUMBER(EK77)),EM77-EK77,"")</f>
        <v>0</v>
      </c>
      <c r="EM77" s="33"/>
      <c r="EN77" s="34">
        <f>IF(AND(ISNUMBER(EO77),ISNUMBER(EM77)),EO77-EM77,"")</f>
        <v>0</v>
      </c>
      <c r="EO77" s="33"/>
      <c r="EP77" s="34">
        <f>IF(AND(ISNUMBER(EQ77),ISNUMBER(EO77)),EQ77-EO77,"")</f>
        <v>0</v>
      </c>
      <c r="EQ77" s="33"/>
      <c r="ER77" s="34">
        <f>IF(AND(ISNUMBER(ES77),ISNUMBER(EQ77)),ES77-EQ77,"")</f>
        <v>0</v>
      </c>
      <c r="ES77" s="33"/>
      <c r="ET77" s="34">
        <f>IF(AND(ISNUMBER(EU77),ISNUMBER(ES77)),EU77-ES77,"")</f>
        <v>0</v>
      </c>
      <c r="EU77" s="33"/>
      <c r="EV77" s="34">
        <f>IF(AND(ISNUMBER(EW77),ISNUMBER(EU77)),EW77-EU77,"")</f>
        <v>0</v>
      </c>
      <c r="EW77" s="33"/>
      <c r="EX77" s="34">
        <f>IF(AND(ISNUMBER(EY77),ISNUMBER(EW77)),EY77-EW77,"")</f>
        <v>0</v>
      </c>
      <c r="EY77" s="33"/>
      <c r="EZ77" s="34">
        <f>IF(AND(ISNUMBER(FA77),ISNUMBER(EY77)),FA77-EY77,"")</f>
        <v>0</v>
      </c>
      <c r="FA77" s="33"/>
      <c r="FB77" s="34">
        <f>IF(AND(ISNUMBER(FC77),ISNUMBER(FA77)),FC77-FA77,"")</f>
        <v>0</v>
      </c>
      <c r="FC77" s="33"/>
      <c r="FD77" s="34">
        <f>IF(AND(ISNUMBER(FE77),ISNUMBER(FC77)),FE77-FC77,"")</f>
        <v>0</v>
      </c>
      <c r="FE77" s="33"/>
      <c r="FF77" s="34">
        <f>IF(AND(ISNUMBER(FG77),ISNUMBER(FE77)),FG77-FE77,"")</f>
        <v>0</v>
      </c>
      <c r="FG77" s="33"/>
      <c r="FH77" s="34">
        <f>IF(AND(ISNUMBER(FI77),ISNUMBER(FG77)),FI77-FG77,"")</f>
        <v>0</v>
      </c>
      <c r="FI77" s="33"/>
      <c r="FJ77" s="34">
        <f>IF(AND(ISNUMBER(FK77),ISNUMBER(FI77)),FK77-FI77,"")</f>
        <v>0</v>
      </c>
      <c r="FK77" s="33"/>
      <c r="FL77" s="34">
        <f>IF(AND(ISNUMBER(FM77),ISNUMBER(FK77)),FM77-FK77,"")</f>
        <v>0</v>
      </c>
      <c r="FM77" s="33"/>
      <c r="FN77" s="34">
        <f>IF(AND(ISNUMBER(FO77),ISNUMBER(FM77)),FO77-FM77,"")</f>
        <v>0</v>
      </c>
      <c r="FO77" s="33"/>
      <c r="FP77" s="34">
        <f>IF(AND(ISNUMBER(FQ77),ISNUMBER(FO77)),FQ77-FO77,"")</f>
        <v>0</v>
      </c>
      <c r="FQ77" s="33"/>
      <c r="FR77" s="34">
        <f>IF(AND(ISNUMBER(FS77),ISNUMBER(FQ77)),FS77-FQ77,"")</f>
        <v>0</v>
      </c>
      <c r="FS77" s="33"/>
      <c r="FT77" s="34">
        <f>IF(AND(ISNUMBER(FU77),ISNUMBER(FS77)),FU77-FS77,"")</f>
        <v>0</v>
      </c>
      <c r="FU77" s="33"/>
      <c r="FV77" s="34">
        <f>IF(AND(ISNUMBER(FW77),ISNUMBER(FU77)),FW77-FU77,"")</f>
        <v>0</v>
      </c>
      <c r="FW77" s="33"/>
      <c r="FX77" s="34">
        <f>IF(AND(ISNUMBER(FY77),ISNUMBER(FW77)),FY77-FW77,"")</f>
        <v>0</v>
      </c>
      <c r="FY77" s="33"/>
      <c r="FZ77" s="34">
        <f>IF(AND(ISNUMBER(GA77),ISNUMBER(FY77)),GA77-FY77,"")</f>
        <v>0</v>
      </c>
      <c r="GA77" s="33"/>
      <c r="GB77" s="34">
        <f>IF(AND(ISNUMBER(GC77),ISNUMBER(GA77)),GC77-GA77,"")</f>
        <v>0</v>
      </c>
      <c r="GC77" s="33"/>
      <c r="GD77" s="34">
        <f>IF(AND(ISNUMBER(GE77),ISNUMBER(GC77)),GE77-GC77,"")</f>
        <v>0</v>
      </c>
      <c r="GE77" s="33"/>
      <c r="GF77" s="34">
        <f>IF(AND(ISNUMBER(GG77),ISNUMBER(GE77)),GG77-GE77,"")</f>
        <v>0</v>
      </c>
      <c r="GG77" s="33"/>
      <c r="GH77" s="34">
        <f>IF(AND(ISNUMBER(GI77),ISNUMBER(GG77)),GI77-GG77,"")</f>
        <v>0</v>
      </c>
      <c r="GI77" s="33"/>
      <c r="GJ77" s="34">
        <f>IF(AND(ISNUMBER(GK77),ISNUMBER(GI77)),GK77-GI77,"")</f>
        <v>0</v>
      </c>
      <c r="GK77" s="33"/>
      <c r="GL77" s="34">
        <f>IF(AND(ISNUMBER(GM77),ISNUMBER(GK77)),GM77-GK77,"")</f>
        <v>0</v>
      </c>
      <c r="GM77" s="33"/>
      <c r="GN77" s="34">
        <f>IF(AND(ISNUMBER(GO77),ISNUMBER(GM77)),GO77-GM77,"")</f>
        <v>0</v>
      </c>
      <c r="GO77" s="33"/>
      <c r="GP77" s="34">
        <f>IF(AND(ISNUMBER(GQ77),ISNUMBER(GO77)),GQ77-GO77,"")</f>
        <v>0</v>
      </c>
      <c r="GQ77" s="33"/>
      <c r="GR77" s="34">
        <f>IF(AND(ISNUMBER(GS77),ISNUMBER(GQ77)),GS77-GQ77,"")</f>
        <v>0</v>
      </c>
      <c r="GS77" s="33"/>
      <c r="GT77" s="34">
        <f>IF(AND(ISNUMBER(GU77),ISNUMBER(GS77)),GU77-GS77,"")</f>
        <v>0</v>
      </c>
      <c r="GU77" s="33"/>
      <c r="GV77" s="34">
        <f>IF(AND(ISNUMBER(GW77),ISNUMBER(GU77)),GW77-GU77,"")</f>
        <v>0</v>
      </c>
      <c r="GW77" s="33"/>
      <c r="GX77" s="34">
        <f>IF(AND(ISNUMBER(GY77),ISNUMBER(GW77)),GY77-GW77,"")</f>
        <v>0</v>
      </c>
      <c r="GY77" s="33"/>
      <c r="GZ77" s="34">
        <f>IF(AND(ISNUMBER(HA77),ISNUMBER(GY77)),HA77-GY77,"")</f>
        <v>0</v>
      </c>
      <c r="HA77" s="33"/>
      <c r="HB77" s="34">
        <f>IF(AND(ISNUMBER(HC77),ISNUMBER(HA77)),HC77-HA77,"")</f>
        <v>0</v>
      </c>
      <c r="HC77" s="33"/>
      <c r="HD77" s="34">
        <f>IF(AND(ISNUMBER(HE77),ISNUMBER(HC77)),HE77-HC77,"")</f>
        <v>0</v>
      </c>
      <c r="HE77" s="33"/>
      <c r="HF77" s="34">
        <f>IF(AND(ISNUMBER(HG77),ISNUMBER(HE77)),HG77-HE77,"")</f>
        <v>0</v>
      </c>
      <c r="HG77" s="33"/>
      <c r="HH77" s="34">
        <f>IF(AND(ISNUMBER(HI77),ISNUMBER(HG77)),HI77-HG77,"")</f>
        <v>0</v>
      </c>
      <c r="HI77" s="33"/>
      <c r="HJ77" s="34">
        <f>IF(AND(ISNUMBER(HK77),ISNUMBER(HI77)),HK77-HI77,"")</f>
        <v>0</v>
      </c>
      <c r="HK77" s="33"/>
      <c r="HL77" s="34">
        <f>IF(AND(ISNUMBER(HM77),ISNUMBER(HK77)),HM77-HK77,"")</f>
        <v>0</v>
      </c>
      <c r="HM77" s="33"/>
      <c r="HN77" s="34">
        <f>IF(AND(ISNUMBER(HO77),ISNUMBER(HM77)),HO77-HM77,"")</f>
        <v>0</v>
      </c>
      <c r="HO77" s="33"/>
      <c r="HP77" s="34">
        <f>IF(AND(ISNUMBER(HQ77),ISNUMBER(HO77)),HQ77-HO77,"")</f>
        <v>0</v>
      </c>
      <c r="HQ77" s="33"/>
      <c r="HR77" s="34">
        <f>IF(AND(ISNUMBER(HS77),ISNUMBER(HQ77)),HS77-HQ77,"")</f>
        <v>0</v>
      </c>
      <c r="HS77" s="33"/>
      <c r="HT77" s="34">
        <f>IF(AND(ISNUMBER(HU77),ISNUMBER(HS77)),HU77-HS77,"")</f>
        <v>0</v>
      </c>
      <c r="HU77" s="33"/>
      <c r="HV77" s="34">
        <f>IF(AND(ISNUMBER(HW77),ISNUMBER(HU77)),HW77-HU77,"")</f>
        <v>0</v>
      </c>
      <c r="HW77" s="33"/>
      <c r="HX77" s="34">
        <f>IF(AND(ISNUMBER(HY77),ISNUMBER(HW77)),HY77-HW77,"")</f>
        <v>0</v>
      </c>
      <c r="HY77" s="33"/>
      <c r="HZ77" s="34">
        <f>IF(AND(ISNUMBER(IA77),ISNUMBER(HY77)),IA77-HY77,"")</f>
        <v>0</v>
      </c>
      <c r="IA77" s="33"/>
      <c r="IB77" s="34">
        <f>IF(AND(ISNUMBER(IC77),ISNUMBER(IA77)),IC77-IA77,"")</f>
        <v>0</v>
      </c>
      <c r="IC77" s="33"/>
      <c r="ID77" s="34">
        <f>IF(AND(ISNUMBER(IE77),ISNUMBER(IC77)),IE77-IC77,"")</f>
        <v>0</v>
      </c>
      <c r="IE77" s="33"/>
      <c r="IF77" s="34">
        <f>IF(AND(ISNUMBER(IG77),ISNUMBER(IE77)),IG77-IE77,"")</f>
        <v>0</v>
      </c>
      <c r="IG77" s="33"/>
      <c r="IH77" s="34">
        <f>IF(AND(ISNUMBER(II77),ISNUMBER(IG77)),II77-IG77,"")</f>
        <v>0</v>
      </c>
      <c r="II77" s="33"/>
      <c r="IJ77" s="34">
        <f>IF(AND(ISNUMBER(IK77),ISNUMBER(II77)),IK77-II77,"")</f>
        <v>0</v>
      </c>
      <c r="IK77" s="33"/>
      <c r="IL77" s="34">
        <f>IF(AND(ISNUMBER(IM77),ISNUMBER(IK77)),IM77-IK77,"")</f>
        <v>0</v>
      </c>
      <c r="IM77" s="33"/>
      <c r="IN77" s="34">
        <f>IF(AND(ISNUMBER(IO77),ISNUMBER(IM77)),IO77-IM77,"")</f>
        <v>0</v>
      </c>
      <c r="IO77" s="33"/>
      <c r="IP77" s="34">
        <f>IF(AND(ISNUMBER(IQ77),ISNUMBER(IO77)),IQ77-IO77,"")</f>
        <v>0</v>
      </c>
      <c r="IQ77" s="33"/>
      <c r="IR77" s="34">
        <f>IF(AND(ISNUMBER(IS77),ISNUMBER(IQ77)),IS77-IQ77,"")</f>
        <v>0</v>
      </c>
      <c r="IS77" s="33"/>
      <c r="IT77" s="34">
        <f>IF(AND(ISNUMBER(IU77),ISNUMBER(IS77)),IU77-IS77,"")</f>
        <v>0</v>
      </c>
      <c r="IU77" s="33"/>
      <c r="IV77" s="34">
        <f>IF(AND(ISNUMBER(IW77),ISNUMBER(IU77)),IW77-IU77,"")</f>
        <v>0</v>
      </c>
      <c r="IW77" s="33"/>
      <c r="IX77" s="34">
        <f>IF(AND(ISNUMBER(IY77),ISNUMBER(IW77)),IY77-IW77,"")</f>
        <v>0</v>
      </c>
      <c r="IY77" s="33"/>
      <c r="IZ77" s="34">
        <f>IF(AND(ISNUMBER(JA77),ISNUMBER(IY77)),JA77-IY77,"")</f>
        <v>0</v>
      </c>
      <c r="JA77" s="33"/>
      <c r="JB77" s="34">
        <f>IF(AND(ISNUMBER(JC77),ISNUMBER(JA77)),JC77-JA77,"")</f>
        <v>0</v>
      </c>
      <c r="JC77" s="33"/>
      <c r="JD77" s="34">
        <f>IF(AND(ISNUMBER(JE77),ISNUMBER(JC77)),JE77-JC77,"")</f>
        <v>0</v>
      </c>
      <c r="JE77" s="33"/>
      <c r="JF77" s="34">
        <f>IF(AND(ISNUMBER(JG77),ISNUMBER(JE77)),JG77-JE77,"")</f>
        <v>0</v>
      </c>
      <c r="JG77" s="33"/>
      <c r="JH77" s="34">
        <f>IF(AND(ISNUMBER(JI77),ISNUMBER(JG77)),JI77-JG77,"")</f>
        <v>0</v>
      </c>
      <c r="JI77" s="33"/>
      <c r="JJ77" s="34">
        <f>IF(AND(ISNUMBER(JK77),ISNUMBER(JI77)),JK77-JI77,"")</f>
        <v>0</v>
      </c>
      <c r="JK77" s="33"/>
      <c r="JL77" s="34">
        <f>IF(AND(ISNUMBER(JM77),ISNUMBER(JK77)),JM77-JK77,"")</f>
        <v>0</v>
      </c>
      <c r="JM77" s="33"/>
      <c r="JN77" s="34">
        <f>IF(AND(ISNUMBER(JO77),ISNUMBER(JM77)),JO77-JM77,"")</f>
        <v>0</v>
      </c>
      <c r="JO77" s="33"/>
      <c r="JP77" s="34">
        <f>IF(AND(ISNUMBER(JQ77),ISNUMBER(JO77)),JQ77-JO77,"")</f>
        <v>0</v>
      </c>
      <c r="JQ77" s="33">
        <v>0</v>
      </c>
      <c r="JR77" s="34">
        <f>IF(AND(ISNUMBER(JS77),ISNUMBER(JQ77)),JS77-JQ77,"")</f>
        <v>0</v>
      </c>
      <c r="JS77" s="33">
        <v>1106</v>
      </c>
      <c r="JT77" s="34">
        <f>IF(AND(ISNUMBER(JU77),ISNUMBER(JS77)),JU77-JS77,"")</f>
        <v>0</v>
      </c>
      <c r="JU77" s="33">
        <v>482</v>
      </c>
      <c r="JV77" s="34">
        <f>IF(AND(ISNUMBER(JW77),ISNUMBER(JU77)),JW77-JU77,"")</f>
        <v>0</v>
      </c>
      <c r="JW77" s="33"/>
      <c r="JX77" s="34">
        <f>IF(AND(ISNUMBER(JY77),ISNUMBER(JW77)),JY77-JW77,"")</f>
        <v>0</v>
      </c>
      <c r="JY77" s="33"/>
      <c r="JZ77" s="34">
        <f>IF(AND(ISNUMBER(KA77),ISNUMBER(JY77)),KA77-JY77,"")</f>
        <v>0</v>
      </c>
      <c r="KA77" s="33"/>
      <c r="KB77" s="34">
        <f>IF(AND(ISNUMBER(KC77),ISNUMBER(KA77)),KC77-KA77,"")</f>
        <v>0</v>
      </c>
      <c r="KC77" s="33"/>
      <c r="KD77" s="34">
        <f>IF(AND(ISNUMBER(KE77),ISNUMBER(KC77)),KE77-KC77,"")</f>
        <v>0</v>
      </c>
      <c r="KE77" s="33"/>
      <c r="KF77" s="34">
        <f>IF(AND(ISNUMBER(KG77),ISNUMBER(KE77)),KG77-KE77,"")</f>
        <v>0</v>
      </c>
      <c r="KG77" s="33"/>
      <c r="KH77" s="34">
        <f>IF(AND(ISNUMBER(KI77),ISNUMBER(KG77)),KI77-KG77,"")</f>
        <v>0</v>
      </c>
      <c r="KI77" s="33"/>
      <c r="KJ77" s="34">
        <f>IF(AND(ISNUMBER(KK77),ISNUMBER(KI77)),KK77-KI77,"")</f>
        <v>0</v>
      </c>
      <c r="KK77" s="33"/>
      <c r="KL77" s="34">
        <f>IF(AND(ISNUMBER(KM77),ISNUMBER(KK77)),KM77-KK77,"")</f>
        <v>0</v>
      </c>
      <c r="KM77" s="33"/>
      <c r="KN77" s="34">
        <f>IF(AND(ISNUMBER(KO77),ISNUMBER(KM77)),KO77-KM77,"")</f>
        <v>0</v>
      </c>
      <c r="KO77" s="33"/>
      <c r="KP77" s="34">
        <f>IF(AND(ISNUMBER(KQ77),ISNUMBER(KO77)),KQ77-KO77,"")</f>
        <v>0</v>
      </c>
      <c r="KQ77" s="33"/>
      <c r="KR77" s="34">
        <f>IF(AND(ISNUMBER(KS77),ISNUMBER(KQ77)),KS77-KQ77,"")</f>
        <v>0</v>
      </c>
      <c r="KS77" s="33"/>
      <c r="KT77" s="34">
        <f>IF(AND(ISNUMBER(KU77),ISNUMBER(KS77)),KU77-KS77,"")</f>
        <v>0</v>
      </c>
      <c r="KU77" s="33"/>
      <c r="KV77" s="34">
        <f>IF(AND(ISNUMBER(KW77),ISNUMBER(KU77)),KW77-KU77,"")</f>
        <v>0</v>
      </c>
      <c r="KW77" s="33"/>
      <c r="KX77" s="34">
        <f>IF(AND(ISNUMBER(KY77),ISNUMBER(KW77)),KY77-KW77,"")</f>
        <v>0</v>
      </c>
      <c r="KY77" s="33"/>
      <c r="KZ77" s="34">
        <f>IF(AND(ISNUMBER(LA77),ISNUMBER(KY77)),LA77-KY77,"")</f>
        <v>0</v>
      </c>
      <c r="LA77" s="33"/>
      <c r="LB77" s="34">
        <f>IF(AND(ISNUMBER(LC77),ISNUMBER(LA77)),LC77-LA77,"")</f>
        <v>0</v>
      </c>
      <c r="LC77" s="33"/>
      <c r="LD77" s="34">
        <f>IF(AND(ISNUMBER(LE77),ISNUMBER(LC77)),LE77-LC77,"")</f>
        <v>0</v>
      </c>
      <c r="LE77" s="33"/>
      <c r="LF77" s="34">
        <f>IF(AND(ISNUMBER(LG77),ISNUMBER(LE77)),LG77-LE77,"")</f>
        <v>0</v>
      </c>
      <c r="LG77" s="33"/>
    </row>
    <row r="78" spans="1:322">
      <c r="A78" s="36" t="s">
        <v>163</v>
      </c>
      <c r="B78" s="23"/>
      <c r="C78" s="31" t="s">
        <v>786</v>
      </c>
      <c r="D78" s="31" t="s">
        <v>797</v>
      </c>
      <c r="E78" s="32" t="s">
        <v>1036</v>
      </c>
      <c r="H78" s="38" t="s">
        <v>1082</v>
      </c>
      <c r="I78" s="33"/>
      <c r="J78" s="34">
        <f>IF(AND(ISNUMBER(K78),ISNUMBER(I78)),K78-I78,"")</f>
        <v>0</v>
      </c>
      <c r="K78" s="33"/>
      <c r="L78" s="34">
        <f>IF(AND(ISNUMBER(M78),ISNUMBER(K78)),M78-K78,"")</f>
        <v>0</v>
      </c>
      <c r="M78" s="33"/>
      <c r="N78" s="34">
        <f>IF(AND(ISNUMBER(O78),ISNUMBER(M78)),O78-M78,"")</f>
        <v>0</v>
      </c>
      <c r="O78" s="33"/>
      <c r="P78" s="34">
        <f>IF(AND(ISNUMBER(Q78),ISNUMBER(O78)),Q78-O78,"")</f>
        <v>0</v>
      </c>
      <c r="Q78" s="33"/>
      <c r="R78" s="34">
        <f>IF(AND(ISNUMBER(S78),ISNUMBER(Q78)),S78-Q78,"")</f>
        <v>0</v>
      </c>
      <c r="S78" s="33"/>
      <c r="T78" s="34">
        <f>IF(AND(ISNUMBER(U78),ISNUMBER(S78)),U78-S78,"")</f>
        <v>0</v>
      </c>
      <c r="U78" s="33"/>
      <c r="V78" s="34">
        <f>IF(AND(ISNUMBER(W78),ISNUMBER(U78)),W78-U78,"")</f>
        <v>0</v>
      </c>
      <c r="W78" s="33"/>
      <c r="X78" s="34">
        <f>IF(AND(ISNUMBER(Y78),ISNUMBER(W78)),Y78-W78,"")</f>
        <v>0</v>
      </c>
      <c r="Y78" s="33"/>
      <c r="Z78" s="34">
        <f>IF(AND(ISNUMBER(AA78),ISNUMBER(Y78)),AA78-Y78,"")</f>
        <v>0</v>
      </c>
      <c r="AA78" s="33"/>
      <c r="AB78" s="34">
        <f>IF(AND(ISNUMBER(AC78),ISNUMBER(AA78)),AC78-AA78,"")</f>
        <v>0</v>
      </c>
      <c r="AC78" s="33"/>
      <c r="AD78" s="34">
        <f>IF(AND(ISNUMBER(AE78),ISNUMBER(AC78)),AE78-AC78,"")</f>
        <v>0</v>
      </c>
      <c r="AE78" s="33"/>
      <c r="AF78" s="34">
        <f>IF(AND(ISNUMBER(AG78),ISNUMBER(AE78)),AG78-AE78,"")</f>
        <v>0</v>
      </c>
      <c r="AG78" s="33"/>
      <c r="AH78" s="34">
        <f>IF(AND(ISNUMBER(AI78),ISNUMBER(AG78)),AI78-AG78,"")</f>
        <v>0</v>
      </c>
      <c r="AI78" s="33"/>
      <c r="AJ78" s="34">
        <f>IF(AND(ISNUMBER(AK78),ISNUMBER(AI78)),AK78-AI78,"")</f>
        <v>0</v>
      </c>
      <c r="AK78" s="33"/>
      <c r="AL78" s="34">
        <f>IF(AND(ISNUMBER(AM78),ISNUMBER(AK78)),AM78-AK78,"")</f>
        <v>0</v>
      </c>
      <c r="AM78" s="33"/>
      <c r="AN78" s="34">
        <f>IF(AND(ISNUMBER(AO78),ISNUMBER(AM78)),AO78-AM78,"")</f>
        <v>0</v>
      </c>
      <c r="AO78" s="33"/>
      <c r="AP78" s="34">
        <f>IF(AND(ISNUMBER(AQ78),ISNUMBER(AO78)),AQ78-AO78,"")</f>
        <v>0</v>
      </c>
      <c r="AQ78" s="33"/>
      <c r="AR78" s="34">
        <f>IF(AND(ISNUMBER(AS78),ISNUMBER(AQ78)),AS78-AQ78,"")</f>
        <v>0</v>
      </c>
      <c r="AS78" s="33"/>
      <c r="AT78" s="34">
        <f>IF(AND(ISNUMBER(AU78),ISNUMBER(AS78)),AU78-AS78,"")</f>
        <v>0</v>
      </c>
      <c r="AU78" s="33"/>
      <c r="AV78" s="34">
        <f>IF(AND(ISNUMBER(AW78),ISNUMBER(AU78)),AW78-AU78,"")</f>
        <v>0</v>
      </c>
      <c r="AW78" s="33"/>
      <c r="AX78" s="34">
        <f>IF(AND(ISNUMBER(AY78),ISNUMBER(AW78)),AY78-AW78,"")</f>
        <v>0</v>
      </c>
      <c r="AY78" s="33"/>
      <c r="AZ78" s="34">
        <f>IF(AND(ISNUMBER(BA78),ISNUMBER(AY78)),BA78-AY78,"")</f>
        <v>0</v>
      </c>
      <c r="BA78" s="33"/>
      <c r="BB78" s="34">
        <f>IF(AND(ISNUMBER(BC78),ISNUMBER(BA78)),BC78-BA78,"")</f>
        <v>0</v>
      </c>
      <c r="BC78" s="33"/>
      <c r="BD78" s="34">
        <f>IF(AND(ISNUMBER(BE78),ISNUMBER(BC78)),BE78-BC78,"")</f>
        <v>0</v>
      </c>
      <c r="BE78" s="33"/>
      <c r="BF78" s="34">
        <f>IF(AND(ISNUMBER(BG78),ISNUMBER(BE78)),BG78-BE78,"")</f>
        <v>0</v>
      </c>
      <c r="BG78" s="33"/>
      <c r="BH78" s="34">
        <f>IF(AND(ISNUMBER(BI78),ISNUMBER(BG78)),BI78-BG78,"")</f>
        <v>0</v>
      </c>
      <c r="BI78" s="33"/>
      <c r="BJ78" s="34">
        <f>IF(AND(ISNUMBER(BK78),ISNUMBER(BI78)),BK78-BI78,"")</f>
        <v>0</v>
      </c>
      <c r="BK78" s="33"/>
      <c r="BL78" s="34">
        <f>IF(AND(ISNUMBER(BM78),ISNUMBER(BK78)),BM78-BK78,"")</f>
        <v>0</v>
      </c>
      <c r="BM78" s="33"/>
      <c r="BN78" s="34">
        <f>IF(AND(ISNUMBER(BO78),ISNUMBER(BM78)),BO78-BM78,"")</f>
        <v>0</v>
      </c>
      <c r="BO78" s="33"/>
      <c r="BP78" s="34">
        <f>IF(AND(ISNUMBER(BQ78),ISNUMBER(BO78)),BQ78-BO78,"")</f>
        <v>0</v>
      </c>
      <c r="BQ78" s="33"/>
      <c r="BR78" s="34">
        <f>IF(AND(ISNUMBER(BS78),ISNUMBER(BQ78)),BS78-BQ78,"")</f>
        <v>0</v>
      </c>
      <c r="BS78" s="33"/>
      <c r="BT78" s="34">
        <f>IF(AND(ISNUMBER(BU78),ISNUMBER(BS78)),BU78-BS78,"")</f>
        <v>0</v>
      </c>
      <c r="BU78" s="33"/>
      <c r="BV78" s="34">
        <f>IF(AND(ISNUMBER(BW78),ISNUMBER(BU78)),BW78-BU78,"")</f>
        <v>0</v>
      </c>
      <c r="BW78" s="33"/>
      <c r="BX78" s="34">
        <f>IF(AND(ISNUMBER(BY78),ISNUMBER(BW78)),BY78-BW78,"")</f>
        <v>0</v>
      </c>
      <c r="BY78" s="33"/>
      <c r="BZ78" s="34">
        <f>IF(AND(ISNUMBER(CA78),ISNUMBER(BY78)),CA78-BY78,"")</f>
        <v>0</v>
      </c>
      <c r="CA78" s="33"/>
      <c r="CB78" s="34">
        <f>IF(AND(ISNUMBER(CC78),ISNUMBER(CA78)),CC78-CA78,"")</f>
        <v>0</v>
      </c>
      <c r="CC78" s="33"/>
      <c r="CD78" s="34">
        <f>IF(AND(ISNUMBER(CE78),ISNUMBER(CC78)),CE78-CC78,"")</f>
        <v>0</v>
      </c>
      <c r="CE78" s="33"/>
      <c r="CF78" s="34">
        <f>IF(AND(ISNUMBER(CG78),ISNUMBER(CE78)),CG78-CE78,"")</f>
        <v>0</v>
      </c>
      <c r="CG78" s="33"/>
      <c r="CH78" s="34">
        <f>IF(AND(ISNUMBER(CI78),ISNUMBER(CG78)),CI78-CG78,"")</f>
        <v>0</v>
      </c>
      <c r="CI78" s="33"/>
      <c r="CJ78" s="34">
        <f>IF(AND(ISNUMBER(CK78),ISNUMBER(CI78)),CK78-CI78,"")</f>
        <v>0</v>
      </c>
      <c r="CK78" s="33"/>
      <c r="CL78" s="34">
        <f>IF(AND(ISNUMBER(CM78),ISNUMBER(CK78)),CM78-CK78,"")</f>
        <v>0</v>
      </c>
      <c r="CM78" s="33"/>
      <c r="CN78" s="34">
        <f>IF(AND(ISNUMBER(CO78),ISNUMBER(CM78)),CO78-CM78,"")</f>
        <v>0</v>
      </c>
      <c r="CO78" s="33"/>
      <c r="CP78" s="34">
        <f>IF(AND(ISNUMBER(CQ78),ISNUMBER(CO78)),CQ78-CO78,"")</f>
        <v>0</v>
      </c>
      <c r="CQ78" s="33"/>
      <c r="CR78" s="34">
        <f>IF(AND(ISNUMBER(CS78),ISNUMBER(CQ78)),CS78-CQ78,"")</f>
        <v>0</v>
      </c>
      <c r="CS78" s="33"/>
      <c r="CT78" s="34">
        <f>IF(AND(ISNUMBER(CU78),ISNUMBER(CS78)),CU78-CS78,"")</f>
        <v>0</v>
      </c>
      <c r="CU78" s="33"/>
      <c r="CV78" s="34">
        <f>IF(AND(ISNUMBER(CW78),ISNUMBER(CU78)),CW78-CU78,"")</f>
        <v>0</v>
      </c>
      <c r="CW78" s="33"/>
      <c r="CX78" s="34">
        <f>IF(AND(ISNUMBER(CY78),ISNUMBER(CW78)),CY78-CW78,"")</f>
        <v>0</v>
      </c>
      <c r="CY78" s="33"/>
      <c r="CZ78" s="34">
        <f>IF(AND(ISNUMBER(DA78),ISNUMBER(CY78)),DA78-CY78,"")</f>
        <v>0</v>
      </c>
      <c r="DA78" s="33"/>
      <c r="DB78" s="34">
        <f>IF(AND(ISNUMBER(DC78),ISNUMBER(DA78)),DC78-DA78,"")</f>
        <v>0</v>
      </c>
      <c r="DC78" s="33"/>
      <c r="DD78" s="34">
        <f>IF(AND(ISNUMBER(DE78),ISNUMBER(DC78)),DE78-DC78,"")</f>
        <v>0</v>
      </c>
      <c r="DE78" s="33"/>
      <c r="DF78" s="34">
        <f>IF(AND(ISNUMBER(DG78),ISNUMBER(DE78)),DG78-DE78,"")</f>
        <v>0</v>
      </c>
      <c r="DG78" s="33"/>
      <c r="DH78" s="34">
        <f>IF(AND(ISNUMBER(DI78),ISNUMBER(DG78)),DI78-DG78,"")</f>
        <v>0</v>
      </c>
      <c r="DI78" s="33"/>
      <c r="DJ78" s="34">
        <f>IF(AND(ISNUMBER(DK78),ISNUMBER(DI78)),DK78-DI78,"")</f>
        <v>0</v>
      </c>
      <c r="DK78" s="33"/>
      <c r="DL78" s="34">
        <f>IF(AND(ISNUMBER(DM78),ISNUMBER(DK78)),DM78-DK78,"")</f>
        <v>0</v>
      </c>
      <c r="DM78" s="33"/>
      <c r="DN78" s="34">
        <f>IF(AND(ISNUMBER(DO78),ISNUMBER(DM78)),DO78-DM78,"")</f>
        <v>0</v>
      </c>
      <c r="DO78" s="33"/>
      <c r="DP78" s="34">
        <f>IF(AND(ISNUMBER(DQ78),ISNUMBER(DO78)),DQ78-DO78,"")</f>
        <v>0</v>
      </c>
      <c r="DQ78" s="33"/>
      <c r="DR78" s="34">
        <f>IF(AND(ISNUMBER(DS78),ISNUMBER(DQ78)),DS78-DQ78,"")</f>
        <v>0</v>
      </c>
      <c r="DS78" s="33"/>
      <c r="DT78" s="34">
        <f>IF(AND(ISNUMBER(DU78),ISNUMBER(DS78)),DU78-DS78,"")</f>
        <v>0</v>
      </c>
      <c r="DU78" s="33"/>
      <c r="DV78" s="34">
        <f>IF(AND(ISNUMBER(DW78),ISNUMBER(DU78)),DW78-DU78,"")</f>
        <v>0</v>
      </c>
      <c r="DW78" s="33"/>
      <c r="DX78" s="34">
        <f>IF(AND(ISNUMBER(DY78),ISNUMBER(DW78)),DY78-DW78,"")</f>
        <v>0</v>
      </c>
      <c r="DY78" s="33"/>
      <c r="DZ78" s="34">
        <f>IF(AND(ISNUMBER(EA78),ISNUMBER(DY78)),EA78-DY78,"")</f>
        <v>0</v>
      </c>
      <c r="EA78" s="33"/>
      <c r="EB78" s="34">
        <f>IF(AND(ISNUMBER(EC78),ISNUMBER(EA78)),EC78-EA78,"")</f>
        <v>0</v>
      </c>
      <c r="EC78" s="33"/>
      <c r="ED78" s="34">
        <f>IF(AND(ISNUMBER(EE78),ISNUMBER(EC78)),EE78-EC78,"")</f>
        <v>0</v>
      </c>
      <c r="EE78" s="33"/>
      <c r="EF78" s="34">
        <f>IF(AND(ISNUMBER(EG78),ISNUMBER(EE78)),EG78-EE78,"")</f>
        <v>0</v>
      </c>
      <c r="EG78" s="33"/>
      <c r="EH78" s="34">
        <f>IF(AND(ISNUMBER(EI78),ISNUMBER(EG78)),EI78-EG78,"")</f>
        <v>0</v>
      </c>
      <c r="EI78" s="33"/>
      <c r="EJ78" s="34">
        <f>IF(AND(ISNUMBER(EK78),ISNUMBER(EI78)),EK78-EI78,"")</f>
        <v>0</v>
      </c>
      <c r="EK78" s="33"/>
      <c r="EL78" s="34">
        <f>IF(AND(ISNUMBER(EM78),ISNUMBER(EK78)),EM78-EK78,"")</f>
        <v>0</v>
      </c>
      <c r="EM78" s="33"/>
      <c r="EN78" s="34">
        <f>IF(AND(ISNUMBER(EO78),ISNUMBER(EM78)),EO78-EM78,"")</f>
        <v>0</v>
      </c>
      <c r="EO78" s="33"/>
      <c r="EP78" s="34">
        <f>IF(AND(ISNUMBER(EQ78),ISNUMBER(EO78)),EQ78-EO78,"")</f>
        <v>0</v>
      </c>
      <c r="EQ78" s="33"/>
      <c r="ER78" s="34">
        <f>IF(AND(ISNUMBER(ES78),ISNUMBER(EQ78)),ES78-EQ78,"")</f>
        <v>0</v>
      </c>
      <c r="ES78" s="33"/>
      <c r="ET78" s="34">
        <f>IF(AND(ISNUMBER(EU78),ISNUMBER(ES78)),EU78-ES78,"")</f>
        <v>0</v>
      </c>
      <c r="EU78" s="33"/>
      <c r="EV78" s="34">
        <f>IF(AND(ISNUMBER(EW78),ISNUMBER(EU78)),EW78-EU78,"")</f>
        <v>0</v>
      </c>
      <c r="EW78" s="33"/>
      <c r="EX78" s="34">
        <f>IF(AND(ISNUMBER(EY78),ISNUMBER(EW78)),EY78-EW78,"")</f>
        <v>0</v>
      </c>
      <c r="EY78" s="33"/>
      <c r="EZ78" s="34">
        <f>IF(AND(ISNUMBER(FA78),ISNUMBER(EY78)),FA78-EY78,"")</f>
        <v>0</v>
      </c>
      <c r="FA78" s="33"/>
      <c r="FB78" s="34">
        <f>IF(AND(ISNUMBER(FC78),ISNUMBER(FA78)),FC78-FA78,"")</f>
        <v>0</v>
      </c>
      <c r="FC78" s="33"/>
      <c r="FD78" s="34">
        <f>IF(AND(ISNUMBER(FE78),ISNUMBER(FC78)),FE78-FC78,"")</f>
        <v>0</v>
      </c>
      <c r="FE78" s="33"/>
      <c r="FF78" s="34">
        <f>IF(AND(ISNUMBER(FG78),ISNUMBER(FE78)),FG78-FE78,"")</f>
        <v>0</v>
      </c>
      <c r="FG78" s="33"/>
      <c r="FH78" s="34">
        <f>IF(AND(ISNUMBER(FI78),ISNUMBER(FG78)),FI78-FG78,"")</f>
        <v>0</v>
      </c>
      <c r="FI78" s="33"/>
      <c r="FJ78" s="34">
        <f>IF(AND(ISNUMBER(FK78),ISNUMBER(FI78)),FK78-FI78,"")</f>
        <v>0</v>
      </c>
      <c r="FK78" s="33"/>
      <c r="FL78" s="34">
        <f>IF(AND(ISNUMBER(FM78),ISNUMBER(FK78)),FM78-FK78,"")</f>
        <v>0</v>
      </c>
      <c r="FM78" s="33"/>
      <c r="FN78" s="34">
        <f>IF(AND(ISNUMBER(FO78),ISNUMBER(FM78)),FO78-FM78,"")</f>
        <v>0</v>
      </c>
      <c r="FO78" s="33"/>
      <c r="FP78" s="34">
        <f>IF(AND(ISNUMBER(FQ78),ISNUMBER(FO78)),FQ78-FO78,"")</f>
        <v>0</v>
      </c>
      <c r="FQ78" s="33"/>
      <c r="FR78" s="34">
        <f>IF(AND(ISNUMBER(FS78),ISNUMBER(FQ78)),FS78-FQ78,"")</f>
        <v>0</v>
      </c>
      <c r="FS78" s="33"/>
      <c r="FT78" s="34">
        <f>IF(AND(ISNUMBER(FU78),ISNUMBER(FS78)),FU78-FS78,"")</f>
        <v>0</v>
      </c>
      <c r="FU78" s="33"/>
      <c r="FV78" s="34">
        <f>IF(AND(ISNUMBER(FW78),ISNUMBER(FU78)),FW78-FU78,"")</f>
        <v>0</v>
      </c>
      <c r="FW78" s="33"/>
      <c r="FX78" s="34">
        <f>IF(AND(ISNUMBER(FY78),ISNUMBER(FW78)),FY78-FW78,"")</f>
        <v>0</v>
      </c>
      <c r="FY78" s="33"/>
      <c r="FZ78" s="34">
        <f>IF(AND(ISNUMBER(GA78),ISNUMBER(FY78)),GA78-FY78,"")</f>
        <v>0</v>
      </c>
      <c r="GA78" s="33"/>
      <c r="GB78" s="34">
        <f>IF(AND(ISNUMBER(GC78),ISNUMBER(GA78)),GC78-GA78,"")</f>
        <v>0</v>
      </c>
      <c r="GC78" s="33"/>
      <c r="GD78" s="34">
        <f>IF(AND(ISNUMBER(GE78),ISNUMBER(GC78)),GE78-GC78,"")</f>
        <v>0</v>
      </c>
      <c r="GE78" s="33"/>
      <c r="GF78" s="34">
        <f>IF(AND(ISNUMBER(GG78),ISNUMBER(GE78)),GG78-GE78,"")</f>
        <v>0</v>
      </c>
      <c r="GG78" s="33"/>
      <c r="GH78" s="34">
        <f>IF(AND(ISNUMBER(GI78),ISNUMBER(GG78)),GI78-GG78,"")</f>
        <v>0</v>
      </c>
      <c r="GI78" s="33"/>
      <c r="GJ78" s="34">
        <f>IF(AND(ISNUMBER(GK78),ISNUMBER(GI78)),GK78-GI78,"")</f>
        <v>0</v>
      </c>
      <c r="GK78" s="33"/>
      <c r="GL78" s="34">
        <f>IF(AND(ISNUMBER(GM78),ISNUMBER(GK78)),GM78-GK78,"")</f>
        <v>0</v>
      </c>
      <c r="GM78" s="33"/>
      <c r="GN78" s="34">
        <f>IF(AND(ISNUMBER(GO78),ISNUMBER(GM78)),GO78-GM78,"")</f>
        <v>0</v>
      </c>
      <c r="GO78" s="33"/>
      <c r="GP78" s="34">
        <f>IF(AND(ISNUMBER(GQ78),ISNUMBER(GO78)),GQ78-GO78,"")</f>
        <v>0</v>
      </c>
      <c r="GQ78" s="33"/>
      <c r="GR78" s="34">
        <f>IF(AND(ISNUMBER(GS78),ISNUMBER(GQ78)),GS78-GQ78,"")</f>
        <v>0</v>
      </c>
      <c r="GS78" s="33"/>
      <c r="GT78" s="34">
        <f>IF(AND(ISNUMBER(GU78),ISNUMBER(GS78)),GU78-GS78,"")</f>
        <v>0</v>
      </c>
      <c r="GU78" s="33"/>
      <c r="GV78" s="34">
        <f>IF(AND(ISNUMBER(GW78),ISNUMBER(GU78)),GW78-GU78,"")</f>
        <v>0</v>
      </c>
      <c r="GW78" s="33"/>
      <c r="GX78" s="34">
        <f>IF(AND(ISNUMBER(GY78),ISNUMBER(GW78)),GY78-GW78,"")</f>
        <v>0</v>
      </c>
      <c r="GY78" s="33"/>
      <c r="GZ78" s="34">
        <f>IF(AND(ISNUMBER(HA78),ISNUMBER(GY78)),HA78-GY78,"")</f>
        <v>0</v>
      </c>
      <c r="HA78" s="33"/>
      <c r="HB78" s="34">
        <f>IF(AND(ISNUMBER(HC78),ISNUMBER(HA78)),HC78-HA78,"")</f>
        <v>0</v>
      </c>
      <c r="HC78" s="33"/>
      <c r="HD78" s="34">
        <f>IF(AND(ISNUMBER(HE78),ISNUMBER(HC78)),HE78-HC78,"")</f>
        <v>0</v>
      </c>
      <c r="HE78" s="33"/>
      <c r="HF78" s="34">
        <f>IF(AND(ISNUMBER(HG78),ISNUMBER(HE78)),HG78-HE78,"")</f>
        <v>0</v>
      </c>
      <c r="HG78" s="33"/>
      <c r="HH78" s="34">
        <f>IF(AND(ISNUMBER(HI78),ISNUMBER(HG78)),HI78-HG78,"")</f>
        <v>0</v>
      </c>
      <c r="HI78" s="33"/>
      <c r="HJ78" s="34">
        <f>IF(AND(ISNUMBER(HK78),ISNUMBER(HI78)),HK78-HI78,"")</f>
        <v>0</v>
      </c>
      <c r="HK78" s="33"/>
      <c r="HL78" s="34">
        <f>IF(AND(ISNUMBER(HM78),ISNUMBER(HK78)),HM78-HK78,"")</f>
        <v>0</v>
      </c>
      <c r="HM78" s="33"/>
      <c r="HN78" s="34">
        <f>IF(AND(ISNUMBER(HO78),ISNUMBER(HM78)),HO78-HM78,"")</f>
        <v>0</v>
      </c>
      <c r="HO78" s="33"/>
      <c r="HP78" s="34">
        <f>IF(AND(ISNUMBER(HQ78),ISNUMBER(HO78)),HQ78-HO78,"")</f>
        <v>0</v>
      </c>
      <c r="HQ78" s="33"/>
      <c r="HR78" s="34">
        <f>IF(AND(ISNUMBER(HS78),ISNUMBER(HQ78)),HS78-HQ78,"")</f>
        <v>0</v>
      </c>
      <c r="HS78" s="33"/>
      <c r="HT78" s="34">
        <f>IF(AND(ISNUMBER(HU78),ISNUMBER(HS78)),HU78-HS78,"")</f>
        <v>0</v>
      </c>
      <c r="HU78" s="33"/>
      <c r="HV78" s="34">
        <f>IF(AND(ISNUMBER(HW78),ISNUMBER(HU78)),HW78-HU78,"")</f>
        <v>0</v>
      </c>
      <c r="HW78" s="33"/>
      <c r="HX78" s="34">
        <f>IF(AND(ISNUMBER(HY78),ISNUMBER(HW78)),HY78-HW78,"")</f>
        <v>0</v>
      </c>
      <c r="HY78" s="33"/>
      <c r="HZ78" s="34">
        <f>IF(AND(ISNUMBER(IA78),ISNUMBER(HY78)),IA78-HY78,"")</f>
        <v>0</v>
      </c>
      <c r="IA78" s="33"/>
      <c r="IB78" s="34">
        <f>IF(AND(ISNUMBER(IC78),ISNUMBER(IA78)),IC78-IA78,"")</f>
        <v>0</v>
      </c>
      <c r="IC78" s="33"/>
      <c r="ID78" s="34">
        <f>IF(AND(ISNUMBER(IE78),ISNUMBER(IC78)),IE78-IC78,"")</f>
        <v>0</v>
      </c>
      <c r="IE78" s="33"/>
      <c r="IF78" s="34">
        <f>IF(AND(ISNUMBER(IG78),ISNUMBER(IE78)),IG78-IE78,"")</f>
        <v>0</v>
      </c>
      <c r="IG78" s="33"/>
      <c r="IH78" s="34">
        <f>IF(AND(ISNUMBER(II78),ISNUMBER(IG78)),II78-IG78,"")</f>
        <v>0</v>
      </c>
      <c r="II78" s="33"/>
      <c r="IJ78" s="34">
        <f>IF(AND(ISNUMBER(IK78),ISNUMBER(II78)),IK78-II78,"")</f>
        <v>0</v>
      </c>
      <c r="IK78" s="33"/>
      <c r="IL78" s="34">
        <f>IF(AND(ISNUMBER(IM78),ISNUMBER(IK78)),IM78-IK78,"")</f>
        <v>0</v>
      </c>
      <c r="IM78" s="33"/>
      <c r="IN78" s="34">
        <f>IF(AND(ISNUMBER(IO78),ISNUMBER(IM78)),IO78-IM78,"")</f>
        <v>0</v>
      </c>
      <c r="IO78" s="33"/>
      <c r="IP78" s="34">
        <f>IF(AND(ISNUMBER(IQ78),ISNUMBER(IO78)),IQ78-IO78,"")</f>
        <v>0</v>
      </c>
      <c r="IQ78" s="33"/>
      <c r="IR78" s="34">
        <f>IF(AND(ISNUMBER(IS78),ISNUMBER(IQ78)),IS78-IQ78,"")</f>
        <v>0</v>
      </c>
      <c r="IS78" s="33"/>
      <c r="IT78" s="34">
        <f>IF(AND(ISNUMBER(IU78),ISNUMBER(IS78)),IU78-IS78,"")</f>
        <v>0</v>
      </c>
      <c r="IU78" s="33"/>
      <c r="IV78" s="34">
        <f>IF(AND(ISNUMBER(IW78),ISNUMBER(IU78)),IW78-IU78,"")</f>
        <v>0</v>
      </c>
      <c r="IW78" s="33"/>
      <c r="IX78" s="34">
        <f>IF(AND(ISNUMBER(IY78),ISNUMBER(IW78)),IY78-IW78,"")</f>
        <v>0</v>
      </c>
      <c r="IY78" s="33"/>
      <c r="IZ78" s="34">
        <f>IF(AND(ISNUMBER(JA78),ISNUMBER(IY78)),JA78-IY78,"")</f>
        <v>0</v>
      </c>
      <c r="JA78" s="33"/>
      <c r="JB78" s="34">
        <f>IF(AND(ISNUMBER(JC78),ISNUMBER(JA78)),JC78-JA78,"")</f>
        <v>0</v>
      </c>
      <c r="JC78" s="33"/>
      <c r="JD78" s="34">
        <f>IF(AND(ISNUMBER(JE78),ISNUMBER(JC78)),JE78-JC78,"")</f>
        <v>0</v>
      </c>
      <c r="JE78" s="33"/>
      <c r="JF78" s="34">
        <f>IF(AND(ISNUMBER(JG78),ISNUMBER(JE78)),JG78-JE78,"")</f>
        <v>0</v>
      </c>
      <c r="JG78" s="33"/>
      <c r="JH78" s="34">
        <f>IF(AND(ISNUMBER(JI78),ISNUMBER(JG78)),JI78-JG78,"")</f>
        <v>0</v>
      </c>
      <c r="JI78" s="33"/>
      <c r="JJ78" s="34">
        <f>IF(AND(ISNUMBER(JK78),ISNUMBER(JI78)),JK78-JI78,"")</f>
        <v>0</v>
      </c>
      <c r="JK78" s="33"/>
      <c r="JL78" s="34">
        <f>IF(AND(ISNUMBER(JM78),ISNUMBER(JK78)),JM78-JK78,"")</f>
        <v>0</v>
      </c>
      <c r="JM78" s="33"/>
      <c r="JN78" s="34">
        <f>IF(AND(ISNUMBER(JO78),ISNUMBER(JM78)),JO78-JM78,"")</f>
        <v>0</v>
      </c>
      <c r="JO78" s="33"/>
      <c r="JP78" s="34">
        <f>IF(AND(ISNUMBER(JQ78),ISNUMBER(JO78)),JQ78-JO78,"")</f>
        <v>0</v>
      </c>
      <c r="JQ78" s="33">
        <v>0</v>
      </c>
      <c r="JR78" s="34">
        <f>IF(AND(ISNUMBER(JS78),ISNUMBER(JQ78)),JS78-JQ78,"")</f>
        <v>0</v>
      </c>
      <c r="JS78" s="33">
        <v>357</v>
      </c>
      <c r="JT78" s="34">
        <f>IF(AND(ISNUMBER(JU78),ISNUMBER(JS78)),JU78-JS78,"")</f>
        <v>0</v>
      </c>
      <c r="JU78" s="33">
        <v>961</v>
      </c>
      <c r="JV78" s="34">
        <f>IF(AND(ISNUMBER(JW78),ISNUMBER(JU78)),JW78-JU78,"")</f>
        <v>0</v>
      </c>
      <c r="JW78" s="33"/>
      <c r="JX78" s="34">
        <f>IF(AND(ISNUMBER(JY78),ISNUMBER(JW78)),JY78-JW78,"")</f>
        <v>0</v>
      </c>
      <c r="JY78" s="33"/>
      <c r="JZ78" s="34">
        <f>IF(AND(ISNUMBER(KA78),ISNUMBER(JY78)),KA78-JY78,"")</f>
        <v>0</v>
      </c>
      <c r="KA78" s="33"/>
      <c r="KB78" s="34">
        <f>IF(AND(ISNUMBER(KC78),ISNUMBER(KA78)),KC78-KA78,"")</f>
        <v>0</v>
      </c>
      <c r="KC78" s="33"/>
      <c r="KD78" s="34">
        <f>IF(AND(ISNUMBER(KE78),ISNUMBER(KC78)),KE78-KC78,"")</f>
        <v>0</v>
      </c>
      <c r="KE78" s="33"/>
      <c r="KF78" s="34">
        <f>IF(AND(ISNUMBER(KG78),ISNUMBER(KE78)),KG78-KE78,"")</f>
        <v>0</v>
      </c>
      <c r="KG78" s="33"/>
      <c r="KH78" s="34">
        <f>IF(AND(ISNUMBER(KI78),ISNUMBER(KG78)),KI78-KG78,"")</f>
        <v>0</v>
      </c>
      <c r="KI78" s="33"/>
      <c r="KJ78" s="34">
        <f>IF(AND(ISNUMBER(KK78),ISNUMBER(KI78)),KK78-KI78,"")</f>
        <v>0</v>
      </c>
      <c r="KK78" s="33"/>
      <c r="KL78" s="34">
        <f>IF(AND(ISNUMBER(KM78),ISNUMBER(KK78)),KM78-KK78,"")</f>
        <v>0</v>
      </c>
      <c r="KM78" s="33"/>
      <c r="KN78" s="34">
        <f>IF(AND(ISNUMBER(KO78),ISNUMBER(KM78)),KO78-KM78,"")</f>
        <v>0</v>
      </c>
      <c r="KO78" s="33"/>
      <c r="KP78" s="34">
        <f>IF(AND(ISNUMBER(KQ78),ISNUMBER(KO78)),KQ78-KO78,"")</f>
        <v>0</v>
      </c>
      <c r="KQ78" s="33"/>
      <c r="KR78" s="34">
        <f>IF(AND(ISNUMBER(KS78),ISNUMBER(KQ78)),KS78-KQ78,"")</f>
        <v>0</v>
      </c>
      <c r="KS78" s="33"/>
      <c r="KT78" s="34">
        <f>IF(AND(ISNUMBER(KU78),ISNUMBER(KS78)),KU78-KS78,"")</f>
        <v>0</v>
      </c>
      <c r="KU78" s="33"/>
      <c r="KV78" s="34">
        <f>IF(AND(ISNUMBER(KW78),ISNUMBER(KU78)),KW78-KU78,"")</f>
        <v>0</v>
      </c>
      <c r="KW78" s="33"/>
      <c r="KX78" s="34">
        <f>IF(AND(ISNUMBER(KY78),ISNUMBER(KW78)),KY78-KW78,"")</f>
        <v>0</v>
      </c>
      <c r="KY78" s="33"/>
      <c r="KZ78" s="34">
        <f>IF(AND(ISNUMBER(LA78),ISNUMBER(KY78)),LA78-KY78,"")</f>
        <v>0</v>
      </c>
      <c r="LA78" s="33"/>
      <c r="LB78" s="34">
        <f>IF(AND(ISNUMBER(LC78),ISNUMBER(LA78)),LC78-LA78,"")</f>
        <v>0</v>
      </c>
      <c r="LC78" s="33"/>
      <c r="LD78" s="34">
        <f>IF(AND(ISNUMBER(LE78),ISNUMBER(LC78)),LE78-LC78,"")</f>
        <v>0</v>
      </c>
      <c r="LE78" s="33"/>
      <c r="LF78" s="34">
        <f>IF(AND(ISNUMBER(LG78),ISNUMBER(LE78)),LG78-LE78,"")</f>
        <v>0</v>
      </c>
      <c r="LG78" s="33"/>
    </row>
    <row r="79" spans="1:322">
      <c r="A79" s="36" t="s">
        <v>253</v>
      </c>
      <c r="B79" s="23"/>
      <c r="C79" s="31" t="s">
        <v>1112</v>
      </c>
      <c r="D79" s="31" t="s">
        <v>1113</v>
      </c>
      <c r="H79" s="38" t="s">
        <v>1082</v>
      </c>
      <c r="I79" s="33"/>
      <c r="J79" s="34">
        <f>IF(AND(ISNUMBER(K79),ISNUMBER(I79)),K79-I79,"")</f>
        <v>0</v>
      </c>
      <c r="K79" s="33"/>
      <c r="L79" s="34">
        <f>IF(AND(ISNUMBER(M79),ISNUMBER(K79)),M79-K79,"")</f>
        <v>0</v>
      </c>
      <c r="M79" s="33"/>
      <c r="N79" s="34">
        <f>IF(AND(ISNUMBER(O79),ISNUMBER(M79)),O79-M79,"")</f>
        <v>0</v>
      </c>
      <c r="O79" s="33"/>
      <c r="P79" s="34">
        <f>IF(AND(ISNUMBER(Q79),ISNUMBER(O79)),Q79-O79,"")</f>
        <v>0</v>
      </c>
      <c r="Q79" s="33"/>
      <c r="R79" s="34">
        <f>IF(AND(ISNUMBER(S79),ISNUMBER(Q79)),S79-Q79,"")</f>
        <v>0</v>
      </c>
      <c r="S79" s="33"/>
      <c r="T79" s="34">
        <f>IF(AND(ISNUMBER(U79),ISNUMBER(S79)),U79-S79,"")</f>
        <v>0</v>
      </c>
      <c r="U79" s="33"/>
      <c r="V79" s="34">
        <f>IF(AND(ISNUMBER(W79),ISNUMBER(U79)),W79-U79,"")</f>
        <v>0</v>
      </c>
      <c r="W79" s="33"/>
      <c r="X79" s="34">
        <f>IF(AND(ISNUMBER(Y79),ISNUMBER(W79)),Y79-W79,"")</f>
        <v>0</v>
      </c>
      <c r="Y79" s="33"/>
      <c r="Z79" s="34">
        <f>IF(AND(ISNUMBER(AA79),ISNUMBER(Y79)),AA79-Y79,"")</f>
        <v>0</v>
      </c>
      <c r="AA79" s="33"/>
      <c r="AB79" s="34">
        <f>IF(AND(ISNUMBER(AC79),ISNUMBER(AA79)),AC79-AA79,"")</f>
        <v>0</v>
      </c>
      <c r="AC79" s="33"/>
      <c r="AD79" s="34">
        <f>IF(AND(ISNUMBER(AE79),ISNUMBER(AC79)),AE79-AC79,"")</f>
        <v>0</v>
      </c>
      <c r="AE79" s="33"/>
      <c r="AF79" s="34">
        <f>IF(AND(ISNUMBER(AG79),ISNUMBER(AE79)),AG79-AE79,"")</f>
        <v>0</v>
      </c>
      <c r="AG79" s="33"/>
      <c r="AH79" s="34">
        <f>IF(AND(ISNUMBER(AI79),ISNUMBER(AG79)),AI79-AG79,"")</f>
        <v>0</v>
      </c>
      <c r="AI79" s="33"/>
      <c r="AJ79" s="34">
        <f>IF(AND(ISNUMBER(AK79),ISNUMBER(AI79)),AK79-AI79,"")</f>
        <v>0</v>
      </c>
      <c r="AK79" s="33"/>
      <c r="AL79" s="34">
        <f>IF(AND(ISNUMBER(AM79),ISNUMBER(AK79)),AM79-AK79,"")</f>
        <v>0</v>
      </c>
      <c r="AM79" s="33"/>
      <c r="AN79" s="34">
        <f>IF(AND(ISNUMBER(AO79),ISNUMBER(AM79)),AO79-AM79,"")</f>
        <v>0</v>
      </c>
      <c r="AO79" s="33"/>
      <c r="AP79" s="34">
        <f>IF(AND(ISNUMBER(AQ79),ISNUMBER(AO79)),AQ79-AO79,"")</f>
        <v>0</v>
      </c>
      <c r="AQ79" s="33"/>
      <c r="AR79" s="34">
        <f>IF(AND(ISNUMBER(AS79),ISNUMBER(AQ79)),AS79-AQ79,"")</f>
        <v>0</v>
      </c>
      <c r="AS79" s="33"/>
      <c r="AT79" s="34">
        <f>IF(AND(ISNUMBER(AU79),ISNUMBER(AS79)),AU79-AS79,"")</f>
        <v>0</v>
      </c>
      <c r="AU79" s="33"/>
      <c r="AV79" s="34">
        <f>IF(AND(ISNUMBER(AW79),ISNUMBER(AU79)),AW79-AU79,"")</f>
        <v>0</v>
      </c>
      <c r="AW79" s="33"/>
      <c r="AX79" s="34">
        <f>IF(AND(ISNUMBER(AY79),ISNUMBER(AW79)),AY79-AW79,"")</f>
        <v>0</v>
      </c>
      <c r="AY79" s="33"/>
      <c r="AZ79" s="34">
        <f>IF(AND(ISNUMBER(BA79),ISNUMBER(AY79)),BA79-AY79,"")</f>
        <v>0</v>
      </c>
      <c r="BA79" s="33"/>
      <c r="BB79" s="34">
        <f>IF(AND(ISNUMBER(BC79),ISNUMBER(BA79)),BC79-BA79,"")</f>
        <v>0</v>
      </c>
      <c r="BC79" s="33"/>
      <c r="BD79" s="34">
        <f>IF(AND(ISNUMBER(BE79),ISNUMBER(BC79)),BE79-BC79,"")</f>
        <v>0</v>
      </c>
      <c r="BE79" s="33"/>
      <c r="BF79" s="34">
        <f>IF(AND(ISNUMBER(BG79),ISNUMBER(BE79)),BG79-BE79,"")</f>
        <v>0</v>
      </c>
      <c r="BG79" s="33"/>
      <c r="BH79" s="34">
        <f>IF(AND(ISNUMBER(BI79),ISNUMBER(BG79)),BI79-BG79,"")</f>
        <v>0</v>
      </c>
      <c r="BI79" s="33"/>
      <c r="BJ79" s="34">
        <f>IF(AND(ISNUMBER(BK79),ISNUMBER(BI79)),BK79-BI79,"")</f>
        <v>0</v>
      </c>
      <c r="BK79" s="33"/>
      <c r="BL79" s="34">
        <f>IF(AND(ISNUMBER(BM79),ISNUMBER(BK79)),BM79-BK79,"")</f>
        <v>0</v>
      </c>
      <c r="BM79" s="33"/>
      <c r="BN79" s="34">
        <f>IF(AND(ISNUMBER(BO79),ISNUMBER(BM79)),BO79-BM79,"")</f>
        <v>0</v>
      </c>
      <c r="BO79" s="33"/>
      <c r="BP79" s="34">
        <f>IF(AND(ISNUMBER(BQ79),ISNUMBER(BO79)),BQ79-BO79,"")</f>
        <v>0</v>
      </c>
      <c r="BQ79" s="33"/>
      <c r="BR79" s="34">
        <f>IF(AND(ISNUMBER(BS79),ISNUMBER(BQ79)),BS79-BQ79,"")</f>
        <v>0</v>
      </c>
      <c r="BS79" s="33"/>
      <c r="BT79" s="34">
        <f>IF(AND(ISNUMBER(BU79),ISNUMBER(BS79)),BU79-BS79,"")</f>
        <v>0</v>
      </c>
      <c r="BU79" s="33"/>
      <c r="BV79" s="34">
        <f>IF(AND(ISNUMBER(BW79),ISNUMBER(BU79)),BW79-BU79,"")</f>
        <v>0</v>
      </c>
      <c r="BW79" s="33"/>
      <c r="BX79" s="34">
        <f>IF(AND(ISNUMBER(BY79),ISNUMBER(BW79)),BY79-BW79,"")</f>
        <v>0</v>
      </c>
      <c r="BY79" s="33"/>
      <c r="BZ79" s="34">
        <f>IF(AND(ISNUMBER(CA79),ISNUMBER(BY79)),CA79-BY79,"")</f>
        <v>0</v>
      </c>
      <c r="CA79" s="33"/>
      <c r="CB79" s="34">
        <f>IF(AND(ISNUMBER(CC79),ISNUMBER(CA79)),CC79-CA79,"")</f>
        <v>0</v>
      </c>
      <c r="CC79" s="33"/>
      <c r="CD79" s="34">
        <f>IF(AND(ISNUMBER(CE79),ISNUMBER(CC79)),CE79-CC79,"")</f>
        <v>0</v>
      </c>
      <c r="CE79" s="33"/>
      <c r="CF79" s="34">
        <f>IF(AND(ISNUMBER(CG79),ISNUMBER(CE79)),CG79-CE79,"")</f>
        <v>0</v>
      </c>
      <c r="CG79" s="33"/>
      <c r="CH79" s="34">
        <f>IF(AND(ISNUMBER(CI79),ISNUMBER(CG79)),CI79-CG79,"")</f>
        <v>0</v>
      </c>
      <c r="CI79" s="33"/>
      <c r="CJ79" s="34">
        <f>IF(AND(ISNUMBER(CK79),ISNUMBER(CI79)),CK79-CI79,"")</f>
        <v>0</v>
      </c>
      <c r="CK79" s="33"/>
      <c r="CL79" s="34">
        <f>IF(AND(ISNUMBER(CM79),ISNUMBER(CK79)),CM79-CK79,"")</f>
        <v>0</v>
      </c>
      <c r="CM79" s="33"/>
      <c r="CN79" s="34">
        <f>IF(AND(ISNUMBER(CO79),ISNUMBER(CM79)),CO79-CM79,"")</f>
        <v>0</v>
      </c>
      <c r="CO79" s="33"/>
      <c r="CP79" s="34">
        <f>IF(AND(ISNUMBER(CQ79),ISNUMBER(CO79)),CQ79-CO79,"")</f>
        <v>0</v>
      </c>
      <c r="CQ79" s="33"/>
      <c r="CR79" s="34">
        <f>IF(AND(ISNUMBER(CS79),ISNUMBER(CQ79)),CS79-CQ79,"")</f>
        <v>0</v>
      </c>
      <c r="CS79" s="33"/>
      <c r="CT79" s="34">
        <f>IF(AND(ISNUMBER(CU79),ISNUMBER(CS79)),CU79-CS79,"")</f>
        <v>0</v>
      </c>
      <c r="CU79" s="33"/>
      <c r="CV79" s="34">
        <f>IF(AND(ISNUMBER(CW79),ISNUMBER(CU79)),CW79-CU79,"")</f>
        <v>0</v>
      </c>
      <c r="CW79" s="33"/>
      <c r="CX79" s="34">
        <f>IF(AND(ISNUMBER(CY79),ISNUMBER(CW79)),CY79-CW79,"")</f>
        <v>0</v>
      </c>
      <c r="CY79" s="33"/>
      <c r="CZ79" s="34">
        <f>IF(AND(ISNUMBER(DA79),ISNUMBER(CY79)),DA79-CY79,"")</f>
        <v>0</v>
      </c>
      <c r="DA79" s="33"/>
      <c r="DB79" s="34">
        <f>IF(AND(ISNUMBER(DC79),ISNUMBER(DA79)),DC79-DA79,"")</f>
        <v>0</v>
      </c>
      <c r="DC79" s="33"/>
      <c r="DD79" s="34">
        <f>IF(AND(ISNUMBER(DE79),ISNUMBER(DC79)),DE79-DC79,"")</f>
        <v>0</v>
      </c>
      <c r="DE79" s="33"/>
      <c r="DF79" s="34">
        <f>IF(AND(ISNUMBER(DG79),ISNUMBER(DE79)),DG79-DE79,"")</f>
        <v>0</v>
      </c>
      <c r="DG79" s="33"/>
      <c r="DH79" s="34">
        <f>IF(AND(ISNUMBER(DI79),ISNUMBER(DG79)),DI79-DG79,"")</f>
        <v>0</v>
      </c>
      <c r="DI79" s="33"/>
      <c r="DJ79" s="34">
        <f>IF(AND(ISNUMBER(DK79),ISNUMBER(DI79)),DK79-DI79,"")</f>
        <v>0</v>
      </c>
      <c r="DK79" s="33"/>
      <c r="DL79" s="34">
        <f>IF(AND(ISNUMBER(DM79),ISNUMBER(DK79)),DM79-DK79,"")</f>
        <v>0</v>
      </c>
      <c r="DM79" s="33"/>
      <c r="DN79" s="34">
        <f>IF(AND(ISNUMBER(DO79),ISNUMBER(DM79)),DO79-DM79,"")</f>
        <v>0</v>
      </c>
      <c r="DO79" s="33"/>
      <c r="DP79" s="34">
        <f>IF(AND(ISNUMBER(DQ79),ISNUMBER(DO79)),DQ79-DO79,"")</f>
        <v>0</v>
      </c>
      <c r="DQ79" s="33"/>
      <c r="DR79" s="34">
        <f>IF(AND(ISNUMBER(DS79),ISNUMBER(DQ79)),DS79-DQ79,"")</f>
        <v>0</v>
      </c>
      <c r="DS79" s="33"/>
      <c r="DT79" s="34">
        <f>IF(AND(ISNUMBER(DU79),ISNUMBER(DS79)),DU79-DS79,"")</f>
        <v>0</v>
      </c>
      <c r="DU79" s="33"/>
      <c r="DV79" s="34">
        <f>IF(AND(ISNUMBER(DW79),ISNUMBER(DU79)),DW79-DU79,"")</f>
        <v>0</v>
      </c>
      <c r="DW79" s="33"/>
      <c r="DX79" s="34">
        <f>IF(AND(ISNUMBER(DY79),ISNUMBER(DW79)),DY79-DW79,"")</f>
        <v>0</v>
      </c>
      <c r="DY79" s="33"/>
      <c r="DZ79" s="34">
        <f>IF(AND(ISNUMBER(EA79),ISNUMBER(DY79)),EA79-DY79,"")</f>
        <v>0</v>
      </c>
      <c r="EA79" s="33"/>
      <c r="EB79" s="34">
        <f>IF(AND(ISNUMBER(EC79),ISNUMBER(EA79)),EC79-EA79,"")</f>
        <v>0</v>
      </c>
      <c r="EC79" s="33"/>
      <c r="ED79" s="34">
        <f>IF(AND(ISNUMBER(EE79),ISNUMBER(EC79)),EE79-EC79,"")</f>
        <v>0</v>
      </c>
      <c r="EE79" s="33"/>
      <c r="EF79" s="34">
        <f>IF(AND(ISNUMBER(EG79),ISNUMBER(EE79)),EG79-EE79,"")</f>
        <v>0</v>
      </c>
      <c r="EG79" s="33"/>
      <c r="EH79" s="34">
        <f>IF(AND(ISNUMBER(EI79),ISNUMBER(EG79)),EI79-EG79,"")</f>
        <v>0</v>
      </c>
      <c r="EI79" s="33"/>
      <c r="EJ79" s="34">
        <f>IF(AND(ISNUMBER(EK79),ISNUMBER(EI79)),EK79-EI79,"")</f>
        <v>0</v>
      </c>
      <c r="EK79" s="33"/>
      <c r="EL79" s="34">
        <f>IF(AND(ISNUMBER(EM79),ISNUMBER(EK79)),EM79-EK79,"")</f>
        <v>0</v>
      </c>
      <c r="EM79" s="33"/>
      <c r="EN79" s="34">
        <f>IF(AND(ISNUMBER(EO79),ISNUMBER(EM79)),EO79-EM79,"")</f>
        <v>0</v>
      </c>
      <c r="EO79" s="33"/>
      <c r="EP79" s="34">
        <f>IF(AND(ISNUMBER(EQ79),ISNUMBER(EO79)),EQ79-EO79,"")</f>
        <v>0</v>
      </c>
      <c r="EQ79" s="33"/>
      <c r="ER79" s="34">
        <f>IF(AND(ISNUMBER(ES79),ISNUMBER(EQ79)),ES79-EQ79,"")</f>
        <v>0</v>
      </c>
      <c r="ES79" s="33"/>
      <c r="ET79" s="34">
        <f>IF(AND(ISNUMBER(EU79),ISNUMBER(ES79)),EU79-ES79,"")</f>
        <v>0</v>
      </c>
      <c r="EU79" s="33"/>
      <c r="EV79" s="34">
        <f>IF(AND(ISNUMBER(EW79),ISNUMBER(EU79)),EW79-EU79,"")</f>
        <v>0</v>
      </c>
      <c r="EW79" s="33"/>
      <c r="EX79" s="34">
        <f>IF(AND(ISNUMBER(EY79),ISNUMBER(EW79)),EY79-EW79,"")</f>
        <v>0</v>
      </c>
      <c r="EY79" s="33"/>
      <c r="EZ79" s="34">
        <f>IF(AND(ISNUMBER(FA79),ISNUMBER(EY79)),FA79-EY79,"")</f>
        <v>0</v>
      </c>
      <c r="FA79" s="33"/>
      <c r="FB79" s="34">
        <f>IF(AND(ISNUMBER(FC79),ISNUMBER(FA79)),FC79-FA79,"")</f>
        <v>0</v>
      </c>
      <c r="FC79" s="33"/>
      <c r="FD79" s="34">
        <f>IF(AND(ISNUMBER(FE79),ISNUMBER(FC79)),FE79-FC79,"")</f>
        <v>0</v>
      </c>
      <c r="FE79" s="33"/>
      <c r="FF79" s="34">
        <f>IF(AND(ISNUMBER(FG79),ISNUMBER(FE79)),FG79-FE79,"")</f>
        <v>0</v>
      </c>
      <c r="FG79" s="33"/>
      <c r="FH79" s="34">
        <f>IF(AND(ISNUMBER(FI79),ISNUMBER(FG79)),FI79-FG79,"")</f>
        <v>0</v>
      </c>
      <c r="FI79" s="33"/>
      <c r="FJ79" s="34">
        <f>IF(AND(ISNUMBER(FK79),ISNUMBER(FI79)),FK79-FI79,"")</f>
        <v>0</v>
      </c>
      <c r="FK79" s="33"/>
      <c r="FL79" s="34">
        <f>IF(AND(ISNUMBER(FM79),ISNUMBER(FK79)),FM79-FK79,"")</f>
        <v>0</v>
      </c>
      <c r="FM79" s="33"/>
      <c r="FN79" s="34">
        <f>IF(AND(ISNUMBER(FO79),ISNUMBER(FM79)),FO79-FM79,"")</f>
        <v>0</v>
      </c>
      <c r="FO79" s="33"/>
      <c r="FP79" s="34">
        <f>IF(AND(ISNUMBER(FQ79),ISNUMBER(FO79)),FQ79-FO79,"")</f>
        <v>0</v>
      </c>
      <c r="FQ79" s="33"/>
      <c r="FR79" s="34">
        <f>IF(AND(ISNUMBER(FS79),ISNUMBER(FQ79)),FS79-FQ79,"")</f>
        <v>0</v>
      </c>
      <c r="FS79" s="33"/>
      <c r="FT79" s="34">
        <f>IF(AND(ISNUMBER(FU79),ISNUMBER(FS79)),FU79-FS79,"")</f>
        <v>0</v>
      </c>
      <c r="FU79" s="33"/>
      <c r="FV79" s="34">
        <f>IF(AND(ISNUMBER(FW79),ISNUMBER(FU79)),FW79-FU79,"")</f>
        <v>0</v>
      </c>
      <c r="FW79" s="33"/>
      <c r="FX79" s="34">
        <f>IF(AND(ISNUMBER(FY79),ISNUMBER(FW79)),FY79-FW79,"")</f>
        <v>0</v>
      </c>
      <c r="FY79" s="33"/>
      <c r="FZ79" s="34">
        <f>IF(AND(ISNUMBER(GA79),ISNUMBER(FY79)),GA79-FY79,"")</f>
        <v>0</v>
      </c>
      <c r="GA79" s="33"/>
      <c r="GB79" s="34">
        <f>IF(AND(ISNUMBER(GC79),ISNUMBER(GA79)),GC79-GA79,"")</f>
        <v>0</v>
      </c>
      <c r="GC79" s="33"/>
      <c r="GD79" s="34">
        <f>IF(AND(ISNUMBER(GE79),ISNUMBER(GC79)),GE79-GC79,"")</f>
        <v>0</v>
      </c>
      <c r="GE79" s="33"/>
      <c r="GF79" s="34">
        <f>IF(AND(ISNUMBER(GG79),ISNUMBER(GE79)),GG79-GE79,"")</f>
        <v>0</v>
      </c>
      <c r="GG79" s="33"/>
      <c r="GH79" s="34">
        <f>IF(AND(ISNUMBER(GI79),ISNUMBER(GG79)),GI79-GG79,"")</f>
        <v>0</v>
      </c>
      <c r="GI79" s="33"/>
      <c r="GJ79" s="34">
        <f>IF(AND(ISNUMBER(GK79),ISNUMBER(GI79)),GK79-GI79,"")</f>
        <v>0</v>
      </c>
      <c r="GK79" s="33"/>
      <c r="GL79" s="34">
        <f>IF(AND(ISNUMBER(GM79),ISNUMBER(GK79)),GM79-GK79,"")</f>
        <v>0</v>
      </c>
      <c r="GM79" s="33"/>
      <c r="GN79" s="34">
        <f>IF(AND(ISNUMBER(GO79),ISNUMBER(GM79)),GO79-GM79,"")</f>
        <v>0</v>
      </c>
      <c r="GO79" s="33"/>
      <c r="GP79" s="34">
        <f>IF(AND(ISNUMBER(GQ79),ISNUMBER(GO79)),GQ79-GO79,"")</f>
        <v>0</v>
      </c>
      <c r="GQ79" s="33"/>
      <c r="GR79" s="34">
        <f>IF(AND(ISNUMBER(GS79),ISNUMBER(GQ79)),GS79-GQ79,"")</f>
        <v>0</v>
      </c>
      <c r="GS79" s="33"/>
      <c r="GT79" s="34">
        <f>IF(AND(ISNUMBER(GU79),ISNUMBER(GS79)),GU79-GS79,"")</f>
        <v>0</v>
      </c>
      <c r="GU79" s="33"/>
      <c r="GV79" s="34">
        <f>IF(AND(ISNUMBER(GW79),ISNUMBER(GU79)),GW79-GU79,"")</f>
        <v>0</v>
      </c>
      <c r="GW79" s="33"/>
      <c r="GX79" s="34">
        <f>IF(AND(ISNUMBER(GY79),ISNUMBER(GW79)),GY79-GW79,"")</f>
        <v>0</v>
      </c>
      <c r="GY79" s="33"/>
      <c r="GZ79" s="34">
        <f>IF(AND(ISNUMBER(HA79),ISNUMBER(GY79)),HA79-GY79,"")</f>
        <v>0</v>
      </c>
      <c r="HA79" s="33"/>
      <c r="HB79" s="34">
        <f>IF(AND(ISNUMBER(HC79),ISNUMBER(HA79)),HC79-HA79,"")</f>
        <v>0</v>
      </c>
      <c r="HC79" s="33"/>
      <c r="HD79" s="34">
        <f>IF(AND(ISNUMBER(HE79),ISNUMBER(HC79)),HE79-HC79,"")</f>
        <v>0</v>
      </c>
      <c r="HE79" s="33"/>
      <c r="HF79" s="34">
        <f>IF(AND(ISNUMBER(HG79),ISNUMBER(HE79)),HG79-HE79,"")</f>
        <v>0</v>
      </c>
      <c r="HG79" s="33"/>
      <c r="HH79" s="34">
        <f>IF(AND(ISNUMBER(HI79),ISNUMBER(HG79)),HI79-HG79,"")</f>
        <v>0</v>
      </c>
      <c r="HI79" s="33"/>
      <c r="HJ79" s="34">
        <f>IF(AND(ISNUMBER(HK79),ISNUMBER(HI79)),HK79-HI79,"")</f>
        <v>0</v>
      </c>
      <c r="HK79" s="33"/>
      <c r="HL79" s="34">
        <f>IF(AND(ISNUMBER(HM79),ISNUMBER(HK79)),HM79-HK79,"")</f>
        <v>0</v>
      </c>
      <c r="HM79" s="33"/>
      <c r="HN79" s="34">
        <f>IF(AND(ISNUMBER(HO79),ISNUMBER(HM79)),HO79-HM79,"")</f>
        <v>0</v>
      </c>
      <c r="HO79" s="33"/>
      <c r="HP79" s="34">
        <f>IF(AND(ISNUMBER(HQ79),ISNUMBER(HO79)),HQ79-HO79,"")</f>
        <v>0</v>
      </c>
      <c r="HQ79" s="33"/>
      <c r="HR79" s="34">
        <f>IF(AND(ISNUMBER(HS79),ISNUMBER(HQ79)),HS79-HQ79,"")</f>
        <v>0</v>
      </c>
      <c r="HS79" s="33"/>
      <c r="HT79" s="34">
        <f>IF(AND(ISNUMBER(HU79),ISNUMBER(HS79)),HU79-HS79,"")</f>
        <v>0</v>
      </c>
      <c r="HU79" s="33"/>
      <c r="HV79" s="34">
        <f>IF(AND(ISNUMBER(HW79),ISNUMBER(HU79)),HW79-HU79,"")</f>
        <v>0</v>
      </c>
      <c r="HW79" s="33"/>
      <c r="HX79" s="34">
        <f>IF(AND(ISNUMBER(HY79),ISNUMBER(HW79)),HY79-HW79,"")</f>
        <v>0</v>
      </c>
      <c r="HY79" s="33"/>
      <c r="HZ79" s="34">
        <f>IF(AND(ISNUMBER(IA79),ISNUMBER(HY79)),IA79-HY79,"")</f>
        <v>0</v>
      </c>
      <c r="IA79" s="33"/>
      <c r="IB79" s="34">
        <f>IF(AND(ISNUMBER(IC79),ISNUMBER(IA79)),IC79-IA79,"")</f>
        <v>0</v>
      </c>
      <c r="IC79" s="33"/>
      <c r="ID79" s="34">
        <f>IF(AND(ISNUMBER(IE79),ISNUMBER(IC79)),IE79-IC79,"")</f>
        <v>0</v>
      </c>
      <c r="IE79" s="33"/>
      <c r="IF79" s="34">
        <f>IF(AND(ISNUMBER(IG79),ISNUMBER(IE79)),IG79-IE79,"")</f>
        <v>0</v>
      </c>
      <c r="IG79" s="33"/>
      <c r="IH79" s="34">
        <f>IF(AND(ISNUMBER(II79),ISNUMBER(IG79)),II79-IG79,"")</f>
        <v>0</v>
      </c>
      <c r="II79" s="33"/>
      <c r="IJ79" s="34">
        <f>IF(AND(ISNUMBER(IK79),ISNUMBER(II79)),IK79-II79,"")</f>
        <v>0</v>
      </c>
      <c r="IK79" s="33"/>
      <c r="IL79" s="34">
        <f>IF(AND(ISNUMBER(IM79),ISNUMBER(IK79)),IM79-IK79,"")</f>
        <v>0</v>
      </c>
      <c r="IM79" s="33"/>
      <c r="IN79" s="34">
        <f>IF(AND(ISNUMBER(IO79),ISNUMBER(IM79)),IO79-IM79,"")</f>
        <v>0</v>
      </c>
      <c r="IO79" s="33"/>
      <c r="IP79" s="34">
        <f>IF(AND(ISNUMBER(IQ79),ISNUMBER(IO79)),IQ79-IO79,"")</f>
        <v>0</v>
      </c>
      <c r="IQ79" s="33"/>
      <c r="IR79" s="34">
        <f>IF(AND(ISNUMBER(IS79),ISNUMBER(IQ79)),IS79-IQ79,"")</f>
        <v>0</v>
      </c>
      <c r="IS79" s="33"/>
      <c r="IT79" s="34">
        <f>IF(AND(ISNUMBER(IU79),ISNUMBER(IS79)),IU79-IS79,"")</f>
        <v>0</v>
      </c>
      <c r="IU79" s="33"/>
      <c r="IV79" s="34">
        <f>IF(AND(ISNUMBER(IW79),ISNUMBER(IU79)),IW79-IU79,"")</f>
        <v>0</v>
      </c>
      <c r="IW79" s="33"/>
      <c r="IX79" s="34">
        <f>IF(AND(ISNUMBER(IY79),ISNUMBER(IW79)),IY79-IW79,"")</f>
        <v>0</v>
      </c>
      <c r="IY79" s="33"/>
      <c r="IZ79" s="34">
        <f>IF(AND(ISNUMBER(JA79),ISNUMBER(IY79)),JA79-IY79,"")</f>
        <v>0</v>
      </c>
      <c r="JA79" s="33"/>
      <c r="JB79" s="34">
        <f>IF(AND(ISNUMBER(JC79),ISNUMBER(JA79)),JC79-JA79,"")</f>
        <v>0</v>
      </c>
      <c r="JC79" s="33"/>
      <c r="JD79" s="34">
        <f>IF(AND(ISNUMBER(JE79),ISNUMBER(JC79)),JE79-JC79,"")</f>
        <v>0</v>
      </c>
      <c r="JE79" s="33"/>
      <c r="JF79" s="34">
        <f>IF(AND(ISNUMBER(JG79),ISNUMBER(JE79)),JG79-JE79,"")</f>
        <v>0</v>
      </c>
      <c r="JG79" s="33"/>
      <c r="JH79" s="34">
        <f>IF(AND(ISNUMBER(JI79),ISNUMBER(JG79)),JI79-JG79,"")</f>
        <v>0</v>
      </c>
      <c r="JI79" s="33"/>
      <c r="JJ79" s="34">
        <f>IF(AND(ISNUMBER(JK79),ISNUMBER(JI79)),JK79-JI79,"")</f>
        <v>0</v>
      </c>
      <c r="JK79" s="33"/>
      <c r="JL79" s="34">
        <f>IF(AND(ISNUMBER(JM79),ISNUMBER(JK79)),JM79-JK79,"")</f>
        <v>0</v>
      </c>
      <c r="JM79" s="33"/>
      <c r="JN79" s="34">
        <f>IF(AND(ISNUMBER(JO79),ISNUMBER(JM79)),JO79-JM79,"")</f>
        <v>0</v>
      </c>
      <c r="JO79" s="33"/>
      <c r="JP79" s="34">
        <f>IF(AND(ISNUMBER(JQ79),ISNUMBER(JO79)),JQ79-JO79,"")</f>
        <v>0</v>
      </c>
      <c r="JQ79" s="33"/>
      <c r="JR79" s="34">
        <f>IF(AND(ISNUMBER(JS79),ISNUMBER(JQ79)),JS79-JQ79,"")</f>
        <v>0</v>
      </c>
      <c r="JS79" s="33">
        <v>26964</v>
      </c>
      <c r="JT79" s="34">
        <f>IF(AND(ISNUMBER(JU79),ISNUMBER(JS79)),JU79-JS79,"")</f>
        <v>0</v>
      </c>
      <c r="JU79" s="33">
        <v>25748</v>
      </c>
      <c r="JV79" s="34">
        <f>IF(AND(ISNUMBER(JW79),ISNUMBER(JU79)),JW79-JU79,"")</f>
        <v>0</v>
      </c>
      <c r="JW79" s="33">
        <v>26600</v>
      </c>
      <c r="JX79" s="34">
        <f>IF(AND(ISNUMBER(JY79),ISNUMBER(JW79)),JY79-JW79,"")</f>
        <v>0</v>
      </c>
      <c r="JY79" s="33"/>
      <c r="JZ79" s="34">
        <f>IF(AND(ISNUMBER(KA79),ISNUMBER(JY79)),KA79-JY79,"")</f>
        <v>0</v>
      </c>
      <c r="KA79" s="33"/>
      <c r="KB79" s="34">
        <f>IF(AND(ISNUMBER(KC79),ISNUMBER(KA79)),KC79-KA79,"")</f>
        <v>0</v>
      </c>
      <c r="KC79" s="33"/>
      <c r="KD79" s="34">
        <f>IF(AND(ISNUMBER(KE79),ISNUMBER(KC79)),KE79-KC79,"")</f>
        <v>0</v>
      </c>
      <c r="KE79" s="33"/>
      <c r="KF79" s="34">
        <f>IF(AND(ISNUMBER(KG79),ISNUMBER(KE79)),KG79-KE79,"")</f>
        <v>0</v>
      </c>
      <c r="KG79" s="33"/>
      <c r="KH79" s="34">
        <f>IF(AND(ISNUMBER(KI79),ISNUMBER(KG79)),KI79-KG79,"")</f>
        <v>0</v>
      </c>
      <c r="KI79" s="33"/>
      <c r="KJ79" s="34">
        <f>IF(AND(ISNUMBER(KK79),ISNUMBER(KI79)),KK79-KI79,"")</f>
        <v>0</v>
      </c>
      <c r="KK79" s="33"/>
      <c r="KL79" s="34">
        <f>IF(AND(ISNUMBER(KM79),ISNUMBER(KK79)),KM79-KK79,"")</f>
        <v>0</v>
      </c>
      <c r="KM79" s="33"/>
      <c r="KN79" s="34">
        <f>IF(AND(ISNUMBER(KO79),ISNUMBER(KM79)),KO79-KM79,"")</f>
        <v>0</v>
      </c>
      <c r="KO79" s="33"/>
      <c r="KP79" s="34">
        <f>IF(AND(ISNUMBER(KQ79),ISNUMBER(KO79)),KQ79-KO79,"")</f>
        <v>0</v>
      </c>
      <c r="KQ79" s="33"/>
      <c r="KR79" s="34">
        <f>IF(AND(ISNUMBER(KS79),ISNUMBER(KQ79)),KS79-KQ79,"")</f>
        <v>0</v>
      </c>
      <c r="KS79" s="33"/>
      <c r="KT79" s="34">
        <f>IF(AND(ISNUMBER(KU79),ISNUMBER(KS79)),KU79-KS79,"")</f>
        <v>0</v>
      </c>
      <c r="KU79" s="33"/>
      <c r="KV79" s="34">
        <f>IF(AND(ISNUMBER(KW79),ISNUMBER(KU79)),KW79-KU79,"")</f>
        <v>0</v>
      </c>
      <c r="KW79" s="33"/>
      <c r="KX79" s="34">
        <f>IF(AND(ISNUMBER(KY79),ISNUMBER(KW79)),KY79-KW79,"")</f>
        <v>0</v>
      </c>
      <c r="KY79" s="33"/>
      <c r="KZ79" s="34">
        <f>IF(AND(ISNUMBER(LA79),ISNUMBER(KY79)),LA79-KY79,"")</f>
        <v>0</v>
      </c>
      <c r="LA79" s="33"/>
      <c r="LB79" s="34">
        <f>IF(AND(ISNUMBER(LC79),ISNUMBER(LA79)),LC79-LA79,"")</f>
        <v>0</v>
      </c>
      <c r="LC79" s="33"/>
      <c r="LD79" s="34">
        <f>IF(AND(ISNUMBER(LE79),ISNUMBER(LC79)),LE79-LC79,"")</f>
        <v>0</v>
      </c>
      <c r="LE79" s="33"/>
      <c r="LF79" s="34">
        <f>IF(AND(ISNUMBER(LG79),ISNUMBER(LE79)),LG79-LE79,"")</f>
        <v>0</v>
      </c>
      <c r="LG79" s="33"/>
    </row>
    <row r="80" spans="1:322">
      <c r="A80" s="36" t="s">
        <v>255</v>
      </c>
      <c r="B80" s="23"/>
      <c r="C80" s="31" t="s">
        <v>813</v>
      </c>
      <c r="D80" s="31" t="s">
        <v>814</v>
      </c>
      <c r="E80" s="32" t="s">
        <v>1036</v>
      </c>
      <c r="H80" s="38" t="s">
        <v>1082</v>
      </c>
      <c r="I80" s="33"/>
      <c r="J80" s="34">
        <f>IF(AND(ISNUMBER(K80),ISNUMBER(I80)),K80-I80,"")</f>
        <v>0</v>
      </c>
      <c r="K80" s="33"/>
      <c r="L80" s="34">
        <f>IF(AND(ISNUMBER(M80),ISNUMBER(K80)),M80-K80,"")</f>
        <v>0</v>
      </c>
      <c r="M80" s="33"/>
      <c r="N80" s="34">
        <f>IF(AND(ISNUMBER(O80),ISNUMBER(M80)),O80-M80,"")</f>
        <v>0</v>
      </c>
      <c r="O80" s="33"/>
      <c r="P80" s="34">
        <f>IF(AND(ISNUMBER(Q80),ISNUMBER(O80)),Q80-O80,"")</f>
        <v>0</v>
      </c>
      <c r="Q80" s="33"/>
      <c r="R80" s="34">
        <f>IF(AND(ISNUMBER(S80),ISNUMBER(Q80)),S80-Q80,"")</f>
        <v>0</v>
      </c>
      <c r="S80" s="33"/>
      <c r="T80" s="34">
        <f>IF(AND(ISNUMBER(U80),ISNUMBER(S80)),U80-S80,"")</f>
        <v>0</v>
      </c>
      <c r="U80" s="33"/>
      <c r="V80" s="34">
        <f>IF(AND(ISNUMBER(W80),ISNUMBER(U80)),W80-U80,"")</f>
        <v>0</v>
      </c>
      <c r="W80" s="33"/>
      <c r="X80" s="34">
        <f>IF(AND(ISNUMBER(Y80),ISNUMBER(W80)),Y80-W80,"")</f>
        <v>0</v>
      </c>
      <c r="Y80" s="33"/>
      <c r="Z80" s="34">
        <f>IF(AND(ISNUMBER(AA80),ISNUMBER(Y80)),AA80-Y80,"")</f>
        <v>0</v>
      </c>
      <c r="AA80" s="33"/>
      <c r="AB80" s="34">
        <f>IF(AND(ISNUMBER(AC80),ISNUMBER(AA80)),AC80-AA80,"")</f>
        <v>0</v>
      </c>
      <c r="AC80" s="33"/>
      <c r="AD80" s="34">
        <f>IF(AND(ISNUMBER(AE80),ISNUMBER(AC80)),AE80-AC80,"")</f>
        <v>0</v>
      </c>
      <c r="AE80" s="33"/>
      <c r="AF80" s="34">
        <f>IF(AND(ISNUMBER(AG80),ISNUMBER(AE80)),AG80-AE80,"")</f>
        <v>0</v>
      </c>
      <c r="AG80" s="33"/>
      <c r="AH80" s="34">
        <f>IF(AND(ISNUMBER(AI80),ISNUMBER(AG80)),AI80-AG80,"")</f>
        <v>0</v>
      </c>
      <c r="AI80" s="33"/>
      <c r="AJ80" s="34">
        <f>IF(AND(ISNUMBER(AK80),ISNUMBER(AI80)),AK80-AI80,"")</f>
        <v>0</v>
      </c>
      <c r="AK80" s="33"/>
      <c r="AL80" s="34">
        <f>IF(AND(ISNUMBER(AM80),ISNUMBER(AK80)),AM80-AK80,"")</f>
        <v>0</v>
      </c>
      <c r="AM80" s="33"/>
      <c r="AN80" s="34">
        <f>IF(AND(ISNUMBER(AO80),ISNUMBER(AM80)),AO80-AM80,"")</f>
        <v>0</v>
      </c>
      <c r="AO80" s="33"/>
      <c r="AP80" s="34">
        <f>IF(AND(ISNUMBER(AQ80),ISNUMBER(AO80)),AQ80-AO80,"")</f>
        <v>0</v>
      </c>
      <c r="AQ80" s="33"/>
      <c r="AR80" s="34">
        <f>IF(AND(ISNUMBER(AS80),ISNUMBER(AQ80)),AS80-AQ80,"")</f>
        <v>0</v>
      </c>
      <c r="AS80" s="33"/>
      <c r="AT80" s="34">
        <f>IF(AND(ISNUMBER(AU80),ISNUMBER(AS80)),AU80-AS80,"")</f>
        <v>0</v>
      </c>
      <c r="AU80" s="33"/>
      <c r="AV80" s="34">
        <f>IF(AND(ISNUMBER(AW80),ISNUMBER(AU80)),AW80-AU80,"")</f>
        <v>0</v>
      </c>
      <c r="AW80" s="33"/>
      <c r="AX80" s="34">
        <f>IF(AND(ISNUMBER(AY80),ISNUMBER(AW80)),AY80-AW80,"")</f>
        <v>0</v>
      </c>
      <c r="AY80" s="33"/>
      <c r="AZ80" s="34">
        <f>IF(AND(ISNUMBER(BA80),ISNUMBER(AY80)),BA80-AY80,"")</f>
        <v>0</v>
      </c>
      <c r="BA80" s="33"/>
      <c r="BB80" s="34">
        <f>IF(AND(ISNUMBER(BC80),ISNUMBER(BA80)),BC80-BA80,"")</f>
        <v>0</v>
      </c>
      <c r="BC80" s="33"/>
      <c r="BD80" s="34">
        <f>IF(AND(ISNUMBER(BE80),ISNUMBER(BC80)),BE80-BC80,"")</f>
        <v>0</v>
      </c>
      <c r="BE80" s="33"/>
      <c r="BF80" s="34">
        <f>IF(AND(ISNUMBER(BG80),ISNUMBER(BE80)),BG80-BE80,"")</f>
        <v>0</v>
      </c>
      <c r="BG80" s="33"/>
      <c r="BH80" s="34">
        <f>IF(AND(ISNUMBER(BI80),ISNUMBER(BG80)),BI80-BG80,"")</f>
        <v>0</v>
      </c>
      <c r="BI80" s="33"/>
      <c r="BJ80" s="34">
        <f>IF(AND(ISNUMBER(BK80),ISNUMBER(BI80)),BK80-BI80,"")</f>
        <v>0</v>
      </c>
      <c r="BK80" s="33"/>
      <c r="BL80" s="34">
        <f>IF(AND(ISNUMBER(BM80),ISNUMBER(BK80)),BM80-BK80,"")</f>
        <v>0</v>
      </c>
      <c r="BM80" s="33"/>
      <c r="BN80" s="34">
        <f>IF(AND(ISNUMBER(BO80),ISNUMBER(BM80)),BO80-BM80,"")</f>
        <v>0</v>
      </c>
      <c r="BO80" s="33"/>
      <c r="BP80" s="34">
        <f>IF(AND(ISNUMBER(BQ80),ISNUMBER(BO80)),BQ80-BO80,"")</f>
        <v>0</v>
      </c>
      <c r="BQ80" s="33"/>
      <c r="BR80" s="34">
        <f>IF(AND(ISNUMBER(BS80),ISNUMBER(BQ80)),BS80-BQ80,"")</f>
        <v>0</v>
      </c>
      <c r="BS80" s="33"/>
      <c r="BT80" s="34">
        <f>IF(AND(ISNUMBER(BU80),ISNUMBER(BS80)),BU80-BS80,"")</f>
        <v>0</v>
      </c>
      <c r="BU80" s="33"/>
      <c r="BV80" s="34">
        <f>IF(AND(ISNUMBER(BW80),ISNUMBER(BU80)),BW80-BU80,"")</f>
        <v>0</v>
      </c>
      <c r="BW80" s="33"/>
      <c r="BX80" s="34">
        <f>IF(AND(ISNUMBER(BY80),ISNUMBER(BW80)),BY80-BW80,"")</f>
        <v>0</v>
      </c>
      <c r="BY80" s="33"/>
      <c r="BZ80" s="34">
        <f>IF(AND(ISNUMBER(CA80),ISNUMBER(BY80)),CA80-BY80,"")</f>
        <v>0</v>
      </c>
      <c r="CA80" s="33"/>
      <c r="CB80" s="34">
        <f>IF(AND(ISNUMBER(CC80),ISNUMBER(CA80)),CC80-CA80,"")</f>
        <v>0</v>
      </c>
      <c r="CC80" s="33"/>
      <c r="CD80" s="34">
        <f>IF(AND(ISNUMBER(CE80),ISNUMBER(CC80)),CE80-CC80,"")</f>
        <v>0</v>
      </c>
      <c r="CE80" s="33"/>
      <c r="CF80" s="34">
        <f>IF(AND(ISNUMBER(CG80),ISNUMBER(CE80)),CG80-CE80,"")</f>
        <v>0</v>
      </c>
      <c r="CG80" s="33"/>
      <c r="CH80" s="34">
        <f>IF(AND(ISNUMBER(CI80),ISNUMBER(CG80)),CI80-CG80,"")</f>
        <v>0</v>
      </c>
      <c r="CI80" s="33"/>
      <c r="CJ80" s="34">
        <f>IF(AND(ISNUMBER(CK80),ISNUMBER(CI80)),CK80-CI80,"")</f>
        <v>0</v>
      </c>
      <c r="CK80" s="33"/>
      <c r="CL80" s="34">
        <f>IF(AND(ISNUMBER(CM80),ISNUMBER(CK80)),CM80-CK80,"")</f>
        <v>0</v>
      </c>
      <c r="CM80" s="33"/>
      <c r="CN80" s="34">
        <f>IF(AND(ISNUMBER(CO80),ISNUMBER(CM80)),CO80-CM80,"")</f>
        <v>0</v>
      </c>
      <c r="CO80" s="33"/>
      <c r="CP80" s="34">
        <f>IF(AND(ISNUMBER(CQ80),ISNUMBER(CO80)),CQ80-CO80,"")</f>
        <v>0</v>
      </c>
      <c r="CQ80" s="33"/>
      <c r="CR80" s="34">
        <f>IF(AND(ISNUMBER(CS80),ISNUMBER(CQ80)),CS80-CQ80,"")</f>
        <v>0</v>
      </c>
      <c r="CS80" s="33"/>
      <c r="CT80" s="34">
        <f>IF(AND(ISNUMBER(CU80),ISNUMBER(CS80)),CU80-CS80,"")</f>
        <v>0</v>
      </c>
      <c r="CU80" s="33"/>
      <c r="CV80" s="34">
        <f>IF(AND(ISNUMBER(CW80),ISNUMBER(CU80)),CW80-CU80,"")</f>
        <v>0</v>
      </c>
      <c r="CW80" s="33"/>
      <c r="CX80" s="34">
        <f>IF(AND(ISNUMBER(CY80),ISNUMBER(CW80)),CY80-CW80,"")</f>
        <v>0</v>
      </c>
      <c r="CY80" s="33"/>
      <c r="CZ80" s="34">
        <f>IF(AND(ISNUMBER(DA80),ISNUMBER(CY80)),DA80-CY80,"")</f>
        <v>0</v>
      </c>
      <c r="DA80" s="33"/>
      <c r="DB80" s="34">
        <f>IF(AND(ISNUMBER(DC80),ISNUMBER(DA80)),DC80-DA80,"")</f>
        <v>0</v>
      </c>
      <c r="DC80" s="33"/>
      <c r="DD80" s="34">
        <f>IF(AND(ISNUMBER(DE80),ISNUMBER(DC80)),DE80-DC80,"")</f>
        <v>0</v>
      </c>
      <c r="DE80" s="33"/>
      <c r="DF80" s="34">
        <f>IF(AND(ISNUMBER(DG80),ISNUMBER(DE80)),DG80-DE80,"")</f>
        <v>0</v>
      </c>
      <c r="DG80" s="33"/>
      <c r="DH80" s="34">
        <f>IF(AND(ISNUMBER(DI80),ISNUMBER(DG80)),DI80-DG80,"")</f>
        <v>0</v>
      </c>
      <c r="DI80" s="33"/>
      <c r="DJ80" s="34">
        <f>IF(AND(ISNUMBER(DK80),ISNUMBER(DI80)),DK80-DI80,"")</f>
        <v>0</v>
      </c>
      <c r="DK80" s="33"/>
      <c r="DL80" s="34">
        <f>IF(AND(ISNUMBER(DM80),ISNUMBER(DK80)),DM80-DK80,"")</f>
        <v>0</v>
      </c>
      <c r="DM80" s="33"/>
      <c r="DN80" s="34">
        <f>IF(AND(ISNUMBER(DO80),ISNUMBER(DM80)),DO80-DM80,"")</f>
        <v>0</v>
      </c>
      <c r="DO80" s="33"/>
      <c r="DP80" s="34">
        <f>IF(AND(ISNUMBER(DQ80),ISNUMBER(DO80)),DQ80-DO80,"")</f>
        <v>0</v>
      </c>
      <c r="DQ80" s="33"/>
      <c r="DR80" s="34">
        <f>IF(AND(ISNUMBER(DS80),ISNUMBER(DQ80)),DS80-DQ80,"")</f>
        <v>0</v>
      </c>
      <c r="DS80" s="33"/>
      <c r="DT80" s="34">
        <f>IF(AND(ISNUMBER(DU80),ISNUMBER(DS80)),DU80-DS80,"")</f>
        <v>0</v>
      </c>
      <c r="DU80" s="33"/>
      <c r="DV80" s="34">
        <f>IF(AND(ISNUMBER(DW80),ISNUMBER(DU80)),DW80-DU80,"")</f>
        <v>0</v>
      </c>
      <c r="DW80" s="33"/>
      <c r="DX80" s="34">
        <f>IF(AND(ISNUMBER(DY80),ISNUMBER(DW80)),DY80-DW80,"")</f>
        <v>0</v>
      </c>
      <c r="DY80" s="33"/>
      <c r="DZ80" s="34">
        <f>IF(AND(ISNUMBER(EA80),ISNUMBER(DY80)),EA80-DY80,"")</f>
        <v>0</v>
      </c>
      <c r="EA80" s="33"/>
      <c r="EB80" s="34">
        <f>IF(AND(ISNUMBER(EC80),ISNUMBER(EA80)),EC80-EA80,"")</f>
        <v>0</v>
      </c>
      <c r="EC80" s="33"/>
      <c r="ED80" s="34">
        <f>IF(AND(ISNUMBER(EE80),ISNUMBER(EC80)),EE80-EC80,"")</f>
        <v>0</v>
      </c>
      <c r="EE80" s="33"/>
      <c r="EF80" s="34">
        <f>IF(AND(ISNUMBER(EG80),ISNUMBER(EE80)),EG80-EE80,"")</f>
        <v>0</v>
      </c>
      <c r="EG80" s="33"/>
      <c r="EH80" s="34">
        <f>IF(AND(ISNUMBER(EI80),ISNUMBER(EG80)),EI80-EG80,"")</f>
        <v>0</v>
      </c>
      <c r="EI80" s="33"/>
      <c r="EJ80" s="34">
        <f>IF(AND(ISNUMBER(EK80),ISNUMBER(EI80)),EK80-EI80,"")</f>
        <v>0</v>
      </c>
      <c r="EK80" s="33"/>
      <c r="EL80" s="34">
        <f>IF(AND(ISNUMBER(EM80),ISNUMBER(EK80)),EM80-EK80,"")</f>
        <v>0</v>
      </c>
      <c r="EM80" s="33"/>
      <c r="EN80" s="34">
        <f>IF(AND(ISNUMBER(EO80),ISNUMBER(EM80)),EO80-EM80,"")</f>
        <v>0</v>
      </c>
      <c r="EO80" s="33"/>
      <c r="EP80" s="34">
        <f>IF(AND(ISNUMBER(EQ80),ISNUMBER(EO80)),EQ80-EO80,"")</f>
        <v>0</v>
      </c>
      <c r="EQ80" s="33"/>
      <c r="ER80" s="34">
        <f>IF(AND(ISNUMBER(ES80),ISNUMBER(EQ80)),ES80-EQ80,"")</f>
        <v>0</v>
      </c>
      <c r="ES80" s="33"/>
      <c r="ET80" s="34">
        <f>IF(AND(ISNUMBER(EU80),ISNUMBER(ES80)),EU80-ES80,"")</f>
        <v>0</v>
      </c>
      <c r="EU80" s="33"/>
      <c r="EV80" s="34">
        <f>IF(AND(ISNUMBER(EW80),ISNUMBER(EU80)),EW80-EU80,"")</f>
        <v>0</v>
      </c>
      <c r="EW80" s="33"/>
      <c r="EX80" s="34">
        <f>IF(AND(ISNUMBER(EY80),ISNUMBER(EW80)),EY80-EW80,"")</f>
        <v>0</v>
      </c>
      <c r="EY80" s="33"/>
      <c r="EZ80" s="34">
        <f>IF(AND(ISNUMBER(FA80),ISNUMBER(EY80)),FA80-EY80,"")</f>
        <v>0</v>
      </c>
      <c r="FA80" s="33"/>
      <c r="FB80" s="34">
        <f>IF(AND(ISNUMBER(FC80),ISNUMBER(FA80)),FC80-FA80,"")</f>
        <v>0</v>
      </c>
      <c r="FC80" s="33"/>
      <c r="FD80" s="34">
        <f>IF(AND(ISNUMBER(FE80),ISNUMBER(FC80)),FE80-FC80,"")</f>
        <v>0</v>
      </c>
      <c r="FE80" s="33"/>
      <c r="FF80" s="34">
        <f>IF(AND(ISNUMBER(FG80),ISNUMBER(FE80)),FG80-FE80,"")</f>
        <v>0</v>
      </c>
      <c r="FG80" s="33"/>
      <c r="FH80" s="34">
        <f>IF(AND(ISNUMBER(FI80),ISNUMBER(FG80)),FI80-FG80,"")</f>
        <v>0</v>
      </c>
      <c r="FI80" s="33"/>
      <c r="FJ80" s="34">
        <f>IF(AND(ISNUMBER(FK80),ISNUMBER(FI80)),FK80-FI80,"")</f>
        <v>0</v>
      </c>
      <c r="FK80" s="33"/>
      <c r="FL80" s="34">
        <f>IF(AND(ISNUMBER(FM80),ISNUMBER(FK80)),FM80-FK80,"")</f>
        <v>0</v>
      </c>
      <c r="FM80" s="33"/>
      <c r="FN80" s="34">
        <f>IF(AND(ISNUMBER(FO80),ISNUMBER(FM80)),FO80-FM80,"")</f>
        <v>0</v>
      </c>
      <c r="FO80" s="33"/>
      <c r="FP80" s="34">
        <f>IF(AND(ISNUMBER(FQ80),ISNUMBER(FO80)),FQ80-FO80,"")</f>
        <v>0</v>
      </c>
      <c r="FQ80" s="33"/>
      <c r="FR80" s="34">
        <f>IF(AND(ISNUMBER(FS80),ISNUMBER(FQ80)),FS80-FQ80,"")</f>
        <v>0</v>
      </c>
      <c r="FS80" s="33"/>
      <c r="FT80" s="34">
        <f>IF(AND(ISNUMBER(FU80),ISNUMBER(FS80)),FU80-FS80,"")</f>
        <v>0</v>
      </c>
      <c r="FU80" s="33"/>
      <c r="FV80" s="34">
        <f>IF(AND(ISNUMBER(FW80),ISNUMBER(FU80)),FW80-FU80,"")</f>
        <v>0</v>
      </c>
      <c r="FW80" s="33"/>
      <c r="FX80" s="34">
        <f>IF(AND(ISNUMBER(FY80),ISNUMBER(FW80)),FY80-FW80,"")</f>
        <v>0</v>
      </c>
      <c r="FY80" s="33"/>
      <c r="FZ80" s="34">
        <f>IF(AND(ISNUMBER(GA80),ISNUMBER(FY80)),GA80-FY80,"")</f>
        <v>0</v>
      </c>
      <c r="GA80" s="33"/>
      <c r="GB80" s="34">
        <f>IF(AND(ISNUMBER(GC80),ISNUMBER(GA80)),GC80-GA80,"")</f>
        <v>0</v>
      </c>
      <c r="GC80" s="33"/>
      <c r="GD80" s="34">
        <f>IF(AND(ISNUMBER(GE80),ISNUMBER(GC80)),GE80-GC80,"")</f>
        <v>0</v>
      </c>
      <c r="GE80" s="33"/>
      <c r="GF80" s="34">
        <f>IF(AND(ISNUMBER(GG80),ISNUMBER(GE80)),GG80-GE80,"")</f>
        <v>0</v>
      </c>
      <c r="GG80" s="33"/>
      <c r="GH80" s="34">
        <f>IF(AND(ISNUMBER(GI80),ISNUMBER(GG80)),GI80-GG80,"")</f>
        <v>0</v>
      </c>
      <c r="GI80" s="33"/>
      <c r="GJ80" s="34">
        <f>IF(AND(ISNUMBER(GK80),ISNUMBER(GI80)),GK80-GI80,"")</f>
        <v>0</v>
      </c>
      <c r="GK80" s="33"/>
      <c r="GL80" s="34">
        <f>IF(AND(ISNUMBER(GM80),ISNUMBER(GK80)),GM80-GK80,"")</f>
        <v>0</v>
      </c>
      <c r="GM80" s="33"/>
      <c r="GN80" s="34">
        <f>IF(AND(ISNUMBER(GO80),ISNUMBER(GM80)),GO80-GM80,"")</f>
        <v>0</v>
      </c>
      <c r="GO80" s="33"/>
      <c r="GP80" s="34">
        <f>IF(AND(ISNUMBER(GQ80),ISNUMBER(GO80)),GQ80-GO80,"")</f>
        <v>0</v>
      </c>
      <c r="GQ80" s="33"/>
      <c r="GR80" s="34">
        <f>IF(AND(ISNUMBER(GS80),ISNUMBER(GQ80)),GS80-GQ80,"")</f>
        <v>0</v>
      </c>
      <c r="GS80" s="33"/>
      <c r="GT80" s="34">
        <f>IF(AND(ISNUMBER(GU80),ISNUMBER(GS80)),GU80-GS80,"")</f>
        <v>0</v>
      </c>
      <c r="GU80" s="33"/>
      <c r="GV80" s="34">
        <f>IF(AND(ISNUMBER(GW80),ISNUMBER(GU80)),GW80-GU80,"")</f>
        <v>0</v>
      </c>
      <c r="GW80" s="33"/>
      <c r="GX80" s="34">
        <f>IF(AND(ISNUMBER(GY80),ISNUMBER(GW80)),GY80-GW80,"")</f>
        <v>0</v>
      </c>
      <c r="GY80" s="33"/>
      <c r="GZ80" s="34">
        <f>IF(AND(ISNUMBER(HA80),ISNUMBER(GY80)),HA80-GY80,"")</f>
        <v>0</v>
      </c>
      <c r="HA80" s="33"/>
      <c r="HB80" s="34">
        <f>IF(AND(ISNUMBER(HC80),ISNUMBER(HA80)),HC80-HA80,"")</f>
        <v>0</v>
      </c>
      <c r="HC80" s="33"/>
      <c r="HD80" s="34">
        <f>IF(AND(ISNUMBER(HE80),ISNUMBER(HC80)),HE80-HC80,"")</f>
        <v>0</v>
      </c>
      <c r="HE80" s="33"/>
      <c r="HF80" s="34">
        <f>IF(AND(ISNUMBER(HG80),ISNUMBER(HE80)),HG80-HE80,"")</f>
        <v>0</v>
      </c>
      <c r="HG80" s="33"/>
      <c r="HH80" s="34">
        <f>IF(AND(ISNUMBER(HI80),ISNUMBER(HG80)),HI80-HG80,"")</f>
        <v>0</v>
      </c>
      <c r="HI80" s="33"/>
      <c r="HJ80" s="34">
        <f>IF(AND(ISNUMBER(HK80),ISNUMBER(HI80)),HK80-HI80,"")</f>
        <v>0</v>
      </c>
      <c r="HK80" s="33"/>
      <c r="HL80" s="34">
        <f>IF(AND(ISNUMBER(HM80),ISNUMBER(HK80)),HM80-HK80,"")</f>
        <v>0</v>
      </c>
      <c r="HM80" s="33"/>
      <c r="HN80" s="34">
        <f>IF(AND(ISNUMBER(HO80),ISNUMBER(HM80)),HO80-HM80,"")</f>
        <v>0</v>
      </c>
      <c r="HO80" s="33"/>
      <c r="HP80" s="34">
        <f>IF(AND(ISNUMBER(HQ80),ISNUMBER(HO80)),HQ80-HO80,"")</f>
        <v>0</v>
      </c>
      <c r="HQ80" s="33"/>
      <c r="HR80" s="34">
        <f>IF(AND(ISNUMBER(HS80),ISNUMBER(HQ80)),HS80-HQ80,"")</f>
        <v>0</v>
      </c>
      <c r="HS80" s="33"/>
      <c r="HT80" s="34">
        <f>IF(AND(ISNUMBER(HU80),ISNUMBER(HS80)),HU80-HS80,"")</f>
        <v>0</v>
      </c>
      <c r="HU80" s="33"/>
      <c r="HV80" s="34">
        <f>IF(AND(ISNUMBER(HW80),ISNUMBER(HU80)),HW80-HU80,"")</f>
        <v>0</v>
      </c>
      <c r="HW80" s="33"/>
      <c r="HX80" s="34">
        <f>IF(AND(ISNUMBER(HY80),ISNUMBER(HW80)),HY80-HW80,"")</f>
        <v>0</v>
      </c>
      <c r="HY80" s="33"/>
      <c r="HZ80" s="34">
        <f>IF(AND(ISNUMBER(IA80),ISNUMBER(HY80)),IA80-HY80,"")</f>
        <v>0</v>
      </c>
      <c r="IA80" s="33"/>
      <c r="IB80" s="34">
        <f>IF(AND(ISNUMBER(IC80),ISNUMBER(IA80)),IC80-IA80,"")</f>
        <v>0</v>
      </c>
      <c r="IC80" s="33"/>
      <c r="ID80" s="34">
        <f>IF(AND(ISNUMBER(IE80),ISNUMBER(IC80)),IE80-IC80,"")</f>
        <v>0</v>
      </c>
      <c r="IE80" s="33"/>
      <c r="IF80" s="34">
        <f>IF(AND(ISNUMBER(IG80),ISNUMBER(IE80)),IG80-IE80,"")</f>
        <v>0</v>
      </c>
      <c r="IG80" s="33"/>
      <c r="IH80" s="34">
        <f>IF(AND(ISNUMBER(II80),ISNUMBER(IG80)),II80-IG80,"")</f>
        <v>0</v>
      </c>
      <c r="II80" s="33"/>
      <c r="IJ80" s="34">
        <f>IF(AND(ISNUMBER(IK80),ISNUMBER(II80)),IK80-II80,"")</f>
        <v>0</v>
      </c>
      <c r="IK80" s="33"/>
      <c r="IL80" s="34">
        <f>IF(AND(ISNUMBER(IM80),ISNUMBER(IK80)),IM80-IK80,"")</f>
        <v>0</v>
      </c>
      <c r="IM80" s="33"/>
      <c r="IN80" s="34">
        <f>IF(AND(ISNUMBER(IO80),ISNUMBER(IM80)),IO80-IM80,"")</f>
        <v>0</v>
      </c>
      <c r="IO80" s="33"/>
      <c r="IP80" s="34">
        <f>IF(AND(ISNUMBER(IQ80),ISNUMBER(IO80)),IQ80-IO80,"")</f>
        <v>0</v>
      </c>
      <c r="IQ80" s="33"/>
      <c r="IR80" s="34">
        <f>IF(AND(ISNUMBER(IS80),ISNUMBER(IQ80)),IS80-IQ80,"")</f>
        <v>0</v>
      </c>
      <c r="IS80" s="33"/>
      <c r="IT80" s="34">
        <f>IF(AND(ISNUMBER(IU80),ISNUMBER(IS80)),IU80-IS80,"")</f>
        <v>0</v>
      </c>
      <c r="IU80" s="33"/>
      <c r="IV80" s="34">
        <f>IF(AND(ISNUMBER(IW80),ISNUMBER(IU80)),IW80-IU80,"")</f>
        <v>0</v>
      </c>
      <c r="IW80" s="33"/>
      <c r="IX80" s="34">
        <f>IF(AND(ISNUMBER(IY80),ISNUMBER(IW80)),IY80-IW80,"")</f>
        <v>0</v>
      </c>
      <c r="IY80" s="33"/>
      <c r="IZ80" s="34">
        <f>IF(AND(ISNUMBER(JA80),ISNUMBER(IY80)),JA80-IY80,"")</f>
        <v>0</v>
      </c>
      <c r="JA80" s="33"/>
      <c r="JB80" s="34">
        <f>IF(AND(ISNUMBER(JC80),ISNUMBER(JA80)),JC80-JA80,"")</f>
        <v>0</v>
      </c>
      <c r="JC80" s="33"/>
      <c r="JD80" s="34">
        <f>IF(AND(ISNUMBER(JE80),ISNUMBER(JC80)),JE80-JC80,"")</f>
        <v>0</v>
      </c>
      <c r="JE80" s="33"/>
      <c r="JF80" s="34">
        <f>IF(AND(ISNUMBER(JG80),ISNUMBER(JE80)),JG80-JE80,"")</f>
        <v>0</v>
      </c>
      <c r="JG80" s="33"/>
      <c r="JH80" s="34">
        <f>IF(AND(ISNUMBER(JI80),ISNUMBER(JG80)),JI80-JG80,"")</f>
        <v>0</v>
      </c>
      <c r="JI80" s="33"/>
      <c r="JJ80" s="34">
        <f>IF(AND(ISNUMBER(JK80),ISNUMBER(JI80)),JK80-JI80,"")</f>
        <v>0</v>
      </c>
      <c r="JK80" s="33"/>
      <c r="JL80" s="34">
        <f>IF(AND(ISNUMBER(JM80),ISNUMBER(JK80)),JM80-JK80,"")</f>
        <v>0</v>
      </c>
      <c r="JM80" s="33"/>
      <c r="JN80" s="34">
        <f>IF(AND(ISNUMBER(JO80),ISNUMBER(JM80)),JO80-JM80,"")</f>
        <v>0</v>
      </c>
      <c r="JO80" s="33"/>
      <c r="JP80" s="34">
        <f>IF(AND(ISNUMBER(JQ80),ISNUMBER(JO80)),JQ80-JO80,"")</f>
        <v>0</v>
      </c>
      <c r="JQ80" s="33"/>
      <c r="JR80" s="34">
        <f>IF(AND(ISNUMBER(JS80),ISNUMBER(JQ80)),JS80-JQ80,"")</f>
        <v>0</v>
      </c>
      <c r="JS80" s="33">
        <v>4616</v>
      </c>
      <c r="JT80" s="34">
        <f>IF(AND(ISNUMBER(JU80),ISNUMBER(JS80)),JU80-JS80,"")</f>
        <v>0</v>
      </c>
      <c r="JU80" s="33">
        <v>4905</v>
      </c>
      <c r="JV80" s="34">
        <f>IF(AND(ISNUMBER(JW80),ISNUMBER(JU80)),JW80-JU80,"")</f>
        <v>0</v>
      </c>
      <c r="JW80" s="33">
        <v>4517</v>
      </c>
      <c r="JX80" s="34">
        <f>IF(AND(ISNUMBER(JY80),ISNUMBER(JW80)),JY80-JW80,"")</f>
        <v>0</v>
      </c>
      <c r="JY80" s="33"/>
      <c r="JZ80" s="34">
        <f>IF(AND(ISNUMBER(KA80),ISNUMBER(JY80)),KA80-JY80,"")</f>
        <v>0</v>
      </c>
      <c r="KA80" s="33"/>
      <c r="KB80" s="34">
        <f>IF(AND(ISNUMBER(KC80),ISNUMBER(KA80)),KC80-KA80,"")</f>
        <v>0</v>
      </c>
      <c r="KC80" s="33"/>
      <c r="KD80" s="34">
        <f>IF(AND(ISNUMBER(KE80),ISNUMBER(KC80)),KE80-KC80,"")</f>
        <v>0</v>
      </c>
      <c r="KE80" s="33"/>
      <c r="KF80" s="34">
        <f>IF(AND(ISNUMBER(KG80),ISNUMBER(KE80)),KG80-KE80,"")</f>
        <v>0</v>
      </c>
      <c r="KG80" s="33"/>
      <c r="KH80" s="34">
        <f>IF(AND(ISNUMBER(KI80),ISNUMBER(KG80)),KI80-KG80,"")</f>
        <v>0</v>
      </c>
      <c r="KI80" s="33"/>
      <c r="KJ80" s="34">
        <f>IF(AND(ISNUMBER(KK80),ISNUMBER(KI80)),KK80-KI80,"")</f>
        <v>0</v>
      </c>
      <c r="KK80" s="33"/>
      <c r="KL80" s="34">
        <f>IF(AND(ISNUMBER(KM80),ISNUMBER(KK80)),KM80-KK80,"")</f>
        <v>0</v>
      </c>
      <c r="KM80" s="33"/>
      <c r="KN80" s="34">
        <f>IF(AND(ISNUMBER(KO80),ISNUMBER(KM80)),KO80-KM80,"")</f>
        <v>0</v>
      </c>
      <c r="KO80" s="33"/>
      <c r="KP80" s="34">
        <f>IF(AND(ISNUMBER(KQ80),ISNUMBER(KO80)),KQ80-KO80,"")</f>
        <v>0</v>
      </c>
      <c r="KQ80" s="33"/>
      <c r="KR80" s="34">
        <f>IF(AND(ISNUMBER(KS80),ISNUMBER(KQ80)),KS80-KQ80,"")</f>
        <v>0</v>
      </c>
      <c r="KS80" s="33"/>
      <c r="KT80" s="34">
        <f>IF(AND(ISNUMBER(KU80),ISNUMBER(KS80)),KU80-KS80,"")</f>
        <v>0</v>
      </c>
      <c r="KU80" s="33"/>
      <c r="KV80" s="34">
        <f>IF(AND(ISNUMBER(KW80),ISNUMBER(KU80)),KW80-KU80,"")</f>
        <v>0</v>
      </c>
      <c r="KW80" s="33"/>
      <c r="KX80" s="34">
        <f>IF(AND(ISNUMBER(KY80),ISNUMBER(KW80)),KY80-KW80,"")</f>
        <v>0</v>
      </c>
      <c r="KY80" s="33"/>
      <c r="KZ80" s="34">
        <f>IF(AND(ISNUMBER(LA80),ISNUMBER(KY80)),LA80-KY80,"")</f>
        <v>0</v>
      </c>
      <c r="LA80" s="33"/>
      <c r="LB80" s="34">
        <f>IF(AND(ISNUMBER(LC80),ISNUMBER(LA80)),LC80-LA80,"")</f>
        <v>0</v>
      </c>
      <c r="LC80" s="33"/>
      <c r="LD80" s="34">
        <f>IF(AND(ISNUMBER(LE80),ISNUMBER(LC80)),LE80-LC80,"")</f>
        <v>0</v>
      </c>
      <c r="LE80" s="33"/>
      <c r="LF80" s="34">
        <f>IF(AND(ISNUMBER(LG80),ISNUMBER(LE80)),LG80-LE80,"")</f>
        <v>0</v>
      </c>
      <c r="LG80" s="33"/>
    </row>
    <row r="81" spans="1:322">
      <c r="A81" s="36" t="s">
        <v>257</v>
      </c>
      <c r="B81" s="23"/>
      <c r="C81" s="31" t="s">
        <v>813</v>
      </c>
      <c r="D81" s="31" t="s">
        <v>816</v>
      </c>
      <c r="E81" s="32" t="s">
        <v>1036</v>
      </c>
      <c r="H81" s="38" t="s">
        <v>1082</v>
      </c>
      <c r="I81" s="33"/>
      <c r="J81" s="34">
        <f>IF(AND(ISNUMBER(K81),ISNUMBER(I81)),K81-I81,"")</f>
        <v>0</v>
      </c>
      <c r="K81" s="33"/>
      <c r="L81" s="34">
        <f>IF(AND(ISNUMBER(M81),ISNUMBER(K81)),M81-K81,"")</f>
        <v>0</v>
      </c>
      <c r="M81" s="33"/>
      <c r="N81" s="34">
        <f>IF(AND(ISNUMBER(O81),ISNUMBER(M81)),O81-M81,"")</f>
        <v>0</v>
      </c>
      <c r="O81" s="33"/>
      <c r="P81" s="34">
        <f>IF(AND(ISNUMBER(Q81),ISNUMBER(O81)),Q81-O81,"")</f>
        <v>0</v>
      </c>
      <c r="Q81" s="33"/>
      <c r="R81" s="34">
        <f>IF(AND(ISNUMBER(S81),ISNUMBER(Q81)),S81-Q81,"")</f>
        <v>0</v>
      </c>
      <c r="S81" s="33"/>
      <c r="T81" s="34">
        <f>IF(AND(ISNUMBER(U81),ISNUMBER(S81)),U81-S81,"")</f>
        <v>0</v>
      </c>
      <c r="U81" s="33"/>
      <c r="V81" s="34">
        <f>IF(AND(ISNUMBER(W81),ISNUMBER(U81)),W81-U81,"")</f>
        <v>0</v>
      </c>
      <c r="W81" s="33"/>
      <c r="X81" s="34">
        <f>IF(AND(ISNUMBER(Y81),ISNUMBER(W81)),Y81-W81,"")</f>
        <v>0</v>
      </c>
      <c r="Y81" s="33"/>
      <c r="Z81" s="34">
        <f>IF(AND(ISNUMBER(AA81),ISNUMBER(Y81)),AA81-Y81,"")</f>
        <v>0</v>
      </c>
      <c r="AA81" s="33"/>
      <c r="AB81" s="34">
        <f>IF(AND(ISNUMBER(AC81),ISNUMBER(AA81)),AC81-AA81,"")</f>
        <v>0</v>
      </c>
      <c r="AC81" s="33"/>
      <c r="AD81" s="34">
        <f>IF(AND(ISNUMBER(AE81),ISNUMBER(AC81)),AE81-AC81,"")</f>
        <v>0</v>
      </c>
      <c r="AE81" s="33"/>
      <c r="AF81" s="34">
        <f>IF(AND(ISNUMBER(AG81),ISNUMBER(AE81)),AG81-AE81,"")</f>
        <v>0</v>
      </c>
      <c r="AG81" s="33"/>
      <c r="AH81" s="34">
        <f>IF(AND(ISNUMBER(AI81),ISNUMBER(AG81)),AI81-AG81,"")</f>
        <v>0</v>
      </c>
      <c r="AI81" s="33"/>
      <c r="AJ81" s="34">
        <f>IF(AND(ISNUMBER(AK81),ISNUMBER(AI81)),AK81-AI81,"")</f>
        <v>0</v>
      </c>
      <c r="AK81" s="33"/>
      <c r="AL81" s="34">
        <f>IF(AND(ISNUMBER(AM81),ISNUMBER(AK81)),AM81-AK81,"")</f>
        <v>0</v>
      </c>
      <c r="AM81" s="33"/>
      <c r="AN81" s="34">
        <f>IF(AND(ISNUMBER(AO81),ISNUMBER(AM81)),AO81-AM81,"")</f>
        <v>0</v>
      </c>
      <c r="AO81" s="33"/>
      <c r="AP81" s="34">
        <f>IF(AND(ISNUMBER(AQ81),ISNUMBER(AO81)),AQ81-AO81,"")</f>
        <v>0</v>
      </c>
      <c r="AQ81" s="33"/>
      <c r="AR81" s="34">
        <f>IF(AND(ISNUMBER(AS81),ISNUMBER(AQ81)),AS81-AQ81,"")</f>
        <v>0</v>
      </c>
      <c r="AS81" s="33"/>
      <c r="AT81" s="34">
        <f>IF(AND(ISNUMBER(AU81),ISNUMBER(AS81)),AU81-AS81,"")</f>
        <v>0</v>
      </c>
      <c r="AU81" s="33"/>
      <c r="AV81" s="34">
        <f>IF(AND(ISNUMBER(AW81),ISNUMBER(AU81)),AW81-AU81,"")</f>
        <v>0</v>
      </c>
      <c r="AW81" s="33"/>
      <c r="AX81" s="34">
        <f>IF(AND(ISNUMBER(AY81),ISNUMBER(AW81)),AY81-AW81,"")</f>
        <v>0</v>
      </c>
      <c r="AY81" s="33"/>
      <c r="AZ81" s="34">
        <f>IF(AND(ISNUMBER(BA81),ISNUMBER(AY81)),BA81-AY81,"")</f>
        <v>0</v>
      </c>
      <c r="BA81" s="33"/>
      <c r="BB81" s="34">
        <f>IF(AND(ISNUMBER(BC81),ISNUMBER(BA81)),BC81-BA81,"")</f>
        <v>0</v>
      </c>
      <c r="BC81" s="33"/>
      <c r="BD81" s="34">
        <f>IF(AND(ISNUMBER(BE81),ISNUMBER(BC81)),BE81-BC81,"")</f>
        <v>0</v>
      </c>
      <c r="BE81" s="33"/>
      <c r="BF81" s="34">
        <f>IF(AND(ISNUMBER(BG81),ISNUMBER(BE81)),BG81-BE81,"")</f>
        <v>0</v>
      </c>
      <c r="BG81" s="33"/>
      <c r="BH81" s="34">
        <f>IF(AND(ISNUMBER(BI81),ISNUMBER(BG81)),BI81-BG81,"")</f>
        <v>0</v>
      </c>
      <c r="BI81" s="33"/>
      <c r="BJ81" s="34">
        <f>IF(AND(ISNUMBER(BK81),ISNUMBER(BI81)),BK81-BI81,"")</f>
        <v>0</v>
      </c>
      <c r="BK81" s="33"/>
      <c r="BL81" s="34">
        <f>IF(AND(ISNUMBER(BM81),ISNUMBER(BK81)),BM81-BK81,"")</f>
        <v>0</v>
      </c>
      <c r="BM81" s="33"/>
      <c r="BN81" s="34">
        <f>IF(AND(ISNUMBER(BO81),ISNUMBER(BM81)),BO81-BM81,"")</f>
        <v>0</v>
      </c>
      <c r="BO81" s="33"/>
      <c r="BP81" s="34">
        <f>IF(AND(ISNUMBER(BQ81),ISNUMBER(BO81)),BQ81-BO81,"")</f>
        <v>0</v>
      </c>
      <c r="BQ81" s="33"/>
      <c r="BR81" s="34">
        <f>IF(AND(ISNUMBER(BS81),ISNUMBER(BQ81)),BS81-BQ81,"")</f>
        <v>0</v>
      </c>
      <c r="BS81" s="33"/>
      <c r="BT81" s="34">
        <f>IF(AND(ISNUMBER(BU81),ISNUMBER(BS81)),BU81-BS81,"")</f>
        <v>0</v>
      </c>
      <c r="BU81" s="33"/>
      <c r="BV81" s="34">
        <f>IF(AND(ISNUMBER(BW81),ISNUMBER(BU81)),BW81-BU81,"")</f>
        <v>0</v>
      </c>
      <c r="BW81" s="33"/>
      <c r="BX81" s="34">
        <f>IF(AND(ISNUMBER(BY81),ISNUMBER(BW81)),BY81-BW81,"")</f>
        <v>0</v>
      </c>
      <c r="BY81" s="33"/>
      <c r="BZ81" s="34">
        <f>IF(AND(ISNUMBER(CA81),ISNUMBER(BY81)),CA81-BY81,"")</f>
        <v>0</v>
      </c>
      <c r="CA81" s="33"/>
      <c r="CB81" s="34">
        <f>IF(AND(ISNUMBER(CC81),ISNUMBER(CA81)),CC81-CA81,"")</f>
        <v>0</v>
      </c>
      <c r="CC81" s="33"/>
      <c r="CD81" s="34">
        <f>IF(AND(ISNUMBER(CE81),ISNUMBER(CC81)),CE81-CC81,"")</f>
        <v>0</v>
      </c>
      <c r="CE81" s="33"/>
      <c r="CF81" s="34">
        <f>IF(AND(ISNUMBER(CG81),ISNUMBER(CE81)),CG81-CE81,"")</f>
        <v>0</v>
      </c>
      <c r="CG81" s="33"/>
      <c r="CH81" s="34">
        <f>IF(AND(ISNUMBER(CI81),ISNUMBER(CG81)),CI81-CG81,"")</f>
        <v>0</v>
      </c>
      <c r="CI81" s="33"/>
      <c r="CJ81" s="34">
        <f>IF(AND(ISNUMBER(CK81),ISNUMBER(CI81)),CK81-CI81,"")</f>
        <v>0</v>
      </c>
      <c r="CK81" s="33"/>
      <c r="CL81" s="34">
        <f>IF(AND(ISNUMBER(CM81),ISNUMBER(CK81)),CM81-CK81,"")</f>
        <v>0</v>
      </c>
      <c r="CM81" s="33"/>
      <c r="CN81" s="34">
        <f>IF(AND(ISNUMBER(CO81),ISNUMBER(CM81)),CO81-CM81,"")</f>
        <v>0</v>
      </c>
      <c r="CO81" s="33"/>
      <c r="CP81" s="34">
        <f>IF(AND(ISNUMBER(CQ81),ISNUMBER(CO81)),CQ81-CO81,"")</f>
        <v>0</v>
      </c>
      <c r="CQ81" s="33"/>
      <c r="CR81" s="34">
        <f>IF(AND(ISNUMBER(CS81),ISNUMBER(CQ81)),CS81-CQ81,"")</f>
        <v>0</v>
      </c>
      <c r="CS81" s="33"/>
      <c r="CT81" s="34">
        <f>IF(AND(ISNUMBER(CU81),ISNUMBER(CS81)),CU81-CS81,"")</f>
        <v>0</v>
      </c>
      <c r="CU81" s="33"/>
      <c r="CV81" s="34">
        <f>IF(AND(ISNUMBER(CW81),ISNUMBER(CU81)),CW81-CU81,"")</f>
        <v>0</v>
      </c>
      <c r="CW81" s="33"/>
      <c r="CX81" s="34">
        <f>IF(AND(ISNUMBER(CY81),ISNUMBER(CW81)),CY81-CW81,"")</f>
        <v>0</v>
      </c>
      <c r="CY81" s="33"/>
      <c r="CZ81" s="34">
        <f>IF(AND(ISNUMBER(DA81),ISNUMBER(CY81)),DA81-CY81,"")</f>
        <v>0</v>
      </c>
      <c r="DA81" s="33"/>
      <c r="DB81" s="34">
        <f>IF(AND(ISNUMBER(DC81),ISNUMBER(DA81)),DC81-DA81,"")</f>
        <v>0</v>
      </c>
      <c r="DC81" s="33"/>
      <c r="DD81" s="34">
        <f>IF(AND(ISNUMBER(DE81),ISNUMBER(DC81)),DE81-DC81,"")</f>
        <v>0</v>
      </c>
      <c r="DE81" s="33"/>
      <c r="DF81" s="34">
        <f>IF(AND(ISNUMBER(DG81),ISNUMBER(DE81)),DG81-DE81,"")</f>
        <v>0</v>
      </c>
      <c r="DG81" s="33"/>
      <c r="DH81" s="34">
        <f>IF(AND(ISNUMBER(DI81),ISNUMBER(DG81)),DI81-DG81,"")</f>
        <v>0</v>
      </c>
      <c r="DI81" s="33"/>
      <c r="DJ81" s="34">
        <f>IF(AND(ISNUMBER(DK81),ISNUMBER(DI81)),DK81-DI81,"")</f>
        <v>0</v>
      </c>
      <c r="DK81" s="33"/>
      <c r="DL81" s="34">
        <f>IF(AND(ISNUMBER(DM81),ISNUMBER(DK81)),DM81-DK81,"")</f>
        <v>0</v>
      </c>
      <c r="DM81" s="33"/>
      <c r="DN81" s="34">
        <f>IF(AND(ISNUMBER(DO81),ISNUMBER(DM81)),DO81-DM81,"")</f>
        <v>0</v>
      </c>
      <c r="DO81" s="33"/>
      <c r="DP81" s="34">
        <f>IF(AND(ISNUMBER(DQ81),ISNUMBER(DO81)),DQ81-DO81,"")</f>
        <v>0</v>
      </c>
      <c r="DQ81" s="33"/>
      <c r="DR81" s="34">
        <f>IF(AND(ISNUMBER(DS81),ISNUMBER(DQ81)),DS81-DQ81,"")</f>
        <v>0</v>
      </c>
      <c r="DS81" s="33"/>
      <c r="DT81" s="34">
        <f>IF(AND(ISNUMBER(DU81),ISNUMBER(DS81)),DU81-DS81,"")</f>
        <v>0</v>
      </c>
      <c r="DU81" s="33"/>
      <c r="DV81" s="34">
        <f>IF(AND(ISNUMBER(DW81),ISNUMBER(DU81)),DW81-DU81,"")</f>
        <v>0</v>
      </c>
      <c r="DW81" s="33"/>
      <c r="DX81" s="34">
        <f>IF(AND(ISNUMBER(DY81),ISNUMBER(DW81)),DY81-DW81,"")</f>
        <v>0</v>
      </c>
      <c r="DY81" s="33"/>
      <c r="DZ81" s="34">
        <f>IF(AND(ISNUMBER(EA81),ISNUMBER(DY81)),EA81-DY81,"")</f>
        <v>0</v>
      </c>
      <c r="EA81" s="33"/>
      <c r="EB81" s="34">
        <f>IF(AND(ISNUMBER(EC81),ISNUMBER(EA81)),EC81-EA81,"")</f>
        <v>0</v>
      </c>
      <c r="EC81" s="33"/>
      <c r="ED81" s="34">
        <f>IF(AND(ISNUMBER(EE81),ISNUMBER(EC81)),EE81-EC81,"")</f>
        <v>0</v>
      </c>
      <c r="EE81" s="33"/>
      <c r="EF81" s="34">
        <f>IF(AND(ISNUMBER(EG81),ISNUMBER(EE81)),EG81-EE81,"")</f>
        <v>0</v>
      </c>
      <c r="EG81" s="33"/>
      <c r="EH81" s="34">
        <f>IF(AND(ISNUMBER(EI81),ISNUMBER(EG81)),EI81-EG81,"")</f>
        <v>0</v>
      </c>
      <c r="EI81" s="33"/>
      <c r="EJ81" s="34">
        <f>IF(AND(ISNUMBER(EK81),ISNUMBER(EI81)),EK81-EI81,"")</f>
        <v>0</v>
      </c>
      <c r="EK81" s="33"/>
      <c r="EL81" s="34">
        <f>IF(AND(ISNUMBER(EM81),ISNUMBER(EK81)),EM81-EK81,"")</f>
        <v>0</v>
      </c>
      <c r="EM81" s="33"/>
      <c r="EN81" s="34">
        <f>IF(AND(ISNUMBER(EO81),ISNUMBER(EM81)),EO81-EM81,"")</f>
        <v>0</v>
      </c>
      <c r="EO81" s="33"/>
      <c r="EP81" s="34">
        <f>IF(AND(ISNUMBER(EQ81),ISNUMBER(EO81)),EQ81-EO81,"")</f>
        <v>0</v>
      </c>
      <c r="EQ81" s="33"/>
      <c r="ER81" s="34">
        <f>IF(AND(ISNUMBER(ES81),ISNUMBER(EQ81)),ES81-EQ81,"")</f>
        <v>0</v>
      </c>
      <c r="ES81" s="33"/>
      <c r="ET81" s="34">
        <f>IF(AND(ISNUMBER(EU81),ISNUMBER(ES81)),EU81-ES81,"")</f>
        <v>0</v>
      </c>
      <c r="EU81" s="33"/>
      <c r="EV81" s="34">
        <f>IF(AND(ISNUMBER(EW81),ISNUMBER(EU81)),EW81-EU81,"")</f>
        <v>0</v>
      </c>
      <c r="EW81" s="33"/>
      <c r="EX81" s="34">
        <f>IF(AND(ISNUMBER(EY81),ISNUMBER(EW81)),EY81-EW81,"")</f>
        <v>0</v>
      </c>
      <c r="EY81" s="33"/>
      <c r="EZ81" s="34">
        <f>IF(AND(ISNUMBER(FA81),ISNUMBER(EY81)),FA81-EY81,"")</f>
        <v>0</v>
      </c>
      <c r="FA81" s="33"/>
      <c r="FB81" s="34">
        <f>IF(AND(ISNUMBER(FC81),ISNUMBER(FA81)),FC81-FA81,"")</f>
        <v>0</v>
      </c>
      <c r="FC81" s="33"/>
      <c r="FD81" s="34">
        <f>IF(AND(ISNUMBER(FE81),ISNUMBER(FC81)),FE81-FC81,"")</f>
        <v>0</v>
      </c>
      <c r="FE81" s="33"/>
      <c r="FF81" s="34">
        <f>IF(AND(ISNUMBER(FG81),ISNUMBER(FE81)),FG81-FE81,"")</f>
        <v>0</v>
      </c>
      <c r="FG81" s="33"/>
      <c r="FH81" s="34">
        <f>IF(AND(ISNUMBER(FI81),ISNUMBER(FG81)),FI81-FG81,"")</f>
        <v>0</v>
      </c>
      <c r="FI81" s="33"/>
      <c r="FJ81" s="34">
        <f>IF(AND(ISNUMBER(FK81),ISNUMBER(FI81)),FK81-FI81,"")</f>
        <v>0</v>
      </c>
      <c r="FK81" s="33"/>
      <c r="FL81" s="34">
        <f>IF(AND(ISNUMBER(FM81),ISNUMBER(FK81)),FM81-FK81,"")</f>
        <v>0</v>
      </c>
      <c r="FM81" s="33"/>
      <c r="FN81" s="34">
        <f>IF(AND(ISNUMBER(FO81),ISNUMBER(FM81)),FO81-FM81,"")</f>
        <v>0</v>
      </c>
      <c r="FO81" s="33"/>
      <c r="FP81" s="34">
        <f>IF(AND(ISNUMBER(FQ81),ISNUMBER(FO81)),FQ81-FO81,"")</f>
        <v>0</v>
      </c>
      <c r="FQ81" s="33"/>
      <c r="FR81" s="34">
        <f>IF(AND(ISNUMBER(FS81),ISNUMBER(FQ81)),FS81-FQ81,"")</f>
        <v>0</v>
      </c>
      <c r="FS81" s="33"/>
      <c r="FT81" s="34">
        <f>IF(AND(ISNUMBER(FU81),ISNUMBER(FS81)),FU81-FS81,"")</f>
        <v>0</v>
      </c>
      <c r="FU81" s="33"/>
      <c r="FV81" s="34">
        <f>IF(AND(ISNUMBER(FW81),ISNUMBER(FU81)),FW81-FU81,"")</f>
        <v>0</v>
      </c>
      <c r="FW81" s="33"/>
      <c r="FX81" s="34">
        <f>IF(AND(ISNUMBER(FY81),ISNUMBER(FW81)),FY81-FW81,"")</f>
        <v>0</v>
      </c>
      <c r="FY81" s="33"/>
      <c r="FZ81" s="34">
        <f>IF(AND(ISNUMBER(GA81),ISNUMBER(FY81)),GA81-FY81,"")</f>
        <v>0</v>
      </c>
      <c r="GA81" s="33"/>
      <c r="GB81" s="34">
        <f>IF(AND(ISNUMBER(GC81),ISNUMBER(GA81)),GC81-GA81,"")</f>
        <v>0</v>
      </c>
      <c r="GC81" s="33"/>
      <c r="GD81" s="34">
        <f>IF(AND(ISNUMBER(GE81),ISNUMBER(GC81)),GE81-GC81,"")</f>
        <v>0</v>
      </c>
      <c r="GE81" s="33"/>
      <c r="GF81" s="34">
        <f>IF(AND(ISNUMBER(GG81),ISNUMBER(GE81)),GG81-GE81,"")</f>
        <v>0</v>
      </c>
      <c r="GG81" s="33"/>
      <c r="GH81" s="34">
        <f>IF(AND(ISNUMBER(GI81),ISNUMBER(GG81)),GI81-GG81,"")</f>
        <v>0</v>
      </c>
      <c r="GI81" s="33"/>
      <c r="GJ81" s="34">
        <f>IF(AND(ISNUMBER(GK81),ISNUMBER(GI81)),GK81-GI81,"")</f>
        <v>0</v>
      </c>
      <c r="GK81" s="33"/>
      <c r="GL81" s="34">
        <f>IF(AND(ISNUMBER(GM81),ISNUMBER(GK81)),GM81-GK81,"")</f>
        <v>0</v>
      </c>
      <c r="GM81" s="33"/>
      <c r="GN81" s="34">
        <f>IF(AND(ISNUMBER(GO81),ISNUMBER(GM81)),GO81-GM81,"")</f>
        <v>0</v>
      </c>
      <c r="GO81" s="33"/>
      <c r="GP81" s="34">
        <f>IF(AND(ISNUMBER(GQ81),ISNUMBER(GO81)),GQ81-GO81,"")</f>
        <v>0</v>
      </c>
      <c r="GQ81" s="33"/>
      <c r="GR81" s="34">
        <f>IF(AND(ISNUMBER(GS81),ISNUMBER(GQ81)),GS81-GQ81,"")</f>
        <v>0</v>
      </c>
      <c r="GS81" s="33"/>
      <c r="GT81" s="34">
        <f>IF(AND(ISNUMBER(GU81),ISNUMBER(GS81)),GU81-GS81,"")</f>
        <v>0</v>
      </c>
      <c r="GU81" s="33"/>
      <c r="GV81" s="34">
        <f>IF(AND(ISNUMBER(GW81),ISNUMBER(GU81)),GW81-GU81,"")</f>
        <v>0</v>
      </c>
      <c r="GW81" s="33"/>
      <c r="GX81" s="34">
        <f>IF(AND(ISNUMBER(GY81),ISNUMBER(GW81)),GY81-GW81,"")</f>
        <v>0</v>
      </c>
      <c r="GY81" s="33"/>
      <c r="GZ81" s="34">
        <f>IF(AND(ISNUMBER(HA81),ISNUMBER(GY81)),HA81-GY81,"")</f>
        <v>0</v>
      </c>
      <c r="HA81" s="33"/>
      <c r="HB81" s="34">
        <f>IF(AND(ISNUMBER(HC81),ISNUMBER(HA81)),HC81-HA81,"")</f>
        <v>0</v>
      </c>
      <c r="HC81" s="33"/>
      <c r="HD81" s="34">
        <f>IF(AND(ISNUMBER(HE81),ISNUMBER(HC81)),HE81-HC81,"")</f>
        <v>0</v>
      </c>
      <c r="HE81" s="33"/>
      <c r="HF81" s="34">
        <f>IF(AND(ISNUMBER(HG81),ISNUMBER(HE81)),HG81-HE81,"")</f>
        <v>0</v>
      </c>
      <c r="HG81" s="33"/>
      <c r="HH81" s="34">
        <f>IF(AND(ISNUMBER(HI81),ISNUMBER(HG81)),HI81-HG81,"")</f>
        <v>0</v>
      </c>
      <c r="HI81" s="33"/>
      <c r="HJ81" s="34">
        <f>IF(AND(ISNUMBER(HK81),ISNUMBER(HI81)),HK81-HI81,"")</f>
        <v>0</v>
      </c>
      <c r="HK81" s="33"/>
      <c r="HL81" s="34">
        <f>IF(AND(ISNUMBER(HM81),ISNUMBER(HK81)),HM81-HK81,"")</f>
        <v>0</v>
      </c>
      <c r="HM81" s="33"/>
      <c r="HN81" s="34">
        <f>IF(AND(ISNUMBER(HO81),ISNUMBER(HM81)),HO81-HM81,"")</f>
        <v>0</v>
      </c>
      <c r="HO81" s="33"/>
      <c r="HP81" s="34">
        <f>IF(AND(ISNUMBER(HQ81),ISNUMBER(HO81)),HQ81-HO81,"")</f>
        <v>0</v>
      </c>
      <c r="HQ81" s="33"/>
      <c r="HR81" s="34">
        <f>IF(AND(ISNUMBER(HS81),ISNUMBER(HQ81)),HS81-HQ81,"")</f>
        <v>0</v>
      </c>
      <c r="HS81" s="33"/>
      <c r="HT81" s="34">
        <f>IF(AND(ISNUMBER(HU81),ISNUMBER(HS81)),HU81-HS81,"")</f>
        <v>0</v>
      </c>
      <c r="HU81" s="33"/>
      <c r="HV81" s="34">
        <f>IF(AND(ISNUMBER(HW81),ISNUMBER(HU81)),HW81-HU81,"")</f>
        <v>0</v>
      </c>
      <c r="HW81" s="33"/>
      <c r="HX81" s="34">
        <f>IF(AND(ISNUMBER(HY81),ISNUMBER(HW81)),HY81-HW81,"")</f>
        <v>0</v>
      </c>
      <c r="HY81" s="33"/>
      <c r="HZ81" s="34">
        <f>IF(AND(ISNUMBER(IA81),ISNUMBER(HY81)),IA81-HY81,"")</f>
        <v>0</v>
      </c>
      <c r="IA81" s="33"/>
      <c r="IB81" s="34">
        <f>IF(AND(ISNUMBER(IC81),ISNUMBER(IA81)),IC81-IA81,"")</f>
        <v>0</v>
      </c>
      <c r="IC81" s="33"/>
      <c r="ID81" s="34">
        <f>IF(AND(ISNUMBER(IE81),ISNUMBER(IC81)),IE81-IC81,"")</f>
        <v>0</v>
      </c>
      <c r="IE81" s="33"/>
      <c r="IF81" s="34">
        <f>IF(AND(ISNUMBER(IG81),ISNUMBER(IE81)),IG81-IE81,"")</f>
        <v>0</v>
      </c>
      <c r="IG81" s="33"/>
      <c r="IH81" s="34">
        <f>IF(AND(ISNUMBER(II81),ISNUMBER(IG81)),II81-IG81,"")</f>
        <v>0</v>
      </c>
      <c r="II81" s="33"/>
      <c r="IJ81" s="34">
        <f>IF(AND(ISNUMBER(IK81),ISNUMBER(II81)),IK81-II81,"")</f>
        <v>0</v>
      </c>
      <c r="IK81" s="33"/>
      <c r="IL81" s="34">
        <f>IF(AND(ISNUMBER(IM81),ISNUMBER(IK81)),IM81-IK81,"")</f>
        <v>0</v>
      </c>
      <c r="IM81" s="33"/>
      <c r="IN81" s="34">
        <f>IF(AND(ISNUMBER(IO81),ISNUMBER(IM81)),IO81-IM81,"")</f>
        <v>0</v>
      </c>
      <c r="IO81" s="33"/>
      <c r="IP81" s="34">
        <f>IF(AND(ISNUMBER(IQ81),ISNUMBER(IO81)),IQ81-IO81,"")</f>
        <v>0</v>
      </c>
      <c r="IQ81" s="33"/>
      <c r="IR81" s="34">
        <f>IF(AND(ISNUMBER(IS81),ISNUMBER(IQ81)),IS81-IQ81,"")</f>
        <v>0</v>
      </c>
      <c r="IS81" s="33"/>
      <c r="IT81" s="34">
        <f>IF(AND(ISNUMBER(IU81),ISNUMBER(IS81)),IU81-IS81,"")</f>
        <v>0</v>
      </c>
      <c r="IU81" s="33"/>
      <c r="IV81" s="34">
        <f>IF(AND(ISNUMBER(IW81),ISNUMBER(IU81)),IW81-IU81,"")</f>
        <v>0</v>
      </c>
      <c r="IW81" s="33"/>
      <c r="IX81" s="34">
        <f>IF(AND(ISNUMBER(IY81),ISNUMBER(IW81)),IY81-IW81,"")</f>
        <v>0</v>
      </c>
      <c r="IY81" s="33"/>
      <c r="IZ81" s="34">
        <f>IF(AND(ISNUMBER(JA81),ISNUMBER(IY81)),JA81-IY81,"")</f>
        <v>0</v>
      </c>
      <c r="JA81" s="33"/>
      <c r="JB81" s="34">
        <f>IF(AND(ISNUMBER(JC81),ISNUMBER(JA81)),JC81-JA81,"")</f>
        <v>0</v>
      </c>
      <c r="JC81" s="33"/>
      <c r="JD81" s="34">
        <f>IF(AND(ISNUMBER(JE81),ISNUMBER(JC81)),JE81-JC81,"")</f>
        <v>0</v>
      </c>
      <c r="JE81" s="33"/>
      <c r="JF81" s="34">
        <f>IF(AND(ISNUMBER(JG81),ISNUMBER(JE81)),JG81-JE81,"")</f>
        <v>0</v>
      </c>
      <c r="JG81" s="33"/>
      <c r="JH81" s="34">
        <f>IF(AND(ISNUMBER(JI81),ISNUMBER(JG81)),JI81-JG81,"")</f>
        <v>0</v>
      </c>
      <c r="JI81" s="33"/>
      <c r="JJ81" s="34">
        <f>IF(AND(ISNUMBER(JK81),ISNUMBER(JI81)),JK81-JI81,"")</f>
        <v>0</v>
      </c>
      <c r="JK81" s="33"/>
      <c r="JL81" s="34">
        <f>IF(AND(ISNUMBER(JM81),ISNUMBER(JK81)),JM81-JK81,"")</f>
        <v>0</v>
      </c>
      <c r="JM81" s="33"/>
      <c r="JN81" s="34">
        <f>IF(AND(ISNUMBER(JO81),ISNUMBER(JM81)),JO81-JM81,"")</f>
        <v>0</v>
      </c>
      <c r="JO81" s="33"/>
      <c r="JP81" s="34">
        <f>IF(AND(ISNUMBER(JQ81),ISNUMBER(JO81)),JQ81-JO81,"")</f>
        <v>0</v>
      </c>
      <c r="JQ81" s="33"/>
      <c r="JR81" s="34">
        <f>IF(AND(ISNUMBER(JS81),ISNUMBER(JQ81)),JS81-JQ81,"")</f>
        <v>0</v>
      </c>
      <c r="JS81" s="33">
        <v>19629</v>
      </c>
      <c r="JT81" s="34">
        <f>IF(AND(ISNUMBER(JU81),ISNUMBER(JS81)),JU81-JS81,"")</f>
        <v>0</v>
      </c>
      <c r="JU81" s="33">
        <v>19444</v>
      </c>
      <c r="JV81" s="34">
        <f>IF(AND(ISNUMBER(JW81),ISNUMBER(JU81)),JW81-JU81,"")</f>
        <v>0</v>
      </c>
      <c r="JW81" s="33">
        <v>20368</v>
      </c>
      <c r="JX81" s="34">
        <f>IF(AND(ISNUMBER(JY81),ISNUMBER(JW81)),JY81-JW81,"")</f>
        <v>0</v>
      </c>
      <c r="JY81" s="33"/>
      <c r="JZ81" s="34">
        <f>IF(AND(ISNUMBER(KA81),ISNUMBER(JY81)),KA81-JY81,"")</f>
        <v>0</v>
      </c>
      <c r="KA81" s="33"/>
      <c r="KB81" s="34">
        <f>IF(AND(ISNUMBER(KC81),ISNUMBER(KA81)),KC81-KA81,"")</f>
        <v>0</v>
      </c>
      <c r="KC81" s="33"/>
      <c r="KD81" s="34">
        <f>IF(AND(ISNUMBER(KE81),ISNUMBER(KC81)),KE81-KC81,"")</f>
        <v>0</v>
      </c>
      <c r="KE81" s="33"/>
      <c r="KF81" s="34">
        <f>IF(AND(ISNUMBER(KG81),ISNUMBER(KE81)),KG81-KE81,"")</f>
        <v>0</v>
      </c>
      <c r="KG81" s="33"/>
      <c r="KH81" s="34">
        <f>IF(AND(ISNUMBER(KI81),ISNUMBER(KG81)),KI81-KG81,"")</f>
        <v>0</v>
      </c>
      <c r="KI81" s="33"/>
      <c r="KJ81" s="34">
        <f>IF(AND(ISNUMBER(KK81),ISNUMBER(KI81)),KK81-KI81,"")</f>
        <v>0</v>
      </c>
      <c r="KK81" s="33"/>
      <c r="KL81" s="34">
        <f>IF(AND(ISNUMBER(KM81),ISNUMBER(KK81)),KM81-KK81,"")</f>
        <v>0</v>
      </c>
      <c r="KM81" s="33"/>
      <c r="KN81" s="34">
        <f>IF(AND(ISNUMBER(KO81),ISNUMBER(KM81)),KO81-KM81,"")</f>
        <v>0</v>
      </c>
      <c r="KO81" s="33"/>
      <c r="KP81" s="34">
        <f>IF(AND(ISNUMBER(KQ81),ISNUMBER(KO81)),KQ81-KO81,"")</f>
        <v>0</v>
      </c>
      <c r="KQ81" s="33"/>
      <c r="KR81" s="34">
        <f>IF(AND(ISNUMBER(KS81),ISNUMBER(KQ81)),KS81-KQ81,"")</f>
        <v>0</v>
      </c>
      <c r="KS81" s="33"/>
      <c r="KT81" s="34">
        <f>IF(AND(ISNUMBER(KU81),ISNUMBER(KS81)),KU81-KS81,"")</f>
        <v>0</v>
      </c>
      <c r="KU81" s="33"/>
      <c r="KV81" s="34">
        <f>IF(AND(ISNUMBER(KW81),ISNUMBER(KU81)),KW81-KU81,"")</f>
        <v>0</v>
      </c>
      <c r="KW81" s="33"/>
      <c r="KX81" s="34">
        <f>IF(AND(ISNUMBER(KY81),ISNUMBER(KW81)),KY81-KW81,"")</f>
        <v>0</v>
      </c>
      <c r="KY81" s="33"/>
      <c r="KZ81" s="34">
        <f>IF(AND(ISNUMBER(LA81),ISNUMBER(KY81)),LA81-KY81,"")</f>
        <v>0</v>
      </c>
      <c r="LA81" s="33"/>
      <c r="LB81" s="34">
        <f>IF(AND(ISNUMBER(LC81),ISNUMBER(LA81)),LC81-LA81,"")</f>
        <v>0</v>
      </c>
      <c r="LC81" s="33"/>
      <c r="LD81" s="34">
        <f>IF(AND(ISNUMBER(LE81),ISNUMBER(LC81)),LE81-LC81,"")</f>
        <v>0</v>
      </c>
      <c r="LE81" s="33"/>
      <c r="LF81" s="34">
        <f>IF(AND(ISNUMBER(LG81),ISNUMBER(LE81)),LG81-LE81,"")</f>
        <v>0</v>
      </c>
      <c r="LG81" s="33"/>
    </row>
    <row r="82" spans="1:322">
      <c r="A82" s="36" t="s">
        <v>259</v>
      </c>
      <c r="B82" s="23"/>
      <c r="C82" s="31" t="s">
        <v>813</v>
      </c>
      <c r="D82" s="31" t="s">
        <v>818</v>
      </c>
      <c r="E82" s="32" t="s">
        <v>1036</v>
      </c>
      <c r="H82" s="38" t="s">
        <v>1082</v>
      </c>
      <c r="I82" s="33"/>
      <c r="J82" s="34">
        <f>IF(AND(ISNUMBER(K82),ISNUMBER(I82)),K82-I82,"")</f>
        <v>0</v>
      </c>
      <c r="K82" s="33"/>
      <c r="L82" s="34">
        <f>IF(AND(ISNUMBER(M82),ISNUMBER(K82)),M82-K82,"")</f>
        <v>0</v>
      </c>
      <c r="M82" s="33"/>
      <c r="N82" s="34">
        <f>IF(AND(ISNUMBER(O82),ISNUMBER(M82)),O82-M82,"")</f>
        <v>0</v>
      </c>
      <c r="O82" s="33"/>
      <c r="P82" s="34">
        <f>IF(AND(ISNUMBER(Q82),ISNUMBER(O82)),Q82-O82,"")</f>
        <v>0</v>
      </c>
      <c r="Q82" s="33"/>
      <c r="R82" s="34">
        <f>IF(AND(ISNUMBER(S82),ISNUMBER(Q82)),S82-Q82,"")</f>
        <v>0</v>
      </c>
      <c r="S82" s="33"/>
      <c r="T82" s="34">
        <f>IF(AND(ISNUMBER(U82),ISNUMBER(S82)),U82-S82,"")</f>
        <v>0</v>
      </c>
      <c r="U82" s="33"/>
      <c r="V82" s="34">
        <f>IF(AND(ISNUMBER(W82),ISNUMBER(U82)),W82-U82,"")</f>
        <v>0</v>
      </c>
      <c r="W82" s="33"/>
      <c r="X82" s="34">
        <f>IF(AND(ISNUMBER(Y82),ISNUMBER(W82)),Y82-W82,"")</f>
        <v>0</v>
      </c>
      <c r="Y82" s="33"/>
      <c r="Z82" s="34">
        <f>IF(AND(ISNUMBER(AA82),ISNUMBER(Y82)),AA82-Y82,"")</f>
        <v>0</v>
      </c>
      <c r="AA82" s="33"/>
      <c r="AB82" s="34">
        <f>IF(AND(ISNUMBER(AC82),ISNUMBER(AA82)),AC82-AA82,"")</f>
        <v>0</v>
      </c>
      <c r="AC82" s="33"/>
      <c r="AD82" s="34">
        <f>IF(AND(ISNUMBER(AE82),ISNUMBER(AC82)),AE82-AC82,"")</f>
        <v>0</v>
      </c>
      <c r="AE82" s="33"/>
      <c r="AF82" s="34">
        <f>IF(AND(ISNUMBER(AG82),ISNUMBER(AE82)),AG82-AE82,"")</f>
        <v>0</v>
      </c>
      <c r="AG82" s="33"/>
      <c r="AH82" s="34">
        <f>IF(AND(ISNUMBER(AI82),ISNUMBER(AG82)),AI82-AG82,"")</f>
        <v>0</v>
      </c>
      <c r="AI82" s="33"/>
      <c r="AJ82" s="34">
        <f>IF(AND(ISNUMBER(AK82),ISNUMBER(AI82)),AK82-AI82,"")</f>
        <v>0</v>
      </c>
      <c r="AK82" s="33"/>
      <c r="AL82" s="34">
        <f>IF(AND(ISNUMBER(AM82),ISNUMBER(AK82)),AM82-AK82,"")</f>
        <v>0</v>
      </c>
      <c r="AM82" s="33"/>
      <c r="AN82" s="34">
        <f>IF(AND(ISNUMBER(AO82),ISNUMBER(AM82)),AO82-AM82,"")</f>
        <v>0</v>
      </c>
      <c r="AO82" s="33"/>
      <c r="AP82" s="34">
        <f>IF(AND(ISNUMBER(AQ82),ISNUMBER(AO82)),AQ82-AO82,"")</f>
        <v>0</v>
      </c>
      <c r="AQ82" s="33"/>
      <c r="AR82" s="34">
        <f>IF(AND(ISNUMBER(AS82),ISNUMBER(AQ82)),AS82-AQ82,"")</f>
        <v>0</v>
      </c>
      <c r="AS82" s="33"/>
      <c r="AT82" s="34">
        <f>IF(AND(ISNUMBER(AU82),ISNUMBER(AS82)),AU82-AS82,"")</f>
        <v>0</v>
      </c>
      <c r="AU82" s="33"/>
      <c r="AV82" s="34">
        <f>IF(AND(ISNUMBER(AW82),ISNUMBER(AU82)),AW82-AU82,"")</f>
        <v>0</v>
      </c>
      <c r="AW82" s="33"/>
      <c r="AX82" s="34">
        <f>IF(AND(ISNUMBER(AY82),ISNUMBER(AW82)),AY82-AW82,"")</f>
        <v>0</v>
      </c>
      <c r="AY82" s="33"/>
      <c r="AZ82" s="34">
        <f>IF(AND(ISNUMBER(BA82),ISNUMBER(AY82)),BA82-AY82,"")</f>
        <v>0</v>
      </c>
      <c r="BA82" s="33"/>
      <c r="BB82" s="34">
        <f>IF(AND(ISNUMBER(BC82),ISNUMBER(BA82)),BC82-BA82,"")</f>
        <v>0</v>
      </c>
      <c r="BC82" s="33"/>
      <c r="BD82" s="34">
        <f>IF(AND(ISNUMBER(BE82),ISNUMBER(BC82)),BE82-BC82,"")</f>
        <v>0</v>
      </c>
      <c r="BE82" s="33"/>
      <c r="BF82" s="34">
        <f>IF(AND(ISNUMBER(BG82),ISNUMBER(BE82)),BG82-BE82,"")</f>
        <v>0</v>
      </c>
      <c r="BG82" s="33"/>
      <c r="BH82" s="34">
        <f>IF(AND(ISNUMBER(BI82),ISNUMBER(BG82)),BI82-BG82,"")</f>
        <v>0</v>
      </c>
      <c r="BI82" s="33"/>
      <c r="BJ82" s="34">
        <f>IF(AND(ISNUMBER(BK82),ISNUMBER(BI82)),BK82-BI82,"")</f>
        <v>0</v>
      </c>
      <c r="BK82" s="33"/>
      <c r="BL82" s="34">
        <f>IF(AND(ISNUMBER(BM82),ISNUMBER(BK82)),BM82-BK82,"")</f>
        <v>0</v>
      </c>
      <c r="BM82" s="33"/>
      <c r="BN82" s="34">
        <f>IF(AND(ISNUMBER(BO82),ISNUMBER(BM82)),BO82-BM82,"")</f>
        <v>0</v>
      </c>
      <c r="BO82" s="33"/>
      <c r="BP82" s="34">
        <f>IF(AND(ISNUMBER(BQ82),ISNUMBER(BO82)),BQ82-BO82,"")</f>
        <v>0</v>
      </c>
      <c r="BQ82" s="33"/>
      <c r="BR82" s="34">
        <f>IF(AND(ISNUMBER(BS82),ISNUMBER(BQ82)),BS82-BQ82,"")</f>
        <v>0</v>
      </c>
      <c r="BS82" s="33"/>
      <c r="BT82" s="34">
        <f>IF(AND(ISNUMBER(BU82),ISNUMBER(BS82)),BU82-BS82,"")</f>
        <v>0</v>
      </c>
      <c r="BU82" s="33"/>
      <c r="BV82" s="34">
        <f>IF(AND(ISNUMBER(BW82),ISNUMBER(BU82)),BW82-BU82,"")</f>
        <v>0</v>
      </c>
      <c r="BW82" s="33"/>
      <c r="BX82" s="34">
        <f>IF(AND(ISNUMBER(BY82),ISNUMBER(BW82)),BY82-BW82,"")</f>
        <v>0</v>
      </c>
      <c r="BY82" s="33"/>
      <c r="BZ82" s="34">
        <f>IF(AND(ISNUMBER(CA82),ISNUMBER(BY82)),CA82-BY82,"")</f>
        <v>0</v>
      </c>
      <c r="CA82" s="33"/>
      <c r="CB82" s="34">
        <f>IF(AND(ISNUMBER(CC82),ISNUMBER(CA82)),CC82-CA82,"")</f>
        <v>0</v>
      </c>
      <c r="CC82" s="33"/>
      <c r="CD82" s="34">
        <f>IF(AND(ISNUMBER(CE82),ISNUMBER(CC82)),CE82-CC82,"")</f>
        <v>0</v>
      </c>
      <c r="CE82" s="33"/>
      <c r="CF82" s="34">
        <f>IF(AND(ISNUMBER(CG82),ISNUMBER(CE82)),CG82-CE82,"")</f>
        <v>0</v>
      </c>
      <c r="CG82" s="33"/>
      <c r="CH82" s="34">
        <f>IF(AND(ISNUMBER(CI82),ISNUMBER(CG82)),CI82-CG82,"")</f>
        <v>0</v>
      </c>
      <c r="CI82" s="33"/>
      <c r="CJ82" s="34">
        <f>IF(AND(ISNUMBER(CK82),ISNUMBER(CI82)),CK82-CI82,"")</f>
        <v>0</v>
      </c>
      <c r="CK82" s="33"/>
      <c r="CL82" s="34">
        <f>IF(AND(ISNUMBER(CM82),ISNUMBER(CK82)),CM82-CK82,"")</f>
        <v>0</v>
      </c>
      <c r="CM82" s="33"/>
      <c r="CN82" s="34">
        <f>IF(AND(ISNUMBER(CO82),ISNUMBER(CM82)),CO82-CM82,"")</f>
        <v>0</v>
      </c>
      <c r="CO82" s="33"/>
      <c r="CP82" s="34">
        <f>IF(AND(ISNUMBER(CQ82),ISNUMBER(CO82)),CQ82-CO82,"")</f>
        <v>0</v>
      </c>
      <c r="CQ82" s="33"/>
      <c r="CR82" s="34">
        <f>IF(AND(ISNUMBER(CS82),ISNUMBER(CQ82)),CS82-CQ82,"")</f>
        <v>0</v>
      </c>
      <c r="CS82" s="33"/>
      <c r="CT82" s="34">
        <f>IF(AND(ISNUMBER(CU82),ISNUMBER(CS82)),CU82-CS82,"")</f>
        <v>0</v>
      </c>
      <c r="CU82" s="33"/>
      <c r="CV82" s="34">
        <f>IF(AND(ISNUMBER(CW82),ISNUMBER(CU82)),CW82-CU82,"")</f>
        <v>0</v>
      </c>
      <c r="CW82" s="33"/>
      <c r="CX82" s="34">
        <f>IF(AND(ISNUMBER(CY82),ISNUMBER(CW82)),CY82-CW82,"")</f>
        <v>0</v>
      </c>
      <c r="CY82" s="33"/>
      <c r="CZ82" s="34">
        <f>IF(AND(ISNUMBER(DA82),ISNUMBER(CY82)),DA82-CY82,"")</f>
        <v>0</v>
      </c>
      <c r="DA82" s="33"/>
      <c r="DB82" s="34">
        <f>IF(AND(ISNUMBER(DC82),ISNUMBER(DA82)),DC82-DA82,"")</f>
        <v>0</v>
      </c>
      <c r="DC82" s="33"/>
      <c r="DD82" s="34">
        <f>IF(AND(ISNUMBER(DE82),ISNUMBER(DC82)),DE82-DC82,"")</f>
        <v>0</v>
      </c>
      <c r="DE82" s="33"/>
      <c r="DF82" s="34">
        <f>IF(AND(ISNUMBER(DG82),ISNUMBER(DE82)),DG82-DE82,"")</f>
        <v>0</v>
      </c>
      <c r="DG82" s="33"/>
      <c r="DH82" s="34">
        <f>IF(AND(ISNUMBER(DI82),ISNUMBER(DG82)),DI82-DG82,"")</f>
        <v>0</v>
      </c>
      <c r="DI82" s="33"/>
      <c r="DJ82" s="34">
        <f>IF(AND(ISNUMBER(DK82),ISNUMBER(DI82)),DK82-DI82,"")</f>
        <v>0</v>
      </c>
      <c r="DK82" s="33"/>
      <c r="DL82" s="34">
        <f>IF(AND(ISNUMBER(DM82),ISNUMBER(DK82)),DM82-DK82,"")</f>
        <v>0</v>
      </c>
      <c r="DM82" s="33"/>
      <c r="DN82" s="34">
        <f>IF(AND(ISNUMBER(DO82),ISNUMBER(DM82)),DO82-DM82,"")</f>
        <v>0</v>
      </c>
      <c r="DO82" s="33"/>
      <c r="DP82" s="34">
        <f>IF(AND(ISNUMBER(DQ82),ISNUMBER(DO82)),DQ82-DO82,"")</f>
        <v>0</v>
      </c>
      <c r="DQ82" s="33"/>
      <c r="DR82" s="34">
        <f>IF(AND(ISNUMBER(DS82),ISNUMBER(DQ82)),DS82-DQ82,"")</f>
        <v>0</v>
      </c>
      <c r="DS82" s="33"/>
      <c r="DT82" s="34">
        <f>IF(AND(ISNUMBER(DU82),ISNUMBER(DS82)),DU82-DS82,"")</f>
        <v>0</v>
      </c>
      <c r="DU82" s="33"/>
      <c r="DV82" s="34">
        <f>IF(AND(ISNUMBER(DW82),ISNUMBER(DU82)),DW82-DU82,"")</f>
        <v>0</v>
      </c>
      <c r="DW82" s="33"/>
      <c r="DX82" s="34">
        <f>IF(AND(ISNUMBER(DY82),ISNUMBER(DW82)),DY82-DW82,"")</f>
        <v>0</v>
      </c>
      <c r="DY82" s="33"/>
      <c r="DZ82" s="34">
        <f>IF(AND(ISNUMBER(EA82),ISNUMBER(DY82)),EA82-DY82,"")</f>
        <v>0</v>
      </c>
      <c r="EA82" s="33"/>
      <c r="EB82" s="34">
        <f>IF(AND(ISNUMBER(EC82),ISNUMBER(EA82)),EC82-EA82,"")</f>
        <v>0</v>
      </c>
      <c r="EC82" s="33"/>
      <c r="ED82" s="34">
        <f>IF(AND(ISNUMBER(EE82),ISNUMBER(EC82)),EE82-EC82,"")</f>
        <v>0</v>
      </c>
      <c r="EE82" s="33"/>
      <c r="EF82" s="34">
        <f>IF(AND(ISNUMBER(EG82),ISNUMBER(EE82)),EG82-EE82,"")</f>
        <v>0</v>
      </c>
      <c r="EG82" s="33"/>
      <c r="EH82" s="34">
        <f>IF(AND(ISNUMBER(EI82),ISNUMBER(EG82)),EI82-EG82,"")</f>
        <v>0</v>
      </c>
      <c r="EI82" s="33"/>
      <c r="EJ82" s="34">
        <f>IF(AND(ISNUMBER(EK82),ISNUMBER(EI82)),EK82-EI82,"")</f>
        <v>0</v>
      </c>
      <c r="EK82" s="33"/>
      <c r="EL82" s="34">
        <f>IF(AND(ISNUMBER(EM82),ISNUMBER(EK82)),EM82-EK82,"")</f>
        <v>0</v>
      </c>
      <c r="EM82" s="33"/>
      <c r="EN82" s="34">
        <f>IF(AND(ISNUMBER(EO82),ISNUMBER(EM82)),EO82-EM82,"")</f>
        <v>0</v>
      </c>
      <c r="EO82" s="33"/>
      <c r="EP82" s="34">
        <f>IF(AND(ISNUMBER(EQ82),ISNUMBER(EO82)),EQ82-EO82,"")</f>
        <v>0</v>
      </c>
      <c r="EQ82" s="33"/>
      <c r="ER82" s="34">
        <f>IF(AND(ISNUMBER(ES82),ISNUMBER(EQ82)),ES82-EQ82,"")</f>
        <v>0</v>
      </c>
      <c r="ES82" s="33"/>
      <c r="ET82" s="34">
        <f>IF(AND(ISNUMBER(EU82),ISNUMBER(ES82)),EU82-ES82,"")</f>
        <v>0</v>
      </c>
      <c r="EU82" s="33"/>
      <c r="EV82" s="34">
        <f>IF(AND(ISNUMBER(EW82),ISNUMBER(EU82)),EW82-EU82,"")</f>
        <v>0</v>
      </c>
      <c r="EW82" s="33"/>
      <c r="EX82" s="34">
        <f>IF(AND(ISNUMBER(EY82),ISNUMBER(EW82)),EY82-EW82,"")</f>
        <v>0</v>
      </c>
      <c r="EY82" s="33"/>
      <c r="EZ82" s="34">
        <f>IF(AND(ISNUMBER(FA82),ISNUMBER(EY82)),FA82-EY82,"")</f>
        <v>0</v>
      </c>
      <c r="FA82" s="33"/>
      <c r="FB82" s="34">
        <f>IF(AND(ISNUMBER(FC82),ISNUMBER(FA82)),FC82-FA82,"")</f>
        <v>0</v>
      </c>
      <c r="FC82" s="33"/>
      <c r="FD82" s="34">
        <f>IF(AND(ISNUMBER(FE82),ISNUMBER(FC82)),FE82-FC82,"")</f>
        <v>0</v>
      </c>
      <c r="FE82" s="33"/>
      <c r="FF82" s="34">
        <f>IF(AND(ISNUMBER(FG82),ISNUMBER(FE82)),FG82-FE82,"")</f>
        <v>0</v>
      </c>
      <c r="FG82" s="33"/>
      <c r="FH82" s="34">
        <f>IF(AND(ISNUMBER(FI82),ISNUMBER(FG82)),FI82-FG82,"")</f>
        <v>0</v>
      </c>
      <c r="FI82" s="33"/>
      <c r="FJ82" s="34">
        <f>IF(AND(ISNUMBER(FK82),ISNUMBER(FI82)),FK82-FI82,"")</f>
        <v>0</v>
      </c>
      <c r="FK82" s="33"/>
      <c r="FL82" s="34">
        <f>IF(AND(ISNUMBER(FM82),ISNUMBER(FK82)),FM82-FK82,"")</f>
        <v>0</v>
      </c>
      <c r="FM82" s="33"/>
      <c r="FN82" s="34">
        <f>IF(AND(ISNUMBER(FO82),ISNUMBER(FM82)),FO82-FM82,"")</f>
        <v>0</v>
      </c>
      <c r="FO82" s="33"/>
      <c r="FP82" s="34">
        <f>IF(AND(ISNUMBER(FQ82),ISNUMBER(FO82)),FQ82-FO82,"")</f>
        <v>0</v>
      </c>
      <c r="FQ82" s="33"/>
      <c r="FR82" s="34">
        <f>IF(AND(ISNUMBER(FS82),ISNUMBER(FQ82)),FS82-FQ82,"")</f>
        <v>0</v>
      </c>
      <c r="FS82" s="33"/>
      <c r="FT82" s="34">
        <f>IF(AND(ISNUMBER(FU82),ISNUMBER(FS82)),FU82-FS82,"")</f>
        <v>0</v>
      </c>
      <c r="FU82" s="33"/>
      <c r="FV82" s="34">
        <f>IF(AND(ISNUMBER(FW82),ISNUMBER(FU82)),FW82-FU82,"")</f>
        <v>0</v>
      </c>
      <c r="FW82" s="33"/>
      <c r="FX82" s="34">
        <f>IF(AND(ISNUMBER(FY82),ISNUMBER(FW82)),FY82-FW82,"")</f>
        <v>0</v>
      </c>
      <c r="FY82" s="33"/>
      <c r="FZ82" s="34">
        <f>IF(AND(ISNUMBER(GA82),ISNUMBER(FY82)),GA82-FY82,"")</f>
        <v>0</v>
      </c>
      <c r="GA82" s="33"/>
      <c r="GB82" s="34">
        <f>IF(AND(ISNUMBER(GC82),ISNUMBER(GA82)),GC82-GA82,"")</f>
        <v>0</v>
      </c>
      <c r="GC82" s="33"/>
      <c r="GD82" s="34">
        <f>IF(AND(ISNUMBER(GE82),ISNUMBER(GC82)),GE82-GC82,"")</f>
        <v>0</v>
      </c>
      <c r="GE82" s="33"/>
      <c r="GF82" s="34">
        <f>IF(AND(ISNUMBER(GG82),ISNUMBER(GE82)),GG82-GE82,"")</f>
        <v>0</v>
      </c>
      <c r="GG82" s="33"/>
      <c r="GH82" s="34">
        <f>IF(AND(ISNUMBER(GI82),ISNUMBER(GG82)),GI82-GG82,"")</f>
        <v>0</v>
      </c>
      <c r="GI82" s="33"/>
      <c r="GJ82" s="34">
        <f>IF(AND(ISNUMBER(GK82),ISNUMBER(GI82)),GK82-GI82,"")</f>
        <v>0</v>
      </c>
      <c r="GK82" s="33"/>
      <c r="GL82" s="34">
        <f>IF(AND(ISNUMBER(GM82),ISNUMBER(GK82)),GM82-GK82,"")</f>
        <v>0</v>
      </c>
      <c r="GM82" s="33"/>
      <c r="GN82" s="34">
        <f>IF(AND(ISNUMBER(GO82),ISNUMBER(GM82)),GO82-GM82,"")</f>
        <v>0</v>
      </c>
      <c r="GO82" s="33"/>
      <c r="GP82" s="34">
        <f>IF(AND(ISNUMBER(GQ82),ISNUMBER(GO82)),GQ82-GO82,"")</f>
        <v>0</v>
      </c>
      <c r="GQ82" s="33"/>
      <c r="GR82" s="34">
        <f>IF(AND(ISNUMBER(GS82),ISNUMBER(GQ82)),GS82-GQ82,"")</f>
        <v>0</v>
      </c>
      <c r="GS82" s="33"/>
      <c r="GT82" s="34">
        <f>IF(AND(ISNUMBER(GU82),ISNUMBER(GS82)),GU82-GS82,"")</f>
        <v>0</v>
      </c>
      <c r="GU82" s="33"/>
      <c r="GV82" s="34">
        <f>IF(AND(ISNUMBER(GW82),ISNUMBER(GU82)),GW82-GU82,"")</f>
        <v>0</v>
      </c>
      <c r="GW82" s="33"/>
      <c r="GX82" s="34">
        <f>IF(AND(ISNUMBER(GY82),ISNUMBER(GW82)),GY82-GW82,"")</f>
        <v>0</v>
      </c>
      <c r="GY82" s="33"/>
      <c r="GZ82" s="34">
        <f>IF(AND(ISNUMBER(HA82),ISNUMBER(GY82)),HA82-GY82,"")</f>
        <v>0</v>
      </c>
      <c r="HA82" s="33"/>
      <c r="HB82" s="34">
        <f>IF(AND(ISNUMBER(HC82),ISNUMBER(HA82)),HC82-HA82,"")</f>
        <v>0</v>
      </c>
      <c r="HC82" s="33"/>
      <c r="HD82" s="34">
        <f>IF(AND(ISNUMBER(HE82),ISNUMBER(HC82)),HE82-HC82,"")</f>
        <v>0</v>
      </c>
      <c r="HE82" s="33"/>
      <c r="HF82" s="34">
        <f>IF(AND(ISNUMBER(HG82),ISNUMBER(HE82)),HG82-HE82,"")</f>
        <v>0</v>
      </c>
      <c r="HG82" s="33"/>
      <c r="HH82" s="34">
        <f>IF(AND(ISNUMBER(HI82),ISNUMBER(HG82)),HI82-HG82,"")</f>
        <v>0</v>
      </c>
      <c r="HI82" s="33"/>
      <c r="HJ82" s="34">
        <f>IF(AND(ISNUMBER(HK82),ISNUMBER(HI82)),HK82-HI82,"")</f>
        <v>0</v>
      </c>
      <c r="HK82" s="33"/>
      <c r="HL82" s="34">
        <f>IF(AND(ISNUMBER(HM82),ISNUMBER(HK82)),HM82-HK82,"")</f>
        <v>0</v>
      </c>
      <c r="HM82" s="33"/>
      <c r="HN82" s="34">
        <f>IF(AND(ISNUMBER(HO82),ISNUMBER(HM82)),HO82-HM82,"")</f>
        <v>0</v>
      </c>
      <c r="HO82" s="33"/>
      <c r="HP82" s="34">
        <f>IF(AND(ISNUMBER(HQ82),ISNUMBER(HO82)),HQ82-HO82,"")</f>
        <v>0</v>
      </c>
      <c r="HQ82" s="33"/>
      <c r="HR82" s="34">
        <f>IF(AND(ISNUMBER(HS82),ISNUMBER(HQ82)),HS82-HQ82,"")</f>
        <v>0</v>
      </c>
      <c r="HS82" s="33"/>
      <c r="HT82" s="34">
        <f>IF(AND(ISNUMBER(HU82),ISNUMBER(HS82)),HU82-HS82,"")</f>
        <v>0</v>
      </c>
      <c r="HU82" s="33"/>
      <c r="HV82" s="34">
        <f>IF(AND(ISNUMBER(HW82),ISNUMBER(HU82)),HW82-HU82,"")</f>
        <v>0</v>
      </c>
      <c r="HW82" s="33"/>
      <c r="HX82" s="34">
        <f>IF(AND(ISNUMBER(HY82),ISNUMBER(HW82)),HY82-HW82,"")</f>
        <v>0</v>
      </c>
      <c r="HY82" s="33"/>
      <c r="HZ82" s="34">
        <f>IF(AND(ISNUMBER(IA82),ISNUMBER(HY82)),IA82-HY82,"")</f>
        <v>0</v>
      </c>
      <c r="IA82" s="33"/>
      <c r="IB82" s="34">
        <f>IF(AND(ISNUMBER(IC82),ISNUMBER(IA82)),IC82-IA82,"")</f>
        <v>0</v>
      </c>
      <c r="IC82" s="33"/>
      <c r="ID82" s="34">
        <f>IF(AND(ISNUMBER(IE82),ISNUMBER(IC82)),IE82-IC82,"")</f>
        <v>0</v>
      </c>
      <c r="IE82" s="33"/>
      <c r="IF82" s="34">
        <f>IF(AND(ISNUMBER(IG82),ISNUMBER(IE82)),IG82-IE82,"")</f>
        <v>0</v>
      </c>
      <c r="IG82" s="33"/>
      <c r="IH82" s="34">
        <f>IF(AND(ISNUMBER(II82),ISNUMBER(IG82)),II82-IG82,"")</f>
        <v>0</v>
      </c>
      <c r="II82" s="33"/>
      <c r="IJ82" s="34">
        <f>IF(AND(ISNUMBER(IK82),ISNUMBER(II82)),IK82-II82,"")</f>
        <v>0</v>
      </c>
      <c r="IK82" s="33"/>
      <c r="IL82" s="34">
        <f>IF(AND(ISNUMBER(IM82),ISNUMBER(IK82)),IM82-IK82,"")</f>
        <v>0</v>
      </c>
      <c r="IM82" s="33"/>
      <c r="IN82" s="34">
        <f>IF(AND(ISNUMBER(IO82),ISNUMBER(IM82)),IO82-IM82,"")</f>
        <v>0</v>
      </c>
      <c r="IO82" s="33"/>
      <c r="IP82" s="34">
        <f>IF(AND(ISNUMBER(IQ82),ISNUMBER(IO82)),IQ82-IO82,"")</f>
        <v>0</v>
      </c>
      <c r="IQ82" s="33"/>
      <c r="IR82" s="34">
        <f>IF(AND(ISNUMBER(IS82),ISNUMBER(IQ82)),IS82-IQ82,"")</f>
        <v>0</v>
      </c>
      <c r="IS82" s="33"/>
      <c r="IT82" s="34">
        <f>IF(AND(ISNUMBER(IU82),ISNUMBER(IS82)),IU82-IS82,"")</f>
        <v>0</v>
      </c>
      <c r="IU82" s="33"/>
      <c r="IV82" s="34">
        <f>IF(AND(ISNUMBER(IW82),ISNUMBER(IU82)),IW82-IU82,"")</f>
        <v>0</v>
      </c>
      <c r="IW82" s="33"/>
      <c r="IX82" s="34">
        <f>IF(AND(ISNUMBER(IY82),ISNUMBER(IW82)),IY82-IW82,"")</f>
        <v>0</v>
      </c>
      <c r="IY82" s="33"/>
      <c r="IZ82" s="34">
        <f>IF(AND(ISNUMBER(JA82),ISNUMBER(IY82)),JA82-IY82,"")</f>
        <v>0</v>
      </c>
      <c r="JA82" s="33"/>
      <c r="JB82" s="34">
        <f>IF(AND(ISNUMBER(JC82),ISNUMBER(JA82)),JC82-JA82,"")</f>
        <v>0</v>
      </c>
      <c r="JC82" s="33"/>
      <c r="JD82" s="34">
        <f>IF(AND(ISNUMBER(JE82),ISNUMBER(JC82)),JE82-JC82,"")</f>
        <v>0</v>
      </c>
      <c r="JE82" s="33"/>
      <c r="JF82" s="34">
        <f>IF(AND(ISNUMBER(JG82),ISNUMBER(JE82)),JG82-JE82,"")</f>
        <v>0</v>
      </c>
      <c r="JG82" s="33"/>
      <c r="JH82" s="34">
        <f>IF(AND(ISNUMBER(JI82),ISNUMBER(JG82)),JI82-JG82,"")</f>
        <v>0</v>
      </c>
      <c r="JI82" s="33"/>
      <c r="JJ82" s="34">
        <f>IF(AND(ISNUMBER(JK82),ISNUMBER(JI82)),JK82-JI82,"")</f>
        <v>0</v>
      </c>
      <c r="JK82" s="33"/>
      <c r="JL82" s="34">
        <f>IF(AND(ISNUMBER(JM82),ISNUMBER(JK82)),JM82-JK82,"")</f>
        <v>0</v>
      </c>
      <c r="JM82" s="33"/>
      <c r="JN82" s="34">
        <f>IF(AND(ISNUMBER(JO82),ISNUMBER(JM82)),JO82-JM82,"")</f>
        <v>0</v>
      </c>
      <c r="JO82" s="33"/>
      <c r="JP82" s="34">
        <f>IF(AND(ISNUMBER(JQ82),ISNUMBER(JO82)),JQ82-JO82,"")</f>
        <v>0</v>
      </c>
      <c r="JQ82" s="33"/>
      <c r="JR82" s="34">
        <f>IF(AND(ISNUMBER(JS82),ISNUMBER(JQ82)),JS82-JQ82,"")</f>
        <v>0</v>
      </c>
      <c r="JS82" s="33">
        <v>2719</v>
      </c>
      <c r="JT82" s="34">
        <f>IF(AND(ISNUMBER(JU82),ISNUMBER(JS82)),JU82-JS82,"")</f>
        <v>0</v>
      </c>
      <c r="JU82" s="33">
        <v>1399</v>
      </c>
      <c r="JV82" s="34">
        <f>IF(AND(ISNUMBER(JW82),ISNUMBER(JU82)),JW82-JU82,"")</f>
        <v>0</v>
      </c>
      <c r="JW82" s="33">
        <v>1715</v>
      </c>
      <c r="JX82" s="34">
        <f>IF(AND(ISNUMBER(JY82),ISNUMBER(JW82)),JY82-JW82,"")</f>
        <v>0</v>
      </c>
      <c r="JY82" s="33"/>
      <c r="JZ82" s="34">
        <f>IF(AND(ISNUMBER(KA82),ISNUMBER(JY82)),KA82-JY82,"")</f>
        <v>0</v>
      </c>
      <c r="KA82" s="33"/>
      <c r="KB82" s="34">
        <f>IF(AND(ISNUMBER(KC82),ISNUMBER(KA82)),KC82-KA82,"")</f>
        <v>0</v>
      </c>
      <c r="KC82" s="33"/>
      <c r="KD82" s="34">
        <f>IF(AND(ISNUMBER(KE82),ISNUMBER(KC82)),KE82-KC82,"")</f>
        <v>0</v>
      </c>
      <c r="KE82" s="33"/>
      <c r="KF82" s="34">
        <f>IF(AND(ISNUMBER(KG82),ISNUMBER(KE82)),KG82-KE82,"")</f>
        <v>0</v>
      </c>
      <c r="KG82" s="33"/>
      <c r="KH82" s="34">
        <f>IF(AND(ISNUMBER(KI82),ISNUMBER(KG82)),KI82-KG82,"")</f>
        <v>0</v>
      </c>
      <c r="KI82" s="33"/>
      <c r="KJ82" s="34">
        <f>IF(AND(ISNUMBER(KK82),ISNUMBER(KI82)),KK82-KI82,"")</f>
        <v>0</v>
      </c>
      <c r="KK82" s="33"/>
      <c r="KL82" s="34">
        <f>IF(AND(ISNUMBER(KM82),ISNUMBER(KK82)),KM82-KK82,"")</f>
        <v>0</v>
      </c>
      <c r="KM82" s="33"/>
      <c r="KN82" s="34">
        <f>IF(AND(ISNUMBER(KO82),ISNUMBER(KM82)),KO82-KM82,"")</f>
        <v>0</v>
      </c>
      <c r="KO82" s="33"/>
      <c r="KP82" s="34">
        <f>IF(AND(ISNUMBER(KQ82),ISNUMBER(KO82)),KQ82-KO82,"")</f>
        <v>0</v>
      </c>
      <c r="KQ82" s="33"/>
      <c r="KR82" s="34">
        <f>IF(AND(ISNUMBER(KS82),ISNUMBER(KQ82)),KS82-KQ82,"")</f>
        <v>0</v>
      </c>
      <c r="KS82" s="33"/>
      <c r="KT82" s="34">
        <f>IF(AND(ISNUMBER(KU82),ISNUMBER(KS82)),KU82-KS82,"")</f>
        <v>0</v>
      </c>
      <c r="KU82" s="33"/>
      <c r="KV82" s="34">
        <f>IF(AND(ISNUMBER(KW82),ISNUMBER(KU82)),KW82-KU82,"")</f>
        <v>0</v>
      </c>
      <c r="KW82" s="33"/>
      <c r="KX82" s="34">
        <f>IF(AND(ISNUMBER(KY82),ISNUMBER(KW82)),KY82-KW82,"")</f>
        <v>0</v>
      </c>
      <c r="KY82" s="33"/>
      <c r="KZ82" s="34">
        <f>IF(AND(ISNUMBER(LA82),ISNUMBER(KY82)),LA82-KY82,"")</f>
        <v>0</v>
      </c>
      <c r="LA82" s="33"/>
      <c r="LB82" s="34">
        <f>IF(AND(ISNUMBER(LC82),ISNUMBER(LA82)),LC82-LA82,"")</f>
        <v>0</v>
      </c>
      <c r="LC82" s="33"/>
      <c r="LD82" s="34">
        <f>IF(AND(ISNUMBER(LE82),ISNUMBER(LC82)),LE82-LC82,"")</f>
        <v>0</v>
      </c>
      <c r="LE82" s="33"/>
      <c r="LF82" s="34">
        <f>IF(AND(ISNUMBER(LG82),ISNUMBER(LE82)),LG82-LE82,"")</f>
        <v>0</v>
      </c>
      <c r="LG82" s="33"/>
    </row>
    <row r="83" spans="1:322">
      <c r="A83" s="36" t="s">
        <v>822</v>
      </c>
      <c r="B83" s="23"/>
      <c r="C83" s="31" t="s">
        <v>1110</v>
      </c>
      <c r="D83" s="31" t="s">
        <v>1113</v>
      </c>
      <c r="H83" s="38" t="s">
        <v>1082</v>
      </c>
      <c r="I83" s="33"/>
      <c r="J83" s="34">
        <f>IF(AND(ISNUMBER(K83),ISNUMBER(I83)),K83-I83,"")</f>
        <v>0</v>
      </c>
      <c r="K83" s="33"/>
      <c r="L83" s="34">
        <f>IF(AND(ISNUMBER(M83),ISNUMBER(K83)),M83-K83,"")</f>
        <v>0</v>
      </c>
      <c r="M83" s="33"/>
      <c r="N83" s="34">
        <f>IF(AND(ISNUMBER(O83),ISNUMBER(M83)),O83-M83,"")</f>
        <v>0</v>
      </c>
      <c r="O83" s="33"/>
      <c r="P83" s="34">
        <f>IF(AND(ISNUMBER(Q83),ISNUMBER(O83)),Q83-O83,"")</f>
        <v>0</v>
      </c>
      <c r="Q83" s="33"/>
      <c r="R83" s="34">
        <f>IF(AND(ISNUMBER(S83),ISNUMBER(Q83)),S83-Q83,"")</f>
        <v>0</v>
      </c>
      <c r="S83" s="33"/>
      <c r="T83" s="34">
        <f>IF(AND(ISNUMBER(U83),ISNUMBER(S83)),U83-S83,"")</f>
        <v>0</v>
      </c>
      <c r="U83" s="33"/>
      <c r="V83" s="34">
        <f>IF(AND(ISNUMBER(W83),ISNUMBER(U83)),W83-U83,"")</f>
        <v>0</v>
      </c>
      <c r="W83" s="33"/>
      <c r="X83" s="34">
        <f>IF(AND(ISNUMBER(Y83),ISNUMBER(W83)),Y83-W83,"")</f>
        <v>0</v>
      </c>
      <c r="Y83" s="33"/>
      <c r="Z83" s="34">
        <f>IF(AND(ISNUMBER(AA83),ISNUMBER(Y83)),AA83-Y83,"")</f>
        <v>0</v>
      </c>
      <c r="AA83" s="33"/>
      <c r="AB83" s="34">
        <f>IF(AND(ISNUMBER(AC83),ISNUMBER(AA83)),AC83-AA83,"")</f>
        <v>0</v>
      </c>
      <c r="AC83" s="33"/>
      <c r="AD83" s="34">
        <f>IF(AND(ISNUMBER(AE83),ISNUMBER(AC83)),AE83-AC83,"")</f>
        <v>0</v>
      </c>
      <c r="AE83" s="33"/>
      <c r="AF83" s="34">
        <f>IF(AND(ISNUMBER(AG83),ISNUMBER(AE83)),AG83-AE83,"")</f>
        <v>0</v>
      </c>
      <c r="AG83" s="33"/>
      <c r="AH83" s="34">
        <f>IF(AND(ISNUMBER(AI83),ISNUMBER(AG83)),AI83-AG83,"")</f>
        <v>0</v>
      </c>
      <c r="AI83" s="33"/>
      <c r="AJ83" s="34">
        <f>IF(AND(ISNUMBER(AK83),ISNUMBER(AI83)),AK83-AI83,"")</f>
        <v>0</v>
      </c>
      <c r="AK83" s="33"/>
      <c r="AL83" s="34">
        <f>IF(AND(ISNUMBER(AM83),ISNUMBER(AK83)),AM83-AK83,"")</f>
        <v>0</v>
      </c>
      <c r="AM83" s="33"/>
      <c r="AN83" s="34">
        <f>IF(AND(ISNUMBER(AO83),ISNUMBER(AM83)),AO83-AM83,"")</f>
        <v>0</v>
      </c>
      <c r="AO83" s="33"/>
      <c r="AP83" s="34">
        <f>IF(AND(ISNUMBER(AQ83),ISNUMBER(AO83)),AQ83-AO83,"")</f>
        <v>0</v>
      </c>
      <c r="AQ83" s="33"/>
      <c r="AR83" s="34">
        <f>IF(AND(ISNUMBER(AS83),ISNUMBER(AQ83)),AS83-AQ83,"")</f>
        <v>0</v>
      </c>
      <c r="AS83" s="33"/>
      <c r="AT83" s="34">
        <f>IF(AND(ISNUMBER(AU83),ISNUMBER(AS83)),AU83-AS83,"")</f>
        <v>0</v>
      </c>
      <c r="AU83" s="33"/>
      <c r="AV83" s="34">
        <f>IF(AND(ISNUMBER(AW83),ISNUMBER(AU83)),AW83-AU83,"")</f>
        <v>0</v>
      </c>
      <c r="AW83" s="33"/>
      <c r="AX83" s="34">
        <f>IF(AND(ISNUMBER(AY83),ISNUMBER(AW83)),AY83-AW83,"")</f>
        <v>0</v>
      </c>
      <c r="AY83" s="33"/>
      <c r="AZ83" s="34">
        <f>IF(AND(ISNUMBER(BA83),ISNUMBER(AY83)),BA83-AY83,"")</f>
        <v>0</v>
      </c>
      <c r="BA83" s="33"/>
      <c r="BB83" s="34">
        <f>IF(AND(ISNUMBER(BC83),ISNUMBER(BA83)),BC83-BA83,"")</f>
        <v>0</v>
      </c>
      <c r="BC83" s="33"/>
      <c r="BD83" s="34">
        <f>IF(AND(ISNUMBER(BE83),ISNUMBER(BC83)),BE83-BC83,"")</f>
        <v>0</v>
      </c>
      <c r="BE83" s="33"/>
      <c r="BF83" s="34">
        <f>IF(AND(ISNUMBER(BG83),ISNUMBER(BE83)),BG83-BE83,"")</f>
        <v>0</v>
      </c>
      <c r="BG83" s="33"/>
      <c r="BH83" s="34">
        <f>IF(AND(ISNUMBER(BI83),ISNUMBER(BG83)),BI83-BG83,"")</f>
        <v>0</v>
      </c>
      <c r="BI83" s="33"/>
      <c r="BJ83" s="34">
        <f>IF(AND(ISNUMBER(BK83),ISNUMBER(BI83)),BK83-BI83,"")</f>
        <v>0</v>
      </c>
      <c r="BK83" s="33"/>
      <c r="BL83" s="34">
        <f>IF(AND(ISNUMBER(BM83),ISNUMBER(BK83)),BM83-BK83,"")</f>
        <v>0</v>
      </c>
      <c r="BM83" s="33"/>
      <c r="BN83" s="34">
        <f>IF(AND(ISNUMBER(BO83),ISNUMBER(BM83)),BO83-BM83,"")</f>
        <v>0</v>
      </c>
      <c r="BO83" s="33"/>
      <c r="BP83" s="34">
        <f>IF(AND(ISNUMBER(BQ83),ISNUMBER(BO83)),BQ83-BO83,"")</f>
        <v>0</v>
      </c>
      <c r="BQ83" s="33"/>
      <c r="BR83" s="34">
        <f>IF(AND(ISNUMBER(BS83),ISNUMBER(BQ83)),BS83-BQ83,"")</f>
        <v>0</v>
      </c>
      <c r="BS83" s="33"/>
      <c r="BT83" s="34">
        <f>IF(AND(ISNUMBER(BU83),ISNUMBER(BS83)),BU83-BS83,"")</f>
        <v>0</v>
      </c>
      <c r="BU83" s="33"/>
      <c r="BV83" s="34">
        <f>IF(AND(ISNUMBER(BW83),ISNUMBER(BU83)),BW83-BU83,"")</f>
        <v>0</v>
      </c>
      <c r="BW83" s="33"/>
      <c r="BX83" s="34">
        <f>IF(AND(ISNUMBER(BY83),ISNUMBER(BW83)),BY83-BW83,"")</f>
        <v>0</v>
      </c>
      <c r="BY83" s="33"/>
      <c r="BZ83" s="34">
        <f>IF(AND(ISNUMBER(CA83),ISNUMBER(BY83)),CA83-BY83,"")</f>
        <v>0</v>
      </c>
      <c r="CA83" s="33"/>
      <c r="CB83" s="34">
        <f>IF(AND(ISNUMBER(CC83),ISNUMBER(CA83)),CC83-CA83,"")</f>
        <v>0</v>
      </c>
      <c r="CC83" s="33"/>
      <c r="CD83" s="34">
        <f>IF(AND(ISNUMBER(CE83),ISNUMBER(CC83)),CE83-CC83,"")</f>
        <v>0</v>
      </c>
      <c r="CE83" s="33"/>
      <c r="CF83" s="34">
        <f>IF(AND(ISNUMBER(CG83),ISNUMBER(CE83)),CG83-CE83,"")</f>
        <v>0</v>
      </c>
      <c r="CG83" s="33"/>
      <c r="CH83" s="34">
        <f>IF(AND(ISNUMBER(CI83),ISNUMBER(CG83)),CI83-CG83,"")</f>
        <v>0</v>
      </c>
      <c r="CI83" s="33"/>
      <c r="CJ83" s="34">
        <f>IF(AND(ISNUMBER(CK83),ISNUMBER(CI83)),CK83-CI83,"")</f>
        <v>0</v>
      </c>
      <c r="CK83" s="33"/>
      <c r="CL83" s="34">
        <f>IF(AND(ISNUMBER(CM83),ISNUMBER(CK83)),CM83-CK83,"")</f>
        <v>0</v>
      </c>
      <c r="CM83" s="33"/>
      <c r="CN83" s="34">
        <f>IF(AND(ISNUMBER(CO83),ISNUMBER(CM83)),CO83-CM83,"")</f>
        <v>0</v>
      </c>
      <c r="CO83" s="33"/>
      <c r="CP83" s="34">
        <f>IF(AND(ISNUMBER(CQ83),ISNUMBER(CO83)),CQ83-CO83,"")</f>
        <v>0</v>
      </c>
      <c r="CQ83" s="33"/>
      <c r="CR83" s="34">
        <f>IF(AND(ISNUMBER(CS83),ISNUMBER(CQ83)),CS83-CQ83,"")</f>
        <v>0</v>
      </c>
      <c r="CS83" s="33"/>
      <c r="CT83" s="34">
        <f>IF(AND(ISNUMBER(CU83),ISNUMBER(CS83)),CU83-CS83,"")</f>
        <v>0</v>
      </c>
      <c r="CU83" s="33"/>
      <c r="CV83" s="34">
        <f>IF(AND(ISNUMBER(CW83),ISNUMBER(CU83)),CW83-CU83,"")</f>
        <v>0</v>
      </c>
      <c r="CW83" s="33"/>
      <c r="CX83" s="34">
        <f>IF(AND(ISNUMBER(CY83),ISNUMBER(CW83)),CY83-CW83,"")</f>
        <v>0</v>
      </c>
      <c r="CY83" s="33"/>
      <c r="CZ83" s="34">
        <f>IF(AND(ISNUMBER(DA83),ISNUMBER(CY83)),DA83-CY83,"")</f>
        <v>0</v>
      </c>
      <c r="DA83" s="33"/>
      <c r="DB83" s="34">
        <f>IF(AND(ISNUMBER(DC83),ISNUMBER(DA83)),DC83-DA83,"")</f>
        <v>0</v>
      </c>
      <c r="DC83" s="33"/>
      <c r="DD83" s="34">
        <f>IF(AND(ISNUMBER(DE83),ISNUMBER(DC83)),DE83-DC83,"")</f>
        <v>0</v>
      </c>
      <c r="DE83" s="33"/>
      <c r="DF83" s="34">
        <f>IF(AND(ISNUMBER(DG83),ISNUMBER(DE83)),DG83-DE83,"")</f>
        <v>0</v>
      </c>
      <c r="DG83" s="33"/>
      <c r="DH83" s="34">
        <f>IF(AND(ISNUMBER(DI83),ISNUMBER(DG83)),DI83-DG83,"")</f>
        <v>0</v>
      </c>
      <c r="DI83" s="33"/>
      <c r="DJ83" s="34">
        <f>IF(AND(ISNUMBER(DK83),ISNUMBER(DI83)),DK83-DI83,"")</f>
        <v>0</v>
      </c>
      <c r="DK83" s="33"/>
      <c r="DL83" s="34">
        <f>IF(AND(ISNUMBER(DM83),ISNUMBER(DK83)),DM83-DK83,"")</f>
        <v>0</v>
      </c>
      <c r="DM83" s="33"/>
      <c r="DN83" s="34">
        <f>IF(AND(ISNUMBER(DO83),ISNUMBER(DM83)),DO83-DM83,"")</f>
        <v>0</v>
      </c>
      <c r="DO83" s="33"/>
      <c r="DP83" s="34">
        <f>IF(AND(ISNUMBER(DQ83),ISNUMBER(DO83)),DQ83-DO83,"")</f>
        <v>0</v>
      </c>
      <c r="DQ83" s="33"/>
      <c r="DR83" s="34">
        <f>IF(AND(ISNUMBER(DS83),ISNUMBER(DQ83)),DS83-DQ83,"")</f>
        <v>0</v>
      </c>
      <c r="DS83" s="33"/>
      <c r="DT83" s="34">
        <f>IF(AND(ISNUMBER(DU83),ISNUMBER(DS83)),DU83-DS83,"")</f>
        <v>0</v>
      </c>
      <c r="DU83" s="33"/>
      <c r="DV83" s="34">
        <f>IF(AND(ISNUMBER(DW83),ISNUMBER(DU83)),DW83-DU83,"")</f>
        <v>0</v>
      </c>
      <c r="DW83" s="33"/>
      <c r="DX83" s="34">
        <f>IF(AND(ISNUMBER(DY83),ISNUMBER(DW83)),DY83-DW83,"")</f>
        <v>0</v>
      </c>
      <c r="DY83" s="33"/>
      <c r="DZ83" s="34">
        <f>IF(AND(ISNUMBER(EA83),ISNUMBER(DY83)),EA83-DY83,"")</f>
        <v>0</v>
      </c>
      <c r="EA83" s="33"/>
      <c r="EB83" s="34">
        <f>IF(AND(ISNUMBER(EC83),ISNUMBER(EA83)),EC83-EA83,"")</f>
        <v>0</v>
      </c>
      <c r="EC83" s="33"/>
      <c r="ED83" s="34">
        <f>IF(AND(ISNUMBER(EE83),ISNUMBER(EC83)),EE83-EC83,"")</f>
        <v>0</v>
      </c>
      <c r="EE83" s="33"/>
      <c r="EF83" s="34">
        <f>IF(AND(ISNUMBER(EG83),ISNUMBER(EE83)),EG83-EE83,"")</f>
        <v>0</v>
      </c>
      <c r="EG83" s="33"/>
      <c r="EH83" s="34">
        <f>IF(AND(ISNUMBER(EI83),ISNUMBER(EG83)),EI83-EG83,"")</f>
        <v>0</v>
      </c>
      <c r="EI83" s="33"/>
      <c r="EJ83" s="34">
        <f>IF(AND(ISNUMBER(EK83),ISNUMBER(EI83)),EK83-EI83,"")</f>
        <v>0</v>
      </c>
      <c r="EK83" s="33"/>
      <c r="EL83" s="34">
        <f>IF(AND(ISNUMBER(EM83),ISNUMBER(EK83)),EM83-EK83,"")</f>
        <v>0</v>
      </c>
      <c r="EM83" s="33"/>
      <c r="EN83" s="34">
        <f>IF(AND(ISNUMBER(EO83),ISNUMBER(EM83)),EO83-EM83,"")</f>
        <v>0</v>
      </c>
      <c r="EO83" s="33"/>
      <c r="EP83" s="34">
        <f>IF(AND(ISNUMBER(EQ83),ISNUMBER(EO83)),EQ83-EO83,"")</f>
        <v>0</v>
      </c>
      <c r="EQ83" s="33"/>
      <c r="ER83" s="34">
        <f>IF(AND(ISNUMBER(ES83),ISNUMBER(EQ83)),ES83-EQ83,"")</f>
        <v>0</v>
      </c>
      <c r="ES83" s="33"/>
      <c r="ET83" s="34">
        <f>IF(AND(ISNUMBER(EU83),ISNUMBER(ES83)),EU83-ES83,"")</f>
        <v>0</v>
      </c>
      <c r="EU83" s="33"/>
      <c r="EV83" s="34">
        <f>IF(AND(ISNUMBER(EW83),ISNUMBER(EU83)),EW83-EU83,"")</f>
        <v>0</v>
      </c>
      <c r="EW83" s="33"/>
      <c r="EX83" s="34">
        <f>IF(AND(ISNUMBER(EY83),ISNUMBER(EW83)),EY83-EW83,"")</f>
        <v>0</v>
      </c>
      <c r="EY83" s="33"/>
      <c r="EZ83" s="34">
        <f>IF(AND(ISNUMBER(FA83),ISNUMBER(EY83)),FA83-EY83,"")</f>
        <v>0</v>
      </c>
      <c r="FA83" s="33"/>
      <c r="FB83" s="34">
        <f>IF(AND(ISNUMBER(FC83),ISNUMBER(FA83)),FC83-FA83,"")</f>
        <v>0</v>
      </c>
      <c r="FC83" s="33"/>
      <c r="FD83" s="34">
        <f>IF(AND(ISNUMBER(FE83),ISNUMBER(FC83)),FE83-FC83,"")</f>
        <v>0</v>
      </c>
      <c r="FE83" s="33"/>
      <c r="FF83" s="34">
        <f>IF(AND(ISNUMBER(FG83),ISNUMBER(FE83)),FG83-FE83,"")</f>
        <v>0</v>
      </c>
      <c r="FG83" s="33"/>
      <c r="FH83" s="34">
        <f>IF(AND(ISNUMBER(FI83),ISNUMBER(FG83)),FI83-FG83,"")</f>
        <v>0</v>
      </c>
      <c r="FI83" s="33"/>
      <c r="FJ83" s="34">
        <f>IF(AND(ISNUMBER(FK83),ISNUMBER(FI83)),FK83-FI83,"")</f>
        <v>0</v>
      </c>
      <c r="FK83" s="33"/>
      <c r="FL83" s="34">
        <f>IF(AND(ISNUMBER(FM83),ISNUMBER(FK83)),FM83-FK83,"")</f>
        <v>0</v>
      </c>
      <c r="FM83" s="33"/>
      <c r="FN83" s="34">
        <f>IF(AND(ISNUMBER(FO83),ISNUMBER(FM83)),FO83-FM83,"")</f>
        <v>0</v>
      </c>
      <c r="FO83" s="33"/>
      <c r="FP83" s="34">
        <f>IF(AND(ISNUMBER(FQ83),ISNUMBER(FO83)),FQ83-FO83,"")</f>
        <v>0</v>
      </c>
      <c r="FQ83" s="33"/>
      <c r="FR83" s="34">
        <f>IF(AND(ISNUMBER(FS83),ISNUMBER(FQ83)),FS83-FQ83,"")</f>
        <v>0</v>
      </c>
      <c r="FS83" s="33"/>
      <c r="FT83" s="34">
        <f>IF(AND(ISNUMBER(FU83),ISNUMBER(FS83)),FU83-FS83,"")</f>
        <v>0</v>
      </c>
      <c r="FU83" s="33"/>
      <c r="FV83" s="34">
        <f>IF(AND(ISNUMBER(FW83),ISNUMBER(FU83)),FW83-FU83,"")</f>
        <v>0</v>
      </c>
      <c r="FW83" s="33"/>
      <c r="FX83" s="34">
        <f>IF(AND(ISNUMBER(FY83),ISNUMBER(FW83)),FY83-FW83,"")</f>
        <v>0</v>
      </c>
      <c r="FY83" s="33"/>
      <c r="FZ83" s="34">
        <f>IF(AND(ISNUMBER(GA83),ISNUMBER(FY83)),GA83-FY83,"")</f>
        <v>0</v>
      </c>
      <c r="GA83" s="33"/>
      <c r="GB83" s="34">
        <f>IF(AND(ISNUMBER(GC83),ISNUMBER(GA83)),GC83-GA83,"")</f>
        <v>0</v>
      </c>
      <c r="GC83" s="33"/>
      <c r="GD83" s="34">
        <f>IF(AND(ISNUMBER(GE83),ISNUMBER(GC83)),GE83-GC83,"")</f>
        <v>0</v>
      </c>
      <c r="GE83" s="33"/>
      <c r="GF83" s="34">
        <f>IF(AND(ISNUMBER(GG83),ISNUMBER(GE83)),GG83-GE83,"")</f>
        <v>0</v>
      </c>
      <c r="GG83" s="33"/>
      <c r="GH83" s="34">
        <f>IF(AND(ISNUMBER(GI83),ISNUMBER(GG83)),GI83-GG83,"")</f>
        <v>0</v>
      </c>
      <c r="GI83" s="33"/>
      <c r="GJ83" s="34">
        <f>IF(AND(ISNUMBER(GK83),ISNUMBER(GI83)),GK83-GI83,"")</f>
        <v>0</v>
      </c>
      <c r="GK83" s="33"/>
      <c r="GL83" s="34">
        <f>IF(AND(ISNUMBER(GM83),ISNUMBER(GK83)),GM83-GK83,"")</f>
        <v>0</v>
      </c>
      <c r="GM83" s="33"/>
      <c r="GN83" s="34">
        <f>IF(AND(ISNUMBER(GO83),ISNUMBER(GM83)),GO83-GM83,"")</f>
        <v>0</v>
      </c>
      <c r="GO83" s="33"/>
      <c r="GP83" s="34">
        <f>IF(AND(ISNUMBER(GQ83),ISNUMBER(GO83)),GQ83-GO83,"")</f>
        <v>0</v>
      </c>
      <c r="GQ83" s="33"/>
      <c r="GR83" s="34">
        <f>IF(AND(ISNUMBER(GS83),ISNUMBER(GQ83)),GS83-GQ83,"")</f>
        <v>0</v>
      </c>
      <c r="GS83" s="33"/>
      <c r="GT83" s="34">
        <f>IF(AND(ISNUMBER(GU83),ISNUMBER(GS83)),GU83-GS83,"")</f>
        <v>0</v>
      </c>
      <c r="GU83" s="33"/>
      <c r="GV83" s="34">
        <f>IF(AND(ISNUMBER(GW83),ISNUMBER(GU83)),GW83-GU83,"")</f>
        <v>0</v>
      </c>
      <c r="GW83" s="33"/>
      <c r="GX83" s="34">
        <f>IF(AND(ISNUMBER(GY83),ISNUMBER(GW83)),GY83-GW83,"")</f>
        <v>0</v>
      </c>
      <c r="GY83" s="33"/>
      <c r="GZ83" s="34">
        <f>IF(AND(ISNUMBER(HA83),ISNUMBER(GY83)),HA83-GY83,"")</f>
        <v>0</v>
      </c>
      <c r="HA83" s="33"/>
      <c r="HB83" s="34">
        <f>IF(AND(ISNUMBER(HC83),ISNUMBER(HA83)),HC83-HA83,"")</f>
        <v>0</v>
      </c>
      <c r="HC83" s="33"/>
      <c r="HD83" s="34">
        <f>IF(AND(ISNUMBER(HE83),ISNUMBER(HC83)),HE83-HC83,"")</f>
        <v>0</v>
      </c>
      <c r="HE83" s="33"/>
      <c r="HF83" s="34">
        <f>IF(AND(ISNUMBER(HG83),ISNUMBER(HE83)),HG83-HE83,"")</f>
        <v>0</v>
      </c>
      <c r="HG83" s="33"/>
      <c r="HH83" s="34">
        <f>IF(AND(ISNUMBER(HI83),ISNUMBER(HG83)),HI83-HG83,"")</f>
        <v>0</v>
      </c>
      <c r="HI83" s="33"/>
      <c r="HJ83" s="34">
        <f>IF(AND(ISNUMBER(HK83),ISNUMBER(HI83)),HK83-HI83,"")</f>
        <v>0</v>
      </c>
      <c r="HK83" s="33"/>
      <c r="HL83" s="34">
        <f>IF(AND(ISNUMBER(HM83),ISNUMBER(HK83)),HM83-HK83,"")</f>
        <v>0</v>
      </c>
      <c r="HM83" s="33"/>
      <c r="HN83" s="34">
        <f>IF(AND(ISNUMBER(HO83),ISNUMBER(HM83)),HO83-HM83,"")</f>
        <v>0</v>
      </c>
      <c r="HO83" s="33"/>
      <c r="HP83" s="34">
        <f>IF(AND(ISNUMBER(HQ83),ISNUMBER(HO83)),HQ83-HO83,"")</f>
        <v>0</v>
      </c>
      <c r="HQ83" s="33"/>
      <c r="HR83" s="34">
        <f>IF(AND(ISNUMBER(HS83),ISNUMBER(HQ83)),HS83-HQ83,"")</f>
        <v>0</v>
      </c>
      <c r="HS83" s="33"/>
      <c r="HT83" s="34">
        <f>IF(AND(ISNUMBER(HU83),ISNUMBER(HS83)),HU83-HS83,"")</f>
        <v>0</v>
      </c>
      <c r="HU83" s="33"/>
      <c r="HV83" s="34">
        <f>IF(AND(ISNUMBER(HW83),ISNUMBER(HU83)),HW83-HU83,"")</f>
        <v>0</v>
      </c>
      <c r="HW83" s="33"/>
      <c r="HX83" s="34">
        <f>IF(AND(ISNUMBER(HY83),ISNUMBER(HW83)),HY83-HW83,"")</f>
        <v>0</v>
      </c>
      <c r="HY83" s="33"/>
      <c r="HZ83" s="34">
        <f>IF(AND(ISNUMBER(IA83),ISNUMBER(HY83)),IA83-HY83,"")</f>
        <v>0</v>
      </c>
      <c r="IA83" s="33"/>
      <c r="IB83" s="34">
        <f>IF(AND(ISNUMBER(IC83),ISNUMBER(IA83)),IC83-IA83,"")</f>
        <v>0</v>
      </c>
      <c r="IC83" s="33"/>
      <c r="ID83" s="34">
        <f>IF(AND(ISNUMBER(IE83),ISNUMBER(IC83)),IE83-IC83,"")</f>
        <v>0</v>
      </c>
      <c r="IE83" s="33"/>
      <c r="IF83" s="34">
        <f>IF(AND(ISNUMBER(IG83),ISNUMBER(IE83)),IG83-IE83,"")</f>
        <v>0</v>
      </c>
      <c r="IG83" s="33"/>
      <c r="IH83" s="34">
        <f>IF(AND(ISNUMBER(II83),ISNUMBER(IG83)),II83-IG83,"")</f>
        <v>0</v>
      </c>
      <c r="II83" s="33"/>
      <c r="IJ83" s="34">
        <f>IF(AND(ISNUMBER(IK83),ISNUMBER(II83)),IK83-II83,"")</f>
        <v>0</v>
      </c>
      <c r="IK83" s="33"/>
      <c r="IL83" s="34">
        <f>IF(AND(ISNUMBER(IM83),ISNUMBER(IK83)),IM83-IK83,"")</f>
        <v>0</v>
      </c>
      <c r="IM83" s="33"/>
      <c r="IN83" s="34">
        <f>IF(AND(ISNUMBER(IO83),ISNUMBER(IM83)),IO83-IM83,"")</f>
        <v>0</v>
      </c>
      <c r="IO83" s="33"/>
      <c r="IP83" s="34">
        <f>IF(AND(ISNUMBER(IQ83),ISNUMBER(IO83)),IQ83-IO83,"")</f>
        <v>0</v>
      </c>
      <c r="IQ83" s="33"/>
      <c r="IR83" s="34">
        <f>IF(AND(ISNUMBER(IS83),ISNUMBER(IQ83)),IS83-IQ83,"")</f>
        <v>0</v>
      </c>
      <c r="IS83" s="33"/>
      <c r="IT83" s="34">
        <f>IF(AND(ISNUMBER(IU83),ISNUMBER(IS83)),IU83-IS83,"")</f>
        <v>0</v>
      </c>
      <c r="IU83" s="33"/>
      <c r="IV83" s="34">
        <f>IF(AND(ISNUMBER(IW83),ISNUMBER(IU83)),IW83-IU83,"")</f>
        <v>0</v>
      </c>
      <c r="IW83" s="33"/>
      <c r="IX83" s="34">
        <f>IF(AND(ISNUMBER(IY83),ISNUMBER(IW83)),IY83-IW83,"")</f>
        <v>0</v>
      </c>
      <c r="IY83" s="33"/>
      <c r="IZ83" s="34">
        <f>IF(AND(ISNUMBER(JA83),ISNUMBER(IY83)),JA83-IY83,"")</f>
        <v>0</v>
      </c>
      <c r="JA83" s="33"/>
      <c r="JB83" s="34">
        <f>IF(AND(ISNUMBER(JC83),ISNUMBER(JA83)),JC83-JA83,"")</f>
        <v>0</v>
      </c>
      <c r="JC83" s="33"/>
      <c r="JD83" s="34">
        <f>IF(AND(ISNUMBER(JE83),ISNUMBER(JC83)),JE83-JC83,"")</f>
        <v>0</v>
      </c>
      <c r="JE83" s="33"/>
      <c r="JF83" s="34">
        <f>IF(AND(ISNUMBER(JG83),ISNUMBER(JE83)),JG83-JE83,"")</f>
        <v>0</v>
      </c>
      <c r="JG83" s="33"/>
      <c r="JH83" s="34">
        <f>IF(AND(ISNUMBER(JI83),ISNUMBER(JG83)),JI83-JG83,"")</f>
        <v>0</v>
      </c>
      <c r="JI83" s="33"/>
      <c r="JJ83" s="34">
        <f>IF(AND(ISNUMBER(JK83),ISNUMBER(JI83)),JK83-JI83,"")</f>
        <v>0</v>
      </c>
      <c r="JK83" s="33"/>
      <c r="JL83" s="34">
        <f>IF(AND(ISNUMBER(JM83),ISNUMBER(JK83)),JM83-JK83,"")</f>
        <v>0</v>
      </c>
      <c r="JM83" s="33"/>
      <c r="JN83" s="34">
        <f>IF(AND(ISNUMBER(JO83),ISNUMBER(JM83)),JO83-JM83,"")</f>
        <v>0</v>
      </c>
      <c r="JO83" s="33"/>
      <c r="JP83" s="34">
        <f>IF(AND(ISNUMBER(JQ83),ISNUMBER(JO83)),JQ83-JO83,"")</f>
        <v>0</v>
      </c>
      <c r="JQ83" s="33"/>
      <c r="JR83" s="34">
        <f>IF(AND(ISNUMBER(JS83),ISNUMBER(JQ83)),JS83-JQ83,"")</f>
        <v>0</v>
      </c>
      <c r="JS83" s="33">
        <v>2238</v>
      </c>
      <c r="JT83" s="34">
        <f>IF(AND(ISNUMBER(JU83),ISNUMBER(JS83)),JU83-JS83,"")</f>
        <v>0</v>
      </c>
      <c r="JU83" s="33">
        <v>3319</v>
      </c>
      <c r="JV83" s="34">
        <f>IF(AND(ISNUMBER(JW83),ISNUMBER(JU83)),JW83-JU83,"")</f>
        <v>0</v>
      </c>
      <c r="JW83" s="33">
        <v>4051</v>
      </c>
      <c r="JX83" s="34">
        <f>IF(AND(ISNUMBER(JY83),ISNUMBER(JW83)),JY83-JW83,"")</f>
        <v>0</v>
      </c>
      <c r="JY83" s="33"/>
      <c r="JZ83" s="34">
        <f>IF(AND(ISNUMBER(KA83),ISNUMBER(JY83)),KA83-JY83,"")</f>
        <v>0</v>
      </c>
      <c r="KA83" s="33"/>
      <c r="KB83" s="34">
        <f>IF(AND(ISNUMBER(KC83),ISNUMBER(KA83)),KC83-KA83,"")</f>
        <v>0</v>
      </c>
      <c r="KC83" s="33"/>
      <c r="KD83" s="34">
        <f>IF(AND(ISNUMBER(KE83),ISNUMBER(KC83)),KE83-KC83,"")</f>
        <v>0</v>
      </c>
      <c r="KE83" s="33"/>
      <c r="KF83" s="34">
        <f>IF(AND(ISNUMBER(KG83),ISNUMBER(KE83)),KG83-KE83,"")</f>
        <v>0</v>
      </c>
      <c r="KG83" s="33"/>
      <c r="KH83" s="34">
        <f>IF(AND(ISNUMBER(KI83),ISNUMBER(KG83)),KI83-KG83,"")</f>
        <v>0</v>
      </c>
      <c r="KI83" s="33"/>
      <c r="KJ83" s="34">
        <f>IF(AND(ISNUMBER(KK83),ISNUMBER(KI83)),KK83-KI83,"")</f>
        <v>0</v>
      </c>
      <c r="KK83" s="33"/>
      <c r="KL83" s="34">
        <f>IF(AND(ISNUMBER(KM83),ISNUMBER(KK83)),KM83-KK83,"")</f>
        <v>0</v>
      </c>
      <c r="KM83" s="33"/>
      <c r="KN83" s="34">
        <f>IF(AND(ISNUMBER(KO83),ISNUMBER(KM83)),KO83-KM83,"")</f>
        <v>0</v>
      </c>
      <c r="KO83" s="33"/>
      <c r="KP83" s="34">
        <f>IF(AND(ISNUMBER(KQ83),ISNUMBER(KO83)),KQ83-KO83,"")</f>
        <v>0</v>
      </c>
      <c r="KQ83" s="33"/>
      <c r="KR83" s="34">
        <f>IF(AND(ISNUMBER(KS83),ISNUMBER(KQ83)),KS83-KQ83,"")</f>
        <v>0</v>
      </c>
      <c r="KS83" s="33"/>
      <c r="KT83" s="34">
        <f>IF(AND(ISNUMBER(KU83),ISNUMBER(KS83)),KU83-KS83,"")</f>
        <v>0</v>
      </c>
      <c r="KU83" s="33"/>
      <c r="KV83" s="34">
        <f>IF(AND(ISNUMBER(KW83),ISNUMBER(KU83)),KW83-KU83,"")</f>
        <v>0</v>
      </c>
      <c r="KW83" s="33"/>
      <c r="KX83" s="34">
        <f>IF(AND(ISNUMBER(KY83),ISNUMBER(KW83)),KY83-KW83,"")</f>
        <v>0</v>
      </c>
      <c r="KY83" s="33"/>
      <c r="KZ83" s="34">
        <f>IF(AND(ISNUMBER(LA83),ISNUMBER(KY83)),LA83-KY83,"")</f>
        <v>0</v>
      </c>
      <c r="LA83" s="33"/>
      <c r="LB83" s="34">
        <f>IF(AND(ISNUMBER(LC83),ISNUMBER(LA83)),LC83-LA83,"")</f>
        <v>0</v>
      </c>
      <c r="LC83" s="33"/>
      <c r="LD83" s="34">
        <f>IF(AND(ISNUMBER(LE83),ISNUMBER(LC83)),LE83-LC83,"")</f>
        <v>0</v>
      </c>
      <c r="LE83" s="33"/>
      <c r="LF83" s="34">
        <f>IF(AND(ISNUMBER(LG83),ISNUMBER(LE83)),LG83-LE83,"")</f>
        <v>0</v>
      </c>
      <c r="LG83" s="33"/>
    </row>
    <row r="84" spans="1:322">
      <c r="A84" s="36" t="s">
        <v>261</v>
      </c>
      <c r="B84" s="23"/>
      <c r="C84" s="31" t="s">
        <v>783</v>
      </c>
      <c r="D84" s="31" t="s">
        <v>814</v>
      </c>
      <c r="E84" s="32" t="s">
        <v>1036</v>
      </c>
      <c r="H84" s="38" t="s">
        <v>1082</v>
      </c>
      <c r="I84" s="33"/>
      <c r="J84" s="34">
        <f>IF(AND(ISNUMBER(K84),ISNUMBER(I84)),K84-I84,"")</f>
        <v>0</v>
      </c>
      <c r="K84" s="33"/>
      <c r="L84" s="34">
        <f>IF(AND(ISNUMBER(M84),ISNUMBER(K84)),M84-K84,"")</f>
        <v>0</v>
      </c>
      <c r="M84" s="33"/>
      <c r="N84" s="34">
        <f>IF(AND(ISNUMBER(O84),ISNUMBER(M84)),O84-M84,"")</f>
        <v>0</v>
      </c>
      <c r="O84" s="33"/>
      <c r="P84" s="34">
        <f>IF(AND(ISNUMBER(Q84),ISNUMBER(O84)),Q84-O84,"")</f>
        <v>0</v>
      </c>
      <c r="Q84" s="33"/>
      <c r="R84" s="34">
        <f>IF(AND(ISNUMBER(S84),ISNUMBER(Q84)),S84-Q84,"")</f>
        <v>0</v>
      </c>
      <c r="S84" s="33"/>
      <c r="T84" s="34">
        <f>IF(AND(ISNUMBER(U84),ISNUMBER(S84)),U84-S84,"")</f>
        <v>0</v>
      </c>
      <c r="U84" s="33"/>
      <c r="V84" s="34">
        <f>IF(AND(ISNUMBER(W84),ISNUMBER(U84)),W84-U84,"")</f>
        <v>0</v>
      </c>
      <c r="W84" s="33"/>
      <c r="X84" s="34">
        <f>IF(AND(ISNUMBER(Y84),ISNUMBER(W84)),Y84-W84,"")</f>
        <v>0</v>
      </c>
      <c r="Y84" s="33"/>
      <c r="Z84" s="34">
        <f>IF(AND(ISNUMBER(AA84),ISNUMBER(Y84)),AA84-Y84,"")</f>
        <v>0</v>
      </c>
      <c r="AA84" s="33"/>
      <c r="AB84" s="34">
        <f>IF(AND(ISNUMBER(AC84),ISNUMBER(AA84)),AC84-AA84,"")</f>
        <v>0</v>
      </c>
      <c r="AC84" s="33"/>
      <c r="AD84" s="34">
        <f>IF(AND(ISNUMBER(AE84),ISNUMBER(AC84)),AE84-AC84,"")</f>
        <v>0</v>
      </c>
      <c r="AE84" s="33"/>
      <c r="AF84" s="34">
        <f>IF(AND(ISNUMBER(AG84),ISNUMBER(AE84)),AG84-AE84,"")</f>
        <v>0</v>
      </c>
      <c r="AG84" s="33"/>
      <c r="AH84" s="34">
        <f>IF(AND(ISNUMBER(AI84),ISNUMBER(AG84)),AI84-AG84,"")</f>
        <v>0</v>
      </c>
      <c r="AI84" s="33"/>
      <c r="AJ84" s="34">
        <f>IF(AND(ISNUMBER(AK84),ISNUMBER(AI84)),AK84-AI84,"")</f>
        <v>0</v>
      </c>
      <c r="AK84" s="33"/>
      <c r="AL84" s="34">
        <f>IF(AND(ISNUMBER(AM84),ISNUMBER(AK84)),AM84-AK84,"")</f>
        <v>0</v>
      </c>
      <c r="AM84" s="33"/>
      <c r="AN84" s="34">
        <f>IF(AND(ISNUMBER(AO84),ISNUMBER(AM84)),AO84-AM84,"")</f>
        <v>0</v>
      </c>
      <c r="AO84" s="33"/>
      <c r="AP84" s="34">
        <f>IF(AND(ISNUMBER(AQ84),ISNUMBER(AO84)),AQ84-AO84,"")</f>
        <v>0</v>
      </c>
      <c r="AQ84" s="33"/>
      <c r="AR84" s="34">
        <f>IF(AND(ISNUMBER(AS84),ISNUMBER(AQ84)),AS84-AQ84,"")</f>
        <v>0</v>
      </c>
      <c r="AS84" s="33"/>
      <c r="AT84" s="34">
        <f>IF(AND(ISNUMBER(AU84),ISNUMBER(AS84)),AU84-AS84,"")</f>
        <v>0</v>
      </c>
      <c r="AU84" s="33"/>
      <c r="AV84" s="34">
        <f>IF(AND(ISNUMBER(AW84),ISNUMBER(AU84)),AW84-AU84,"")</f>
        <v>0</v>
      </c>
      <c r="AW84" s="33"/>
      <c r="AX84" s="34">
        <f>IF(AND(ISNUMBER(AY84),ISNUMBER(AW84)),AY84-AW84,"")</f>
        <v>0</v>
      </c>
      <c r="AY84" s="33"/>
      <c r="AZ84" s="34">
        <f>IF(AND(ISNUMBER(BA84),ISNUMBER(AY84)),BA84-AY84,"")</f>
        <v>0</v>
      </c>
      <c r="BA84" s="33"/>
      <c r="BB84" s="34">
        <f>IF(AND(ISNUMBER(BC84),ISNUMBER(BA84)),BC84-BA84,"")</f>
        <v>0</v>
      </c>
      <c r="BC84" s="33"/>
      <c r="BD84" s="34">
        <f>IF(AND(ISNUMBER(BE84),ISNUMBER(BC84)),BE84-BC84,"")</f>
        <v>0</v>
      </c>
      <c r="BE84" s="33"/>
      <c r="BF84" s="34">
        <f>IF(AND(ISNUMBER(BG84),ISNUMBER(BE84)),BG84-BE84,"")</f>
        <v>0</v>
      </c>
      <c r="BG84" s="33"/>
      <c r="BH84" s="34">
        <f>IF(AND(ISNUMBER(BI84),ISNUMBER(BG84)),BI84-BG84,"")</f>
        <v>0</v>
      </c>
      <c r="BI84" s="33"/>
      <c r="BJ84" s="34">
        <f>IF(AND(ISNUMBER(BK84),ISNUMBER(BI84)),BK84-BI84,"")</f>
        <v>0</v>
      </c>
      <c r="BK84" s="33"/>
      <c r="BL84" s="34">
        <f>IF(AND(ISNUMBER(BM84),ISNUMBER(BK84)),BM84-BK84,"")</f>
        <v>0</v>
      </c>
      <c r="BM84" s="33"/>
      <c r="BN84" s="34">
        <f>IF(AND(ISNUMBER(BO84),ISNUMBER(BM84)),BO84-BM84,"")</f>
        <v>0</v>
      </c>
      <c r="BO84" s="33"/>
      <c r="BP84" s="34">
        <f>IF(AND(ISNUMBER(BQ84),ISNUMBER(BO84)),BQ84-BO84,"")</f>
        <v>0</v>
      </c>
      <c r="BQ84" s="33"/>
      <c r="BR84" s="34">
        <f>IF(AND(ISNUMBER(BS84),ISNUMBER(BQ84)),BS84-BQ84,"")</f>
        <v>0</v>
      </c>
      <c r="BS84" s="33"/>
      <c r="BT84" s="34">
        <f>IF(AND(ISNUMBER(BU84),ISNUMBER(BS84)),BU84-BS84,"")</f>
        <v>0</v>
      </c>
      <c r="BU84" s="33"/>
      <c r="BV84" s="34">
        <f>IF(AND(ISNUMBER(BW84),ISNUMBER(BU84)),BW84-BU84,"")</f>
        <v>0</v>
      </c>
      <c r="BW84" s="33"/>
      <c r="BX84" s="34">
        <f>IF(AND(ISNUMBER(BY84),ISNUMBER(BW84)),BY84-BW84,"")</f>
        <v>0</v>
      </c>
      <c r="BY84" s="33"/>
      <c r="BZ84" s="34">
        <f>IF(AND(ISNUMBER(CA84),ISNUMBER(BY84)),CA84-BY84,"")</f>
        <v>0</v>
      </c>
      <c r="CA84" s="33"/>
      <c r="CB84" s="34">
        <f>IF(AND(ISNUMBER(CC84),ISNUMBER(CA84)),CC84-CA84,"")</f>
        <v>0</v>
      </c>
      <c r="CC84" s="33"/>
      <c r="CD84" s="34">
        <f>IF(AND(ISNUMBER(CE84),ISNUMBER(CC84)),CE84-CC84,"")</f>
        <v>0</v>
      </c>
      <c r="CE84" s="33"/>
      <c r="CF84" s="34">
        <f>IF(AND(ISNUMBER(CG84),ISNUMBER(CE84)),CG84-CE84,"")</f>
        <v>0</v>
      </c>
      <c r="CG84" s="33"/>
      <c r="CH84" s="34">
        <f>IF(AND(ISNUMBER(CI84),ISNUMBER(CG84)),CI84-CG84,"")</f>
        <v>0</v>
      </c>
      <c r="CI84" s="33"/>
      <c r="CJ84" s="34">
        <f>IF(AND(ISNUMBER(CK84),ISNUMBER(CI84)),CK84-CI84,"")</f>
        <v>0</v>
      </c>
      <c r="CK84" s="33"/>
      <c r="CL84" s="34">
        <f>IF(AND(ISNUMBER(CM84),ISNUMBER(CK84)),CM84-CK84,"")</f>
        <v>0</v>
      </c>
      <c r="CM84" s="33"/>
      <c r="CN84" s="34">
        <f>IF(AND(ISNUMBER(CO84),ISNUMBER(CM84)),CO84-CM84,"")</f>
        <v>0</v>
      </c>
      <c r="CO84" s="33"/>
      <c r="CP84" s="34">
        <f>IF(AND(ISNUMBER(CQ84),ISNUMBER(CO84)),CQ84-CO84,"")</f>
        <v>0</v>
      </c>
      <c r="CQ84" s="33"/>
      <c r="CR84" s="34">
        <f>IF(AND(ISNUMBER(CS84),ISNUMBER(CQ84)),CS84-CQ84,"")</f>
        <v>0</v>
      </c>
      <c r="CS84" s="33"/>
      <c r="CT84" s="34">
        <f>IF(AND(ISNUMBER(CU84),ISNUMBER(CS84)),CU84-CS84,"")</f>
        <v>0</v>
      </c>
      <c r="CU84" s="33"/>
      <c r="CV84" s="34">
        <f>IF(AND(ISNUMBER(CW84),ISNUMBER(CU84)),CW84-CU84,"")</f>
        <v>0</v>
      </c>
      <c r="CW84" s="33"/>
      <c r="CX84" s="34">
        <f>IF(AND(ISNUMBER(CY84),ISNUMBER(CW84)),CY84-CW84,"")</f>
        <v>0</v>
      </c>
      <c r="CY84" s="33"/>
      <c r="CZ84" s="34">
        <f>IF(AND(ISNUMBER(DA84),ISNUMBER(CY84)),DA84-CY84,"")</f>
        <v>0</v>
      </c>
      <c r="DA84" s="33"/>
      <c r="DB84" s="34">
        <f>IF(AND(ISNUMBER(DC84),ISNUMBER(DA84)),DC84-DA84,"")</f>
        <v>0</v>
      </c>
      <c r="DC84" s="33"/>
      <c r="DD84" s="34">
        <f>IF(AND(ISNUMBER(DE84),ISNUMBER(DC84)),DE84-DC84,"")</f>
        <v>0</v>
      </c>
      <c r="DE84" s="33"/>
      <c r="DF84" s="34">
        <f>IF(AND(ISNUMBER(DG84),ISNUMBER(DE84)),DG84-DE84,"")</f>
        <v>0</v>
      </c>
      <c r="DG84" s="33"/>
      <c r="DH84" s="34">
        <f>IF(AND(ISNUMBER(DI84),ISNUMBER(DG84)),DI84-DG84,"")</f>
        <v>0</v>
      </c>
      <c r="DI84" s="33"/>
      <c r="DJ84" s="34">
        <f>IF(AND(ISNUMBER(DK84),ISNUMBER(DI84)),DK84-DI84,"")</f>
        <v>0</v>
      </c>
      <c r="DK84" s="33"/>
      <c r="DL84" s="34">
        <f>IF(AND(ISNUMBER(DM84),ISNUMBER(DK84)),DM84-DK84,"")</f>
        <v>0</v>
      </c>
      <c r="DM84" s="33"/>
      <c r="DN84" s="34">
        <f>IF(AND(ISNUMBER(DO84),ISNUMBER(DM84)),DO84-DM84,"")</f>
        <v>0</v>
      </c>
      <c r="DO84" s="33"/>
      <c r="DP84" s="34">
        <f>IF(AND(ISNUMBER(DQ84),ISNUMBER(DO84)),DQ84-DO84,"")</f>
        <v>0</v>
      </c>
      <c r="DQ84" s="33"/>
      <c r="DR84" s="34">
        <f>IF(AND(ISNUMBER(DS84),ISNUMBER(DQ84)),DS84-DQ84,"")</f>
        <v>0</v>
      </c>
      <c r="DS84" s="33"/>
      <c r="DT84" s="34">
        <f>IF(AND(ISNUMBER(DU84),ISNUMBER(DS84)),DU84-DS84,"")</f>
        <v>0</v>
      </c>
      <c r="DU84" s="33"/>
      <c r="DV84" s="34">
        <f>IF(AND(ISNUMBER(DW84),ISNUMBER(DU84)),DW84-DU84,"")</f>
        <v>0</v>
      </c>
      <c r="DW84" s="33"/>
      <c r="DX84" s="34">
        <f>IF(AND(ISNUMBER(DY84),ISNUMBER(DW84)),DY84-DW84,"")</f>
        <v>0</v>
      </c>
      <c r="DY84" s="33"/>
      <c r="DZ84" s="34">
        <f>IF(AND(ISNUMBER(EA84),ISNUMBER(DY84)),EA84-DY84,"")</f>
        <v>0</v>
      </c>
      <c r="EA84" s="33"/>
      <c r="EB84" s="34">
        <f>IF(AND(ISNUMBER(EC84),ISNUMBER(EA84)),EC84-EA84,"")</f>
        <v>0</v>
      </c>
      <c r="EC84" s="33"/>
      <c r="ED84" s="34">
        <f>IF(AND(ISNUMBER(EE84),ISNUMBER(EC84)),EE84-EC84,"")</f>
        <v>0</v>
      </c>
      <c r="EE84" s="33"/>
      <c r="EF84" s="34">
        <f>IF(AND(ISNUMBER(EG84),ISNUMBER(EE84)),EG84-EE84,"")</f>
        <v>0</v>
      </c>
      <c r="EG84" s="33"/>
      <c r="EH84" s="34">
        <f>IF(AND(ISNUMBER(EI84),ISNUMBER(EG84)),EI84-EG84,"")</f>
        <v>0</v>
      </c>
      <c r="EI84" s="33"/>
      <c r="EJ84" s="34">
        <f>IF(AND(ISNUMBER(EK84),ISNUMBER(EI84)),EK84-EI84,"")</f>
        <v>0</v>
      </c>
      <c r="EK84" s="33"/>
      <c r="EL84" s="34">
        <f>IF(AND(ISNUMBER(EM84),ISNUMBER(EK84)),EM84-EK84,"")</f>
        <v>0</v>
      </c>
      <c r="EM84" s="33"/>
      <c r="EN84" s="34">
        <f>IF(AND(ISNUMBER(EO84),ISNUMBER(EM84)),EO84-EM84,"")</f>
        <v>0</v>
      </c>
      <c r="EO84" s="33"/>
      <c r="EP84" s="34">
        <f>IF(AND(ISNUMBER(EQ84),ISNUMBER(EO84)),EQ84-EO84,"")</f>
        <v>0</v>
      </c>
      <c r="EQ84" s="33"/>
      <c r="ER84" s="34">
        <f>IF(AND(ISNUMBER(ES84),ISNUMBER(EQ84)),ES84-EQ84,"")</f>
        <v>0</v>
      </c>
      <c r="ES84" s="33"/>
      <c r="ET84" s="34">
        <f>IF(AND(ISNUMBER(EU84),ISNUMBER(ES84)),EU84-ES84,"")</f>
        <v>0</v>
      </c>
      <c r="EU84" s="33"/>
      <c r="EV84" s="34">
        <f>IF(AND(ISNUMBER(EW84),ISNUMBER(EU84)),EW84-EU84,"")</f>
        <v>0</v>
      </c>
      <c r="EW84" s="33"/>
      <c r="EX84" s="34">
        <f>IF(AND(ISNUMBER(EY84),ISNUMBER(EW84)),EY84-EW84,"")</f>
        <v>0</v>
      </c>
      <c r="EY84" s="33"/>
      <c r="EZ84" s="34">
        <f>IF(AND(ISNUMBER(FA84),ISNUMBER(EY84)),FA84-EY84,"")</f>
        <v>0</v>
      </c>
      <c r="FA84" s="33"/>
      <c r="FB84" s="34">
        <f>IF(AND(ISNUMBER(FC84),ISNUMBER(FA84)),FC84-FA84,"")</f>
        <v>0</v>
      </c>
      <c r="FC84" s="33"/>
      <c r="FD84" s="34">
        <f>IF(AND(ISNUMBER(FE84),ISNUMBER(FC84)),FE84-FC84,"")</f>
        <v>0</v>
      </c>
      <c r="FE84" s="33"/>
      <c r="FF84" s="34">
        <f>IF(AND(ISNUMBER(FG84),ISNUMBER(FE84)),FG84-FE84,"")</f>
        <v>0</v>
      </c>
      <c r="FG84" s="33"/>
      <c r="FH84" s="34">
        <f>IF(AND(ISNUMBER(FI84),ISNUMBER(FG84)),FI84-FG84,"")</f>
        <v>0</v>
      </c>
      <c r="FI84" s="33"/>
      <c r="FJ84" s="34">
        <f>IF(AND(ISNUMBER(FK84),ISNUMBER(FI84)),FK84-FI84,"")</f>
        <v>0</v>
      </c>
      <c r="FK84" s="33"/>
      <c r="FL84" s="34">
        <f>IF(AND(ISNUMBER(FM84),ISNUMBER(FK84)),FM84-FK84,"")</f>
        <v>0</v>
      </c>
      <c r="FM84" s="33"/>
      <c r="FN84" s="34">
        <f>IF(AND(ISNUMBER(FO84),ISNUMBER(FM84)),FO84-FM84,"")</f>
        <v>0</v>
      </c>
      <c r="FO84" s="33"/>
      <c r="FP84" s="34">
        <f>IF(AND(ISNUMBER(FQ84),ISNUMBER(FO84)),FQ84-FO84,"")</f>
        <v>0</v>
      </c>
      <c r="FQ84" s="33"/>
      <c r="FR84" s="34">
        <f>IF(AND(ISNUMBER(FS84),ISNUMBER(FQ84)),FS84-FQ84,"")</f>
        <v>0</v>
      </c>
      <c r="FS84" s="33"/>
      <c r="FT84" s="34">
        <f>IF(AND(ISNUMBER(FU84),ISNUMBER(FS84)),FU84-FS84,"")</f>
        <v>0</v>
      </c>
      <c r="FU84" s="33"/>
      <c r="FV84" s="34">
        <f>IF(AND(ISNUMBER(FW84),ISNUMBER(FU84)),FW84-FU84,"")</f>
        <v>0</v>
      </c>
      <c r="FW84" s="33"/>
      <c r="FX84" s="34">
        <f>IF(AND(ISNUMBER(FY84),ISNUMBER(FW84)),FY84-FW84,"")</f>
        <v>0</v>
      </c>
      <c r="FY84" s="33"/>
      <c r="FZ84" s="34">
        <f>IF(AND(ISNUMBER(GA84),ISNUMBER(FY84)),GA84-FY84,"")</f>
        <v>0</v>
      </c>
      <c r="GA84" s="33"/>
      <c r="GB84" s="34">
        <f>IF(AND(ISNUMBER(GC84),ISNUMBER(GA84)),GC84-GA84,"")</f>
        <v>0</v>
      </c>
      <c r="GC84" s="33"/>
      <c r="GD84" s="34">
        <f>IF(AND(ISNUMBER(GE84),ISNUMBER(GC84)),GE84-GC84,"")</f>
        <v>0</v>
      </c>
      <c r="GE84" s="33"/>
      <c r="GF84" s="34">
        <f>IF(AND(ISNUMBER(GG84),ISNUMBER(GE84)),GG84-GE84,"")</f>
        <v>0</v>
      </c>
      <c r="GG84" s="33"/>
      <c r="GH84" s="34">
        <f>IF(AND(ISNUMBER(GI84),ISNUMBER(GG84)),GI84-GG84,"")</f>
        <v>0</v>
      </c>
      <c r="GI84" s="33"/>
      <c r="GJ84" s="34">
        <f>IF(AND(ISNUMBER(GK84),ISNUMBER(GI84)),GK84-GI84,"")</f>
        <v>0</v>
      </c>
      <c r="GK84" s="33"/>
      <c r="GL84" s="34">
        <f>IF(AND(ISNUMBER(GM84),ISNUMBER(GK84)),GM84-GK84,"")</f>
        <v>0</v>
      </c>
      <c r="GM84" s="33"/>
      <c r="GN84" s="34">
        <f>IF(AND(ISNUMBER(GO84),ISNUMBER(GM84)),GO84-GM84,"")</f>
        <v>0</v>
      </c>
      <c r="GO84" s="33"/>
      <c r="GP84" s="34">
        <f>IF(AND(ISNUMBER(GQ84),ISNUMBER(GO84)),GQ84-GO84,"")</f>
        <v>0</v>
      </c>
      <c r="GQ84" s="33"/>
      <c r="GR84" s="34">
        <f>IF(AND(ISNUMBER(GS84),ISNUMBER(GQ84)),GS84-GQ84,"")</f>
        <v>0</v>
      </c>
      <c r="GS84" s="33"/>
      <c r="GT84" s="34">
        <f>IF(AND(ISNUMBER(GU84),ISNUMBER(GS84)),GU84-GS84,"")</f>
        <v>0</v>
      </c>
      <c r="GU84" s="33"/>
      <c r="GV84" s="34">
        <f>IF(AND(ISNUMBER(GW84),ISNUMBER(GU84)),GW84-GU84,"")</f>
        <v>0</v>
      </c>
      <c r="GW84" s="33"/>
      <c r="GX84" s="34">
        <f>IF(AND(ISNUMBER(GY84),ISNUMBER(GW84)),GY84-GW84,"")</f>
        <v>0</v>
      </c>
      <c r="GY84" s="33"/>
      <c r="GZ84" s="34">
        <f>IF(AND(ISNUMBER(HA84),ISNUMBER(GY84)),HA84-GY84,"")</f>
        <v>0</v>
      </c>
      <c r="HA84" s="33"/>
      <c r="HB84" s="34">
        <f>IF(AND(ISNUMBER(HC84),ISNUMBER(HA84)),HC84-HA84,"")</f>
        <v>0</v>
      </c>
      <c r="HC84" s="33"/>
      <c r="HD84" s="34">
        <f>IF(AND(ISNUMBER(HE84),ISNUMBER(HC84)),HE84-HC84,"")</f>
        <v>0</v>
      </c>
      <c r="HE84" s="33"/>
      <c r="HF84" s="34">
        <f>IF(AND(ISNUMBER(HG84),ISNUMBER(HE84)),HG84-HE84,"")</f>
        <v>0</v>
      </c>
      <c r="HG84" s="33"/>
      <c r="HH84" s="34">
        <f>IF(AND(ISNUMBER(HI84),ISNUMBER(HG84)),HI84-HG84,"")</f>
        <v>0</v>
      </c>
      <c r="HI84" s="33"/>
      <c r="HJ84" s="34">
        <f>IF(AND(ISNUMBER(HK84),ISNUMBER(HI84)),HK84-HI84,"")</f>
        <v>0</v>
      </c>
      <c r="HK84" s="33"/>
      <c r="HL84" s="34">
        <f>IF(AND(ISNUMBER(HM84),ISNUMBER(HK84)),HM84-HK84,"")</f>
        <v>0</v>
      </c>
      <c r="HM84" s="33"/>
      <c r="HN84" s="34">
        <f>IF(AND(ISNUMBER(HO84),ISNUMBER(HM84)),HO84-HM84,"")</f>
        <v>0</v>
      </c>
      <c r="HO84" s="33"/>
      <c r="HP84" s="34">
        <f>IF(AND(ISNUMBER(HQ84),ISNUMBER(HO84)),HQ84-HO84,"")</f>
        <v>0</v>
      </c>
      <c r="HQ84" s="33"/>
      <c r="HR84" s="34">
        <f>IF(AND(ISNUMBER(HS84),ISNUMBER(HQ84)),HS84-HQ84,"")</f>
        <v>0</v>
      </c>
      <c r="HS84" s="33"/>
      <c r="HT84" s="34">
        <f>IF(AND(ISNUMBER(HU84),ISNUMBER(HS84)),HU84-HS84,"")</f>
        <v>0</v>
      </c>
      <c r="HU84" s="33"/>
      <c r="HV84" s="34">
        <f>IF(AND(ISNUMBER(HW84),ISNUMBER(HU84)),HW84-HU84,"")</f>
        <v>0</v>
      </c>
      <c r="HW84" s="33"/>
      <c r="HX84" s="34">
        <f>IF(AND(ISNUMBER(HY84),ISNUMBER(HW84)),HY84-HW84,"")</f>
        <v>0</v>
      </c>
      <c r="HY84" s="33"/>
      <c r="HZ84" s="34">
        <f>IF(AND(ISNUMBER(IA84),ISNUMBER(HY84)),IA84-HY84,"")</f>
        <v>0</v>
      </c>
      <c r="IA84" s="33"/>
      <c r="IB84" s="34">
        <f>IF(AND(ISNUMBER(IC84),ISNUMBER(IA84)),IC84-IA84,"")</f>
        <v>0</v>
      </c>
      <c r="IC84" s="33"/>
      <c r="ID84" s="34">
        <f>IF(AND(ISNUMBER(IE84),ISNUMBER(IC84)),IE84-IC84,"")</f>
        <v>0</v>
      </c>
      <c r="IE84" s="33"/>
      <c r="IF84" s="34">
        <f>IF(AND(ISNUMBER(IG84),ISNUMBER(IE84)),IG84-IE84,"")</f>
        <v>0</v>
      </c>
      <c r="IG84" s="33"/>
      <c r="IH84" s="34">
        <f>IF(AND(ISNUMBER(II84),ISNUMBER(IG84)),II84-IG84,"")</f>
        <v>0</v>
      </c>
      <c r="II84" s="33"/>
      <c r="IJ84" s="34">
        <f>IF(AND(ISNUMBER(IK84),ISNUMBER(II84)),IK84-II84,"")</f>
        <v>0</v>
      </c>
      <c r="IK84" s="33"/>
      <c r="IL84" s="34">
        <f>IF(AND(ISNUMBER(IM84),ISNUMBER(IK84)),IM84-IK84,"")</f>
        <v>0</v>
      </c>
      <c r="IM84" s="33"/>
      <c r="IN84" s="34">
        <f>IF(AND(ISNUMBER(IO84),ISNUMBER(IM84)),IO84-IM84,"")</f>
        <v>0</v>
      </c>
      <c r="IO84" s="33"/>
      <c r="IP84" s="34">
        <f>IF(AND(ISNUMBER(IQ84),ISNUMBER(IO84)),IQ84-IO84,"")</f>
        <v>0</v>
      </c>
      <c r="IQ84" s="33"/>
      <c r="IR84" s="34">
        <f>IF(AND(ISNUMBER(IS84),ISNUMBER(IQ84)),IS84-IQ84,"")</f>
        <v>0</v>
      </c>
      <c r="IS84" s="33"/>
      <c r="IT84" s="34">
        <f>IF(AND(ISNUMBER(IU84),ISNUMBER(IS84)),IU84-IS84,"")</f>
        <v>0</v>
      </c>
      <c r="IU84" s="33"/>
      <c r="IV84" s="34">
        <f>IF(AND(ISNUMBER(IW84),ISNUMBER(IU84)),IW84-IU84,"")</f>
        <v>0</v>
      </c>
      <c r="IW84" s="33"/>
      <c r="IX84" s="34">
        <f>IF(AND(ISNUMBER(IY84),ISNUMBER(IW84)),IY84-IW84,"")</f>
        <v>0</v>
      </c>
      <c r="IY84" s="33"/>
      <c r="IZ84" s="34">
        <f>IF(AND(ISNUMBER(JA84),ISNUMBER(IY84)),JA84-IY84,"")</f>
        <v>0</v>
      </c>
      <c r="JA84" s="33"/>
      <c r="JB84" s="34">
        <f>IF(AND(ISNUMBER(JC84),ISNUMBER(JA84)),JC84-JA84,"")</f>
        <v>0</v>
      </c>
      <c r="JC84" s="33"/>
      <c r="JD84" s="34">
        <f>IF(AND(ISNUMBER(JE84),ISNUMBER(JC84)),JE84-JC84,"")</f>
        <v>0</v>
      </c>
      <c r="JE84" s="33"/>
      <c r="JF84" s="34">
        <f>IF(AND(ISNUMBER(JG84),ISNUMBER(JE84)),JG84-JE84,"")</f>
        <v>0</v>
      </c>
      <c r="JG84" s="33"/>
      <c r="JH84" s="34">
        <f>IF(AND(ISNUMBER(JI84),ISNUMBER(JG84)),JI84-JG84,"")</f>
        <v>0</v>
      </c>
      <c r="JI84" s="33"/>
      <c r="JJ84" s="34">
        <f>IF(AND(ISNUMBER(JK84),ISNUMBER(JI84)),JK84-JI84,"")</f>
        <v>0</v>
      </c>
      <c r="JK84" s="33"/>
      <c r="JL84" s="34">
        <f>IF(AND(ISNUMBER(JM84),ISNUMBER(JK84)),JM84-JK84,"")</f>
        <v>0</v>
      </c>
      <c r="JM84" s="33"/>
      <c r="JN84" s="34">
        <f>IF(AND(ISNUMBER(JO84),ISNUMBER(JM84)),JO84-JM84,"")</f>
        <v>0</v>
      </c>
      <c r="JO84" s="33"/>
      <c r="JP84" s="34">
        <f>IF(AND(ISNUMBER(JQ84),ISNUMBER(JO84)),JQ84-JO84,"")</f>
        <v>0</v>
      </c>
      <c r="JQ84" s="33"/>
      <c r="JR84" s="34">
        <f>IF(AND(ISNUMBER(JS84),ISNUMBER(JQ84)),JS84-JQ84,"")</f>
        <v>0</v>
      </c>
      <c r="JS84" s="33">
        <v>768</v>
      </c>
      <c r="JT84" s="34">
        <f>IF(AND(ISNUMBER(JU84),ISNUMBER(JS84)),JU84-JS84,"")</f>
        <v>0</v>
      </c>
      <c r="JU84" s="33">
        <v>1201</v>
      </c>
      <c r="JV84" s="34">
        <f>IF(AND(ISNUMBER(JW84),ISNUMBER(JU84)),JW84-JU84,"")</f>
        <v>0</v>
      </c>
      <c r="JW84" s="33">
        <v>894</v>
      </c>
      <c r="JX84" s="34">
        <f>IF(AND(ISNUMBER(JY84),ISNUMBER(JW84)),JY84-JW84,"")</f>
        <v>0</v>
      </c>
      <c r="JY84" s="33"/>
      <c r="JZ84" s="34">
        <f>IF(AND(ISNUMBER(KA84),ISNUMBER(JY84)),KA84-JY84,"")</f>
        <v>0</v>
      </c>
      <c r="KA84" s="33"/>
      <c r="KB84" s="34">
        <f>IF(AND(ISNUMBER(KC84),ISNUMBER(KA84)),KC84-KA84,"")</f>
        <v>0</v>
      </c>
      <c r="KC84" s="33"/>
      <c r="KD84" s="34">
        <f>IF(AND(ISNUMBER(KE84),ISNUMBER(KC84)),KE84-KC84,"")</f>
        <v>0</v>
      </c>
      <c r="KE84" s="33"/>
      <c r="KF84" s="34">
        <f>IF(AND(ISNUMBER(KG84),ISNUMBER(KE84)),KG84-KE84,"")</f>
        <v>0</v>
      </c>
      <c r="KG84" s="33"/>
      <c r="KH84" s="34">
        <f>IF(AND(ISNUMBER(KI84),ISNUMBER(KG84)),KI84-KG84,"")</f>
        <v>0</v>
      </c>
      <c r="KI84" s="33"/>
      <c r="KJ84" s="34">
        <f>IF(AND(ISNUMBER(KK84),ISNUMBER(KI84)),KK84-KI84,"")</f>
        <v>0</v>
      </c>
      <c r="KK84" s="33"/>
      <c r="KL84" s="34">
        <f>IF(AND(ISNUMBER(KM84),ISNUMBER(KK84)),KM84-KK84,"")</f>
        <v>0</v>
      </c>
      <c r="KM84" s="33"/>
      <c r="KN84" s="34">
        <f>IF(AND(ISNUMBER(KO84),ISNUMBER(KM84)),KO84-KM84,"")</f>
        <v>0</v>
      </c>
      <c r="KO84" s="33"/>
      <c r="KP84" s="34">
        <f>IF(AND(ISNUMBER(KQ84),ISNUMBER(KO84)),KQ84-KO84,"")</f>
        <v>0</v>
      </c>
      <c r="KQ84" s="33"/>
      <c r="KR84" s="34">
        <f>IF(AND(ISNUMBER(KS84),ISNUMBER(KQ84)),KS84-KQ84,"")</f>
        <v>0</v>
      </c>
      <c r="KS84" s="33"/>
      <c r="KT84" s="34">
        <f>IF(AND(ISNUMBER(KU84),ISNUMBER(KS84)),KU84-KS84,"")</f>
        <v>0</v>
      </c>
      <c r="KU84" s="33"/>
      <c r="KV84" s="34">
        <f>IF(AND(ISNUMBER(KW84),ISNUMBER(KU84)),KW84-KU84,"")</f>
        <v>0</v>
      </c>
      <c r="KW84" s="33"/>
      <c r="KX84" s="34">
        <f>IF(AND(ISNUMBER(KY84),ISNUMBER(KW84)),KY84-KW84,"")</f>
        <v>0</v>
      </c>
      <c r="KY84" s="33"/>
      <c r="KZ84" s="34">
        <f>IF(AND(ISNUMBER(LA84),ISNUMBER(KY84)),LA84-KY84,"")</f>
        <v>0</v>
      </c>
      <c r="LA84" s="33"/>
      <c r="LB84" s="34">
        <f>IF(AND(ISNUMBER(LC84),ISNUMBER(LA84)),LC84-LA84,"")</f>
        <v>0</v>
      </c>
      <c r="LC84" s="33"/>
      <c r="LD84" s="34">
        <f>IF(AND(ISNUMBER(LE84),ISNUMBER(LC84)),LE84-LC84,"")</f>
        <v>0</v>
      </c>
      <c r="LE84" s="33"/>
      <c r="LF84" s="34">
        <f>IF(AND(ISNUMBER(LG84),ISNUMBER(LE84)),LG84-LE84,"")</f>
        <v>0</v>
      </c>
      <c r="LG84" s="33"/>
    </row>
    <row r="85" spans="1:322">
      <c r="A85" s="36" t="s">
        <v>265</v>
      </c>
      <c r="B85" s="23"/>
      <c r="C85" s="31" t="s">
        <v>783</v>
      </c>
      <c r="D85" s="31" t="s">
        <v>816</v>
      </c>
      <c r="E85" s="32" t="s">
        <v>1036</v>
      </c>
      <c r="H85" s="38" t="s">
        <v>1082</v>
      </c>
      <c r="I85" s="33"/>
      <c r="J85" s="34">
        <f>IF(AND(ISNUMBER(K85),ISNUMBER(I85)),K85-I85,"")</f>
        <v>0</v>
      </c>
      <c r="K85" s="33"/>
      <c r="L85" s="34">
        <f>IF(AND(ISNUMBER(M85),ISNUMBER(K85)),M85-K85,"")</f>
        <v>0</v>
      </c>
      <c r="M85" s="33"/>
      <c r="N85" s="34">
        <f>IF(AND(ISNUMBER(O85),ISNUMBER(M85)),O85-M85,"")</f>
        <v>0</v>
      </c>
      <c r="O85" s="33"/>
      <c r="P85" s="34">
        <f>IF(AND(ISNUMBER(Q85),ISNUMBER(O85)),Q85-O85,"")</f>
        <v>0</v>
      </c>
      <c r="Q85" s="33"/>
      <c r="R85" s="34">
        <f>IF(AND(ISNUMBER(S85),ISNUMBER(Q85)),S85-Q85,"")</f>
        <v>0</v>
      </c>
      <c r="S85" s="33"/>
      <c r="T85" s="34">
        <f>IF(AND(ISNUMBER(U85),ISNUMBER(S85)),U85-S85,"")</f>
        <v>0</v>
      </c>
      <c r="U85" s="33"/>
      <c r="V85" s="34">
        <f>IF(AND(ISNUMBER(W85),ISNUMBER(U85)),W85-U85,"")</f>
        <v>0</v>
      </c>
      <c r="W85" s="33"/>
      <c r="X85" s="34">
        <f>IF(AND(ISNUMBER(Y85),ISNUMBER(W85)),Y85-W85,"")</f>
        <v>0</v>
      </c>
      <c r="Y85" s="33"/>
      <c r="Z85" s="34">
        <f>IF(AND(ISNUMBER(AA85),ISNUMBER(Y85)),AA85-Y85,"")</f>
        <v>0</v>
      </c>
      <c r="AA85" s="33"/>
      <c r="AB85" s="34">
        <f>IF(AND(ISNUMBER(AC85),ISNUMBER(AA85)),AC85-AA85,"")</f>
        <v>0</v>
      </c>
      <c r="AC85" s="33"/>
      <c r="AD85" s="34">
        <f>IF(AND(ISNUMBER(AE85),ISNUMBER(AC85)),AE85-AC85,"")</f>
        <v>0</v>
      </c>
      <c r="AE85" s="33"/>
      <c r="AF85" s="34">
        <f>IF(AND(ISNUMBER(AG85),ISNUMBER(AE85)),AG85-AE85,"")</f>
        <v>0</v>
      </c>
      <c r="AG85" s="33"/>
      <c r="AH85" s="34">
        <f>IF(AND(ISNUMBER(AI85),ISNUMBER(AG85)),AI85-AG85,"")</f>
        <v>0</v>
      </c>
      <c r="AI85" s="33"/>
      <c r="AJ85" s="34">
        <f>IF(AND(ISNUMBER(AK85),ISNUMBER(AI85)),AK85-AI85,"")</f>
        <v>0</v>
      </c>
      <c r="AK85" s="33"/>
      <c r="AL85" s="34">
        <f>IF(AND(ISNUMBER(AM85),ISNUMBER(AK85)),AM85-AK85,"")</f>
        <v>0</v>
      </c>
      <c r="AM85" s="33"/>
      <c r="AN85" s="34">
        <f>IF(AND(ISNUMBER(AO85),ISNUMBER(AM85)),AO85-AM85,"")</f>
        <v>0</v>
      </c>
      <c r="AO85" s="33"/>
      <c r="AP85" s="34">
        <f>IF(AND(ISNUMBER(AQ85),ISNUMBER(AO85)),AQ85-AO85,"")</f>
        <v>0</v>
      </c>
      <c r="AQ85" s="33"/>
      <c r="AR85" s="34">
        <f>IF(AND(ISNUMBER(AS85),ISNUMBER(AQ85)),AS85-AQ85,"")</f>
        <v>0</v>
      </c>
      <c r="AS85" s="33"/>
      <c r="AT85" s="34">
        <f>IF(AND(ISNUMBER(AU85),ISNUMBER(AS85)),AU85-AS85,"")</f>
        <v>0</v>
      </c>
      <c r="AU85" s="33"/>
      <c r="AV85" s="34">
        <f>IF(AND(ISNUMBER(AW85),ISNUMBER(AU85)),AW85-AU85,"")</f>
        <v>0</v>
      </c>
      <c r="AW85" s="33"/>
      <c r="AX85" s="34">
        <f>IF(AND(ISNUMBER(AY85),ISNUMBER(AW85)),AY85-AW85,"")</f>
        <v>0</v>
      </c>
      <c r="AY85" s="33"/>
      <c r="AZ85" s="34">
        <f>IF(AND(ISNUMBER(BA85),ISNUMBER(AY85)),BA85-AY85,"")</f>
        <v>0</v>
      </c>
      <c r="BA85" s="33"/>
      <c r="BB85" s="34">
        <f>IF(AND(ISNUMBER(BC85),ISNUMBER(BA85)),BC85-BA85,"")</f>
        <v>0</v>
      </c>
      <c r="BC85" s="33"/>
      <c r="BD85" s="34">
        <f>IF(AND(ISNUMBER(BE85),ISNUMBER(BC85)),BE85-BC85,"")</f>
        <v>0</v>
      </c>
      <c r="BE85" s="33"/>
      <c r="BF85" s="34">
        <f>IF(AND(ISNUMBER(BG85),ISNUMBER(BE85)),BG85-BE85,"")</f>
        <v>0</v>
      </c>
      <c r="BG85" s="33"/>
      <c r="BH85" s="34">
        <f>IF(AND(ISNUMBER(BI85),ISNUMBER(BG85)),BI85-BG85,"")</f>
        <v>0</v>
      </c>
      <c r="BI85" s="33"/>
      <c r="BJ85" s="34">
        <f>IF(AND(ISNUMBER(BK85),ISNUMBER(BI85)),BK85-BI85,"")</f>
        <v>0</v>
      </c>
      <c r="BK85" s="33"/>
      <c r="BL85" s="34">
        <f>IF(AND(ISNUMBER(BM85),ISNUMBER(BK85)),BM85-BK85,"")</f>
        <v>0</v>
      </c>
      <c r="BM85" s="33"/>
      <c r="BN85" s="34">
        <f>IF(AND(ISNUMBER(BO85),ISNUMBER(BM85)),BO85-BM85,"")</f>
        <v>0</v>
      </c>
      <c r="BO85" s="33"/>
      <c r="BP85" s="34">
        <f>IF(AND(ISNUMBER(BQ85),ISNUMBER(BO85)),BQ85-BO85,"")</f>
        <v>0</v>
      </c>
      <c r="BQ85" s="33"/>
      <c r="BR85" s="34">
        <f>IF(AND(ISNUMBER(BS85),ISNUMBER(BQ85)),BS85-BQ85,"")</f>
        <v>0</v>
      </c>
      <c r="BS85" s="33"/>
      <c r="BT85" s="34">
        <f>IF(AND(ISNUMBER(BU85),ISNUMBER(BS85)),BU85-BS85,"")</f>
        <v>0</v>
      </c>
      <c r="BU85" s="33"/>
      <c r="BV85" s="34">
        <f>IF(AND(ISNUMBER(BW85),ISNUMBER(BU85)),BW85-BU85,"")</f>
        <v>0</v>
      </c>
      <c r="BW85" s="33"/>
      <c r="BX85" s="34">
        <f>IF(AND(ISNUMBER(BY85),ISNUMBER(BW85)),BY85-BW85,"")</f>
        <v>0</v>
      </c>
      <c r="BY85" s="33"/>
      <c r="BZ85" s="34">
        <f>IF(AND(ISNUMBER(CA85),ISNUMBER(BY85)),CA85-BY85,"")</f>
        <v>0</v>
      </c>
      <c r="CA85" s="33"/>
      <c r="CB85" s="34">
        <f>IF(AND(ISNUMBER(CC85),ISNUMBER(CA85)),CC85-CA85,"")</f>
        <v>0</v>
      </c>
      <c r="CC85" s="33"/>
      <c r="CD85" s="34">
        <f>IF(AND(ISNUMBER(CE85),ISNUMBER(CC85)),CE85-CC85,"")</f>
        <v>0</v>
      </c>
      <c r="CE85" s="33"/>
      <c r="CF85" s="34">
        <f>IF(AND(ISNUMBER(CG85),ISNUMBER(CE85)),CG85-CE85,"")</f>
        <v>0</v>
      </c>
      <c r="CG85" s="33"/>
      <c r="CH85" s="34">
        <f>IF(AND(ISNUMBER(CI85),ISNUMBER(CG85)),CI85-CG85,"")</f>
        <v>0</v>
      </c>
      <c r="CI85" s="33"/>
      <c r="CJ85" s="34">
        <f>IF(AND(ISNUMBER(CK85),ISNUMBER(CI85)),CK85-CI85,"")</f>
        <v>0</v>
      </c>
      <c r="CK85" s="33"/>
      <c r="CL85" s="34">
        <f>IF(AND(ISNUMBER(CM85),ISNUMBER(CK85)),CM85-CK85,"")</f>
        <v>0</v>
      </c>
      <c r="CM85" s="33"/>
      <c r="CN85" s="34">
        <f>IF(AND(ISNUMBER(CO85),ISNUMBER(CM85)),CO85-CM85,"")</f>
        <v>0</v>
      </c>
      <c r="CO85" s="33"/>
      <c r="CP85" s="34">
        <f>IF(AND(ISNUMBER(CQ85),ISNUMBER(CO85)),CQ85-CO85,"")</f>
        <v>0</v>
      </c>
      <c r="CQ85" s="33"/>
      <c r="CR85" s="34">
        <f>IF(AND(ISNUMBER(CS85),ISNUMBER(CQ85)),CS85-CQ85,"")</f>
        <v>0</v>
      </c>
      <c r="CS85" s="33"/>
      <c r="CT85" s="34">
        <f>IF(AND(ISNUMBER(CU85),ISNUMBER(CS85)),CU85-CS85,"")</f>
        <v>0</v>
      </c>
      <c r="CU85" s="33"/>
      <c r="CV85" s="34">
        <f>IF(AND(ISNUMBER(CW85),ISNUMBER(CU85)),CW85-CU85,"")</f>
        <v>0</v>
      </c>
      <c r="CW85" s="33"/>
      <c r="CX85" s="34">
        <f>IF(AND(ISNUMBER(CY85),ISNUMBER(CW85)),CY85-CW85,"")</f>
        <v>0</v>
      </c>
      <c r="CY85" s="33"/>
      <c r="CZ85" s="34">
        <f>IF(AND(ISNUMBER(DA85),ISNUMBER(CY85)),DA85-CY85,"")</f>
        <v>0</v>
      </c>
      <c r="DA85" s="33"/>
      <c r="DB85" s="34">
        <f>IF(AND(ISNUMBER(DC85),ISNUMBER(DA85)),DC85-DA85,"")</f>
        <v>0</v>
      </c>
      <c r="DC85" s="33"/>
      <c r="DD85" s="34">
        <f>IF(AND(ISNUMBER(DE85),ISNUMBER(DC85)),DE85-DC85,"")</f>
        <v>0</v>
      </c>
      <c r="DE85" s="33"/>
      <c r="DF85" s="34">
        <f>IF(AND(ISNUMBER(DG85),ISNUMBER(DE85)),DG85-DE85,"")</f>
        <v>0</v>
      </c>
      <c r="DG85" s="33"/>
      <c r="DH85" s="34">
        <f>IF(AND(ISNUMBER(DI85),ISNUMBER(DG85)),DI85-DG85,"")</f>
        <v>0</v>
      </c>
      <c r="DI85" s="33"/>
      <c r="DJ85" s="34">
        <f>IF(AND(ISNUMBER(DK85),ISNUMBER(DI85)),DK85-DI85,"")</f>
        <v>0</v>
      </c>
      <c r="DK85" s="33"/>
      <c r="DL85" s="34">
        <f>IF(AND(ISNUMBER(DM85),ISNUMBER(DK85)),DM85-DK85,"")</f>
        <v>0</v>
      </c>
      <c r="DM85" s="33"/>
      <c r="DN85" s="34">
        <f>IF(AND(ISNUMBER(DO85),ISNUMBER(DM85)),DO85-DM85,"")</f>
        <v>0</v>
      </c>
      <c r="DO85" s="33"/>
      <c r="DP85" s="34">
        <f>IF(AND(ISNUMBER(DQ85),ISNUMBER(DO85)),DQ85-DO85,"")</f>
        <v>0</v>
      </c>
      <c r="DQ85" s="33"/>
      <c r="DR85" s="34">
        <f>IF(AND(ISNUMBER(DS85),ISNUMBER(DQ85)),DS85-DQ85,"")</f>
        <v>0</v>
      </c>
      <c r="DS85" s="33"/>
      <c r="DT85" s="34">
        <f>IF(AND(ISNUMBER(DU85),ISNUMBER(DS85)),DU85-DS85,"")</f>
        <v>0</v>
      </c>
      <c r="DU85" s="33"/>
      <c r="DV85" s="34">
        <f>IF(AND(ISNUMBER(DW85),ISNUMBER(DU85)),DW85-DU85,"")</f>
        <v>0</v>
      </c>
      <c r="DW85" s="33"/>
      <c r="DX85" s="34">
        <f>IF(AND(ISNUMBER(DY85),ISNUMBER(DW85)),DY85-DW85,"")</f>
        <v>0</v>
      </c>
      <c r="DY85" s="33"/>
      <c r="DZ85" s="34">
        <f>IF(AND(ISNUMBER(EA85),ISNUMBER(DY85)),EA85-DY85,"")</f>
        <v>0</v>
      </c>
      <c r="EA85" s="33"/>
      <c r="EB85" s="34">
        <f>IF(AND(ISNUMBER(EC85),ISNUMBER(EA85)),EC85-EA85,"")</f>
        <v>0</v>
      </c>
      <c r="EC85" s="33"/>
      <c r="ED85" s="34">
        <f>IF(AND(ISNUMBER(EE85),ISNUMBER(EC85)),EE85-EC85,"")</f>
        <v>0</v>
      </c>
      <c r="EE85" s="33"/>
      <c r="EF85" s="34">
        <f>IF(AND(ISNUMBER(EG85),ISNUMBER(EE85)),EG85-EE85,"")</f>
        <v>0</v>
      </c>
      <c r="EG85" s="33"/>
      <c r="EH85" s="34">
        <f>IF(AND(ISNUMBER(EI85),ISNUMBER(EG85)),EI85-EG85,"")</f>
        <v>0</v>
      </c>
      <c r="EI85" s="33"/>
      <c r="EJ85" s="34">
        <f>IF(AND(ISNUMBER(EK85),ISNUMBER(EI85)),EK85-EI85,"")</f>
        <v>0</v>
      </c>
      <c r="EK85" s="33"/>
      <c r="EL85" s="34">
        <f>IF(AND(ISNUMBER(EM85),ISNUMBER(EK85)),EM85-EK85,"")</f>
        <v>0</v>
      </c>
      <c r="EM85" s="33"/>
      <c r="EN85" s="34">
        <f>IF(AND(ISNUMBER(EO85),ISNUMBER(EM85)),EO85-EM85,"")</f>
        <v>0</v>
      </c>
      <c r="EO85" s="33"/>
      <c r="EP85" s="34">
        <f>IF(AND(ISNUMBER(EQ85),ISNUMBER(EO85)),EQ85-EO85,"")</f>
        <v>0</v>
      </c>
      <c r="EQ85" s="33"/>
      <c r="ER85" s="34">
        <f>IF(AND(ISNUMBER(ES85),ISNUMBER(EQ85)),ES85-EQ85,"")</f>
        <v>0</v>
      </c>
      <c r="ES85" s="33"/>
      <c r="ET85" s="34">
        <f>IF(AND(ISNUMBER(EU85),ISNUMBER(ES85)),EU85-ES85,"")</f>
        <v>0</v>
      </c>
      <c r="EU85" s="33"/>
      <c r="EV85" s="34">
        <f>IF(AND(ISNUMBER(EW85),ISNUMBER(EU85)),EW85-EU85,"")</f>
        <v>0</v>
      </c>
      <c r="EW85" s="33"/>
      <c r="EX85" s="34">
        <f>IF(AND(ISNUMBER(EY85),ISNUMBER(EW85)),EY85-EW85,"")</f>
        <v>0</v>
      </c>
      <c r="EY85" s="33"/>
      <c r="EZ85" s="34">
        <f>IF(AND(ISNUMBER(FA85),ISNUMBER(EY85)),FA85-EY85,"")</f>
        <v>0</v>
      </c>
      <c r="FA85" s="33"/>
      <c r="FB85" s="34">
        <f>IF(AND(ISNUMBER(FC85),ISNUMBER(FA85)),FC85-FA85,"")</f>
        <v>0</v>
      </c>
      <c r="FC85" s="33"/>
      <c r="FD85" s="34">
        <f>IF(AND(ISNUMBER(FE85),ISNUMBER(FC85)),FE85-FC85,"")</f>
        <v>0</v>
      </c>
      <c r="FE85" s="33"/>
      <c r="FF85" s="34">
        <f>IF(AND(ISNUMBER(FG85),ISNUMBER(FE85)),FG85-FE85,"")</f>
        <v>0</v>
      </c>
      <c r="FG85" s="33"/>
      <c r="FH85" s="34">
        <f>IF(AND(ISNUMBER(FI85),ISNUMBER(FG85)),FI85-FG85,"")</f>
        <v>0</v>
      </c>
      <c r="FI85" s="33"/>
      <c r="FJ85" s="34">
        <f>IF(AND(ISNUMBER(FK85),ISNUMBER(FI85)),FK85-FI85,"")</f>
        <v>0</v>
      </c>
      <c r="FK85" s="33"/>
      <c r="FL85" s="34">
        <f>IF(AND(ISNUMBER(FM85),ISNUMBER(FK85)),FM85-FK85,"")</f>
        <v>0</v>
      </c>
      <c r="FM85" s="33"/>
      <c r="FN85" s="34">
        <f>IF(AND(ISNUMBER(FO85),ISNUMBER(FM85)),FO85-FM85,"")</f>
        <v>0</v>
      </c>
      <c r="FO85" s="33"/>
      <c r="FP85" s="34">
        <f>IF(AND(ISNUMBER(FQ85),ISNUMBER(FO85)),FQ85-FO85,"")</f>
        <v>0</v>
      </c>
      <c r="FQ85" s="33"/>
      <c r="FR85" s="34">
        <f>IF(AND(ISNUMBER(FS85),ISNUMBER(FQ85)),FS85-FQ85,"")</f>
        <v>0</v>
      </c>
      <c r="FS85" s="33"/>
      <c r="FT85" s="34">
        <f>IF(AND(ISNUMBER(FU85),ISNUMBER(FS85)),FU85-FS85,"")</f>
        <v>0</v>
      </c>
      <c r="FU85" s="33"/>
      <c r="FV85" s="34">
        <f>IF(AND(ISNUMBER(FW85),ISNUMBER(FU85)),FW85-FU85,"")</f>
        <v>0</v>
      </c>
      <c r="FW85" s="33"/>
      <c r="FX85" s="34">
        <f>IF(AND(ISNUMBER(FY85),ISNUMBER(FW85)),FY85-FW85,"")</f>
        <v>0</v>
      </c>
      <c r="FY85" s="33"/>
      <c r="FZ85" s="34">
        <f>IF(AND(ISNUMBER(GA85),ISNUMBER(FY85)),GA85-FY85,"")</f>
        <v>0</v>
      </c>
      <c r="GA85" s="33"/>
      <c r="GB85" s="34">
        <f>IF(AND(ISNUMBER(GC85),ISNUMBER(GA85)),GC85-GA85,"")</f>
        <v>0</v>
      </c>
      <c r="GC85" s="33"/>
      <c r="GD85" s="34">
        <f>IF(AND(ISNUMBER(GE85),ISNUMBER(GC85)),GE85-GC85,"")</f>
        <v>0</v>
      </c>
      <c r="GE85" s="33"/>
      <c r="GF85" s="34">
        <f>IF(AND(ISNUMBER(GG85),ISNUMBER(GE85)),GG85-GE85,"")</f>
        <v>0</v>
      </c>
      <c r="GG85" s="33"/>
      <c r="GH85" s="34">
        <f>IF(AND(ISNUMBER(GI85),ISNUMBER(GG85)),GI85-GG85,"")</f>
        <v>0</v>
      </c>
      <c r="GI85" s="33"/>
      <c r="GJ85" s="34">
        <f>IF(AND(ISNUMBER(GK85),ISNUMBER(GI85)),GK85-GI85,"")</f>
        <v>0</v>
      </c>
      <c r="GK85" s="33"/>
      <c r="GL85" s="34">
        <f>IF(AND(ISNUMBER(GM85),ISNUMBER(GK85)),GM85-GK85,"")</f>
        <v>0</v>
      </c>
      <c r="GM85" s="33"/>
      <c r="GN85" s="34">
        <f>IF(AND(ISNUMBER(GO85),ISNUMBER(GM85)),GO85-GM85,"")</f>
        <v>0</v>
      </c>
      <c r="GO85" s="33"/>
      <c r="GP85" s="34">
        <f>IF(AND(ISNUMBER(GQ85),ISNUMBER(GO85)),GQ85-GO85,"")</f>
        <v>0</v>
      </c>
      <c r="GQ85" s="33"/>
      <c r="GR85" s="34">
        <f>IF(AND(ISNUMBER(GS85),ISNUMBER(GQ85)),GS85-GQ85,"")</f>
        <v>0</v>
      </c>
      <c r="GS85" s="33"/>
      <c r="GT85" s="34">
        <f>IF(AND(ISNUMBER(GU85),ISNUMBER(GS85)),GU85-GS85,"")</f>
        <v>0</v>
      </c>
      <c r="GU85" s="33"/>
      <c r="GV85" s="34">
        <f>IF(AND(ISNUMBER(GW85),ISNUMBER(GU85)),GW85-GU85,"")</f>
        <v>0</v>
      </c>
      <c r="GW85" s="33"/>
      <c r="GX85" s="34">
        <f>IF(AND(ISNUMBER(GY85),ISNUMBER(GW85)),GY85-GW85,"")</f>
        <v>0</v>
      </c>
      <c r="GY85" s="33"/>
      <c r="GZ85" s="34">
        <f>IF(AND(ISNUMBER(HA85),ISNUMBER(GY85)),HA85-GY85,"")</f>
        <v>0</v>
      </c>
      <c r="HA85" s="33"/>
      <c r="HB85" s="34">
        <f>IF(AND(ISNUMBER(HC85),ISNUMBER(HA85)),HC85-HA85,"")</f>
        <v>0</v>
      </c>
      <c r="HC85" s="33"/>
      <c r="HD85" s="34">
        <f>IF(AND(ISNUMBER(HE85),ISNUMBER(HC85)),HE85-HC85,"")</f>
        <v>0</v>
      </c>
      <c r="HE85" s="33"/>
      <c r="HF85" s="34">
        <f>IF(AND(ISNUMBER(HG85),ISNUMBER(HE85)),HG85-HE85,"")</f>
        <v>0</v>
      </c>
      <c r="HG85" s="33"/>
      <c r="HH85" s="34">
        <f>IF(AND(ISNUMBER(HI85),ISNUMBER(HG85)),HI85-HG85,"")</f>
        <v>0</v>
      </c>
      <c r="HI85" s="33"/>
      <c r="HJ85" s="34">
        <f>IF(AND(ISNUMBER(HK85),ISNUMBER(HI85)),HK85-HI85,"")</f>
        <v>0</v>
      </c>
      <c r="HK85" s="33"/>
      <c r="HL85" s="34">
        <f>IF(AND(ISNUMBER(HM85),ISNUMBER(HK85)),HM85-HK85,"")</f>
        <v>0</v>
      </c>
      <c r="HM85" s="33"/>
      <c r="HN85" s="34">
        <f>IF(AND(ISNUMBER(HO85),ISNUMBER(HM85)),HO85-HM85,"")</f>
        <v>0</v>
      </c>
      <c r="HO85" s="33"/>
      <c r="HP85" s="34">
        <f>IF(AND(ISNUMBER(HQ85),ISNUMBER(HO85)),HQ85-HO85,"")</f>
        <v>0</v>
      </c>
      <c r="HQ85" s="33"/>
      <c r="HR85" s="34">
        <f>IF(AND(ISNUMBER(HS85),ISNUMBER(HQ85)),HS85-HQ85,"")</f>
        <v>0</v>
      </c>
      <c r="HS85" s="33"/>
      <c r="HT85" s="34">
        <f>IF(AND(ISNUMBER(HU85),ISNUMBER(HS85)),HU85-HS85,"")</f>
        <v>0</v>
      </c>
      <c r="HU85" s="33"/>
      <c r="HV85" s="34">
        <f>IF(AND(ISNUMBER(HW85),ISNUMBER(HU85)),HW85-HU85,"")</f>
        <v>0</v>
      </c>
      <c r="HW85" s="33"/>
      <c r="HX85" s="34">
        <f>IF(AND(ISNUMBER(HY85),ISNUMBER(HW85)),HY85-HW85,"")</f>
        <v>0</v>
      </c>
      <c r="HY85" s="33"/>
      <c r="HZ85" s="34">
        <f>IF(AND(ISNUMBER(IA85),ISNUMBER(HY85)),IA85-HY85,"")</f>
        <v>0</v>
      </c>
      <c r="IA85" s="33"/>
      <c r="IB85" s="34">
        <f>IF(AND(ISNUMBER(IC85),ISNUMBER(IA85)),IC85-IA85,"")</f>
        <v>0</v>
      </c>
      <c r="IC85" s="33"/>
      <c r="ID85" s="34">
        <f>IF(AND(ISNUMBER(IE85),ISNUMBER(IC85)),IE85-IC85,"")</f>
        <v>0</v>
      </c>
      <c r="IE85" s="33"/>
      <c r="IF85" s="34">
        <f>IF(AND(ISNUMBER(IG85),ISNUMBER(IE85)),IG85-IE85,"")</f>
        <v>0</v>
      </c>
      <c r="IG85" s="33"/>
      <c r="IH85" s="34">
        <f>IF(AND(ISNUMBER(II85),ISNUMBER(IG85)),II85-IG85,"")</f>
        <v>0</v>
      </c>
      <c r="II85" s="33"/>
      <c r="IJ85" s="34">
        <f>IF(AND(ISNUMBER(IK85),ISNUMBER(II85)),IK85-II85,"")</f>
        <v>0</v>
      </c>
      <c r="IK85" s="33"/>
      <c r="IL85" s="34">
        <f>IF(AND(ISNUMBER(IM85),ISNUMBER(IK85)),IM85-IK85,"")</f>
        <v>0</v>
      </c>
      <c r="IM85" s="33"/>
      <c r="IN85" s="34">
        <f>IF(AND(ISNUMBER(IO85),ISNUMBER(IM85)),IO85-IM85,"")</f>
        <v>0</v>
      </c>
      <c r="IO85" s="33"/>
      <c r="IP85" s="34">
        <f>IF(AND(ISNUMBER(IQ85),ISNUMBER(IO85)),IQ85-IO85,"")</f>
        <v>0</v>
      </c>
      <c r="IQ85" s="33"/>
      <c r="IR85" s="34">
        <f>IF(AND(ISNUMBER(IS85),ISNUMBER(IQ85)),IS85-IQ85,"")</f>
        <v>0</v>
      </c>
      <c r="IS85" s="33"/>
      <c r="IT85" s="34">
        <f>IF(AND(ISNUMBER(IU85),ISNUMBER(IS85)),IU85-IS85,"")</f>
        <v>0</v>
      </c>
      <c r="IU85" s="33"/>
      <c r="IV85" s="34">
        <f>IF(AND(ISNUMBER(IW85),ISNUMBER(IU85)),IW85-IU85,"")</f>
        <v>0</v>
      </c>
      <c r="IW85" s="33"/>
      <c r="IX85" s="34">
        <f>IF(AND(ISNUMBER(IY85),ISNUMBER(IW85)),IY85-IW85,"")</f>
        <v>0</v>
      </c>
      <c r="IY85" s="33"/>
      <c r="IZ85" s="34">
        <f>IF(AND(ISNUMBER(JA85),ISNUMBER(IY85)),JA85-IY85,"")</f>
        <v>0</v>
      </c>
      <c r="JA85" s="33"/>
      <c r="JB85" s="34">
        <f>IF(AND(ISNUMBER(JC85),ISNUMBER(JA85)),JC85-JA85,"")</f>
        <v>0</v>
      </c>
      <c r="JC85" s="33"/>
      <c r="JD85" s="34">
        <f>IF(AND(ISNUMBER(JE85),ISNUMBER(JC85)),JE85-JC85,"")</f>
        <v>0</v>
      </c>
      <c r="JE85" s="33"/>
      <c r="JF85" s="34">
        <f>IF(AND(ISNUMBER(JG85),ISNUMBER(JE85)),JG85-JE85,"")</f>
        <v>0</v>
      </c>
      <c r="JG85" s="33"/>
      <c r="JH85" s="34">
        <f>IF(AND(ISNUMBER(JI85),ISNUMBER(JG85)),JI85-JG85,"")</f>
        <v>0</v>
      </c>
      <c r="JI85" s="33"/>
      <c r="JJ85" s="34">
        <f>IF(AND(ISNUMBER(JK85),ISNUMBER(JI85)),JK85-JI85,"")</f>
        <v>0</v>
      </c>
      <c r="JK85" s="33"/>
      <c r="JL85" s="34">
        <f>IF(AND(ISNUMBER(JM85),ISNUMBER(JK85)),JM85-JK85,"")</f>
        <v>0</v>
      </c>
      <c r="JM85" s="33"/>
      <c r="JN85" s="34">
        <f>IF(AND(ISNUMBER(JO85),ISNUMBER(JM85)),JO85-JM85,"")</f>
        <v>0</v>
      </c>
      <c r="JO85" s="33"/>
      <c r="JP85" s="34">
        <f>IF(AND(ISNUMBER(JQ85),ISNUMBER(JO85)),JQ85-JO85,"")</f>
        <v>0</v>
      </c>
      <c r="JQ85" s="33"/>
      <c r="JR85" s="34">
        <f>IF(AND(ISNUMBER(JS85),ISNUMBER(JQ85)),JS85-JQ85,"")</f>
        <v>0</v>
      </c>
      <c r="JS85" s="33">
        <v>1126</v>
      </c>
      <c r="JT85" s="34">
        <f>IF(AND(ISNUMBER(JU85),ISNUMBER(JS85)),JU85-JS85,"")</f>
        <v>0</v>
      </c>
      <c r="JU85" s="33">
        <v>1489</v>
      </c>
      <c r="JV85" s="34">
        <f>IF(AND(ISNUMBER(JW85),ISNUMBER(JU85)),JW85-JU85,"")</f>
        <v>0</v>
      </c>
      <c r="JW85" s="33">
        <v>2379</v>
      </c>
      <c r="JX85" s="34">
        <f>IF(AND(ISNUMBER(JY85),ISNUMBER(JW85)),JY85-JW85,"")</f>
        <v>0</v>
      </c>
      <c r="JY85" s="33"/>
      <c r="JZ85" s="34">
        <f>IF(AND(ISNUMBER(KA85),ISNUMBER(JY85)),KA85-JY85,"")</f>
        <v>0</v>
      </c>
      <c r="KA85" s="33"/>
      <c r="KB85" s="34">
        <f>IF(AND(ISNUMBER(KC85),ISNUMBER(KA85)),KC85-KA85,"")</f>
        <v>0</v>
      </c>
      <c r="KC85" s="33"/>
      <c r="KD85" s="34">
        <f>IF(AND(ISNUMBER(KE85),ISNUMBER(KC85)),KE85-KC85,"")</f>
        <v>0</v>
      </c>
      <c r="KE85" s="33"/>
      <c r="KF85" s="34">
        <f>IF(AND(ISNUMBER(KG85),ISNUMBER(KE85)),KG85-KE85,"")</f>
        <v>0</v>
      </c>
      <c r="KG85" s="33"/>
      <c r="KH85" s="34">
        <f>IF(AND(ISNUMBER(KI85),ISNUMBER(KG85)),KI85-KG85,"")</f>
        <v>0</v>
      </c>
      <c r="KI85" s="33"/>
      <c r="KJ85" s="34">
        <f>IF(AND(ISNUMBER(KK85),ISNUMBER(KI85)),KK85-KI85,"")</f>
        <v>0</v>
      </c>
      <c r="KK85" s="33"/>
      <c r="KL85" s="34">
        <f>IF(AND(ISNUMBER(KM85),ISNUMBER(KK85)),KM85-KK85,"")</f>
        <v>0</v>
      </c>
      <c r="KM85" s="33"/>
      <c r="KN85" s="34">
        <f>IF(AND(ISNUMBER(KO85),ISNUMBER(KM85)),KO85-KM85,"")</f>
        <v>0</v>
      </c>
      <c r="KO85" s="33"/>
      <c r="KP85" s="34">
        <f>IF(AND(ISNUMBER(KQ85),ISNUMBER(KO85)),KQ85-KO85,"")</f>
        <v>0</v>
      </c>
      <c r="KQ85" s="33"/>
      <c r="KR85" s="34">
        <f>IF(AND(ISNUMBER(KS85),ISNUMBER(KQ85)),KS85-KQ85,"")</f>
        <v>0</v>
      </c>
      <c r="KS85" s="33"/>
      <c r="KT85" s="34">
        <f>IF(AND(ISNUMBER(KU85),ISNUMBER(KS85)),KU85-KS85,"")</f>
        <v>0</v>
      </c>
      <c r="KU85" s="33"/>
      <c r="KV85" s="34">
        <f>IF(AND(ISNUMBER(KW85),ISNUMBER(KU85)),KW85-KU85,"")</f>
        <v>0</v>
      </c>
      <c r="KW85" s="33"/>
      <c r="KX85" s="34">
        <f>IF(AND(ISNUMBER(KY85),ISNUMBER(KW85)),KY85-KW85,"")</f>
        <v>0</v>
      </c>
      <c r="KY85" s="33"/>
      <c r="KZ85" s="34">
        <f>IF(AND(ISNUMBER(LA85),ISNUMBER(KY85)),LA85-KY85,"")</f>
        <v>0</v>
      </c>
      <c r="LA85" s="33"/>
      <c r="LB85" s="34">
        <f>IF(AND(ISNUMBER(LC85),ISNUMBER(LA85)),LC85-LA85,"")</f>
        <v>0</v>
      </c>
      <c r="LC85" s="33"/>
      <c r="LD85" s="34">
        <f>IF(AND(ISNUMBER(LE85),ISNUMBER(LC85)),LE85-LC85,"")</f>
        <v>0</v>
      </c>
      <c r="LE85" s="33"/>
      <c r="LF85" s="34">
        <f>IF(AND(ISNUMBER(LG85),ISNUMBER(LE85)),LG85-LE85,"")</f>
        <v>0</v>
      </c>
      <c r="LG85" s="33"/>
    </row>
    <row r="86" spans="1:322">
      <c r="A86" s="36" t="s">
        <v>269</v>
      </c>
      <c r="B86" s="23"/>
      <c r="C86" s="31" t="s">
        <v>783</v>
      </c>
      <c r="D86" s="31" t="s">
        <v>818</v>
      </c>
      <c r="E86" s="32" t="s">
        <v>1036</v>
      </c>
      <c r="H86" s="38" t="s">
        <v>1082</v>
      </c>
      <c r="I86" s="33"/>
      <c r="J86" s="34">
        <f>IF(AND(ISNUMBER(K86),ISNUMBER(I86)),K86-I86,"")</f>
        <v>0</v>
      </c>
      <c r="K86" s="33"/>
      <c r="L86" s="34">
        <f>IF(AND(ISNUMBER(M86),ISNUMBER(K86)),M86-K86,"")</f>
        <v>0</v>
      </c>
      <c r="M86" s="33"/>
      <c r="N86" s="34">
        <f>IF(AND(ISNUMBER(O86),ISNUMBER(M86)),O86-M86,"")</f>
        <v>0</v>
      </c>
      <c r="O86" s="33"/>
      <c r="P86" s="34">
        <f>IF(AND(ISNUMBER(Q86),ISNUMBER(O86)),Q86-O86,"")</f>
        <v>0</v>
      </c>
      <c r="Q86" s="33"/>
      <c r="R86" s="34">
        <f>IF(AND(ISNUMBER(S86),ISNUMBER(Q86)),S86-Q86,"")</f>
        <v>0</v>
      </c>
      <c r="S86" s="33"/>
      <c r="T86" s="34">
        <f>IF(AND(ISNUMBER(U86),ISNUMBER(S86)),U86-S86,"")</f>
        <v>0</v>
      </c>
      <c r="U86" s="33"/>
      <c r="V86" s="34">
        <f>IF(AND(ISNUMBER(W86),ISNUMBER(U86)),W86-U86,"")</f>
        <v>0</v>
      </c>
      <c r="W86" s="33"/>
      <c r="X86" s="34">
        <f>IF(AND(ISNUMBER(Y86),ISNUMBER(W86)),Y86-W86,"")</f>
        <v>0</v>
      </c>
      <c r="Y86" s="33"/>
      <c r="Z86" s="34">
        <f>IF(AND(ISNUMBER(AA86),ISNUMBER(Y86)),AA86-Y86,"")</f>
        <v>0</v>
      </c>
      <c r="AA86" s="33"/>
      <c r="AB86" s="34">
        <f>IF(AND(ISNUMBER(AC86),ISNUMBER(AA86)),AC86-AA86,"")</f>
        <v>0</v>
      </c>
      <c r="AC86" s="33"/>
      <c r="AD86" s="34">
        <f>IF(AND(ISNUMBER(AE86),ISNUMBER(AC86)),AE86-AC86,"")</f>
        <v>0</v>
      </c>
      <c r="AE86" s="33"/>
      <c r="AF86" s="34">
        <f>IF(AND(ISNUMBER(AG86),ISNUMBER(AE86)),AG86-AE86,"")</f>
        <v>0</v>
      </c>
      <c r="AG86" s="33"/>
      <c r="AH86" s="34">
        <f>IF(AND(ISNUMBER(AI86),ISNUMBER(AG86)),AI86-AG86,"")</f>
        <v>0</v>
      </c>
      <c r="AI86" s="33"/>
      <c r="AJ86" s="34">
        <f>IF(AND(ISNUMBER(AK86),ISNUMBER(AI86)),AK86-AI86,"")</f>
        <v>0</v>
      </c>
      <c r="AK86" s="33"/>
      <c r="AL86" s="34">
        <f>IF(AND(ISNUMBER(AM86),ISNUMBER(AK86)),AM86-AK86,"")</f>
        <v>0</v>
      </c>
      <c r="AM86" s="33"/>
      <c r="AN86" s="34">
        <f>IF(AND(ISNUMBER(AO86),ISNUMBER(AM86)),AO86-AM86,"")</f>
        <v>0</v>
      </c>
      <c r="AO86" s="33"/>
      <c r="AP86" s="34">
        <f>IF(AND(ISNUMBER(AQ86),ISNUMBER(AO86)),AQ86-AO86,"")</f>
        <v>0</v>
      </c>
      <c r="AQ86" s="33"/>
      <c r="AR86" s="34">
        <f>IF(AND(ISNUMBER(AS86),ISNUMBER(AQ86)),AS86-AQ86,"")</f>
        <v>0</v>
      </c>
      <c r="AS86" s="33"/>
      <c r="AT86" s="34">
        <f>IF(AND(ISNUMBER(AU86),ISNUMBER(AS86)),AU86-AS86,"")</f>
        <v>0</v>
      </c>
      <c r="AU86" s="33"/>
      <c r="AV86" s="34">
        <f>IF(AND(ISNUMBER(AW86),ISNUMBER(AU86)),AW86-AU86,"")</f>
        <v>0</v>
      </c>
      <c r="AW86" s="33"/>
      <c r="AX86" s="34">
        <f>IF(AND(ISNUMBER(AY86),ISNUMBER(AW86)),AY86-AW86,"")</f>
        <v>0</v>
      </c>
      <c r="AY86" s="33"/>
      <c r="AZ86" s="34">
        <f>IF(AND(ISNUMBER(BA86),ISNUMBER(AY86)),BA86-AY86,"")</f>
        <v>0</v>
      </c>
      <c r="BA86" s="33"/>
      <c r="BB86" s="34">
        <f>IF(AND(ISNUMBER(BC86),ISNUMBER(BA86)),BC86-BA86,"")</f>
        <v>0</v>
      </c>
      <c r="BC86" s="33"/>
      <c r="BD86" s="34">
        <f>IF(AND(ISNUMBER(BE86),ISNUMBER(BC86)),BE86-BC86,"")</f>
        <v>0</v>
      </c>
      <c r="BE86" s="33"/>
      <c r="BF86" s="34">
        <f>IF(AND(ISNUMBER(BG86),ISNUMBER(BE86)),BG86-BE86,"")</f>
        <v>0</v>
      </c>
      <c r="BG86" s="33"/>
      <c r="BH86" s="34">
        <f>IF(AND(ISNUMBER(BI86),ISNUMBER(BG86)),BI86-BG86,"")</f>
        <v>0</v>
      </c>
      <c r="BI86" s="33"/>
      <c r="BJ86" s="34">
        <f>IF(AND(ISNUMBER(BK86),ISNUMBER(BI86)),BK86-BI86,"")</f>
        <v>0</v>
      </c>
      <c r="BK86" s="33"/>
      <c r="BL86" s="34">
        <f>IF(AND(ISNUMBER(BM86),ISNUMBER(BK86)),BM86-BK86,"")</f>
        <v>0</v>
      </c>
      <c r="BM86" s="33"/>
      <c r="BN86" s="34">
        <f>IF(AND(ISNUMBER(BO86),ISNUMBER(BM86)),BO86-BM86,"")</f>
        <v>0</v>
      </c>
      <c r="BO86" s="33"/>
      <c r="BP86" s="34">
        <f>IF(AND(ISNUMBER(BQ86),ISNUMBER(BO86)),BQ86-BO86,"")</f>
        <v>0</v>
      </c>
      <c r="BQ86" s="33"/>
      <c r="BR86" s="34">
        <f>IF(AND(ISNUMBER(BS86),ISNUMBER(BQ86)),BS86-BQ86,"")</f>
        <v>0</v>
      </c>
      <c r="BS86" s="33"/>
      <c r="BT86" s="34">
        <f>IF(AND(ISNUMBER(BU86),ISNUMBER(BS86)),BU86-BS86,"")</f>
        <v>0</v>
      </c>
      <c r="BU86" s="33"/>
      <c r="BV86" s="34">
        <f>IF(AND(ISNUMBER(BW86),ISNUMBER(BU86)),BW86-BU86,"")</f>
        <v>0</v>
      </c>
      <c r="BW86" s="33"/>
      <c r="BX86" s="34">
        <f>IF(AND(ISNUMBER(BY86),ISNUMBER(BW86)),BY86-BW86,"")</f>
        <v>0</v>
      </c>
      <c r="BY86" s="33"/>
      <c r="BZ86" s="34">
        <f>IF(AND(ISNUMBER(CA86),ISNUMBER(BY86)),CA86-BY86,"")</f>
        <v>0</v>
      </c>
      <c r="CA86" s="33"/>
      <c r="CB86" s="34">
        <f>IF(AND(ISNUMBER(CC86),ISNUMBER(CA86)),CC86-CA86,"")</f>
        <v>0</v>
      </c>
      <c r="CC86" s="33"/>
      <c r="CD86" s="34">
        <f>IF(AND(ISNUMBER(CE86),ISNUMBER(CC86)),CE86-CC86,"")</f>
        <v>0</v>
      </c>
      <c r="CE86" s="33"/>
      <c r="CF86" s="34">
        <f>IF(AND(ISNUMBER(CG86),ISNUMBER(CE86)),CG86-CE86,"")</f>
        <v>0</v>
      </c>
      <c r="CG86" s="33"/>
      <c r="CH86" s="34">
        <f>IF(AND(ISNUMBER(CI86),ISNUMBER(CG86)),CI86-CG86,"")</f>
        <v>0</v>
      </c>
      <c r="CI86" s="33"/>
      <c r="CJ86" s="34">
        <f>IF(AND(ISNUMBER(CK86),ISNUMBER(CI86)),CK86-CI86,"")</f>
        <v>0</v>
      </c>
      <c r="CK86" s="33"/>
      <c r="CL86" s="34">
        <f>IF(AND(ISNUMBER(CM86),ISNUMBER(CK86)),CM86-CK86,"")</f>
        <v>0</v>
      </c>
      <c r="CM86" s="33"/>
      <c r="CN86" s="34">
        <f>IF(AND(ISNUMBER(CO86),ISNUMBER(CM86)),CO86-CM86,"")</f>
        <v>0</v>
      </c>
      <c r="CO86" s="33"/>
      <c r="CP86" s="34">
        <f>IF(AND(ISNUMBER(CQ86),ISNUMBER(CO86)),CQ86-CO86,"")</f>
        <v>0</v>
      </c>
      <c r="CQ86" s="33"/>
      <c r="CR86" s="34">
        <f>IF(AND(ISNUMBER(CS86),ISNUMBER(CQ86)),CS86-CQ86,"")</f>
        <v>0</v>
      </c>
      <c r="CS86" s="33"/>
      <c r="CT86" s="34">
        <f>IF(AND(ISNUMBER(CU86),ISNUMBER(CS86)),CU86-CS86,"")</f>
        <v>0</v>
      </c>
      <c r="CU86" s="33"/>
      <c r="CV86" s="34">
        <f>IF(AND(ISNUMBER(CW86),ISNUMBER(CU86)),CW86-CU86,"")</f>
        <v>0</v>
      </c>
      <c r="CW86" s="33"/>
      <c r="CX86" s="34">
        <f>IF(AND(ISNUMBER(CY86),ISNUMBER(CW86)),CY86-CW86,"")</f>
        <v>0</v>
      </c>
      <c r="CY86" s="33"/>
      <c r="CZ86" s="34">
        <f>IF(AND(ISNUMBER(DA86),ISNUMBER(CY86)),DA86-CY86,"")</f>
        <v>0</v>
      </c>
      <c r="DA86" s="33"/>
      <c r="DB86" s="34">
        <f>IF(AND(ISNUMBER(DC86),ISNUMBER(DA86)),DC86-DA86,"")</f>
        <v>0</v>
      </c>
      <c r="DC86" s="33"/>
      <c r="DD86" s="34">
        <f>IF(AND(ISNUMBER(DE86),ISNUMBER(DC86)),DE86-DC86,"")</f>
        <v>0</v>
      </c>
      <c r="DE86" s="33"/>
      <c r="DF86" s="34">
        <f>IF(AND(ISNUMBER(DG86),ISNUMBER(DE86)),DG86-DE86,"")</f>
        <v>0</v>
      </c>
      <c r="DG86" s="33"/>
      <c r="DH86" s="34">
        <f>IF(AND(ISNUMBER(DI86),ISNUMBER(DG86)),DI86-DG86,"")</f>
        <v>0</v>
      </c>
      <c r="DI86" s="33"/>
      <c r="DJ86" s="34">
        <f>IF(AND(ISNUMBER(DK86),ISNUMBER(DI86)),DK86-DI86,"")</f>
        <v>0</v>
      </c>
      <c r="DK86" s="33"/>
      <c r="DL86" s="34">
        <f>IF(AND(ISNUMBER(DM86),ISNUMBER(DK86)),DM86-DK86,"")</f>
        <v>0</v>
      </c>
      <c r="DM86" s="33"/>
      <c r="DN86" s="34">
        <f>IF(AND(ISNUMBER(DO86),ISNUMBER(DM86)),DO86-DM86,"")</f>
        <v>0</v>
      </c>
      <c r="DO86" s="33"/>
      <c r="DP86" s="34">
        <f>IF(AND(ISNUMBER(DQ86),ISNUMBER(DO86)),DQ86-DO86,"")</f>
        <v>0</v>
      </c>
      <c r="DQ86" s="33"/>
      <c r="DR86" s="34">
        <f>IF(AND(ISNUMBER(DS86),ISNUMBER(DQ86)),DS86-DQ86,"")</f>
        <v>0</v>
      </c>
      <c r="DS86" s="33"/>
      <c r="DT86" s="34">
        <f>IF(AND(ISNUMBER(DU86),ISNUMBER(DS86)),DU86-DS86,"")</f>
        <v>0</v>
      </c>
      <c r="DU86" s="33"/>
      <c r="DV86" s="34">
        <f>IF(AND(ISNUMBER(DW86),ISNUMBER(DU86)),DW86-DU86,"")</f>
        <v>0</v>
      </c>
      <c r="DW86" s="33"/>
      <c r="DX86" s="34">
        <f>IF(AND(ISNUMBER(DY86),ISNUMBER(DW86)),DY86-DW86,"")</f>
        <v>0</v>
      </c>
      <c r="DY86" s="33"/>
      <c r="DZ86" s="34">
        <f>IF(AND(ISNUMBER(EA86),ISNUMBER(DY86)),EA86-DY86,"")</f>
        <v>0</v>
      </c>
      <c r="EA86" s="33"/>
      <c r="EB86" s="34">
        <f>IF(AND(ISNUMBER(EC86),ISNUMBER(EA86)),EC86-EA86,"")</f>
        <v>0</v>
      </c>
      <c r="EC86" s="33"/>
      <c r="ED86" s="34">
        <f>IF(AND(ISNUMBER(EE86),ISNUMBER(EC86)),EE86-EC86,"")</f>
        <v>0</v>
      </c>
      <c r="EE86" s="33"/>
      <c r="EF86" s="34">
        <f>IF(AND(ISNUMBER(EG86),ISNUMBER(EE86)),EG86-EE86,"")</f>
        <v>0</v>
      </c>
      <c r="EG86" s="33"/>
      <c r="EH86" s="34">
        <f>IF(AND(ISNUMBER(EI86),ISNUMBER(EG86)),EI86-EG86,"")</f>
        <v>0</v>
      </c>
      <c r="EI86" s="33"/>
      <c r="EJ86" s="34">
        <f>IF(AND(ISNUMBER(EK86),ISNUMBER(EI86)),EK86-EI86,"")</f>
        <v>0</v>
      </c>
      <c r="EK86" s="33"/>
      <c r="EL86" s="34">
        <f>IF(AND(ISNUMBER(EM86),ISNUMBER(EK86)),EM86-EK86,"")</f>
        <v>0</v>
      </c>
      <c r="EM86" s="33"/>
      <c r="EN86" s="34">
        <f>IF(AND(ISNUMBER(EO86),ISNUMBER(EM86)),EO86-EM86,"")</f>
        <v>0</v>
      </c>
      <c r="EO86" s="33"/>
      <c r="EP86" s="34">
        <f>IF(AND(ISNUMBER(EQ86),ISNUMBER(EO86)),EQ86-EO86,"")</f>
        <v>0</v>
      </c>
      <c r="EQ86" s="33"/>
      <c r="ER86" s="34">
        <f>IF(AND(ISNUMBER(ES86),ISNUMBER(EQ86)),ES86-EQ86,"")</f>
        <v>0</v>
      </c>
      <c r="ES86" s="33"/>
      <c r="ET86" s="34">
        <f>IF(AND(ISNUMBER(EU86),ISNUMBER(ES86)),EU86-ES86,"")</f>
        <v>0</v>
      </c>
      <c r="EU86" s="33"/>
      <c r="EV86" s="34">
        <f>IF(AND(ISNUMBER(EW86),ISNUMBER(EU86)),EW86-EU86,"")</f>
        <v>0</v>
      </c>
      <c r="EW86" s="33"/>
      <c r="EX86" s="34">
        <f>IF(AND(ISNUMBER(EY86),ISNUMBER(EW86)),EY86-EW86,"")</f>
        <v>0</v>
      </c>
      <c r="EY86" s="33"/>
      <c r="EZ86" s="34">
        <f>IF(AND(ISNUMBER(FA86),ISNUMBER(EY86)),FA86-EY86,"")</f>
        <v>0</v>
      </c>
      <c r="FA86" s="33"/>
      <c r="FB86" s="34">
        <f>IF(AND(ISNUMBER(FC86),ISNUMBER(FA86)),FC86-FA86,"")</f>
        <v>0</v>
      </c>
      <c r="FC86" s="33"/>
      <c r="FD86" s="34">
        <f>IF(AND(ISNUMBER(FE86),ISNUMBER(FC86)),FE86-FC86,"")</f>
        <v>0</v>
      </c>
      <c r="FE86" s="33"/>
      <c r="FF86" s="34">
        <f>IF(AND(ISNUMBER(FG86),ISNUMBER(FE86)),FG86-FE86,"")</f>
        <v>0</v>
      </c>
      <c r="FG86" s="33"/>
      <c r="FH86" s="34">
        <f>IF(AND(ISNUMBER(FI86),ISNUMBER(FG86)),FI86-FG86,"")</f>
        <v>0</v>
      </c>
      <c r="FI86" s="33"/>
      <c r="FJ86" s="34">
        <f>IF(AND(ISNUMBER(FK86),ISNUMBER(FI86)),FK86-FI86,"")</f>
        <v>0</v>
      </c>
      <c r="FK86" s="33"/>
      <c r="FL86" s="34">
        <f>IF(AND(ISNUMBER(FM86),ISNUMBER(FK86)),FM86-FK86,"")</f>
        <v>0</v>
      </c>
      <c r="FM86" s="33"/>
      <c r="FN86" s="34">
        <f>IF(AND(ISNUMBER(FO86),ISNUMBER(FM86)),FO86-FM86,"")</f>
        <v>0</v>
      </c>
      <c r="FO86" s="33"/>
      <c r="FP86" s="34">
        <f>IF(AND(ISNUMBER(FQ86),ISNUMBER(FO86)),FQ86-FO86,"")</f>
        <v>0</v>
      </c>
      <c r="FQ86" s="33"/>
      <c r="FR86" s="34">
        <f>IF(AND(ISNUMBER(FS86),ISNUMBER(FQ86)),FS86-FQ86,"")</f>
        <v>0</v>
      </c>
      <c r="FS86" s="33"/>
      <c r="FT86" s="34">
        <f>IF(AND(ISNUMBER(FU86),ISNUMBER(FS86)),FU86-FS86,"")</f>
        <v>0</v>
      </c>
      <c r="FU86" s="33"/>
      <c r="FV86" s="34">
        <f>IF(AND(ISNUMBER(FW86),ISNUMBER(FU86)),FW86-FU86,"")</f>
        <v>0</v>
      </c>
      <c r="FW86" s="33"/>
      <c r="FX86" s="34">
        <f>IF(AND(ISNUMBER(FY86),ISNUMBER(FW86)),FY86-FW86,"")</f>
        <v>0</v>
      </c>
      <c r="FY86" s="33"/>
      <c r="FZ86" s="34">
        <f>IF(AND(ISNUMBER(GA86),ISNUMBER(FY86)),GA86-FY86,"")</f>
        <v>0</v>
      </c>
      <c r="GA86" s="33"/>
      <c r="GB86" s="34">
        <f>IF(AND(ISNUMBER(GC86),ISNUMBER(GA86)),GC86-GA86,"")</f>
        <v>0</v>
      </c>
      <c r="GC86" s="33"/>
      <c r="GD86" s="34">
        <f>IF(AND(ISNUMBER(GE86),ISNUMBER(GC86)),GE86-GC86,"")</f>
        <v>0</v>
      </c>
      <c r="GE86" s="33"/>
      <c r="GF86" s="34">
        <f>IF(AND(ISNUMBER(GG86),ISNUMBER(GE86)),GG86-GE86,"")</f>
        <v>0</v>
      </c>
      <c r="GG86" s="33"/>
      <c r="GH86" s="34">
        <f>IF(AND(ISNUMBER(GI86),ISNUMBER(GG86)),GI86-GG86,"")</f>
        <v>0</v>
      </c>
      <c r="GI86" s="33"/>
      <c r="GJ86" s="34">
        <f>IF(AND(ISNUMBER(GK86),ISNUMBER(GI86)),GK86-GI86,"")</f>
        <v>0</v>
      </c>
      <c r="GK86" s="33"/>
      <c r="GL86" s="34">
        <f>IF(AND(ISNUMBER(GM86),ISNUMBER(GK86)),GM86-GK86,"")</f>
        <v>0</v>
      </c>
      <c r="GM86" s="33"/>
      <c r="GN86" s="34">
        <f>IF(AND(ISNUMBER(GO86),ISNUMBER(GM86)),GO86-GM86,"")</f>
        <v>0</v>
      </c>
      <c r="GO86" s="33"/>
      <c r="GP86" s="34">
        <f>IF(AND(ISNUMBER(GQ86),ISNUMBER(GO86)),GQ86-GO86,"")</f>
        <v>0</v>
      </c>
      <c r="GQ86" s="33"/>
      <c r="GR86" s="34">
        <f>IF(AND(ISNUMBER(GS86),ISNUMBER(GQ86)),GS86-GQ86,"")</f>
        <v>0</v>
      </c>
      <c r="GS86" s="33"/>
      <c r="GT86" s="34">
        <f>IF(AND(ISNUMBER(GU86),ISNUMBER(GS86)),GU86-GS86,"")</f>
        <v>0</v>
      </c>
      <c r="GU86" s="33"/>
      <c r="GV86" s="34">
        <f>IF(AND(ISNUMBER(GW86),ISNUMBER(GU86)),GW86-GU86,"")</f>
        <v>0</v>
      </c>
      <c r="GW86" s="33"/>
      <c r="GX86" s="34">
        <f>IF(AND(ISNUMBER(GY86),ISNUMBER(GW86)),GY86-GW86,"")</f>
        <v>0</v>
      </c>
      <c r="GY86" s="33"/>
      <c r="GZ86" s="34">
        <f>IF(AND(ISNUMBER(HA86),ISNUMBER(GY86)),HA86-GY86,"")</f>
        <v>0</v>
      </c>
      <c r="HA86" s="33"/>
      <c r="HB86" s="34">
        <f>IF(AND(ISNUMBER(HC86),ISNUMBER(HA86)),HC86-HA86,"")</f>
        <v>0</v>
      </c>
      <c r="HC86" s="33"/>
      <c r="HD86" s="34">
        <f>IF(AND(ISNUMBER(HE86),ISNUMBER(HC86)),HE86-HC86,"")</f>
        <v>0</v>
      </c>
      <c r="HE86" s="33"/>
      <c r="HF86" s="34">
        <f>IF(AND(ISNUMBER(HG86),ISNUMBER(HE86)),HG86-HE86,"")</f>
        <v>0</v>
      </c>
      <c r="HG86" s="33"/>
      <c r="HH86" s="34">
        <f>IF(AND(ISNUMBER(HI86),ISNUMBER(HG86)),HI86-HG86,"")</f>
        <v>0</v>
      </c>
      <c r="HI86" s="33"/>
      <c r="HJ86" s="34">
        <f>IF(AND(ISNUMBER(HK86),ISNUMBER(HI86)),HK86-HI86,"")</f>
        <v>0</v>
      </c>
      <c r="HK86" s="33"/>
      <c r="HL86" s="34">
        <f>IF(AND(ISNUMBER(HM86),ISNUMBER(HK86)),HM86-HK86,"")</f>
        <v>0</v>
      </c>
      <c r="HM86" s="33"/>
      <c r="HN86" s="34">
        <f>IF(AND(ISNUMBER(HO86),ISNUMBER(HM86)),HO86-HM86,"")</f>
        <v>0</v>
      </c>
      <c r="HO86" s="33"/>
      <c r="HP86" s="34">
        <f>IF(AND(ISNUMBER(HQ86),ISNUMBER(HO86)),HQ86-HO86,"")</f>
        <v>0</v>
      </c>
      <c r="HQ86" s="33"/>
      <c r="HR86" s="34">
        <f>IF(AND(ISNUMBER(HS86),ISNUMBER(HQ86)),HS86-HQ86,"")</f>
        <v>0</v>
      </c>
      <c r="HS86" s="33"/>
      <c r="HT86" s="34">
        <f>IF(AND(ISNUMBER(HU86),ISNUMBER(HS86)),HU86-HS86,"")</f>
        <v>0</v>
      </c>
      <c r="HU86" s="33"/>
      <c r="HV86" s="34">
        <f>IF(AND(ISNUMBER(HW86),ISNUMBER(HU86)),HW86-HU86,"")</f>
        <v>0</v>
      </c>
      <c r="HW86" s="33"/>
      <c r="HX86" s="34">
        <f>IF(AND(ISNUMBER(HY86),ISNUMBER(HW86)),HY86-HW86,"")</f>
        <v>0</v>
      </c>
      <c r="HY86" s="33"/>
      <c r="HZ86" s="34">
        <f>IF(AND(ISNUMBER(IA86),ISNUMBER(HY86)),IA86-HY86,"")</f>
        <v>0</v>
      </c>
      <c r="IA86" s="33"/>
      <c r="IB86" s="34">
        <f>IF(AND(ISNUMBER(IC86),ISNUMBER(IA86)),IC86-IA86,"")</f>
        <v>0</v>
      </c>
      <c r="IC86" s="33"/>
      <c r="ID86" s="34">
        <f>IF(AND(ISNUMBER(IE86),ISNUMBER(IC86)),IE86-IC86,"")</f>
        <v>0</v>
      </c>
      <c r="IE86" s="33"/>
      <c r="IF86" s="34">
        <f>IF(AND(ISNUMBER(IG86),ISNUMBER(IE86)),IG86-IE86,"")</f>
        <v>0</v>
      </c>
      <c r="IG86" s="33"/>
      <c r="IH86" s="34">
        <f>IF(AND(ISNUMBER(II86),ISNUMBER(IG86)),II86-IG86,"")</f>
        <v>0</v>
      </c>
      <c r="II86" s="33"/>
      <c r="IJ86" s="34">
        <f>IF(AND(ISNUMBER(IK86),ISNUMBER(II86)),IK86-II86,"")</f>
        <v>0</v>
      </c>
      <c r="IK86" s="33"/>
      <c r="IL86" s="34">
        <f>IF(AND(ISNUMBER(IM86),ISNUMBER(IK86)),IM86-IK86,"")</f>
        <v>0</v>
      </c>
      <c r="IM86" s="33"/>
      <c r="IN86" s="34">
        <f>IF(AND(ISNUMBER(IO86),ISNUMBER(IM86)),IO86-IM86,"")</f>
        <v>0</v>
      </c>
      <c r="IO86" s="33"/>
      <c r="IP86" s="34">
        <f>IF(AND(ISNUMBER(IQ86),ISNUMBER(IO86)),IQ86-IO86,"")</f>
        <v>0</v>
      </c>
      <c r="IQ86" s="33"/>
      <c r="IR86" s="34">
        <f>IF(AND(ISNUMBER(IS86),ISNUMBER(IQ86)),IS86-IQ86,"")</f>
        <v>0</v>
      </c>
      <c r="IS86" s="33"/>
      <c r="IT86" s="34">
        <f>IF(AND(ISNUMBER(IU86),ISNUMBER(IS86)),IU86-IS86,"")</f>
        <v>0</v>
      </c>
      <c r="IU86" s="33"/>
      <c r="IV86" s="34">
        <f>IF(AND(ISNUMBER(IW86),ISNUMBER(IU86)),IW86-IU86,"")</f>
        <v>0</v>
      </c>
      <c r="IW86" s="33"/>
      <c r="IX86" s="34">
        <f>IF(AND(ISNUMBER(IY86),ISNUMBER(IW86)),IY86-IW86,"")</f>
        <v>0</v>
      </c>
      <c r="IY86" s="33"/>
      <c r="IZ86" s="34">
        <f>IF(AND(ISNUMBER(JA86),ISNUMBER(IY86)),JA86-IY86,"")</f>
        <v>0</v>
      </c>
      <c r="JA86" s="33"/>
      <c r="JB86" s="34">
        <f>IF(AND(ISNUMBER(JC86),ISNUMBER(JA86)),JC86-JA86,"")</f>
        <v>0</v>
      </c>
      <c r="JC86" s="33"/>
      <c r="JD86" s="34">
        <f>IF(AND(ISNUMBER(JE86),ISNUMBER(JC86)),JE86-JC86,"")</f>
        <v>0</v>
      </c>
      <c r="JE86" s="33"/>
      <c r="JF86" s="34">
        <f>IF(AND(ISNUMBER(JG86),ISNUMBER(JE86)),JG86-JE86,"")</f>
        <v>0</v>
      </c>
      <c r="JG86" s="33"/>
      <c r="JH86" s="34">
        <f>IF(AND(ISNUMBER(JI86),ISNUMBER(JG86)),JI86-JG86,"")</f>
        <v>0</v>
      </c>
      <c r="JI86" s="33"/>
      <c r="JJ86" s="34">
        <f>IF(AND(ISNUMBER(JK86),ISNUMBER(JI86)),JK86-JI86,"")</f>
        <v>0</v>
      </c>
      <c r="JK86" s="33"/>
      <c r="JL86" s="34">
        <f>IF(AND(ISNUMBER(JM86),ISNUMBER(JK86)),JM86-JK86,"")</f>
        <v>0</v>
      </c>
      <c r="JM86" s="33"/>
      <c r="JN86" s="34">
        <f>IF(AND(ISNUMBER(JO86),ISNUMBER(JM86)),JO86-JM86,"")</f>
        <v>0</v>
      </c>
      <c r="JO86" s="33"/>
      <c r="JP86" s="34">
        <f>IF(AND(ISNUMBER(JQ86),ISNUMBER(JO86)),JQ86-JO86,"")</f>
        <v>0</v>
      </c>
      <c r="JQ86" s="33"/>
      <c r="JR86" s="34">
        <f>IF(AND(ISNUMBER(JS86),ISNUMBER(JQ86)),JS86-JQ86,"")</f>
        <v>0</v>
      </c>
      <c r="JS86" s="33">
        <v>344</v>
      </c>
      <c r="JT86" s="34">
        <f>IF(AND(ISNUMBER(JU86),ISNUMBER(JS86)),JU86-JS86,"")</f>
        <v>0</v>
      </c>
      <c r="JU86" s="33">
        <v>629</v>
      </c>
      <c r="JV86" s="34">
        <f>IF(AND(ISNUMBER(JW86),ISNUMBER(JU86)),JW86-JU86,"")</f>
        <v>0</v>
      </c>
      <c r="JW86" s="33">
        <v>778</v>
      </c>
      <c r="JX86" s="34">
        <f>IF(AND(ISNUMBER(JY86),ISNUMBER(JW86)),JY86-JW86,"")</f>
        <v>0</v>
      </c>
      <c r="JY86" s="33"/>
      <c r="JZ86" s="34">
        <f>IF(AND(ISNUMBER(KA86),ISNUMBER(JY86)),KA86-JY86,"")</f>
        <v>0</v>
      </c>
      <c r="KA86" s="33"/>
      <c r="KB86" s="34">
        <f>IF(AND(ISNUMBER(KC86),ISNUMBER(KA86)),KC86-KA86,"")</f>
        <v>0</v>
      </c>
      <c r="KC86" s="33"/>
      <c r="KD86" s="34">
        <f>IF(AND(ISNUMBER(KE86),ISNUMBER(KC86)),KE86-KC86,"")</f>
        <v>0</v>
      </c>
      <c r="KE86" s="33"/>
      <c r="KF86" s="34">
        <f>IF(AND(ISNUMBER(KG86),ISNUMBER(KE86)),KG86-KE86,"")</f>
        <v>0</v>
      </c>
      <c r="KG86" s="33"/>
      <c r="KH86" s="34">
        <f>IF(AND(ISNUMBER(KI86),ISNUMBER(KG86)),KI86-KG86,"")</f>
        <v>0</v>
      </c>
      <c r="KI86" s="33"/>
      <c r="KJ86" s="34">
        <f>IF(AND(ISNUMBER(KK86),ISNUMBER(KI86)),KK86-KI86,"")</f>
        <v>0</v>
      </c>
      <c r="KK86" s="33"/>
      <c r="KL86" s="34">
        <f>IF(AND(ISNUMBER(KM86),ISNUMBER(KK86)),KM86-KK86,"")</f>
        <v>0</v>
      </c>
      <c r="KM86" s="33"/>
      <c r="KN86" s="34">
        <f>IF(AND(ISNUMBER(KO86),ISNUMBER(KM86)),KO86-KM86,"")</f>
        <v>0</v>
      </c>
      <c r="KO86" s="33"/>
      <c r="KP86" s="34">
        <f>IF(AND(ISNUMBER(KQ86),ISNUMBER(KO86)),KQ86-KO86,"")</f>
        <v>0</v>
      </c>
      <c r="KQ86" s="33"/>
      <c r="KR86" s="34">
        <f>IF(AND(ISNUMBER(KS86),ISNUMBER(KQ86)),KS86-KQ86,"")</f>
        <v>0</v>
      </c>
      <c r="KS86" s="33"/>
      <c r="KT86" s="34">
        <f>IF(AND(ISNUMBER(KU86),ISNUMBER(KS86)),KU86-KS86,"")</f>
        <v>0</v>
      </c>
      <c r="KU86" s="33"/>
      <c r="KV86" s="34">
        <f>IF(AND(ISNUMBER(KW86),ISNUMBER(KU86)),KW86-KU86,"")</f>
        <v>0</v>
      </c>
      <c r="KW86" s="33"/>
      <c r="KX86" s="34">
        <f>IF(AND(ISNUMBER(KY86),ISNUMBER(KW86)),KY86-KW86,"")</f>
        <v>0</v>
      </c>
      <c r="KY86" s="33"/>
      <c r="KZ86" s="34">
        <f>IF(AND(ISNUMBER(LA86),ISNUMBER(KY86)),LA86-KY86,"")</f>
        <v>0</v>
      </c>
      <c r="LA86" s="33"/>
      <c r="LB86" s="34">
        <f>IF(AND(ISNUMBER(LC86),ISNUMBER(LA86)),LC86-LA86,"")</f>
        <v>0</v>
      </c>
      <c r="LC86" s="33"/>
      <c r="LD86" s="34">
        <f>IF(AND(ISNUMBER(LE86),ISNUMBER(LC86)),LE86-LC86,"")</f>
        <v>0</v>
      </c>
      <c r="LE86" s="33"/>
      <c r="LF86" s="34">
        <f>IF(AND(ISNUMBER(LG86),ISNUMBER(LE86)),LG86-LE86,"")</f>
        <v>0</v>
      </c>
      <c r="LG86" s="33"/>
    </row>
    <row r="87" spans="1:322">
      <c r="A87" s="36" t="s">
        <v>828</v>
      </c>
      <c r="B87" s="23"/>
      <c r="C87" s="31" t="s">
        <v>1111</v>
      </c>
      <c r="D87" s="31" t="s">
        <v>1113</v>
      </c>
      <c r="H87" s="38" t="s">
        <v>1082</v>
      </c>
      <c r="I87" s="33"/>
      <c r="J87" s="34">
        <f>IF(AND(ISNUMBER(K87),ISNUMBER(I87)),K87-I87,"")</f>
        <v>0</v>
      </c>
      <c r="K87" s="33"/>
      <c r="L87" s="34">
        <f>IF(AND(ISNUMBER(M87),ISNUMBER(K87)),M87-K87,"")</f>
        <v>0</v>
      </c>
      <c r="M87" s="33"/>
      <c r="N87" s="34">
        <f>IF(AND(ISNUMBER(O87),ISNUMBER(M87)),O87-M87,"")</f>
        <v>0</v>
      </c>
      <c r="O87" s="33"/>
      <c r="P87" s="34">
        <f>IF(AND(ISNUMBER(Q87),ISNUMBER(O87)),Q87-O87,"")</f>
        <v>0</v>
      </c>
      <c r="Q87" s="33"/>
      <c r="R87" s="34">
        <f>IF(AND(ISNUMBER(S87),ISNUMBER(Q87)),S87-Q87,"")</f>
        <v>0</v>
      </c>
      <c r="S87" s="33"/>
      <c r="T87" s="34">
        <f>IF(AND(ISNUMBER(U87),ISNUMBER(S87)),U87-S87,"")</f>
        <v>0</v>
      </c>
      <c r="U87" s="33"/>
      <c r="V87" s="34">
        <f>IF(AND(ISNUMBER(W87),ISNUMBER(U87)),W87-U87,"")</f>
        <v>0</v>
      </c>
      <c r="W87" s="33"/>
      <c r="X87" s="34">
        <f>IF(AND(ISNUMBER(Y87),ISNUMBER(W87)),Y87-W87,"")</f>
        <v>0</v>
      </c>
      <c r="Y87" s="33"/>
      <c r="Z87" s="34">
        <f>IF(AND(ISNUMBER(AA87),ISNUMBER(Y87)),AA87-Y87,"")</f>
        <v>0</v>
      </c>
      <c r="AA87" s="33"/>
      <c r="AB87" s="34">
        <f>IF(AND(ISNUMBER(AC87),ISNUMBER(AA87)),AC87-AA87,"")</f>
        <v>0</v>
      </c>
      <c r="AC87" s="33"/>
      <c r="AD87" s="34">
        <f>IF(AND(ISNUMBER(AE87),ISNUMBER(AC87)),AE87-AC87,"")</f>
        <v>0</v>
      </c>
      <c r="AE87" s="33"/>
      <c r="AF87" s="34">
        <f>IF(AND(ISNUMBER(AG87),ISNUMBER(AE87)),AG87-AE87,"")</f>
        <v>0</v>
      </c>
      <c r="AG87" s="33"/>
      <c r="AH87" s="34">
        <f>IF(AND(ISNUMBER(AI87),ISNUMBER(AG87)),AI87-AG87,"")</f>
        <v>0</v>
      </c>
      <c r="AI87" s="33"/>
      <c r="AJ87" s="34">
        <f>IF(AND(ISNUMBER(AK87),ISNUMBER(AI87)),AK87-AI87,"")</f>
        <v>0</v>
      </c>
      <c r="AK87" s="33"/>
      <c r="AL87" s="34">
        <f>IF(AND(ISNUMBER(AM87),ISNUMBER(AK87)),AM87-AK87,"")</f>
        <v>0</v>
      </c>
      <c r="AM87" s="33"/>
      <c r="AN87" s="34">
        <f>IF(AND(ISNUMBER(AO87),ISNUMBER(AM87)),AO87-AM87,"")</f>
        <v>0</v>
      </c>
      <c r="AO87" s="33"/>
      <c r="AP87" s="34">
        <f>IF(AND(ISNUMBER(AQ87),ISNUMBER(AO87)),AQ87-AO87,"")</f>
        <v>0</v>
      </c>
      <c r="AQ87" s="33"/>
      <c r="AR87" s="34">
        <f>IF(AND(ISNUMBER(AS87),ISNUMBER(AQ87)),AS87-AQ87,"")</f>
        <v>0</v>
      </c>
      <c r="AS87" s="33"/>
      <c r="AT87" s="34">
        <f>IF(AND(ISNUMBER(AU87),ISNUMBER(AS87)),AU87-AS87,"")</f>
        <v>0</v>
      </c>
      <c r="AU87" s="33"/>
      <c r="AV87" s="34">
        <f>IF(AND(ISNUMBER(AW87),ISNUMBER(AU87)),AW87-AU87,"")</f>
        <v>0</v>
      </c>
      <c r="AW87" s="33"/>
      <c r="AX87" s="34">
        <f>IF(AND(ISNUMBER(AY87),ISNUMBER(AW87)),AY87-AW87,"")</f>
        <v>0</v>
      </c>
      <c r="AY87" s="33"/>
      <c r="AZ87" s="34">
        <f>IF(AND(ISNUMBER(BA87),ISNUMBER(AY87)),BA87-AY87,"")</f>
        <v>0</v>
      </c>
      <c r="BA87" s="33"/>
      <c r="BB87" s="34">
        <f>IF(AND(ISNUMBER(BC87),ISNUMBER(BA87)),BC87-BA87,"")</f>
        <v>0</v>
      </c>
      <c r="BC87" s="33"/>
      <c r="BD87" s="34">
        <f>IF(AND(ISNUMBER(BE87),ISNUMBER(BC87)),BE87-BC87,"")</f>
        <v>0</v>
      </c>
      <c r="BE87" s="33"/>
      <c r="BF87" s="34">
        <f>IF(AND(ISNUMBER(BG87),ISNUMBER(BE87)),BG87-BE87,"")</f>
        <v>0</v>
      </c>
      <c r="BG87" s="33"/>
      <c r="BH87" s="34">
        <f>IF(AND(ISNUMBER(BI87),ISNUMBER(BG87)),BI87-BG87,"")</f>
        <v>0</v>
      </c>
      <c r="BI87" s="33"/>
      <c r="BJ87" s="34">
        <f>IF(AND(ISNUMBER(BK87),ISNUMBER(BI87)),BK87-BI87,"")</f>
        <v>0</v>
      </c>
      <c r="BK87" s="33"/>
      <c r="BL87" s="34">
        <f>IF(AND(ISNUMBER(BM87),ISNUMBER(BK87)),BM87-BK87,"")</f>
        <v>0</v>
      </c>
      <c r="BM87" s="33"/>
      <c r="BN87" s="34">
        <f>IF(AND(ISNUMBER(BO87),ISNUMBER(BM87)),BO87-BM87,"")</f>
        <v>0</v>
      </c>
      <c r="BO87" s="33"/>
      <c r="BP87" s="34">
        <f>IF(AND(ISNUMBER(BQ87),ISNUMBER(BO87)),BQ87-BO87,"")</f>
        <v>0</v>
      </c>
      <c r="BQ87" s="33"/>
      <c r="BR87" s="34">
        <f>IF(AND(ISNUMBER(BS87),ISNUMBER(BQ87)),BS87-BQ87,"")</f>
        <v>0</v>
      </c>
      <c r="BS87" s="33"/>
      <c r="BT87" s="34">
        <f>IF(AND(ISNUMBER(BU87),ISNUMBER(BS87)),BU87-BS87,"")</f>
        <v>0</v>
      </c>
      <c r="BU87" s="33"/>
      <c r="BV87" s="34">
        <f>IF(AND(ISNUMBER(BW87),ISNUMBER(BU87)),BW87-BU87,"")</f>
        <v>0</v>
      </c>
      <c r="BW87" s="33"/>
      <c r="BX87" s="34">
        <f>IF(AND(ISNUMBER(BY87),ISNUMBER(BW87)),BY87-BW87,"")</f>
        <v>0</v>
      </c>
      <c r="BY87" s="33"/>
      <c r="BZ87" s="34">
        <f>IF(AND(ISNUMBER(CA87),ISNUMBER(BY87)),CA87-BY87,"")</f>
        <v>0</v>
      </c>
      <c r="CA87" s="33"/>
      <c r="CB87" s="34">
        <f>IF(AND(ISNUMBER(CC87),ISNUMBER(CA87)),CC87-CA87,"")</f>
        <v>0</v>
      </c>
      <c r="CC87" s="33"/>
      <c r="CD87" s="34">
        <f>IF(AND(ISNUMBER(CE87),ISNUMBER(CC87)),CE87-CC87,"")</f>
        <v>0</v>
      </c>
      <c r="CE87" s="33"/>
      <c r="CF87" s="34">
        <f>IF(AND(ISNUMBER(CG87),ISNUMBER(CE87)),CG87-CE87,"")</f>
        <v>0</v>
      </c>
      <c r="CG87" s="33"/>
      <c r="CH87" s="34">
        <f>IF(AND(ISNUMBER(CI87),ISNUMBER(CG87)),CI87-CG87,"")</f>
        <v>0</v>
      </c>
      <c r="CI87" s="33"/>
      <c r="CJ87" s="34">
        <f>IF(AND(ISNUMBER(CK87),ISNUMBER(CI87)),CK87-CI87,"")</f>
        <v>0</v>
      </c>
      <c r="CK87" s="33"/>
      <c r="CL87" s="34">
        <f>IF(AND(ISNUMBER(CM87),ISNUMBER(CK87)),CM87-CK87,"")</f>
        <v>0</v>
      </c>
      <c r="CM87" s="33"/>
      <c r="CN87" s="34">
        <f>IF(AND(ISNUMBER(CO87),ISNUMBER(CM87)),CO87-CM87,"")</f>
        <v>0</v>
      </c>
      <c r="CO87" s="33"/>
      <c r="CP87" s="34">
        <f>IF(AND(ISNUMBER(CQ87),ISNUMBER(CO87)),CQ87-CO87,"")</f>
        <v>0</v>
      </c>
      <c r="CQ87" s="33"/>
      <c r="CR87" s="34">
        <f>IF(AND(ISNUMBER(CS87),ISNUMBER(CQ87)),CS87-CQ87,"")</f>
        <v>0</v>
      </c>
      <c r="CS87" s="33"/>
      <c r="CT87" s="34">
        <f>IF(AND(ISNUMBER(CU87),ISNUMBER(CS87)),CU87-CS87,"")</f>
        <v>0</v>
      </c>
      <c r="CU87" s="33"/>
      <c r="CV87" s="34">
        <f>IF(AND(ISNUMBER(CW87),ISNUMBER(CU87)),CW87-CU87,"")</f>
        <v>0</v>
      </c>
      <c r="CW87" s="33"/>
      <c r="CX87" s="34">
        <f>IF(AND(ISNUMBER(CY87),ISNUMBER(CW87)),CY87-CW87,"")</f>
        <v>0</v>
      </c>
      <c r="CY87" s="33"/>
      <c r="CZ87" s="34">
        <f>IF(AND(ISNUMBER(DA87),ISNUMBER(CY87)),DA87-CY87,"")</f>
        <v>0</v>
      </c>
      <c r="DA87" s="33"/>
      <c r="DB87" s="34">
        <f>IF(AND(ISNUMBER(DC87),ISNUMBER(DA87)),DC87-DA87,"")</f>
        <v>0</v>
      </c>
      <c r="DC87" s="33"/>
      <c r="DD87" s="34">
        <f>IF(AND(ISNUMBER(DE87),ISNUMBER(DC87)),DE87-DC87,"")</f>
        <v>0</v>
      </c>
      <c r="DE87" s="33"/>
      <c r="DF87" s="34">
        <f>IF(AND(ISNUMBER(DG87),ISNUMBER(DE87)),DG87-DE87,"")</f>
        <v>0</v>
      </c>
      <c r="DG87" s="33"/>
      <c r="DH87" s="34">
        <f>IF(AND(ISNUMBER(DI87),ISNUMBER(DG87)),DI87-DG87,"")</f>
        <v>0</v>
      </c>
      <c r="DI87" s="33"/>
      <c r="DJ87" s="34">
        <f>IF(AND(ISNUMBER(DK87),ISNUMBER(DI87)),DK87-DI87,"")</f>
        <v>0</v>
      </c>
      <c r="DK87" s="33"/>
      <c r="DL87" s="34">
        <f>IF(AND(ISNUMBER(DM87),ISNUMBER(DK87)),DM87-DK87,"")</f>
        <v>0</v>
      </c>
      <c r="DM87" s="33"/>
      <c r="DN87" s="34">
        <f>IF(AND(ISNUMBER(DO87),ISNUMBER(DM87)),DO87-DM87,"")</f>
        <v>0</v>
      </c>
      <c r="DO87" s="33"/>
      <c r="DP87" s="34">
        <f>IF(AND(ISNUMBER(DQ87),ISNUMBER(DO87)),DQ87-DO87,"")</f>
        <v>0</v>
      </c>
      <c r="DQ87" s="33"/>
      <c r="DR87" s="34">
        <f>IF(AND(ISNUMBER(DS87),ISNUMBER(DQ87)),DS87-DQ87,"")</f>
        <v>0</v>
      </c>
      <c r="DS87" s="33"/>
      <c r="DT87" s="34">
        <f>IF(AND(ISNUMBER(DU87),ISNUMBER(DS87)),DU87-DS87,"")</f>
        <v>0</v>
      </c>
      <c r="DU87" s="33"/>
      <c r="DV87" s="34">
        <f>IF(AND(ISNUMBER(DW87),ISNUMBER(DU87)),DW87-DU87,"")</f>
        <v>0</v>
      </c>
      <c r="DW87" s="33"/>
      <c r="DX87" s="34">
        <f>IF(AND(ISNUMBER(DY87),ISNUMBER(DW87)),DY87-DW87,"")</f>
        <v>0</v>
      </c>
      <c r="DY87" s="33"/>
      <c r="DZ87" s="34">
        <f>IF(AND(ISNUMBER(EA87),ISNUMBER(DY87)),EA87-DY87,"")</f>
        <v>0</v>
      </c>
      <c r="EA87" s="33"/>
      <c r="EB87" s="34">
        <f>IF(AND(ISNUMBER(EC87),ISNUMBER(EA87)),EC87-EA87,"")</f>
        <v>0</v>
      </c>
      <c r="EC87" s="33"/>
      <c r="ED87" s="34">
        <f>IF(AND(ISNUMBER(EE87),ISNUMBER(EC87)),EE87-EC87,"")</f>
        <v>0</v>
      </c>
      <c r="EE87" s="33"/>
      <c r="EF87" s="34">
        <f>IF(AND(ISNUMBER(EG87),ISNUMBER(EE87)),EG87-EE87,"")</f>
        <v>0</v>
      </c>
      <c r="EG87" s="33"/>
      <c r="EH87" s="34">
        <f>IF(AND(ISNUMBER(EI87),ISNUMBER(EG87)),EI87-EG87,"")</f>
        <v>0</v>
      </c>
      <c r="EI87" s="33"/>
      <c r="EJ87" s="34">
        <f>IF(AND(ISNUMBER(EK87),ISNUMBER(EI87)),EK87-EI87,"")</f>
        <v>0</v>
      </c>
      <c r="EK87" s="33"/>
      <c r="EL87" s="34">
        <f>IF(AND(ISNUMBER(EM87),ISNUMBER(EK87)),EM87-EK87,"")</f>
        <v>0</v>
      </c>
      <c r="EM87" s="33"/>
      <c r="EN87" s="34">
        <f>IF(AND(ISNUMBER(EO87),ISNUMBER(EM87)),EO87-EM87,"")</f>
        <v>0</v>
      </c>
      <c r="EO87" s="33"/>
      <c r="EP87" s="34">
        <f>IF(AND(ISNUMBER(EQ87),ISNUMBER(EO87)),EQ87-EO87,"")</f>
        <v>0</v>
      </c>
      <c r="EQ87" s="33"/>
      <c r="ER87" s="34">
        <f>IF(AND(ISNUMBER(ES87),ISNUMBER(EQ87)),ES87-EQ87,"")</f>
        <v>0</v>
      </c>
      <c r="ES87" s="33"/>
      <c r="ET87" s="34">
        <f>IF(AND(ISNUMBER(EU87),ISNUMBER(ES87)),EU87-ES87,"")</f>
        <v>0</v>
      </c>
      <c r="EU87" s="33"/>
      <c r="EV87" s="34">
        <f>IF(AND(ISNUMBER(EW87),ISNUMBER(EU87)),EW87-EU87,"")</f>
        <v>0</v>
      </c>
      <c r="EW87" s="33"/>
      <c r="EX87" s="34">
        <f>IF(AND(ISNUMBER(EY87),ISNUMBER(EW87)),EY87-EW87,"")</f>
        <v>0</v>
      </c>
      <c r="EY87" s="33"/>
      <c r="EZ87" s="34">
        <f>IF(AND(ISNUMBER(FA87),ISNUMBER(EY87)),FA87-EY87,"")</f>
        <v>0</v>
      </c>
      <c r="FA87" s="33"/>
      <c r="FB87" s="34">
        <f>IF(AND(ISNUMBER(FC87),ISNUMBER(FA87)),FC87-FA87,"")</f>
        <v>0</v>
      </c>
      <c r="FC87" s="33"/>
      <c r="FD87" s="34">
        <f>IF(AND(ISNUMBER(FE87),ISNUMBER(FC87)),FE87-FC87,"")</f>
        <v>0</v>
      </c>
      <c r="FE87" s="33"/>
      <c r="FF87" s="34">
        <f>IF(AND(ISNUMBER(FG87),ISNUMBER(FE87)),FG87-FE87,"")</f>
        <v>0</v>
      </c>
      <c r="FG87" s="33"/>
      <c r="FH87" s="34">
        <f>IF(AND(ISNUMBER(FI87),ISNUMBER(FG87)),FI87-FG87,"")</f>
        <v>0</v>
      </c>
      <c r="FI87" s="33"/>
      <c r="FJ87" s="34">
        <f>IF(AND(ISNUMBER(FK87),ISNUMBER(FI87)),FK87-FI87,"")</f>
        <v>0</v>
      </c>
      <c r="FK87" s="33"/>
      <c r="FL87" s="34">
        <f>IF(AND(ISNUMBER(FM87),ISNUMBER(FK87)),FM87-FK87,"")</f>
        <v>0</v>
      </c>
      <c r="FM87" s="33"/>
      <c r="FN87" s="34">
        <f>IF(AND(ISNUMBER(FO87),ISNUMBER(FM87)),FO87-FM87,"")</f>
        <v>0</v>
      </c>
      <c r="FO87" s="33"/>
      <c r="FP87" s="34">
        <f>IF(AND(ISNUMBER(FQ87),ISNUMBER(FO87)),FQ87-FO87,"")</f>
        <v>0</v>
      </c>
      <c r="FQ87" s="33"/>
      <c r="FR87" s="34">
        <f>IF(AND(ISNUMBER(FS87),ISNUMBER(FQ87)),FS87-FQ87,"")</f>
        <v>0</v>
      </c>
      <c r="FS87" s="33"/>
      <c r="FT87" s="34">
        <f>IF(AND(ISNUMBER(FU87),ISNUMBER(FS87)),FU87-FS87,"")</f>
        <v>0</v>
      </c>
      <c r="FU87" s="33"/>
      <c r="FV87" s="34">
        <f>IF(AND(ISNUMBER(FW87),ISNUMBER(FU87)),FW87-FU87,"")</f>
        <v>0</v>
      </c>
      <c r="FW87" s="33"/>
      <c r="FX87" s="34">
        <f>IF(AND(ISNUMBER(FY87),ISNUMBER(FW87)),FY87-FW87,"")</f>
        <v>0</v>
      </c>
      <c r="FY87" s="33"/>
      <c r="FZ87" s="34">
        <f>IF(AND(ISNUMBER(GA87),ISNUMBER(FY87)),GA87-FY87,"")</f>
        <v>0</v>
      </c>
      <c r="GA87" s="33"/>
      <c r="GB87" s="34">
        <f>IF(AND(ISNUMBER(GC87),ISNUMBER(GA87)),GC87-GA87,"")</f>
        <v>0</v>
      </c>
      <c r="GC87" s="33"/>
      <c r="GD87" s="34">
        <f>IF(AND(ISNUMBER(GE87),ISNUMBER(GC87)),GE87-GC87,"")</f>
        <v>0</v>
      </c>
      <c r="GE87" s="33"/>
      <c r="GF87" s="34">
        <f>IF(AND(ISNUMBER(GG87),ISNUMBER(GE87)),GG87-GE87,"")</f>
        <v>0</v>
      </c>
      <c r="GG87" s="33"/>
      <c r="GH87" s="34">
        <f>IF(AND(ISNUMBER(GI87),ISNUMBER(GG87)),GI87-GG87,"")</f>
        <v>0</v>
      </c>
      <c r="GI87" s="33"/>
      <c r="GJ87" s="34">
        <f>IF(AND(ISNUMBER(GK87),ISNUMBER(GI87)),GK87-GI87,"")</f>
        <v>0</v>
      </c>
      <c r="GK87" s="33"/>
      <c r="GL87" s="34">
        <f>IF(AND(ISNUMBER(GM87),ISNUMBER(GK87)),GM87-GK87,"")</f>
        <v>0</v>
      </c>
      <c r="GM87" s="33"/>
      <c r="GN87" s="34">
        <f>IF(AND(ISNUMBER(GO87),ISNUMBER(GM87)),GO87-GM87,"")</f>
        <v>0</v>
      </c>
      <c r="GO87" s="33"/>
      <c r="GP87" s="34">
        <f>IF(AND(ISNUMBER(GQ87),ISNUMBER(GO87)),GQ87-GO87,"")</f>
        <v>0</v>
      </c>
      <c r="GQ87" s="33"/>
      <c r="GR87" s="34">
        <f>IF(AND(ISNUMBER(GS87),ISNUMBER(GQ87)),GS87-GQ87,"")</f>
        <v>0</v>
      </c>
      <c r="GS87" s="33"/>
      <c r="GT87" s="34">
        <f>IF(AND(ISNUMBER(GU87),ISNUMBER(GS87)),GU87-GS87,"")</f>
        <v>0</v>
      </c>
      <c r="GU87" s="33"/>
      <c r="GV87" s="34">
        <f>IF(AND(ISNUMBER(GW87),ISNUMBER(GU87)),GW87-GU87,"")</f>
        <v>0</v>
      </c>
      <c r="GW87" s="33"/>
      <c r="GX87" s="34">
        <f>IF(AND(ISNUMBER(GY87),ISNUMBER(GW87)),GY87-GW87,"")</f>
        <v>0</v>
      </c>
      <c r="GY87" s="33"/>
      <c r="GZ87" s="34">
        <f>IF(AND(ISNUMBER(HA87),ISNUMBER(GY87)),HA87-GY87,"")</f>
        <v>0</v>
      </c>
      <c r="HA87" s="33"/>
      <c r="HB87" s="34">
        <f>IF(AND(ISNUMBER(HC87),ISNUMBER(HA87)),HC87-HA87,"")</f>
        <v>0</v>
      </c>
      <c r="HC87" s="33"/>
      <c r="HD87" s="34">
        <f>IF(AND(ISNUMBER(HE87),ISNUMBER(HC87)),HE87-HC87,"")</f>
        <v>0</v>
      </c>
      <c r="HE87" s="33"/>
      <c r="HF87" s="34">
        <f>IF(AND(ISNUMBER(HG87),ISNUMBER(HE87)),HG87-HE87,"")</f>
        <v>0</v>
      </c>
      <c r="HG87" s="33"/>
      <c r="HH87" s="34">
        <f>IF(AND(ISNUMBER(HI87),ISNUMBER(HG87)),HI87-HG87,"")</f>
        <v>0</v>
      </c>
      <c r="HI87" s="33"/>
      <c r="HJ87" s="34">
        <f>IF(AND(ISNUMBER(HK87),ISNUMBER(HI87)),HK87-HI87,"")</f>
        <v>0</v>
      </c>
      <c r="HK87" s="33"/>
      <c r="HL87" s="34">
        <f>IF(AND(ISNUMBER(HM87),ISNUMBER(HK87)),HM87-HK87,"")</f>
        <v>0</v>
      </c>
      <c r="HM87" s="33"/>
      <c r="HN87" s="34">
        <f>IF(AND(ISNUMBER(HO87),ISNUMBER(HM87)),HO87-HM87,"")</f>
        <v>0</v>
      </c>
      <c r="HO87" s="33"/>
      <c r="HP87" s="34">
        <f>IF(AND(ISNUMBER(HQ87),ISNUMBER(HO87)),HQ87-HO87,"")</f>
        <v>0</v>
      </c>
      <c r="HQ87" s="33"/>
      <c r="HR87" s="34">
        <f>IF(AND(ISNUMBER(HS87),ISNUMBER(HQ87)),HS87-HQ87,"")</f>
        <v>0</v>
      </c>
      <c r="HS87" s="33"/>
      <c r="HT87" s="34">
        <f>IF(AND(ISNUMBER(HU87),ISNUMBER(HS87)),HU87-HS87,"")</f>
        <v>0</v>
      </c>
      <c r="HU87" s="33"/>
      <c r="HV87" s="34">
        <f>IF(AND(ISNUMBER(HW87),ISNUMBER(HU87)),HW87-HU87,"")</f>
        <v>0</v>
      </c>
      <c r="HW87" s="33"/>
      <c r="HX87" s="34">
        <f>IF(AND(ISNUMBER(HY87),ISNUMBER(HW87)),HY87-HW87,"")</f>
        <v>0</v>
      </c>
      <c r="HY87" s="33"/>
      <c r="HZ87" s="34">
        <f>IF(AND(ISNUMBER(IA87),ISNUMBER(HY87)),IA87-HY87,"")</f>
        <v>0</v>
      </c>
      <c r="IA87" s="33"/>
      <c r="IB87" s="34">
        <f>IF(AND(ISNUMBER(IC87),ISNUMBER(IA87)),IC87-IA87,"")</f>
        <v>0</v>
      </c>
      <c r="IC87" s="33"/>
      <c r="ID87" s="34">
        <f>IF(AND(ISNUMBER(IE87),ISNUMBER(IC87)),IE87-IC87,"")</f>
        <v>0</v>
      </c>
      <c r="IE87" s="33"/>
      <c r="IF87" s="34">
        <f>IF(AND(ISNUMBER(IG87),ISNUMBER(IE87)),IG87-IE87,"")</f>
        <v>0</v>
      </c>
      <c r="IG87" s="33"/>
      <c r="IH87" s="34">
        <f>IF(AND(ISNUMBER(II87),ISNUMBER(IG87)),II87-IG87,"")</f>
        <v>0</v>
      </c>
      <c r="II87" s="33"/>
      <c r="IJ87" s="34">
        <f>IF(AND(ISNUMBER(IK87),ISNUMBER(II87)),IK87-II87,"")</f>
        <v>0</v>
      </c>
      <c r="IK87" s="33"/>
      <c r="IL87" s="34">
        <f>IF(AND(ISNUMBER(IM87),ISNUMBER(IK87)),IM87-IK87,"")</f>
        <v>0</v>
      </c>
      <c r="IM87" s="33"/>
      <c r="IN87" s="34">
        <f>IF(AND(ISNUMBER(IO87),ISNUMBER(IM87)),IO87-IM87,"")</f>
        <v>0</v>
      </c>
      <c r="IO87" s="33"/>
      <c r="IP87" s="34">
        <f>IF(AND(ISNUMBER(IQ87),ISNUMBER(IO87)),IQ87-IO87,"")</f>
        <v>0</v>
      </c>
      <c r="IQ87" s="33"/>
      <c r="IR87" s="34">
        <f>IF(AND(ISNUMBER(IS87),ISNUMBER(IQ87)),IS87-IQ87,"")</f>
        <v>0</v>
      </c>
      <c r="IS87" s="33"/>
      <c r="IT87" s="34">
        <f>IF(AND(ISNUMBER(IU87),ISNUMBER(IS87)),IU87-IS87,"")</f>
        <v>0</v>
      </c>
      <c r="IU87" s="33"/>
      <c r="IV87" s="34">
        <f>IF(AND(ISNUMBER(IW87),ISNUMBER(IU87)),IW87-IU87,"")</f>
        <v>0</v>
      </c>
      <c r="IW87" s="33"/>
      <c r="IX87" s="34">
        <f>IF(AND(ISNUMBER(IY87),ISNUMBER(IW87)),IY87-IW87,"")</f>
        <v>0</v>
      </c>
      <c r="IY87" s="33"/>
      <c r="IZ87" s="34">
        <f>IF(AND(ISNUMBER(JA87),ISNUMBER(IY87)),JA87-IY87,"")</f>
        <v>0</v>
      </c>
      <c r="JA87" s="33"/>
      <c r="JB87" s="34">
        <f>IF(AND(ISNUMBER(JC87),ISNUMBER(JA87)),JC87-JA87,"")</f>
        <v>0</v>
      </c>
      <c r="JC87" s="33"/>
      <c r="JD87" s="34">
        <f>IF(AND(ISNUMBER(JE87),ISNUMBER(JC87)),JE87-JC87,"")</f>
        <v>0</v>
      </c>
      <c r="JE87" s="33"/>
      <c r="JF87" s="34">
        <f>IF(AND(ISNUMBER(JG87),ISNUMBER(JE87)),JG87-JE87,"")</f>
        <v>0</v>
      </c>
      <c r="JG87" s="33"/>
      <c r="JH87" s="34">
        <f>IF(AND(ISNUMBER(JI87),ISNUMBER(JG87)),JI87-JG87,"")</f>
        <v>0</v>
      </c>
      <c r="JI87" s="33"/>
      <c r="JJ87" s="34">
        <f>IF(AND(ISNUMBER(JK87),ISNUMBER(JI87)),JK87-JI87,"")</f>
        <v>0</v>
      </c>
      <c r="JK87" s="33"/>
      <c r="JL87" s="34">
        <f>IF(AND(ISNUMBER(JM87),ISNUMBER(JK87)),JM87-JK87,"")</f>
        <v>0</v>
      </c>
      <c r="JM87" s="33"/>
      <c r="JN87" s="34">
        <f>IF(AND(ISNUMBER(JO87),ISNUMBER(JM87)),JO87-JM87,"")</f>
        <v>0</v>
      </c>
      <c r="JO87" s="33"/>
      <c r="JP87" s="34">
        <f>IF(AND(ISNUMBER(JQ87),ISNUMBER(JO87)),JQ87-JO87,"")</f>
        <v>0</v>
      </c>
      <c r="JQ87" s="33"/>
      <c r="JR87" s="34">
        <f>IF(AND(ISNUMBER(JS87),ISNUMBER(JQ87)),JS87-JQ87,"")</f>
        <v>0</v>
      </c>
      <c r="JS87" s="33">
        <v>2331</v>
      </c>
      <c r="JT87" s="34">
        <f>IF(AND(ISNUMBER(JU87),ISNUMBER(JS87)),JU87-JS87,"")</f>
        <v>0</v>
      </c>
      <c r="JU87" s="33">
        <v>4535</v>
      </c>
      <c r="JV87" s="34">
        <f>IF(AND(ISNUMBER(JW87),ISNUMBER(JU87)),JW87-JU87,"")</f>
        <v>0</v>
      </c>
      <c r="JW87" s="33">
        <v>3199</v>
      </c>
      <c r="JX87" s="34">
        <f>IF(AND(ISNUMBER(JY87),ISNUMBER(JW87)),JY87-JW87,"")</f>
        <v>0</v>
      </c>
      <c r="JY87" s="33"/>
      <c r="JZ87" s="34">
        <f>IF(AND(ISNUMBER(KA87),ISNUMBER(JY87)),KA87-JY87,"")</f>
        <v>0</v>
      </c>
      <c r="KA87" s="33"/>
      <c r="KB87" s="34">
        <f>IF(AND(ISNUMBER(KC87),ISNUMBER(KA87)),KC87-KA87,"")</f>
        <v>0</v>
      </c>
      <c r="KC87" s="33"/>
      <c r="KD87" s="34">
        <f>IF(AND(ISNUMBER(KE87),ISNUMBER(KC87)),KE87-KC87,"")</f>
        <v>0</v>
      </c>
      <c r="KE87" s="33"/>
      <c r="KF87" s="34">
        <f>IF(AND(ISNUMBER(KG87),ISNUMBER(KE87)),KG87-KE87,"")</f>
        <v>0</v>
      </c>
      <c r="KG87" s="33"/>
      <c r="KH87" s="34">
        <f>IF(AND(ISNUMBER(KI87),ISNUMBER(KG87)),KI87-KG87,"")</f>
        <v>0</v>
      </c>
      <c r="KI87" s="33"/>
      <c r="KJ87" s="34">
        <f>IF(AND(ISNUMBER(KK87),ISNUMBER(KI87)),KK87-KI87,"")</f>
        <v>0</v>
      </c>
      <c r="KK87" s="33"/>
      <c r="KL87" s="34">
        <f>IF(AND(ISNUMBER(KM87),ISNUMBER(KK87)),KM87-KK87,"")</f>
        <v>0</v>
      </c>
      <c r="KM87" s="33"/>
      <c r="KN87" s="34">
        <f>IF(AND(ISNUMBER(KO87),ISNUMBER(KM87)),KO87-KM87,"")</f>
        <v>0</v>
      </c>
      <c r="KO87" s="33"/>
      <c r="KP87" s="34">
        <f>IF(AND(ISNUMBER(KQ87),ISNUMBER(KO87)),KQ87-KO87,"")</f>
        <v>0</v>
      </c>
      <c r="KQ87" s="33"/>
      <c r="KR87" s="34">
        <f>IF(AND(ISNUMBER(KS87),ISNUMBER(KQ87)),KS87-KQ87,"")</f>
        <v>0</v>
      </c>
      <c r="KS87" s="33"/>
      <c r="KT87" s="34">
        <f>IF(AND(ISNUMBER(KU87),ISNUMBER(KS87)),KU87-KS87,"")</f>
        <v>0</v>
      </c>
      <c r="KU87" s="33"/>
      <c r="KV87" s="34">
        <f>IF(AND(ISNUMBER(KW87),ISNUMBER(KU87)),KW87-KU87,"")</f>
        <v>0</v>
      </c>
      <c r="KW87" s="33"/>
      <c r="KX87" s="34">
        <f>IF(AND(ISNUMBER(KY87),ISNUMBER(KW87)),KY87-KW87,"")</f>
        <v>0</v>
      </c>
      <c r="KY87" s="33"/>
      <c r="KZ87" s="34">
        <f>IF(AND(ISNUMBER(LA87),ISNUMBER(KY87)),LA87-KY87,"")</f>
        <v>0</v>
      </c>
      <c r="LA87" s="33"/>
      <c r="LB87" s="34">
        <f>IF(AND(ISNUMBER(LC87),ISNUMBER(LA87)),LC87-LA87,"")</f>
        <v>0</v>
      </c>
      <c r="LC87" s="33"/>
      <c r="LD87" s="34">
        <f>IF(AND(ISNUMBER(LE87),ISNUMBER(LC87)),LE87-LC87,"")</f>
        <v>0</v>
      </c>
      <c r="LE87" s="33"/>
      <c r="LF87" s="34">
        <f>IF(AND(ISNUMBER(LG87),ISNUMBER(LE87)),LG87-LE87,"")</f>
        <v>0</v>
      </c>
      <c r="LG87" s="33"/>
    </row>
    <row r="88" spans="1:322">
      <c r="A88" s="36" t="s">
        <v>263</v>
      </c>
      <c r="B88" s="23"/>
      <c r="C88" s="31" t="s">
        <v>786</v>
      </c>
      <c r="D88" s="31" t="s">
        <v>814</v>
      </c>
      <c r="E88" s="32" t="s">
        <v>1036</v>
      </c>
      <c r="H88" s="38" t="s">
        <v>1082</v>
      </c>
      <c r="I88" s="33"/>
      <c r="J88" s="34">
        <f>IF(AND(ISNUMBER(K88),ISNUMBER(I88)),K88-I88,"")</f>
        <v>0</v>
      </c>
      <c r="K88" s="33"/>
      <c r="L88" s="34">
        <f>IF(AND(ISNUMBER(M88),ISNUMBER(K88)),M88-K88,"")</f>
        <v>0</v>
      </c>
      <c r="M88" s="33"/>
      <c r="N88" s="34">
        <f>IF(AND(ISNUMBER(O88),ISNUMBER(M88)),O88-M88,"")</f>
        <v>0</v>
      </c>
      <c r="O88" s="33"/>
      <c r="P88" s="34">
        <f>IF(AND(ISNUMBER(Q88),ISNUMBER(O88)),Q88-O88,"")</f>
        <v>0</v>
      </c>
      <c r="Q88" s="33"/>
      <c r="R88" s="34">
        <f>IF(AND(ISNUMBER(S88),ISNUMBER(Q88)),S88-Q88,"")</f>
        <v>0</v>
      </c>
      <c r="S88" s="33"/>
      <c r="T88" s="34">
        <f>IF(AND(ISNUMBER(U88),ISNUMBER(S88)),U88-S88,"")</f>
        <v>0</v>
      </c>
      <c r="U88" s="33"/>
      <c r="V88" s="34">
        <f>IF(AND(ISNUMBER(W88),ISNUMBER(U88)),W88-U88,"")</f>
        <v>0</v>
      </c>
      <c r="W88" s="33"/>
      <c r="X88" s="34">
        <f>IF(AND(ISNUMBER(Y88),ISNUMBER(W88)),Y88-W88,"")</f>
        <v>0</v>
      </c>
      <c r="Y88" s="33"/>
      <c r="Z88" s="34">
        <f>IF(AND(ISNUMBER(AA88),ISNUMBER(Y88)),AA88-Y88,"")</f>
        <v>0</v>
      </c>
      <c r="AA88" s="33"/>
      <c r="AB88" s="34">
        <f>IF(AND(ISNUMBER(AC88),ISNUMBER(AA88)),AC88-AA88,"")</f>
        <v>0</v>
      </c>
      <c r="AC88" s="33"/>
      <c r="AD88" s="34">
        <f>IF(AND(ISNUMBER(AE88),ISNUMBER(AC88)),AE88-AC88,"")</f>
        <v>0</v>
      </c>
      <c r="AE88" s="33"/>
      <c r="AF88" s="34">
        <f>IF(AND(ISNUMBER(AG88),ISNUMBER(AE88)),AG88-AE88,"")</f>
        <v>0</v>
      </c>
      <c r="AG88" s="33"/>
      <c r="AH88" s="34">
        <f>IF(AND(ISNUMBER(AI88),ISNUMBER(AG88)),AI88-AG88,"")</f>
        <v>0</v>
      </c>
      <c r="AI88" s="33"/>
      <c r="AJ88" s="34">
        <f>IF(AND(ISNUMBER(AK88),ISNUMBER(AI88)),AK88-AI88,"")</f>
        <v>0</v>
      </c>
      <c r="AK88" s="33"/>
      <c r="AL88" s="34">
        <f>IF(AND(ISNUMBER(AM88),ISNUMBER(AK88)),AM88-AK88,"")</f>
        <v>0</v>
      </c>
      <c r="AM88" s="33"/>
      <c r="AN88" s="34">
        <f>IF(AND(ISNUMBER(AO88),ISNUMBER(AM88)),AO88-AM88,"")</f>
        <v>0</v>
      </c>
      <c r="AO88" s="33"/>
      <c r="AP88" s="34">
        <f>IF(AND(ISNUMBER(AQ88),ISNUMBER(AO88)),AQ88-AO88,"")</f>
        <v>0</v>
      </c>
      <c r="AQ88" s="33"/>
      <c r="AR88" s="34">
        <f>IF(AND(ISNUMBER(AS88),ISNUMBER(AQ88)),AS88-AQ88,"")</f>
        <v>0</v>
      </c>
      <c r="AS88" s="33"/>
      <c r="AT88" s="34">
        <f>IF(AND(ISNUMBER(AU88),ISNUMBER(AS88)),AU88-AS88,"")</f>
        <v>0</v>
      </c>
      <c r="AU88" s="33"/>
      <c r="AV88" s="34">
        <f>IF(AND(ISNUMBER(AW88),ISNUMBER(AU88)),AW88-AU88,"")</f>
        <v>0</v>
      </c>
      <c r="AW88" s="33"/>
      <c r="AX88" s="34">
        <f>IF(AND(ISNUMBER(AY88),ISNUMBER(AW88)),AY88-AW88,"")</f>
        <v>0</v>
      </c>
      <c r="AY88" s="33"/>
      <c r="AZ88" s="34">
        <f>IF(AND(ISNUMBER(BA88),ISNUMBER(AY88)),BA88-AY88,"")</f>
        <v>0</v>
      </c>
      <c r="BA88" s="33"/>
      <c r="BB88" s="34">
        <f>IF(AND(ISNUMBER(BC88),ISNUMBER(BA88)),BC88-BA88,"")</f>
        <v>0</v>
      </c>
      <c r="BC88" s="33"/>
      <c r="BD88" s="34">
        <f>IF(AND(ISNUMBER(BE88),ISNUMBER(BC88)),BE88-BC88,"")</f>
        <v>0</v>
      </c>
      <c r="BE88" s="33"/>
      <c r="BF88" s="34">
        <f>IF(AND(ISNUMBER(BG88),ISNUMBER(BE88)),BG88-BE88,"")</f>
        <v>0</v>
      </c>
      <c r="BG88" s="33"/>
      <c r="BH88" s="34">
        <f>IF(AND(ISNUMBER(BI88),ISNUMBER(BG88)),BI88-BG88,"")</f>
        <v>0</v>
      </c>
      <c r="BI88" s="33"/>
      <c r="BJ88" s="34">
        <f>IF(AND(ISNUMBER(BK88),ISNUMBER(BI88)),BK88-BI88,"")</f>
        <v>0</v>
      </c>
      <c r="BK88" s="33"/>
      <c r="BL88" s="34">
        <f>IF(AND(ISNUMBER(BM88),ISNUMBER(BK88)),BM88-BK88,"")</f>
        <v>0</v>
      </c>
      <c r="BM88" s="33"/>
      <c r="BN88" s="34">
        <f>IF(AND(ISNUMBER(BO88),ISNUMBER(BM88)),BO88-BM88,"")</f>
        <v>0</v>
      </c>
      <c r="BO88" s="33"/>
      <c r="BP88" s="34">
        <f>IF(AND(ISNUMBER(BQ88),ISNUMBER(BO88)),BQ88-BO88,"")</f>
        <v>0</v>
      </c>
      <c r="BQ88" s="33"/>
      <c r="BR88" s="34">
        <f>IF(AND(ISNUMBER(BS88),ISNUMBER(BQ88)),BS88-BQ88,"")</f>
        <v>0</v>
      </c>
      <c r="BS88" s="33"/>
      <c r="BT88" s="34">
        <f>IF(AND(ISNUMBER(BU88),ISNUMBER(BS88)),BU88-BS88,"")</f>
        <v>0</v>
      </c>
      <c r="BU88" s="33"/>
      <c r="BV88" s="34">
        <f>IF(AND(ISNUMBER(BW88),ISNUMBER(BU88)),BW88-BU88,"")</f>
        <v>0</v>
      </c>
      <c r="BW88" s="33"/>
      <c r="BX88" s="34">
        <f>IF(AND(ISNUMBER(BY88),ISNUMBER(BW88)),BY88-BW88,"")</f>
        <v>0</v>
      </c>
      <c r="BY88" s="33"/>
      <c r="BZ88" s="34">
        <f>IF(AND(ISNUMBER(CA88),ISNUMBER(BY88)),CA88-BY88,"")</f>
        <v>0</v>
      </c>
      <c r="CA88" s="33"/>
      <c r="CB88" s="34">
        <f>IF(AND(ISNUMBER(CC88),ISNUMBER(CA88)),CC88-CA88,"")</f>
        <v>0</v>
      </c>
      <c r="CC88" s="33"/>
      <c r="CD88" s="34">
        <f>IF(AND(ISNUMBER(CE88),ISNUMBER(CC88)),CE88-CC88,"")</f>
        <v>0</v>
      </c>
      <c r="CE88" s="33"/>
      <c r="CF88" s="34">
        <f>IF(AND(ISNUMBER(CG88),ISNUMBER(CE88)),CG88-CE88,"")</f>
        <v>0</v>
      </c>
      <c r="CG88" s="33"/>
      <c r="CH88" s="34">
        <f>IF(AND(ISNUMBER(CI88),ISNUMBER(CG88)),CI88-CG88,"")</f>
        <v>0</v>
      </c>
      <c r="CI88" s="33"/>
      <c r="CJ88" s="34">
        <f>IF(AND(ISNUMBER(CK88),ISNUMBER(CI88)),CK88-CI88,"")</f>
        <v>0</v>
      </c>
      <c r="CK88" s="33"/>
      <c r="CL88" s="34">
        <f>IF(AND(ISNUMBER(CM88),ISNUMBER(CK88)),CM88-CK88,"")</f>
        <v>0</v>
      </c>
      <c r="CM88" s="33"/>
      <c r="CN88" s="34">
        <f>IF(AND(ISNUMBER(CO88),ISNUMBER(CM88)),CO88-CM88,"")</f>
        <v>0</v>
      </c>
      <c r="CO88" s="33"/>
      <c r="CP88" s="34">
        <f>IF(AND(ISNUMBER(CQ88),ISNUMBER(CO88)),CQ88-CO88,"")</f>
        <v>0</v>
      </c>
      <c r="CQ88" s="33"/>
      <c r="CR88" s="34">
        <f>IF(AND(ISNUMBER(CS88),ISNUMBER(CQ88)),CS88-CQ88,"")</f>
        <v>0</v>
      </c>
      <c r="CS88" s="33"/>
      <c r="CT88" s="34">
        <f>IF(AND(ISNUMBER(CU88),ISNUMBER(CS88)),CU88-CS88,"")</f>
        <v>0</v>
      </c>
      <c r="CU88" s="33"/>
      <c r="CV88" s="34">
        <f>IF(AND(ISNUMBER(CW88),ISNUMBER(CU88)),CW88-CU88,"")</f>
        <v>0</v>
      </c>
      <c r="CW88" s="33"/>
      <c r="CX88" s="34">
        <f>IF(AND(ISNUMBER(CY88),ISNUMBER(CW88)),CY88-CW88,"")</f>
        <v>0</v>
      </c>
      <c r="CY88" s="33"/>
      <c r="CZ88" s="34">
        <f>IF(AND(ISNUMBER(DA88),ISNUMBER(CY88)),DA88-CY88,"")</f>
        <v>0</v>
      </c>
      <c r="DA88" s="33"/>
      <c r="DB88" s="34">
        <f>IF(AND(ISNUMBER(DC88),ISNUMBER(DA88)),DC88-DA88,"")</f>
        <v>0</v>
      </c>
      <c r="DC88" s="33"/>
      <c r="DD88" s="34">
        <f>IF(AND(ISNUMBER(DE88),ISNUMBER(DC88)),DE88-DC88,"")</f>
        <v>0</v>
      </c>
      <c r="DE88" s="33"/>
      <c r="DF88" s="34">
        <f>IF(AND(ISNUMBER(DG88),ISNUMBER(DE88)),DG88-DE88,"")</f>
        <v>0</v>
      </c>
      <c r="DG88" s="33"/>
      <c r="DH88" s="34">
        <f>IF(AND(ISNUMBER(DI88),ISNUMBER(DG88)),DI88-DG88,"")</f>
        <v>0</v>
      </c>
      <c r="DI88" s="33"/>
      <c r="DJ88" s="34">
        <f>IF(AND(ISNUMBER(DK88),ISNUMBER(DI88)),DK88-DI88,"")</f>
        <v>0</v>
      </c>
      <c r="DK88" s="33"/>
      <c r="DL88" s="34">
        <f>IF(AND(ISNUMBER(DM88),ISNUMBER(DK88)),DM88-DK88,"")</f>
        <v>0</v>
      </c>
      <c r="DM88" s="33"/>
      <c r="DN88" s="34">
        <f>IF(AND(ISNUMBER(DO88),ISNUMBER(DM88)),DO88-DM88,"")</f>
        <v>0</v>
      </c>
      <c r="DO88" s="33"/>
      <c r="DP88" s="34">
        <f>IF(AND(ISNUMBER(DQ88),ISNUMBER(DO88)),DQ88-DO88,"")</f>
        <v>0</v>
      </c>
      <c r="DQ88" s="33"/>
      <c r="DR88" s="34">
        <f>IF(AND(ISNUMBER(DS88),ISNUMBER(DQ88)),DS88-DQ88,"")</f>
        <v>0</v>
      </c>
      <c r="DS88" s="33"/>
      <c r="DT88" s="34">
        <f>IF(AND(ISNUMBER(DU88),ISNUMBER(DS88)),DU88-DS88,"")</f>
        <v>0</v>
      </c>
      <c r="DU88" s="33"/>
      <c r="DV88" s="34">
        <f>IF(AND(ISNUMBER(DW88),ISNUMBER(DU88)),DW88-DU88,"")</f>
        <v>0</v>
      </c>
      <c r="DW88" s="33"/>
      <c r="DX88" s="34">
        <f>IF(AND(ISNUMBER(DY88),ISNUMBER(DW88)),DY88-DW88,"")</f>
        <v>0</v>
      </c>
      <c r="DY88" s="33"/>
      <c r="DZ88" s="34">
        <f>IF(AND(ISNUMBER(EA88),ISNUMBER(DY88)),EA88-DY88,"")</f>
        <v>0</v>
      </c>
      <c r="EA88" s="33"/>
      <c r="EB88" s="34">
        <f>IF(AND(ISNUMBER(EC88),ISNUMBER(EA88)),EC88-EA88,"")</f>
        <v>0</v>
      </c>
      <c r="EC88" s="33"/>
      <c r="ED88" s="34">
        <f>IF(AND(ISNUMBER(EE88),ISNUMBER(EC88)),EE88-EC88,"")</f>
        <v>0</v>
      </c>
      <c r="EE88" s="33"/>
      <c r="EF88" s="34">
        <f>IF(AND(ISNUMBER(EG88),ISNUMBER(EE88)),EG88-EE88,"")</f>
        <v>0</v>
      </c>
      <c r="EG88" s="33"/>
      <c r="EH88" s="34">
        <f>IF(AND(ISNUMBER(EI88),ISNUMBER(EG88)),EI88-EG88,"")</f>
        <v>0</v>
      </c>
      <c r="EI88" s="33"/>
      <c r="EJ88" s="34">
        <f>IF(AND(ISNUMBER(EK88),ISNUMBER(EI88)),EK88-EI88,"")</f>
        <v>0</v>
      </c>
      <c r="EK88" s="33"/>
      <c r="EL88" s="34">
        <f>IF(AND(ISNUMBER(EM88),ISNUMBER(EK88)),EM88-EK88,"")</f>
        <v>0</v>
      </c>
      <c r="EM88" s="33"/>
      <c r="EN88" s="34">
        <f>IF(AND(ISNUMBER(EO88),ISNUMBER(EM88)),EO88-EM88,"")</f>
        <v>0</v>
      </c>
      <c r="EO88" s="33"/>
      <c r="EP88" s="34">
        <f>IF(AND(ISNUMBER(EQ88),ISNUMBER(EO88)),EQ88-EO88,"")</f>
        <v>0</v>
      </c>
      <c r="EQ88" s="33"/>
      <c r="ER88" s="34">
        <f>IF(AND(ISNUMBER(ES88),ISNUMBER(EQ88)),ES88-EQ88,"")</f>
        <v>0</v>
      </c>
      <c r="ES88" s="33"/>
      <c r="ET88" s="34">
        <f>IF(AND(ISNUMBER(EU88),ISNUMBER(ES88)),EU88-ES88,"")</f>
        <v>0</v>
      </c>
      <c r="EU88" s="33"/>
      <c r="EV88" s="34">
        <f>IF(AND(ISNUMBER(EW88),ISNUMBER(EU88)),EW88-EU88,"")</f>
        <v>0</v>
      </c>
      <c r="EW88" s="33"/>
      <c r="EX88" s="34">
        <f>IF(AND(ISNUMBER(EY88),ISNUMBER(EW88)),EY88-EW88,"")</f>
        <v>0</v>
      </c>
      <c r="EY88" s="33"/>
      <c r="EZ88" s="34">
        <f>IF(AND(ISNUMBER(FA88),ISNUMBER(EY88)),FA88-EY88,"")</f>
        <v>0</v>
      </c>
      <c r="FA88" s="33"/>
      <c r="FB88" s="34">
        <f>IF(AND(ISNUMBER(FC88),ISNUMBER(FA88)),FC88-FA88,"")</f>
        <v>0</v>
      </c>
      <c r="FC88" s="33"/>
      <c r="FD88" s="34">
        <f>IF(AND(ISNUMBER(FE88),ISNUMBER(FC88)),FE88-FC88,"")</f>
        <v>0</v>
      </c>
      <c r="FE88" s="33"/>
      <c r="FF88" s="34">
        <f>IF(AND(ISNUMBER(FG88),ISNUMBER(FE88)),FG88-FE88,"")</f>
        <v>0</v>
      </c>
      <c r="FG88" s="33"/>
      <c r="FH88" s="34">
        <f>IF(AND(ISNUMBER(FI88),ISNUMBER(FG88)),FI88-FG88,"")</f>
        <v>0</v>
      </c>
      <c r="FI88" s="33"/>
      <c r="FJ88" s="34">
        <f>IF(AND(ISNUMBER(FK88),ISNUMBER(FI88)),FK88-FI88,"")</f>
        <v>0</v>
      </c>
      <c r="FK88" s="33"/>
      <c r="FL88" s="34">
        <f>IF(AND(ISNUMBER(FM88),ISNUMBER(FK88)),FM88-FK88,"")</f>
        <v>0</v>
      </c>
      <c r="FM88" s="33"/>
      <c r="FN88" s="34">
        <f>IF(AND(ISNUMBER(FO88),ISNUMBER(FM88)),FO88-FM88,"")</f>
        <v>0</v>
      </c>
      <c r="FO88" s="33"/>
      <c r="FP88" s="34">
        <f>IF(AND(ISNUMBER(FQ88),ISNUMBER(FO88)),FQ88-FO88,"")</f>
        <v>0</v>
      </c>
      <c r="FQ88" s="33"/>
      <c r="FR88" s="34">
        <f>IF(AND(ISNUMBER(FS88),ISNUMBER(FQ88)),FS88-FQ88,"")</f>
        <v>0</v>
      </c>
      <c r="FS88" s="33"/>
      <c r="FT88" s="34">
        <f>IF(AND(ISNUMBER(FU88),ISNUMBER(FS88)),FU88-FS88,"")</f>
        <v>0</v>
      </c>
      <c r="FU88" s="33"/>
      <c r="FV88" s="34">
        <f>IF(AND(ISNUMBER(FW88),ISNUMBER(FU88)),FW88-FU88,"")</f>
        <v>0</v>
      </c>
      <c r="FW88" s="33"/>
      <c r="FX88" s="34">
        <f>IF(AND(ISNUMBER(FY88),ISNUMBER(FW88)),FY88-FW88,"")</f>
        <v>0</v>
      </c>
      <c r="FY88" s="33"/>
      <c r="FZ88" s="34">
        <f>IF(AND(ISNUMBER(GA88),ISNUMBER(FY88)),GA88-FY88,"")</f>
        <v>0</v>
      </c>
      <c r="GA88" s="33"/>
      <c r="GB88" s="34">
        <f>IF(AND(ISNUMBER(GC88),ISNUMBER(GA88)),GC88-GA88,"")</f>
        <v>0</v>
      </c>
      <c r="GC88" s="33"/>
      <c r="GD88" s="34">
        <f>IF(AND(ISNUMBER(GE88),ISNUMBER(GC88)),GE88-GC88,"")</f>
        <v>0</v>
      </c>
      <c r="GE88" s="33"/>
      <c r="GF88" s="34">
        <f>IF(AND(ISNUMBER(GG88),ISNUMBER(GE88)),GG88-GE88,"")</f>
        <v>0</v>
      </c>
      <c r="GG88" s="33"/>
      <c r="GH88" s="34">
        <f>IF(AND(ISNUMBER(GI88),ISNUMBER(GG88)),GI88-GG88,"")</f>
        <v>0</v>
      </c>
      <c r="GI88" s="33"/>
      <c r="GJ88" s="34">
        <f>IF(AND(ISNUMBER(GK88),ISNUMBER(GI88)),GK88-GI88,"")</f>
        <v>0</v>
      </c>
      <c r="GK88" s="33"/>
      <c r="GL88" s="34">
        <f>IF(AND(ISNUMBER(GM88),ISNUMBER(GK88)),GM88-GK88,"")</f>
        <v>0</v>
      </c>
      <c r="GM88" s="33"/>
      <c r="GN88" s="34">
        <f>IF(AND(ISNUMBER(GO88),ISNUMBER(GM88)),GO88-GM88,"")</f>
        <v>0</v>
      </c>
      <c r="GO88" s="33"/>
      <c r="GP88" s="34">
        <f>IF(AND(ISNUMBER(GQ88),ISNUMBER(GO88)),GQ88-GO88,"")</f>
        <v>0</v>
      </c>
      <c r="GQ88" s="33"/>
      <c r="GR88" s="34">
        <f>IF(AND(ISNUMBER(GS88),ISNUMBER(GQ88)),GS88-GQ88,"")</f>
        <v>0</v>
      </c>
      <c r="GS88" s="33"/>
      <c r="GT88" s="34">
        <f>IF(AND(ISNUMBER(GU88),ISNUMBER(GS88)),GU88-GS88,"")</f>
        <v>0</v>
      </c>
      <c r="GU88" s="33"/>
      <c r="GV88" s="34">
        <f>IF(AND(ISNUMBER(GW88),ISNUMBER(GU88)),GW88-GU88,"")</f>
        <v>0</v>
      </c>
      <c r="GW88" s="33"/>
      <c r="GX88" s="34">
        <f>IF(AND(ISNUMBER(GY88),ISNUMBER(GW88)),GY88-GW88,"")</f>
        <v>0</v>
      </c>
      <c r="GY88" s="33"/>
      <c r="GZ88" s="34">
        <f>IF(AND(ISNUMBER(HA88),ISNUMBER(GY88)),HA88-GY88,"")</f>
        <v>0</v>
      </c>
      <c r="HA88" s="33"/>
      <c r="HB88" s="34">
        <f>IF(AND(ISNUMBER(HC88),ISNUMBER(HA88)),HC88-HA88,"")</f>
        <v>0</v>
      </c>
      <c r="HC88" s="33"/>
      <c r="HD88" s="34">
        <f>IF(AND(ISNUMBER(HE88),ISNUMBER(HC88)),HE88-HC88,"")</f>
        <v>0</v>
      </c>
      <c r="HE88" s="33"/>
      <c r="HF88" s="34">
        <f>IF(AND(ISNUMBER(HG88),ISNUMBER(HE88)),HG88-HE88,"")</f>
        <v>0</v>
      </c>
      <c r="HG88" s="33"/>
      <c r="HH88" s="34">
        <f>IF(AND(ISNUMBER(HI88),ISNUMBER(HG88)),HI88-HG88,"")</f>
        <v>0</v>
      </c>
      <c r="HI88" s="33"/>
      <c r="HJ88" s="34">
        <f>IF(AND(ISNUMBER(HK88),ISNUMBER(HI88)),HK88-HI88,"")</f>
        <v>0</v>
      </c>
      <c r="HK88" s="33"/>
      <c r="HL88" s="34">
        <f>IF(AND(ISNUMBER(HM88),ISNUMBER(HK88)),HM88-HK88,"")</f>
        <v>0</v>
      </c>
      <c r="HM88" s="33"/>
      <c r="HN88" s="34">
        <f>IF(AND(ISNUMBER(HO88),ISNUMBER(HM88)),HO88-HM88,"")</f>
        <v>0</v>
      </c>
      <c r="HO88" s="33"/>
      <c r="HP88" s="34">
        <f>IF(AND(ISNUMBER(HQ88),ISNUMBER(HO88)),HQ88-HO88,"")</f>
        <v>0</v>
      </c>
      <c r="HQ88" s="33"/>
      <c r="HR88" s="34">
        <f>IF(AND(ISNUMBER(HS88),ISNUMBER(HQ88)),HS88-HQ88,"")</f>
        <v>0</v>
      </c>
      <c r="HS88" s="33"/>
      <c r="HT88" s="34">
        <f>IF(AND(ISNUMBER(HU88),ISNUMBER(HS88)),HU88-HS88,"")</f>
        <v>0</v>
      </c>
      <c r="HU88" s="33"/>
      <c r="HV88" s="34">
        <f>IF(AND(ISNUMBER(HW88),ISNUMBER(HU88)),HW88-HU88,"")</f>
        <v>0</v>
      </c>
      <c r="HW88" s="33"/>
      <c r="HX88" s="34">
        <f>IF(AND(ISNUMBER(HY88),ISNUMBER(HW88)),HY88-HW88,"")</f>
        <v>0</v>
      </c>
      <c r="HY88" s="33"/>
      <c r="HZ88" s="34">
        <f>IF(AND(ISNUMBER(IA88),ISNUMBER(HY88)),IA88-HY88,"")</f>
        <v>0</v>
      </c>
      <c r="IA88" s="33"/>
      <c r="IB88" s="34">
        <f>IF(AND(ISNUMBER(IC88),ISNUMBER(IA88)),IC88-IA88,"")</f>
        <v>0</v>
      </c>
      <c r="IC88" s="33"/>
      <c r="ID88" s="34">
        <f>IF(AND(ISNUMBER(IE88),ISNUMBER(IC88)),IE88-IC88,"")</f>
        <v>0</v>
      </c>
      <c r="IE88" s="33"/>
      <c r="IF88" s="34">
        <f>IF(AND(ISNUMBER(IG88),ISNUMBER(IE88)),IG88-IE88,"")</f>
        <v>0</v>
      </c>
      <c r="IG88" s="33"/>
      <c r="IH88" s="34">
        <f>IF(AND(ISNUMBER(II88),ISNUMBER(IG88)),II88-IG88,"")</f>
        <v>0</v>
      </c>
      <c r="II88" s="33"/>
      <c r="IJ88" s="34">
        <f>IF(AND(ISNUMBER(IK88),ISNUMBER(II88)),IK88-II88,"")</f>
        <v>0</v>
      </c>
      <c r="IK88" s="33"/>
      <c r="IL88" s="34">
        <f>IF(AND(ISNUMBER(IM88),ISNUMBER(IK88)),IM88-IK88,"")</f>
        <v>0</v>
      </c>
      <c r="IM88" s="33"/>
      <c r="IN88" s="34">
        <f>IF(AND(ISNUMBER(IO88),ISNUMBER(IM88)),IO88-IM88,"")</f>
        <v>0</v>
      </c>
      <c r="IO88" s="33"/>
      <c r="IP88" s="34">
        <f>IF(AND(ISNUMBER(IQ88),ISNUMBER(IO88)),IQ88-IO88,"")</f>
        <v>0</v>
      </c>
      <c r="IQ88" s="33"/>
      <c r="IR88" s="34">
        <f>IF(AND(ISNUMBER(IS88),ISNUMBER(IQ88)),IS88-IQ88,"")</f>
        <v>0</v>
      </c>
      <c r="IS88" s="33"/>
      <c r="IT88" s="34">
        <f>IF(AND(ISNUMBER(IU88),ISNUMBER(IS88)),IU88-IS88,"")</f>
        <v>0</v>
      </c>
      <c r="IU88" s="33"/>
      <c r="IV88" s="34">
        <f>IF(AND(ISNUMBER(IW88),ISNUMBER(IU88)),IW88-IU88,"")</f>
        <v>0</v>
      </c>
      <c r="IW88" s="33"/>
      <c r="IX88" s="34">
        <f>IF(AND(ISNUMBER(IY88),ISNUMBER(IW88)),IY88-IW88,"")</f>
        <v>0</v>
      </c>
      <c r="IY88" s="33"/>
      <c r="IZ88" s="34">
        <f>IF(AND(ISNUMBER(JA88),ISNUMBER(IY88)),JA88-IY88,"")</f>
        <v>0</v>
      </c>
      <c r="JA88" s="33"/>
      <c r="JB88" s="34">
        <f>IF(AND(ISNUMBER(JC88),ISNUMBER(JA88)),JC88-JA88,"")</f>
        <v>0</v>
      </c>
      <c r="JC88" s="33"/>
      <c r="JD88" s="34">
        <f>IF(AND(ISNUMBER(JE88),ISNUMBER(JC88)),JE88-JC88,"")</f>
        <v>0</v>
      </c>
      <c r="JE88" s="33"/>
      <c r="JF88" s="34">
        <f>IF(AND(ISNUMBER(JG88),ISNUMBER(JE88)),JG88-JE88,"")</f>
        <v>0</v>
      </c>
      <c r="JG88" s="33"/>
      <c r="JH88" s="34">
        <f>IF(AND(ISNUMBER(JI88),ISNUMBER(JG88)),JI88-JG88,"")</f>
        <v>0</v>
      </c>
      <c r="JI88" s="33"/>
      <c r="JJ88" s="34">
        <f>IF(AND(ISNUMBER(JK88),ISNUMBER(JI88)),JK88-JI88,"")</f>
        <v>0</v>
      </c>
      <c r="JK88" s="33"/>
      <c r="JL88" s="34">
        <f>IF(AND(ISNUMBER(JM88),ISNUMBER(JK88)),JM88-JK88,"")</f>
        <v>0</v>
      </c>
      <c r="JM88" s="33"/>
      <c r="JN88" s="34">
        <f>IF(AND(ISNUMBER(JO88),ISNUMBER(JM88)),JO88-JM88,"")</f>
        <v>0</v>
      </c>
      <c r="JO88" s="33"/>
      <c r="JP88" s="34">
        <f>IF(AND(ISNUMBER(JQ88),ISNUMBER(JO88)),JQ88-JO88,"")</f>
        <v>0</v>
      </c>
      <c r="JQ88" s="33"/>
      <c r="JR88" s="34">
        <f>IF(AND(ISNUMBER(JS88),ISNUMBER(JQ88)),JS88-JQ88,"")</f>
        <v>0</v>
      </c>
      <c r="JS88" s="33">
        <v>493</v>
      </c>
      <c r="JT88" s="34">
        <f>IF(AND(ISNUMBER(JU88),ISNUMBER(JS88)),JU88-JS88,"")</f>
        <v>0</v>
      </c>
      <c r="JU88" s="33">
        <v>912</v>
      </c>
      <c r="JV88" s="34">
        <f>IF(AND(ISNUMBER(JW88),ISNUMBER(JU88)),JW88-JU88,"")</f>
        <v>0</v>
      </c>
      <c r="JW88" s="33">
        <v>1282</v>
      </c>
      <c r="JX88" s="34">
        <f>IF(AND(ISNUMBER(JY88),ISNUMBER(JW88)),JY88-JW88,"")</f>
        <v>0</v>
      </c>
      <c r="JY88" s="33"/>
      <c r="JZ88" s="34">
        <f>IF(AND(ISNUMBER(KA88),ISNUMBER(JY88)),KA88-JY88,"")</f>
        <v>0</v>
      </c>
      <c r="KA88" s="33"/>
      <c r="KB88" s="34">
        <f>IF(AND(ISNUMBER(KC88),ISNUMBER(KA88)),KC88-KA88,"")</f>
        <v>0</v>
      </c>
      <c r="KC88" s="33"/>
      <c r="KD88" s="34">
        <f>IF(AND(ISNUMBER(KE88),ISNUMBER(KC88)),KE88-KC88,"")</f>
        <v>0</v>
      </c>
      <c r="KE88" s="33"/>
      <c r="KF88" s="34">
        <f>IF(AND(ISNUMBER(KG88),ISNUMBER(KE88)),KG88-KE88,"")</f>
        <v>0</v>
      </c>
      <c r="KG88" s="33"/>
      <c r="KH88" s="34">
        <f>IF(AND(ISNUMBER(KI88),ISNUMBER(KG88)),KI88-KG88,"")</f>
        <v>0</v>
      </c>
      <c r="KI88" s="33"/>
      <c r="KJ88" s="34">
        <f>IF(AND(ISNUMBER(KK88),ISNUMBER(KI88)),KK88-KI88,"")</f>
        <v>0</v>
      </c>
      <c r="KK88" s="33"/>
      <c r="KL88" s="34">
        <f>IF(AND(ISNUMBER(KM88),ISNUMBER(KK88)),KM88-KK88,"")</f>
        <v>0</v>
      </c>
      <c r="KM88" s="33"/>
      <c r="KN88" s="34">
        <f>IF(AND(ISNUMBER(KO88),ISNUMBER(KM88)),KO88-KM88,"")</f>
        <v>0</v>
      </c>
      <c r="KO88" s="33"/>
      <c r="KP88" s="34">
        <f>IF(AND(ISNUMBER(KQ88),ISNUMBER(KO88)),KQ88-KO88,"")</f>
        <v>0</v>
      </c>
      <c r="KQ88" s="33"/>
      <c r="KR88" s="34">
        <f>IF(AND(ISNUMBER(KS88),ISNUMBER(KQ88)),KS88-KQ88,"")</f>
        <v>0</v>
      </c>
      <c r="KS88" s="33"/>
      <c r="KT88" s="34">
        <f>IF(AND(ISNUMBER(KU88),ISNUMBER(KS88)),KU88-KS88,"")</f>
        <v>0</v>
      </c>
      <c r="KU88" s="33"/>
      <c r="KV88" s="34">
        <f>IF(AND(ISNUMBER(KW88),ISNUMBER(KU88)),KW88-KU88,"")</f>
        <v>0</v>
      </c>
      <c r="KW88" s="33"/>
      <c r="KX88" s="34">
        <f>IF(AND(ISNUMBER(KY88),ISNUMBER(KW88)),KY88-KW88,"")</f>
        <v>0</v>
      </c>
      <c r="KY88" s="33"/>
      <c r="KZ88" s="34">
        <f>IF(AND(ISNUMBER(LA88),ISNUMBER(KY88)),LA88-KY88,"")</f>
        <v>0</v>
      </c>
      <c r="LA88" s="33"/>
      <c r="LB88" s="34">
        <f>IF(AND(ISNUMBER(LC88),ISNUMBER(LA88)),LC88-LA88,"")</f>
        <v>0</v>
      </c>
      <c r="LC88" s="33"/>
      <c r="LD88" s="34">
        <f>IF(AND(ISNUMBER(LE88),ISNUMBER(LC88)),LE88-LC88,"")</f>
        <v>0</v>
      </c>
      <c r="LE88" s="33"/>
      <c r="LF88" s="34">
        <f>IF(AND(ISNUMBER(LG88),ISNUMBER(LE88)),LG88-LE88,"")</f>
        <v>0</v>
      </c>
      <c r="LG88" s="33"/>
    </row>
    <row r="89" spans="1:322">
      <c r="A89" s="36" t="s">
        <v>267</v>
      </c>
      <c r="B89" s="23"/>
      <c r="C89" s="31" t="s">
        <v>786</v>
      </c>
      <c r="D89" s="31" t="s">
        <v>816</v>
      </c>
      <c r="E89" s="32" t="s">
        <v>1036</v>
      </c>
      <c r="H89" s="38" t="s">
        <v>1082</v>
      </c>
      <c r="I89" s="33"/>
      <c r="J89" s="34">
        <f>IF(AND(ISNUMBER(K89),ISNUMBER(I89)),K89-I89,"")</f>
        <v>0</v>
      </c>
      <c r="K89" s="33"/>
      <c r="L89" s="34">
        <f>IF(AND(ISNUMBER(M89),ISNUMBER(K89)),M89-K89,"")</f>
        <v>0</v>
      </c>
      <c r="M89" s="33"/>
      <c r="N89" s="34">
        <f>IF(AND(ISNUMBER(O89),ISNUMBER(M89)),O89-M89,"")</f>
        <v>0</v>
      </c>
      <c r="O89" s="33"/>
      <c r="P89" s="34">
        <f>IF(AND(ISNUMBER(Q89),ISNUMBER(O89)),Q89-O89,"")</f>
        <v>0</v>
      </c>
      <c r="Q89" s="33"/>
      <c r="R89" s="34">
        <f>IF(AND(ISNUMBER(S89),ISNUMBER(Q89)),S89-Q89,"")</f>
        <v>0</v>
      </c>
      <c r="S89" s="33"/>
      <c r="T89" s="34">
        <f>IF(AND(ISNUMBER(U89),ISNUMBER(S89)),U89-S89,"")</f>
        <v>0</v>
      </c>
      <c r="U89" s="33"/>
      <c r="V89" s="34">
        <f>IF(AND(ISNUMBER(W89),ISNUMBER(U89)),W89-U89,"")</f>
        <v>0</v>
      </c>
      <c r="W89" s="33"/>
      <c r="X89" s="34">
        <f>IF(AND(ISNUMBER(Y89),ISNUMBER(W89)),Y89-W89,"")</f>
        <v>0</v>
      </c>
      <c r="Y89" s="33"/>
      <c r="Z89" s="34">
        <f>IF(AND(ISNUMBER(AA89),ISNUMBER(Y89)),AA89-Y89,"")</f>
        <v>0</v>
      </c>
      <c r="AA89" s="33"/>
      <c r="AB89" s="34">
        <f>IF(AND(ISNUMBER(AC89),ISNUMBER(AA89)),AC89-AA89,"")</f>
        <v>0</v>
      </c>
      <c r="AC89" s="33"/>
      <c r="AD89" s="34">
        <f>IF(AND(ISNUMBER(AE89),ISNUMBER(AC89)),AE89-AC89,"")</f>
        <v>0</v>
      </c>
      <c r="AE89" s="33"/>
      <c r="AF89" s="34">
        <f>IF(AND(ISNUMBER(AG89),ISNUMBER(AE89)),AG89-AE89,"")</f>
        <v>0</v>
      </c>
      <c r="AG89" s="33"/>
      <c r="AH89" s="34">
        <f>IF(AND(ISNUMBER(AI89),ISNUMBER(AG89)),AI89-AG89,"")</f>
        <v>0</v>
      </c>
      <c r="AI89" s="33"/>
      <c r="AJ89" s="34">
        <f>IF(AND(ISNUMBER(AK89),ISNUMBER(AI89)),AK89-AI89,"")</f>
        <v>0</v>
      </c>
      <c r="AK89" s="33"/>
      <c r="AL89" s="34">
        <f>IF(AND(ISNUMBER(AM89),ISNUMBER(AK89)),AM89-AK89,"")</f>
        <v>0</v>
      </c>
      <c r="AM89" s="33"/>
      <c r="AN89" s="34">
        <f>IF(AND(ISNUMBER(AO89),ISNUMBER(AM89)),AO89-AM89,"")</f>
        <v>0</v>
      </c>
      <c r="AO89" s="33"/>
      <c r="AP89" s="34">
        <f>IF(AND(ISNUMBER(AQ89),ISNUMBER(AO89)),AQ89-AO89,"")</f>
        <v>0</v>
      </c>
      <c r="AQ89" s="33"/>
      <c r="AR89" s="34">
        <f>IF(AND(ISNUMBER(AS89),ISNUMBER(AQ89)),AS89-AQ89,"")</f>
        <v>0</v>
      </c>
      <c r="AS89" s="33"/>
      <c r="AT89" s="34">
        <f>IF(AND(ISNUMBER(AU89),ISNUMBER(AS89)),AU89-AS89,"")</f>
        <v>0</v>
      </c>
      <c r="AU89" s="33"/>
      <c r="AV89" s="34">
        <f>IF(AND(ISNUMBER(AW89),ISNUMBER(AU89)),AW89-AU89,"")</f>
        <v>0</v>
      </c>
      <c r="AW89" s="33"/>
      <c r="AX89" s="34">
        <f>IF(AND(ISNUMBER(AY89),ISNUMBER(AW89)),AY89-AW89,"")</f>
        <v>0</v>
      </c>
      <c r="AY89" s="33"/>
      <c r="AZ89" s="34">
        <f>IF(AND(ISNUMBER(BA89),ISNUMBER(AY89)),BA89-AY89,"")</f>
        <v>0</v>
      </c>
      <c r="BA89" s="33"/>
      <c r="BB89" s="34">
        <f>IF(AND(ISNUMBER(BC89),ISNUMBER(BA89)),BC89-BA89,"")</f>
        <v>0</v>
      </c>
      <c r="BC89" s="33"/>
      <c r="BD89" s="34">
        <f>IF(AND(ISNUMBER(BE89),ISNUMBER(BC89)),BE89-BC89,"")</f>
        <v>0</v>
      </c>
      <c r="BE89" s="33"/>
      <c r="BF89" s="34">
        <f>IF(AND(ISNUMBER(BG89),ISNUMBER(BE89)),BG89-BE89,"")</f>
        <v>0</v>
      </c>
      <c r="BG89" s="33"/>
      <c r="BH89" s="34">
        <f>IF(AND(ISNUMBER(BI89),ISNUMBER(BG89)),BI89-BG89,"")</f>
        <v>0</v>
      </c>
      <c r="BI89" s="33"/>
      <c r="BJ89" s="34">
        <f>IF(AND(ISNUMBER(BK89),ISNUMBER(BI89)),BK89-BI89,"")</f>
        <v>0</v>
      </c>
      <c r="BK89" s="33"/>
      <c r="BL89" s="34">
        <f>IF(AND(ISNUMBER(BM89),ISNUMBER(BK89)),BM89-BK89,"")</f>
        <v>0</v>
      </c>
      <c r="BM89" s="33"/>
      <c r="BN89" s="34">
        <f>IF(AND(ISNUMBER(BO89),ISNUMBER(BM89)),BO89-BM89,"")</f>
        <v>0</v>
      </c>
      <c r="BO89" s="33"/>
      <c r="BP89" s="34">
        <f>IF(AND(ISNUMBER(BQ89),ISNUMBER(BO89)),BQ89-BO89,"")</f>
        <v>0</v>
      </c>
      <c r="BQ89" s="33"/>
      <c r="BR89" s="34">
        <f>IF(AND(ISNUMBER(BS89),ISNUMBER(BQ89)),BS89-BQ89,"")</f>
        <v>0</v>
      </c>
      <c r="BS89" s="33"/>
      <c r="BT89" s="34">
        <f>IF(AND(ISNUMBER(BU89),ISNUMBER(BS89)),BU89-BS89,"")</f>
        <v>0</v>
      </c>
      <c r="BU89" s="33"/>
      <c r="BV89" s="34">
        <f>IF(AND(ISNUMBER(BW89),ISNUMBER(BU89)),BW89-BU89,"")</f>
        <v>0</v>
      </c>
      <c r="BW89" s="33"/>
      <c r="BX89" s="34">
        <f>IF(AND(ISNUMBER(BY89),ISNUMBER(BW89)),BY89-BW89,"")</f>
        <v>0</v>
      </c>
      <c r="BY89" s="33"/>
      <c r="BZ89" s="34">
        <f>IF(AND(ISNUMBER(CA89),ISNUMBER(BY89)),CA89-BY89,"")</f>
        <v>0</v>
      </c>
      <c r="CA89" s="33"/>
      <c r="CB89" s="34">
        <f>IF(AND(ISNUMBER(CC89),ISNUMBER(CA89)),CC89-CA89,"")</f>
        <v>0</v>
      </c>
      <c r="CC89" s="33"/>
      <c r="CD89" s="34">
        <f>IF(AND(ISNUMBER(CE89),ISNUMBER(CC89)),CE89-CC89,"")</f>
        <v>0</v>
      </c>
      <c r="CE89" s="33"/>
      <c r="CF89" s="34">
        <f>IF(AND(ISNUMBER(CG89),ISNUMBER(CE89)),CG89-CE89,"")</f>
        <v>0</v>
      </c>
      <c r="CG89" s="33"/>
      <c r="CH89" s="34">
        <f>IF(AND(ISNUMBER(CI89),ISNUMBER(CG89)),CI89-CG89,"")</f>
        <v>0</v>
      </c>
      <c r="CI89" s="33"/>
      <c r="CJ89" s="34">
        <f>IF(AND(ISNUMBER(CK89),ISNUMBER(CI89)),CK89-CI89,"")</f>
        <v>0</v>
      </c>
      <c r="CK89" s="33"/>
      <c r="CL89" s="34">
        <f>IF(AND(ISNUMBER(CM89),ISNUMBER(CK89)),CM89-CK89,"")</f>
        <v>0</v>
      </c>
      <c r="CM89" s="33"/>
      <c r="CN89" s="34">
        <f>IF(AND(ISNUMBER(CO89),ISNUMBER(CM89)),CO89-CM89,"")</f>
        <v>0</v>
      </c>
      <c r="CO89" s="33"/>
      <c r="CP89" s="34">
        <f>IF(AND(ISNUMBER(CQ89),ISNUMBER(CO89)),CQ89-CO89,"")</f>
        <v>0</v>
      </c>
      <c r="CQ89" s="33"/>
      <c r="CR89" s="34">
        <f>IF(AND(ISNUMBER(CS89),ISNUMBER(CQ89)),CS89-CQ89,"")</f>
        <v>0</v>
      </c>
      <c r="CS89" s="33"/>
      <c r="CT89" s="34">
        <f>IF(AND(ISNUMBER(CU89),ISNUMBER(CS89)),CU89-CS89,"")</f>
        <v>0</v>
      </c>
      <c r="CU89" s="33"/>
      <c r="CV89" s="34">
        <f>IF(AND(ISNUMBER(CW89),ISNUMBER(CU89)),CW89-CU89,"")</f>
        <v>0</v>
      </c>
      <c r="CW89" s="33"/>
      <c r="CX89" s="34">
        <f>IF(AND(ISNUMBER(CY89),ISNUMBER(CW89)),CY89-CW89,"")</f>
        <v>0</v>
      </c>
      <c r="CY89" s="33"/>
      <c r="CZ89" s="34">
        <f>IF(AND(ISNUMBER(DA89),ISNUMBER(CY89)),DA89-CY89,"")</f>
        <v>0</v>
      </c>
      <c r="DA89" s="33"/>
      <c r="DB89" s="34">
        <f>IF(AND(ISNUMBER(DC89),ISNUMBER(DA89)),DC89-DA89,"")</f>
        <v>0</v>
      </c>
      <c r="DC89" s="33"/>
      <c r="DD89" s="34">
        <f>IF(AND(ISNUMBER(DE89),ISNUMBER(DC89)),DE89-DC89,"")</f>
        <v>0</v>
      </c>
      <c r="DE89" s="33"/>
      <c r="DF89" s="34">
        <f>IF(AND(ISNUMBER(DG89),ISNUMBER(DE89)),DG89-DE89,"")</f>
        <v>0</v>
      </c>
      <c r="DG89" s="33"/>
      <c r="DH89" s="34">
        <f>IF(AND(ISNUMBER(DI89),ISNUMBER(DG89)),DI89-DG89,"")</f>
        <v>0</v>
      </c>
      <c r="DI89" s="33"/>
      <c r="DJ89" s="34">
        <f>IF(AND(ISNUMBER(DK89),ISNUMBER(DI89)),DK89-DI89,"")</f>
        <v>0</v>
      </c>
      <c r="DK89" s="33"/>
      <c r="DL89" s="34">
        <f>IF(AND(ISNUMBER(DM89),ISNUMBER(DK89)),DM89-DK89,"")</f>
        <v>0</v>
      </c>
      <c r="DM89" s="33"/>
      <c r="DN89" s="34">
        <f>IF(AND(ISNUMBER(DO89),ISNUMBER(DM89)),DO89-DM89,"")</f>
        <v>0</v>
      </c>
      <c r="DO89" s="33"/>
      <c r="DP89" s="34">
        <f>IF(AND(ISNUMBER(DQ89),ISNUMBER(DO89)),DQ89-DO89,"")</f>
        <v>0</v>
      </c>
      <c r="DQ89" s="33"/>
      <c r="DR89" s="34">
        <f>IF(AND(ISNUMBER(DS89),ISNUMBER(DQ89)),DS89-DQ89,"")</f>
        <v>0</v>
      </c>
      <c r="DS89" s="33"/>
      <c r="DT89" s="34">
        <f>IF(AND(ISNUMBER(DU89),ISNUMBER(DS89)),DU89-DS89,"")</f>
        <v>0</v>
      </c>
      <c r="DU89" s="33"/>
      <c r="DV89" s="34">
        <f>IF(AND(ISNUMBER(DW89),ISNUMBER(DU89)),DW89-DU89,"")</f>
        <v>0</v>
      </c>
      <c r="DW89" s="33"/>
      <c r="DX89" s="34">
        <f>IF(AND(ISNUMBER(DY89),ISNUMBER(DW89)),DY89-DW89,"")</f>
        <v>0</v>
      </c>
      <c r="DY89" s="33"/>
      <c r="DZ89" s="34">
        <f>IF(AND(ISNUMBER(EA89),ISNUMBER(DY89)),EA89-DY89,"")</f>
        <v>0</v>
      </c>
      <c r="EA89" s="33"/>
      <c r="EB89" s="34">
        <f>IF(AND(ISNUMBER(EC89),ISNUMBER(EA89)),EC89-EA89,"")</f>
        <v>0</v>
      </c>
      <c r="EC89" s="33"/>
      <c r="ED89" s="34">
        <f>IF(AND(ISNUMBER(EE89),ISNUMBER(EC89)),EE89-EC89,"")</f>
        <v>0</v>
      </c>
      <c r="EE89" s="33"/>
      <c r="EF89" s="34">
        <f>IF(AND(ISNUMBER(EG89),ISNUMBER(EE89)),EG89-EE89,"")</f>
        <v>0</v>
      </c>
      <c r="EG89" s="33"/>
      <c r="EH89" s="34">
        <f>IF(AND(ISNUMBER(EI89),ISNUMBER(EG89)),EI89-EG89,"")</f>
        <v>0</v>
      </c>
      <c r="EI89" s="33"/>
      <c r="EJ89" s="34">
        <f>IF(AND(ISNUMBER(EK89),ISNUMBER(EI89)),EK89-EI89,"")</f>
        <v>0</v>
      </c>
      <c r="EK89" s="33"/>
      <c r="EL89" s="34">
        <f>IF(AND(ISNUMBER(EM89),ISNUMBER(EK89)),EM89-EK89,"")</f>
        <v>0</v>
      </c>
      <c r="EM89" s="33"/>
      <c r="EN89" s="34">
        <f>IF(AND(ISNUMBER(EO89),ISNUMBER(EM89)),EO89-EM89,"")</f>
        <v>0</v>
      </c>
      <c r="EO89" s="33"/>
      <c r="EP89" s="34">
        <f>IF(AND(ISNUMBER(EQ89),ISNUMBER(EO89)),EQ89-EO89,"")</f>
        <v>0</v>
      </c>
      <c r="EQ89" s="33"/>
      <c r="ER89" s="34">
        <f>IF(AND(ISNUMBER(ES89),ISNUMBER(EQ89)),ES89-EQ89,"")</f>
        <v>0</v>
      </c>
      <c r="ES89" s="33"/>
      <c r="ET89" s="34">
        <f>IF(AND(ISNUMBER(EU89),ISNUMBER(ES89)),EU89-ES89,"")</f>
        <v>0</v>
      </c>
      <c r="EU89" s="33"/>
      <c r="EV89" s="34">
        <f>IF(AND(ISNUMBER(EW89),ISNUMBER(EU89)),EW89-EU89,"")</f>
        <v>0</v>
      </c>
      <c r="EW89" s="33"/>
      <c r="EX89" s="34">
        <f>IF(AND(ISNUMBER(EY89),ISNUMBER(EW89)),EY89-EW89,"")</f>
        <v>0</v>
      </c>
      <c r="EY89" s="33"/>
      <c r="EZ89" s="34">
        <f>IF(AND(ISNUMBER(FA89),ISNUMBER(EY89)),FA89-EY89,"")</f>
        <v>0</v>
      </c>
      <c r="FA89" s="33"/>
      <c r="FB89" s="34">
        <f>IF(AND(ISNUMBER(FC89),ISNUMBER(FA89)),FC89-FA89,"")</f>
        <v>0</v>
      </c>
      <c r="FC89" s="33"/>
      <c r="FD89" s="34">
        <f>IF(AND(ISNUMBER(FE89),ISNUMBER(FC89)),FE89-FC89,"")</f>
        <v>0</v>
      </c>
      <c r="FE89" s="33"/>
      <c r="FF89" s="34">
        <f>IF(AND(ISNUMBER(FG89),ISNUMBER(FE89)),FG89-FE89,"")</f>
        <v>0</v>
      </c>
      <c r="FG89" s="33"/>
      <c r="FH89" s="34">
        <f>IF(AND(ISNUMBER(FI89),ISNUMBER(FG89)),FI89-FG89,"")</f>
        <v>0</v>
      </c>
      <c r="FI89" s="33"/>
      <c r="FJ89" s="34">
        <f>IF(AND(ISNUMBER(FK89),ISNUMBER(FI89)),FK89-FI89,"")</f>
        <v>0</v>
      </c>
      <c r="FK89" s="33"/>
      <c r="FL89" s="34">
        <f>IF(AND(ISNUMBER(FM89),ISNUMBER(FK89)),FM89-FK89,"")</f>
        <v>0</v>
      </c>
      <c r="FM89" s="33"/>
      <c r="FN89" s="34">
        <f>IF(AND(ISNUMBER(FO89),ISNUMBER(FM89)),FO89-FM89,"")</f>
        <v>0</v>
      </c>
      <c r="FO89" s="33"/>
      <c r="FP89" s="34">
        <f>IF(AND(ISNUMBER(FQ89),ISNUMBER(FO89)),FQ89-FO89,"")</f>
        <v>0</v>
      </c>
      <c r="FQ89" s="33"/>
      <c r="FR89" s="34">
        <f>IF(AND(ISNUMBER(FS89),ISNUMBER(FQ89)),FS89-FQ89,"")</f>
        <v>0</v>
      </c>
      <c r="FS89" s="33"/>
      <c r="FT89" s="34">
        <f>IF(AND(ISNUMBER(FU89),ISNUMBER(FS89)),FU89-FS89,"")</f>
        <v>0</v>
      </c>
      <c r="FU89" s="33"/>
      <c r="FV89" s="34">
        <f>IF(AND(ISNUMBER(FW89),ISNUMBER(FU89)),FW89-FU89,"")</f>
        <v>0</v>
      </c>
      <c r="FW89" s="33"/>
      <c r="FX89" s="34">
        <f>IF(AND(ISNUMBER(FY89),ISNUMBER(FW89)),FY89-FW89,"")</f>
        <v>0</v>
      </c>
      <c r="FY89" s="33"/>
      <c r="FZ89" s="34">
        <f>IF(AND(ISNUMBER(GA89),ISNUMBER(FY89)),GA89-FY89,"")</f>
        <v>0</v>
      </c>
      <c r="GA89" s="33"/>
      <c r="GB89" s="34">
        <f>IF(AND(ISNUMBER(GC89),ISNUMBER(GA89)),GC89-GA89,"")</f>
        <v>0</v>
      </c>
      <c r="GC89" s="33"/>
      <c r="GD89" s="34">
        <f>IF(AND(ISNUMBER(GE89),ISNUMBER(GC89)),GE89-GC89,"")</f>
        <v>0</v>
      </c>
      <c r="GE89" s="33"/>
      <c r="GF89" s="34">
        <f>IF(AND(ISNUMBER(GG89),ISNUMBER(GE89)),GG89-GE89,"")</f>
        <v>0</v>
      </c>
      <c r="GG89" s="33"/>
      <c r="GH89" s="34">
        <f>IF(AND(ISNUMBER(GI89),ISNUMBER(GG89)),GI89-GG89,"")</f>
        <v>0</v>
      </c>
      <c r="GI89" s="33"/>
      <c r="GJ89" s="34">
        <f>IF(AND(ISNUMBER(GK89),ISNUMBER(GI89)),GK89-GI89,"")</f>
        <v>0</v>
      </c>
      <c r="GK89" s="33"/>
      <c r="GL89" s="34">
        <f>IF(AND(ISNUMBER(GM89),ISNUMBER(GK89)),GM89-GK89,"")</f>
        <v>0</v>
      </c>
      <c r="GM89" s="33"/>
      <c r="GN89" s="34">
        <f>IF(AND(ISNUMBER(GO89),ISNUMBER(GM89)),GO89-GM89,"")</f>
        <v>0</v>
      </c>
      <c r="GO89" s="33"/>
      <c r="GP89" s="34">
        <f>IF(AND(ISNUMBER(GQ89),ISNUMBER(GO89)),GQ89-GO89,"")</f>
        <v>0</v>
      </c>
      <c r="GQ89" s="33"/>
      <c r="GR89" s="34">
        <f>IF(AND(ISNUMBER(GS89),ISNUMBER(GQ89)),GS89-GQ89,"")</f>
        <v>0</v>
      </c>
      <c r="GS89" s="33"/>
      <c r="GT89" s="34">
        <f>IF(AND(ISNUMBER(GU89),ISNUMBER(GS89)),GU89-GS89,"")</f>
        <v>0</v>
      </c>
      <c r="GU89" s="33"/>
      <c r="GV89" s="34">
        <f>IF(AND(ISNUMBER(GW89),ISNUMBER(GU89)),GW89-GU89,"")</f>
        <v>0</v>
      </c>
      <c r="GW89" s="33"/>
      <c r="GX89" s="34">
        <f>IF(AND(ISNUMBER(GY89),ISNUMBER(GW89)),GY89-GW89,"")</f>
        <v>0</v>
      </c>
      <c r="GY89" s="33"/>
      <c r="GZ89" s="34">
        <f>IF(AND(ISNUMBER(HA89),ISNUMBER(GY89)),HA89-GY89,"")</f>
        <v>0</v>
      </c>
      <c r="HA89" s="33"/>
      <c r="HB89" s="34">
        <f>IF(AND(ISNUMBER(HC89),ISNUMBER(HA89)),HC89-HA89,"")</f>
        <v>0</v>
      </c>
      <c r="HC89" s="33"/>
      <c r="HD89" s="34">
        <f>IF(AND(ISNUMBER(HE89),ISNUMBER(HC89)),HE89-HC89,"")</f>
        <v>0</v>
      </c>
      <c r="HE89" s="33"/>
      <c r="HF89" s="34">
        <f>IF(AND(ISNUMBER(HG89),ISNUMBER(HE89)),HG89-HE89,"")</f>
        <v>0</v>
      </c>
      <c r="HG89" s="33"/>
      <c r="HH89" s="34">
        <f>IF(AND(ISNUMBER(HI89),ISNUMBER(HG89)),HI89-HG89,"")</f>
        <v>0</v>
      </c>
      <c r="HI89" s="33"/>
      <c r="HJ89" s="34">
        <f>IF(AND(ISNUMBER(HK89),ISNUMBER(HI89)),HK89-HI89,"")</f>
        <v>0</v>
      </c>
      <c r="HK89" s="33"/>
      <c r="HL89" s="34">
        <f>IF(AND(ISNUMBER(HM89),ISNUMBER(HK89)),HM89-HK89,"")</f>
        <v>0</v>
      </c>
      <c r="HM89" s="33"/>
      <c r="HN89" s="34">
        <f>IF(AND(ISNUMBER(HO89),ISNUMBER(HM89)),HO89-HM89,"")</f>
        <v>0</v>
      </c>
      <c r="HO89" s="33"/>
      <c r="HP89" s="34">
        <f>IF(AND(ISNUMBER(HQ89),ISNUMBER(HO89)),HQ89-HO89,"")</f>
        <v>0</v>
      </c>
      <c r="HQ89" s="33"/>
      <c r="HR89" s="34">
        <f>IF(AND(ISNUMBER(HS89),ISNUMBER(HQ89)),HS89-HQ89,"")</f>
        <v>0</v>
      </c>
      <c r="HS89" s="33"/>
      <c r="HT89" s="34">
        <f>IF(AND(ISNUMBER(HU89),ISNUMBER(HS89)),HU89-HS89,"")</f>
        <v>0</v>
      </c>
      <c r="HU89" s="33"/>
      <c r="HV89" s="34">
        <f>IF(AND(ISNUMBER(HW89),ISNUMBER(HU89)),HW89-HU89,"")</f>
        <v>0</v>
      </c>
      <c r="HW89" s="33"/>
      <c r="HX89" s="34">
        <f>IF(AND(ISNUMBER(HY89),ISNUMBER(HW89)),HY89-HW89,"")</f>
        <v>0</v>
      </c>
      <c r="HY89" s="33"/>
      <c r="HZ89" s="34">
        <f>IF(AND(ISNUMBER(IA89),ISNUMBER(HY89)),IA89-HY89,"")</f>
        <v>0</v>
      </c>
      <c r="IA89" s="33"/>
      <c r="IB89" s="34">
        <f>IF(AND(ISNUMBER(IC89),ISNUMBER(IA89)),IC89-IA89,"")</f>
        <v>0</v>
      </c>
      <c r="IC89" s="33"/>
      <c r="ID89" s="34">
        <f>IF(AND(ISNUMBER(IE89),ISNUMBER(IC89)),IE89-IC89,"")</f>
        <v>0</v>
      </c>
      <c r="IE89" s="33"/>
      <c r="IF89" s="34">
        <f>IF(AND(ISNUMBER(IG89),ISNUMBER(IE89)),IG89-IE89,"")</f>
        <v>0</v>
      </c>
      <c r="IG89" s="33"/>
      <c r="IH89" s="34">
        <f>IF(AND(ISNUMBER(II89),ISNUMBER(IG89)),II89-IG89,"")</f>
        <v>0</v>
      </c>
      <c r="II89" s="33"/>
      <c r="IJ89" s="34">
        <f>IF(AND(ISNUMBER(IK89),ISNUMBER(II89)),IK89-II89,"")</f>
        <v>0</v>
      </c>
      <c r="IK89" s="33"/>
      <c r="IL89" s="34">
        <f>IF(AND(ISNUMBER(IM89),ISNUMBER(IK89)),IM89-IK89,"")</f>
        <v>0</v>
      </c>
      <c r="IM89" s="33"/>
      <c r="IN89" s="34">
        <f>IF(AND(ISNUMBER(IO89),ISNUMBER(IM89)),IO89-IM89,"")</f>
        <v>0</v>
      </c>
      <c r="IO89" s="33"/>
      <c r="IP89" s="34">
        <f>IF(AND(ISNUMBER(IQ89),ISNUMBER(IO89)),IQ89-IO89,"")</f>
        <v>0</v>
      </c>
      <c r="IQ89" s="33"/>
      <c r="IR89" s="34">
        <f>IF(AND(ISNUMBER(IS89),ISNUMBER(IQ89)),IS89-IQ89,"")</f>
        <v>0</v>
      </c>
      <c r="IS89" s="33"/>
      <c r="IT89" s="34">
        <f>IF(AND(ISNUMBER(IU89),ISNUMBER(IS89)),IU89-IS89,"")</f>
        <v>0</v>
      </c>
      <c r="IU89" s="33"/>
      <c r="IV89" s="34">
        <f>IF(AND(ISNUMBER(IW89),ISNUMBER(IU89)),IW89-IU89,"")</f>
        <v>0</v>
      </c>
      <c r="IW89" s="33"/>
      <c r="IX89" s="34">
        <f>IF(AND(ISNUMBER(IY89),ISNUMBER(IW89)),IY89-IW89,"")</f>
        <v>0</v>
      </c>
      <c r="IY89" s="33"/>
      <c r="IZ89" s="34">
        <f>IF(AND(ISNUMBER(JA89),ISNUMBER(IY89)),JA89-IY89,"")</f>
        <v>0</v>
      </c>
      <c r="JA89" s="33"/>
      <c r="JB89" s="34">
        <f>IF(AND(ISNUMBER(JC89),ISNUMBER(JA89)),JC89-JA89,"")</f>
        <v>0</v>
      </c>
      <c r="JC89" s="33"/>
      <c r="JD89" s="34">
        <f>IF(AND(ISNUMBER(JE89),ISNUMBER(JC89)),JE89-JC89,"")</f>
        <v>0</v>
      </c>
      <c r="JE89" s="33"/>
      <c r="JF89" s="34">
        <f>IF(AND(ISNUMBER(JG89),ISNUMBER(JE89)),JG89-JE89,"")</f>
        <v>0</v>
      </c>
      <c r="JG89" s="33"/>
      <c r="JH89" s="34">
        <f>IF(AND(ISNUMBER(JI89),ISNUMBER(JG89)),JI89-JG89,"")</f>
        <v>0</v>
      </c>
      <c r="JI89" s="33"/>
      <c r="JJ89" s="34">
        <f>IF(AND(ISNUMBER(JK89),ISNUMBER(JI89)),JK89-JI89,"")</f>
        <v>0</v>
      </c>
      <c r="JK89" s="33"/>
      <c r="JL89" s="34">
        <f>IF(AND(ISNUMBER(JM89),ISNUMBER(JK89)),JM89-JK89,"")</f>
        <v>0</v>
      </c>
      <c r="JM89" s="33"/>
      <c r="JN89" s="34">
        <f>IF(AND(ISNUMBER(JO89),ISNUMBER(JM89)),JO89-JM89,"")</f>
        <v>0</v>
      </c>
      <c r="JO89" s="33"/>
      <c r="JP89" s="34">
        <f>IF(AND(ISNUMBER(JQ89),ISNUMBER(JO89)),JQ89-JO89,"")</f>
        <v>0</v>
      </c>
      <c r="JQ89" s="33"/>
      <c r="JR89" s="34">
        <f>IF(AND(ISNUMBER(JS89),ISNUMBER(JQ89)),JS89-JQ89,"")</f>
        <v>0</v>
      </c>
      <c r="JS89" s="33">
        <v>1463</v>
      </c>
      <c r="JT89" s="34">
        <f>IF(AND(ISNUMBER(JU89),ISNUMBER(JS89)),JU89-JS89,"")</f>
        <v>0</v>
      </c>
      <c r="JU89" s="33">
        <v>1674</v>
      </c>
      <c r="JV89" s="34">
        <f>IF(AND(ISNUMBER(JW89),ISNUMBER(JU89)),JW89-JU89,"")</f>
        <v>0</v>
      </c>
      <c r="JW89" s="33">
        <v>1455</v>
      </c>
      <c r="JX89" s="34">
        <f>IF(AND(ISNUMBER(JY89),ISNUMBER(JW89)),JY89-JW89,"")</f>
        <v>0</v>
      </c>
      <c r="JY89" s="33"/>
      <c r="JZ89" s="34">
        <f>IF(AND(ISNUMBER(KA89),ISNUMBER(JY89)),KA89-JY89,"")</f>
        <v>0</v>
      </c>
      <c r="KA89" s="33"/>
      <c r="KB89" s="34">
        <f>IF(AND(ISNUMBER(KC89),ISNUMBER(KA89)),KC89-KA89,"")</f>
        <v>0</v>
      </c>
      <c r="KC89" s="33"/>
      <c r="KD89" s="34">
        <f>IF(AND(ISNUMBER(KE89),ISNUMBER(KC89)),KE89-KC89,"")</f>
        <v>0</v>
      </c>
      <c r="KE89" s="33"/>
      <c r="KF89" s="34">
        <f>IF(AND(ISNUMBER(KG89),ISNUMBER(KE89)),KG89-KE89,"")</f>
        <v>0</v>
      </c>
      <c r="KG89" s="33"/>
      <c r="KH89" s="34">
        <f>IF(AND(ISNUMBER(KI89),ISNUMBER(KG89)),KI89-KG89,"")</f>
        <v>0</v>
      </c>
      <c r="KI89" s="33"/>
      <c r="KJ89" s="34">
        <f>IF(AND(ISNUMBER(KK89),ISNUMBER(KI89)),KK89-KI89,"")</f>
        <v>0</v>
      </c>
      <c r="KK89" s="33"/>
      <c r="KL89" s="34">
        <f>IF(AND(ISNUMBER(KM89),ISNUMBER(KK89)),KM89-KK89,"")</f>
        <v>0</v>
      </c>
      <c r="KM89" s="33"/>
      <c r="KN89" s="34">
        <f>IF(AND(ISNUMBER(KO89),ISNUMBER(KM89)),KO89-KM89,"")</f>
        <v>0</v>
      </c>
      <c r="KO89" s="33"/>
      <c r="KP89" s="34">
        <f>IF(AND(ISNUMBER(KQ89),ISNUMBER(KO89)),KQ89-KO89,"")</f>
        <v>0</v>
      </c>
      <c r="KQ89" s="33"/>
      <c r="KR89" s="34">
        <f>IF(AND(ISNUMBER(KS89),ISNUMBER(KQ89)),KS89-KQ89,"")</f>
        <v>0</v>
      </c>
      <c r="KS89" s="33"/>
      <c r="KT89" s="34">
        <f>IF(AND(ISNUMBER(KU89),ISNUMBER(KS89)),KU89-KS89,"")</f>
        <v>0</v>
      </c>
      <c r="KU89" s="33"/>
      <c r="KV89" s="34">
        <f>IF(AND(ISNUMBER(KW89),ISNUMBER(KU89)),KW89-KU89,"")</f>
        <v>0</v>
      </c>
      <c r="KW89" s="33"/>
      <c r="KX89" s="34">
        <f>IF(AND(ISNUMBER(KY89),ISNUMBER(KW89)),KY89-KW89,"")</f>
        <v>0</v>
      </c>
      <c r="KY89" s="33"/>
      <c r="KZ89" s="34">
        <f>IF(AND(ISNUMBER(LA89),ISNUMBER(KY89)),LA89-KY89,"")</f>
        <v>0</v>
      </c>
      <c r="LA89" s="33"/>
      <c r="LB89" s="34">
        <f>IF(AND(ISNUMBER(LC89),ISNUMBER(LA89)),LC89-LA89,"")</f>
        <v>0</v>
      </c>
      <c r="LC89" s="33"/>
      <c r="LD89" s="34">
        <f>IF(AND(ISNUMBER(LE89),ISNUMBER(LC89)),LE89-LC89,"")</f>
        <v>0</v>
      </c>
      <c r="LE89" s="33"/>
      <c r="LF89" s="34">
        <f>IF(AND(ISNUMBER(LG89),ISNUMBER(LE89)),LG89-LE89,"")</f>
        <v>0</v>
      </c>
      <c r="LG89" s="33"/>
    </row>
    <row r="90" spans="1:322">
      <c r="A90" s="36" t="s">
        <v>271</v>
      </c>
      <c r="B90" s="23"/>
      <c r="C90" s="31" t="s">
        <v>786</v>
      </c>
      <c r="D90" s="31" t="s">
        <v>818</v>
      </c>
      <c r="E90" s="32" t="s">
        <v>1036</v>
      </c>
      <c r="H90" s="38" t="s">
        <v>1082</v>
      </c>
      <c r="I90" s="33"/>
      <c r="J90" s="34">
        <f>IF(AND(ISNUMBER(K90),ISNUMBER(I90)),K90-I90,"")</f>
        <v>0</v>
      </c>
      <c r="K90" s="33"/>
      <c r="L90" s="34">
        <f>IF(AND(ISNUMBER(M90),ISNUMBER(K90)),M90-K90,"")</f>
        <v>0</v>
      </c>
      <c r="M90" s="33"/>
      <c r="N90" s="34">
        <f>IF(AND(ISNUMBER(O90),ISNUMBER(M90)),O90-M90,"")</f>
        <v>0</v>
      </c>
      <c r="O90" s="33"/>
      <c r="P90" s="34">
        <f>IF(AND(ISNUMBER(Q90),ISNUMBER(O90)),Q90-O90,"")</f>
        <v>0</v>
      </c>
      <c r="Q90" s="33"/>
      <c r="R90" s="34">
        <f>IF(AND(ISNUMBER(S90),ISNUMBER(Q90)),S90-Q90,"")</f>
        <v>0</v>
      </c>
      <c r="S90" s="33"/>
      <c r="T90" s="34">
        <f>IF(AND(ISNUMBER(U90),ISNUMBER(S90)),U90-S90,"")</f>
        <v>0</v>
      </c>
      <c r="U90" s="33"/>
      <c r="V90" s="34">
        <f>IF(AND(ISNUMBER(W90),ISNUMBER(U90)),W90-U90,"")</f>
        <v>0</v>
      </c>
      <c r="W90" s="33"/>
      <c r="X90" s="34">
        <f>IF(AND(ISNUMBER(Y90),ISNUMBER(W90)),Y90-W90,"")</f>
        <v>0</v>
      </c>
      <c r="Y90" s="33"/>
      <c r="Z90" s="34">
        <f>IF(AND(ISNUMBER(AA90),ISNUMBER(Y90)),AA90-Y90,"")</f>
        <v>0</v>
      </c>
      <c r="AA90" s="33"/>
      <c r="AB90" s="34">
        <f>IF(AND(ISNUMBER(AC90),ISNUMBER(AA90)),AC90-AA90,"")</f>
        <v>0</v>
      </c>
      <c r="AC90" s="33"/>
      <c r="AD90" s="34">
        <f>IF(AND(ISNUMBER(AE90),ISNUMBER(AC90)),AE90-AC90,"")</f>
        <v>0</v>
      </c>
      <c r="AE90" s="33"/>
      <c r="AF90" s="34">
        <f>IF(AND(ISNUMBER(AG90),ISNUMBER(AE90)),AG90-AE90,"")</f>
        <v>0</v>
      </c>
      <c r="AG90" s="33"/>
      <c r="AH90" s="34">
        <f>IF(AND(ISNUMBER(AI90),ISNUMBER(AG90)),AI90-AG90,"")</f>
        <v>0</v>
      </c>
      <c r="AI90" s="33"/>
      <c r="AJ90" s="34">
        <f>IF(AND(ISNUMBER(AK90),ISNUMBER(AI90)),AK90-AI90,"")</f>
        <v>0</v>
      </c>
      <c r="AK90" s="33"/>
      <c r="AL90" s="34">
        <f>IF(AND(ISNUMBER(AM90),ISNUMBER(AK90)),AM90-AK90,"")</f>
        <v>0</v>
      </c>
      <c r="AM90" s="33"/>
      <c r="AN90" s="34">
        <f>IF(AND(ISNUMBER(AO90),ISNUMBER(AM90)),AO90-AM90,"")</f>
        <v>0</v>
      </c>
      <c r="AO90" s="33"/>
      <c r="AP90" s="34">
        <f>IF(AND(ISNUMBER(AQ90),ISNUMBER(AO90)),AQ90-AO90,"")</f>
        <v>0</v>
      </c>
      <c r="AQ90" s="33"/>
      <c r="AR90" s="34">
        <f>IF(AND(ISNUMBER(AS90),ISNUMBER(AQ90)),AS90-AQ90,"")</f>
        <v>0</v>
      </c>
      <c r="AS90" s="33"/>
      <c r="AT90" s="34">
        <f>IF(AND(ISNUMBER(AU90),ISNUMBER(AS90)),AU90-AS90,"")</f>
        <v>0</v>
      </c>
      <c r="AU90" s="33"/>
      <c r="AV90" s="34">
        <f>IF(AND(ISNUMBER(AW90),ISNUMBER(AU90)),AW90-AU90,"")</f>
        <v>0</v>
      </c>
      <c r="AW90" s="33"/>
      <c r="AX90" s="34">
        <f>IF(AND(ISNUMBER(AY90),ISNUMBER(AW90)),AY90-AW90,"")</f>
        <v>0</v>
      </c>
      <c r="AY90" s="33"/>
      <c r="AZ90" s="34">
        <f>IF(AND(ISNUMBER(BA90),ISNUMBER(AY90)),BA90-AY90,"")</f>
        <v>0</v>
      </c>
      <c r="BA90" s="33"/>
      <c r="BB90" s="34">
        <f>IF(AND(ISNUMBER(BC90),ISNUMBER(BA90)),BC90-BA90,"")</f>
        <v>0</v>
      </c>
      <c r="BC90" s="33"/>
      <c r="BD90" s="34">
        <f>IF(AND(ISNUMBER(BE90),ISNUMBER(BC90)),BE90-BC90,"")</f>
        <v>0</v>
      </c>
      <c r="BE90" s="33"/>
      <c r="BF90" s="34">
        <f>IF(AND(ISNUMBER(BG90),ISNUMBER(BE90)),BG90-BE90,"")</f>
        <v>0</v>
      </c>
      <c r="BG90" s="33"/>
      <c r="BH90" s="34">
        <f>IF(AND(ISNUMBER(BI90),ISNUMBER(BG90)),BI90-BG90,"")</f>
        <v>0</v>
      </c>
      <c r="BI90" s="33"/>
      <c r="BJ90" s="34">
        <f>IF(AND(ISNUMBER(BK90),ISNUMBER(BI90)),BK90-BI90,"")</f>
        <v>0</v>
      </c>
      <c r="BK90" s="33"/>
      <c r="BL90" s="34">
        <f>IF(AND(ISNUMBER(BM90),ISNUMBER(BK90)),BM90-BK90,"")</f>
        <v>0</v>
      </c>
      <c r="BM90" s="33"/>
      <c r="BN90" s="34">
        <f>IF(AND(ISNUMBER(BO90),ISNUMBER(BM90)),BO90-BM90,"")</f>
        <v>0</v>
      </c>
      <c r="BO90" s="33"/>
      <c r="BP90" s="34">
        <f>IF(AND(ISNUMBER(BQ90),ISNUMBER(BO90)),BQ90-BO90,"")</f>
        <v>0</v>
      </c>
      <c r="BQ90" s="33"/>
      <c r="BR90" s="34">
        <f>IF(AND(ISNUMBER(BS90),ISNUMBER(BQ90)),BS90-BQ90,"")</f>
        <v>0</v>
      </c>
      <c r="BS90" s="33"/>
      <c r="BT90" s="34">
        <f>IF(AND(ISNUMBER(BU90),ISNUMBER(BS90)),BU90-BS90,"")</f>
        <v>0</v>
      </c>
      <c r="BU90" s="33"/>
      <c r="BV90" s="34">
        <f>IF(AND(ISNUMBER(BW90),ISNUMBER(BU90)),BW90-BU90,"")</f>
        <v>0</v>
      </c>
      <c r="BW90" s="33"/>
      <c r="BX90" s="34">
        <f>IF(AND(ISNUMBER(BY90),ISNUMBER(BW90)),BY90-BW90,"")</f>
        <v>0</v>
      </c>
      <c r="BY90" s="33"/>
      <c r="BZ90" s="34">
        <f>IF(AND(ISNUMBER(CA90),ISNUMBER(BY90)),CA90-BY90,"")</f>
        <v>0</v>
      </c>
      <c r="CA90" s="33"/>
      <c r="CB90" s="34">
        <f>IF(AND(ISNUMBER(CC90),ISNUMBER(CA90)),CC90-CA90,"")</f>
        <v>0</v>
      </c>
      <c r="CC90" s="33"/>
      <c r="CD90" s="34">
        <f>IF(AND(ISNUMBER(CE90),ISNUMBER(CC90)),CE90-CC90,"")</f>
        <v>0</v>
      </c>
      <c r="CE90" s="33"/>
      <c r="CF90" s="34">
        <f>IF(AND(ISNUMBER(CG90),ISNUMBER(CE90)),CG90-CE90,"")</f>
        <v>0</v>
      </c>
      <c r="CG90" s="33"/>
      <c r="CH90" s="34">
        <f>IF(AND(ISNUMBER(CI90),ISNUMBER(CG90)),CI90-CG90,"")</f>
        <v>0</v>
      </c>
      <c r="CI90" s="33"/>
      <c r="CJ90" s="34">
        <f>IF(AND(ISNUMBER(CK90),ISNUMBER(CI90)),CK90-CI90,"")</f>
        <v>0</v>
      </c>
      <c r="CK90" s="33"/>
      <c r="CL90" s="34">
        <f>IF(AND(ISNUMBER(CM90),ISNUMBER(CK90)),CM90-CK90,"")</f>
        <v>0</v>
      </c>
      <c r="CM90" s="33"/>
      <c r="CN90" s="34">
        <f>IF(AND(ISNUMBER(CO90),ISNUMBER(CM90)),CO90-CM90,"")</f>
        <v>0</v>
      </c>
      <c r="CO90" s="33"/>
      <c r="CP90" s="34">
        <f>IF(AND(ISNUMBER(CQ90),ISNUMBER(CO90)),CQ90-CO90,"")</f>
        <v>0</v>
      </c>
      <c r="CQ90" s="33"/>
      <c r="CR90" s="34">
        <f>IF(AND(ISNUMBER(CS90),ISNUMBER(CQ90)),CS90-CQ90,"")</f>
        <v>0</v>
      </c>
      <c r="CS90" s="33"/>
      <c r="CT90" s="34">
        <f>IF(AND(ISNUMBER(CU90),ISNUMBER(CS90)),CU90-CS90,"")</f>
        <v>0</v>
      </c>
      <c r="CU90" s="33"/>
      <c r="CV90" s="34">
        <f>IF(AND(ISNUMBER(CW90),ISNUMBER(CU90)),CW90-CU90,"")</f>
        <v>0</v>
      </c>
      <c r="CW90" s="33"/>
      <c r="CX90" s="34">
        <f>IF(AND(ISNUMBER(CY90),ISNUMBER(CW90)),CY90-CW90,"")</f>
        <v>0</v>
      </c>
      <c r="CY90" s="33"/>
      <c r="CZ90" s="34">
        <f>IF(AND(ISNUMBER(DA90),ISNUMBER(CY90)),DA90-CY90,"")</f>
        <v>0</v>
      </c>
      <c r="DA90" s="33"/>
      <c r="DB90" s="34">
        <f>IF(AND(ISNUMBER(DC90),ISNUMBER(DA90)),DC90-DA90,"")</f>
        <v>0</v>
      </c>
      <c r="DC90" s="33"/>
      <c r="DD90" s="34">
        <f>IF(AND(ISNUMBER(DE90),ISNUMBER(DC90)),DE90-DC90,"")</f>
        <v>0</v>
      </c>
      <c r="DE90" s="33"/>
      <c r="DF90" s="34">
        <f>IF(AND(ISNUMBER(DG90),ISNUMBER(DE90)),DG90-DE90,"")</f>
        <v>0</v>
      </c>
      <c r="DG90" s="33"/>
      <c r="DH90" s="34">
        <f>IF(AND(ISNUMBER(DI90),ISNUMBER(DG90)),DI90-DG90,"")</f>
        <v>0</v>
      </c>
      <c r="DI90" s="33"/>
      <c r="DJ90" s="34">
        <f>IF(AND(ISNUMBER(DK90),ISNUMBER(DI90)),DK90-DI90,"")</f>
        <v>0</v>
      </c>
      <c r="DK90" s="33"/>
      <c r="DL90" s="34">
        <f>IF(AND(ISNUMBER(DM90),ISNUMBER(DK90)),DM90-DK90,"")</f>
        <v>0</v>
      </c>
      <c r="DM90" s="33"/>
      <c r="DN90" s="34">
        <f>IF(AND(ISNUMBER(DO90),ISNUMBER(DM90)),DO90-DM90,"")</f>
        <v>0</v>
      </c>
      <c r="DO90" s="33"/>
      <c r="DP90" s="34">
        <f>IF(AND(ISNUMBER(DQ90),ISNUMBER(DO90)),DQ90-DO90,"")</f>
        <v>0</v>
      </c>
      <c r="DQ90" s="33"/>
      <c r="DR90" s="34">
        <f>IF(AND(ISNUMBER(DS90),ISNUMBER(DQ90)),DS90-DQ90,"")</f>
        <v>0</v>
      </c>
      <c r="DS90" s="33"/>
      <c r="DT90" s="34">
        <f>IF(AND(ISNUMBER(DU90),ISNUMBER(DS90)),DU90-DS90,"")</f>
        <v>0</v>
      </c>
      <c r="DU90" s="33"/>
      <c r="DV90" s="34">
        <f>IF(AND(ISNUMBER(DW90),ISNUMBER(DU90)),DW90-DU90,"")</f>
        <v>0</v>
      </c>
      <c r="DW90" s="33"/>
      <c r="DX90" s="34">
        <f>IF(AND(ISNUMBER(DY90),ISNUMBER(DW90)),DY90-DW90,"")</f>
        <v>0</v>
      </c>
      <c r="DY90" s="33"/>
      <c r="DZ90" s="34">
        <f>IF(AND(ISNUMBER(EA90),ISNUMBER(DY90)),EA90-DY90,"")</f>
        <v>0</v>
      </c>
      <c r="EA90" s="33"/>
      <c r="EB90" s="34">
        <f>IF(AND(ISNUMBER(EC90),ISNUMBER(EA90)),EC90-EA90,"")</f>
        <v>0</v>
      </c>
      <c r="EC90" s="33"/>
      <c r="ED90" s="34">
        <f>IF(AND(ISNUMBER(EE90),ISNUMBER(EC90)),EE90-EC90,"")</f>
        <v>0</v>
      </c>
      <c r="EE90" s="33"/>
      <c r="EF90" s="34">
        <f>IF(AND(ISNUMBER(EG90),ISNUMBER(EE90)),EG90-EE90,"")</f>
        <v>0</v>
      </c>
      <c r="EG90" s="33"/>
      <c r="EH90" s="34">
        <f>IF(AND(ISNUMBER(EI90),ISNUMBER(EG90)),EI90-EG90,"")</f>
        <v>0</v>
      </c>
      <c r="EI90" s="33"/>
      <c r="EJ90" s="34">
        <f>IF(AND(ISNUMBER(EK90),ISNUMBER(EI90)),EK90-EI90,"")</f>
        <v>0</v>
      </c>
      <c r="EK90" s="33"/>
      <c r="EL90" s="34">
        <f>IF(AND(ISNUMBER(EM90),ISNUMBER(EK90)),EM90-EK90,"")</f>
        <v>0</v>
      </c>
      <c r="EM90" s="33"/>
      <c r="EN90" s="34">
        <f>IF(AND(ISNUMBER(EO90),ISNUMBER(EM90)),EO90-EM90,"")</f>
        <v>0</v>
      </c>
      <c r="EO90" s="33"/>
      <c r="EP90" s="34">
        <f>IF(AND(ISNUMBER(EQ90),ISNUMBER(EO90)),EQ90-EO90,"")</f>
        <v>0</v>
      </c>
      <c r="EQ90" s="33"/>
      <c r="ER90" s="34">
        <f>IF(AND(ISNUMBER(ES90),ISNUMBER(EQ90)),ES90-EQ90,"")</f>
        <v>0</v>
      </c>
      <c r="ES90" s="33"/>
      <c r="ET90" s="34">
        <f>IF(AND(ISNUMBER(EU90),ISNUMBER(ES90)),EU90-ES90,"")</f>
        <v>0</v>
      </c>
      <c r="EU90" s="33"/>
      <c r="EV90" s="34">
        <f>IF(AND(ISNUMBER(EW90),ISNUMBER(EU90)),EW90-EU90,"")</f>
        <v>0</v>
      </c>
      <c r="EW90" s="33"/>
      <c r="EX90" s="34">
        <f>IF(AND(ISNUMBER(EY90),ISNUMBER(EW90)),EY90-EW90,"")</f>
        <v>0</v>
      </c>
      <c r="EY90" s="33"/>
      <c r="EZ90" s="34">
        <f>IF(AND(ISNUMBER(FA90),ISNUMBER(EY90)),FA90-EY90,"")</f>
        <v>0</v>
      </c>
      <c r="FA90" s="33"/>
      <c r="FB90" s="34">
        <f>IF(AND(ISNUMBER(FC90),ISNUMBER(FA90)),FC90-FA90,"")</f>
        <v>0</v>
      </c>
      <c r="FC90" s="33"/>
      <c r="FD90" s="34">
        <f>IF(AND(ISNUMBER(FE90),ISNUMBER(FC90)),FE90-FC90,"")</f>
        <v>0</v>
      </c>
      <c r="FE90" s="33"/>
      <c r="FF90" s="34">
        <f>IF(AND(ISNUMBER(FG90),ISNUMBER(FE90)),FG90-FE90,"")</f>
        <v>0</v>
      </c>
      <c r="FG90" s="33"/>
      <c r="FH90" s="34">
        <f>IF(AND(ISNUMBER(FI90),ISNUMBER(FG90)),FI90-FG90,"")</f>
        <v>0</v>
      </c>
      <c r="FI90" s="33"/>
      <c r="FJ90" s="34">
        <f>IF(AND(ISNUMBER(FK90),ISNUMBER(FI90)),FK90-FI90,"")</f>
        <v>0</v>
      </c>
      <c r="FK90" s="33"/>
      <c r="FL90" s="34">
        <f>IF(AND(ISNUMBER(FM90),ISNUMBER(FK90)),FM90-FK90,"")</f>
        <v>0</v>
      </c>
      <c r="FM90" s="33"/>
      <c r="FN90" s="34">
        <f>IF(AND(ISNUMBER(FO90),ISNUMBER(FM90)),FO90-FM90,"")</f>
        <v>0</v>
      </c>
      <c r="FO90" s="33"/>
      <c r="FP90" s="34">
        <f>IF(AND(ISNUMBER(FQ90),ISNUMBER(FO90)),FQ90-FO90,"")</f>
        <v>0</v>
      </c>
      <c r="FQ90" s="33"/>
      <c r="FR90" s="34">
        <f>IF(AND(ISNUMBER(FS90),ISNUMBER(FQ90)),FS90-FQ90,"")</f>
        <v>0</v>
      </c>
      <c r="FS90" s="33"/>
      <c r="FT90" s="34">
        <f>IF(AND(ISNUMBER(FU90),ISNUMBER(FS90)),FU90-FS90,"")</f>
        <v>0</v>
      </c>
      <c r="FU90" s="33"/>
      <c r="FV90" s="34">
        <f>IF(AND(ISNUMBER(FW90),ISNUMBER(FU90)),FW90-FU90,"")</f>
        <v>0</v>
      </c>
      <c r="FW90" s="33"/>
      <c r="FX90" s="34">
        <f>IF(AND(ISNUMBER(FY90),ISNUMBER(FW90)),FY90-FW90,"")</f>
        <v>0</v>
      </c>
      <c r="FY90" s="33"/>
      <c r="FZ90" s="34">
        <f>IF(AND(ISNUMBER(GA90),ISNUMBER(FY90)),GA90-FY90,"")</f>
        <v>0</v>
      </c>
      <c r="GA90" s="33"/>
      <c r="GB90" s="34">
        <f>IF(AND(ISNUMBER(GC90),ISNUMBER(GA90)),GC90-GA90,"")</f>
        <v>0</v>
      </c>
      <c r="GC90" s="33"/>
      <c r="GD90" s="34">
        <f>IF(AND(ISNUMBER(GE90),ISNUMBER(GC90)),GE90-GC90,"")</f>
        <v>0</v>
      </c>
      <c r="GE90" s="33"/>
      <c r="GF90" s="34">
        <f>IF(AND(ISNUMBER(GG90),ISNUMBER(GE90)),GG90-GE90,"")</f>
        <v>0</v>
      </c>
      <c r="GG90" s="33"/>
      <c r="GH90" s="34">
        <f>IF(AND(ISNUMBER(GI90),ISNUMBER(GG90)),GI90-GG90,"")</f>
        <v>0</v>
      </c>
      <c r="GI90" s="33"/>
      <c r="GJ90" s="34">
        <f>IF(AND(ISNUMBER(GK90),ISNUMBER(GI90)),GK90-GI90,"")</f>
        <v>0</v>
      </c>
      <c r="GK90" s="33"/>
      <c r="GL90" s="34">
        <f>IF(AND(ISNUMBER(GM90),ISNUMBER(GK90)),GM90-GK90,"")</f>
        <v>0</v>
      </c>
      <c r="GM90" s="33"/>
      <c r="GN90" s="34">
        <f>IF(AND(ISNUMBER(GO90),ISNUMBER(GM90)),GO90-GM90,"")</f>
        <v>0</v>
      </c>
      <c r="GO90" s="33"/>
      <c r="GP90" s="34">
        <f>IF(AND(ISNUMBER(GQ90),ISNUMBER(GO90)),GQ90-GO90,"")</f>
        <v>0</v>
      </c>
      <c r="GQ90" s="33"/>
      <c r="GR90" s="34">
        <f>IF(AND(ISNUMBER(GS90),ISNUMBER(GQ90)),GS90-GQ90,"")</f>
        <v>0</v>
      </c>
      <c r="GS90" s="33"/>
      <c r="GT90" s="34">
        <f>IF(AND(ISNUMBER(GU90),ISNUMBER(GS90)),GU90-GS90,"")</f>
        <v>0</v>
      </c>
      <c r="GU90" s="33"/>
      <c r="GV90" s="34">
        <f>IF(AND(ISNUMBER(GW90),ISNUMBER(GU90)),GW90-GU90,"")</f>
        <v>0</v>
      </c>
      <c r="GW90" s="33"/>
      <c r="GX90" s="34">
        <f>IF(AND(ISNUMBER(GY90),ISNUMBER(GW90)),GY90-GW90,"")</f>
        <v>0</v>
      </c>
      <c r="GY90" s="33"/>
      <c r="GZ90" s="34">
        <f>IF(AND(ISNUMBER(HA90),ISNUMBER(GY90)),HA90-GY90,"")</f>
        <v>0</v>
      </c>
      <c r="HA90" s="33"/>
      <c r="HB90" s="34">
        <f>IF(AND(ISNUMBER(HC90),ISNUMBER(HA90)),HC90-HA90,"")</f>
        <v>0</v>
      </c>
      <c r="HC90" s="33"/>
      <c r="HD90" s="34">
        <f>IF(AND(ISNUMBER(HE90),ISNUMBER(HC90)),HE90-HC90,"")</f>
        <v>0</v>
      </c>
      <c r="HE90" s="33"/>
      <c r="HF90" s="34">
        <f>IF(AND(ISNUMBER(HG90),ISNUMBER(HE90)),HG90-HE90,"")</f>
        <v>0</v>
      </c>
      <c r="HG90" s="33"/>
      <c r="HH90" s="34">
        <f>IF(AND(ISNUMBER(HI90),ISNUMBER(HG90)),HI90-HG90,"")</f>
        <v>0</v>
      </c>
      <c r="HI90" s="33"/>
      <c r="HJ90" s="34">
        <f>IF(AND(ISNUMBER(HK90),ISNUMBER(HI90)),HK90-HI90,"")</f>
        <v>0</v>
      </c>
      <c r="HK90" s="33"/>
      <c r="HL90" s="34">
        <f>IF(AND(ISNUMBER(HM90),ISNUMBER(HK90)),HM90-HK90,"")</f>
        <v>0</v>
      </c>
      <c r="HM90" s="33"/>
      <c r="HN90" s="34">
        <f>IF(AND(ISNUMBER(HO90),ISNUMBER(HM90)),HO90-HM90,"")</f>
        <v>0</v>
      </c>
      <c r="HO90" s="33"/>
      <c r="HP90" s="34">
        <f>IF(AND(ISNUMBER(HQ90),ISNUMBER(HO90)),HQ90-HO90,"")</f>
        <v>0</v>
      </c>
      <c r="HQ90" s="33"/>
      <c r="HR90" s="34">
        <f>IF(AND(ISNUMBER(HS90),ISNUMBER(HQ90)),HS90-HQ90,"")</f>
        <v>0</v>
      </c>
      <c r="HS90" s="33"/>
      <c r="HT90" s="34">
        <f>IF(AND(ISNUMBER(HU90),ISNUMBER(HS90)),HU90-HS90,"")</f>
        <v>0</v>
      </c>
      <c r="HU90" s="33"/>
      <c r="HV90" s="34">
        <f>IF(AND(ISNUMBER(HW90),ISNUMBER(HU90)),HW90-HU90,"")</f>
        <v>0</v>
      </c>
      <c r="HW90" s="33"/>
      <c r="HX90" s="34">
        <f>IF(AND(ISNUMBER(HY90),ISNUMBER(HW90)),HY90-HW90,"")</f>
        <v>0</v>
      </c>
      <c r="HY90" s="33"/>
      <c r="HZ90" s="34">
        <f>IF(AND(ISNUMBER(IA90),ISNUMBER(HY90)),IA90-HY90,"")</f>
        <v>0</v>
      </c>
      <c r="IA90" s="33"/>
      <c r="IB90" s="34">
        <f>IF(AND(ISNUMBER(IC90),ISNUMBER(IA90)),IC90-IA90,"")</f>
        <v>0</v>
      </c>
      <c r="IC90" s="33"/>
      <c r="ID90" s="34">
        <f>IF(AND(ISNUMBER(IE90),ISNUMBER(IC90)),IE90-IC90,"")</f>
        <v>0</v>
      </c>
      <c r="IE90" s="33"/>
      <c r="IF90" s="34">
        <f>IF(AND(ISNUMBER(IG90),ISNUMBER(IE90)),IG90-IE90,"")</f>
        <v>0</v>
      </c>
      <c r="IG90" s="33"/>
      <c r="IH90" s="34">
        <f>IF(AND(ISNUMBER(II90),ISNUMBER(IG90)),II90-IG90,"")</f>
        <v>0</v>
      </c>
      <c r="II90" s="33"/>
      <c r="IJ90" s="34">
        <f>IF(AND(ISNUMBER(IK90),ISNUMBER(II90)),IK90-II90,"")</f>
        <v>0</v>
      </c>
      <c r="IK90" s="33"/>
      <c r="IL90" s="34">
        <f>IF(AND(ISNUMBER(IM90),ISNUMBER(IK90)),IM90-IK90,"")</f>
        <v>0</v>
      </c>
      <c r="IM90" s="33"/>
      <c r="IN90" s="34">
        <f>IF(AND(ISNUMBER(IO90),ISNUMBER(IM90)),IO90-IM90,"")</f>
        <v>0</v>
      </c>
      <c r="IO90" s="33"/>
      <c r="IP90" s="34">
        <f>IF(AND(ISNUMBER(IQ90),ISNUMBER(IO90)),IQ90-IO90,"")</f>
        <v>0</v>
      </c>
      <c r="IQ90" s="33"/>
      <c r="IR90" s="34">
        <f>IF(AND(ISNUMBER(IS90),ISNUMBER(IQ90)),IS90-IQ90,"")</f>
        <v>0</v>
      </c>
      <c r="IS90" s="33"/>
      <c r="IT90" s="34">
        <f>IF(AND(ISNUMBER(IU90),ISNUMBER(IS90)),IU90-IS90,"")</f>
        <v>0</v>
      </c>
      <c r="IU90" s="33"/>
      <c r="IV90" s="34">
        <f>IF(AND(ISNUMBER(IW90),ISNUMBER(IU90)),IW90-IU90,"")</f>
        <v>0</v>
      </c>
      <c r="IW90" s="33"/>
      <c r="IX90" s="34">
        <f>IF(AND(ISNUMBER(IY90),ISNUMBER(IW90)),IY90-IW90,"")</f>
        <v>0</v>
      </c>
      <c r="IY90" s="33"/>
      <c r="IZ90" s="34">
        <f>IF(AND(ISNUMBER(JA90),ISNUMBER(IY90)),JA90-IY90,"")</f>
        <v>0</v>
      </c>
      <c r="JA90" s="33"/>
      <c r="JB90" s="34">
        <f>IF(AND(ISNUMBER(JC90),ISNUMBER(JA90)),JC90-JA90,"")</f>
        <v>0</v>
      </c>
      <c r="JC90" s="33"/>
      <c r="JD90" s="34">
        <f>IF(AND(ISNUMBER(JE90),ISNUMBER(JC90)),JE90-JC90,"")</f>
        <v>0</v>
      </c>
      <c r="JE90" s="33"/>
      <c r="JF90" s="34">
        <f>IF(AND(ISNUMBER(JG90),ISNUMBER(JE90)),JG90-JE90,"")</f>
        <v>0</v>
      </c>
      <c r="JG90" s="33"/>
      <c r="JH90" s="34">
        <f>IF(AND(ISNUMBER(JI90),ISNUMBER(JG90)),JI90-JG90,"")</f>
        <v>0</v>
      </c>
      <c r="JI90" s="33"/>
      <c r="JJ90" s="34">
        <f>IF(AND(ISNUMBER(JK90),ISNUMBER(JI90)),JK90-JI90,"")</f>
        <v>0</v>
      </c>
      <c r="JK90" s="33"/>
      <c r="JL90" s="34">
        <f>IF(AND(ISNUMBER(JM90),ISNUMBER(JK90)),JM90-JK90,"")</f>
        <v>0</v>
      </c>
      <c r="JM90" s="33"/>
      <c r="JN90" s="34">
        <f>IF(AND(ISNUMBER(JO90),ISNUMBER(JM90)),JO90-JM90,"")</f>
        <v>0</v>
      </c>
      <c r="JO90" s="33"/>
      <c r="JP90" s="34">
        <f>IF(AND(ISNUMBER(JQ90),ISNUMBER(JO90)),JQ90-JO90,"")</f>
        <v>0</v>
      </c>
      <c r="JQ90" s="33"/>
      <c r="JR90" s="34">
        <f>IF(AND(ISNUMBER(JS90),ISNUMBER(JQ90)),JS90-JQ90,"")</f>
        <v>0</v>
      </c>
      <c r="JS90" s="33">
        <v>375</v>
      </c>
      <c r="JT90" s="34">
        <f>IF(AND(ISNUMBER(JU90),ISNUMBER(JS90)),JU90-JS90,"")</f>
        <v>0</v>
      </c>
      <c r="JU90" s="33">
        <v>1949</v>
      </c>
      <c r="JV90" s="34">
        <f>IF(AND(ISNUMBER(JW90),ISNUMBER(JU90)),JW90-JU90,"")</f>
        <v>0</v>
      </c>
      <c r="JW90" s="33">
        <v>462</v>
      </c>
      <c r="JX90" s="34">
        <f>IF(AND(ISNUMBER(JY90),ISNUMBER(JW90)),JY90-JW90,"")</f>
        <v>0</v>
      </c>
      <c r="JY90" s="33"/>
      <c r="JZ90" s="34">
        <f>IF(AND(ISNUMBER(KA90),ISNUMBER(JY90)),KA90-JY90,"")</f>
        <v>0</v>
      </c>
      <c r="KA90" s="33"/>
      <c r="KB90" s="34">
        <f>IF(AND(ISNUMBER(KC90),ISNUMBER(KA90)),KC90-KA90,"")</f>
        <v>0</v>
      </c>
      <c r="KC90" s="33"/>
      <c r="KD90" s="34">
        <f>IF(AND(ISNUMBER(KE90),ISNUMBER(KC90)),KE90-KC90,"")</f>
        <v>0</v>
      </c>
      <c r="KE90" s="33"/>
      <c r="KF90" s="34">
        <f>IF(AND(ISNUMBER(KG90),ISNUMBER(KE90)),KG90-KE90,"")</f>
        <v>0</v>
      </c>
      <c r="KG90" s="33"/>
      <c r="KH90" s="34">
        <f>IF(AND(ISNUMBER(KI90),ISNUMBER(KG90)),KI90-KG90,"")</f>
        <v>0</v>
      </c>
      <c r="KI90" s="33"/>
      <c r="KJ90" s="34">
        <f>IF(AND(ISNUMBER(KK90),ISNUMBER(KI90)),KK90-KI90,"")</f>
        <v>0</v>
      </c>
      <c r="KK90" s="33"/>
      <c r="KL90" s="34">
        <f>IF(AND(ISNUMBER(KM90),ISNUMBER(KK90)),KM90-KK90,"")</f>
        <v>0</v>
      </c>
      <c r="KM90" s="33"/>
      <c r="KN90" s="34">
        <f>IF(AND(ISNUMBER(KO90),ISNUMBER(KM90)),KO90-KM90,"")</f>
        <v>0</v>
      </c>
      <c r="KO90" s="33"/>
      <c r="KP90" s="34">
        <f>IF(AND(ISNUMBER(KQ90),ISNUMBER(KO90)),KQ90-KO90,"")</f>
        <v>0</v>
      </c>
      <c r="KQ90" s="33"/>
      <c r="KR90" s="34">
        <f>IF(AND(ISNUMBER(KS90),ISNUMBER(KQ90)),KS90-KQ90,"")</f>
        <v>0</v>
      </c>
      <c r="KS90" s="33"/>
      <c r="KT90" s="34">
        <f>IF(AND(ISNUMBER(KU90),ISNUMBER(KS90)),KU90-KS90,"")</f>
        <v>0</v>
      </c>
      <c r="KU90" s="33"/>
      <c r="KV90" s="34">
        <f>IF(AND(ISNUMBER(KW90),ISNUMBER(KU90)),KW90-KU90,"")</f>
        <v>0</v>
      </c>
      <c r="KW90" s="33"/>
      <c r="KX90" s="34">
        <f>IF(AND(ISNUMBER(KY90),ISNUMBER(KW90)),KY90-KW90,"")</f>
        <v>0</v>
      </c>
      <c r="KY90" s="33"/>
      <c r="KZ90" s="34">
        <f>IF(AND(ISNUMBER(LA90),ISNUMBER(KY90)),LA90-KY90,"")</f>
        <v>0</v>
      </c>
      <c r="LA90" s="33"/>
      <c r="LB90" s="34">
        <f>IF(AND(ISNUMBER(LC90),ISNUMBER(LA90)),LC90-LA90,"")</f>
        <v>0</v>
      </c>
      <c r="LC90" s="33"/>
      <c r="LD90" s="34">
        <f>IF(AND(ISNUMBER(LE90),ISNUMBER(LC90)),LE90-LC90,"")</f>
        <v>0</v>
      </c>
      <c r="LE90" s="33"/>
      <c r="LF90" s="34">
        <f>IF(AND(ISNUMBER(LG90),ISNUMBER(LE90)),LG90-LE90,"")</f>
        <v>0</v>
      </c>
      <c r="LG90" s="33"/>
    </row>
    <row r="91" spans="1:322" hidden="1">
      <c r="A91" s="22" t="s">
        <v>834</v>
      </c>
      <c r="B91" s="23" t="s">
        <v>1107</v>
      </c>
      <c r="C91" s="24" t="s">
        <v>728</v>
      </c>
      <c r="D91" s="24" t="s">
        <v>832</v>
      </c>
      <c r="E91" s="25"/>
      <c r="F91" s="26">
        <f>MIN(F92:F94)</f>
        <v>45597.0</v>
      </c>
      <c r="G91" s="26"/>
      <c r="H91" s="26"/>
      <c r="I91" s="27"/>
      <c r="J91" s="28">
        <f>IF(AND(ISNUMBER(K91),ISNUMBER(I91)),K91-I91,"")</f>
        <v>0</v>
      </c>
      <c r="K91" s="27"/>
      <c r="L91" s="28">
        <f>IF(AND(ISNUMBER(M91),ISNUMBER(K91)),M91-K91,"")</f>
        <v>0</v>
      </c>
      <c r="M91" s="27"/>
      <c r="N91" s="28">
        <f>IF(AND(ISNUMBER(O91),ISNUMBER(M91)),O91-M91,"")</f>
        <v>0</v>
      </c>
      <c r="O91" s="27"/>
      <c r="P91" s="28">
        <f>IF(AND(ISNUMBER(Q91),ISNUMBER(O91)),Q91-O91,"")</f>
        <v>0</v>
      </c>
      <c r="Q91" s="27"/>
      <c r="R91" s="28">
        <f>IF(AND(ISNUMBER(S91),ISNUMBER(Q91)),S91-Q91,"")</f>
        <v>0</v>
      </c>
      <c r="S91" s="27"/>
      <c r="T91" s="28">
        <f>IF(AND(ISNUMBER(U91),ISNUMBER(S91)),U91-S91,"")</f>
        <v>0</v>
      </c>
      <c r="U91" s="27"/>
      <c r="V91" s="28">
        <f>IF(AND(ISNUMBER(W91),ISNUMBER(U91)),W91-U91,"")</f>
        <v>0</v>
      </c>
      <c r="W91" s="27"/>
      <c r="X91" s="28">
        <f>IF(AND(ISNUMBER(Y91),ISNUMBER(W91)),Y91-W91,"")</f>
        <v>0</v>
      </c>
      <c r="Y91" s="27"/>
      <c r="Z91" s="28">
        <f>IF(AND(ISNUMBER(AA91),ISNUMBER(Y91)),AA91-Y91,"")</f>
        <v>0</v>
      </c>
      <c r="AA91" s="27"/>
      <c r="AB91" s="28">
        <f>IF(AND(ISNUMBER(AC91),ISNUMBER(AA91)),AC91-AA91,"")</f>
        <v>0</v>
      </c>
      <c r="AC91" s="27"/>
      <c r="AD91" s="28">
        <f>IF(AND(ISNUMBER(AE91),ISNUMBER(AC91)),AE91-AC91,"")</f>
        <v>0</v>
      </c>
      <c r="AE91" s="27"/>
      <c r="AF91" s="28">
        <f>IF(AND(ISNUMBER(AG91),ISNUMBER(AE91)),AG91-AE91,"")</f>
        <v>0</v>
      </c>
      <c r="AG91" s="27"/>
      <c r="AH91" s="28">
        <f>IF(AND(ISNUMBER(AI91),ISNUMBER(AG91)),AI91-AG91,"")</f>
        <v>0</v>
      </c>
      <c r="AI91" s="27"/>
      <c r="AJ91" s="28">
        <f>IF(AND(ISNUMBER(AK91),ISNUMBER(AI91)),AK91-AI91,"")</f>
        <v>0</v>
      </c>
      <c r="AK91" s="27"/>
      <c r="AL91" s="28">
        <f>IF(AND(ISNUMBER(AM91),ISNUMBER(AK91)),AM91-AK91,"")</f>
        <v>0</v>
      </c>
      <c r="AM91" s="27"/>
      <c r="AN91" s="28">
        <f>IF(AND(ISNUMBER(AO91),ISNUMBER(AM91)),AO91-AM91,"")</f>
        <v>0</v>
      </c>
      <c r="AO91" s="27"/>
      <c r="AP91" s="28">
        <f>IF(AND(ISNUMBER(AQ91),ISNUMBER(AO91)),AQ91-AO91,"")</f>
        <v>0</v>
      </c>
      <c r="AQ91" s="27"/>
      <c r="AR91" s="28">
        <f>IF(AND(ISNUMBER(AS91),ISNUMBER(AQ91)),AS91-AQ91,"")</f>
        <v>0</v>
      </c>
      <c r="AS91" s="27"/>
      <c r="AT91" s="28">
        <f>IF(AND(ISNUMBER(AU91),ISNUMBER(AS91)),AU91-AS91,"")</f>
        <v>0</v>
      </c>
      <c r="AU91" s="27"/>
      <c r="AV91" s="28">
        <f>IF(AND(ISNUMBER(AW91),ISNUMBER(AU91)),AW91-AU91,"")</f>
        <v>0</v>
      </c>
      <c r="AW91" s="27"/>
      <c r="AX91" s="28">
        <f>IF(AND(ISNUMBER(AY91),ISNUMBER(AW91)),AY91-AW91,"")</f>
        <v>0</v>
      </c>
      <c r="AY91" s="27"/>
      <c r="AZ91" s="28">
        <f>IF(AND(ISNUMBER(BA91),ISNUMBER(AY91)),BA91-AY91,"")</f>
        <v>0</v>
      </c>
      <c r="BA91" s="27"/>
      <c r="BB91" s="28">
        <f>IF(AND(ISNUMBER(BC91),ISNUMBER(BA91)),BC91-BA91,"")</f>
        <v>0</v>
      </c>
      <c r="BC91" s="27"/>
      <c r="BD91" s="28">
        <f>IF(AND(ISNUMBER(BE91),ISNUMBER(BC91)),BE91-BC91,"")</f>
        <v>0</v>
      </c>
      <c r="BE91" s="27"/>
      <c r="BF91" s="28">
        <f>IF(AND(ISNUMBER(BG91),ISNUMBER(BE91)),BG91-BE91,"")</f>
        <v>0</v>
      </c>
      <c r="BG91" s="27"/>
      <c r="BH91" s="28">
        <f>IF(AND(ISNUMBER(BI91),ISNUMBER(BG91)),BI91-BG91,"")</f>
        <v>0</v>
      </c>
      <c r="BI91" s="27"/>
      <c r="BJ91" s="28">
        <f>IF(AND(ISNUMBER(BK91),ISNUMBER(BI91)),BK91-BI91,"")</f>
        <v>0</v>
      </c>
      <c r="BK91" s="27"/>
      <c r="BL91" s="28">
        <f>IF(AND(ISNUMBER(BM91),ISNUMBER(BK91)),BM91-BK91,"")</f>
        <v>0</v>
      </c>
      <c r="BM91" s="27"/>
      <c r="BN91" s="28">
        <f>IF(AND(ISNUMBER(BO91),ISNUMBER(BM91)),BO91-BM91,"")</f>
        <v>0</v>
      </c>
      <c r="BO91" s="27"/>
      <c r="BP91" s="28">
        <f>IF(AND(ISNUMBER(BQ91),ISNUMBER(BO91)),BQ91-BO91,"")</f>
        <v>0</v>
      </c>
      <c r="BQ91" s="27"/>
      <c r="BR91" s="28">
        <f>IF(AND(ISNUMBER(BS91),ISNUMBER(BQ91)),BS91-BQ91,"")</f>
        <v>0</v>
      </c>
      <c r="BS91" s="27"/>
      <c r="BT91" s="28">
        <f>IF(AND(ISNUMBER(BU91),ISNUMBER(BS91)),BU91-BS91,"")</f>
        <v>0</v>
      </c>
      <c r="BU91" s="27"/>
      <c r="BV91" s="28">
        <f>IF(AND(ISNUMBER(BW91),ISNUMBER(BU91)),BW91-BU91,"")</f>
        <v>0</v>
      </c>
      <c r="BW91" s="27"/>
      <c r="BX91" s="28">
        <f>IF(AND(ISNUMBER(BY91),ISNUMBER(BW91)),BY91-BW91,"")</f>
        <v>0</v>
      </c>
      <c r="BY91" s="29">
        <f>IF(COUNT(BY92,BY93,BY94)=0,"",SUM(BY92,BY93,BY94))</f>
        <v>0</v>
      </c>
      <c r="BZ91" s="28">
        <f>IF(AND(ISNUMBER(CA91),ISNUMBER(BY91)),CA91-BY91,"")</f>
        <v>0</v>
      </c>
      <c r="CA91" s="29">
        <f>IF(COUNT(CA92,CA93,CA94)=0,"",SUM(CA92,CA93,CA94))</f>
        <v>0</v>
      </c>
      <c r="CB91" s="28">
        <f>IF(AND(ISNUMBER(CC91),ISNUMBER(CA91)),CC91-CA91,"")</f>
        <v>0</v>
      </c>
      <c r="CC91" s="29">
        <f>IF(COUNT(CC92,CC93,CC94)=0,"",SUM(CC92,CC93,CC94))</f>
        <v>0</v>
      </c>
      <c r="CD91" s="28">
        <f>IF(AND(ISNUMBER(CE91),ISNUMBER(CC91)),CE91-CC91,"")</f>
        <v>0</v>
      </c>
      <c r="CE91" s="29">
        <f>IF(COUNT(CE92,CE93,CE94)=0,"",SUM(CE92,CE93,CE94))</f>
        <v>0</v>
      </c>
      <c r="CF91" s="28">
        <f>IF(AND(ISNUMBER(CG91),ISNUMBER(CE91)),CG91-CE91,"")</f>
        <v>0</v>
      </c>
      <c r="CG91" s="29">
        <f>IF(COUNT(CG92,CG93,CG94)=0,"",SUM(CG92,CG93,CG94))</f>
        <v>0</v>
      </c>
      <c r="CH91" s="28">
        <f>IF(AND(ISNUMBER(CI91),ISNUMBER(CG91)),CI91-CG91,"")</f>
        <v>0</v>
      </c>
      <c r="CI91" s="29">
        <f>IF(COUNT(CI92,CI93,CI94)=0,"",SUM(CI92,CI93,CI94))</f>
        <v>0</v>
      </c>
      <c r="CJ91" s="28">
        <f>IF(AND(ISNUMBER(CK91),ISNUMBER(CI91)),CK91-CI91,"")</f>
        <v>0</v>
      </c>
      <c r="CK91" s="29">
        <f>IF(COUNT(CK92,CK93,CK94)=0,"",SUM(CK92,CK93,CK94))</f>
        <v>0</v>
      </c>
      <c r="CL91" s="28">
        <f>IF(AND(ISNUMBER(CM91),ISNUMBER(CK91)),CM91-CK91,"")</f>
        <v>0</v>
      </c>
      <c r="CM91" s="29">
        <f>IF(COUNT(CM92,CM93,CM94)=0,"",SUM(CM92,CM93,CM94))</f>
        <v>0</v>
      </c>
      <c r="CN91" s="28">
        <f>IF(AND(ISNUMBER(CO91),ISNUMBER(CM91)),CO91-CM91,"")</f>
        <v>0</v>
      </c>
      <c r="CO91" s="29">
        <f>IF(COUNT(CO92,CO93,CO94)=0,"",SUM(CO92,CO93,CO94))</f>
        <v>0</v>
      </c>
      <c r="CP91" s="28">
        <f>IF(AND(ISNUMBER(CQ91),ISNUMBER(CO91)),CQ91-CO91,"")</f>
        <v>0</v>
      </c>
      <c r="CQ91" s="29">
        <f>IF(COUNT(CQ92,CQ93,CQ94)=0,"",SUM(CQ92,CQ93,CQ94))</f>
        <v>0</v>
      </c>
      <c r="CR91" s="28">
        <f>IF(AND(ISNUMBER(CS91),ISNUMBER(CQ91)),CS91-CQ91,"")</f>
        <v>0</v>
      </c>
      <c r="CS91" s="29">
        <f>IF(COUNT(CS92,CS93,CS94)=0,"",SUM(CS92,CS93,CS94))</f>
        <v>0</v>
      </c>
      <c r="CT91" s="28">
        <f>IF(AND(ISNUMBER(CU91),ISNUMBER(CS91)),CU91-CS91,"")</f>
        <v>0</v>
      </c>
      <c r="CU91" s="29">
        <f>IF(COUNT(CU92,CU93,CU94)=0,"",SUM(CU92,CU93,CU94))</f>
        <v>0</v>
      </c>
      <c r="CV91" s="28">
        <f>IF(AND(ISNUMBER(CW91),ISNUMBER(CU91)),CW91-CU91,"")</f>
        <v>0</v>
      </c>
      <c r="CW91" s="29">
        <f>IF(COUNT(CW92,CW93,CW94)=0,"",SUM(CW92,CW93,CW94))</f>
        <v>0</v>
      </c>
      <c r="CX91" s="28">
        <f>IF(AND(ISNUMBER(CY91),ISNUMBER(CW91)),CY91-CW91,"")</f>
        <v>0</v>
      </c>
      <c r="CY91" s="29">
        <f>IF(COUNT(CY92,CY93,CY94)=0,"",SUM(CY92,CY93,CY94))</f>
        <v>0</v>
      </c>
      <c r="CZ91" s="28">
        <f>IF(AND(ISNUMBER(DA91),ISNUMBER(CY91)),DA91-CY91,"")</f>
        <v>0</v>
      </c>
      <c r="DA91" s="27">
        <v>24282</v>
      </c>
      <c r="DB91" s="28">
        <f>IF(AND(ISNUMBER(DC91),ISNUMBER(DA91)),DC91-DA91,"")</f>
        <v>0</v>
      </c>
      <c r="DC91" s="29">
        <f>IF(COUNT(DC92,DC93,DC94)=0,"",SUM(DC92,DC93,DC94))</f>
        <v>0</v>
      </c>
      <c r="DD91" s="28">
        <f>IF(AND(ISNUMBER(DE91),ISNUMBER(DC91)),DE91-DC91,"")</f>
        <v>0</v>
      </c>
      <c r="DE91" s="29">
        <f>IF(COUNT(DE92,DE93,DE94)=0,"",SUM(DE92,DE93,DE94))</f>
        <v>0</v>
      </c>
      <c r="DF91" s="28">
        <f>IF(AND(ISNUMBER(DG91),ISNUMBER(DE91)),DG91-DE91,"")</f>
        <v>0</v>
      </c>
      <c r="DG91" s="29">
        <f>IF(COUNT(DG92,DG93,DG94)=0,"",SUM(DG92,DG93,DG94))</f>
        <v>0</v>
      </c>
      <c r="DH91" s="28">
        <f>IF(AND(ISNUMBER(DI91),ISNUMBER(DG91)),DI91-DG91,"")</f>
        <v>0</v>
      </c>
      <c r="DI91" s="29">
        <f>IF(COUNT(DI92,DI93,DI94)=0,"",SUM(DI92,DI93,DI94))</f>
        <v>0</v>
      </c>
      <c r="DJ91" s="28">
        <f>IF(AND(ISNUMBER(DK91),ISNUMBER(DI91)),DK91-DI91,"")</f>
        <v>0</v>
      </c>
      <c r="DK91" s="29">
        <f>IF(COUNT(DK92,DK93,DK94)=0,"",SUM(DK92,DK93,DK94))</f>
        <v>0</v>
      </c>
      <c r="DL91" s="28">
        <f>IF(AND(ISNUMBER(DM91),ISNUMBER(DK91)),DM91-DK91,"")</f>
        <v>0</v>
      </c>
      <c r="DM91" s="29">
        <f>IF(COUNT(DM92,DM93,DM94)=0,"",SUM(DM92,DM93,DM94))</f>
        <v>0</v>
      </c>
      <c r="DN91" s="28">
        <f>IF(AND(ISNUMBER(DO91),ISNUMBER(DM91)),DO91-DM91,"")</f>
        <v>0</v>
      </c>
      <c r="DO91" s="29">
        <f>IF(COUNT(DO92,DO93,DO94)=0,"",SUM(DO92,DO93,DO94))</f>
        <v>0</v>
      </c>
      <c r="DP91" s="28">
        <f>IF(AND(ISNUMBER(DQ91),ISNUMBER(DO91)),DQ91-DO91,"")</f>
        <v>0</v>
      </c>
      <c r="DQ91" s="29">
        <f>IF(COUNT(DQ92,DQ93,DQ94)=0,"",SUM(DQ92,DQ93,DQ94))</f>
        <v>0</v>
      </c>
      <c r="DR91" s="28">
        <f>IF(AND(ISNUMBER(DS91),ISNUMBER(DQ91)),DS91-DQ91,"")</f>
        <v>0</v>
      </c>
      <c r="DS91" s="29">
        <f>IF(COUNT(DS92,DS93,DS94)=0,"",SUM(DS92,DS93,DS94))</f>
        <v>0</v>
      </c>
      <c r="DT91" s="28">
        <f>IF(AND(ISNUMBER(DU91),ISNUMBER(DS91)),DU91-DS91,"")</f>
        <v>0</v>
      </c>
      <c r="DU91" s="29">
        <f>IF(COUNT(DU92,DU93,DU94)=0,"",SUM(DU92,DU93,DU94))</f>
        <v>0</v>
      </c>
      <c r="DV91" s="28">
        <f>IF(AND(ISNUMBER(DW91),ISNUMBER(DU91)),DW91-DU91,"")</f>
        <v>0</v>
      </c>
      <c r="DW91" s="29">
        <f>IF(COUNT(DW92,DW93,DW94)=0,"",SUM(DW92,DW93,DW94))</f>
        <v>0</v>
      </c>
      <c r="DX91" s="28">
        <f>IF(AND(ISNUMBER(DY91),ISNUMBER(DW91)),DY91-DW91,"")</f>
        <v>0</v>
      </c>
      <c r="DY91" s="29">
        <f>IF(COUNT(DY92,DY93,DY94)=0,"",SUM(DY92,DY93,DY94))</f>
        <v>0</v>
      </c>
      <c r="DZ91" s="28">
        <f>IF(AND(ISNUMBER(EA91),ISNUMBER(DY91)),EA91-DY91,"")</f>
        <v>0</v>
      </c>
      <c r="EA91" s="29">
        <f>IF(COUNT(EA92,EA93,EA94)=0,"",SUM(EA92,EA93,EA94))</f>
        <v>0</v>
      </c>
      <c r="EB91" s="28">
        <f>IF(AND(ISNUMBER(EC91),ISNUMBER(EA91)),EC91-EA91,"")</f>
        <v>0</v>
      </c>
      <c r="EC91" s="29">
        <f>IF(COUNT(EC92,EC93,EC94)=0,"",SUM(EC92,EC93,EC94))</f>
        <v>0</v>
      </c>
      <c r="ED91" s="28">
        <f>IF(AND(ISNUMBER(EE91),ISNUMBER(EC91)),EE91-EC91,"")</f>
        <v>0</v>
      </c>
      <c r="EE91" s="29">
        <f>IF(COUNT(EE92,EE93,EE94)=0,"",SUM(EE92,EE93,EE94))</f>
        <v>0</v>
      </c>
      <c r="EF91" s="28">
        <f>IF(AND(ISNUMBER(EG91),ISNUMBER(EE91)),EG91-EE91,"")</f>
        <v>0</v>
      </c>
      <c r="EG91" s="29">
        <f>IF(COUNT(EG92,EG93,EG94)=0,"",SUM(EG92,EG93,EG94))</f>
        <v>0</v>
      </c>
      <c r="EH91" s="28">
        <f>IF(AND(ISNUMBER(EI91),ISNUMBER(EG91)),EI91-EG91,"")</f>
        <v>0</v>
      </c>
      <c r="EI91" s="29">
        <f>IF(COUNT(EI92,EI93,EI94)=0,"",SUM(EI92,EI93,EI94))</f>
        <v>0</v>
      </c>
      <c r="EJ91" s="28">
        <f>IF(AND(ISNUMBER(EK91),ISNUMBER(EI91)),EK91-EI91,"")</f>
        <v>0</v>
      </c>
      <c r="EK91" s="29">
        <f>IF(COUNT(EK92,EK93,EK94)=0,"",SUM(EK92,EK93,EK94))</f>
        <v>0</v>
      </c>
      <c r="EL91" s="28">
        <f>IF(AND(ISNUMBER(EM91),ISNUMBER(EK91)),EM91-EK91,"")</f>
        <v>0</v>
      </c>
      <c r="EM91" s="29">
        <f>IF(COUNT(EM92,EM93,EM94)=0,"",SUM(EM92,EM93,EM94))</f>
        <v>0</v>
      </c>
      <c r="EN91" s="28">
        <f>IF(AND(ISNUMBER(EO91),ISNUMBER(EM91)),EO91-EM91,"")</f>
        <v>0</v>
      </c>
      <c r="EO91" s="29">
        <f>IF(COUNT(EO92,EO93,EO94)=0,"",SUM(EO92,EO93,EO94))</f>
        <v>0</v>
      </c>
      <c r="EP91" s="28">
        <f>IF(AND(ISNUMBER(EQ91),ISNUMBER(EO91)),EQ91-EO91,"")</f>
        <v>0</v>
      </c>
      <c r="EQ91" s="29">
        <f>IF(COUNT(EQ92,EQ93,EQ94)=0,"",SUM(EQ92,EQ93,EQ94))</f>
        <v>0</v>
      </c>
      <c r="ER91" s="28">
        <f>IF(AND(ISNUMBER(ES91),ISNUMBER(EQ91)),ES91-EQ91,"")</f>
        <v>0</v>
      </c>
      <c r="ES91" s="29">
        <f>IF(COUNT(ES92,ES93,ES94)=0,"",SUM(ES92,ES93,ES94))</f>
        <v>0</v>
      </c>
      <c r="ET91" s="28">
        <f>IF(AND(ISNUMBER(EU91),ISNUMBER(ES91)),EU91-ES91,"")</f>
        <v>0</v>
      </c>
      <c r="EU91" s="29">
        <f>IF(COUNT(EU92,EU93,EU94)=0,"",SUM(EU92,EU93,EU94))</f>
        <v>0</v>
      </c>
      <c r="EV91" s="28">
        <f>IF(AND(ISNUMBER(EW91),ISNUMBER(EU91)),EW91-EU91,"")</f>
        <v>0</v>
      </c>
      <c r="EW91" s="29">
        <f>IF(COUNT(EW92,EW93,EW94)=0,"",SUM(EW92,EW93,EW94))</f>
        <v>0</v>
      </c>
      <c r="EX91" s="28">
        <f>IF(AND(ISNUMBER(EY91),ISNUMBER(EW91)),EY91-EW91,"")</f>
        <v>0</v>
      </c>
      <c r="EY91" s="29">
        <f>IF(COUNT(EY92,EY93,EY94)=0,"",SUM(EY92,EY93,EY94))</f>
        <v>0</v>
      </c>
      <c r="EZ91" s="28">
        <f>IF(AND(ISNUMBER(FA91),ISNUMBER(EY91)),FA91-EY91,"")</f>
        <v>0</v>
      </c>
      <c r="FA91" s="29">
        <f>IF(COUNT(FA92,FA93,FA94)=0,"",SUM(FA92,FA93,FA94))</f>
        <v>0</v>
      </c>
      <c r="FB91" s="28">
        <f>IF(AND(ISNUMBER(FC91),ISNUMBER(FA91)),FC91-FA91,"")</f>
        <v>0</v>
      </c>
      <c r="FC91" s="29">
        <f>IF(COUNT(FC92,FC93,FC94)=0,"",SUM(FC92,FC93,FC94))</f>
        <v>0</v>
      </c>
      <c r="FD91" s="28">
        <f>IF(AND(ISNUMBER(FE91),ISNUMBER(FC91)),FE91-FC91,"")</f>
        <v>0</v>
      </c>
      <c r="FE91" s="29">
        <f>IF(COUNT(FE92,FE93,FE94)=0,"",SUM(FE92,FE93,FE94))</f>
        <v>0</v>
      </c>
      <c r="FF91" s="28">
        <f>IF(AND(ISNUMBER(FG91),ISNUMBER(FE91)),FG91-FE91,"")</f>
        <v>0</v>
      </c>
      <c r="FG91" s="29">
        <f>IF(COUNT(FG92,FG93,FG94)=0,"",SUM(FG92,FG93,FG94))</f>
        <v>0</v>
      </c>
      <c r="FH91" s="28">
        <f>IF(AND(ISNUMBER(FI91),ISNUMBER(FG91)),FI91-FG91,"")</f>
        <v>0</v>
      </c>
      <c r="FI91" s="29">
        <f>IF(COUNT(FI92,FI93,FI94)=0,"",SUM(FI92,FI93,FI94))</f>
        <v>0</v>
      </c>
      <c r="FJ91" s="28">
        <f>IF(AND(ISNUMBER(FK91),ISNUMBER(FI91)),FK91-FI91,"")</f>
        <v>0</v>
      </c>
      <c r="FK91" s="29">
        <f>IF(COUNT(FK92,FK93,FK94)=0,"",SUM(FK92,FK93,FK94))</f>
        <v>0</v>
      </c>
      <c r="FL91" s="28">
        <f>IF(AND(ISNUMBER(FM91),ISNUMBER(FK91)),FM91-FK91,"")</f>
        <v>0</v>
      </c>
      <c r="FM91" s="29">
        <f>IF(COUNT(FM92,FM93,FM94)=0,"",SUM(FM92,FM93,FM94))</f>
        <v>0</v>
      </c>
      <c r="FN91" s="28">
        <f>IF(AND(ISNUMBER(FO91),ISNUMBER(FM91)),FO91-FM91,"")</f>
        <v>0</v>
      </c>
      <c r="FO91" s="29">
        <f>IF(COUNT(FO92,FO93,FO94)=0,"",SUM(FO92,FO93,FO94))</f>
        <v>0</v>
      </c>
      <c r="FP91" s="28">
        <f>IF(AND(ISNUMBER(FQ91),ISNUMBER(FO91)),FQ91-FO91,"")</f>
        <v>0</v>
      </c>
      <c r="FQ91" s="29">
        <f>IF(COUNT(FQ92,FQ93,FQ94)=0,"",SUM(FQ92,FQ93,FQ94))</f>
        <v>0</v>
      </c>
      <c r="FR91" s="28">
        <f>IF(AND(ISNUMBER(FS91),ISNUMBER(FQ91)),FS91-FQ91,"")</f>
        <v>0</v>
      </c>
      <c r="FS91" s="29">
        <f>IF(COUNT(FS92,FS93,FS94)=0,"",SUM(FS92,FS93,FS94))</f>
        <v>0</v>
      </c>
      <c r="FT91" s="28">
        <f>IF(AND(ISNUMBER(FU91),ISNUMBER(FS91)),FU91-FS91,"")</f>
        <v>0</v>
      </c>
      <c r="FU91" s="29">
        <f>IF(COUNT(FU92,FU93,FU94)=0,"",SUM(FU92,FU93,FU94))</f>
        <v>0</v>
      </c>
      <c r="FV91" s="28">
        <f>IF(AND(ISNUMBER(FW91),ISNUMBER(FU91)),FW91-FU91,"")</f>
        <v>0</v>
      </c>
      <c r="FW91" s="29">
        <f>IF(COUNT(FW92,FW93,FW94)=0,"",SUM(FW92,FW93,FW94))</f>
        <v>0</v>
      </c>
      <c r="FX91" s="28">
        <f>IF(AND(ISNUMBER(FY91),ISNUMBER(FW91)),FY91-FW91,"")</f>
        <v>0</v>
      </c>
      <c r="FY91" s="29">
        <f>IF(COUNT(FY92,FY93,FY94)=0,"",SUM(FY92,FY93,FY94))</f>
        <v>0</v>
      </c>
      <c r="FZ91" s="28">
        <f>IF(AND(ISNUMBER(GA91),ISNUMBER(FY91)),GA91-FY91,"")</f>
        <v>0</v>
      </c>
      <c r="GA91" s="29">
        <f>IF(COUNT(GA92,GA93,GA94)=0,"",SUM(GA92,GA93,GA94))</f>
        <v>0</v>
      </c>
      <c r="GB91" s="28">
        <f>IF(AND(ISNUMBER(GC91),ISNUMBER(GA91)),GC91-GA91,"")</f>
        <v>0</v>
      </c>
      <c r="GC91" s="29">
        <f>IF(COUNT(GC92,GC93,GC94)=0,"",SUM(GC92,GC93,GC94))</f>
        <v>0</v>
      </c>
      <c r="GD91" s="28">
        <f>IF(AND(ISNUMBER(GE91),ISNUMBER(GC91)),GE91-GC91,"")</f>
        <v>0</v>
      </c>
      <c r="GE91" s="29">
        <f>IF(COUNT(GE92,GE93,GE94)=0,"",SUM(GE92,GE93,GE94))</f>
        <v>0</v>
      </c>
      <c r="GF91" s="28">
        <f>IF(AND(ISNUMBER(GG91),ISNUMBER(GE91)),GG91-GE91,"")</f>
        <v>0</v>
      </c>
      <c r="GG91" s="29">
        <f>IF(COUNT(GG92,GG93,GG94)=0,"",SUM(GG92,GG93,GG94))</f>
        <v>0</v>
      </c>
      <c r="GH91" s="28">
        <f>IF(AND(ISNUMBER(GI91),ISNUMBER(GG91)),GI91-GG91,"")</f>
        <v>0</v>
      </c>
      <c r="GI91" s="29">
        <f>IF(COUNT(GI92,GI93,GI94)=0,"",SUM(GI92,GI93,GI94))</f>
        <v>0</v>
      </c>
      <c r="GJ91" s="28">
        <f>IF(AND(ISNUMBER(GK91),ISNUMBER(GI91)),GK91-GI91,"")</f>
        <v>0</v>
      </c>
      <c r="GK91" s="29">
        <f>IF(COUNT(GK92,GK93,GK94)=0,"",SUM(GK92,GK93,GK94))</f>
        <v>0</v>
      </c>
      <c r="GL91" s="28">
        <f>IF(AND(ISNUMBER(GM91),ISNUMBER(GK91)),GM91-GK91,"")</f>
        <v>0</v>
      </c>
      <c r="GM91" s="29">
        <f>IF(COUNT(GM92,GM93,GM94)=0,"",SUM(GM92,GM93,GM94))</f>
        <v>0</v>
      </c>
      <c r="GN91" s="28">
        <f>IF(AND(ISNUMBER(GO91),ISNUMBER(GM91)),GO91-GM91,"")</f>
        <v>0</v>
      </c>
      <c r="GO91" s="29">
        <f>IF(COUNT(GO92,GO93,GO94)=0,"",SUM(GO92,GO93,GO94))</f>
        <v>0</v>
      </c>
      <c r="GP91" s="28">
        <f>IF(AND(ISNUMBER(GQ91),ISNUMBER(GO91)),GQ91-GO91,"")</f>
        <v>0</v>
      </c>
      <c r="GQ91" s="29">
        <f>IF(COUNT(GQ92,GQ93,GQ94)=0,"",SUM(GQ92,GQ93,GQ94))</f>
        <v>0</v>
      </c>
      <c r="GR91" s="28">
        <f>IF(AND(ISNUMBER(GS91),ISNUMBER(GQ91)),GS91-GQ91,"")</f>
        <v>0</v>
      </c>
      <c r="GS91" s="29">
        <f>IF(COUNT(GS92,GS93,GS94)=0,"",SUM(GS92,GS93,GS94))</f>
        <v>0</v>
      </c>
      <c r="GT91" s="28">
        <f>IF(AND(ISNUMBER(GU91),ISNUMBER(GS91)),GU91-GS91,"")</f>
        <v>0</v>
      </c>
      <c r="GU91" s="29">
        <f>IF(COUNT(GU92,GU93,GU94)=0,"",SUM(GU92,GU93,GU94))</f>
        <v>0</v>
      </c>
      <c r="GV91" s="28">
        <f>IF(AND(ISNUMBER(GW91),ISNUMBER(GU91)),GW91-GU91,"")</f>
        <v>0</v>
      </c>
      <c r="GW91" s="29">
        <f>IF(COUNT(GW92,GW93,GW94)=0,"",SUM(GW92,GW93,GW94))</f>
        <v>0</v>
      </c>
      <c r="GX91" s="28">
        <f>IF(AND(ISNUMBER(GY91),ISNUMBER(GW91)),GY91-GW91,"")</f>
        <v>0</v>
      </c>
      <c r="GY91" s="29">
        <f>IF(COUNT(GY92,GY93,GY94)=0,"",SUM(GY92,GY93,GY94))</f>
        <v>0</v>
      </c>
      <c r="GZ91" s="28">
        <f>IF(AND(ISNUMBER(HA91),ISNUMBER(GY91)),HA91-GY91,"")</f>
        <v>0</v>
      </c>
      <c r="HA91" s="29">
        <f>IF(COUNT(HA92,HA93,HA94)=0,"",SUM(HA92,HA93,HA94))</f>
        <v>0</v>
      </c>
      <c r="HB91" s="28">
        <f>IF(AND(ISNUMBER(HC91),ISNUMBER(HA91)),HC91-HA91,"")</f>
        <v>0</v>
      </c>
      <c r="HC91" s="29">
        <f>IF(COUNT(HC92,HC93,HC94)=0,"",SUM(HC92,HC93,HC94))</f>
        <v>0</v>
      </c>
      <c r="HD91" s="28">
        <f>IF(AND(ISNUMBER(HE91),ISNUMBER(HC91)),HE91-HC91,"")</f>
        <v>0</v>
      </c>
      <c r="HE91" s="29">
        <f>IF(COUNT(HE92,HE93,HE94)=0,"",SUM(HE92,HE93,HE94))</f>
        <v>0</v>
      </c>
      <c r="HF91" s="28">
        <f>IF(AND(ISNUMBER(HG91),ISNUMBER(HE91)),HG91-HE91,"")</f>
        <v>0</v>
      </c>
      <c r="HG91" s="29">
        <f>IF(COUNT(HG92,HG93,HG94)=0,"",SUM(HG92,HG93,HG94))</f>
        <v>0</v>
      </c>
      <c r="HH91" s="28">
        <f>IF(AND(ISNUMBER(HI91),ISNUMBER(HG91)),HI91-HG91,"")</f>
        <v>0</v>
      </c>
      <c r="HI91" s="29">
        <f>IF(COUNT(HI92,HI93,HI94)=0,"",SUM(HI92,HI93,HI94))</f>
        <v>0</v>
      </c>
      <c r="HJ91" s="28">
        <f>IF(AND(ISNUMBER(HK91),ISNUMBER(HI91)),HK91-HI91,"")</f>
        <v>0</v>
      </c>
      <c r="HK91" s="29">
        <f>IF(COUNT(HK92,HK93,HK94)=0,"",SUM(HK92,HK93,HK94))</f>
        <v>0</v>
      </c>
      <c r="HL91" s="28">
        <f>IF(AND(ISNUMBER(HM91),ISNUMBER(HK91)),HM91-HK91,"")</f>
        <v>0</v>
      </c>
      <c r="HM91" s="29">
        <f>IF(COUNT(HM92,HM93,HM94)=0,"",SUM(HM92,HM93,HM94))</f>
        <v>0</v>
      </c>
      <c r="HN91" s="28">
        <f>IF(AND(ISNUMBER(HO91),ISNUMBER(HM91)),HO91-HM91,"")</f>
        <v>0</v>
      </c>
      <c r="HO91" s="29">
        <f>IF(COUNT(HO92,HO93,HO94)=0,"",SUM(HO92,HO93,HO94))</f>
        <v>0</v>
      </c>
      <c r="HP91" s="28">
        <f>IF(AND(ISNUMBER(HQ91),ISNUMBER(HO91)),HQ91-HO91,"")</f>
        <v>0</v>
      </c>
      <c r="HQ91" s="29">
        <f>IF(COUNT(HQ92,HQ93,HQ94)=0,"",SUM(HQ92,HQ93,HQ94))</f>
        <v>0</v>
      </c>
      <c r="HR91" s="28">
        <f>IF(AND(ISNUMBER(HS91),ISNUMBER(HQ91)),HS91-HQ91,"")</f>
        <v>0</v>
      </c>
      <c r="HS91" s="29">
        <f>IF(COUNT(HS92,HS93,HS94)=0,"",SUM(HS92,HS93,HS94))</f>
        <v>0</v>
      </c>
      <c r="HT91" s="28">
        <f>IF(AND(ISNUMBER(HU91),ISNUMBER(HS91)),HU91-HS91,"")</f>
        <v>0</v>
      </c>
      <c r="HU91" s="29">
        <f>IF(COUNT(HU92,HU93,HU94)=0,"",SUM(HU92,HU93,HU94))</f>
        <v>0</v>
      </c>
      <c r="HV91" s="28">
        <f>IF(AND(ISNUMBER(HW91),ISNUMBER(HU91)),HW91-HU91,"")</f>
        <v>0</v>
      </c>
      <c r="HW91" s="29">
        <f>IF(COUNT(HW92,HW93,HW94)=0,"",SUM(HW92,HW93,HW94))</f>
        <v>0</v>
      </c>
      <c r="HX91" s="28">
        <f>IF(AND(ISNUMBER(HY91),ISNUMBER(HW91)),HY91-HW91,"")</f>
        <v>0</v>
      </c>
      <c r="HY91" s="29">
        <f>IF(COUNT(HY92,HY93,HY94)=0,"",SUM(HY92,HY93,HY94))</f>
        <v>0</v>
      </c>
      <c r="HZ91" s="28">
        <f>IF(AND(ISNUMBER(IA91),ISNUMBER(HY91)),IA91-HY91,"")</f>
        <v>0</v>
      </c>
      <c r="IA91" s="29">
        <f>IF(COUNT(IA92,IA93,IA94)=0,"",SUM(IA92,IA93,IA94))</f>
        <v>0</v>
      </c>
      <c r="IB91" s="28">
        <f>IF(AND(ISNUMBER(IC91),ISNUMBER(IA91)),IC91-IA91,"")</f>
        <v>0</v>
      </c>
      <c r="IC91" s="29">
        <f>IF(COUNT(IC92,IC93,IC94)=0,"",SUM(IC92,IC93,IC94))</f>
        <v>0</v>
      </c>
      <c r="ID91" s="28">
        <f>IF(AND(ISNUMBER(IE91),ISNUMBER(IC91)),IE91-IC91,"")</f>
        <v>0</v>
      </c>
      <c r="IE91" s="29">
        <f>IF(COUNT(IE92,IE93,IE94)=0,"",SUM(IE92,IE93,IE94))</f>
        <v>0</v>
      </c>
      <c r="IF91" s="28">
        <f>IF(AND(ISNUMBER(IG91),ISNUMBER(IE91)),IG91-IE91,"")</f>
        <v>0</v>
      </c>
      <c r="IG91" s="29">
        <f>IF(COUNT(IG92,IG93,IG94)=0,"",SUM(IG92,IG93,IG94))</f>
        <v>0</v>
      </c>
      <c r="IH91" s="28">
        <f>IF(AND(ISNUMBER(II91),ISNUMBER(IG91)),II91-IG91,"")</f>
        <v>0</v>
      </c>
      <c r="II91" s="29">
        <f>IF(COUNT(II92,II93,II94)=0,"",SUM(II92,II93,II94))</f>
        <v>0</v>
      </c>
      <c r="IJ91" s="28">
        <f>IF(AND(ISNUMBER(IK91),ISNUMBER(II91)),IK91-II91,"")</f>
        <v>0</v>
      </c>
      <c r="IK91" s="29">
        <f>IF(COUNT(IK92,IK93,IK94)=0,"",SUM(IK92,IK93,IK94))</f>
        <v>0</v>
      </c>
      <c r="IL91" s="28">
        <f>IF(AND(ISNUMBER(IM91),ISNUMBER(IK91)),IM91-IK91,"")</f>
        <v>0</v>
      </c>
      <c r="IM91" s="29">
        <f>IF(COUNT(IM92,IM93,IM94)=0,"",SUM(IM92,IM93,IM94))</f>
        <v>0</v>
      </c>
      <c r="IN91" s="28">
        <f>IF(AND(ISNUMBER(IO91),ISNUMBER(IM91)),IO91-IM91,"")</f>
        <v>0</v>
      </c>
      <c r="IO91" s="29">
        <f>IF(COUNT(IO92,IO93,IO94)=0,"",SUM(IO92,IO93,IO94))</f>
        <v>0</v>
      </c>
      <c r="IP91" s="28">
        <f>IF(AND(ISNUMBER(IQ91),ISNUMBER(IO91)),IQ91-IO91,"")</f>
        <v>0</v>
      </c>
      <c r="IQ91" s="29">
        <f>IF(COUNT(IQ92,IQ93,IQ94)=0,"",SUM(IQ92,IQ93,IQ94))</f>
        <v>0</v>
      </c>
      <c r="IR91" s="28">
        <f>IF(AND(ISNUMBER(IS91),ISNUMBER(IQ91)),IS91-IQ91,"")</f>
        <v>0</v>
      </c>
      <c r="IS91" s="29">
        <f>IF(COUNT(IS92,IS93,IS94)=0,"",SUM(IS92,IS93,IS94))</f>
        <v>0</v>
      </c>
      <c r="IT91" s="28">
        <f>IF(AND(ISNUMBER(IU91),ISNUMBER(IS91)),IU91-IS91,"")</f>
        <v>0</v>
      </c>
      <c r="IU91" s="27">
        <v>5991</v>
      </c>
      <c r="IV91" s="28">
        <f>IF(AND(ISNUMBER(IW91),ISNUMBER(IU91)),IW91-IU91,"")</f>
        <v>0</v>
      </c>
      <c r="IW91" s="29">
        <f>IF(COUNT(IW92,IW93,IW94)=0,"",SUM(IW92,IW93,IW94))</f>
        <v>0</v>
      </c>
      <c r="IX91" s="28">
        <f>IF(AND(ISNUMBER(IY91),ISNUMBER(IW91)),IY91-IW91,"")</f>
        <v>0</v>
      </c>
      <c r="IY91" s="29">
        <f>IF(COUNT(IY92,IY93,IY94)=0,"",SUM(IY92,IY93,IY94))</f>
        <v>0</v>
      </c>
      <c r="IZ91" s="28">
        <f>IF(AND(ISNUMBER(JA91),ISNUMBER(IY91)),JA91-IY91,"")</f>
        <v>0</v>
      </c>
      <c r="JA91" s="29">
        <f>IF(COUNT(JA92,JA93,JA94)=0,"",SUM(JA92,JA93,JA94))</f>
        <v>0</v>
      </c>
      <c r="JB91" s="28">
        <f>IF(AND(ISNUMBER(JC91),ISNUMBER(JA91)),JC91-JA91,"")</f>
        <v>0</v>
      </c>
      <c r="JC91" s="29">
        <f>IF(COUNT(JC92,JC93,JC94)=0,"",SUM(JC92,JC93,JC94))</f>
        <v>0</v>
      </c>
      <c r="JD91" s="28">
        <f>IF(AND(ISNUMBER(JE91),ISNUMBER(JC91)),JE91-JC91,"")</f>
        <v>0</v>
      </c>
      <c r="JE91" s="29">
        <f>IF(COUNT(JE92,JE93,JE94)=0,"",SUM(JE92,JE93,JE94))</f>
        <v>0</v>
      </c>
      <c r="JF91" s="28">
        <f>IF(AND(ISNUMBER(JG91),ISNUMBER(JE91)),JG91-JE91,"")</f>
        <v>0</v>
      </c>
      <c r="JG91" s="29">
        <f>IF(COUNT(JG92,JG93,JG94)=0,"",SUM(JG92,JG93,JG94))</f>
        <v>0</v>
      </c>
      <c r="JH91" s="28">
        <f>IF(AND(ISNUMBER(JI91),ISNUMBER(JG91)),JI91-JG91,"")</f>
        <v>0</v>
      </c>
      <c r="JI91" s="29">
        <f>IF(COUNT(JI92,JI93,JI94)=0,"",SUM(JI92,JI93,JI94))</f>
        <v>0</v>
      </c>
      <c r="JJ91" s="28">
        <f>IF(AND(ISNUMBER(JK91),ISNUMBER(JI91)),JK91-JI91,"")</f>
        <v>0</v>
      </c>
      <c r="JK91" s="29">
        <f>IF(COUNT(JK92,JK93,JK94)=0,"",SUM(JK92,JK93,JK94))</f>
        <v>0</v>
      </c>
      <c r="JL91" s="28">
        <f>IF(AND(ISNUMBER(JM91),ISNUMBER(JK91)),JM91-JK91,"")</f>
        <v>0</v>
      </c>
      <c r="JM91" s="29">
        <f>IF(COUNT(JM92,JM93,JM94)=0,"",SUM(JM92,JM93,JM94))</f>
        <v>0</v>
      </c>
      <c r="JN91" s="28">
        <f>IF(AND(ISNUMBER(JO91),ISNUMBER(JM91)),JO91-JM91,"")</f>
        <v>0</v>
      </c>
      <c r="JO91" s="29">
        <f>IF(COUNT(JO92,JO93,JO94)=0,"",SUM(JO92,JO93,JO94))</f>
        <v>0</v>
      </c>
      <c r="JP91" s="28">
        <f>IF(AND(ISNUMBER(JQ91),ISNUMBER(JO91)),JQ91-JO91,"")</f>
        <v>0</v>
      </c>
      <c r="JQ91" s="29">
        <f>IF(COUNT(JQ92,JQ93,JQ94)=0,"",SUM(JQ92,JQ93,JQ94))</f>
        <v>0</v>
      </c>
      <c r="JR91" s="28">
        <f>IF(AND(ISNUMBER(JS91),ISNUMBER(JQ91)),JS91-JQ91,"")</f>
        <v>0</v>
      </c>
      <c r="JS91" s="29">
        <f>IF(COUNT(JS92,JS93,JS94)=0,"",SUM(JS92,JS93,JS94))</f>
        <v>0</v>
      </c>
      <c r="JT91" s="28">
        <f>IF(AND(ISNUMBER(JU91),ISNUMBER(JS91)),JU91-JS91,"")</f>
        <v>0</v>
      </c>
      <c r="JU91" s="29">
        <f>IF(COUNT(JU92,JU93,JU94)=0,"",SUM(JU92,JU93,JU94))</f>
        <v>0</v>
      </c>
      <c r="JV91" s="28">
        <f>IF(AND(ISNUMBER(JW91),ISNUMBER(JU91)),JW91-JU91,"")</f>
        <v>0</v>
      </c>
      <c r="JW91" s="29">
        <f>IF(COUNT(JW92,JW93,JW94)=0,"",SUM(JW92,JW93,JW94))</f>
        <v>0</v>
      </c>
      <c r="JX91" s="28">
        <f>IF(AND(ISNUMBER(JY91),ISNUMBER(JW91)),JY91-JW91,"")</f>
        <v>0</v>
      </c>
      <c r="JY91" s="29">
        <f>IF(COUNT(JY92,JY93,JY94)=0,"",SUM(JY92,JY93,JY94))</f>
        <v>0</v>
      </c>
      <c r="JZ91" s="28">
        <f>IF(AND(ISNUMBER(KA91),ISNUMBER(JY91)),KA91-JY91,"")</f>
        <v>0</v>
      </c>
      <c r="KA91" s="29">
        <f>IF(COUNT(KA92,KA93,KA94)=0,"",SUM(KA92,KA93,KA94))</f>
        <v>0</v>
      </c>
      <c r="KB91" s="28">
        <f>IF(AND(ISNUMBER(KC91),ISNUMBER(KA91)),KC91-KA91,"")</f>
        <v>0</v>
      </c>
      <c r="KC91" s="29">
        <f>IF(COUNT(KC92,KC93,KC94)=0,"",SUM(KC92,KC93,KC94))</f>
        <v>0</v>
      </c>
      <c r="KD91" s="28">
        <f>IF(AND(ISNUMBER(KE91),ISNUMBER(KC91)),KE91-KC91,"")</f>
        <v>0</v>
      </c>
      <c r="KE91" s="29">
        <f>IF(COUNT(KE92,KE93,KE94)=0,"",SUM(KE92,KE93,KE94))</f>
        <v>0</v>
      </c>
      <c r="KF91" s="28">
        <f>IF(AND(ISNUMBER(KG91),ISNUMBER(KE91)),KG91-KE91,"")</f>
        <v>0</v>
      </c>
      <c r="KG91" s="29">
        <f>IF(COUNT(KG92,KG93,KG94)=0,"",SUM(KG92,KG93,KG94))</f>
        <v>0</v>
      </c>
      <c r="KH91" s="28">
        <f>IF(AND(ISNUMBER(KI91),ISNUMBER(KG91)),KI91-KG91,"")</f>
        <v>0</v>
      </c>
      <c r="KI91" s="29">
        <f>IF(COUNT(KI92,KI93,KI94)=0,"",SUM(KI92,KI93,KI94))</f>
        <v>0</v>
      </c>
      <c r="KJ91" s="28">
        <f>IF(AND(ISNUMBER(KK91),ISNUMBER(KI91)),KK91-KI91,"")</f>
        <v>0</v>
      </c>
      <c r="KK91" s="29">
        <f>IF(COUNT(KK92,KK93,KK94)=0,"",SUM(KK92,KK93,KK94))</f>
        <v>0</v>
      </c>
      <c r="KL91" s="28">
        <f>IF(AND(ISNUMBER(KM91),ISNUMBER(KK91)),KM91-KK91,"")</f>
        <v>0</v>
      </c>
      <c r="KM91" s="29">
        <f>IF(COUNT(KM92,KM93,KM94)=0,"",SUM(KM92,KM93,KM94))</f>
        <v>0</v>
      </c>
      <c r="KN91" s="28">
        <f>IF(AND(ISNUMBER(KO91),ISNUMBER(KM91)),KO91-KM91,"")</f>
        <v>0</v>
      </c>
      <c r="KO91" s="29">
        <f>IF(COUNT(KO92,KO93,KO94)=0,"",SUM(KO92,KO93,KO94))</f>
        <v>0</v>
      </c>
      <c r="KP91" s="28">
        <f>IF(AND(ISNUMBER(KQ91),ISNUMBER(KO91)),KQ91-KO91,"")</f>
        <v>0</v>
      </c>
      <c r="KQ91" s="29">
        <f>IF(COUNT(KQ92,KQ93,KQ94)=0,"",SUM(KQ92,KQ93,KQ94))</f>
        <v>0</v>
      </c>
      <c r="KR91" s="28">
        <f>IF(AND(ISNUMBER(KS91),ISNUMBER(KQ91)),KS91-KQ91,"")</f>
        <v>0</v>
      </c>
      <c r="KS91" s="29">
        <f>IF(COUNT(KS92,KS93,KS94)=0,"",SUM(KS92,KS93,KS94))</f>
        <v>0</v>
      </c>
      <c r="KT91" s="28">
        <f>IF(AND(ISNUMBER(KU91),ISNUMBER(KS91)),KU91-KS91,"")</f>
        <v>0</v>
      </c>
      <c r="KU91" s="29">
        <f>IF(COUNT(KU92,KU93,KU94)=0,"",SUM(KU92,KU93,KU94))</f>
        <v>0</v>
      </c>
      <c r="KV91" s="28">
        <f>IF(AND(ISNUMBER(KW91),ISNUMBER(KU91)),KW91-KU91,"")</f>
        <v>0</v>
      </c>
      <c r="KW91" s="29">
        <f>IF(COUNT(KW92,KW93,KW94)=0,"",SUM(KW92,KW93,KW94))</f>
        <v>0</v>
      </c>
      <c r="KX91" s="28">
        <f>IF(AND(ISNUMBER(KY91),ISNUMBER(KW91)),KY91-KW91,"")</f>
        <v>0</v>
      </c>
      <c r="KY91" s="29">
        <f>IF(COUNT(KY92,KY93,KY94)=0,"",SUM(KY92,KY93,KY94))</f>
        <v>0</v>
      </c>
      <c r="KZ91" s="28">
        <f>IF(AND(ISNUMBER(LA91),ISNUMBER(KY91)),LA91-KY91,"")</f>
        <v>0</v>
      </c>
      <c r="LA91" s="29">
        <f>IF(COUNT(LA92,LA93,LA94)=0,"",SUM(LA92,LA93,LA94))</f>
        <v>0</v>
      </c>
      <c r="LB91" s="28">
        <f>IF(AND(ISNUMBER(LC91),ISNUMBER(LA91)),LC91-LA91,"")</f>
        <v>0</v>
      </c>
      <c r="LC91" s="29">
        <f>IF(COUNT(LC92,LC93,LC94)=0,"",SUM(LC92,LC93,LC94))</f>
        <v>0</v>
      </c>
      <c r="LD91" s="28">
        <f>IF(AND(ISNUMBER(LE91),ISNUMBER(LC91)),LE91-LC91,"")</f>
        <v>0</v>
      </c>
      <c r="LE91" s="29">
        <f>IF(COUNT(LE92,LE93,LE94)=0,"",SUM(LE92,LE93,LE94))</f>
        <v>0</v>
      </c>
      <c r="LF91" s="28">
        <f>IF(AND(ISNUMBER(LG91),ISNUMBER(LE91)),LG91-LE91,"")</f>
        <v>0</v>
      </c>
      <c r="LG91" s="29">
        <f>IF(COUNT(LG92,LG93,LG94)=0,"",SUM(LG92,LG93,LG94))</f>
        <v>0</v>
      </c>
      <c r="LH91" s="30"/>
      <c r="LI91" s="30"/>
      <c r="LJ91" s="30"/>
    </row>
    <row r="92" spans="1:322" hidden="1">
      <c r="A92" s="36" t="s">
        <v>837</v>
      </c>
      <c r="B92" s="23"/>
      <c r="C92" s="31" t="s">
        <v>728</v>
      </c>
      <c r="D92" s="31" t="s">
        <v>1114</v>
      </c>
      <c r="E92" s="32" t="s">
        <v>1036</v>
      </c>
      <c r="F92" s="38">
        <v>45597</v>
      </c>
      <c r="H92" s="38" t="s">
        <v>1082</v>
      </c>
      <c r="I92" s="33">
        <v>8918</v>
      </c>
      <c r="J92" s="34">
        <f>IF(AND(ISNUMBER(K92),ISNUMBER(I92)),K92-I92,"")</f>
        <v>0</v>
      </c>
      <c r="K92" s="40" t="s">
        <v>1088</v>
      </c>
      <c r="L92" s="34">
        <f>IF(AND(ISNUMBER(M92),ISNUMBER(K92)),M92-K92,"")</f>
        <v>0</v>
      </c>
      <c r="M92" s="40" t="s">
        <v>1088</v>
      </c>
      <c r="N92" s="34">
        <f>IF(AND(ISNUMBER(O92),ISNUMBER(M92)),O92-M92,"")</f>
        <v>0</v>
      </c>
      <c r="O92" s="33">
        <v>11197</v>
      </c>
      <c r="P92" s="34">
        <f>IF(AND(ISNUMBER(Q92),ISNUMBER(O92)),Q92-O92,"")</f>
        <v>0</v>
      </c>
      <c r="Q92" s="33">
        <v>12748</v>
      </c>
      <c r="R92" s="34">
        <f>IF(AND(ISNUMBER(S92),ISNUMBER(Q92)),S92-Q92,"")</f>
        <v>0</v>
      </c>
      <c r="S92" s="33">
        <v>13943</v>
      </c>
      <c r="T92" s="34">
        <f>IF(AND(ISNUMBER(U92),ISNUMBER(S92)),U92-S92,"")</f>
        <v>0</v>
      </c>
      <c r="U92" s="33">
        <v>12675</v>
      </c>
      <c r="V92" s="34">
        <f>IF(AND(ISNUMBER(W92),ISNUMBER(U92)),W92-U92,"")</f>
        <v>0</v>
      </c>
      <c r="W92" s="33">
        <v>12648</v>
      </c>
      <c r="X92" s="34">
        <f>IF(AND(ISNUMBER(Y92),ISNUMBER(W92)),Y92-W92,"")</f>
        <v>0</v>
      </c>
      <c r="Y92" s="33">
        <v>12924</v>
      </c>
      <c r="Z92" s="34">
        <f>IF(AND(ISNUMBER(AA92),ISNUMBER(Y92)),AA92-Y92,"")</f>
        <v>0</v>
      </c>
      <c r="AA92" s="33">
        <v>12963</v>
      </c>
      <c r="AB92" s="34">
        <f>IF(AND(ISNUMBER(AC92),ISNUMBER(AA92)),AC92-AA92,"")</f>
        <v>0</v>
      </c>
      <c r="AC92" s="33">
        <v>13218</v>
      </c>
      <c r="AD92" s="34">
        <f>IF(AND(ISNUMBER(AE92),ISNUMBER(AC92)),AE92-AC92,"")</f>
        <v>0</v>
      </c>
      <c r="AE92" s="33">
        <v>8356</v>
      </c>
      <c r="AF92" s="34">
        <f>IF(AND(ISNUMBER(AG92),ISNUMBER(AE92)),AG92-AE92,"")</f>
        <v>0</v>
      </c>
      <c r="AG92" s="33">
        <v>5098</v>
      </c>
      <c r="AH92" s="34">
        <f>IF(AND(ISNUMBER(AI92),ISNUMBER(AG92)),AI92-AG92,"")</f>
        <v>0</v>
      </c>
      <c r="AI92" s="33">
        <v>15148</v>
      </c>
      <c r="AJ92" s="34">
        <f>IF(AND(ISNUMBER(AK92),ISNUMBER(AI92)),AK92-AI92,"")</f>
        <v>0</v>
      </c>
      <c r="AK92" s="33">
        <v>15411</v>
      </c>
      <c r="AL92" s="34">
        <f>IF(AND(ISNUMBER(AM92),ISNUMBER(AK92)),AM92-AK92,"")</f>
        <v>0</v>
      </c>
      <c r="AM92" s="33">
        <v>15148</v>
      </c>
      <c r="AN92" s="34">
        <f>IF(AND(ISNUMBER(AO92),ISNUMBER(AM92)),AO92-AM92,"")</f>
        <v>0</v>
      </c>
      <c r="AO92" s="33">
        <v>14289</v>
      </c>
      <c r="AP92" s="34">
        <f>IF(AND(ISNUMBER(AQ92),ISNUMBER(AO92)),AQ92-AO92,"")</f>
        <v>0</v>
      </c>
      <c r="AQ92" s="33">
        <v>13771</v>
      </c>
      <c r="AR92" s="34">
        <f>IF(AND(ISNUMBER(AS92),ISNUMBER(AQ92)),AS92-AQ92,"")</f>
        <v>0</v>
      </c>
      <c r="AS92" s="33">
        <v>12527</v>
      </c>
      <c r="AT92" s="34">
        <f>IF(AND(ISNUMBER(AU92),ISNUMBER(AS92)),AU92-AS92,"")</f>
        <v>0</v>
      </c>
      <c r="AU92" s="33">
        <v>12351</v>
      </c>
      <c r="AV92" s="34">
        <f>IF(AND(ISNUMBER(AW92),ISNUMBER(AU92)),AW92-AU92,"")</f>
        <v>0</v>
      </c>
      <c r="AW92" s="33">
        <v>11518</v>
      </c>
      <c r="AX92" s="34">
        <f>IF(AND(ISNUMBER(AY92),ISNUMBER(AW92)),AY92-AW92,"")</f>
        <v>0</v>
      </c>
      <c r="AY92" s="33">
        <v>10275</v>
      </c>
      <c r="AZ92" s="34">
        <f>IF(AND(ISNUMBER(BA92),ISNUMBER(AY92)),BA92-AY92,"")</f>
        <v>0</v>
      </c>
      <c r="BA92" s="33">
        <v>9533</v>
      </c>
      <c r="BB92" s="34">
        <f>IF(AND(ISNUMBER(BC92),ISNUMBER(BA92)),BC92-BA92,"")</f>
        <v>0</v>
      </c>
      <c r="BC92" s="33">
        <v>9242</v>
      </c>
      <c r="BD92" s="34">
        <f>IF(AND(ISNUMBER(BE92),ISNUMBER(BC92)),BE92-BC92,"")</f>
        <v>0</v>
      </c>
      <c r="BE92" s="33">
        <v>8763</v>
      </c>
      <c r="BF92" s="34">
        <f>IF(AND(ISNUMBER(BG92),ISNUMBER(BE92)),BG92-BE92,"")</f>
        <v>0</v>
      </c>
      <c r="BG92" s="33">
        <v>8835</v>
      </c>
      <c r="BH92" s="34">
        <f>IF(AND(ISNUMBER(BI92),ISNUMBER(BG92)),BI92-BG92,"")</f>
        <v>0</v>
      </c>
      <c r="BI92" s="33">
        <v>8706</v>
      </c>
      <c r="BJ92" s="34">
        <f>IF(AND(ISNUMBER(BK92),ISNUMBER(BI92)),BK92-BI92,"")</f>
        <v>0</v>
      </c>
      <c r="BK92" s="33">
        <v>7577</v>
      </c>
      <c r="BL92" s="34">
        <f>IF(AND(ISNUMBER(BM92),ISNUMBER(BK92)),BM92-BK92,"")</f>
        <v>0</v>
      </c>
      <c r="BM92" s="33">
        <v>6936</v>
      </c>
      <c r="BN92" s="34">
        <f>IF(AND(ISNUMBER(BO92),ISNUMBER(BM92)),BO92-BM92,"")</f>
        <v>0</v>
      </c>
      <c r="BO92" s="33">
        <v>5981</v>
      </c>
      <c r="BP92" s="34">
        <f>IF(AND(ISNUMBER(BQ92),ISNUMBER(BO92)),BQ92-BO92,"")</f>
        <v>0</v>
      </c>
      <c r="BQ92" s="33">
        <v>7653</v>
      </c>
      <c r="BR92" s="34">
        <f>IF(AND(ISNUMBER(BS92),ISNUMBER(BQ92)),BS92-BQ92,"")</f>
        <v>0</v>
      </c>
      <c r="BS92" s="33">
        <v>7212</v>
      </c>
      <c r="BT92" s="34">
        <f>IF(AND(ISNUMBER(BU92),ISNUMBER(BS92)),BU92-BS92,"")</f>
        <v>0</v>
      </c>
      <c r="BU92" s="33">
        <v>6957</v>
      </c>
      <c r="BV92" s="34">
        <f>IF(AND(ISNUMBER(BW92),ISNUMBER(BU92)),BW92-BU92,"")</f>
        <v>0</v>
      </c>
      <c r="BW92" s="33">
        <v>6695</v>
      </c>
      <c r="BX92" s="34">
        <f>IF(AND(ISNUMBER(BY92),ISNUMBER(BW92)),BY92-BW92,"")</f>
        <v>0</v>
      </c>
      <c r="BY92" s="33">
        <v>7177</v>
      </c>
      <c r="BZ92" s="34">
        <f>IF(AND(ISNUMBER(CA92),ISNUMBER(BY92)),CA92-BY92,"")</f>
        <v>0</v>
      </c>
      <c r="CA92" s="33">
        <v>7760</v>
      </c>
      <c r="CB92" s="34">
        <f>IF(AND(ISNUMBER(CC92),ISNUMBER(CA92)),CC92-CA92,"")</f>
        <v>0</v>
      </c>
      <c r="CC92" s="33">
        <v>6848</v>
      </c>
      <c r="CD92" s="34">
        <f>IF(AND(ISNUMBER(CE92),ISNUMBER(CC92)),CE92-CC92,"")</f>
        <v>0</v>
      </c>
      <c r="CE92" s="33">
        <v>6542</v>
      </c>
      <c r="CF92" s="34">
        <f>IF(AND(ISNUMBER(CG92),ISNUMBER(CE92)),CG92-CE92,"")</f>
        <v>0</v>
      </c>
      <c r="CG92" s="33">
        <v>6440</v>
      </c>
      <c r="CH92" s="34">
        <f>IF(AND(ISNUMBER(CI92),ISNUMBER(CG92)),CI92-CG92,"")</f>
        <v>0</v>
      </c>
      <c r="CI92" s="33">
        <v>5760</v>
      </c>
      <c r="CJ92" s="34">
        <f>IF(AND(ISNUMBER(CK92),ISNUMBER(CI92)),CK92-CI92,"")</f>
        <v>0</v>
      </c>
      <c r="CK92" s="33">
        <v>5922</v>
      </c>
      <c r="CL92" s="34">
        <f>IF(AND(ISNUMBER(CM92),ISNUMBER(CK92)),CM92-CK92,"")</f>
        <v>0</v>
      </c>
      <c r="CM92" s="33">
        <v>4973</v>
      </c>
      <c r="CN92" s="34">
        <f>IF(AND(ISNUMBER(CO92),ISNUMBER(CM92)),CO92-CM92,"")</f>
        <v>0</v>
      </c>
      <c r="CO92" s="33">
        <v>4308</v>
      </c>
      <c r="CP92" s="34">
        <f>IF(AND(ISNUMBER(CQ92),ISNUMBER(CO92)),CQ92-CO92,"")</f>
        <v>0</v>
      </c>
      <c r="CQ92" s="33">
        <v>4307</v>
      </c>
      <c r="CR92" s="34">
        <f>IF(AND(ISNUMBER(CS92),ISNUMBER(CQ92)),CS92-CQ92,"")</f>
        <v>0</v>
      </c>
      <c r="CS92" s="33">
        <v>3926</v>
      </c>
      <c r="CT92" s="34">
        <f>IF(AND(ISNUMBER(CU92),ISNUMBER(CS92)),CU92-CS92,"")</f>
        <v>0</v>
      </c>
      <c r="CU92" s="33">
        <v>3690</v>
      </c>
      <c r="CV92" s="34">
        <f>IF(AND(ISNUMBER(CW92),ISNUMBER(CU92)),CW92-CU92,"")</f>
        <v>0</v>
      </c>
      <c r="CW92" s="33">
        <v>3782</v>
      </c>
      <c r="CX92" s="34">
        <f>IF(AND(ISNUMBER(CY92),ISNUMBER(CW92)),CY92-CW92,"")</f>
        <v>0</v>
      </c>
      <c r="CY92" s="33">
        <v>3910</v>
      </c>
      <c r="CZ92" s="34">
        <f>IF(AND(ISNUMBER(DA92),ISNUMBER(CY92)),DA92-CY92,"")</f>
        <v>0</v>
      </c>
      <c r="DA92" s="33">
        <v>3756</v>
      </c>
      <c r="DB92" s="34">
        <f>IF(AND(ISNUMBER(DC92),ISNUMBER(DA92)),DC92-DA92,"")</f>
        <v>0</v>
      </c>
      <c r="DC92" s="33">
        <v>3618</v>
      </c>
      <c r="DD92" s="34">
        <f>IF(AND(ISNUMBER(DE92),ISNUMBER(DC92)),DE92-DC92,"")</f>
        <v>0</v>
      </c>
      <c r="DE92" s="33">
        <v>2992</v>
      </c>
      <c r="DF92" s="34">
        <f>IF(AND(ISNUMBER(DG92),ISNUMBER(DE92)),DG92-DE92,"")</f>
        <v>0</v>
      </c>
      <c r="DG92" s="33">
        <v>3717</v>
      </c>
      <c r="DH92" s="34">
        <f>IF(AND(ISNUMBER(DI92),ISNUMBER(DG92)),DI92-DG92,"")</f>
        <v>0</v>
      </c>
      <c r="DI92" s="33">
        <v>3744</v>
      </c>
      <c r="DJ92" s="34">
        <f>IF(AND(ISNUMBER(DK92),ISNUMBER(DI92)),DK92-DI92,"")</f>
        <v>0</v>
      </c>
      <c r="DK92" s="33">
        <v>3614</v>
      </c>
      <c r="DL92" s="34">
        <f>IF(AND(ISNUMBER(DM92),ISNUMBER(DK92)),DM92-DK92,"")</f>
        <v>0</v>
      </c>
      <c r="DM92" s="33">
        <v>3836</v>
      </c>
      <c r="DN92" s="34">
        <f>IF(AND(ISNUMBER(DO92),ISNUMBER(DM92)),DO92-DM92,"")</f>
        <v>0</v>
      </c>
      <c r="DO92" s="33">
        <v>4359</v>
      </c>
      <c r="DP92" s="34">
        <f>IF(AND(ISNUMBER(DQ92),ISNUMBER(DO92)),DQ92-DO92,"")</f>
        <v>0</v>
      </c>
      <c r="DQ92" s="33">
        <v>4302</v>
      </c>
      <c r="DR92" s="34">
        <f>IF(AND(ISNUMBER(DS92),ISNUMBER(DQ92)),DS92-DQ92,"")</f>
        <v>0</v>
      </c>
      <c r="DS92" s="33">
        <v>4364</v>
      </c>
      <c r="DT92" s="34">
        <f>IF(AND(ISNUMBER(DU92),ISNUMBER(DS92)),DU92-DS92,"")</f>
        <v>0</v>
      </c>
      <c r="DU92" s="33">
        <v>4234</v>
      </c>
      <c r="DV92" s="34">
        <f>IF(AND(ISNUMBER(DW92),ISNUMBER(DU92)),DW92-DU92,"")</f>
        <v>0</v>
      </c>
      <c r="DW92" s="33">
        <v>4118</v>
      </c>
      <c r="DX92" s="34">
        <f>IF(AND(ISNUMBER(DY92),ISNUMBER(DW92)),DY92-DW92,"")</f>
        <v>0</v>
      </c>
      <c r="DY92" s="33">
        <v>4406</v>
      </c>
      <c r="DZ92" s="34">
        <f>IF(AND(ISNUMBER(EA92),ISNUMBER(DY92)),EA92-DY92,"")</f>
        <v>0</v>
      </c>
      <c r="EA92" s="33">
        <v>4573</v>
      </c>
      <c r="EB92" s="34">
        <f>IF(AND(ISNUMBER(EC92),ISNUMBER(EA92)),EC92-EA92,"")</f>
        <v>0</v>
      </c>
      <c r="EC92" s="33">
        <v>4171</v>
      </c>
      <c r="ED92" s="34">
        <f>IF(AND(ISNUMBER(EE92),ISNUMBER(EC92)),EE92-EC92,"")</f>
        <v>0</v>
      </c>
      <c r="EE92" s="33">
        <v>4269</v>
      </c>
      <c r="EF92" s="34">
        <f>IF(AND(ISNUMBER(EG92),ISNUMBER(EE92)),EG92-EE92,"")</f>
        <v>0</v>
      </c>
      <c r="EG92" s="33">
        <v>3917</v>
      </c>
      <c r="EH92" s="34">
        <f>IF(AND(ISNUMBER(EI92),ISNUMBER(EG92)),EI92-EG92,"")</f>
        <v>0</v>
      </c>
      <c r="EI92" s="33">
        <v>3725</v>
      </c>
      <c r="EJ92" s="34">
        <f>IF(AND(ISNUMBER(EK92),ISNUMBER(EI92)),EK92-EI92,"")</f>
        <v>0</v>
      </c>
      <c r="EK92" s="33">
        <v>3808</v>
      </c>
      <c r="EL92" s="34">
        <f>IF(AND(ISNUMBER(EM92),ISNUMBER(EK92)),EM92-EK92,"")</f>
        <v>0</v>
      </c>
      <c r="EM92" s="33">
        <v>3319</v>
      </c>
      <c r="EN92" s="34">
        <f>IF(AND(ISNUMBER(EO92),ISNUMBER(EM92)),EO92-EM92,"")</f>
        <v>0</v>
      </c>
      <c r="EO92" s="33">
        <v>3039</v>
      </c>
      <c r="EP92" s="34">
        <f>IF(AND(ISNUMBER(EQ92),ISNUMBER(EO92)),EQ92-EO92,"")</f>
        <v>0</v>
      </c>
      <c r="EQ92" s="33">
        <v>3265</v>
      </c>
      <c r="ER92" s="34">
        <f>IF(AND(ISNUMBER(ES92),ISNUMBER(EQ92)),ES92-EQ92,"")</f>
        <v>0</v>
      </c>
      <c r="ES92" s="33">
        <v>3593</v>
      </c>
      <c r="ET92" s="34">
        <f>IF(AND(ISNUMBER(EU92),ISNUMBER(ES92)),EU92-ES92,"")</f>
        <v>0</v>
      </c>
      <c r="EU92" s="33">
        <v>3440</v>
      </c>
      <c r="EV92" s="34">
        <f>IF(AND(ISNUMBER(EW92),ISNUMBER(EU92)),EW92-EU92,"")</f>
        <v>0</v>
      </c>
      <c r="EW92" s="33">
        <v>3838</v>
      </c>
      <c r="EX92" s="34">
        <f>IF(AND(ISNUMBER(EY92),ISNUMBER(EW92)),EY92-EW92,"")</f>
        <v>0</v>
      </c>
      <c r="EY92" s="33">
        <v>3288</v>
      </c>
      <c r="EZ92" s="34">
        <f>IF(AND(ISNUMBER(FA92),ISNUMBER(EY92)),FA92-EY92,"")</f>
        <v>0</v>
      </c>
      <c r="FA92" s="33">
        <v>3822</v>
      </c>
      <c r="FB92" s="34">
        <f>IF(AND(ISNUMBER(FC92),ISNUMBER(FA92)),FC92-FA92,"")</f>
        <v>0</v>
      </c>
      <c r="FC92" s="33">
        <v>3622</v>
      </c>
      <c r="FD92" s="34">
        <f>IF(AND(ISNUMBER(FE92),ISNUMBER(FC92)),FE92-FC92,"")</f>
        <v>0</v>
      </c>
      <c r="FE92" s="33">
        <v>3346</v>
      </c>
      <c r="FF92" s="34">
        <f>IF(AND(ISNUMBER(FG92),ISNUMBER(FE92)),FG92-FE92,"")</f>
        <v>0</v>
      </c>
      <c r="FG92" s="33">
        <v>3446</v>
      </c>
      <c r="FH92" s="34">
        <f>IF(AND(ISNUMBER(FI92),ISNUMBER(FG92)),FI92-FG92,"")</f>
        <v>0</v>
      </c>
      <c r="FI92" s="33">
        <v>3103</v>
      </c>
      <c r="FJ92" s="34">
        <f>IF(AND(ISNUMBER(FK92),ISNUMBER(FI92)),FK92-FI92,"")</f>
        <v>0</v>
      </c>
      <c r="FK92" s="33">
        <v>3062</v>
      </c>
      <c r="FL92" s="34">
        <f>IF(AND(ISNUMBER(FM92),ISNUMBER(FK92)),FM92-FK92,"")</f>
        <v>0</v>
      </c>
      <c r="FM92" s="33">
        <v>2740</v>
      </c>
      <c r="FN92" s="34">
        <f>IF(AND(ISNUMBER(FO92),ISNUMBER(FM92)),FO92-FM92,"")</f>
        <v>0</v>
      </c>
      <c r="FO92" s="33">
        <v>2678</v>
      </c>
      <c r="FP92" s="34">
        <f>IF(AND(ISNUMBER(FQ92),ISNUMBER(FO92)),FQ92-FO92,"")</f>
        <v>0</v>
      </c>
      <c r="FQ92" s="33">
        <v>2690</v>
      </c>
      <c r="FR92" s="34">
        <f>IF(AND(ISNUMBER(FS92),ISNUMBER(FQ92)),FS92-FQ92,"")</f>
        <v>0</v>
      </c>
      <c r="FS92" s="33">
        <v>2827</v>
      </c>
      <c r="FT92" s="34">
        <f>IF(AND(ISNUMBER(FU92),ISNUMBER(FS92)),FU92-FS92,"")</f>
        <v>0</v>
      </c>
      <c r="FU92" s="33">
        <v>3000</v>
      </c>
      <c r="FV92" s="34">
        <f>IF(AND(ISNUMBER(FW92),ISNUMBER(FU92)),FW92-FU92,"")</f>
        <v>0</v>
      </c>
      <c r="FW92" s="33">
        <v>3320</v>
      </c>
      <c r="FX92" s="34">
        <f>IF(AND(ISNUMBER(FY92),ISNUMBER(FW92)),FY92-FW92,"")</f>
        <v>0</v>
      </c>
      <c r="FY92" s="33">
        <v>3130</v>
      </c>
      <c r="FZ92" s="34">
        <f>IF(AND(ISNUMBER(GA92),ISNUMBER(FY92)),GA92-FY92,"")</f>
        <v>0</v>
      </c>
      <c r="GA92" s="33">
        <v>2931</v>
      </c>
      <c r="GB92" s="34">
        <f>IF(AND(ISNUMBER(GC92),ISNUMBER(GA92)),GC92-GA92,"")</f>
        <v>0</v>
      </c>
      <c r="GC92" s="33">
        <v>2419</v>
      </c>
      <c r="GD92" s="34">
        <f>IF(AND(ISNUMBER(GE92),ISNUMBER(GC92)),GE92-GC92,"")</f>
        <v>0</v>
      </c>
      <c r="GE92" s="33">
        <v>2196</v>
      </c>
      <c r="GF92" s="34">
        <f>IF(AND(ISNUMBER(GG92),ISNUMBER(GE92)),GG92-GE92,"")</f>
        <v>0</v>
      </c>
      <c r="GG92" s="33">
        <v>2523</v>
      </c>
      <c r="GH92" s="34">
        <f>IF(AND(ISNUMBER(GI92),ISNUMBER(GG92)),GI92-GG92,"")</f>
        <v>0</v>
      </c>
      <c r="GI92" s="33">
        <v>2124</v>
      </c>
      <c r="GJ92" s="34">
        <f>IF(AND(ISNUMBER(GK92),ISNUMBER(GI92)),GK92-GI92,"")</f>
        <v>0</v>
      </c>
      <c r="GK92" s="33">
        <v>1818</v>
      </c>
      <c r="GL92" s="34">
        <f>IF(AND(ISNUMBER(GM92),ISNUMBER(GK92)),GM92-GK92,"")</f>
        <v>0</v>
      </c>
      <c r="GM92" s="33">
        <v>1754</v>
      </c>
      <c r="GN92" s="34">
        <f>IF(AND(ISNUMBER(GO92),ISNUMBER(GM92)),GO92-GM92,"")</f>
        <v>0</v>
      </c>
      <c r="GO92" s="33">
        <v>2250</v>
      </c>
      <c r="GP92" s="34">
        <f>IF(AND(ISNUMBER(GQ92),ISNUMBER(GO92)),GQ92-GO92,"")</f>
        <v>0</v>
      </c>
      <c r="GQ92" s="33">
        <v>2452</v>
      </c>
      <c r="GR92" s="34">
        <f>IF(AND(ISNUMBER(GS92),ISNUMBER(GQ92)),GS92-GQ92,"")</f>
        <v>0</v>
      </c>
      <c r="GS92" s="33">
        <v>2858</v>
      </c>
      <c r="GT92" s="34">
        <f>IF(AND(ISNUMBER(GU92),ISNUMBER(GS92)),GU92-GS92,"")</f>
        <v>0</v>
      </c>
      <c r="GU92" s="33">
        <v>2966</v>
      </c>
      <c r="GV92" s="34">
        <f>IF(AND(ISNUMBER(GW92),ISNUMBER(GU92)),GW92-GU92,"")</f>
        <v>0</v>
      </c>
      <c r="GW92" s="33">
        <v>2669</v>
      </c>
      <c r="GX92" s="34">
        <f>IF(AND(ISNUMBER(GY92),ISNUMBER(GW92)),GY92-GW92,"")</f>
        <v>0</v>
      </c>
      <c r="GY92" s="33">
        <v>2427</v>
      </c>
      <c r="GZ92" s="34">
        <f>IF(AND(ISNUMBER(HA92),ISNUMBER(GY92)),HA92-GY92,"")</f>
        <v>0</v>
      </c>
      <c r="HA92" s="33">
        <v>3022</v>
      </c>
      <c r="HB92" s="34">
        <f>IF(AND(ISNUMBER(HC92),ISNUMBER(HA92)),HC92-HA92,"")</f>
        <v>0</v>
      </c>
      <c r="HC92" s="33">
        <v>3493</v>
      </c>
      <c r="HD92" s="34">
        <f>IF(AND(ISNUMBER(HE92),ISNUMBER(HC92)),HE92-HC92,"")</f>
        <v>0</v>
      </c>
      <c r="HE92" s="33">
        <v>3334</v>
      </c>
      <c r="HF92" s="34">
        <f>IF(AND(ISNUMBER(HG92),ISNUMBER(HE92)),HG92-HE92,"")</f>
        <v>0</v>
      </c>
      <c r="HG92" s="33">
        <v>3002</v>
      </c>
      <c r="HH92" s="34">
        <f>IF(AND(ISNUMBER(HI92),ISNUMBER(HG92)),HI92-HG92,"")</f>
        <v>0</v>
      </c>
      <c r="HI92" s="33">
        <v>2791</v>
      </c>
      <c r="HJ92" s="34">
        <f>IF(AND(ISNUMBER(HK92),ISNUMBER(HI92)),HK92-HI92,"")</f>
        <v>0</v>
      </c>
      <c r="HK92" s="33">
        <v>2443</v>
      </c>
      <c r="HL92" s="34">
        <f>IF(AND(ISNUMBER(HM92),ISNUMBER(HK92)),HM92-HK92,"")</f>
        <v>0</v>
      </c>
      <c r="HM92" s="33">
        <v>2947</v>
      </c>
      <c r="HN92" s="34">
        <f>IF(AND(ISNUMBER(HO92),ISNUMBER(HM92)),HO92-HM92,"")</f>
        <v>0</v>
      </c>
      <c r="HO92" s="33">
        <v>2686</v>
      </c>
      <c r="HP92" s="34">
        <f>IF(AND(ISNUMBER(HQ92),ISNUMBER(HO92)),HQ92-HO92,"")</f>
        <v>0</v>
      </c>
      <c r="HQ92" s="33">
        <v>3106</v>
      </c>
      <c r="HR92" s="34">
        <f>IF(AND(ISNUMBER(HS92),ISNUMBER(HQ92)),HS92-HQ92,"")</f>
        <v>0</v>
      </c>
      <c r="HS92" s="33">
        <v>3004</v>
      </c>
      <c r="HT92" s="34">
        <f>IF(AND(ISNUMBER(HU92),ISNUMBER(HS92)),HU92-HS92,"")</f>
        <v>0</v>
      </c>
      <c r="HU92" s="33">
        <v>2793</v>
      </c>
      <c r="HV92" s="34">
        <f>IF(AND(ISNUMBER(HW92),ISNUMBER(HU92)),HW92-HU92,"")</f>
        <v>0</v>
      </c>
      <c r="HW92" s="33">
        <v>3180</v>
      </c>
      <c r="HX92" s="34">
        <f>IF(AND(ISNUMBER(HY92),ISNUMBER(HW92)),HY92-HW92,"")</f>
        <v>0</v>
      </c>
      <c r="HY92" s="33">
        <v>3506</v>
      </c>
      <c r="HZ92" s="34">
        <f>IF(AND(ISNUMBER(IA92),ISNUMBER(HY92)),IA92-HY92,"")</f>
        <v>0</v>
      </c>
      <c r="IA92" s="33">
        <v>3493</v>
      </c>
      <c r="IB92" s="34">
        <f>IF(AND(ISNUMBER(IC92),ISNUMBER(IA92)),IC92-IA92,"")</f>
        <v>0</v>
      </c>
      <c r="IC92" s="33">
        <v>3012</v>
      </c>
      <c r="ID92" s="34">
        <f>IF(AND(ISNUMBER(IE92),ISNUMBER(IC92)),IE92-IC92,"")</f>
        <v>0</v>
      </c>
      <c r="IE92" s="33">
        <v>2740</v>
      </c>
      <c r="IF92" s="34">
        <f>IF(AND(ISNUMBER(IG92),ISNUMBER(IE92)),IG92-IE92,"")</f>
        <v>0</v>
      </c>
      <c r="IG92" s="33">
        <v>3184</v>
      </c>
      <c r="IH92" s="34">
        <f>IF(AND(ISNUMBER(II92),ISNUMBER(IG92)),II92-IG92,"")</f>
        <v>0</v>
      </c>
      <c r="II92" s="33">
        <v>2506</v>
      </c>
      <c r="IJ92" s="34">
        <f>IF(AND(ISNUMBER(IK92),ISNUMBER(II92)),IK92-II92,"")</f>
        <v>0</v>
      </c>
      <c r="IK92" s="33">
        <v>2479</v>
      </c>
      <c r="IL92" s="34">
        <f>IF(AND(ISNUMBER(IM92),ISNUMBER(IK92)),IM92-IK92,"")</f>
        <v>0</v>
      </c>
      <c r="IM92" s="33">
        <v>2742</v>
      </c>
      <c r="IN92" s="34">
        <f>IF(AND(ISNUMBER(IO92),ISNUMBER(IM92)),IO92-IM92,"")</f>
        <v>0</v>
      </c>
      <c r="IO92" s="33">
        <v>2193</v>
      </c>
      <c r="IP92" s="34">
        <f>IF(AND(ISNUMBER(IQ92),ISNUMBER(IO92)),IQ92-IO92,"")</f>
        <v>0</v>
      </c>
      <c r="IQ92" s="33">
        <v>1608</v>
      </c>
      <c r="IR92" s="34">
        <f>IF(AND(ISNUMBER(IS92),ISNUMBER(IQ92)),IS92-IQ92,"")</f>
        <v>0</v>
      </c>
      <c r="IS92" s="33">
        <v>1355</v>
      </c>
      <c r="IT92" s="34">
        <f>IF(AND(ISNUMBER(IU92),ISNUMBER(IS92)),IU92-IS92,"")</f>
        <v>0</v>
      </c>
      <c r="IU92" s="33">
        <v>368</v>
      </c>
      <c r="IV92" s="34">
        <f>IF(AND(ISNUMBER(IW92),ISNUMBER(IU92)),IW92-IU92,"")</f>
        <v>0</v>
      </c>
      <c r="IW92" s="33">
        <v>180</v>
      </c>
      <c r="IX92" s="34">
        <f>IF(AND(ISNUMBER(IY92),ISNUMBER(IW92)),IY92-IW92,"")</f>
        <v>0</v>
      </c>
      <c r="IY92" s="33">
        <v>180</v>
      </c>
      <c r="IZ92" s="34">
        <f>IF(AND(ISNUMBER(JA92),ISNUMBER(IY92)),JA92-IY92,"")</f>
        <v>0</v>
      </c>
      <c r="JA92" s="33">
        <v>494</v>
      </c>
      <c r="JB92" s="34">
        <f>IF(AND(ISNUMBER(JC92),ISNUMBER(JA92)),JC92-JA92,"")</f>
        <v>0</v>
      </c>
      <c r="JC92" s="33">
        <v>738</v>
      </c>
      <c r="JD92" s="34">
        <f>IF(AND(ISNUMBER(JE92),ISNUMBER(JC92)),JE92-JC92,"")</f>
        <v>0</v>
      </c>
      <c r="JE92" s="33">
        <v>1428</v>
      </c>
      <c r="JF92" s="34">
        <f>IF(AND(ISNUMBER(JG92),ISNUMBER(JE92)),JG92-JE92,"")</f>
        <v>0</v>
      </c>
      <c r="JG92" s="33">
        <v>1093</v>
      </c>
      <c r="JH92" s="34">
        <f>IF(AND(ISNUMBER(JI92),ISNUMBER(JG92)),JI92-JG92,"")</f>
        <v>0</v>
      </c>
      <c r="JI92" s="33">
        <v>976</v>
      </c>
      <c r="JJ92" s="34">
        <f>IF(AND(ISNUMBER(JK92),ISNUMBER(JI92)),JK92-JI92,"")</f>
        <v>0</v>
      </c>
      <c r="JK92" s="33">
        <v>1389</v>
      </c>
      <c r="JL92" s="34">
        <f>IF(AND(ISNUMBER(JM92),ISNUMBER(JK92)),JM92-JK92,"")</f>
        <v>0</v>
      </c>
      <c r="JM92" s="33">
        <v>1843</v>
      </c>
      <c r="JN92" s="34">
        <f>IF(AND(ISNUMBER(JO92),ISNUMBER(JM92)),JO92-JM92,"")</f>
        <v>0</v>
      </c>
      <c r="JO92" s="33">
        <v>1666</v>
      </c>
      <c r="JP92" s="34">
        <f>IF(AND(ISNUMBER(JQ92),ISNUMBER(JO92)),JQ92-JO92,"")</f>
        <v>0</v>
      </c>
      <c r="JQ92" s="33">
        <v>2364</v>
      </c>
      <c r="JR92" s="34">
        <f>IF(AND(ISNUMBER(JS92),ISNUMBER(JQ92)),JS92-JQ92,"")</f>
        <v>0</v>
      </c>
      <c r="JS92" s="33">
        <v>2629</v>
      </c>
      <c r="JT92" s="34">
        <f>IF(AND(ISNUMBER(JU92),ISNUMBER(JS92)),JU92-JS92,"")</f>
        <v>0</v>
      </c>
      <c r="JU92" s="33">
        <v>2780</v>
      </c>
      <c r="JV92" s="34">
        <f>IF(AND(ISNUMBER(JW92),ISNUMBER(JU92)),JW92-JU92,"")</f>
        <v>0</v>
      </c>
      <c r="JW92" s="33">
        <v>2623</v>
      </c>
      <c r="JX92" s="34">
        <f>IF(AND(ISNUMBER(JY92),ISNUMBER(JW92)),JY92-JW92,"")</f>
        <v>0</v>
      </c>
      <c r="JY92" s="33"/>
      <c r="JZ92" s="34">
        <f>IF(AND(ISNUMBER(KA92),ISNUMBER(JY92)),KA92-JY92,"")</f>
        <v>0</v>
      </c>
      <c r="KA92" s="33"/>
      <c r="KB92" s="34">
        <f>IF(AND(ISNUMBER(KC92),ISNUMBER(KA92)),KC92-KA92,"")</f>
        <v>0</v>
      </c>
      <c r="KC92" s="33"/>
      <c r="KD92" s="34">
        <f>IF(AND(ISNUMBER(KE92),ISNUMBER(KC92)),KE92-KC92,"")</f>
        <v>0</v>
      </c>
      <c r="KE92" s="33"/>
      <c r="KF92" s="34">
        <f>IF(AND(ISNUMBER(KG92),ISNUMBER(KE92)),KG92-KE92,"")</f>
        <v>0</v>
      </c>
      <c r="KG92" s="33"/>
      <c r="KH92" s="34">
        <f>IF(AND(ISNUMBER(KI92),ISNUMBER(KG92)),KI92-KG92,"")</f>
        <v>0</v>
      </c>
      <c r="KI92" s="33"/>
      <c r="KJ92" s="34">
        <f>IF(AND(ISNUMBER(KK92),ISNUMBER(KI92)),KK92-KI92,"")</f>
        <v>0</v>
      </c>
      <c r="KK92" s="33"/>
      <c r="KL92" s="34">
        <f>IF(AND(ISNUMBER(KM92),ISNUMBER(KK92)),KM92-KK92,"")</f>
        <v>0</v>
      </c>
      <c r="KM92" s="33"/>
      <c r="KN92" s="34">
        <f>IF(AND(ISNUMBER(KO92),ISNUMBER(KM92)),KO92-KM92,"")</f>
        <v>0</v>
      </c>
      <c r="KO92" s="33"/>
      <c r="KP92" s="34">
        <f>IF(AND(ISNUMBER(KQ92),ISNUMBER(KO92)),KQ92-KO92,"")</f>
        <v>0</v>
      </c>
      <c r="KQ92" s="33"/>
      <c r="KR92" s="34">
        <f>IF(AND(ISNUMBER(KS92),ISNUMBER(KQ92)),KS92-KQ92,"")</f>
        <v>0</v>
      </c>
      <c r="KS92" s="33"/>
      <c r="KT92" s="34">
        <f>IF(AND(ISNUMBER(KU92),ISNUMBER(KS92)),KU92-KS92,"")</f>
        <v>0</v>
      </c>
      <c r="KU92" s="33"/>
      <c r="KV92" s="34">
        <f>IF(AND(ISNUMBER(KW92),ISNUMBER(KU92)),KW92-KU92,"")</f>
        <v>0</v>
      </c>
      <c r="KW92" s="33"/>
      <c r="KX92" s="34">
        <f>IF(AND(ISNUMBER(KY92),ISNUMBER(KW92)),KY92-KW92,"")</f>
        <v>0</v>
      </c>
      <c r="KY92" s="33"/>
      <c r="KZ92" s="34">
        <f>IF(AND(ISNUMBER(LA92),ISNUMBER(KY92)),LA92-KY92,"")</f>
        <v>0</v>
      </c>
      <c r="LA92" s="33"/>
      <c r="LB92" s="34">
        <f>IF(AND(ISNUMBER(LC92),ISNUMBER(LA92)),LC92-LA92,"")</f>
        <v>0</v>
      </c>
      <c r="LC92" s="33"/>
      <c r="LD92" s="34">
        <f>IF(AND(ISNUMBER(LE92),ISNUMBER(LC92)),LE92-LC92,"")</f>
        <v>0</v>
      </c>
      <c r="LE92" s="33"/>
      <c r="LF92" s="34">
        <f>IF(AND(ISNUMBER(LG92),ISNUMBER(LE92)),LG92-LE92,"")</f>
        <v>0</v>
      </c>
      <c r="LG92" s="33"/>
      <c r="LJ92" s="35" t="s">
        <v>1115</v>
      </c>
    </row>
    <row r="93" spans="1:322" hidden="1">
      <c r="A93" s="36" t="s">
        <v>840</v>
      </c>
      <c r="B93" s="23"/>
      <c r="C93" s="31" t="s">
        <v>728</v>
      </c>
      <c r="D93" s="31" t="s">
        <v>838</v>
      </c>
      <c r="E93" s="32" t="s">
        <v>1036</v>
      </c>
      <c r="F93" s="38">
        <v>45627</v>
      </c>
      <c r="H93" s="38" t="s">
        <v>1082</v>
      </c>
      <c r="I93" s="33">
        <v>14736</v>
      </c>
      <c r="J93" s="34">
        <f>IF(AND(ISNUMBER(K93),ISNUMBER(I93)),K93-I93,"")</f>
        <v>0</v>
      </c>
      <c r="K93" s="33">
        <v>15000</v>
      </c>
      <c r="L93" s="34">
        <f>IF(AND(ISNUMBER(M93),ISNUMBER(K93)),M93-K93,"")</f>
        <v>0</v>
      </c>
      <c r="M93" s="33">
        <v>14228</v>
      </c>
      <c r="N93" s="34">
        <f>IF(AND(ISNUMBER(O93),ISNUMBER(M93)),O93-M93,"")</f>
        <v>0</v>
      </c>
      <c r="O93" s="33">
        <v>2994</v>
      </c>
      <c r="P93" s="34">
        <f>IF(AND(ISNUMBER(Q93),ISNUMBER(O93)),Q93-O93,"")</f>
        <v>0</v>
      </c>
      <c r="Q93" s="33">
        <v>2915</v>
      </c>
      <c r="R93" s="34">
        <f>IF(AND(ISNUMBER(S93),ISNUMBER(Q93)),S93-Q93,"")</f>
        <v>0</v>
      </c>
      <c r="S93" s="33">
        <v>3292</v>
      </c>
      <c r="T93" s="34">
        <f>IF(AND(ISNUMBER(U93),ISNUMBER(S93)),U93-S93,"")</f>
        <v>0</v>
      </c>
      <c r="U93" s="33">
        <v>3800</v>
      </c>
      <c r="V93" s="34">
        <f>IF(AND(ISNUMBER(W93),ISNUMBER(U93)),W93-U93,"")</f>
        <v>0</v>
      </c>
      <c r="W93" s="33">
        <v>4969</v>
      </c>
      <c r="X93" s="34">
        <f>IF(AND(ISNUMBER(Y93),ISNUMBER(W93)),Y93-W93,"")</f>
        <v>0</v>
      </c>
      <c r="Y93" s="33">
        <v>5350</v>
      </c>
      <c r="Z93" s="34">
        <f>IF(AND(ISNUMBER(AA93),ISNUMBER(Y93)),AA93-Y93,"")</f>
        <v>0</v>
      </c>
      <c r="AA93" s="33">
        <v>5481</v>
      </c>
      <c r="AB93" s="34">
        <f>IF(AND(ISNUMBER(AC93),ISNUMBER(AA93)),AC93-AA93,"")</f>
        <v>0</v>
      </c>
      <c r="AC93" s="33">
        <v>5353</v>
      </c>
      <c r="AD93" s="34">
        <f>IF(AND(ISNUMBER(AE93),ISNUMBER(AC93)),AE93-AC93,"")</f>
        <v>0</v>
      </c>
      <c r="AE93" s="33">
        <v>5337</v>
      </c>
      <c r="AF93" s="34">
        <f>IF(AND(ISNUMBER(AG93),ISNUMBER(AE93)),AG93-AE93,"")</f>
        <v>0</v>
      </c>
      <c r="AG93" s="33">
        <v>4751</v>
      </c>
      <c r="AH93" s="34">
        <f>IF(AND(ISNUMBER(AI93),ISNUMBER(AG93)),AI93-AG93,"")</f>
        <v>0</v>
      </c>
      <c r="AI93" s="33">
        <v>4277</v>
      </c>
      <c r="AJ93" s="34">
        <f>IF(AND(ISNUMBER(AK93),ISNUMBER(AI93)),AK93-AI93,"")</f>
        <v>0</v>
      </c>
      <c r="AK93" s="33">
        <v>4300</v>
      </c>
      <c r="AL93" s="34">
        <f>IF(AND(ISNUMBER(AM93),ISNUMBER(AK93)),AM93-AK93,"")</f>
        <v>0</v>
      </c>
      <c r="AM93" s="33">
        <v>4450</v>
      </c>
      <c r="AN93" s="34">
        <f>IF(AND(ISNUMBER(AO93),ISNUMBER(AM93)),AO93-AM93,"")</f>
        <v>0</v>
      </c>
      <c r="AO93" s="33">
        <v>6065</v>
      </c>
      <c r="AP93" s="34">
        <f>IF(AND(ISNUMBER(AQ93),ISNUMBER(AO93)),AQ93-AO93,"")</f>
        <v>0</v>
      </c>
      <c r="AQ93" s="33">
        <v>6748</v>
      </c>
      <c r="AR93" s="34">
        <f>IF(AND(ISNUMBER(AS93),ISNUMBER(AQ93)),AS93-AQ93,"")</f>
        <v>0</v>
      </c>
      <c r="AS93" s="33">
        <v>9162</v>
      </c>
      <c r="AT93" s="34">
        <f>IF(AND(ISNUMBER(AU93),ISNUMBER(AS93)),AU93-AS93,"")</f>
        <v>0</v>
      </c>
      <c r="AU93" s="33">
        <v>9814</v>
      </c>
      <c r="AV93" s="34">
        <f>IF(AND(ISNUMBER(AW93),ISNUMBER(AU93)),AW93-AU93,"")</f>
        <v>0</v>
      </c>
      <c r="AW93" s="33">
        <v>9760</v>
      </c>
      <c r="AX93" s="34">
        <f>IF(AND(ISNUMBER(AY93),ISNUMBER(AW93)),AY93-AW93,"")</f>
        <v>0</v>
      </c>
      <c r="AY93" s="40" t="s">
        <v>1116</v>
      </c>
      <c r="AZ93" s="34">
        <f>IF(AND(ISNUMBER(BA93),ISNUMBER(AY93)),BA93-AY93,"")</f>
        <v>0</v>
      </c>
      <c r="BA93" s="40" t="s">
        <v>1116</v>
      </c>
      <c r="BB93" s="34">
        <f>IF(AND(ISNUMBER(BC93),ISNUMBER(BA93)),BC93-BA93,"")</f>
        <v>0</v>
      </c>
      <c r="BC93" s="33">
        <v>12767</v>
      </c>
      <c r="BD93" s="34">
        <f>IF(AND(ISNUMBER(BE93),ISNUMBER(BC93)),BE93-BC93,"")</f>
        <v>0</v>
      </c>
      <c r="BE93" s="33">
        <v>15469</v>
      </c>
      <c r="BF93" s="34">
        <f>IF(AND(ISNUMBER(BG93),ISNUMBER(BE93)),BG93-BE93,"")</f>
        <v>0</v>
      </c>
      <c r="BG93" s="33">
        <v>15869</v>
      </c>
      <c r="BH93" s="34">
        <f>IF(AND(ISNUMBER(BI93),ISNUMBER(BG93)),BI93-BG93,"")</f>
        <v>0</v>
      </c>
      <c r="BI93" s="40" t="s">
        <v>1078</v>
      </c>
      <c r="BJ93" s="34">
        <f>IF(AND(ISNUMBER(BK93),ISNUMBER(BI93)),BK93-BI93,"")</f>
        <v>0</v>
      </c>
      <c r="BK93" s="33">
        <v>16548</v>
      </c>
      <c r="BL93" s="34">
        <f>IF(AND(ISNUMBER(BM93),ISNUMBER(BK93)),BM93-BK93,"")</f>
        <v>0</v>
      </c>
      <c r="BM93" s="33">
        <v>17115</v>
      </c>
      <c r="BN93" s="34">
        <f>IF(AND(ISNUMBER(BO93),ISNUMBER(BM93)),BO93-BM93,"")</f>
        <v>0</v>
      </c>
      <c r="BO93" s="33">
        <v>18373</v>
      </c>
      <c r="BP93" s="34">
        <f>IF(AND(ISNUMBER(BQ93),ISNUMBER(BO93)),BQ93-BO93,"")</f>
        <v>0</v>
      </c>
      <c r="BQ93" s="33">
        <v>21111</v>
      </c>
      <c r="BR93" s="34">
        <f>IF(AND(ISNUMBER(BS93),ISNUMBER(BQ93)),BS93-BQ93,"")</f>
        <v>0</v>
      </c>
      <c r="BS93" s="33">
        <v>22148</v>
      </c>
      <c r="BT93" s="34">
        <f>IF(AND(ISNUMBER(BU93),ISNUMBER(BS93)),BU93-BS93,"")</f>
        <v>0</v>
      </c>
      <c r="BU93" s="33">
        <v>22168</v>
      </c>
      <c r="BV93" s="34">
        <f>IF(AND(ISNUMBER(BW93),ISNUMBER(BU93)),BW93-BU93,"")</f>
        <v>0</v>
      </c>
      <c r="BW93" s="33">
        <v>23591</v>
      </c>
      <c r="BX93" s="34">
        <f>IF(AND(ISNUMBER(BY93),ISNUMBER(BW93)),BY93-BW93,"")</f>
        <v>0</v>
      </c>
      <c r="BY93" s="33">
        <v>23904</v>
      </c>
      <c r="BZ93" s="34">
        <f>IF(AND(ISNUMBER(CA93),ISNUMBER(BY93)),CA93-BY93,"")</f>
        <v>0</v>
      </c>
      <c r="CA93" s="33">
        <v>23312</v>
      </c>
      <c r="CB93" s="34">
        <f>IF(AND(ISNUMBER(CC93),ISNUMBER(CA93)),CC93-CA93,"")</f>
        <v>0</v>
      </c>
      <c r="CC93" s="33">
        <v>22789</v>
      </c>
      <c r="CD93" s="34">
        <f>IF(AND(ISNUMBER(CE93),ISNUMBER(CC93)),CE93-CC93,"")</f>
        <v>0</v>
      </c>
      <c r="CE93" s="33">
        <v>22458</v>
      </c>
      <c r="CF93" s="34">
        <f>IF(AND(ISNUMBER(CG93),ISNUMBER(CE93)),CG93-CE93,"")</f>
        <v>0</v>
      </c>
      <c r="CG93" s="33">
        <v>21030</v>
      </c>
      <c r="CH93" s="34">
        <f>IF(AND(ISNUMBER(CI93),ISNUMBER(CG93)),CI93-CG93,"")</f>
        <v>0</v>
      </c>
      <c r="CI93" s="33">
        <v>19663</v>
      </c>
      <c r="CJ93" s="34">
        <f>IF(AND(ISNUMBER(CK93),ISNUMBER(CI93)),CK93-CI93,"")</f>
        <v>0</v>
      </c>
      <c r="CK93" s="33">
        <v>19703</v>
      </c>
      <c r="CL93" s="34">
        <f>IF(AND(ISNUMBER(CM93),ISNUMBER(CK93)),CM93-CK93,"")</f>
        <v>0</v>
      </c>
      <c r="CM93" s="33">
        <v>19703</v>
      </c>
      <c r="CN93" s="34">
        <f>IF(AND(ISNUMBER(CO93),ISNUMBER(CM93)),CO93-CM93,"")</f>
        <v>0</v>
      </c>
      <c r="CO93" s="33">
        <v>20568</v>
      </c>
      <c r="CP93" s="34">
        <f>IF(AND(ISNUMBER(CQ93),ISNUMBER(CO93)),CQ93-CO93,"")</f>
        <v>0</v>
      </c>
      <c r="CQ93" s="33">
        <v>19420</v>
      </c>
      <c r="CR93" s="34">
        <f>IF(AND(ISNUMBER(CS93),ISNUMBER(CQ93)),CS93-CQ93,"")</f>
        <v>0</v>
      </c>
      <c r="CS93" s="33">
        <v>18814</v>
      </c>
      <c r="CT93" s="34">
        <f>IF(AND(ISNUMBER(CU93),ISNUMBER(CS93)),CU93-CS93,"")</f>
        <v>0</v>
      </c>
      <c r="CU93" s="33">
        <v>17846</v>
      </c>
      <c r="CV93" s="34">
        <f>IF(AND(ISNUMBER(CW93),ISNUMBER(CU93)),CW93-CU93,"")</f>
        <v>0</v>
      </c>
      <c r="CW93" s="33">
        <v>17095</v>
      </c>
      <c r="CX93" s="34">
        <f>IF(AND(ISNUMBER(CY93),ISNUMBER(CW93)),CY93-CW93,"")</f>
        <v>0</v>
      </c>
      <c r="CY93" s="33">
        <v>16975</v>
      </c>
      <c r="CZ93" s="34">
        <f>IF(AND(ISNUMBER(DA93),ISNUMBER(CY93)),DA93-CY93,"")</f>
        <v>0</v>
      </c>
      <c r="DA93" s="33">
        <v>16620</v>
      </c>
      <c r="DB93" s="34">
        <f>IF(AND(ISNUMBER(DC93),ISNUMBER(DA93)),DC93-DA93,"")</f>
        <v>0</v>
      </c>
      <c r="DC93" s="33">
        <v>15535</v>
      </c>
      <c r="DD93" s="34">
        <f>IF(AND(ISNUMBER(DE93),ISNUMBER(DC93)),DE93-DC93,"")</f>
        <v>0</v>
      </c>
      <c r="DE93" s="33">
        <v>14736</v>
      </c>
      <c r="DF93" s="34">
        <f>IF(AND(ISNUMBER(DG93),ISNUMBER(DE93)),DG93-DE93,"")</f>
        <v>0</v>
      </c>
      <c r="DG93" s="33">
        <v>15000</v>
      </c>
      <c r="DH93" s="34">
        <f>IF(AND(ISNUMBER(DI93),ISNUMBER(DG93)),DI93-DG93,"")</f>
        <v>0</v>
      </c>
      <c r="DI93" s="33">
        <v>14228</v>
      </c>
      <c r="DJ93" s="34">
        <f>IF(AND(ISNUMBER(DK93),ISNUMBER(DI93)),DK93-DI93,"")</f>
        <v>0</v>
      </c>
      <c r="DK93" s="33">
        <v>13959</v>
      </c>
      <c r="DL93" s="34">
        <f>IF(AND(ISNUMBER(DM93),ISNUMBER(DK93)),DM93-DK93,"")</f>
        <v>0</v>
      </c>
      <c r="DM93" s="33">
        <v>13601</v>
      </c>
      <c r="DN93" s="34">
        <f>IF(AND(ISNUMBER(DO93),ISNUMBER(DM93)),DO93-DM93,"")</f>
        <v>0</v>
      </c>
      <c r="DO93" s="33">
        <v>13051</v>
      </c>
      <c r="DP93" s="34">
        <f>IF(AND(ISNUMBER(DQ93),ISNUMBER(DO93)),DQ93-DO93,"")</f>
        <v>0</v>
      </c>
      <c r="DQ93" s="33">
        <v>13431</v>
      </c>
      <c r="DR93" s="34">
        <f>IF(AND(ISNUMBER(DS93),ISNUMBER(DQ93)),DS93-DQ93,"")</f>
        <v>0</v>
      </c>
      <c r="DS93" s="33">
        <v>13553</v>
      </c>
      <c r="DT93" s="34">
        <f>IF(AND(ISNUMBER(DU93),ISNUMBER(DS93)),DU93-DS93,"")</f>
        <v>0</v>
      </c>
      <c r="DU93" s="33">
        <v>13063</v>
      </c>
      <c r="DV93" s="34">
        <f>IF(AND(ISNUMBER(DW93),ISNUMBER(DU93)),DW93-DU93,"")</f>
        <v>0</v>
      </c>
      <c r="DW93" s="33">
        <v>12447</v>
      </c>
      <c r="DX93" s="34">
        <f>IF(AND(ISNUMBER(DY93),ISNUMBER(DW93)),DY93-DW93,"")</f>
        <v>0</v>
      </c>
      <c r="DY93" s="33">
        <v>12019</v>
      </c>
      <c r="DZ93" s="34">
        <f>IF(AND(ISNUMBER(EA93),ISNUMBER(DY93)),EA93-DY93,"")</f>
        <v>0</v>
      </c>
      <c r="EA93" s="33">
        <v>12095</v>
      </c>
      <c r="EB93" s="34">
        <f>IF(AND(ISNUMBER(EC93),ISNUMBER(EA93)),EC93-EA93,"")</f>
        <v>0</v>
      </c>
      <c r="EC93" s="33">
        <v>11572</v>
      </c>
      <c r="ED93" s="34">
        <f>IF(AND(ISNUMBER(EE93),ISNUMBER(EC93)),EE93-EC93,"")</f>
        <v>0</v>
      </c>
      <c r="EE93" s="33">
        <v>11178</v>
      </c>
      <c r="EF93" s="34">
        <f>IF(AND(ISNUMBER(EG93),ISNUMBER(EE93)),EG93-EE93,"")</f>
        <v>0</v>
      </c>
      <c r="EG93" s="33">
        <v>10427</v>
      </c>
      <c r="EH93" s="34">
        <f>IF(AND(ISNUMBER(EI93),ISNUMBER(EG93)),EI93-EG93,"")</f>
        <v>0</v>
      </c>
      <c r="EI93" s="33">
        <v>11278</v>
      </c>
      <c r="EJ93" s="34">
        <f>IF(AND(ISNUMBER(EK93),ISNUMBER(EI93)),EK93-EI93,"")</f>
        <v>0</v>
      </c>
      <c r="EK93" s="33">
        <v>11754</v>
      </c>
      <c r="EL93" s="34">
        <f>IF(AND(ISNUMBER(EM93),ISNUMBER(EK93)),EM93-EK93,"")</f>
        <v>0</v>
      </c>
      <c r="EM93" s="33">
        <v>11933</v>
      </c>
      <c r="EN93" s="34">
        <f>IF(AND(ISNUMBER(EO93),ISNUMBER(EM93)),EO93-EM93,"")</f>
        <v>0</v>
      </c>
      <c r="EO93" s="33">
        <v>12277</v>
      </c>
      <c r="EP93" s="34">
        <f>IF(AND(ISNUMBER(EQ93),ISNUMBER(EO93)),EQ93-EO93,"")</f>
        <v>0</v>
      </c>
      <c r="EQ93" s="33">
        <v>12338</v>
      </c>
      <c r="ER93" s="34">
        <f>IF(AND(ISNUMBER(ES93),ISNUMBER(EQ93)),ES93-EQ93,"")</f>
        <v>0</v>
      </c>
      <c r="ES93" s="33">
        <v>12583</v>
      </c>
      <c r="ET93" s="34">
        <f>IF(AND(ISNUMBER(EU93),ISNUMBER(ES93)),EU93-ES93,"")</f>
        <v>0</v>
      </c>
      <c r="EU93" s="33">
        <v>13044</v>
      </c>
      <c r="EV93" s="34">
        <f>IF(AND(ISNUMBER(EW93),ISNUMBER(EU93)),EW93-EU93,"")</f>
        <v>0</v>
      </c>
      <c r="EW93" s="33">
        <v>13427</v>
      </c>
      <c r="EX93" s="34">
        <f>IF(AND(ISNUMBER(EY93),ISNUMBER(EW93)),EY93-EW93,"")</f>
        <v>0</v>
      </c>
      <c r="EY93" s="33">
        <v>12721</v>
      </c>
      <c r="EZ93" s="34">
        <f>IF(AND(ISNUMBER(FA93),ISNUMBER(EY93)),FA93-EY93,"")</f>
        <v>0</v>
      </c>
      <c r="FA93" s="33">
        <v>12260</v>
      </c>
      <c r="FB93" s="34">
        <f>IF(AND(ISNUMBER(FC93),ISNUMBER(FA93)),FC93-FA93,"")</f>
        <v>0</v>
      </c>
      <c r="FC93" s="33">
        <v>12291</v>
      </c>
      <c r="FD93" s="34">
        <f>IF(AND(ISNUMBER(FE93),ISNUMBER(FC93)),FE93-FC93,"")</f>
        <v>0</v>
      </c>
      <c r="FE93" s="33">
        <v>11336</v>
      </c>
      <c r="FF93" s="34">
        <f>IF(AND(ISNUMBER(FG93),ISNUMBER(FE93)),FG93-FE93,"")</f>
        <v>0</v>
      </c>
      <c r="FG93" s="33">
        <v>9843</v>
      </c>
      <c r="FH93" s="34">
        <f>IF(AND(ISNUMBER(FI93),ISNUMBER(FG93)),FI93-FG93,"")</f>
        <v>0</v>
      </c>
      <c r="FI93" s="33">
        <v>8219</v>
      </c>
      <c r="FJ93" s="34">
        <f>IF(AND(ISNUMBER(FK93),ISNUMBER(FI93)),FK93-FI93,"")</f>
        <v>0</v>
      </c>
      <c r="FK93" s="33">
        <v>6380</v>
      </c>
      <c r="FL93" s="34">
        <f>IF(AND(ISNUMBER(FM93),ISNUMBER(FK93)),FM93-FK93,"")</f>
        <v>0</v>
      </c>
      <c r="FM93" s="33">
        <v>5055</v>
      </c>
      <c r="FN93" s="34">
        <f>IF(AND(ISNUMBER(FO93),ISNUMBER(FM93)),FO93-FM93,"")</f>
        <v>0</v>
      </c>
      <c r="FO93" s="33">
        <v>4222</v>
      </c>
      <c r="FP93" s="34">
        <f>IF(AND(ISNUMBER(FQ93),ISNUMBER(FO93)),FQ93-FO93,"")</f>
        <v>0</v>
      </c>
      <c r="FQ93" s="33">
        <v>3228</v>
      </c>
      <c r="FR93" s="34">
        <f>IF(AND(ISNUMBER(FS93),ISNUMBER(FQ93)),FS93-FQ93,"")</f>
        <v>0</v>
      </c>
      <c r="FS93" s="33">
        <v>2776</v>
      </c>
      <c r="FT93" s="34">
        <f>IF(AND(ISNUMBER(FU93),ISNUMBER(FS93)),FU93-FS93,"")</f>
        <v>0</v>
      </c>
      <c r="FU93" s="33">
        <v>2429</v>
      </c>
      <c r="FV93" s="34">
        <f>IF(AND(ISNUMBER(FW93),ISNUMBER(FU93)),FW93-FU93,"")</f>
        <v>0</v>
      </c>
      <c r="FW93" s="33">
        <v>2399</v>
      </c>
      <c r="FX93" s="34">
        <f>IF(AND(ISNUMBER(FY93),ISNUMBER(FW93)),FY93-FW93,"")</f>
        <v>0</v>
      </c>
      <c r="FY93" s="33">
        <v>2430</v>
      </c>
      <c r="FZ93" s="34">
        <f>IF(AND(ISNUMBER(GA93),ISNUMBER(FY93)),GA93-FY93,"")</f>
        <v>0</v>
      </c>
      <c r="GA93" s="33">
        <v>2447</v>
      </c>
      <c r="GB93" s="34">
        <f>IF(AND(ISNUMBER(GC93),ISNUMBER(GA93)),GC93-GA93,"")</f>
        <v>0</v>
      </c>
      <c r="GC93" s="33">
        <v>2177</v>
      </c>
      <c r="GD93" s="34">
        <f>IF(AND(ISNUMBER(GE93),ISNUMBER(GC93)),GE93-GC93,"")</f>
        <v>0</v>
      </c>
      <c r="GE93" s="33">
        <v>1137</v>
      </c>
      <c r="GF93" s="34">
        <f>IF(AND(ISNUMBER(GG93),ISNUMBER(GE93)),GG93-GE93,"")</f>
        <v>0</v>
      </c>
      <c r="GG93" s="33">
        <v>503</v>
      </c>
      <c r="GH93" s="34">
        <f>IF(AND(ISNUMBER(GI93),ISNUMBER(GG93)),GI93-GG93,"")</f>
        <v>0</v>
      </c>
      <c r="GI93" s="33">
        <v>609</v>
      </c>
      <c r="GJ93" s="34">
        <f>IF(AND(ISNUMBER(GK93),ISNUMBER(GI93)),GK93-GI93,"")</f>
        <v>0</v>
      </c>
      <c r="GK93" s="33">
        <v>1092</v>
      </c>
      <c r="GL93" s="34">
        <f>IF(AND(ISNUMBER(GM93),ISNUMBER(GK93)),GM93-GK93,"")</f>
        <v>0</v>
      </c>
      <c r="GM93" s="33">
        <v>1405</v>
      </c>
      <c r="GN93" s="34">
        <f>IF(AND(ISNUMBER(GO93),ISNUMBER(GM93)),GO93-GM93,"")</f>
        <v>0</v>
      </c>
      <c r="GO93" s="33">
        <v>1382</v>
      </c>
      <c r="GP93" s="34">
        <f>IF(AND(ISNUMBER(GQ93),ISNUMBER(GO93)),GQ93-GO93,"")</f>
        <v>0</v>
      </c>
      <c r="GQ93" s="33">
        <v>1605</v>
      </c>
      <c r="GR93" s="34">
        <f>IF(AND(ISNUMBER(GS93),ISNUMBER(GQ93)),GS93-GQ93,"")</f>
        <v>0</v>
      </c>
      <c r="GS93" s="33">
        <v>2074</v>
      </c>
      <c r="GT93" s="34">
        <f>IF(AND(ISNUMBER(GU93),ISNUMBER(GS93)),GU93-GS93,"")</f>
        <v>0</v>
      </c>
      <c r="GU93" s="33">
        <v>2405</v>
      </c>
      <c r="GV93" s="34">
        <f>IF(AND(ISNUMBER(GW93),ISNUMBER(GU93)),GW93-GU93,"")</f>
        <v>0</v>
      </c>
      <c r="GW93" s="33">
        <v>2958</v>
      </c>
      <c r="GX93" s="34">
        <f>IF(AND(ISNUMBER(GY93),ISNUMBER(GW93)),GY93-GW93,"")</f>
        <v>0</v>
      </c>
      <c r="GY93" s="33">
        <v>3377</v>
      </c>
      <c r="GZ93" s="34">
        <f>IF(AND(ISNUMBER(HA93),ISNUMBER(GY93)),HA93-GY93,"")</f>
        <v>0</v>
      </c>
      <c r="HA93" s="33">
        <v>3270</v>
      </c>
      <c r="HB93" s="34">
        <f>IF(AND(ISNUMBER(HC93),ISNUMBER(HA93)),HC93-HA93,"")</f>
        <v>0</v>
      </c>
      <c r="HC93" s="33">
        <v>3271</v>
      </c>
      <c r="HD93" s="34">
        <f>IF(AND(ISNUMBER(HE93),ISNUMBER(HC93)),HE93-HC93,"")</f>
        <v>0</v>
      </c>
      <c r="HE93" s="33">
        <v>4137</v>
      </c>
      <c r="HF93" s="34">
        <f>IF(AND(ISNUMBER(HG93),ISNUMBER(HE93)),HG93-HE93,"")</f>
        <v>0</v>
      </c>
      <c r="HG93" s="33">
        <v>4351</v>
      </c>
      <c r="HH93" s="34">
        <f>IF(AND(ISNUMBER(HI93),ISNUMBER(HG93)),HI93-HG93,"")</f>
        <v>0</v>
      </c>
      <c r="HI93" s="33">
        <v>5726</v>
      </c>
      <c r="HJ93" s="34">
        <f>IF(AND(ISNUMBER(HK93),ISNUMBER(HI93)),HK93-HI93,"")</f>
        <v>0</v>
      </c>
      <c r="HK93" s="33">
        <v>5971</v>
      </c>
      <c r="HL93" s="34">
        <f>IF(AND(ISNUMBER(HM93),ISNUMBER(HK93)),HM93-HK93,"")</f>
        <v>0</v>
      </c>
      <c r="HM93" s="33">
        <v>6060</v>
      </c>
      <c r="HN93" s="34">
        <f>IF(AND(ISNUMBER(HO93),ISNUMBER(HM93)),HO93-HM93,"")</f>
        <v>0</v>
      </c>
      <c r="HO93" s="33">
        <v>6566</v>
      </c>
      <c r="HP93" s="34">
        <f>IF(AND(ISNUMBER(HQ93),ISNUMBER(HO93)),HQ93-HO93,"")</f>
        <v>0</v>
      </c>
      <c r="HQ93" s="33">
        <v>6621</v>
      </c>
      <c r="HR93" s="34">
        <f>IF(AND(ISNUMBER(HS93),ISNUMBER(HQ93)),HS93-HQ93,"")</f>
        <v>0</v>
      </c>
      <c r="HS93" s="33">
        <v>7190</v>
      </c>
      <c r="HT93" s="34">
        <f>IF(AND(ISNUMBER(HU93),ISNUMBER(HS93)),HU93-HS93,"")</f>
        <v>0</v>
      </c>
      <c r="HU93" s="33">
        <v>7671</v>
      </c>
      <c r="HV93" s="34">
        <f>IF(AND(ISNUMBER(HW93),ISNUMBER(HU93)),HW93-HU93,"")</f>
        <v>0</v>
      </c>
      <c r="HW93" s="33">
        <v>7609</v>
      </c>
      <c r="HX93" s="34">
        <f>IF(AND(ISNUMBER(HY93),ISNUMBER(HW93)),HY93-HW93,"")</f>
        <v>0</v>
      </c>
      <c r="HY93" s="33">
        <v>6683</v>
      </c>
      <c r="HZ93" s="34">
        <f>IF(AND(ISNUMBER(IA93),ISNUMBER(HY93)),IA93-HY93,"")</f>
        <v>0</v>
      </c>
      <c r="IA93" s="33">
        <v>7229</v>
      </c>
      <c r="IB93" s="34">
        <f>IF(AND(ISNUMBER(IC93),ISNUMBER(IA93)),IC93-IA93,"")</f>
        <v>0</v>
      </c>
      <c r="IC93" s="33">
        <v>7519</v>
      </c>
      <c r="ID93" s="34">
        <f>IF(AND(ISNUMBER(IE93),ISNUMBER(IC93)),IE93-IC93,"")</f>
        <v>0</v>
      </c>
      <c r="IE93" s="33">
        <v>7272</v>
      </c>
      <c r="IF93" s="34">
        <f>IF(AND(ISNUMBER(IG93),ISNUMBER(IE93)),IG93-IE93,"")</f>
        <v>0</v>
      </c>
      <c r="IG93" s="33">
        <v>7248</v>
      </c>
      <c r="IH93" s="34">
        <f>IF(AND(ISNUMBER(II93),ISNUMBER(IG93)),II93-IG93,"")</f>
        <v>0</v>
      </c>
      <c r="II93" s="33">
        <v>7390</v>
      </c>
      <c r="IJ93" s="34">
        <f>IF(AND(ISNUMBER(IK93),ISNUMBER(II93)),IK93-II93,"")</f>
        <v>0</v>
      </c>
      <c r="IK93" s="33">
        <v>6839</v>
      </c>
      <c r="IL93" s="34">
        <f>IF(AND(ISNUMBER(IM93),ISNUMBER(IK93)),IM93-IK93,"")</f>
        <v>0</v>
      </c>
      <c r="IM93" s="33">
        <v>5412</v>
      </c>
      <c r="IN93" s="34">
        <f>IF(AND(ISNUMBER(IO93),ISNUMBER(IM93)),IO93-IM93,"")</f>
        <v>0</v>
      </c>
      <c r="IO93" s="33">
        <v>4780</v>
      </c>
      <c r="IP93" s="34">
        <f>IF(AND(ISNUMBER(IQ93),ISNUMBER(IO93)),IQ93-IO93,"")</f>
        <v>0</v>
      </c>
      <c r="IQ93" s="33">
        <v>5392</v>
      </c>
      <c r="IR93" s="34">
        <f>IF(AND(ISNUMBER(IS93),ISNUMBER(IQ93)),IS93-IQ93,"")</f>
        <v>0</v>
      </c>
      <c r="IS93" s="33">
        <v>5529</v>
      </c>
      <c r="IT93" s="34">
        <f>IF(AND(ISNUMBER(IU93),ISNUMBER(IS93)),IU93-IS93,"")</f>
        <v>0</v>
      </c>
      <c r="IU93" s="33">
        <v>5623</v>
      </c>
      <c r="IV93" s="34">
        <f>IF(AND(ISNUMBER(IW93),ISNUMBER(IU93)),IW93-IU93,"")</f>
        <v>0</v>
      </c>
      <c r="IW93" s="33">
        <v>5483</v>
      </c>
      <c r="IX93" s="34">
        <f>IF(AND(ISNUMBER(IY93),ISNUMBER(IW93)),IY93-IW93,"")</f>
        <v>0</v>
      </c>
      <c r="IY93" s="33">
        <v>5483</v>
      </c>
      <c r="IZ93" s="34">
        <f>IF(AND(ISNUMBER(JA93),ISNUMBER(IY93)),JA93-IY93,"")</f>
        <v>0</v>
      </c>
      <c r="JA93" s="33">
        <v>6462</v>
      </c>
      <c r="JB93" s="34">
        <f>IF(AND(ISNUMBER(JC93),ISNUMBER(JA93)),JC93-JA93,"")</f>
        <v>0</v>
      </c>
      <c r="JC93" s="33">
        <v>6169</v>
      </c>
      <c r="JD93" s="34">
        <f>IF(AND(ISNUMBER(JE93),ISNUMBER(JC93)),JE93-JC93,"")</f>
        <v>0</v>
      </c>
      <c r="JE93" s="33">
        <v>6303</v>
      </c>
      <c r="JF93" s="34">
        <f>IF(AND(ISNUMBER(JG93),ISNUMBER(JE93)),JG93-JE93,"")</f>
        <v>0</v>
      </c>
      <c r="JG93" s="33">
        <v>6500</v>
      </c>
      <c r="JH93" s="34">
        <f>IF(AND(ISNUMBER(JI93),ISNUMBER(JG93)),JI93-JG93,"")</f>
        <v>0</v>
      </c>
      <c r="JI93" s="33">
        <v>6747</v>
      </c>
      <c r="JJ93" s="34">
        <f>IF(AND(ISNUMBER(JK93),ISNUMBER(JI93)),JK93-JI93,"")</f>
        <v>0</v>
      </c>
      <c r="JK93" s="33">
        <v>6885</v>
      </c>
      <c r="JL93" s="34">
        <f>IF(AND(ISNUMBER(JM93),ISNUMBER(JK93)),JM93-JK93,"")</f>
        <v>0</v>
      </c>
      <c r="JM93" s="33">
        <v>7827</v>
      </c>
      <c r="JN93" s="34">
        <f>IF(AND(ISNUMBER(JO93),ISNUMBER(JM93)),JO93-JM93,"")</f>
        <v>0</v>
      </c>
      <c r="JO93" s="33">
        <v>8609</v>
      </c>
      <c r="JP93" s="34">
        <f>IF(AND(ISNUMBER(JQ93),ISNUMBER(JO93)),JQ93-JO93,"")</f>
        <v>0</v>
      </c>
      <c r="JQ93" s="33">
        <v>9131</v>
      </c>
      <c r="JR93" s="34">
        <f>IF(AND(ISNUMBER(JS93),ISNUMBER(JQ93)),JS93-JQ93,"")</f>
        <v>0</v>
      </c>
      <c r="JS93" s="33">
        <v>10184</v>
      </c>
      <c r="JT93" s="34">
        <f>IF(AND(ISNUMBER(JU93),ISNUMBER(JS93)),JU93-JS93,"")</f>
        <v>0</v>
      </c>
      <c r="JU93" s="33">
        <v>9321</v>
      </c>
      <c r="JV93" s="34">
        <f>IF(AND(ISNUMBER(JW93),ISNUMBER(JU93)),JW93-JU93,"")</f>
        <v>0</v>
      </c>
      <c r="JW93" s="33">
        <v>9605</v>
      </c>
      <c r="JX93" s="34">
        <f>IF(AND(ISNUMBER(JY93),ISNUMBER(JW93)),JY93-JW93,"")</f>
        <v>0</v>
      </c>
      <c r="JY93" s="33"/>
      <c r="JZ93" s="34">
        <f>IF(AND(ISNUMBER(KA93),ISNUMBER(JY93)),KA93-JY93,"")</f>
        <v>0</v>
      </c>
      <c r="KA93" s="33"/>
      <c r="KB93" s="34">
        <f>IF(AND(ISNUMBER(KC93),ISNUMBER(KA93)),KC93-KA93,"")</f>
        <v>0</v>
      </c>
      <c r="KC93" s="33"/>
      <c r="KD93" s="34">
        <f>IF(AND(ISNUMBER(KE93),ISNUMBER(KC93)),KE93-KC93,"")</f>
        <v>0</v>
      </c>
      <c r="KE93" s="33"/>
      <c r="KF93" s="34">
        <f>IF(AND(ISNUMBER(KG93),ISNUMBER(KE93)),KG93-KE93,"")</f>
        <v>0</v>
      </c>
      <c r="KG93" s="33"/>
      <c r="KH93" s="34">
        <f>IF(AND(ISNUMBER(KI93),ISNUMBER(KG93)),KI93-KG93,"")</f>
        <v>0</v>
      </c>
      <c r="KI93" s="33"/>
      <c r="KJ93" s="34">
        <f>IF(AND(ISNUMBER(KK93),ISNUMBER(KI93)),KK93-KI93,"")</f>
        <v>0</v>
      </c>
      <c r="KK93" s="33"/>
      <c r="KL93" s="34">
        <f>IF(AND(ISNUMBER(KM93),ISNUMBER(KK93)),KM93-KK93,"")</f>
        <v>0</v>
      </c>
      <c r="KM93" s="33"/>
      <c r="KN93" s="34">
        <f>IF(AND(ISNUMBER(KO93),ISNUMBER(KM93)),KO93-KM93,"")</f>
        <v>0</v>
      </c>
      <c r="KO93" s="33"/>
      <c r="KP93" s="34">
        <f>IF(AND(ISNUMBER(KQ93),ISNUMBER(KO93)),KQ93-KO93,"")</f>
        <v>0</v>
      </c>
      <c r="KQ93" s="33"/>
      <c r="KR93" s="34">
        <f>IF(AND(ISNUMBER(KS93),ISNUMBER(KQ93)),KS93-KQ93,"")</f>
        <v>0</v>
      </c>
      <c r="KS93" s="33"/>
      <c r="KT93" s="34">
        <f>IF(AND(ISNUMBER(KU93),ISNUMBER(KS93)),KU93-KS93,"")</f>
        <v>0</v>
      </c>
      <c r="KU93" s="33"/>
      <c r="KV93" s="34">
        <f>IF(AND(ISNUMBER(KW93),ISNUMBER(KU93)),KW93-KU93,"")</f>
        <v>0</v>
      </c>
      <c r="KW93" s="33"/>
      <c r="KX93" s="34">
        <f>IF(AND(ISNUMBER(KY93),ISNUMBER(KW93)),KY93-KW93,"")</f>
        <v>0</v>
      </c>
      <c r="KY93" s="33"/>
      <c r="KZ93" s="34">
        <f>IF(AND(ISNUMBER(LA93),ISNUMBER(KY93)),LA93-KY93,"")</f>
        <v>0</v>
      </c>
      <c r="LA93" s="33"/>
      <c r="LB93" s="34">
        <f>IF(AND(ISNUMBER(LC93),ISNUMBER(LA93)),LC93-LA93,"")</f>
        <v>0</v>
      </c>
      <c r="LC93" s="33"/>
      <c r="LD93" s="34">
        <f>IF(AND(ISNUMBER(LE93),ISNUMBER(LC93)),LE93-LC93,"")</f>
        <v>0</v>
      </c>
      <c r="LE93" s="33"/>
      <c r="LF93" s="34">
        <f>IF(AND(ISNUMBER(LG93),ISNUMBER(LE93)),LG93-LE93,"")</f>
        <v>0</v>
      </c>
      <c r="LG93" s="33"/>
      <c r="LJ93" s="35" t="s">
        <v>1117</v>
      </c>
    </row>
    <row r="94" spans="1:322" hidden="1">
      <c r="A94" s="36" t="s">
        <v>843</v>
      </c>
      <c r="B94" s="23"/>
      <c r="C94" s="31" t="s">
        <v>728</v>
      </c>
      <c r="D94" s="31" t="s">
        <v>841</v>
      </c>
      <c r="E94" s="32" t="s">
        <v>1118</v>
      </c>
      <c r="H94" s="38" t="s">
        <v>1082</v>
      </c>
      <c r="I94" s="33"/>
      <c r="J94" s="34">
        <f>IF(AND(ISNUMBER(K94),ISNUMBER(I94)),K94-I94,"")</f>
        <v>0</v>
      </c>
      <c r="K94" s="33"/>
      <c r="L94" s="34">
        <f>IF(AND(ISNUMBER(M94),ISNUMBER(K94)),M94-K94,"")</f>
        <v>0</v>
      </c>
      <c r="M94" s="33"/>
      <c r="N94" s="34">
        <f>IF(AND(ISNUMBER(O94),ISNUMBER(M94)),O94-M94,"")</f>
        <v>0</v>
      </c>
      <c r="O94" s="33"/>
      <c r="P94" s="34">
        <f>IF(AND(ISNUMBER(Q94),ISNUMBER(O94)),Q94-O94,"")</f>
        <v>0</v>
      </c>
      <c r="Q94" s="33"/>
      <c r="R94" s="34">
        <f>IF(AND(ISNUMBER(S94),ISNUMBER(Q94)),S94-Q94,"")</f>
        <v>0</v>
      </c>
      <c r="S94" s="33"/>
      <c r="T94" s="34">
        <f>IF(AND(ISNUMBER(U94),ISNUMBER(S94)),U94-S94,"")</f>
        <v>0</v>
      </c>
      <c r="U94" s="33"/>
      <c r="V94" s="34">
        <f>IF(AND(ISNUMBER(W94),ISNUMBER(U94)),W94-U94,"")</f>
        <v>0</v>
      </c>
      <c r="W94" s="33"/>
      <c r="X94" s="34">
        <f>IF(AND(ISNUMBER(Y94),ISNUMBER(W94)),Y94-W94,"")</f>
        <v>0</v>
      </c>
      <c r="Y94" s="33"/>
      <c r="Z94" s="34">
        <f>IF(AND(ISNUMBER(AA94),ISNUMBER(Y94)),AA94-Y94,"")</f>
        <v>0</v>
      </c>
      <c r="AA94" s="33"/>
      <c r="AB94" s="34">
        <f>IF(AND(ISNUMBER(AC94),ISNUMBER(AA94)),AC94-AA94,"")</f>
        <v>0</v>
      </c>
      <c r="AC94" s="33"/>
      <c r="AD94" s="34">
        <f>IF(AND(ISNUMBER(AE94),ISNUMBER(AC94)),AE94-AC94,"")</f>
        <v>0</v>
      </c>
      <c r="AE94" s="33"/>
      <c r="AF94" s="34">
        <f>IF(AND(ISNUMBER(AG94),ISNUMBER(AE94)),AG94-AE94,"")</f>
        <v>0</v>
      </c>
      <c r="AG94" s="33"/>
      <c r="AH94" s="34">
        <f>IF(AND(ISNUMBER(AI94),ISNUMBER(AG94)),AI94-AG94,"")</f>
        <v>0</v>
      </c>
      <c r="AI94" s="33"/>
      <c r="AJ94" s="34">
        <f>IF(AND(ISNUMBER(AK94),ISNUMBER(AI94)),AK94-AI94,"")</f>
        <v>0</v>
      </c>
      <c r="AK94" s="33"/>
      <c r="AL94" s="34">
        <f>IF(AND(ISNUMBER(AM94),ISNUMBER(AK94)),AM94-AK94,"")</f>
        <v>0</v>
      </c>
      <c r="AM94" s="33"/>
      <c r="AN94" s="34">
        <f>IF(AND(ISNUMBER(AO94),ISNUMBER(AM94)),AO94-AM94,"")</f>
        <v>0</v>
      </c>
      <c r="AO94" s="33"/>
      <c r="AP94" s="34">
        <f>IF(AND(ISNUMBER(AQ94),ISNUMBER(AO94)),AQ94-AO94,"")</f>
        <v>0</v>
      </c>
      <c r="AQ94" s="33"/>
      <c r="AR94" s="34">
        <f>IF(AND(ISNUMBER(AS94),ISNUMBER(AQ94)),AS94-AQ94,"")</f>
        <v>0</v>
      </c>
      <c r="AS94" s="33"/>
      <c r="AT94" s="34">
        <f>IF(AND(ISNUMBER(AU94),ISNUMBER(AS94)),AU94-AS94,"")</f>
        <v>0</v>
      </c>
      <c r="AU94" s="33"/>
      <c r="AV94" s="34">
        <f>IF(AND(ISNUMBER(AW94),ISNUMBER(AU94)),AW94-AU94,"")</f>
        <v>0</v>
      </c>
      <c r="AW94" s="33"/>
      <c r="AX94" s="34">
        <f>IF(AND(ISNUMBER(AY94),ISNUMBER(AW94)),AY94-AW94,"")</f>
        <v>0</v>
      </c>
      <c r="AY94" s="33"/>
      <c r="AZ94" s="34">
        <f>IF(AND(ISNUMBER(BA94),ISNUMBER(AY94)),BA94-AY94,"")</f>
        <v>0</v>
      </c>
      <c r="BA94" s="33"/>
      <c r="BB94" s="34">
        <f>IF(AND(ISNUMBER(BC94),ISNUMBER(BA94)),BC94-BA94,"")</f>
        <v>0</v>
      </c>
      <c r="BC94" s="33"/>
      <c r="BD94" s="34">
        <f>IF(AND(ISNUMBER(BE94),ISNUMBER(BC94)),BE94-BC94,"")</f>
        <v>0</v>
      </c>
      <c r="BE94" s="33"/>
      <c r="BF94" s="34">
        <f>IF(AND(ISNUMBER(BG94),ISNUMBER(BE94)),BG94-BE94,"")</f>
        <v>0</v>
      </c>
      <c r="BG94" s="33"/>
      <c r="BH94" s="34">
        <f>IF(AND(ISNUMBER(BI94),ISNUMBER(BG94)),BI94-BG94,"")</f>
        <v>0</v>
      </c>
      <c r="BI94" s="33"/>
      <c r="BJ94" s="34">
        <f>IF(AND(ISNUMBER(BK94),ISNUMBER(BI94)),BK94-BI94,"")</f>
        <v>0</v>
      </c>
      <c r="BK94" s="33"/>
      <c r="BL94" s="34">
        <f>IF(AND(ISNUMBER(BM94),ISNUMBER(BK94)),BM94-BK94,"")</f>
        <v>0</v>
      </c>
      <c r="BM94" s="33"/>
      <c r="BN94" s="34">
        <f>IF(AND(ISNUMBER(BO94),ISNUMBER(BM94)),BO94-BM94,"")</f>
        <v>0</v>
      </c>
      <c r="BO94" s="33"/>
      <c r="BP94" s="34">
        <f>IF(AND(ISNUMBER(BQ94),ISNUMBER(BO94)),BQ94-BO94,"")</f>
        <v>0</v>
      </c>
      <c r="BQ94" s="33">
        <v>1973</v>
      </c>
      <c r="BR94" s="34">
        <f>IF(AND(ISNUMBER(BS94),ISNUMBER(BQ94)),BS94-BQ94,"")</f>
        <v>0</v>
      </c>
      <c r="BS94" s="33">
        <v>2543</v>
      </c>
      <c r="BT94" s="34">
        <f>IF(AND(ISNUMBER(BU94),ISNUMBER(BS94)),BU94-BS94,"")</f>
        <v>0</v>
      </c>
      <c r="BU94" s="33">
        <v>3026</v>
      </c>
      <c r="BV94" s="34">
        <f>IF(AND(ISNUMBER(BW94),ISNUMBER(BU94)),BW94-BU94,"")</f>
        <v>0</v>
      </c>
      <c r="BW94" s="33">
        <v>3332</v>
      </c>
      <c r="BX94" s="34">
        <f>IF(AND(ISNUMBER(BY94),ISNUMBER(BW94)),BY94-BW94,"")</f>
        <v>0</v>
      </c>
      <c r="BY94" s="33">
        <v>3363</v>
      </c>
      <c r="BZ94" s="34">
        <f>IF(AND(ISNUMBER(CA94),ISNUMBER(BY94)),CA94-BY94,"")</f>
        <v>0</v>
      </c>
      <c r="CA94" s="33">
        <v>3252</v>
      </c>
      <c r="CB94" s="34">
        <f>IF(AND(ISNUMBER(CC94),ISNUMBER(CA94)),CC94-CA94,"")</f>
        <v>0</v>
      </c>
      <c r="CC94" s="33">
        <v>3546</v>
      </c>
      <c r="CD94" s="34">
        <f>IF(AND(ISNUMBER(CE94),ISNUMBER(CC94)),CE94-CC94,"")</f>
        <v>0</v>
      </c>
      <c r="CE94" s="33">
        <v>3882</v>
      </c>
      <c r="CF94" s="34">
        <f>IF(AND(ISNUMBER(CG94),ISNUMBER(CE94)),CG94-CE94,"")</f>
        <v>0</v>
      </c>
      <c r="CG94" s="33">
        <v>3882</v>
      </c>
      <c r="CH94" s="34">
        <f>IF(AND(ISNUMBER(CI94),ISNUMBER(CG94)),CI94-CG94,"")</f>
        <v>0</v>
      </c>
      <c r="CI94" s="33">
        <v>3952</v>
      </c>
      <c r="CJ94" s="34">
        <f>IF(AND(ISNUMBER(CK94),ISNUMBER(CI94)),CK94-CI94,"")</f>
        <v>0</v>
      </c>
      <c r="CK94" s="33">
        <v>3558</v>
      </c>
      <c r="CL94" s="34">
        <f>IF(AND(ISNUMBER(CM94),ISNUMBER(CK94)),CM94-CK94,"")</f>
        <v>0</v>
      </c>
      <c r="CM94" s="33">
        <v>3169</v>
      </c>
      <c r="CN94" s="34">
        <f>IF(AND(ISNUMBER(CO94),ISNUMBER(CM94)),CO94-CM94,"")</f>
        <v>0</v>
      </c>
      <c r="CO94" s="33">
        <v>2925</v>
      </c>
      <c r="CP94" s="34">
        <f>IF(AND(ISNUMBER(CQ94),ISNUMBER(CO94)),CQ94-CO94,"")</f>
        <v>0</v>
      </c>
      <c r="CQ94" s="33">
        <v>3402</v>
      </c>
      <c r="CR94" s="34">
        <f>IF(AND(ISNUMBER(CS94),ISNUMBER(CQ94)),CS94-CQ94,"")</f>
        <v>0</v>
      </c>
      <c r="CS94" s="33">
        <v>3640</v>
      </c>
      <c r="CT94" s="34">
        <f>IF(AND(ISNUMBER(CU94),ISNUMBER(CS94)),CU94-CS94,"")</f>
        <v>0</v>
      </c>
      <c r="CU94" s="33">
        <v>3774</v>
      </c>
      <c r="CV94" s="34">
        <f>IF(AND(ISNUMBER(CW94),ISNUMBER(CU94)),CW94-CU94,"")</f>
        <v>0</v>
      </c>
      <c r="CW94" s="33">
        <v>3792</v>
      </c>
      <c r="CX94" s="34">
        <f>IF(AND(ISNUMBER(CY94),ISNUMBER(CW94)),CY94-CW94,"")</f>
        <v>0</v>
      </c>
      <c r="CY94" s="33">
        <v>4116</v>
      </c>
      <c r="CZ94" s="34">
        <f>IF(AND(ISNUMBER(DA94),ISNUMBER(CY94)),DA94-CY94,"")</f>
        <v>0</v>
      </c>
      <c r="DA94" s="33">
        <v>3906</v>
      </c>
      <c r="DB94" s="34">
        <f>IF(AND(ISNUMBER(DC94),ISNUMBER(DA94)),DC94-DA94,"")</f>
        <v>0</v>
      </c>
      <c r="DC94" s="33">
        <v>4129</v>
      </c>
      <c r="DD94" s="34">
        <f>IF(AND(ISNUMBER(DE94),ISNUMBER(DC94)),DE94-DC94,"")</f>
        <v>0</v>
      </c>
      <c r="DE94" s="33">
        <v>4010</v>
      </c>
      <c r="DF94" s="34">
        <f>IF(AND(ISNUMBER(DG94),ISNUMBER(DE94)),DG94-DE94,"")</f>
        <v>0</v>
      </c>
      <c r="DG94" s="33">
        <v>4038</v>
      </c>
      <c r="DH94" s="34">
        <f>IF(AND(ISNUMBER(DI94),ISNUMBER(DG94)),DI94-DG94,"")</f>
        <v>0</v>
      </c>
      <c r="DI94" s="33">
        <v>3883</v>
      </c>
      <c r="DJ94" s="34">
        <f>IF(AND(ISNUMBER(DK94),ISNUMBER(DI94)),DK94-DI94,"")</f>
        <v>0</v>
      </c>
      <c r="DK94" s="33">
        <v>4321</v>
      </c>
      <c r="DL94" s="34">
        <f>IF(AND(ISNUMBER(DM94),ISNUMBER(DK94)),DM94-DK94,"")</f>
        <v>0</v>
      </c>
      <c r="DM94" s="33">
        <v>4234</v>
      </c>
      <c r="DN94" s="34">
        <f>IF(AND(ISNUMBER(DO94),ISNUMBER(DM94)),DO94-DM94,"")</f>
        <v>0</v>
      </c>
      <c r="DO94" s="33">
        <v>3930</v>
      </c>
      <c r="DP94" s="34">
        <f>IF(AND(ISNUMBER(DQ94),ISNUMBER(DO94)),DQ94-DO94,"")</f>
        <v>0</v>
      </c>
      <c r="DQ94" s="33">
        <v>3812</v>
      </c>
      <c r="DR94" s="34">
        <f>IF(AND(ISNUMBER(DS94),ISNUMBER(DQ94)),DS94-DQ94,"")</f>
        <v>0</v>
      </c>
      <c r="DS94" s="33">
        <v>3709</v>
      </c>
      <c r="DT94" s="34">
        <f>IF(AND(ISNUMBER(DU94),ISNUMBER(DS94)),DU94-DS94,"")</f>
        <v>0</v>
      </c>
      <c r="DU94" s="33">
        <v>3459</v>
      </c>
      <c r="DV94" s="34">
        <f>IF(AND(ISNUMBER(DW94),ISNUMBER(DU94)),DW94-DU94,"")</f>
        <v>0</v>
      </c>
      <c r="DW94" s="33">
        <v>3310</v>
      </c>
      <c r="DX94" s="34">
        <f>IF(AND(ISNUMBER(DY94),ISNUMBER(DW94)),DY94-DW94,"")</f>
        <v>0</v>
      </c>
      <c r="DY94" s="33">
        <v>3227</v>
      </c>
      <c r="DZ94" s="34">
        <f>IF(AND(ISNUMBER(EA94),ISNUMBER(DY94)),EA94-DY94,"")</f>
        <v>0</v>
      </c>
      <c r="EA94" s="33">
        <v>2870</v>
      </c>
      <c r="EB94" s="34">
        <f>IF(AND(ISNUMBER(EC94),ISNUMBER(EA94)),EC94-EA94,"")</f>
        <v>0</v>
      </c>
      <c r="EC94" s="33">
        <v>2680</v>
      </c>
      <c r="ED94" s="34">
        <f>IF(AND(ISNUMBER(EE94),ISNUMBER(EC94)),EE94-EC94,"")</f>
        <v>0</v>
      </c>
      <c r="EE94" s="33">
        <v>2801</v>
      </c>
      <c r="EF94" s="34">
        <f>IF(AND(ISNUMBER(EG94),ISNUMBER(EE94)),EG94-EE94,"")</f>
        <v>0</v>
      </c>
      <c r="EG94" s="33">
        <v>2751</v>
      </c>
      <c r="EH94" s="34">
        <f>IF(AND(ISNUMBER(EI94),ISNUMBER(EG94)),EI94-EG94,"")</f>
        <v>0</v>
      </c>
      <c r="EI94" s="33">
        <v>2557</v>
      </c>
      <c r="EJ94" s="34">
        <f>IF(AND(ISNUMBER(EK94),ISNUMBER(EI94)),EK94-EI94,"")</f>
        <v>0</v>
      </c>
      <c r="EK94" s="33">
        <v>2447</v>
      </c>
      <c r="EL94" s="34">
        <f>IF(AND(ISNUMBER(EM94),ISNUMBER(EK94)),EM94-EK94,"")</f>
        <v>0</v>
      </c>
      <c r="EM94" s="33">
        <v>2504</v>
      </c>
      <c r="EN94" s="34">
        <f>IF(AND(ISNUMBER(EO94),ISNUMBER(EM94)),EO94-EM94,"")</f>
        <v>0</v>
      </c>
      <c r="EO94" s="33">
        <v>2678</v>
      </c>
      <c r="EP94" s="34">
        <f>IF(AND(ISNUMBER(EQ94),ISNUMBER(EO94)),EQ94-EO94,"")</f>
        <v>0</v>
      </c>
      <c r="EQ94" s="33">
        <v>2655</v>
      </c>
      <c r="ER94" s="34">
        <f>IF(AND(ISNUMBER(ES94),ISNUMBER(EQ94)),ES94-EQ94,"")</f>
        <v>0</v>
      </c>
      <c r="ES94" s="33">
        <v>2708</v>
      </c>
      <c r="ET94" s="34">
        <f>IF(AND(ISNUMBER(EU94),ISNUMBER(ES94)),EU94-ES94,"")</f>
        <v>0</v>
      </c>
      <c r="EU94" s="33">
        <v>2514</v>
      </c>
      <c r="EV94" s="34">
        <f>IF(AND(ISNUMBER(EW94),ISNUMBER(EU94)),EW94-EU94,"")</f>
        <v>0</v>
      </c>
      <c r="EW94" s="33">
        <v>2549</v>
      </c>
      <c r="EX94" s="34">
        <f>IF(AND(ISNUMBER(EY94),ISNUMBER(EW94)),EY94-EW94,"")</f>
        <v>0</v>
      </c>
      <c r="EY94" s="33">
        <v>2842</v>
      </c>
      <c r="EZ94" s="34">
        <f>IF(AND(ISNUMBER(FA94),ISNUMBER(EY94)),FA94-EY94,"")</f>
        <v>0</v>
      </c>
      <c r="FA94" s="33">
        <v>3007</v>
      </c>
      <c r="FB94" s="34">
        <f>IF(AND(ISNUMBER(FC94),ISNUMBER(FA94)),FC94-FA94,"")</f>
        <v>0</v>
      </c>
      <c r="FC94" s="33">
        <v>3474</v>
      </c>
      <c r="FD94" s="34">
        <f>IF(AND(ISNUMBER(FE94),ISNUMBER(FC94)),FE94-FC94,"")</f>
        <v>0</v>
      </c>
      <c r="FE94" s="33">
        <v>3647</v>
      </c>
      <c r="FF94" s="34">
        <f>IF(AND(ISNUMBER(FG94),ISNUMBER(FE94)),FG94-FE94,"")</f>
        <v>0</v>
      </c>
      <c r="FG94" s="33">
        <v>3296</v>
      </c>
      <c r="FH94" s="34">
        <f>IF(AND(ISNUMBER(FI94),ISNUMBER(FG94)),FI94-FG94,"")</f>
        <v>0</v>
      </c>
      <c r="FI94" s="33">
        <v>3397</v>
      </c>
      <c r="FJ94" s="34">
        <f>IF(AND(ISNUMBER(FK94),ISNUMBER(FI94)),FK94-FI94,"")</f>
        <v>0</v>
      </c>
      <c r="FK94" s="33">
        <v>3550</v>
      </c>
      <c r="FL94" s="34">
        <f>IF(AND(ISNUMBER(FM94),ISNUMBER(FK94)),FM94-FK94,"")</f>
        <v>0</v>
      </c>
      <c r="FM94" s="33">
        <v>3404</v>
      </c>
      <c r="FN94" s="34">
        <f>IF(AND(ISNUMBER(FO94),ISNUMBER(FM94)),FO94-FM94,"")</f>
        <v>0</v>
      </c>
      <c r="FO94" s="33">
        <v>3628</v>
      </c>
      <c r="FP94" s="34">
        <f>IF(AND(ISNUMBER(FQ94),ISNUMBER(FO94)),FQ94-FO94,"")</f>
        <v>0</v>
      </c>
      <c r="FQ94" s="33">
        <v>3563</v>
      </c>
      <c r="FR94" s="34">
        <f>IF(AND(ISNUMBER(FS94),ISNUMBER(FQ94)),FS94-FQ94,"")</f>
        <v>0</v>
      </c>
      <c r="FS94" s="33">
        <v>3478</v>
      </c>
      <c r="FT94" s="34">
        <f>IF(AND(ISNUMBER(FU94),ISNUMBER(FS94)),FU94-FS94,"")</f>
        <v>0</v>
      </c>
      <c r="FU94" s="33">
        <v>3091</v>
      </c>
      <c r="FV94" s="34">
        <f>IF(AND(ISNUMBER(FW94),ISNUMBER(FU94)),FW94-FU94,"")</f>
        <v>0</v>
      </c>
      <c r="FW94" s="33">
        <v>2690</v>
      </c>
      <c r="FX94" s="34">
        <f>IF(AND(ISNUMBER(FY94),ISNUMBER(FW94)),FY94-FW94,"")</f>
        <v>0</v>
      </c>
      <c r="FY94" s="33">
        <v>2608</v>
      </c>
      <c r="FZ94" s="34">
        <f>IF(AND(ISNUMBER(GA94),ISNUMBER(FY94)),GA94-FY94,"")</f>
        <v>0</v>
      </c>
      <c r="GA94" s="33">
        <v>2085</v>
      </c>
      <c r="GB94" s="34">
        <f>IF(AND(ISNUMBER(GC94),ISNUMBER(GA94)),GC94-GA94,"")</f>
        <v>0</v>
      </c>
      <c r="GC94" s="33">
        <v>1938</v>
      </c>
      <c r="GD94" s="34">
        <f>IF(AND(ISNUMBER(GE94),ISNUMBER(GC94)),GE94-GC94,"")</f>
        <v>0</v>
      </c>
      <c r="GE94" s="33">
        <v>1990</v>
      </c>
      <c r="GF94" s="34">
        <f>IF(AND(ISNUMBER(GG94),ISNUMBER(GE94)),GG94-GE94,"")</f>
        <v>0</v>
      </c>
      <c r="GG94" s="33">
        <v>1936</v>
      </c>
      <c r="GH94" s="34">
        <f>IF(AND(ISNUMBER(GI94),ISNUMBER(GG94)),GI94-GG94,"")</f>
        <v>0</v>
      </c>
      <c r="GI94" s="33">
        <v>1830</v>
      </c>
      <c r="GJ94" s="34">
        <f>IF(AND(ISNUMBER(GK94),ISNUMBER(GI94)),GK94-GI94,"")</f>
        <v>0</v>
      </c>
      <c r="GK94" s="33">
        <v>1807</v>
      </c>
      <c r="GL94" s="34">
        <f>IF(AND(ISNUMBER(GM94),ISNUMBER(GK94)),GM94-GK94,"")</f>
        <v>0</v>
      </c>
      <c r="GM94" s="33">
        <v>1585</v>
      </c>
      <c r="GN94" s="34">
        <f>IF(AND(ISNUMBER(GO94),ISNUMBER(GM94)),GO94-GM94,"")</f>
        <v>0</v>
      </c>
      <c r="GO94" s="33">
        <v>1584</v>
      </c>
      <c r="GP94" s="34">
        <f>IF(AND(ISNUMBER(GQ94),ISNUMBER(GO94)),GQ94-GO94,"")</f>
        <v>0</v>
      </c>
      <c r="GQ94" s="33">
        <v>1383</v>
      </c>
      <c r="GR94" s="34">
        <f>IF(AND(ISNUMBER(GS94),ISNUMBER(GQ94)),GS94-GQ94,"")</f>
        <v>0</v>
      </c>
      <c r="GS94" s="33">
        <v>1274</v>
      </c>
      <c r="GT94" s="34">
        <f>IF(AND(ISNUMBER(GU94),ISNUMBER(GS94)),GU94-GS94,"")</f>
        <v>0</v>
      </c>
      <c r="GU94" s="33">
        <v>1171</v>
      </c>
      <c r="GV94" s="34">
        <f>IF(AND(ISNUMBER(GW94),ISNUMBER(GU94)),GW94-GU94,"")</f>
        <v>0</v>
      </c>
      <c r="GW94" s="33">
        <v>1057</v>
      </c>
      <c r="GX94" s="34">
        <f>IF(AND(ISNUMBER(GY94),ISNUMBER(GW94)),GY94-GW94,"")</f>
        <v>0</v>
      </c>
      <c r="GY94" s="33">
        <v>914</v>
      </c>
      <c r="GZ94" s="34">
        <f>IF(AND(ISNUMBER(HA94),ISNUMBER(GY94)),HA94-GY94,"")</f>
        <v>0</v>
      </c>
      <c r="HA94" s="33">
        <v>1001</v>
      </c>
      <c r="HB94" s="34">
        <f>IF(AND(ISNUMBER(HC94),ISNUMBER(HA94)),HC94-HA94,"")</f>
        <v>0</v>
      </c>
      <c r="HC94" s="33">
        <v>1152</v>
      </c>
      <c r="HD94" s="34">
        <f>IF(AND(ISNUMBER(HE94),ISNUMBER(HC94)),HE94-HC94,"")</f>
        <v>0</v>
      </c>
      <c r="HE94" s="33"/>
      <c r="HF94" s="34">
        <f>IF(AND(ISNUMBER(HG94),ISNUMBER(HE94)),HG94-HE94,"")</f>
        <v>0</v>
      </c>
      <c r="HG94" s="33"/>
      <c r="HH94" s="34">
        <f>IF(AND(ISNUMBER(HI94),ISNUMBER(HG94)),HI94-HG94,"")</f>
        <v>0</v>
      </c>
      <c r="HI94" s="33"/>
      <c r="HJ94" s="34">
        <f>IF(AND(ISNUMBER(HK94),ISNUMBER(HI94)),HK94-HI94,"")</f>
        <v>0</v>
      </c>
      <c r="HK94" s="33"/>
      <c r="HL94" s="34">
        <f>IF(AND(ISNUMBER(HM94),ISNUMBER(HK94)),HM94-HK94,"")</f>
        <v>0</v>
      </c>
      <c r="HM94" s="33"/>
      <c r="HN94" s="34">
        <f>IF(AND(ISNUMBER(HO94),ISNUMBER(HM94)),HO94-HM94,"")</f>
        <v>0</v>
      </c>
      <c r="HO94" s="33"/>
      <c r="HP94" s="34">
        <f>IF(AND(ISNUMBER(HQ94),ISNUMBER(HO94)),HQ94-HO94,"")</f>
        <v>0</v>
      </c>
      <c r="HQ94" s="33"/>
      <c r="HR94" s="34">
        <f>IF(AND(ISNUMBER(HS94),ISNUMBER(HQ94)),HS94-HQ94,"")</f>
        <v>0</v>
      </c>
      <c r="HS94" s="33"/>
      <c r="HT94" s="34">
        <f>IF(AND(ISNUMBER(HU94),ISNUMBER(HS94)),HU94-HS94,"")</f>
        <v>0</v>
      </c>
      <c r="HU94" s="33"/>
      <c r="HV94" s="34">
        <f>IF(AND(ISNUMBER(HW94),ISNUMBER(HU94)),HW94-HU94,"")</f>
        <v>0</v>
      </c>
      <c r="HW94" s="33"/>
      <c r="HX94" s="34">
        <f>IF(AND(ISNUMBER(HY94),ISNUMBER(HW94)),HY94-HW94,"")</f>
        <v>0</v>
      </c>
      <c r="HY94" s="33"/>
      <c r="HZ94" s="34">
        <f>IF(AND(ISNUMBER(IA94),ISNUMBER(HY94)),IA94-HY94,"")</f>
        <v>0</v>
      </c>
      <c r="IA94" s="33"/>
      <c r="IB94" s="34">
        <f>IF(AND(ISNUMBER(IC94),ISNUMBER(IA94)),IC94-IA94,"")</f>
        <v>0</v>
      </c>
      <c r="IC94" s="33"/>
      <c r="ID94" s="34">
        <f>IF(AND(ISNUMBER(IE94),ISNUMBER(IC94)),IE94-IC94,"")</f>
        <v>0</v>
      </c>
      <c r="IE94" s="33"/>
      <c r="IF94" s="34">
        <f>IF(AND(ISNUMBER(IG94),ISNUMBER(IE94)),IG94-IE94,"")</f>
        <v>0</v>
      </c>
      <c r="IG94" s="33"/>
      <c r="IH94" s="34">
        <f>IF(AND(ISNUMBER(II94),ISNUMBER(IG94)),II94-IG94,"")</f>
        <v>0</v>
      </c>
      <c r="II94" s="33"/>
      <c r="IJ94" s="34">
        <f>IF(AND(ISNUMBER(IK94),ISNUMBER(II94)),IK94-II94,"")</f>
        <v>0</v>
      </c>
      <c r="IK94" s="33"/>
      <c r="IL94" s="34">
        <f>IF(AND(ISNUMBER(IM94),ISNUMBER(IK94)),IM94-IK94,"")</f>
        <v>0</v>
      </c>
      <c r="IM94" s="33"/>
      <c r="IN94" s="34">
        <f>IF(AND(ISNUMBER(IO94),ISNUMBER(IM94)),IO94-IM94,"")</f>
        <v>0</v>
      </c>
      <c r="IO94" s="33"/>
      <c r="IP94" s="34">
        <f>IF(AND(ISNUMBER(IQ94),ISNUMBER(IO94)),IQ94-IO94,"")</f>
        <v>0</v>
      </c>
      <c r="IQ94" s="33"/>
      <c r="IR94" s="34">
        <f>IF(AND(ISNUMBER(IS94),ISNUMBER(IQ94)),IS94-IQ94,"")</f>
        <v>0</v>
      </c>
      <c r="IS94" s="33"/>
      <c r="IT94" s="34">
        <f>IF(AND(ISNUMBER(IU94),ISNUMBER(IS94)),IU94-IS94,"")</f>
        <v>0</v>
      </c>
      <c r="IU94" s="33"/>
      <c r="IV94" s="34">
        <f>IF(AND(ISNUMBER(IW94),ISNUMBER(IU94)),IW94-IU94,"")</f>
        <v>0</v>
      </c>
      <c r="IW94" s="33"/>
      <c r="IX94" s="34">
        <f>IF(AND(ISNUMBER(IY94),ISNUMBER(IW94)),IY94-IW94,"")</f>
        <v>0</v>
      </c>
      <c r="IY94" s="33"/>
      <c r="IZ94" s="34">
        <f>IF(AND(ISNUMBER(JA94),ISNUMBER(IY94)),JA94-IY94,"")</f>
        <v>0</v>
      </c>
      <c r="JA94" s="33"/>
      <c r="JB94" s="34">
        <f>IF(AND(ISNUMBER(JC94),ISNUMBER(JA94)),JC94-JA94,"")</f>
        <v>0</v>
      </c>
      <c r="JC94" s="33"/>
      <c r="JD94" s="34">
        <f>IF(AND(ISNUMBER(JE94),ISNUMBER(JC94)),JE94-JC94,"")</f>
        <v>0</v>
      </c>
      <c r="JE94" s="33"/>
      <c r="JF94" s="34">
        <f>IF(AND(ISNUMBER(JG94),ISNUMBER(JE94)),JG94-JE94,"")</f>
        <v>0</v>
      </c>
      <c r="JG94" s="33"/>
      <c r="JH94" s="34">
        <f>IF(AND(ISNUMBER(JI94),ISNUMBER(JG94)),JI94-JG94,"")</f>
        <v>0</v>
      </c>
      <c r="JI94" s="33"/>
      <c r="JJ94" s="34">
        <f>IF(AND(ISNUMBER(JK94),ISNUMBER(JI94)),JK94-JI94,"")</f>
        <v>0</v>
      </c>
      <c r="JK94" s="33"/>
      <c r="JL94" s="34">
        <f>IF(AND(ISNUMBER(JM94),ISNUMBER(JK94)),JM94-JK94,"")</f>
        <v>0</v>
      </c>
      <c r="JM94" s="33"/>
      <c r="JN94" s="34">
        <f>IF(AND(ISNUMBER(JO94),ISNUMBER(JM94)),JO94-JM94,"")</f>
        <v>0</v>
      </c>
      <c r="JO94" s="33"/>
      <c r="JP94" s="34">
        <f>IF(AND(ISNUMBER(JQ94),ISNUMBER(JO94)),JQ94-JO94,"")</f>
        <v>0</v>
      </c>
      <c r="JQ94" s="33"/>
      <c r="JR94" s="34">
        <f>IF(AND(ISNUMBER(JS94),ISNUMBER(JQ94)),JS94-JQ94,"")</f>
        <v>0</v>
      </c>
      <c r="JS94" s="33"/>
      <c r="JT94" s="34">
        <f>IF(AND(ISNUMBER(JU94),ISNUMBER(JS94)),JU94-JS94,"")</f>
        <v>0</v>
      </c>
      <c r="JU94" s="33"/>
      <c r="JV94" s="34">
        <f>IF(AND(ISNUMBER(JW94),ISNUMBER(JU94)),JW94-JU94,"")</f>
        <v>0</v>
      </c>
      <c r="JW94" s="33"/>
      <c r="JX94" s="34">
        <f>IF(AND(ISNUMBER(JY94),ISNUMBER(JW94)),JY94-JW94,"")</f>
        <v>0</v>
      </c>
      <c r="JY94" s="33"/>
      <c r="JZ94" s="34">
        <f>IF(AND(ISNUMBER(KA94),ISNUMBER(JY94)),KA94-JY94,"")</f>
        <v>0</v>
      </c>
      <c r="KA94" s="33"/>
      <c r="KB94" s="34">
        <f>IF(AND(ISNUMBER(KC94),ISNUMBER(KA94)),KC94-KA94,"")</f>
        <v>0</v>
      </c>
      <c r="KC94" s="33"/>
      <c r="KD94" s="34">
        <f>IF(AND(ISNUMBER(KE94),ISNUMBER(KC94)),KE94-KC94,"")</f>
        <v>0</v>
      </c>
      <c r="KE94" s="33"/>
      <c r="KF94" s="34">
        <f>IF(AND(ISNUMBER(KG94),ISNUMBER(KE94)),KG94-KE94,"")</f>
        <v>0</v>
      </c>
      <c r="KG94" s="33"/>
      <c r="KH94" s="34">
        <f>IF(AND(ISNUMBER(KI94),ISNUMBER(KG94)),KI94-KG94,"")</f>
        <v>0</v>
      </c>
      <c r="KI94" s="33"/>
      <c r="KJ94" s="34">
        <f>IF(AND(ISNUMBER(KK94),ISNUMBER(KI94)),KK94-KI94,"")</f>
        <v>0</v>
      </c>
      <c r="KK94" s="33"/>
      <c r="KL94" s="34">
        <f>IF(AND(ISNUMBER(KM94),ISNUMBER(KK94)),KM94-KK94,"")</f>
        <v>0</v>
      </c>
      <c r="KM94" s="33"/>
      <c r="KN94" s="34">
        <f>IF(AND(ISNUMBER(KO94),ISNUMBER(KM94)),KO94-KM94,"")</f>
        <v>0</v>
      </c>
      <c r="KO94" s="33"/>
      <c r="KP94" s="34">
        <f>IF(AND(ISNUMBER(KQ94),ISNUMBER(KO94)),KQ94-KO94,"")</f>
        <v>0</v>
      </c>
      <c r="KQ94" s="33"/>
      <c r="KR94" s="34">
        <f>IF(AND(ISNUMBER(KS94),ISNUMBER(KQ94)),KS94-KQ94,"")</f>
        <v>0</v>
      </c>
      <c r="KS94" s="33"/>
      <c r="KT94" s="34">
        <f>IF(AND(ISNUMBER(KU94),ISNUMBER(KS94)),KU94-KS94,"")</f>
        <v>0</v>
      </c>
      <c r="KU94" s="33"/>
      <c r="KV94" s="34">
        <f>IF(AND(ISNUMBER(KW94),ISNUMBER(KU94)),KW94-KU94,"")</f>
        <v>0</v>
      </c>
      <c r="KW94" s="33"/>
      <c r="KX94" s="34">
        <f>IF(AND(ISNUMBER(KY94),ISNUMBER(KW94)),KY94-KW94,"")</f>
        <v>0</v>
      </c>
      <c r="KY94" s="33"/>
      <c r="KZ94" s="34">
        <f>IF(AND(ISNUMBER(LA94),ISNUMBER(KY94)),LA94-KY94,"")</f>
        <v>0</v>
      </c>
      <c r="LA94" s="33"/>
      <c r="LB94" s="34">
        <f>IF(AND(ISNUMBER(LC94),ISNUMBER(LA94)),LC94-LA94,"")</f>
        <v>0</v>
      </c>
      <c r="LC94" s="33"/>
      <c r="LD94" s="34">
        <f>IF(AND(ISNUMBER(LE94),ISNUMBER(LC94)),LE94-LC94,"")</f>
        <v>0</v>
      </c>
      <c r="LE94" s="33"/>
      <c r="LF94" s="34">
        <f>IF(AND(ISNUMBER(LG94),ISNUMBER(LE94)),LG94-LE94,"")</f>
        <v>0</v>
      </c>
      <c r="LG94" s="33"/>
    </row>
    <row r="95" spans="1:322" hidden="1">
      <c r="A95" s="36" t="s">
        <v>846</v>
      </c>
      <c r="B95" s="23"/>
      <c r="C95" s="37" t="s">
        <v>1110</v>
      </c>
      <c r="D95" s="37" t="s">
        <v>832</v>
      </c>
      <c r="H95" s="38" t="s">
        <v>1082</v>
      </c>
      <c r="I95" s="33"/>
      <c r="J95" s="34">
        <f>IF(AND(ISNUMBER(K95),ISNUMBER(I95)),K95-I95,"")</f>
        <v>0</v>
      </c>
      <c r="K95" s="33"/>
      <c r="L95" s="34">
        <f>IF(AND(ISNUMBER(M95),ISNUMBER(K95)),M95-K95,"")</f>
        <v>0</v>
      </c>
      <c r="M95" s="33"/>
      <c r="N95" s="34">
        <f>IF(AND(ISNUMBER(O95),ISNUMBER(M95)),O95-M95,"")</f>
        <v>0</v>
      </c>
      <c r="O95" s="33"/>
      <c r="P95" s="34">
        <f>IF(AND(ISNUMBER(Q95),ISNUMBER(O95)),Q95-O95,"")</f>
        <v>0</v>
      </c>
      <c r="Q95" s="33"/>
      <c r="R95" s="34">
        <f>IF(AND(ISNUMBER(S95),ISNUMBER(Q95)),S95-Q95,"")</f>
        <v>0</v>
      </c>
      <c r="S95" s="33"/>
      <c r="T95" s="34">
        <f>IF(AND(ISNUMBER(U95),ISNUMBER(S95)),U95-S95,"")</f>
        <v>0</v>
      </c>
      <c r="U95" s="33"/>
      <c r="V95" s="34">
        <f>IF(AND(ISNUMBER(W95),ISNUMBER(U95)),W95-U95,"")</f>
        <v>0</v>
      </c>
      <c r="W95" s="33"/>
      <c r="X95" s="34">
        <f>IF(AND(ISNUMBER(Y95),ISNUMBER(W95)),Y95-W95,"")</f>
        <v>0</v>
      </c>
      <c r="Y95" s="33"/>
      <c r="Z95" s="34">
        <f>IF(AND(ISNUMBER(AA95),ISNUMBER(Y95)),AA95-Y95,"")</f>
        <v>0</v>
      </c>
      <c r="AA95" s="33"/>
      <c r="AB95" s="34">
        <f>IF(AND(ISNUMBER(AC95),ISNUMBER(AA95)),AC95-AA95,"")</f>
        <v>0</v>
      </c>
      <c r="AC95" s="33"/>
      <c r="AD95" s="34">
        <f>IF(AND(ISNUMBER(AE95),ISNUMBER(AC95)),AE95-AC95,"")</f>
        <v>0</v>
      </c>
      <c r="AE95" s="33"/>
      <c r="AF95" s="34">
        <f>IF(AND(ISNUMBER(AG95),ISNUMBER(AE95)),AG95-AE95,"")</f>
        <v>0</v>
      </c>
      <c r="AG95" s="33"/>
      <c r="AH95" s="34">
        <f>IF(AND(ISNUMBER(AI95),ISNUMBER(AG95)),AI95-AG95,"")</f>
        <v>0</v>
      </c>
      <c r="AI95" s="33"/>
      <c r="AJ95" s="34">
        <f>IF(AND(ISNUMBER(AK95),ISNUMBER(AI95)),AK95-AI95,"")</f>
        <v>0</v>
      </c>
      <c r="AK95" s="33"/>
      <c r="AL95" s="34">
        <f>IF(AND(ISNUMBER(AM95),ISNUMBER(AK95)),AM95-AK95,"")</f>
        <v>0</v>
      </c>
      <c r="AM95" s="33"/>
      <c r="AN95" s="34">
        <f>IF(AND(ISNUMBER(AO95),ISNUMBER(AM95)),AO95-AM95,"")</f>
        <v>0</v>
      </c>
      <c r="AO95" s="33"/>
      <c r="AP95" s="34">
        <f>IF(AND(ISNUMBER(AQ95),ISNUMBER(AO95)),AQ95-AO95,"")</f>
        <v>0</v>
      </c>
      <c r="AQ95" s="33"/>
      <c r="AR95" s="34">
        <f>IF(AND(ISNUMBER(AS95),ISNUMBER(AQ95)),AS95-AQ95,"")</f>
        <v>0</v>
      </c>
      <c r="AS95" s="33"/>
      <c r="AT95" s="34">
        <f>IF(AND(ISNUMBER(AU95),ISNUMBER(AS95)),AU95-AS95,"")</f>
        <v>0</v>
      </c>
      <c r="AU95" s="33"/>
      <c r="AV95" s="34">
        <f>IF(AND(ISNUMBER(AW95),ISNUMBER(AU95)),AW95-AU95,"")</f>
        <v>0</v>
      </c>
      <c r="AW95" s="33"/>
      <c r="AX95" s="34">
        <f>IF(AND(ISNUMBER(AY95),ISNUMBER(AW95)),AY95-AW95,"")</f>
        <v>0</v>
      </c>
      <c r="AY95" s="33"/>
      <c r="AZ95" s="34">
        <f>IF(AND(ISNUMBER(BA95),ISNUMBER(AY95)),BA95-AY95,"")</f>
        <v>0</v>
      </c>
      <c r="BA95" s="33"/>
      <c r="BB95" s="34">
        <f>IF(AND(ISNUMBER(BC95),ISNUMBER(BA95)),BC95-BA95,"")</f>
        <v>0</v>
      </c>
      <c r="BC95" s="33"/>
      <c r="BD95" s="34">
        <f>IF(AND(ISNUMBER(BE95),ISNUMBER(BC95)),BE95-BC95,"")</f>
        <v>0</v>
      </c>
      <c r="BE95" s="33"/>
      <c r="BF95" s="34">
        <f>IF(AND(ISNUMBER(BG95),ISNUMBER(BE95)),BG95-BE95,"")</f>
        <v>0</v>
      </c>
      <c r="BG95" s="33"/>
      <c r="BH95" s="34">
        <f>IF(AND(ISNUMBER(BI95),ISNUMBER(BG95)),BI95-BG95,"")</f>
        <v>0</v>
      </c>
      <c r="BI95" s="33"/>
      <c r="BJ95" s="34">
        <f>IF(AND(ISNUMBER(BK95),ISNUMBER(BI95)),BK95-BI95,"")</f>
        <v>0</v>
      </c>
      <c r="BK95" s="33"/>
      <c r="BL95" s="34">
        <f>IF(AND(ISNUMBER(BM95),ISNUMBER(BK95)),BM95-BK95,"")</f>
        <v>0</v>
      </c>
      <c r="BM95" s="33"/>
      <c r="BN95" s="34">
        <f>IF(AND(ISNUMBER(BO95),ISNUMBER(BM95)),BO95-BM95,"")</f>
        <v>0</v>
      </c>
      <c r="BO95" s="33"/>
      <c r="BP95" s="34">
        <f>IF(AND(ISNUMBER(BQ95),ISNUMBER(BO95)),BQ95-BO95,"")</f>
        <v>0</v>
      </c>
      <c r="BQ95" s="33"/>
      <c r="BR95" s="34">
        <f>IF(AND(ISNUMBER(BS95),ISNUMBER(BQ95)),BS95-BQ95,"")</f>
        <v>0</v>
      </c>
      <c r="BS95" s="33"/>
      <c r="BT95" s="34">
        <f>IF(AND(ISNUMBER(BU95),ISNUMBER(BS95)),BU95-BS95,"")</f>
        <v>0</v>
      </c>
      <c r="BU95" s="33"/>
      <c r="BV95" s="34">
        <f>IF(AND(ISNUMBER(BW95),ISNUMBER(BU95)),BW95-BU95,"")</f>
        <v>0</v>
      </c>
      <c r="BW95" s="33"/>
      <c r="BX95" s="34">
        <f>IF(AND(ISNUMBER(BY95),ISNUMBER(BW95)),BY95-BW95,"")</f>
        <v>0</v>
      </c>
      <c r="BY95" s="39">
        <f>IF(COUNT(BY96:BY97)=0,"",SUM(BY96:BY97))</f>
        <v>0</v>
      </c>
      <c r="BZ95" s="34">
        <f>IF(AND(ISNUMBER(CA95),ISNUMBER(BY95)),CA95-BY95,"")</f>
        <v>0</v>
      </c>
      <c r="CA95" s="39">
        <f>IF(COUNT(CA96:CA97)=0,"",SUM(CA96:CA97))</f>
        <v>0</v>
      </c>
      <c r="CB95" s="34">
        <f>IF(AND(ISNUMBER(CC95),ISNUMBER(CA95)),CC95-CA95,"")</f>
        <v>0</v>
      </c>
      <c r="CC95" s="39">
        <f>IF(COUNT(CC96:CC97)=0,"",SUM(CC96:CC97))</f>
        <v>0</v>
      </c>
      <c r="CD95" s="34">
        <f>IF(AND(ISNUMBER(CE95),ISNUMBER(CC95)),CE95-CC95,"")</f>
        <v>0</v>
      </c>
      <c r="CE95" s="39">
        <f>IF(COUNT(CE96:CE97)=0,"",SUM(CE96:CE97))</f>
        <v>0</v>
      </c>
      <c r="CF95" s="34">
        <f>IF(AND(ISNUMBER(CG95),ISNUMBER(CE95)),CG95-CE95,"")</f>
        <v>0</v>
      </c>
      <c r="CG95" s="39">
        <f>IF(COUNT(CG96:CG97)=0,"",SUM(CG96:CG97))</f>
        <v>0</v>
      </c>
      <c r="CH95" s="34">
        <f>IF(AND(ISNUMBER(CI95),ISNUMBER(CG95)),CI95-CG95,"")</f>
        <v>0</v>
      </c>
      <c r="CI95" s="39">
        <f>IF(COUNT(CI96:CI97)=0,"",SUM(CI96:CI97))</f>
        <v>0</v>
      </c>
      <c r="CJ95" s="34">
        <f>IF(AND(ISNUMBER(CK95),ISNUMBER(CI95)),CK95-CI95,"")</f>
        <v>0</v>
      </c>
      <c r="CK95" s="39">
        <f>IF(COUNT(CK96:CK97)=0,"",SUM(CK96:CK97))</f>
        <v>0</v>
      </c>
      <c r="CL95" s="34">
        <f>IF(AND(ISNUMBER(CM95),ISNUMBER(CK95)),CM95-CK95,"")</f>
        <v>0</v>
      </c>
      <c r="CM95" s="39">
        <f>IF(COUNT(CM96:CM97)=0,"",SUM(CM96:CM97))</f>
        <v>0</v>
      </c>
      <c r="CN95" s="34">
        <f>IF(AND(ISNUMBER(CO95),ISNUMBER(CM95)),CO95-CM95,"")</f>
        <v>0</v>
      </c>
      <c r="CO95" s="39">
        <f>IF(COUNT(CO96:CO97)=0,"",SUM(CO96:CO97))</f>
        <v>0</v>
      </c>
      <c r="CP95" s="34">
        <f>IF(AND(ISNUMBER(CQ95),ISNUMBER(CO95)),CQ95-CO95,"")</f>
        <v>0</v>
      </c>
      <c r="CQ95" s="39">
        <f>IF(COUNT(CQ96:CQ97)=0,"",SUM(CQ96:CQ97))</f>
        <v>0</v>
      </c>
      <c r="CR95" s="34">
        <f>IF(AND(ISNUMBER(CS95),ISNUMBER(CQ95)),CS95-CQ95,"")</f>
        <v>0</v>
      </c>
      <c r="CS95" s="39">
        <f>IF(COUNT(CS96:CS97)=0,"",SUM(CS96:CS97))</f>
        <v>0</v>
      </c>
      <c r="CT95" s="34">
        <f>IF(AND(ISNUMBER(CU95),ISNUMBER(CS95)),CU95-CS95,"")</f>
        <v>0</v>
      </c>
      <c r="CU95" s="39">
        <f>IF(COUNT(CU96:CU97)=0,"",SUM(CU96:CU97))</f>
        <v>0</v>
      </c>
      <c r="CV95" s="34">
        <f>IF(AND(ISNUMBER(CW95),ISNUMBER(CU95)),CW95-CU95,"")</f>
        <v>0</v>
      </c>
      <c r="CW95" s="39">
        <f>IF(COUNT(CW96:CW97)=0,"",SUM(CW96:CW97))</f>
        <v>0</v>
      </c>
      <c r="CX95" s="34">
        <f>IF(AND(ISNUMBER(CY95),ISNUMBER(CW95)),CY95-CW95,"")</f>
        <v>0</v>
      </c>
      <c r="CY95" s="39">
        <f>IF(COUNT(CY96:CY97)=0,"",SUM(CY96:CY97))</f>
        <v>0</v>
      </c>
      <c r="CZ95" s="34">
        <f>IF(AND(ISNUMBER(DA95),ISNUMBER(CY95)),DA95-CY95,"")</f>
        <v>0</v>
      </c>
      <c r="DA95" s="39">
        <f>IF(COUNT(DA96:DA97)=0,"",SUM(DA96:DA97))</f>
        <v>0</v>
      </c>
      <c r="DB95" s="34">
        <f>IF(AND(ISNUMBER(DC95),ISNUMBER(DA95)),DC95-DA95,"")</f>
        <v>0</v>
      </c>
      <c r="DC95" s="39">
        <f>IF(COUNT(DC96:DC97)=0,"",SUM(DC96:DC97))</f>
        <v>0</v>
      </c>
      <c r="DD95" s="34">
        <f>IF(AND(ISNUMBER(DE95),ISNUMBER(DC95)),DE95-DC95,"")</f>
        <v>0</v>
      </c>
      <c r="DE95" s="39">
        <f>IF(COUNT(DE96:DE97)=0,"",SUM(DE96:DE97))</f>
        <v>0</v>
      </c>
      <c r="DF95" s="34">
        <f>IF(AND(ISNUMBER(DG95),ISNUMBER(DE95)),DG95-DE95,"")</f>
        <v>0</v>
      </c>
      <c r="DG95" s="39">
        <f>IF(COUNT(DG96:DG97)=0,"",SUM(DG96:DG97))</f>
        <v>0</v>
      </c>
      <c r="DH95" s="34">
        <f>IF(AND(ISNUMBER(DI95),ISNUMBER(DG95)),DI95-DG95,"")</f>
        <v>0</v>
      </c>
      <c r="DI95" s="39">
        <f>IF(COUNT(DI96:DI97)=0,"",SUM(DI96:DI97))</f>
        <v>0</v>
      </c>
      <c r="DJ95" s="34">
        <f>IF(AND(ISNUMBER(DK95),ISNUMBER(DI95)),DK95-DI95,"")</f>
        <v>0</v>
      </c>
      <c r="DK95" s="39">
        <f>IF(COUNT(DK96:DK97)=0,"",SUM(DK96:DK97))</f>
        <v>0</v>
      </c>
      <c r="DL95" s="34">
        <f>IF(AND(ISNUMBER(DM95),ISNUMBER(DK95)),DM95-DK95,"")</f>
        <v>0</v>
      </c>
      <c r="DM95" s="39">
        <f>IF(COUNT(DM96:DM97)=0,"",SUM(DM96:DM97))</f>
        <v>0</v>
      </c>
      <c r="DN95" s="34">
        <f>IF(AND(ISNUMBER(DO95),ISNUMBER(DM95)),DO95-DM95,"")</f>
        <v>0</v>
      </c>
      <c r="DO95" s="39">
        <f>IF(COUNT(DO96:DO97)=0,"",SUM(DO96:DO97))</f>
        <v>0</v>
      </c>
      <c r="DP95" s="34">
        <f>IF(AND(ISNUMBER(DQ95),ISNUMBER(DO95)),DQ95-DO95,"")</f>
        <v>0</v>
      </c>
      <c r="DQ95" s="39">
        <f>IF(COUNT(DQ96:DQ97)=0,"",SUM(DQ96:DQ97))</f>
        <v>0</v>
      </c>
      <c r="DR95" s="34">
        <f>IF(AND(ISNUMBER(DS95),ISNUMBER(DQ95)),DS95-DQ95,"")</f>
        <v>0</v>
      </c>
      <c r="DS95" s="39">
        <f>IF(COUNT(DS96:DS97)=0,"",SUM(DS96:DS97))</f>
        <v>0</v>
      </c>
      <c r="DT95" s="34">
        <f>IF(AND(ISNUMBER(DU95),ISNUMBER(DS95)),DU95-DS95,"")</f>
        <v>0</v>
      </c>
      <c r="DU95" s="39">
        <f>IF(COUNT(DU96:DU97)=0,"",SUM(DU96:DU97))</f>
        <v>0</v>
      </c>
      <c r="DV95" s="34">
        <f>IF(AND(ISNUMBER(DW95),ISNUMBER(DU95)),DW95-DU95,"")</f>
        <v>0</v>
      </c>
      <c r="DW95" s="39">
        <f>IF(COUNT(DW96:DW97)=0,"",SUM(DW96:DW97))</f>
        <v>0</v>
      </c>
      <c r="DX95" s="34">
        <f>IF(AND(ISNUMBER(DY95),ISNUMBER(DW95)),DY95-DW95,"")</f>
        <v>0</v>
      </c>
      <c r="DY95" s="39">
        <f>IF(COUNT(DY96:DY97)=0,"",SUM(DY96:DY97))</f>
        <v>0</v>
      </c>
      <c r="DZ95" s="34">
        <f>IF(AND(ISNUMBER(EA95),ISNUMBER(DY95)),EA95-DY95,"")</f>
        <v>0</v>
      </c>
      <c r="EA95" s="39">
        <f>IF(COUNT(EA96:EA97)=0,"",SUM(EA96:EA97))</f>
        <v>0</v>
      </c>
      <c r="EB95" s="34">
        <f>IF(AND(ISNUMBER(EC95),ISNUMBER(EA95)),EC95-EA95,"")</f>
        <v>0</v>
      </c>
      <c r="EC95" s="39">
        <f>IF(COUNT(EC96:EC97)=0,"",SUM(EC96:EC97))</f>
        <v>0</v>
      </c>
      <c r="ED95" s="34">
        <f>IF(AND(ISNUMBER(EE95),ISNUMBER(EC95)),EE95-EC95,"")</f>
        <v>0</v>
      </c>
      <c r="EE95" s="39">
        <f>IF(COUNT(EE96:EE97)=0,"",SUM(EE96:EE97))</f>
        <v>0</v>
      </c>
      <c r="EF95" s="34">
        <f>IF(AND(ISNUMBER(EG95),ISNUMBER(EE95)),EG95-EE95,"")</f>
        <v>0</v>
      </c>
      <c r="EG95" s="39">
        <f>IF(COUNT(EG96:EG97)=0,"",SUM(EG96:EG97))</f>
        <v>0</v>
      </c>
      <c r="EH95" s="34">
        <f>IF(AND(ISNUMBER(EI95),ISNUMBER(EG95)),EI95-EG95,"")</f>
        <v>0</v>
      </c>
      <c r="EI95" s="39">
        <f>IF(COUNT(EI96:EI97)=0,"",SUM(EI96:EI97))</f>
        <v>0</v>
      </c>
      <c r="EJ95" s="34">
        <f>IF(AND(ISNUMBER(EK95),ISNUMBER(EI95)),EK95-EI95,"")</f>
        <v>0</v>
      </c>
      <c r="EK95" s="39">
        <f>IF(COUNT(EK96:EK97)=0,"",SUM(EK96:EK97))</f>
        <v>0</v>
      </c>
      <c r="EL95" s="34">
        <f>IF(AND(ISNUMBER(EM95),ISNUMBER(EK95)),EM95-EK95,"")</f>
        <v>0</v>
      </c>
      <c r="EM95" s="39">
        <f>IF(COUNT(EM96:EM97)=0,"",SUM(EM96:EM97))</f>
        <v>0</v>
      </c>
      <c r="EN95" s="34">
        <f>IF(AND(ISNUMBER(EO95),ISNUMBER(EM95)),EO95-EM95,"")</f>
        <v>0</v>
      </c>
      <c r="EO95" s="39">
        <f>IF(COUNT(EO96:EO97)=0,"",SUM(EO96:EO97))</f>
        <v>0</v>
      </c>
      <c r="EP95" s="34">
        <f>IF(AND(ISNUMBER(EQ95),ISNUMBER(EO95)),EQ95-EO95,"")</f>
        <v>0</v>
      </c>
      <c r="EQ95" s="39">
        <f>IF(COUNT(EQ96:EQ97)=0,"",SUM(EQ96:EQ97))</f>
        <v>0</v>
      </c>
      <c r="ER95" s="34">
        <f>IF(AND(ISNUMBER(ES95),ISNUMBER(EQ95)),ES95-EQ95,"")</f>
        <v>0</v>
      </c>
      <c r="ES95" s="39">
        <f>IF(COUNT(ES96:ES97)=0,"",SUM(ES96:ES97))</f>
        <v>0</v>
      </c>
      <c r="ET95" s="34">
        <f>IF(AND(ISNUMBER(EU95),ISNUMBER(ES95)),EU95-ES95,"")</f>
        <v>0</v>
      </c>
      <c r="EU95" s="39">
        <f>IF(COUNT(EU96:EU97)=0,"",SUM(EU96:EU97))</f>
        <v>0</v>
      </c>
      <c r="EV95" s="34">
        <f>IF(AND(ISNUMBER(EW95),ISNUMBER(EU95)),EW95-EU95,"")</f>
        <v>0</v>
      </c>
      <c r="EW95" s="39">
        <f>IF(COUNT(EW96:EW97)=0,"",SUM(EW96:EW97))</f>
        <v>0</v>
      </c>
      <c r="EX95" s="34">
        <f>IF(AND(ISNUMBER(EY95),ISNUMBER(EW95)),EY95-EW95,"")</f>
        <v>0</v>
      </c>
      <c r="EY95" s="39">
        <f>IF(COUNT(EY96:EY97)=0,"",SUM(EY96:EY97))</f>
        <v>0</v>
      </c>
      <c r="EZ95" s="34">
        <f>IF(AND(ISNUMBER(FA95),ISNUMBER(EY95)),FA95-EY95,"")</f>
        <v>0</v>
      </c>
      <c r="FA95" s="39">
        <f>IF(COUNT(FA96:FA97)=0,"",SUM(FA96:FA97))</f>
        <v>0</v>
      </c>
      <c r="FB95" s="34">
        <f>IF(AND(ISNUMBER(FC95),ISNUMBER(FA95)),FC95-FA95,"")</f>
        <v>0</v>
      </c>
      <c r="FC95" s="39">
        <f>IF(COUNT(FC96:FC97)=0,"",SUM(FC96:FC97))</f>
        <v>0</v>
      </c>
      <c r="FD95" s="34">
        <f>IF(AND(ISNUMBER(FE95),ISNUMBER(FC95)),FE95-FC95,"")</f>
        <v>0</v>
      </c>
      <c r="FE95" s="39">
        <f>IF(COUNT(FE96:FE97)=0,"",SUM(FE96:FE97))</f>
        <v>0</v>
      </c>
      <c r="FF95" s="34">
        <f>IF(AND(ISNUMBER(FG95),ISNUMBER(FE95)),FG95-FE95,"")</f>
        <v>0</v>
      </c>
      <c r="FG95" s="39">
        <f>IF(COUNT(FG96:FG97)=0,"",SUM(FG96:FG97))</f>
        <v>0</v>
      </c>
      <c r="FH95" s="34">
        <f>IF(AND(ISNUMBER(FI95),ISNUMBER(FG95)),FI95-FG95,"")</f>
        <v>0</v>
      </c>
      <c r="FI95" s="39">
        <f>IF(COUNT(FI96:FI97)=0,"",SUM(FI96:FI97))</f>
        <v>0</v>
      </c>
      <c r="FJ95" s="34">
        <f>IF(AND(ISNUMBER(FK95),ISNUMBER(FI95)),FK95-FI95,"")</f>
        <v>0</v>
      </c>
      <c r="FK95" s="39">
        <f>IF(COUNT(FK96:FK97)=0,"",SUM(FK96:FK97))</f>
        <v>0</v>
      </c>
      <c r="FL95" s="34">
        <f>IF(AND(ISNUMBER(FM95),ISNUMBER(FK95)),FM95-FK95,"")</f>
        <v>0</v>
      </c>
      <c r="FM95" s="39">
        <f>IF(COUNT(FM96:FM97)=0,"",SUM(FM96:FM97))</f>
        <v>0</v>
      </c>
      <c r="FN95" s="34">
        <f>IF(AND(ISNUMBER(FO95),ISNUMBER(FM95)),FO95-FM95,"")</f>
        <v>0</v>
      </c>
      <c r="FO95" s="39">
        <f>IF(COUNT(FO96:FO97)=0,"",SUM(FO96:FO97))</f>
        <v>0</v>
      </c>
      <c r="FP95" s="34">
        <f>IF(AND(ISNUMBER(FQ95),ISNUMBER(FO95)),FQ95-FO95,"")</f>
        <v>0</v>
      </c>
      <c r="FQ95" s="39">
        <f>IF(COUNT(FQ96:FQ97)=0,"",SUM(FQ96:FQ97))</f>
        <v>0</v>
      </c>
      <c r="FR95" s="34">
        <f>IF(AND(ISNUMBER(FS95),ISNUMBER(FQ95)),FS95-FQ95,"")</f>
        <v>0</v>
      </c>
      <c r="FS95" s="39">
        <f>IF(COUNT(FS96:FS97)=0,"",SUM(FS96:FS97))</f>
        <v>0</v>
      </c>
      <c r="FT95" s="34">
        <f>IF(AND(ISNUMBER(FU95),ISNUMBER(FS95)),FU95-FS95,"")</f>
        <v>0</v>
      </c>
      <c r="FU95" s="39">
        <f>IF(COUNT(FU96:FU97)=0,"",SUM(FU96:FU97))</f>
        <v>0</v>
      </c>
      <c r="FV95" s="34">
        <f>IF(AND(ISNUMBER(FW95),ISNUMBER(FU95)),FW95-FU95,"")</f>
        <v>0</v>
      </c>
      <c r="FW95" s="39">
        <f>IF(COUNT(FW96:FW97)=0,"",SUM(FW96:FW97))</f>
        <v>0</v>
      </c>
      <c r="FX95" s="34">
        <f>IF(AND(ISNUMBER(FY95),ISNUMBER(FW95)),FY95-FW95,"")</f>
        <v>0</v>
      </c>
      <c r="FY95" s="39">
        <f>IF(COUNT(FY96:FY97)=0,"",SUM(FY96:FY97))</f>
        <v>0</v>
      </c>
      <c r="FZ95" s="34">
        <f>IF(AND(ISNUMBER(GA95),ISNUMBER(FY95)),GA95-FY95,"")</f>
        <v>0</v>
      </c>
      <c r="GA95" s="39">
        <f>IF(COUNT(GA96:GA97)=0,"",SUM(GA96:GA97))</f>
        <v>0</v>
      </c>
      <c r="GB95" s="34">
        <f>IF(AND(ISNUMBER(GC95),ISNUMBER(GA95)),GC95-GA95,"")</f>
        <v>0</v>
      </c>
      <c r="GC95" s="39">
        <f>IF(COUNT(GC96:GC97)=0,"",SUM(GC96:GC97))</f>
        <v>0</v>
      </c>
      <c r="GD95" s="34">
        <f>IF(AND(ISNUMBER(GE95),ISNUMBER(GC95)),GE95-GC95,"")</f>
        <v>0</v>
      </c>
      <c r="GE95" s="39">
        <f>IF(COUNT(GE96:GE97)=0,"",SUM(GE96:GE97))</f>
        <v>0</v>
      </c>
      <c r="GF95" s="34">
        <f>IF(AND(ISNUMBER(GG95),ISNUMBER(GE95)),GG95-GE95,"")</f>
        <v>0</v>
      </c>
      <c r="GG95" s="39">
        <f>IF(COUNT(GG96:GG97)=0,"",SUM(GG96:GG97))</f>
        <v>0</v>
      </c>
      <c r="GH95" s="34">
        <f>IF(AND(ISNUMBER(GI95),ISNUMBER(GG95)),GI95-GG95,"")</f>
        <v>0</v>
      </c>
      <c r="GI95" s="39">
        <f>IF(COUNT(GI96:GI97)=0,"",SUM(GI96:GI97))</f>
        <v>0</v>
      </c>
      <c r="GJ95" s="34">
        <f>IF(AND(ISNUMBER(GK95),ISNUMBER(GI95)),GK95-GI95,"")</f>
        <v>0</v>
      </c>
      <c r="GK95" s="39">
        <f>IF(COUNT(GK96:GK97)=0,"",SUM(GK96:GK97))</f>
        <v>0</v>
      </c>
      <c r="GL95" s="34">
        <f>IF(AND(ISNUMBER(GM95),ISNUMBER(GK95)),GM95-GK95,"")</f>
        <v>0</v>
      </c>
      <c r="GM95" s="39">
        <f>IF(COUNT(GM96:GM97)=0,"",SUM(GM96:GM97))</f>
        <v>0</v>
      </c>
      <c r="GN95" s="34">
        <f>IF(AND(ISNUMBER(GO95),ISNUMBER(GM95)),GO95-GM95,"")</f>
        <v>0</v>
      </c>
      <c r="GO95" s="39">
        <f>IF(COUNT(GO96:GO97)=0,"",SUM(GO96:GO97))</f>
        <v>0</v>
      </c>
      <c r="GP95" s="34">
        <f>IF(AND(ISNUMBER(GQ95),ISNUMBER(GO95)),GQ95-GO95,"")</f>
        <v>0</v>
      </c>
      <c r="GQ95" s="39">
        <f>IF(COUNT(GQ96:GQ97)=0,"",SUM(GQ96:GQ97))</f>
        <v>0</v>
      </c>
      <c r="GR95" s="34">
        <f>IF(AND(ISNUMBER(GS95),ISNUMBER(GQ95)),GS95-GQ95,"")</f>
        <v>0</v>
      </c>
      <c r="GS95" s="39">
        <f>IF(COUNT(GS96:GS97)=0,"",SUM(GS96:GS97))</f>
        <v>0</v>
      </c>
      <c r="GT95" s="34">
        <f>IF(AND(ISNUMBER(GU95),ISNUMBER(GS95)),GU95-GS95,"")</f>
        <v>0</v>
      </c>
      <c r="GU95" s="39">
        <f>IF(COUNT(GU96:GU97)=0,"",SUM(GU96:GU97))</f>
        <v>0</v>
      </c>
      <c r="GV95" s="34">
        <f>IF(AND(ISNUMBER(GW95),ISNUMBER(GU95)),GW95-GU95,"")</f>
        <v>0</v>
      </c>
      <c r="GW95" s="39">
        <f>IF(COUNT(GW96:GW97)=0,"",SUM(GW96:GW97))</f>
        <v>0</v>
      </c>
      <c r="GX95" s="34">
        <f>IF(AND(ISNUMBER(GY95),ISNUMBER(GW95)),GY95-GW95,"")</f>
        <v>0</v>
      </c>
      <c r="GY95" s="39">
        <f>IF(COUNT(GY96:GY97)=0,"",SUM(GY96:GY97))</f>
        <v>0</v>
      </c>
      <c r="GZ95" s="34">
        <f>IF(AND(ISNUMBER(HA95),ISNUMBER(GY95)),HA95-GY95,"")</f>
        <v>0</v>
      </c>
      <c r="HA95" s="39">
        <f>IF(COUNT(HA96:HA97)=0,"",SUM(HA96:HA97))</f>
        <v>0</v>
      </c>
      <c r="HB95" s="34">
        <f>IF(AND(ISNUMBER(HC95),ISNUMBER(HA95)),HC95-HA95,"")</f>
        <v>0</v>
      </c>
      <c r="HC95" s="39">
        <f>IF(COUNT(HC96:HC97)=0,"",SUM(HC96:HC97))</f>
        <v>0</v>
      </c>
      <c r="HD95" s="34">
        <f>IF(AND(ISNUMBER(HE95),ISNUMBER(HC95)),HE95-HC95,"")</f>
        <v>0</v>
      </c>
      <c r="HE95" s="39">
        <f>IF(COUNT(HE96:HE97)=0,"",SUM(HE96:HE97))</f>
        <v>0</v>
      </c>
      <c r="HF95" s="34">
        <f>IF(AND(ISNUMBER(HG95),ISNUMBER(HE95)),HG95-HE95,"")</f>
        <v>0</v>
      </c>
      <c r="HG95" s="39">
        <f>IF(COUNT(HG96:HG97)=0,"",SUM(HG96:HG97))</f>
        <v>0</v>
      </c>
      <c r="HH95" s="34">
        <f>IF(AND(ISNUMBER(HI95),ISNUMBER(HG95)),HI95-HG95,"")</f>
        <v>0</v>
      </c>
      <c r="HI95" s="39">
        <f>IF(COUNT(HI96:HI97)=0,"",SUM(HI96:HI97))</f>
        <v>0</v>
      </c>
      <c r="HJ95" s="34">
        <f>IF(AND(ISNUMBER(HK95),ISNUMBER(HI95)),HK95-HI95,"")</f>
        <v>0</v>
      </c>
      <c r="HK95" s="39">
        <f>IF(COUNT(HK96:HK97)=0,"",SUM(HK96:HK97))</f>
        <v>0</v>
      </c>
      <c r="HL95" s="34">
        <f>IF(AND(ISNUMBER(HM95),ISNUMBER(HK95)),HM95-HK95,"")</f>
        <v>0</v>
      </c>
      <c r="HM95" s="39">
        <f>IF(COUNT(HM96:HM97)=0,"",SUM(HM96:HM97))</f>
        <v>0</v>
      </c>
      <c r="HN95" s="34">
        <f>IF(AND(ISNUMBER(HO95),ISNUMBER(HM95)),HO95-HM95,"")</f>
        <v>0</v>
      </c>
      <c r="HO95" s="39">
        <f>IF(COUNT(HO96:HO97)=0,"",SUM(HO96:HO97))</f>
        <v>0</v>
      </c>
      <c r="HP95" s="34">
        <f>IF(AND(ISNUMBER(HQ95),ISNUMBER(HO95)),HQ95-HO95,"")</f>
        <v>0</v>
      </c>
      <c r="HQ95" s="39">
        <f>IF(COUNT(HQ96:HQ97)=0,"",SUM(HQ96:HQ97))</f>
        <v>0</v>
      </c>
      <c r="HR95" s="34">
        <f>IF(AND(ISNUMBER(HS95),ISNUMBER(HQ95)),HS95-HQ95,"")</f>
        <v>0</v>
      </c>
      <c r="HS95" s="39">
        <f>IF(COUNT(HS96:HS97)=0,"",SUM(HS96:HS97))</f>
        <v>0</v>
      </c>
      <c r="HT95" s="34">
        <f>IF(AND(ISNUMBER(HU95),ISNUMBER(HS95)),HU95-HS95,"")</f>
        <v>0</v>
      </c>
      <c r="HU95" s="39">
        <f>IF(COUNT(HU96:HU97)=0,"",SUM(HU96:HU97))</f>
        <v>0</v>
      </c>
      <c r="HV95" s="34">
        <f>IF(AND(ISNUMBER(HW95),ISNUMBER(HU95)),HW95-HU95,"")</f>
        <v>0</v>
      </c>
      <c r="HW95" s="39">
        <f>IF(COUNT(HW96:HW97)=0,"",SUM(HW96:HW97))</f>
        <v>0</v>
      </c>
      <c r="HX95" s="34">
        <f>IF(AND(ISNUMBER(HY95),ISNUMBER(HW95)),HY95-HW95,"")</f>
        <v>0</v>
      </c>
      <c r="HY95" s="39">
        <f>IF(COUNT(HY96:HY97)=0,"",SUM(HY96:HY97))</f>
        <v>0</v>
      </c>
      <c r="HZ95" s="34">
        <f>IF(AND(ISNUMBER(IA95),ISNUMBER(HY95)),IA95-HY95,"")</f>
        <v>0</v>
      </c>
      <c r="IA95" s="39">
        <f>IF(COUNT(IA96:IA97)=0,"",SUM(IA96:IA97))</f>
        <v>0</v>
      </c>
      <c r="IB95" s="34">
        <f>IF(AND(ISNUMBER(IC95),ISNUMBER(IA95)),IC95-IA95,"")</f>
        <v>0</v>
      </c>
      <c r="IC95" s="39">
        <f>IF(COUNT(IC96:IC97)=0,"",SUM(IC96:IC97))</f>
        <v>0</v>
      </c>
      <c r="ID95" s="34">
        <f>IF(AND(ISNUMBER(IE95),ISNUMBER(IC95)),IE95-IC95,"")</f>
        <v>0</v>
      </c>
      <c r="IE95" s="39">
        <f>IF(COUNT(IE96:IE97)=0,"",SUM(IE96:IE97))</f>
        <v>0</v>
      </c>
      <c r="IF95" s="34">
        <f>IF(AND(ISNUMBER(IG95),ISNUMBER(IE95)),IG95-IE95,"")</f>
        <v>0</v>
      </c>
      <c r="IG95" s="39">
        <f>IF(COUNT(IG96:IG97)=0,"",SUM(IG96:IG97))</f>
        <v>0</v>
      </c>
      <c r="IH95" s="34">
        <f>IF(AND(ISNUMBER(II95),ISNUMBER(IG95)),II95-IG95,"")</f>
        <v>0</v>
      </c>
      <c r="II95" s="39">
        <f>IF(COUNT(II96:II97)=0,"",SUM(II96:II97))</f>
        <v>0</v>
      </c>
      <c r="IJ95" s="34">
        <f>IF(AND(ISNUMBER(IK95),ISNUMBER(II95)),IK95-II95,"")</f>
        <v>0</v>
      </c>
      <c r="IK95" s="39">
        <f>IF(COUNT(IK96:IK97)=0,"",SUM(IK96:IK97))</f>
        <v>0</v>
      </c>
      <c r="IL95" s="34">
        <f>IF(AND(ISNUMBER(IM95),ISNUMBER(IK95)),IM95-IK95,"")</f>
        <v>0</v>
      </c>
      <c r="IM95" s="39">
        <f>IF(COUNT(IM96:IM97)=0,"",SUM(IM96:IM97))</f>
        <v>0</v>
      </c>
      <c r="IN95" s="34">
        <f>IF(AND(ISNUMBER(IO95),ISNUMBER(IM95)),IO95-IM95,"")</f>
        <v>0</v>
      </c>
      <c r="IO95" s="39">
        <f>IF(COUNT(IO96:IO97)=0,"",SUM(IO96:IO97))</f>
        <v>0</v>
      </c>
      <c r="IP95" s="34">
        <f>IF(AND(ISNUMBER(IQ95),ISNUMBER(IO95)),IQ95-IO95,"")</f>
        <v>0</v>
      </c>
      <c r="IQ95" s="39">
        <f>IF(COUNT(IQ96:IQ97)=0,"",SUM(IQ96:IQ97))</f>
        <v>0</v>
      </c>
      <c r="IR95" s="34">
        <f>IF(AND(ISNUMBER(IS95),ISNUMBER(IQ95)),IS95-IQ95,"")</f>
        <v>0</v>
      </c>
      <c r="IS95" s="39">
        <f>IF(COUNT(IS96:IS97)=0,"",SUM(IS96:IS97))</f>
        <v>0</v>
      </c>
      <c r="IT95" s="34">
        <f>IF(AND(ISNUMBER(IU95),ISNUMBER(IS95)),IU95-IS95,"")</f>
        <v>0</v>
      </c>
      <c r="IU95" s="39">
        <f>IF(COUNT(IU96:IU97)=0,"",SUM(IU96:IU97))</f>
        <v>0</v>
      </c>
      <c r="IV95" s="34">
        <f>IF(AND(ISNUMBER(IW95),ISNUMBER(IU95)),IW95-IU95,"")</f>
        <v>0</v>
      </c>
      <c r="IW95" s="33">
        <v>1011</v>
      </c>
      <c r="IX95" s="34">
        <f>IF(AND(ISNUMBER(IY95),ISNUMBER(IW95)),IY95-IW95,"")</f>
        <v>0</v>
      </c>
      <c r="IY95" s="33">
        <v>1011</v>
      </c>
      <c r="IZ95" s="34">
        <f>IF(AND(ISNUMBER(JA95),ISNUMBER(IY95)),JA95-IY95,"")</f>
        <v>0</v>
      </c>
      <c r="JA95" s="39">
        <f>IF(COUNT(JA96:JA97)=0,"",SUM(JA96:JA97))</f>
        <v>0</v>
      </c>
      <c r="JB95" s="34">
        <f>IF(AND(ISNUMBER(JC95),ISNUMBER(JA95)),JC95-JA95,"")</f>
        <v>0</v>
      </c>
      <c r="JC95" s="39">
        <f>IF(COUNT(JC96:JC97)=0,"",SUM(JC96:JC97))</f>
        <v>0</v>
      </c>
      <c r="JD95" s="34">
        <f>IF(AND(ISNUMBER(JE95),ISNUMBER(JC95)),JE95-JC95,"")</f>
        <v>0</v>
      </c>
      <c r="JE95" s="39">
        <f>IF(COUNT(JE96:JE97)=0,"",SUM(JE96:JE97))</f>
        <v>0</v>
      </c>
      <c r="JF95" s="34">
        <f>IF(AND(ISNUMBER(JG95),ISNUMBER(JE95)),JG95-JE95,"")</f>
        <v>0</v>
      </c>
      <c r="JG95" s="39">
        <f>IF(COUNT(JG96:JG97)=0,"",SUM(JG96:JG97))</f>
        <v>0</v>
      </c>
      <c r="JH95" s="34">
        <f>IF(AND(ISNUMBER(JI95),ISNUMBER(JG95)),JI95-JG95,"")</f>
        <v>0</v>
      </c>
      <c r="JI95" s="39">
        <f>IF(COUNT(JI96:JI97)=0,"",SUM(JI96:JI97))</f>
        <v>0</v>
      </c>
      <c r="JJ95" s="34">
        <f>IF(AND(ISNUMBER(JK95),ISNUMBER(JI95)),JK95-JI95,"")</f>
        <v>0</v>
      </c>
      <c r="JK95" s="39">
        <f>IF(COUNT(JK96:JK97)=0,"",SUM(JK96:JK97))</f>
        <v>0</v>
      </c>
      <c r="JL95" s="34">
        <f>IF(AND(ISNUMBER(JM95),ISNUMBER(JK95)),JM95-JK95,"")</f>
        <v>0</v>
      </c>
      <c r="JM95" s="39">
        <f>IF(COUNT(JM96:JM97)=0,"",SUM(JM96:JM97))</f>
        <v>0</v>
      </c>
      <c r="JN95" s="34">
        <f>IF(AND(ISNUMBER(JO95),ISNUMBER(JM95)),JO95-JM95,"")</f>
        <v>0</v>
      </c>
      <c r="JO95" s="39">
        <f>IF(COUNT(JO96:JO97)=0,"",SUM(JO96:JO97))</f>
        <v>0</v>
      </c>
      <c r="JP95" s="34">
        <f>IF(AND(ISNUMBER(JQ95),ISNUMBER(JO95)),JQ95-JO95,"")</f>
        <v>0</v>
      </c>
      <c r="JQ95" s="39">
        <f>IF(COUNT(JQ96:JQ97)=0,"",SUM(JQ96:JQ97))</f>
        <v>0</v>
      </c>
      <c r="JR95" s="34">
        <f>IF(AND(ISNUMBER(JS95),ISNUMBER(JQ95)),JS95-JQ95,"")</f>
        <v>0</v>
      </c>
      <c r="JS95" s="39">
        <f>IF(COUNT(JS96:JS97)=0,"",SUM(JS96:JS97))</f>
        <v>0</v>
      </c>
      <c r="JT95" s="34">
        <f>IF(AND(ISNUMBER(JU95),ISNUMBER(JS95)),JU95-JS95,"")</f>
        <v>0</v>
      </c>
      <c r="JU95" s="39">
        <f>IF(COUNT(JU96:JU97)=0,"",SUM(JU96:JU97))</f>
        <v>0</v>
      </c>
      <c r="JV95" s="34">
        <f>IF(AND(ISNUMBER(JW95),ISNUMBER(JU95)),JW95-JU95,"")</f>
        <v>0</v>
      </c>
      <c r="JW95" s="39">
        <f>IF(COUNT(JW96:JW97)=0,"",SUM(JW96:JW97))</f>
        <v>0</v>
      </c>
      <c r="JX95" s="34">
        <f>IF(AND(ISNUMBER(JY95),ISNUMBER(JW95)),JY95-JW95,"")</f>
        <v>0</v>
      </c>
      <c r="JY95" s="39">
        <f>IF(COUNT(JY96:JY97)=0,"",SUM(JY96:JY97))</f>
        <v>0</v>
      </c>
      <c r="JZ95" s="34">
        <f>IF(AND(ISNUMBER(KA95),ISNUMBER(JY95)),KA95-JY95,"")</f>
        <v>0</v>
      </c>
      <c r="KA95" s="39">
        <f>IF(COUNT(KA96:KA97)=0,"",SUM(KA96:KA97))</f>
        <v>0</v>
      </c>
      <c r="KB95" s="34">
        <f>IF(AND(ISNUMBER(KC95),ISNUMBER(KA95)),KC95-KA95,"")</f>
        <v>0</v>
      </c>
      <c r="KC95" s="39">
        <f>IF(COUNT(KC96:KC97)=0,"",SUM(KC96:KC97))</f>
        <v>0</v>
      </c>
      <c r="KD95" s="34">
        <f>IF(AND(ISNUMBER(KE95),ISNUMBER(KC95)),KE95-KC95,"")</f>
        <v>0</v>
      </c>
      <c r="KE95" s="39">
        <f>IF(COUNT(KE96:KE97)=0,"",SUM(KE96:KE97))</f>
        <v>0</v>
      </c>
      <c r="KF95" s="34">
        <f>IF(AND(ISNUMBER(KG95),ISNUMBER(KE95)),KG95-KE95,"")</f>
        <v>0</v>
      </c>
      <c r="KG95" s="39">
        <f>IF(COUNT(KG96:KG97)=0,"",SUM(KG96:KG97))</f>
        <v>0</v>
      </c>
      <c r="KH95" s="34">
        <f>IF(AND(ISNUMBER(KI95),ISNUMBER(KG95)),KI95-KG95,"")</f>
        <v>0</v>
      </c>
      <c r="KI95" s="39">
        <f>IF(COUNT(KI96:KI97)=0,"",SUM(KI96:KI97))</f>
        <v>0</v>
      </c>
      <c r="KJ95" s="34">
        <f>IF(AND(ISNUMBER(KK95),ISNUMBER(KI95)),KK95-KI95,"")</f>
        <v>0</v>
      </c>
      <c r="KK95" s="39">
        <f>IF(COUNT(KK96:KK97)=0,"",SUM(KK96:KK97))</f>
        <v>0</v>
      </c>
      <c r="KL95" s="34">
        <f>IF(AND(ISNUMBER(KM95),ISNUMBER(KK95)),KM95-KK95,"")</f>
        <v>0</v>
      </c>
      <c r="KM95" s="39">
        <f>IF(COUNT(KM96:KM97)=0,"",SUM(KM96:KM97))</f>
        <v>0</v>
      </c>
      <c r="KN95" s="34">
        <f>IF(AND(ISNUMBER(KO95),ISNUMBER(KM95)),KO95-KM95,"")</f>
        <v>0</v>
      </c>
      <c r="KO95" s="39">
        <f>IF(COUNT(KO96:KO97)=0,"",SUM(KO96:KO97))</f>
        <v>0</v>
      </c>
      <c r="KP95" s="34">
        <f>IF(AND(ISNUMBER(KQ95),ISNUMBER(KO95)),KQ95-KO95,"")</f>
        <v>0</v>
      </c>
      <c r="KQ95" s="39">
        <f>IF(COUNT(KQ96:KQ97)=0,"",SUM(KQ96:KQ97))</f>
        <v>0</v>
      </c>
      <c r="KR95" s="34">
        <f>IF(AND(ISNUMBER(KS95),ISNUMBER(KQ95)),KS95-KQ95,"")</f>
        <v>0</v>
      </c>
      <c r="KS95" s="39">
        <f>IF(COUNT(KS96:KS97)=0,"",SUM(KS96:KS97))</f>
        <v>0</v>
      </c>
      <c r="KT95" s="34">
        <f>IF(AND(ISNUMBER(KU95),ISNUMBER(KS95)),KU95-KS95,"")</f>
        <v>0</v>
      </c>
      <c r="KU95" s="39">
        <f>IF(COUNT(KU96:KU97)=0,"",SUM(KU96:KU97))</f>
        <v>0</v>
      </c>
      <c r="KV95" s="34">
        <f>IF(AND(ISNUMBER(KW95),ISNUMBER(KU95)),KW95-KU95,"")</f>
        <v>0</v>
      </c>
      <c r="KW95" s="39">
        <f>IF(COUNT(KW96:KW97)=0,"",SUM(KW96:KW97))</f>
        <v>0</v>
      </c>
      <c r="KX95" s="34">
        <f>IF(AND(ISNUMBER(KY95),ISNUMBER(KW95)),KY95-KW95,"")</f>
        <v>0</v>
      </c>
      <c r="KY95" s="39">
        <f>IF(COUNT(KY96:KY97)=0,"",SUM(KY96:KY97))</f>
        <v>0</v>
      </c>
      <c r="KZ95" s="34">
        <f>IF(AND(ISNUMBER(LA95),ISNUMBER(KY95)),LA95-KY95,"")</f>
        <v>0</v>
      </c>
      <c r="LA95" s="39">
        <f>IF(COUNT(LA96:LA97)=0,"",SUM(LA96:LA97))</f>
        <v>0</v>
      </c>
      <c r="LB95" s="34">
        <f>IF(AND(ISNUMBER(LC95),ISNUMBER(LA95)),LC95-LA95,"")</f>
        <v>0</v>
      </c>
      <c r="LC95" s="39">
        <f>IF(COUNT(LC96:LC97)=0,"",SUM(LC96:LC97))</f>
        <v>0</v>
      </c>
      <c r="LD95" s="34">
        <f>IF(AND(ISNUMBER(LE95),ISNUMBER(LC95)),LE95-LC95,"")</f>
        <v>0</v>
      </c>
      <c r="LE95" s="39">
        <f>IF(COUNT(LE96:LE97)=0,"",SUM(LE96:LE97))</f>
        <v>0</v>
      </c>
      <c r="LF95" s="34">
        <f>IF(AND(ISNUMBER(LG95),ISNUMBER(LE95)),LG95-LE95,"")</f>
        <v>0</v>
      </c>
      <c r="LG95" s="39">
        <f>IF(COUNT(LG96:LG97)=0,"",SUM(LG96:LG97))</f>
        <v>0</v>
      </c>
    </row>
    <row r="96" spans="1:322" hidden="1">
      <c r="B96" s="23"/>
      <c r="C96" s="31" t="s">
        <v>783</v>
      </c>
      <c r="D96" s="31" t="s">
        <v>835</v>
      </c>
      <c r="E96" s="32" t="s">
        <v>1036</v>
      </c>
      <c r="I96" s="33"/>
      <c r="J96" s="34">
        <f>IF(AND(ISNUMBER(K96),ISNUMBER(I96)),K96-I96,"")</f>
        <v>0</v>
      </c>
      <c r="K96" s="33"/>
      <c r="L96" s="34">
        <f>IF(AND(ISNUMBER(M96),ISNUMBER(K96)),M96-K96,"")</f>
        <v>0</v>
      </c>
      <c r="M96" s="33"/>
      <c r="N96" s="34">
        <f>IF(AND(ISNUMBER(O96),ISNUMBER(M96)),O96-M96,"")</f>
        <v>0</v>
      </c>
      <c r="O96" s="33"/>
      <c r="P96" s="34">
        <f>IF(AND(ISNUMBER(Q96),ISNUMBER(O96)),Q96-O96,"")</f>
        <v>0</v>
      </c>
      <c r="Q96" s="33"/>
      <c r="R96" s="34">
        <f>IF(AND(ISNUMBER(S96),ISNUMBER(Q96)),S96-Q96,"")</f>
        <v>0</v>
      </c>
      <c r="S96" s="33"/>
      <c r="T96" s="34">
        <f>IF(AND(ISNUMBER(U96),ISNUMBER(S96)),U96-S96,"")</f>
        <v>0</v>
      </c>
      <c r="U96" s="33"/>
      <c r="V96" s="34">
        <f>IF(AND(ISNUMBER(W96),ISNUMBER(U96)),W96-U96,"")</f>
        <v>0</v>
      </c>
      <c r="W96" s="33"/>
      <c r="X96" s="34">
        <f>IF(AND(ISNUMBER(Y96),ISNUMBER(W96)),Y96-W96,"")</f>
        <v>0</v>
      </c>
      <c r="Y96" s="33"/>
      <c r="Z96" s="34">
        <f>IF(AND(ISNUMBER(AA96),ISNUMBER(Y96)),AA96-Y96,"")</f>
        <v>0</v>
      </c>
      <c r="AA96" s="33"/>
      <c r="AB96" s="34">
        <f>IF(AND(ISNUMBER(AC96),ISNUMBER(AA96)),AC96-AA96,"")</f>
        <v>0</v>
      </c>
      <c r="AC96" s="33"/>
      <c r="AD96" s="34">
        <f>IF(AND(ISNUMBER(AE96),ISNUMBER(AC96)),AE96-AC96,"")</f>
        <v>0</v>
      </c>
      <c r="AE96" s="33"/>
      <c r="AF96" s="34">
        <f>IF(AND(ISNUMBER(AG96),ISNUMBER(AE96)),AG96-AE96,"")</f>
        <v>0</v>
      </c>
      <c r="AG96" s="33"/>
      <c r="AH96" s="34">
        <f>IF(AND(ISNUMBER(AI96),ISNUMBER(AG96)),AI96-AG96,"")</f>
        <v>0</v>
      </c>
      <c r="AI96" s="33"/>
      <c r="AJ96" s="34">
        <f>IF(AND(ISNUMBER(AK96),ISNUMBER(AI96)),AK96-AI96,"")</f>
        <v>0</v>
      </c>
      <c r="AK96" s="33"/>
      <c r="AL96" s="34">
        <f>IF(AND(ISNUMBER(AM96),ISNUMBER(AK96)),AM96-AK96,"")</f>
        <v>0</v>
      </c>
      <c r="AM96" s="33"/>
      <c r="AN96" s="34">
        <f>IF(AND(ISNUMBER(AO96),ISNUMBER(AM96)),AO96-AM96,"")</f>
        <v>0</v>
      </c>
      <c r="AO96" s="33"/>
      <c r="AP96" s="34">
        <f>IF(AND(ISNUMBER(AQ96),ISNUMBER(AO96)),AQ96-AO96,"")</f>
        <v>0</v>
      </c>
      <c r="AQ96" s="33"/>
      <c r="AR96" s="34">
        <f>IF(AND(ISNUMBER(AS96),ISNUMBER(AQ96)),AS96-AQ96,"")</f>
        <v>0</v>
      </c>
      <c r="AS96" s="33"/>
      <c r="AT96" s="34">
        <f>IF(AND(ISNUMBER(AU96),ISNUMBER(AS96)),AU96-AS96,"")</f>
        <v>0</v>
      </c>
      <c r="AU96" s="33"/>
      <c r="AV96" s="34">
        <f>IF(AND(ISNUMBER(AW96),ISNUMBER(AU96)),AW96-AU96,"")</f>
        <v>0</v>
      </c>
      <c r="AW96" s="33"/>
      <c r="AX96" s="34">
        <f>IF(AND(ISNUMBER(AY96),ISNUMBER(AW96)),AY96-AW96,"")</f>
        <v>0</v>
      </c>
      <c r="AY96" s="33"/>
      <c r="AZ96" s="34">
        <f>IF(AND(ISNUMBER(BA96),ISNUMBER(AY96)),BA96-AY96,"")</f>
        <v>0</v>
      </c>
      <c r="BA96" s="33"/>
      <c r="BB96" s="34">
        <f>IF(AND(ISNUMBER(BC96),ISNUMBER(BA96)),BC96-BA96,"")</f>
        <v>0</v>
      </c>
      <c r="BC96" s="33"/>
      <c r="BD96" s="34">
        <f>IF(AND(ISNUMBER(BE96),ISNUMBER(BC96)),BE96-BC96,"")</f>
        <v>0</v>
      </c>
      <c r="BE96" s="33"/>
      <c r="BF96" s="34">
        <f>IF(AND(ISNUMBER(BG96),ISNUMBER(BE96)),BG96-BE96,"")</f>
        <v>0</v>
      </c>
      <c r="BG96" s="33"/>
      <c r="BH96" s="34">
        <f>IF(AND(ISNUMBER(BI96),ISNUMBER(BG96)),BI96-BG96,"")</f>
        <v>0</v>
      </c>
      <c r="BI96" s="33"/>
      <c r="BJ96" s="34">
        <f>IF(AND(ISNUMBER(BK96),ISNUMBER(BI96)),BK96-BI96,"")</f>
        <v>0</v>
      </c>
      <c r="BK96" s="33"/>
      <c r="BL96" s="34">
        <f>IF(AND(ISNUMBER(BM96),ISNUMBER(BK96)),BM96-BK96,"")</f>
        <v>0</v>
      </c>
      <c r="BM96" s="33"/>
      <c r="BN96" s="34">
        <f>IF(AND(ISNUMBER(BO96),ISNUMBER(BM96)),BO96-BM96,"")</f>
        <v>0</v>
      </c>
      <c r="BO96" s="33"/>
      <c r="BP96" s="34">
        <f>IF(AND(ISNUMBER(BQ96),ISNUMBER(BO96)),BQ96-BO96,"")</f>
        <v>0</v>
      </c>
      <c r="BQ96" s="33"/>
      <c r="BR96" s="34">
        <f>IF(AND(ISNUMBER(BS96),ISNUMBER(BQ96)),BS96-BQ96,"")</f>
        <v>0</v>
      </c>
      <c r="BS96" s="33"/>
      <c r="BT96" s="34">
        <f>IF(AND(ISNUMBER(BU96),ISNUMBER(BS96)),BU96-BS96,"")</f>
        <v>0</v>
      </c>
      <c r="BU96" s="33"/>
      <c r="BV96" s="34">
        <f>IF(AND(ISNUMBER(BW96),ISNUMBER(BU96)),BW96-BU96,"")</f>
        <v>0</v>
      </c>
      <c r="BW96" s="33"/>
      <c r="BX96" s="34">
        <f>IF(AND(ISNUMBER(BY96),ISNUMBER(BW96)),BY96-BW96,"")</f>
        <v>0</v>
      </c>
      <c r="BY96" s="33"/>
      <c r="BZ96" s="34">
        <f>IF(AND(ISNUMBER(CA96),ISNUMBER(BY96)),CA96-BY96,"")</f>
        <v>0</v>
      </c>
      <c r="CA96" s="33"/>
      <c r="CB96" s="34">
        <f>IF(AND(ISNUMBER(CC96),ISNUMBER(CA96)),CC96-CA96,"")</f>
        <v>0</v>
      </c>
      <c r="CC96" s="33"/>
      <c r="CD96" s="34">
        <f>IF(AND(ISNUMBER(CE96),ISNUMBER(CC96)),CE96-CC96,"")</f>
        <v>0</v>
      </c>
      <c r="CE96" s="33"/>
      <c r="CF96" s="34">
        <f>IF(AND(ISNUMBER(CG96),ISNUMBER(CE96)),CG96-CE96,"")</f>
        <v>0</v>
      </c>
      <c r="CG96" s="33"/>
      <c r="CH96" s="34">
        <f>IF(AND(ISNUMBER(CI96),ISNUMBER(CG96)),CI96-CG96,"")</f>
        <v>0</v>
      </c>
      <c r="CI96" s="33"/>
      <c r="CJ96" s="34">
        <f>IF(AND(ISNUMBER(CK96),ISNUMBER(CI96)),CK96-CI96,"")</f>
        <v>0</v>
      </c>
      <c r="CK96" s="33"/>
      <c r="CL96" s="34">
        <f>IF(AND(ISNUMBER(CM96),ISNUMBER(CK96)),CM96-CK96,"")</f>
        <v>0</v>
      </c>
      <c r="CM96" s="33"/>
      <c r="CN96" s="34">
        <f>IF(AND(ISNUMBER(CO96),ISNUMBER(CM96)),CO96-CM96,"")</f>
        <v>0</v>
      </c>
      <c r="CO96" s="33"/>
      <c r="CP96" s="34">
        <f>IF(AND(ISNUMBER(CQ96),ISNUMBER(CO96)),CQ96-CO96,"")</f>
        <v>0</v>
      </c>
      <c r="CQ96" s="33"/>
      <c r="CR96" s="34">
        <f>IF(AND(ISNUMBER(CS96),ISNUMBER(CQ96)),CS96-CQ96,"")</f>
        <v>0</v>
      </c>
      <c r="CS96" s="33"/>
      <c r="CT96" s="34">
        <f>IF(AND(ISNUMBER(CU96),ISNUMBER(CS96)),CU96-CS96,"")</f>
        <v>0</v>
      </c>
      <c r="CU96" s="33"/>
      <c r="CV96" s="34">
        <f>IF(AND(ISNUMBER(CW96),ISNUMBER(CU96)),CW96-CU96,"")</f>
        <v>0</v>
      </c>
      <c r="CW96" s="33"/>
      <c r="CX96" s="34">
        <f>IF(AND(ISNUMBER(CY96),ISNUMBER(CW96)),CY96-CW96,"")</f>
        <v>0</v>
      </c>
      <c r="CY96" s="33"/>
      <c r="CZ96" s="34">
        <f>IF(AND(ISNUMBER(DA96),ISNUMBER(CY96)),DA96-CY96,"")</f>
        <v>0</v>
      </c>
      <c r="DA96" s="33"/>
      <c r="DB96" s="34">
        <f>IF(AND(ISNUMBER(DC96),ISNUMBER(DA96)),DC96-DA96,"")</f>
        <v>0</v>
      </c>
      <c r="DC96" s="33"/>
      <c r="DD96" s="34">
        <f>IF(AND(ISNUMBER(DE96),ISNUMBER(DC96)),DE96-DC96,"")</f>
        <v>0</v>
      </c>
      <c r="DE96" s="33">
        <v>1328</v>
      </c>
      <c r="DF96" s="34">
        <f>IF(AND(ISNUMBER(DG96),ISNUMBER(DE96)),DG96-DE96,"")</f>
        <v>0</v>
      </c>
      <c r="DG96" s="33">
        <v>1189</v>
      </c>
      <c r="DH96" s="34">
        <f>IF(AND(ISNUMBER(DI96),ISNUMBER(DG96)),DI96-DG96,"")</f>
        <v>0</v>
      </c>
      <c r="DI96" s="33">
        <v>1856</v>
      </c>
      <c r="DJ96" s="34">
        <f>IF(AND(ISNUMBER(DK96),ISNUMBER(DI96)),DK96-DI96,"")</f>
        <v>0</v>
      </c>
      <c r="DK96" s="33">
        <v>1554</v>
      </c>
      <c r="DL96" s="34">
        <f>IF(AND(ISNUMBER(DM96),ISNUMBER(DK96)),DM96-DK96,"")</f>
        <v>0</v>
      </c>
      <c r="DM96" s="33"/>
      <c r="DN96" s="34">
        <f>IF(AND(ISNUMBER(DO96),ISNUMBER(DM96)),DO96-DM96,"")</f>
        <v>0</v>
      </c>
      <c r="DO96" s="33">
        <v>1687</v>
      </c>
      <c r="DP96" s="34">
        <f>IF(AND(ISNUMBER(DQ96),ISNUMBER(DO96)),DQ96-DO96,"")</f>
        <v>0</v>
      </c>
      <c r="DQ96" s="33">
        <v>1464</v>
      </c>
      <c r="DR96" s="34">
        <f>IF(AND(ISNUMBER(DS96),ISNUMBER(DQ96)),DS96-DQ96,"")</f>
        <v>0</v>
      </c>
      <c r="DS96" s="33">
        <v>2049</v>
      </c>
      <c r="DT96" s="34">
        <f>IF(AND(ISNUMBER(DU96),ISNUMBER(DS96)),DU96-DS96,"")</f>
        <v>0</v>
      </c>
      <c r="DU96" s="33">
        <v>1440</v>
      </c>
      <c r="DV96" s="34">
        <f>IF(AND(ISNUMBER(DW96),ISNUMBER(DU96)),DW96-DU96,"")</f>
        <v>0</v>
      </c>
      <c r="DW96" s="33">
        <v>1581</v>
      </c>
      <c r="DX96" s="34">
        <f>IF(AND(ISNUMBER(DY96),ISNUMBER(DW96)),DY96-DW96,"")</f>
        <v>0</v>
      </c>
      <c r="DY96" s="33">
        <v>1554</v>
      </c>
      <c r="DZ96" s="34">
        <f>IF(AND(ISNUMBER(EA96),ISNUMBER(DY96)),EA96-DY96,"")</f>
        <v>0</v>
      </c>
      <c r="EA96" s="33">
        <v>1442</v>
      </c>
      <c r="EB96" s="34">
        <f>IF(AND(ISNUMBER(EC96),ISNUMBER(EA96)),EC96-EA96,"")</f>
        <v>0</v>
      </c>
      <c r="EC96" s="33">
        <v>1059</v>
      </c>
      <c r="ED96" s="34">
        <f>IF(AND(ISNUMBER(EE96),ISNUMBER(EC96)),EE96-EC96,"")</f>
        <v>0</v>
      </c>
      <c r="EE96" s="33">
        <v>996</v>
      </c>
      <c r="EF96" s="34">
        <f>IF(AND(ISNUMBER(EG96),ISNUMBER(EE96)),EG96-EE96,"")</f>
        <v>0</v>
      </c>
      <c r="EG96" s="33">
        <v>1193</v>
      </c>
      <c r="EH96" s="34">
        <f>IF(AND(ISNUMBER(EI96),ISNUMBER(EG96)),EI96-EG96,"")</f>
        <v>0</v>
      </c>
      <c r="EI96" s="33">
        <v>1254</v>
      </c>
      <c r="EJ96" s="34">
        <f>IF(AND(ISNUMBER(EK96),ISNUMBER(EI96)),EK96-EI96,"")</f>
        <v>0</v>
      </c>
      <c r="EK96" s="33">
        <v>1218</v>
      </c>
      <c r="EL96" s="34">
        <f>IF(AND(ISNUMBER(EM96),ISNUMBER(EK96)),EM96-EK96,"")</f>
        <v>0</v>
      </c>
      <c r="EM96" s="33">
        <v>1100</v>
      </c>
      <c r="EN96" s="34">
        <f>IF(AND(ISNUMBER(EO96),ISNUMBER(EM96)),EO96-EM96,"")</f>
        <v>0</v>
      </c>
      <c r="EO96" s="33">
        <v>776</v>
      </c>
      <c r="EP96" s="34">
        <f>IF(AND(ISNUMBER(EQ96),ISNUMBER(EO96)),EQ96-EO96,"")</f>
        <v>0</v>
      </c>
      <c r="EQ96" s="33">
        <v>1560</v>
      </c>
      <c r="ER96" s="34">
        <f>IF(AND(ISNUMBER(ES96),ISNUMBER(EQ96)),ES96-EQ96,"")</f>
        <v>0</v>
      </c>
      <c r="ES96" s="33">
        <v>1262</v>
      </c>
      <c r="ET96" s="34">
        <f>IF(AND(ISNUMBER(EU96),ISNUMBER(ES96)),EU96-ES96,"")</f>
        <v>0</v>
      </c>
      <c r="EU96" s="33">
        <v>992</v>
      </c>
      <c r="EV96" s="34">
        <f>IF(AND(ISNUMBER(EW96),ISNUMBER(EU96)),EW96-EU96,"")</f>
        <v>0</v>
      </c>
      <c r="EW96" s="33">
        <v>1177</v>
      </c>
      <c r="EX96" s="34">
        <f>IF(AND(ISNUMBER(EY96),ISNUMBER(EW96)),EY96-EW96,"")</f>
        <v>0</v>
      </c>
      <c r="EY96" s="33">
        <v>1204</v>
      </c>
      <c r="EZ96" s="34">
        <f>IF(AND(ISNUMBER(FA96),ISNUMBER(EY96)),FA96-EY96,"")</f>
        <v>0</v>
      </c>
      <c r="FA96" s="33">
        <v>1566</v>
      </c>
      <c r="FB96" s="34">
        <f>IF(AND(ISNUMBER(FC96),ISNUMBER(FA96)),FC96-FA96,"")</f>
        <v>0</v>
      </c>
      <c r="FC96" s="33">
        <v>1318</v>
      </c>
      <c r="FD96" s="34">
        <f>IF(AND(ISNUMBER(FE96),ISNUMBER(FC96)),FE96-FC96,"")</f>
        <v>0</v>
      </c>
      <c r="FE96" s="33">
        <v>1582</v>
      </c>
      <c r="FF96" s="34">
        <f>IF(AND(ISNUMBER(FG96),ISNUMBER(FE96)),FG96-FE96,"")</f>
        <v>0</v>
      </c>
      <c r="FG96" s="33">
        <v>1238</v>
      </c>
      <c r="FH96" s="34">
        <f>IF(AND(ISNUMBER(FI96),ISNUMBER(FG96)),FI96-FG96,"")</f>
        <v>0</v>
      </c>
      <c r="FI96" s="33">
        <v>1110</v>
      </c>
      <c r="FJ96" s="34">
        <f>IF(AND(ISNUMBER(FK96),ISNUMBER(FI96)),FK96-FI96,"")</f>
        <v>0</v>
      </c>
      <c r="FK96" s="33">
        <v>1209</v>
      </c>
      <c r="FL96" s="34">
        <f>IF(AND(ISNUMBER(FM96),ISNUMBER(FK96)),FM96-FK96,"")</f>
        <v>0</v>
      </c>
      <c r="FM96" s="33">
        <v>1136</v>
      </c>
      <c r="FN96" s="34">
        <f>IF(AND(ISNUMBER(FO96),ISNUMBER(FM96)),FO96-FM96,"")</f>
        <v>0</v>
      </c>
      <c r="FO96" s="33">
        <v>1206</v>
      </c>
      <c r="FP96" s="34">
        <f>IF(AND(ISNUMBER(FQ96),ISNUMBER(FO96)),FQ96-FO96,"")</f>
        <v>0</v>
      </c>
      <c r="FQ96" s="33">
        <v>1136</v>
      </c>
      <c r="FR96" s="34">
        <f>IF(AND(ISNUMBER(FS96),ISNUMBER(FQ96)),FS96-FQ96,"")</f>
        <v>0</v>
      </c>
      <c r="FS96" s="33">
        <v>1213</v>
      </c>
      <c r="FT96" s="34">
        <f>IF(AND(ISNUMBER(FU96),ISNUMBER(FS96)),FU96-FS96,"")</f>
        <v>0</v>
      </c>
      <c r="FU96" s="33">
        <v>1099</v>
      </c>
      <c r="FV96" s="34">
        <f>IF(AND(ISNUMBER(FW96),ISNUMBER(FU96)),FW96-FU96,"")</f>
        <v>0</v>
      </c>
      <c r="FW96" s="33">
        <v>1274</v>
      </c>
      <c r="FX96" s="34">
        <f>IF(AND(ISNUMBER(FY96),ISNUMBER(FW96)),FY96-FW96,"")</f>
        <v>0</v>
      </c>
      <c r="FY96" s="33">
        <v>979</v>
      </c>
      <c r="FZ96" s="34">
        <f>IF(AND(ISNUMBER(GA96),ISNUMBER(FY96)),GA96-FY96,"")</f>
        <v>0</v>
      </c>
      <c r="GA96" s="33">
        <v>1139</v>
      </c>
      <c r="GB96" s="34">
        <f>IF(AND(ISNUMBER(GC96),ISNUMBER(GA96)),GC96-GA96,"")</f>
        <v>0</v>
      </c>
      <c r="GC96" s="33">
        <v>1336</v>
      </c>
      <c r="GD96" s="34">
        <f>IF(AND(ISNUMBER(GE96),ISNUMBER(GC96)),GE96-GC96,"")</f>
        <v>0</v>
      </c>
      <c r="GE96" s="33">
        <v>1166</v>
      </c>
      <c r="GF96" s="34">
        <f>IF(AND(ISNUMBER(GG96),ISNUMBER(GE96)),GG96-GE96,"")</f>
        <v>0</v>
      </c>
      <c r="GG96" s="33">
        <v>1648</v>
      </c>
      <c r="GH96" s="34">
        <f>IF(AND(ISNUMBER(GI96),ISNUMBER(GG96)),GI96-GG96,"")</f>
        <v>0</v>
      </c>
      <c r="GI96" s="33">
        <v>1174</v>
      </c>
      <c r="GJ96" s="34">
        <f>IF(AND(ISNUMBER(GK96),ISNUMBER(GI96)),GK96-GI96,"")</f>
        <v>0</v>
      </c>
      <c r="GK96" s="33">
        <v>1360</v>
      </c>
      <c r="GL96" s="34">
        <f>IF(AND(ISNUMBER(GM96),ISNUMBER(GK96)),GM96-GK96,"")</f>
        <v>0</v>
      </c>
      <c r="GM96" s="33">
        <v>1321</v>
      </c>
      <c r="GN96" s="34">
        <f>IF(AND(ISNUMBER(GO96),ISNUMBER(GM96)),GO96-GM96,"")</f>
        <v>0</v>
      </c>
      <c r="GO96" s="33">
        <v>1069</v>
      </c>
      <c r="GP96" s="34">
        <f>IF(AND(ISNUMBER(GQ96),ISNUMBER(GO96)),GQ96-GO96,"")</f>
        <v>0</v>
      </c>
      <c r="GQ96" s="33">
        <v>1546</v>
      </c>
      <c r="GR96" s="34">
        <f>IF(AND(ISNUMBER(GS96),ISNUMBER(GQ96)),GS96-GQ96,"")</f>
        <v>0</v>
      </c>
      <c r="GS96" s="33">
        <v>1089</v>
      </c>
      <c r="GT96" s="34">
        <f>IF(AND(ISNUMBER(GU96),ISNUMBER(GS96)),GU96-GS96,"")</f>
        <v>0</v>
      </c>
      <c r="GU96" s="33">
        <v>1181</v>
      </c>
      <c r="GV96" s="34">
        <f>IF(AND(ISNUMBER(GW96),ISNUMBER(GU96)),GW96-GU96,"")</f>
        <v>0</v>
      </c>
      <c r="GW96" s="33">
        <v>332</v>
      </c>
      <c r="GX96" s="34">
        <f>IF(AND(ISNUMBER(GY96),ISNUMBER(GW96)),GY96-GW96,"")</f>
        <v>0</v>
      </c>
      <c r="GY96" s="33">
        <v>0</v>
      </c>
      <c r="GZ96" s="34">
        <f>IF(AND(ISNUMBER(HA96),ISNUMBER(GY96)),HA96-GY96,"")</f>
        <v>0</v>
      </c>
      <c r="HA96" s="33">
        <v>1824</v>
      </c>
      <c r="HB96" s="34">
        <f>IF(AND(ISNUMBER(HC96),ISNUMBER(HA96)),HC96-HA96,"")</f>
        <v>0</v>
      </c>
      <c r="HC96" s="33">
        <v>1458</v>
      </c>
      <c r="HD96" s="34">
        <f>IF(AND(ISNUMBER(HE96),ISNUMBER(HC96)),HE96-HC96,"")</f>
        <v>0</v>
      </c>
      <c r="HE96" s="33">
        <v>1337</v>
      </c>
      <c r="HF96" s="34">
        <f>IF(AND(ISNUMBER(HG96),ISNUMBER(HE96)),HG96-HE96,"")</f>
        <v>0</v>
      </c>
      <c r="HG96" s="33">
        <v>1408</v>
      </c>
      <c r="HH96" s="34">
        <f>IF(AND(ISNUMBER(HI96),ISNUMBER(HG96)),HI96-HG96,"")</f>
        <v>0</v>
      </c>
      <c r="HI96" s="33">
        <v>1389</v>
      </c>
      <c r="HJ96" s="34">
        <f>IF(AND(ISNUMBER(HK96),ISNUMBER(HI96)),HK96-HI96,"")</f>
        <v>0</v>
      </c>
      <c r="HK96" s="33">
        <v>1265</v>
      </c>
      <c r="HL96" s="34">
        <f>IF(AND(ISNUMBER(HM96),ISNUMBER(HK96)),HM96-HK96,"")</f>
        <v>0</v>
      </c>
      <c r="HM96" s="33">
        <v>1273</v>
      </c>
      <c r="HN96" s="34">
        <f>IF(AND(ISNUMBER(HO96),ISNUMBER(HM96)),HO96-HM96,"")</f>
        <v>0</v>
      </c>
      <c r="HO96" s="33">
        <v>1321</v>
      </c>
      <c r="HP96" s="34">
        <f>IF(AND(ISNUMBER(HQ96),ISNUMBER(HO96)),HQ96-HO96,"")</f>
        <v>0</v>
      </c>
      <c r="HQ96" s="33">
        <v>1572</v>
      </c>
      <c r="HR96" s="34">
        <f>IF(AND(ISNUMBER(HS96),ISNUMBER(HQ96)),HS96-HQ96,"")</f>
        <v>0</v>
      </c>
      <c r="HS96" s="33">
        <v>1824</v>
      </c>
      <c r="HT96" s="34">
        <f>IF(AND(ISNUMBER(HU96),ISNUMBER(HS96)),HU96-HS96,"")</f>
        <v>0</v>
      </c>
      <c r="HU96" s="33">
        <v>1589</v>
      </c>
      <c r="HV96" s="34">
        <f>IF(AND(ISNUMBER(HW96),ISNUMBER(HU96)),HW96-HU96,"")</f>
        <v>0</v>
      </c>
      <c r="HW96" s="33">
        <v>1408</v>
      </c>
      <c r="HX96" s="34">
        <f>IF(AND(ISNUMBER(HY96),ISNUMBER(HW96)),HY96-HW96,"")</f>
        <v>0</v>
      </c>
      <c r="HY96" s="33">
        <v>1216</v>
      </c>
      <c r="HZ96" s="34">
        <f>IF(AND(ISNUMBER(IA96),ISNUMBER(HY96)),IA96-HY96,"")</f>
        <v>0</v>
      </c>
      <c r="IA96" s="33">
        <v>1627</v>
      </c>
      <c r="IB96" s="34">
        <f>IF(AND(ISNUMBER(IC96),ISNUMBER(IA96)),IC96-IA96,"")</f>
        <v>0</v>
      </c>
      <c r="IC96" s="33">
        <v>1777</v>
      </c>
      <c r="ID96" s="34">
        <f>IF(AND(ISNUMBER(IE96),ISNUMBER(IC96)),IE96-IC96,"")</f>
        <v>0</v>
      </c>
      <c r="IE96" s="33">
        <v>1380</v>
      </c>
      <c r="IF96" s="34">
        <f>IF(AND(ISNUMBER(IG96),ISNUMBER(IE96)),IG96-IE96,"")</f>
        <v>0</v>
      </c>
      <c r="IG96" s="33">
        <v>1590</v>
      </c>
      <c r="IH96" s="34">
        <f>IF(AND(ISNUMBER(II96),ISNUMBER(IG96)),II96-IG96,"")</f>
        <v>0</v>
      </c>
      <c r="II96" s="33">
        <v>1133</v>
      </c>
      <c r="IJ96" s="34">
        <f>IF(AND(ISNUMBER(IK96),ISNUMBER(II96)),IK96-II96,"")</f>
        <v>0</v>
      </c>
      <c r="IK96" s="33">
        <v>1522</v>
      </c>
      <c r="IL96" s="34">
        <f>IF(AND(ISNUMBER(IM96),ISNUMBER(IK96)),IM96-IK96,"")</f>
        <v>0</v>
      </c>
      <c r="IM96" s="33">
        <v>1090</v>
      </c>
      <c r="IN96" s="34">
        <f>IF(AND(ISNUMBER(IO96),ISNUMBER(IM96)),IO96-IM96,"")</f>
        <v>0</v>
      </c>
      <c r="IO96" s="33">
        <v>415</v>
      </c>
      <c r="IP96" s="34">
        <f>IF(AND(ISNUMBER(IQ96),ISNUMBER(IO96)),IQ96-IO96,"")</f>
        <v>0</v>
      </c>
      <c r="IQ96" s="33">
        <v>889</v>
      </c>
      <c r="IR96" s="34">
        <f>IF(AND(ISNUMBER(IS96),ISNUMBER(IQ96)),IS96-IQ96,"")</f>
        <v>0</v>
      </c>
      <c r="IS96" s="33">
        <v>702</v>
      </c>
      <c r="IT96" s="34">
        <f>IF(AND(ISNUMBER(IU96),ISNUMBER(IS96)),IU96-IS96,"")</f>
        <v>0</v>
      </c>
      <c r="IU96" s="33">
        <v>635</v>
      </c>
      <c r="IV96" s="34">
        <f>IF(AND(ISNUMBER(IW96),ISNUMBER(IU96)),IW96-IU96,"")</f>
        <v>0</v>
      </c>
      <c r="IW96" s="33">
        <v>1199</v>
      </c>
      <c r="IX96" s="34">
        <f>IF(AND(ISNUMBER(IY96),ISNUMBER(IW96)),IY96-IW96,"")</f>
        <v>0</v>
      </c>
      <c r="IY96" s="33">
        <v>1199</v>
      </c>
      <c r="IZ96" s="34">
        <f>IF(AND(ISNUMBER(JA96),ISNUMBER(IY96)),JA96-IY96,"")</f>
        <v>0</v>
      </c>
      <c r="JA96" s="33">
        <v>1727</v>
      </c>
      <c r="JB96" s="34">
        <f>IF(AND(ISNUMBER(JC96),ISNUMBER(JA96)),JC96-JA96,"")</f>
        <v>0</v>
      </c>
      <c r="JC96" s="33">
        <v>1608</v>
      </c>
      <c r="JD96" s="34">
        <f>IF(AND(ISNUMBER(JE96),ISNUMBER(JC96)),JE96-JC96,"")</f>
        <v>0</v>
      </c>
      <c r="JE96" s="33">
        <v>1682</v>
      </c>
      <c r="JF96" s="34">
        <f>IF(AND(ISNUMBER(JG96),ISNUMBER(JE96)),JG96-JE96,"")</f>
        <v>0</v>
      </c>
      <c r="JG96" s="33">
        <v>1465</v>
      </c>
      <c r="JH96" s="34">
        <f>IF(AND(ISNUMBER(JI96),ISNUMBER(JG96)),JI96-JG96,"")</f>
        <v>0</v>
      </c>
      <c r="JI96" s="33">
        <v>1266</v>
      </c>
      <c r="JJ96" s="34">
        <f>IF(AND(ISNUMBER(JK96),ISNUMBER(JI96)),JK96-JI96,"")</f>
        <v>0</v>
      </c>
      <c r="JK96" s="33">
        <v>2149</v>
      </c>
      <c r="JL96" s="34">
        <f>IF(AND(ISNUMBER(JM96),ISNUMBER(JK96)),JM96-JK96,"")</f>
        <v>0</v>
      </c>
      <c r="JM96" s="33">
        <v>1919</v>
      </c>
      <c r="JN96" s="34">
        <f>IF(AND(ISNUMBER(JO96),ISNUMBER(JM96)),JO96-JM96,"")</f>
        <v>0</v>
      </c>
      <c r="JO96" s="33">
        <v>1692</v>
      </c>
      <c r="JP96" s="34">
        <f>IF(AND(ISNUMBER(JQ96),ISNUMBER(JO96)),JQ96-JO96,"")</f>
        <v>0</v>
      </c>
      <c r="JQ96" s="33">
        <v>2087</v>
      </c>
      <c r="JR96" s="34">
        <f>IF(AND(ISNUMBER(JS96),ISNUMBER(JQ96)),JS96-JQ96,"")</f>
        <v>0</v>
      </c>
      <c r="JS96" s="33">
        <v>1264</v>
      </c>
      <c r="JT96" s="34">
        <f>IF(AND(ISNUMBER(JU96),ISNUMBER(JS96)),JU96-JS96,"")</f>
        <v>0</v>
      </c>
      <c r="JU96" s="33">
        <v>714</v>
      </c>
      <c r="JV96" s="34">
        <f>IF(AND(ISNUMBER(JW96),ISNUMBER(JU96)),JW96-JU96,"")</f>
        <v>0</v>
      </c>
      <c r="JW96" s="33">
        <v>925</v>
      </c>
      <c r="JX96" s="34">
        <f>IF(AND(ISNUMBER(JY96),ISNUMBER(JW96)),JY96-JW96,"")</f>
        <v>0</v>
      </c>
      <c r="JY96" s="33"/>
      <c r="JZ96" s="34">
        <f>IF(AND(ISNUMBER(KA96),ISNUMBER(JY96)),KA96-JY96,"")</f>
        <v>0</v>
      </c>
      <c r="KA96" s="33"/>
      <c r="KB96" s="34">
        <f>IF(AND(ISNUMBER(KC96),ISNUMBER(KA96)),KC96-KA96,"")</f>
        <v>0</v>
      </c>
      <c r="KC96" s="33"/>
      <c r="KD96" s="34">
        <f>IF(AND(ISNUMBER(KE96),ISNUMBER(KC96)),KE96-KC96,"")</f>
        <v>0</v>
      </c>
      <c r="KE96" s="33"/>
      <c r="KF96" s="34">
        <f>IF(AND(ISNUMBER(KG96),ISNUMBER(KE96)),KG96-KE96,"")</f>
        <v>0</v>
      </c>
      <c r="KG96" s="33"/>
      <c r="KH96" s="34">
        <f>IF(AND(ISNUMBER(KI96),ISNUMBER(KG96)),KI96-KG96,"")</f>
        <v>0</v>
      </c>
      <c r="KI96" s="33"/>
      <c r="KJ96" s="34">
        <f>IF(AND(ISNUMBER(KK96),ISNUMBER(KI96)),KK96-KI96,"")</f>
        <v>0</v>
      </c>
      <c r="KK96" s="33"/>
      <c r="KL96" s="34">
        <f>IF(AND(ISNUMBER(KM96),ISNUMBER(KK96)),KM96-KK96,"")</f>
        <v>0</v>
      </c>
      <c r="KM96" s="33"/>
      <c r="KN96" s="34">
        <f>IF(AND(ISNUMBER(KO96),ISNUMBER(KM96)),KO96-KM96,"")</f>
        <v>0</v>
      </c>
      <c r="KO96" s="33"/>
      <c r="KP96" s="34">
        <f>IF(AND(ISNUMBER(KQ96),ISNUMBER(KO96)),KQ96-KO96,"")</f>
        <v>0</v>
      </c>
      <c r="KQ96" s="33"/>
      <c r="KR96" s="34">
        <f>IF(AND(ISNUMBER(KS96),ISNUMBER(KQ96)),KS96-KQ96,"")</f>
        <v>0</v>
      </c>
      <c r="KS96" s="33"/>
      <c r="KT96" s="34">
        <f>IF(AND(ISNUMBER(KU96),ISNUMBER(KS96)),KU96-KS96,"")</f>
        <v>0</v>
      </c>
      <c r="KU96" s="33"/>
      <c r="KV96" s="34">
        <f>IF(AND(ISNUMBER(KW96),ISNUMBER(KU96)),KW96-KU96,"")</f>
        <v>0</v>
      </c>
      <c r="KW96" s="33"/>
      <c r="KX96" s="34">
        <f>IF(AND(ISNUMBER(KY96),ISNUMBER(KW96)),KY96-KW96,"")</f>
        <v>0</v>
      </c>
      <c r="KY96" s="33"/>
      <c r="KZ96" s="34">
        <f>IF(AND(ISNUMBER(LA96),ISNUMBER(KY96)),LA96-KY96,"")</f>
        <v>0</v>
      </c>
      <c r="LA96" s="33"/>
      <c r="LB96" s="34">
        <f>IF(AND(ISNUMBER(LC96),ISNUMBER(LA96)),LC96-LA96,"")</f>
        <v>0</v>
      </c>
      <c r="LC96" s="33"/>
      <c r="LD96" s="34">
        <f>IF(AND(ISNUMBER(LE96),ISNUMBER(LC96)),LE96-LC96,"")</f>
        <v>0</v>
      </c>
      <c r="LE96" s="33"/>
      <c r="LF96" s="34">
        <f>IF(AND(ISNUMBER(LG96),ISNUMBER(LE96)),LG96-LE96,"")</f>
        <v>0</v>
      </c>
      <c r="LG96" s="33"/>
    </row>
    <row r="97" spans="1:322" hidden="1">
      <c r="B97" s="23"/>
      <c r="C97" s="31" t="s">
        <v>783</v>
      </c>
      <c r="D97" s="31" t="s">
        <v>1119</v>
      </c>
      <c r="E97" s="32" t="s">
        <v>1036</v>
      </c>
      <c r="I97" s="33">
        <v>3691</v>
      </c>
      <c r="J97" s="34">
        <f>IF(AND(ISNUMBER(K97),ISNUMBER(I97)),K97-I97,"")</f>
        <v>0</v>
      </c>
      <c r="K97" s="33">
        <v>2914</v>
      </c>
      <c r="L97" s="34">
        <f>IF(AND(ISNUMBER(M97),ISNUMBER(K97)),M97-K97,"")</f>
        <v>0</v>
      </c>
      <c r="M97" s="33">
        <v>4232</v>
      </c>
      <c r="N97" s="34">
        <f>IF(AND(ISNUMBER(O97),ISNUMBER(M97)),O97-M97,"")</f>
        <v>0</v>
      </c>
      <c r="O97" s="33"/>
      <c r="P97" s="34">
        <f>IF(AND(ISNUMBER(Q97),ISNUMBER(O97)),Q97-O97,"")</f>
        <v>0</v>
      </c>
      <c r="Q97" s="33"/>
      <c r="R97" s="34">
        <f>IF(AND(ISNUMBER(S97),ISNUMBER(Q97)),S97-Q97,"")</f>
        <v>0</v>
      </c>
      <c r="S97" s="33"/>
      <c r="T97" s="34">
        <f>IF(AND(ISNUMBER(U97),ISNUMBER(S97)),U97-S97,"")</f>
        <v>0</v>
      </c>
      <c r="U97" s="33"/>
      <c r="V97" s="34">
        <f>IF(AND(ISNUMBER(W97),ISNUMBER(U97)),W97-U97,"")</f>
        <v>0</v>
      </c>
      <c r="W97" s="33"/>
      <c r="X97" s="34">
        <f>IF(AND(ISNUMBER(Y97),ISNUMBER(W97)),Y97-W97,"")</f>
        <v>0</v>
      </c>
      <c r="Y97" s="33"/>
      <c r="Z97" s="34">
        <f>IF(AND(ISNUMBER(AA97),ISNUMBER(Y97)),AA97-Y97,"")</f>
        <v>0</v>
      </c>
      <c r="AA97" s="33"/>
      <c r="AB97" s="34">
        <f>IF(AND(ISNUMBER(AC97),ISNUMBER(AA97)),AC97-AA97,"")</f>
        <v>0</v>
      </c>
      <c r="AC97" s="33"/>
      <c r="AD97" s="34">
        <f>IF(AND(ISNUMBER(AE97),ISNUMBER(AC97)),AE97-AC97,"")</f>
        <v>0</v>
      </c>
      <c r="AE97" s="33"/>
      <c r="AF97" s="34">
        <f>IF(AND(ISNUMBER(AG97),ISNUMBER(AE97)),AG97-AE97,"")</f>
        <v>0</v>
      </c>
      <c r="AG97" s="33"/>
      <c r="AH97" s="34">
        <f>IF(AND(ISNUMBER(AI97),ISNUMBER(AG97)),AI97-AG97,"")</f>
        <v>0</v>
      </c>
      <c r="AI97" s="33"/>
      <c r="AJ97" s="34">
        <f>IF(AND(ISNUMBER(AK97),ISNUMBER(AI97)),AK97-AI97,"")</f>
        <v>0</v>
      </c>
      <c r="AK97" s="33"/>
      <c r="AL97" s="34">
        <f>IF(AND(ISNUMBER(AM97),ISNUMBER(AK97)),AM97-AK97,"")</f>
        <v>0</v>
      </c>
      <c r="AM97" s="33"/>
      <c r="AN97" s="34">
        <f>IF(AND(ISNUMBER(AO97),ISNUMBER(AM97)),AO97-AM97,"")</f>
        <v>0</v>
      </c>
      <c r="AO97" s="33"/>
      <c r="AP97" s="34">
        <f>IF(AND(ISNUMBER(AQ97),ISNUMBER(AO97)),AQ97-AO97,"")</f>
        <v>0</v>
      </c>
      <c r="AQ97" s="33"/>
      <c r="AR97" s="34">
        <f>IF(AND(ISNUMBER(AS97),ISNUMBER(AQ97)),AS97-AQ97,"")</f>
        <v>0</v>
      </c>
      <c r="AS97" s="33"/>
      <c r="AT97" s="34">
        <f>IF(AND(ISNUMBER(AU97),ISNUMBER(AS97)),AU97-AS97,"")</f>
        <v>0</v>
      </c>
      <c r="AU97" s="33"/>
      <c r="AV97" s="34">
        <f>IF(AND(ISNUMBER(AW97),ISNUMBER(AU97)),AW97-AU97,"")</f>
        <v>0</v>
      </c>
      <c r="AW97" s="33"/>
      <c r="AX97" s="34">
        <f>IF(AND(ISNUMBER(AY97),ISNUMBER(AW97)),AY97-AW97,"")</f>
        <v>0</v>
      </c>
      <c r="AY97" s="33"/>
      <c r="AZ97" s="34">
        <f>IF(AND(ISNUMBER(BA97),ISNUMBER(AY97)),BA97-AY97,"")</f>
        <v>0</v>
      </c>
      <c r="BA97" s="33"/>
      <c r="BB97" s="34">
        <f>IF(AND(ISNUMBER(BC97),ISNUMBER(BA97)),BC97-BA97,"")</f>
        <v>0</v>
      </c>
      <c r="BC97" s="33"/>
      <c r="BD97" s="34">
        <f>IF(AND(ISNUMBER(BE97),ISNUMBER(BC97)),BE97-BC97,"")</f>
        <v>0</v>
      </c>
      <c r="BE97" s="33"/>
      <c r="BF97" s="34">
        <f>IF(AND(ISNUMBER(BG97),ISNUMBER(BE97)),BG97-BE97,"")</f>
        <v>0</v>
      </c>
      <c r="BG97" s="33"/>
      <c r="BH97" s="34">
        <f>IF(AND(ISNUMBER(BI97),ISNUMBER(BG97)),BI97-BG97,"")</f>
        <v>0</v>
      </c>
      <c r="BI97" s="33"/>
      <c r="BJ97" s="34">
        <f>IF(AND(ISNUMBER(BK97),ISNUMBER(BI97)),BK97-BI97,"")</f>
        <v>0</v>
      </c>
      <c r="BK97" s="33"/>
      <c r="BL97" s="34">
        <f>IF(AND(ISNUMBER(BM97),ISNUMBER(BK97)),BM97-BK97,"")</f>
        <v>0</v>
      </c>
      <c r="BM97" s="33"/>
      <c r="BN97" s="34">
        <f>IF(AND(ISNUMBER(BO97),ISNUMBER(BM97)),BO97-BM97,"")</f>
        <v>0</v>
      </c>
      <c r="BO97" s="33"/>
      <c r="BP97" s="34">
        <f>IF(AND(ISNUMBER(BQ97),ISNUMBER(BO97)),BQ97-BO97,"")</f>
        <v>0</v>
      </c>
      <c r="BQ97" s="33"/>
      <c r="BR97" s="34">
        <f>IF(AND(ISNUMBER(BS97),ISNUMBER(BQ97)),BS97-BQ97,"")</f>
        <v>0</v>
      </c>
      <c r="BS97" s="33"/>
      <c r="BT97" s="34">
        <f>IF(AND(ISNUMBER(BU97),ISNUMBER(BS97)),BU97-BS97,"")</f>
        <v>0</v>
      </c>
      <c r="BU97" s="33"/>
      <c r="BV97" s="34">
        <f>IF(AND(ISNUMBER(BW97),ISNUMBER(BU97)),BW97-BU97,"")</f>
        <v>0</v>
      </c>
      <c r="BW97" s="33"/>
      <c r="BX97" s="34">
        <f>IF(AND(ISNUMBER(BY97),ISNUMBER(BW97)),BY97-BW97,"")</f>
        <v>0</v>
      </c>
      <c r="BY97" s="33"/>
      <c r="BZ97" s="34">
        <f>IF(AND(ISNUMBER(CA97),ISNUMBER(BY97)),CA97-BY97,"")</f>
        <v>0</v>
      </c>
      <c r="CA97" s="33"/>
      <c r="CB97" s="34">
        <f>IF(AND(ISNUMBER(CC97),ISNUMBER(CA97)),CC97-CA97,"")</f>
        <v>0</v>
      </c>
      <c r="CC97" s="33"/>
      <c r="CD97" s="34">
        <f>IF(AND(ISNUMBER(CE97),ISNUMBER(CC97)),CE97-CC97,"")</f>
        <v>0</v>
      </c>
      <c r="CE97" s="33"/>
      <c r="CF97" s="34">
        <f>IF(AND(ISNUMBER(CG97),ISNUMBER(CE97)),CG97-CE97,"")</f>
        <v>0</v>
      </c>
      <c r="CG97" s="33"/>
      <c r="CH97" s="34">
        <f>IF(AND(ISNUMBER(CI97),ISNUMBER(CG97)),CI97-CG97,"")</f>
        <v>0</v>
      </c>
      <c r="CI97" s="33"/>
      <c r="CJ97" s="34">
        <f>IF(AND(ISNUMBER(CK97),ISNUMBER(CI97)),CK97-CI97,"")</f>
        <v>0</v>
      </c>
      <c r="CK97" s="33"/>
      <c r="CL97" s="34">
        <f>IF(AND(ISNUMBER(CM97),ISNUMBER(CK97)),CM97-CK97,"")</f>
        <v>0</v>
      </c>
      <c r="CM97" s="33"/>
      <c r="CN97" s="34">
        <f>IF(AND(ISNUMBER(CO97),ISNUMBER(CM97)),CO97-CM97,"")</f>
        <v>0</v>
      </c>
      <c r="CO97" s="33"/>
      <c r="CP97" s="34">
        <f>IF(AND(ISNUMBER(CQ97),ISNUMBER(CO97)),CQ97-CO97,"")</f>
        <v>0</v>
      </c>
      <c r="CQ97" s="33"/>
      <c r="CR97" s="34">
        <f>IF(AND(ISNUMBER(CS97),ISNUMBER(CQ97)),CS97-CQ97,"")</f>
        <v>0</v>
      </c>
      <c r="CS97" s="33"/>
      <c r="CT97" s="34">
        <f>IF(AND(ISNUMBER(CU97),ISNUMBER(CS97)),CU97-CS97,"")</f>
        <v>0</v>
      </c>
      <c r="CU97" s="33"/>
      <c r="CV97" s="34">
        <f>IF(AND(ISNUMBER(CW97),ISNUMBER(CU97)),CW97-CU97,"")</f>
        <v>0</v>
      </c>
      <c r="CW97" s="33"/>
      <c r="CX97" s="34">
        <f>IF(AND(ISNUMBER(CY97),ISNUMBER(CW97)),CY97-CW97,"")</f>
        <v>0</v>
      </c>
      <c r="CY97" s="33"/>
      <c r="CZ97" s="34">
        <f>IF(AND(ISNUMBER(DA97),ISNUMBER(CY97)),DA97-CY97,"")</f>
        <v>0</v>
      </c>
      <c r="DA97" s="33"/>
      <c r="DB97" s="34">
        <f>IF(AND(ISNUMBER(DC97),ISNUMBER(DA97)),DC97-DA97,"")</f>
        <v>0</v>
      </c>
      <c r="DC97" s="33"/>
      <c r="DD97" s="34">
        <f>IF(AND(ISNUMBER(DE97),ISNUMBER(DC97)),DE97-DC97,"")</f>
        <v>0</v>
      </c>
      <c r="DE97" s="33">
        <v>3691</v>
      </c>
      <c r="DF97" s="34">
        <f>IF(AND(ISNUMBER(DG97),ISNUMBER(DE97)),DG97-DE97,"")</f>
        <v>0</v>
      </c>
      <c r="DG97" s="33">
        <v>2914</v>
      </c>
      <c r="DH97" s="34">
        <f>IF(AND(ISNUMBER(DI97),ISNUMBER(DG97)),DI97-DG97,"")</f>
        <v>0</v>
      </c>
      <c r="DI97" s="33">
        <v>4232</v>
      </c>
      <c r="DJ97" s="34">
        <f>IF(AND(ISNUMBER(DK97),ISNUMBER(DI97)),DK97-DI97,"")</f>
        <v>0</v>
      </c>
      <c r="DK97" s="33">
        <v>3436</v>
      </c>
      <c r="DL97" s="34">
        <f>IF(AND(ISNUMBER(DM97),ISNUMBER(DK97)),DM97-DK97,"")</f>
        <v>0</v>
      </c>
      <c r="DM97" s="33">
        <v>2654</v>
      </c>
      <c r="DN97" s="34">
        <f>IF(AND(ISNUMBER(DO97),ISNUMBER(DM97)),DO97-DM97,"")</f>
        <v>0</v>
      </c>
      <c r="DO97" s="33">
        <v>3560</v>
      </c>
      <c r="DP97" s="34">
        <f>IF(AND(ISNUMBER(DQ97),ISNUMBER(DO97)),DQ97-DO97,"")</f>
        <v>0</v>
      </c>
      <c r="DQ97" s="33">
        <v>3058</v>
      </c>
      <c r="DR97" s="34">
        <f>IF(AND(ISNUMBER(DS97),ISNUMBER(DQ97)),DS97-DQ97,"")</f>
        <v>0</v>
      </c>
      <c r="DS97" s="33">
        <v>3284</v>
      </c>
      <c r="DT97" s="34">
        <f>IF(AND(ISNUMBER(DU97),ISNUMBER(DS97)),DU97-DS97,"")</f>
        <v>0</v>
      </c>
      <c r="DU97" s="33">
        <v>3078</v>
      </c>
      <c r="DV97" s="34">
        <f>IF(AND(ISNUMBER(DW97),ISNUMBER(DU97)),DW97-DU97,"")</f>
        <v>0</v>
      </c>
      <c r="DW97" s="33">
        <v>2234</v>
      </c>
      <c r="DX97" s="34">
        <f>IF(AND(ISNUMBER(DY97),ISNUMBER(DW97)),DY97-DW97,"")</f>
        <v>0</v>
      </c>
      <c r="DY97" s="33">
        <v>3077</v>
      </c>
      <c r="DZ97" s="34">
        <f>IF(AND(ISNUMBER(EA97),ISNUMBER(DY97)),EA97-DY97,"")</f>
        <v>0</v>
      </c>
      <c r="EA97" s="33">
        <v>2849</v>
      </c>
      <c r="EB97" s="34">
        <f>IF(AND(ISNUMBER(EC97),ISNUMBER(EA97)),EC97-EA97,"")</f>
        <v>0</v>
      </c>
      <c r="EC97" s="33">
        <v>1345</v>
      </c>
      <c r="ED97" s="34">
        <f>IF(AND(ISNUMBER(EE97),ISNUMBER(EC97)),EE97-EC97,"")</f>
        <v>0</v>
      </c>
      <c r="EE97" s="33">
        <v>1511</v>
      </c>
      <c r="EF97" s="34">
        <f>IF(AND(ISNUMBER(EG97),ISNUMBER(EE97)),EG97-EE97,"")</f>
        <v>0</v>
      </c>
      <c r="EG97" s="33">
        <v>1547</v>
      </c>
      <c r="EH97" s="34">
        <f>IF(AND(ISNUMBER(EI97),ISNUMBER(EG97)),EI97-EG97,"")</f>
        <v>0</v>
      </c>
      <c r="EI97" s="33">
        <v>2241</v>
      </c>
      <c r="EJ97" s="34">
        <f>IF(AND(ISNUMBER(EK97),ISNUMBER(EI97)),EK97-EI97,"")</f>
        <v>0</v>
      </c>
      <c r="EK97" s="33">
        <v>2665</v>
      </c>
      <c r="EL97" s="34">
        <f>IF(AND(ISNUMBER(EM97),ISNUMBER(EK97)),EM97-EK97,"")</f>
        <v>0</v>
      </c>
      <c r="EM97" s="33">
        <v>3013</v>
      </c>
      <c r="EN97" s="34">
        <f>IF(AND(ISNUMBER(EO97),ISNUMBER(EM97)),EO97-EM97,"")</f>
        <v>0</v>
      </c>
      <c r="EO97" s="33">
        <v>1999</v>
      </c>
      <c r="EP97" s="34">
        <f>IF(AND(ISNUMBER(EQ97),ISNUMBER(EO97)),EQ97-EO97,"")</f>
        <v>0</v>
      </c>
      <c r="EQ97" s="33">
        <v>1933</v>
      </c>
      <c r="ER97" s="34">
        <f>IF(AND(ISNUMBER(ES97),ISNUMBER(EQ97)),ES97-EQ97,"")</f>
        <v>0</v>
      </c>
      <c r="ES97" s="33">
        <v>1842</v>
      </c>
      <c r="ET97" s="34">
        <f>IF(AND(ISNUMBER(EU97),ISNUMBER(ES97)),EU97-ES97,"")</f>
        <v>0</v>
      </c>
      <c r="EU97" s="33">
        <v>2496</v>
      </c>
      <c r="EV97" s="34">
        <f>IF(AND(ISNUMBER(EW97),ISNUMBER(EU97)),EW97-EU97,"")</f>
        <v>0</v>
      </c>
      <c r="EW97" s="33">
        <v>2622</v>
      </c>
      <c r="EX97" s="34">
        <f>IF(AND(ISNUMBER(EY97),ISNUMBER(EW97)),EY97-EW97,"")</f>
        <v>0</v>
      </c>
      <c r="EY97" s="33">
        <v>2691</v>
      </c>
      <c r="EZ97" s="34">
        <f>IF(AND(ISNUMBER(FA97),ISNUMBER(EY97)),FA97-EY97,"")</f>
        <v>0</v>
      </c>
      <c r="FA97" s="33">
        <v>2685</v>
      </c>
      <c r="FB97" s="34">
        <f>IF(AND(ISNUMBER(FC97),ISNUMBER(FA97)),FC97-FA97,"")</f>
        <v>0</v>
      </c>
      <c r="FC97" s="33">
        <v>2839</v>
      </c>
      <c r="FD97" s="34">
        <f>IF(AND(ISNUMBER(FE97),ISNUMBER(FC97)),FE97-FC97,"")</f>
        <v>0</v>
      </c>
      <c r="FE97" s="33">
        <v>2823</v>
      </c>
      <c r="FF97" s="34">
        <f>IF(AND(ISNUMBER(FG97),ISNUMBER(FE97)),FG97-FE97,"")</f>
        <v>0</v>
      </c>
      <c r="FG97" s="33">
        <v>3156</v>
      </c>
      <c r="FH97" s="34">
        <f>IF(AND(ISNUMBER(FI97),ISNUMBER(FG97)),FI97-FG97,"")</f>
        <v>0</v>
      </c>
      <c r="FI97" s="33">
        <v>2030</v>
      </c>
      <c r="FJ97" s="34">
        <f>IF(AND(ISNUMBER(FK97),ISNUMBER(FI97)),FK97-FI97,"")</f>
        <v>0</v>
      </c>
      <c r="FK97" s="33">
        <v>2564</v>
      </c>
      <c r="FL97" s="34">
        <f>IF(AND(ISNUMBER(FM97),ISNUMBER(FK97)),FM97-FK97,"")</f>
        <v>0</v>
      </c>
      <c r="FM97" s="33">
        <v>2766</v>
      </c>
      <c r="FN97" s="34">
        <f>IF(AND(ISNUMBER(FO97),ISNUMBER(FM97)),FO97-FM97,"")</f>
        <v>0</v>
      </c>
      <c r="FO97" s="33">
        <v>2435</v>
      </c>
      <c r="FP97" s="34">
        <f>IF(AND(ISNUMBER(FQ97),ISNUMBER(FO97)),FQ97-FO97,"")</f>
        <v>0</v>
      </c>
      <c r="FQ97" s="33">
        <v>1985</v>
      </c>
      <c r="FR97" s="34">
        <f>IF(AND(ISNUMBER(FS97),ISNUMBER(FQ97)),FS97-FQ97,"")</f>
        <v>0</v>
      </c>
      <c r="FS97" s="33">
        <v>3120</v>
      </c>
      <c r="FT97" s="34">
        <f>IF(AND(ISNUMBER(FU97),ISNUMBER(FS97)),FU97-FS97,"")</f>
        <v>0</v>
      </c>
      <c r="FU97" s="33">
        <v>2933</v>
      </c>
      <c r="FV97" s="34">
        <f>IF(AND(ISNUMBER(FW97),ISNUMBER(FU97)),FW97-FU97,"")</f>
        <v>0</v>
      </c>
      <c r="FW97" s="33">
        <v>3632</v>
      </c>
      <c r="FX97" s="34">
        <f>IF(AND(ISNUMBER(FY97),ISNUMBER(FW97)),FY97-FW97,"")</f>
        <v>0</v>
      </c>
      <c r="FY97" s="33">
        <v>3321</v>
      </c>
      <c r="FZ97" s="34">
        <f>IF(AND(ISNUMBER(GA97),ISNUMBER(FY97)),GA97-FY97,"")</f>
        <v>0</v>
      </c>
      <c r="GA97" s="33">
        <v>3120</v>
      </c>
      <c r="GB97" s="34">
        <f>IF(AND(ISNUMBER(GC97),ISNUMBER(GA97)),GC97-GA97,"")</f>
        <v>0</v>
      </c>
      <c r="GC97" s="33">
        <v>2983</v>
      </c>
      <c r="GD97" s="34">
        <f>IF(AND(ISNUMBER(GE97),ISNUMBER(GC97)),GE97-GC97,"")</f>
        <v>0</v>
      </c>
      <c r="GE97" s="33">
        <v>2780</v>
      </c>
      <c r="GF97" s="34">
        <f>IF(AND(ISNUMBER(GG97),ISNUMBER(GE97)),GG97-GE97,"")</f>
        <v>0</v>
      </c>
      <c r="GG97" s="33">
        <v>2684</v>
      </c>
      <c r="GH97" s="34">
        <f>IF(AND(ISNUMBER(GI97),ISNUMBER(GG97)),GI97-GG97,"")</f>
        <v>0</v>
      </c>
      <c r="GI97" s="33">
        <v>2743</v>
      </c>
      <c r="GJ97" s="34">
        <f>IF(AND(ISNUMBER(GK97),ISNUMBER(GI97)),GK97-GI97,"")</f>
        <v>0</v>
      </c>
      <c r="GK97" s="33">
        <v>2687</v>
      </c>
      <c r="GL97" s="34">
        <f>IF(AND(ISNUMBER(GM97),ISNUMBER(GK97)),GM97-GK97,"")</f>
        <v>0</v>
      </c>
      <c r="GM97" s="33">
        <v>2424</v>
      </c>
      <c r="GN97" s="34">
        <f>IF(AND(ISNUMBER(GO97),ISNUMBER(GM97)),GO97-GM97,"")</f>
        <v>0</v>
      </c>
      <c r="GO97" s="33">
        <v>2272</v>
      </c>
      <c r="GP97" s="34">
        <f>IF(AND(ISNUMBER(GQ97),ISNUMBER(GO97)),GQ97-GO97,"")</f>
        <v>0</v>
      </c>
      <c r="GQ97" s="33">
        <v>2173</v>
      </c>
      <c r="GR97" s="34">
        <f>IF(AND(ISNUMBER(GS97),ISNUMBER(GQ97)),GS97-GQ97,"")</f>
        <v>0</v>
      </c>
      <c r="GS97" s="33">
        <v>2340</v>
      </c>
      <c r="GT97" s="34">
        <f>IF(AND(ISNUMBER(GU97),ISNUMBER(GS97)),GU97-GS97,"")</f>
        <v>0</v>
      </c>
      <c r="GU97" s="33">
        <v>1665</v>
      </c>
      <c r="GV97" s="34">
        <f>IF(AND(ISNUMBER(GW97),ISNUMBER(GU97)),GW97-GU97,"")</f>
        <v>0</v>
      </c>
      <c r="GW97" s="33">
        <v>674</v>
      </c>
      <c r="GX97" s="34">
        <f>IF(AND(ISNUMBER(GY97),ISNUMBER(GW97)),GY97-GW97,"")</f>
        <v>0</v>
      </c>
      <c r="GY97" s="33">
        <v>653</v>
      </c>
      <c r="GZ97" s="34">
        <f>IF(AND(ISNUMBER(HA97),ISNUMBER(GY97)),HA97-GY97,"")</f>
        <v>0</v>
      </c>
      <c r="HA97" s="33">
        <v>1922</v>
      </c>
      <c r="HB97" s="34">
        <f>IF(AND(ISNUMBER(HC97),ISNUMBER(HA97)),HC97-HA97,"")</f>
        <v>0</v>
      </c>
      <c r="HC97" s="33">
        <v>2207</v>
      </c>
      <c r="HD97" s="34">
        <f>IF(AND(ISNUMBER(HE97),ISNUMBER(HC97)),HE97-HC97,"")</f>
        <v>0</v>
      </c>
      <c r="HE97" s="33">
        <v>2317</v>
      </c>
      <c r="HF97" s="34">
        <f>IF(AND(ISNUMBER(HG97),ISNUMBER(HE97)),HG97-HE97,"")</f>
        <v>0</v>
      </c>
      <c r="HG97" s="33">
        <v>2017</v>
      </c>
      <c r="HH97" s="34">
        <f>IF(AND(ISNUMBER(HI97),ISNUMBER(HG97)),HI97-HG97,"")</f>
        <v>0</v>
      </c>
      <c r="HI97" s="33">
        <v>1967</v>
      </c>
      <c r="HJ97" s="34">
        <f>IF(AND(ISNUMBER(HK97),ISNUMBER(HI97)),HK97-HI97,"")</f>
        <v>0</v>
      </c>
      <c r="HK97" s="33">
        <v>1752</v>
      </c>
      <c r="HL97" s="34">
        <f>IF(AND(ISNUMBER(HM97),ISNUMBER(HK97)),HM97-HK97,"")</f>
        <v>0</v>
      </c>
      <c r="HM97" s="33">
        <v>2556</v>
      </c>
      <c r="HN97" s="34">
        <f>IF(AND(ISNUMBER(HO97),ISNUMBER(HM97)),HO97-HM97,"")</f>
        <v>0</v>
      </c>
      <c r="HO97" s="33">
        <v>2365</v>
      </c>
      <c r="HP97" s="34">
        <f>IF(AND(ISNUMBER(HQ97),ISNUMBER(HO97)),HQ97-HO97,"")</f>
        <v>0</v>
      </c>
      <c r="HQ97" s="33">
        <v>2111</v>
      </c>
      <c r="HR97" s="34">
        <f>IF(AND(ISNUMBER(HS97),ISNUMBER(HQ97)),HS97-HQ97,"")</f>
        <v>0</v>
      </c>
      <c r="HS97" s="33">
        <v>2277</v>
      </c>
      <c r="HT97" s="34">
        <f>IF(AND(ISNUMBER(HU97),ISNUMBER(HS97)),HU97-HS97,"")</f>
        <v>0</v>
      </c>
      <c r="HU97" s="33">
        <v>2228</v>
      </c>
      <c r="HV97" s="34">
        <f>IF(AND(ISNUMBER(HW97),ISNUMBER(HU97)),HW97-HU97,"")</f>
        <v>0</v>
      </c>
      <c r="HW97" s="33">
        <v>1899</v>
      </c>
      <c r="HX97" s="34">
        <f>IF(AND(ISNUMBER(HY97),ISNUMBER(HW97)),HY97-HW97,"")</f>
        <v>0</v>
      </c>
      <c r="HY97" s="33">
        <v>1804</v>
      </c>
      <c r="HZ97" s="34">
        <f>IF(AND(ISNUMBER(IA97),ISNUMBER(HY97)),IA97-HY97,"")</f>
        <v>0</v>
      </c>
      <c r="IA97" s="33">
        <v>2053</v>
      </c>
      <c r="IB97" s="34">
        <f>IF(AND(ISNUMBER(IC97),ISNUMBER(IA97)),IC97-IA97,"")</f>
        <v>0</v>
      </c>
      <c r="IC97" s="33">
        <v>2309</v>
      </c>
      <c r="ID97" s="34">
        <f>IF(AND(ISNUMBER(IE97),ISNUMBER(IC97)),IE97-IC97,"")</f>
        <v>0</v>
      </c>
      <c r="IE97" s="33">
        <v>2325</v>
      </c>
      <c r="IF97" s="34">
        <f>IF(AND(ISNUMBER(IG97),ISNUMBER(IE97)),IG97-IE97,"")</f>
        <v>0</v>
      </c>
      <c r="IG97" s="33">
        <v>1753</v>
      </c>
      <c r="IH97" s="34">
        <f>IF(AND(ISNUMBER(II97),ISNUMBER(IG97)),II97-IG97,"")</f>
        <v>0</v>
      </c>
      <c r="II97" s="33">
        <v>2229</v>
      </c>
      <c r="IJ97" s="34">
        <f>IF(AND(ISNUMBER(IK97),ISNUMBER(II97)),IK97-II97,"")</f>
        <v>0</v>
      </c>
      <c r="IK97" s="33">
        <v>1731</v>
      </c>
      <c r="IL97" s="34">
        <f>IF(AND(ISNUMBER(IM97),ISNUMBER(IK97)),IM97-IK97,"")</f>
        <v>0</v>
      </c>
      <c r="IM97" s="33">
        <v>1788</v>
      </c>
      <c r="IN97" s="34">
        <f>IF(AND(ISNUMBER(IO97),ISNUMBER(IM97)),IO97-IM97,"")</f>
        <v>0</v>
      </c>
      <c r="IO97" s="33">
        <v>1850</v>
      </c>
      <c r="IP97" s="34">
        <f>IF(AND(ISNUMBER(IQ97),ISNUMBER(IO97)),IQ97-IO97,"")</f>
        <v>0</v>
      </c>
      <c r="IQ97" s="33">
        <v>2968</v>
      </c>
      <c r="IR97" s="34">
        <f>IF(AND(ISNUMBER(IS97),ISNUMBER(IQ97)),IS97-IQ97,"")</f>
        <v>0</v>
      </c>
      <c r="IS97" s="40" t="s">
        <v>1120</v>
      </c>
      <c r="IT97" s="34">
        <f>IF(AND(ISNUMBER(IU97),ISNUMBER(IS97)),IU97-IS97,"")</f>
        <v>0</v>
      </c>
      <c r="IU97" s="33">
        <v>2535</v>
      </c>
      <c r="IV97" s="34">
        <f>IF(AND(ISNUMBER(IW97),ISNUMBER(IU97)),IW97-IU97,"")</f>
        <v>0</v>
      </c>
      <c r="IW97" s="40" t="s">
        <v>1121</v>
      </c>
      <c r="IX97" s="34">
        <f>IF(AND(ISNUMBER(IY97),ISNUMBER(IW97)),IY97-IW97,"")</f>
        <v>0</v>
      </c>
      <c r="IY97" s="40" t="s">
        <v>1121</v>
      </c>
      <c r="IZ97" s="34">
        <f>IF(AND(ISNUMBER(JA97),ISNUMBER(IY97)),JA97-IY97,"")</f>
        <v>0</v>
      </c>
      <c r="JA97" s="40" t="s">
        <v>1121</v>
      </c>
      <c r="JB97" s="34">
        <f>IF(AND(ISNUMBER(JC97),ISNUMBER(JA97)),JC97-JA97,"")</f>
        <v>0</v>
      </c>
      <c r="JC97" s="40" t="s">
        <v>1121</v>
      </c>
      <c r="JD97" s="34">
        <f>IF(AND(ISNUMBER(JE97),ISNUMBER(JC97)),JE97-JC97,"")</f>
        <v>0</v>
      </c>
      <c r="JE97" s="40" t="s">
        <v>1121</v>
      </c>
      <c r="JF97" s="34">
        <f>IF(AND(ISNUMBER(JG97),ISNUMBER(JE97)),JG97-JE97,"")</f>
        <v>0</v>
      </c>
      <c r="JG97" s="40" t="s">
        <v>1121</v>
      </c>
      <c r="JH97" s="34">
        <f>IF(AND(ISNUMBER(JI97),ISNUMBER(JG97)),JI97-JG97,"")</f>
        <v>0</v>
      </c>
      <c r="JI97" s="40" t="s">
        <v>1121</v>
      </c>
      <c r="JJ97" s="34">
        <f>IF(AND(ISNUMBER(JK97),ISNUMBER(JI97)),JK97-JI97,"")</f>
        <v>0</v>
      </c>
      <c r="JK97" s="40" t="s">
        <v>1121</v>
      </c>
      <c r="JL97" s="34">
        <f>IF(AND(ISNUMBER(JM97),ISNUMBER(JK97)),JM97-JK97,"")</f>
        <v>0</v>
      </c>
      <c r="JM97" s="40" t="s">
        <v>1121</v>
      </c>
      <c r="JN97" s="34">
        <f>IF(AND(ISNUMBER(JO97),ISNUMBER(JM97)),JO97-JM97,"")</f>
        <v>0</v>
      </c>
      <c r="JO97" s="40" t="s">
        <v>1121</v>
      </c>
      <c r="JP97" s="34">
        <f>IF(AND(ISNUMBER(JQ97),ISNUMBER(JO97)),JQ97-JO97,"")</f>
        <v>0</v>
      </c>
      <c r="JQ97" s="40" t="s">
        <v>1121</v>
      </c>
      <c r="JR97" s="34">
        <f>IF(AND(ISNUMBER(JS97),ISNUMBER(JQ97)),JS97-JQ97,"")</f>
        <v>0</v>
      </c>
      <c r="JS97" s="40" t="s">
        <v>1121</v>
      </c>
      <c r="JT97" s="34">
        <f>IF(AND(ISNUMBER(JU97),ISNUMBER(JS97)),JU97-JS97,"")</f>
        <v>0</v>
      </c>
      <c r="JU97" s="40" t="s">
        <v>1121</v>
      </c>
      <c r="JV97" s="34">
        <f>IF(AND(ISNUMBER(JW97),ISNUMBER(JU97)),JW97-JU97,"")</f>
        <v>0</v>
      </c>
      <c r="JW97" s="33"/>
      <c r="JX97" s="34">
        <f>IF(AND(ISNUMBER(JY97),ISNUMBER(JW97)),JY97-JW97,"")</f>
        <v>0</v>
      </c>
      <c r="JY97" s="33"/>
      <c r="JZ97" s="34">
        <f>IF(AND(ISNUMBER(KA97),ISNUMBER(JY97)),KA97-JY97,"")</f>
        <v>0</v>
      </c>
      <c r="KA97" s="33"/>
      <c r="KB97" s="34">
        <f>IF(AND(ISNUMBER(KC97),ISNUMBER(KA97)),KC97-KA97,"")</f>
        <v>0</v>
      </c>
      <c r="KC97" s="33"/>
      <c r="KD97" s="34">
        <f>IF(AND(ISNUMBER(KE97),ISNUMBER(KC97)),KE97-KC97,"")</f>
        <v>0</v>
      </c>
      <c r="KE97" s="33"/>
      <c r="KF97" s="34">
        <f>IF(AND(ISNUMBER(KG97),ISNUMBER(KE97)),KG97-KE97,"")</f>
        <v>0</v>
      </c>
      <c r="KG97" s="33"/>
      <c r="KH97" s="34">
        <f>IF(AND(ISNUMBER(KI97),ISNUMBER(KG97)),KI97-KG97,"")</f>
        <v>0</v>
      </c>
      <c r="KI97" s="33"/>
      <c r="KJ97" s="34">
        <f>IF(AND(ISNUMBER(KK97),ISNUMBER(KI97)),KK97-KI97,"")</f>
        <v>0</v>
      </c>
      <c r="KK97" s="33"/>
      <c r="KL97" s="34">
        <f>IF(AND(ISNUMBER(KM97),ISNUMBER(KK97)),KM97-KK97,"")</f>
        <v>0</v>
      </c>
      <c r="KM97" s="33"/>
      <c r="KN97" s="34">
        <f>IF(AND(ISNUMBER(KO97),ISNUMBER(KM97)),KO97-KM97,"")</f>
        <v>0</v>
      </c>
      <c r="KO97" s="33"/>
      <c r="KP97" s="34">
        <f>IF(AND(ISNUMBER(KQ97),ISNUMBER(KO97)),KQ97-KO97,"")</f>
        <v>0</v>
      </c>
      <c r="KQ97" s="33"/>
      <c r="KR97" s="34">
        <f>IF(AND(ISNUMBER(KS97),ISNUMBER(KQ97)),KS97-KQ97,"")</f>
        <v>0</v>
      </c>
      <c r="KS97" s="33"/>
      <c r="KT97" s="34">
        <f>IF(AND(ISNUMBER(KU97),ISNUMBER(KS97)),KU97-KS97,"")</f>
        <v>0</v>
      </c>
      <c r="KU97" s="33"/>
      <c r="KV97" s="34">
        <f>IF(AND(ISNUMBER(KW97),ISNUMBER(KU97)),KW97-KU97,"")</f>
        <v>0</v>
      </c>
      <c r="KW97" s="33"/>
      <c r="KX97" s="34">
        <f>IF(AND(ISNUMBER(KY97),ISNUMBER(KW97)),KY97-KW97,"")</f>
        <v>0</v>
      </c>
      <c r="KY97" s="33"/>
      <c r="KZ97" s="34">
        <f>IF(AND(ISNUMBER(LA97),ISNUMBER(KY97)),LA97-KY97,"")</f>
        <v>0</v>
      </c>
      <c r="LA97" s="33"/>
      <c r="LB97" s="34">
        <f>IF(AND(ISNUMBER(LC97),ISNUMBER(LA97)),LC97-LA97,"")</f>
        <v>0</v>
      </c>
      <c r="LC97" s="33"/>
      <c r="LD97" s="34">
        <f>IF(AND(ISNUMBER(LE97),ISNUMBER(LC97)),LE97-LC97,"")</f>
        <v>0</v>
      </c>
      <c r="LE97" s="33"/>
      <c r="LF97" s="34">
        <f>IF(AND(ISNUMBER(LG97),ISNUMBER(LE97)),LG97-LE97,"")</f>
        <v>0</v>
      </c>
      <c r="LG97" s="33"/>
    </row>
    <row r="98" spans="1:322" hidden="1">
      <c r="B98" s="23"/>
      <c r="C98" s="31" t="s">
        <v>783</v>
      </c>
      <c r="D98" s="31" t="s">
        <v>850</v>
      </c>
      <c r="E98" s="32" t="s">
        <v>1118</v>
      </c>
      <c r="I98" s="33"/>
      <c r="J98" s="34">
        <f>IF(AND(ISNUMBER(K98),ISNUMBER(I98)),K98-I98,"")</f>
        <v>0</v>
      </c>
      <c r="K98" s="33"/>
      <c r="L98" s="34">
        <f>IF(AND(ISNUMBER(M98),ISNUMBER(K98)),M98-K98,"")</f>
        <v>0</v>
      </c>
      <c r="M98" s="33"/>
      <c r="N98" s="34">
        <f>IF(AND(ISNUMBER(O98),ISNUMBER(M98)),O98-M98,"")</f>
        <v>0</v>
      </c>
      <c r="O98" s="33"/>
      <c r="P98" s="34">
        <f>IF(AND(ISNUMBER(Q98),ISNUMBER(O98)),Q98-O98,"")</f>
        <v>0</v>
      </c>
      <c r="Q98" s="33"/>
      <c r="R98" s="34">
        <f>IF(AND(ISNUMBER(S98),ISNUMBER(Q98)),S98-Q98,"")</f>
        <v>0</v>
      </c>
      <c r="S98" s="33"/>
      <c r="T98" s="34">
        <f>IF(AND(ISNUMBER(U98),ISNUMBER(S98)),U98-S98,"")</f>
        <v>0</v>
      </c>
      <c r="U98" s="33"/>
      <c r="V98" s="34">
        <f>IF(AND(ISNUMBER(W98),ISNUMBER(U98)),W98-U98,"")</f>
        <v>0</v>
      </c>
      <c r="W98" s="33"/>
      <c r="X98" s="34">
        <f>IF(AND(ISNUMBER(Y98),ISNUMBER(W98)),Y98-W98,"")</f>
        <v>0</v>
      </c>
      <c r="Y98" s="33"/>
      <c r="Z98" s="34">
        <f>IF(AND(ISNUMBER(AA98),ISNUMBER(Y98)),AA98-Y98,"")</f>
        <v>0</v>
      </c>
      <c r="AA98" s="33"/>
      <c r="AB98" s="34">
        <f>IF(AND(ISNUMBER(AC98),ISNUMBER(AA98)),AC98-AA98,"")</f>
        <v>0</v>
      </c>
      <c r="AC98" s="33"/>
      <c r="AD98" s="34">
        <f>IF(AND(ISNUMBER(AE98),ISNUMBER(AC98)),AE98-AC98,"")</f>
        <v>0</v>
      </c>
      <c r="AE98" s="33"/>
      <c r="AF98" s="34">
        <f>IF(AND(ISNUMBER(AG98),ISNUMBER(AE98)),AG98-AE98,"")</f>
        <v>0</v>
      </c>
      <c r="AG98" s="33"/>
      <c r="AH98" s="34">
        <f>IF(AND(ISNUMBER(AI98),ISNUMBER(AG98)),AI98-AG98,"")</f>
        <v>0</v>
      </c>
      <c r="AI98" s="33"/>
      <c r="AJ98" s="34">
        <f>IF(AND(ISNUMBER(AK98),ISNUMBER(AI98)),AK98-AI98,"")</f>
        <v>0</v>
      </c>
      <c r="AK98" s="33"/>
      <c r="AL98" s="34">
        <f>IF(AND(ISNUMBER(AM98),ISNUMBER(AK98)),AM98-AK98,"")</f>
        <v>0</v>
      </c>
      <c r="AM98" s="33"/>
      <c r="AN98" s="34">
        <f>IF(AND(ISNUMBER(AO98),ISNUMBER(AM98)),AO98-AM98,"")</f>
        <v>0</v>
      </c>
      <c r="AO98" s="33"/>
      <c r="AP98" s="34">
        <f>IF(AND(ISNUMBER(AQ98),ISNUMBER(AO98)),AQ98-AO98,"")</f>
        <v>0</v>
      </c>
      <c r="AQ98" s="33"/>
      <c r="AR98" s="34">
        <f>IF(AND(ISNUMBER(AS98),ISNUMBER(AQ98)),AS98-AQ98,"")</f>
        <v>0</v>
      </c>
      <c r="AS98" s="33"/>
      <c r="AT98" s="34">
        <f>IF(AND(ISNUMBER(AU98),ISNUMBER(AS98)),AU98-AS98,"")</f>
        <v>0</v>
      </c>
      <c r="AU98" s="33"/>
      <c r="AV98" s="34">
        <f>IF(AND(ISNUMBER(AW98),ISNUMBER(AU98)),AW98-AU98,"")</f>
        <v>0</v>
      </c>
      <c r="AW98" s="33"/>
      <c r="AX98" s="34">
        <f>IF(AND(ISNUMBER(AY98),ISNUMBER(AW98)),AY98-AW98,"")</f>
        <v>0</v>
      </c>
      <c r="AY98" s="33"/>
      <c r="AZ98" s="34">
        <f>IF(AND(ISNUMBER(BA98),ISNUMBER(AY98)),BA98-AY98,"")</f>
        <v>0</v>
      </c>
      <c r="BA98" s="33"/>
      <c r="BB98" s="34">
        <f>IF(AND(ISNUMBER(BC98),ISNUMBER(BA98)),BC98-BA98,"")</f>
        <v>0</v>
      </c>
      <c r="BC98" s="33"/>
      <c r="BD98" s="34">
        <f>IF(AND(ISNUMBER(BE98),ISNUMBER(BC98)),BE98-BC98,"")</f>
        <v>0</v>
      </c>
      <c r="BE98" s="33"/>
      <c r="BF98" s="34">
        <f>IF(AND(ISNUMBER(BG98),ISNUMBER(BE98)),BG98-BE98,"")</f>
        <v>0</v>
      </c>
      <c r="BG98" s="33"/>
      <c r="BH98" s="34">
        <f>IF(AND(ISNUMBER(BI98),ISNUMBER(BG98)),BI98-BG98,"")</f>
        <v>0</v>
      </c>
      <c r="BI98" s="33"/>
      <c r="BJ98" s="34">
        <f>IF(AND(ISNUMBER(BK98),ISNUMBER(BI98)),BK98-BI98,"")</f>
        <v>0</v>
      </c>
      <c r="BK98" s="33"/>
      <c r="BL98" s="34">
        <f>IF(AND(ISNUMBER(BM98),ISNUMBER(BK98)),BM98-BK98,"")</f>
        <v>0</v>
      </c>
      <c r="BM98" s="33"/>
      <c r="BN98" s="34">
        <f>IF(AND(ISNUMBER(BO98),ISNUMBER(BM98)),BO98-BM98,"")</f>
        <v>0</v>
      </c>
      <c r="BO98" s="33"/>
      <c r="BP98" s="34">
        <f>IF(AND(ISNUMBER(BQ98),ISNUMBER(BO98)),BQ98-BO98,"")</f>
        <v>0</v>
      </c>
      <c r="BQ98" s="33"/>
      <c r="BR98" s="34">
        <f>IF(AND(ISNUMBER(BS98),ISNUMBER(BQ98)),BS98-BQ98,"")</f>
        <v>0</v>
      </c>
      <c r="BS98" s="33"/>
      <c r="BT98" s="34">
        <f>IF(AND(ISNUMBER(BU98),ISNUMBER(BS98)),BU98-BS98,"")</f>
        <v>0</v>
      </c>
      <c r="BU98" s="33"/>
      <c r="BV98" s="34">
        <f>IF(AND(ISNUMBER(BW98),ISNUMBER(BU98)),BW98-BU98,"")</f>
        <v>0</v>
      </c>
      <c r="BW98" s="33"/>
      <c r="BX98" s="34">
        <f>IF(AND(ISNUMBER(BY98),ISNUMBER(BW98)),BY98-BW98,"")</f>
        <v>0</v>
      </c>
      <c r="BY98" s="33"/>
      <c r="BZ98" s="34">
        <f>IF(AND(ISNUMBER(CA98),ISNUMBER(BY98)),CA98-BY98,"")</f>
        <v>0</v>
      </c>
      <c r="CA98" s="33"/>
      <c r="CB98" s="34">
        <f>IF(AND(ISNUMBER(CC98),ISNUMBER(CA98)),CC98-CA98,"")</f>
        <v>0</v>
      </c>
      <c r="CC98" s="33"/>
      <c r="CD98" s="34">
        <f>IF(AND(ISNUMBER(CE98),ISNUMBER(CC98)),CE98-CC98,"")</f>
        <v>0</v>
      </c>
      <c r="CE98" s="33"/>
      <c r="CF98" s="34">
        <f>IF(AND(ISNUMBER(CG98),ISNUMBER(CE98)),CG98-CE98,"")</f>
        <v>0</v>
      </c>
      <c r="CG98" s="33"/>
      <c r="CH98" s="34">
        <f>IF(AND(ISNUMBER(CI98),ISNUMBER(CG98)),CI98-CG98,"")</f>
        <v>0</v>
      </c>
      <c r="CI98" s="33"/>
      <c r="CJ98" s="34">
        <f>IF(AND(ISNUMBER(CK98),ISNUMBER(CI98)),CK98-CI98,"")</f>
        <v>0</v>
      </c>
      <c r="CK98" s="33"/>
      <c r="CL98" s="34">
        <f>IF(AND(ISNUMBER(CM98),ISNUMBER(CK98)),CM98-CK98,"")</f>
        <v>0</v>
      </c>
      <c r="CM98" s="33"/>
      <c r="CN98" s="34">
        <f>IF(AND(ISNUMBER(CO98),ISNUMBER(CM98)),CO98-CM98,"")</f>
        <v>0</v>
      </c>
      <c r="CO98" s="33"/>
      <c r="CP98" s="34">
        <f>IF(AND(ISNUMBER(CQ98),ISNUMBER(CO98)),CQ98-CO98,"")</f>
        <v>0</v>
      </c>
      <c r="CQ98" s="33"/>
      <c r="CR98" s="34">
        <f>IF(AND(ISNUMBER(CS98),ISNUMBER(CQ98)),CS98-CQ98,"")</f>
        <v>0</v>
      </c>
      <c r="CS98" s="33"/>
      <c r="CT98" s="34">
        <f>IF(AND(ISNUMBER(CU98),ISNUMBER(CS98)),CU98-CS98,"")</f>
        <v>0</v>
      </c>
      <c r="CU98" s="33"/>
      <c r="CV98" s="34">
        <f>IF(AND(ISNUMBER(CW98),ISNUMBER(CU98)),CW98-CU98,"")</f>
        <v>0</v>
      </c>
      <c r="CW98" s="33"/>
      <c r="CX98" s="34">
        <f>IF(AND(ISNUMBER(CY98),ISNUMBER(CW98)),CY98-CW98,"")</f>
        <v>0</v>
      </c>
      <c r="CY98" s="33"/>
      <c r="CZ98" s="34">
        <f>IF(AND(ISNUMBER(DA98),ISNUMBER(CY98)),DA98-CY98,"")</f>
        <v>0</v>
      </c>
      <c r="DA98" s="33"/>
      <c r="DB98" s="34">
        <f>IF(AND(ISNUMBER(DC98),ISNUMBER(DA98)),DC98-DA98,"")</f>
        <v>0</v>
      </c>
      <c r="DC98" s="33"/>
      <c r="DD98" s="34">
        <f>IF(AND(ISNUMBER(DE98),ISNUMBER(DC98)),DE98-DC98,"")</f>
        <v>0</v>
      </c>
      <c r="DE98" s="33">
        <v>1951</v>
      </c>
      <c r="DF98" s="34">
        <f>IF(AND(ISNUMBER(DG98),ISNUMBER(DE98)),DG98-DE98,"")</f>
        <v>0</v>
      </c>
      <c r="DG98" s="33"/>
      <c r="DH98" s="34">
        <f>IF(AND(ISNUMBER(DI98),ISNUMBER(DG98)),DI98-DG98,"")</f>
        <v>0</v>
      </c>
      <c r="DI98" s="33"/>
      <c r="DJ98" s="34">
        <f>IF(AND(ISNUMBER(DK98),ISNUMBER(DI98)),DK98-DI98,"")</f>
        <v>0</v>
      </c>
      <c r="DK98" s="33"/>
      <c r="DL98" s="34">
        <f>IF(AND(ISNUMBER(DM98),ISNUMBER(DK98)),DM98-DK98,"")</f>
        <v>0</v>
      </c>
      <c r="DM98" s="33"/>
      <c r="DN98" s="34">
        <f>IF(AND(ISNUMBER(DO98),ISNUMBER(DM98)),DO98-DM98,"")</f>
        <v>0</v>
      </c>
      <c r="DO98" s="33"/>
      <c r="DP98" s="34">
        <f>IF(AND(ISNUMBER(DQ98),ISNUMBER(DO98)),DQ98-DO98,"")</f>
        <v>0</v>
      </c>
      <c r="DQ98" s="33"/>
      <c r="DR98" s="34">
        <f>IF(AND(ISNUMBER(DS98),ISNUMBER(DQ98)),DS98-DQ98,"")</f>
        <v>0</v>
      </c>
      <c r="DS98" s="33"/>
      <c r="DT98" s="34">
        <f>IF(AND(ISNUMBER(DU98),ISNUMBER(DS98)),DU98-DS98,"")</f>
        <v>0</v>
      </c>
      <c r="DU98" s="33"/>
      <c r="DV98" s="34">
        <f>IF(AND(ISNUMBER(DW98),ISNUMBER(DU98)),DW98-DU98,"")</f>
        <v>0</v>
      </c>
      <c r="DW98" s="33"/>
      <c r="DX98" s="34">
        <f>IF(AND(ISNUMBER(DY98),ISNUMBER(DW98)),DY98-DW98,"")</f>
        <v>0</v>
      </c>
      <c r="DY98" s="33"/>
      <c r="DZ98" s="34">
        <f>IF(AND(ISNUMBER(EA98),ISNUMBER(DY98)),EA98-DY98,"")</f>
        <v>0</v>
      </c>
      <c r="EA98" s="33"/>
      <c r="EB98" s="34">
        <f>IF(AND(ISNUMBER(EC98),ISNUMBER(EA98)),EC98-EA98,"")</f>
        <v>0</v>
      </c>
      <c r="EC98" s="33"/>
      <c r="ED98" s="34">
        <f>IF(AND(ISNUMBER(EE98),ISNUMBER(EC98)),EE98-EC98,"")</f>
        <v>0</v>
      </c>
      <c r="EE98" s="33"/>
      <c r="EF98" s="34">
        <f>IF(AND(ISNUMBER(EG98),ISNUMBER(EE98)),EG98-EE98,"")</f>
        <v>0</v>
      </c>
      <c r="EG98" s="33"/>
      <c r="EH98" s="34">
        <f>IF(AND(ISNUMBER(EI98),ISNUMBER(EG98)),EI98-EG98,"")</f>
        <v>0</v>
      </c>
      <c r="EI98" s="33"/>
      <c r="EJ98" s="34">
        <f>IF(AND(ISNUMBER(EK98),ISNUMBER(EI98)),EK98-EI98,"")</f>
        <v>0</v>
      </c>
      <c r="EK98" s="33"/>
      <c r="EL98" s="34">
        <f>IF(AND(ISNUMBER(EM98),ISNUMBER(EK98)),EM98-EK98,"")</f>
        <v>0</v>
      </c>
      <c r="EM98" s="33"/>
      <c r="EN98" s="34">
        <f>IF(AND(ISNUMBER(EO98),ISNUMBER(EM98)),EO98-EM98,"")</f>
        <v>0</v>
      </c>
      <c r="EO98" s="33"/>
      <c r="EP98" s="34">
        <f>IF(AND(ISNUMBER(EQ98),ISNUMBER(EO98)),EQ98-EO98,"")</f>
        <v>0</v>
      </c>
      <c r="EQ98" s="33"/>
      <c r="ER98" s="34">
        <f>IF(AND(ISNUMBER(ES98),ISNUMBER(EQ98)),ES98-EQ98,"")</f>
        <v>0</v>
      </c>
      <c r="ES98" s="33"/>
      <c r="ET98" s="34">
        <f>IF(AND(ISNUMBER(EU98),ISNUMBER(ES98)),EU98-ES98,"")</f>
        <v>0</v>
      </c>
      <c r="EU98" s="33"/>
      <c r="EV98" s="34">
        <f>IF(AND(ISNUMBER(EW98),ISNUMBER(EU98)),EW98-EU98,"")</f>
        <v>0</v>
      </c>
      <c r="EW98" s="33"/>
      <c r="EX98" s="34">
        <f>IF(AND(ISNUMBER(EY98),ISNUMBER(EW98)),EY98-EW98,"")</f>
        <v>0</v>
      </c>
      <c r="EY98" s="33"/>
      <c r="EZ98" s="34">
        <f>IF(AND(ISNUMBER(FA98),ISNUMBER(EY98)),FA98-EY98,"")</f>
        <v>0</v>
      </c>
      <c r="FA98" s="33"/>
      <c r="FB98" s="34">
        <f>IF(AND(ISNUMBER(FC98),ISNUMBER(FA98)),FC98-FA98,"")</f>
        <v>0</v>
      </c>
      <c r="FC98" s="33"/>
      <c r="FD98" s="34">
        <f>IF(AND(ISNUMBER(FE98),ISNUMBER(FC98)),FE98-FC98,"")</f>
        <v>0</v>
      </c>
      <c r="FE98" s="33"/>
      <c r="FF98" s="34">
        <f>IF(AND(ISNUMBER(FG98),ISNUMBER(FE98)),FG98-FE98,"")</f>
        <v>0</v>
      </c>
      <c r="FG98" s="33"/>
      <c r="FH98" s="34">
        <f>IF(AND(ISNUMBER(FI98),ISNUMBER(FG98)),FI98-FG98,"")</f>
        <v>0</v>
      </c>
      <c r="FI98" s="33"/>
      <c r="FJ98" s="34">
        <f>IF(AND(ISNUMBER(FK98),ISNUMBER(FI98)),FK98-FI98,"")</f>
        <v>0</v>
      </c>
      <c r="FK98" s="33"/>
      <c r="FL98" s="34">
        <f>IF(AND(ISNUMBER(FM98),ISNUMBER(FK98)),FM98-FK98,"")</f>
        <v>0</v>
      </c>
      <c r="FM98" s="33"/>
      <c r="FN98" s="34">
        <f>IF(AND(ISNUMBER(FO98),ISNUMBER(FM98)),FO98-FM98,"")</f>
        <v>0</v>
      </c>
      <c r="FO98" s="33"/>
      <c r="FP98" s="34">
        <f>IF(AND(ISNUMBER(FQ98),ISNUMBER(FO98)),FQ98-FO98,"")</f>
        <v>0</v>
      </c>
      <c r="FQ98" s="33"/>
      <c r="FR98" s="34">
        <f>IF(AND(ISNUMBER(FS98),ISNUMBER(FQ98)),FS98-FQ98,"")</f>
        <v>0</v>
      </c>
      <c r="FS98" s="33"/>
      <c r="FT98" s="34">
        <f>IF(AND(ISNUMBER(FU98),ISNUMBER(FS98)),FU98-FS98,"")</f>
        <v>0</v>
      </c>
      <c r="FU98" s="33"/>
      <c r="FV98" s="34">
        <f>IF(AND(ISNUMBER(FW98),ISNUMBER(FU98)),FW98-FU98,"")</f>
        <v>0</v>
      </c>
      <c r="FW98" s="33"/>
      <c r="FX98" s="34">
        <f>IF(AND(ISNUMBER(FY98),ISNUMBER(FW98)),FY98-FW98,"")</f>
        <v>0</v>
      </c>
      <c r="FY98" s="33"/>
      <c r="FZ98" s="34">
        <f>IF(AND(ISNUMBER(GA98),ISNUMBER(FY98)),GA98-FY98,"")</f>
        <v>0</v>
      </c>
      <c r="GA98" s="33"/>
      <c r="GB98" s="34">
        <f>IF(AND(ISNUMBER(GC98),ISNUMBER(GA98)),GC98-GA98,"")</f>
        <v>0</v>
      </c>
      <c r="GC98" s="33"/>
      <c r="GD98" s="34">
        <f>IF(AND(ISNUMBER(GE98),ISNUMBER(GC98)),GE98-GC98,"")</f>
        <v>0</v>
      </c>
      <c r="GE98" s="33"/>
      <c r="GF98" s="34">
        <f>IF(AND(ISNUMBER(GG98),ISNUMBER(GE98)),GG98-GE98,"")</f>
        <v>0</v>
      </c>
      <c r="GG98" s="33"/>
      <c r="GH98" s="34">
        <f>IF(AND(ISNUMBER(GI98),ISNUMBER(GG98)),GI98-GG98,"")</f>
        <v>0</v>
      </c>
      <c r="GI98" s="33"/>
      <c r="GJ98" s="34">
        <f>IF(AND(ISNUMBER(GK98),ISNUMBER(GI98)),GK98-GI98,"")</f>
        <v>0</v>
      </c>
      <c r="GK98" s="33"/>
      <c r="GL98" s="34">
        <f>IF(AND(ISNUMBER(GM98),ISNUMBER(GK98)),GM98-GK98,"")</f>
        <v>0</v>
      </c>
      <c r="GM98" s="33"/>
      <c r="GN98" s="34">
        <f>IF(AND(ISNUMBER(GO98),ISNUMBER(GM98)),GO98-GM98,"")</f>
        <v>0</v>
      </c>
      <c r="GO98" s="33"/>
      <c r="GP98" s="34">
        <f>IF(AND(ISNUMBER(GQ98),ISNUMBER(GO98)),GQ98-GO98,"")</f>
        <v>0</v>
      </c>
      <c r="GQ98" s="33"/>
      <c r="GR98" s="34">
        <f>IF(AND(ISNUMBER(GS98),ISNUMBER(GQ98)),GS98-GQ98,"")</f>
        <v>0</v>
      </c>
      <c r="GS98" s="33"/>
      <c r="GT98" s="34">
        <f>IF(AND(ISNUMBER(GU98),ISNUMBER(GS98)),GU98-GS98,"")</f>
        <v>0</v>
      </c>
      <c r="GU98" s="33"/>
      <c r="GV98" s="34">
        <f>IF(AND(ISNUMBER(GW98),ISNUMBER(GU98)),GW98-GU98,"")</f>
        <v>0</v>
      </c>
      <c r="GW98" s="33"/>
      <c r="GX98" s="34">
        <f>IF(AND(ISNUMBER(GY98),ISNUMBER(GW98)),GY98-GW98,"")</f>
        <v>0</v>
      </c>
      <c r="GY98" s="33"/>
      <c r="GZ98" s="34">
        <f>IF(AND(ISNUMBER(HA98),ISNUMBER(GY98)),HA98-GY98,"")</f>
        <v>0</v>
      </c>
      <c r="HA98" s="33"/>
      <c r="HB98" s="34">
        <f>IF(AND(ISNUMBER(HC98),ISNUMBER(HA98)),HC98-HA98,"")</f>
        <v>0</v>
      </c>
      <c r="HC98" s="33"/>
      <c r="HD98" s="34">
        <f>IF(AND(ISNUMBER(HE98),ISNUMBER(HC98)),HE98-HC98,"")</f>
        <v>0</v>
      </c>
      <c r="HE98" s="33"/>
      <c r="HF98" s="34">
        <f>IF(AND(ISNUMBER(HG98),ISNUMBER(HE98)),HG98-HE98,"")</f>
        <v>0</v>
      </c>
      <c r="HG98" s="33"/>
      <c r="HH98" s="34">
        <f>IF(AND(ISNUMBER(HI98),ISNUMBER(HG98)),HI98-HG98,"")</f>
        <v>0</v>
      </c>
      <c r="HI98" s="33"/>
      <c r="HJ98" s="34">
        <f>IF(AND(ISNUMBER(HK98),ISNUMBER(HI98)),HK98-HI98,"")</f>
        <v>0</v>
      </c>
      <c r="HK98" s="33"/>
      <c r="HL98" s="34">
        <f>IF(AND(ISNUMBER(HM98),ISNUMBER(HK98)),HM98-HK98,"")</f>
        <v>0</v>
      </c>
      <c r="HM98" s="33"/>
      <c r="HN98" s="34">
        <f>IF(AND(ISNUMBER(HO98),ISNUMBER(HM98)),HO98-HM98,"")</f>
        <v>0</v>
      </c>
      <c r="HO98" s="33"/>
      <c r="HP98" s="34">
        <f>IF(AND(ISNUMBER(HQ98),ISNUMBER(HO98)),HQ98-HO98,"")</f>
        <v>0</v>
      </c>
      <c r="HQ98" s="33"/>
      <c r="HR98" s="34">
        <f>IF(AND(ISNUMBER(HS98),ISNUMBER(HQ98)),HS98-HQ98,"")</f>
        <v>0</v>
      </c>
      <c r="HS98" s="33"/>
      <c r="HT98" s="34">
        <f>IF(AND(ISNUMBER(HU98),ISNUMBER(HS98)),HU98-HS98,"")</f>
        <v>0</v>
      </c>
      <c r="HU98" s="33"/>
      <c r="HV98" s="34">
        <f>IF(AND(ISNUMBER(HW98),ISNUMBER(HU98)),HW98-HU98,"")</f>
        <v>0</v>
      </c>
      <c r="HW98" s="33"/>
      <c r="HX98" s="34">
        <f>IF(AND(ISNUMBER(HY98),ISNUMBER(HW98)),HY98-HW98,"")</f>
        <v>0</v>
      </c>
      <c r="HY98" s="33"/>
      <c r="HZ98" s="34">
        <f>IF(AND(ISNUMBER(IA98),ISNUMBER(HY98)),IA98-HY98,"")</f>
        <v>0</v>
      </c>
      <c r="IA98" s="33"/>
      <c r="IB98" s="34">
        <f>IF(AND(ISNUMBER(IC98),ISNUMBER(IA98)),IC98-IA98,"")</f>
        <v>0</v>
      </c>
      <c r="IC98" s="33"/>
      <c r="ID98" s="34">
        <f>IF(AND(ISNUMBER(IE98),ISNUMBER(IC98)),IE98-IC98,"")</f>
        <v>0</v>
      </c>
      <c r="IE98" s="33"/>
      <c r="IF98" s="34">
        <f>IF(AND(ISNUMBER(IG98),ISNUMBER(IE98)),IG98-IE98,"")</f>
        <v>0</v>
      </c>
      <c r="IG98" s="33"/>
      <c r="IH98" s="34">
        <f>IF(AND(ISNUMBER(II98),ISNUMBER(IG98)),II98-IG98,"")</f>
        <v>0</v>
      </c>
      <c r="II98" s="33"/>
      <c r="IJ98" s="34">
        <f>IF(AND(ISNUMBER(IK98),ISNUMBER(II98)),IK98-II98,"")</f>
        <v>0</v>
      </c>
      <c r="IK98" s="33"/>
      <c r="IL98" s="34">
        <f>IF(AND(ISNUMBER(IM98),ISNUMBER(IK98)),IM98-IK98,"")</f>
        <v>0</v>
      </c>
      <c r="IM98" s="33"/>
      <c r="IN98" s="34">
        <f>IF(AND(ISNUMBER(IO98),ISNUMBER(IM98)),IO98-IM98,"")</f>
        <v>0</v>
      </c>
      <c r="IO98" s="33"/>
      <c r="IP98" s="34">
        <f>IF(AND(ISNUMBER(IQ98),ISNUMBER(IO98)),IQ98-IO98,"")</f>
        <v>0</v>
      </c>
      <c r="IQ98" s="33"/>
      <c r="IR98" s="34">
        <f>IF(AND(ISNUMBER(IS98),ISNUMBER(IQ98)),IS98-IQ98,"")</f>
        <v>0</v>
      </c>
      <c r="IS98" s="33"/>
      <c r="IT98" s="34">
        <f>IF(AND(ISNUMBER(IU98),ISNUMBER(IS98)),IU98-IS98,"")</f>
        <v>0</v>
      </c>
      <c r="IU98" s="33"/>
      <c r="IV98" s="34">
        <f>IF(AND(ISNUMBER(IW98),ISNUMBER(IU98)),IW98-IU98,"")</f>
        <v>0</v>
      </c>
      <c r="IW98" s="33"/>
      <c r="IX98" s="34">
        <f>IF(AND(ISNUMBER(IY98),ISNUMBER(IW98)),IY98-IW98,"")</f>
        <v>0</v>
      </c>
      <c r="IY98" s="33"/>
      <c r="IZ98" s="34">
        <f>IF(AND(ISNUMBER(JA98),ISNUMBER(IY98)),JA98-IY98,"")</f>
        <v>0</v>
      </c>
      <c r="JA98" s="33"/>
      <c r="JB98" s="34">
        <f>IF(AND(ISNUMBER(JC98),ISNUMBER(JA98)),JC98-JA98,"")</f>
        <v>0</v>
      </c>
      <c r="JC98" s="33"/>
      <c r="JD98" s="34">
        <f>IF(AND(ISNUMBER(JE98),ISNUMBER(JC98)),JE98-JC98,"")</f>
        <v>0</v>
      </c>
      <c r="JE98" s="33"/>
      <c r="JF98" s="34">
        <f>IF(AND(ISNUMBER(JG98),ISNUMBER(JE98)),JG98-JE98,"")</f>
        <v>0</v>
      </c>
      <c r="JG98" s="33"/>
      <c r="JH98" s="34">
        <f>IF(AND(ISNUMBER(JI98),ISNUMBER(JG98)),JI98-JG98,"")</f>
        <v>0</v>
      </c>
      <c r="JI98" s="33"/>
      <c r="JJ98" s="34">
        <f>IF(AND(ISNUMBER(JK98),ISNUMBER(JI98)),JK98-JI98,"")</f>
        <v>0</v>
      </c>
      <c r="JK98" s="33"/>
      <c r="JL98" s="34">
        <f>IF(AND(ISNUMBER(JM98),ISNUMBER(JK98)),JM98-JK98,"")</f>
        <v>0</v>
      </c>
      <c r="JM98" s="33"/>
      <c r="JN98" s="34">
        <f>IF(AND(ISNUMBER(JO98),ISNUMBER(JM98)),JO98-JM98,"")</f>
        <v>0</v>
      </c>
      <c r="JO98" s="33"/>
      <c r="JP98" s="34">
        <f>IF(AND(ISNUMBER(JQ98),ISNUMBER(JO98)),JQ98-JO98,"")</f>
        <v>0</v>
      </c>
      <c r="JQ98" s="33"/>
      <c r="JR98" s="34">
        <f>IF(AND(ISNUMBER(JS98),ISNUMBER(JQ98)),JS98-JQ98,"")</f>
        <v>0</v>
      </c>
      <c r="JS98" s="33"/>
      <c r="JT98" s="34">
        <f>IF(AND(ISNUMBER(JU98),ISNUMBER(JS98)),JU98-JS98,"")</f>
        <v>0</v>
      </c>
      <c r="JU98" s="33"/>
      <c r="JV98" s="34">
        <f>IF(AND(ISNUMBER(JW98),ISNUMBER(JU98)),JW98-JU98,"")</f>
        <v>0</v>
      </c>
      <c r="JW98" s="33"/>
      <c r="JX98" s="34">
        <f>IF(AND(ISNUMBER(JY98),ISNUMBER(JW98)),JY98-JW98,"")</f>
        <v>0</v>
      </c>
      <c r="JY98" s="33"/>
      <c r="JZ98" s="34">
        <f>IF(AND(ISNUMBER(KA98),ISNUMBER(JY98)),KA98-JY98,"")</f>
        <v>0</v>
      </c>
      <c r="KA98" s="33"/>
      <c r="KB98" s="34">
        <f>IF(AND(ISNUMBER(KC98),ISNUMBER(KA98)),KC98-KA98,"")</f>
        <v>0</v>
      </c>
      <c r="KC98" s="33"/>
      <c r="KD98" s="34">
        <f>IF(AND(ISNUMBER(KE98),ISNUMBER(KC98)),KE98-KC98,"")</f>
        <v>0</v>
      </c>
      <c r="KE98" s="33"/>
      <c r="KF98" s="34">
        <f>IF(AND(ISNUMBER(KG98),ISNUMBER(KE98)),KG98-KE98,"")</f>
        <v>0</v>
      </c>
      <c r="KG98" s="33"/>
      <c r="KH98" s="34">
        <f>IF(AND(ISNUMBER(KI98),ISNUMBER(KG98)),KI98-KG98,"")</f>
        <v>0</v>
      </c>
      <c r="KI98" s="33"/>
      <c r="KJ98" s="34">
        <f>IF(AND(ISNUMBER(KK98),ISNUMBER(KI98)),KK98-KI98,"")</f>
        <v>0</v>
      </c>
      <c r="KK98" s="33"/>
      <c r="KL98" s="34">
        <f>IF(AND(ISNUMBER(KM98),ISNUMBER(KK98)),KM98-KK98,"")</f>
        <v>0</v>
      </c>
      <c r="KM98" s="33"/>
      <c r="KN98" s="34">
        <f>IF(AND(ISNUMBER(KO98),ISNUMBER(KM98)),KO98-KM98,"")</f>
        <v>0</v>
      </c>
      <c r="KO98" s="33"/>
      <c r="KP98" s="34">
        <f>IF(AND(ISNUMBER(KQ98),ISNUMBER(KO98)),KQ98-KO98,"")</f>
        <v>0</v>
      </c>
      <c r="KQ98" s="33"/>
      <c r="KR98" s="34">
        <f>IF(AND(ISNUMBER(KS98),ISNUMBER(KQ98)),KS98-KQ98,"")</f>
        <v>0</v>
      </c>
      <c r="KS98" s="33"/>
      <c r="KT98" s="34">
        <f>IF(AND(ISNUMBER(KU98),ISNUMBER(KS98)),KU98-KS98,"")</f>
        <v>0</v>
      </c>
      <c r="KU98" s="33"/>
      <c r="KV98" s="34">
        <f>IF(AND(ISNUMBER(KW98),ISNUMBER(KU98)),KW98-KU98,"")</f>
        <v>0</v>
      </c>
      <c r="KW98" s="33"/>
      <c r="KX98" s="34">
        <f>IF(AND(ISNUMBER(KY98),ISNUMBER(KW98)),KY98-KW98,"")</f>
        <v>0</v>
      </c>
      <c r="KY98" s="33"/>
      <c r="KZ98" s="34">
        <f>IF(AND(ISNUMBER(LA98),ISNUMBER(KY98)),LA98-KY98,"")</f>
        <v>0</v>
      </c>
      <c r="LA98" s="33"/>
      <c r="LB98" s="34">
        <f>IF(AND(ISNUMBER(LC98),ISNUMBER(LA98)),LC98-LA98,"")</f>
        <v>0</v>
      </c>
      <c r="LC98" s="33"/>
      <c r="LD98" s="34">
        <f>IF(AND(ISNUMBER(LE98),ISNUMBER(LC98)),LE98-LC98,"")</f>
        <v>0</v>
      </c>
      <c r="LE98" s="33"/>
      <c r="LF98" s="34">
        <f>IF(AND(ISNUMBER(LG98),ISNUMBER(LE98)),LG98-LE98,"")</f>
        <v>0</v>
      </c>
      <c r="LG98" s="33"/>
    </row>
    <row r="99" spans="1:322" hidden="1">
      <c r="A99" s="36" t="s">
        <v>854</v>
      </c>
      <c r="B99" s="23"/>
      <c r="C99" s="37" t="s">
        <v>1111</v>
      </c>
      <c r="D99" s="37" t="s">
        <v>832</v>
      </c>
      <c r="H99" s="38" t="s">
        <v>1082</v>
      </c>
      <c r="I99" s="33"/>
      <c r="J99" s="34">
        <f>IF(AND(ISNUMBER(K99),ISNUMBER(I99)),K99-I99,"")</f>
        <v>0</v>
      </c>
      <c r="K99" s="33"/>
      <c r="L99" s="34">
        <f>IF(AND(ISNUMBER(M99),ISNUMBER(K99)),M99-K99,"")</f>
        <v>0</v>
      </c>
      <c r="M99" s="33"/>
      <c r="N99" s="34">
        <f>IF(AND(ISNUMBER(O99),ISNUMBER(M99)),O99-M99,"")</f>
        <v>0</v>
      </c>
      <c r="O99" s="33"/>
      <c r="P99" s="34">
        <f>IF(AND(ISNUMBER(Q99),ISNUMBER(O99)),Q99-O99,"")</f>
        <v>0</v>
      </c>
      <c r="Q99" s="33"/>
      <c r="R99" s="34">
        <f>IF(AND(ISNUMBER(S99),ISNUMBER(Q99)),S99-Q99,"")</f>
        <v>0</v>
      </c>
      <c r="S99" s="33"/>
      <c r="T99" s="34">
        <f>IF(AND(ISNUMBER(U99),ISNUMBER(S99)),U99-S99,"")</f>
        <v>0</v>
      </c>
      <c r="U99" s="33"/>
      <c r="V99" s="34">
        <f>IF(AND(ISNUMBER(W99),ISNUMBER(U99)),W99-U99,"")</f>
        <v>0</v>
      </c>
      <c r="W99" s="33"/>
      <c r="X99" s="34">
        <f>IF(AND(ISNUMBER(Y99),ISNUMBER(W99)),Y99-W99,"")</f>
        <v>0</v>
      </c>
      <c r="Y99" s="33"/>
      <c r="Z99" s="34">
        <f>IF(AND(ISNUMBER(AA99),ISNUMBER(Y99)),AA99-Y99,"")</f>
        <v>0</v>
      </c>
      <c r="AA99" s="33"/>
      <c r="AB99" s="34">
        <f>IF(AND(ISNUMBER(AC99),ISNUMBER(AA99)),AC99-AA99,"")</f>
        <v>0</v>
      </c>
      <c r="AC99" s="33"/>
      <c r="AD99" s="34">
        <f>IF(AND(ISNUMBER(AE99),ISNUMBER(AC99)),AE99-AC99,"")</f>
        <v>0</v>
      </c>
      <c r="AE99" s="33"/>
      <c r="AF99" s="34">
        <f>IF(AND(ISNUMBER(AG99),ISNUMBER(AE99)),AG99-AE99,"")</f>
        <v>0</v>
      </c>
      <c r="AG99" s="33"/>
      <c r="AH99" s="34">
        <f>IF(AND(ISNUMBER(AI99),ISNUMBER(AG99)),AI99-AG99,"")</f>
        <v>0</v>
      </c>
      <c r="AI99" s="33"/>
      <c r="AJ99" s="34">
        <f>IF(AND(ISNUMBER(AK99),ISNUMBER(AI99)),AK99-AI99,"")</f>
        <v>0</v>
      </c>
      <c r="AK99" s="33"/>
      <c r="AL99" s="34">
        <f>IF(AND(ISNUMBER(AM99),ISNUMBER(AK99)),AM99-AK99,"")</f>
        <v>0</v>
      </c>
      <c r="AM99" s="33"/>
      <c r="AN99" s="34">
        <f>IF(AND(ISNUMBER(AO99),ISNUMBER(AM99)),AO99-AM99,"")</f>
        <v>0</v>
      </c>
      <c r="AO99" s="33"/>
      <c r="AP99" s="34">
        <f>IF(AND(ISNUMBER(AQ99),ISNUMBER(AO99)),AQ99-AO99,"")</f>
        <v>0</v>
      </c>
      <c r="AQ99" s="33"/>
      <c r="AR99" s="34">
        <f>IF(AND(ISNUMBER(AS99),ISNUMBER(AQ99)),AS99-AQ99,"")</f>
        <v>0</v>
      </c>
      <c r="AS99" s="33"/>
      <c r="AT99" s="34">
        <f>IF(AND(ISNUMBER(AU99),ISNUMBER(AS99)),AU99-AS99,"")</f>
        <v>0</v>
      </c>
      <c r="AU99" s="33"/>
      <c r="AV99" s="34">
        <f>IF(AND(ISNUMBER(AW99),ISNUMBER(AU99)),AW99-AU99,"")</f>
        <v>0</v>
      </c>
      <c r="AW99" s="33"/>
      <c r="AX99" s="34">
        <f>IF(AND(ISNUMBER(AY99),ISNUMBER(AW99)),AY99-AW99,"")</f>
        <v>0</v>
      </c>
      <c r="AY99" s="33"/>
      <c r="AZ99" s="34">
        <f>IF(AND(ISNUMBER(BA99),ISNUMBER(AY99)),BA99-AY99,"")</f>
        <v>0</v>
      </c>
      <c r="BA99" s="33"/>
      <c r="BB99" s="34">
        <f>IF(AND(ISNUMBER(BC99),ISNUMBER(BA99)),BC99-BA99,"")</f>
        <v>0</v>
      </c>
      <c r="BC99" s="33"/>
      <c r="BD99" s="34">
        <f>IF(AND(ISNUMBER(BE99),ISNUMBER(BC99)),BE99-BC99,"")</f>
        <v>0</v>
      </c>
      <c r="BE99" s="33"/>
      <c r="BF99" s="34">
        <f>IF(AND(ISNUMBER(BG99),ISNUMBER(BE99)),BG99-BE99,"")</f>
        <v>0</v>
      </c>
      <c r="BG99" s="33"/>
      <c r="BH99" s="34">
        <f>IF(AND(ISNUMBER(BI99),ISNUMBER(BG99)),BI99-BG99,"")</f>
        <v>0</v>
      </c>
      <c r="BI99" s="33"/>
      <c r="BJ99" s="34">
        <f>IF(AND(ISNUMBER(BK99),ISNUMBER(BI99)),BK99-BI99,"")</f>
        <v>0</v>
      </c>
      <c r="BK99" s="33"/>
      <c r="BL99" s="34">
        <f>IF(AND(ISNUMBER(BM99),ISNUMBER(BK99)),BM99-BK99,"")</f>
        <v>0</v>
      </c>
      <c r="BM99" s="33"/>
      <c r="BN99" s="34">
        <f>IF(AND(ISNUMBER(BO99),ISNUMBER(BM99)),BO99-BM99,"")</f>
        <v>0</v>
      </c>
      <c r="BO99" s="33"/>
      <c r="BP99" s="34">
        <f>IF(AND(ISNUMBER(BQ99),ISNUMBER(BO99)),BQ99-BO99,"")</f>
        <v>0</v>
      </c>
      <c r="BQ99" s="33"/>
      <c r="BR99" s="34">
        <f>IF(AND(ISNUMBER(BS99),ISNUMBER(BQ99)),BS99-BQ99,"")</f>
        <v>0</v>
      </c>
      <c r="BS99" s="33"/>
      <c r="BT99" s="34">
        <f>IF(AND(ISNUMBER(BU99),ISNUMBER(BS99)),BU99-BS99,"")</f>
        <v>0</v>
      </c>
      <c r="BU99" s="33"/>
      <c r="BV99" s="34">
        <f>IF(AND(ISNUMBER(BW99),ISNUMBER(BU99)),BW99-BU99,"")</f>
        <v>0</v>
      </c>
      <c r="BW99" s="33"/>
      <c r="BX99" s="34">
        <f>IF(AND(ISNUMBER(BY99),ISNUMBER(BW99)),BY99-BW99,"")</f>
        <v>0</v>
      </c>
      <c r="BY99" s="39">
        <f>IF(COUNT(BY100:BY102)=0,"",SUM(BY100:BY102))</f>
        <v>0</v>
      </c>
      <c r="BZ99" s="34">
        <f>IF(AND(ISNUMBER(CA99),ISNUMBER(BY99)),CA99-BY99,"")</f>
        <v>0</v>
      </c>
      <c r="CA99" s="39">
        <f>IF(COUNT(CA100:CA102)=0,"",SUM(CA100:CA102))</f>
        <v>0</v>
      </c>
      <c r="CB99" s="34">
        <f>IF(AND(ISNUMBER(CC99),ISNUMBER(CA99)),CC99-CA99,"")</f>
        <v>0</v>
      </c>
      <c r="CC99" s="39">
        <f>IF(COUNT(CC100:CC101)=0,"",SUM(CC100:CC101))</f>
        <v>0</v>
      </c>
      <c r="CD99" s="34">
        <f>IF(AND(ISNUMBER(CE99),ISNUMBER(CC99)),CE99-CC99,"")</f>
        <v>0</v>
      </c>
      <c r="CE99" s="39">
        <f>IF(COUNT(CE100:CE101)=0,"",SUM(CE100:CE101))</f>
        <v>0</v>
      </c>
      <c r="CF99" s="34">
        <f>IF(AND(ISNUMBER(CG99),ISNUMBER(CE99)),CG99-CE99,"")</f>
        <v>0</v>
      </c>
      <c r="CG99" s="39">
        <f>IF(COUNT(CG100:CG101)=0,"",SUM(CG100:CG101))</f>
        <v>0</v>
      </c>
      <c r="CH99" s="34">
        <f>IF(AND(ISNUMBER(CI99),ISNUMBER(CG99)),CI99-CG99,"")</f>
        <v>0</v>
      </c>
      <c r="CI99" s="39">
        <f>IF(COUNT(CI100:CI101)=0,"",SUM(CI100:CI101))</f>
        <v>0</v>
      </c>
      <c r="CJ99" s="34">
        <f>IF(AND(ISNUMBER(CK99),ISNUMBER(CI99)),CK99-CI99,"")</f>
        <v>0</v>
      </c>
      <c r="CK99" s="39">
        <f>IF(COUNT(CK100:CK101)=0,"",SUM(CK100:CK101))</f>
        <v>0</v>
      </c>
      <c r="CL99" s="34">
        <f>IF(AND(ISNUMBER(CM99),ISNUMBER(CK99)),CM99-CK99,"")</f>
        <v>0</v>
      </c>
      <c r="CM99" s="39">
        <f>IF(COUNT(CM100:CM101)=0,"",SUM(CM100:CM101))</f>
        <v>0</v>
      </c>
      <c r="CN99" s="34">
        <f>IF(AND(ISNUMBER(CO99),ISNUMBER(CM99)),CO99-CM99,"")</f>
        <v>0</v>
      </c>
      <c r="CO99" s="39">
        <f>IF(COUNT(CO100:CO101)=0,"",SUM(CO100:CO101))</f>
        <v>0</v>
      </c>
      <c r="CP99" s="34">
        <f>IF(AND(ISNUMBER(CQ99),ISNUMBER(CO99)),CQ99-CO99,"")</f>
        <v>0</v>
      </c>
      <c r="CQ99" s="39">
        <f>IF(COUNT(CQ100:CQ101)=0,"",SUM(CQ100:CQ101))</f>
        <v>0</v>
      </c>
      <c r="CR99" s="34">
        <f>IF(AND(ISNUMBER(CS99),ISNUMBER(CQ99)),CS99-CQ99,"")</f>
        <v>0</v>
      </c>
      <c r="CS99" s="39">
        <f>IF(COUNT(CS100:CS101)=0,"",SUM(CS100:CS101))</f>
        <v>0</v>
      </c>
      <c r="CT99" s="34">
        <f>IF(AND(ISNUMBER(CU99),ISNUMBER(CS99)),CU99-CS99,"")</f>
        <v>0</v>
      </c>
      <c r="CU99" s="39">
        <f>IF(COUNT(CU100:CU101)=0,"",SUM(CU100:CU101))</f>
        <v>0</v>
      </c>
      <c r="CV99" s="34">
        <f>IF(AND(ISNUMBER(CW99),ISNUMBER(CU99)),CW99-CU99,"")</f>
        <v>0</v>
      </c>
      <c r="CW99" s="39">
        <f>IF(COUNT(CW100:CW101)=0,"",SUM(CW100:CW101))</f>
        <v>0</v>
      </c>
      <c r="CX99" s="34">
        <f>IF(AND(ISNUMBER(CY99),ISNUMBER(CW99)),CY99-CW99,"")</f>
        <v>0</v>
      </c>
      <c r="CY99" s="39">
        <f>IF(COUNT(CY100:CY101)=0,"",SUM(CY100:CY101))</f>
        <v>0</v>
      </c>
      <c r="CZ99" s="34">
        <f>IF(AND(ISNUMBER(DA99),ISNUMBER(CY99)),DA99-CY99,"")</f>
        <v>0</v>
      </c>
      <c r="DA99" s="39">
        <f>IF(COUNT(DA100:DA101)=0,"",SUM(DA100:DA101))</f>
        <v>0</v>
      </c>
      <c r="DB99" s="34">
        <f>IF(AND(ISNUMBER(DC99),ISNUMBER(DA99)),DC99-DA99,"")</f>
        <v>0</v>
      </c>
      <c r="DC99" s="39">
        <f>IF(COUNT(DC100:DC101)=0,"",SUM(DC100:DC101))</f>
        <v>0</v>
      </c>
      <c r="DD99" s="34">
        <f>IF(AND(ISNUMBER(DE99),ISNUMBER(DC99)),DE99-DC99,"")</f>
        <v>0</v>
      </c>
      <c r="DE99" s="39">
        <f>IF(COUNT(DE100:DE101)=0,"",SUM(DE100:DE101))</f>
        <v>0</v>
      </c>
      <c r="DF99" s="34">
        <f>IF(AND(ISNUMBER(DG99),ISNUMBER(DE99)),DG99-DE99,"")</f>
        <v>0</v>
      </c>
      <c r="DG99" s="39">
        <f>IF(COUNT(DG100:DG101)=0,"",SUM(DG100:DG101))</f>
        <v>0</v>
      </c>
      <c r="DH99" s="34">
        <f>IF(AND(ISNUMBER(DI99),ISNUMBER(DG99)),DI99-DG99,"")</f>
        <v>0</v>
      </c>
      <c r="DI99" s="39">
        <f>IF(COUNT(DI100:DI101)=0,"",SUM(DI100:DI101))</f>
        <v>0</v>
      </c>
      <c r="DJ99" s="34">
        <f>IF(AND(ISNUMBER(DK99),ISNUMBER(DI99)),DK99-DI99,"")</f>
        <v>0</v>
      </c>
      <c r="DK99" s="39">
        <f>IF(COUNT(DK100:DK101)=0,"",SUM(DK100:DK101))</f>
        <v>0</v>
      </c>
      <c r="DL99" s="34">
        <f>IF(AND(ISNUMBER(DM99),ISNUMBER(DK99)),DM99-DK99,"")</f>
        <v>0</v>
      </c>
      <c r="DM99" s="39">
        <f>IF(COUNT(DM100:DM101)=0,"",SUM(DM100:DM101))</f>
        <v>0</v>
      </c>
      <c r="DN99" s="34">
        <f>IF(AND(ISNUMBER(DO99),ISNUMBER(DM99)),DO99-DM99,"")</f>
        <v>0</v>
      </c>
      <c r="DO99" s="39">
        <f>IF(COUNT(DO100:DO101)=0,"",SUM(DO100:DO101))</f>
        <v>0</v>
      </c>
      <c r="DP99" s="34">
        <f>IF(AND(ISNUMBER(DQ99),ISNUMBER(DO99)),DQ99-DO99,"")</f>
        <v>0</v>
      </c>
      <c r="DQ99" s="39">
        <f>IF(COUNT(DQ100:DQ101)=0,"",SUM(DQ100:DQ101))</f>
        <v>0</v>
      </c>
      <c r="DR99" s="34">
        <f>IF(AND(ISNUMBER(DS99),ISNUMBER(DQ99)),DS99-DQ99,"")</f>
        <v>0</v>
      </c>
      <c r="DS99" s="39">
        <f>IF(COUNT(DS100:DS101)=0,"",SUM(DS100:DS101))</f>
        <v>0</v>
      </c>
      <c r="DT99" s="34">
        <f>IF(AND(ISNUMBER(DU99),ISNUMBER(DS99)),DU99-DS99,"")</f>
        <v>0</v>
      </c>
      <c r="DU99" s="39">
        <f>IF(COUNT(DU100:DU101)=0,"",SUM(DU100:DU101))</f>
        <v>0</v>
      </c>
      <c r="DV99" s="34">
        <f>IF(AND(ISNUMBER(DW99),ISNUMBER(DU99)),DW99-DU99,"")</f>
        <v>0</v>
      </c>
      <c r="DW99" s="39">
        <f>IF(COUNT(DW100:DW101)=0,"",SUM(DW100:DW101))</f>
        <v>0</v>
      </c>
      <c r="DX99" s="34">
        <f>IF(AND(ISNUMBER(DY99),ISNUMBER(DW99)),DY99-DW99,"")</f>
        <v>0</v>
      </c>
      <c r="DY99" s="39">
        <f>IF(COUNT(DY100:DY101)=0,"",SUM(DY100:DY101))</f>
        <v>0</v>
      </c>
      <c r="DZ99" s="34">
        <f>IF(AND(ISNUMBER(EA99),ISNUMBER(DY99)),EA99-DY99,"")</f>
        <v>0</v>
      </c>
      <c r="EA99" s="39">
        <f>IF(COUNT(EA100:EA101)=0,"",SUM(EA100:EA101))</f>
        <v>0</v>
      </c>
      <c r="EB99" s="34">
        <f>IF(AND(ISNUMBER(EC99),ISNUMBER(EA99)),EC99-EA99,"")</f>
        <v>0</v>
      </c>
      <c r="EC99" s="39">
        <f>IF(COUNT(EC100:EC101)=0,"",SUM(EC100:EC101))</f>
        <v>0</v>
      </c>
      <c r="ED99" s="34">
        <f>IF(AND(ISNUMBER(EE99),ISNUMBER(EC99)),EE99-EC99,"")</f>
        <v>0</v>
      </c>
      <c r="EE99" s="39">
        <f>IF(COUNT(EE100:EE101)=0,"",SUM(EE100:EE101))</f>
        <v>0</v>
      </c>
      <c r="EF99" s="34">
        <f>IF(AND(ISNUMBER(EG99),ISNUMBER(EE99)),EG99-EE99,"")</f>
        <v>0</v>
      </c>
      <c r="EG99" s="39">
        <f>IF(COUNT(EG100:EG101)=0,"",SUM(EG100:EG101))</f>
        <v>0</v>
      </c>
      <c r="EH99" s="34">
        <f>IF(AND(ISNUMBER(EI99),ISNUMBER(EG99)),EI99-EG99,"")</f>
        <v>0</v>
      </c>
      <c r="EI99" s="39">
        <f>IF(COUNT(EI100:EI101)=0,"",SUM(EI100:EI101))</f>
        <v>0</v>
      </c>
      <c r="EJ99" s="34">
        <f>IF(AND(ISNUMBER(EK99),ISNUMBER(EI99)),EK99-EI99,"")</f>
        <v>0</v>
      </c>
      <c r="EK99" s="39">
        <f>IF(COUNT(EK100:EK101)=0,"",SUM(EK100:EK101))</f>
        <v>0</v>
      </c>
      <c r="EL99" s="34">
        <f>IF(AND(ISNUMBER(EM99),ISNUMBER(EK99)),EM99-EK99,"")</f>
        <v>0</v>
      </c>
      <c r="EM99" s="39">
        <f>IF(COUNT(EM100:EM101)=0,"",SUM(EM100:EM101))</f>
        <v>0</v>
      </c>
      <c r="EN99" s="34">
        <f>IF(AND(ISNUMBER(EO99),ISNUMBER(EM99)),EO99-EM99,"")</f>
        <v>0</v>
      </c>
      <c r="EO99" s="39">
        <f>IF(COUNT(EO100:EO101)=0,"",SUM(EO100:EO101))</f>
        <v>0</v>
      </c>
      <c r="EP99" s="34">
        <f>IF(AND(ISNUMBER(EQ99),ISNUMBER(EO99)),EQ99-EO99,"")</f>
        <v>0</v>
      </c>
      <c r="EQ99" s="39">
        <f>IF(COUNT(EQ100:EQ101)=0,"",SUM(EQ100:EQ101))</f>
        <v>0</v>
      </c>
      <c r="ER99" s="34">
        <f>IF(AND(ISNUMBER(ES99),ISNUMBER(EQ99)),ES99-EQ99,"")</f>
        <v>0</v>
      </c>
      <c r="ES99" s="39">
        <f>IF(COUNT(ES100:ES101)=0,"",SUM(ES100:ES101))</f>
        <v>0</v>
      </c>
      <c r="ET99" s="34">
        <f>IF(AND(ISNUMBER(EU99),ISNUMBER(ES99)),EU99-ES99,"")</f>
        <v>0</v>
      </c>
      <c r="EU99" s="39">
        <f>IF(COUNT(EU100:EU101)=0,"",SUM(EU100:EU101))</f>
        <v>0</v>
      </c>
      <c r="EV99" s="34">
        <f>IF(AND(ISNUMBER(EW99),ISNUMBER(EU99)),EW99-EU99,"")</f>
        <v>0</v>
      </c>
      <c r="EW99" s="39">
        <f>IF(COUNT(EW100:EW101)=0,"",SUM(EW100:EW101))</f>
        <v>0</v>
      </c>
      <c r="EX99" s="34">
        <f>IF(AND(ISNUMBER(EY99),ISNUMBER(EW99)),EY99-EW99,"")</f>
        <v>0</v>
      </c>
      <c r="EY99" s="39">
        <f>IF(COUNT(EY100:EY101)=0,"",SUM(EY100:EY101))</f>
        <v>0</v>
      </c>
      <c r="EZ99" s="34">
        <f>IF(AND(ISNUMBER(FA99),ISNUMBER(EY99)),FA99-EY99,"")</f>
        <v>0</v>
      </c>
      <c r="FA99" s="39">
        <f>IF(COUNT(FA100:FA101)=0,"",SUM(FA100:FA101))</f>
        <v>0</v>
      </c>
      <c r="FB99" s="34">
        <f>IF(AND(ISNUMBER(FC99),ISNUMBER(FA99)),FC99-FA99,"")</f>
        <v>0</v>
      </c>
      <c r="FC99" s="39">
        <f>IF(COUNT(FC100:FC101)=0,"",SUM(FC100:FC101))</f>
        <v>0</v>
      </c>
      <c r="FD99" s="34">
        <f>IF(AND(ISNUMBER(FE99),ISNUMBER(FC99)),FE99-FC99,"")</f>
        <v>0</v>
      </c>
      <c r="FE99" s="39">
        <f>IF(COUNT(FE100:FE101)=0,"",SUM(FE100:FE101))</f>
        <v>0</v>
      </c>
      <c r="FF99" s="34">
        <f>IF(AND(ISNUMBER(FG99),ISNUMBER(FE99)),FG99-FE99,"")</f>
        <v>0</v>
      </c>
      <c r="FG99" s="39">
        <f>IF(COUNT(FG100:FG101)=0,"",SUM(FG100:FG101))</f>
        <v>0</v>
      </c>
      <c r="FH99" s="34">
        <f>IF(AND(ISNUMBER(FI99),ISNUMBER(FG99)),FI99-FG99,"")</f>
        <v>0</v>
      </c>
      <c r="FI99" s="39">
        <f>IF(COUNT(FI100:FI101)=0,"",SUM(FI100:FI101))</f>
        <v>0</v>
      </c>
      <c r="FJ99" s="34">
        <f>IF(AND(ISNUMBER(FK99),ISNUMBER(FI99)),FK99-FI99,"")</f>
        <v>0</v>
      </c>
      <c r="FK99" s="39">
        <f>IF(COUNT(FK100:FK101)=0,"",SUM(FK100:FK101))</f>
        <v>0</v>
      </c>
      <c r="FL99" s="34">
        <f>IF(AND(ISNUMBER(FM99),ISNUMBER(FK99)),FM99-FK99,"")</f>
        <v>0</v>
      </c>
      <c r="FM99" s="39">
        <f>IF(COUNT(FM100:FM101)=0,"",SUM(FM100:FM101))</f>
        <v>0</v>
      </c>
      <c r="FN99" s="34">
        <f>IF(AND(ISNUMBER(FO99),ISNUMBER(FM99)),FO99-FM99,"")</f>
        <v>0</v>
      </c>
      <c r="FO99" s="39">
        <f>IF(COUNT(FO100:FO101)=0,"",SUM(FO100:FO101))</f>
        <v>0</v>
      </c>
      <c r="FP99" s="34">
        <f>IF(AND(ISNUMBER(FQ99),ISNUMBER(FO99)),FQ99-FO99,"")</f>
        <v>0</v>
      </c>
      <c r="FQ99" s="39">
        <f>IF(COUNT(FQ100:FQ101)=0,"",SUM(FQ100:FQ101))</f>
        <v>0</v>
      </c>
      <c r="FR99" s="34">
        <f>IF(AND(ISNUMBER(FS99),ISNUMBER(FQ99)),FS99-FQ99,"")</f>
        <v>0</v>
      </c>
      <c r="FS99" s="39">
        <f>IF(COUNT(FS100:FS101)=0,"",SUM(FS100:FS101))</f>
        <v>0</v>
      </c>
      <c r="FT99" s="34">
        <f>IF(AND(ISNUMBER(FU99),ISNUMBER(FS99)),FU99-FS99,"")</f>
        <v>0</v>
      </c>
      <c r="FU99" s="39">
        <f>IF(COUNT(FU100:FU101)=0,"",SUM(FU100:FU101))</f>
        <v>0</v>
      </c>
      <c r="FV99" s="34">
        <f>IF(AND(ISNUMBER(FW99),ISNUMBER(FU99)),FW99-FU99,"")</f>
        <v>0</v>
      </c>
      <c r="FW99" s="39">
        <f>IF(COUNT(FW100:FW101)=0,"",SUM(FW100:FW101))</f>
        <v>0</v>
      </c>
      <c r="FX99" s="34">
        <f>IF(AND(ISNUMBER(FY99),ISNUMBER(FW99)),FY99-FW99,"")</f>
        <v>0</v>
      </c>
      <c r="FY99" s="39">
        <f>IF(COUNT(FY100:FY101)=0,"",SUM(FY100:FY101))</f>
        <v>0</v>
      </c>
      <c r="FZ99" s="34">
        <f>IF(AND(ISNUMBER(GA99),ISNUMBER(FY99)),GA99-FY99,"")</f>
        <v>0</v>
      </c>
      <c r="GA99" s="39">
        <f>IF(COUNT(GA100:GA101)=0,"",SUM(GA100:GA101))</f>
        <v>0</v>
      </c>
      <c r="GB99" s="34">
        <f>IF(AND(ISNUMBER(GC99),ISNUMBER(GA99)),GC99-GA99,"")</f>
        <v>0</v>
      </c>
      <c r="GC99" s="39">
        <f>IF(COUNT(GC100:GC101)=0,"",SUM(GC100:GC101))</f>
        <v>0</v>
      </c>
      <c r="GD99" s="34">
        <f>IF(AND(ISNUMBER(GE99),ISNUMBER(GC99)),GE99-GC99,"")</f>
        <v>0</v>
      </c>
      <c r="GE99" s="39">
        <f>IF(COUNT(GE100:GE101)=0,"",SUM(GE100:GE101))</f>
        <v>0</v>
      </c>
      <c r="GF99" s="34">
        <f>IF(AND(ISNUMBER(GG99),ISNUMBER(GE99)),GG99-GE99,"")</f>
        <v>0</v>
      </c>
      <c r="GG99" s="39">
        <f>IF(COUNT(GG100:GG101)=0,"",SUM(GG100:GG101))</f>
        <v>0</v>
      </c>
      <c r="GH99" s="34">
        <f>IF(AND(ISNUMBER(GI99),ISNUMBER(GG99)),GI99-GG99,"")</f>
        <v>0</v>
      </c>
      <c r="GI99" s="39">
        <f>IF(COUNT(GI100:GI101)=0,"",SUM(GI100:GI101))</f>
        <v>0</v>
      </c>
      <c r="GJ99" s="34">
        <f>IF(AND(ISNUMBER(GK99),ISNUMBER(GI99)),GK99-GI99,"")</f>
        <v>0</v>
      </c>
      <c r="GK99" s="39">
        <f>IF(COUNT(GK100:GK101)=0,"",SUM(GK100:GK101))</f>
        <v>0</v>
      </c>
      <c r="GL99" s="34">
        <f>IF(AND(ISNUMBER(GM99),ISNUMBER(GK99)),GM99-GK99,"")</f>
        <v>0</v>
      </c>
      <c r="GM99" s="39">
        <f>IF(COUNT(GM100:GM101)=0,"",SUM(GM100:GM101))</f>
        <v>0</v>
      </c>
      <c r="GN99" s="34">
        <f>IF(AND(ISNUMBER(GO99),ISNUMBER(GM99)),GO99-GM99,"")</f>
        <v>0</v>
      </c>
      <c r="GO99" s="39">
        <f>IF(COUNT(GO100:GO101)=0,"",SUM(GO100:GO101))</f>
        <v>0</v>
      </c>
      <c r="GP99" s="34">
        <f>IF(AND(ISNUMBER(GQ99),ISNUMBER(GO99)),GQ99-GO99,"")</f>
        <v>0</v>
      </c>
      <c r="GQ99" s="39">
        <f>IF(COUNT(GQ100:GQ101)=0,"",SUM(GQ100:GQ101))</f>
        <v>0</v>
      </c>
      <c r="GR99" s="34">
        <f>IF(AND(ISNUMBER(GS99),ISNUMBER(GQ99)),GS99-GQ99,"")</f>
        <v>0</v>
      </c>
      <c r="GS99" s="39">
        <f>IF(COUNT(GS100:GS101)=0,"",SUM(GS100:GS101))</f>
        <v>0</v>
      </c>
      <c r="GT99" s="34">
        <f>IF(AND(ISNUMBER(GU99),ISNUMBER(GS99)),GU99-GS99,"")</f>
        <v>0</v>
      </c>
      <c r="GU99" s="39">
        <f>IF(COUNT(GU100:GU101)=0,"",SUM(GU100:GU101))</f>
        <v>0</v>
      </c>
      <c r="GV99" s="34">
        <f>IF(AND(ISNUMBER(GW99),ISNUMBER(GU99)),GW99-GU99,"")</f>
        <v>0</v>
      </c>
      <c r="GW99" s="39">
        <f>IF(COUNT(GW100:GW101)=0,"",SUM(GW100:GW101))</f>
        <v>0</v>
      </c>
      <c r="GX99" s="34">
        <f>IF(AND(ISNUMBER(GY99),ISNUMBER(GW99)),GY99-GW99,"")</f>
        <v>0</v>
      </c>
      <c r="GY99" s="39">
        <f>IF(COUNT(GY100:GY101)=0,"",SUM(GY100:GY101))</f>
        <v>0</v>
      </c>
      <c r="GZ99" s="34">
        <f>IF(AND(ISNUMBER(HA99),ISNUMBER(GY99)),HA99-GY99,"")</f>
        <v>0</v>
      </c>
      <c r="HA99" s="39">
        <f>IF(COUNT(HA100:HA101)=0,"",SUM(HA100:HA101))</f>
        <v>0</v>
      </c>
      <c r="HB99" s="34">
        <f>IF(AND(ISNUMBER(HC99),ISNUMBER(HA99)),HC99-HA99,"")</f>
        <v>0</v>
      </c>
      <c r="HC99" s="39">
        <f>IF(COUNT(HC100:HC101)=0,"",SUM(HC100:HC101))</f>
        <v>0</v>
      </c>
      <c r="HD99" s="34">
        <f>IF(AND(ISNUMBER(HE99),ISNUMBER(HC99)),HE99-HC99,"")</f>
        <v>0</v>
      </c>
      <c r="HE99" s="39">
        <f>IF(COUNT(HE100:HE101)=0,"",SUM(HE100:HE101))</f>
        <v>0</v>
      </c>
      <c r="HF99" s="34">
        <f>IF(AND(ISNUMBER(HG99),ISNUMBER(HE99)),HG99-HE99,"")</f>
        <v>0</v>
      </c>
      <c r="HG99" s="39">
        <f>IF(COUNT(HG100:HG101)=0,"",SUM(HG100:HG101))</f>
        <v>0</v>
      </c>
      <c r="HH99" s="34">
        <f>IF(AND(ISNUMBER(HI99),ISNUMBER(HG99)),HI99-HG99,"")</f>
        <v>0</v>
      </c>
      <c r="HI99" s="39">
        <f>IF(COUNT(HI100:HI101)=0,"",SUM(HI100:HI101))</f>
        <v>0</v>
      </c>
      <c r="HJ99" s="34">
        <f>IF(AND(ISNUMBER(HK99),ISNUMBER(HI99)),HK99-HI99,"")</f>
        <v>0</v>
      </c>
      <c r="HK99" s="39">
        <f>IF(COUNT(HK100:HK101)=0,"",SUM(HK100:HK101))</f>
        <v>0</v>
      </c>
      <c r="HL99" s="34">
        <f>IF(AND(ISNUMBER(HM99),ISNUMBER(HK99)),HM99-HK99,"")</f>
        <v>0</v>
      </c>
      <c r="HM99" s="39">
        <f>IF(COUNT(HM100:HM101)=0,"",SUM(HM100:HM101))</f>
        <v>0</v>
      </c>
      <c r="HN99" s="34">
        <f>IF(AND(ISNUMBER(HO99),ISNUMBER(HM99)),HO99-HM99,"")</f>
        <v>0</v>
      </c>
      <c r="HO99" s="39">
        <f>IF(COUNT(HO100:HO101)=0,"",SUM(HO100:HO101))</f>
        <v>0</v>
      </c>
      <c r="HP99" s="34">
        <f>IF(AND(ISNUMBER(HQ99),ISNUMBER(HO99)),HQ99-HO99,"")</f>
        <v>0</v>
      </c>
      <c r="HQ99" s="39">
        <f>IF(COUNT(HQ100:HQ101)=0,"",SUM(HQ100:HQ101))</f>
        <v>0</v>
      </c>
      <c r="HR99" s="34">
        <f>IF(AND(ISNUMBER(HS99),ISNUMBER(HQ99)),HS99-HQ99,"")</f>
        <v>0</v>
      </c>
      <c r="HS99" s="39">
        <f>IF(COUNT(HS100:HS101)=0,"",SUM(HS100:HS101))</f>
        <v>0</v>
      </c>
      <c r="HT99" s="34">
        <f>IF(AND(ISNUMBER(HU99),ISNUMBER(HS99)),HU99-HS99,"")</f>
        <v>0</v>
      </c>
      <c r="HU99" s="39">
        <f>IF(COUNT(HU100:HU101)=0,"",SUM(HU100:HU101))</f>
        <v>0</v>
      </c>
      <c r="HV99" s="34">
        <f>IF(AND(ISNUMBER(HW99),ISNUMBER(HU99)),HW99-HU99,"")</f>
        <v>0</v>
      </c>
      <c r="HW99" s="39">
        <f>IF(COUNT(HW100:HW101)=0,"",SUM(HW100:HW101))</f>
        <v>0</v>
      </c>
      <c r="HX99" s="34">
        <f>IF(AND(ISNUMBER(HY99),ISNUMBER(HW99)),HY99-HW99,"")</f>
        <v>0</v>
      </c>
      <c r="HY99" s="39">
        <f>IF(COUNT(HY100:HY101)=0,"",SUM(HY100:HY101))</f>
        <v>0</v>
      </c>
      <c r="HZ99" s="34">
        <f>IF(AND(ISNUMBER(IA99),ISNUMBER(HY99)),IA99-HY99,"")</f>
        <v>0</v>
      </c>
      <c r="IA99" s="39">
        <f>IF(COUNT(IA100:IA101)=0,"",SUM(IA100:IA101))</f>
        <v>0</v>
      </c>
      <c r="IB99" s="34">
        <f>IF(AND(ISNUMBER(IC99),ISNUMBER(IA99)),IC99-IA99,"")</f>
        <v>0</v>
      </c>
      <c r="IC99" s="39">
        <f>IF(COUNT(IC100:IC101)=0,"",SUM(IC100:IC101))</f>
        <v>0</v>
      </c>
      <c r="ID99" s="34">
        <f>IF(AND(ISNUMBER(IE99),ISNUMBER(IC99)),IE99-IC99,"")</f>
        <v>0</v>
      </c>
      <c r="IE99" s="39">
        <f>IF(COUNT(IE100:IE101)=0,"",SUM(IE100:IE101))</f>
        <v>0</v>
      </c>
      <c r="IF99" s="34">
        <f>IF(AND(ISNUMBER(IG99),ISNUMBER(IE99)),IG99-IE99,"")</f>
        <v>0</v>
      </c>
      <c r="IG99" s="39">
        <f>IF(COUNT(IG100:IG101)=0,"",SUM(IG100:IG101))</f>
        <v>0</v>
      </c>
      <c r="IH99" s="34">
        <f>IF(AND(ISNUMBER(II99),ISNUMBER(IG99)),II99-IG99,"")</f>
        <v>0</v>
      </c>
      <c r="II99" s="39">
        <f>IF(COUNT(II100:II101)=0,"",SUM(II100:II101))</f>
        <v>0</v>
      </c>
      <c r="IJ99" s="34">
        <f>IF(AND(ISNUMBER(IK99),ISNUMBER(II99)),IK99-II99,"")</f>
        <v>0</v>
      </c>
      <c r="IK99" s="39">
        <f>IF(COUNT(IK100:IK101)=0,"",SUM(IK100:IK101))</f>
        <v>0</v>
      </c>
      <c r="IL99" s="34">
        <f>IF(AND(ISNUMBER(IM99),ISNUMBER(IK99)),IM99-IK99,"")</f>
        <v>0</v>
      </c>
      <c r="IM99" s="39">
        <f>IF(COUNT(IM100:IM101)=0,"",SUM(IM100:IM101))</f>
        <v>0</v>
      </c>
      <c r="IN99" s="34">
        <f>IF(AND(ISNUMBER(IO99),ISNUMBER(IM99)),IO99-IM99,"")</f>
        <v>0</v>
      </c>
      <c r="IO99" s="39">
        <f>IF(COUNT(IO100:IO101)=0,"",SUM(IO100:IO101))</f>
        <v>0</v>
      </c>
      <c r="IP99" s="34">
        <f>IF(AND(ISNUMBER(IQ99),ISNUMBER(IO99)),IQ99-IO99,"")</f>
        <v>0</v>
      </c>
      <c r="IQ99" s="39">
        <f>IF(COUNT(IQ100:IQ101)=0,"",SUM(IQ100:IQ101))</f>
        <v>0</v>
      </c>
      <c r="IR99" s="34">
        <f>IF(AND(ISNUMBER(IS99),ISNUMBER(IQ99)),IS99-IQ99,"")</f>
        <v>0</v>
      </c>
      <c r="IS99" s="39">
        <f>IF(COUNT(IS100:IS101)=0,"",SUM(IS100:IS101))</f>
        <v>0</v>
      </c>
      <c r="IT99" s="34">
        <f>IF(AND(ISNUMBER(IU99),ISNUMBER(IS99)),IU99-IS99,"")</f>
        <v>0</v>
      </c>
      <c r="IU99" s="39">
        <f>IF(COUNT(IU100:IU101)=0,"",SUM(IU100:IU101))</f>
        <v>0</v>
      </c>
      <c r="IV99" s="34">
        <f>IF(AND(ISNUMBER(IW99),ISNUMBER(IU99)),IW99-IU99,"")</f>
        <v>0</v>
      </c>
      <c r="IW99" s="39">
        <f>IF(COUNT(IW100:IW101)=0,"",SUM(IW100:IW101))</f>
        <v>0</v>
      </c>
      <c r="IX99" s="34">
        <f>IF(AND(ISNUMBER(IY99),ISNUMBER(IW99)),IY99-IW99,"")</f>
        <v>0</v>
      </c>
      <c r="IY99" s="39">
        <f>IF(COUNT(IY100:IY101)=0,"",SUM(IY100:IY101))</f>
        <v>0</v>
      </c>
      <c r="IZ99" s="34">
        <f>IF(AND(ISNUMBER(JA99),ISNUMBER(IY99)),JA99-IY99,"")</f>
        <v>0</v>
      </c>
      <c r="JA99" s="39">
        <f>IF(COUNT(JA100:JA101)=0,"",SUM(JA100:JA101))</f>
        <v>0</v>
      </c>
      <c r="JB99" s="34">
        <f>IF(AND(ISNUMBER(JC99),ISNUMBER(JA99)),JC99-JA99,"")</f>
        <v>0</v>
      </c>
      <c r="JC99" s="39">
        <f>IF(COUNT(JC100:JC101)=0,"",SUM(JC100:JC101))</f>
        <v>0</v>
      </c>
      <c r="JD99" s="34">
        <f>IF(AND(ISNUMBER(JE99),ISNUMBER(JC99)),JE99-JC99,"")</f>
        <v>0</v>
      </c>
      <c r="JE99" s="39">
        <f>IF(COUNT(JE100:JE101)=0,"",SUM(JE100:JE101))</f>
        <v>0</v>
      </c>
      <c r="JF99" s="34">
        <f>IF(AND(ISNUMBER(JG99),ISNUMBER(JE99)),JG99-JE99,"")</f>
        <v>0</v>
      </c>
      <c r="JG99" s="39">
        <f>IF(COUNT(JG100:JG101)=0,"",SUM(JG100:JG101))</f>
        <v>0</v>
      </c>
      <c r="JH99" s="34">
        <f>IF(AND(ISNUMBER(JI99),ISNUMBER(JG99)),JI99-JG99,"")</f>
        <v>0</v>
      </c>
      <c r="JI99" s="39">
        <f>IF(COUNT(JI100:JI101)=0,"",SUM(JI100:JI101))</f>
        <v>0</v>
      </c>
      <c r="JJ99" s="34">
        <f>IF(AND(ISNUMBER(JK99),ISNUMBER(JI99)),JK99-JI99,"")</f>
        <v>0</v>
      </c>
      <c r="JK99" s="39">
        <f>IF(COUNT(JK100:JK101)=0,"",SUM(JK100:JK101))</f>
        <v>0</v>
      </c>
      <c r="JL99" s="34">
        <f>IF(AND(ISNUMBER(JM99),ISNUMBER(JK99)),JM99-JK99,"")</f>
        <v>0</v>
      </c>
      <c r="JM99" s="39">
        <f>IF(COUNT(JM100:JM101)=0,"",SUM(JM100:JM101))</f>
        <v>0</v>
      </c>
      <c r="JN99" s="34">
        <f>IF(AND(ISNUMBER(JO99),ISNUMBER(JM99)),JO99-JM99,"")</f>
        <v>0</v>
      </c>
      <c r="JO99" s="39">
        <f>IF(COUNT(JO100:JO101)=0,"",SUM(JO100:JO101))</f>
        <v>0</v>
      </c>
      <c r="JP99" s="34">
        <f>IF(AND(ISNUMBER(JQ99),ISNUMBER(JO99)),JQ99-JO99,"")</f>
        <v>0</v>
      </c>
      <c r="JQ99" s="39">
        <f>IF(COUNT(JQ100:JQ101)=0,"",SUM(JQ100:JQ101))</f>
        <v>0</v>
      </c>
      <c r="JR99" s="34">
        <f>IF(AND(ISNUMBER(JS99),ISNUMBER(JQ99)),JS99-JQ99,"")</f>
        <v>0</v>
      </c>
      <c r="JS99" s="39">
        <f>IF(COUNT(JS100:JS101)=0,"",SUM(JS100:JS101))</f>
        <v>0</v>
      </c>
      <c r="JT99" s="34">
        <f>IF(AND(ISNUMBER(JU99),ISNUMBER(JS99)),JU99-JS99,"")</f>
        <v>0</v>
      </c>
      <c r="JU99" s="39">
        <f>IF(COUNT(JU100:JU101)=0,"",SUM(JU100:JU101))</f>
        <v>0</v>
      </c>
      <c r="JV99" s="34">
        <f>IF(AND(ISNUMBER(JW99),ISNUMBER(JU99)),JW99-JU99,"")</f>
        <v>0</v>
      </c>
      <c r="JW99" s="39">
        <f>IF(COUNT(JW100:JW101)=0,"",SUM(JW100:JW101))</f>
        <v>0</v>
      </c>
      <c r="JX99" s="34">
        <f>IF(AND(ISNUMBER(JY99),ISNUMBER(JW99)),JY99-JW99,"")</f>
        <v>0</v>
      </c>
      <c r="JY99" s="39">
        <f>IF(COUNT(JY100:JY101)=0,"",SUM(JY100:JY101))</f>
        <v>0</v>
      </c>
      <c r="JZ99" s="34">
        <f>IF(AND(ISNUMBER(KA99),ISNUMBER(JY99)),KA99-JY99,"")</f>
        <v>0</v>
      </c>
      <c r="KA99" s="39">
        <f>IF(COUNT(KA100:KA101)=0,"",SUM(KA100:KA101))</f>
        <v>0</v>
      </c>
      <c r="KB99" s="34">
        <f>IF(AND(ISNUMBER(KC99),ISNUMBER(KA99)),KC99-KA99,"")</f>
        <v>0</v>
      </c>
      <c r="KC99" s="39">
        <f>IF(COUNT(KC100:KC101)=0,"",SUM(KC100:KC101))</f>
        <v>0</v>
      </c>
      <c r="KD99" s="34">
        <f>IF(AND(ISNUMBER(KE99),ISNUMBER(KC99)),KE99-KC99,"")</f>
        <v>0</v>
      </c>
      <c r="KE99" s="39">
        <f>IF(COUNT(KE100:KE101)=0,"",SUM(KE100:KE101))</f>
        <v>0</v>
      </c>
      <c r="KF99" s="34">
        <f>IF(AND(ISNUMBER(KG99),ISNUMBER(KE99)),KG99-KE99,"")</f>
        <v>0</v>
      </c>
      <c r="KG99" s="39">
        <f>IF(COUNT(KG100:KG101)=0,"",SUM(KG100:KG101))</f>
        <v>0</v>
      </c>
      <c r="KH99" s="34">
        <f>IF(AND(ISNUMBER(KI99),ISNUMBER(KG99)),KI99-KG99,"")</f>
        <v>0</v>
      </c>
      <c r="KI99" s="39">
        <f>IF(COUNT(KI100:KI101)=0,"",SUM(KI100:KI101))</f>
        <v>0</v>
      </c>
      <c r="KJ99" s="34">
        <f>IF(AND(ISNUMBER(KK99),ISNUMBER(KI99)),KK99-KI99,"")</f>
        <v>0</v>
      </c>
      <c r="KK99" s="39">
        <f>IF(COUNT(KK100:KK101)=0,"",SUM(KK100:KK101))</f>
        <v>0</v>
      </c>
      <c r="KL99" s="34">
        <f>IF(AND(ISNUMBER(KM99),ISNUMBER(KK99)),KM99-KK99,"")</f>
        <v>0</v>
      </c>
      <c r="KM99" s="39">
        <f>IF(COUNT(KM100:KM101)=0,"",SUM(KM100:KM101))</f>
        <v>0</v>
      </c>
      <c r="KN99" s="34">
        <f>IF(AND(ISNUMBER(KO99),ISNUMBER(KM99)),KO99-KM99,"")</f>
        <v>0</v>
      </c>
      <c r="KO99" s="39">
        <f>IF(COUNT(KO100:KO101)=0,"",SUM(KO100:KO101))</f>
        <v>0</v>
      </c>
      <c r="KP99" s="34">
        <f>IF(AND(ISNUMBER(KQ99),ISNUMBER(KO99)),KQ99-KO99,"")</f>
        <v>0</v>
      </c>
      <c r="KQ99" s="39">
        <f>IF(COUNT(KQ100:KQ101)=0,"",SUM(KQ100:KQ101))</f>
        <v>0</v>
      </c>
      <c r="KR99" s="34">
        <f>IF(AND(ISNUMBER(KS99),ISNUMBER(KQ99)),KS99-KQ99,"")</f>
        <v>0</v>
      </c>
      <c r="KS99" s="39">
        <f>IF(COUNT(KS100:KS101)=0,"",SUM(KS100:KS101))</f>
        <v>0</v>
      </c>
      <c r="KT99" s="34">
        <f>IF(AND(ISNUMBER(KU99),ISNUMBER(KS99)),KU99-KS99,"")</f>
        <v>0</v>
      </c>
      <c r="KU99" s="39">
        <f>IF(COUNT(KU100:KU101)=0,"",SUM(KU100:KU101))</f>
        <v>0</v>
      </c>
      <c r="KV99" s="34">
        <f>IF(AND(ISNUMBER(KW99),ISNUMBER(KU99)),KW99-KU99,"")</f>
        <v>0</v>
      </c>
      <c r="KW99" s="39">
        <f>IF(COUNT(KW100:KW101)=0,"",SUM(KW100:KW101))</f>
        <v>0</v>
      </c>
      <c r="KX99" s="34">
        <f>IF(AND(ISNUMBER(KY99),ISNUMBER(KW99)),KY99-KW99,"")</f>
        <v>0</v>
      </c>
      <c r="KY99" s="39">
        <f>IF(COUNT(KY100:KY101)=0,"",SUM(KY100:KY101))</f>
        <v>0</v>
      </c>
      <c r="KZ99" s="34">
        <f>IF(AND(ISNUMBER(LA99),ISNUMBER(KY99)),LA99-KY99,"")</f>
        <v>0</v>
      </c>
      <c r="LA99" s="39">
        <f>IF(COUNT(LA100:LA101)=0,"",SUM(LA100:LA101))</f>
        <v>0</v>
      </c>
      <c r="LB99" s="34">
        <f>IF(AND(ISNUMBER(LC99),ISNUMBER(LA99)),LC99-LA99,"")</f>
        <v>0</v>
      </c>
      <c r="LC99" s="39">
        <f>IF(COUNT(LC100:LC101)=0,"",SUM(LC100:LC101))</f>
        <v>0</v>
      </c>
      <c r="LD99" s="34">
        <f>IF(AND(ISNUMBER(LE99),ISNUMBER(LC99)),LE99-LC99,"")</f>
        <v>0</v>
      </c>
      <c r="LE99" s="39">
        <f>IF(COUNT(LE100:LE101)=0,"",SUM(LE100:LE101))</f>
        <v>0</v>
      </c>
      <c r="LF99" s="34">
        <f>IF(AND(ISNUMBER(LG99),ISNUMBER(LE99)),LG99-LE99,"")</f>
        <v>0</v>
      </c>
      <c r="LG99" s="39">
        <f>IF(COUNT(LG100:LG101)=0,"",SUM(LG100:LG101))</f>
        <v>0</v>
      </c>
    </row>
    <row r="100" spans="1:322" hidden="1">
      <c r="B100" s="23"/>
      <c r="C100" s="31" t="s">
        <v>786</v>
      </c>
      <c r="D100" s="31" t="s">
        <v>1114</v>
      </c>
      <c r="E100" s="32" t="s">
        <v>1036</v>
      </c>
      <c r="I100" s="33"/>
      <c r="J100" s="34">
        <f>IF(AND(ISNUMBER(K100),ISNUMBER(I100)),K100-I100,"")</f>
        <v>0</v>
      </c>
      <c r="K100" s="33"/>
      <c r="L100" s="34">
        <f>IF(AND(ISNUMBER(M100),ISNUMBER(K100)),M100-K100,"")</f>
        <v>0</v>
      </c>
      <c r="M100" s="33"/>
      <c r="N100" s="34">
        <f>IF(AND(ISNUMBER(O100),ISNUMBER(M100)),O100-M100,"")</f>
        <v>0</v>
      </c>
      <c r="O100" s="33"/>
      <c r="P100" s="34">
        <f>IF(AND(ISNUMBER(Q100),ISNUMBER(O100)),Q100-O100,"")</f>
        <v>0</v>
      </c>
      <c r="Q100" s="33"/>
      <c r="R100" s="34">
        <f>IF(AND(ISNUMBER(S100),ISNUMBER(Q100)),S100-Q100,"")</f>
        <v>0</v>
      </c>
      <c r="S100" s="33"/>
      <c r="T100" s="34">
        <f>IF(AND(ISNUMBER(U100),ISNUMBER(S100)),U100-S100,"")</f>
        <v>0</v>
      </c>
      <c r="U100" s="33"/>
      <c r="V100" s="34">
        <f>IF(AND(ISNUMBER(W100),ISNUMBER(U100)),W100-U100,"")</f>
        <v>0</v>
      </c>
      <c r="W100" s="33"/>
      <c r="X100" s="34">
        <f>IF(AND(ISNUMBER(Y100),ISNUMBER(W100)),Y100-W100,"")</f>
        <v>0</v>
      </c>
      <c r="Y100" s="33"/>
      <c r="Z100" s="34">
        <f>IF(AND(ISNUMBER(AA100),ISNUMBER(Y100)),AA100-Y100,"")</f>
        <v>0</v>
      </c>
      <c r="AA100" s="33"/>
      <c r="AB100" s="34">
        <f>IF(AND(ISNUMBER(AC100),ISNUMBER(AA100)),AC100-AA100,"")</f>
        <v>0</v>
      </c>
      <c r="AC100" s="33"/>
      <c r="AD100" s="34">
        <f>IF(AND(ISNUMBER(AE100),ISNUMBER(AC100)),AE100-AC100,"")</f>
        <v>0</v>
      </c>
      <c r="AE100" s="33"/>
      <c r="AF100" s="34">
        <f>IF(AND(ISNUMBER(AG100),ISNUMBER(AE100)),AG100-AE100,"")</f>
        <v>0</v>
      </c>
      <c r="AG100" s="33"/>
      <c r="AH100" s="34">
        <f>IF(AND(ISNUMBER(AI100),ISNUMBER(AG100)),AI100-AG100,"")</f>
        <v>0</v>
      </c>
      <c r="AI100" s="33"/>
      <c r="AJ100" s="34">
        <f>IF(AND(ISNUMBER(AK100),ISNUMBER(AI100)),AK100-AI100,"")</f>
        <v>0</v>
      </c>
      <c r="AK100" s="33"/>
      <c r="AL100" s="34">
        <f>IF(AND(ISNUMBER(AM100),ISNUMBER(AK100)),AM100-AK100,"")</f>
        <v>0</v>
      </c>
      <c r="AM100" s="33"/>
      <c r="AN100" s="34">
        <f>IF(AND(ISNUMBER(AO100),ISNUMBER(AM100)),AO100-AM100,"")</f>
        <v>0</v>
      </c>
      <c r="AO100" s="33"/>
      <c r="AP100" s="34">
        <f>IF(AND(ISNUMBER(AQ100),ISNUMBER(AO100)),AQ100-AO100,"")</f>
        <v>0</v>
      </c>
      <c r="AQ100" s="33"/>
      <c r="AR100" s="34">
        <f>IF(AND(ISNUMBER(AS100),ISNUMBER(AQ100)),AS100-AQ100,"")</f>
        <v>0</v>
      </c>
      <c r="AS100" s="33"/>
      <c r="AT100" s="34">
        <f>IF(AND(ISNUMBER(AU100),ISNUMBER(AS100)),AU100-AS100,"")</f>
        <v>0</v>
      </c>
      <c r="AU100" s="33"/>
      <c r="AV100" s="34">
        <f>IF(AND(ISNUMBER(AW100),ISNUMBER(AU100)),AW100-AU100,"")</f>
        <v>0</v>
      </c>
      <c r="AW100" s="33"/>
      <c r="AX100" s="34">
        <f>IF(AND(ISNUMBER(AY100),ISNUMBER(AW100)),AY100-AW100,"")</f>
        <v>0</v>
      </c>
      <c r="AY100" s="33"/>
      <c r="AZ100" s="34">
        <f>IF(AND(ISNUMBER(BA100),ISNUMBER(AY100)),BA100-AY100,"")</f>
        <v>0</v>
      </c>
      <c r="BA100" s="33"/>
      <c r="BB100" s="34">
        <f>IF(AND(ISNUMBER(BC100),ISNUMBER(BA100)),BC100-BA100,"")</f>
        <v>0</v>
      </c>
      <c r="BC100" s="33"/>
      <c r="BD100" s="34">
        <f>IF(AND(ISNUMBER(BE100),ISNUMBER(BC100)),BE100-BC100,"")</f>
        <v>0</v>
      </c>
      <c r="BE100" s="33"/>
      <c r="BF100" s="34">
        <f>IF(AND(ISNUMBER(BG100),ISNUMBER(BE100)),BG100-BE100,"")</f>
        <v>0</v>
      </c>
      <c r="BG100" s="33"/>
      <c r="BH100" s="34">
        <f>IF(AND(ISNUMBER(BI100),ISNUMBER(BG100)),BI100-BG100,"")</f>
        <v>0</v>
      </c>
      <c r="BI100" s="33"/>
      <c r="BJ100" s="34">
        <f>IF(AND(ISNUMBER(BK100),ISNUMBER(BI100)),BK100-BI100,"")</f>
        <v>0</v>
      </c>
      <c r="BK100" s="33"/>
      <c r="BL100" s="34">
        <f>IF(AND(ISNUMBER(BM100),ISNUMBER(BK100)),BM100-BK100,"")</f>
        <v>0</v>
      </c>
      <c r="BM100" s="33"/>
      <c r="BN100" s="34">
        <f>IF(AND(ISNUMBER(BO100),ISNUMBER(BM100)),BO100-BM100,"")</f>
        <v>0</v>
      </c>
      <c r="BO100" s="33"/>
      <c r="BP100" s="34">
        <f>IF(AND(ISNUMBER(BQ100),ISNUMBER(BO100)),BQ100-BO100,"")</f>
        <v>0</v>
      </c>
      <c r="BQ100" s="33"/>
      <c r="BR100" s="34">
        <f>IF(AND(ISNUMBER(BS100),ISNUMBER(BQ100)),BS100-BQ100,"")</f>
        <v>0</v>
      </c>
      <c r="BS100" s="33"/>
      <c r="BT100" s="34">
        <f>IF(AND(ISNUMBER(BU100),ISNUMBER(BS100)),BU100-BS100,"")</f>
        <v>0</v>
      </c>
      <c r="BU100" s="33"/>
      <c r="BV100" s="34">
        <f>IF(AND(ISNUMBER(BW100),ISNUMBER(BU100)),BW100-BU100,"")</f>
        <v>0</v>
      </c>
      <c r="BW100" s="33"/>
      <c r="BX100" s="34">
        <f>IF(AND(ISNUMBER(BY100),ISNUMBER(BW100)),BY100-BW100,"")</f>
        <v>0</v>
      </c>
      <c r="BY100" s="33"/>
      <c r="BZ100" s="34">
        <f>IF(AND(ISNUMBER(CA100),ISNUMBER(BY100)),CA100-BY100,"")</f>
        <v>0</v>
      </c>
      <c r="CA100" s="33"/>
      <c r="CB100" s="34">
        <f>IF(AND(ISNUMBER(CC100),ISNUMBER(CA100)),CC100-CA100,"")</f>
        <v>0</v>
      </c>
      <c r="CC100" s="33"/>
      <c r="CD100" s="34">
        <f>IF(AND(ISNUMBER(CE100),ISNUMBER(CC100)),CE100-CC100,"")</f>
        <v>0</v>
      </c>
      <c r="CE100" s="33"/>
      <c r="CF100" s="34">
        <f>IF(AND(ISNUMBER(CG100),ISNUMBER(CE100)),CG100-CE100,"")</f>
        <v>0</v>
      </c>
      <c r="CG100" s="33"/>
      <c r="CH100" s="34">
        <f>IF(AND(ISNUMBER(CI100),ISNUMBER(CG100)),CI100-CG100,"")</f>
        <v>0</v>
      </c>
      <c r="CI100" s="33"/>
      <c r="CJ100" s="34">
        <f>IF(AND(ISNUMBER(CK100),ISNUMBER(CI100)),CK100-CI100,"")</f>
        <v>0</v>
      </c>
      <c r="CK100" s="33"/>
      <c r="CL100" s="34">
        <f>IF(AND(ISNUMBER(CM100),ISNUMBER(CK100)),CM100-CK100,"")</f>
        <v>0</v>
      </c>
      <c r="CM100" s="33"/>
      <c r="CN100" s="34">
        <f>IF(AND(ISNUMBER(CO100),ISNUMBER(CM100)),CO100-CM100,"")</f>
        <v>0</v>
      </c>
      <c r="CO100" s="33"/>
      <c r="CP100" s="34">
        <f>IF(AND(ISNUMBER(CQ100),ISNUMBER(CO100)),CQ100-CO100,"")</f>
        <v>0</v>
      </c>
      <c r="CQ100" s="33"/>
      <c r="CR100" s="34">
        <f>IF(AND(ISNUMBER(CS100),ISNUMBER(CQ100)),CS100-CQ100,"")</f>
        <v>0</v>
      </c>
      <c r="CS100" s="33"/>
      <c r="CT100" s="34">
        <f>IF(AND(ISNUMBER(CU100),ISNUMBER(CS100)),CU100-CS100,"")</f>
        <v>0</v>
      </c>
      <c r="CU100" s="33"/>
      <c r="CV100" s="34">
        <f>IF(AND(ISNUMBER(CW100),ISNUMBER(CU100)),CW100-CU100,"")</f>
        <v>0</v>
      </c>
      <c r="CW100" s="33"/>
      <c r="CX100" s="34">
        <f>IF(AND(ISNUMBER(CY100),ISNUMBER(CW100)),CY100-CW100,"")</f>
        <v>0</v>
      </c>
      <c r="CY100" s="33"/>
      <c r="CZ100" s="34">
        <f>IF(AND(ISNUMBER(DA100),ISNUMBER(CY100)),DA100-CY100,"")</f>
        <v>0</v>
      </c>
      <c r="DA100" s="33"/>
      <c r="DB100" s="34">
        <f>IF(AND(ISNUMBER(DC100),ISNUMBER(DA100)),DC100-DA100,"")</f>
        <v>0</v>
      </c>
      <c r="DC100" s="33"/>
      <c r="DD100" s="34">
        <f>IF(AND(ISNUMBER(DE100),ISNUMBER(DC100)),DE100-DC100,"")</f>
        <v>0</v>
      </c>
      <c r="DE100" s="33">
        <v>1951</v>
      </c>
      <c r="DF100" s="34">
        <f>IF(AND(ISNUMBER(DG100),ISNUMBER(DE100)),DG100-DE100,"")</f>
        <v>0</v>
      </c>
      <c r="DG100" s="33">
        <v>1215</v>
      </c>
      <c r="DH100" s="34">
        <f>IF(AND(ISNUMBER(DI100),ISNUMBER(DG100)),DI100-DG100,"")</f>
        <v>0</v>
      </c>
      <c r="DI100" s="33">
        <v>1105</v>
      </c>
      <c r="DJ100" s="34">
        <f>IF(AND(ISNUMBER(DK100),ISNUMBER(DI100)),DK100-DI100,"")</f>
        <v>0</v>
      </c>
      <c r="DK100" s="33">
        <v>1657</v>
      </c>
      <c r="DL100" s="34">
        <f>IF(AND(ISNUMBER(DM100),ISNUMBER(DK100)),DM100-DK100,"")</f>
        <v>0</v>
      </c>
      <c r="DM100" s="33"/>
      <c r="DN100" s="34">
        <f>IF(AND(ISNUMBER(DO100),ISNUMBER(DM100)),DO100-DM100,"")</f>
        <v>0</v>
      </c>
      <c r="DO100" s="33">
        <v>1164</v>
      </c>
      <c r="DP100" s="34">
        <f>IF(AND(ISNUMBER(DQ100),ISNUMBER(DO100)),DQ100-DO100,"")</f>
        <v>0</v>
      </c>
      <c r="DQ100" s="33">
        <v>1521</v>
      </c>
      <c r="DR100" s="34">
        <f>IF(AND(ISNUMBER(DS100),ISNUMBER(DQ100)),DS100-DQ100,"")</f>
        <v>0</v>
      </c>
      <c r="DS100" s="33">
        <v>1987</v>
      </c>
      <c r="DT100" s="34">
        <f>IF(AND(ISNUMBER(DU100),ISNUMBER(DS100)),DU100-DS100,"")</f>
        <v>0</v>
      </c>
      <c r="DU100" s="33">
        <v>1570</v>
      </c>
      <c r="DV100" s="34">
        <f>IF(AND(ISNUMBER(DW100),ISNUMBER(DU100)),DW100-DU100,"")</f>
        <v>0</v>
      </c>
      <c r="DW100" s="33"/>
      <c r="DX100" s="34">
        <f>IF(AND(ISNUMBER(DY100),ISNUMBER(DW100)),DY100-DW100,"")</f>
        <v>0</v>
      </c>
      <c r="DY100" s="33">
        <v>1266</v>
      </c>
      <c r="DZ100" s="34">
        <f>IF(AND(ISNUMBER(EA100),ISNUMBER(DY100)),EA100-DY100,"")</f>
        <v>0</v>
      </c>
      <c r="EA100" s="33">
        <v>1275</v>
      </c>
      <c r="EB100" s="34">
        <f>IF(AND(ISNUMBER(EC100),ISNUMBER(EA100)),EC100-EA100,"")</f>
        <v>0</v>
      </c>
      <c r="EC100" s="33">
        <v>1461</v>
      </c>
      <c r="ED100" s="34">
        <f>IF(AND(ISNUMBER(EE100),ISNUMBER(EC100)),EE100-EC100,"")</f>
        <v>0</v>
      </c>
      <c r="EE100" s="33">
        <v>898</v>
      </c>
      <c r="EF100" s="34">
        <f>IF(AND(ISNUMBER(EG100),ISNUMBER(EE100)),EG100-EE100,"")</f>
        <v>0</v>
      </c>
      <c r="EG100" s="33">
        <v>1545</v>
      </c>
      <c r="EH100" s="34">
        <f>IF(AND(ISNUMBER(EI100),ISNUMBER(EG100)),EI100-EG100,"")</f>
        <v>0</v>
      </c>
      <c r="EI100" s="33">
        <v>1446</v>
      </c>
      <c r="EJ100" s="34">
        <f>IF(AND(ISNUMBER(EK100),ISNUMBER(EI100)),EK100-EI100,"")</f>
        <v>0</v>
      </c>
      <c r="EK100" s="33">
        <v>1135</v>
      </c>
      <c r="EL100" s="34">
        <f>IF(AND(ISNUMBER(EM100),ISNUMBER(EK100)),EM100-EK100,"")</f>
        <v>0</v>
      </c>
      <c r="EM100" s="33">
        <v>1589</v>
      </c>
      <c r="EN100" s="34">
        <f>IF(AND(ISNUMBER(EO100),ISNUMBER(EM100)),EO100-EM100,"")</f>
        <v>0</v>
      </c>
      <c r="EO100" s="33">
        <v>2853</v>
      </c>
      <c r="EP100" s="34">
        <f>IF(AND(ISNUMBER(EQ100),ISNUMBER(EO100)),EQ100-EO100,"")</f>
        <v>0</v>
      </c>
      <c r="EQ100" s="33">
        <v>1334</v>
      </c>
      <c r="ER100" s="34">
        <f>IF(AND(ISNUMBER(ES100),ISNUMBER(EQ100)),ES100-EQ100,"")</f>
        <v>0</v>
      </c>
      <c r="ES100" s="33">
        <v>934</v>
      </c>
      <c r="ET100" s="34">
        <f>IF(AND(ISNUMBER(EU100),ISNUMBER(ES100)),EU100-ES100,"")</f>
        <v>0</v>
      </c>
      <c r="EU100" s="33">
        <v>1145</v>
      </c>
      <c r="EV100" s="34">
        <f>IF(AND(ISNUMBER(EW100),ISNUMBER(EU100)),EW100-EU100,"")</f>
        <v>0</v>
      </c>
      <c r="EW100" s="33">
        <v>779</v>
      </c>
      <c r="EX100" s="34">
        <f>IF(AND(ISNUMBER(EY100),ISNUMBER(EW100)),EY100-EW100,"")</f>
        <v>0</v>
      </c>
      <c r="EY100" s="33">
        <v>1754</v>
      </c>
      <c r="EZ100" s="34">
        <f>IF(AND(ISNUMBER(FA100),ISNUMBER(EY100)),FA100-EY100,"")</f>
        <v>0</v>
      </c>
      <c r="FA100" s="33">
        <v>1032</v>
      </c>
      <c r="FB100" s="34">
        <f>IF(AND(ISNUMBER(FC100),ISNUMBER(FA100)),FC100-FA100,"")</f>
        <v>0</v>
      </c>
      <c r="FC100" s="33">
        <v>1518</v>
      </c>
      <c r="FD100" s="34">
        <f>IF(AND(ISNUMBER(FE100),ISNUMBER(FC100)),FE100-FC100,"")</f>
        <v>0</v>
      </c>
      <c r="FE100" s="33">
        <v>1858</v>
      </c>
      <c r="FF100" s="34">
        <f>IF(AND(ISNUMBER(FG100),ISNUMBER(FE100)),FG100-FE100,"")</f>
        <v>0</v>
      </c>
      <c r="FG100" s="33">
        <v>1138</v>
      </c>
      <c r="FH100" s="34">
        <f>IF(AND(ISNUMBER(FI100),ISNUMBER(FG100)),FI100-FG100,"")</f>
        <v>0</v>
      </c>
      <c r="FI100" s="33">
        <v>1453</v>
      </c>
      <c r="FJ100" s="34">
        <f>IF(AND(ISNUMBER(FK100),ISNUMBER(FI100)),FK100-FI100,"")</f>
        <v>0</v>
      </c>
      <c r="FK100" s="33">
        <v>1250</v>
      </c>
      <c r="FL100" s="34">
        <f>IF(AND(ISNUMBER(FM100),ISNUMBER(FK100)),FM100-FK100,"")</f>
        <v>0</v>
      </c>
      <c r="FM100" s="33">
        <v>1458</v>
      </c>
      <c r="FN100" s="34">
        <f>IF(AND(ISNUMBER(FO100),ISNUMBER(FM100)),FO100-FM100,"")</f>
        <v>0</v>
      </c>
      <c r="FO100" s="33">
        <v>1268</v>
      </c>
      <c r="FP100" s="34">
        <f>IF(AND(ISNUMBER(FQ100),ISNUMBER(FO100)),FQ100-FO100,"")</f>
        <v>0</v>
      </c>
      <c r="FQ100" s="33">
        <v>1124</v>
      </c>
      <c r="FR100" s="34">
        <f>IF(AND(ISNUMBER(FS100),ISNUMBER(FQ100)),FS100-FQ100,"")</f>
        <v>0</v>
      </c>
      <c r="FS100" s="33">
        <v>1076</v>
      </c>
      <c r="FT100" s="34">
        <f>IF(AND(ISNUMBER(FU100),ISNUMBER(FS100)),FU100-FS100,"")</f>
        <v>0</v>
      </c>
      <c r="FU100" s="33">
        <v>926</v>
      </c>
      <c r="FV100" s="34">
        <f>IF(AND(ISNUMBER(FW100),ISNUMBER(FU100)),FW100-FU100,"")</f>
        <v>0</v>
      </c>
      <c r="FW100" s="33">
        <v>954</v>
      </c>
      <c r="FX100" s="34">
        <f>IF(AND(ISNUMBER(FY100),ISNUMBER(FW100)),FY100-FW100,"")</f>
        <v>0</v>
      </c>
      <c r="FY100" s="33">
        <v>954</v>
      </c>
      <c r="FZ100" s="34">
        <f>IF(AND(ISNUMBER(GA100),ISNUMBER(FY100)),GA100-FY100,"")</f>
        <v>0</v>
      </c>
      <c r="GA100" s="33">
        <v>1338</v>
      </c>
      <c r="GB100" s="34">
        <f>IF(AND(ISNUMBER(GC100),ISNUMBER(GA100)),GC100-GA100,"")</f>
        <v>0</v>
      </c>
      <c r="GC100" s="33">
        <v>1848</v>
      </c>
      <c r="GD100" s="34">
        <f>IF(AND(ISNUMBER(GE100),ISNUMBER(GC100)),GE100-GC100,"")</f>
        <v>0</v>
      </c>
      <c r="GE100" s="33">
        <v>1389</v>
      </c>
      <c r="GF100" s="34">
        <f>IF(AND(ISNUMBER(GG100),ISNUMBER(GE100)),GG100-GE100,"")</f>
        <v>0</v>
      </c>
      <c r="GG100" s="33">
        <v>1321</v>
      </c>
      <c r="GH100" s="34">
        <f>IF(AND(ISNUMBER(GI100),ISNUMBER(GG100)),GI100-GG100,"")</f>
        <v>0</v>
      </c>
      <c r="GI100" s="33">
        <v>1573</v>
      </c>
      <c r="GJ100" s="34">
        <f>IF(AND(ISNUMBER(GK100),ISNUMBER(GI100)),GK100-GI100,"")</f>
        <v>0</v>
      </c>
      <c r="GK100" s="33">
        <v>1666</v>
      </c>
      <c r="GL100" s="34">
        <f>IF(AND(ISNUMBER(GM100),ISNUMBER(GK100)),GM100-GK100,"")</f>
        <v>0</v>
      </c>
      <c r="GM100" s="33">
        <v>1385</v>
      </c>
      <c r="GN100" s="34">
        <f>IF(AND(ISNUMBER(GO100),ISNUMBER(GM100)),GO100-GM100,"")</f>
        <v>0</v>
      </c>
      <c r="GO100" s="33">
        <v>616</v>
      </c>
      <c r="GP100" s="34">
        <f>IF(AND(ISNUMBER(GQ100),ISNUMBER(GO100)),GQ100-GO100,"")</f>
        <v>0</v>
      </c>
      <c r="GQ100" s="33">
        <v>1301</v>
      </c>
      <c r="GR100" s="34">
        <f>IF(AND(ISNUMBER(GS100),ISNUMBER(GQ100)),GS100-GQ100,"")</f>
        <v>0</v>
      </c>
      <c r="GS100" s="33">
        <v>683</v>
      </c>
      <c r="GT100" s="34">
        <f>IF(AND(ISNUMBER(GU100),ISNUMBER(GS100)),GU100-GS100,"")</f>
        <v>0</v>
      </c>
      <c r="GU100" s="33">
        <v>1073</v>
      </c>
      <c r="GV100" s="34">
        <f>IF(AND(ISNUMBER(GW100),ISNUMBER(GU100)),GW100-GU100,"")</f>
        <v>0</v>
      </c>
      <c r="GW100" s="33">
        <v>629</v>
      </c>
      <c r="GX100" s="34">
        <f>IF(AND(ISNUMBER(GY100),ISNUMBER(GW100)),GY100-GW100,"")</f>
        <v>0</v>
      </c>
      <c r="GY100" s="33">
        <v>266</v>
      </c>
      <c r="GZ100" s="34">
        <f>IF(AND(ISNUMBER(HA100),ISNUMBER(GY100)),HA100-GY100,"")</f>
        <v>0</v>
      </c>
      <c r="HA100" s="33">
        <v>937</v>
      </c>
      <c r="HB100" s="34">
        <f>IF(AND(ISNUMBER(HC100),ISNUMBER(HA100)),HC100-HA100,"")</f>
        <v>0</v>
      </c>
      <c r="HC100" s="39">
        <f>HA92+HC96-HC92</f>
        <v>0</v>
      </c>
      <c r="HD100" s="34">
        <f>IF(AND(ISNUMBER(HE100),ISNUMBER(HC100)),HE100-HC100,"")</f>
        <v>0</v>
      </c>
      <c r="HE100" s="33">
        <v>1496</v>
      </c>
      <c r="HF100" s="34">
        <f>IF(AND(ISNUMBER(HG100),ISNUMBER(HE100)),HG100-HE100,"")</f>
        <v>0</v>
      </c>
      <c r="HG100" s="33">
        <v>1740</v>
      </c>
      <c r="HH100" s="34">
        <f>IF(AND(ISNUMBER(HI100),ISNUMBER(HG100)),HI100-HG100,"")</f>
        <v>0</v>
      </c>
      <c r="HI100" s="33">
        <v>1600</v>
      </c>
      <c r="HJ100" s="34">
        <f>IF(AND(ISNUMBER(HK100),ISNUMBER(HI100)),HK100-HI100,"")</f>
        <v>0</v>
      </c>
      <c r="HK100" s="33">
        <v>1613</v>
      </c>
      <c r="HL100" s="34">
        <f>IF(AND(ISNUMBER(HM100),ISNUMBER(HK100)),HM100-HK100,"")</f>
        <v>0</v>
      </c>
      <c r="HM100" s="33">
        <v>769</v>
      </c>
      <c r="HN100" s="34">
        <f>IF(AND(ISNUMBER(HO100),ISNUMBER(HM100)),HO100-HM100,"")</f>
        <v>0</v>
      </c>
      <c r="HO100" s="33">
        <v>1582</v>
      </c>
      <c r="HP100" s="34">
        <f>IF(AND(ISNUMBER(HQ100),ISNUMBER(HO100)),HQ100-HO100,"")</f>
        <v>0</v>
      </c>
      <c r="HQ100" s="33">
        <v>1152</v>
      </c>
      <c r="HR100" s="34">
        <f>IF(AND(ISNUMBER(HS100),ISNUMBER(HQ100)),HS100-HQ100,"")</f>
        <v>0</v>
      </c>
      <c r="HS100" s="33">
        <v>1926</v>
      </c>
      <c r="HT100" s="34">
        <f>IF(AND(ISNUMBER(HU100),ISNUMBER(HS100)),HU100-HS100,"")</f>
        <v>0</v>
      </c>
      <c r="HU100" s="33">
        <v>1800</v>
      </c>
      <c r="HV100" s="34">
        <f>IF(AND(ISNUMBER(HW100),ISNUMBER(HU100)),HW100-HU100,"")</f>
        <v>0</v>
      </c>
      <c r="HW100" s="33">
        <v>1021</v>
      </c>
      <c r="HX100" s="34">
        <f>IF(AND(ISNUMBER(HY100),ISNUMBER(HW100)),HY100-HW100,"")</f>
        <v>0</v>
      </c>
      <c r="HY100" s="33">
        <v>890</v>
      </c>
      <c r="HZ100" s="34">
        <f>IF(AND(ISNUMBER(IA100),ISNUMBER(HY100)),IA100-HY100,"")</f>
        <v>0</v>
      </c>
      <c r="IA100" s="33">
        <v>1640</v>
      </c>
      <c r="IB100" s="34">
        <f>IF(AND(ISNUMBER(IC100),ISNUMBER(IA100)),IC100-IA100,"")</f>
        <v>0</v>
      </c>
      <c r="IC100" s="33">
        <v>2258</v>
      </c>
      <c r="ID100" s="34">
        <f>IF(AND(ISNUMBER(IE100),ISNUMBER(IC100)),IE100-IC100,"")</f>
        <v>0</v>
      </c>
      <c r="IE100" s="33">
        <v>1652</v>
      </c>
      <c r="IF100" s="34">
        <f>IF(AND(ISNUMBER(IG100),ISNUMBER(IE100)),IG100-IE100,"")</f>
        <v>0</v>
      </c>
      <c r="IG100" s="33">
        <v>1146</v>
      </c>
      <c r="IH100" s="34">
        <f>IF(AND(ISNUMBER(II100),ISNUMBER(IG100)),II100-IG100,"")</f>
        <v>0</v>
      </c>
      <c r="II100" s="33">
        <v>1811</v>
      </c>
      <c r="IJ100" s="34">
        <f>IF(AND(ISNUMBER(IK100),ISNUMBER(II100)),IK100-II100,"")</f>
        <v>0</v>
      </c>
      <c r="IK100" s="33">
        <v>1549</v>
      </c>
      <c r="IL100" s="34">
        <f>IF(AND(ISNUMBER(IM100),ISNUMBER(IK100)),IM100-IK100,"")</f>
        <v>0</v>
      </c>
      <c r="IM100" s="33">
        <v>1006</v>
      </c>
      <c r="IN100" s="34">
        <f>IF(AND(ISNUMBER(IO100),ISNUMBER(IM100)),IO100-IM100,"")</f>
        <v>0</v>
      </c>
      <c r="IO100" s="33">
        <v>827</v>
      </c>
      <c r="IP100" s="34">
        <f>IF(AND(ISNUMBER(IQ100),ISNUMBER(IO100)),IQ100-IO100,"")</f>
        <v>0</v>
      </c>
      <c r="IQ100" s="33">
        <v>1284</v>
      </c>
      <c r="IR100" s="34">
        <f>IF(AND(ISNUMBER(IS100),ISNUMBER(IQ100)),IS100-IQ100,"")</f>
        <v>0</v>
      </c>
      <c r="IS100" s="33">
        <v>955</v>
      </c>
      <c r="IT100" s="34">
        <f>IF(AND(ISNUMBER(IU100),ISNUMBER(IS100)),IU100-IS100,"")</f>
        <v>0</v>
      </c>
      <c r="IU100" s="33">
        <v>1622</v>
      </c>
      <c r="IV100" s="34">
        <f>IF(AND(ISNUMBER(IW100),ISNUMBER(IU100)),IW100-IU100,"")</f>
        <v>0</v>
      </c>
      <c r="IW100" s="33">
        <v>1199</v>
      </c>
      <c r="IX100" s="34">
        <f>IF(AND(ISNUMBER(IY100),ISNUMBER(IW100)),IY100-IW100,"")</f>
        <v>0</v>
      </c>
      <c r="IY100" s="33">
        <v>1094</v>
      </c>
      <c r="IZ100" s="34">
        <f>IF(AND(ISNUMBER(JA100),ISNUMBER(IY100)),JA100-IY100,"")</f>
        <v>0</v>
      </c>
      <c r="JA100" s="33">
        <v>1609</v>
      </c>
      <c r="JB100" s="34">
        <f>IF(AND(ISNUMBER(JC100),ISNUMBER(JA100)),JC100-JA100,"")</f>
        <v>0</v>
      </c>
      <c r="JC100" s="33">
        <v>1364</v>
      </c>
      <c r="JD100" s="34">
        <f>IF(AND(ISNUMBER(JE100),ISNUMBER(JC100)),JE100-JC100,"")</f>
        <v>0</v>
      </c>
      <c r="JE100" s="33">
        <v>992</v>
      </c>
      <c r="JF100" s="34">
        <f>IF(AND(ISNUMBER(JG100),ISNUMBER(JE100)),JG100-JE100,"")</f>
        <v>0</v>
      </c>
      <c r="JG100" s="33">
        <v>1800</v>
      </c>
      <c r="JH100" s="34">
        <f>IF(AND(ISNUMBER(JI100),ISNUMBER(JG100)),JI100-JG100,"")</f>
        <v>0</v>
      </c>
      <c r="JI100" s="33">
        <v>1383</v>
      </c>
      <c r="JJ100" s="34">
        <f>IF(AND(ISNUMBER(JK100),ISNUMBER(JI100)),JK100-JI100,"")</f>
        <v>0</v>
      </c>
      <c r="JK100" s="33">
        <v>1736</v>
      </c>
      <c r="JL100" s="34">
        <f>IF(AND(ISNUMBER(JM100),ISNUMBER(JK100)),JM100-JK100,"")</f>
        <v>0</v>
      </c>
      <c r="JM100" s="33">
        <v>1465</v>
      </c>
      <c r="JN100" s="34">
        <f>IF(AND(ISNUMBER(JO100),ISNUMBER(JM100)),JO100-JM100,"")</f>
        <v>0</v>
      </c>
      <c r="JO100" s="33">
        <v>1869</v>
      </c>
      <c r="JP100" s="34">
        <f>IF(AND(ISNUMBER(JQ100),ISNUMBER(JO100)),JQ100-JO100,"")</f>
        <v>0</v>
      </c>
      <c r="JQ100" s="33">
        <v>1389</v>
      </c>
      <c r="JR100" s="34">
        <f>IF(AND(ISNUMBER(JS100),ISNUMBER(JQ100)),JS100-JQ100,"")</f>
        <v>0</v>
      </c>
      <c r="JS100" s="33">
        <v>999</v>
      </c>
      <c r="JT100" s="34">
        <f>IF(AND(ISNUMBER(JU100),ISNUMBER(JS100)),JU100-JS100,"")</f>
        <v>0</v>
      </c>
      <c r="JU100" s="33">
        <v>563</v>
      </c>
      <c r="JV100" s="34">
        <f>IF(AND(ISNUMBER(JW100),ISNUMBER(JU100)),JW100-JU100,"")</f>
        <v>0</v>
      </c>
      <c r="JW100" s="33">
        <v>1073</v>
      </c>
      <c r="JX100" s="34">
        <f>IF(AND(ISNUMBER(JY100),ISNUMBER(JW100)),JY100-JW100,"")</f>
        <v>0</v>
      </c>
      <c r="JY100" s="33"/>
      <c r="JZ100" s="34">
        <f>IF(AND(ISNUMBER(KA100),ISNUMBER(JY100)),KA100-JY100,"")</f>
        <v>0</v>
      </c>
      <c r="KA100" s="33"/>
      <c r="KB100" s="34">
        <f>IF(AND(ISNUMBER(KC100),ISNUMBER(KA100)),KC100-KA100,"")</f>
        <v>0</v>
      </c>
      <c r="KC100" s="33"/>
      <c r="KD100" s="34">
        <f>IF(AND(ISNUMBER(KE100),ISNUMBER(KC100)),KE100-KC100,"")</f>
        <v>0</v>
      </c>
      <c r="KE100" s="33"/>
      <c r="KF100" s="34">
        <f>IF(AND(ISNUMBER(KG100),ISNUMBER(KE100)),KG100-KE100,"")</f>
        <v>0</v>
      </c>
      <c r="KG100" s="33"/>
      <c r="KH100" s="34">
        <f>IF(AND(ISNUMBER(KI100),ISNUMBER(KG100)),KI100-KG100,"")</f>
        <v>0</v>
      </c>
      <c r="KI100" s="33"/>
      <c r="KJ100" s="34">
        <f>IF(AND(ISNUMBER(KK100),ISNUMBER(KI100)),KK100-KI100,"")</f>
        <v>0</v>
      </c>
      <c r="KK100" s="33"/>
      <c r="KL100" s="34">
        <f>IF(AND(ISNUMBER(KM100),ISNUMBER(KK100)),KM100-KK100,"")</f>
        <v>0</v>
      </c>
      <c r="KM100" s="33"/>
      <c r="KN100" s="34">
        <f>IF(AND(ISNUMBER(KO100),ISNUMBER(KM100)),KO100-KM100,"")</f>
        <v>0</v>
      </c>
      <c r="KO100" s="33"/>
      <c r="KP100" s="34">
        <f>IF(AND(ISNUMBER(KQ100),ISNUMBER(KO100)),KQ100-KO100,"")</f>
        <v>0</v>
      </c>
      <c r="KQ100" s="33"/>
      <c r="KR100" s="34">
        <f>IF(AND(ISNUMBER(KS100),ISNUMBER(KQ100)),KS100-KQ100,"")</f>
        <v>0</v>
      </c>
      <c r="KS100" s="33"/>
      <c r="KT100" s="34">
        <f>IF(AND(ISNUMBER(KU100),ISNUMBER(KS100)),KU100-KS100,"")</f>
        <v>0</v>
      </c>
      <c r="KU100" s="33"/>
      <c r="KV100" s="34">
        <f>IF(AND(ISNUMBER(KW100),ISNUMBER(KU100)),KW100-KU100,"")</f>
        <v>0</v>
      </c>
      <c r="KW100" s="33"/>
      <c r="KX100" s="34">
        <f>IF(AND(ISNUMBER(KY100),ISNUMBER(KW100)),KY100-KW100,"")</f>
        <v>0</v>
      </c>
      <c r="KY100" s="33"/>
      <c r="KZ100" s="34">
        <f>IF(AND(ISNUMBER(LA100),ISNUMBER(KY100)),LA100-KY100,"")</f>
        <v>0</v>
      </c>
      <c r="LA100" s="33"/>
      <c r="LB100" s="34">
        <f>IF(AND(ISNUMBER(LC100),ISNUMBER(LA100)),LC100-LA100,"")</f>
        <v>0</v>
      </c>
      <c r="LC100" s="33"/>
      <c r="LD100" s="34">
        <f>IF(AND(ISNUMBER(LE100),ISNUMBER(LC100)),LE100-LC100,"")</f>
        <v>0</v>
      </c>
      <c r="LE100" s="33"/>
      <c r="LF100" s="34">
        <f>IF(AND(ISNUMBER(LG100),ISNUMBER(LE100)),LG100-LE100,"")</f>
        <v>0</v>
      </c>
      <c r="LG100" s="33"/>
    </row>
    <row r="101" spans="1:322" hidden="1">
      <c r="B101" s="23"/>
      <c r="C101" s="31" t="s">
        <v>786</v>
      </c>
      <c r="D101" s="31" t="s">
        <v>1119</v>
      </c>
      <c r="E101" s="32" t="s">
        <v>1036</v>
      </c>
      <c r="I101" s="33">
        <v>4481</v>
      </c>
      <c r="J101" s="34">
        <f>IF(AND(ISNUMBER(K101),ISNUMBER(I101)),K101-I101,"")</f>
        <v>0</v>
      </c>
      <c r="K101" s="33">
        <v>2653</v>
      </c>
      <c r="L101" s="34">
        <f>IF(AND(ISNUMBER(M101),ISNUMBER(K101)),M101-K101,"")</f>
        <v>0</v>
      </c>
      <c r="M101" s="33">
        <v>4986</v>
      </c>
      <c r="N101" s="34">
        <f>IF(AND(ISNUMBER(O101),ISNUMBER(M101)),O101-M101,"")</f>
        <v>0</v>
      </c>
      <c r="O101" s="33"/>
      <c r="P101" s="34">
        <f>IF(AND(ISNUMBER(Q101),ISNUMBER(O101)),Q101-O101,"")</f>
        <v>0</v>
      </c>
      <c r="Q101" s="33"/>
      <c r="R101" s="34">
        <f>IF(AND(ISNUMBER(S101),ISNUMBER(Q101)),S101-Q101,"")</f>
        <v>0</v>
      </c>
      <c r="S101" s="33"/>
      <c r="T101" s="34">
        <f>IF(AND(ISNUMBER(U101),ISNUMBER(S101)),U101-S101,"")</f>
        <v>0</v>
      </c>
      <c r="U101" s="33"/>
      <c r="V101" s="34">
        <f>IF(AND(ISNUMBER(W101),ISNUMBER(U101)),W101-U101,"")</f>
        <v>0</v>
      </c>
      <c r="W101" s="33"/>
      <c r="X101" s="34">
        <f>IF(AND(ISNUMBER(Y101),ISNUMBER(W101)),Y101-W101,"")</f>
        <v>0</v>
      </c>
      <c r="Y101" s="33"/>
      <c r="Z101" s="34">
        <f>IF(AND(ISNUMBER(AA101),ISNUMBER(Y101)),AA101-Y101,"")</f>
        <v>0</v>
      </c>
      <c r="AA101" s="33"/>
      <c r="AB101" s="34">
        <f>IF(AND(ISNUMBER(AC101),ISNUMBER(AA101)),AC101-AA101,"")</f>
        <v>0</v>
      </c>
      <c r="AC101" s="33"/>
      <c r="AD101" s="34">
        <f>IF(AND(ISNUMBER(AE101),ISNUMBER(AC101)),AE101-AC101,"")</f>
        <v>0</v>
      </c>
      <c r="AE101" s="33"/>
      <c r="AF101" s="34">
        <f>IF(AND(ISNUMBER(AG101),ISNUMBER(AE101)),AG101-AE101,"")</f>
        <v>0</v>
      </c>
      <c r="AG101" s="33"/>
      <c r="AH101" s="34">
        <f>IF(AND(ISNUMBER(AI101),ISNUMBER(AG101)),AI101-AG101,"")</f>
        <v>0</v>
      </c>
      <c r="AI101" s="33"/>
      <c r="AJ101" s="34">
        <f>IF(AND(ISNUMBER(AK101),ISNUMBER(AI101)),AK101-AI101,"")</f>
        <v>0</v>
      </c>
      <c r="AK101" s="33"/>
      <c r="AL101" s="34">
        <f>IF(AND(ISNUMBER(AM101),ISNUMBER(AK101)),AM101-AK101,"")</f>
        <v>0</v>
      </c>
      <c r="AM101" s="33"/>
      <c r="AN101" s="34">
        <f>IF(AND(ISNUMBER(AO101),ISNUMBER(AM101)),AO101-AM101,"")</f>
        <v>0</v>
      </c>
      <c r="AO101" s="33"/>
      <c r="AP101" s="34">
        <f>IF(AND(ISNUMBER(AQ101),ISNUMBER(AO101)),AQ101-AO101,"")</f>
        <v>0</v>
      </c>
      <c r="AQ101" s="33"/>
      <c r="AR101" s="34">
        <f>IF(AND(ISNUMBER(AS101),ISNUMBER(AQ101)),AS101-AQ101,"")</f>
        <v>0</v>
      </c>
      <c r="AS101" s="33"/>
      <c r="AT101" s="34">
        <f>IF(AND(ISNUMBER(AU101),ISNUMBER(AS101)),AU101-AS101,"")</f>
        <v>0</v>
      </c>
      <c r="AU101" s="33"/>
      <c r="AV101" s="34">
        <f>IF(AND(ISNUMBER(AW101),ISNUMBER(AU101)),AW101-AU101,"")</f>
        <v>0</v>
      </c>
      <c r="AW101" s="33"/>
      <c r="AX101" s="34">
        <f>IF(AND(ISNUMBER(AY101),ISNUMBER(AW101)),AY101-AW101,"")</f>
        <v>0</v>
      </c>
      <c r="AY101" s="33"/>
      <c r="AZ101" s="34">
        <f>IF(AND(ISNUMBER(BA101),ISNUMBER(AY101)),BA101-AY101,"")</f>
        <v>0</v>
      </c>
      <c r="BA101" s="33"/>
      <c r="BB101" s="34">
        <f>IF(AND(ISNUMBER(BC101),ISNUMBER(BA101)),BC101-BA101,"")</f>
        <v>0</v>
      </c>
      <c r="BC101" s="33"/>
      <c r="BD101" s="34">
        <f>IF(AND(ISNUMBER(BE101),ISNUMBER(BC101)),BE101-BC101,"")</f>
        <v>0</v>
      </c>
      <c r="BE101" s="33"/>
      <c r="BF101" s="34">
        <f>IF(AND(ISNUMBER(BG101),ISNUMBER(BE101)),BG101-BE101,"")</f>
        <v>0</v>
      </c>
      <c r="BG101" s="33"/>
      <c r="BH101" s="34">
        <f>IF(AND(ISNUMBER(BI101),ISNUMBER(BG101)),BI101-BG101,"")</f>
        <v>0</v>
      </c>
      <c r="BI101" s="33"/>
      <c r="BJ101" s="34">
        <f>IF(AND(ISNUMBER(BK101),ISNUMBER(BI101)),BK101-BI101,"")</f>
        <v>0</v>
      </c>
      <c r="BK101" s="33"/>
      <c r="BL101" s="34">
        <f>IF(AND(ISNUMBER(BM101),ISNUMBER(BK101)),BM101-BK101,"")</f>
        <v>0</v>
      </c>
      <c r="BM101" s="33"/>
      <c r="BN101" s="34">
        <f>IF(AND(ISNUMBER(BO101),ISNUMBER(BM101)),BO101-BM101,"")</f>
        <v>0</v>
      </c>
      <c r="BO101" s="33"/>
      <c r="BP101" s="34">
        <f>IF(AND(ISNUMBER(BQ101),ISNUMBER(BO101)),BQ101-BO101,"")</f>
        <v>0</v>
      </c>
      <c r="BQ101" s="33"/>
      <c r="BR101" s="34">
        <f>IF(AND(ISNUMBER(BS101),ISNUMBER(BQ101)),BS101-BQ101,"")</f>
        <v>0</v>
      </c>
      <c r="BS101" s="33"/>
      <c r="BT101" s="34">
        <f>IF(AND(ISNUMBER(BU101),ISNUMBER(BS101)),BU101-BS101,"")</f>
        <v>0</v>
      </c>
      <c r="BU101" s="33"/>
      <c r="BV101" s="34">
        <f>IF(AND(ISNUMBER(BW101),ISNUMBER(BU101)),BW101-BU101,"")</f>
        <v>0</v>
      </c>
      <c r="BW101" s="33"/>
      <c r="BX101" s="34">
        <f>IF(AND(ISNUMBER(BY101),ISNUMBER(BW101)),BY101-BW101,"")</f>
        <v>0</v>
      </c>
      <c r="BY101" s="33"/>
      <c r="BZ101" s="34">
        <f>IF(AND(ISNUMBER(CA101),ISNUMBER(BY101)),CA101-BY101,"")</f>
        <v>0</v>
      </c>
      <c r="CA101" s="33"/>
      <c r="CB101" s="34">
        <f>IF(AND(ISNUMBER(CC101),ISNUMBER(CA101)),CC101-CA101,"")</f>
        <v>0</v>
      </c>
      <c r="CC101" s="33"/>
      <c r="CD101" s="34">
        <f>IF(AND(ISNUMBER(CE101),ISNUMBER(CC101)),CE101-CC101,"")</f>
        <v>0</v>
      </c>
      <c r="CE101" s="33"/>
      <c r="CF101" s="34">
        <f>IF(AND(ISNUMBER(CG101),ISNUMBER(CE101)),CG101-CE101,"")</f>
        <v>0</v>
      </c>
      <c r="CG101" s="33"/>
      <c r="CH101" s="34">
        <f>IF(AND(ISNUMBER(CI101),ISNUMBER(CG101)),CI101-CG101,"")</f>
        <v>0</v>
      </c>
      <c r="CI101" s="33"/>
      <c r="CJ101" s="34">
        <f>IF(AND(ISNUMBER(CK101),ISNUMBER(CI101)),CK101-CI101,"")</f>
        <v>0</v>
      </c>
      <c r="CK101" s="33"/>
      <c r="CL101" s="34">
        <f>IF(AND(ISNUMBER(CM101),ISNUMBER(CK101)),CM101-CK101,"")</f>
        <v>0</v>
      </c>
      <c r="CM101" s="33"/>
      <c r="CN101" s="34">
        <f>IF(AND(ISNUMBER(CO101),ISNUMBER(CM101)),CO101-CM101,"")</f>
        <v>0</v>
      </c>
      <c r="CO101" s="33"/>
      <c r="CP101" s="34">
        <f>IF(AND(ISNUMBER(CQ101),ISNUMBER(CO101)),CQ101-CO101,"")</f>
        <v>0</v>
      </c>
      <c r="CQ101" s="33"/>
      <c r="CR101" s="34">
        <f>IF(AND(ISNUMBER(CS101),ISNUMBER(CQ101)),CS101-CQ101,"")</f>
        <v>0</v>
      </c>
      <c r="CS101" s="33"/>
      <c r="CT101" s="34">
        <f>IF(AND(ISNUMBER(CU101),ISNUMBER(CS101)),CU101-CS101,"")</f>
        <v>0</v>
      </c>
      <c r="CU101" s="33"/>
      <c r="CV101" s="34">
        <f>IF(AND(ISNUMBER(CW101),ISNUMBER(CU101)),CW101-CU101,"")</f>
        <v>0</v>
      </c>
      <c r="CW101" s="33"/>
      <c r="CX101" s="34">
        <f>IF(AND(ISNUMBER(CY101),ISNUMBER(CW101)),CY101-CW101,"")</f>
        <v>0</v>
      </c>
      <c r="CY101" s="33"/>
      <c r="CZ101" s="34">
        <f>IF(AND(ISNUMBER(DA101),ISNUMBER(CY101)),DA101-CY101,"")</f>
        <v>0</v>
      </c>
      <c r="DA101" s="33"/>
      <c r="DB101" s="34">
        <f>IF(AND(ISNUMBER(DC101),ISNUMBER(DA101)),DC101-DA101,"")</f>
        <v>0</v>
      </c>
      <c r="DC101" s="33"/>
      <c r="DD101" s="34">
        <f>IF(AND(ISNUMBER(DE101),ISNUMBER(DC101)),DE101-DC101,"")</f>
        <v>0</v>
      </c>
      <c r="DE101" s="33">
        <v>4481</v>
      </c>
      <c r="DF101" s="34">
        <f>IF(AND(ISNUMBER(DG101),ISNUMBER(DE101)),DG101-DE101,"")</f>
        <v>0</v>
      </c>
      <c r="DG101" s="33">
        <v>2653</v>
      </c>
      <c r="DH101" s="34">
        <f>IF(AND(ISNUMBER(DI101),ISNUMBER(DG101)),DI101-DG101,"")</f>
        <v>0</v>
      </c>
      <c r="DI101" s="33">
        <v>4986</v>
      </c>
      <c r="DJ101" s="34">
        <f>IF(AND(ISNUMBER(DK101),ISNUMBER(DI101)),DK101-DI101,"")</f>
        <v>0</v>
      </c>
      <c r="DK101" s="33">
        <v>3732</v>
      </c>
      <c r="DL101" s="34">
        <f>IF(AND(ISNUMBER(DM101),ISNUMBER(DK101)),DM101-DK101,"")</f>
        <v>0</v>
      </c>
      <c r="DM101" s="33">
        <v>3002</v>
      </c>
      <c r="DN101" s="34">
        <f>IF(AND(ISNUMBER(DO101),ISNUMBER(DM101)),DO101-DM101,"")</f>
        <v>0</v>
      </c>
      <c r="DO101" s="33">
        <v>4120</v>
      </c>
      <c r="DP101" s="34">
        <f>IF(AND(ISNUMBER(DQ101),ISNUMBER(DO101)),DQ101-DO101,"")</f>
        <v>0</v>
      </c>
      <c r="DQ101" s="33">
        <v>2589</v>
      </c>
      <c r="DR101" s="34">
        <f>IF(AND(ISNUMBER(DS101),ISNUMBER(DQ101)),DS101-DQ101,"")</f>
        <v>0</v>
      </c>
      <c r="DS101" s="33">
        <v>3250</v>
      </c>
      <c r="DT101" s="34">
        <f>IF(AND(ISNUMBER(DU101),ISNUMBER(DS101)),DU101-DS101,"")</f>
        <v>0</v>
      </c>
      <c r="DU101" s="33">
        <v>3567</v>
      </c>
      <c r="DV101" s="34">
        <f>IF(AND(ISNUMBER(DW101),ISNUMBER(DU101)),DW101-DU101,"")</f>
        <v>0</v>
      </c>
      <c r="DW101" s="33">
        <v>2850</v>
      </c>
      <c r="DX101" s="34">
        <f>IF(AND(ISNUMBER(DY101),ISNUMBER(DW101)),DY101-DW101,"")</f>
        <v>0</v>
      </c>
      <c r="DY101" s="33">
        <v>3505</v>
      </c>
      <c r="DZ101" s="34">
        <f>IF(AND(ISNUMBER(EA101),ISNUMBER(DY101)),EA101-DY101,"")</f>
        <v>0</v>
      </c>
      <c r="EA101" s="33">
        <v>2768</v>
      </c>
      <c r="EB101" s="34">
        <f>IF(AND(ISNUMBER(EC101),ISNUMBER(EA101)),EC101-EA101,"")</f>
        <v>0</v>
      </c>
      <c r="EC101" s="33">
        <v>1873</v>
      </c>
      <c r="ED101" s="34">
        <f>IF(AND(ISNUMBER(EE101),ISNUMBER(EC101)),EE101-EC101,"")</f>
        <v>0</v>
      </c>
      <c r="EE101" s="33">
        <v>1907</v>
      </c>
      <c r="EF101" s="34">
        <f>IF(AND(ISNUMBER(EG101),ISNUMBER(EE101)),EG101-EE101,"")</f>
        <v>0</v>
      </c>
      <c r="EG101" s="33">
        <v>2235</v>
      </c>
      <c r="EH101" s="34">
        <f>IF(AND(ISNUMBER(EI101),ISNUMBER(EG101)),EI101-EG101,"")</f>
        <v>0</v>
      </c>
      <c r="EI101" s="33">
        <v>1410</v>
      </c>
      <c r="EJ101" s="34">
        <f>IF(AND(ISNUMBER(EK101),ISNUMBER(EI101)),EK101-EI101,"")</f>
        <v>0</v>
      </c>
      <c r="EK101" s="33">
        <v>2209</v>
      </c>
      <c r="EL101" s="34">
        <f>IF(AND(ISNUMBER(EM101),ISNUMBER(EK101)),EM101-EK101,"")</f>
        <v>0</v>
      </c>
      <c r="EM101" s="33">
        <v>2853</v>
      </c>
      <c r="EN101" s="34">
        <f>IF(AND(ISNUMBER(EO101),ISNUMBER(EM101)),EO101-EM101,"")</f>
        <v>0</v>
      </c>
      <c r="EO101" s="33">
        <v>1589</v>
      </c>
      <c r="EP101" s="34">
        <f>IF(AND(ISNUMBER(EQ101),ISNUMBER(EO101)),EQ101-EO101,"")</f>
        <v>0</v>
      </c>
      <c r="EQ101" s="33">
        <v>1872</v>
      </c>
      <c r="ER101" s="34">
        <f>IF(AND(ISNUMBER(ES101),ISNUMBER(EQ101)),ES101-EQ101,"")</f>
        <v>0</v>
      </c>
      <c r="ES101" s="33">
        <v>1597</v>
      </c>
      <c r="ET101" s="34">
        <f>IF(AND(ISNUMBER(EU101),ISNUMBER(ES101)),EU101-ES101,"")</f>
        <v>0</v>
      </c>
      <c r="EU101" s="33">
        <v>2028</v>
      </c>
      <c r="EV101" s="34">
        <f>IF(AND(ISNUMBER(EW101),ISNUMBER(EU101)),EW101-EU101,"")</f>
        <v>0</v>
      </c>
      <c r="EW101" s="33">
        <v>2233</v>
      </c>
      <c r="EX101" s="34">
        <f>IF(AND(ISNUMBER(EY101),ISNUMBER(EW101)),EY101-EW101,"")</f>
        <v>0</v>
      </c>
      <c r="EY101" s="33">
        <v>3410</v>
      </c>
      <c r="EZ101" s="34">
        <f>IF(AND(ISNUMBER(FA101),ISNUMBER(EY101)),FA101-EY101,"")</f>
        <v>0</v>
      </c>
      <c r="FA101" s="33">
        <v>3146</v>
      </c>
      <c r="FB101" s="34">
        <f>IF(AND(ISNUMBER(FC101),ISNUMBER(FA101)),FC101-FA101,"")</f>
        <v>0</v>
      </c>
      <c r="FC101" s="33">
        <v>2808</v>
      </c>
      <c r="FD101" s="34">
        <f>IF(AND(ISNUMBER(FE101),ISNUMBER(FC101)),FE101-FC101,"")</f>
        <v>0</v>
      </c>
      <c r="FE101" s="33">
        <v>3793</v>
      </c>
      <c r="FF101" s="34">
        <f>IF(AND(ISNUMBER(FG101),ISNUMBER(FE101)),FG101-FE101,"")</f>
        <v>0</v>
      </c>
      <c r="FG101" s="33">
        <v>4650</v>
      </c>
      <c r="FH101" s="34">
        <f>IF(AND(ISNUMBER(FI101),ISNUMBER(FG101)),FI101-FG101,"")</f>
        <v>0</v>
      </c>
      <c r="FI101" s="33">
        <v>3653</v>
      </c>
      <c r="FJ101" s="34">
        <f>IF(AND(ISNUMBER(FK101),ISNUMBER(FI101)),FK101-FI101,"")</f>
        <v>0</v>
      </c>
      <c r="FK101" s="33">
        <v>4404</v>
      </c>
      <c r="FL101" s="34">
        <f>IF(AND(ISNUMBER(FM101),ISNUMBER(FK101)),FM101-FK101,"")</f>
        <v>0</v>
      </c>
      <c r="FM101" s="33">
        <v>4091</v>
      </c>
      <c r="FN101" s="34">
        <f>IF(AND(ISNUMBER(FO101),ISNUMBER(FM101)),FO101-FM101,"")</f>
        <v>0</v>
      </c>
      <c r="FO101" s="33">
        <v>3268</v>
      </c>
      <c r="FP101" s="34">
        <f>IF(AND(ISNUMBER(FQ101),ISNUMBER(FO101)),FQ101-FO101,"")</f>
        <v>0</v>
      </c>
      <c r="FQ101" s="33">
        <v>2979</v>
      </c>
      <c r="FR101" s="34">
        <f>IF(AND(ISNUMBER(FS101),ISNUMBER(FQ101)),FS101-FQ101,"")</f>
        <v>0</v>
      </c>
      <c r="FS101" s="33">
        <v>3572</v>
      </c>
      <c r="FT101" s="34">
        <f>IF(AND(ISNUMBER(FU101),ISNUMBER(FS101)),FU101-FS101,"")</f>
        <v>0</v>
      </c>
      <c r="FU101" s="33">
        <v>3280</v>
      </c>
      <c r="FV101" s="34">
        <f>IF(AND(ISNUMBER(FW101),ISNUMBER(FU101)),FW101-FU101,"")</f>
        <v>0</v>
      </c>
      <c r="FW101" s="33">
        <v>3662</v>
      </c>
      <c r="FX101" s="34">
        <f>IF(AND(ISNUMBER(FY101),ISNUMBER(FW101)),FY101-FW101,"")</f>
        <v>0</v>
      </c>
      <c r="FY101" s="33">
        <v>3662</v>
      </c>
      <c r="FZ101" s="34">
        <f>IF(AND(ISNUMBER(GA101),ISNUMBER(FY101)),GA101-FY101,"")</f>
        <v>0</v>
      </c>
      <c r="GA101" s="33">
        <v>3103</v>
      </c>
      <c r="GB101" s="34">
        <f>IF(AND(ISNUMBER(GC101),ISNUMBER(GA101)),GC101-GA101,"")</f>
        <v>0</v>
      </c>
      <c r="GC101" s="33">
        <v>3253</v>
      </c>
      <c r="GD101" s="34">
        <f>IF(AND(ISNUMBER(GE101),ISNUMBER(GC101)),GE101-GC101,"")</f>
        <v>0</v>
      </c>
      <c r="GE101" s="33">
        <v>3820</v>
      </c>
      <c r="GF101" s="34">
        <f>IF(AND(ISNUMBER(GG101),ISNUMBER(GE101)),GG101-GE101,"")</f>
        <v>0</v>
      </c>
      <c r="GG101" s="33">
        <v>3318</v>
      </c>
      <c r="GH101" s="34">
        <f>IF(AND(ISNUMBER(GI101),ISNUMBER(GG101)),GI101-GG101,"")</f>
        <v>0</v>
      </c>
      <c r="GI101" s="33">
        <v>2521</v>
      </c>
      <c r="GJ101" s="34">
        <f>IF(AND(ISNUMBER(GK101),ISNUMBER(GI101)),GK101-GI101,"")</f>
        <v>0</v>
      </c>
      <c r="GK101" s="33">
        <v>2320</v>
      </c>
      <c r="GL101" s="34">
        <f>IF(AND(ISNUMBER(GM101),ISNUMBER(GK101)),GM101-GK101,"")</f>
        <v>0</v>
      </c>
      <c r="GM101" s="33">
        <v>2111</v>
      </c>
      <c r="GN101" s="34">
        <f>IF(AND(ISNUMBER(GO101),ISNUMBER(GM101)),GO101-GM101,"")</f>
        <v>0</v>
      </c>
      <c r="GO101" s="33">
        <v>2252</v>
      </c>
      <c r="GP101" s="34">
        <f>IF(AND(ISNUMBER(GQ101),ISNUMBER(GO101)),GQ101-GO101,"")</f>
        <v>0</v>
      </c>
      <c r="GQ101" s="33">
        <v>1993</v>
      </c>
      <c r="GR101" s="34">
        <f>IF(AND(ISNUMBER(GS101),ISNUMBER(GQ101)),GS101-GQ101,"")</f>
        <v>0</v>
      </c>
      <c r="GS101" s="33">
        <v>1873</v>
      </c>
      <c r="GT101" s="34">
        <f>IF(AND(ISNUMBER(GU101),ISNUMBER(GS101)),GU101-GS101,"")</f>
        <v>0</v>
      </c>
      <c r="GU101" s="33">
        <v>1334</v>
      </c>
      <c r="GV101" s="34">
        <f>IF(AND(ISNUMBER(GW101),ISNUMBER(GU101)),GW101-GU101,"")</f>
        <v>0</v>
      </c>
      <c r="GW101" s="33">
        <v>98</v>
      </c>
      <c r="GX101" s="34">
        <f>IF(AND(ISNUMBER(GY101),ISNUMBER(GW101)),GY101-GW101,"")</f>
        <v>0</v>
      </c>
      <c r="GY101" s="33">
        <v>259</v>
      </c>
      <c r="GZ101" s="34">
        <f>IF(AND(ISNUMBER(HA101),ISNUMBER(GY101)),HA101-GY101,"")</f>
        <v>0</v>
      </c>
      <c r="HA101" s="33">
        <v>760</v>
      </c>
      <c r="HB101" s="34">
        <f>IF(AND(ISNUMBER(HC101),ISNUMBER(HA101)),HC101-HA101,"")</f>
        <v>0</v>
      </c>
      <c r="HC101" s="33">
        <v>1921</v>
      </c>
      <c r="HD101" s="34">
        <f>IF(AND(ISNUMBER(HE101),ISNUMBER(HC101)),HE101-HC101,"")</f>
        <v>0</v>
      </c>
      <c r="HE101" s="33">
        <v>1341</v>
      </c>
      <c r="HF101" s="34">
        <f>IF(AND(ISNUMBER(HG101),ISNUMBER(HE101)),HG101-HE101,"")</f>
        <v>0</v>
      </c>
      <c r="HG101" s="39">
        <f>HE93+HG97-HG93</f>
        <v>0</v>
      </c>
      <c r="HH101" s="34">
        <f>IF(AND(ISNUMBER(HI101),ISNUMBER(HG101)),HI101-HG101,"")</f>
        <v>0</v>
      </c>
      <c r="HI101" s="39">
        <f>HG93+HI97-HI93</f>
        <v>0</v>
      </c>
      <c r="HJ101" s="34">
        <f>IF(AND(ISNUMBER(HK101),ISNUMBER(HI101)),HK101-HI101,"")</f>
        <v>0</v>
      </c>
      <c r="HK101" s="39">
        <f>HI93+HK97-HK93</f>
        <v>0</v>
      </c>
      <c r="HL101" s="34">
        <f>IF(AND(ISNUMBER(HM101),ISNUMBER(HK101)),HM101-HK101,"")</f>
        <v>0</v>
      </c>
      <c r="HM101" s="39">
        <f>HK93+HM97-HM93</f>
        <v>0</v>
      </c>
      <c r="HN101" s="34">
        <f>IF(AND(ISNUMBER(HO101),ISNUMBER(HM101)),HO101-HM101,"")</f>
        <v>0</v>
      </c>
      <c r="HO101" s="39">
        <f>HM93+HO97-HO93</f>
        <v>0</v>
      </c>
      <c r="HP101" s="34">
        <f>IF(AND(ISNUMBER(HQ101),ISNUMBER(HO101)),HQ101-HO101,"")</f>
        <v>0</v>
      </c>
      <c r="HQ101" s="33">
        <v>2056</v>
      </c>
      <c r="HR101" s="34">
        <f>IF(AND(ISNUMBER(HS101),ISNUMBER(HQ101)),HS101-HQ101,"")</f>
        <v>0</v>
      </c>
      <c r="HS101" s="33">
        <v>1708</v>
      </c>
      <c r="HT101" s="34">
        <f>IF(AND(ISNUMBER(HU101),ISNUMBER(HS101)),HU101-HS101,"")</f>
        <v>0</v>
      </c>
      <c r="HU101" s="33">
        <v>1747</v>
      </c>
      <c r="HV101" s="34">
        <f>IF(AND(ISNUMBER(HW101),ISNUMBER(HU101)),HW101-HU101,"")</f>
        <v>0</v>
      </c>
      <c r="HW101" s="33">
        <v>3159</v>
      </c>
      <c r="HX101" s="34">
        <f>IF(AND(ISNUMBER(HY101),ISNUMBER(HW101)),HY101-HW101,"")</f>
        <v>0</v>
      </c>
      <c r="HY101" s="33">
        <v>1532</v>
      </c>
      <c r="HZ101" s="34">
        <f>IF(AND(ISNUMBER(IA101),ISNUMBER(HY101)),IA101-HY101,"")</f>
        <v>0</v>
      </c>
      <c r="IA101" s="33">
        <v>1507</v>
      </c>
      <c r="IB101" s="34">
        <f>IF(AND(ISNUMBER(IC101),ISNUMBER(IA101)),IC101-IA101,"")</f>
        <v>0</v>
      </c>
      <c r="IC101" s="33">
        <v>2019</v>
      </c>
      <c r="ID101" s="34">
        <f>IF(AND(ISNUMBER(IE101),ISNUMBER(IC101)),IE101-IC101,"")</f>
        <v>0</v>
      </c>
      <c r="IE101" s="33">
        <v>2572</v>
      </c>
      <c r="IF101" s="34">
        <f>IF(AND(ISNUMBER(IG101),ISNUMBER(IE101)),IG101-IE101,"")</f>
        <v>0</v>
      </c>
      <c r="IG101" s="33">
        <v>1777</v>
      </c>
      <c r="IH101" s="34">
        <f>IF(AND(ISNUMBER(II101),ISNUMBER(IG101)),II101-IG101,"")</f>
        <v>0</v>
      </c>
      <c r="II101" s="33">
        <v>2087</v>
      </c>
      <c r="IJ101" s="34">
        <f>IF(AND(ISNUMBER(IK101),ISNUMBER(II101)),IK101-II101,"")</f>
        <v>0</v>
      </c>
      <c r="IK101" s="33">
        <v>2282</v>
      </c>
      <c r="IL101" s="34">
        <f>IF(AND(ISNUMBER(IM101),ISNUMBER(IK101)),IM101-IK101,"")</f>
        <v>0</v>
      </c>
      <c r="IM101" s="33">
        <v>3215</v>
      </c>
      <c r="IN101" s="34">
        <f>IF(AND(ISNUMBER(IO101),ISNUMBER(IM101)),IO101-IM101,"")</f>
        <v>0</v>
      </c>
      <c r="IO101" s="33">
        <v>2482</v>
      </c>
      <c r="IP101" s="34">
        <f>IF(AND(ISNUMBER(IQ101),ISNUMBER(IO101)),IQ101-IO101,"")</f>
        <v>0</v>
      </c>
      <c r="IQ101" s="33">
        <v>2356</v>
      </c>
      <c r="IR101" s="34">
        <f>IF(AND(ISNUMBER(IS101),ISNUMBER(IQ101)),IS101-IQ101,"")</f>
        <v>0</v>
      </c>
      <c r="IS101" s="40" t="s">
        <v>1120</v>
      </c>
      <c r="IT101" s="34">
        <f>IF(AND(ISNUMBER(IU101),ISNUMBER(IS101)),IU101-IS101,"")</f>
        <v>0</v>
      </c>
      <c r="IU101" s="33">
        <v>2441</v>
      </c>
      <c r="IV101" s="34">
        <f>IF(AND(ISNUMBER(IW101),ISNUMBER(IU101)),IW101-IU101,"")</f>
        <v>0</v>
      </c>
      <c r="IW101" s="40" t="s">
        <v>1121</v>
      </c>
      <c r="IX101" s="34">
        <f>IF(AND(ISNUMBER(IY101),ISNUMBER(IW101)),IY101-IW101,"")</f>
        <v>0</v>
      </c>
      <c r="IY101" s="40" t="s">
        <v>1121</v>
      </c>
      <c r="IZ101" s="34">
        <f>IF(AND(ISNUMBER(JA101),ISNUMBER(IY101)),JA101-IY101,"")</f>
        <v>0</v>
      </c>
      <c r="JA101" s="40" t="s">
        <v>1121</v>
      </c>
      <c r="JB101" s="34">
        <f>IF(AND(ISNUMBER(JC101),ISNUMBER(JA101)),JC101-JA101,"")</f>
        <v>0</v>
      </c>
      <c r="JC101" s="40" t="s">
        <v>1121</v>
      </c>
      <c r="JD101" s="34">
        <f>IF(AND(ISNUMBER(JE101),ISNUMBER(JC101)),JE101-JC101,"")</f>
        <v>0</v>
      </c>
      <c r="JE101" s="40" t="s">
        <v>1121</v>
      </c>
      <c r="JF101" s="34">
        <f>IF(AND(ISNUMBER(JG101),ISNUMBER(JE101)),JG101-JE101,"")</f>
        <v>0</v>
      </c>
      <c r="JG101" s="40" t="s">
        <v>1121</v>
      </c>
      <c r="JH101" s="34">
        <f>IF(AND(ISNUMBER(JI101),ISNUMBER(JG101)),JI101-JG101,"")</f>
        <v>0</v>
      </c>
      <c r="JI101" s="40" t="s">
        <v>1121</v>
      </c>
      <c r="JJ101" s="34">
        <f>IF(AND(ISNUMBER(JK101),ISNUMBER(JI101)),JK101-JI101,"")</f>
        <v>0</v>
      </c>
      <c r="JK101" s="40" t="s">
        <v>1121</v>
      </c>
      <c r="JL101" s="34">
        <f>IF(AND(ISNUMBER(JM101),ISNUMBER(JK101)),JM101-JK101,"")</f>
        <v>0</v>
      </c>
      <c r="JM101" s="40" t="s">
        <v>1121</v>
      </c>
      <c r="JN101" s="34">
        <f>IF(AND(ISNUMBER(JO101),ISNUMBER(JM101)),JO101-JM101,"")</f>
        <v>0</v>
      </c>
      <c r="JO101" s="40" t="s">
        <v>1121</v>
      </c>
      <c r="JP101" s="34">
        <f>IF(AND(ISNUMBER(JQ101),ISNUMBER(JO101)),JQ101-JO101,"")</f>
        <v>0</v>
      </c>
      <c r="JQ101" s="40" t="s">
        <v>1121</v>
      </c>
      <c r="JR101" s="34">
        <f>IF(AND(ISNUMBER(JS101),ISNUMBER(JQ101)),JS101-JQ101,"")</f>
        <v>0</v>
      </c>
      <c r="JS101" s="40" t="s">
        <v>1121</v>
      </c>
      <c r="JT101" s="34">
        <f>IF(AND(ISNUMBER(JU101),ISNUMBER(JS101)),JU101-JS101,"")</f>
        <v>0</v>
      </c>
      <c r="JU101" s="40" t="s">
        <v>1121</v>
      </c>
      <c r="JV101" s="34">
        <f>IF(AND(ISNUMBER(JW101),ISNUMBER(JU101)),JW101-JU101,"")</f>
        <v>0</v>
      </c>
      <c r="JW101" s="33"/>
      <c r="JX101" s="34">
        <f>IF(AND(ISNUMBER(JY101),ISNUMBER(JW101)),JY101-JW101,"")</f>
        <v>0</v>
      </c>
      <c r="JY101" s="33"/>
      <c r="JZ101" s="34">
        <f>IF(AND(ISNUMBER(KA101),ISNUMBER(JY101)),KA101-JY101,"")</f>
        <v>0</v>
      </c>
      <c r="KA101" s="33"/>
      <c r="KB101" s="34">
        <f>IF(AND(ISNUMBER(KC101),ISNUMBER(KA101)),KC101-KA101,"")</f>
        <v>0</v>
      </c>
      <c r="KC101" s="33"/>
      <c r="KD101" s="34">
        <f>IF(AND(ISNUMBER(KE101),ISNUMBER(KC101)),KE101-KC101,"")</f>
        <v>0</v>
      </c>
      <c r="KE101" s="33"/>
      <c r="KF101" s="34">
        <f>IF(AND(ISNUMBER(KG101),ISNUMBER(KE101)),KG101-KE101,"")</f>
        <v>0</v>
      </c>
      <c r="KG101" s="33"/>
      <c r="KH101" s="34">
        <f>IF(AND(ISNUMBER(KI101),ISNUMBER(KG101)),KI101-KG101,"")</f>
        <v>0</v>
      </c>
      <c r="KI101" s="33"/>
      <c r="KJ101" s="34">
        <f>IF(AND(ISNUMBER(KK101),ISNUMBER(KI101)),KK101-KI101,"")</f>
        <v>0</v>
      </c>
      <c r="KK101" s="33"/>
      <c r="KL101" s="34">
        <f>IF(AND(ISNUMBER(KM101),ISNUMBER(KK101)),KM101-KK101,"")</f>
        <v>0</v>
      </c>
      <c r="KM101" s="33"/>
      <c r="KN101" s="34">
        <f>IF(AND(ISNUMBER(KO101),ISNUMBER(KM101)),KO101-KM101,"")</f>
        <v>0</v>
      </c>
      <c r="KO101" s="33"/>
      <c r="KP101" s="34">
        <f>IF(AND(ISNUMBER(KQ101),ISNUMBER(KO101)),KQ101-KO101,"")</f>
        <v>0</v>
      </c>
      <c r="KQ101" s="33"/>
      <c r="KR101" s="34">
        <f>IF(AND(ISNUMBER(KS101),ISNUMBER(KQ101)),KS101-KQ101,"")</f>
        <v>0</v>
      </c>
      <c r="KS101" s="33"/>
      <c r="KT101" s="34">
        <f>IF(AND(ISNUMBER(KU101),ISNUMBER(KS101)),KU101-KS101,"")</f>
        <v>0</v>
      </c>
      <c r="KU101" s="33"/>
      <c r="KV101" s="34">
        <f>IF(AND(ISNUMBER(KW101),ISNUMBER(KU101)),KW101-KU101,"")</f>
        <v>0</v>
      </c>
      <c r="KW101" s="33"/>
      <c r="KX101" s="34">
        <f>IF(AND(ISNUMBER(KY101),ISNUMBER(KW101)),KY101-KW101,"")</f>
        <v>0</v>
      </c>
      <c r="KY101" s="33"/>
      <c r="KZ101" s="34">
        <f>IF(AND(ISNUMBER(LA101),ISNUMBER(KY101)),LA101-KY101,"")</f>
        <v>0</v>
      </c>
      <c r="LA101" s="33"/>
      <c r="LB101" s="34">
        <f>IF(AND(ISNUMBER(LC101),ISNUMBER(LA101)),LC101-LA101,"")</f>
        <v>0</v>
      </c>
      <c r="LC101" s="33"/>
      <c r="LD101" s="34">
        <f>IF(AND(ISNUMBER(LE101),ISNUMBER(LC101)),LE101-LC101,"")</f>
        <v>0</v>
      </c>
      <c r="LE101" s="33"/>
      <c r="LF101" s="34">
        <f>IF(AND(ISNUMBER(LG101),ISNUMBER(LE101)),LG101-LE101,"")</f>
        <v>0</v>
      </c>
      <c r="LG101" s="33"/>
    </row>
    <row r="102" spans="1:322" hidden="1">
      <c r="B102" s="23"/>
      <c r="C102" s="31" t="s">
        <v>786</v>
      </c>
      <c r="D102" s="31" t="s">
        <v>850</v>
      </c>
      <c r="E102" s="32" t="s">
        <v>1118</v>
      </c>
      <c r="I102" s="33"/>
      <c r="J102" s="34">
        <f>IF(AND(ISNUMBER(K102),ISNUMBER(I102)),K102-I102,"")</f>
        <v>0</v>
      </c>
      <c r="K102" s="33"/>
      <c r="L102" s="34">
        <f>IF(AND(ISNUMBER(M102),ISNUMBER(K102)),M102-K102,"")</f>
        <v>0</v>
      </c>
      <c r="M102" s="33"/>
      <c r="N102" s="34">
        <f>IF(AND(ISNUMBER(O102),ISNUMBER(M102)),O102-M102,"")</f>
        <v>0</v>
      </c>
      <c r="O102" s="33"/>
      <c r="P102" s="34">
        <f>IF(AND(ISNUMBER(Q102),ISNUMBER(O102)),Q102-O102,"")</f>
        <v>0</v>
      </c>
      <c r="Q102" s="33"/>
      <c r="R102" s="34">
        <f>IF(AND(ISNUMBER(S102),ISNUMBER(Q102)),S102-Q102,"")</f>
        <v>0</v>
      </c>
      <c r="S102" s="33"/>
      <c r="T102" s="34">
        <f>IF(AND(ISNUMBER(U102),ISNUMBER(S102)),U102-S102,"")</f>
        <v>0</v>
      </c>
      <c r="U102" s="33"/>
      <c r="V102" s="34">
        <f>IF(AND(ISNUMBER(W102),ISNUMBER(U102)),W102-U102,"")</f>
        <v>0</v>
      </c>
      <c r="W102" s="33"/>
      <c r="X102" s="34">
        <f>IF(AND(ISNUMBER(Y102),ISNUMBER(W102)),Y102-W102,"")</f>
        <v>0</v>
      </c>
      <c r="Y102" s="33"/>
      <c r="Z102" s="34">
        <f>IF(AND(ISNUMBER(AA102),ISNUMBER(Y102)),AA102-Y102,"")</f>
        <v>0</v>
      </c>
      <c r="AA102" s="33"/>
      <c r="AB102" s="34">
        <f>IF(AND(ISNUMBER(AC102),ISNUMBER(AA102)),AC102-AA102,"")</f>
        <v>0</v>
      </c>
      <c r="AC102" s="33"/>
      <c r="AD102" s="34">
        <f>IF(AND(ISNUMBER(AE102),ISNUMBER(AC102)),AE102-AC102,"")</f>
        <v>0</v>
      </c>
      <c r="AE102" s="33"/>
      <c r="AF102" s="34">
        <f>IF(AND(ISNUMBER(AG102),ISNUMBER(AE102)),AG102-AE102,"")</f>
        <v>0</v>
      </c>
      <c r="AG102" s="33"/>
      <c r="AH102" s="34">
        <f>IF(AND(ISNUMBER(AI102),ISNUMBER(AG102)),AI102-AG102,"")</f>
        <v>0</v>
      </c>
      <c r="AI102" s="33"/>
      <c r="AJ102" s="34">
        <f>IF(AND(ISNUMBER(AK102),ISNUMBER(AI102)),AK102-AI102,"")</f>
        <v>0</v>
      </c>
      <c r="AK102" s="33"/>
      <c r="AL102" s="34">
        <f>IF(AND(ISNUMBER(AM102),ISNUMBER(AK102)),AM102-AK102,"")</f>
        <v>0</v>
      </c>
      <c r="AM102" s="33"/>
      <c r="AN102" s="34">
        <f>IF(AND(ISNUMBER(AO102),ISNUMBER(AM102)),AO102-AM102,"")</f>
        <v>0</v>
      </c>
      <c r="AO102" s="33"/>
      <c r="AP102" s="34">
        <f>IF(AND(ISNUMBER(AQ102),ISNUMBER(AO102)),AQ102-AO102,"")</f>
        <v>0</v>
      </c>
      <c r="AQ102" s="33"/>
      <c r="AR102" s="34">
        <f>IF(AND(ISNUMBER(AS102),ISNUMBER(AQ102)),AS102-AQ102,"")</f>
        <v>0</v>
      </c>
      <c r="AS102" s="33"/>
      <c r="AT102" s="34">
        <f>IF(AND(ISNUMBER(AU102),ISNUMBER(AS102)),AU102-AS102,"")</f>
        <v>0</v>
      </c>
      <c r="AU102" s="33"/>
      <c r="AV102" s="34">
        <f>IF(AND(ISNUMBER(AW102),ISNUMBER(AU102)),AW102-AU102,"")</f>
        <v>0</v>
      </c>
      <c r="AW102" s="33"/>
      <c r="AX102" s="34">
        <f>IF(AND(ISNUMBER(AY102),ISNUMBER(AW102)),AY102-AW102,"")</f>
        <v>0</v>
      </c>
      <c r="AY102" s="33"/>
      <c r="AZ102" s="34">
        <f>IF(AND(ISNUMBER(BA102),ISNUMBER(AY102)),BA102-AY102,"")</f>
        <v>0</v>
      </c>
      <c r="BA102" s="33"/>
      <c r="BB102" s="34">
        <f>IF(AND(ISNUMBER(BC102),ISNUMBER(BA102)),BC102-BA102,"")</f>
        <v>0</v>
      </c>
      <c r="BC102" s="33"/>
      <c r="BD102" s="34">
        <f>IF(AND(ISNUMBER(BE102),ISNUMBER(BC102)),BE102-BC102,"")</f>
        <v>0</v>
      </c>
      <c r="BE102" s="33"/>
      <c r="BF102" s="34">
        <f>IF(AND(ISNUMBER(BG102),ISNUMBER(BE102)),BG102-BE102,"")</f>
        <v>0</v>
      </c>
      <c r="BG102" s="33"/>
      <c r="BH102" s="34">
        <f>IF(AND(ISNUMBER(BI102),ISNUMBER(BG102)),BI102-BG102,"")</f>
        <v>0</v>
      </c>
      <c r="BI102" s="33"/>
      <c r="BJ102" s="34">
        <f>IF(AND(ISNUMBER(BK102),ISNUMBER(BI102)),BK102-BI102,"")</f>
        <v>0</v>
      </c>
      <c r="BK102" s="33"/>
      <c r="BL102" s="34">
        <f>IF(AND(ISNUMBER(BM102),ISNUMBER(BK102)),BM102-BK102,"")</f>
        <v>0</v>
      </c>
      <c r="BM102" s="33"/>
      <c r="BN102" s="34">
        <f>IF(AND(ISNUMBER(BO102),ISNUMBER(BM102)),BO102-BM102,"")</f>
        <v>0</v>
      </c>
      <c r="BO102" s="33"/>
      <c r="BP102" s="34">
        <f>IF(AND(ISNUMBER(BQ102),ISNUMBER(BO102)),BQ102-BO102,"")</f>
        <v>0</v>
      </c>
      <c r="BQ102" s="33"/>
      <c r="BR102" s="34">
        <f>IF(AND(ISNUMBER(BS102),ISNUMBER(BQ102)),BS102-BQ102,"")</f>
        <v>0</v>
      </c>
      <c r="BS102" s="33"/>
      <c r="BT102" s="34">
        <f>IF(AND(ISNUMBER(BU102),ISNUMBER(BS102)),BU102-BS102,"")</f>
        <v>0</v>
      </c>
      <c r="BU102" s="33"/>
      <c r="BV102" s="34">
        <f>IF(AND(ISNUMBER(BW102),ISNUMBER(BU102)),BW102-BU102,"")</f>
        <v>0</v>
      </c>
      <c r="BW102" s="33"/>
      <c r="BX102" s="34">
        <f>IF(AND(ISNUMBER(BY102),ISNUMBER(BW102)),BY102-BW102,"")</f>
        <v>0</v>
      </c>
      <c r="BY102" s="33"/>
      <c r="BZ102" s="34">
        <f>IF(AND(ISNUMBER(CA102),ISNUMBER(BY102)),CA102-BY102,"")</f>
        <v>0</v>
      </c>
      <c r="CA102" s="33"/>
      <c r="CB102" s="34">
        <f>IF(AND(ISNUMBER(CC102),ISNUMBER(CA102)),CC102-CA102,"")</f>
        <v>0</v>
      </c>
      <c r="CC102" s="33"/>
      <c r="CD102" s="34">
        <f>IF(AND(ISNUMBER(CE102),ISNUMBER(CC102)),CE102-CC102,"")</f>
        <v>0</v>
      </c>
      <c r="CE102" s="33"/>
      <c r="CF102" s="34">
        <f>IF(AND(ISNUMBER(CG102),ISNUMBER(CE102)),CG102-CE102,"")</f>
        <v>0</v>
      </c>
      <c r="CG102" s="33"/>
      <c r="CH102" s="34">
        <f>IF(AND(ISNUMBER(CI102),ISNUMBER(CG102)),CI102-CG102,"")</f>
        <v>0</v>
      </c>
      <c r="CI102" s="33"/>
      <c r="CJ102" s="34">
        <f>IF(AND(ISNUMBER(CK102),ISNUMBER(CI102)),CK102-CI102,"")</f>
        <v>0</v>
      </c>
      <c r="CK102" s="33"/>
      <c r="CL102" s="34">
        <f>IF(AND(ISNUMBER(CM102),ISNUMBER(CK102)),CM102-CK102,"")</f>
        <v>0</v>
      </c>
      <c r="CM102" s="33"/>
      <c r="CN102" s="34">
        <f>IF(AND(ISNUMBER(CO102),ISNUMBER(CM102)),CO102-CM102,"")</f>
        <v>0</v>
      </c>
      <c r="CO102" s="33"/>
      <c r="CP102" s="34">
        <f>IF(AND(ISNUMBER(CQ102),ISNUMBER(CO102)),CQ102-CO102,"")</f>
        <v>0</v>
      </c>
      <c r="CQ102" s="33"/>
      <c r="CR102" s="34">
        <f>IF(AND(ISNUMBER(CS102),ISNUMBER(CQ102)),CS102-CQ102,"")</f>
        <v>0</v>
      </c>
      <c r="CS102" s="33"/>
      <c r="CT102" s="34">
        <f>IF(AND(ISNUMBER(CU102),ISNUMBER(CS102)),CU102-CS102,"")</f>
        <v>0</v>
      </c>
      <c r="CU102" s="33"/>
      <c r="CV102" s="34">
        <f>IF(AND(ISNUMBER(CW102),ISNUMBER(CU102)),CW102-CU102,"")</f>
        <v>0</v>
      </c>
      <c r="CW102" s="33"/>
      <c r="CX102" s="34">
        <f>IF(AND(ISNUMBER(CY102),ISNUMBER(CW102)),CY102-CW102,"")</f>
        <v>0</v>
      </c>
      <c r="CY102" s="33"/>
      <c r="CZ102" s="34">
        <f>IF(AND(ISNUMBER(DA102),ISNUMBER(CY102)),DA102-CY102,"")</f>
        <v>0</v>
      </c>
      <c r="DA102" s="33"/>
      <c r="DB102" s="34">
        <f>IF(AND(ISNUMBER(DC102),ISNUMBER(DA102)),DC102-DA102,"")</f>
        <v>0</v>
      </c>
      <c r="DC102" s="33"/>
      <c r="DD102" s="34">
        <f>IF(AND(ISNUMBER(DE102),ISNUMBER(DC102)),DE102-DC102,"")</f>
        <v>0</v>
      </c>
      <c r="DE102" s="33"/>
      <c r="DF102" s="34">
        <f>IF(AND(ISNUMBER(DG102),ISNUMBER(DE102)),DG102-DE102,"")</f>
        <v>0</v>
      </c>
      <c r="DG102" s="33"/>
      <c r="DH102" s="34">
        <f>IF(AND(ISNUMBER(DI102),ISNUMBER(DG102)),DI102-DG102,"")</f>
        <v>0</v>
      </c>
      <c r="DI102" s="33"/>
      <c r="DJ102" s="34">
        <f>IF(AND(ISNUMBER(DK102),ISNUMBER(DI102)),DK102-DI102,"")</f>
        <v>0</v>
      </c>
      <c r="DK102" s="33"/>
      <c r="DL102" s="34">
        <f>IF(AND(ISNUMBER(DM102),ISNUMBER(DK102)),DM102-DK102,"")</f>
        <v>0</v>
      </c>
      <c r="DM102" s="33"/>
      <c r="DN102" s="34">
        <f>IF(AND(ISNUMBER(DO102),ISNUMBER(DM102)),DO102-DM102,"")</f>
        <v>0</v>
      </c>
      <c r="DO102" s="33"/>
      <c r="DP102" s="34">
        <f>IF(AND(ISNUMBER(DQ102),ISNUMBER(DO102)),DQ102-DO102,"")</f>
        <v>0</v>
      </c>
      <c r="DQ102" s="33"/>
      <c r="DR102" s="34">
        <f>IF(AND(ISNUMBER(DS102),ISNUMBER(DQ102)),DS102-DQ102,"")</f>
        <v>0</v>
      </c>
      <c r="DS102" s="33"/>
      <c r="DT102" s="34">
        <f>IF(AND(ISNUMBER(DU102),ISNUMBER(DS102)),DU102-DS102,"")</f>
        <v>0</v>
      </c>
      <c r="DU102" s="33"/>
      <c r="DV102" s="34">
        <f>IF(AND(ISNUMBER(DW102),ISNUMBER(DU102)),DW102-DU102,"")</f>
        <v>0</v>
      </c>
      <c r="DW102" s="33"/>
      <c r="DX102" s="34">
        <f>IF(AND(ISNUMBER(DY102),ISNUMBER(DW102)),DY102-DW102,"")</f>
        <v>0</v>
      </c>
      <c r="DY102" s="33"/>
      <c r="DZ102" s="34">
        <f>IF(AND(ISNUMBER(EA102),ISNUMBER(DY102)),EA102-DY102,"")</f>
        <v>0</v>
      </c>
      <c r="EA102" s="33"/>
      <c r="EB102" s="34">
        <f>IF(AND(ISNUMBER(EC102),ISNUMBER(EA102)),EC102-EA102,"")</f>
        <v>0</v>
      </c>
      <c r="EC102" s="33"/>
      <c r="ED102" s="34">
        <f>IF(AND(ISNUMBER(EE102),ISNUMBER(EC102)),EE102-EC102,"")</f>
        <v>0</v>
      </c>
      <c r="EE102" s="33"/>
      <c r="EF102" s="34">
        <f>IF(AND(ISNUMBER(EG102),ISNUMBER(EE102)),EG102-EE102,"")</f>
        <v>0</v>
      </c>
      <c r="EG102" s="33"/>
      <c r="EH102" s="34">
        <f>IF(AND(ISNUMBER(EI102),ISNUMBER(EG102)),EI102-EG102,"")</f>
        <v>0</v>
      </c>
      <c r="EI102" s="33"/>
      <c r="EJ102" s="34">
        <f>IF(AND(ISNUMBER(EK102),ISNUMBER(EI102)),EK102-EI102,"")</f>
        <v>0</v>
      </c>
      <c r="EK102" s="33"/>
      <c r="EL102" s="34">
        <f>IF(AND(ISNUMBER(EM102),ISNUMBER(EK102)),EM102-EK102,"")</f>
        <v>0</v>
      </c>
      <c r="EM102" s="33"/>
      <c r="EN102" s="34">
        <f>IF(AND(ISNUMBER(EO102),ISNUMBER(EM102)),EO102-EM102,"")</f>
        <v>0</v>
      </c>
      <c r="EO102" s="33"/>
      <c r="EP102" s="34">
        <f>IF(AND(ISNUMBER(EQ102),ISNUMBER(EO102)),EQ102-EO102,"")</f>
        <v>0</v>
      </c>
      <c r="EQ102" s="33"/>
      <c r="ER102" s="34">
        <f>IF(AND(ISNUMBER(ES102),ISNUMBER(EQ102)),ES102-EQ102,"")</f>
        <v>0</v>
      </c>
      <c r="ES102" s="33"/>
      <c r="ET102" s="34">
        <f>IF(AND(ISNUMBER(EU102),ISNUMBER(ES102)),EU102-ES102,"")</f>
        <v>0</v>
      </c>
      <c r="EU102" s="33"/>
      <c r="EV102" s="34">
        <f>IF(AND(ISNUMBER(EW102),ISNUMBER(EU102)),EW102-EU102,"")</f>
        <v>0</v>
      </c>
      <c r="EW102" s="33"/>
      <c r="EX102" s="34">
        <f>IF(AND(ISNUMBER(EY102),ISNUMBER(EW102)),EY102-EW102,"")</f>
        <v>0</v>
      </c>
      <c r="EY102" s="33"/>
      <c r="EZ102" s="34">
        <f>IF(AND(ISNUMBER(FA102),ISNUMBER(EY102)),FA102-EY102,"")</f>
        <v>0</v>
      </c>
      <c r="FA102" s="33"/>
      <c r="FB102" s="34">
        <f>IF(AND(ISNUMBER(FC102),ISNUMBER(FA102)),FC102-FA102,"")</f>
        <v>0</v>
      </c>
      <c r="FC102" s="33"/>
      <c r="FD102" s="34">
        <f>IF(AND(ISNUMBER(FE102),ISNUMBER(FC102)),FE102-FC102,"")</f>
        <v>0</v>
      </c>
      <c r="FE102" s="33"/>
      <c r="FF102" s="34">
        <f>IF(AND(ISNUMBER(FG102),ISNUMBER(FE102)),FG102-FE102,"")</f>
        <v>0</v>
      </c>
      <c r="FG102" s="33"/>
      <c r="FH102" s="34">
        <f>IF(AND(ISNUMBER(FI102),ISNUMBER(FG102)),FI102-FG102,"")</f>
        <v>0</v>
      </c>
      <c r="FI102" s="33"/>
      <c r="FJ102" s="34">
        <f>IF(AND(ISNUMBER(FK102),ISNUMBER(FI102)),FK102-FI102,"")</f>
        <v>0</v>
      </c>
      <c r="FK102" s="33"/>
      <c r="FL102" s="34">
        <f>IF(AND(ISNUMBER(FM102),ISNUMBER(FK102)),FM102-FK102,"")</f>
        <v>0</v>
      </c>
      <c r="FM102" s="33"/>
      <c r="FN102" s="34">
        <f>IF(AND(ISNUMBER(FO102),ISNUMBER(FM102)),FO102-FM102,"")</f>
        <v>0</v>
      </c>
      <c r="FO102" s="33"/>
      <c r="FP102" s="34">
        <f>IF(AND(ISNUMBER(FQ102),ISNUMBER(FO102)),FQ102-FO102,"")</f>
        <v>0</v>
      </c>
      <c r="FQ102" s="33"/>
      <c r="FR102" s="34">
        <f>IF(AND(ISNUMBER(FS102),ISNUMBER(FQ102)),FS102-FQ102,"")</f>
        <v>0</v>
      </c>
      <c r="FS102" s="33"/>
      <c r="FT102" s="34">
        <f>IF(AND(ISNUMBER(FU102),ISNUMBER(FS102)),FU102-FS102,"")</f>
        <v>0</v>
      </c>
      <c r="FU102" s="33"/>
      <c r="FV102" s="34">
        <f>IF(AND(ISNUMBER(FW102),ISNUMBER(FU102)),FW102-FU102,"")</f>
        <v>0</v>
      </c>
      <c r="FW102" s="33"/>
      <c r="FX102" s="34">
        <f>IF(AND(ISNUMBER(FY102),ISNUMBER(FW102)),FY102-FW102,"")</f>
        <v>0</v>
      </c>
      <c r="FY102" s="33"/>
      <c r="FZ102" s="34">
        <f>IF(AND(ISNUMBER(GA102),ISNUMBER(FY102)),GA102-FY102,"")</f>
        <v>0</v>
      </c>
      <c r="GA102" s="33"/>
      <c r="GB102" s="34">
        <f>IF(AND(ISNUMBER(GC102),ISNUMBER(GA102)),GC102-GA102,"")</f>
        <v>0</v>
      </c>
      <c r="GC102" s="33"/>
      <c r="GD102" s="34">
        <f>IF(AND(ISNUMBER(GE102),ISNUMBER(GC102)),GE102-GC102,"")</f>
        <v>0</v>
      </c>
      <c r="GE102" s="33"/>
      <c r="GF102" s="34">
        <f>IF(AND(ISNUMBER(GG102),ISNUMBER(GE102)),GG102-GE102,"")</f>
        <v>0</v>
      </c>
      <c r="GG102" s="33"/>
      <c r="GH102" s="34">
        <f>IF(AND(ISNUMBER(GI102),ISNUMBER(GG102)),GI102-GG102,"")</f>
        <v>0</v>
      </c>
      <c r="GI102" s="33"/>
      <c r="GJ102" s="34">
        <f>IF(AND(ISNUMBER(GK102),ISNUMBER(GI102)),GK102-GI102,"")</f>
        <v>0</v>
      </c>
      <c r="GK102" s="33"/>
      <c r="GL102" s="34">
        <f>IF(AND(ISNUMBER(GM102),ISNUMBER(GK102)),GM102-GK102,"")</f>
        <v>0</v>
      </c>
      <c r="GM102" s="33"/>
      <c r="GN102" s="34">
        <f>IF(AND(ISNUMBER(GO102),ISNUMBER(GM102)),GO102-GM102,"")</f>
        <v>0</v>
      </c>
      <c r="GO102" s="33"/>
      <c r="GP102" s="34">
        <f>IF(AND(ISNUMBER(GQ102),ISNUMBER(GO102)),GQ102-GO102,"")</f>
        <v>0</v>
      </c>
      <c r="GQ102" s="33"/>
      <c r="GR102" s="34">
        <f>IF(AND(ISNUMBER(GS102),ISNUMBER(GQ102)),GS102-GQ102,"")</f>
        <v>0</v>
      </c>
      <c r="GS102" s="33"/>
      <c r="GT102" s="34">
        <f>IF(AND(ISNUMBER(GU102),ISNUMBER(GS102)),GU102-GS102,"")</f>
        <v>0</v>
      </c>
      <c r="GU102" s="33"/>
      <c r="GV102" s="34">
        <f>IF(AND(ISNUMBER(GW102),ISNUMBER(GU102)),GW102-GU102,"")</f>
        <v>0</v>
      </c>
      <c r="GW102" s="33"/>
      <c r="GX102" s="34">
        <f>IF(AND(ISNUMBER(GY102),ISNUMBER(GW102)),GY102-GW102,"")</f>
        <v>0</v>
      </c>
      <c r="GY102" s="33"/>
      <c r="GZ102" s="34">
        <f>IF(AND(ISNUMBER(HA102),ISNUMBER(GY102)),HA102-GY102,"")</f>
        <v>0</v>
      </c>
      <c r="HA102" s="33"/>
      <c r="HB102" s="34">
        <f>IF(AND(ISNUMBER(HC102),ISNUMBER(HA102)),HC102-HA102,"")</f>
        <v>0</v>
      </c>
      <c r="HC102" s="33"/>
      <c r="HD102" s="34">
        <f>IF(AND(ISNUMBER(HE102),ISNUMBER(HC102)),HE102-HC102,"")</f>
        <v>0</v>
      </c>
      <c r="HE102" s="33"/>
      <c r="HF102" s="34">
        <f>IF(AND(ISNUMBER(HG102),ISNUMBER(HE102)),HG102-HE102,"")</f>
        <v>0</v>
      </c>
      <c r="HG102" s="33"/>
      <c r="HH102" s="34">
        <f>IF(AND(ISNUMBER(HI102),ISNUMBER(HG102)),HI102-HG102,"")</f>
        <v>0</v>
      </c>
      <c r="HI102" s="33"/>
      <c r="HJ102" s="34">
        <f>IF(AND(ISNUMBER(HK102),ISNUMBER(HI102)),HK102-HI102,"")</f>
        <v>0</v>
      </c>
      <c r="HK102" s="33"/>
      <c r="HL102" s="34">
        <f>IF(AND(ISNUMBER(HM102),ISNUMBER(HK102)),HM102-HK102,"")</f>
        <v>0</v>
      </c>
      <c r="HM102" s="33"/>
      <c r="HN102" s="34">
        <f>IF(AND(ISNUMBER(HO102),ISNUMBER(HM102)),HO102-HM102,"")</f>
        <v>0</v>
      </c>
      <c r="HO102" s="33"/>
      <c r="HP102" s="34">
        <f>IF(AND(ISNUMBER(HQ102),ISNUMBER(HO102)),HQ102-HO102,"")</f>
        <v>0</v>
      </c>
      <c r="HQ102" s="33"/>
      <c r="HR102" s="34">
        <f>IF(AND(ISNUMBER(HS102),ISNUMBER(HQ102)),HS102-HQ102,"")</f>
        <v>0</v>
      </c>
      <c r="HS102" s="33"/>
      <c r="HT102" s="34">
        <f>IF(AND(ISNUMBER(HU102),ISNUMBER(HS102)),HU102-HS102,"")</f>
        <v>0</v>
      </c>
      <c r="HU102" s="33"/>
      <c r="HV102" s="34">
        <f>IF(AND(ISNUMBER(HW102),ISNUMBER(HU102)),HW102-HU102,"")</f>
        <v>0</v>
      </c>
      <c r="HW102" s="33"/>
      <c r="HX102" s="34">
        <f>IF(AND(ISNUMBER(HY102),ISNUMBER(HW102)),HY102-HW102,"")</f>
        <v>0</v>
      </c>
      <c r="HY102" s="33"/>
      <c r="HZ102" s="34">
        <f>IF(AND(ISNUMBER(IA102),ISNUMBER(HY102)),IA102-HY102,"")</f>
        <v>0</v>
      </c>
      <c r="IA102" s="33"/>
      <c r="IB102" s="34">
        <f>IF(AND(ISNUMBER(IC102),ISNUMBER(IA102)),IC102-IA102,"")</f>
        <v>0</v>
      </c>
      <c r="IC102" s="33"/>
      <c r="ID102" s="34">
        <f>IF(AND(ISNUMBER(IE102),ISNUMBER(IC102)),IE102-IC102,"")</f>
        <v>0</v>
      </c>
      <c r="IE102" s="33"/>
      <c r="IF102" s="34">
        <f>IF(AND(ISNUMBER(IG102),ISNUMBER(IE102)),IG102-IE102,"")</f>
        <v>0</v>
      </c>
      <c r="IG102" s="33"/>
      <c r="IH102" s="34">
        <f>IF(AND(ISNUMBER(II102),ISNUMBER(IG102)),II102-IG102,"")</f>
        <v>0</v>
      </c>
      <c r="II102" s="33"/>
      <c r="IJ102" s="34">
        <f>IF(AND(ISNUMBER(IK102),ISNUMBER(II102)),IK102-II102,"")</f>
        <v>0</v>
      </c>
      <c r="IK102" s="33"/>
      <c r="IL102" s="34">
        <f>IF(AND(ISNUMBER(IM102),ISNUMBER(IK102)),IM102-IK102,"")</f>
        <v>0</v>
      </c>
      <c r="IM102" s="33"/>
      <c r="IN102" s="34">
        <f>IF(AND(ISNUMBER(IO102),ISNUMBER(IM102)),IO102-IM102,"")</f>
        <v>0</v>
      </c>
      <c r="IO102" s="33"/>
      <c r="IP102" s="34">
        <f>IF(AND(ISNUMBER(IQ102),ISNUMBER(IO102)),IQ102-IO102,"")</f>
        <v>0</v>
      </c>
      <c r="IQ102" s="33"/>
      <c r="IR102" s="34">
        <f>IF(AND(ISNUMBER(IS102),ISNUMBER(IQ102)),IS102-IQ102,"")</f>
        <v>0</v>
      </c>
      <c r="IS102" s="33"/>
      <c r="IT102" s="34">
        <f>IF(AND(ISNUMBER(IU102),ISNUMBER(IS102)),IU102-IS102,"")</f>
        <v>0</v>
      </c>
      <c r="IU102" s="33"/>
      <c r="IV102" s="34">
        <f>IF(AND(ISNUMBER(IW102),ISNUMBER(IU102)),IW102-IU102,"")</f>
        <v>0</v>
      </c>
      <c r="IW102" s="33"/>
      <c r="IX102" s="34">
        <f>IF(AND(ISNUMBER(IY102),ISNUMBER(IW102)),IY102-IW102,"")</f>
        <v>0</v>
      </c>
      <c r="IY102" s="33"/>
      <c r="IZ102" s="34">
        <f>IF(AND(ISNUMBER(JA102),ISNUMBER(IY102)),JA102-IY102,"")</f>
        <v>0</v>
      </c>
      <c r="JA102" s="33"/>
      <c r="JB102" s="34">
        <f>IF(AND(ISNUMBER(JC102),ISNUMBER(JA102)),JC102-JA102,"")</f>
        <v>0</v>
      </c>
      <c r="JC102" s="33"/>
      <c r="JD102" s="34">
        <f>IF(AND(ISNUMBER(JE102),ISNUMBER(JC102)),JE102-JC102,"")</f>
        <v>0</v>
      </c>
      <c r="JE102" s="33"/>
      <c r="JF102" s="34">
        <f>IF(AND(ISNUMBER(JG102),ISNUMBER(JE102)),JG102-JE102,"")</f>
        <v>0</v>
      </c>
      <c r="JG102" s="33"/>
      <c r="JH102" s="34">
        <f>IF(AND(ISNUMBER(JI102),ISNUMBER(JG102)),JI102-JG102,"")</f>
        <v>0</v>
      </c>
      <c r="JI102" s="33"/>
      <c r="JJ102" s="34">
        <f>IF(AND(ISNUMBER(JK102),ISNUMBER(JI102)),JK102-JI102,"")</f>
        <v>0</v>
      </c>
      <c r="JK102" s="33"/>
      <c r="JL102" s="34">
        <f>IF(AND(ISNUMBER(JM102),ISNUMBER(JK102)),JM102-JK102,"")</f>
        <v>0</v>
      </c>
      <c r="JM102" s="33"/>
      <c r="JN102" s="34">
        <f>IF(AND(ISNUMBER(JO102),ISNUMBER(JM102)),JO102-JM102,"")</f>
        <v>0</v>
      </c>
      <c r="JO102" s="33"/>
      <c r="JP102" s="34">
        <f>IF(AND(ISNUMBER(JQ102),ISNUMBER(JO102)),JQ102-JO102,"")</f>
        <v>0</v>
      </c>
      <c r="JQ102" s="33"/>
      <c r="JR102" s="34">
        <f>IF(AND(ISNUMBER(JS102),ISNUMBER(JQ102)),JS102-JQ102,"")</f>
        <v>0</v>
      </c>
      <c r="JS102" s="33"/>
      <c r="JT102" s="34">
        <f>IF(AND(ISNUMBER(JU102),ISNUMBER(JS102)),JU102-JS102,"")</f>
        <v>0</v>
      </c>
      <c r="JU102" s="33"/>
      <c r="JV102" s="34">
        <f>IF(AND(ISNUMBER(JW102),ISNUMBER(JU102)),JW102-JU102,"")</f>
        <v>0</v>
      </c>
      <c r="JW102" s="33"/>
      <c r="JX102" s="34">
        <f>IF(AND(ISNUMBER(JY102),ISNUMBER(JW102)),JY102-JW102,"")</f>
        <v>0</v>
      </c>
      <c r="JY102" s="33"/>
      <c r="JZ102" s="34">
        <f>IF(AND(ISNUMBER(KA102),ISNUMBER(JY102)),KA102-JY102,"")</f>
        <v>0</v>
      </c>
      <c r="KA102" s="33"/>
      <c r="KB102" s="34">
        <f>IF(AND(ISNUMBER(KC102),ISNUMBER(KA102)),KC102-KA102,"")</f>
        <v>0</v>
      </c>
      <c r="KC102" s="33"/>
      <c r="KD102" s="34">
        <f>IF(AND(ISNUMBER(KE102),ISNUMBER(KC102)),KE102-KC102,"")</f>
        <v>0</v>
      </c>
      <c r="KE102" s="33"/>
      <c r="KF102" s="34">
        <f>IF(AND(ISNUMBER(KG102),ISNUMBER(KE102)),KG102-KE102,"")</f>
        <v>0</v>
      </c>
      <c r="KG102" s="33"/>
      <c r="KH102" s="34">
        <f>IF(AND(ISNUMBER(KI102),ISNUMBER(KG102)),KI102-KG102,"")</f>
        <v>0</v>
      </c>
      <c r="KI102" s="33"/>
      <c r="KJ102" s="34">
        <f>IF(AND(ISNUMBER(KK102),ISNUMBER(KI102)),KK102-KI102,"")</f>
        <v>0</v>
      </c>
      <c r="KK102" s="33"/>
      <c r="KL102" s="34">
        <f>IF(AND(ISNUMBER(KM102),ISNUMBER(KK102)),KM102-KK102,"")</f>
        <v>0</v>
      </c>
      <c r="KM102" s="33"/>
      <c r="KN102" s="34">
        <f>IF(AND(ISNUMBER(KO102),ISNUMBER(KM102)),KO102-KM102,"")</f>
        <v>0</v>
      </c>
      <c r="KO102" s="33"/>
      <c r="KP102" s="34">
        <f>IF(AND(ISNUMBER(KQ102),ISNUMBER(KO102)),KQ102-KO102,"")</f>
        <v>0</v>
      </c>
      <c r="KQ102" s="33"/>
      <c r="KR102" s="34">
        <f>IF(AND(ISNUMBER(KS102),ISNUMBER(KQ102)),KS102-KQ102,"")</f>
        <v>0</v>
      </c>
      <c r="KS102" s="33"/>
      <c r="KT102" s="34">
        <f>IF(AND(ISNUMBER(KU102),ISNUMBER(KS102)),KU102-KS102,"")</f>
        <v>0</v>
      </c>
      <c r="KU102" s="33"/>
      <c r="KV102" s="34">
        <f>IF(AND(ISNUMBER(KW102),ISNUMBER(KU102)),KW102-KU102,"")</f>
        <v>0</v>
      </c>
      <c r="KW102" s="33"/>
      <c r="KX102" s="34">
        <f>IF(AND(ISNUMBER(KY102),ISNUMBER(KW102)),KY102-KW102,"")</f>
        <v>0</v>
      </c>
      <c r="KY102" s="33"/>
      <c r="KZ102" s="34">
        <f>IF(AND(ISNUMBER(LA102),ISNUMBER(KY102)),LA102-KY102,"")</f>
        <v>0</v>
      </c>
      <c r="LA102" s="33"/>
      <c r="LB102" s="34">
        <f>IF(AND(ISNUMBER(LC102),ISNUMBER(LA102)),LC102-LA102,"")</f>
        <v>0</v>
      </c>
      <c r="LC102" s="33"/>
      <c r="LD102" s="34">
        <f>IF(AND(ISNUMBER(LE102),ISNUMBER(LC102)),LE102-LC102,"")</f>
        <v>0</v>
      </c>
      <c r="LE102" s="33"/>
      <c r="LF102" s="34">
        <f>IF(AND(ISNUMBER(LG102),ISNUMBER(LE102)),LG102-LE102,"")</f>
        <v>0</v>
      </c>
      <c r="LG102" s="33"/>
    </row>
    <row r="103" spans="1:322">
      <c r="A103" s="22"/>
      <c r="B103" s="23" t="s">
        <v>1122</v>
      </c>
      <c r="C103" s="43" t="s">
        <v>728</v>
      </c>
      <c r="D103" s="43" t="s">
        <v>859</v>
      </c>
      <c r="E103" s="25" t="s">
        <v>1123</v>
      </c>
      <c r="F103" s="26">
        <v>45388</v>
      </c>
      <c r="G103" s="26"/>
      <c r="H103" s="26" t="s">
        <v>1105</v>
      </c>
      <c r="I103" s="27">
        <v>9</v>
      </c>
      <c r="J103" s="28">
        <f>IF(AND(ISNUMBER(K103),ISNUMBER(I103)),K103-I103,"")</f>
        <v>0</v>
      </c>
      <c r="K103" s="27">
        <v>20</v>
      </c>
      <c r="L103" s="28">
        <f>IF(AND(ISNUMBER(M103),ISNUMBER(K103)),M103-K103,"")</f>
        <v>0</v>
      </c>
      <c r="M103" s="27">
        <v>21</v>
      </c>
      <c r="N103" s="28">
        <f>IF(AND(ISNUMBER(O103),ISNUMBER(M103)),O103-M103,"")</f>
        <v>0</v>
      </c>
      <c r="O103" s="27">
        <v>29</v>
      </c>
      <c r="P103" s="28">
        <f>IF(AND(ISNUMBER(Q103),ISNUMBER(O103)),Q103-O103,"")</f>
        <v>0</v>
      </c>
      <c r="Q103" s="27">
        <v>41</v>
      </c>
      <c r="R103" s="28">
        <f>IF(AND(ISNUMBER(S103),ISNUMBER(Q103)),S103-Q103,"")</f>
        <v>0</v>
      </c>
      <c r="S103" s="27">
        <v>51</v>
      </c>
      <c r="T103" s="28">
        <f>IF(AND(ISNUMBER(U103),ISNUMBER(S103)),U103-S103,"")</f>
        <v>0</v>
      </c>
      <c r="U103" s="27">
        <v>49</v>
      </c>
      <c r="V103" s="28">
        <f>IF(AND(ISNUMBER(W103),ISNUMBER(U103)),W103-U103,"")</f>
        <v>0</v>
      </c>
      <c r="W103" s="27">
        <v>62</v>
      </c>
      <c r="X103" s="28">
        <f>IF(AND(ISNUMBER(Y103),ISNUMBER(W103)),Y103-W103,"")</f>
        <v>0</v>
      </c>
      <c r="Y103" s="27">
        <v>71</v>
      </c>
      <c r="Z103" s="28">
        <f>IF(AND(ISNUMBER(AA103),ISNUMBER(Y103)),AA103-Y103,"")</f>
        <v>0</v>
      </c>
      <c r="AA103" s="27">
        <v>68</v>
      </c>
      <c r="AB103" s="28">
        <f>IF(AND(ISNUMBER(AC103),ISNUMBER(AA103)),AC103-AA103,"")</f>
        <v>0</v>
      </c>
      <c r="AC103" s="27">
        <v>64</v>
      </c>
      <c r="AD103" s="28">
        <f>IF(AND(ISNUMBER(AE103),ISNUMBER(AC103)),AE103-AC103,"")</f>
        <v>0</v>
      </c>
      <c r="AE103" s="27">
        <v>66</v>
      </c>
      <c r="AF103" s="28">
        <f>IF(AND(ISNUMBER(AG103),ISNUMBER(AE103)),AG103-AE103,"")</f>
        <v>0</v>
      </c>
      <c r="AG103" s="27">
        <v>66</v>
      </c>
      <c r="AH103" s="28">
        <f>IF(AND(ISNUMBER(AI103),ISNUMBER(AG103)),AI103-AG103,"")</f>
        <v>0</v>
      </c>
      <c r="AI103" s="27">
        <v>63</v>
      </c>
      <c r="AJ103" s="28">
        <f>IF(AND(ISNUMBER(AK103),ISNUMBER(AI103)),AK103-AI103,"")</f>
        <v>0</v>
      </c>
      <c r="AK103" s="27">
        <v>61</v>
      </c>
      <c r="AL103" s="28">
        <f>IF(AND(ISNUMBER(AM103),ISNUMBER(AK103)),AM103-AK103,"")</f>
        <v>0</v>
      </c>
      <c r="AM103" s="27">
        <v>58</v>
      </c>
      <c r="AN103" s="28">
        <f>IF(AND(ISNUMBER(AO103),ISNUMBER(AM103)),AO103-AM103,"")</f>
        <v>0</v>
      </c>
      <c r="AO103" s="27">
        <v>57</v>
      </c>
      <c r="AP103" s="28">
        <f>IF(AND(ISNUMBER(AQ103),ISNUMBER(AO103)),AQ103-AO103,"")</f>
        <v>0</v>
      </c>
      <c r="AQ103" s="27">
        <v>59</v>
      </c>
      <c r="AR103" s="28">
        <f>IF(AND(ISNUMBER(AS103),ISNUMBER(AQ103)),AS103-AQ103,"")</f>
        <v>0</v>
      </c>
      <c r="AS103" s="27">
        <v>944</v>
      </c>
      <c r="AT103" s="28">
        <f>IF(AND(ISNUMBER(AU103),ISNUMBER(AS103)),AU103-AS103,"")</f>
        <v>0</v>
      </c>
      <c r="AU103" s="27">
        <v>1429</v>
      </c>
      <c r="AV103" s="28">
        <f>IF(AND(ISNUMBER(AW103),ISNUMBER(AU103)),AW103-AU103,"")</f>
        <v>0</v>
      </c>
      <c r="AW103" s="27">
        <v>1472</v>
      </c>
      <c r="AX103" s="28">
        <f>IF(AND(ISNUMBER(AY103),ISNUMBER(AW103)),AY103-AW103,"")</f>
        <v>0</v>
      </c>
      <c r="AY103" s="27">
        <v>1332</v>
      </c>
      <c r="AZ103" s="28">
        <f>IF(AND(ISNUMBER(BA103),ISNUMBER(AY103)),BA103-AY103,"")</f>
        <v>0</v>
      </c>
      <c r="BA103" s="27">
        <v>1227</v>
      </c>
      <c r="BB103" s="28">
        <f>IF(AND(ISNUMBER(BC103),ISNUMBER(BA103)),BC103-BA103,"")</f>
        <v>0</v>
      </c>
      <c r="BC103" s="27">
        <v>1378</v>
      </c>
      <c r="BD103" s="28">
        <f>IF(AND(ISNUMBER(BE103),ISNUMBER(BC103)),BE103-BC103,"")</f>
        <v>0</v>
      </c>
      <c r="BE103" s="27">
        <v>1433</v>
      </c>
      <c r="BF103" s="28">
        <f>IF(AND(ISNUMBER(BG103),ISNUMBER(BE103)),BG103-BE103,"")</f>
        <v>0</v>
      </c>
      <c r="BG103" s="27">
        <v>1367</v>
      </c>
      <c r="BH103" s="28">
        <f>IF(AND(ISNUMBER(BI103),ISNUMBER(BG103)),BI103-BG103,"")</f>
        <v>0</v>
      </c>
      <c r="BI103" s="27">
        <v>1408</v>
      </c>
      <c r="BJ103" s="28">
        <f>IF(AND(ISNUMBER(BK103),ISNUMBER(BI103)),BK103-BI103,"")</f>
        <v>0</v>
      </c>
      <c r="BK103" s="27">
        <v>1381</v>
      </c>
      <c r="BL103" s="28">
        <f>IF(AND(ISNUMBER(BM103),ISNUMBER(BK103)),BM103-BK103,"")</f>
        <v>0</v>
      </c>
      <c r="BM103" s="27">
        <v>1381</v>
      </c>
      <c r="BN103" s="28">
        <f>IF(AND(ISNUMBER(BO103),ISNUMBER(BM103)),BO103-BM103,"")</f>
        <v>0</v>
      </c>
      <c r="BO103" s="27">
        <v>1381</v>
      </c>
      <c r="BP103" s="28">
        <f>IF(AND(ISNUMBER(BQ103),ISNUMBER(BO103)),BQ103-BO103,"")</f>
        <v>0</v>
      </c>
      <c r="BQ103" s="27">
        <v>1439</v>
      </c>
      <c r="BR103" s="28">
        <f>IF(AND(ISNUMBER(BS103),ISNUMBER(BQ103)),BS103-BQ103,"")</f>
        <v>0</v>
      </c>
      <c r="BS103" s="27">
        <v>1505</v>
      </c>
      <c r="BT103" s="28">
        <f>IF(AND(ISNUMBER(BU103),ISNUMBER(BS103)),BU103-BS103,"")</f>
        <v>0</v>
      </c>
      <c r="BU103" s="27">
        <v>1632</v>
      </c>
      <c r="BV103" s="28">
        <f>IF(AND(ISNUMBER(BW103),ISNUMBER(BU103)),BW103-BU103,"")</f>
        <v>0</v>
      </c>
      <c r="BW103" s="27">
        <v>1782</v>
      </c>
      <c r="BX103" s="28">
        <f>IF(AND(ISNUMBER(BY103),ISNUMBER(BW103)),BY103-BW103,"")</f>
        <v>0</v>
      </c>
      <c r="BY103" s="27">
        <v>1817</v>
      </c>
      <c r="BZ103" s="28">
        <f>IF(AND(ISNUMBER(CA103),ISNUMBER(BY103)),CA103-BY103,"")</f>
        <v>0</v>
      </c>
      <c r="CA103" s="27">
        <v>1627</v>
      </c>
      <c r="CB103" s="28">
        <f>IF(AND(ISNUMBER(CC103),ISNUMBER(CA103)),CC103-CA103,"")</f>
        <v>0</v>
      </c>
      <c r="CC103" s="27">
        <v>1624</v>
      </c>
      <c r="CD103" s="28">
        <f>IF(AND(ISNUMBER(CE103),ISNUMBER(CC103)),CE103-CC103,"")</f>
        <v>0</v>
      </c>
      <c r="CE103" s="27">
        <v>1807</v>
      </c>
      <c r="CF103" s="28">
        <f>IF(AND(ISNUMBER(CG103),ISNUMBER(CE103)),CG103-CE103,"")</f>
        <v>0</v>
      </c>
      <c r="CG103" s="27">
        <v>1661</v>
      </c>
      <c r="CH103" s="28">
        <f>IF(AND(ISNUMBER(CI103),ISNUMBER(CG103)),CI103-CG103,"")</f>
        <v>0</v>
      </c>
      <c r="CI103" s="27">
        <v>1519</v>
      </c>
      <c r="CJ103" s="28">
        <f>IF(AND(ISNUMBER(CK103),ISNUMBER(CI103)),CK103-CI103,"")</f>
        <v>0</v>
      </c>
      <c r="CK103" s="27">
        <v>1514</v>
      </c>
      <c r="CL103" s="28">
        <f>IF(AND(ISNUMBER(CM103),ISNUMBER(CK103)),CM103-CK103,"")</f>
        <v>0</v>
      </c>
      <c r="CM103" s="27">
        <v>1455</v>
      </c>
      <c r="CN103" s="28">
        <f>IF(AND(ISNUMBER(CO103),ISNUMBER(CM103)),CO103-CM103,"")</f>
        <v>0</v>
      </c>
      <c r="CO103" s="27">
        <v>1298</v>
      </c>
      <c r="CP103" s="28">
        <f>IF(AND(ISNUMBER(CQ103),ISNUMBER(CO103)),CQ103-CO103,"")</f>
        <v>0</v>
      </c>
      <c r="CQ103" s="27">
        <v>1083</v>
      </c>
      <c r="CR103" s="28">
        <f>IF(AND(ISNUMBER(CS103),ISNUMBER(CQ103)),CS103-CQ103,"")</f>
        <v>0</v>
      </c>
      <c r="CS103" s="27">
        <v>956</v>
      </c>
      <c r="CT103" s="28">
        <f>IF(AND(ISNUMBER(CU103),ISNUMBER(CS103)),CU103-CS103,"")</f>
        <v>0</v>
      </c>
      <c r="CU103" s="27">
        <v>893</v>
      </c>
      <c r="CV103" s="28">
        <f>IF(AND(ISNUMBER(CW103),ISNUMBER(CU103)),CW103-CU103,"")</f>
        <v>0</v>
      </c>
      <c r="CW103" s="27">
        <v>696</v>
      </c>
      <c r="CX103" s="28">
        <f>IF(AND(ISNUMBER(CY103),ISNUMBER(CW103)),CY103-CW103,"")</f>
        <v>0</v>
      </c>
      <c r="CY103" s="27">
        <v>696</v>
      </c>
      <c r="CZ103" s="28">
        <f>IF(AND(ISNUMBER(DA103),ISNUMBER(CY103)),DA103-CY103,"")</f>
        <v>0</v>
      </c>
      <c r="DA103" s="27">
        <v>687</v>
      </c>
      <c r="DB103" s="28">
        <f>IF(AND(ISNUMBER(DC103),ISNUMBER(DA103)),DC103-DA103,"")</f>
        <v>0</v>
      </c>
      <c r="DC103" s="27">
        <v>593</v>
      </c>
      <c r="DD103" s="28">
        <f>IF(AND(ISNUMBER(DE103),ISNUMBER(DC103)),DE103-DC103,"")</f>
        <v>0</v>
      </c>
      <c r="DE103" s="27">
        <v>479</v>
      </c>
      <c r="DF103" s="28">
        <f>IF(AND(ISNUMBER(DG103),ISNUMBER(DE103)),DG103-DE103,"")</f>
        <v>0</v>
      </c>
      <c r="DG103" s="27">
        <v>496</v>
      </c>
      <c r="DH103" s="28">
        <f>IF(AND(ISNUMBER(DI103),ISNUMBER(DG103)),DI103-DG103,"")</f>
        <v>0</v>
      </c>
      <c r="DI103" s="27">
        <v>398</v>
      </c>
      <c r="DJ103" s="28">
        <f>IF(AND(ISNUMBER(DK103),ISNUMBER(DI103)),DK103-DI103,"")</f>
        <v>0</v>
      </c>
      <c r="DK103" s="27">
        <v>435</v>
      </c>
      <c r="DL103" s="28">
        <f>IF(AND(ISNUMBER(DM103),ISNUMBER(DK103)),DM103-DK103,"")</f>
        <v>0</v>
      </c>
      <c r="DM103" s="27">
        <v>399</v>
      </c>
      <c r="DN103" s="28">
        <f>IF(AND(ISNUMBER(DO103),ISNUMBER(DM103)),DO103-DM103,"")</f>
        <v>0</v>
      </c>
      <c r="DO103" s="27">
        <v>393</v>
      </c>
      <c r="DP103" s="28">
        <f>IF(AND(ISNUMBER(DQ103),ISNUMBER(DO103)),DQ103-DO103,"")</f>
        <v>0</v>
      </c>
      <c r="DQ103" s="27">
        <v>419</v>
      </c>
      <c r="DR103" s="28">
        <f>IF(AND(ISNUMBER(DS103),ISNUMBER(DQ103)),DS103-DQ103,"")</f>
        <v>0</v>
      </c>
      <c r="DS103" s="27">
        <v>501</v>
      </c>
      <c r="DT103" s="28">
        <f>IF(AND(ISNUMBER(DU103),ISNUMBER(DS103)),DU103-DS103,"")</f>
        <v>0</v>
      </c>
      <c r="DU103" s="27">
        <v>475</v>
      </c>
      <c r="DV103" s="28">
        <f>IF(AND(ISNUMBER(DW103),ISNUMBER(DU103)),DW103-DU103,"")</f>
        <v>0</v>
      </c>
      <c r="DW103" s="29">
        <f>444-52</f>
        <v>0</v>
      </c>
      <c r="DX103" s="28">
        <f>IF(AND(ISNUMBER(DY103),ISNUMBER(DW103)),DY103-DW103,"")</f>
        <v>0</v>
      </c>
      <c r="DY103" s="29">
        <f>413-52</f>
        <v>0</v>
      </c>
      <c r="DZ103" s="28">
        <f>IF(AND(ISNUMBER(EA103),ISNUMBER(DY103)),EA103-DY103,"")</f>
        <v>0</v>
      </c>
      <c r="EA103" s="29">
        <f>357-52</f>
        <v>0</v>
      </c>
      <c r="EB103" s="28">
        <f>IF(AND(ISNUMBER(EC103),ISNUMBER(EA103)),EC103-EA103,"")</f>
        <v>0</v>
      </c>
      <c r="EC103" s="29">
        <f>400-52</f>
        <v>0</v>
      </c>
      <c r="ED103" s="28">
        <f>IF(AND(ISNUMBER(EE103),ISNUMBER(EC103)),EE103-EC103,"")</f>
        <v>0</v>
      </c>
      <c r="EE103" s="29">
        <f>380-52</f>
        <v>0</v>
      </c>
      <c r="EF103" s="28">
        <f>IF(AND(ISNUMBER(EG103),ISNUMBER(EE103)),EG103-EE103,"")</f>
        <v>0</v>
      </c>
      <c r="EG103" s="29">
        <f>375-52</f>
        <v>0</v>
      </c>
      <c r="EH103" s="28">
        <f>IF(AND(ISNUMBER(EI103),ISNUMBER(EG103)),EI103-EG103,"")</f>
        <v>0</v>
      </c>
      <c r="EI103" s="29">
        <f>445-52</f>
        <v>0</v>
      </c>
      <c r="EJ103" s="28">
        <f>IF(AND(ISNUMBER(EK103),ISNUMBER(EI103)),EK103-EI103,"")</f>
        <v>0</v>
      </c>
      <c r="EK103" s="29">
        <f>399-52</f>
        <v>0</v>
      </c>
      <c r="EL103" s="28">
        <f>IF(AND(ISNUMBER(EM103),ISNUMBER(EK103)),EM103-EK103,"")</f>
        <v>0</v>
      </c>
      <c r="EM103" s="29">
        <f>350-52</f>
        <v>0</v>
      </c>
      <c r="EN103" s="28">
        <f>IF(AND(ISNUMBER(EO103),ISNUMBER(EM103)),EO103-EM103,"")</f>
        <v>0</v>
      </c>
      <c r="EO103" s="29">
        <f>343-52</f>
        <v>0</v>
      </c>
      <c r="EP103" s="28">
        <f>IF(AND(ISNUMBER(EQ103),ISNUMBER(EO103)),EQ103-EO103,"")</f>
        <v>0</v>
      </c>
      <c r="EQ103" s="29">
        <f>319-52</f>
        <v>0</v>
      </c>
      <c r="ER103" s="28">
        <f>IF(AND(ISNUMBER(ES103),ISNUMBER(EQ103)),ES103-EQ103,"")</f>
        <v>0</v>
      </c>
      <c r="ES103" s="29">
        <f>285-52</f>
        <v>0</v>
      </c>
      <c r="ET103" s="28">
        <f>IF(AND(ISNUMBER(EU103),ISNUMBER(ES103)),EU103-ES103,"")</f>
        <v>0</v>
      </c>
      <c r="EU103" s="29">
        <f>273-52</f>
        <v>0</v>
      </c>
      <c r="EV103" s="28">
        <f>IF(AND(ISNUMBER(EW103),ISNUMBER(EU103)),EW103-EU103,"")</f>
        <v>0</v>
      </c>
      <c r="EW103" s="29">
        <f>260-52</f>
        <v>0</v>
      </c>
      <c r="EX103" s="28">
        <f>IF(AND(ISNUMBER(EY103),ISNUMBER(EW103)),EY103-EW103,"")</f>
        <v>0</v>
      </c>
      <c r="EY103" s="29">
        <f>247-52</f>
        <v>0</v>
      </c>
      <c r="EZ103" s="28">
        <f>IF(AND(ISNUMBER(FA103),ISNUMBER(EY103)),FA103-EY103,"")</f>
        <v>0</v>
      </c>
      <c r="FA103" s="29">
        <f>240-52</f>
        <v>0</v>
      </c>
      <c r="FB103" s="28">
        <f>IF(AND(ISNUMBER(FC103),ISNUMBER(FA103)),FC103-FA103,"")</f>
        <v>0</v>
      </c>
      <c r="FC103" s="29">
        <f>232-52</f>
        <v>0</v>
      </c>
      <c r="FD103" s="28">
        <f>IF(AND(ISNUMBER(FE103),ISNUMBER(FC103)),FE103-FC103,"")</f>
        <v>0</v>
      </c>
      <c r="FE103" s="29">
        <f>219-52</f>
        <v>0</v>
      </c>
      <c r="FF103" s="28">
        <f>IF(AND(ISNUMBER(FG103),ISNUMBER(FE103)),FG103-FE103,"")</f>
        <v>0</v>
      </c>
      <c r="FG103" s="29">
        <f>213-52</f>
        <v>0</v>
      </c>
      <c r="FH103" s="28">
        <f>IF(AND(ISNUMBER(FI103),ISNUMBER(FG103)),FI103-FG103,"")</f>
        <v>0</v>
      </c>
      <c r="FI103" s="29">
        <f>210-52</f>
        <v>0</v>
      </c>
      <c r="FJ103" s="28">
        <f>IF(AND(ISNUMBER(FK103),ISNUMBER(FI103)),FK103-FI103,"")</f>
        <v>0</v>
      </c>
      <c r="FK103" s="29">
        <f>208-52</f>
        <v>0</v>
      </c>
      <c r="FL103" s="28">
        <f>IF(AND(ISNUMBER(FM103),ISNUMBER(FK103)),FM103-FK103,"")</f>
        <v>0</v>
      </c>
      <c r="FM103" s="29">
        <f>203-52</f>
        <v>0</v>
      </c>
      <c r="FN103" s="28">
        <f>IF(AND(ISNUMBER(FO103),ISNUMBER(FM103)),FO103-FM103,"")</f>
        <v>0</v>
      </c>
      <c r="FO103" s="29">
        <f>203-52</f>
        <v>0</v>
      </c>
      <c r="FP103" s="28">
        <f>IF(AND(ISNUMBER(FQ103),ISNUMBER(FO103)),FQ103-FO103,"")</f>
        <v>0</v>
      </c>
      <c r="FQ103" s="29">
        <f>201-52</f>
        <v>0</v>
      </c>
      <c r="FR103" s="28">
        <f>IF(AND(ISNUMBER(FS103),ISNUMBER(FQ103)),FS103-FQ103,"")</f>
        <v>0</v>
      </c>
      <c r="FS103" s="29">
        <f>201-52</f>
        <v>0</v>
      </c>
      <c r="FT103" s="28">
        <f>IF(AND(ISNUMBER(FU103),ISNUMBER(FS103)),FU103-FS103,"")</f>
        <v>0</v>
      </c>
      <c r="FU103" s="29">
        <f>201-52</f>
        <v>0</v>
      </c>
      <c r="FV103" s="28">
        <f>IF(AND(ISNUMBER(FW103),ISNUMBER(FU103)),FW103-FU103,"")</f>
        <v>0</v>
      </c>
      <c r="FW103" s="29">
        <f>200-52</f>
        <v>0</v>
      </c>
      <c r="FX103" s="28">
        <f>IF(AND(ISNUMBER(FY103),ISNUMBER(FW103)),FY103-FW103,"")</f>
        <v>0</v>
      </c>
      <c r="FY103" s="29">
        <f>201-52</f>
        <v>0</v>
      </c>
      <c r="FZ103" s="28">
        <f>IF(AND(ISNUMBER(GA103),ISNUMBER(FY103)),GA103-FY103,"")</f>
        <v>0</v>
      </c>
      <c r="GA103" s="29">
        <f>199-52</f>
        <v>0</v>
      </c>
      <c r="GB103" s="28">
        <f>IF(AND(ISNUMBER(GC103),ISNUMBER(GA103)),GC103-GA103,"")</f>
        <v>0</v>
      </c>
      <c r="GC103" s="29">
        <f>199-52</f>
        <v>0</v>
      </c>
      <c r="GD103" s="28">
        <f>IF(AND(ISNUMBER(GE103),ISNUMBER(GC103)),GE103-GC103,"")</f>
        <v>0</v>
      </c>
      <c r="GE103" s="29">
        <f>199-52</f>
        <v>0</v>
      </c>
      <c r="GF103" s="28">
        <f>IF(AND(ISNUMBER(GG103),ISNUMBER(GE103)),GG103-GE103,"")</f>
        <v>0</v>
      </c>
      <c r="GG103" s="29">
        <f>197-52</f>
        <v>0</v>
      </c>
      <c r="GH103" s="28">
        <f>IF(AND(ISNUMBER(GI103),ISNUMBER(GG103)),GI103-GG103,"")</f>
        <v>0</v>
      </c>
      <c r="GI103" s="29">
        <f>195-52</f>
        <v>0</v>
      </c>
      <c r="GJ103" s="28">
        <f>IF(AND(ISNUMBER(GK103),ISNUMBER(GI103)),GK103-GI103,"")</f>
        <v>0</v>
      </c>
      <c r="GK103" s="29">
        <f>182-60</f>
        <v>0</v>
      </c>
      <c r="GL103" s="28">
        <f>IF(AND(ISNUMBER(GM103),ISNUMBER(GK103)),GM103-GK103,"")</f>
        <v>0</v>
      </c>
      <c r="GM103" s="29">
        <f>171-56</f>
        <v>0</v>
      </c>
      <c r="GN103" s="28">
        <f>IF(AND(ISNUMBER(GO103),ISNUMBER(GM103)),GO103-GM103,"")</f>
        <v>0</v>
      </c>
      <c r="GO103" s="29">
        <f>171-56</f>
        <v>0</v>
      </c>
      <c r="GP103" s="28">
        <f>IF(AND(ISNUMBER(GQ103),ISNUMBER(GO103)),GQ103-GO103,"")</f>
        <v>0</v>
      </c>
      <c r="GQ103" s="29">
        <f>156-56-23</f>
        <v>0</v>
      </c>
      <c r="GR103" s="28">
        <f>IF(AND(ISNUMBER(GS103),ISNUMBER(GQ103)),GS103-GQ103,"")</f>
        <v>0</v>
      </c>
      <c r="GS103" s="29">
        <f>150-56-23</f>
        <v>0</v>
      </c>
      <c r="GT103" s="28">
        <f>IF(AND(ISNUMBER(GU103),ISNUMBER(GS103)),GU103-GS103,"")</f>
        <v>0</v>
      </c>
      <c r="GU103" s="29">
        <f>150-56-23</f>
        <v>0</v>
      </c>
      <c r="GV103" s="28">
        <f>IF(AND(ISNUMBER(GW103),ISNUMBER(GU103)),GW103-GU103,"")</f>
        <v>0</v>
      </c>
      <c r="GW103" s="29">
        <f>149-79</f>
        <v>0</v>
      </c>
      <c r="GX103" s="28">
        <f>IF(AND(ISNUMBER(GY103),ISNUMBER(GW103)),GY103-GW103,"")</f>
        <v>0</v>
      </c>
      <c r="GY103" s="29">
        <f>146-79</f>
        <v>0</v>
      </c>
      <c r="GZ103" s="28">
        <f>IF(AND(ISNUMBER(HA103),ISNUMBER(GY103)),HA103-GY103,"")</f>
        <v>0</v>
      </c>
      <c r="HA103" s="29">
        <f>148-79</f>
        <v>0</v>
      </c>
      <c r="HB103" s="28">
        <f>IF(AND(ISNUMBER(HC103),ISNUMBER(HA103)),HC103-HA103,"")</f>
        <v>0</v>
      </c>
      <c r="HC103" s="29">
        <f>145-79</f>
        <v>0</v>
      </c>
      <c r="HD103" s="28">
        <f>IF(AND(ISNUMBER(HE103),ISNUMBER(HC103)),HE103-HC103,"")</f>
        <v>0</v>
      </c>
      <c r="HE103" s="29">
        <f>145-79</f>
        <v>0</v>
      </c>
      <c r="HF103" s="28">
        <f>IF(AND(ISNUMBER(HG103),ISNUMBER(HE103)),HG103-HE103,"")</f>
        <v>0</v>
      </c>
      <c r="HG103" s="29">
        <f>139-79</f>
        <v>0</v>
      </c>
      <c r="HH103" s="28">
        <f>IF(AND(ISNUMBER(HI103),ISNUMBER(HG103)),HI103-HG103,"")</f>
        <v>0</v>
      </c>
      <c r="HI103" s="29">
        <f>138-79</f>
        <v>0</v>
      </c>
      <c r="HJ103" s="28">
        <f>IF(AND(ISNUMBER(HK103),ISNUMBER(HI103)),HK103-HI103,"")</f>
        <v>0</v>
      </c>
      <c r="HK103" s="29">
        <f>138-79</f>
        <v>0</v>
      </c>
      <c r="HL103" s="28">
        <f>IF(AND(ISNUMBER(HM103),ISNUMBER(HK103)),HM103-HK103,"")</f>
        <v>0</v>
      </c>
      <c r="HM103" s="29">
        <f>137-79</f>
        <v>0</v>
      </c>
      <c r="HN103" s="28">
        <f>IF(AND(ISNUMBER(HO103),ISNUMBER(HM103)),HO103-HM103,"")</f>
        <v>0</v>
      </c>
      <c r="HO103" s="29">
        <f>131-79</f>
        <v>0</v>
      </c>
      <c r="HP103" s="28">
        <f>IF(AND(ISNUMBER(HQ103),ISNUMBER(HO103)),HQ103-HO103,"")</f>
        <v>0</v>
      </c>
      <c r="HQ103" s="29">
        <f>131-79</f>
        <v>0</v>
      </c>
      <c r="HR103" s="28">
        <f>IF(AND(ISNUMBER(HS103),ISNUMBER(HQ103)),HS103-HQ103,"")</f>
        <v>0</v>
      </c>
      <c r="HS103" s="29">
        <f>131-79</f>
        <v>0</v>
      </c>
      <c r="HT103" s="28">
        <f>IF(AND(ISNUMBER(HU103),ISNUMBER(HS103)),HU103-HS103,"")</f>
        <v>0</v>
      </c>
      <c r="HU103" s="29">
        <f>128-79</f>
        <v>0</v>
      </c>
      <c r="HV103" s="28">
        <f>IF(AND(ISNUMBER(HW103),ISNUMBER(HU103)),HW103-HU103,"")</f>
        <v>0</v>
      </c>
      <c r="HW103" s="29">
        <f>129-79</f>
        <v>0</v>
      </c>
      <c r="HX103" s="28">
        <f>IF(AND(ISNUMBER(HY103),ISNUMBER(HW103)),HY103-HW103,"")</f>
        <v>0</v>
      </c>
      <c r="HY103" s="29">
        <f>129-79</f>
        <v>0</v>
      </c>
      <c r="HZ103" s="28">
        <f>IF(AND(ISNUMBER(IA103),ISNUMBER(HY103)),IA103-HY103,"")</f>
        <v>0</v>
      </c>
      <c r="IA103" s="29">
        <f>128-79</f>
        <v>0</v>
      </c>
      <c r="IB103" s="28">
        <f>IF(AND(ISNUMBER(IC103),ISNUMBER(IA103)),IC103-IA103,"")</f>
        <v>0</v>
      </c>
      <c r="IC103" s="29">
        <f>126-79</f>
        <v>0</v>
      </c>
      <c r="ID103" s="28">
        <f>IF(AND(ISNUMBER(IE103),ISNUMBER(IC103)),IE103-IC103,"")</f>
        <v>0</v>
      </c>
      <c r="IE103" s="29">
        <f>126-79</f>
        <v>0</v>
      </c>
      <c r="IF103" s="28">
        <f>IF(AND(ISNUMBER(IG103),ISNUMBER(IE103)),IG103-IE103,"")</f>
        <v>0</v>
      </c>
      <c r="IG103" s="29">
        <f>126-79</f>
        <v>0</v>
      </c>
      <c r="IH103" s="28">
        <f>IF(AND(ISNUMBER(II103),ISNUMBER(IG103)),II103-IG103,"")</f>
        <v>0</v>
      </c>
      <c r="II103" s="27">
        <v>38</v>
      </c>
      <c r="IJ103" s="28">
        <f>IF(AND(ISNUMBER(IK103),ISNUMBER(II103)),IK103-II103,"")</f>
        <v>0</v>
      </c>
      <c r="IK103" s="29">
        <f>126-88</f>
        <v>0</v>
      </c>
      <c r="IL103" s="28">
        <f>IF(AND(ISNUMBER(IM103),ISNUMBER(IK103)),IM103-IK103,"")</f>
        <v>0</v>
      </c>
      <c r="IM103" s="29">
        <f>127-88</f>
        <v>0</v>
      </c>
      <c r="IN103" s="28">
        <f>IF(AND(ISNUMBER(IO103),ISNUMBER(IM103)),IO103-IM103,"")</f>
        <v>0</v>
      </c>
      <c r="IO103" s="29">
        <f>123-88</f>
        <v>0</v>
      </c>
      <c r="IP103" s="28">
        <f>IF(AND(ISNUMBER(IQ103),ISNUMBER(IO103)),IQ103-IO103,"")</f>
        <v>0</v>
      </c>
      <c r="IQ103" s="29">
        <f>123-88</f>
        <v>0</v>
      </c>
      <c r="IR103" s="28">
        <f>IF(AND(ISNUMBER(IS103),ISNUMBER(IQ103)),IS103-IQ103,"")</f>
        <v>0</v>
      </c>
      <c r="IS103" s="29">
        <f>121-88</f>
        <v>0</v>
      </c>
      <c r="IT103" s="28">
        <f>IF(AND(ISNUMBER(IU103),ISNUMBER(IS103)),IU103-IS103,"")</f>
        <v>0</v>
      </c>
      <c r="IU103" s="27">
        <v>33</v>
      </c>
      <c r="IV103" s="28">
        <f>IF(AND(ISNUMBER(IW103),ISNUMBER(IU103)),IW103-IU103,"")</f>
        <v>0</v>
      </c>
      <c r="IW103" s="29">
        <f>120-88</f>
        <v>0</v>
      </c>
      <c r="IX103" s="28">
        <f>IF(AND(ISNUMBER(IY103),ISNUMBER(IW103)),IY103-IW103,"")</f>
        <v>0</v>
      </c>
      <c r="IY103" s="27">
        <v>0</v>
      </c>
      <c r="IZ103" s="28">
        <f>IF(AND(ISNUMBER(JA103),ISNUMBER(IY103)),JA103-IY103,"")</f>
        <v>0</v>
      </c>
      <c r="JA103" s="27">
        <v>0</v>
      </c>
      <c r="JB103" s="28">
        <f>IF(AND(ISNUMBER(JC103),ISNUMBER(JA103)),JC103-JA103,"")</f>
        <v>0</v>
      </c>
      <c r="JC103" s="27">
        <v>0</v>
      </c>
      <c r="JD103" s="28">
        <f>IF(AND(ISNUMBER(JE103),ISNUMBER(JC103)),JE103-JC103,"")</f>
        <v>0</v>
      </c>
      <c r="JE103" s="27">
        <v>0</v>
      </c>
      <c r="JF103" s="28">
        <f>IF(AND(ISNUMBER(JG103),ISNUMBER(JE103)),JG103-JE103,"")</f>
        <v>0</v>
      </c>
      <c r="JG103" s="27">
        <v>2</v>
      </c>
      <c r="JH103" s="28">
        <f>IF(AND(ISNUMBER(JI103),ISNUMBER(JG103)),JI103-JG103,"")</f>
        <v>0</v>
      </c>
      <c r="JI103" s="27">
        <v>1</v>
      </c>
      <c r="JJ103" s="28">
        <f>IF(AND(ISNUMBER(JK103),ISNUMBER(JI103)),JK103-JI103,"")</f>
        <v>0</v>
      </c>
      <c r="JK103" s="27">
        <v>2</v>
      </c>
      <c r="JL103" s="28">
        <f>IF(AND(ISNUMBER(JM103),ISNUMBER(JK103)),JM103-JK103,"")</f>
        <v>0</v>
      </c>
      <c r="JM103" s="27">
        <v>0</v>
      </c>
      <c r="JN103" s="28">
        <f>IF(AND(ISNUMBER(JO103),ISNUMBER(JM103)),JO103-JM103,"")</f>
        <v>0</v>
      </c>
      <c r="JO103" s="27">
        <v>0</v>
      </c>
      <c r="JP103" s="28">
        <f>IF(AND(ISNUMBER(JQ103),ISNUMBER(JO103)),JQ103-JO103,"")</f>
        <v>0</v>
      </c>
      <c r="JQ103" s="27">
        <v>0</v>
      </c>
      <c r="JR103" s="28">
        <f>IF(AND(ISNUMBER(JS103),ISNUMBER(JQ103)),JS103-JQ103,"")</f>
        <v>0</v>
      </c>
      <c r="JS103" s="27">
        <v>0</v>
      </c>
      <c r="JT103" s="28">
        <f>IF(AND(ISNUMBER(JU103),ISNUMBER(JS103)),JU103-JS103,"")</f>
        <v>0</v>
      </c>
      <c r="JU103" s="27">
        <v>0</v>
      </c>
      <c r="JV103" s="28">
        <f>IF(AND(ISNUMBER(JW103),ISNUMBER(JU103)),JW103-JU103,"")</f>
        <v>0</v>
      </c>
      <c r="JW103" s="27">
        <v>0</v>
      </c>
      <c r="JX103" s="28">
        <f>IF(AND(ISNUMBER(JY103),ISNUMBER(JW103)),JY103-JW103,"")</f>
        <v>0</v>
      </c>
      <c r="JY103" s="27">
        <v>0</v>
      </c>
      <c r="JZ103" s="28">
        <f>IF(AND(ISNUMBER(KA103),ISNUMBER(JY103)),KA103-JY103,"")</f>
        <v>0</v>
      </c>
      <c r="KA103" s="27"/>
      <c r="KB103" s="28">
        <f>IF(AND(ISNUMBER(KC103),ISNUMBER(KA103)),KC103-KA103,"")</f>
        <v>0</v>
      </c>
      <c r="KC103" s="27"/>
      <c r="KD103" s="28">
        <f>IF(AND(ISNUMBER(KE103),ISNUMBER(KC103)),KE103-KC103,"")</f>
        <v>0</v>
      </c>
      <c r="KE103" s="27"/>
      <c r="KF103" s="28">
        <f>IF(AND(ISNUMBER(KG103),ISNUMBER(KE103)),KG103-KE103,"")</f>
        <v>0</v>
      </c>
      <c r="KG103" s="27"/>
      <c r="KH103" s="28">
        <f>IF(AND(ISNUMBER(KI103),ISNUMBER(KG103)),KI103-KG103,"")</f>
        <v>0</v>
      </c>
      <c r="KI103" s="27"/>
      <c r="KJ103" s="28">
        <f>IF(AND(ISNUMBER(KK103),ISNUMBER(KI103)),KK103-KI103,"")</f>
        <v>0</v>
      </c>
      <c r="KK103" s="27"/>
      <c r="KL103" s="28">
        <f>IF(AND(ISNUMBER(KM103),ISNUMBER(KK103)),KM103-KK103,"")</f>
        <v>0</v>
      </c>
      <c r="KM103" s="27"/>
      <c r="KN103" s="28">
        <f>IF(AND(ISNUMBER(KO103),ISNUMBER(KM103)),KO103-KM103,"")</f>
        <v>0</v>
      </c>
      <c r="KO103" s="27"/>
      <c r="KP103" s="28">
        <f>IF(AND(ISNUMBER(KQ103),ISNUMBER(KO103)),KQ103-KO103,"")</f>
        <v>0</v>
      </c>
      <c r="KQ103" s="27"/>
      <c r="KR103" s="28">
        <f>IF(AND(ISNUMBER(KS103),ISNUMBER(KQ103)),KS103-KQ103,"")</f>
        <v>0</v>
      </c>
      <c r="KS103" s="27"/>
      <c r="KT103" s="28">
        <f>IF(AND(ISNUMBER(KU103),ISNUMBER(KS103)),KU103-KS103,"")</f>
        <v>0</v>
      </c>
      <c r="KU103" s="27"/>
      <c r="KV103" s="28">
        <f>IF(AND(ISNUMBER(KW103),ISNUMBER(KU103)),KW103-KU103,"")</f>
        <v>0</v>
      </c>
      <c r="KW103" s="27"/>
      <c r="KX103" s="28">
        <f>IF(AND(ISNUMBER(KY103),ISNUMBER(KW103)),KY103-KW103,"")</f>
        <v>0</v>
      </c>
      <c r="KY103" s="27"/>
      <c r="KZ103" s="28">
        <f>IF(AND(ISNUMBER(LA103),ISNUMBER(KY103)),LA103-KY103,"")</f>
        <v>0</v>
      </c>
      <c r="LA103" s="27"/>
      <c r="LB103" s="28">
        <f>IF(AND(ISNUMBER(LC103),ISNUMBER(LA103)),LC103-LA103,"")</f>
        <v>0</v>
      </c>
      <c r="LC103" s="27"/>
      <c r="LD103" s="28">
        <f>IF(AND(ISNUMBER(LE103),ISNUMBER(LC103)),LE103-LC103,"")</f>
        <v>0</v>
      </c>
      <c r="LE103" s="27"/>
      <c r="LF103" s="28">
        <f>IF(AND(ISNUMBER(LG103),ISNUMBER(LE103)),LG103-LE103,"")</f>
        <v>0</v>
      </c>
      <c r="LG103" s="27"/>
      <c r="LH103" s="30"/>
      <c r="LI103" s="30"/>
      <c r="LJ103" s="41" t="s">
        <v>1124</v>
      </c>
    </row>
    <row r="104" spans="1:322">
      <c r="B104" s="23"/>
      <c r="C104" s="31" t="s">
        <v>728</v>
      </c>
      <c r="D104" s="31" t="s">
        <v>861</v>
      </c>
      <c r="E104" s="25"/>
      <c r="I104" s="33"/>
      <c r="J104" s="34">
        <f>IF(AND(ISNUMBER(K104),ISNUMBER(I104)),K104-I104,"")</f>
        <v>0</v>
      </c>
      <c r="K104" s="33"/>
      <c r="L104" s="34">
        <f>IF(AND(ISNUMBER(M104),ISNUMBER(K104)),M104-K104,"")</f>
        <v>0</v>
      </c>
      <c r="M104" s="33"/>
      <c r="N104" s="34">
        <f>IF(AND(ISNUMBER(O104),ISNUMBER(M104)),O104-M104,"")</f>
        <v>0</v>
      </c>
      <c r="O104" s="33"/>
      <c r="P104" s="34">
        <f>IF(AND(ISNUMBER(Q104),ISNUMBER(O104)),Q104-O104,"")</f>
        <v>0</v>
      </c>
      <c r="Q104" s="33"/>
      <c r="R104" s="34">
        <f>IF(AND(ISNUMBER(S104),ISNUMBER(Q104)),S104-Q104,"")</f>
        <v>0</v>
      </c>
      <c r="S104" s="33"/>
      <c r="T104" s="34">
        <f>IF(AND(ISNUMBER(U104),ISNUMBER(S104)),U104-S104,"")</f>
        <v>0</v>
      </c>
      <c r="U104" s="33"/>
      <c r="V104" s="34">
        <f>IF(AND(ISNUMBER(W104),ISNUMBER(U104)),W104-U104,"")</f>
        <v>0</v>
      </c>
      <c r="W104" s="33"/>
      <c r="X104" s="34">
        <f>IF(AND(ISNUMBER(Y104),ISNUMBER(W104)),Y104-W104,"")</f>
        <v>0</v>
      </c>
      <c r="Y104" s="33"/>
      <c r="Z104" s="34">
        <f>IF(AND(ISNUMBER(AA104),ISNUMBER(Y104)),AA104-Y104,"")</f>
        <v>0</v>
      </c>
      <c r="AA104" s="33"/>
      <c r="AB104" s="34">
        <f>IF(AND(ISNUMBER(AC104),ISNUMBER(AA104)),AC104-AA104,"")</f>
        <v>0</v>
      </c>
      <c r="AC104" s="33"/>
      <c r="AD104" s="34">
        <f>IF(AND(ISNUMBER(AE104),ISNUMBER(AC104)),AE104-AC104,"")</f>
        <v>0</v>
      </c>
      <c r="AE104" s="33"/>
      <c r="AF104" s="34">
        <f>IF(AND(ISNUMBER(AG104),ISNUMBER(AE104)),AG104-AE104,"")</f>
        <v>0</v>
      </c>
      <c r="AG104" s="33"/>
      <c r="AH104" s="34">
        <f>IF(AND(ISNUMBER(AI104),ISNUMBER(AG104)),AI104-AG104,"")</f>
        <v>0</v>
      </c>
      <c r="AI104" s="33"/>
      <c r="AJ104" s="34">
        <f>IF(AND(ISNUMBER(AK104),ISNUMBER(AI104)),AK104-AI104,"")</f>
        <v>0</v>
      </c>
      <c r="AK104" s="33"/>
      <c r="AL104" s="34">
        <f>IF(AND(ISNUMBER(AM104),ISNUMBER(AK104)),AM104-AK104,"")</f>
        <v>0</v>
      </c>
      <c r="AM104" s="33"/>
      <c r="AN104" s="34">
        <f>IF(AND(ISNUMBER(AO104),ISNUMBER(AM104)),AO104-AM104,"")</f>
        <v>0</v>
      </c>
      <c r="AO104" s="33"/>
      <c r="AP104" s="34">
        <f>IF(AND(ISNUMBER(AQ104),ISNUMBER(AO104)),AQ104-AO104,"")</f>
        <v>0</v>
      </c>
      <c r="AQ104" s="33"/>
      <c r="AR104" s="34">
        <f>IF(AND(ISNUMBER(AS104),ISNUMBER(AQ104)),AS104-AQ104,"")</f>
        <v>0</v>
      </c>
      <c r="AS104" s="33"/>
      <c r="AT104" s="34">
        <f>IF(AND(ISNUMBER(AU104),ISNUMBER(AS104)),AU104-AS104,"")</f>
        <v>0</v>
      </c>
      <c r="AU104" s="33"/>
      <c r="AV104" s="34">
        <f>IF(AND(ISNUMBER(AW104),ISNUMBER(AU104)),AW104-AU104,"")</f>
        <v>0</v>
      </c>
      <c r="AW104" s="33"/>
      <c r="AX104" s="34">
        <f>IF(AND(ISNUMBER(AY104),ISNUMBER(AW104)),AY104-AW104,"")</f>
        <v>0</v>
      </c>
      <c r="AY104" s="33"/>
      <c r="AZ104" s="34">
        <f>IF(AND(ISNUMBER(BA104),ISNUMBER(AY104)),BA104-AY104,"")</f>
        <v>0</v>
      </c>
      <c r="BA104" s="33"/>
      <c r="BB104" s="34">
        <f>IF(AND(ISNUMBER(BC104),ISNUMBER(BA104)),BC104-BA104,"")</f>
        <v>0</v>
      </c>
      <c r="BC104" s="33"/>
      <c r="BD104" s="34">
        <f>IF(AND(ISNUMBER(BE104),ISNUMBER(BC104)),BE104-BC104,"")</f>
        <v>0</v>
      </c>
      <c r="BE104" s="33"/>
      <c r="BF104" s="34">
        <f>IF(AND(ISNUMBER(BG104),ISNUMBER(BE104)),BG104-BE104,"")</f>
        <v>0</v>
      </c>
      <c r="BG104" s="33"/>
      <c r="BH104" s="34">
        <f>IF(AND(ISNUMBER(BI104),ISNUMBER(BG104)),BI104-BG104,"")</f>
        <v>0</v>
      </c>
      <c r="BI104" s="33"/>
      <c r="BJ104" s="34">
        <f>IF(AND(ISNUMBER(BK104),ISNUMBER(BI104)),BK104-BI104,"")</f>
        <v>0</v>
      </c>
      <c r="BK104" s="33"/>
      <c r="BL104" s="34">
        <f>IF(AND(ISNUMBER(BM104),ISNUMBER(BK104)),BM104-BK104,"")</f>
        <v>0</v>
      </c>
      <c r="BM104" s="33"/>
      <c r="BN104" s="34">
        <f>IF(AND(ISNUMBER(BO104),ISNUMBER(BM104)),BO104-BM104,"")</f>
        <v>0</v>
      </c>
      <c r="BO104" s="33"/>
      <c r="BP104" s="34">
        <f>IF(AND(ISNUMBER(BQ104),ISNUMBER(BO104)),BQ104-BO104,"")</f>
        <v>0</v>
      </c>
      <c r="BQ104" s="33"/>
      <c r="BR104" s="34">
        <f>IF(AND(ISNUMBER(BS104),ISNUMBER(BQ104)),BS104-BQ104,"")</f>
        <v>0</v>
      </c>
      <c r="BS104" s="33"/>
      <c r="BT104" s="34">
        <f>IF(AND(ISNUMBER(BU104),ISNUMBER(BS104)),BU104-BS104,"")</f>
        <v>0</v>
      </c>
      <c r="BU104" s="33"/>
      <c r="BV104" s="34">
        <f>IF(AND(ISNUMBER(BW104),ISNUMBER(BU104)),BW104-BU104,"")</f>
        <v>0</v>
      </c>
      <c r="BW104" s="33"/>
      <c r="BX104" s="34">
        <f>IF(AND(ISNUMBER(BY104),ISNUMBER(BW104)),BY104-BW104,"")</f>
        <v>0</v>
      </c>
      <c r="BY104" s="33"/>
      <c r="BZ104" s="34">
        <f>IF(AND(ISNUMBER(CA104),ISNUMBER(BY104)),CA104-BY104,"")</f>
        <v>0</v>
      </c>
      <c r="CA104" s="33"/>
      <c r="CB104" s="34">
        <f>IF(AND(ISNUMBER(CC104),ISNUMBER(CA104)),CC104-CA104,"")</f>
        <v>0</v>
      </c>
      <c r="CC104" s="33"/>
      <c r="CD104" s="34">
        <f>IF(AND(ISNUMBER(CE104),ISNUMBER(CC104)),CE104-CC104,"")</f>
        <v>0</v>
      </c>
      <c r="CE104" s="33"/>
      <c r="CF104" s="34">
        <f>IF(AND(ISNUMBER(CG104),ISNUMBER(CE104)),CG104-CE104,"")</f>
        <v>0</v>
      </c>
      <c r="CG104" s="33"/>
      <c r="CH104" s="34">
        <f>IF(AND(ISNUMBER(CI104),ISNUMBER(CG104)),CI104-CG104,"")</f>
        <v>0</v>
      </c>
      <c r="CI104" s="33"/>
      <c r="CJ104" s="34">
        <f>IF(AND(ISNUMBER(CK104),ISNUMBER(CI104)),CK104-CI104,"")</f>
        <v>0</v>
      </c>
      <c r="CK104" s="33"/>
      <c r="CL104" s="34">
        <f>IF(AND(ISNUMBER(CM104),ISNUMBER(CK104)),CM104-CK104,"")</f>
        <v>0</v>
      </c>
      <c r="CM104" s="33"/>
      <c r="CN104" s="34">
        <f>IF(AND(ISNUMBER(CO104),ISNUMBER(CM104)),CO104-CM104,"")</f>
        <v>0</v>
      </c>
      <c r="CO104" s="33"/>
      <c r="CP104" s="34">
        <f>IF(AND(ISNUMBER(CQ104),ISNUMBER(CO104)),CQ104-CO104,"")</f>
        <v>0</v>
      </c>
      <c r="CQ104" s="33"/>
      <c r="CR104" s="34">
        <f>IF(AND(ISNUMBER(CS104),ISNUMBER(CQ104)),CS104-CQ104,"")</f>
        <v>0</v>
      </c>
      <c r="CS104" s="33"/>
      <c r="CT104" s="34">
        <f>IF(AND(ISNUMBER(CU104),ISNUMBER(CS104)),CU104-CS104,"")</f>
        <v>0</v>
      </c>
      <c r="CU104" s="33"/>
      <c r="CV104" s="34">
        <f>IF(AND(ISNUMBER(CW104),ISNUMBER(CU104)),CW104-CU104,"")</f>
        <v>0</v>
      </c>
      <c r="CW104" s="33"/>
      <c r="CX104" s="34">
        <f>IF(AND(ISNUMBER(CY104),ISNUMBER(CW104)),CY104-CW104,"")</f>
        <v>0</v>
      </c>
      <c r="CY104" s="33"/>
      <c r="CZ104" s="34">
        <f>IF(AND(ISNUMBER(DA104),ISNUMBER(CY104)),DA104-CY104,"")</f>
        <v>0</v>
      </c>
      <c r="DA104" s="33"/>
      <c r="DB104" s="34">
        <f>IF(AND(ISNUMBER(DC104),ISNUMBER(DA104)),DC104-DA104,"")</f>
        <v>0</v>
      </c>
      <c r="DC104" s="33"/>
      <c r="DD104" s="34">
        <f>IF(AND(ISNUMBER(DE104),ISNUMBER(DC104)),DE104-DC104,"")</f>
        <v>0</v>
      </c>
      <c r="DE104" s="33"/>
      <c r="DF104" s="34">
        <f>IF(AND(ISNUMBER(DG104),ISNUMBER(DE104)),DG104-DE104,"")</f>
        <v>0</v>
      </c>
      <c r="DG104" s="33"/>
      <c r="DH104" s="34">
        <f>IF(AND(ISNUMBER(DI104),ISNUMBER(DG104)),DI104-DG104,"")</f>
        <v>0</v>
      </c>
      <c r="DI104" s="33"/>
      <c r="DJ104" s="34">
        <f>IF(AND(ISNUMBER(DK104),ISNUMBER(DI104)),DK104-DI104,"")</f>
        <v>0</v>
      </c>
      <c r="DK104" s="33"/>
      <c r="DL104" s="34">
        <f>IF(AND(ISNUMBER(DM104),ISNUMBER(DK104)),DM104-DK104,"")</f>
        <v>0</v>
      </c>
      <c r="DM104" s="33"/>
      <c r="DN104" s="34">
        <f>IF(AND(ISNUMBER(DO104),ISNUMBER(DM104)),DO104-DM104,"")</f>
        <v>0</v>
      </c>
      <c r="DO104" s="33"/>
      <c r="DP104" s="34">
        <f>IF(AND(ISNUMBER(DQ104),ISNUMBER(DO104)),DQ104-DO104,"")</f>
        <v>0</v>
      </c>
      <c r="DQ104" s="33"/>
      <c r="DR104" s="34">
        <f>IF(AND(ISNUMBER(DS104),ISNUMBER(DQ104)),DS104-DQ104,"")</f>
        <v>0</v>
      </c>
      <c r="DS104" s="33"/>
      <c r="DT104" s="34">
        <f>IF(AND(ISNUMBER(DU104),ISNUMBER(DS104)),DU104-DS104,"")</f>
        <v>0</v>
      </c>
      <c r="DU104" s="33"/>
      <c r="DV104" s="34">
        <f>IF(AND(ISNUMBER(DW104),ISNUMBER(DU104)),DW104-DU104,"")</f>
        <v>0</v>
      </c>
      <c r="DW104" s="33"/>
      <c r="DX104" s="34">
        <f>IF(AND(ISNUMBER(DY104),ISNUMBER(DW104)),DY104-DW104,"")</f>
        <v>0</v>
      </c>
      <c r="DY104" s="33"/>
      <c r="DZ104" s="34">
        <f>IF(AND(ISNUMBER(EA104),ISNUMBER(DY104)),EA104-DY104,"")</f>
        <v>0</v>
      </c>
      <c r="EA104" s="33"/>
      <c r="EB104" s="34">
        <f>IF(AND(ISNUMBER(EC104),ISNUMBER(EA104)),EC104-EA104,"")</f>
        <v>0</v>
      </c>
      <c r="EC104" s="33"/>
      <c r="ED104" s="34">
        <f>IF(AND(ISNUMBER(EE104),ISNUMBER(EC104)),EE104-EC104,"")</f>
        <v>0</v>
      </c>
      <c r="EE104" s="33"/>
      <c r="EF104" s="34">
        <f>IF(AND(ISNUMBER(EG104),ISNUMBER(EE104)),EG104-EE104,"")</f>
        <v>0</v>
      </c>
      <c r="EG104" s="33"/>
      <c r="EH104" s="34">
        <f>IF(AND(ISNUMBER(EI104),ISNUMBER(EG104)),EI104-EG104,"")</f>
        <v>0</v>
      </c>
      <c r="EI104" s="33"/>
      <c r="EJ104" s="34">
        <f>IF(AND(ISNUMBER(EK104),ISNUMBER(EI104)),EK104-EI104,"")</f>
        <v>0</v>
      </c>
      <c r="EK104" s="33"/>
      <c r="EL104" s="34">
        <f>IF(AND(ISNUMBER(EM104),ISNUMBER(EK104)),EM104-EK104,"")</f>
        <v>0</v>
      </c>
      <c r="EM104" s="33"/>
      <c r="EN104" s="34">
        <f>IF(AND(ISNUMBER(EO104),ISNUMBER(EM104)),EO104-EM104,"")</f>
        <v>0</v>
      </c>
      <c r="EO104" s="33">
        <v>41</v>
      </c>
      <c r="EP104" s="34">
        <f>IF(AND(ISNUMBER(EQ104),ISNUMBER(EO104)),EQ104-EO104,"")</f>
        <v>0</v>
      </c>
      <c r="EQ104" s="33">
        <v>46</v>
      </c>
      <c r="ER104" s="34">
        <f>IF(AND(ISNUMBER(ES104),ISNUMBER(EQ104)),ES104-EQ104,"")</f>
        <v>0</v>
      </c>
      <c r="ES104" s="33">
        <v>69</v>
      </c>
      <c r="ET104" s="34">
        <f>IF(AND(ISNUMBER(EU104),ISNUMBER(ES104)),EU104-ES104,"")</f>
        <v>0</v>
      </c>
      <c r="EU104" s="33">
        <v>117</v>
      </c>
      <c r="EV104" s="34">
        <f>IF(AND(ISNUMBER(EW104),ISNUMBER(EU104)),EW104-EU104,"")</f>
        <v>0</v>
      </c>
      <c r="EW104" s="33">
        <v>110</v>
      </c>
      <c r="EX104" s="34">
        <f>IF(AND(ISNUMBER(EY104),ISNUMBER(EW104)),EY104-EW104,"")</f>
        <v>0</v>
      </c>
      <c r="EY104" s="33">
        <v>78</v>
      </c>
      <c r="EZ104" s="34">
        <f>IF(AND(ISNUMBER(FA104),ISNUMBER(EY104)),FA104-EY104,"")</f>
        <v>0</v>
      </c>
      <c r="FA104" s="33">
        <v>92</v>
      </c>
      <c r="FB104" s="34">
        <f>IF(AND(ISNUMBER(FC104),ISNUMBER(FA104)),FC104-FA104,"")</f>
        <v>0</v>
      </c>
      <c r="FC104" s="33">
        <v>126</v>
      </c>
      <c r="FD104" s="34">
        <f>IF(AND(ISNUMBER(FE104),ISNUMBER(FC104)),FE104-FC104,"")</f>
        <v>0</v>
      </c>
      <c r="FE104" s="33">
        <v>129</v>
      </c>
      <c r="FF104" s="34">
        <f>IF(AND(ISNUMBER(FG104),ISNUMBER(FE104)),FG104-FE104,"")</f>
        <v>0</v>
      </c>
      <c r="FG104" s="33">
        <v>129</v>
      </c>
      <c r="FH104" s="34">
        <f>IF(AND(ISNUMBER(FI104),ISNUMBER(FG104)),FI104-FG104,"")</f>
        <v>0</v>
      </c>
      <c r="FI104" s="33">
        <v>128</v>
      </c>
      <c r="FJ104" s="34">
        <f>IF(AND(ISNUMBER(FK104),ISNUMBER(FI104)),FK104-FI104,"")</f>
        <v>0</v>
      </c>
      <c r="FK104" s="33">
        <v>164</v>
      </c>
      <c r="FL104" s="34">
        <f>IF(AND(ISNUMBER(FM104),ISNUMBER(FK104)),FM104-FK104,"")</f>
        <v>0</v>
      </c>
      <c r="FM104" s="33">
        <v>128</v>
      </c>
      <c r="FN104" s="34">
        <f>IF(AND(ISNUMBER(FO104),ISNUMBER(FM104)),FO104-FM104,"")</f>
        <v>0</v>
      </c>
      <c r="FO104" s="33">
        <v>133</v>
      </c>
      <c r="FP104" s="34">
        <f>IF(AND(ISNUMBER(FQ104),ISNUMBER(FO104)),FQ104-FO104,"")</f>
        <v>0</v>
      </c>
      <c r="FQ104" s="33">
        <v>154</v>
      </c>
      <c r="FR104" s="34">
        <f>IF(AND(ISNUMBER(FS104),ISNUMBER(FQ104)),FS104-FQ104,"")</f>
        <v>0</v>
      </c>
      <c r="FS104" s="33">
        <v>149</v>
      </c>
      <c r="FT104" s="34">
        <f>IF(AND(ISNUMBER(FU104),ISNUMBER(FS104)),FU104-FS104,"")</f>
        <v>0</v>
      </c>
      <c r="FU104" s="33">
        <v>183</v>
      </c>
      <c r="FV104" s="34">
        <f>IF(AND(ISNUMBER(FW104),ISNUMBER(FU104)),FW104-FU104,"")</f>
        <v>0</v>
      </c>
      <c r="FW104" s="33">
        <v>205</v>
      </c>
      <c r="FX104" s="34">
        <f>IF(AND(ISNUMBER(FY104),ISNUMBER(FW104)),FY104-FW104,"")</f>
        <v>0</v>
      </c>
      <c r="FY104" s="33">
        <v>210</v>
      </c>
      <c r="FZ104" s="34">
        <f>IF(AND(ISNUMBER(GA104),ISNUMBER(FY104)),GA104-FY104,"")</f>
        <v>0</v>
      </c>
      <c r="GA104" s="33">
        <v>211</v>
      </c>
      <c r="GB104" s="34">
        <f>IF(AND(ISNUMBER(GC104),ISNUMBER(GA104)),GC104-GA104,"")</f>
        <v>0</v>
      </c>
      <c r="GC104" s="33">
        <v>186</v>
      </c>
      <c r="GD104" s="34">
        <f>IF(AND(ISNUMBER(GE104),ISNUMBER(GC104)),GE104-GC104,"")</f>
        <v>0</v>
      </c>
      <c r="GE104" s="33">
        <v>190</v>
      </c>
      <c r="GF104" s="34">
        <f>IF(AND(ISNUMBER(GG104),ISNUMBER(GE104)),GG104-GE104,"")</f>
        <v>0</v>
      </c>
      <c r="GG104" s="33">
        <v>150</v>
      </c>
      <c r="GH104" s="34">
        <f>IF(AND(ISNUMBER(GI104),ISNUMBER(GG104)),GI104-GG104,"")</f>
        <v>0</v>
      </c>
      <c r="GI104" s="33">
        <v>177</v>
      </c>
      <c r="GJ104" s="34">
        <f>IF(AND(ISNUMBER(GK104),ISNUMBER(GI104)),GK104-GI104,"")</f>
        <v>0</v>
      </c>
      <c r="GK104" s="33">
        <v>190</v>
      </c>
      <c r="GL104" s="34">
        <f>IF(AND(ISNUMBER(GM104),ISNUMBER(GK104)),GM104-GK104,"")</f>
        <v>0</v>
      </c>
      <c r="GM104" s="33">
        <v>181</v>
      </c>
      <c r="GN104" s="34">
        <f>IF(AND(ISNUMBER(GO104),ISNUMBER(GM104)),GO104-GM104,"")</f>
        <v>0</v>
      </c>
      <c r="GO104" s="33">
        <v>197</v>
      </c>
      <c r="GP104" s="34">
        <f>IF(AND(ISNUMBER(GQ104),ISNUMBER(GO104)),GQ104-GO104,"")</f>
        <v>0</v>
      </c>
      <c r="GQ104" s="33">
        <v>250</v>
      </c>
      <c r="GR104" s="34">
        <f>IF(AND(ISNUMBER(GS104),ISNUMBER(GQ104)),GS104-GQ104,"")</f>
        <v>0</v>
      </c>
      <c r="GS104" s="33">
        <v>221</v>
      </c>
      <c r="GT104" s="34">
        <f>IF(AND(ISNUMBER(GU104),ISNUMBER(GS104)),GU104-GS104,"")</f>
        <v>0</v>
      </c>
      <c r="GU104" s="33">
        <v>215</v>
      </c>
      <c r="GV104" s="34">
        <f>IF(AND(ISNUMBER(GW104),ISNUMBER(GU104)),GW104-GU104,"")</f>
        <v>0</v>
      </c>
      <c r="GW104" s="33">
        <v>198</v>
      </c>
      <c r="GX104" s="34">
        <f>IF(AND(ISNUMBER(GY104),ISNUMBER(GW104)),GY104-GW104,"")</f>
        <v>0</v>
      </c>
      <c r="GY104" s="33">
        <v>208</v>
      </c>
      <c r="GZ104" s="34">
        <f>IF(AND(ISNUMBER(HA104),ISNUMBER(GY104)),HA104-GY104,"")</f>
        <v>0</v>
      </c>
      <c r="HA104" s="33">
        <v>228</v>
      </c>
      <c r="HB104" s="34">
        <f>IF(AND(ISNUMBER(HC104),ISNUMBER(HA104)),HC104-HA104,"")</f>
        <v>0</v>
      </c>
      <c r="HC104" s="33">
        <v>196</v>
      </c>
      <c r="HD104" s="34">
        <f>IF(AND(ISNUMBER(HE104),ISNUMBER(HC104)),HE104-HC104,"")</f>
        <v>0</v>
      </c>
      <c r="HE104" s="33">
        <v>190</v>
      </c>
      <c r="HF104" s="34">
        <f>IF(AND(ISNUMBER(HG104),ISNUMBER(HE104)),HG104-HE104,"")</f>
        <v>0</v>
      </c>
      <c r="HG104" s="33">
        <v>197</v>
      </c>
      <c r="HH104" s="34">
        <f>IF(AND(ISNUMBER(HI104),ISNUMBER(HG104)),HI104-HG104,"")</f>
        <v>0</v>
      </c>
      <c r="HI104" s="33">
        <v>190</v>
      </c>
      <c r="HJ104" s="34">
        <f>IF(AND(ISNUMBER(HK104),ISNUMBER(HI104)),HK104-HI104,"")</f>
        <v>0</v>
      </c>
      <c r="HK104" s="33">
        <v>209</v>
      </c>
      <c r="HL104" s="34">
        <f>IF(AND(ISNUMBER(HM104),ISNUMBER(HK104)),HM104-HK104,"")</f>
        <v>0</v>
      </c>
      <c r="HM104" s="33">
        <v>207</v>
      </c>
      <c r="HN104" s="34">
        <f>IF(AND(ISNUMBER(HO104),ISNUMBER(HM104)),HO104-HM104,"")</f>
        <v>0</v>
      </c>
      <c r="HO104" s="33">
        <v>186</v>
      </c>
      <c r="HP104" s="34">
        <f>IF(AND(ISNUMBER(HQ104),ISNUMBER(HO104)),HQ104-HO104,"")</f>
        <v>0</v>
      </c>
      <c r="HQ104" s="33">
        <v>205</v>
      </c>
      <c r="HR104" s="34">
        <f>IF(AND(ISNUMBER(HS104),ISNUMBER(HQ104)),HS104-HQ104,"")</f>
        <v>0</v>
      </c>
      <c r="HS104" s="33">
        <v>231</v>
      </c>
      <c r="HT104" s="34">
        <f>IF(AND(ISNUMBER(HU104),ISNUMBER(HS104)),HU104-HS104,"")</f>
        <v>0</v>
      </c>
      <c r="HU104" s="33">
        <v>160</v>
      </c>
      <c r="HV104" s="34">
        <f>IF(AND(ISNUMBER(HW104),ISNUMBER(HU104)),HW104-HU104,"")</f>
        <v>0</v>
      </c>
      <c r="HW104" s="33">
        <v>139</v>
      </c>
      <c r="HX104" s="34">
        <f>IF(AND(ISNUMBER(HY104),ISNUMBER(HW104)),HY104-HW104,"")</f>
        <v>0</v>
      </c>
      <c r="HY104" s="33">
        <v>145</v>
      </c>
      <c r="HZ104" s="34">
        <f>IF(AND(ISNUMBER(IA104),ISNUMBER(HY104)),IA104-HY104,"")</f>
        <v>0</v>
      </c>
      <c r="IA104" s="33">
        <v>162</v>
      </c>
      <c r="IB104" s="34">
        <f>IF(AND(ISNUMBER(IC104),ISNUMBER(IA104)),IC104-IA104,"")</f>
        <v>0</v>
      </c>
      <c r="IC104" s="33">
        <v>153</v>
      </c>
      <c r="ID104" s="34">
        <f>IF(AND(ISNUMBER(IE104),ISNUMBER(IC104)),IE104-IC104,"")</f>
        <v>0</v>
      </c>
      <c r="IE104" s="33">
        <v>119</v>
      </c>
      <c r="IF104" s="34">
        <f>IF(AND(ISNUMBER(IG104),ISNUMBER(IE104)),IG104-IE104,"")</f>
        <v>0</v>
      </c>
      <c r="IG104" s="33">
        <v>119</v>
      </c>
      <c r="IH104" s="34">
        <f>IF(AND(ISNUMBER(II104),ISNUMBER(IG104)),II104-IG104,"")</f>
        <v>0</v>
      </c>
      <c r="II104" s="33">
        <v>108</v>
      </c>
      <c r="IJ104" s="34">
        <f>IF(AND(ISNUMBER(IK104),ISNUMBER(II104)),IK104-II104,"")</f>
        <v>0</v>
      </c>
      <c r="IK104" s="33">
        <v>127</v>
      </c>
      <c r="IL104" s="34">
        <f>IF(AND(ISNUMBER(IM104),ISNUMBER(IK104)),IM104-IK104,"")</f>
        <v>0</v>
      </c>
      <c r="IM104" s="33">
        <v>103</v>
      </c>
      <c r="IN104" s="34">
        <f>IF(AND(ISNUMBER(IO104),ISNUMBER(IM104)),IO104-IM104,"")</f>
        <v>0</v>
      </c>
      <c r="IO104" s="33">
        <v>106</v>
      </c>
      <c r="IP104" s="34">
        <f>IF(AND(ISNUMBER(IQ104),ISNUMBER(IO104)),IQ104-IO104,"")</f>
        <v>0</v>
      </c>
      <c r="IQ104" s="33">
        <v>117</v>
      </c>
      <c r="IR104" s="34">
        <f>IF(AND(ISNUMBER(IS104),ISNUMBER(IQ104)),IS104-IQ104,"")</f>
        <v>0</v>
      </c>
      <c r="IS104" s="33">
        <v>105</v>
      </c>
      <c r="IT104" s="34">
        <f>IF(AND(ISNUMBER(IU104),ISNUMBER(IS104)),IU104-IS104,"")</f>
        <v>0</v>
      </c>
      <c r="IU104" s="33">
        <v>105</v>
      </c>
      <c r="IV104" s="34">
        <f>IF(AND(ISNUMBER(IW104),ISNUMBER(IU104)),IW104-IU104,"")</f>
        <v>0</v>
      </c>
      <c r="IW104" s="33">
        <v>105</v>
      </c>
      <c r="IX104" s="34">
        <f>IF(AND(ISNUMBER(IY104),ISNUMBER(IW104)),IY104-IW104,"")</f>
        <v>0</v>
      </c>
      <c r="IY104" s="33">
        <v>91</v>
      </c>
      <c r="IZ104" s="34">
        <f>IF(AND(ISNUMBER(JA104),ISNUMBER(IY104)),JA104-IY104,"")</f>
        <v>0</v>
      </c>
      <c r="JA104" s="33">
        <v>119</v>
      </c>
      <c r="JB104" s="34">
        <f>IF(AND(ISNUMBER(JC104),ISNUMBER(JA104)),JC104-JA104,"")</f>
        <v>0</v>
      </c>
      <c r="JC104" s="33">
        <v>123</v>
      </c>
      <c r="JD104" s="34">
        <f>IF(AND(ISNUMBER(JE104),ISNUMBER(JC104)),JE104-JC104,"")</f>
        <v>0</v>
      </c>
      <c r="JE104" s="33">
        <v>116</v>
      </c>
      <c r="JF104" s="34">
        <f>IF(AND(ISNUMBER(JG104),ISNUMBER(JE104)),JG104-JE104,"")</f>
        <v>0</v>
      </c>
      <c r="JG104" s="33">
        <v>96</v>
      </c>
      <c r="JH104" s="34">
        <f>IF(AND(ISNUMBER(JI104),ISNUMBER(JG104)),JI104-JG104,"")</f>
        <v>0</v>
      </c>
      <c r="JI104" s="33">
        <v>69</v>
      </c>
      <c r="JJ104" s="34">
        <f>IF(AND(ISNUMBER(JK104),ISNUMBER(JI104)),JK104-JI104,"")</f>
        <v>0</v>
      </c>
      <c r="JK104" s="33">
        <v>88</v>
      </c>
      <c r="JL104" s="34">
        <f>IF(AND(ISNUMBER(JM104),ISNUMBER(JK104)),JM104-JK104,"")</f>
        <v>0</v>
      </c>
      <c r="JM104" s="33">
        <v>91</v>
      </c>
      <c r="JN104" s="34">
        <f>IF(AND(ISNUMBER(JO104),ISNUMBER(JM104)),JO104-JM104,"")</f>
        <v>0</v>
      </c>
      <c r="JO104" s="33">
        <v>131</v>
      </c>
      <c r="JP104" s="34">
        <f>IF(AND(ISNUMBER(JQ104),ISNUMBER(JO104)),JQ104-JO104,"")</f>
        <v>0</v>
      </c>
      <c r="JQ104" s="33">
        <v>107</v>
      </c>
      <c r="JR104" s="34">
        <f>IF(AND(ISNUMBER(JS104),ISNUMBER(JQ104)),JS104-JQ104,"")</f>
        <v>0</v>
      </c>
      <c r="JS104" s="33">
        <v>104</v>
      </c>
      <c r="JT104" s="34">
        <f>IF(AND(ISNUMBER(JU104),ISNUMBER(JS104)),JU104-JS104,"")</f>
        <v>0</v>
      </c>
      <c r="JU104" s="33">
        <v>104</v>
      </c>
      <c r="JV104" s="34">
        <f>IF(AND(ISNUMBER(JW104),ISNUMBER(JU104)),JW104-JU104,"")</f>
        <v>0</v>
      </c>
      <c r="JW104" s="33">
        <v>83</v>
      </c>
      <c r="JX104" s="34">
        <f>IF(AND(ISNUMBER(JY104),ISNUMBER(JW104)),JY104-JW104,"")</f>
        <v>0</v>
      </c>
      <c r="JY104" s="33">
        <v>71</v>
      </c>
      <c r="JZ104" s="34">
        <f>IF(AND(ISNUMBER(KA104),ISNUMBER(JY104)),KA104-JY104,"")</f>
        <v>0</v>
      </c>
      <c r="KA104" s="33"/>
      <c r="KB104" s="34">
        <f>IF(AND(ISNUMBER(KC104),ISNUMBER(KA104)),KC104-KA104,"")</f>
        <v>0</v>
      </c>
      <c r="KC104" s="33"/>
      <c r="KD104" s="34">
        <f>IF(AND(ISNUMBER(KE104),ISNUMBER(KC104)),KE104-KC104,"")</f>
        <v>0</v>
      </c>
      <c r="KE104" s="33"/>
      <c r="KF104" s="34">
        <f>IF(AND(ISNUMBER(KG104),ISNUMBER(KE104)),KG104-KE104,"")</f>
        <v>0</v>
      </c>
      <c r="KG104" s="33"/>
      <c r="KH104" s="34">
        <f>IF(AND(ISNUMBER(KI104),ISNUMBER(KG104)),KI104-KG104,"")</f>
        <v>0</v>
      </c>
      <c r="KI104" s="33"/>
      <c r="KJ104" s="34">
        <f>IF(AND(ISNUMBER(KK104),ISNUMBER(KI104)),KK104-KI104,"")</f>
        <v>0</v>
      </c>
      <c r="KK104" s="33"/>
      <c r="KL104" s="34">
        <f>IF(AND(ISNUMBER(KM104),ISNUMBER(KK104)),KM104-KK104,"")</f>
        <v>0</v>
      </c>
      <c r="KM104" s="33"/>
      <c r="KN104" s="34">
        <f>IF(AND(ISNUMBER(KO104),ISNUMBER(KM104)),KO104-KM104,"")</f>
        <v>0</v>
      </c>
      <c r="KO104" s="33"/>
      <c r="KP104" s="34">
        <f>IF(AND(ISNUMBER(KQ104),ISNUMBER(KO104)),KQ104-KO104,"")</f>
        <v>0</v>
      </c>
      <c r="KQ104" s="33"/>
      <c r="KR104" s="34">
        <f>IF(AND(ISNUMBER(KS104),ISNUMBER(KQ104)),KS104-KQ104,"")</f>
        <v>0</v>
      </c>
      <c r="KS104" s="33"/>
      <c r="KT104" s="34">
        <f>IF(AND(ISNUMBER(KU104),ISNUMBER(KS104)),KU104-KS104,"")</f>
        <v>0</v>
      </c>
      <c r="KU104" s="33"/>
      <c r="KV104" s="34">
        <f>IF(AND(ISNUMBER(KW104),ISNUMBER(KU104)),KW104-KU104,"")</f>
        <v>0</v>
      </c>
      <c r="KW104" s="33"/>
      <c r="KX104" s="34">
        <f>IF(AND(ISNUMBER(KY104),ISNUMBER(KW104)),KY104-KW104,"")</f>
        <v>0</v>
      </c>
      <c r="KY104" s="33"/>
      <c r="KZ104" s="34">
        <f>IF(AND(ISNUMBER(LA104),ISNUMBER(KY104)),LA104-KY104,"")</f>
        <v>0</v>
      </c>
      <c r="LA104" s="33"/>
      <c r="LB104" s="34">
        <f>IF(AND(ISNUMBER(LC104),ISNUMBER(LA104)),LC104-LA104,"")</f>
        <v>0</v>
      </c>
      <c r="LC104" s="33"/>
      <c r="LD104" s="34">
        <f>IF(AND(ISNUMBER(LE104),ISNUMBER(LC104)),LE104-LC104,"")</f>
        <v>0</v>
      </c>
      <c r="LE104" s="33"/>
      <c r="LF104" s="34">
        <f>IF(AND(ISNUMBER(LG104),ISNUMBER(LE104)),LG104-LE104,"")</f>
        <v>0</v>
      </c>
      <c r="LG104" s="33"/>
    </row>
    <row r="105" spans="1:322">
      <c r="A105" s="36" t="s">
        <v>105</v>
      </c>
      <c r="B105" s="23"/>
      <c r="C105" s="37" t="s">
        <v>728</v>
      </c>
      <c r="D105" s="37" t="s">
        <v>832</v>
      </c>
      <c r="E105" s="25"/>
      <c r="I105" s="33"/>
      <c r="J105" s="34">
        <f>IF(AND(ISNUMBER(K105),ISNUMBER(I105)),K105-I105,"")</f>
        <v>0</v>
      </c>
      <c r="K105" s="33"/>
      <c r="L105" s="34">
        <f>IF(AND(ISNUMBER(M105),ISNUMBER(K105)),M105-K105,"")</f>
        <v>0</v>
      </c>
      <c r="M105" s="33"/>
      <c r="N105" s="34">
        <f>IF(AND(ISNUMBER(O105),ISNUMBER(M105)),O105-M105,"")</f>
        <v>0</v>
      </c>
      <c r="O105" s="33"/>
      <c r="P105" s="34">
        <f>IF(AND(ISNUMBER(Q105),ISNUMBER(O105)),Q105-O105,"")</f>
        <v>0</v>
      </c>
      <c r="Q105" s="33"/>
      <c r="R105" s="34">
        <f>IF(AND(ISNUMBER(S105),ISNUMBER(Q105)),S105-Q105,"")</f>
        <v>0</v>
      </c>
      <c r="S105" s="33"/>
      <c r="T105" s="34">
        <f>IF(AND(ISNUMBER(U105),ISNUMBER(S105)),U105-S105,"")</f>
        <v>0</v>
      </c>
      <c r="U105" s="33"/>
      <c r="V105" s="34">
        <f>IF(AND(ISNUMBER(W105),ISNUMBER(U105)),W105-U105,"")</f>
        <v>0</v>
      </c>
      <c r="W105" s="33"/>
      <c r="X105" s="34">
        <f>IF(AND(ISNUMBER(Y105),ISNUMBER(W105)),Y105-W105,"")</f>
        <v>0</v>
      </c>
      <c r="Y105" s="33"/>
      <c r="Z105" s="34">
        <f>IF(AND(ISNUMBER(AA105),ISNUMBER(Y105)),AA105-Y105,"")</f>
        <v>0</v>
      </c>
      <c r="AA105" s="33"/>
      <c r="AB105" s="34">
        <f>IF(AND(ISNUMBER(AC105),ISNUMBER(AA105)),AC105-AA105,"")</f>
        <v>0</v>
      </c>
      <c r="AC105" s="33"/>
      <c r="AD105" s="34">
        <f>IF(AND(ISNUMBER(AE105),ISNUMBER(AC105)),AE105-AC105,"")</f>
        <v>0</v>
      </c>
      <c r="AE105" s="33"/>
      <c r="AF105" s="34">
        <f>IF(AND(ISNUMBER(AG105),ISNUMBER(AE105)),AG105-AE105,"")</f>
        <v>0</v>
      </c>
      <c r="AG105" s="33"/>
      <c r="AH105" s="34">
        <f>IF(AND(ISNUMBER(AI105),ISNUMBER(AG105)),AI105-AG105,"")</f>
        <v>0</v>
      </c>
      <c r="AI105" s="33"/>
      <c r="AJ105" s="34">
        <f>IF(AND(ISNUMBER(AK105),ISNUMBER(AI105)),AK105-AI105,"")</f>
        <v>0</v>
      </c>
      <c r="AK105" s="33"/>
      <c r="AL105" s="34">
        <f>IF(AND(ISNUMBER(AM105),ISNUMBER(AK105)),AM105-AK105,"")</f>
        <v>0</v>
      </c>
      <c r="AM105" s="33"/>
      <c r="AN105" s="34">
        <f>IF(AND(ISNUMBER(AO105),ISNUMBER(AM105)),AO105-AM105,"")</f>
        <v>0</v>
      </c>
      <c r="AO105" s="33"/>
      <c r="AP105" s="34">
        <f>IF(AND(ISNUMBER(AQ105),ISNUMBER(AO105)),AQ105-AO105,"")</f>
        <v>0</v>
      </c>
      <c r="AQ105" s="33"/>
      <c r="AR105" s="34">
        <f>IF(AND(ISNUMBER(AS105),ISNUMBER(AQ105)),AS105-AQ105,"")</f>
        <v>0</v>
      </c>
      <c r="AS105" s="33"/>
      <c r="AT105" s="34">
        <f>IF(AND(ISNUMBER(AU105),ISNUMBER(AS105)),AU105-AS105,"")</f>
        <v>0</v>
      </c>
      <c r="AU105" s="33"/>
      <c r="AV105" s="34">
        <f>IF(AND(ISNUMBER(AW105),ISNUMBER(AU105)),AW105-AU105,"")</f>
        <v>0</v>
      </c>
      <c r="AW105" s="33"/>
      <c r="AX105" s="34">
        <f>IF(AND(ISNUMBER(AY105),ISNUMBER(AW105)),AY105-AW105,"")</f>
        <v>0</v>
      </c>
      <c r="AY105" s="33"/>
      <c r="AZ105" s="34">
        <f>IF(AND(ISNUMBER(BA105),ISNUMBER(AY105)),BA105-AY105,"")</f>
        <v>0</v>
      </c>
      <c r="BA105" s="33"/>
      <c r="BB105" s="34">
        <f>IF(AND(ISNUMBER(BC105),ISNUMBER(BA105)),BC105-BA105,"")</f>
        <v>0</v>
      </c>
      <c r="BC105" s="33"/>
      <c r="BD105" s="34">
        <f>IF(AND(ISNUMBER(BE105),ISNUMBER(BC105)),BE105-BC105,"")</f>
        <v>0</v>
      </c>
      <c r="BE105" s="33"/>
      <c r="BF105" s="34">
        <f>IF(AND(ISNUMBER(BG105),ISNUMBER(BE105)),BG105-BE105,"")</f>
        <v>0</v>
      </c>
      <c r="BG105" s="33"/>
      <c r="BH105" s="34">
        <f>IF(AND(ISNUMBER(BI105),ISNUMBER(BG105)),BI105-BG105,"")</f>
        <v>0</v>
      </c>
      <c r="BI105" s="33"/>
      <c r="BJ105" s="34">
        <f>IF(AND(ISNUMBER(BK105),ISNUMBER(BI105)),BK105-BI105,"")</f>
        <v>0</v>
      </c>
      <c r="BK105" s="33"/>
      <c r="BL105" s="34">
        <f>IF(AND(ISNUMBER(BM105),ISNUMBER(BK105)),BM105-BK105,"")</f>
        <v>0</v>
      </c>
      <c r="BM105" s="33"/>
      <c r="BN105" s="34">
        <f>IF(AND(ISNUMBER(BO105),ISNUMBER(BM105)),BO105-BM105,"")</f>
        <v>0</v>
      </c>
      <c r="BO105" s="33"/>
      <c r="BP105" s="34">
        <f>IF(AND(ISNUMBER(BQ105),ISNUMBER(BO105)),BQ105-BO105,"")</f>
        <v>0</v>
      </c>
      <c r="BQ105" s="33"/>
      <c r="BR105" s="34">
        <f>IF(AND(ISNUMBER(BS105),ISNUMBER(BQ105)),BS105-BQ105,"")</f>
        <v>0</v>
      </c>
      <c r="BS105" s="33"/>
      <c r="BT105" s="34">
        <f>IF(AND(ISNUMBER(BU105),ISNUMBER(BS105)),BU105-BS105,"")</f>
        <v>0</v>
      </c>
      <c r="BU105" s="33"/>
      <c r="BV105" s="34">
        <f>IF(AND(ISNUMBER(BW105),ISNUMBER(BU105)),BW105-BU105,"")</f>
        <v>0</v>
      </c>
      <c r="BW105" s="33"/>
      <c r="BX105" s="34">
        <f>IF(AND(ISNUMBER(BY105),ISNUMBER(BW105)),BY105-BW105,"")</f>
        <v>0</v>
      </c>
      <c r="BY105" s="33"/>
      <c r="BZ105" s="34">
        <f>IF(AND(ISNUMBER(CA105),ISNUMBER(BY105)),CA105-BY105,"")</f>
        <v>0</v>
      </c>
      <c r="CA105" s="33"/>
      <c r="CB105" s="34">
        <f>IF(AND(ISNUMBER(CC105),ISNUMBER(CA105)),CC105-CA105,"")</f>
        <v>0</v>
      </c>
      <c r="CC105" s="33"/>
      <c r="CD105" s="34">
        <f>IF(AND(ISNUMBER(CE105),ISNUMBER(CC105)),CE105-CC105,"")</f>
        <v>0</v>
      </c>
      <c r="CE105" s="33"/>
      <c r="CF105" s="34">
        <f>IF(AND(ISNUMBER(CG105),ISNUMBER(CE105)),CG105-CE105,"")</f>
        <v>0</v>
      </c>
      <c r="CG105" s="33"/>
      <c r="CH105" s="34">
        <f>IF(AND(ISNUMBER(CI105),ISNUMBER(CG105)),CI105-CG105,"")</f>
        <v>0</v>
      </c>
      <c r="CI105" s="33"/>
      <c r="CJ105" s="34">
        <f>IF(AND(ISNUMBER(CK105),ISNUMBER(CI105)),CK105-CI105,"")</f>
        <v>0</v>
      </c>
      <c r="CK105" s="33"/>
      <c r="CL105" s="34">
        <f>IF(AND(ISNUMBER(CM105),ISNUMBER(CK105)),CM105-CK105,"")</f>
        <v>0</v>
      </c>
      <c r="CM105" s="33"/>
      <c r="CN105" s="34">
        <f>IF(AND(ISNUMBER(CO105),ISNUMBER(CM105)),CO105-CM105,"")</f>
        <v>0</v>
      </c>
      <c r="CO105" s="33"/>
      <c r="CP105" s="34">
        <f>IF(AND(ISNUMBER(CQ105),ISNUMBER(CO105)),CQ105-CO105,"")</f>
        <v>0</v>
      </c>
      <c r="CQ105" s="33"/>
      <c r="CR105" s="34">
        <f>IF(AND(ISNUMBER(CS105),ISNUMBER(CQ105)),CS105-CQ105,"")</f>
        <v>0</v>
      </c>
      <c r="CS105" s="33"/>
      <c r="CT105" s="34">
        <f>IF(AND(ISNUMBER(CU105),ISNUMBER(CS105)),CU105-CS105,"")</f>
        <v>0</v>
      </c>
      <c r="CU105" s="33"/>
      <c r="CV105" s="34">
        <f>IF(AND(ISNUMBER(CW105),ISNUMBER(CU105)),CW105-CU105,"")</f>
        <v>0</v>
      </c>
      <c r="CW105" s="33"/>
      <c r="CX105" s="34">
        <f>IF(AND(ISNUMBER(CY105),ISNUMBER(CW105)),CY105-CW105,"")</f>
        <v>0</v>
      </c>
      <c r="CY105" s="33"/>
      <c r="CZ105" s="34">
        <f>IF(AND(ISNUMBER(DA105),ISNUMBER(CY105)),DA105-CY105,"")</f>
        <v>0</v>
      </c>
      <c r="DA105" s="33"/>
      <c r="DB105" s="34">
        <f>IF(AND(ISNUMBER(DC105),ISNUMBER(DA105)),DC105-DA105,"")</f>
        <v>0</v>
      </c>
      <c r="DC105" s="33"/>
      <c r="DD105" s="34">
        <f>IF(AND(ISNUMBER(DE105),ISNUMBER(DC105)),DE105-DC105,"")</f>
        <v>0</v>
      </c>
      <c r="DE105" s="33"/>
      <c r="DF105" s="34">
        <f>IF(AND(ISNUMBER(DG105),ISNUMBER(DE105)),DG105-DE105,"")</f>
        <v>0</v>
      </c>
      <c r="DG105" s="33"/>
      <c r="DH105" s="34">
        <f>IF(AND(ISNUMBER(DI105),ISNUMBER(DG105)),DI105-DG105,"")</f>
        <v>0</v>
      </c>
      <c r="DI105" s="33"/>
      <c r="DJ105" s="34">
        <f>IF(AND(ISNUMBER(DK105),ISNUMBER(DI105)),DK105-DI105,"")</f>
        <v>0</v>
      </c>
      <c r="DK105" s="33"/>
      <c r="DL105" s="34">
        <f>IF(AND(ISNUMBER(DM105),ISNUMBER(DK105)),DM105-DK105,"")</f>
        <v>0</v>
      </c>
      <c r="DM105" s="33"/>
      <c r="DN105" s="34">
        <f>IF(AND(ISNUMBER(DO105),ISNUMBER(DM105)),DO105-DM105,"")</f>
        <v>0</v>
      </c>
      <c r="DO105" s="33"/>
      <c r="DP105" s="34">
        <f>IF(AND(ISNUMBER(DQ105),ISNUMBER(DO105)),DQ105-DO105,"")</f>
        <v>0</v>
      </c>
      <c r="DQ105" s="33"/>
      <c r="DR105" s="34">
        <f>IF(AND(ISNUMBER(DS105),ISNUMBER(DQ105)),DS105-DQ105,"")</f>
        <v>0</v>
      </c>
      <c r="DS105" s="33"/>
      <c r="DT105" s="34">
        <f>IF(AND(ISNUMBER(DU105),ISNUMBER(DS105)),DU105-DS105,"")</f>
        <v>0</v>
      </c>
      <c r="DU105" s="39">
        <f>IF(COUNT(DU103:DU104)=0,"",SUM(DU103:DU104))</f>
        <v>0</v>
      </c>
      <c r="DV105" s="34">
        <f>IF(AND(ISNUMBER(DW105),ISNUMBER(DU105)),DW105-DU105,"")</f>
        <v>0</v>
      </c>
      <c r="DW105" s="39">
        <f>IF(COUNT(DW103:DW104)=0,"",SUM(DW103:DW104))</f>
        <v>0</v>
      </c>
      <c r="DX105" s="34">
        <f>IF(AND(ISNUMBER(DY105),ISNUMBER(DW105)),DY105-DW105,"")</f>
        <v>0</v>
      </c>
      <c r="DY105" s="39">
        <f>IF(COUNT(DY103:DY104)=0,"",SUM(DY103:DY104))</f>
        <v>0</v>
      </c>
      <c r="DZ105" s="34">
        <f>IF(AND(ISNUMBER(EA105),ISNUMBER(DY105)),EA105-DY105,"")</f>
        <v>0</v>
      </c>
      <c r="EA105" s="39">
        <f>IF(COUNT(EA103:EA104)=0,"",SUM(EA103:EA104))</f>
        <v>0</v>
      </c>
      <c r="EB105" s="34">
        <f>IF(AND(ISNUMBER(EC105),ISNUMBER(EA105)),EC105-EA105,"")</f>
        <v>0</v>
      </c>
      <c r="EC105" s="39">
        <f>IF(COUNT(EC103:EC104)=0,"",SUM(EC103:EC104))</f>
        <v>0</v>
      </c>
      <c r="ED105" s="34">
        <f>IF(AND(ISNUMBER(EE105),ISNUMBER(EC105)),EE105-EC105,"")</f>
        <v>0</v>
      </c>
      <c r="EE105" s="39">
        <f>IF(COUNT(EE103:EE104)=0,"",SUM(EE103:EE104))</f>
        <v>0</v>
      </c>
      <c r="EF105" s="34">
        <f>IF(AND(ISNUMBER(EG105),ISNUMBER(EE105)),EG105-EE105,"")</f>
        <v>0</v>
      </c>
      <c r="EG105" s="39">
        <f>IF(COUNT(EG103:EG104)=0,"",SUM(EG103:EG104))</f>
        <v>0</v>
      </c>
      <c r="EH105" s="34">
        <f>IF(AND(ISNUMBER(EI105),ISNUMBER(EG105)),EI105-EG105,"")</f>
        <v>0</v>
      </c>
      <c r="EI105" s="39">
        <f>IF(COUNT(EI103:EI104)=0,"",SUM(EI103:EI104))</f>
        <v>0</v>
      </c>
      <c r="EJ105" s="34">
        <f>IF(AND(ISNUMBER(EK105),ISNUMBER(EI105)),EK105-EI105,"")</f>
        <v>0</v>
      </c>
      <c r="EK105" s="39">
        <f>IF(COUNT(EK103:EK104)=0,"",SUM(EK103:EK104))</f>
        <v>0</v>
      </c>
      <c r="EL105" s="34">
        <f>IF(AND(ISNUMBER(EM105),ISNUMBER(EK105)),EM105-EK105,"")</f>
        <v>0</v>
      </c>
      <c r="EM105" s="39">
        <f>IF(COUNT(EM103:EM104)=0,"",SUM(EM103:EM104))</f>
        <v>0</v>
      </c>
      <c r="EN105" s="34">
        <f>IF(AND(ISNUMBER(EO105),ISNUMBER(EM105)),EO105-EM105,"")</f>
        <v>0</v>
      </c>
      <c r="EO105" s="39">
        <f>IF(COUNT(EO103:EO104)=0,"",SUM(EO103:EO104))</f>
        <v>0</v>
      </c>
      <c r="EP105" s="34">
        <f>IF(AND(ISNUMBER(EQ105),ISNUMBER(EO105)),EQ105-EO105,"")</f>
        <v>0</v>
      </c>
      <c r="EQ105" s="39">
        <f>IF(COUNT(EQ103:EQ104)=0,"",SUM(EQ103:EQ104))</f>
        <v>0</v>
      </c>
      <c r="ER105" s="34">
        <f>IF(AND(ISNUMBER(ES105),ISNUMBER(EQ105)),ES105-EQ105,"")</f>
        <v>0</v>
      </c>
      <c r="ES105" s="39">
        <f>IF(COUNT(ES103:ES104)=0,"",SUM(ES103:ES104))</f>
        <v>0</v>
      </c>
      <c r="ET105" s="34">
        <f>IF(AND(ISNUMBER(EU105),ISNUMBER(ES105)),EU105-ES105,"")</f>
        <v>0</v>
      </c>
      <c r="EU105" s="39">
        <f>IF(COUNT(EU103:EU104)=0,"",SUM(EU103:EU104))</f>
        <v>0</v>
      </c>
      <c r="EV105" s="34">
        <f>IF(AND(ISNUMBER(EW105),ISNUMBER(EU105)),EW105-EU105,"")</f>
        <v>0</v>
      </c>
      <c r="EW105" s="39">
        <f>IF(COUNT(EW103:EW104)=0,"",SUM(EW103:EW104))</f>
        <v>0</v>
      </c>
      <c r="EX105" s="34">
        <f>IF(AND(ISNUMBER(EY105),ISNUMBER(EW105)),EY105-EW105,"")</f>
        <v>0</v>
      </c>
      <c r="EY105" s="39">
        <f>IF(COUNT(EY103:EY104)=0,"",SUM(EY103:EY104))</f>
        <v>0</v>
      </c>
      <c r="EZ105" s="34">
        <f>IF(AND(ISNUMBER(FA105),ISNUMBER(EY105)),FA105-EY105,"")</f>
        <v>0</v>
      </c>
      <c r="FA105" s="39">
        <f>IF(COUNT(FA103:FA104)=0,"",SUM(FA103:FA104))</f>
        <v>0</v>
      </c>
      <c r="FB105" s="34">
        <f>IF(AND(ISNUMBER(FC105),ISNUMBER(FA105)),FC105-FA105,"")</f>
        <v>0</v>
      </c>
      <c r="FC105" s="39">
        <f>IF(COUNT(FC103:FC104)=0,"",SUM(FC103:FC104))</f>
        <v>0</v>
      </c>
      <c r="FD105" s="34">
        <f>IF(AND(ISNUMBER(FE105),ISNUMBER(FC105)),FE105-FC105,"")</f>
        <v>0</v>
      </c>
      <c r="FE105" s="39">
        <f>IF(COUNT(FE103:FE104)=0,"",SUM(FE103:FE104))</f>
        <v>0</v>
      </c>
      <c r="FF105" s="34">
        <f>IF(AND(ISNUMBER(FG105),ISNUMBER(FE105)),FG105-FE105,"")</f>
        <v>0</v>
      </c>
      <c r="FG105" s="39">
        <f>IF(COUNT(FG103:FG104)=0,"",SUM(FG103:FG104))</f>
        <v>0</v>
      </c>
      <c r="FH105" s="34">
        <f>IF(AND(ISNUMBER(FI105),ISNUMBER(FG105)),FI105-FG105,"")</f>
        <v>0</v>
      </c>
      <c r="FI105" s="39">
        <f>IF(COUNT(FI103:FI104)=0,"",SUM(FI103:FI104))</f>
        <v>0</v>
      </c>
      <c r="FJ105" s="34">
        <f>IF(AND(ISNUMBER(FK105),ISNUMBER(FI105)),FK105-FI105,"")</f>
        <v>0</v>
      </c>
      <c r="FK105" s="39">
        <f>IF(COUNT(FK103:FK104)=0,"",SUM(FK103:FK104))</f>
        <v>0</v>
      </c>
      <c r="FL105" s="34">
        <f>IF(AND(ISNUMBER(FM105),ISNUMBER(FK105)),FM105-FK105,"")</f>
        <v>0</v>
      </c>
      <c r="FM105" s="39">
        <f>IF(COUNT(FM103:FM104)=0,"",SUM(FM103:FM104))</f>
        <v>0</v>
      </c>
      <c r="FN105" s="34">
        <f>IF(AND(ISNUMBER(FO105),ISNUMBER(FM105)),FO105-FM105,"")</f>
        <v>0</v>
      </c>
      <c r="FO105" s="39">
        <f>IF(COUNT(FO103,FO104)=0,"",FO103+FO104)</f>
        <v>0</v>
      </c>
      <c r="FP105" s="34">
        <f>IF(AND(ISNUMBER(FQ105),ISNUMBER(FO105)),FQ105-FO105,"")</f>
        <v>0</v>
      </c>
      <c r="FQ105" s="39">
        <f>IF(COUNT(FQ103,FQ104)=0,"",FQ103+FQ104)</f>
        <v>0</v>
      </c>
      <c r="FR105" s="34">
        <f>IF(AND(ISNUMBER(FS105),ISNUMBER(FQ105)),FS105-FQ105,"")</f>
        <v>0</v>
      </c>
      <c r="FS105" s="39">
        <f>IF(COUNT(FS103,FS104)=0,"",FS103+FS104)</f>
        <v>0</v>
      </c>
      <c r="FT105" s="34">
        <f>IF(AND(ISNUMBER(FU105),ISNUMBER(FS105)),FU105-FS105,"")</f>
        <v>0</v>
      </c>
      <c r="FU105" s="39">
        <f>IF(COUNT(FU103,FU104)=0,"",FU103+FU104)</f>
        <v>0</v>
      </c>
      <c r="FV105" s="34">
        <f>IF(AND(ISNUMBER(FW105),ISNUMBER(FU105)),FW105-FU105,"")</f>
        <v>0</v>
      </c>
      <c r="FW105" s="39">
        <f>IF(COUNT(FW103,FW104)=0,"",FW103+FW104)</f>
        <v>0</v>
      </c>
      <c r="FX105" s="34">
        <f>IF(AND(ISNUMBER(FY105),ISNUMBER(FW105)),FY105-FW105,"")</f>
        <v>0</v>
      </c>
      <c r="FY105" s="39">
        <f>IF(COUNT(FY103,FY104)=0,"",FY103+FY104)</f>
        <v>0</v>
      </c>
      <c r="FZ105" s="34">
        <f>IF(AND(ISNUMBER(GA105),ISNUMBER(FY105)),GA105-FY105,"")</f>
        <v>0</v>
      </c>
      <c r="GA105" s="39">
        <f>IF(COUNT(GA103,GA104)=0,"",GA103+GA104)</f>
        <v>0</v>
      </c>
      <c r="GB105" s="34">
        <f>IF(AND(ISNUMBER(GC105),ISNUMBER(GA105)),GC105-GA105,"")</f>
        <v>0</v>
      </c>
      <c r="GC105" s="39">
        <f>IF(COUNT(GC103,GC104)=0,"",GC103+GC104)</f>
        <v>0</v>
      </c>
      <c r="GD105" s="34">
        <f>IF(AND(ISNUMBER(GE105),ISNUMBER(GC105)),GE105-GC105,"")</f>
        <v>0</v>
      </c>
      <c r="GE105" s="39">
        <f>IF(COUNT(GE103,GE104)=0,"",GE103+GE104)</f>
        <v>0</v>
      </c>
      <c r="GF105" s="34">
        <f>IF(AND(ISNUMBER(GG105),ISNUMBER(GE105)),GG105-GE105,"")</f>
        <v>0</v>
      </c>
      <c r="GG105" s="39">
        <f>IF(COUNT(GG103,GG104)=0,"",GG103+GG104)</f>
        <v>0</v>
      </c>
      <c r="GH105" s="34">
        <f>IF(AND(ISNUMBER(GI105),ISNUMBER(GG105)),GI105-GG105,"")</f>
        <v>0</v>
      </c>
      <c r="GI105" s="39">
        <f>IF(COUNT(GI103,GI104)=0,"",GI103+GI104)</f>
        <v>0</v>
      </c>
      <c r="GJ105" s="34">
        <f>IF(AND(ISNUMBER(GK105),ISNUMBER(GI105)),GK105-GI105,"")</f>
        <v>0</v>
      </c>
      <c r="GK105" s="39">
        <f>IF(COUNT(GK103,GK104)=0,"",GK103+GK104)</f>
        <v>0</v>
      </c>
      <c r="GL105" s="34">
        <f>IF(AND(ISNUMBER(GM105),ISNUMBER(GK105)),GM105-GK105,"")</f>
        <v>0</v>
      </c>
      <c r="GM105" s="39">
        <f>IF(COUNT(GM103,GM104)=0,"",GM103+GM104)</f>
        <v>0</v>
      </c>
      <c r="GN105" s="34">
        <f>IF(AND(ISNUMBER(GO105),ISNUMBER(GM105)),GO105-GM105,"")</f>
        <v>0</v>
      </c>
      <c r="GO105" s="39">
        <f>IF(COUNT(GO103,GO104)=0,"",GO103+GO104)</f>
        <v>0</v>
      </c>
      <c r="GP105" s="34">
        <f>IF(AND(ISNUMBER(GQ105),ISNUMBER(GO105)),GQ105-GO105,"")</f>
        <v>0</v>
      </c>
      <c r="GQ105" s="39">
        <f>IF(COUNT(GQ103,GQ104)=0,"",GQ103+GQ104)</f>
        <v>0</v>
      </c>
      <c r="GR105" s="34">
        <f>IF(AND(ISNUMBER(GS105),ISNUMBER(GQ105)),GS105-GQ105,"")</f>
        <v>0</v>
      </c>
      <c r="GS105" s="39">
        <f>IF(COUNT(GS103,GS104)=0,"",GS103+GS104)</f>
        <v>0</v>
      </c>
      <c r="GT105" s="34">
        <f>IF(AND(ISNUMBER(GU105),ISNUMBER(GS105)),GU105-GS105,"")</f>
        <v>0</v>
      </c>
      <c r="GU105" s="39">
        <f>IF(COUNT(GU103,GU104)=0,"",GU103+GU104)</f>
        <v>0</v>
      </c>
      <c r="GV105" s="34">
        <f>IF(AND(ISNUMBER(GW105),ISNUMBER(GU105)),GW105-GU105,"")</f>
        <v>0</v>
      </c>
      <c r="GW105" s="39">
        <f>IF(COUNT(GW103,GW104)=0,"",GW103+GW104)</f>
        <v>0</v>
      </c>
      <c r="GX105" s="34">
        <f>IF(AND(ISNUMBER(GY105),ISNUMBER(GW105)),GY105-GW105,"")</f>
        <v>0</v>
      </c>
      <c r="GY105" s="39">
        <f>IF(COUNT(GY103,GY104)=0,"",GY103+GY104)</f>
        <v>0</v>
      </c>
      <c r="GZ105" s="34">
        <f>IF(AND(ISNUMBER(HA105),ISNUMBER(GY105)),HA105-GY105,"")</f>
        <v>0</v>
      </c>
      <c r="HA105" s="39">
        <f>IF(COUNT(HA103,HA104)=0,"",HA103+HA104)</f>
        <v>0</v>
      </c>
      <c r="HB105" s="34">
        <f>IF(AND(ISNUMBER(HC105),ISNUMBER(HA105)),HC105-HA105,"")</f>
        <v>0</v>
      </c>
      <c r="HC105" s="39">
        <f>IF(COUNT(HC103,HC104)=0,"",HC103+HC104)</f>
        <v>0</v>
      </c>
      <c r="HD105" s="34">
        <f>IF(AND(ISNUMBER(HE105),ISNUMBER(HC105)),HE105-HC105,"")</f>
        <v>0</v>
      </c>
      <c r="HE105" s="39">
        <f>IF(COUNT(HE103,HE104)=0,"",HE103+HE104)</f>
        <v>0</v>
      </c>
      <c r="HF105" s="34">
        <f>IF(AND(ISNUMBER(HG105),ISNUMBER(HE105)),HG105-HE105,"")</f>
        <v>0</v>
      </c>
      <c r="HG105" s="39">
        <f>IF(COUNT(HG103,HG104)=0,"",HG103+HG104)</f>
        <v>0</v>
      </c>
      <c r="HH105" s="34">
        <f>IF(AND(ISNUMBER(HI105),ISNUMBER(HG105)),HI105-HG105,"")</f>
        <v>0</v>
      </c>
      <c r="HI105" s="39">
        <f>IF(COUNT(HI103,HI104)=0,"",HI103+HI104)</f>
        <v>0</v>
      </c>
      <c r="HJ105" s="34">
        <f>IF(AND(ISNUMBER(HK105),ISNUMBER(HI105)),HK105-HI105,"")</f>
        <v>0</v>
      </c>
      <c r="HK105" s="39">
        <f>IF(COUNT(HK103,HK104)=0,"",HK103+HK104)</f>
        <v>0</v>
      </c>
      <c r="HL105" s="34">
        <f>IF(AND(ISNUMBER(HM105),ISNUMBER(HK105)),HM105-HK105,"")</f>
        <v>0</v>
      </c>
      <c r="HM105" s="39">
        <f>IF(COUNT(HM103,HM104)=0,"",HM103+HM104)</f>
        <v>0</v>
      </c>
      <c r="HN105" s="34">
        <f>IF(AND(ISNUMBER(HO105),ISNUMBER(HM105)),HO105-HM105,"")</f>
        <v>0</v>
      </c>
      <c r="HO105" s="39">
        <f>IF(COUNT(HO103,HO104)=0,"",HO103+HO104)</f>
        <v>0</v>
      </c>
      <c r="HP105" s="34">
        <f>IF(AND(ISNUMBER(HQ105),ISNUMBER(HO105)),HQ105-HO105,"")</f>
        <v>0</v>
      </c>
      <c r="HQ105" s="39">
        <f>IF(COUNT(HQ103,HQ104)=0,"",HQ103+HQ104)</f>
        <v>0</v>
      </c>
      <c r="HR105" s="34">
        <f>IF(AND(ISNUMBER(HS105),ISNUMBER(HQ105)),HS105-HQ105,"")</f>
        <v>0</v>
      </c>
      <c r="HS105" s="39">
        <f>IF(COUNT(HS103,HS104)=0,"",HS103+HS104)</f>
        <v>0</v>
      </c>
      <c r="HT105" s="34">
        <f>IF(AND(ISNUMBER(HU105),ISNUMBER(HS105)),HU105-HS105,"")</f>
        <v>0</v>
      </c>
      <c r="HU105" s="39">
        <f>IF(COUNT(HU103,HU104)=0,"",HU103+HU104)</f>
        <v>0</v>
      </c>
      <c r="HV105" s="34">
        <f>IF(AND(ISNUMBER(HW105),ISNUMBER(HU105)),HW105-HU105,"")</f>
        <v>0</v>
      </c>
      <c r="HW105" s="39">
        <f>IF(COUNT(HW103,HW104)=0,"",HW103+HW104)</f>
        <v>0</v>
      </c>
      <c r="HX105" s="34">
        <f>IF(AND(ISNUMBER(HY105),ISNUMBER(HW105)),HY105-HW105,"")</f>
        <v>0</v>
      </c>
      <c r="HY105" s="39">
        <f>IF(COUNT(HY103,HY104)=0,"",HY103+HY104)</f>
        <v>0</v>
      </c>
      <c r="HZ105" s="34">
        <f>IF(AND(ISNUMBER(IA105),ISNUMBER(HY105)),IA105-HY105,"")</f>
        <v>0</v>
      </c>
      <c r="IA105" s="39">
        <f>IF(COUNT(IA103,IA104)=0,"",IA103+IA104)</f>
        <v>0</v>
      </c>
      <c r="IB105" s="34">
        <f>IF(AND(ISNUMBER(IC105),ISNUMBER(IA105)),IC105-IA105,"")</f>
        <v>0</v>
      </c>
      <c r="IC105" s="39">
        <f>IF(COUNT(IC103,IC104)=0,"",IC103+IC104)</f>
        <v>0</v>
      </c>
      <c r="ID105" s="34">
        <f>IF(AND(ISNUMBER(IE105),ISNUMBER(IC105)),IE105-IC105,"")</f>
        <v>0</v>
      </c>
      <c r="IE105" s="39">
        <f>IF(COUNT(IE103,IE104)=0,"",IE103+IE104)</f>
        <v>0</v>
      </c>
      <c r="IF105" s="34">
        <f>IF(AND(ISNUMBER(IG105),ISNUMBER(IE105)),IG105-IE105,"")</f>
        <v>0</v>
      </c>
      <c r="IG105" s="39">
        <f>IF(COUNT(IG103,IG104)=0,"",IG103+IG104)</f>
        <v>0</v>
      </c>
      <c r="IH105" s="34">
        <f>IF(AND(ISNUMBER(II105),ISNUMBER(IG105)),II105-IG105,"")</f>
        <v>0</v>
      </c>
      <c r="II105" s="39">
        <f>IF(COUNT(II103,II104)=0,"",II103+II104)</f>
        <v>0</v>
      </c>
      <c r="IJ105" s="34">
        <f>IF(AND(ISNUMBER(IK105),ISNUMBER(II105)),IK105-II105,"")</f>
        <v>0</v>
      </c>
      <c r="IK105" s="39">
        <f>IF(COUNT(IK103,IK104)=0,"",IK103+IK104)</f>
        <v>0</v>
      </c>
      <c r="IL105" s="34">
        <f>IF(AND(ISNUMBER(IM105),ISNUMBER(IK105)),IM105-IK105,"")</f>
        <v>0</v>
      </c>
      <c r="IM105" s="39">
        <f>IF(COUNT(IM103,IM104)=0,"",IM103+IM104)</f>
        <v>0</v>
      </c>
      <c r="IN105" s="34">
        <f>IF(AND(ISNUMBER(IO105),ISNUMBER(IM105)),IO105-IM105,"")</f>
        <v>0</v>
      </c>
      <c r="IO105" s="39">
        <f>IF(COUNT(IO103,IO104)=0,"",IO103+IO104)</f>
        <v>0</v>
      </c>
      <c r="IP105" s="34">
        <f>IF(AND(ISNUMBER(IQ105),ISNUMBER(IO105)),IQ105-IO105,"")</f>
        <v>0</v>
      </c>
      <c r="IQ105" s="39">
        <f>IF(COUNT(IQ103,IQ104)=0,"",IQ103+IQ104)</f>
        <v>0</v>
      </c>
      <c r="IR105" s="34">
        <f>IF(AND(ISNUMBER(IS105),ISNUMBER(IQ105)),IS105-IQ105,"")</f>
        <v>0</v>
      </c>
      <c r="IS105" s="39">
        <f>IF(COUNT(IS103,IS104)=0,"",IS103+IS104)</f>
        <v>0</v>
      </c>
      <c r="IT105" s="34">
        <f>IF(AND(ISNUMBER(IU105),ISNUMBER(IS105)),IU105-IS105,"")</f>
        <v>0</v>
      </c>
      <c r="IU105" s="33">
        <v>138</v>
      </c>
      <c r="IV105" s="34">
        <f>IF(AND(ISNUMBER(IW105),ISNUMBER(IU105)),IW105-IU105,"")</f>
        <v>0</v>
      </c>
      <c r="IW105" s="39">
        <f>IF(COUNT(IW103,IW104)=0,"",IW103+IW104)</f>
        <v>0</v>
      </c>
      <c r="IX105" s="34">
        <f>IF(AND(ISNUMBER(IY105),ISNUMBER(IW105)),IY105-IW105,"")</f>
        <v>0</v>
      </c>
      <c r="IY105" s="39">
        <f>IF(COUNT(IY103,IY104)=0,"",IY103+IY104)</f>
        <v>0</v>
      </c>
      <c r="IZ105" s="34">
        <f>IF(AND(ISNUMBER(JA105),ISNUMBER(IY105)),JA105-IY105,"")</f>
        <v>0</v>
      </c>
      <c r="JA105" s="39">
        <f>IF(COUNT(JA103,JA104)=0,"",JA103+JA104)</f>
        <v>0</v>
      </c>
      <c r="JB105" s="34">
        <f>IF(AND(ISNUMBER(JC105),ISNUMBER(JA105)),JC105-JA105,"")</f>
        <v>0</v>
      </c>
      <c r="JC105" s="39">
        <f>IF(COUNT(JC103,JC104)=0,"",JC103+JC104)</f>
        <v>0</v>
      </c>
      <c r="JD105" s="34">
        <f>IF(AND(ISNUMBER(JE105),ISNUMBER(JC105)),JE105-JC105,"")</f>
        <v>0</v>
      </c>
      <c r="JE105" s="39">
        <f>IF(COUNT(JE103,JE104)=0,"",JE103+JE104)</f>
        <v>0</v>
      </c>
      <c r="JF105" s="34">
        <f>IF(AND(ISNUMBER(JG105),ISNUMBER(JE105)),JG105-JE105,"")</f>
        <v>0</v>
      </c>
      <c r="JG105" s="39">
        <f>IF(COUNT(JG103,JG104)=0,"",JG103+JG104)</f>
        <v>0</v>
      </c>
      <c r="JH105" s="34">
        <f>IF(AND(ISNUMBER(JI105),ISNUMBER(JG105)),JI105-JG105,"")</f>
        <v>0</v>
      </c>
      <c r="JI105" s="39">
        <f>IF(COUNT(JI103,JI104)=0,"",JI103+JI104)</f>
        <v>0</v>
      </c>
      <c r="JJ105" s="34">
        <f>IF(AND(ISNUMBER(JK105),ISNUMBER(JI105)),JK105-JI105,"")</f>
        <v>0</v>
      </c>
      <c r="JK105" s="39">
        <f>IF(COUNT(JK103,JK104)=0,"",JK103+JK104)</f>
        <v>0</v>
      </c>
      <c r="JL105" s="34">
        <f>IF(AND(ISNUMBER(JM105),ISNUMBER(JK105)),JM105-JK105,"")</f>
        <v>0</v>
      </c>
      <c r="JM105" s="39">
        <f>IF(COUNT(JM103,JM104)=0,"",JM103+JM104)</f>
        <v>0</v>
      </c>
      <c r="JN105" s="34">
        <f>IF(AND(ISNUMBER(JO105),ISNUMBER(JM105)),JO105-JM105,"")</f>
        <v>0</v>
      </c>
      <c r="JO105" s="39">
        <f>IF(COUNT(JO103,JO104)=0,"",JO103+JO104)</f>
        <v>0</v>
      </c>
      <c r="JP105" s="34">
        <f>IF(AND(ISNUMBER(JQ105),ISNUMBER(JO105)),JQ105-JO105,"")</f>
        <v>0</v>
      </c>
      <c r="JQ105" s="39">
        <f>IF(COUNT(JQ103,JQ104)=0,"",JQ103+JQ104)</f>
        <v>0</v>
      </c>
      <c r="JR105" s="34">
        <f>IF(AND(ISNUMBER(JS105),ISNUMBER(JQ105)),JS105-JQ105,"")</f>
        <v>0</v>
      </c>
      <c r="JS105" s="39">
        <f>IF(COUNT(JS103,JS104)=0,"",JS103+JS104)</f>
        <v>0</v>
      </c>
      <c r="JT105" s="34">
        <f>IF(AND(ISNUMBER(JU105),ISNUMBER(JS105)),JU105-JS105,"")</f>
        <v>0</v>
      </c>
      <c r="JU105" s="39">
        <f>IF(COUNT(JU103,JU104)=0,"",JU103+JU104)</f>
        <v>0</v>
      </c>
      <c r="JV105" s="34">
        <f>IF(AND(ISNUMBER(JW105),ISNUMBER(JU105)),JW105-JU105,"")</f>
        <v>0</v>
      </c>
      <c r="JW105" s="33">
        <v>83</v>
      </c>
      <c r="JX105" s="34">
        <f>IF(AND(ISNUMBER(JY105),ISNUMBER(JW105)),JY105-JW105,"")</f>
        <v>0</v>
      </c>
      <c r="JY105" s="39">
        <f>IF(COUNT(JY103,JY104)=0,"",N(JY103)+N(JY104))</f>
        <v>0</v>
      </c>
      <c r="JZ105" s="34">
        <f>IF(AND(ISNUMBER(KA105),ISNUMBER(JY105)),KA105-JY105,"")</f>
        <v>0</v>
      </c>
      <c r="KA105" s="39">
        <f>IF(COUNT(KA103,KA104)=0,"",N(KA103)+N(KA104))</f>
        <v>0</v>
      </c>
      <c r="KB105" s="34">
        <f>IF(AND(ISNUMBER(KC105),ISNUMBER(KA105)),KC105-KA105,"")</f>
        <v>0</v>
      </c>
      <c r="KC105" s="39">
        <f>IF(COUNT(KC103,KC104)=0,"",N(KC103)+N(KC104))</f>
        <v>0</v>
      </c>
      <c r="KD105" s="34">
        <f>IF(AND(ISNUMBER(KE105),ISNUMBER(KC105)),KE105-KC105,"")</f>
        <v>0</v>
      </c>
      <c r="KE105" s="39">
        <f>IF(COUNT(KE103,KE104)=0,"",N(KE103)+N(KE104))</f>
        <v>0</v>
      </c>
      <c r="KF105" s="34">
        <f>IF(AND(ISNUMBER(KG105),ISNUMBER(KE105)),KG105-KE105,"")</f>
        <v>0</v>
      </c>
      <c r="KG105" s="39">
        <f>IF(COUNT(KG103,KG104)=0,"",N(KG103)+N(KG104))</f>
        <v>0</v>
      </c>
      <c r="KH105" s="34">
        <f>IF(AND(ISNUMBER(KI105),ISNUMBER(KG105)),KI105-KG105,"")</f>
        <v>0</v>
      </c>
      <c r="KI105" s="39">
        <f>IF(COUNT(KI103,KI104)=0,"",N(KI103)+N(KI104))</f>
        <v>0</v>
      </c>
      <c r="KJ105" s="34">
        <f>IF(AND(ISNUMBER(KK105),ISNUMBER(KI105)),KK105-KI105,"")</f>
        <v>0</v>
      </c>
      <c r="KK105" s="39">
        <f>IF(COUNT(KK103,KK104)=0,"",N(KK103)+N(KK104))</f>
        <v>0</v>
      </c>
      <c r="KL105" s="34">
        <f>IF(AND(ISNUMBER(KM105),ISNUMBER(KK105)),KM105-KK105,"")</f>
        <v>0</v>
      </c>
      <c r="KM105" s="39">
        <f>IF(COUNT(KM103,KM104)=0,"",N(KM103)+N(KM104))</f>
        <v>0</v>
      </c>
      <c r="KN105" s="34">
        <f>IF(AND(ISNUMBER(KO105),ISNUMBER(KM105)),KO105-KM105,"")</f>
        <v>0</v>
      </c>
      <c r="KO105" s="39">
        <f>IF(COUNT(KO103,KO104)=0,"",N(KO103)+N(KO104))</f>
        <v>0</v>
      </c>
      <c r="KP105" s="34">
        <f>IF(AND(ISNUMBER(KQ105),ISNUMBER(KO105)),KQ105-KO105,"")</f>
        <v>0</v>
      </c>
      <c r="KQ105" s="39">
        <f>IF(COUNT(KQ103,KQ104)=0,"",N(KQ103)+N(KQ104))</f>
        <v>0</v>
      </c>
      <c r="KR105" s="34">
        <f>IF(AND(ISNUMBER(KS105),ISNUMBER(KQ105)),KS105-KQ105,"")</f>
        <v>0</v>
      </c>
      <c r="KS105" s="39">
        <f>IF(COUNT(KS103,KS104)=0,"",N(KS103)+N(KS104))</f>
        <v>0</v>
      </c>
      <c r="KT105" s="34">
        <f>IF(AND(ISNUMBER(KU105),ISNUMBER(KS105)),KU105-KS105,"")</f>
        <v>0</v>
      </c>
      <c r="KU105" s="39">
        <f>IF(COUNT(KU103,KU104)=0,"",N(KU103)+N(KU104))</f>
        <v>0</v>
      </c>
      <c r="KV105" s="34">
        <f>IF(AND(ISNUMBER(KW105),ISNUMBER(KU105)),KW105-KU105,"")</f>
        <v>0</v>
      </c>
      <c r="KW105" s="39">
        <f>IF(COUNT(KW103,KW104)=0,"",N(KW103)+N(KW104))</f>
        <v>0</v>
      </c>
      <c r="KX105" s="34">
        <f>IF(AND(ISNUMBER(KY105),ISNUMBER(KW105)),KY105-KW105,"")</f>
        <v>0</v>
      </c>
      <c r="KY105" s="39">
        <f>IF(COUNT(KY103,KY104)=0,"",N(KY103)+N(KY104))</f>
        <v>0</v>
      </c>
      <c r="KZ105" s="34">
        <f>IF(AND(ISNUMBER(LA105),ISNUMBER(KY105)),LA105-KY105,"")</f>
        <v>0</v>
      </c>
      <c r="LA105" s="39">
        <f>IF(COUNT(LA103,LA104)=0,"",N(LA103)+N(LA104))</f>
        <v>0</v>
      </c>
      <c r="LB105" s="34">
        <f>IF(AND(ISNUMBER(LC105),ISNUMBER(LA105)),LC105-LA105,"")</f>
        <v>0</v>
      </c>
      <c r="LC105" s="39">
        <f>IF(COUNT(LC103,LC104)=0,"",N(LC103)+N(LC104))</f>
        <v>0</v>
      </c>
      <c r="LD105" s="34">
        <f>IF(AND(ISNUMBER(LE105),ISNUMBER(LC105)),LE105-LC105,"")</f>
        <v>0</v>
      </c>
      <c r="LE105" s="39">
        <f>IF(COUNT(LE103,LE104)=0,"",N(LE103)+N(LE104))</f>
        <v>0</v>
      </c>
      <c r="LF105" s="34">
        <f>IF(AND(ISNUMBER(LG105),ISNUMBER(LE105)),LG105-LE105,"")</f>
        <v>0</v>
      </c>
      <c r="LG105" s="39">
        <f>IF(COUNT(LG103,LG104)=0,"",N(LG103)+N(LG104))</f>
        <v>0</v>
      </c>
    </row>
    <row r="106" spans="1:322">
      <c r="B106" s="23"/>
      <c r="C106" s="31" t="s">
        <v>783</v>
      </c>
      <c r="D106" s="31" t="s">
        <v>859</v>
      </c>
      <c r="E106" s="25"/>
      <c r="H106" s="38" t="s">
        <v>1105</v>
      </c>
      <c r="I106" s="33"/>
      <c r="J106" s="34">
        <f>IF(AND(ISNUMBER(K106),ISNUMBER(I106)),K106-I106,"")</f>
        <v>0</v>
      </c>
      <c r="K106" s="33"/>
      <c r="L106" s="34">
        <f>IF(AND(ISNUMBER(M106),ISNUMBER(K106)),M106-K106,"")</f>
        <v>0</v>
      </c>
      <c r="M106" s="33"/>
      <c r="N106" s="34">
        <f>IF(AND(ISNUMBER(O106),ISNUMBER(M106)),O106-M106,"")</f>
        <v>0</v>
      </c>
      <c r="O106" s="33"/>
      <c r="P106" s="34">
        <f>IF(AND(ISNUMBER(Q106),ISNUMBER(O106)),Q106-O106,"")</f>
        <v>0</v>
      </c>
      <c r="Q106" s="33"/>
      <c r="R106" s="34">
        <f>IF(AND(ISNUMBER(S106),ISNUMBER(Q106)),S106-Q106,"")</f>
        <v>0</v>
      </c>
      <c r="S106" s="33"/>
      <c r="T106" s="34">
        <f>IF(AND(ISNUMBER(U106),ISNUMBER(S106)),U106-S106,"")</f>
        <v>0</v>
      </c>
      <c r="U106" s="33"/>
      <c r="V106" s="34">
        <f>IF(AND(ISNUMBER(W106),ISNUMBER(U106)),W106-U106,"")</f>
        <v>0</v>
      </c>
      <c r="W106" s="33"/>
      <c r="X106" s="34">
        <f>IF(AND(ISNUMBER(Y106),ISNUMBER(W106)),Y106-W106,"")</f>
        <v>0</v>
      </c>
      <c r="Y106" s="33"/>
      <c r="Z106" s="34">
        <f>IF(AND(ISNUMBER(AA106),ISNUMBER(Y106)),AA106-Y106,"")</f>
        <v>0</v>
      </c>
      <c r="AA106" s="33"/>
      <c r="AB106" s="34">
        <f>IF(AND(ISNUMBER(AC106),ISNUMBER(AA106)),AC106-AA106,"")</f>
        <v>0</v>
      </c>
      <c r="AC106" s="33"/>
      <c r="AD106" s="34">
        <f>IF(AND(ISNUMBER(AE106),ISNUMBER(AC106)),AE106-AC106,"")</f>
        <v>0</v>
      </c>
      <c r="AE106" s="33"/>
      <c r="AF106" s="34">
        <f>IF(AND(ISNUMBER(AG106),ISNUMBER(AE106)),AG106-AE106,"")</f>
        <v>0</v>
      </c>
      <c r="AG106" s="33"/>
      <c r="AH106" s="34">
        <f>IF(AND(ISNUMBER(AI106),ISNUMBER(AG106)),AI106-AG106,"")</f>
        <v>0</v>
      </c>
      <c r="AI106" s="33"/>
      <c r="AJ106" s="34">
        <f>IF(AND(ISNUMBER(AK106),ISNUMBER(AI106)),AK106-AI106,"")</f>
        <v>0</v>
      </c>
      <c r="AK106" s="33"/>
      <c r="AL106" s="34">
        <f>IF(AND(ISNUMBER(AM106),ISNUMBER(AK106)),AM106-AK106,"")</f>
        <v>0</v>
      </c>
      <c r="AM106" s="33"/>
      <c r="AN106" s="34">
        <f>IF(AND(ISNUMBER(AO106),ISNUMBER(AM106)),AO106-AM106,"")</f>
        <v>0</v>
      </c>
      <c r="AO106" s="33"/>
      <c r="AP106" s="34">
        <f>IF(AND(ISNUMBER(AQ106),ISNUMBER(AO106)),AQ106-AO106,"")</f>
        <v>0</v>
      </c>
      <c r="AQ106" s="33"/>
      <c r="AR106" s="34">
        <f>IF(AND(ISNUMBER(AS106),ISNUMBER(AQ106)),AS106-AQ106,"")</f>
        <v>0</v>
      </c>
      <c r="AS106" s="33"/>
      <c r="AT106" s="34">
        <f>IF(AND(ISNUMBER(AU106),ISNUMBER(AS106)),AU106-AS106,"")</f>
        <v>0</v>
      </c>
      <c r="AU106" s="33"/>
      <c r="AV106" s="34">
        <f>IF(AND(ISNUMBER(AW106),ISNUMBER(AU106)),AW106-AU106,"")</f>
        <v>0</v>
      </c>
      <c r="AW106" s="33"/>
      <c r="AX106" s="34">
        <f>IF(AND(ISNUMBER(AY106),ISNUMBER(AW106)),AY106-AW106,"")</f>
        <v>0</v>
      </c>
      <c r="AY106" s="33"/>
      <c r="AZ106" s="34">
        <f>IF(AND(ISNUMBER(BA106),ISNUMBER(AY106)),BA106-AY106,"")</f>
        <v>0</v>
      </c>
      <c r="BA106" s="33"/>
      <c r="BB106" s="34">
        <f>IF(AND(ISNUMBER(BC106),ISNUMBER(BA106)),BC106-BA106,"")</f>
        <v>0</v>
      </c>
      <c r="BC106" s="33"/>
      <c r="BD106" s="34">
        <f>IF(AND(ISNUMBER(BE106),ISNUMBER(BC106)),BE106-BC106,"")</f>
        <v>0</v>
      </c>
      <c r="BE106" s="33"/>
      <c r="BF106" s="34">
        <f>IF(AND(ISNUMBER(BG106),ISNUMBER(BE106)),BG106-BE106,"")</f>
        <v>0</v>
      </c>
      <c r="BG106" s="33"/>
      <c r="BH106" s="34">
        <f>IF(AND(ISNUMBER(BI106),ISNUMBER(BG106)),BI106-BG106,"")</f>
        <v>0</v>
      </c>
      <c r="BI106" s="33"/>
      <c r="BJ106" s="34">
        <f>IF(AND(ISNUMBER(BK106),ISNUMBER(BI106)),BK106-BI106,"")</f>
        <v>0</v>
      </c>
      <c r="BK106" s="33"/>
      <c r="BL106" s="34">
        <f>IF(AND(ISNUMBER(BM106),ISNUMBER(BK106)),BM106-BK106,"")</f>
        <v>0</v>
      </c>
      <c r="BM106" s="33"/>
      <c r="BN106" s="34">
        <f>IF(AND(ISNUMBER(BO106),ISNUMBER(BM106)),BO106-BM106,"")</f>
        <v>0</v>
      </c>
      <c r="BO106" s="33"/>
      <c r="BP106" s="34">
        <f>IF(AND(ISNUMBER(BQ106),ISNUMBER(BO106)),BQ106-BO106,"")</f>
        <v>0</v>
      </c>
      <c r="BQ106" s="33"/>
      <c r="BR106" s="34">
        <f>IF(AND(ISNUMBER(BS106),ISNUMBER(BQ106)),BS106-BQ106,"")</f>
        <v>0</v>
      </c>
      <c r="BS106" s="33"/>
      <c r="BT106" s="34">
        <f>IF(AND(ISNUMBER(BU106),ISNUMBER(BS106)),BU106-BS106,"")</f>
        <v>0</v>
      </c>
      <c r="BU106" s="33"/>
      <c r="BV106" s="34">
        <f>IF(AND(ISNUMBER(BW106),ISNUMBER(BU106)),BW106-BU106,"")</f>
        <v>0</v>
      </c>
      <c r="BW106" s="33"/>
      <c r="BX106" s="34">
        <f>IF(AND(ISNUMBER(BY106),ISNUMBER(BW106)),BY106-BW106,"")</f>
        <v>0</v>
      </c>
      <c r="BY106" s="33"/>
      <c r="BZ106" s="34">
        <f>IF(AND(ISNUMBER(CA106),ISNUMBER(BY106)),CA106-BY106,"")</f>
        <v>0</v>
      </c>
      <c r="CA106" s="33"/>
      <c r="CB106" s="34">
        <f>IF(AND(ISNUMBER(CC106),ISNUMBER(CA106)),CC106-CA106,"")</f>
        <v>0</v>
      </c>
      <c r="CC106" s="33"/>
      <c r="CD106" s="34">
        <f>IF(AND(ISNUMBER(CE106),ISNUMBER(CC106)),CE106-CC106,"")</f>
        <v>0</v>
      </c>
      <c r="CE106" s="33"/>
      <c r="CF106" s="34">
        <f>IF(AND(ISNUMBER(CG106),ISNUMBER(CE106)),CG106-CE106,"")</f>
        <v>0</v>
      </c>
      <c r="CG106" s="33"/>
      <c r="CH106" s="34">
        <f>IF(AND(ISNUMBER(CI106),ISNUMBER(CG106)),CI106-CG106,"")</f>
        <v>0</v>
      </c>
      <c r="CI106" s="33">
        <v>115</v>
      </c>
      <c r="CJ106" s="34">
        <f>IF(AND(ISNUMBER(CK106),ISNUMBER(CI106)),CK106-CI106,"")</f>
        <v>0</v>
      </c>
      <c r="CK106" s="33">
        <v>169</v>
      </c>
      <c r="CL106" s="34">
        <f>IF(AND(ISNUMBER(CM106),ISNUMBER(CK106)),CM106-CK106,"")</f>
        <v>0</v>
      </c>
      <c r="CM106" s="33">
        <v>255</v>
      </c>
      <c r="CN106" s="34">
        <f>IF(AND(ISNUMBER(CO106),ISNUMBER(CM106)),CO106-CM106,"")</f>
        <v>0</v>
      </c>
      <c r="CO106" s="33">
        <v>173</v>
      </c>
      <c r="CP106" s="34">
        <f>IF(AND(ISNUMBER(CQ106),ISNUMBER(CO106)),CQ106-CO106,"")</f>
        <v>0</v>
      </c>
      <c r="CQ106" s="33">
        <v>186</v>
      </c>
      <c r="CR106" s="34">
        <f>IF(AND(ISNUMBER(CS106),ISNUMBER(CQ106)),CS106-CQ106,"")</f>
        <v>0</v>
      </c>
      <c r="CS106" s="33">
        <v>182</v>
      </c>
      <c r="CT106" s="34">
        <f>IF(AND(ISNUMBER(CU106),ISNUMBER(CS106)),CU106-CS106,"")</f>
        <v>0</v>
      </c>
      <c r="CU106" s="33">
        <v>275</v>
      </c>
      <c r="CV106" s="34">
        <f>IF(AND(ISNUMBER(CW106),ISNUMBER(CU106)),CW106-CU106,"")</f>
        <v>0</v>
      </c>
      <c r="CW106" s="33">
        <v>159</v>
      </c>
      <c r="CX106" s="34">
        <f>IF(AND(ISNUMBER(CY106),ISNUMBER(CW106)),CY106-CW106,"")</f>
        <v>0</v>
      </c>
      <c r="CY106" s="33">
        <v>169</v>
      </c>
      <c r="CZ106" s="34">
        <f>IF(AND(ISNUMBER(DA106),ISNUMBER(CY106)),DA106-CY106,"")</f>
        <v>0</v>
      </c>
      <c r="DA106" s="33">
        <v>292</v>
      </c>
      <c r="DB106" s="34">
        <f>IF(AND(ISNUMBER(DC106),ISNUMBER(DA106)),DC106-DA106,"")</f>
        <v>0</v>
      </c>
      <c r="DC106" s="33">
        <v>190</v>
      </c>
      <c r="DD106" s="34">
        <f>IF(AND(ISNUMBER(DE106),ISNUMBER(DC106)),DE106-DC106,"")</f>
        <v>0</v>
      </c>
      <c r="DE106" s="33">
        <v>154</v>
      </c>
      <c r="DF106" s="34">
        <f>IF(AND(ISNUMBER(DG106),ISNUMBER(DE106)),DG106-DE106,"")</f>
        <v>0</v>
      </c>
      <c r="DG106" s="33">
        <v>144</v>
      </c>
      <c r="DH106" s="34">
        <f>IF(AND(ISNUMBER(DI106),ISNUMBER(DG106)),DI106-DG106,"")</f>
        <v>0</v>
      </c>
      <c r="DI106" s="33">
        <v>118</v>
      </c>
      <c r="DJ106" s="34">
        <f>IF(AND(ISNUMBER(DK106),ISNUMBER(DI106)),DK106-DI106,"")</f>
        <v>0</v>
      </c>
      <c r="DK106" s="33">
        <v>259</v>
      </c>
      <c r="DL106" s="34">
        <f>IF(AND(ISNUMBER(DM106),ISNUMBER(DK106)),DM106-DK106,"")</f>
        <v>0</v>
      </c>
      <c r="DM106" s="33">
        <v>149</v>
      </c>
      <c r="DN106" s="34">
        <f>IF(AND(ISNUMBER(DO106),ISNUMBER(DM106)),DO106-DM106,"")</f>
        <v>0</v>
      </c>
      <c r="DO106" s="33">
        <v>170</v>
      </c>
      <c r="DP106" s="34">
        <f>IF(AND(ISNUMBER(DQ106),ISNUMBER(DO106)),DQ106-DO106,"")</f>
        <v>0</v>
      </c>
      <c r="DQ106" s="33">
        <v>193</v>
      </c>
      <c r="DR106" s="34">
        <f>IF(AND(ISNUMBER(DS106),ISNUMBER(DQ106)),DS106-DQ106,"")</f>
        <v>0</v>
      </c>
      <c r="DS106" s="33">
        <v>201</v>
      </c>
      <c r="DT106" s="34">
        <f>IF(AND(ISNUMBER(DU106),ISNUMBER(DS106)),DU106-DS106,"")</f>
        <v>0</v>
      </c>
      <c r="DU106" s="33">
        <v>155</v>
      </c>
      <c r="DV106" s="34">
        <f>IF(AND(ISNUMBER(DW106),ISNUMBER(DU106)),DW106-DU106,"")</f>
        <v>0</v>
      </c>
      <c r="DW106" s="33">
        <v>113</v>
      </c>
      <c r="DX106" s="34">
        <f>IF(AND(ISNUMBER(DY106),ISNUMBER(DW106)),DY106-DW106,"")</f>
        <v>0</v>
      </c>
      <c r="DY106" s="33">
        <v>140</v>
      </c>
      <c r="DZ106" s="34">
        <f>IF(AND(ISNUMBER(EA106),ISNUMBER(DY106)),EA106-DY106,"")</f>
        <v>0</v>
      </c>
      <c r="EA106" s="33">
        <v>174</v>
      </c>
      <c r="EB106" s="34">
        <f>IF(AND(ISNUMBER(EC106),ISNUMBER(EA106)),EC106-EA106,"")</f>
        <v>0</v>
      </c>
      <c r="EC106" s="33">
        <v>99</v>
      </c>
      <c r="ED106" s="34">
        <f>IF(AND(ISNUMBER(EE106),ISNUMBER(EC106)),EE106-EC106,"")</f>
        <v>0</v>
      </c>
      <c r="EE106" s="33">
        <v>69</v>
      </c>
      <c r="EF106" s="34">
        <f>IF(AND(ISNUMBER(EG106),ISNUMBER(EE106)),EG106-EE106,"")</f>
        <v>0</v>
      </c>
      <c r="EG106" s="33">
        <v>108</v>
      </c>
      <c r="EH106" s="34">
        <f>IF(AND(ISNUMBER(EI106),ISNUMBER(EG106)),EI106-EG106,"")</f>
        <v>0</v>
      </c>
      <c r="EI106" s="33">
        <v>145</v>
      </c>
      <c r="EJ106" s="34">
        <f>IF(AND(ISNUMBER(EK106),ISNUMBER(EI106)),EK106-EI106,"")</f>
        <v>0</v>
      </c>
      <c r="EK106" s="33">
        <v>138</v>
      </c>
      <c r="EL106" s="34">
        <f>IF(AND(ISNUMBER(EM106),ISNUMBER(EK106)),EM106-EK106,"")</f>
        <v>0</v>
      </c>
      <c r="EM106" s="33">
        <v>72</v>
      </c>
      <c r="EN106" s="34">
        <f>IF(AND(ISNUMBER(EO106),ISNUMBER(EM106)),EO106-EM106,"")</f>
        <v>0</v>
      </c>
      <c r="EO106" s="33">
        <v>42</v>
      </c>
      <c r="EP106" s="34">
        <f>IF(AND(ISNUMBER(EQ106),ISNUMBER(EO106)),EQ106-EO106,"")</f>
        <v>0</v>
      </c>
      <c r="EQ106" s="33">
        <v>7</v>
      </c>
      <c r="ER106" s="34">
        <f>IF(AND(ISNUMBER(ES106),ISNUMBER(EQ106)),ES106-EQ106,"")</f>
        <v>0</v>
      </c>
      <c r="ES106" s="33">
        <v>4</v>
      </c>
      <c r="ET106" s="34">
        <f>IF(AND(ISNUMBER(EU106),ISNUMBER(ES106)),EU106-ES106,"")</f>
        <v>0</v>
      </c>
      <c r="EU106" s="33">
        <v>2</v>
      </c>
      <c r="EV106" s="34">
        <f>IF(AND(ISNUMBER(EW106),ISNUMBER(EU106)),EW106-EU106,"")</f>
        <v>0</v>
      </c>
      <c r="EW106" s="33">
        <v>4</v>
      </c>
      <c r="EX106" s="34">
        <f>IF(AND(ISNUMBER(EY106),ISNUMBER(EW106)),EY106-EW106,"")</f>
        <v>0</v>
      </c>
      <c r="EY106" s="33">
        <v>4</v>
      </c>
      <c r="EZ106" s="34">
        <f>IF(AND(ISNUMBER(FA106),ISNUMBER(EY106)),FA106-EY106,"")</f>
        <v>0</v>
      </c>
      <c r="FA106" s="33">
        <v>4</v>
      </c>
      <c r="FB106" s="34">
        <f>IF(AND(ISNUMBER(FC106),ISNUMBER(FA106)),FC106-FA106,"")</f>
        <v>0</v>
      </c>
      <c r="FC106" s="33">
        <v>7</v>
      </c>
      <c r="FD106" s="34">
        <f>IF(AND(ISNUMBER(FE106),ISNUMBER(FC106)),FE106-FC106,"")</f>
        <v>0</v>
      </c>
      <c r="FE106" s="33">
        <v>0</v>
      </c>
      <c r="FF106" s="34">
        <f>IF(AND(ISNUMBER(FG106),ISNUMBER(FE106)),FG106-FE106,"")</f>
        <v>0</v>
      </c>
      <c r="FG106" s="33">
        <v>2</v>
      </c>
      <c r="FH106" s="34">
        <f>IF(AND(ISNUMBER(FI106),ISNUMBER(FG106)),FI106-FG106,"")</f>
        <v>0</v>
      </c>
      <c r="FI106" s="33">
        <v>3</v>
      </c>
      <c r="FJ106" s="34">
        <f>IF(AND(ISNUMBER(FK106),ISNUMBER(FI106)),FK106-FI106,"")</f>
        <v>0</v>
      </c>
      <c r="FK106" s="33">
        <v>10</v>
      </c>
      <c r="FL106" s="34">
        <f>IF(AND(ISNUMBER(FM106),ISNUMBER(FK106)),FM106-FK106,"")</f>
        <v>0</v>
      </c>
      <c r="FM106" s="33">
        <v>3</v>
      </c>
      <c r="FN106" s="34">
        <f>IF(AND(ISNUMBER(FO106),ISNUMBER(FM106)),FO106-FM106,"")</f>
        <v>0</v>
      </c>
      <c r="FO106" s="33">
        <v>6</v>
      </c>
      <c r="FP106" s="34">
        <f>IF(AND(ISNUMBER(FQ106),ISNUMBER(FO106)),FQ106-FO106,"")</f>
        <v>0</v>
      </c>
      <c r="FQ106" s="33">
        <v>0</v>
      </c>
      <c r="FR106" s="34">
        <f>IF(AND(ISNUMBER(FS106),ISNUMBER(FQ106)),FS106-FQ106,"")</f>
        <v>0</v>
      </c>
      <c r="FS106" s="33">
        <v>1</v>
      </c>
      <c r="FT106" s="34">
        <f>IF(AND(ISNUMBER(FU106),ISNUMBER(FS106)),FU106-FS106,"")</f>
        <v>0</v>
      </c>
      <c r="FU106" s="33">
        <v>1</v>
      </c>
      <c r="FV106" s="34">
        <f>IF(AND(ISNUMBER(FW106),ISNUMBER(FU106)),FW106-FU106,"")</f>
        <v>0</v>
      </c>
      <c r="FW106" s="33">
        <v>1</v>
      </c>
      <c r="FX106" s="34">
        <f>IF(AND(ISNUMBER(FY106),ISNUMBER(FW106)),FY106-FW106,"")</f>
        <v>0</v>
      </c>
      <c r="FY106" s="33">
        <v>2</v>
      </c>
      <c r="FZ106" s="34">
        <f>IF(AND(ISNUMBER(GA106),ISNUMBER(FY106)),GA106-FY106,"")</f>
        <v>0</v>
      </c>
      <c r="GA106" s="33">
        <v>0</v>
      </c>
      <c r="GB106" s="34">
        <f>IF(AND(ISNUMBER(GC106),ISNUMBER(GA106)),GC106-GA106,"")</f>
        <v>0</v>
      </c>
      <c r="GC106" s="33">
        <v>0</v>
      </c>
      <c r="GD106" s="34">
        <f>IF(AND(ISNUMBER(GE106),ISNUMBER(GC106)),GE106-GC106,"")</f>
        <v>0</v>
      </c>
      <c r="GE106" s="33">
        <v>1</v>
      </c>
      <c r="GF106" s="34">
        <f>IF(AND(ISNUMBER(GG106),ISNUMBER(GE106)),GG106-GE106,"")</f>
        <v>0</v>
      </c>
      <c r="GG106" s="33">
        <v>0</v>
      </c>
      <c r="GH106" s="34">
        <f>IF(AND(ISNUMBER(GI106),ISNUMBER(GG106)),GI106-GG106,"")</f>
        <v>0</v>
      </c>
      <c r="GI106" s="33">
        <v>1</v>
      </c>
      <c r="GJ106" s="34">
        <f>IF(AND(ISNUMBER(GK106),ISNUMBER(GI106)),GK106-GI106,"")</f>
        <v>0</v>
      </c>
      <c r="GK106" s="33">
        <v>0</v>
      </c>
      <c r="GL106" s="34">
        <f>IF(AND(ISNUMBER(GM106),ISNUMBER(GK106)),GM106-GK106,"")</f>
        <v>0</v>
      </c>
      <c r="GM106" s="33">
        <v>0</v>
      </c>
      <c r="GN106" s="34">
        <f>IF(AND(ISNUMBER(GO106),ISNUMBER(GM106)),GO106-GM106,"")</f>
        <v>0</v>
      </c>
      <c r="GO106" s="33">
        <v>5</v>
      </c>
      <c r="GP106" s="34">
        <f>IF(AND(ISNUMBER(GQ106),ISNUMBER(GO106)),GQ106-GO106,"")</f>
        <v>0</v>
      </c>
      <c r="GQ106" s="33">
        <v>2</v>
      </c>
      <c r="GR106" s="34">
        <f>IF(AND(ISNUMBER(GS106),ISNUMBER(GQ106)),GS106-GQ106,"")</f>
        <v>0</v>
      </c>
      <c r="GS106" s="33">
        <v>0</v>
      </c>
      <c r="GT106" s="34">
        <f>IF(AND(ISNUMBER(GU106),ISNUMBER(GS106)),GU106-GS106,"")</f>
        <v>0</v>
      </c>
      <c r="GU106" s="33">
        <v>0</v>
      </c>
      <c r="GV106" s="34">
        <f>IF(AND(ISNUMBER(GW106),ISNUMBER(GU106)),GW106-GU106,"")</f>
        <v>0</v>
      </c>
      <c r="GW106" s="33">
        <v>0</v>
      </c>
      <c r="GX106" s="34">
        <f>IF(AND(ISNUMBER(GY106),ISNUMBER(GW106)),GY106-GW106,"")</f>
        <v>0</v>
      </c>
      <c r="GY106" s="33">
        <v>0</v>
      </c>
      <c r="GZ106" s="34">
        <f>IF(AND(ISNUMBER(HA106),ISNUMBER(GY106)),HA106-GY106,"")</f>
        <v>0</v>
      </c>
      <c r="HA106" s="33">
        <v>1</v>
      </c>
      <c r="HB106" s="34">
        <f>IF(AND(ISNUMBER(HC106),ISNUMBER(HA106)),HC106-HA106,"")</f>
        <v>0</v>
      </c>
      <c r="HC106" s="33">
        <v>2</v>
      </c>
      <c r="HD106" s="34">
        <f>IF(AND(ISNUMBER(HE106),ISNUMBER(HC106)),HE106-HC106,"")</f>
        <v>0</v>
      </c>
      <c r="HE106" s="33">
        <v>0</v>
      </c>
      <c r="HF106" s="34">
        <f>IF(AND(ISNUMBER(HG106),ISNUMBER(HE106)),HG106-HE106,"")</f>
        <v>0</v>
      </c>
      <c r="HG106" s="33">
        <v>0</v>
      </c>
      <c r="HH106" s="34">
        <f>IF(AND(ISNUMBER(HI106),ISNUMBER(HG106)),HI106-HG106,"")</f>
        <v>0</v>
      </c>
      <c r="HI106" s="33">
        <v>0</v>
      </c>
      <c r="HJ106" s="34">
        <f>IF(AND(ISNUMBER(HK106),ISNUMBER(HI106)),HK106-HI106,"")</f>
        <v>0</v>
      </c>
      <c r="HK106" s="33">
        <v>3</v>
      </c>
      <c r="HL106" s="34">
        <f>IF(AND(ISNUMBER(HM106),ISNUMBER(HK106)),HM106-HK106,"")</f>
        <v>0</v>
      </c>
      <c r="HM106" s="33">
        <v>1</v>
      </c>
      <c r="HN106" s="34">
        <f>IF(AND(ISNUMBER(HO106),ISNUMBER(HM106)),HO106-HM106,"")</f>
        <v>0</v>
      </c>
      <c r="HO106" s="33">
        <v>0</v>
      </c>
      <c r="HP106" s="34">
        <f>IF(AND(ISNUMBER(HQ106),ISNUMBER(HO106)),HQ106-HO106,"")</f>
        <v>0</v>
      </c>
      <c r="HQ106" s="33">
        <v>2</v>
      </c>
      <c r="HR106" s="34">
        <f>IF(AND(ISNUMBER(HS106),ISNUMBER(HQ106)),HS106-HQ106,"")</f>
        <v>0</v>
      </c>
      <c r="HS106" s="33">
        <v>0</v>
      </c>
      <c r="HT106" s="34">
        <f>IF(AND(ISNUMBER(HU106),ISNUMBER(HS106)),HU106-HS106,"")</f>
        <v>0</v>
      </c>
      <c r="HU106" s="33">
        <v>0</v>
      </c>
      <c r="HV106" s="34">
        <f>IF(AND(ISNUMBER(HW106),ISNUMBER(HU106)),HW106-HU106,"")</f>
        <v>0</v>
      </c>
      <c r="HW106" s="33">
        <v>2</v>
      </c>
      <c r="HX106" s="34">
        <f>IF(AND(ISNUMBER(HY106),ISNUMBER(HW106)),HY106-HW106,"")</f>
        <v>0</v>
      </c>
      <c r="HY106" s="33">
        <v>0</v>
      </c>
      <c r="HZ106" s="34">
        <f>IF(AND(ISNUMBER(IA106),ISNUMBER(HY106)),IA106-HY106,"")</f>
        <v>0</v>
      </c>
      <c r="IA106" s="33">
        <v>1</v>
      </c>
      <c r="IB106" s="34">
        <f>IF(AND(ISNUMBER(IC106),ISNUMBER(IA106)),IC106-IA106,"")</f>
        <v>0</v>
      </c>
      <c r="IC106" s="33">
        <v>0</v>
      </c>
      <c r="ID106" s="34">
        <f>IF(AND(ISNUMBER(IE106),ISNUMBER(IC106)),IE106-IC106,"")</f>
        <v>0</v>
      </c>
      <c r="IE106" s="33">
        <v>0</v>
      </c>
      <c r="IF106" s="34">
        <f>IF(AND(ISNUMBER(IG106),ISNUMBER(IE106)),IG106-IE106,"")</f>
        <v>0</v>
      </c>
      <c r="IG106" s="33">
        <v>0</v>
      </c>
      <c r="IH106" s="34">
        <f>IF(AND(ISNUMBER(II106),ISNUMBER(IG106)),II106-IG106,"")</f>
        <v>0</v>
      </c>
      <c r="II106" s="33">
        <v>0</v>
      </c>
      <c r="IJ106" s="34">
        <f>IF(AND(ISNUMBER(IK106),ISNUMBER(II106)),IK106-II106,"")</f>
        <v>0</v>
      </c>
      <c r="IK106" s="33">
        <v>0</v>
      </c>
      <c r="IL106" s="34">
        <f>IF(AND(ISNUMBER(IM106),ISNUMBER(IK106)),IM106-IK106,"")</f>
        <v>0</v>
      </c>
      <c r="IM106" s="33">
        <v>0</v>
      </c>
      <c r="IN106" s="34">
        <f>IF(AND(ISNUMBER(IO106),ISNUMBER(IM106)),IO106-IM106,"")</f>
        <v>0</v>
      </c>
      <c r="IO106" s="33">
        <v>0</v>
      </c>
      <c r="IP106" s="34">
        <f>IF(AND(ISNUMBER(IQ106),ISNUMBER(IO106)),IQ106-IO106,"")</f>
        <v>0</v>
      </c>
      <c r="IQ106" s="33">
        <v>2</v>
      </c>
      <c r="IR106" s="34">
        <f>IF(AND(ISNUMBER(IS106),ISNUMBER(IQ106)),IS106-IQ106,"")</f>
        <v>0</v>
      </c>
      <c r="IS106" s="33">
        <v>0</v>
      </c>
      <c r="IT106" s="34">
        <f>IF(AND(ISNUMBER(IU106),ISNUMBER(IS106)),IU106-IS106,"")</f>
        <v>0</v>
      </c>
      <c r="IU106" s="33">
        <v>0</v>
      </c>
      <c r="IV106" s="34">
        <f>IF(AND(ISNUMBER(IW106),ISNUMBER(IU106)),IW106-IU106,"")</f>
        <v>0</v>
      </c>
      <c r="IW106" s="33">
        <v>0</v>
      </c>
      <c r="IX106" s="34">
        <f>IF(AND(ISNUMBER(IY106),ISNUMBER(IW106)),IY106-IW106,"")</f>
        <v>0</v>
      </c>
      <c r="IY106" s="33">
        <v>0</v>
      </c>
      <c r="IZ106" s="34">
        <f>IF(AND(ISNUMBER(JA106),ISNUMBER(IY106)),JA106-IY106,"")</f>
        <v>0</v>
      </c>
      <c r="JA106" s="33">
        <v>1</v>
      </c>
      <c r="JB106" s="34">
        <f>IF(AND(ISNUMBER(JC106),ISNUMBER(JA106)),JC106-JA106,"")</f>
        <v>0</v>
      </c>
      <c r="JC106" s="33">
        <v>1</v>
      </c>
      <c r="JD106" s="34">
        <f>IF(AND(ISNUMBER(JE106),ISNUMBER(JC106)),JE106-JC106,"")</f>
        <v>0</v>
      </c>
      <c r="JE106" s="33">
        <v>0</v>
      </c>
      <c r="JF106" s="34">
        <f>IF(AND(ISNUMBER(JG106),ISNUMBER(JE106)),JG106-JE106,"")</f>
        <v>0</v>
      </c>
      <c r="JG106" s="33">
        <v>2</v>
      </c>
      <c r="JH106" s="34">
        <f>IF(AND(ISNUMBER(JI106),ISNUMBER(JG106)),JI106-JG106,"")</f>
        <v>0</v>
      </c>
      <c r="JI106" s="33">
        <v>1</v>
      </c>
      <c r="JJ106" s="34">
        <f>IF(AND(ISNUMBER(JK106),ISNUMBER(JI106)),JK106-JI106,"")</f>
        <v>0</v>
      </c>
      <c r="JK106" s="33">
        <v>2</v>
      </c>
      <c r="JL106" s="34">
        <f>IF(AND(ISNUMBER(JM106),ISNUMBER(JK106)),JM106-JK106,"")</f>
        <v>0</v>
      </c>
      <c r="JM106" s="33">
        <v>0</v>
      </c>
      <c r="JN106" s="34">
        <f>IF(AND(ISNUMBER(JO106),ISNUMBER(JM106)),JO106-JM106,"")</f>
        <v>0</v>
      </c>
      <c r="JO106" s="33">
        <v>0</v>
      </c>
      <c r="JP106" s="34">
        <f>IF(AND(ISNUMBER(JQ106),ISNUMBER(JO106)),JQ106-JO106,"")</f>
        <v>0</v>
      </c>
      <c r="JQ106" s="33">
        <v>0</v>
      </c>
      <c r="JR106" s="34">
        <f>IF(AND(ISNUMBER(JS106),ISNUMBER(JQ106)),JS106-JQ106,"")</f>
        <v>0</v>
      </c>
      <c r="JS106" s="33">
        <v>0</v>
      </c>
      <c r="JT106" s="34">
        <f>IF(AND(ISNUMBER(JU106),ISNUMBER(JS106)),JU106-JS106,"")</f>
        <v>0</v>
      </c>
      <c r="JU106" s="33">
        <v>0</v>
      </c>
      <c r="JV106" s="34">
        <f>IF(AND(ISNUMBER(JW106),ISNUMBER(JU106)),JW106-JU106,"")</f>
        <v>0</v>
      </c>
      <c r="JW106" s="33">
        <v>0</v>
      </c>
      <c r="JX106" s="34">
        <f>IF(AND(ISNUMBER(JY106),ISNUMBER(JW106)),JY106-JW106,"")</f>
        <v>0</v>
      </c>
      <c r="JY106" s="33">
        <v>0</v>
      </c>
      <c r="JZ106" s="34">
        <f>IF(AND(ISNUMBER(KA106),ISNUMBER(JY106)),KA106-JY106,"")</f>
        <v>0</v>
      </c>
      <c r="KA106" s="33"/>
      <c r="KB106" s="34">
        <f>IF(AND(ISNUMBER(KC106),ISNUMBER(KA106)),KC106-KA106,"")</f>
        <v>0</v>
      </c>
      <c r="KC106" s="33"/>
      <c r="KD106" s="34">
        <f>IF(AND(ISNUMBER(KE106),ISNUMBER(KC106)),KE106-KC106,"")</f>
        <v>0</v>
      </c>
      <c r="KE106" s="33"/>
      <c r="KF106" s="34">
        <f>IF(AND(ISNUMBER(KG106),ISNUMBER(KE106)),KG106-KE106,"")</f>
        <v>0</v>
      </c>
      <c r="KG106" s="33"/>
      <c r="KH106" s="34">
        <f>IF(AND(ISNUMBER(KI106),ISNUMBER(KG106)),KI106-KG106,"")</f>
        <v>0</v>
      </c>
      <c r="KI106" s="33"/>
      <c r="KJ106" s="34">
        <f>IF(AND(ISNUMBER(KK106),ISNUMBER(KI106)),KK106-KI106,"")</f>
        <v>0</v>
      </c>
      <c r="KK106" s="33"/>
      <c r="KL106" s="34">
        <f>IF(AND(ISNUMBER(KM106),ISNUMBER(KK106)),KM106-KK106,"")</f>
        <v>0</v>
      </c>
      <c r="KM106" s="33"/>
      <c r="KN106" s="34">
        <f>IF(AND(ISNUMBER(KO106),ISNUMBER(KM106)),KO106-KM106,"")</f>
        <v>0</v>
      </c>
      <c r="KO106" s="33"/>
      <c r="KP106" s="34">
        <f>IF(AND(ISNUMBER(KQ106),ISNUMBER(KO106)),KQ106-KO106,"")</f>
        <v>0</v>
      </c>
      <c r="KQ106" s="33"/>
      <c r="KR106" s="34">
        <f>IF(AND(ISNUMBER(KS106),ISNUMBER(KQ106)),KS106-KQ106,"")</f>
        <v>0</v>
      </c>
      <c r="KS106" s="33"/>
      <c r="KT106" s="34">
        <f>IF(AND(ISNUMBER(KU106),ISNUMBER(KS106)),KU106-KS106,"")</f>
        <v>0</v>
      </c>
      <c r="KU106" s="33"/>
      <c r="KV106" s="34">
        <f>IF(AND(ISNUMBER(KW106),ISNUMBER(KU106)),KW106-KU106,"")</f>
        <v>0</v>
      </c>
      <c r="KW106" s="33"/>
      <c r="KX106" s="34">
        <f>IF(AND(ISNUMBER(KY106),ISNUMBER(KW106)),KY106-KW106,"")</f>
        <v>0</v>
      </c>
      <c r="KY106" s="33"/>
      <c r="KZ106" s="34">
        <f>IF(AND(ISNUMBER(LA106),ISNUMBER(KY106)),LA106-KY106,"")</f>
        <v>0</v>
      </c>
      <c r="LA106" s="33"/>
      <c r="LB106" s="34">
        <f>IF(AND(ISNUMBER(LC106),ISNUMBER(LA106)),LC106-LA106,"")</f>
        <v>0</v>
      </c>
      <c r="LC106" s="33"/>
      <c r="LD106" s="34">
        <f>IF(AND(ISNUMBER(LE106),ISNUMBER(LC106)),LE106-LC106,"")</f>
        <v>0</v>
      </c>
      <c r="LE106" s="33"/>
      <c r="LF106" s="34">
        <f>IF(AND(ISNUMBER(LG106),ISNUMBER(LE106)),LG106-LE106,"")</f>
        <v>0</v>
      </c>
      <c r="LG106" s="33"/>
    </row>
    <row r="107" spans="1:322">
      <c r="B107" s="23"/>
      <c r="C107" s="31" t="s">
        <v>783</v>
      </c>
      <c r="D107" s="31" t="s">
        <v>861</v>
      </c>
      <c r="E107" s="25"/>
      <c r="I107" s="33"/>
      <c r="J107" s="34">
        <f>IF(AND(ISNUMBER(K107),ISNUMBER(I107)),K107-I107,"")</f>
        <v>0</v>
      </c>
      <c r="K107" s="33"/>
      <c r="L107" s="34">
        <f>IF(AND(ISNUMBER(M107),ISNUMBER(K107)),M107-K107,"")</f>
        <v>0</v>
      </c>
      <c r="M107" s="33"/>
      <c r="N107" s="34">
        <f>IF(AND(ISNUMBER(O107),ISNUMBER(M107)),O107-M107,"")</f>
        <v>0</v>
      </c>
      <c r="O107" s="33"/>
      <c r="P107" s="34">
        <f>IF(AND(ISNUMBER(Q107),ISNUMBER(O107)),Q107-O107,"")</f>
        <v>0</v>
      </c>
      <c r="Q107" s="33"/>
      <c r="R107" s="34">
        <f>IF(AND(ISNUMBER(S107),ISNUMBER(Q107)),S107-Q107,"")</f>
        <v>0</v>
      </c>
      <c r="S107" s="33"/>
      <c r="T107" s="34">
        <f>IF(AND(ISNUMBER(U107),ISNUMBER(S107)),U107-S107,"")</f>
        <v>0</v>
      </c>
      <c r="U107" s="33"/>
      <c r="V107" s="34">
        <f>IF(AND(ISNUMBER(W107),ISNUMBER(U107)),W107-U107,"")</f>
        <v>0</v>
      </c>
      <c r="W107" s="33"/>
      <c r="X107" s="34">
        <f>IF(AND(ISNUMBER(Y107),ISNUMBER(W107)),Y107-W107,"")</f>
        <v>0</v>
      </c>
      <c r="Y107" s="33"/>
      <c r="Z107" s="34">
        <f>IF(AND(ISNUMBER(AA107),ISNUMBER(Y107)),AA107-Y107,"")</f>
        <v>0</v>
      </c>
      <c r="AA107" s="33"/>
      <c r="AB107" s="34">
        <f>IF(AND(ISNUMBER(AC107),ISNUMBER(AA107)),AC107-AA107,"")</f>
        <v>0</v>
      </c>
      <c r="AC107" s="33"/>
      <c r="AD107" s="34">
        <f>IF(AND(ISNUMBER(AE107),ISNUMBER(AC107)),AE107-AC107,"")</f>
        <v>0</v>
      </c>
      <c r="AE107" s="33"/>
      <c r="AF107" s="34">
        <f>IF(AND(ISNUMBER(AG107),ISNUMBER(AE107)),AG107-AE107,"")</f>
        <v>0</v>
      </c>
      <c r="AG107" s="33"/>
      <c r="AH107" s="34">
        <f>IF(AND(ISNUMBER(AI107),ISNUMBER(AG107)),AI107-AG107,"")</f>
        <v>0</v>
      </c>
      <c r="AI107" s="33"/>
      <c r="AJ107" s="34">
        <f>IF(AND(ISNUMBER(AK107),ISNUMBER(AI107)),AK107-AI107,"")</f>
        <v>0</v>
      </c>
      <c r="AK107" s="33"/>
      <c r="AL107" s="34">
        <f>IF(AND(ISNUMBER(AM107),ISNUMBER(AK107)),AM107-AK107,"")</f>
        <v>0</v>
      </c>
      <c r="AM107" s="33"/>
      <c r="AN107" s="34">
        <f>IF(AND(ISNUMBER(AO107),ISNUMBER(AM107)),AO107-AM107,"")</f>
        <v>0</v>
      </c>
      <c r="AO107" s="33"/>
      <c r="AP107" s="34">
        <f>IF(AND(ISNUMBER(AQ107),ISNUMBER(AO107)),AQ107-AO107,"")</f>
        <v>0</v>
      </c>
      <c r="AQ107" s="33"/>
      <c r="AR107" s="34">
        <f>IF(AND(ISNUMBER(AS107),ISNUMBER(AQ107)),AS107-AQ107,"")</f>
        <v>0</v>
      </c>
      <c r="AS107" s="33"/>
      <c r="AT107" s="34">
        <f>IF(AND(ISNUMBER(AU107),ISNUMBER(AS107)),AU107-AS107,"")</f>
        <v>0</v>
      </c>
      <c r="AU107" s="33"/>
      <c r="AV107" s="34">
        <f>IF(AND(ISNUMBER(AW107),ISNUMBER(AU107)),AW107-AU107,"")</f>
        <v>0</v>
      </c>
      <c r="AW107" s="33"/>
      <c r="AX107" s="34">
        <f>IF(AND(ISNUMBER(AY107),ISNUMBER(AW107)),AY107-AW107,"")</f>
        <v>0</v>
      </c>
      <c r="AY107" s="33"/>
      <c r="AZ107" s="34">
        <f>IF(AND(ISNUMBER(BA107),ISNUMBER(AY107)),BA107-AY107,"")</f>
        <v>0</v>
      </c>
      <c r="BA107" s="33"/>
      <c r="BB107" s="34">
        <f>IF(AND(ISNUMBER(BC107),ISNUMBER(BA107)),BC107-BA107,"")</f>
        <v>0</v>
      </c>
      <c r="BC107" s="33"/>
      <c r="BD107" s="34">
        <f>IF(AND(ISNUMBER(BE107),ISNUMBER(BC107)),BE107-BC107,"")</f>
        <v>0</v>
      </c>
      <c r="BE107" s="33"/>
      <c r="BF107" s="34">
        <f>IF(AND(ISNUMBER(BG107),ISNUMBER(BE107)),BG107-BE107,"")</f>
        <v>0</v>
      </c>
      <c r="BG107" s="33"/>
      <c r="BH107" s="34">
        <f>IF(AND(ISNUMBER(BI107),ISNUMBER(BG107)),BI107-BG107,"")</f>
        <v>0</v>
      </c>
      <c r="BI107" s="33"/>
      <c r="BJ107" s="34">
        <f>IF(AND(ISNUMBER(BK107),ISNUMBER(BI107)),BK107-BI107,"")</f>
        <v>0</v>
      </c>
      <c r="BK107" s="33"/>
      <c r="BL107" s="34">
        <f>IF(AND(ISNUMBER(BM107),ISNUMBER(BK107)),BM107-BK107,"")</f>
        <v>0</v>
      </c>
      <c r="BM107" s="33"/>
      <c r="BN107" s="34">
        <f>IF(AND(ISNUMBER(BO107),ISNUMBER(BM107)),BO107-BM107,"")</f>
        <v>0</v>
      </c>
      <c r="BO107" s="33"/>
      <c r="BP107" s="34">
        <f>IF(AND(ISNUMBER(BQ107),ISNUMBER(BO107)),BQ107-BO107,"")</f>
        <v>0</v>
      </c>
      <c r="BQ107" s="33"/>
      <c r="BR107" s="34">
        <f>IF(AND(ISNUMBER(BS107),ISNUMBER(BQ107)),BS107-BQ107,"")</f>
        <v>0</v>
      </c>
      <c r="BS107" s="33"/>
      <c r="BT107" s="34">
        <f>IF(AND(ISNUMBER(BU107),ISNUMBER(BS107)),BU107-BS107,"")</f>
        <v>0</v>
      </c>
      <c r="BU107" s="33"/>
      <c r="BV107" s="34">
        <f>IF(AND(ISNUMBER(BW107),ISNUMBER(BU107)),BW107-BU107,"")</f>
        <v>0</v>
      </c>
      <c r="BW107" s="33"/>
      <c r="BX107" s="34">
        <f>IF(AND(ISNUMBER(BY107),ISNUMBER(BW107)),BY107-BW107,"")</f>
        <v>0</v>
      </c>
      <c r="BY107" s="33"/>
      <c r="BZ107" s="34">
        <f>IF(AND(ISNUMBER(CA107),ISNUMBER(BY107)),CA107-BY107,"")</f>
        <v>0</v>
      </c>
      <c r="CA107" s="33"/>
      <c r="CB107" s="34">
        <f>IF(AND(ISNUMBER(CC107),ISNUMBER(CA107)),CC107-CA107,"")</f>
        <v>0</v>
      </c>
      <c r="CC107" s="33"/>
      <c r="CD107" s="34">
        <f>IF(AND(ISNUMBER(CE107),ISNUMBER(CC107)),CE107-CC107,"")</f>
        <v>0</v>
      </c>
      <c r="CE107" s="33"/>
      <c r="CF107" s="34">
        <f>IF(AND(ISNUMBER(CG107),ISNUMBER(CE107)),CG107-CE107,"")</f>
        <v>0</v>
      </c>
      <c r="CG107" s="33"/>
      <c r="CH107" s="34">
        <f>IF(AND(ISNUMBER(CI107),ISNUMBER(CG107)),CI107-CG107,"")</f>
        <v>0</v>
      </c>
      <c r="CI107" s="33"/>
      <c r="CJ107" s="34">
        <f>IF(AND(ISNUMBER(CK107),ISNUMBER(CI107)),CK107-CI107,"")</f>
        <v>0</v>
      </c>
      <c r="CK107" s="33"/>
      <c r="CL107" s="34">
        <f>IF(AND(ISNUMBER(CM107),ISNUMBER(CK107)),CM107-CK107,"")</f>
        <v>0</v>
      </c>
      <c r="CM107" s="33"/>
      <c r="CN107" s="34">
        <f>IF(AND(ISNUMBER(CO107),ISNUMBER(CM107)),CO107-CM107,"")</f>
        <v>0</v>
      </c>
      <c r="CO107" s="33"/>
      <c r="CP107" s="34">
        <f>IF(AND(ISNUMBER(CQ107),ISNUMBER(CO107)),CQ107-CO107,"")</f>
        <v>0</v>
      </c>
      <c r="CQ107" s="33"/>
      <c r="CR107" s="34">
        <f>IF(AND(ISNUMBER(CS107),ISNUMBER(CQ107)),CS107-CQ107,"")</f>
        <v>0</v>
      </c>
      <c r="CS107" s="33"/>
      <c r="CT107" s="34">
        <f>IF(AND(ISNUMBER(CU107),ISNUMBER(CS107)),CU107-CS107,"")</f>
        <v>0</v>
      </c>
      <c r="CU107" s="33"/>
      <c r="CV107" s="34">
        <f>IF(AND(ISNUMBER(CW107),ISNUMBER(CU107)),CW107-CU107,"")</f>
        <v>0</v>
      </c>
      <c r="CW107" s="33"/>
      <c r="CX107" s="34">
        <f>IF(AND(ISNUMBER(CY107),ISNUMBER(CW107)),CY107-CW107,"")</f>
        <v>0</v>
      </c>
      <c r="CY107" s="33"/>
      <c r="CZ107" s="34">
        <f>IF(AND(ISNUMBER(DA107),ISNUMBER(CY107)),DA107-CY107,"")</f>
        <v>0</v>
      </c>
      <c r="DA107" s="33"/>
      <c r="DB107" s="34">
        <f>IF(AND(ISNUMBER(DC107),ISNUMBER(DA107)),DC107-DA107,"")</f>
        <v>0</v>
      </c>
      <c r="DC107" s="33"/>
      <c r="DD107" s="34">
        <f>IF(AND(ISNUMBER(DE107),ISNUMBER(DC107)),DE107-DC107,"")</f>
        <v>0</v>
      </c>
      <c r="DE107" s="33"/>
      <c r="DF107" s="34">
        <f>IF(AND(ISNUMBER(DG107),ISNUMBER(DE107)),DG107-DE107,"")</f>
        <v>0</v>
      </c>
      <c r="DG107" s="33"/>
      <c r="DH107" s="34">
        <f>IF(AND(ISNUMBER(DI107),ISNUMBER(DG107)),DI107-DG107,"")</f>
        <v>0</v>
      </c>
      <c r="DI107" s="33"/>
      <c r="DJ107" s="34">
        <f>IF(AND(ISNUMBER(DK107),ISNUMBER(DI107)),DK107-DI107,"")</f>
        <v>0</v>
      </c>
      <c r="DK107" s="33"/>
      <c r="DL107" s="34">
        <f>IF(AND(ISNUMBER(DM107),ISNUMBER(DK107)),DM107-DK107,"")</f>
        <v>0</v>
      </c>
      <c r="DM107" s="33"/>
      <c r="DN107" s="34">
        <f>IF(AND(ISNUMBER(DO107),ISNUMBER(DM107)),DO107-DM107,"")</f>
        <v>0</v>
      </c>
      <c r="DO107" s="33"/>
      <c r="DP107" s="34">
        <f>IF(AND(ISNUMBER(DQ107),ISNUMBER(DO107)),DQ107-DO107,"")</f>
        <v>0</v>
      </c>
      <c r="DQ107" s="33"/>
      <c r="DR107" s="34">
        <f>IF(AND(ISNUMBER(DS107),ISNUMBER(DQ107)),DS107-DQ107,"")</f>
        <v>0</v>
      </c>
      <c r="DS107" s="33"/>
      <c r="DT107" s="34">
        <f>IF(AND(ISNUMBER(DU107),ISNUMBER(DS107)),DU107-DS107,"")</f>
        <v>0</v>
      </c>
      <c r="DU107" s="33"/>
      <c r="DV107" s="34">
        <f>IF(AND(ISNUMBER(DW107),ISNUMBER(DU107)),DW107-DU107,"")</f>
        <v>0</v>
      </c>
      <c r="DW107" s="33"/>
      <c r="DX107" s="34">
        <f>IF(AND(ISNUMBER(DY107),ISNUMBER(DW107)),DY107-DW107,"")</f>
        <v>0</v>
      </c>
      <c r="DY107" s="33"/>
      <c r="DZ107" s="34">
        <f>IF(AND(ISNUMBER(EA107),ISNUMBER(DY107)),EA107-DY107,"")</f>
        <v>0</v>
      </c>
      <c r="EA107" s="33"/>
      <c r="EB107" s="34">
        <f>IF(AND(ISNUMBER(EC107),ISNUMBER(EA107)),EC107-EA107,"")</f>
        <v>0</v>
      </c>
      <c r="EC107" s="33"/>
      <c r="ED107" s="34">
        <f>IF(AND(ISNUMBER(EE107),ISNUMBER(EC107)),EE107-EC107,"")</f>
        <v>0</v>
      </c>
      <c r="EE107" s="33"/>
      <c r="EF107" s="34">
        <f>IF(AND(ISNUMBER(EG107),ISNUMBER(EE107)),EG107-EE107,"")</f>
        <v>0</v>
      </c>
      <c r="EG107" s="33"/>
      <c r="EH107" s="34">
        <f>IF(AND(ISNUMBER(EI107),ISNUMBER(EG107)),EI107-EG107,"")</f>
        <v>0</v>
      </c>
      <c r="EI107" s="33"/>
      <c r="EJ107" s="34">
        <f>IF(AND(ISNUMBER(EK107),ISNUMBER(EI107)),EK107-EI107,"")</f>
        <v>0</v>
      </c>
      <c r="EK107" s="33"/>
      <c r="EL107" s="34">
        <f>IF(AND(ISNUMBER(EM107),ISNUMBER(EK107)),EM107-EK107,"")</f>
        <v>0</v>
      </c>
      <c r="EM107" s="33"/>
      <c r="EN107" s="34">
        <f>IF(AND(ISNUMBER(EO107),ISNUMBER(EM107)),EO107-EM107,"")</f>
        <v>0</v>
      </c>
      <c r="EO107" s="33">
        <v>127</v>
      </c>
      <c r="EP107" s="34">
        <f>IF(AND(ISNUMBER(EQ107),ISNUMBER(EO107)),EQ107-EO107,"")</f>
        <v>0</v>
      </c>
      <c r="EQ107" s="33">
        <v>82</v>
      </c>
      <c r="ER107" s="34">
        <f>IF(AND(ISNUMBER(ES107),ISNUMBER(EQ107)),ES107-EQ107,"")</f>
        <v>0</v>
      </c>
      <c r="ES107" s="33">
        <v>142</v>
      </c>
      <c r="ET107" s="34">
        <f>IF(AND(ISNUMBER(EU107),ISNUMBER(ES107)),EU107-ES107,"")</f>
        <v>0</v>
      </c>
      <c r="EU107" s="33">
        <v>112</v>
      </c>
      <c r="EV107" s="34">
        <f>IF(AND(ISNUMBER(EW107),ISNUMBER(EU107)),EW107-EU107,"")</f>
        <v>0</v>
      </c>
      <c r="EW107" s="33">
        <v>110</v>
      </c>
      <c r="EX107" s="34">
        <f>IF(AND(ISNUMBER(EY107),ISNUMBER(EW107)),EY107-EW107,"")</f>
        <v>0</v>
      </c>
      <c r="EY107" s="33">
        <v>111</v>
      </c>
      <c r="EZ107" s="34">
        <f>IF(AND(ISNUMBER(FA107),ISNUMBER(EY107)),FA107-EY107,"")</f>
        <v>0</v>
      </c>
      <c r="FA107" s="33">
        <v>144</v>
      </c>
      <c r="FB107" s="34">
        <f>IF(AND(ISNUMBER(FC107),ISNUMBER(FA107)),FC107-FA107,"")</f>
        <v>0</v>
      </c>
      <c r="FC107" s="33">
        <v>158</v>
      </c>
      <c r="FD107" s="34">
        <f>IF(AND(ISNUMBER(FE107),ISNUMBER(FC107)),FE107-FC107,"")</f>
        <v>0</v>
      </c>
      <c r="FE107" s="33">
        <v>116</v>
      </c>
      <c r="FF107" s="34">
        <f>IF(AND(ISNUMBER(FG107),ISNUMBER(FE107)),FG107-FE107,"")</f>
        <v>0</v>
      </c>
      <c r="FG107" s="33">
        <v>91</v>
      </c>
      <c r="FH107" s="34">
        <f>IF(AND(ISNUMBER(FI107),ISNUMBER(FG107)),FI107-FG107,"")</f>
        <v>0</v>
      </c>
      <c r="FI107" s="33">
        <v>99</v>
      </c>
      <c r="FJ107" s="34">
        <f>IF(AND(ISNUMBER(FK107),ISNUMBER(FI107)),FK107-FI107,"")</f>
        <v>0</v>
      </c>
      <c r="FK107" s="33">
        <v>162</v>
      </c>
      <c r="FL107" s="34">
        <f>IF(AND(ISNUMBER(FM107),ISNUMBER(FK107)),FM107-FK107,"")</f>
        <v>0</v>
      </c>
      <c r="FM107" s="33">
        <v>99</v>
      </c>
      <c r="FN107" s="34">
        <f>IF(AND(ISNUMBER(FO107),ISNUMBER(FM107)),FO107-FM107,"")</f>
        <v>0</v>
      </c>
      <c r="FO107" s="33">
        <v>81</v>
      </c>
      <c r="FP107" s="34">
        <f>IF(AND(ISNUMBER(FQ107),ISNUMBER(FO107)),FQ107-FO107,"")</f>
        <v>0</v>
      </c>
      <c r="FQ107" s="33">
        <v>88</v>
      </c>
      <c r="FR107" s="34">
        <f>IF(AND(ISNUMBER(FS107),ISNUMBER(FQ107)),FS107-FQ107,"")</f>
        <v>0</v>
      </c>
      <c r="FS107" s="33">
        <v>96</v>
      </c>
      <c r="FT107" s="34">
        <f>IF(AND(ISNUMBER(FU107),ISNUMBER(FS107)),FU107-FS107,"")</f>
        <v>0</v>
      </c>
      <c r="FU107" s="33">
        <v>94</v>
      </c>
      <c r="FV107" s="34">
        <f>IF(AND(ISNUMBER(FW107),ISNUMBER(FU107)),FW107-FU107,"")</f>
        <v>0</v>
      </c>
      <c r="FW107" s="33">
        <v>90</v>
      </c>
      <c r="FX107" s="34">
        <f>IF(AND(ISNUMBER(FY107),ISNUMBER(FW107)),FY107-FW107,"")</f>
        <v>0</v>
      </c>
      <c r="FY107" s="33">
        <v>67</v>
      </c>
      <c r="FZ107" s="34">
        <f>IF(AND(ISNUMBER(GA107),ISNUMBER(FY107)),GA107-FY107,"")</f>
        <v>0</v>
      </c>
      <c r="GA107" s="33">
        <v>165</v>
      </c>
      <c r="GB107" s="34">
        <f>IF(AND(ISNUMBER(GC107),ISNUMBER(GA107)),GC107-GA107,"")</f>
        <v>0</v>
      </c>
      <c r="GC107" s="33">
        <v>102</v>
      </c>
      <c r="GD107" s="34">
        <f>IF(AND(ISNUMBER(GE107),ISNUMBER(GC107)),GE107-GC107,"")</f>
        <v>0</v>
      </c>
      <c r="GE107" s="33">
        <v>114</v>
      </c>
      <c r="GF107" s="34">
        <f>IF(AND(ISNUMBER(GG107),ISNUMBER(GE107)),GG107-GE107,"")</f>
        <v>0</v>
      </c>
      <c r="GG107" s="33">
        <v>87</v>
      </c>
      <c r="GH107" s="34">
        <f>IF(AND(ISNUMBER(GI107),ISNUMBER(GG107)),GI107-GG107,"")</f>
        <v>0</v>
      </c>
      <c r="GI107" s="33">
        <v>116</v>
      </c>
      <c r="GJ107" s="34">
        <f>IF(AND(ISNUMBER(GK107),ISNUMBER(GI107)),GK107-GI107,"")</f>
        <v>0</v>
      </c>
      <c r="GK107" s="33">
        <v>133</v>
      </c>
      <c r="GL107" s="34">
        <f>IF(AND(ISNUMBER(GM107),ISNUMBER(GK107)),GM107-GK107,"")</f>
        <v>0</v>
      </c>
      <c r="GM107" s="33">
        <v>85</v>
      </c>
      <c r="GN107" s="34">
        <f>IF(AND(ISNUMBER(GO107),ISNUMBER(GM107)),GO107-GM107,"")</f>
        <v>0</v>
      </c>
      <c r="GO107" s="33">
        <v>121</v>
      </c>
      <c r="GP107" s="34">
        <f>IF(AND(ISNUMBER(GQ107),ISNUMBER(GO107)),GQ107-GO107,"")</f>
        <v>0</v>
      </c>
      <c r="GQ107" s="33">
        <v>176</v>
      </c>
      <c r="GR107" s="34">
        <f>IF(AND(ISNUMBER(GS107),ISNUMBER(GQ107)),GS107-GQ107,"")</f>
        <v>0</v>
      </c>
      <c r="GS107" s="33">
        <v>133</v>
      </c>
      <c r="GT107" s="34">
        <f>IF(AND(ISNUMBER(GU107),ISNUMBER(GS107)),GU107-GS107,"")</f>
        <v>0</v>
      </c>
      <c r="GU107" s="33">
        <v>31</v>
      </c>
      <c r="GV107" s="34">
        <f>IF(AND(ISNUMBER(GW107),ISNUMBER(GU107)),GW107-GU107,"")</f>
        <v>0</v>
      </c>
      <c r="GW107" s="33">
        <v>27</v>
      </c>
      <c r="GX107" s="34">
        <f>IF(AND(ISNUMBER(GY107),ISNUMBER(GW107)),GY107-GW107,"")</f>
        <v>0</v>
      </c>
      <c r="GY107" s="33">
        <v>57</v>
      </c>
      <c r="GZ107" s="34">
        <f>IF(AND(ISNUMBER(HA107),ISNUMBER(GY107)),HA107-GY107,"")</f>
        <v>0</v>
      </c>
      <c r="HA107" s="33">
        <v>125</v>
      </c>
      <c r="HB107" s="34">
        <f>IF(AND(ISNUMBER(HC107),ISNUMBER(HA107)),HC107-HA107,"")</f>
        <v>0</v>
      </c>
      <c r="HC107" s="33">
        <v>223</v>
      </c>
      <c r="HD107" s="34">
        <f>IF(AND(ISNUMBER(HE107),ISNUMBER(HC107)),HE107-HC107,"")</f>
        <v>0</v>
      </c>
      <c r="HE107" s="33">
        <v>123</v>
      </c>
      <c r="HF107" s="34">
        <f>IF(AND(ISNUMBER(HG107),ISNUMBER(HE107)),HG107-HE107,"")</f>
        <v>0</v>
      </c>
      <c r="HG107" s="33">
        <v>95</v>
      </c>
      <c r="HH107" s="34">
        <f>IF(AND(ISNUMBER(HI107),ISNUMBER(HG107)),HI107-HG107,"")</f>
        <v>0</v>
      </c>
      <c r="HI107" s="33">
        <v>70</v>
      </c>
      <c r="HJ107" s="34">
        <f>IF(AND(ISNUMBER(HK107),ISNUMBER(HI107)),HK107-HI107,"")</f>
        <v>0</v>
      </c>
      <c r="HK107" s="33">
        <v>136</v>
      </c>
      <c r="HL107" s="34">
        <f>IF(AND(ISNUMBER(HM107),ISNUMBER(HK107)),HM107-HK107,"")</f>
        <v>0</v>
      </c>
      <c r="HM107" s="33">
        <v>115</v>
      </c>
      <c r="HN107" s="34">
        <f>IF(AND(ISNUMBER(HO107),ISNUMBER(HM107)),HO107-HM107,"")</f>
        <v>0</v>
      </c>
      <c r="HO107" s="33">
        <v>71</v>
      </c>
      <c r="HP107" s="34">
        <f>IF(AND(ISNUMBER(HQ107),ISNUMBER(HO107)),HQ107-HO107,"")</f>
        <v>0</v>
      </c>
      <c r="HQ107" s="33">
        <v>124</v>
      </c>
      <c r="HR107" s="34">
        <f>IF(AND(ISNUMBER(HS107),ISNUMBER(HQ107)),HS107-HQ107,"")</f>
        <v>0</v>
      </c>
      <c r="HS107" s="33">
        <v>89</v>
      </c>
      <c r="HT107" s="34">
        <f>IF(AND(ISNUMBER(HU107),ISNUMBER(HS107)),HU107-HS107,"")</f>
        <v>0</v>
      </c>
      <c r="HU107" s="33">
        <v>71</v>
      </c>
      <c r="HV107" s="34">
        <f>IF(AND(ISNUMBER(HW107),ISNUMBER(HU107)),HW107-HU107,"")</f>
        <v>0</v>
      </c>
      <c r="HW107" s="33">
        <v>60</v>
      </c>
      <c r="HX107" s="34">
        <f>IF(AND(ISNUMBER(HY107),ISNUMBER(HW107)),HY107-HW107,"")</f>
        <v>0</v>
      </c>
      <c r="HY107" s="33">
        <v>38</v>
      </c>
      <c r="HZ107" s="34">
        <f>IF(AND(ISNUMBER(IA107),ISNUMBER(HY107)),IA107-HY107,"")</f>
        <v>0</v>
      </c>
      <c r="IA107" s="33">
        <v>118</v>
      </c>
      <c r="IB107" s="34">
        <f>IF(AND(ISNUMBER(IC107),ISNUMBER(IA107)),IC107-IA107,"")</f>
        <v>0</v>
      </c>
      <c r="IC107" s="33">
        <v>121</v>
      </c>
      <c r="ID107" s="34">
        <f>IF(AND(ISNUMBER(IE107),ISNUMBER(IC107)),IE107-IC107,"")</f>
        <v>0</v>
      </c>
      <c r="IE107" s="33">
        <v>52</v>
      </c>
      <c r="IF107" s="34">
        <f>IF(AND(ISNUMBER(IG107),ISNUMBER(IE107)),IG107-IE107,"")</f>
        <v>0</v>
      </c>
      <c r="IG107" s="33">
        <v>67</v>
      </c>
      <c r="IH107" s="34">
        <f>IF(AND(ISNUMBER(II107),ISNUMBER(IG107)),II107-IG107,"")</f>
        <v>0</v>
      </c>
      <c r="II107" s="33">
        <v>61</v>
      </c>
      <c r="IJ107" s="34">
        <f>IF(AND(ISNUMBER(IK107),ISNUMBER(II107)),IK107-II107,"")</f>
        <v>0</v>
      </c>
      <c r="IK107" s="33">
        <v>120</v>
      </c>
      <c r="IL107" s="34">
        <f>IF(AND(ISNUMBER(IM107),ISNUMBER(IK107)),IM107-IK107,"")</f>
        <v>0</v>
      </c>
      <c r="IM107" s="33">
        <v>41</v>
      </c>
      <c r="IN107" s="34">
        <f>IF(AND(ISNUMBER(IO107),ISNUMBER(IM107)),IO107-IM107,"")</f>
        <v>0</v>
      </c>
      <c r="IO107" s="33">
        <v>71</v>
      </c>
      <c r="IP107" s="34">
        <f>IF(AND(ISNUMBER(IQ107),ISNUMBER(IO107)),IQ107-IO107,"")</f>
        <v>0</v>
      </c>
      <c r="IQ107" s="33">
        <v>61</v>
      </c>
      <c r="IR107" s="34">
        <f>IF(AND(ISNUMBER(IS107),ISNUMBER(IQ107)),IS107-IQ107,"")</f>
        <v>0</v>
      </c>
      <c r="IS107" s="33">
        <v>54</v>
      </c>
      <c r="IT107" s="34">
        <f>IF(AND(ISNUMBER(IU107),ISNUMBER(IS107)),IU107-IS107,"")</f>
        <v>0</v>
      </c>
      <c r="IU107" s="33">
        <v>54</v>
      </c>
      <c r="IV107" s="34">
        <f>IF(AND(ISNUMBER(IW107),ISNUMBER(IU107)),IW107-IU107,"")</f>
        <v>0</v>
      </c>
      <c r="IW107" s="33">
        <v>0</v>
      </c>
      <c r="IX107" s="34">
        <f>IF(AND(ISNUMBER(IY107),ISNUMBER(IW107)),IY107-IW107,"")</f>
        <v>0</v>
      </c>
      <c r="IY107" s="33">
        <v>54</v>
      </c>
      <c r="IZ107" s="34">
        <f>IF(AND(ISNUMBER(JA107),ISNUMBER(IY107)),JA107-IY107,"")</f>
        <v>0</v>
      </c>
      <c r="JA107" s="33">
        <v>122</v>
      </c>
      <c r="JB107" s="34">
        <f>IF(AND(ISNUMBER(JC107),ISNUMBER(JA107)),JC107-JA107,"")</f>
        <v>0</v>
      </c>
      <c r="JC107" s="33">
        <v>101</v>
      </c>
      <c r="JD107" s="34">
        <f>IF(AND(ISNUMBER(JE107),ISNUMBER(JC107)),JE107-JC107,"")</f>
        <v>0</v>
      </c>
      <c r="JE107" s="33">
        <v>80</v>
      </c>
      <c r="JF107" s="34">
        <f>IF(AND(ISNUMBER(JG107),ISNUMBER(JE107)),JG107-JE107,"")</f>
        <v>0</v>
      </c>
      <c r="JG107" s="33">
        <v>77</v>
      </c>
      <c r="JH107" s="34">
        <f>IF(AND(ISNUMBER(JI107),ISNUMBER(JG107)),JI107-JG107,"")</f>
        <v>0</v>
      </c>
      <c r="JI107" s="33">
        <v>61</v>
      </c>
      <c r="JJ107" s="34">
        <f>IF(AND(ISNUMBER(JK107),ISNUMBER(JI107)),JK107-JI107,"")</f>
        <v>0</v>
      </c>
      <c r="JK107" s="33">
        <v>113</v>
      </c>
      <c r="JL107" s="34">
        <f>IF(AND(ISNUMBER(JM107),ISNUMBER(JK107)),JM107-JK107,"")</f>
        <v>0</v>
      </c>
      <c r="JM107" s="33">
        <v>75</v>
      </c>
      <c r="JN107" s="34">
        <f>IF(AND(ISNUMBER(JO107),ISNUMBER(JM107)),JO107-JM107,"")</f>
        <v>0</v>
      </c>
      <c r="JO107" s="33">
        <v>102</v>
      </c>
      <c r="JP107" s="34">
        <f>IF(AND(ISNUMBER(JQ107),ISNUMBER(JO107)),JQ107-JO107,"")</f>
        <v>0</v>
      </c>
      <c r="JQ107" s="33">
        <v>97</v>
      </c>
      <c r="JR107" s="34">
        <f>IF(AND(ISNUMBER(JS107),ISNUMBER(JQ107)),JS107-JQ107,"")</f>
        <v>0</v>
      </c>
      <c r="JS107" s="33">
        <v>92</v>
      </c>
      <c r="JT107" s="34">
        <f>IF(AND(ISNUMBER(JU107),ISNUMBER(JS107)),JU107-JS107,"")</f>
        <v>0</v>
      </c>
      <c r="JU107" s="33">
        <v>68</v>
      </c>
      <c r="JV107" s="34">
        <f>IF(AND(ISNUMBER(JW107),ISNUMBER(JU107)),JW107-JU107,"")</f>
        <v>0</v>
      </c>
      <c r="JW107" s="33">
        <v>70</v>
      </c>
      <c r="JX107" s="34">
        <f>IF(AND(ISNUMBER(JY107),ISNUMBER(JW107)),JY107-JW107,"")</f>
        <v>0</v>
      </c>
      <c r="JY107" s="33">
        <v>49</v>
      </c>
      <c r="JZ107" s="34">
        <f>IF(AND(ISNUMBER(KA107),ISNUMBER(JY107)),KA107-JY107,"")</f>
        <v>0</v>
      </c>
      <c r="KA107" s="33"/>
      <c r="KB107" s="34">
        <f>IF(AND(ISNUMBER(KC107),ISNUMBER(KA107)),KC107-KA107,"")</f>
        <v>0</v>
      </c>
      <c r="KC107" s="33"/>
      <c r="KD107" s="34">
        <f>IF(AND(ISNUMBER(KE107),ISNUMBER(KC107)),KE107-KC107,"")</f>
        <v>0</v>
      </c>
      <c r="KE107" s="33"/>
      <c r="KF107" s="34">
        <f>IF(AND(ISNUMBER(KG107),ISNUMBER(KE107)),KG107-KE107,"")</f>
        <v>0</v>
      </c>
      <c r="KG107" s="33"/>
      <c r="KH107" s="34">
        <f>IF(AND(ISNUMBER(KI107),ISNUMBER(KG107)),KI107-KG107,"")</f>
        <v>0</v>
      </c>
      <c r="KI107" s="33"/>
      <c r="KJ107" s="34">
        <f>IF(AND(ISNUMBER(KK107),ISNUMBER(KI107)),KK107-KI107,"")</f>
        <v>0</v>
      </c>
      <c r="KK107" s="33"/>
      <c r="KL107" s="34">
        <f>IF(AND(ISNUMBER(KM107),ISNUMBER(KK107)),KM107-KK107,"")</f>
        <v>0</v>
      </c>
      <c r="KM107" s="33"/>
      <c r="KN107" s="34">
        <f>IF(AND(ISNUMBER(KO107),ISNUMBER(KM107)),KO107-KM107,"")</f>
        <v>0</v>
      </c>
      <c r="KO107" s="33"/>
      <c r="KP107" s="34">
        <f>IF(AND(ISNUMBER(KQ107),ISNUMBER(KO107)),KQ107-KO107,"")</f>
        <v>0</v>
      </c>
      <c r="KQ107" s="33"/>
      <c r="KR107" s="34">
        <f>IF(AND(ISNUMBER(KS107),ISNUMBER(KQ107)),KS107-KQ107,"")</f>
        <v>0</v>
      </c>
      <c r="KS107" s="33"/>
      <c r="KT107" s="34">
        <f>IF(AND(ISNUMBER(KU107),ISNUMBER(KS107)),KU107-KS107,"")</f>
        <v>0</v>
      </c>
      <c r="KU107" s="33"/>
      <c r="KV107" s="34">
        <f>IF(AND(ISNUMBER(KW107),ISNUMBER(KU107)),KW107-KU107,"")</f>
        <v>0</v>
      </c>
      <c r="KW107" s="33"/>
      <c r="KX107" s="34">
        <f>IF(AND(ISNUMBER(KY107),ISNUMBER(KW107)),KY107-KW107,"")</f>
        <v>0</v>
      </c>
      <c r="KY107" s="33"/>
      <c r="KZ107" s="34">
        <f>IF(AND(ISNUMBER(LA107),ISNUMBER(KY107)),LA107-KY107,"")</f>
        <v>0</v>
      </c>
      <c r="LA107" s="33"/>
      <c r="LB107" s="34">
        <f>IF(AND(ISNUMBER(LC107),ISNUMBER(LA107)),LC107-LA107,"")</f>
        <v>0</v>
      </c>
      <c r="LC107" s="33"/>
      <c r="LD107" s="34">
        <f>IF(AND(ISNUMBER(LE107),ISNUMBER(LC107)),LE107-LC107,"")</f>
        <v>0</v>
      </c>
      <c r="LE107" s="33"/>
      <c r="LF107" s="34">
        <f>IF(AND(ISNUMBER(LG107),ISNUMBER(LE107)),LG107-LE107,"")</f>
        <v>0</v>
      </c>
      <c r="LG107" s="33"/>
    </row>
    <row r="108" spans="1:322">
      <c r="A108" s="36" t="s">
        <v>106</v>
      </c>
      <c r="B108" s="23"/>
      <c r="C108" s="37" t="s">
        <v>783</v>
      </c>
      <c r="D108" s="37" t="s">
        <v>832</v>
      </c>
      <c r="E108" s="25"/>
      <c r="I108" s="33"/>
      <c r="J108" s="34">
        <f>IF(AND(ISNUMBER(K108),ISNUMBER(I108)),K108-I108,"")</f>
        <v>0</v>
      </c>
      <c r="K108" s="33"/>
      <c r="L108" s="34">
        <f>IF(AND(ISNUMBER(M108),ISNUMBER(K108)),M108-K108,"")</f>
        <v>0</v>
      </c>
      <c r="M108" s="33"/>
      <c r="N108" s="34">
        <f>IF(AND(ISNUMBER(O108),ISNUMBER(M108)),O108-M108,"")</f>
        <v>0</v>
      </c>
      <c r="O108" s="33"/>
      <c r="P108" s="34">
        <f>IF(AND(ISNUMBER(Q108),ISNUMBER(O108)),Q108-O108,"")</f>
        <v>0</v>
      </c>
      <c r="Q108" s="33"/>
      <c r="R108" s="34">
        <f>IF(AND(ISNUMBER(S108),ISNUMBER(Q108)),S108-Q108,"")</f>
        <v>0</v>
      </c>
      <c r="S108" s="33"/>
      <c r="T108" s="34">
        <f>IF(AND(ISNUMBER(U108),ISNUMBER(S108)),U108-S108,"")</f>
        <v>0</v>
      </c>
      <c r="U108" s="33"/>
      <c r="V108" s="34">
        <f>IF(AND(ISNUMBER(W108),ISNUMBER(U108)),W108-U108,"")</f>
        <v>0</v>
      </c>
      <c r="W108" s="33"/>
      <c r="X108" s="34">
        <f>IF(AND(ISNUMBER(Y108),ISNUMBER(W108)),Y108-W108,"")</f>
        <v>0</v>
      </c>
      <c r="Y108" s="33"/>
      <c r="Z108" s="34">
        <f>IF(AND(ISNUMBER(AA108),ISNUMBER(Y108)),AA108-Y108,"")</f>
        <v>0</v>
      </c>
      <c r="AA108" s="33"/>
      <c r="AB108" s="34">
        <f>IF(AND(ISNUMBER(AC108),ISNUMBER(AA108)),AC108-AA108,"")</f>
        <v>0</v>
      </c>
      <c r="AC108" s="33"/>
      <c r="AD108" s="34">
        <f>IF(AND(ISNUMBER(AE108),ISNUMBER(AC108)),AE108-AC108,"")</f>
        <v>0</v>
      </c>
      <c r="AE108" s="33"/>
      <c r="AF108" s="34">
        <f>IF(AND(ISNUMBER(AG108),ISNUMBER(AE108)),AG108-AE108,"")</f>
        <v>0</v>
      </c>
      <c r="AG108" s="33"/>
      <c r="AH108" s="34">
        <f>IF(AND(ISNUMBER(AI108),ISNUMBER(AG108)),AI108-AG108,"")</f>
        <v>0</v>
      </c>
      <c r="AI108" s="33"/>
      <c r="AJ108" s="34">
        <f>IF(AND(ISNUMBER(AK108),ISNUMBER(AI108)),AK108-AI108,"")</f>
        <v>0</v>
      </c>
      <c r="AK108" s="33"/>
      <c r="AL108" s="34">
        <f>IF(AND(ISNUMBER(AM108),ISNUMBER(AK108)),AM108-AK108,"")</f>
        <v>0</v>
      </c>
      <c r="AM108" s="33"/>
      <c r="AN108" s="34">
        <f>IF(AND(ISNUMBER(AO108),ISNUMBER(AM108)),AO108-AM108,"")</f>
        <v>0</v>
      </c>
      <c r="AO108" s="33"/>
      <c r="AP108" s="34">
        <f>IF(AND(ISNUMBER(AQ108),ISNUMBER(AO108)),AQ108-AO108,"")</f>
        <v>0</v>
      </c>
      <c r="AQ108" s="33"/>
      <c r="AR108" s="34">
        <f>IF(AND(ISNUMBER(AS108),ISNUMBER(AQ108)),AS108-AQ108,"")</f>
        <v>0</v>
      </c>
      <c r="AS108" s="33"/>
      <c r="AT108" s="34">
        <f>IF(AND(ISNUMBER(AU108),ISNUMBER(AS108)),AU108-AS108,"")</f>
        <v>0</v>
      </c>
      <c r="AU108" s="33"/>
      <c r="AV108" s="34">
        <f>IF(AND(ISNUMBER(AW108),ISNUMBER(AU108)),AW108-AU108,"")</f>
        <v>0</v>
      </c>
      <c r="AW108" s="33"/>
      <c r="AX108" s="34">
        <f>IF(AND(ISNUMBER(AY108),ISNUMBER(AW108)),AY108-AW108,"")</f>
        <v>0</v>
      </c>
      <c r="AY108" s="33"/>
      <c r="AZ108" s="34">
        <f>IF(AND(ISNUMBER(BA108),ISNUMBER(AY108)),BA108-AY108,"")</f>
        <v>0</v>
      </c>
      <c r="BA108" s="33"/>
      <c r="BB108" s="34">
        <f>IF(AND(ISNUMBER(BC108),ISNUMBER(BA108)),BC108-BA108,"")</f>
        <v>0</v>
      </c>
      <c r="BC108" s="33"/>
      <c r="BD108" s="34">
        <f>IF(AND(ISNUMBER(BE108),ISNUMBER(BC108)),BE108-BC108,"")</f>
        <v>0</v>
      </c>
      <c r="BE108" s="33"/>
      <c r="BF108" s="34">
        <f>IF(AND(ISNUMBER(BG108),ISNUMBER(BE108)),BG108-BE108,"")</f>
        <v>0</v>
      </c>
      <c r="BG108" s="33"/>
      <c r="BH108" s="34">
        <f>IF(AND(ISNUMBER(BI108),ISNUMBER(BG108)),BI108-BG108,"")</f>
        <v>0</v>
      </c>
      <c r="BI108" s="33"/>
      <c r="BJ108" s="34">
        <f>IF(AND(ISNUMBER(BK108),ISNUMBER(BI108)),BK108-BI108,"")</f>
        <v>0</v>
      </c>
      <c r="BK108" s="33"/>
      <c r="BL108" s="34">
        <f>IF(AND(ISNUMBER(BM108),ISNUMBER(BK108)),BM108-BK108,"")</f>
        <v>0</v>
      </c>
      <c r="BM108" s="33"/>
      <c r="BN108" s="34">
        <f>IF(AND(ISNUMBER(BO108),ISNUMBER(BM108)),BO108-BM108,"")</f>
        <v>0</v>
      </c>
      <c r="BO108" s="33"/>
      <c r="BP108" s="34">
        <f>IF(AND(ISNUMBER(BQ108),ISNUMBER(BO108)),BQ108-BO108,"")</f>
        <v>0</v>
      </c>
      <c r="BQ108" s="33"/>
      <c r="BR108" s="34">
        <f>IF(AND(ISNUMBER(BS108),ISNUMBER(BQ108)),BS108-BQ108,"")</f>
        <v>0</v>
      </c>
      <c r="BS108" s="33"/>
      <c r="BT108" s="34">
        <f>IF(AND(ISNUMBER(BU108),ISNUMBER(BS108)),BU108-BS108,"")</f>
        <v>0</v>
      </c>
      <c r="BU108" s="33"/>
      <c r="BV108" s="34">
        <f>IF(AND(ISNUMBER(BW108),ISNUMBER(BU108)),BW108-BU108,"")</f>
        <v>0</v>
      </c>
      <c r="BW108" s="33"/>
      <c r="BX108" s="34">
        <f>IF(AND(ISNUMBER(BY108),ISNUMBER(BW108)),BY108-BW108,"")</f>
        <v>0</v>
      </c>
      <c r="BY108" s="33"/>
      <c r="BZ108" s="34">
        <f>IF(AND(ISNUMBER(CA108),ISNUMBER(BY108)),CA108-BY108,"")</f>
        <v>0</v>
      </c>
      <c r="CA108" s="33"/>
      <c r="CB108" s="34">
        <f>IF(AND(ISNUMBER(CC108),ISNUMBER(CA108)),CC108-CA108,"")</f>
        <v>0</v>
      </c>
      <c r="CC108" s="33"/>
      <c r="CD108" s="34">
        <f>IF(AND(ISNUMBER(CE108),ISNUMBER(CC108)),CE108-CC108,"")</f>
        <v>0</v>
      </c>
      <c r="CE108" s="33"/>
      <c r="CF108" s="34">
        <f>IF(AND(ISNUMBER(CG108),ISNUMBER(CE108)),CG108-CE108,"")</f>
        <v>0</v>
      </c>
      <c r="CG108" s="33"/>
      <c r="CH108" s="34">
        <f>IF(AND(ISNUMBER(CI108),ISNUMBER(CG108)),CI108-CG108,"")</f>
        <v>0</v>
      </c>
      <c r="CI108" s="33"/>
      <c r="CJ108" s="34">
        <f>IF(AND(ISNUMBER(CK108),ISNUMBER(CI108)),CK108-CI108,"")</f>
        <v>0</v>
      </c>
      <c r="CK108" s="33"/>
      <c r="CL108" s="34">
        <f>IF(AND(ISNUMBER(CM108),ISNUMBER(CK108)),CM108-CK108,"")</f>
        <v>0</v>
      </c>
      <c r="CM108" s="33"/>
      <c r="CN108" s="34">
        <f>IF(AND(ISNUMBER(CO108),ISNUMBER(CM108)),CO108-CM108,"")</f>
        <v>0</v>
      </c>
      <c r="CO108" s="33"/>
      <c r="CP108" s="34">
        <f>IF(AND(ISNUMBER(CQ108),ISNUMBER(CO108)),CQ108-CO108,"")</f>
        <v>0</v>
      </c>
      <c r="CQ108" s="33"/>
      <c r="CR108" s="34">
        <f>IF(AND(ISNUMBER(CS108),ISNUMBER(CQ108)),CS108-CQ108,"")</f>
        <v>0</v>
      </c>
      <c r="CS108" s="33"/>
      <c r="CT108" s="34">
        <f>IF(AND(ISNUMBER(CU108),ISNUMBER(CS108)),CU108-CS108,"")</f>
        <v>0</v>
      </c>
      <c r="CU108" s="33"/>
      <c r="CV108" s="34">
        <f>IF(AND(ISNUMBER(CW108),ISNUMBER(CU108)),CW108-CU108,"")</f>
        <v>0</v>
      </c>
      <c r="CW108" s="33"/>
      <c r="CX108" s="34">
        <f>IF(AND(ISNUMBER(CY108),ISNUMBER(CW108)),CY108-CW108,"")</f>
        <v>0</v>
      </c>
      <c r="CY108" s="33"/>
      <c r="CZ108" s="34">
        <f>IF(AND(ISNUMBER(DA108),ISNUMBER(CY108)),DA108-CY108,"")</f>
        <v>0</v>
      </c>
      <c r="DA108" s="33"/>
      <c r="DB108" s="34">
        <f>IF(AND(ISNUMBER(DC108),ISNUMBER(DA108)),DC108-DA108,"")</f>
        <v>0</v>
      </c>
      <c r="DC108" s="33"/>
      <c r="DD108" s="34">
        <f>IF(AND(ISNUMBER(DE108),ISNUMBER(DC108)),DE108-DC108,"")</f>
        <v>0</v>
      </c>
      <c r="DE108" s="33"/>
      <c r="DF108" s="34">
        <f>IF(AND(ISNUMBER(DG108),ISNUMBER(DE108)),DG108-DE108,"")</f>
        <v>0</v>
      </c>
      <c r="DG108" s="33"/>
      <c r="DH108" s="34">
        <f>IF(AND(ISNUMBER(DI108),ISNUMBER(DG108)),DI108-DG108,"")</f>
        <v>0</v>
      </c>
      <c r="DI108" s="33"/>
      <c r="DJ108" s="34">
        <f>IF(AND(ISNUMBER(DK108),ISNUMBER(DI108)),DK108-DI108,"")</f>
        <v>0</v>
      </c>
      <c r="DK108" s="33"/>
      <c r="DL108" s="34">
        <f>IF(AND(ISNUMBER(DM108),ISNUMBER(DK108)),DM108-DK108,"")</f>
        <v>0</v>
      </c>
      <c r="DM108" s="33"/>
      <c r="DN108" s="34">
        <f>IF(AND(ISNUMBER(DO108),ISNUMBER(DM108)),DO108-DM108,"")</f>
        <v>0</v>
      </c>
      <c r="DO108" s="33"/>
      <c r="DP108" s="34">
        <f>IF(AND(ISNUMBER(DQ108),ISNUMBER(DO108)),DQ108-DO108,"")</f>
        <v>0</v>
      </c>
      <c r="DQ108" s="33"/>
      <c r="DR108" s="34">
        <f>IF(AND(ISNUMBER(DS108),ISNUMBER(DQ108)),DS108-DQ108,"")</f>
        <v>0</v>
      </c>
      <c r="DS108" s="33"/>
      <c r="DT108" s="34">
        <f>IF(AND(ISNUMBER(DU108),ISNUMBER(DS108)),DU108-DS108,"")</f>
        <v>0</v>
      </c>
      <c r="DU108" s="39">
        <f>IF(COUNT(DU106:DU107)=0,"",SUM(DU106:DU107))</f>
        <v>0</v>
      </c>
      <c r="DV108" s="34">
        <f>IF(AND(ISNUMBER(DW108),ISNUMBER(DU108)),DW108-DU108,"")</f>
        <v>0</v>
      </c>
      <c r="DW108" s="39">
        <f>IF(COUNT(DW106:DW107)=0,"",SUM(DW106:DW107))</f>
        <v>0</v>
      </c>
      <c r="DX108" s="34">
        <f>IF(AND(ISNUMBER(DY108),ISNUMBER(DW108)),DY108-DW108,"")</f>
        <v>0</v>
      </c>
      <c r="DY108" s="39">
        <f>IF(COUNT(DY106:DY107)=0,"",SUM(DY106:DY107))</f>
        <v>0</v>
      </c>
      <c r="DZ108" s="34">
        <f>IF(AND(ISNUMBER(EA108),ISNUMBER(DY108)),EA108-DY108,"")</f>
        <v>0</v>
      </c>
      <c r="EA108" s="39">
        <f>IF(COUNT(EA106:EA107)=0,"",SUM(EA106:EA107))</f>
        <v>0</v>
      </c>
      <c r="EB108" s="34">
        <f>IF(AND(ISNUMBER(EC108),ISNUMBER(EA108)),EC108-EA108,"")</f>
        <v>0</v>
      </c>
      <c r="EC108" s="39">
        <f>IF(COUNT(EC106:EC107)=0,"",SUM(EC106:EC107))</f>
        <v>0</v>
      </c>
      <c r="ED108" s="34">
        <f>IF(AND(ISNUMBER(EE108),ISNUMBER(EC108)),EE108-EC108,"")</f>
        <v>0</v>
      </c>
      <c r="EE108" s="39">
        <f>IF(COUNT(EE106:EE107)=0,"",SUM(EE106:EE107))</f>
        <v>0</v>
      </c>
      <c r="EF108" s="34">
        <f>IF(AND(ISNUMBER(EG108),ISNUMBER(EE108)),EG108-EE108,"")</f>
        <v>0</v>
      </c>
      <c r="EG108" s="39">
        <f>IF(COUNT(EG106:EG107)=0,"",SUM(EG106:EG107))</f>
        <v>0</v>
      </c>
      <c r="EH108" s="34">
        <f>IF(AND(ISNUMBER(EI108),ISNUMBER(EG108)),EI108-EG108,"")</f>
        <v>0</v>
      </c>
      <c r="EI108" s="39">
        <f>IF(COUNT(EI106:EI107)=0,"",SUM(EI106:EI107))</f>
        <v>0</v>
      </c>
      <c r="EJ108" s="34">
        <f>IF(AND(ISNUMBER(EK108),ISNUMBER(EI108)),EK108-EI108,"")</f>
        <v>0</v>
      </c>
      <c r="EK108" s="39">
        <f>IF(COUNT(EK106:EK107)=0,"",SUM(EK106:EK107))</f>
        <v>0</v>
      </c>
      <c r="EL108" s="34">
        <f>IF(AND(ISNUMBER(EM108),ISNUMBER(EK108)),EM108-EK108,"")</f>
        <v>0</v>
      </c>
      <c r="EM108" s="39">
        <f>IF(COUNT(EM106:EM107)=0,"",SUM(EM106:EM107))</f>
        <v>0</v>
      </c>
      <c r="EN108" s="34">
        <f>IF(AND(ISNUMBER(EO108),ISNUMBER(EM108)),EO108-EM108,"")</f>
        <v>0</v>
      </c>
      <c r="EO108" s="39">
        <f>IF(COUNT(EO106:EO107)=0,"",SUM(EO106:EO107))</f>
        <v>0</v>
      </c>
      <c r="EP108" s="34">
        <f>IF(AND(ISNUMBER(EQ108),ISNUMBER(EO108)),EQ108-EO108,"")</f>
        <v>0</v>
      </c>
      <c r="EQ108" s="39">
        <f>IF(COUNT(EQ106:EQ107)=0,"",SUM(EQ106:EQ107))</f>
        <v>0</v>
      </c>
      <c r="ER108" s="34">
        <f>IF(AND(ISNUMBER(ES108),ISNUMBER(EQ108)),ES108-EQ108,"")</f>
        <v>0</v>
      </c>
      <c r="ES108" s="39">
        <f>IF(COUNT(ES106:ES107)=0,"",SUM(ES106:ES107))</f>
        <v>0</v>
      </c>
      <c r="ET108" s="34">
        <f>IF(AND(ISNUMBER(EU108),ISNUMBER(ES108)),EU108-ES108,"")</f>
        <v>0</v>
      </c>
      <c r="EU108" s="39">
        <f>IF(COUNT(EU106:EU107)=0,"",SUM(EU106:EU107))</f>
        <v>0</v>
      </c>
      <c r="EV108" s="34">
        <f>IF(AND(ISNUMBER(EW108),ISNUMBER(EU108)),EW108-EU108,"")</f>
        <v>0</v>
      </c>
      <c r="EW108" s="39">
        <f>IF(COUNT(EW106:EW107)=0,"",SUM(EW106:EW107))</f>
        <v>0</v>
      </c>
      <c r="EX108" s="34">
        <f>IF(AND(ISNUMBER(EY108),ISNUMBER(EW108)),EY108-EW108,"")</f>
        <v>0</v>
      </c>
      <c r="EY108" s="39">
        <f>IF(COUNT(EY106:EY107)=0,"",SUM(EY106:EY107))</f>
        <v>0</v>
      </c>
      <c r="EZ108" s="34">
        <f>IF(AND(ISNUMBER(FA108),ISNUMBER(EY108)),FA108-EY108,"")</f>
        <v>0</v>
      </c>
      <c r="FA108" s="39">
        <f>IF(COUNT(FA106:FA107)=0,"",SUM(FA106:FA107))</f>
        <v>0</v>
      </c>
      <c r="FB108" s="34">
        <f>IF(AND(ISNUMBER(FC108),ISNUMBER(FA108)),FC108-FA108,"")</f>
        <v>0</v>
      </c>
      <c r="FC108" s="39">
        <f>IF(COUNT(FC106:FC107)=0,"",SUM(FC106:FC107))</f>
        <v>0</v>
      </c>
      <c r="FD108" s="34">
        <f>IF(AND(ISNUMBER(FE108),ISNUMBER(FC108)),FE108-FC108,"")</f>
        <v>0</v>
      </c>
      <c r="FE108" s="39">
        <f>IF(COUNT(FE106:FE107)=0,"",SUM(FE106:FE107))</f>
        <v>0</v>
      </c>
      <c r="FF108" s="34">
        <f>IF(AND(ISNUMBER(FG108),ISNUMBER(FE108)),FG108-FE108,"")</f>
        <v>0</v>
      </c>
      <c r="FG108" s="39">
        <f>IF(COUNT(FG106:FG107)=0,"",SUM(FG106:FG107))</f>
        <v>0</v>
      </c>
      <c r="FH108" s="34">
        <f>IF(AND(ISNUMBER(FI108),ISNUMBER(FG108)),FI108-FG108,"")</f>
        <v>0</v>
      </c>
      <c r="FI108" s="39">
        <f>IF(COUNT(FI106:FI107)=0,"",SUM(FI106:FI107))</f>
        <v>0</v>
      </c>
      <c r="FJ108" s="34">
        <f>IF(AND(ISNUMBER(FK108),ISNUMBER(FI108)),FK108-FI108,"")</f>
        <v>0</v>
      </c>
      <c r="FK108" s="39">
        <f>IF(COUNT(FK106:FK107)=0,"",SUM(FK106:FK107))</f>
        <v>0</v>
      </c>
      <c r="FL108" s="34">
        <f>IF(AND(ISNUMBER(FM108),ISNUMBER(FK108)),FM108-FK108,"")</f>
        <v>0</v>
      </c>
      <c r="FM108" s="39">
        <f>IF(COUNT(FM106:FM107)=0,"",SUM(FM106:FM107))</f>
        <v>0</v>
      </c>
      <c r="FN108" s="34">
        <f>IF(AND(ISNUMBER(FO108),ISNUMBER(FM108)),FO108-FM108,"")</f>
        <v>0</v>
      </c>
      <c r="FO108" s="39">
        <f>IF(COUNT(FO106,FO107)=0,"",FO106+FO107)</f>
        <v>0</v>
      </c>
      <c r="FP108" s="34">
        <f>IF(AND(ISNUMBER(FQ108),ISNUMBER(FO108)),FQ108-FO108,"")</f>
        <v>0</v>
      </c>
      <c r="FQ108" s="39">
        <f>IF(COUNT(FQ107,FQ106)=0,"",FQ107+FQ106)</f>
        <v>0</v>
      </c>
      <c r="FR108" s="34">
        <f>IF(AND(ISNUMBER(FS108),ISNUMBER(FQ108)),FS108-FQ108,"")</f>
        <v>0</v>
      </c>
      <c r="FS108" s="39">
        <f>IF(COUNT(FS106,FS107)=0,"",FS106+FS107)</f>
        <v>0</v>
      </c>
      <c r="FT108" s="34">
        <f>IF(AND(ISNUMBER(FU108),ISNUMBER(FS108)),FU108-FS108,"")</f>
        <v>0</v>
      </c>
      <c r="FU108" s="39">
        <f>IF(COUNT(FU106,FU107)=0,"",FU106+FU107)</f>
        <v>0</v>
      </c>
      <c r="FV108" s="34">
        <f>IF(AND(ISNUMBER(FW108),ISNUMBER(FU108)),FW108-FU108,"")</f>
        <v>0</v>
      </c>
      <c r="FW108" s="39">
        <f>IF(COUNT(FW106,FW107)=0,"",FW106+FW107)</f>
        <v>0</v>
      </c>
      <c r="FX108" s="34">
        <f>IF(AND(ISNUMBER(FY108),ISNUMBER(FW108)),FY108-FW108,"")</f>
        <v>0</v>
      </c>
      <c r="FY108" s="39">
        <f>IF(COUNT(FY106,FY107)=0,"",FY106+FY107)</f>
        <v>0</v>
      </c>
      <c r="FZ108" s="34">
        <f>IF(AND(ISNUMBER(GA108),ISNUMBER(FY108)),GA108-FY108,"")</f>
        <v>0</v>
      </c>
      <c r="GA108" s="39">
        <f>IF(COUNT(GA106,GA107)=0,"",GA106+GA107)</f>
        <v>0</v>
      </c>
      <c r="GB108" s="34">
        <f>IF(AND(ISNUMBER(GC108),ISNUMBER(GA108)),GC108-GA108,"")</f>
        <v>0</v>
      </c>
      <c r="GC108" s="39">
        <f>IF(COUNT(GC106,GC107)=0,"",GC106+GC107)</f>
        <v>0</v>
      </c>
      <c r="GD108" s="34">
        <f>IF(AND(ISNUMBER(GE108),ISNUMBER(GC108)),GE108-GC108,"")</f>
        <v>0</v>
      </c>
      <c r="GE108" s="39">
        <f>IF(COUNT(GE106,GE107)=0,"",GE106+GE107)</f>
        <v>0</v>
      </c>
      <c r="GF108" s="34">
        <f>IF(AND(ISNUMBER(GG108),ISNUMBER(GE108)),GG108-GE108,"")</f>
        <v>0</v>
      </c>
      <c r="GG108" s="39">
        <f>IF(COUNT(GG106,GG107)=0,"",GG106+GG107)</f>
        <v>0</v>
      </c>
      <c r="GH108" s="34">
        <f>IF(AND(ISNUMBER(GI108),ISNUMBER(GG108)),GI108-GG108,"")</f>
        <v>0</v>
      </c>
      <c r="GI108" s="39">
        <f>IF(COUNT(GI106,GI107)=0,"",GI106+GI107)</f>
        <v>0</v>
      </c>
      <c r="GJ108" s="34">
        <f>IF(AND(ISNUMBER(GK108),ISNUMBER(GI108)),GK108-GI108,"")</f>
        <v>0</v>
      </c>
      <c r="GK108" s="39">
        <f>IF(COUNT(GK106,GK107)=0,"",GK106+GK107)</f>
        <v>0</v>
      </c>
      <c r="GL108" s="34">
        <f>IF(AND(ISNUMBER(GM108),ISNUMBER(GK108)),GM108-GK108,"")</f>
        <v>0</v>
      </c>
      <c r="GM108" s="39">
        <f>IF(COUNT(GM106,GM107)=0,"",GM106+GM107)</f>
        <v>0</v>
      </c>
      <c r="GN108" s="34">
        <f>IF(AND(ISNUMBER(GO108),ISNUMBER(GM108)),GO108-GM108,"")</f>
        <v>0</v>
      </c>
      <c r="GO108" s="39">
        <f>IF(COUNT(GO106,GO107)=0,"",GO106+GO107)</f>
        <v>0</v>
      </c>
      <c r="GP108" s="34">
        <f>IF(AND(ISNUMBER(GQ108),ISNUMBER(GO108)),GQ108-GO108,"")</f>
        <v>0</v>
      </c>
      <c r="GQ108" s="39">
        <f>IF(COUNT(GQ106,GQ107)=0,"",GQ106+GQ107)</f>
        <v>0</v>
      </c>
      <c r="GR108" s="34">
        <f>IF(AND(ISNUMBER(GS108),ISNUMBER(GQ108)),GS108-GQ108,"")</f>
        <v>0</v>
      </c>
      <c r="GS108" s="39">
        <f>IF(COUNT(GS106,GS107)=0,"",GS106+GS107)</f>
        <v>0</v>
      </c>
      <c r="GT108" s="34">
        <f>IF(AND(ISNUMBER(GU108),ISNUMBER(GS108)),GU108-GS108,"")</f>
        <v>0</v>
      </c>
      <c r="GU108" s="39">
        <f>IF(COUNT(GU106,GU107)=0,"",GU106+GU107)</f>
        <v>0</v>
      </c>
      <c r="GV108" s="34">
        <f>IF(AND(ISNUMBER(GW108),ISNUMBER(GU108)),GW108-GU108,"")</f>
        <v>0</v>
      </c>
      <c r="GW108" s="39">
        <f>IF(COUNT(GW106,GW107)=0,"",GW106+GW107)</f>
        <v>0</v>
      </c>
      <c r="GX108" s="34">
        <f>IF(AND(ISNUMBER(GY108),ISNUMBER(GW108)),GY108-GW108,"")</f>
        <v>0</v>
      </c>
      <c r="GY108" s="39">
        <f>IF(COUNT(GY106,GY107)=0,"",GY106+GY107)</f>
        <v>0</v>
      </c>
      <c r="GZ108" s="34">
        <f>IF(AND(ISNUMBER(HA108),ISNUMBER(GY108)),HA108-GY108,"")</f>
        <v>0</v>
      </c>
      <c r="HA108" s="39">
        <f>IF(COUNT(HA106,HA107)=0,"",HA106+HA107)</f>
        <v>0</v>
      </c>
      <c r="HB108" s="34">
        <f>IF(AND(ISNUMBER(HC108),ISNUMBER(HA108)),HC108-HA108,"")</f>
        <v>0</v>
      </c>
      <c r="HC108" s="39">
        <f>IF(COUNT(HC106,HC107)=0,"",HC106+HC107)</f>
        <v>0</v>
      </c>
      <c r="HD108" s="34">
        <f>IF(AND(ISNUMBER(HE108),ISNUMBER(HC108)),HE108-HC108,"")</f>
        <v>0</v>
      </c>
      <c r="HE108" s="39">
        <f>IF(COUNT(HE106,HE107)=0,"",HE106+HE107)</f>
        <v>0</v>
      </c>
      <c r="HF108" s="34">
        <f>IF(AND(ISNUMBER(HG108),ISNUMBER(HE108)),HG108-HE108,"")</f>
        <v>0</v>
      </c>
      <c r="HG108" s="39">
        <f>IF(COUNT(HG106,HG107)=0,"",HG106+HG107)</f>
        <v>0</v>
      </c>
      <c r="HH108" s="34">
        <f>IF(AND(ISNUMBER(HI108),ISNUMBER(HG108)),HI108-HG108,"")</f>
        <v>0</v>
      </c>
      <c r="HI108" s="39">
        <f>IF(COUNT(HI106,HI107)=0,"",HI106+HI107)</f>
        <v>0</v>
      </c>
      <c r="HJ108" s="34">
        <f>IF(AND(ISNUMBER(HK108),ISNUMBER(HI108)),HK108-HI108,"")</f>
        <v>0</v>
      </c>
      <c r="HK108" s="39">
        <f>IF(COUNT(HK106,HK107)=0,"",HK106+HK107)</f>
        <v>0</v>
      </c>
      <c r="HL108" s="34">
        <f>IF(AND(ISNUMBER(HM108),ISNUMBER(HK108)),HM108-HK108,"")</f>
        <v>0</v>
      </c>
      <c r="HM108" s="39">
        <f>IF(COUNT(HM106,HM107)=0,"",HM106+HM107)</f>
        <v>0</v>
      </c>
      <c r="HN108" s="34">
        <f>IF(AND(ISNUMBER(HO108),ISNUMBER(HM108)),HO108-HM108,"")</f>
        <v>0</v>
      </c>
      <c r="HO108" s="39">
        <f>IF(COUNT(HO106,HO107)=0,"",HO106+HO107)</f>
        <v>0</v>
      </c>
      <c r="HP108" s="34">
        <f>IF(AND(ISNUMBER(HQ108),ISNUMBER(HO108)),HQ108-HO108,"")</f>
        <v>0</v>
      </c>
      <c r="HQ108" s="39">
        <f>IF(COUNT(HQ106,HQ107)=0,"",HQ106+HQ107)</f>
        <v>0</v>
      </c>
      <c r="HR108" s="34">
        <f>IF(AND(ISNUMBER(HS108),ISNUMBER(HQ108)),HS108-HQ108,"")</f>
        <v>0</v>
      </c>
      <c r="HS108" s="39">
        <f>IF(COUNT(HS106,HS107)=0,"",HS106+HS107)</f>
        <v>0</v>
      </c>
      <c r="HT108" s="34">
        <f>IF(AND(ISNUMBER(HU108),ISNUMBER(HS108)),HU108-HS108,"")</f>
        <v>0</v>
      </c>
      <c r="HU108" s="39">
        <f>IF(COUNT(HU106,HU107)=0,"",HU106+HU107)</f>
        <v>0</v>
      </c>
      <c r="HV108" s="34">
        <f>IF(AND(ISNUMBER(HW108),ISNUMBER(HU108)),HW108-HU108,"")</f>
        <v>0</v>
      </c>
      <c r="HW108" s="39">
        <f>IF(COUNT(HW106,HW107)=0,"",HW106+HW107)</f>
        <v>0</v>
      </c>
      <c r="HX108" s="34">
        <f>IF(AND(ISNUMBER(HY108),ISNUMBER(HW108)),HY108-HW108,"")</f>
        <v>0</v>
      </c>
      <c r="HY108" s="39">
        <f>IF(COUNT(HY106,HY107)=0,"",HY106+HY107)</f>
        <v>0</v>
      </c>
      <c r="HZ108" s="34">
        <f>IF(AND(ISNUMBER(IA108),ISNUMBER(HY108)),IA108-HY108,"")</f>
        <v>0</v>
      </c>
      <c r="IA108" s="39">
        <f>IF(COUNT(IA106,IA107)=0,"",IA106+IA107)</f>
        <v>0</v>
      </c>
      <c r="IB108" s="34">
        <f>IF(AND(ISNUMBER(IC108),ISNUMBER(IA108)),IC108-IA108,"")</f>
        <v>0</v>
      </c>
      <c r="IC108" s="39">
        <f>IF(COUNT(IC106,IC107)=0,"",IC106+IC107)</f>
        <v>0</v>
      </c>
      <c r="ID108" s="34">
        <f>IF(AND(ISNUMBER(IE108),ISNUMBER(IC108)),IE108-IC108,"")</f>
        <v>0</v>
      </c>
      <c r="IE108" s="39">
        <f>IF(COUNT(IE106,IE107)=0,"",IE106+IE107)</f>
        <v>0</v>
      </c>
      <c r="IF108" s="34">
        <f>IF(AND(ISNUMBER(IG108),ISNUMBER(IE108)),IG108-IE108,"")</f>
        <v>0</v>
      </c>
      <c r="IG108" s="39">
        <f>IF(COUNT(IG106,IG107)=0,"",IG106+IG107)</f>
        <v>0</v>
      </c>
      <c r="IH108" s="34">
        <f>IF(AND(ISNUMBER(II108),ISNUMBER(IG108)),II108-IG108,"")</f>
        <v>0</v>
      </c>
      <c r="II108" s="39">
        <f>IF(COUNT(II106,II107)=0,"",II106+II107)</f>
        <v>0</v>
      </c>
      <c r="IJ108" s="34">
        <f>IF(AND(ISNUMBER(IK108),ISNUMBER(II108)),IK108-II108,"")</f>
        <v>0</v>
      </c>
      <c r="IK108" s="39">
        <f>IF(COUNT(IK106,IK107)=0,"",IK106+IK107)</f>
        <v>0</v>
      </c>
      <c r="IL108" s="34">
        <f>IF(AND(ISNUMBER(IM108),ISNUMBER(IK108)),IM108-IK108,"")</f>
        <v>0</v>
      </c>
      <c r="IM108" s="39">
        <f>IF(COUNT(IM106,IM107)=0,"",IM106+IM107)</f>
        <v>0</v>
      </c>
      <c r="IN108" s="34">
        <f>IF(AND(ISNUMBER(IO108),ISNUMBER(IM108)),IO108-IM108,"")</f>
        <v>0</v>
      </c>
      <c r="IO108" s="39">
        <f>IF(COUNT(IO106,IO107)=0,"",IO106+IO107)</f>
        <v>0</v>
      </c>
      <c r="IP108" s="34">
        <f>IF(AND(ISNUMBER(IQ108),ISNUMBER(IO108)),IQ108-IO108,"")</f>
        <v>0</v>
      </c>
      <c r="IQ108" s="39">
        <f>IF(COUNT(IQ106,IQ107)=0,"",IQ106+IQ107)</f>
        <v>0</v>
      </c>
      <c r="IR108" s="34">
        <f>IF(AND(ISNUMBER(IS108),ISNUMBER(IQ108)),IS108-IQ108,"")</f>
        <v>0</v>
      </c>
      <c r="IS108" s="39">
        <f>IF(COUNT(IS106,IS107)=0,"",IS106+IS107)</f>
        <v>0</v>
      </c>
      <c r="IT108" s="34">
        <f>IF(AND(ISNUMBER(IU108),ISNUMBER(IS108)),IU108-IS108,"")</f>
        <v>0</v>
      </c>
      <c r="IU108" s="33">
        <v>54</v>
      </c>
      <c r="IV108" s="34">
        <f>IF(AND(ISNUMBER(IW108),ISNUMBER(IU108)),IW108-IU108,"")</f>
        <v>0</v>
      </c>
      <c r="IW108" s="39">
        <f>IF(COUNT(IW106,IW107)=0,"",IW106+IW107)</f>
        <v>0</v>
      </c>
      <c r="IX108" s="34">
        <f>IF(AND(ISNUMBER(IY108),ISNUMBER(IW108)),IY108-IW108,"")</f>
        <v>0</v>
      </c>
      <c r="IY108" s="39">
        <f>IF(COUNT(IY106,IY107)=0,"",IY106+IY107)</f>
        <v>0</v>
      </c>
      <c r="IZ108" s="34">
        <f>IF(AND(ISNUMBER(JA108),ISNUMBER(IY108)),JA108-IY108,"")</f>
        <v>0</v>
      </c>
      <c r="JA108" s="39">
        <f>IF(COUNT(JA106,JA107)=0,"",JA106+JA107)</f>
        <v>0</v>
      </c>
      <c r="JB108" s="34">
        <f>IF(AND(ISNUMBER(JC108),ISNUMBER(JA108)),JC108-JA108,"")</f>
        <v>0</v>
      </c>
      <c r="JC108" s="39">
        <f>IF(COUNT(JC106,JC107)=0,"",JC106+JC107)</f>
        <v>0</v>
      </c>
      <c r="JD108" s="34">
        <f>IF(AND(ISNUMBER(JE108),ISNUMBER(JC108)),JE108-JC108,"")</f>
        <v>0</v>
      </c>
      <c r="JE108" s="39">
        <f>IF(COUNT(JE106,JE107)=0,"",JE106+JE107)</f>
        <v>0</v>
      </c>
      <c r="JF108" s="34">
        <f>IF(AND(ISNUMBER(JG108),ISNUMBER(JE108)),JG108-JE108,"")</f>
        <v>0</v>
      </c>
      <c r="JG108" s="39">
        <f>IF(COUNT(JG106,JG107)=0,"",JG106+JG107)</f>
        <v>0</v>
      </c>
      <c r="JH108" s="34">
        <f>IF(AND(ISNUMBER(JI108),ISNUMBER(JG108)),JI108-JG108,"")</f>
        <v>0</v>
      </c>
      <c r="JI108" s="39">
        <f>IF(COUNT(JI106,JI107)=0,"",JI106+JI107)</f>
        <v>0</v>
      </c>
      <c r="JJ108" s="34">
        <f>IF(AND(ISNUMBER(JK108),ISNUMBER(JI108)),JK108-JI108,"")</f>
        <v>0</v>
      </c>
      <c r="JK108" s="39">
        <f>IF(COUNT(JK106,JK107)=0,"",JK106+JK107)</f>
        <v>0</v>
      </c>
      <c r="JL108" s="34">
        <f>IF(AND(ISNUMBER(JM108),ISNUMBER(JK108)),JM108-JK108,"")</f>
        <v>0</v>
      </c>
      <c r="JM108" s="39">
        <f>IF(COUNT(JM106,JM107)=0,"",JM106+JM107)</f>
        <v>0</v>
      </c>
      <c r="JN108" s="34">
        <f>IF(AND(ISNUMBER(JO108),ISNUMBER(JM108)),JO108-JM108,"")</f>
        <v>0</v>
      </c>
      <c r="JO108" s="39">
        <f>IF(COUNT(JO106,JO107)=0,"",JO106+JO107)</f>
        <v>0</v>
      </c>
      <c r="JP108" s="34">
        <f>IF(AND(ISNUMBER(JQ108),ISNUMBER(JO108)),JQ108-JO108,"")</f>
        <v>0</v>
      </c>
      <c r="JQ108" s="39">
        <f>IF(COUNT(JQ106,JQ107)=0,"",JQ106+JQ107)</f>
        <v>0</v>
      </c>
      <c r="JR108" s="34">
        <f>IF(AND(ISNUMBER(JS108),ISNUMBER(JQ108)),JS108-JQ108,"")</f>
        <v>0</v>
      </c>
      <c r="JS108" s="39">
        <f>IF(COUNT(JS106,JS107)=0,"",JS106+JS107)</f>
        <v>0</v>
      </c>
      <c r="JT108" s="34">
        <f>IF(AND(ISNUMBER(JU108),ISNUMBER(JS108)),JU108-JS108,"")</f>
        <v>0</v>
      </c>
      <c r="JU108" s="39">
        <f>IF(COUNT(JU106,JU107)=0,"",JU106+JU107)</f>
        <v>0</v>
      </c>
      <c r="JV108" s="34">
        <f>IF(AND(ISNUMBER(JW108),ISNUMBER(JU108)),JW108-JU108,"")</f>
        <v>0</v>
      </c>
      <c r="JW108" s="33">
        <v>70</v>
      </c>
      <c r="JX108" s="34">
        <f>IF(AND(ISNUMBER(JY108),ISNUMBER(JW108)),JY108-JW108,"")</f>
        <v>0</v>
      </c>
      <c r="JY108" s="39">
        <f>IF(COUNT(JY106,JY107)=0,"",N(JY106)+N(JY107))</f>
        <v>0</v>
      </c>
      <c r="JZ108" s="34">
        <f>IF(AND(ISNUMBER(KA108),ISNUMBER(JY108)),KA108-JY108,"")</f>
        <v>0</v>
      </c>
      <c r="KA108" s="39">
        <f>IF(COUNT(KA106,KA107)=0,"",N(KA106)+N(KA107))</f>
        <v>0</v>
      </c>
      <c r="KB108" s="34">
        <f>IF(AND(ISNUMBER(KC108),ISNUMBER(KA108)),KC108-KA108,"")</f>
        <v>0</v>
      </c>
      <c r="KC108" s="39">
        <f>IF(COUNT(KC106,KC107)=0,"",N(KC106)+N(KC107))</f>
        <v>0</v>
      </c>
      <c r="KD108" s="34">
        <f>IF(AND(ISNUMBER(KE108),ISNUMBER(KC108)),KE108-KC108,"")</f>
        <v>0</v>
      </c>
      <c r="KE108" s="39">
        <f>IF(COUNT(KE106,KE107)=0,"",N(KE106)+N(KE107))</f>
        <v>0</v>
      </c>
      <c r="KF108" s="34">
        <f>IF(AND(ISNUMBER(KG108),ISNUMBER(KE108)),KG108-KE108,"")</f>
        <v>0</v>
      </c>
      <c r="KG108" s="39">
        <f>IF(COUNT(KG106,KG107)=0,"",N(KG106)+N(KG107))</f>
        <v>0</v>
      </c>
      <c r="KH108" s="34">
        <f>IF(AND(ISNUMBER(KI108),ISNUMBER(KG108)),KI108-KG108,"")</f>
        <v>0</v>
      </c>
      <c r="KI108" s="39">
        <f>IF(COUNT(KI106,KI107)=0,"",N(KI106)+N(KI107))</f>
        <v>0</v>
      </c>
      <c r="KJ108" s="34">
        <f>IF(AND(ISNUMBER(KK108),ISNUMBER(KI108)),KK108-KI108,"")</f>
        <v>0</v>
      </c>
      <c r="KK108" s="39">
        <f>IF(COUNT(KK106,KK107)=0,"",N(KK106)+N(KK107))</f>
        <v>0</v>
      </c>
      <c r="KL108" s="34">
        <f>IF(AND(ISNUMBER(KM108),ISNUMBER(KK108)),KM108-KK108,"")</f>
        <v>0</v>
      </c>
      <c r="KM108" s="39">
        <f>IF(COUNT(KM106,KM107)=0,"",N(KM106)+N(KM107))</f>
        <v>0</v>
      </c>
      <c r="KN108" s="34">
        <f>IF(AND(ISNUMBER(KO108),ISNUMBER(KM108)),KO108-KM108,"")</f>
        <v>0</v>
      </c>
      <c r="KO108" s="39">
        <f>IF(COUNT(KO106,KO107)=0,"",N(KO106)+N(KO107))</f>
        <v>0</v>
      </c>
      <c r="KP108" s="34">
        <f>IF(AND(ISNUMBER(KQ108),ISNUMBER(KO108)),KQ108-KO108,"")</f>
        <v>0</v>
      </c>
      <c r="KQ108" s="39">
        <f>IF(COUNT(KQ106,KQ107)=0,"",N(KQ106)+N(KQ107))</f>
        <v>0</v>
      </c>
      <c r="KR108" s="34">
        <f>IF(AND(ISNUMBER(KS108),ISNUMBER(KQ108)),KS108-KQ108,"")</f>
        <v>0</v>
      </c>
      <c r="KS108" s="39">
        <f>IF(COUNT(KS106,KS107)=0,"",N(KS106)+N(KS107))</f>
        <v>0</v>
      </c>
      <c r="KT108" s="34">
        <f>IF(AND(ISNUMBER(KU108),ISNUMBER(KS108)),KU108-KS108,"")</f>
        <v>0</v>
      </c>
      <c r="KU108" s="39">
        <f>IF(COUNT(KU106,KU107)=0,"",N(KU106)+N(KU107))</f>
        <v>0</v>
      </c>
      <c r="KV108" s="34">
        <f>IF(AND(ISNUMBER(KW108),ISNUMBER(KU108)),KW108-KU108,"")</f>
        <v>0</v>
      </c>
      <c r="KW108" s="39">
        <f>IF(COUNT(KW106,KW107)=0,"",N(KW106)+N(KW107))</f>
        <v>0</v>
      </c>
      <c r="KX108" s="34">
        <f>IF(AND(ISNUMBER(KY108),ISNUMBER(KW108)),KY108-KW108,"")</f>
        <v>0</v>
      </c>
      <c r="KY108" s="39">
        <f>IF(COUNT(KY106,KY107)=0,"",N(KY106)+N(KY107))</f>
        <v>0</v>
      </c>
      <c r="KZ108" s="34">
        <f>IF(AND(ISNUMBER(LA108),ISNUMBER(KY108)),LA108-KY108,"")</f>
        <v>0</v>
      </c>
      <c r="LA108" s="39">
        <f>IF(COUNT(LA106,LA107)=0,"",N(LA106)+N(LA107))</f>
        <v>0</v>
      </c>
      <c r="LB108" s="34">
        <f>IF(AND(ISNUMBER(LC108),ISNUMBER(LA108)),LC108-LA108,"")</f>
        <v>0</v>
      </c>
      <c r="LC108" s="39">
        <f>IF(COUNT(LC106,LC107)=0,"",N(LC106)+N(LC107))</f>
        <v>0</v>
      </c>
      <c r="LD108" s="34">
        <f>IF(AND(ISNUMBER(LE108),ISNUMBER(LC108)),LE108-LC108,"")</f>
        <v>0</v>
      </c>
      <c r="LE108" s="39">
        <f>IF(COUNT(LE106,LE107)=0,"",N(LE106)+N(LE107))</f>
        <v>0</v>
      </c>
      <c r="LF108" s="34">
        <f>IF(AND(ISNUMBER(LG108),ISNUMBER(LE108)),LG108-LE108,"")</f>
        <v>0</v>
      </c>
      <c r="LG108" s="39">
        <f>IF(COUNT(LG106,LG107)=0,"",N(LG106)+N(LG107))</f>
        <v>0</v>
      </c>
    </row>
    <row r="109" spans="1:322">
      <c r="B109" s="23"/>
      <c r="C109" s="37" t="s">
        <v>786</v>
      </c>
      <c r="D109" s="37" t="s">
        <v>859</v>
      </c>
      <c r="E109" s="25"/>
      <c r="H109" s="38" t="s">
        <v>1105</v>
      </c>
      <c r="I109" s="33"/>
      <c r="J109" s="34">
        <f>IF(AND(ISNUMBER(K109),ISNUMBER(I109)),K109-I109,"")</f>
        <v>0</v>
      </c>
      <c r="K109" s="33"/>
      <c r="L109" s="34">
        <f>IF(AND(ISNUMBER(M109),ISNUMBER(K109)),M109-K109,"")</f>
        <v>0</v>
      </c>
      <c r="M109" s="33"/>
      <c r="N109" s="34">
        <f>IF(AND(ISNUMBER(O109),ISNUMBER(M109)),O109-M109,"")</f>
        <v>0</v>
      </c>
      <c r="O109" s="33"/>
      <c r="P109" s="34">
        <f>IF(AND(ISNUMBER(Q109),ISNUMBER(O109)),Q109-O109,"")</f>
        <v>0</v>
      </c>
      <c r="Q109" s="33"/>
      <c r="R109" s="34">
        <f>IF(AND(ISNUMBER(S109),ISNUMBER(Q109)),S109-Q109,"")</f>
        <v>0</v>
      </c>
      <c r="S109" s="33"/>
      <c r="T109" s="34">
        <f>IF(AND(ISNUMBER(U109),ISNUMBER(S109)),U109-S109,"")</f>
        <v>0</v>
      </c>
      <c r="U109" s="33"/>
      <c r="V109" s="34">
        <f>IF(AND(ISNUMBER(W109),ISNUMBER(U109)),W109-U109,"")</f>
        <v>0</v>
      </c>
      <c r="W109" s="33"/>
      <c r="X109" s="34">
        <f>IF(AND(ISNUMBER(Y109),ISNUMBER(W109)),Y109-W109,"")</f>
        <v>0</v>
      </c>
      <c r="Y109" s="33"/>
      <c r="Z109" s="34">
        <f>IF(AND(ISNUMBER(AA109),ISNUMBER(Y109)),AA109-Y109,"")</f>
        <v>0</v>
      </c>
      <c r="AA109" s="33"/>
      <c r="AB109" s="34">
        <f>IF(AND(ISNUMBER(AC109),ISNUMBER(AA109)),AC109-AA109,"")</f>
        <v>0</v>
      </c>
      <c r="AC109" s="33"/>
      <c r="AD109" s="34">
        <f>IF(AND(ISNUMBER(AE109),ISNUMBER(AC109)),AE109-AC109,"")</f>
        <v>0</v>
      </c>
      <c r="AE109" s="33"/>
      <c r="AF109" s="34">
        <f>IF(AND(ISNUMBER(AG109),ISNUMBER(AE109)),AG109-AE109,"")</f>
        <v>0</v>
      </c>
      <c r="AG109" s="33"/>
      <c r="AH109" s="34">
        <f>IF(AND(ISNUMBER(AI109),ISNUMBER(AG109)),AI109-AG109,"")</f>
        <v>0</v>
      </c>
      <c r="AI109" s="33"/>
      <c r="AJ109" s="34">
        <f>IF(AND(ISNUMBER(AK109),ISNUMBER(AI109)),AK109-AI109,"")</f>
        <v>0</v>
      </c>
      <c r="AK109" s="33"/>
      <c r="AL109" s="34">
        <f>IF(AND(ISNUMBER(AM109),ISNUMBER(AK109)),AM109-AK109,"")</f>
        <v>0</v>
      </c>
      <c r="AM109" s="33"/>
      <c r="AN109" s="34">
        <f>IF(AND(ISNUMBER(AO109),ISNUMBER(AM109)),AO109-AM109,"")</f>
        <v>0</v>
      </c>
      <c r="AO109" s="33"/>
      <c r="AP109" s="34">
        <f>IF(AND(ISNUMBER(AQ109),ISNUMBER(AO109)),AQ109-AO109,"")</f>
        <v>0</v>
      </c>
      <c r="AQ109" s="33"/>
      <c r="AR109" s="34">
        <f>IF(AND(ISNUMBER(AS109),ISNUMBER(AQ109)),AS109-AQ109,"")</f>
        <v>0</v>
      </c>
      <c r="AS109" s="33"/>
      <c r="AT109" s="34">
        <f>IF(AND(ISNUMBER(AU109),ISNUMBER(AS109)),AU109-AS109,"")</f>
        <v>0</v>
      </c>
      <c r="AU109" s="33"/>
      <c r="AV109" s="34">
        <f>IF(AND(ISNUMBER(AW109),ISNUMBER(AU109)),AW109-AU109,"")</f>
        <v>0</v>
      </c>
      <c r="AW109" s="33"/>
      <c r="AX109" s="34">
        <f>IF(AND(ISNUMBER(AY109),ISNUMBER(AW109)),AY109-AW109,"")</f>
        <v>0</v>
      </c>
      <c r="AY109" s="33"/>
      <c r="AZ109" s="34">
        <f>IF(AND(ISNUMBER(BA109),ISNUMBER(AY109)),BA109-AY109,"")</f>
        <v>0</v>
      </c>
      <c r="BA109" s="33"/>
      <c r="BB109" s="34">
        <f>IF(AND(ISNUMBER(BC109),ISNUMBER(BA109)),BC109-BA109,"")</f>
        <v>0</v>
      </c>
      <c r="BC109" s="33"/>
      <c r="BD109" s="34">
        <f>IF(AND(ISNUMBER(BE109),ISNUMBER(BC109)),BE109-BC109,"")</f>
        <v>0</v>
      </c>
      <c r="BE109" s="33"/>
      <c r="BF109" s="34">
        <f>IF(AND(ISNUMBER(BG109),ISNUMBER(BE109)),BG109-BE109,"")</f>
        <v>0</v>
      </c>
      <c r="BG109" s="33"/>
      <c r="BH109" s="34">
        <f>IF(AND(ISNUMBER(BI109),ISNUMBER(BG109)),BI109-BG109,"")</f>
        <v>0</v>
      </c>
      <c r="BI109" s="33"/>
      <c r="BJ109" s="34">
        <f>IF(AND(ISNUMBER(BK109),ISNUMBER(BI109)),BK109-BI109,"")</f>
        <v>0</v>
      </c>
      <c r="BK109" s="33"/>
      <c r="BL109" s="34">
        <f>IF(AND(ISNUMBER(BM109),ISNUMBER(BK109)),BM109-BK109,"")</f>
        <v>0</v>
      </c>
      <c r="BM109" s="33"/>
      <c r="BN109" s="34">
        <f>IF(AND(ISNUMBER(BO109),ISNUMBER(BM109)),BO109-BM109,"")</f>
        <v>0</v>
      </c>
      <c r="BO109" s="33"/>
      <c r="BP109" s="34">
        <f>IF(AND(ISNUMBER(BQ109),ISNUMBER(BO109)),BQ109-BO109,"")</f>
        <v>0</v>
      </c>
      <c r="BQ109" s="33"/>
      <c r="BR109" s="34">
        <f>IF(AND(ISNUMBER(BS109),ISNUMBER(BQ109)),BS109-BQ109,"")</f>
        <v>0</v>
      </c>
      <c r="BS109" s="33"/>
      <c r="BT109" s="34">
        <f>IF(AND(ISNUMBER(BU109),ISNUMBER(BS109)),BU109-BS109,"")</f>
        <v>0</v>
      </c>
      <c r="BU109" s="33"/>
      <c r="BV109" s="34">
        <f>IF(AND(ISNUMBER(BW109),ISNUMBER(BU109)),BW109-BU109,"")</f>
        <v>0</v>
      </c>
      <c r="BW109" s="33"/>
      <c r="BX109" s="34">
        <f>IF(AND(ISNUMBER(BY109),ISNUMBER(BW109)),BY109-BW109,"")</f>
        <v>0</v>
      </c>
      <c r="BY109" s="33"/>
      <c r="BZ109" s="34">
        <f>IF(AND(ISNUMBER(CA109),ISNUMBER(BY109)),CA109-BY109,"")</f>
        <v>0</v>
      </c>
      <c r="CA109" s="33"/>
      <c r="CB109" s="34">
        <f>IF(AND(ISNUMBER(CC109),ISNUMBER(CA109)),CC109-CA109,"")</f>
        <v>0</v>
      </c>
      <c r="CC109" s="33"/>
      <c r="CD109" s="34">
        <f>IF(AND(ISNUMBER(CE109),ISNUMBER(CC109)),CE109-CC109,"")</f>
        <v>0</v>
      </c>
      <c r="CE109" s="33"/>
      <c r="CF109" s="34">
        <f>IF(AND(ISNUMBER(CG109),ISNUMBER(CE109)),CG109-CE109,"")</f>
        <v>0</v>
      </c>
      <c r="CG109" s="33"/>
      <c r="CH109" s="34">
        <f>IF(AND(ISNUMBER(CI109),ISNUMBER(CG109)),CI109-CG109,"")</f>
        <v>0</v>
      </c>
      <c r="CI109" s="39">
        <f>CG103+CI106-CI103</f>
        <v>0</v>
      </c>
      <c r="CJ109" s="34">
        <f>IF(AND(ISNUMBER(CK109),ISNUMBER(CI109)),CK109-CI109,"")</f>
        <v>0</v>
      </c>
      <c r="CK109" s="39">
        <f>CI103+CK106-CK103</f>
        <v>0</v>
      </c>
      <c r="CL109" s="34">
        <f>IF(AND(ISNUMBER(CM109),ISNUMBER(CK109)),CM109-CK109,"")</f>
        <v>0</v>
      </c>
      <c r="CM109" s="39">
        <f>CK103+CM106-CM103</f>
        <v>0</v>
      </c>
      <c r="CN109" s="34">
        <f>IF(AND(ISNUMBER(CO109),ISNUMBER(CM109)),CO109-CM109,"")</f>
        <v>0</v>
      </c>
      <c r="CO109" s="39">
        <f>CM103+CO106-CO103</f>
        <v>0</v>
      </c>
      <c r="CP109" s="34">
        <f>IF(AND(ISNUMBER(CQ109),ISNUMBER(CO109)),CQ109-CO109,"")</f>
        <v>0</v>
      </c>
      <c r="CQ109" s="39">
        <f>CO103+CQ106-CQ103</f>
        <v>0</v>
      </c>
      <c r="CR109" s="34">
        <f>IF(AND(ISNUMBER(CS109),ISNUMBER(CQ109)),CS109-CQ109,"")</f>
        <v>0</v>
      </c>
      <c r="CS109" s="39">
        <f>CQ103+CS106-CS103</f>
        <v>0</v>
      </c>
      <c r="CT109" s="34">
        <f>IF(AND(ISNUMBER(CU109),ISNUMBER(CS109)),CU109-CS109,"")</f>
        <v>0</v>
      </c>
      <c r="CU109" s="39">
        <f>CS103+CU106-CU103</f>
        <v>0</v>
      </c>
      <c r="CV109" s="34">
        <f>IF(AND(ISNUMBER(CW109),ISNUMBER(CU109)),CW109-CU109,"")</f>
        <v>0</v>
      </c>
      <c r="CW109" s="39">
        <f>CU103+CW106-CW103</f>
        <v>0</v>
      </c>
      <c r="CX109" s="34">
        <f>IF(AND(ISNUMBER(CY109),ISNUMBER(CW109)),CY109-CW109,"")</f>
        <v>0</v>
      </c>
      <c r="CY109" s="39">
        <f>CW103+CY106-CY103</f>
        <v>0</v>
      </c>
      <c r="CZ109" s="34">
        <f>IF(AND(ISNUMBER(DA109),ISNUMBER(CY109)),DA109-CY109,"")</f>
        <v>0</v>
      </c>
      <c r="DA109" s="39">
        <f>CY103+DA106-DA103</f>
        <v>0</v>
      </c>
      <c r="DB109" s="34">
        <f>IF(AND(ISNUMBER(DC109),ISNUMBER(DA109)),DC109-DA109,"")</f>
        <v>0</v>
      </c>
      <c r="DC109" s="39">
        <f>DA103+DC106-DC103</f>
        <v>0</v>
      </c>
      <c r="DD109" s="34">
        <f>IF(AND(ISNUMBER(DE109),ISNUMBER(DC109)),DE109-DC109,"")</f>
        <v>0</v>
      </c>
      <c r="DE109" s="39">
        <f>DC103+DE106-DE103</f>
        <v>0</v>
      </c>
      <c r="DF109" s="34">
        <f>IF(AND(ISNUMBER(DG109),ISNUMBER(DE109)),DG109-DE109,"")</f>
        <v>0</v>
      </c>
      <c r="DG109" s="39">
        <f>DE103+DG106-DG103</f>
        <v>0</v>
      </c>
      <c r="DH109" s="34">
        <f>IF(AND(ISNUMBER(DI109),ISNUMBER(DG109)),DI109-DG109,"")</f>
        <v>0</v>
      </c>
      <c r="DI109" s="39">
        <f>DG103+DI106-DI103</f>
        <v>0</v>
      </c>
      <c r="DJ109" s="34">
        <f>IF(AND(ISNUMBER(DK109),ISNUMBER(DI109)),DK109-DI109,"")</f>
        <v>0</v>
      </c>
      <c r="DK109" s="39">
        <f>DI103+DK106-DK103</f>
        <v>0</v>
      </c>
      <c r="DL109" s="34">
        <f>IF(AND(ISNUMBER(DM109),ISNUMBER(DK109)),DM109-DK109,"")</f>
        <v>0</v>
      </c>
      <c r="DM109" s="39">
        <f>DK103+DM106-DM103</f>
        <v>0</v>
      </c>
      <c r="DN109" s="34">
        <f>IF(AND(ISNUMBER(DO109),ISNUMBER(DM109)),DO109-DM109,"")</f>
        <v>0</v>
      </c>
      <c r="DO109" s="39">
        <f>DM103+DO106-DO103</f>
        <v>0</v>
      </c>
      <c r="DP109" s="34">
        <f>IF(AND(ISNUMBER(DQ109),ISNUMBER(DO109)),DQ109-DO109,"")</f>
        <v>0</v>
      </c>
      <c r="DQ109" s="39">
        <f>DO103+DQ106-DQ103</f>
        <v>0</v>
      </c>
      <c r="DR109" s="34">
        <f>IF(AND(ISNUMBER(DS109),ISNUMBER(DQ109)),DS109-DQ109,"")</f>
        <v>0</v>
      </c>
      <c r="DS109" s="39">
        <f>DQ103+DS106-DS103</f>
        <v>0</v>
      </c>
      <c r="DT109" s="34">
        <f>IF(AND(ISNUMBER(DU109),ISNUMBER(DS109)),DU109-DS109,"")</f>
        <v>0</v>
      </c>
      <c r="DU109" s="39">
        <f>DS103+DU106-DU103</f>
        <v>0</v>
      </c>
      <c r="DV109" s="34">
        <f>IF(AND(ISNUMBER(DW109),ISNUMBER(DU109)),DW109-DU109,"")</f>
        <v>0</v>
      </c>
      <c r="DW109" s="39">
        <f>DU103+DW106-DW103</f>
        <v>0</v>
      </c>
      <c r="DX109" s="34">
        <f>IF(AND(ISNUMBER(DY109),ISNUMBER(DW109)),DY109-DW109,"")</f>
        <v>0</v>
      </c>
      <c r="DY109" s="39">
        <f>DW103+DY106-DY103</f>
        <v>0</v>
      </c>
      <c r="DZ109" s="34">
        <f>IF(AND(ISNUMBER(EA109),ISNUMBER(DY109)),EA109-DY109,"")</f>
        <v>0</v>
      </c>
      <c r="EA109" s="39">
        <f>DY103+EA106-EA103</f>
        <v>0</v>
      </c>
      <c r="EB109" s="34">
        <f>IF(AND(ISNUMBER(EC109),ISNUMBER(EA109)),EC109-EA109,"")</f>
        <v>0</v>
      </c>
      <c r="EC109" s="39">
        <f>EA103+EC106-EC103</f>
        <v>0</v>
      </c>
      <c r="ED109" s="34">
        <f>IF(AND(ISNUMBER(EE109),ISNUMBER(EC109)),EE109-EC109,"")</f>
        <v>0</v>
      </c>
      <c r="EE109" s="39">
        <f>EC103+EE106-EE103</f>
        <v>0</v>
      </c>
      <c r="EF109" s="34">
        <f>IF(AND(ISNUMBER(EG109),ISNUMBER(EE109)),EG109-EE109,"")</f>
        <v>0</v>
      </c>
      <c r="EG109" s="39">
        <f>EE103+EG106-EG103</f>
        <v>0</v>
      </c>
      <c r="EH109" s="34">
        <f>IF(AND(ISNUMBER(EI109),ISNUMBER(EG109)),EI109-EG109,"")</f>
        <v>0</v>
      </c>
      <c r="EI109" s="39">
        <f>EG103+EI106-EI103</f>
        <v>0</v>
      </c>
      <c r="EJ109" s="34">
        <f>IF(AND(ISNUMBER(EK109),ISNUMBER(EI109)),EK109-EI109,"")</f>
        <v>0</v>
      </c>
      <c r="EK109" s="39">
        <f>EI103+EK106-EK103</f>
        <v>0</v>
      </c>
      <c r="EL109" s="34">
        <f>IF(AND(ISNUMBER(EM109),ISNUMBER(EK109)),EM109-EK109,"")</f>
        <v>0</v>
      </c>
      <c r="EM109" s="39">
        <f>EK103+EM106-EM103</f>
        <v>0</v>
      </c>
      <c r="EN109" s="34">
        <f>IF(AND(ISNUMBER(EO109),ISNUMBER(EM109)),EO109-EM109,"")</f>
        <v>0</v>
      </c>
      <c r="EO109" s="39">
        <f>EM103+EO106-EO103</f>
        <v>0</v>
      </c>
      <c r="EP109" s="34">
        <f>IF(AND(ISNUMBER(EQ109),ISNUMBER(EO109)),EQ109-EO109,"")</f>
        <v>0</v>
      </c>
      <c r="EQ109" s="39">
        <f>EO103+EQ106-EQ103</f>
        <v>0</v>
      </c>
      <c r="ER109" s="34">
        <f>IF(AND(ISNUMBER(ES109),ISNUMBER(EQ109)),ES109-EQ109,"")</f>
        <v>0</v>
      </c>
      <c r="ES109" s="39">
        <f>EQ103+ES106-ES103</f>
        <v>0</v>
      </c>
      <c r="ET109" s="34">
        <f>IF(AND(ISNUMBER(EU109),ISNUMBER(ES109)),EU109-ES109,"")</f>
        <v>0</v>
      </c>
      <c r="EU109" s="39">
        <f>ES103+EU106-EU103</f>
        <v>0</v>
      </c>
      <c r="EV109" s="34">
        <f>IF(AND(ISNUMBER(EW109),ISNUMBER(EU109)),EW109-EU109,"")</f>
        <v>0</v>
      </c>
      <c r="EW109" s="39">
        <f>EU103+EW106-EW103</f>
        <v>0</v>
      </c>
      <c r="EX109" s="34">
        <f>IF(AND(ISNUMBER(EY109),ISNUMBER(EW109)),EY109-EW109,"")</f>
        <v>0</v>
      </c>
      <c r="EY109" s="39">
        <f>EW103+EY106-EY103</f>
        <v>0</v>
      </c>
      <c r="EZ109" s="34">
        <f>IF(AND(ISNUMBER(FA109),ISNUMBER(EY109)),FA109-EY109,"")</f>
        <v>0</v>
      </c>
      <c r="FA109" s="39">
        <f>EY103+FA106-FA103</f>
        <v>0</v>
      </c>
      <c r="FB109" s="34">
        <f>IF(AND(ISNUMBER(FC109),ISNUMBER(FA109)),FC109-FA109,"")</f>
        <v>0</v>
      </c>
      <c r="FC109" s="39">
        <f>FA103+FC106-FC103</f>
        <v>0</v>
      </c>
      <c r="FD109" s="34">
        <f>IF(AND(ISNUMBER(FE109),ISNUMBER(FC109)),FE109-FC109,"")</f>
        <v>0</v>
      </c>
      <c r="FE109" s="39">
        <f>FC103+FE106-FE103</f>
        <v>0</v>
      </c>
      <c r="FF109" s="34">
        <f>IF(AND(ISNUMBER(FG109),ISNUMBER(FE109)),FG109-FE109,"")</f>
        <v>0</v>
      </c>
      <c r="FG109" s="39">
        <f>FE103+FG106-FG103</f>
        <v>0</v>
      </c>
      <c r="FH109" s="34">
        <f>IF(AND(ISNUMBER(FI109),ISNUMBER(FG109)),FI109-FG109,"")</f>
        <v>0</v>
      </c>
      <c r="FI109" s="39">
        <f>FG103+FI106-FI103</f>
        <v>0</v>
      </c>
      <c r="FJ109" s="34">
        <f>IF(AND(ISNUMBER(FK109),ISNUMBER(FI109)),FK109-FI109,"")</f>
        <v>0</v>
      </c>
      <c r="FK109" s="39">
        <f>FI103+FK106-FK103</f>
        <v>0</v>
      </c>
      <c r="FL109" s="34">
        <f>IF(AND(ISNUMBER(FM109),ISNUMBER(FK109)),FM109-FK109,"")</f>
        <v>0</v>
      </c>
      <c r="FM109" s="39">
        <f>FK103+FM106-FM103</f>
        <v>0</v>
      </c>
      <c r="FN109" s="34">
        <f>IF(AND(ISNUMBER(FO109),ISNUMBER(FM109)),FO109-FM109,"")</f>
        <v>0</v>
      </c>
      <c r="FO109" s="39">
        <f>FM103+FO106-FO103</f>
        <v>0</v>
      </c>
      <c r="FP109" s="34">
        <f>IF(AND(ISNUMBER(FQ109),ISNUMBER(FO109)),FQ109-FO109,"")</f>
        <v>0</v>
      </c>
      <c r="FQ109" s="39">
        <f>FO103+FQ106-FQ103</f>
        <v>0</v>
      </c>
      <c r="FR109" s="34">
        <f>IF(AND(ISNUMBER(FS109),ISNUMBER(FQ109)),FS109-FQ109,"")</f>
        <v>0</v>
      </c>
      <c r="FS109" s="39">
        <f>FQ103+FS106-FS103</f>
        <v>0</v>
      </c>
      <c r="FT109" s="34">
        <f>IF(AND(ISNUMBER(FU109),ISNUMBER(FS109)),FU109-FS109,"")</f>
        <v>0</v>
      </c>
      <c r="FU109" s="39">
        <f>FS103+FU106-FU103</f>
        <v>0</v>
      </c>
      <c r="FV109" s="34">
        <f>IF(AND(ISNUMBER(FW109),ISNUMBER(FU109)),FW109-FU109,"")</f>
        <v>0</v>
      </c>
      <c r="FW109" s="39">
        <f>FU103+FW106-FW103</f>
        <v>0</v>
      </c>
      <c r="FX109" s="34">
        <f>IF(AND(ISNUMBER(FY109),ISNUMBER(FW109)),FY109-FW109,"")</f>
        <v>0</v>
      </c>
      <c r="FY109" s="39">
        <f>FW103+FY106-FY103</f>
        <v>0</v>
      </c>
      <c r="FZ109" s="34">
        <f>IF(AND(ISNUMBER(GA109),ISNUMBER(FY109)),GA109-FY109,"")</f>
        <v>0</v>
      </c>
      <c r="GA109" s="39">
        <f>FY103+GA106-GA103</f>
        <v>0</v>
      </c>
      <c r="GB109" s="34">
        <f>IF(AND(ISNUMBER(GC109),ISNUMBER(GA109)),GC109-GA109,"")</f>
        <v>0</v>
      </c>
      <c r="GC109" s="39">
        <f>GA103+GC106-GC103</f>
        <v>0</v>
      </c>
      <c r="GD109" s="34">
        <f>IF(AND(ISNUMBER(GE109),ISNUMBER(GC109)),GE109-GC109,"")</f>
        <v>0</v>
      </c>
      <c r="GE109" s="39">
        <f>GC103+GE106-GE103</f>
        <v>0</v>
      </c>
      <c r="GF109" s="34">
        <f>IF(AND(ISNUMBER(GG109),ISNUMBER(GE109)),GG109-GE109,"")</f>
        <v>0</v>
      </c>
      <c r="GG109" s="39">
        <f>GE103+GG106-GG103</f>
        <v>0</v>
      </c>
      <c r="GH109" s="34">
        <f>IF(AND(ISNUMBER(GI109),ISNUMBER(GG109)),GI109-GG109,"")</f>
        <v>0</v>
      </c>
      <c r="GI109" s="39">
        <f>GG103+GI106-GI103</f>
        <v>0</v>
      </c>
      <c r="GJ109" s="34">
        <f>IF(AND(ISNUMBER(GK109),ISNUMBER(GI109)),GK109-GI109,"")</f>
        <v>0</v>
      </c>
      <c r="GK109" s="39">
        <f>GI103+GK106-GK103</f>
        <v>0</v>
      </c>
      <c r="GL109" s="34">
        <f>IF(AND(ISNUMBER(GM109),ISNUMBER(GK109)),GM109-GK109,"")</f>
        <v>0</v>
      </c>
      <c r="GM109" s="39">
        <f>GK103+GM106-GM103</f>
        <v>0</v>
      </c>
      <c r="GN109" s="34">
        <f>IF(AND(ISNUMBER(GO109),ISNUMBER(GM109)),GO109-GM109,"")</f>
        <v>0</v>
      </c>
      <c r="GO109" s="39">
        <f>GM103+GO106-GO103</f>
        <v>0</v>
      </c>
      <c r="GP109" s="34">
        <f>IF(AND(ISNUMBER(GQ109),ISNUMBER(GO109)),GQ109-GO109,"")</f>
        <v>0</v>
      </c>
      <c r="GQ109" s="39">
        <f>GO103+GQ106-GQ103</f>
        <v>0</v>
      </c>
      <c r="GR109" s="34">
        <f>IF(AND(ISNUMBER(GS109),ISNUMBER(GQ109)),GS109-GQ109,"")</f>
        <v>0</v>
      </c>
      <c r="GS109" s="39">
        <f>GQ103+GS106-GS103</f>
        <v>0</v>
      </c>
      <c r="GT109" s="34">
        <f>IF(AND(ISNUMBER(GU109),ISNUMBER(GS109)),GU109-GS109,"")</f>
        <v>0</v>
      </c>
      <c r="GU109" s="39">
        <f>GS103+GU106-GU103</f>
        <v>0</v>
      </c>
      <c r="GV109" s="34">
        <f>IF(AND(ISNUMBER(GW109),ISNUMBER(GU109)),GW109-GU109,"")</f>
        <v>0</v>
      </c>
      <c r="GW109" s="39">
        <f>GU103+GW106-GW103</f>
        <v>0</v>
      </c>
      <c r="GX109" s="34">
        <f>IF(AND(ISNUMBER(GY109),ISNUMBER(GW109)),GY109-GW109,"")</f>
        <v>0</v>
      </c>
      <c r="GY109" s="39">
        <f>GW103+GY106-GY103</f>
        <v>0</v>
      </c>
      <c r="GZ109" s="34">
        <f>IF(AND(ISNUMBER(HA109),ISNUMBER(GY109)),HA109-GY109,"")</f>
        <v>0</v>
      </c>
      <c r="HA109" s="39">
        <f>GY103+HA106-HA103</f>
        <v>0</v>
      </c>
      <c r="HB109" s="34">
        <f>IF(AND(ISNUMBER(HC109),ISNUMBER(HA109)),HC109-HA109,"")</f>
        <v>0</v>
      </c>
      <c r="HC109" s="39">
        <f>HA103+HC106-HC103</f>
        <v>0</v>
      </c>
      <c r="HD109" s="34">
        <f>IF(AND(ISNUMBER(HE109),ISNUMBER(HC109)),HE109-HC109,"")</f>
        <v>0</v>
      </c>
      <c r="HE109" s="39">
        <f>HC103+HE106-HE103</f>
        <v>0</v>
      </c>
      <c r="HF109" s="34">
        <f>IF(AND(ISNUMBER(HG109),ISNUMBER(HE109)),HG109-HE109,"")</f>
        <v>0</v>
      </c>
      <c r="HG109" s="39">
        <f>HE103+HG106-HG103</f>
        <v>0</v>
      </c>
      <c r="HH109" s="34">
        <f>IF(AND(ISNUMBER(HI109),ISNUMBER(HG109)),HI109-HG109,"")</f>
        <v>0</v>
      </c>
      <c r="HI109" s="39">
        <f>HG103+HI106-HI103</f>
        <v>0</v>
      </c>
      <c r="HJ109" s="34">
        <f>IF(AND(ISNUMBER(HK109),ISNUMBER(HI109)),HK109-HI109,"")</f>
        <v>0</v>
      </c>
      <c r="HK109" s="39">
        <f>HI103+HK106-HK103</f>
        <v>0</v>
      </c>
      <c r="HL109" s="34">
        <f>IF(AND(ISNUMBER(HM109),ISNUMBER(HK109)),HM109-HK109,"")</f>
        <v>0</v>
      </c>
      <c r="HM109" s="39">
        <f>HK103+HM106-HM103</f>
        <v>0</v>
      </c>
      <c r="HN109" s="34">
        <f>IF(AND(ISNUMBER(HO109),ISNUMBER(HM109)),HO109-HM109,"")</f>
        <v>0</v>
      </c>
      <c r="HO109" s="39">
        <f>HM103+HO106-HO103</f>
        <v>0</v>
      </c>
      <c r="HP109" s="34">
        <f>IF(AND(ISNUMBER(HQ109),ISNUMBER(HO109)),HQ109-HO109,"")</f>
        <v>0</v>
      </c>
      <c r="HQ109" s="39">
        <f>HO103+HQ106-HQ103</f>
        <v>0</v>
      </c>
      <c r="HR109" s="34">
        <f>IF(AND(ISNUMBER(HS109),ISNUMBER(HQ109)),HS109-HQ109,"")</f>
        <v>0</v>
      </c>
      <c r="HS109" s="39">
        <f>HQ103+HS106-HS103</f>
        <v>0</v>
      </c>
      <c r="HT109" s="34">
        <f>IF(AND(ISNUMBER(HU109),ISNUMBER(HS109)),HU109-HS109,"")</f>
        <v>0</v>
      </c>
      <c r="HU109" s="39">
        <f>HS103+HU106-HU103</f>
        <v>0</v>
      </c>
      <c r="HV109" s="34">
        <f>IF(AND(ISNUMBER(HW109),ISNUMBER(HU109)),HW109-HU109,"")</f>
        <v>0</v>
      </c>
      <c r="HW109" s="39">
        <f>HU103+HW106-HW103</f>
        <v>0</v>
      </c>
      <c r="HX109" s="34">
        <f>IF(AND(ISNUMBER(HY109),ISNUMBER(HW109)),HY109-HW109,"")</f>
        <v>0</v>
      </c>
      <c r="HY109" s="39">
        <f>HW103+HY106-HY103</f>
        <v>0</v>
      </c>
      <c r="HZ109" s="34">
        <f>IF(AND(ISNUMBER(IA109),ISNUMBER(HY109)),IA109-HY109,"")</f>
        <v>0</v>
      </c>
      <c r="IA109" s="39">
        <f>HY103+IA106-IA103</f>
        <v>0</v>
      </c>
      <c r="IB109" s="34">
        <f>IF(AND(ISNUMBER(IC109),ISNUMBER(IA109)),IC109-IA109,"")</f>
        <v>0</v>
      </c>
      <c r="IC109" s="39">
        <f>IA103+IC106-IC103</f>
        <v>0</v>
      </c>
      <c r="ID109" s="34">
        <f>IF(AND(ISNUMBER(IE109),ISNUMBER(IC109)),IE109-IC109,"")</f>
        <v>0</v>
      </c>
      <c r="IE109" s="39">
        <f>IC103+IE106-IE103</f>
        <v>0</v>
      </c>
      <c r="IF109" s="34">
        <f>IF(AND(ISNUMBER(IG109),ISNUMBER(IE109)),IG109-IE109,"")</f>
        <v>0</v>
      </c>
      <c r="IG109" s="39">
        <f>IE103+IG106-IG103</f>
        <v>0</v>
      </c>
      <c r="IH109" s="34">
        <f>IF(AND(ISNUMBER(II109),ISNUMBER(IG109)),II109-IG109,"")</f>
        <v>0</v>
      </c>
      <c r="II109" s="33">
        <v>0</v>
      </c>
      <c r="IJ109" s="34">
        <f>IF(AND(ISNUMBER(IK109),ISNUMBER(II109)),IK109-II109,"")</f>
        <v>0</v>
      </c>
      <c r="IK109" s="39">
        <f>II103+IK106-IK103</f>
        <v>0</v>
      </c>
      <c r="IL109" s="34">
        <f>IF(AND(ISNUMBER(IM109),ISNUMBER(IK109)),IM109-IK109,"")</f>
        <v>0</v>
      </c>
      <c r="IM109" s="33">
        <v>0</v>
      </c>
      <c r="IN109" s="34">
        <f>IF(AND(ISNUMBER(IO109),ISNUMBER(IM109)),IO109-IM109,"")</f>
        <v>0</v>
      </c>
      <c r="IO109" s="39">
        <f>IM103+IO106-IO103</f>
        <v>0</v>
      </c>
      <c r="IP109" s="34">
        <f>IF(AND(ISNUMBER(IQ109),ISNUMBER(IO109)),IQ109-IO109,"")</f>
        <v>0</v>
      </c>
      <c r="IQ109" s="39">
        <f>IO103+IQ106-IQ103</f>
        <v>0</v>
      </c>
      <c r="IR109" s="34">
        <f>IF(AND(ISNUMBER(IS109),ISNUMBER(IQ109)),IS109-IQ109,"")</f>
        <v>0</v>
      </c>
      <c r="IS109" s="39">
        <f>IQ103+IS106-IS103</f>
        <v>0</v>
      </c>
      <c r="IT109" s="34">
        <f>IF(AND(ISNUMBER(IU109),ISNUMBER(IS109)),IU109-IS109,"")</f>
        <v>0</v>
      </c>
      <c r="IU109" s="33">
        <v>2</v>
      </c>
      <c r="IV109" s="34">
        <f>IF(AND(ISNUMBER(IW109),ISNUMBER(IU109)),IW109-IU109,"")</f>
        <v>0</v>
      </c>
      <c r="IW109" s="39">
        <f>IU103+IW106-IW103</f>
        <v>0</v>
      </c>
      <c r="IX109" s="34">
        <f>IF(AND(ISNUMBER(IY109),ISNUMBER(IW109)),IY109-IW109,"")</f>
        <v>0</v>
      </c>
      <c r="IY109" s="39">
        <f>IW103+IY106-IY103</f>
        <v>0</v>
      </c>
      <c r="IZ109" s="34">
        <f>IF(AND(ISNUMBER(JA109),ISNUMBER(IY109)),JA109-IY109,"")</f>
        <v>0</v>
      </c>
      <c r="JA109" s="33">
        <v>1</v>
      </c>
      <c r="JB109" s="34">
        <f>IF(AND(ISNUMBER(JC109),ISNUMBER(JA109)),JC109-JA109,"")</f>
        <v>0</v>
      </c>
      <c r="JC109" s="39">
        <f>JA103+JC106-JC103</f>
        <v>0</v>
      </c>
      <c r="JD109" s="34">
        <f>IF(AND(ISNUMBER(JE109),ISNUMBER(JC109)),JE109-JC109,"")</f>
        <v>0</v>
      </c>
      <c r="JE109" s="39">
        <f>JC103+JE106-JE103</f>
        <v>0</v>
      </c>
      <c r="JF109" s="34">
        <f>IF(AND(ISNUMBER(JG109),ISNUMBER(JE109)),JG109-JE109,"")</f>
        <v>0</v>
      </c>
      <c r="JG109" s="39">
        <f>JE103+JG106-JG103</f>
        <v>0</v>
      </c>
      <c r="JH109" s="34">
        <f>IF(AND(ISNUMBER(JI109),ISNUMBER(JG109)),JI109-JG109,"")</f>
        <v>0</v>
      </c>
      <c r="JI109" s="39">
        <f>JG103+JI106-JI103</f>
        <v>0</v>
      </c>
      <c r="JJ109" s="34">
        <f>IF(AND(ISNUMBER(JK109),ISNUMBER(JI109)),JK109-JI109,"")</f>
        <v>0</v>
      </c>
      <c r="JK109" s="39">
        <f>JI103+JK106-JK103</f>
        <v>0</v>
      </c>
      <c r="JL109" s="34">
        <f>IF(AND(ISNUMBER(JM109),ISNUMBER(JK109)),JM109-JK109,"")</f>
        <v>0</v>
      </c>
      <c r="JM109" s="39">
        <f>JK103+JM106-JM103</f>
        <v>0</v>
      </c>
      <c r="JN109" s="34">
        <f>IF(AND(ISNUMBER(JO109),ISNUMBER(JM109)),JO109-JM109,"")</f>
        <v>0</v>
      </c>
      <c r="JO109" s="39">
        <f>JM103+JO106-JO103</f>
        <v>0</v>
      </c>
      <c r="JP109" s="34">
        <f>IF(AND(ISNUMBER(JQ109),ISNUMBER(JO109)),JQ109-JO109,"")</f>
        <v>0</v>
      </c>
      <c r="JQ109" s="33">
        <v>0</v>
      </c>
      <c r="JR109" s="34">
        <f>IF(AND(ISNUMBER(JS109),ISNUMBER(JQ109)),JS109-JQ109,"")</f>
        <v>0</v>
      </c>
      <c r="JS109" s="33">
        <v>0</v>
      </c>
      <c r="JT109" s="34">
        <f>IF(AND(ISNUMBER(JU109),ISNUMBER(JS109)),JU109-JS109,"")</f>
        <v>0</v>
      </c>
      <c r="JU109" s="33">
        <v>0</v>
      </c>
      <c r="JV109" s="34">
        <f>IF(AND(ISNUMBER(JW109),ISNUMBER(JU109)),JW109-JU109,"")</f>
        <v>0</v>
      </c>
      <c r="JW109" s="33">
        <v>0</v>
      </c>
      <c r="JX109" s="34">
        <f>IF(AND(ISNUMBER(JY109),ISNUMBER(JW109)),JY109-JW109,"")</f>
        <v>0</v>
      </c>
      <c r="JY109" s="33">
        <v>0</v>
      </c>
      <c r="JZ109" s="34">
        <f>IF(AND(ISNUMBER(KA109),ISNUMBER(JY109)),KA109-JY109,"")</f>
        <v>0</v>
      </c>
      <c r="KA109" s="33"/>
      <c r="KB109" s="34">
        <f>IF(AND(ISNUMBER(KC109),ISNUMBER(KA109)),KC109-KA109,"")</f>
        <v>0</v>
      </c>
      <c r="KC109" s="33"/>
      <c r="KD109" s="34">
        <f>IF(AND(ISNUMBER(KE109),ISNUMBER(KC109)),KE109-KC109,"")</f>
        <v>0</v>
      </c>
      <c r="KE109" s="33"/>
      <c r="KF109" s="34">
        <f>IF(AND(ISNUMBER(KG109),ISNUMBER(KE109)),KG109-KE109,"")</f>
        <v>0</v>
      </c>
      <c r="KG109" s="33"/>
      <c r="KH109" s="34">
        <f>IF(AND(ISNUMBER(KI109),ISNUMBER(KG109)),KI109-KG109,"")</f>
        <v>0</v>
      </c>
      <c r="KI109" s="33"/>
      <c r="KJ109" s="34">
        <f>IF(AND(ISNUMBER(KK109),ISNUMBER(KI109)),KK109-KI109,"")</f>
        <v>0</v>
      </c>
      <c r="KK109" s="33"/>
      <c r="KL109" s="34">
        <f>IF(AND(ISNUMBER(KM109),ISNUMBER(KK109)),KM109-KK109,"")</f>
        <v>0</v>
      </c>
      <c r="KM109" s="33"/>
      <c r="KN109" s="34">
        <f>IF(AND(ISNUMBER(KO109),ISNUMBER(KM109)),KO109-KM109,"")</f>
        <v>0</v>
      </c>
      <c r="KO109" s="33"/>
      <c r="KP109" s="34">
        <f>IF(AND(ISNUMBER(KQ109),ISNUMBER(KO109)),KQ109-KO109,"")</f>
        <v>0</v>
      </c>
      <c r="KQ109" s="33"/>
      <c r="KR109" s="34">
        <f>IF(AND(ISNUMBER(KS109),ISNUMBER(KQ109)),KS109-KQ109,"")</f>
        <v>0</v>
      </c>
      <c r="KS109" s="33"/>
      <c r="KT109" s="34">
        <f>IF(AND(ISNUMBER(KU109),ISNUMBER(KS109)),KU109-KS109,"")</f>
        <v>0</v>
      </c>
      <c r="KU109" s="33"/>
      <c r="KV109" s="34">
        <f>IF(AND(ISNUMBER(KW109),ISNUMBER(KU109)),KW109-KU109,"")</f>
        <v>0</v>
      </c>
      <c r="KW109" s="33"/>
      <c r="KX109" s="34">
        <f>IF(AND(ISNUMBER(KY109),ISNUMBER(KW109)),KY109-KW109,"")</f>
        <v>0</v>
      </c>
      <c r="KY109" s="33"/>
      <c r="KZ109" s="34">
        <f>IF(AND(ISNUMBER(LA109),ISNUMBER(KY109)),LA109-KY109,"")</f>
        <v>0</v>
      </c>
      <c r="LA109" s="33"/>
      <c r="LB109" s="34">
        <f>IF(AND(ISNUMBER(LC109),ISNUMBER(LA109)),LC109-LA109,"")</f>
        <v>0</v>
      </c>
      <c r="LC109" s="33"/>
      <c r="LD109" s="34">
        <f>IF(AND(ISNUMBER(LE109),ISNUMBER(LC109)),LE109-LC109,"")</f>
        <v>0</v>
      </c>
      <c r="LE109" s="33"/>
      <c r="LF109" s="34">
        <f>IF(AND(ISNUMBER(LG109),ISNUMBER(LE109)),LG109-LE109,"")</f>
        <v>0</v>
      </c>
      <c r="LG109" s="33"/>
    </row>
    <row r="110" spans="1:322">
      <c r="B110" s="23"/>
      <c r="C110" s="37" t="s">
        <v>786</v>
      </c>
      <c r="D110" s="37" t="s">
        <v>861</v>
      </c>
      <c r="E110" s="25"/>
      <c r="I110" s="33"/>
      <c r="J110" s="34">
        <f>IF(AND(ISNUMBER(K110),ISNUMBER(I110)),K110-I110,"")</f>
        <v>0</v>
      </c>
      <c r="K110" s="33"/>
      <c r="L110" s="34">
        <f>IF(AND(ISNUMBER(M110),ISNUMBER(K110)),M110-K110,"")</f>
        <v>0</v>
      </c>
      <c r="M110" s="33"/>
      <c r="N110" s="34">
        <f>IF(AND(ISNUMBER(O110),ISNUMBER(M110)),O110-M110,"")</f>
        <v>0</v>
      </c>
      <c r="O110" s="33"/>
      <c r="P110" s="34">
        <f>IF(AND(ISNUMBER(Q110),ISNUMBER(O110)),Q110-O110,"")</f>
        <v>0</v>
      </c>
      <c r="Q110" s="33"/>
      <c r="R110" s="34">
        <f>IF(AND(ISNUMBER(S110),ISNUMBER(Q110)),S110-Q110,"")</f>
        <v>0</v>
      </c>
      <c r="S110" s="33"/>
      <c r="T110" s="34">
        <f>IF(AND(ISNUMBER(U110),ISNUMBER(S110)),U110-S110,"")</f>
        <v>0</v>
      </c>
      <c r="U110" s="33"/>
      <c r="V110" s="34">
        <f>IF(AND(ISNUMBER(W110),ISNUMBER(U110)),W110-U110,"")</f>
        <v>0</v>
      </c>
      <c r="W110" s="33"/>
      <c r="X110" s="34">
        <f>IF(AND(ISNUMBER(Y110),ISNUMBER(W110)),Y110-W110,"")</f>
        <v>0</v>
      </c>
      <c r="Y110" s="33"/>
      <c r="Z110" s="34">
        <f>IF(AND(ISNUMBER(AA110),ISNUMBER(Y110)),AA110-Y110,"")</f>
        <v>0</v>
      </c>
      <c r="AA110" s="33"/>
      <c r="AB110" s="34">
        <f>IF(AND(ISNUMBER(AC110),ISNUMBER(AA110)),AC110-AA110,"")</f>
        <v>0</v>
      </c>
      <c r="AC110" s="33"/>
      <c r="AD110" s="34">
        <f>IF(AND(ISNUMBER(AE110),ISNUMBER(AC110)),AE110-AC110,"")</f>
        <v>0</v>
      </c>
      <c r="AE110" s="33"/>
      <c r="AF110" s="34">
        <f>IF(AND(ISNUMBER(AG110),ISNUMBER(AE110)),AG110-AE110,"")</f>
        <v>0</v>
      </c>
      <c r="AG110" s="33"/>
      <c r="AH110" s="34">
        <f>IF(AND(ISNUMBER(AI110),ISNUMBER(AG110)),AI110-AG110,"")</f>
        <v>0</v>
      </c>
      <c r="AI110" s="33"/>
      <c r="AJ110" s="34">
        <f>IF(AND(ISNUMBER(AK110),ISNUMBER(AI110)),AK110-AI110,"")</f>
        <v>0</v>
      </c>
      <c r="AK110" s="33"/>
      <c r="AL110" s="34">
        <f>IF(AND(ISNUMBER(AM110),ISNUMBER(AK110)),AM110-AK110,"")</f>
        <v>0</v>
      </c>
      <c r="AM110" s="33"/>
      <c r="AN110" s="34">
        <f>IF(AND(ISNUMBER(AO110),ISNUMBER(AM110)),AO110-AM110,"")</f>
        <v>0</v>
      </c>
      <c r="AO110" s="33"/>
      <c r="AP110" s="34">
        <f>IF(AND(ISNUMBER(AQ110),ISNUMBER(AO110)),AQ110-AO110,"")</f>
        <v>0</v>
      </c>
      <c r="AQ110" s="33"/>
      <c r="AR110" s="34">
        <f>IF(AND(ISNUMBER(AS110),ISNUMBER(AQ110)),AS110-AQ110,"")</f>
        <v>0</v>
      </c>
      <c r="AS110" s="33"/>
      <c r="AT110" s="34">
        <f>IF(AND(ISNUMBER(AU110),ISNUMBER(AS110)),AU110-AS110,"")</f>
        <v>0</v>
      </c>
      <c r="AU110" s="33"/>
      <c r="AV110" s="34">
        <f>IF(AND(ISNUMBER(AW110),ISNUMBER(AU110)),AW110-AU110,"")</f>
        <v>0</v>
      </c>
      <c r="AW110" s="33"/>
      <c r="AX110" s="34">
        <f>IF(AND(ISNUMBER(AY110),ISNUMBER(AW110)),AY110-AW110,"")</f>
        <v>0</v>
      </c>
      <c r="AY110" s="33"/>
      <c r="AZ110" s="34">
        <f>IF(AND(ISNUMBER(BA110),ISNUMBER(AY110)),BA110-AY110,"")</f>
        <v>0</v>
      </c>
      <c r="BA110" s="33"/>
      <c r="BB110" s="34">
        <f>IF(AND(ISNUMBER(BC110),ISNUMBER(BA110)),BC110-BA110,"")</f>
        <v>0</v>
      </c>
      <c r="BC110" s="33"/>
      <c r="BD110" s="34">
        <f>IF(AND(ISNUMBER(BE110),ISNUMBER(BC110)),BE110-BC110,"")</f>
        <v>0</v>
      </c>
      <c r="BE110" s="33"/>
      <c r="BF110" s="34">
        <f>IF(AND(ISNUMBER(BG110),ISNUMBER(BE110)),BG110-BE110,"")</f>
        <v>0</v>
      </c>
      <c r="BG110" s="33"/>
      <c r="BH110" s="34">
        <f>IF(AND(ISNUMBER(BI110),ISNUMBER(BG110)),BI110-BG110,"")</f>
        <v>0</v>
      </c>
      <c r="BI110" s="33"/>
      <c r="BJ110" s="34">
        <f>IF(AND(ISNUMBER(BK110),ISNUMBER(BI110)),BK110-BI110,"")</f>
        <v>0</v>
      </c>
      <c r="BK110" s="33"/>
      <c r="BL110" s="34">
        <f>IF(AND(ISNUMBER(BM110),ISNUMBER(BK110)),BM110-BK110,"")</f>
        <v>0</v>
      </c>
      <c r="BM110" s="33"/>
      <c r="BN110" s="34">
        <f>IF(AND(ISNUMBER(BO110),ISNUMBER(BM110)),BO110-BM110,"")</f>
        <v>0</v>
      </c>
      <c r="BO110" s="33"/>
      <c r="BP110" s="34">
        <f>IF(AND(ISNUMBER(BQ110),ISNUMBER(BO110)),BQ110-BO110,"")</f>
        <v>0</v>
      </c>
      <c r="BQ110" s="33"/>
      <c r="BR110" s="34">
        <f>IF(AND(ISNUMBER(BS110),ISNUMBER(BQ110)),BS110-BQ110,"")</f>
        <v>0</v>
      </c>
      <c r="BS110" s="33"/>
      <c r="BT110" s="34">
        <f>IF(AND(ISNUMBER(BU110),ISNUMBER(BS110)),BU110-BS110,"")</f>
        <v>0</v>
      </c>
      <c r="BU110" s="33"/>
      <c r="BV110" s="34">
        <f>IF(AND(ISNUMBER(BW110),ISNUMBER(BU110)),BW110-BU110,"")</f>
        <v>0</v>
      </c>
      <c r="BW110" s="33"/>
      <c r="BX110" s="34">
        <f>IF(AND(ISNUMBER(BY110),ISNUMBER(BW110)),BY110-BW110,"")</f>
        <v>0</v>
      </c>
      <c r="BY110" s="33"/>
      <c r="BZ110" s="34">
        <f>IF(AND(ISNUMBER(CA110),ISNUMBER(BY110)),CA110-BY110,"")</f>
        <v>0</v>
      </c>
      <c r="CA110" s="33"/>
      <c r="CB110" s="34">
        <f>IF(AND(ISNUMBER(CC110),ISNUMBER(CA110)),CC110-CA110,"")</f>
        <v>0</v>
      </c>
      <c r="CC110" s="33"/>
      <c r="CD110" s="34">
        <f>IF(AND(ISNUMBER(CE110),ISNUMBER(CC110)),CE110-CC110,"")</f>
        <v>0</v>
      </c>
      <c r="CE110" s="33"/>
      <c r="CF110" s="34">
        <f>IF(AND(ISNUMBER(CG110),ISNUMBER(CE110)),CG110-CE110,"")</f>
        <v>0</v>
      </c>
      <c r="CG110" s="33"/>
      <c r="CH110" s="34">
        <f>IF(AND(ISNUMBER(CI110),ISNUMBER(CG110)),CI110-CG110,"")</f>
        <v>0</v>
      </c>
      <c r="CI110" s="33"/>
      <c r="CJ110" s="34">
        <f>IF(AND(ISNUMBER(CK110),ISNUMBER(CI110)),CK110-CI110,"")</f>
        <v>0</v>
      </c>
      <c r="CK110" s="33"/>
      <c r="CL110" s="34">
        <f>IF(AND(ISNUMBER(CM110),ISNUMBER(CK110)),CM110-CK110,"")</f>
        <v>0</v>
      </c>
      <c r="CM110" s="33"/>
      <c r="CN110" s="34">
        <f>IF(AND(ISNUMBER(CO110),ISNUMBER(CM110)),CO110-CM110,"")</f>
        <v>0</v>
      </c>
      <c r="CO110" s="33"/>
      <c r="CP110" s="34">
        <f>IF(AND(ISNUMBER(CQ110),ISNUMBER(CO110)),CQ110-CO110,"")</f>
        <v>0</v>
      </c>
      <c r="CQ110" s="33"/>
      <c r="CR110" s="34">
        <f>IF(AND(ISNUMBER(CS110),ISNUMBER(CQ110)),CS110-CQ110,"")</f>
        <v>0</v>
      </c>
      <c r="CS110" s="33"/>
      <c r="CT110" s="34">
        <f>IF(AND(ISNUMBER(CU110),ISNUMBER(CS110)),CU110-CS110,"")</f>
        <v>0</v>
      </c>
      <c r="CU110" s="33"/>
      <c r="CV110" s="34">
        <f>IF(AND(ISNUMBER(CW110),ISNUMBER(CU110)),CW110-CU110,"")</f>
        <v>0</v>
      </c>
      <c r="CW110" s="33"/>
      <c r="CX110" s="34">
        <f>IF(AND(ISNUMBER(CY110),ISNUMBER(CW110)),CY110-CW110,"")</f>
        <v>0</v>
      </c>
      <c r="CY110" s="33"/>
      <c r="CZ110" s="34">
        <f>IF(AND(ISNUMBER(DA110),ISNUMBER(CY110)),DA110-CY110,"")</f>
        <v>0</v>
      </c>
      <c r="DA110" s="33"/>
      <c r="DB110" s="34">
        <f>IF(AND(ISNUMBER(DC110),ISNUMBER(DA110)),DC110-DA110,"")</f>
        <v>0</v>
      </c>
      <c r="DC110" s="33"/>
      <c r="DD110" s="34">
        <f>IF(AND(ISNUMBER(DE110),ISNUMBER(DC110)),DE110-DC110,"")</f>
        <v>0</v>
      </c>
      <c r="DE110" s="33"/>
      <c r="DF110" s="34">
        <f>IF(AND(ISNUMBER(DG110),ISNUMBER(DE110)),DG110-DE110,"")</f>
        <v>0</v>
      </c>
      <c r="DG110" s="33"/>
      <c r="DH110" s="34">
        <f>IF(AND(ISNUMBER(DI110),ISNUMBER(DG110)),DI110-DG110,"")</f>
        <v>0</v>
      </c>
      <c r="DI110" s="33"/>
      <c r="DJ110" s="34">
        <f>IF(AND(ISNUMBER(DK110),ISNUMBER(DI110)),DK110-DI110,"")</f>
        <v>0</v>
      </c>
      <c r="DK110" s="33"/>
      <c r="DL110" s="34">
        <f>IF(AND(ISNUMBER(DM110),ISNUMBER(DK110)),DM110-DK110,"")</f>
        <v>0</v>
      </c>
      <c r="DM110" s="33"/>
      <c r="DN110" s="34">
        <f>IF(AND(ISNUMBER(DO110),ISNUMBER(DM110)),DO110-DM110,"")</f>
        <v>0</v>
      </c>
      <c r="DO110" s="33"/>
      <c r="DP110" s="34">
        <f>IF(AND(ISNUMBER(DQ110),ISNUMBER(DO110)),DQ110-DO110,"")</f>
        <v>0</v>
      </c>
      <c r="DQ110" s="33"/>
      <c r="DR110" s="34">
        <f>IF(AND(ISNUMBER(DS110),ISNUMBER(DQ110)),DS110-DQ110,"")</f>
        <v>0</v>
      </c>
      <c r="DS110" s="33"/>
      <c r="DT110" s="34">
        <f>IF(AND(ISNUMBER(DU110),ISNUMBER(DS110)),DU110-DS110,"")</f>
        <v>0</v>
      </c>
      <c r="DU110" s="33"/>
      <c r="DV110" s="34">
        <f>IF(AND(ISNUMBER(DW110),ISNUMBER(DU110)),DW110-DU110,"")</f>
        <v>0</v>
      </c>
      <c r="DW110" s="33"/>
      <c r="DX110" s="34">
        <f>IF(AND(ISNUMBER(DY110),ISNUMBER(DW110)),DY110-DW110,"")</f>
        <v>0</v>
      </c>
      <c r="DY110" s="33"/>
      <c r="DZ110" s="34">
        <f>IF(AND(ISNUMBER(EA110),ISNUMBER(DY110)),EA110-DY110,"")</f>
        <v>0</v>
      </c>
      <c r="EA110" s="33"/>
      <c r="EB110" s="34">
        <f>IF(AND(ISNUMBER(EC110),ISNUMBER(EA110)),EC110-EA110,"")</f>
        <v>0</v>
      </c>
      <c r="EC110" s="33"/>
      <c r="ED110" s="34">
        <f>IF(AND(ISNUMBER(EE110),ISNUMBER(EC110)),EE110-EC110,"")</f>
        <v>0</v>
      </c>
      <c r="EE110" s="33"/>
      <c r="EF110" s="34">
        <f>IF(AND(ISNUMBER(EG110),ISNUMBER(EE110)),EG110-EE110,"")</f>
        <v>0</v>
      </c>
      <c r="EG110" s="33"/>
      <c r="EH110" s="34">
        <f>IF(AND(ISNUMBER(EI110),ISNUMBER(EG110)),EI110-EG110,"")</f>
        <v>0</v>
      </c>
      <c r="EI110" s="33"/>
      <c r="EJ110" s="34">
        <f>IF(AND(ISNUMBER(EK110),ISNUMBER(EI110)),EK110-EI110,"")</f>
        <v>0</v>
      </c>
      <c r="EK110" s="33"/>
      <c r="EL110" s="34">
        <f>IF(AND(ISNUMBER(EM110),ISNUMBER(EK110)),EM110-EK110,"")</f>
        <v>0</v>
      </c>
      <c r="EM110" s="33"/>
      <c r="EN110" s="34">
        <f>IF(AND(ISNUMBER(EO110),ISNUMBER(EM110)),EO110-EM110,"")</f>
        <v>0</v>
      </c>
      <c r="EO110" s="33">
        <v>86</v>
      </c>
      <c r="EP110" s="34">
        <f>IF(AND(ISNUMBER(EQ110),ISNUMBER(EO110)),EQ110-EO110,"")</f>
        <v>0</v>
      </c>
      <c r="EQ110" s="39">
        <f>EO104+EQ107-EQ104</f>
        <v>0</v>
      </c>
      <c r="ER110" s="34">
        <f>IF(AND(ISNUMBER(ES110),ISNUMBER(EQ110)),ES110-EQ110,"")</f>
        <v>0</v>
      </c>
      <c r="ES110" s="39">
        <f>EQ104+ES107-ES104</f>
        <v>0</v>
      </c>
      <c r="ET110" s="34">
        <f>IF(AND(ISNUMBER(EU110),ISNUMBER(ES110)),EU110-ES110,"")</f>
        <v>0</v>
      </c>
      <c r="EU110" s="39">
        <f>ES104+EU107-EU104</f>
        <v>0</v>
      </c>
      <c r="EV110" s="34">
        <f>IF(AND(ISNUMBER(EW110),ISNUMBER(EU110)),EW110-EU110,"")</f>
        <v>0</v>
      </c>
      <c r="EW110" s="39">
        <f>EU104+EW107-EW104</f>
        <v>0</v>
      </c>
      <c r="EX110" s="34">
        <f>IF(AND(ISNUMBER(EY110),ISNUMBER(EW110)),EY110-EW110,"")</f>
        <v>0</v>
      </c>
      <c r="EY110" s="39">
        <f>EW104+EY107-EY104</f>
        <v>0</v>
      </c>
      <c r="EZ110" s="34">
        <f>IF(AND(ISNUMBER(FA110),ISNUMBER(EY110)),FA110-EY110,"")</f>
        <v>0</v>
      </c>
      <c r="FA110" s="39">
        <f>EY104+FA107-FA104</f>
        <v>0</v>
      </c>
      <c r="FB110" s="34">
        <f>IF(AND(ISNUMBER(FC110),ISNUMBER(FA110)),FC110-FA110,"")</f>
        <v>0</v>
      </c>
      <c r="FC110" s="39">
        <f>FA104+FC107-FC104</f>
        <v>0</v>
      </c>
      <c r="FD110" s="34">
        <f>IF(AND(ISNUMBER(FE110),ISNUMBER(FC110)),FE110-FC110,"")</f>
        <v>0</v>
      </c>
      <c r="FE110" s="39">
        <f>FC104+FE107-FE104</f>
        <v>0</v>
      </c>
      <c r="FF110" s="34">
        <f>IF(AND(ISNUMBER(FG110),ISNUMBER(FE110)),FG110-FE110,"")</f>
        <v>0</v>
      </c>
      <c r="FG110" s="39">
        <f>FE104+FG107-FG104</f>
        <v>0</v>
      </c>
      <c r="FH110" s="34">
        <f>IF(AND(ISNUMBER(FI110),ISNUMBER(FG110)),FI110-FG110,"")</f>
        <v>0</v>
      </c>
      <c r="FI110" s="39">
        <f>FG104+FI107-FI104</f>
        <v>0</v>
      </c>
      <c r="FJ110" s="34">
        <f>IF(AND(ISNUMBER(FK110),ISNUMBER(FI110)),FK110-FI110,"")</f>
        <v>0</v>
      </c>
      <c r="FK110" s="39">
        <f>FI104+FK107-FK104</f>
        <v>0</v>
      </c>
      <c r="FL110" s="34">
        <f>IF(AND(ISNUMBER(FM110),ISNUMBER(FK110)),FM110-FK110,"")</f>
        <v>0</v>
      </c>
      <c r="FM110" s="39">
        <f>FK104+FM107-FM104</f>
        <v>0</v>
      </c>
      <c r="FN110" s="34">
        <f>IF(AND(ISNUMBER(FO110),ISNUMBER(FM110)),FO110-FM110,"")</f>
        <v>0</v>
      </c>
      <c r="FO110" s="39">
        <f>FM104+FO107-FO104</f>
        <v>0</v>
      </c>
      <c r="FP110" s="34">
        <f>IF(AND(ISNUMBER(FQ110),ISNUMBER(FO110)),FQ110-FO110,"")</f>
        <v>0</v>
      </c>
      <c r="FQ110" s="39">
        <f>FO104+FQ108-FQ104</f>
        <v>0</v>
      </c>
      <c r="FR110" s="34">
        <f>IF(AND(ISNUMBER(FS110),ISNUMBER(FQ110)),FS110-FQ110,"")</f>
        <v>0</v>
      </c>
      <c r="FS110" s="39">
        <f>FQ104+FS107-FS104</f>
        <v>0</v>
      </c>
      <c r="FT110" s="34">
        <f>IF(AND(ISNUMBER(FU110),ISNUMBER(FS110)),FU110-FS110,"")</f>
        <v>0</v>
      </c>
      <c r="FU110" s="39">
        <f>FS104+FU107-FU104</f>
        <v>0</v>
      </c>
      <c r="FV110" s="34">
        <f>IF(AND(ISNUMBER(FW110),ISNUMBER(FU110)),FW110-FU110,"")</f>
        <v>0</v>
      </c>
      <c r="FW110" s="39">
        <f>FU104+FW107-FW104</f>
        <v>0</v>
      </c>
      <c r="FX110" s="34">
        <f>IF(AND(ISNUMBER(FY110),ISNUMBER(FW110)),FY110-FW110,"")</f>
        <v>0</v>
      </c>
      <c r="FY110" s="39">
        <f>FW104+FY107-FY104</f>
        <v>0</v>
      </c>
      <c r="FZ110" s="34">
        <f>IF(AND(ISNUMBER(GA110),ISNUMBER(FY110)),GA110-FY110,"")</f>
        <v>0</v>
      </c>
      <c r="GA110" s="39">
        <f>FY104+GA108-GA104</f>
        <v>0</v>
      </c>
      <c r="GB110" s="34">
        <f>IF(AND(ISNUMBER(GC110),ISNUMBER(GA110)),GC110-GA110,"")</f>
        <v>0</v>
      </c>
      <c r="GC110" s="39">
        <f>GA104+GC108-GC104</f>
        <v>0</v>
      </c>
      <c r="GD110" s="34">
        <f>IF(AND(ISNUMBER(GE110),ISNUMBER(GC110)),GE110-GC110,"")</f>
        <v>0</v>
      </c>
      <c r="GE110" s="39">
        <f>GC104+GE107-GE104</f>
        <v>0</v>
      </c>
      <c r="GF110" s="34">
        <f>IF(AND(ISNUMBER(GG110),ISNUMBER(GE110)),GG110-GE110,"")</f>
        <v>0</v>
      </c>
      <c r="GG110" s="39">
        <f>GE104+GG107-GG104</f>
        <v>0</v>
      </c>
      <c r="GH110" s="34">
        <f>IF(AND(ISNUMBER(GI110),ISNUMBER(GG110)),GI110-GG110,"")</f>
        <v>0</v>
      </c>
      <c r="GI110" s="39">
        <f>GG104+GI107-GI104</f>
        <v>0</v>
      </c>
      <c r="GJ110" s="34">
        <f>IF(AND(ISNUMBER(GK110),ISNUMBER(GI110)),GK110-GI110,"")</f>
        <v>0</v>
      </c>
      <c r="GK110" s="39">
        <f>GI104+GK107-GK104</f>
        <v>0</v>
      </c>
      <c r="GL110" s="34">
        <f>IF(AND(ISNUMBER(GM110),ISNUMBER(GK110)),GM110-GK110,"")</f>
        <v>0</v>
      </c>
      <c r="GM110" s="39">
        <f>GK104+GM107-GM104</f>
        <v>0</v>
      </c>
      <c r="GN110" s="34">
        <f>IF(AND(ISNUMBER(GO110),ISNUMBER(GM110)),GO110-GM110,"")</f>
        <v>0</v>
      </c>
      <c r="GO110" s="39">
        <f>GM104+GO107-GO104</f>
        <v>0</v>
      </c>
      <c r="GP110" s="34">
        <f>IF(AND(ISNUMBER(GQ110),ISNUMBER(GO110)),GQ110-GO110,"")</f>
        <v>0</v>
      </c>
      <c r="GQ110" s="39">
        <f>GO104+GQ107-GQ104</f>
        <v>0</v>
      </c>
      <c r="GR110" s="34">
        <f>IF(AND(ISNUMBER(GS110),ISNUMBER(GQ110)),GS110-GQ110,"")</f>
        <v>0</v>
      </c>
      <c r="GS110" s="39">
        <f>GQ104+GS107-GS104</f>
        <v>0</v>
      </c>
      <c r="GT110" s="34">
        <f>IF(AND(ISNUMBER(GU110),ISNUMBER(GS110)),GU110-GS110,"")</f>
        <v>0</v>
      </c>
      <c r="GU110" s="39">
        <f>GS104+GU107-GU104</f>
        <v>0</v>
      </c>
      <c r="GV110" s="34">
        <f>IF(AND(ISNUMBER(GW110),ISNUMBER(GU110)),GW110-GU110,"")</f>
        <v>0</v>
      </c>
      <c r="GW110" s="39">
        <f>GU104+GW107-GW104</f>
        <v>0</v>
      </c>
      <c r="GX110" s="34">
        <f>IF(AND(ISNUMBER(GY110),ISNUMBER(GW110)),GY110-GW110,"")</f>
        <v>0</v>
      </c>
      <c r="GY110" s="39">
        <f>GW104+GY107-GY104</f>
        <v>0</v>
      </c>
      <c r="GZ110" s="34">
        <f>IF(AND(ISNUMBER(HA110),ISNUMBER(GY110)),HA110-GY110,"")</f>
        <v>0</v>
      </c>
      <c r="HA110" s="39">
        <f>GY104+HA107-HA104</f>
        <v>0</v>
      </c>
      <c r="HB110" s="34">
        <f>IF(AND(ISNUMBER(HC110),ISNUMBER(HA110)),HC110-HA110,"")</f>
        <v>0</v>
      </c>
      <c r="HC110" s="39">
        <f>HA104+HC107-HC104</f>
        <v>0</v>
      </c>
      <c r="HD110" s="34">
        <f>IF(AND(ISNUMBER(HE110),ISNUMBER(HC110)),HE110-HC110,"")</f>
        <v>0</v>
      </c>
      <c r="HE110" s="39">
        <f>HC104+HE107-HE104</f>
        <v>0</v>
      </c>
      <c r="HF110" s="34">
        <f>IF(AND(ISNUMBER(HG110),ISNUMBER(HE110)),HG110-HE110,"")</f>
        <v>0</v>
      </c>
      <c r="HG110" s="39">
        <f>HE104+HG107-HG104</f>
        <v>0</v>
      </c>
      <c r="HH110" s="34">
        <f>IF(AND(ISNUMBER(HI110),ISNUMBER(HG110)),HI110-HG110,"")</f>
        <v>0</v>
      </c>
      <c r="HI110" s="39">
        <f>HG104+HI107-HI104</f>
        <v>0</v>
      </c>
      <c r="HJ110" s="34">
        <f>IF(AND(ISNUMBER(HK110),ISNUMBER(HI110)),HK110-HI110,"")</f>
        <v>0</v>
      </c>
      <c r="HK110" s="39">
        <f>HI104+HK107-HK104</f>
        <v>0</v>
      </c>
      <c r="HL110" s="34">
        <f>IF(AND(ISNUMBER(HM110),ISNUMBER(HK110)),HM110-HK110,"")</f>
        <v>0</v>
      </c>
      <c r="HM110" s="39">
        <f>HK104+HM107-HM104</f>
        <v>0</v>
      </c>
      <c r="HN110" s="34">
        <f>IF(AND(ISNUMBER(HO110),ISNUMBER(HM110)),HO110-HM110,"")</f>
        <v>0</v>
      </c>
      <c r="HO110" s="39">
        <f>HM104+HO107-HO104</f>
        <v>0</v>
      </c>
      <c r="HP110" s="34">
        <f>IF(AND(ISNUMBER(HQ110),ISNUMBER(HO110)),HQ110-HO110,"")</f>
        <v>0</v>
      </c>
      <c r="HQ110" s="39">
        <f>HO104+HQ107-HQ104</f>
        <v>0</v>
      </c>
      <c r="HR110" s="34">
        <f>IF(AND(ISNUMBER(HS110),ISNUMBER(HQ110)),HS110-HQ110,"")</f>
        <v>0</v>
      </c>
      <c r="HS110" s="39">
        <f>HQ104+HS108-HS104</f>
        <v>0</v>
      </c>
      <c r="HT110" s="34">
        <f>IF(AND(ISNUMBER(HU110),ISNUMBER(HS110)),HU110-HS110,"")</f>
        <v>0</v>
      </c>
      <c r="HU110" s="39">
        <f>HS104+HU107-HU104</f>
        <v>0</v>
      </c>
      <c r="HV110" s="34">
        <f>IF(AND(ISNUMBER(HW110),ISNUMBER(HU110)),HW110-HU110,"")</f>
        <v>0</v>
      </c>
      <c r="HW110" s="39">
        <f>HU104+HW107-HW104</f>
        <v>0</v>
      </c>
      <c r="HX110" s="34">
        <f>IF(AND(ISNUMBER(HY110),ISNUMBER(HW110)),HY110-HW110,"")</f>
        <v>0</v>
      </c>
      <c r="HY110" s="39">
        <f>HW104+HY107-HY104</f>
        <v>0</v>
      </c>
      <c r="HZ110" s="34">
        <f>IF(AND(ISNUMBER(IA110),ISNUMBER(HY110)),IA110-HY110,"")</f>
        <v>0</v>
      </c>
      <c r="IA110" s="39">
        <f>HY104+IA107-IA104</f>
        <v>0</v>
      </c>
      <c r="IB110" s="34">
        <f>IF(AND(ISNUMBER(IC110),ISNUMBER(IA110)),IC110-IA110,"")</f>
        <v>0</v>
      </c>
      <c r="IC110" s="39">
        <f>IA104+IC107-IC104</f>
        <v>0</v>
      </c>
      <c r="ID110" s="34">
        <f>IF(AND(ISNUMBER(IE110),ISNUMBER(IC110)),IE110-IC110,"")</f>
        <v>0</v>
      </c>
      <c r="IE110" s="39">
        <f>IC104+IE107-IE104</f>
        <v>0</v>
      </c>
      <c r="IF110" s="34">
        <f>IF(AND(ISNUMBER(IG110),ISNUMBER(IE110)),IG110-IE110,"")</f>
        <v>0</v>
      </c>
      <c r="IG110" s="39">
        <f>IE104+IG107-IG104</f>
        <v>0</v>
      </c>
      <c r="IH110" s="34">
        <f>IF(AND(ISNUMBER(II110),ISNUMBER(IG110)),II110-IG110,"")</f>
        <v>0</v>
      </c>
      <c r="II110" s="39">
        <f>IG104+II107-II104</f>
        <v>0</v>
      </c>
      <c r="IJ110" s="34">
        <f>IF(AND(ISNUMBER(IK110),ISNUMBER(II110)),IK110-II110,"")</f>
        <v>0</v>
      </c>
      <c r="IK110" s="39">
        <f>II104+IK107-IK104</f>
        <v>0</v>
      </c>
      <c r="IL110" s="34">
        <f>IF(AND(ISNUMBER(IM110),ISNUMBER(IK110)),IM110-IK110,"")</f>
        <v>0</v>
      </c>
      <c r="IM110" s="39">
        <f>IK105+IM107-IM105</f>
        <v>0</v>
      </c>
      <c r="IN110" s="34">
        <f>IF(AND(ISNUMBER(IO110),ISNUMBER(IM110)),IO110-IM110,"")</f>
        <v>0</v>
      </c>
      <c r="IO110" s="39">
        <f>IM104+IO107-IO104</f>
        <v>0</v>
      </c>
      <c r="IP110" s="34">
        <f>IF(AND(ISNUMBER(IQ110),ISNUMBER(IO110)),IQ110-IO110,"")</f>
        <v>0</v>
      </c>
      <c r="IQ110" s="39">
        <f>IO104+IQ107-IQ104</f>
        <v>0</v>
      </c>
      <c r="IR110" s="34">
        <f>IF(AND(ISNUMBER(IS110),ISNUMBER(IQ110)),IS110-IQ110,"")</f>
        <v>0</v>
      </c>
      <c r="IS110" s="39">
        <f>IQ104+IS107-IS104</f>
        <v>0</v>
      </c>
      <c r="IT110" s="34">
        <f>IF(AND(ISNUMBER(IU110),ISNUMBER(IS110)),IU110-IS110,"")</f>
        <v>0</v>
      </c>
      <c r="IU110" s="33">
        <v>66</v>
      </c>
      <c r="IV110" s="34">
        <f>IF(AND(ISNUMBER(IW110),ISNUMBER(IU110)),IW110-IU110,"")</f>
        <v>0</v>
      </c>
      <c r="IW110" s="39">
        <f>IU104+IW107-IW104</f>
        <v>0</v>
      </c>
      <c r="IX110" s="34">
        <f>IF(AND(ISNUMBER(IY110),ISNUMBER(IW110)),IY110-IW110,"")</f>
        <v>0</v>
      </c>
      <c r="IY110" s="39">
        <f>IW104+IY107-IY104</f>
        <v>0</v>
      </c>
      <c r="IZ110" s="34">
        <f>IF(AND(ISNUMBER(JA110),ISNUMBER(IY110)),JA110-IY110,"")</f>
        <v>0</v>
      </c>
      <c r="JA110" s="39">
        <f>IY104+JA107-JA104</f>
        <v>0</v>
      </c>
      <c r="JB110" s="34">
        <f>IF(AND(ISNUMBER(JC110),ISNUMBER(JA110)),JC110-JA110,"")</f>
        <v>0</v>
      </c>
      <c r="JC110" s="39">
        <f>JA104+JC107-JC104</f>
        <v>0</v>
      </c>
      <c r="JD110" s="34">
        <f>IF(AND(ISNUMBER(JE110),ISNUMBER(JC110)),JE110-JC110,"")</f>
        <v>0</v>
      </c>
      <c r="JE110" s="39">
        <f>JC104+JE107-JE104</f>
        <v>0</v>
      </c>
      <c r="JF110" s="34">
        <f>IF(AND(ISNUMBER(JG110),ISNUMBER(JE110)),JG110-JE110,"")</f>
        <v>0</v>
      </c>
      <c r="JG110" s="39">
        <f>JE104+JG107-JG104</f>
        <v>0</v>
      </c>
      <c r="JH110" s="34">
        <f>IF(AND(ISNUMBER(JI110),ISNUMBER(JG110)),JI110-JG110,"")</f>
        <v>0</v>
      </c>
      <c r="JI110" s="39">
        <f>JG104+JI107-JI104</f>
        <v>0</v>
      </c>
      <c r="JJ110" s="34">
        <f>IF(AND(ISNUMBER(JK110),ISNUMBER(JI110)),JK110-JI110,"")</f>
        <v>0</v>
      </c>
      <c r="JK110" s="39">
        <f>JI104+JK107-JK104</f>
        <v>0</v>
      </c>
      <c r="JL110" s="34">
        <f>IF(AND(ISNUMBER(JM110),ISNUMBER(JK110)),JM110-JK110,"")</f>
        <v>0</v>
      </c>
      <c r="JM110" s="39">
        <f>JK104+JM107-JM104</f>
        <v>0</v>
      </c>
      <c r="JN110" s="34">
        <f>IF(AND(ISNUMBER(JO110),ISNUMBER(JM110)),JO110-JM110,"")</f>
        <v>0</v>
      </c>
      <c r="JO110" s="39">
        <f>JM104+JO107-JO104</f>
        <v>0</v>
      </c>
      <c r="JP110" s="34">
        <f>IF(AND(ISNUMBER(JQ110),ISNUMBER(JO110)),JQ110-JO110,"")</f>
        <v>0</v>
      </c>
      <c r="JQ110" s="39">
        <f>JO104+JQ107-JQ104</f>
        <v>0</v>
      </c>
      <c r="JR110" s="34">
        <f>IF(AND(ISNUMBER(JS110),ISNUMBER(JQ110)),JS110-JQ110,"")</f>
        <v>0</v>
      </c>
      <c r="JS110" s="39">
        <f>JQ104+JS107-JS104</f>
        <v>0</v>
      </c>
      <c r="JT110" s="34">
        <f>IF(AND(ISNUMBER(JU110),ISNUMBER(JS110)),JU110-JS110,"")</f>
        <v>0</v>
      </c>
      <c r="JU110" s="39">
        <f>JS104+JU107-JU104</f>
        <v>0</v>
      </c>
      <c r="JV110" s="34">
        <f>IF(AND(ISNUMBER(JW110),ISNUMBER(JU110)),JW110-JU110,"")</f>
        <v>0</v>
      </c>
      <c r="JW110" s="33">
        <v>91</v>
      </c>
      <c r="JX110" s="34">
        <f>IF(AND(ISNUMBER(JY110),ISNUMBER(JW110)),JY110-JW110,"")</f>
        <v>0</v>
      </c>
      <c r="JY110" s="39">
        <f>IF(COUNT(JY107,JY104)=0,"",N(JW104)+N(JY107)-N(JY104))</f>
        <v>0</v>
      </c>
      <c r="JZ110" s="34">
        <f>IF(AND(ISNUMBER(KA110),ISNUMBER(JY110)),KA110-JY110,"")</f>
        <v>0</v>
      </c>
      <c r="KA110" s="39">
        <f>IF(COUNT(KA107,KA104)=0,"",N(JY104)+N(KA107)-N(KA104))</f>
        <v>0</v>
      </c>
      <c r="KB110" s="34">
        <f>IF(AND(ISNUMBER(KC110),ISNUMBER(KA110)),KC110-KA110,"")</f>
        <v>0</v>
      </c>
      <c r="KC110" s="39">
        <f>IF(COUNT(KC107,KC104)=0,"",N(KA104)+N(KC107)-N(KC104))</f>
        <v>0</v>
      </c>
      <c r="KD110" s="34">
        <f>IF(AND(ISNUMBER(KE110),ISNUMBER(KC110)),KE110-KC110,"")</f>
        <v>0</v>
      </c>
      <c r="KE110" s="39">
        <f>IF(COUNT(KE107,KE104)=0,"",N(KC104)+N(KE107)-N(KE104))</f>
        <v>0</v>
      </c>
      <c r="KF110" s="34">
        <f>IF(AND(ISNUMBER(KG110),ISNUMBER(KE110)),KG110-KE110,"")</f>
        <v>0</v>
      </c>
      <c r="KG110" s="39">
        <f>IF(COUNT(KG107,KG104)=0,"",N(KE104)+N(KG107)-N(KG104))</f>
        <v>0</v>
      </c>
      <c r="KH110" s="34">
        <f>IF(AND(ISNUMBER(KI110),ISNUMBER(KG110)),KI110-KG110,"")</f>
        <v>0</v>
      </c>
      <c r="KI110" s="39">
        <f>IF(COUNT(KI107,KI104)=0,"",N(KG104)+N(KI107)-N(KI104))</f>
        <v>0</v>
      </c>
      <c r="KJ110" s="34">
        <f>IF(AND(ISNUMBER(KK110),ISNUMBER(KI110)),KK110-KI110,"")</f>
        <v>0</v>
      </c>
      <c r="KK110" s="39">
        <f>IF(COUNT(KK107,KK104)=0,"",N(KI104)+N(KK107)-N(KK104))</f>
        <v>0</v>
      </c>
      <c r="KL110" s="34">
        <f>IF(AND(ISNUMBER(KM110),ISNUMBER(KK110)),KM110-KK110,"")</f>
        <v>0</v>
      </c>
      <c r="KM110" s="39">
        <f>IF(COUNT(KM107,KM104)=0,"",N(KK104)+N(KM107)-N(KM104))</f>
        <v>0</v>
      </c>
      <c r="KN110" s="34">
        <f>IF(AND(ISNUMBER(KO110),ISNUMBER(KM110)),KO110-KM110,"")</f>
        <v>0</v>
      </c>
      <c r="KO110" s="39">
        <f>IF(COUNT(KO107,KO104)=0,"",N(KM104)+N(KO107)-N(KO104))</f>
        <v>0</v>
      </c>
      <c r="KP110" s="34">
        <f>IF(AND(ISNUMBER(KQ110),ISNUMBER(KO110)),KQ110-KO110,"")</f>
        <v>0</v>
      </c>
      <c r="KQ110" s="39">
        <f>IF(COUNT(KQ107,KQ104)=0,"",N(KO104)+N(KQ107)-N(KQ104))</f>
        <v>0</v>
      </c>
      <c r="KR110" s="34">
        <f>IF(AND(ISNUMBER(KS110),ISNUMBER(KQ110)),KS110-KQ110,"")</f>
        <v>0</v>
      </c>
      <c r="KS110" s="39">
        <f>IF(COUNT(KS107,KS104)=0,"",N(KQ104)+N(KS107)-N(KS104))</f>
        <v>0</v>
      </c>
      <c r="KT110" s="34">
        <f>IF(AND(ISNUMBER(KU110),ISNUMBER(KS110)),KU110-KS110,"")</f>
        <v>0</v>
      </c>
      <c r="KU110" s="39">
        <f>IF(COUNT(KU107,KU104)=0,"",N(KS104)+N(KU107)-N(KU104))</f>
        <v>0</v>
      </c>
      <c r="KV110" s="34">
        <f>IF(AND(ISNUMBER(KW110),ISNUMBER(KU110)),KW110-KU110,"")</f>
        <v>0</v>
      </c>
      <c r="KW110" s="39">
        <f>IF(COUNT(KW107,KW104)=0,"",N(KU104)+N(KW107)-N(KW104))</f>
        <v>0</v>
      </c>
      <c r="KX110" s="34">
        <f>IF(AND(ISNUMBER(KY110),ISNUMBER(KW110)),KY110-KW110,"")</f>
        <v>0</v>
      </c>
      <c r="KY110" s="39">
        <f>IF(COUNT(KY107,KY104)=0,"",N(KW104)+N(KY107)-N(KY104))</f>
        <v>0</v>
      </c>
      <c r="KZ110" s="34">
        <f>IF(AND(ISNUMBER(LA110),ISNUMBER(KY110)),LA110-KY110,"")</f>
        <v>0</v>
      </c>
      <c r="LA110" s="39">
        <f>IF(COUNT(LA107,LA104)=0,"",N(KY104)+N(LA107)-N(LA104))</f>
        <v>0</v>
      </c>
      <c r="LB110" s="34">
        <f>IF(AND(ISNUMBER(LC110),ISNUMBER(LA110)),LC110-LA110,"")</f>
        <v>0</v>
      </c>
      <c r="LC110" s="39">
        <f>IF(COUNT(LC107,LC104)=0,"",N(LA104)+N(LC107)-N(LC104))</f>
        <v>0</v>
      </c>
      <c r="LD110" s="34">
        <f>IF(AND(ISNUMBER(LE110),ISNUMBER(LC110)),LE110-LC110,"")</f>
        <v>0</v>
      </c>
      <c r="LE110" s="39">
        <f>IF(COUNT(LE107,LE104)=0,"",N(LC104)+N(LE107)-N(LE104))</f>
        <v>0</v>
      </c>
      <c r="LF110" s="34">
        <f>IF(AND(ISNUMBER(LG110),ISNUMBER(LE110)),LG110-LE110,"")</f>
        <v>0</v>
      </c>
      <c r="LG110" s="39">
        <f>IF(COUNT(LG107,LG104)=0,"",N(LE104)+N(LG107)-N(LG104))</f>
        <v>0</v>
      </c>
    </row>
    <row r="111" spans="1:322">
      <c r="A111" s="36" t="s">
        <v>107</v>
      </c>
      <c r="B111" s="23"/>
      <c r="C111" s="37" t="s">
        <v>786</v>
      </c>
      <c r="D111" s="37" t="s">
        <v>832</v>
      </c>
      <c r="E111" s="25"/>
      <c r="I111" s="33"/>
      <c r="J111" s="34">
        <f>IF(AND(ISNUMBER(K111),ISNUMBER(I111)),K111-I111,"")</f>
        <v>0</v>
      </c>
      <c r="K111" s="33"/>
      <c r="L111" s="34">
        <f>IF(AND(ISNUMBER(M111),ISNUMBER(K111)),M111-K111,"")</f>
        <v>0</v>
      </c>
      <c r="M111" s="33"/>
      <c r="N111" s="34">
        <f>IF(AND(ISNUMBER(O111),ISNUMBER(M111)),O111-M111,"")</f>
        <v>0</v>
      </c>
      <c r="O111" s="33"/>
      <c r="P111" s="34">
        <f>IF(AND(ISNUMBER(Q111),ISNUMBER(O111)),Q111-O111,"")</f>
        <v>0</v>
      </c>
      <c r="Q111" s="33"/>
      <c r="R111" s="34">
        <f>IF(AND(ISNUMBER(S111),ISNUMBER(Q111)),S111-Q111,"")</f>
        <v>0</v>
      </c>
      <c r="S111" s="33"/>
      <c r="T111" s="34">
        <f>IF(AND(ISNUMBER(U111),ISNUMBER(S111)),U111-S111,"")</f>
        <v>0</v>
      </c>
      <c r="U111" s="33"/>
      <c r="V111" s="34">
        <f>IF(AND(ISNUMBER(W111),ISNUMBER(U111)),W111-U111,"")</f>
        <v>0</v>
      </c>
      <c r="W111" s="33"/>
      <c r="X111" s="34">
        <f>IF(AND(ISNUMBER(Y111),ISNUMBER(W111)),Y111-W111,"")</f>
        <v>0</v>
      </c>
      <c r="Y111" s="33"/>
      <c r="Z111" s="34">
        <f>IF(AND(ISNUMBER(AA111),ISNUMBER(Y111)),AA111-Y111,"")</f>
        <v>0</v>
      </c>
      <c r="AA111" s="33"/>
      <c r="AB111" s="34">
        <f>IF(AND(ISNUMBER(AC111),ISNUMBER(AA111)),AC111-AA111,"")</f>
        <v>0</v>
      </c>
      <c r="AC111" s="33"/>
      <c r="AD111" s="34">
        <f>IF(AND(ISNUMBER(AE111),ISNUMBER(AC111)),AE111-AC111,"")</f>
        <v>0</v>
      </c>
      <c r="AE111" s="33"/>
      <c r="AF111" s="34">
        <f>IF(AND(ISNUMBER(AG111),ISNUMBER(AE111)),AG111-AE111,"")</f>
        <v>0</v>
      </c>
      <c r="AG111" s="33"/>
      <c r="AH111" s="34">
        <f>IF(AND(ISNUMBER(AI111),ISNUMBER(AG111)),AI111-AG111,"")</f>
        <v>0</v>
      </c>
      <c r="AI111" s="33"/>
      <c r="AJ111" s="34">
        <f>IF(AND(ISNUMBER(AK111),ISNUMBER(AI111)),AK111-AI111,"")</f>
        <v>0</v>
      </c>
      <c r="AK111" s="33"/>
      <c r="AL111" s="34">
        <f>IF(AND(ISNUMBER(AM111),ISNUMBER(AK111)),AM111-AK111,"")</f>
        <v>0</v>
      </c>
      <c r="AM111" s="33"/>
      <c r="AN111" s="34">
        <f>IF(AND(ISNUMBER(AO111),ISNUMBER(AM111)),AO111-AM111,"")</f>
        <v>0</v>
      </c>
      <c r="AO111" s="33"/>
      <c r="AP111" s="34">
        <f>IF(AND(ISNUMBER(AQ111),ISNUMBER(AO111)),AQ111-AO111,"")</f>
        <v>0</v>
      </c>
      <c r="AQ111" s="33"/>
      <c r="AR111" s="34">
        <f>IF(AND(ISNUMBER(AS111),ISNUMBER(AQ111)),AS111-AQ111,"")</f>
        <v>0</v>
      </c>
      <c r="AS111" s="33"/>
      <c r="AT111" s="34">
        <f>IF(AND(ISNUMBER(AU111),ISNUMBER(AS111)),AU111-AS111,"")</f>
        <v>0</v>
      </c>
      <c r="AU111" s="33"/>
      <c r="AV111" s="34">
        <f>IF(AND(ISNUMBER(AW111),ISNUMBER(AU111)),AW111-AU111,"")</f>
        <v>0</v>
      </c>
      <c r="AW111" s="33"/>
      <c r="AX111" s="34">
        <f>IF(AND(ISNUMBER(AY111),ISNUMBER(AW111)),AY111-AW111,"")</f>
        <v>0</v>
      </c>
      <c r="AY111" s="33"/>
      <c r="AZ111" s="34">
        <f>IF(AND(ISNUMBER(BA111),ISNUMBER(AY111)),BA111-AY111,"")</f>
        <v>0</v>
      </c>
      <c r="BA111" s="33"/>
      <c r="BB111" s="34">
        <f>IF(AND(ISNUMBER(BC111),ISNUMBER(BA111)),BC111-BA111,"")</f>
        <v>0</v>
      </c>
      <c r="BC111" s="33"/>
      <c r="BD111" s="34">
        <f>IF(AND(ISNUMBER(BE111),ISNUMBER(BC111)),BE111-BC111,"")</f>
        <v>0</v>
      </c>
      <c r="BE111" s="33"/>
      <c r="BF111" s="34">
        <f>IF(AND(ISNUMBER(BG111),ISNUMBER(BE111)),BG111-BE111,"")</f>
        <v>0</v>
      </c>
      <c r="BG111" s="33"/>
      <c r="BH111" s="34">
        <f>IF(AND(ISNUMBER(BI111),ISNUMBER(BG111)),BI111-BG111,"")</f>
        <v>0</v>
      </c>
      <c r="BI111" s="33"/>
      <c r="BJ111" s="34">
        <f>IF(AND(ISNUMBER(BK111),ISNUMBER(BI111)),BK111-BI111,"")</f>
        <v>0</v>
      </c>
      <c r="BK111" s="33"/>
      <c r="BL111" s="34">
        <f>IF(AND(ISNUMBER(BM111),ISNUMBER(BK111)),BM111-BK111,"")</f>
        <v>0</v>
      </c>
      <c r="BM111" s="33"/>
      <c r="BN111" s="34">
        <f>IF(AND(ISNUMBER(BO111),ISNUMBER(BM111)),BO111-BM111,"")</f>
        <v>0</v>
      </c>
      <c r="BO111" s="33"/>
      <c r="BP111" s="34">
        <f>IF(AND(ISNUMBER(BQ111),ISNUMBER(BO111)),BQ111-BO111,"")</f>
        <v>0</v>
      </c>
      <c r="BQ111" s="33"/>
      <c r="BR111" s="34">
        <f>IF(AND(ISNUMBER(BS111),ISNUMBER(BQ111)),BS111-BQ111,"")</f>
        <v>0</v>
      </c>
      <c r="BS111" s="33"/>
      <c r="BT111" s="34">
        <f>IF(AND(ISNUMBER(BU111),ISNUMBER(BS111)),BU111-BS111,"")</f>
        <v>0</v>
      </c>
      <c r="BU111" s="33"/>
      <c r="BV111" s="34">
        <f>IF(AND(ISNUMBER(BW111),ISNUMBER(BU111)),BW111-BU111,"")</f>
        <v>0</v>
      </c>
      <c r="BW111" s="33"/>
      <c r="BX111" s="34">
        <f>IF(AND(ISNUMBER(BY111),ISNUMBER(BW111)),BY111-BW111,"")</f>
        <v>0</v>
      </c>
      <c r="BY111" s="33"/>
      <c r="BZ111" s="34">
        <f>IF(AND(ISNUMBER(CA111),ISNUMBER(BY111)),CA111-BY111,"")</f>
        <v>0</v>
      </c>
      <c r="CA111" s="33"/>
      <c r="CB111" s="34">
        <f>IF(AND(ISNUMBER(CC111),ISNUMBER(CA111)),CC111-CA111,"")</f>
        <v>0</v>
      </c>
      <c r="CC111" s="33"/>
      <c r="CD111" s="34">
        <f>IF(AND(ISNUMBER(CE111),ISNUMBER(CC111)),CE111-CC111,"")</f>
        <v>0</v>
      </c>
      <c r="CE111" s="33"/>
      <c r="CF111" s="34">
        <f>IF(AND(ISNUMBER(CG111),ISNUMBER(CE111)),CG111-CE111,"")</f>
        <v>0</v>
      </c>
      <c r="CG111" s="33"/>
      <c r="CH111" s="34">
        <f>IF(AND(ISNUMBER(CI111),ISNUMBER(CG111)),CI111-CG111,"")</f>
        <v>0</v>
      </c>
      <c r="CI111" s="33"/>
      <c r="CJ111" s="34">
        <f>IF(AND(ISNUMBER(CK111),ISNUMBER(CI111)),CK111-CI111,"")</f>
        <v>0</v>
      </c>
      <c r="CK111" s="33"/>
      <c r="CL111" s="34">
        <f>IF(AND(ISNUMBER(CM111),ISNUMBER(CK111)),CM111-CK111,"")</f>
        <v>0</v>
      </c>
      <c r="CM111" s="33"/>
      <c r="CN111" s="34">
        <f>IF(AND(ISNUMBER(CO111),ISNUMBER(CM111)),CO111-CM111,"")</f>
        <v>0</v>
      </c>
      <c r="CO111" s="33"/>
      <c r="CP111" s="34">
        <f>IF(AND(ISNUMBER(CQ111),ISNUMBER(CO111)),CQ111-CO111,"")</f>
        <v>0</v>
      </c>
      <c r="CQ111" s="33"/>
      <c r="CR111" s="34">
        <f>IF(AND(ISNUMBER(CS111),ISNUMBER(CQ111)),CS111-CQ111,"")</f>
        <v>0</v>
      </c>
      <c r="CS111" s="33"/>
      <c r="CT111" s="34">
        <f>IF(AND(ISNUMBER(CU111),ISNUMBER(CS111)),CU111-CS111,"")</f>
        <v>0</v>
      </c>
      <c r="CU111" s="33"/>
      <c r="CV111" s="34">
        <f>IF(AND(ISNUMBER(CW111),ISNUMBER(CU111)),CW111-CU111,"")</f>
        <v>0</v>
      </c>
      <c r="CW111" s="33"/>
      <c r="CX111" s="34">
        <f>IF(AND(ISNUMBER(CY111),ISNUMBER(CW111)),CY111-CW111,"")</f>
        <v>0</v>
      </c>
      <c r="CY111" s="33"/>
      <c r="CZ111" s="34">
        <f>IF(AND(ISNUMBER(DA111),ISNUMBER(CY111)),DA111-CY111,"")</f>
        <v>0</v>
      </c>
      <c r="DA111" s="33"/>
      <c r="DB111" s="34">
        <f>IF(AND(ISNUMBER(DC111),ISNUMBER(DA111)),DC111-DA111,"")</f>
        <v>0</v>
      </c>
      <c r="DC111" s="33"/>
      <c r="DD111" s="34">
        <f>IF(AND(ISNUMBER(DE111),ISNUMBER(DC111)),DE111-DC111,"")</f>
        <v>0</v>
      </c>
      <c r="DE111" s="33"/>
      <c r="DF111" s="34">
        <f>IF(AND(ISNUMBER(DG111),ISNUMBER(DE111)),DG111-DE111,"")</f>
        <v>0</v>
      </c>
      <c r="DG111" s="33"/>
      <c r="DH111" s="34">
        <f>IF(AND(ISNUMBER(DI111),ISNUMBER(DG111)),DI111-DG111,"")</f>
        <v>0</v>
      </c>
      <c r="DI111" s="33"/>
      <c r="DJ111" s="34">
        <f>IF(AND(ISNUMBER(DK111),ISNUMBER(DI111)),DK111-DI111,"")</f>
        <v>0</v>
      </c>
      <c r="DK111" s="33"/>
      <c r="DL111" s="34">
        <f>IF(AND(ISNUMBER(DM111),ISNUMBER(DK111)),DM111-DK111,"")</f>
        <v>0</v>
      </c>
      <c r="DM111" s="33"/>
      <c r="DN111" s="34">
        <f>IF(AND(ISNUMBER(DO111),ISNUMBER(DM111)),DO111-DM111,"")</f>
        <v>0</v>
      </c>
      <c r="DO111" s="33"/>
      <c r="DP111" s="34">
        <f>IF(AND(ISNUMBER(DQ111),ISNUMBER(DO111)),DQ111-DO111,"")</f>
        <v>0</v>
      </c>
      <c r="DQ111" s="33"/>
      <c r="DR111" s="34">
        <f>IF(AND(ISNUMBER(DS111),ISNUMBER(DQ111)),DS111-DQ111,"")</f>
        <v>0</v>
      </c>
      <c r="DS111" s="33"/>
      <c r="DT111" s="34">
        <f>IF(AND(ISNUMBER(DU111),ISNUMBER(DS111)),DU111-DS111,"")</f>
        <v>0</v>
      </c>
      <c r="DU111" s="39">
        <f>IF(COUNT(DU109:DU110)=0,"",SUM(DU109:DU110))</f>
        <v>0</v>
      </c>
      <c r="DV111" s="34">
        <f>IF(AND(ISNUMBER(DW111),ISNUMBER(DU111)),DW111-DU111,"")</f>
        <v>0</v>
      </c>
      <c r="DW111" s="39">
        <f>IF(COUNT(DW109:DW110)=0,"",SUM(DW109:DW110))</f>
        <v>0</v>
      </c>
      <c r="DX111" s="34">
        <f>IF(AND(ISNUMBER(DY111),ISNUMBER(DW111)),DY111-DW111,"")</f>
        <v>0</v>
      </c>
      <c r="DY111" s="39">
        <f>IF(COUNT(DY109:DY110)=0,"",SUM(DY109:DY110))</f>
        <v>0</v>
      </c>
      <c r="DZ111" s="34">
        <f>IF(AND(ISNUMBER(EA111),ISNUMBER(DY111)),EA111-DY111,"")</f>
        <v>0</v>
      </c>
      <c r="EA111" s="39">
        <f>IF(COUNT(EA109:EA110)=0,"",SUM(EA109:EA110))</f>
        <v>0</v>
      </c>
      <c r="EB111" s="34">
        <f>IF(AND(ISNUMBER(EC111),ISNUMBER(EA111)),EC111-EA111,"")</f>
        <v>0</v>
      </c>
      <c r="EC111" s="39">
        <f>IF(COUNT(EC109:EC110)=0,"",SUM(EC109:EC110))</f>
        <v>0</v>
      </c>
      <c r="ED111" s="34">
        <f>IF(AND(ISNUMBER(EE111),ISNUMBER(EC111)),EE111-EC111,"")</f>
        <v>0</v>
      </c>
      <c r="EE111" s="39">
        <f>IF(COUNT(EE109:EE110)=0,"",SUM(EE109:EE110))</f>
        <v>0</v>
      </c>
      <c r="EF111" s="34">
        <f>IF(AND(ISNUMBER(EG111),ISNUMBER(EE111)),EG111-EE111,"")</f>
        <v>0</v>
      </c>
      <c r="EG111" s="39">
        <f>IF(COUNT(EG109:EG110)=0,"",SUM(EG109:EG110))</f>
        <v>0</v>
      </c>
      <c r="EH111" s="34">
        <f>IF(AND(ISNUMBER(EI111),ISNUMBER(EG111)),EI111-EG111,"")</f>
        <v>0</v>
      </c>
      <c r="EI111" s="39">
        <f>IF(COUNT(EI109:EI110)=0,"",SUM(EI109:EI110))</f>
        <v>0</v>
      </c>
      <c r="EJ111" s="34">
        <f>IF(AND(ISNUMBER(EK111),ISNUMBER(EI111)),EK111-EI111,"")</f>
        <v>0</v>
      </c>
      <c r="EK111" s="39">
        <f>IF(COUNT(EK109:EK110)=0,"",SUM(EK109:EK110))</f>
        <v>0</v>
      </c>
      <c r="EL111" s="34">
        <f>IF(AND(ISNUMBER(EM111),ISNUMBER(EK111)),EM111-EK111,"")</f>
        <v>0</v>
      </c>
      <c r="EM111" s="39">
        <f>IF(COUNT(EM109:EM110)=0,"",SUM(EM109:EM110))</f>
        <v>0</v>
      </c>
      <c r="EN111" s="34">
        <f>IF(AND(ISNUMBER(EO111),ISNUMBER(EM111)),EO111-EM111,"")</f>
        <v>0</v>
      </c>
      <c r="EO111" s="39">
        <f>IF(COUNT(EO109:EO110)=0,"",SUM(EO109:EO110))</f>
        <v>0</v>
      </c>
      <c r="EP111" s="34">
        <f>IF(AND(ISNUMBER(EQ111),ISNUMBER(EO111)),EQ111-EO111,"")</f>
        <v>0</v>
      </c>
      <c r="EQ111" s="39">
        <f>IF(COUNT(EQ109:EQ110)=0,"",SUM(EQ109:EQ110))</f>
        <v>0</v>
      </c>
      <c r="ER111" s="34">
        <f>IF(AND(ISNUMBER(ES111),ISNUMBER(EQ111)),ES111-EQ111,"")</f>
        <v>0</v>
      </c>
      <c r="ES111" s="39">
        <f>IF(COUNT(ES109:ES110)=0,"",SUM(ES109:ES110))</f>
        <v>0</v>
      </c>
      <c r="ET111" s="34">
        <f>IF(AND(ISNUMBER(EU111),ISNUMBER(ES111)),EU111-ES111,"")</f>
        <v>0</v>
      </c>
      <c r="EU111" s="39">
        <f>IF(COUNT(EU109:EU110)=0,"",SUM(EU109:EU110))</f>
        <v>0</v>
      </c>
      <c r="EV111" s="34">
        <f>IF(AND(ISNUMBER(EW111),ISNUMBER(EU111)),EW111-EU111,"")</f>
        <v>0</v>
      </c>
      <c r="EW111" s="39">
        <f>IF(COUNT(EW109:EW110)=0,"",SUM(EW109:EW110))</f>
        <v>0</v>
      </c>
      <c r="EX111" s="34">
        <f>IF(AND(ISNUMBER(EY111),ISNUMBER(EW111)),EY111-EW111,"")</f>
        <v>0</v>
      </c>
      <c r="EY111" s="39">
        <f>IF(COUNT(EY109:EY110)=0,"",SUM(EY109:EY110))</f>
        <v>0</v>
      </c>
      <c r="EZ111" s="34">
        <f>IF(AND(ISNUMBER(FA111),ISNUMBER(EY111)),FA111-EY111,"")</f>
        <v>0</v>
      </c>
      <c r="FA111" s="39">
        <f>IF(COUNT(FA109:FA110)=0,"",SUM(FA109:FA110))</f>
        <v>0</v>
      </c>
      <c r="FB111" s="34">
        <f>IF(AND(ISNUMBER(FC111),ISNUMBER(FA111)),FC111-FA111,"")</f>
        <v>0</v>
      </c>
      <c r="FC111" s="39">
        <f>IF(COUNT(FC109:FC110)=0,"",SUM(FC109:FC110))</f>
        <v>0</v>
      </c>
      <c r="FD111" s="34">
        <f>IF(AND(ISNUMBER(FE111),ISNUMBER(FC111)),FE111-FC111,"")</f>
        <v>0</v>
      </c>
      <c r="FE111" s="39">
        <f>IF(COUNT(FE109:FE110)=0,"",SUM(FE109:FE110))</f>
        <v>0</v>
      </c>
      <c r="FF111" s="34">
        <f>IF(AND(ISNUMBER(FG111),ISNUMBER(FE111)),FG111-FE111,"")</f>
        <v>0</v>
      </c>
      <c r="FG111" s="39">
        <f>IF(COUNT(FG109:FG110)=0,"",SUM(FG109:FG110))</f>
        <v>0</v>
      </c>
      <c r="FH111" s="34">
        <f>IF(AND(ISNUMBER(FI111),ISNUMBER(FG111)),FI111-FG111,"")</f>
        <v>0</v>
      </c>
      <c r="FI111" s="39">
        <f>IF(COUNT(FI109:FI110)=0,"",SUM(FI109:FI110))</f>
        <v>0</v>
      </c>
      <c r="FJ111" s="34">
        <f>IF(AND(ISNUMBER(FK111),ISNUMBER(FI111)),FK111-FI111,"")</f>
        <v>0</v>
      </c>
      <c r="FK111" s="39">
        <f>IF(COUNT(FK109:FK110)=0,"",SUM(FK109:FK110))</f>
        <v>0</v>
      </c>
      <c r="FL111" s="34">
        <f>IF(AND(ISNUMBER(FM111),ISNUMBER(FK111)),FM111-FK111,"")</f>
        <v>0</v>
      </c>
      <c r="FM111" s="39">
        <f>IF(COUNT(FM109:FM110)=0,"",SUM(FM109:FM110))</f>
        <v>0</v>
      </c>
      <c r="FN111" s="34">
        <f>IF(AND(ISNUMBER(FO111),ISNUMBER(FM111)),FO111-FM111,"")</f>
        <v>0</v>
      </c>
      <c r="FO111" s="39">
        <f>IF(COUNT(FO109,FO110)=0,"",FO109+FO110)</f>
        <v>0</v>
      </c>
      <c r="FP111" s="34">
        <f>IF(AND(ISNUMBER(FQ111),ISNUMBER(FO111)),FQ111-FO111,"")</f>
        <v>0</v>
      </c>
      <c r="FQ111" s="39">
        <f>IF(COUNT(FQ110,FQ109)=0,"",FQ110+FQ109)</f>
        <v>0</v>
      </c>
      <c r="FR111" s="34">
        <f>IF(AND(ISNUMBER(FS111),ISNUMBER(FQ111)),FS111-FQ111,"")</f>
        <v>0</v>
      </c>
      <c r="FS111" s="39">
        <f>IF(COUNT(FS109,FS110)=0,"",FS109+FS110)</f>
        <v>0</v>
      </c>
      <c r="FT111" s="34">
        <f>IF(AND(ISNUMBER(FU111),ISNUMBER(FS111)),FU111-FS111,"")</f>
        <v>0</v>
      </c>
      <c r="FU111" s="39">
        <f>IF(COUNT(FU109,FU110)=0,"",FU109+FU110)</f>
        <v>0</v>
      </c>
      <c r="FV111" s="34">
        <f>IF(AND(ISNUMBER(FW111),ISNUMBER(FU111)),FW111-FU111,"")</f>
        <v>0</v>
      </c>
      <c r="FW111" s="39">
        <f>IF(COUNT(FW109,FW110)=0,"",FW109+FW110)</f>
        <v>0</v>
      </c>
      <c r="FX111" s="34">
        <f>IF(AND(ISNUMBER(FY111),ISNUMBER(FW111)),FY111-FW111,"")</f>
        <v>0</v>
      </c>
      <c r="FY111" s="39">
        <f>IF(COUNT(FY109,FY110)=0,"",FY109+FY110)</f>
        <v>0</v>
      </c>
      <c r="FZ111" s="34">
        <f>IF(AND(ISNUMBER(GA111),ISNUMBER(FY111)),GA111-FY111,"")</f>
        <v>0</v>
      </c>
      <c r="GA111" s="39">
        <f>IF(COUNT(GA109,GA110)=0,"",GA109+GA110)</f>
        <v>0</v>
      </c>
      <c r="GB111" s="34">
        <f>IF(AND(ISNUMBER(GC111),ISNUMBER(GA111)),GC111-GA111,"")</f>
        <v>0</v>
      </c>
      <c r="GC111" s="39">
        <f>IF(COUNT(GC109,GC110)=0,"",GC109+GC110)</f>
        <v>0</v>
      </c>
      <c r="GD111" s="34">
        <f>IF(AND(ISNUMBER(GE111),ISNUMBER(GC111)),GE111-GC111,"")</f>
        <v>0</v>
      </c>
      <c r="GE111" s="39">
        <f>IF(COUNT(GE109,GE110)=0,"",GE109+GE110)</f>
        <v>0</v>
      </c>
      <c r="GF111" s="34">
        <f>IF(AND(ISNUMBER(GG111),ISNUMBER(GE111)),GG111-GE111,"")</f>
        <v>0</v>
      </c>
      <c r="GG111" s="39">
        <f>IF(COUNT(GG109,GG110)=0,"",GG109+GG110)</f>
        <v>0</v>
      </c>
      <c r="GH111" s="34">
        <f>IF(AND(ISNUMBER(GI111),ISNUMBER(GG111)),GI111-GG111,"")</f>
        <v>0</v>
      </c>
      <c r="GI111" s="39">
        <f>IF(COUNT(GI109,GI110)=0,"",GI109+GI110)</f>
        <v>0</v>
      </c>
      <c r="GJ111" s="34">
        <f>IF(AND(ISNUMBER(GK111),ISNUMBER(GI111)),GK111-GI111,"")</f>
        <v>0</v>
      </c>
      <c r="GK111" s="39">
        <f>IF(COUNT(GK109,GK110)=0,"",GK109+GK110)</f>
        <v>0</v>
      </c>
      <c r="GL111" s="34">
        <f>IF(AND(ISNUMBER(GM111),ISNUMBER(GK111)),GM111-GK111,"")</f>
        <v>0</v>
      </c>
      <c r="GM111" s="39">
        <f>IF(COUNT(GM109,GM110)=0,"",GM109+GM110)</f>
        <v>0</v>
      </c>
      <c r="GN111" s="34">
        <f>IF(AND(ISNUMBER(GO111),ISNUMBER(GM111)),GO111-GM111,"")</f>
        <v>0</v>
      </c>
      <c r="GO111" s="39">
        <f>IF(COUNT(GO109,GO110)=0,"",GO109+GO110)</f>
        <v>0</v>
      </c>
      <c r="GP111" s="34">
        <f>IF(AND(ISNUMBER(GQ111),ISNUMBER(GO111)),GQ111-GO111,"")</f>
        <v>0</v>
      </c>
      <c r="GQ111" s="39">
        <f>IF(COUNT(GQ109,GQ110)=0,"",GQ109+GQ110)</f>
        <v>0</v>
      </c>
      <c r="GR111" s="34">
        <f>IF(AND(ISNUMBER(GS111),ISNUMBER(GQ111)),GS111-GQ111,"")</f>
        <v>0</v>
      </c>
      <c r="GS111" s="39">
        <f>IF(COUNT(GS109,GS110)=0,"",GS109+GS110)</f>
        <v>0</v>
      </c>
      <c r="GT111" s="34">
        <f>IF(AND(ISNUMBER(GU111),ISNUMBER(GS111)),GU111-GS111,"")</f>
        <v>0</v>
      </c>
      <c r="GU111" s="39">
        <f>IF(COUNT(GU109,GU110)=0,"",GU109+GU110)</f>
        <v>0</v>
      </c>
      <c r="GV111" s="34">
        <f>IF(AND(ISNUMBER(GW111),ISNUMBER(GU111)),GW111-GU111,"")</f>
        <v>0</v>
      </c>
      <c r="GW111" s="39">
        <f>IF(COUNT(GW109,GW110)=0,"",GW109+GW110)</f>
        <v>0</v>
      </c>
      <c r="GX111" s="34">
        <f>IF(AND(ISNUMBER(GY111),ISNUMBER(GW111)),GY111-GW111,"")</f>
        <v>0</v>
      </c>
      <c r="GY111" s="39">
        <f>IF(COUNT(GY109,GY110)=0,"",GY109+GY110)</f>
        <v>0</v>
      </c>
      <c r="GZ111" s="34">
        <f>IF(AND(ISNUMBER(HA111),ISNUMBER(GY111)),HA111-GY111,"")</f>
        <v>0</v>
      </c>
      <c r="HA111" s="39">
        <f>IF(COUNT(HA109,HA110)=0,"",HA109+HA110)</f>
        <v>0</v>
      </c>
      <c r="HB111" s="34">
        <f>IF(AND(ISNUMBER(HC111),ISNUMBER(HA111)),HC111-HA111,"")</f>
        <v>0</v>
      </c>
      <c r="HC111" s="39">
        <f>IF(COUNT(HC109,HC110)=0,"",HC109+HC110)</f>
        <v>0</v>
      </c>
      <c r="HD111" s="34">
        <f>IF(AND(ISNUMBER(HE111),ISNUMBER(HC111)),HE111-HC111,"")</f>
        <v>0</v>
      </c>
      <c r="HE111" s="39">
        <f>IF(COUNT(HE109,HE110)=0,"",HE109+HE110)</f>
        <v>0</v>
      </c>
      <c r="HF111" s="34">
        <f>IF(AND(ISNUMBER(HG111),ISNUMBER(HE111)),HG111-HE111,"")</f>
        <v>0</v>
      </c>
      <c r="HG111" s="39">
        <f>IF(COUNT(HG109,HG110)=0,"",HG109+HG110)</f>
        <v>0</v>
      </c>
      <c r="HH111" s="34">
        <f>IF(AND(ISNUMBER(HI111),ISNUMBER(HG111)),HI111-HG111,"")</f>
        <v>0</v>
      </c>
      <c r="HI111" s="39">
        <f>IF(COUNT(HI109,HI110)=0,"",HI109+HI110)</f>
        <v>0</v>
      </c>
      <c r="HJ111" s="34">
        <f>IF(AND(ISNUMBER(HK111),ISNUMBER(HI111)),HK111-HI111,"")</f>
        <v>0</v>
      </c>
      <c r="HK111" s="39">
        <f>IF(COUNT(HK109,HK110)=0,"",HK109+HK110)</f>
        <v>0</v>
      </c>
      <c r="HL111" s="34">
        <f>IF(AND(ISNUMBER(HM111),ISNUMBER(HK111)),HM111-HK111,"")</f>
        <v>0</v>
      </c>
      <c r="HM111" s="39">
        <f>IF(COUNT(HM109,HM110)=0,"",HM109+HM110)</f>
        <v>0</v>
      </c>
      <c r="HN111" s="34">
        <f>IF(AND(ISNUMBER(HO111),ISNUMBER(HM111)),HO111-HM111,"")</f>
        <v>0</v>
      </c>
      <c r="HO111" s="39">
        <f>IF(COUNT(HO109,HO110)=0,"",HO109+HO110)</f>
        <v>0</v>
      </c>
      <c r="HP111" s="34">
        <f>IF(AND(ISNUMBER(HQ111),ISNUMBER(HO111)),HQ111-HO111,"")</f>
        <v>0</v>
      </c>
      <c r="HQ111" s="39">
        <f>IF(COUNT(HQ109,HQ110)=0,"",HQ109+HQ110)</f>
        <v>0</v>
      </c>
      <c r="HR111" s="34">
        <f>IF(AND(ISNUMBER(HS111),ISNUMBER(HQ111)),HS111-HQ111,"")</f>
        <v>0</v>
      </c>
      <c r="HS111" s="39">
        <f>IF(COUNT(HS109,HS110)=0,"",HS109+HS110)</f>
        <v>0</v>
      </c>
      <c r="HT111" s="34">
        <f>IF(AND(ISNUMBER(HU111),ISNUMBER(HS111)),HU111-HS111,"")</f>
        <v>0</v>
      </c>
      <c r="HU111" s="39">
        <f>IF(COUNT(HU109,HU110)=0,"",HU109+HU110)</f>
        <v>0</v>
      </c>
      <c r="HV111" s="34">
        <f>IF(AND(ISNUMBER(HW111),ISNUMBER(HU111)),HW111-HU111,"")</f>
        <v>0</v>
      </c>
      <c r="HW111" s="39">
        <f>IF(COUNT(HW109,HW110)=0,"",HW109+HW110)</f>
        <v>0</v>
      </c>
      <c r="HX111" s="34">
        <f>IF(AND(ISNUMBER(HY111),ISNUMBER(HW111)),HY111-HW111,"")</f>
        <v>0</v>
      </c>
      <c r="HY111" s="39">
        <f>IF(COUNT(HY109,HY110)=0,"",HY109+HY110)</f>
        <v>0</v>
      </c>
      <c r="HZ111" s="34">
        <f>IF(AND(ISNUMBER(IA111),ISNUMBER(HY111)),IA111-HY111,"")</f>
        <v>0</v>
      </c>
      <c r="IA111" s="39">
        <f>IF(COUNT(IA109,IA110)=0,"",IA109+IA110)</f>
        <v>0</v>
      </c>
      <c r="IB111" s="34">
        <f>IF(AND(ISNUMBER(IC111),ISNUMBER(IA111)),IC111-IA111,"")</f>
        <v>0</v>
      </c>
      <c r="IC111" s="39">
        <f>IF(COUNT(IC109,IC110)=0,"",IC109+IC110)</f>
        <v>0</v>
      </c>
      <c r="ID111" s="34">
        <f>IF(AND(ISNUMBER(IE111),ISNUMBER(IC111)),IE111-IC111,"")</f>
        <v>0</v>
      </c>
      <c r="IE111" s="39">
        <f>IF(COUNT(IE109,IE110)=0,"",IE109+IE110)</f>
        <v>0</v>
      </c>
      <c r="IF111" s="34">
        <f>IF(AND(ISNUMBER(IG111),ISNUMBER(IE111)),IG111-IE111,"")</f>
        <v>0</v>
      </c>
      <c r="IG111" s="39">
        <f>IF(COUNT(IG109,IG110)=0,"",IG109+IG110)</f>
        <v>0</v>
      </c>
      <c r="IH111" s="34">
        <f>IF(AND(ISNUMBER(II111),ISNUMBER(IG111)),II111-IG111,"")</f>
        <v>0</v>
      </c>
      <c r="II111" s="39">
        <f>IF(COUNT(II109,II110)=0,"",II109+II110)</f>
        <v>0</v>
      </c>
      <c r="IJ111" s="34">
        <f>IF(AND(ISNUMBER(IK111),ISNUMBER(II111)),IK111-II111,"")</f>
        <v>0</v>
      </c>
      <c r="IK111" s="39">
        <f>IF(COUNT(IK109,IK110)=0,"",IK109+IK110)</f>
        <v>0</v>
      </c>
      <c r="IL111" s="34">
        <f>IF(AND(ISNUMBER(IM111),ISNUMBER(IK111)),IM111-IK111,"")</f>
        <v>0</v>
      </c>
      <c r="IM111" s="39">
        <f>IF(COUNT(IM109,IM110)=0,"",IM109+IM110)</f>
        <v>0</v>
      </c>
      <c r="IN111" s="34">
        <f>IF(AND(ISNUMBER(IO111),ISNUMBER(IM111)),IO111-IM111,"")</f>
        <v>0</v>
      </c>
      <c r="IO111" s="39">
        <f>IF(COUNT(IO109,IO110)=0,"",IO109+IO110)</f>
        <v>0</v>
      </c>
      <c r="IP111" s="34">
        <f>IF(AND(ISNUMBER(IQ111),ISNUMBER(IO111)),IQ111-IO111,"")</f>
        <v>0</v>
      </c>
      <c r="IQ111" s="39">
        <f>IF(COUNT(IQ109,IQ110)=0,"",IQ109+IQ110)</f>
        <v>0</v>
      </c>
      <c r="IR111" s="34">
        <f>IF(AND(ISNUMBER(IS111),ISNUMBER(IQ111)),IS111-IQ111,"")</f>
        <v>0</v>
      </c>
      <c r="IS111" s="39">
        <f>IF(COUNT(IS109,IS110)=0,"",IS109+IS110)</f>
        <v>0</v>
      </c>
      <c r="IT111" s="34">
        <f>IF(AND(ISNUMBER(IU111),ISNUMBER(IS111)),IU111-IS111,"")</f>
        <v>0</v>
      </c>
      <c r="IU111" s="33">
        <v>68</v>
      </c>
      <c r="IV111" s="34">
        <f>IF(AND(ISNUMBER(IW111),ISNUMBER(IU111)),IW111-IU111,"")</f>
        <v>0</v>
      </c>
      <c r="IW111" s="39">
        <f>IF(COUNT(IW109,IW110)=0,"",IW109+IW110)</f>
        <v>0</v>
      </c>
      <c r="IX111" s="34">
        <f>IF(AND(ISNUMBER(IY111),ISNUMBER(IW111)),IY111-IW111,"")</f>
        <v>0</v>
      </c>
      <c r="IY111" s="39">
        <f>IF(COUNT(IY109,IY110)=0,"",IY109+IY110)</f>
        <v>0</v>
      </c>
      <c r="IZ111" s="34">
        <f>IF(AND(ISNUMBER(JA111),ISNUMBER(IY111)),JA111-IY111,"")</f>
        <v>0</v>
      </c>
      <c r="JA111" s="39">
        <f>IF(COUNT(JA109,JA110)=0,"",JA109+JA110)</f>
        <v>0</v>
      </c>
      <c r="JB111" s="34">
        <f>IF(AND(ISNUMBER(JC111),ISNUMBER(JA111)),JC111-JA111,"")</f>
        <v>0</v>
      </c>
      <c r="JC111" s="39">
        <f>IF(COUNT(JC109,JC110)=0,"",JC109+JC110)</f>
        <v>0</v>
      </c>
      <c r="JD111" s="34">
        <f>IF(AND(ISNUMBER(JE111),ISNUMBER(JC111)),JE111-JC111,"")</f>
        <v>0</v>
      </c>
      <c r="JE111" s="39">
        <f>IF(COUNT(JE109,JE110)=0,"",JE109+JE110)</f>
        <v>0</v>
      </c>
      <c r="JF111" s="34">
        <f>IF(AND(ISNUMBER(JG111),ISNUMBER(JE111)),JG111-JE111,"")</f>
        <v>0</v>
      </c>
      <c r="JG111" s="39">
        <f>IF(COUNT(JG109,JG110)=0,"",JG109+JG110)</f>
        <v>0</v>
      </c>
      <c r="JH111" s="34">
        <f>IF(AND(ISNUMBER(JI111),ISNUMBER(JG111)),JI111-JG111,"")</f>
        <v>0</v>
      </c>
      <c r="JI111" s="39">
        <f>IF(COUNT(JI109,JI110)=0,"",JI109+JI110)</f>
        <v>0</v>
      </c>
      <c r="JJ111" s="34">
        <f>IF(AND(ISNUMBER(JK111),ISNUMBER(JI111)),JK111-JI111,"")</f>
        <v>0</v>
      </c>
      <c r="JK111" s="39">
        <f>IF(COUNT(JK109,JK110)=0,"",JK109+JK110)</f>
        <v>0</v>
      </c>
      <c r="JL111" s="34">
        <f>IF(AND(ISNUMBER(JM111),ISNUMBER(JK111)),JM111-JK111,"")</f>
        <v>0</v>
      </c>
      <c r="JM111" s="39">
        <f>IF(COUNT(JM109,JM110)=0,"",JM109+JM110)</f>
        <v>0</v>
      </c>
      <c r="JN111" s="34">
        <f>IF(AND(ISNUMBER(JO111),ISNUMBER(JM111)),JO111-JM111,"")</f>
        <v>0</v>
      </c>
      <c r="JO111" s="39">
        <f>IF(COUNT(JO109,JO110)=0,"",JO109+JO110)</f>
        <v>0</v>
      </c>
      <c r="JP111" s="34">
        <f>IF(AND(ISNUMBER(JQ111),ISNUMBER(JO111)),JQ111-JO111,"")</f>
        <v>0</v>
      </c>
      <c r="JQ111" s="39">
        <f>IF(COUNT(JQ109,JQ110)=0,"",JQ109+JQ110)</f>
        <v>0</v>
      </c>
      <c r="JR111" s="34">
        <f>IF(AND(ISNUMBER(JS111),ISNUMBER(JQ111)),JS111-JQ111,"")</f>
        <v>0</v>
      </c>
      <c r="JS111" s="39">
        <f>IF(COUNT(JS109,JS110)=0,"",JS109+JS110)</f>
        <v>0</v>
      </c>
      <c r="JT111" s="34">
        <f>IF(AND(ISNUMBER(JU111),ISNUMBER(JS111)),JU111-JS111,"")</f>
        <v>0</v>
      </c>
      <c r="JU111" s="39">
        <f>IF(COUNT(JU109,JU110)=0,"",JU109+JU110)</f>
        <v>0</v>
      </c>
      <c r="JV111" s="34">
        <f>IF(AND(ISNUMBER(JW111),ISNUMBER(JU111)),JW111-JU111,"")</f>
        <v>0</v>
      </c>
      <c r="JW111" s="33">
        <v>91</v>
      </c>
      <c r="JX111" s="34">
        <f>IF(AND(ISNUMBER(JY111),ISNUMBER(JW111)),JY111-JW111,"")</f>
        <v>0</v>
      </c>
      <c r="JY111" s="39">
        <f>IF(COUNT(JY109,JY110)=0,"",N(JY109)+N(JY110))</f>
        <v>0</v>
      </c>
      <c r="JZ111" s="34">
        <f>IF(AND(ISNUMBER(KA111),ISNUMBER(JY111)),KA111-JY111,"")</f>
        <v>0</v>
      </c>
      <c r="KA111" s="39">
        <f>IF(COUNT(KA109,KA110)=0,"",N(KA109)+N(KA110))</f>
        <v>0</v>
      </c>
      <c r="KB111" s="34">
        <f>IF(AND(ISNUMBER(KC111),ISNUMBER(KA111)),KC111-KA111,"")</f>
        <v>0</v>
      </c>
      <c r="KC111" s="39">
        <f>IF(COUNT(KC109,KC110)=0,"",N(KC109)+N(KC110))</f>
        <v>0</v>
      </c>
      <c r="KD111" s="34">
        <f>IF(AND(ISNUMBER(KE111),ISNUMBER(KC111)),KE111-KC111,"")</f>
        <v>0</v>
      </c>
      <c r="KE111" s="39">
        <f>IF(COUNT(KE109,KE110)=0,"",N(KE109)+N(KE110))</f>
        <v>0</v>
      </c>
      <c r="KF111" s="34">
        <f>IF(AND(ISNUMBER(KG111),ISNUMBER(KE111)),KG111-KE111,"")</f>
        <v>0</v>
      </c>
      <c r="KG111" s="39">
        <f>IF(COUNT(KG109,KG110)=0,"",N(KG109)+N(KG110))</f>
        <v>0</v>
      </c>
      <c r="KH111" s="34">
        <f>IF(AND(ISNUMBER(KI111),ISNUMBER(KG111)),KI111-KG111,"")</f>
        <v>0</v>
      </c>
      <c r="KI111" s="39">
        <f>IF(COUNT(KI109,KI110)=0,"",N(KI109)+N(KI110))</f>
        <v>0</v>
      </c>
      <c r="KJ111" s="34">
        <f>IF(AND(ISNUMBER(KK111),ISNUMBER(KI111)),KK111-KI111,"")</f>
        <v>0</v>
      </c>
      <c r="KK111" s="39">
        <f>IF(COUNT(KK109,KK110)=0,"",N(KK109)+N(KK110))</f>
        <v>0</v>
      </c>
      <c r="KL111" s="34">
        <f>IF(AND(ISNUMBER(KM111),ISNUMBER(KK111)),KM111-KK111,"")</f>
        <v>0</v>
      </c>
      <c r="KM111" s="39">
        <f>IF(COUNT(KM109,KM110)=0,"",N(KM109)+N(KM110))</f>
        <v>0</v>
      </c>
      <c r="KN111" s="34">
        <f>IF(AND(ISNUMBER(KO111),ISNUMBER(KM111)),KO111-KM111,"")</f>
        <v>0</v>
      </c>
      <c r="KO111" s="39">
        <f>IF(COUNT(KO109,KO110)=0,"",N(KO109)+N(KO110))</f>
        <v>0</v>
      </c>
      <c r="KP111" s="34">
        <f>IF(AND(ISNUMBER(KQ111),ISNUMBER(KO111)),KQ111-KO111,"")</f>
        <v>0</v>
      </c>
      <c r="KQ111" s="39">
        <f>IF(COUNT(KQ109,KQ110)=0,"",N(KQ109)+N(KQ110))</f>
        <v>0</v>
      </c>
      <c r="KR111" s="34">
        <f>IF(AND(ISNUMBER(KS111),ISNUMBER(KQ111)),KS111-KQ111,"")</f>
        <v>0</v>
      </c>
      <c r="KS111" s="39">
        <f>IF(COUNT(KS109,KS110)=0,"",N(KS109)+N(KS110))</f>
        <v>0</v>
      </c>
      <c r="KT111" s="34">
        <f>IF(AND(ISNUMBER(KU111),ISNUMBER(KS111)),KU111-KS111,"")</f>
        <v>0</v>
      </c>
      <c r="KU111" s="39">
        <f>IF(COUNT(KU109,KU110)=0,"",N(KU109)+N(KU110))</f>
        <v>0</v>
      </c>
      <c r="KV111" s="34">
        <f>IF(AND(ISNUMBER(KW111),ISNUMBER(KU111)),KW111-KU111,"")</f>
        <v>0</v>
      </c>
      <c r="KW111" s="39">
        <f>IF(COUNT(KW109,KW110)=0,"",N(KW109)+N(KW110))</f>
        <v>0</v>
      </c>
      <c r="KX111" s="34">
        <f>IF(AND(ISNUMBER(KY111),ISNUMBER(KW111)),KY111-KW111,"")</f>
        <v>0</v>
      </c>
      <c r="KY111" s="39">
        <f>IF(COUNT(KY109,KY110)=0,"",N(KY109)+N(KY110))</f>
        <v>0</v>
      </c>
      <c r="KZ111" s="34">
        <f>IF(AND(ISNUMBER(LA111),ISNUMBER(KY111)),LA111-KY111,"")</f>
        <v>0</v>
      </c>
      <c r="LA111" s="39">
        <f>IF(COUNT(LA109,LA110)=0,"",N(LA109)+N(LA110))</f>
        <v>0</v>
      </c>
      <c r="LB111" s="34">
        <f>IF(AND(ISNUMBER(LC111),ISNUMBER(LA111)),LC111-LA111,"")</f>
        <v>0</v>
      </c>
      <c r="LC111" s="39">
        <f>IF(COUNT(LC109,LC110)=0,"",N(LC109)+N(LC110))</f>
        <v>0</v>
      </c>
      <c r="LD111" s="34">
        <f>IF(AND(ISNUMBER(LE111),ISNUMBER(LC111)),LE111-LC111,"")</f>
        <v>0</v>
      </c>
      <c r="LE111" s="39">
        <f>IF(COUNT(LE109,LE110)=0,"",N(LE109)+N(LE110))</f>
        <v>0</v>
      </c>
      <c r="LF111" s="34">
        <f>IF(AND(ISNUMBER(LG111),ISNUMBER(LE111)),LG111-LE111,"")</f>
        <v>0</v>
      </c>
      <c r="LG111" s="39">
        <f>IF(COUNT(LG109,LG110)=0,"",N(LG109)+N(LG110))</f>
        <v>0</v>
      </c>
    </row>
    <row r="112" spans="1:322">
      <c r="A112" s="36" t="s">
        <v>872</v>
      </c>
      <c r="B112" s="23"/>
      <c r="C112" s="31" t="s">
        <v>728</v>
      </c>
      <c r="D112" s="31" t="s">
        <v>1125</v>
      </c>
      <c r="E112" s="32" t="s">
        <v>1123</v>
      </c>
      <c r="F112" s="38">
        <v>45300</v>
      </c>
      <c r="H112" s="38" t="s">
        <v>1105</v>
      </c>
      <c r="I112" s="40" t="s">
        <v>1088</v>
      </c>
      <c r="J112" s="34">
        <f>IF(AND(ISNUMBER(K112),ISNUMBER(I112)),K112-I112,"")</f>
        <v>0</v>
      </c>
      <c r="K112" s="33">
        <v>877</v>
      </c>
      <c r="L112" s="34">
        <f>IF(AND(ISNUMBER(M112),ISNUMBER(K112)),M112-K112,"")</f>
        <v>0</v>
      </c>
      <c r="M112" s="33">
        <v>877</v>
      </c>
      <c r="N112" s="34">
        <f>IF(AND(ISNUMBER(O112),ISNUMBER(M112)),O112-M112,"")</f>
        <v>0</v>
      </c>
      <c r="O112" s="33">
        <v>877</v>
      </c>
      <c r="P112" s="34">
        <f>IF(AND(ISNUMBER(Q112),ISNUMBER(O112)),Q112-O112,"")</f>
        <v>0</v>
      </c>
      <c r="Q112" s="33">
        <v>877</v>
      </c>
      <c r="R112" s="34">
        <f>IF(AND(ISNUMBER(S112),ISNUMBER(Q112)),S112-Q112,"")</f>
        <v>0</v>
      </c>
      <c r="S112" s="33">
        <v>877</v>
      </c>
      <c r="T112" s="34">
        <f>IF(AND(ISNUMBER(U112),ISNUMBER(S112)),U112-S112,"")</f>
        <v>0</v>
      </c>
      <c r="U112" s="40" t="s">
        <v>1088</v>
      </c>
      <c r="V112" s="34">
        <f>IF(AND(ISNUMBER(W112),ISNUMBER(U112)),W112-U112,"")</f>
        <v>0</v>
      </c>
      <c r="W112" s="33">
        <v>3078</v>
      </c>
      <c r="X112" s="34">
        <f>IF(AND(ISNUMBER(Y112),ISNUMBER(W112)),Y112-W112,"")</f>
        <v>0</v>
      </c>
      <c r="Y112" s="40" t="s">
        <v>1088</v>
      </c>
      <c r="Z112" s="34">
        <f>IF(AND(ISNUMBER(AA112),ISNUMBER(Y112)),AA112-Y112,"")</f>
        <v>0</v>
      </c>
      <c r="AA112" s="40" t="s">
        <v>1088</v>
      </c>
      <c r="AB112" s="34">
        <f>IF(AND(ISNUMBER(AC112),ISNUMBER(AA112)),AC112-AA112,"")</f>
        <v>0</v>
      </c>
      <c r="AC112" s="33">
        <v>3042</v>
      </c>
      <c r="AD112" s="34">
        <f>IF(AND(ISNUMBER(AE112),ISNUMBER(AC112)),AE112-AC112,"")</f>
        <v>0</v>
      </c>
      <c r="AE112" s="33">
        <v>3037</v>
      </c>
      <c r="AF112" s="34">
        <f>IF(AND(ISNUMBER(AG112),ISNUMBER(AE112)),AG112-AE112,"")</f>
        <v>0</v>
      </c>
      <c r="AG112" s="33">
        <v>2942</v>
      </c>
      <c r="AH112" s="34">
        <f>IF(AND(ISNUMBER(AI112),ISNUMBER(AG112)),AI112-AG112,"")</f>
        <v>0</v>
      </c>
      <c r="AI112" s="33">
        <v>1467</v>
      </c>
      <c r="AJ112" s="34">
        <f>IF(AND(ISNUMBER(AK112),ISNUMBER(AI112)),AK112-AI112,"")</f>
        <v>0</v>
      </c>
      <c r="AK112" s="33">
        <v>1468</v>
      </c>
      <c r="AL112" s="34">
        <f>IF(AND(ISNUMBER(AM112),ISNUMBER(AK112)),AM112-AK112,"")</f>
        <v>0</v>
      </c>
      <c r="AM112" s="33">
        <v>1434</v>
      </c>
      <c r="AN112" s="34">
        <f>IF(AND(ISNUMBER(AO112),ISNUMBER(AM112)),AO112-AM112,"")</f>
        <v>0</v>
      </c>
      <c r="AO112" s="40" t="s">
        <v>1088</v>
      </c>
      <c r="AP112" s="34">
        <f>IF(AND(ISNUMBER(AQ112),ISNUMBER(AO112)),AQ112-AO112,"")</f>
        <v>0</v>
      </c>
      <c r="AQ112" s="40" t="s">
        <v>1088</v>
      </c>
      <c r="AR112" s="34">
        <f>IF(AND(ISNUMBER(AS112),ISNUMBER(AQ112)),AS112-AQ112,"")</f>
        <v>0</v>
      </c>
      <c r="AS112" s="40" t="s">
        <v>1088</v>
      </c>
      <c r="AT112" s="34">
        <f>IF(AND(ISNUMBER(AU112),ISNUMBER(AS112)),AU112-AS112,"")</f>
        <v>0</v>
      </c>
      <c r="AU112" s="33">
        <v>1432</v>
      </c>
      <c r="AV112" s="34">
        <f>IF(AND(ISNUMBER(AW112),ISNUMBER(AU112)),AW112-AU112,"")</f>
        <v>0</v>
      </c>
      <c r="AW112" s="33">
        <v>1432</v>
      </c>
      <c r="AX112" s="34">
        <f>IF(AND(ISNUMBER(AY112),ISNUMBER(AW112)),AY112-AW112,"")</f>
        <v>0</v>
      </c>
      <c r="AY112" s="33">
        <v>1410</v>
      </c>
      <c r="AZ112" s="34">
        <f>IF(AND(ISNUMBER(BA112),ISNUMBER(AY112)),BA112-AY112,"")</f>
        <v>0</v>
      </c>
      <c r="BA112" s="33">
        <v>1407</v>
      </c>
      <c r="BB112" s="34">
        <f>IF(AND(ISNUMBER(BC112),ISNUMBER(BA112)),BC112-BA112,"")</f>
        <v>0</v>
      </c>
      <c r="BC112" s="33">
        <v>1403</v>
      </c>
      <c r="BD112" s="34">
        <f>IF(AND(ISNUMBER(BE112),ISNUMBER(BC112)),BE112-BC112,"")</f>
        <v>0</v>
      </c>
      <c r="BE112" s="33">
        <v>1403</v>
      </c>
      <c r="BF112" s="34">
        <f>IF(AND(ISNUMBER(BG112),ISNUMBER(BE112)),BG112-BE112,"")</f>
        <v>0</v>
      </c>
      <c r="BG112" s="33">
        <v>1399</v>
      </c>
      <c r="BH112" s="34">
        <f>IF(AND(ISNUMBER(BI112),ISNUMBER(BG112)),BI112-BG112,"")</f>
        <v>0</v>
      </c>
      <c r="BI112" s="33">
        <v>1398</v>
      </c>
      <c r="BJ112" s="34">
        <f>IF(AND(ISNUMBER(BK112),ISNUMBER(BI112)),BK112-BI112,"")</f>
        <v>0</v>
      </c>
      <c r="BK112" s="33">
        <v>1398</v>
      </c>
      <c r="BL112" s="34">
        <f>IF(AND(ISNUMBER(BM112),ISNUMBER(BK112)),BM112-BK112,"")</f>
        <v>0</v>
      </c>
      <c r="BM112" s="33">
        <v>1386</v>
      </c>
      <c r="BN112" s="34">
        <f>IF(AND(ISNUMBER(BO112),ISNUMBER(BM112)),BO112-BM112,"")</f>
        <v>0</v>
      </c>
      <c r="BO112" s="33">
        <v>1385</v>
      </c>
      <c r="BP112" s="34">
        <f>IF(AND(ISNUMBER(BQ112),ISNUMBER(BO112)),BQ112-BO112,"")</f>
        <v>0</v>
      </c>
      <c r="BQ112" s="33">
        <v>1384</v>
      </c>
      <c r="BR112" s="34">
        <f>IF(AND(ISNUMBER(BS112),ISNUMBER(BQ112)),BS112-BQ112,"")</f>
        <v>0</v>
      </c>
      <c r="BS112" s="33">
        <v>1385</v>
      </c>
      <c r="BT112" s="34">
        <f>IF(AND(ISNUMBER(BU112),ISNUMBER(BS112)),BU112-BS112,"")</f>
        <v>0</v>
      </c>
      <c r="BU112" s="33">
        <v>1385</v>
      </c>
      <c r="BV112" s="34">
        <f>IF(AND(ISNUMBER(BW112),ISNUMBER(BU112)),BW112-BU112,"")</f>
        <v>0</v>
      </c>
      <c r="BW112" s="33"/>
      <c r="BX112" s="34">
        <f>IF(AND(ISNUMBER(BY112),ISNUMBER(BW112)),BY112-BW112,"")</f>
        <v>0</v>
      </c>
      <c r="BY112" s="33"/>
      <c r="BZ112" s="34">
        <f>IF(AND(ISNUMBER(CA112),ISNUMBER(BY112)),CA112-BY112,"")</f>
        <v>0</v>
      </c>
      <c r="CA112" s="33"/>
      <c r="CB112" s="34">
        <f>IF(AND(ISNUMBER(CC112),ISNUMBER(CA112)),CC112-CA112,"")</f>
        <v>0</v>
      </c>
      <c r="CC112" s="33"/>
      <c r="CD112" s="34">
        <f>IF(AND(ISNUMBER(CE112),ISNUMBER(CC112)),CE112-CC112,"")</f>
        <v>0</v>
      </c>
      <c r="CE112" s="33"/>
      <c r="CF112" s="34">
        <f>IF(AND(ISNUMBER(CG112),ISNUMBER(CE112)),CG112-CE112,"")</f>
        <v>0</v>
      </c>
      <c r="CG112" s="33">
        <v>82</v>
      </c>
      <c r="CH112" s="34">
        <f>IF(AND(ISNUMBER(CI112),ISNUMBER(CG112)),CI112-CG112,"")</f>
        <v>0</v>
      </c>
      <c r="CI112" s="33">
        <v>77</v>
      </c>
      <c r="CJ112" s="34">
        <f>IF(AND(ISNUMBER(CK112),ISNUMBER(CI112)),CK112-CI112,"")</f>
        <v>0</v>
      </c>
      <c r="CK112" s="33">
        <v>64</v>
      </c>
      <c r="CL112" s="34">
        <f>IF(AND(ISNUMBER(CM112),ISNUMBER(CK112)),CM112-CK112,"")</f>
        <v>0</v>
      </c>
      <c r="CM112" s="33">
        <v>61</v>
      </c>
      <c r="CN112" s="34">
        <f>IF(AND(ISNUMBER(CO112),ISNUMBER(CM112)),CO112-CM112,"")</f>
        <v>0</v>
      </c>
      <c r="CO112" s="33">
        <v>55</v>
      </c>
      <c r="CP112" s="34">
        <f>IF(AND(ISNUMBER(CQ112),ISNUMBER(CO112)),CQ112-CO112,"")</f>
        <v>0</v>
      </c>
      <c r="CQ112" s="33">
        <v>55</v>
      </c>
      <c r="CR112" s="34">
        <f>IF(AND(ISNUMBER(CS112),ISNUMBER(CQ112)),CS112-CQ112,"")</f>
        <v>0</v>
      </c>
      <c r="CS112" s="33">
        <v>55</v>
      </c>
      <c r="CT112" s="34">
        <f>IF(AND(ISNUMBER(CU112),ISNUMBER(CS112)),CU112-CS112,"")</f>
        <v>0</v>
      </c>
      <c r="CU112" s="33">
        <v>49</v>
      </c>
      <c r="CV112" s="34">
        <f>IF(AND(ISNUMBER(CW112),ISNUMBER(CU112)),CW112-CU112,"")</f>
        <v>0</v>
      </c>
      <c r="CW112" s="33">
        <v>43</v>
      </c>
      <c r="CX112" s="34">
        <f>IF(AND(ISNUMBER(CY112),ISNUMBER(CW112)),CY112-CW112,"")</f>
        <v>0</v>
      </c>
      <c r="CY112" s="33">
        <v>42</v>
      </c>
      <c r="CZ112" s="34">
        <f>IF(AND(ISNUMBER(DA112),ISNUMBER(CY112)),DA112-CY112,"")</f>
        <v>0</v>
      </c>
      <c r="DA112" s="33">
        <v>42</v>
      </c>
      <c r="DB112" s="34">
        <f>IF(AND(ISNUMBER(DC112),ISNUMBER(DA112)),DC112-DA112,"")</f>
        <v>0</v>
      </c>
      <c r="DC112" s="33">
        <v>40</v>
      </c>
      <c r="DD112" s="34">
        <f>IF(AND(ISNUMBER(DE112),ISNUMBER(DC112)),DE112-DC112,"")</f>
        <v>0</v>
      </c>
      <c r="DE112" s="33">
        <v>40</v>
      </c>
      <c r="DF112" s="34">
        <f>IF(AND(ISNUMBER(DG112),ISNUMBER(DE112)),DG112-DE112,"")</f>
        <v>0</v>
      </c>
      <c r="DG112" s="33">
        <v>40</v>
      </c>
      <c r="DH112" s="34">
        <f>IF(AND(ISNUMBER(DI112),ISNUMBER(DG112)),DI112-DG112,"")</f>
        <v>0</v>
      </c>
      <c r="DI112" s="33">
        <v>40</v>
      </c>
      <c r="DJ112" s="34">
        <f>IF(AND(ISNUMBER(DK112),ISNUMBER(DI112)),DK112-DI112,"")</f>
        <v>0</v>
      </c>
      <c r="DK112" s="33">
        <v>40</v>
      </c>
      <c r="DL112" s="34">
        <f>IF(AND(ISNUMBER(DM112),ISNUMBER(DK112)),DM112-DK112,"")</f>
        <v>0</v>
      </c>
      <c r="DM112" s="33">
        <v>40</v>
      </c>
      <c r="DN112" s="34">
        <f>IF(AND(ISNUMBER(DO112),ISNUMBER(DM112)),DO112-DM112,"")</f>
        <v>0</v>
      </c>
      <c r="DO112" s="33">
        <v>40</v>
      </c>
      <c r="DP112" s="34">
        <f>IF(AND(ISNUMBER(DQ112),ISNUMBER(DO112)),DQ112-DO112,"")</f>
        <v>0</v>
      </c>
      <c r="DQ112" s="33">
        <v>40</v>
      </c>
      <c r="DR112" s="34">
        <f>IF(AND(ISNUMBER(DS112),ISNUMBER(DQ112)),DS112-DQ112,"")</f>
        <v>0</v>
      </c>
      <c r="DS112" s="33">
        <v>40</v>
      </c>
      <c r="DT112" s="34">
        <f>IF(AND(ISNUMBER(DU112),ISNUMBER(DS112)),DU112-DS112,"")</f>
        <v>0</v>
      </c>
      <c r="DU112" s="33">
        <v>40</v>
      </c>
      <c r="DV112" s="34">
        <f>IF(AND(ISNUMBER(DW112),ISNUMBER(DU112)),DW112-DU112,"")</f>
        <v>0</v>
      </c>
      <c r="DW112" s="33">
        <v>40</v>
      </c>
      <c r="DX112" s="34">
        <f>IF(AND(ISNUMBER(DY112),ISNUMBER(DW112)),DY112-DW112,"")</f>
        <v>0</v>
      </c>
      <c r="DY112" s="33">
        <v>32</v>
      </c>
      <c r="DZ112" s="34">
        <f>IF(AND(ISNUMBER(EA112),ISNUMBER(DY112)),EA112-DY112,"")</f>
        <v>0</v>
      </c>
      <c r="EA112" s="33">
        <v>26</v>
      </c>
      <c r="EB112" s="34">
        <f>IF(AND(ISNUMBER(EC112),ISNUMBER(EA112)),EC112-EA112,"")</f>
        <v>0</v>
      </c>
      <c r="EC112" s="33">
        <v>25</v>
      </c>
      <c r="ED112" s="34">
        <f>IF(AND(ISNUMBER(EE112),ISNUMBER(EC112)),EE112-EC112,"")</f>
        <v>0</v>
      </c>
      <c r="EE112" s="33">
        <v>25</v>
      </c>
      <c r="EF112" s="34">
        <f>IF(AND(ISNUMBER(EG112),ISNUMBER(EE112)),EG112-EE112,"")</f>
        <v>0</v>
      </c>
      <c r="EG112" s="33">
        <v>22</v>
      </c>
      <c r="EH112" s="34">
        <f>IF(AND(ISNUMBER(EI112),ISNUMBER(EG112)),EI112-EG112,"")</f>
        <v>0</v>
      </c>
      <c r="EI112" s="33">
        <v>18</v>
      </c>
      <c r="EJ112" s="34">
        <f>IF(AND(ISNUMBER(EK112),ISNUMBER(EI112)),EK112-EI112,"")</f>
        <v>0</v>
      </c>
      <c r="EK112" s="33">
        <v>18</v>
      </c>
      <c r="EL112" s="34">
        <f>IF(AND(ISNUMBER(EM112),ISNUMBER(EK112)),EM112-EK112,"")</f>
        <v>0</v>
      </c>
      <c r="EM112" s="33">
        <v>18</v>
      </c>
      <c r="EN112" s="34">
        <f>IF(AND(ISNUMBER(EO112),ISNUMBER(EM112)),EO112-EM112,"")</f>
        <v>0</v>
      </c>
      <c r="EO112" s="33">
        <v>18</v>
      </c>
      <c r="EP112" s="34">
        <f>IF(AND(ISNUMBER(EQ112),ISNUMBER(EO112)),EQ112-EO112,"")</f>
        <v>0</v>
      </c>
      <c r="EQ112" s="33">
        <v>18</v>
      </c>
      <c r="ER112" s="34">
        <f>IF(AND(ISNUMBER(ES112),ISNUMBER(EQ112)),ES112-EQ112,"")</f>
        <v>0</v>
      </c>
      <c r="ES112" s="33">
        <v>18</v>
      </c>
      <c r="ET112" s="34">
        <f>IF(AND(ISNUMBER(EU112),ISNUMBER(ES112)),EU112-ES112,"")</f>
        <v>0</v>
      </c>
      <c r="EU112" s="33">
        <v>18</v>
      </c>
      <c r="EV112" s="34">
        <f>IF(AND(ISNUMBER(EW112),ISNUMBER(EU112)),EW112-EU112,"")</f>
        <v>0</v>
      </c>
      <c r="EW112" s="33">
        <v>18</v>
      </c>
      <c r="EX112" s="34">
        <f>IF(AND(ISNUMBER(EY112),ISNUMBER(EW112)),EY112-EW112,"")</f>
        <v>0</v>
      </c>
      <c r="EY112" s="33">
        <v>18</v>
      </c>
      <c r="EZ112" s="34">
        <f>IF(AND(ISNUMBER(FA112),ISNUMBER(EY112)),FA112-EY112,"")</f>
        <v>0</v>
      </c>
      <c r="FA112" s="33">
        <v>18</v>
      </c>
      <c r="FB112" s="34">
        <f>IF(AND(ISNUMBER(FC112),ISNUMBER(FA112)),FC112-FA112,"")</f>
        <v>0</v>
      </c>
      <c r="FC112" s="33">
        <v>18</v>
      </c>
      <c r="FD112" s="34">
        <f>IF(AND(ISNUMBER(FE112),ISNUMBER(FC112)),FE112-FC112,"")</f>
        <v>0</v>
      </c>
      <c r="FE112" s="33">
        <v>18</v>
      </c>
      <c r="FF112" s="34">
        <f>IF(AND(ISNUMBER(FG112),ISNUMBER(FE112)),FG112-FE112,"")</f>
        <v>0</v>
      </c>
      <c r="FG112" s="33">
        <v>18</v>
      </c>
      <c r="FH112" s="34">
        <f>IF(AND(ISNUMBER(FI112),ISNUMBER(FG112)),FI112-FG112,"")</f>
        <v>0</v>
      </c>
      <c r="FI112" s="33">
        <v>18</v>
      </c>
      <c r="FJ112" s="34">
        <f>IF(AND(ISNUMBER(FK112),ISNUMBER(FI112)),FK112-FI112,"")</f>
        <v>0</v>
      </c>
      <c r="FK112" s="33">
        <v>18</v>
      </c>
      <c r="FL112" s="34">
        <f>IF(AND(ISNUMBER(FM112),ISNUMBER(FK112)),FM112-FK112,"")</f>
        <v>0</v>
      </c>
      <c r="FM112" s="33">
        <v>18</v>
      </c>
      <c r="FN112" s="34">
        <f>IF(AND(ISNUMBER(FO112),ISNUMBER(FM112)),FO112-FM112,"")</f>
        <v>0</v>
      </c>
      <c r="FO112" s="33">
        <v>18</v>
      </c>
      <c r="FP112" s="34">
        <f>IF(AND(ISNUMBER(FQ112),ISNUMBER(FO112)),FQ112-FO112,"")</f>
        <v>0</v>
      </c>
      <c r="FQ112" s="33">
        <v>18</v>
      </c>
      <c r="FR112" s="34">
        <f>IF(AND(ISNUMBER(FS112),ISNUMBER(FQ112)),FS112-FQ112,"")</f>
        <v>0</v>
      </c>
      <c r="FS112" s="33">
        <v>18</v>
      </c>
      <c r="FT112" s="34">
        <f>IF(AND(ISNUMBER(FU112),ISNUMBER(FS112)),FU112-FS112,"")</f>
        <v>0</v>
      </c>
      <c r="FU112" s="33">
        <v>18</v>
      </c>
      <c r="FV112" s="34">
        <f>IF(AND(ISNUMBER(FW112),ISNUMBER(FU112)),FW112-FU112,"")</f>
        <v>0</v>
      </c>
      <c r="FW112" s="33">
        <v>18</v>
      </c>
      <c r="FX112" s="34">
        <f>IF(AND(ISNUMBER(FY112),ISNUMBER(FW112)),FY112-FW112,"")</f>
        <v>0</v>
      </c>
      <c r="FY112" s="33">
        <v>18</v>
      </c>
      <c r="FZ112" s="34">
        <f>IF(AND(ISNUMBER(GA112),ISNUMBER(FY112)),GA112-FY112,"")</f>
        <v>0</v>
      </c>
      <c r="GA112" s="33">
        <v>18</v>
      </c>
      <c r="GB112" s="34">
        <f>IF(AND(ISNUMBER(GC112),ISNUMBER(GA112)),GC112-GA112,"")</f>
        <v>0</v>
      </c>
      <c r="GC112" s="33">
        <v>18</v>
      </c>
      <c r="GD112" s="34">
        <f>IF(AND(ISNUMBER(GE112),ISNUMBER(GC112)),GE112-GC112,"")</f>
        <v>0</v>
      </c>
      <c r="GE112" s="33">
        <v>18</v>
      </c>
      <c r="GF112" s="34">
        <f>IF(AND(ISNUMBER(GG112),ISNUMBER(GE112)),GG112-GE112,"")</f>
        <v>0</v>
      </c>
      <c r="GG112" s="33">
        <v>18</v>
      </c>
      <c r="GH112" s="34">
        <f>IF(AND(ISNUMBER(GI112),ISNUMBER(GG112)),GI112-GG112,"")</f>
        <v>0</v>
      </c>
      <c r="GI112" s="33">
        <v>18</v>
      </c>
      <c r="GJ112" s="34">
        <f>IF(AND(ISNUMBER(GK112),ISNUMBER(GI112)),GK112-GI112,"")</f>
        <v>0</v>
      </c>
      <c r="GK112" s="33">
        <v>18</v>
      </c>
      <c r="GL112" s="34">
        <f>IF(AND(ISNUMBER(GM112),ISNUMBER(GK112)),GM112-GK112,"")</f>
        <v>0</v>
      </c>
      <c r="GM112" s="33">
        <v>18</v>
      </c>
      <c r="GN112" s="34">
        <f>IF(AND(ISNUMBER(GO112),ISNUMBER(GM112)),GO112-GM112,"")</f>
        <v>0</v>
      </c>
      <c r="GO112" s="33">
        <v>18</v>
      </c>
      <c r="GP112" s="34">
        <f>IF(AND(ISNUMBER(GQ112),ISNUMBER(GO112)),GQ112-GO112,"")</f>
        <v>0</v>
      </c>
      <c r="GQ112" s="33">
        <v>18</v>
      </c>
      <c r="GR112" s="34">
        <f>IF(AND(ISNUMBER(GS112),ISNUMBER(GQ112)),GS112-GQ112,"")</f>
        <v>0</v>
      </c>
      <c r="GS112" s="33">
        <v>18</v>
      </c>
      <c r="GT112" s="34">
        <f>IF(AND(ISNUMBER(GU112),ISNUMBER(GS112)),GU112-GS112,"")</f>
        <v>0</v>
      </c>
      <c r="GU112" s="33">
        <v>18</v>
      </c>
      <c r="GV112" s="34">
        <f>IF(AND(ISNUMBER(GW112),ISNUMBER(GU112)),GW112-GU112,"")</f>
        <v>0</v>
      </c>
      <c r="GW112" s="33">
        <v>18</v>
      </c>
      <c r="GX112" s="34">
        <f>IF(AND(ISNUMBER(GY112),ISNUMBER(GW112)),GY112-GW112,"")</f>
        <v>0</v>
      </c>
      <c r="GY112" s="33">
        <v>18</v>
      </c>
      <c r="GZ112" s="34">
        <f>IF(AND(ISNUMBER(HA112),ISNUMBER(GY112)),HA112-GY112,"")</f>
        <v>0</v>
      </c>
      <c r="HA112" s="33">
        <v>18</v>
      </c>
      <c r="HB112" s="34">
        <f>IF(AND(ISNUMBER(HC112),ISNUMBER(HA112)),HC112-HA112,"")</f>
        <v>0</v>
      </c>
      <c r="HC112" s="33">
        <v>18</v>
      </c>
      <c r="HD112" s="34">
        <f>IF(AND(ISNUMBER(HE112),ISNUMBER(HC112)),HE112-HC112,"")</f>
        <v>0</v>
      </c>
      <c r="HE112" s="33">
        <v>18</v>
      </c>
      <c r="HF112" s="34">
        <f>IF(AND(ISNUMBER(HG112),ISNUMBER(HE112)),HG112-HE112,"")</f>
        <v>0</v>
      </c>
      <c r="HG112" s="33">
        <v>18</v>
      </c>
      <c r="HH112" s="34">
        <f>IF(AND(ISNUMBER(HI112),ISNUMBER(HG112)),HI112-HG112,"")</f>
        <v>0</v>
      </c>
      <c r="HI112" s="33">
        <v>15</v>
      </c>
      <c r="HJ112" s="34">
        <f>IF(AND(ISNUMBER(HK112),ISNUMBER(HI112)),HK112-HI112,"")</f>
        <v>0</v>
      </c>
      <c r="HK112" s="33">
        <v>15</v>
      </c>
      <c r="HL112" s="34">
        <f>IF(AND(ISNUMBER(HM112),ISNUMBER(HK112)),HM112-HK112,"")</f>
        <v>0</v>
      </c>
      <c r="HM112" s="33">
        <v>15</v>
      </c>
      <c r="HN112" s="34">
        <f>IF(AND(ISNUMBER(HO112),ISNUMBER(HM112)),HO112-HM112,"")</f>
        <v>0</v>
      </c>
      <c r="HO112" s="33">
        <v>15</v>
      </c>
      <c r="HP112" s="34">
        <f>IF(AND(ISNUMBER(HQ112),ISNUMBER(HO112)),HQ112-HO112,"")</f>
        <v>0</v>
      </c>
      <c r="HQ112" s="33">
        <v>15</v>
      </c>
      <c r="HR112" s="34">
        <f>IF(AND(ISNUMBER(HS112),ISNUMBER(HQ112)),HS112-HQ112,"")</f>
        <v>0</v>
      </c>
      <c r="HS112" s="33">
        <v>15</v>
      </c>
      <c r="HT112" s="34">
        <f>IF(AND(ISNUMBER(HU112),ISNUMBER(HS112)),HU112-HS112,"")</f>
        <v>0</v>
      </c>
      <c r="HU112" s="33">
        <v>15</v>
      </c>
      <c r="HV112" s="34">
        <f>IF(AND(ISNUMBER(HW112),ISNUMBER(HU112)),HW112-HU112,"")</f>
        <v>0</v>
      </c>
      <c r="HW112" s="33">
        <v>15</v>
      </c>
      <c r="HX112" s="34">
        <f>IF(AND(ISNUMBER(HY112),ISNUMBER(HW112)),HY112-HW112,"")</f>
        <v>0</v>
      </c>
      <c r="HY112" s="33">
        <v>15</v>
      </c>
      <c r="HZ112" s="34">
        <f>IF(AND(ISNUMBER(IA112),ISNUMBER(HY112)),IA112-HY112,"")</f>
        <v>0</v>
      </c>
      <c r="IA112" s="33">
        <v>15</v>
      </c>
      <c r="IB112" s="34">
        <f>IF(AND(ISNUMBER(IC112),ISNUMBER(IA112)),IC112-IA112,"")</f>
        <v>0</v>
      </c>
      <c r="IC112" s="33">
        <v>15</v>
      </c>
      <c r="ID112" s="34">
        <f>IF(AND(ISNUMBER(IE112),ISNUMBER(IC112)),IE112-IC112,"")</f>
        <v>0</v>
      </c>
      <c r="IE112" s="33">
        <v>15</v>
      </c>
      <c r="IF112" s="34">
        <f>IF(AND(ISNUMBER(IG112),ISNUMBER(IE112)),IG112-IE112,"")</f>
        <v>0</v>
      </c>
      <c r="IG112" s="33">
        <v>15</v>
      </c>
      <c r="IH112" s="34">
        <f>IF(AND(ISNUMBER(II112),ISNUMBER(IG112)),II112-IG112,"")</f>
        <v>0</v>
      </c>
      <c r="II112" s="33">
        <v>15</v>
      </c>
      <c r="IJ112" s="34">
        <f>IF(AND(ISNUMBER(IK112),ISNUMBER(II112)),IK112-II112,"")</f>
        <v>0</v>
      </c>
      <c r="IK112" s="33">
        <v>15</v>
      </c>
      <c r="IL112" s="34">
        <f>IF(AND(ISNUMBER(IM112),ISNUMBER(IK112)),IM112-IK112,"")</f>
        <v>0</v>
      </c>
      <c r="IM112" s="33">
        <v>15</v>
      </c>
      <c r="IN112" s="34">
        <f>IF(AND(ISNUMBER(IO112),ISNUMBER(IM112)),IO112-IM112,"")</f>
        <v>0</v>
      </c>
      <c r="IO112" s="33">
        <v>13</v>
      </c>
      <c r="IP112" s="34">
        <f>IF(AND(ISNUMBER(IQ112),ISNUMBER(IO112)),IQ112-IO112,"")</f>
        <v>0</v>
      </c>
      <c r="IQ112" s="33">
        <v>13</v>
      </c>
      <c r="IR112" s="34">
        <f>IF(AND(ISNUMBER(IS112),ISNUMBER(IQ112)),IS112-IQ112,"")</f>
        <v>0</v>
      </c>
      <c r="IS112" s="33">
        <v>13</v>
      </c>
      <c r="IT112" s="34">
        <f>IF(AND(ISNUMBER(IU112),ISNUMBER(IS112)),IU112-IS112,"")</f>
        <v>0</v>
      </c>
      <c r="IU112" s="33">
        <v>13</v>
      </c>
      <c r="IV112" s="34">
        <f>IF(AND(ISNUMBER(IW112),ISNUMBER(IU112)),IW112-IU112,"")</f>
        <v>0</v>
      </c>
      <c r="IW112" s="33">
        <v>13</v>
      </c>
      <c r="IX112" s="34">
        <f>IF(AND(ISNUMBER(IY112),ISNUMBER(IW112)),IY112-IW112,"")</f>
        <v>0</v>
      </c>
      <c r="IY112" s="33">
        <v>0</v>
      </c>
      <c r="IZ112" s="34">
        <f>IF(AND(ISNUMBER(JA112),ISNUMBER(IY112)),JA112-IY112,"")</f>
        <v>0</v>
      </c>
      <c r="JA112" s="33">
        <v>0</v>
      </c>
      <c r="JB112" s="34">
        <f>IF(AND(ISNUMBER(JC112),ISNUMBER(JA112)),JC112-JA112,"")</f>
        <v>0</v>
      </c>
      <c r="JC112" s="33">
        <v>0</v>
      </c>
      <c r="JD112" s="34">
        <f>IF(AND(ISNUMBER(JE112),ISNUMBER(JC112)),JE112-JC112,"")</f>
        <v>0</v>
      </c>
      <c r="JE112" s="33">
        <v>0</v>
      </c>
      <c r="JF112" s="34">
        <f>IF(AND(ISNUMBER(JG112),ISNUMBER(JE112)),JG112-JE112,"")</f>
        <v>0</v>
      </c>
      <c r="JG112" s="33">
        <v>0</v>
      </c>
      <c r="JH112" s="34">
        <f>IF(AND(ISNUMBER(JI112),ISNUMBER(JG112)),JI112-JG112,"")</f>
        <v>0</v>
      </c>
      <c r="JI112" s="33">
        <v>0</v>
      </c>
      <c r="JJ112" s="34">
        <f>IF(AND(ISNUMBER(JK112),ISNUMBER(JI112)),JK112-JI112,"")</f>
        <v>0</v>
      </c>
      <c r="JK112" s="33">
        <v>0</v>
      </c>
      <c r="JL112" s="34">
        <f>IF(AND(ISNUMBER(JM112),ISNUMBER(JK112)),JM112-JK112,"")</f>
        <v>0</v>
      </c>
      <c r="JM112" s="33">
        <v>0</v>
      </c>
      <c r="JN112" s="34">
        <f>IF(AND(ISNUMBER(JO112),ISNUMBER(JM112)),JO112-JM112,"")</f>
        <v>0</v>
      </c>
      <c r="JO112" s="33">
        <v>0</v>
      </c>
      <c r="JP112" s="34">
        <f>IF(AND(ISNUMBER(JQ112),ISNUMBER(JO112)),JQ112-JO112,"")</f>
        <v>0</v>
      </c>
      <c r="JQ112" s="33">
        <v>0</v>
      </c>
      <c r="JR112" s="34">
        <f>IF(AND(ISNUMBER(JS112),ISNUMBER(JQ112)),JS112-JQ112,"")</f>
        <v>0</v>
      </c>
      <c r="JS112" s="33">
        <v>0</v>
      </c>
      <c r="JT112" s="34">
        <f>IF(AND(ISNUMBER(JU112),ISNUMBER(JS112)),JU112-JS112,"")</f>
        <v>0</v>
      </c>
      <c r="JU112" s="33">
        <v>0</v>
      </c>
      <c r="JV112" s="34">
        <f>IF(AND(ISNUMBER(JW112),ISNUMBER(JU112)),JW112-JU112,"")</f>
        <v>0</v>
      </c>
      <c r="JW112" s="33">
        <v>0</v>
      </c>
      <c r="JX112" s="34">
        <f>IF(AND(ISNUMBER(JY112),ISNUMBER(JW112)),JY112-JW112,"")</f>
        <v>0</v>
      </c>
      <c r="JY112" s="33">
        <v>0</v>
      </c>
      <c r="JZ112" s="34">
        <f>IF(AND(ISNUMBER(KA112),ISNUMBER(JY112)),KA112-JY112,"")</f>
        <v>0</v>
      </c>
      <c r="KA112" s="33"/>
      <c r="KB112" s="34">
        <f>IF(AND(ISNUMBER(KC112),ISNUMBER(KA112)),KC112-KA112,"")</f>
        <v>0</v>
      </c>
      <c r="KC112" s="33"/>
      <c r="KD112" s="34">
        <f>IF(AND(ISNUMBER(KE112),ISNUMBER(KC112)),KE112-KC112,"")</f>
        <v>0</v>
      </c>
      <c r="KE112" s="33"/>
      <c r="KF112" s="34">
        <f>IF(AND(ISNUMBER(KG112),ISNUMBER(KE112)),KG112-KE112,"")</f>
        <v>0</v>
      </c>
      <c r="KG112" s="33"/>
      <c r="KH112" s="34">
        <f>IF(AND(ISNUMBER(KI112),ISNUMBER(KG112)),KI112-KG112,"")</f>
        <v>0</v>
      </c>
      <c r="KI112" s="33"/>
      <c r="KJ112" s="34">
        <f>IF(AND(ISNUMBER(KK112),ISNUMBER(KI112)),KK112-KI112,"")</f>
        <v>0</v>
      </c>
      <c r="KK112" s="33"/>
      <c r="KL112" s="34">
        <f>IF(AND(ISNUMBER(KM112),ISNUMBER(KK112)),KM112-KK112,"")</f>
        <v>0</v>
      </c>
      <c r="KM112" s="33"/>
      <c r="KN112" s="34">
        <f>IF(AND(ISNUMBER(KO112),ISNUMBER(KM112)),KO112-KM112,"")</f>
        <v>0</v>
      </c>
      <c r="KO112" s="33"/>
      <c r="KP112" s="34">
        <f>IF(AND(ISNUMBER(KQ112),ISNUMBER(KO112)),KQ112-KO112,"")</f>
        <v>0</v>
      </c>
      <c r="KQ112" s="33"/>
      <c r="KR112" s="34">
        <f>IF(AND(ISNUMBER(KS112),ISNUMBER(KQ112)),KS112-KQ112,"")</f>
        <v>0</v>
      </c>
      <c r="KS112" s="33"/>
      <c r="KT112" s="34">
        <f>IF(AND(ISNUMBER(KU112),ISNUMBER(KS112)),KU112-KS112,"")</f>
        <v>0</v>
      </c>
      <c r="KU112" s="33"/>
      <c r="KV112" s="34">
        <f>IF(AND(ISNUMBER(KW112),ISNUMBER(KU112)),KW112-KU112,"")</f>
        <v>0</v>
      </c>
      <c r="KW112" s="33"/>
      <c r="KX112" s="34">
        <f>IF(AND(ISNUMBER(KY112),ISNUMBER(KW112)),KY112-KW112,"")</f>
        <v>0</v>
      </c>
      <c r="KY112" s="33"/>
      <c r="KZ112" s="34">
        <f>IF(AND(ISNUMBER(LA112),ISNUMBER(KY112)),LA112-KY112,"")</f>
        <v>0</v>
      </c>
      <c r="LA112" s="33"/>
      <c r="LB112" s="34">
        <f>IF(AND(ISNUMBER(LC112),ISNUMBER(LA112)),LC112-LA112,"")</f>
        <v>0</v>
      </c>
      <c r="LC112" s="33"/>
      <c r="LD112" s="34">
        <f>IF(AND(ISNUMBER(LE112),ISNUMBER(LC112)),LE112-LC112,"")</f>
        <v>0</v>
      </c>
      <c r="LE112" s="33"/>
      <c r="LF112" s="34">
        <f>IF(AND(ISNUMBER(LG112),ISNUMBER(LE112)),LG112-LE112,"")</f>
        <v>0</v>
      </c>
      <c r="LG112" s="33"/>
      <c r="LJ112" s="35" t="s">
        <v>1126</v>
      </c>
    </row>
    <row r="113" spans="1:322">
      <c r="A113" s="22" t="s">
        <v>108</v>
      </c>
      <c r="B113" s="23" t="s">
        <v>1127</v>
      </c>
      <c r="C113" s="43" t="s">
        <v>728</v>
      </c>
      <c r="D113" s="43"/>
      <c r="E113" s="25" t="s">
        <v>1128</v>
      </c>
      <c r="F113" s="26"/>
      <c r="G113" s="26"/>
      <c r="H113" s="26"/>
      <c r="I113" s="27"/>
      <c r="J113" s="28">
        <f>IF(AND(ISNUMBER(K113),ISNUMBER(I113)),K113-I113,"")</f>
        <v>0</v>
      </c>
      <c r="K113" s="27"/>
      <c r="L113" s="28">
        <f>IF(AND(ISNUMBER(M113),ISNUMBER(K113)),M113-K113,"")</f>
        <v>0</v>
      </c>
      <c r="M113" s="27"/>
      <c r="N113" s="28">
        <f>IF(AND(ISNUMBER(O113),ISNUMBER(M113)),O113-M113,"")</f>
        <v>0</v>
      </c>
      <c r="O113" s="27"/>
      <c r="P113" s="28">
        <f>IF(AND(ISNUMBER(Q113),ISNUMBER(O113)),Q113-O113,"")</f>
        <v>0</v>
      </c>
      <c r="Q113" s="27"/>
      <c r="R113" s="28">
        <f>IF(AND(ISNUMBER(S113),ISNUMBER(Q113)),S113-Q113,"")</f>
        <v>0</v>
      </c>
      <c r="S113" s="27"/>
      <c r="T113" s="28">
        <f>IF(AND(ISNUMBER(U113),ISNUMBER(S113)),U113-S113,"")</f>
        <v>0</v>
      </c>
      <c r="U113" s="27"/>
      <c r="V113" s="28">
        <f>IF(AND(ISNUMBER(W113),ISNUMBER(U113)),W113-U113,"")</f>
        <v>0</v>
      </c>
      <c r="W113" s="27"/>
      <c r="X113" s="28">
        <f>IF(AND(ISNUMBER(Y113),ISNUMBER(W113)),Y113-W113,"")</f>
        <v>0</v>
      </c>
      <c r="Y113" s="27"/>
      <c r="Z113" s="28">
        <f>IF(AND(ISNUMBER(AA113),ISNUMBER(Y113)),AA113-Y113,"")</f>
        <v>0</v>
      </c>
      <c r="AA113" s="27"/>
      <c r="AB113" s="28">
        <f>IF(AND(ISNUMBER(AC113),ISNUMBER(AA113)),AC113-AA113,"")</f>
        <v>0</v>
      </c>
      <c r="AC113" s="27"/>
      <c r="AD113" s="28">
        <f>IF(AND(ISNUMBER(AE113),ISNUMBER(AC113)),AE113-AC113,"")</f>
        <v>0</v>
      </c>
      <c r="AE113" s="27"/>
      <c r="AF113" s="28">
        <f>IF(AND(ISNUMBER(AG113),ISNUMBER(AE113)),AG113-AE113,"")</f>
        <v>0</v>
      </c>
      <c r="AG113" s="27"/>
      <c r="AH113" s="28">
        <f>IF(AND(ISNUMBER(AI113),ISNUMBER(AG113)),AI113-AG113,"")</f>
        <v>0</v>
      </c>
      <c r="AI113" s="27"/>
      <c r="AJ113" s="28">
        <f>IF(AND(ISNUMBER(AK113),ISNUMBER(AI113)),AK113-AI113,"")</f>
        <v>0</v>
      </c>
      <c r="AK113" s="27"/>
      <c r="AL113" s="28">
        <f>IF(AND(ISNUMBER(AM113),ISNUMBER(AK113)),AM113-AK113,"")</f>
        <v>0</v>
      </c>
      <c r="AM113" s="27"/>
      <c r="AN113" s="28">
        <f>IF(AND(ISNUMBER(AO113),ISNUMBER(AM113)),AO113-AM113,"")</f>
        <v>0</v>
      </c>
      <c r="AO113" s="27"/>
      <c r="AP113" s="28">
        <f>IF(AND(ISNUMBER(AQ113),ISNUMBER(AO113)),AQ113-AO113,"")</f>
        <v>0</v>
      </c>
      <c r="AQ113" s="27"/>
      <c r="AR113" s="28">
        <f>IF(AND(ISNUMBER(AS113),ISNUMBER(AQ113)),AS113-AQ113,"")</f>
        <v>0</v>
      </c>
      <c r="AS113" s="27"/>
      <c r="AT113" s="28">
        <f>IF(AND(ISNUMBER(AU113),ISNUMBER(AS113)),AU113-AS113,"")</f>
        <v>0</v>
      </c>
      <c r="AU113" s="27"/>
      <c r="AV113" s="28">
        <f>IF(AND(ISNUMBER(AW113),ISNUMBER(AU113)),AW113-AU113,"")</f>
        <v>0</v>
      </c>
      <c r="AW113" s="27"/>
      <c r="AX113" s="28">
        <f>IF(AND(ISNUMBER(AY113),ISNUMBER(AW113)),AY113-AW113,"")</f>
        <v>0</v>
      </c>
      <c r="AY113" s="27"/>
      <c r="AZ113" s="28">
        <f>IF(AND(ISNUMBER(BA113),ISNUMBER(AY113)),BA113-AY113,"")</f>
        <v>0</v>
      </c>
      <c r="BA113" s="27"/>
      <c r="BB113" s="28">
        <f>IF(AND(ISNUMBER(BC113),ISNUMBER(BA113)),BC113-BA113,"")</f>
        <v>0</v>
      </c>
      <c r="BC113" s="27"/>
      <c r="BD113" s="28">
        <f>IF(AND(ISNUMBER(BE113),ISNUMBER(BC113)),BE113-BC113,"")</f>
        <v>0</v>
      </c>
      <c r="BE113" s="27"/>
      <c r="BF113" s="28">
        <f>IF(AND(ISNUMBER(BG113),ISNUMBER(BE113)),BG113-BE113,"")</f>
        <v>0</v>
      </c>
      <c r="BG113" s="27"/>
      <c r="BH113" s="28">
        <f>IF(AND(ISNUMBER(BI113),ISNUMBER(BG113)),BI113-BG113,"")</f>
        <v>0</v>
      </c>
      <c r="BI113" s="27"/>
      <c r="BJ113" s="28">
        <f>IF(AND(ISNUMBER(BK113),ISNUMBER(BI113)),BK113-BI113,"")</f>
        <v>0</v>
      </c>
      <c r="BK113" s="27"/>
      <c r="BL113" s="28">
        <f>IF(AND(ISNUMBER(BM113),ISNUMBER(BK113)),BM113-BK113,"")</f>
        <v>0</v>
      </c>
      <c r="BM113" s="27"/>
      <c r="BN113" s="28">
        <f>IF(AND(ISNUMBER(BO113),ISNUMBER(BM113)),BO113-BM113,"")</f>
        <v>0</v>
      </c>
      <c r="BO113" s="27"/>
      <c r="BP113" s="28">
        <f>IF(AND(ISNUMBER(BQ113),ISNUMBER(BO113)),BQ113-BO113,"")</f>
        <v>0</v>
      </c>
      <c r="BQ113" s="27"/>
      <c r="BR113" s="28">
        <f>IF(AND(ISNUMBER(BS113),ISNUMBER(BQ113)),BS113-BQ113,"")</f>
        <v>0</v>
      </c>
      <c r="BS113" s="27"/>
      <c r="BT113" s="28">
        <f>IF(AND(ISNUMBER(BU113),ISNUMBER(BS113)),BU113-BS113,"")</f>
        <v>0</v>
      </c>
      <c r="BU113" s="27"/>
      <c r="BV113" s="28">
        <f>IF(AND(ISNUMBER(BW113),ISNUMBER(BU113)),BW113-BU113,"")</f>
        <v>0</v>
      </c>
      <c r="BW113" s="27"/>
      <c r="BX113" s="28">
        <f>IF(AND(ISNUMBER(BY113),ISNUMBER(BW113)),BY113-BW113,"")</f>
        <v>0</v>
      </c>
      <c r="BY113" s="27"/>
      <c r="BZ113" s="28">
        <f>IF(AND(ISNUMBER(CA113),ISNUMBER(BY113)),CA113-BY113,"")</f>
        <v>0</v>
      </c>
      <c r="CA113" s="27"/>
      <c r="CB113" s="28">
        <f>IF(AND(ISNUMBER(CC113),ISNUMBER(CA113)),CC113-CA113,"")</f>
        <v>0</v>
      </c>
      <c r="CC113" s="27"/>
      <c r="CD113" s="28">
        <f>IF(AND(ISNUMBER(CE113),ISNUMBER(CC113)),CE113-CC113,"")</f>
        <v>0</v>
      </c>
      <c r="CE113" s="27"/>
      <c r="CF113" s="28">
        <f>IF(AND(ISNUMBER(CG113),ISNUMBER(CE113)),CG113-CE113,"")</f>
        <v>0</v>
      </c>
      <c r="CG113" s="27"/>
      <c r="CH113" s="28">
        <f>IF(AND(ISNUMBER(CI113),ISNUMBER(CG113)),CI113-CG113,"")</f>
        <v>0</v>
      </c>
      <c r="CI113" s="27"/>
      <c r="CJ113" s="28">
        <f>IF(AND(ISNUMBER(CK113),ISNUMBER(CI113)),CK113-CI113,"")</f>
        <v>0</v>
      </c>
      <c r="CK113" s="27"/>
      <c r="CL113" s="28">
        <f>IF(AND(ISNUMBER(CM113),ISNUMBER(CK113)),CM113-CK113,"")</f>
        <v>0</v>
      </c>
      <c r="CM113" s="27"/>
      <c r="CN113" s="28">
        <f>IF(AND(ISNUMBER(CO113),ISNUMBER(CM113)),CO113-CM113,"")</f>
        <v>0</v>
      </c>
      <c r="CO113" s="27"/>
      <c r="CP113" s="28">
        <f>IF(AND(ISNUMBER(CQ113),ISNUMBER(CO113)),CQ113-CO113,"")</f>
        <v>0</v>
      </c>
      <c r="CQ113" s="27"/>
      <c r="CR113" s="28">
        <f>IF(AND(ISNUMBER(CS113),ISNUMBER(CQ113)),CS113-CQ113,"")</f>
        <v>0</v>
      </c>
      <c r="CS113" s="27"/>
      <c r="CT113" s="28">
        <f>IF(AND(ISNUMBER(CU113),ISNUMBER(CS113)),CU113-CS113,"")</f>
        <v>0</v>
      </c>
      <c r="CU113" s="27"/>
      <c r="CV113" s="28">
        <f>IF(AND(ISNUMBER(CW113),ISNUMBER(CU113)),CW113-CU113,"")</f>
        <v>0</v>
      </c>
      <c r="CW113" s="27"/>
      <c r="CX113" s="28">
        <f>IF(AND(ISNUMBER(CY113),ISNUMBER(CW113)),CY113-CW113,"")</f>
        <v>0</v>
      </c>
      <c r="CY113" s="27"/>
      <c r="CZ113" s="28">
        <f>IF(AND(ISNUMBER(DA113),ISNUMBER(CY113)),DA113-CY113,"")</f>
        <v>0</v>
      </c>
      <c r="DA113" s="27"/>
      <c r="DB113" s="28">
        <f>IF(AND(ISNUMBER(DC113),ISNUMBER(DA113)),DC113-DA113,"")</f>
        <v>0</v>
      </c>
      <c r="DC113" s="27"/>
      <c r="DD113" s="28">
        <f>IF(AND(ISNUMBER(DE113),ISNUMBER(DC113)),DE113-DC113,"")</f>
        <v>0</v>
      </c>
      <c r="DE113" s="27"/>
      <c r="DF113" s="28">
        <f>IF(AND(ISNUMBER(DG113),ISNUMBER(DE113)),DG113-DE113,"")</f>
        <v>0</v>
      </c>
      <c r="DG113" s="27"/>
      <c r="DH113" s="28">
        <f>IF(AND(ISNUMBER(DI113),ISNUMBER(DG113)),DI113-DG113,"")</f>
        <v>0</v>
      </c>
      <c r="DI113" s="27"/>
      <c r="DJ113" s="28">
        <f>IF(AND(ISNUMBER(DK113),ISNUMBER(DI113)),DK113-DI113,"")</f>
        <v>0</v>
      </c>
      <c r="DK113" s="27"/>
      <c r="DL113" s="28">
        <f>IF(AND(ISNUMBER(DM113),ISNUMBER(DK113)),DM113-DK113,"")</f>
        <v>0</v>
      </c>
      <c r="DM113" s="27"/>
      <c r="DN113" s="28">
        <f>IF(AND(ISNUMBER(DO113),ISNUMBER(DM113)),DO113-DM113,"")</f>
        <v>0</v>
      </c>
      <c r="DO113" s="27"/>
      <c r="DP113" s="28">
        <f>IF(AND(ISNUMBER(DQ113),ISNUMBER(DO113)),DQ113-DO113,"")</f>
        <v>0</v>
      </c>
      <c r="DQ113" s="27">
        <v>550</v>
      </c>
      <c r="DR113" s="28">
        <f>IF(AND(ISNUMBER(DS113),ISNUMBER(DQ113)),DS113-DQ113,"")</f>
        <v>0</v>
      </c>
      <c r="DS113" s="27">
        <v>569</v>
      </c>
      <c r="DT113" s="28">
        <f>IF(AND(ISNUMBER(DU113),ISNUMBER(DS113)),DU113-DS113,"")</f>
        <v>0</v>
      </c>
      <c r="DU113" s="27">
        <v>573</v>
      </c>
      <c r="DV113" s="28">
        <f>IF(AND(ISNUMBER(DW113),ISNUMBER(DU113)),DW113-DU113,"")</f>
        <v>0</v>
      </c>
      <c r="DW113" s="27">
        <v>546</v>
      </c>
      <c r="DX113" s="28">
        <f>IF(AND(ISNUMBER(DY113),ISNUMBER(DW113)),DY113-DW113,"")</f>
        <v>0</v>
      </c>
      <c r="DY113" s="27">
        <v>552</v>
      </c>
      <c r="DZ113" s="28">
        <f>IF(AND(ISNUMBER(EA113),ISNUMBER(DY113)),EA113-DY113,"")</f>
        <v>0</v>
      </c>
      <c r="EA113" s="27">
        <v>482</v>
      </c>
      <c r="EB113" s="28">
        <f>IF(AND(ISNUMBER(EC113),ISNUMBER(EA113)),EC113-EA113,"")</f>
        <v>0</v>
      </c>
      <c r="EC113" s="29">
        <f>141+69+49+30+38+150+20+13+4</f>
        <v>0</v>
      </c>
      <c r="ED113" s="28">
        <f>IF(AND(ISNUMBER(EE113),ISNUMBER(EC113)),EE113-EC113,"")</f>
        <v>0</v>
      </c>
      <c r="EE113" s="29">
        <f>157+74+72+30+108+158+14+13+9</f>
        <v>0</v>
      </c>
      <c r="EF113" s="28">
        <f>IF(AND(ISNUMBER(EG113),ISNUMBER(EE113)),EG113-EE113,"")</f>
        <v>0</v>
      </c>
      <c r="EG113" s="27">
        <v>630</v>
      </c>
      <c r="EH113" s="28">
        <f>IF(AND(ISNUMBER(EI113),ISNUMBER(EG113)),EI113-EG113,"")</f>
        <v>0</v>
      </c>
      <c r="EI113" s="27">
        <v>668</v>
      </c>
      <c r="EJ113" s="28">
        <f>IF(AND(ISNUMBER(EK113),ISNUMBER(EI113)),EK113-EI113,"")</f>
        <v>0</v>
      </c>
      <c r="EK113" s="27">
        <v>706</v>
      </c>
      <c r="EL113" s="28">
        <f>IF(AND(ISNUMBER(EM113),ISNUMBER(EK113)),EM113-EK113,"")</f>
        <v>0</v>
      </c>
      <c r="EM113" s="27">
        <v>669</v>
      </c>
      <c r="EN113" s="28">
        <f>IF(AND(ISNUMBER(EO113),ISNUMBER(EM113)),EO113-EM113,"")</f>
        <v>0</v>
      </c>
      <c r="EO113" s="27">
        <v>711</v>
      </c>
      <c r="EP113" s="28">
        <f>IF(AND(ISNUMBER(EQ113),ISNUMBER(EO113)),EQ113-EO113,"")</f>
        <v>0</v>
      </c>
      <c r="EQ113" s="27">
        <v>761</v>
      </c>
      <c r="ER113" s="28">
        <f>IF(AND(ISNUMBER(ES113),ISNUMBER(EQ113)),ES113-EQ113,"")</f>
        <v>0</v>
      </c>
      <c r="ES113" s="27">
        <v>781</v>
      </c>
      <c r="ET113" s="28">
        <f>IF(AND(ISNUMBER(EU113),ISNUMBER(ES113)),EU113-ES113,"")</f>
        <v>0</v>
      </c>
      <c r="EU113" s="27">
        <v>810</v>
      </c>
      <c r="EV113" s="28">
        <f>IF(AND(ISNUMBER(EW113),ISNUMBER(EU113)),EW113-EU113,"")</f>
        <v>0</v>
      </c>
      <c r="EW113" s="27">
        <v>751</v>
      </c>
      <c r="EX113" s="28">
        <f>IF(AND(ISNUMBER(EY113),ISNUMBER(EW113)),EY113-EW113,"")</f>
        <v>0</v>
      </c>
      <c r="EY113" s="27">
        <v>768</v>
      </c>
      <c r="EZ113" s="28">
        <f>IF(AND(ISNUMBER(FA113),ISNUMBER(EY113)),FA113-EY113,"")</f>
        <v>0</v>
      </c>
      <c r="FA113" s="27">
        <v>815</v>
      </c>
      <c r="FB113" s="28">
        <f>IF(AND(ISNUMBER(FC113),ISNUMBER(FA113)),FC113-FA113,"")</f>
        <v>0</v>
      </c>
      <c r="FC113" s="27">
        <v>864</v>
      </c>
      <c r="FD113" s="28">
        <f>IF(AND(ISNUMBER(FE113),ISNUMBER(FC113)),FE113-FC113,"")</f>
        <v>0</v>
      </c>
      <c r="FE113" s="27">
        <v>887</v>
      </c>
      <c r="FF113" s="28">
        <f>IF(AND(ISNUMBER(FG113),ISNUMBER(FE113)),FG113-FE113,"")</f>
        <v>0</v>
      </c>
      <c r="FG113" s="27">
        <v>785</v>
      </c>
      <c r="FH113" s="28">
        <f>IF(AND(ISNUMBER(FI113),ISNUMBER(FG113)),FI113-FG113,"")</f>
        <v>0</v>
      </c>
      <c r="FI113" s="27">
        <v>874</v>
      </c>
      <c r="FJ113" s="28">
        <f>IF(AND(ISNUMBER(FK113),ISNUMBER(FI113)),FK113-FI113,"")</f>
        <v>0</v>
      </c>
      <c r="FK113" s="27">
        <v>852</v>
      </c>
      <c r="FL113" s="28">
        <f>IF(AND(ISNUMBER(FM113),ISNUMBER(FK113)),FM113-FK113,"")</f>
        <v>0</v>
      </c>
      <c r="FM113" s="27">
        <v>1000</v>
      </c>
      <c r="FN113" s="28">
        <f>IF(AND(ISNUMBER(FO113),ISNUMBER(FM113)),FO113-FM113,"")</f>
        <v>0</v>
      </c>
      <c r="FO113" s="27">
        <v>1099</v>
      </c>
      <c r="FP113" s="28">
        <f>IF(AND(ISNUMBER(FQ113),ISNUMBER(FO113)),FQ113-FO113,"")</f>
        <v>0</v>
      </c>
      <c r="FQ113" s="27">
        <v>997</v>
      </c>
      <c r="FR113" s="28">
        <f>IF(AND(ISNUMBER(FS113),ISNUMBER(FQ113)),FS113-FQ113,"")</f>
        <v>0</v>
      </c>
      <c r="FS113" s="27">
        <v>934</v>
      </c>
      <c r="FT113" s="28">
        <f>IF(AND(ISNUMBER(FU113),ISNUMBER(FS113)),FU113-FS113,"")</f>
        <v>0</v>
      </c>
      <c r="FU113" s="27">
        <v>913</v>
      </c>
      <c r="FV113" s="28">
        <f>IF(AND(ISNUMBER(FW113),ISNUMBER(FU113)),FW113-FU113,"")</f>
        <v>0</v>
      </c>
      <c r="FW113" s="27">
        <v>1037</v>
      </c>
      <c r="FX113" s="28">
        <f>IF(AND(ISNUMBER(FY113),ISNUMBER(FW113)),FY113-FW113,"")</f>
        <v>0</v>
      </c>
      <c r="FY113" s="27">
        <v>1086</v>
      </c>
      <c r="FZ113" s="28">
        <f>IF(AND(ISNUMBER(GA113),ISNUMBER(FY113)),GA113-FY113,"")</f>
        <v>0</v>
      </c>
      <c r="GA113" s="27">
        <v>1084</v>
      </c>
      <c r="GB113" s="28">
        <f>IF(AND(ISNUMBER(GC113),ISNUMBER(GA113)),GC113-GA113,"")</f>
        <v>0</v>
      </c>
      <c r="GC113" s="27">
        <v>1162</v>
      </c>
      <c r="GD113" s="28">
        <f>IF(AND(ISNUMBER(GE113),ISNUMBER(GC113)),GE113-GC113,"")</f>
        <v>0</v>
      </c>
      <c r="GE113" s="27">
        <v>1180</v>
      </c>
      <c r="GF113" s="28">
        <f>IF(AND(ISNUMBER(GG113),ISNUMBER(GE113)),GG113-GE113,"")</f>
        <v>0</v>
      </c>
      <c r="GG113" s="27">
        <v>1133</v>
      </c>
      <c r="GH113" s="28">
        <f>IF(AND(ISNUMBER(GI113),ISNUMBER(GG113)),GI113-GG113,"")</f>
        <v>0</v>
      </c>
      <c r="GI113" s="27">
        <v>1132</v>
      </c>
      <c r="GJ113" s="28">
        <f>IF(AND(ISNUMBER(GK113),ISNUMBER(GI113)),GK113-GI113,"")</f>
        <v>0</v>
      </c>
      <c r="GK113" s="27">
        <v>1003</v>
      </c>
      <c r="GL113" s="28">
        <f>IF(AND(ISNUMBER(GM113),ISNUMBER(GK113)),GM113-GK113,"")</f>
        <v>0</v>
      </c>
      <c r="GM113" s="27">
        <v>1004</v>
      </c>
      <c r="GN113" s="28">
        <f>IF(AND(ISNUMBER(GO113),ISNUMBER(GM113)),GO113-GM113,"")</f>
        <v>0</v>
      </c>
      <c r="GO113" s="27">
        <v>985</v>
      </c>
      <c r="GP113" s="28">
        <f>IF(AND(ISNUMBER(GQ113),ISNUMBER(GO113)),GQ113-GO113,"")</f>
        <v>0</v>
      </c>
      <c r="GQ113" s="27">
        <v>930</v>
      </c>
      <c r="GR113" s="28">
        <f>IF(AND(ISNUMBER(GS113),ISNUMBER(GQ113)),GS113-GQ113,"")</f>
        <v>0</v>
      </c>
      <c r="GS113" s="27">
        <v>956</v>
      </c>
      <c r="GT113" s="28">
        <f>IF(AND(ISNUMBER(GU113),ISNUMBER(GS113)),GU113-GS113,"")</f>
        <v>0</v>
      </c>
      <c r="GU113" s="27">
        <v>956</v>
      </c>
      <c r="GV113" s="28">
        <f>IF(AND(ISNUMBER(GW113),ISNUMBER(GU113)),GW113-GU113,"")</f>
        <v>0</v>
      </c>
      <c r="GW113" s="27">
        <v>913</v>
      </c>
      <c r="GX113" s="28">
        <f>IF(AND(ISNUMBER(GY113),ISNUMBER(GW113)),GY113-GW113,"")</f>
        <v>0</v>
      </c>
      <c r="GY113" s="27">
        <v>879</v>
      </c>
      <c r="GZ113" s="28">
        <f>IF(AND(ISNUMBER(HA113),ISNUMBER(GY113)),HA113-GY113,"")</f>
        <v>0</v>
      </c>
      <c r="HA113" s="27">
        <v>830</v>
      </c>
      <c r="HB113" s="28">
        <f>IF(AND(ISNUMBER(HC113),ISNUMBER(HA113)),HC113-HA113,"")</f>
        <v>0</v>
      </c>
      <c r="HC113" s="27">
        <v>766</v>
      </c>
      <c r="HD113" s="28">
        <f>IF(AND(ISNUMBER(HE113),ISNUMBER(HC113)),HE113-HC113,"")</f>
        <v>0</v>
      </c>
      <c r="HE113" s="27">
        <v>758</v>
      </c>
      <c r="HF113" s="28">
        <f>IF(AND(ISNUMBER(HG113),ISNUMBER(HE113)),HG113-HE113,"")</f>
        <v>0</v>
      </c>
      <c r="HG113" s="27">
        <v>717</v>
      </c>
      <c r="HH113" s="28">
        <f>IF(AND(ISNUMBER(HI113),ISNUMBER(HG113)),HI113-HG113,"")</f>
        <v>0</v>
      </c>
      <c r="HI113" s="27">
        <v>705</v>
      </c>
      <c r="HJ113" s="28">
        <f>IF(AND(ISNUMBER(HK113),ISNUMBER(HI113)),HK113-HI113,"")</f>
        <v>0</v>
      </c>
      <c r="HK113" s="27">
        <v>699</v>
      </c>
      <c r="HL113" s="28">
        <f>IF(AND(ISNUMBER(HM113),ISNUMBER(HK113)),HM113-HK113,"")</f>
        <v>0</v>
      </c>
      <c r="HM113" s="27">
        <v>752</v>
      </c>
      <c r="HN113" s="28">
        <f>IF(AND(ISNUMBER(HO113),ISNUMBER(HM113)),HO113-HM113,"")</f>
        <v>0</v>
      </c>
      <c r="HO113" s="27">
        <v>721</v>
      </c>
      <c r="HP113" s="28">
        <f>IF(AND(ISNUMBER(HQ113),ISNUMBER(HO113)),HQ113-HO113,"")</f>
        <v>0</v>
      </c>
      <c r="HQ113" s="27">
        <v>707</v>
      </c>
      <c r="HR113" s="28">
        <f>IF(AND(ISNUMBER(HS113),ISNUMBER(HQ113)),HS113-HQ113,"")</f>
        <v>0</v>
      </c>
      <c r="HS113" s="27">
        <v>719</v>
      </c>
      <c r="HT113" s="28">
        <f>IF(AND(ISNUMBER(HU113),ISNUMBER(HS113)),HU113-HS113,"")</f>
        <v>0</v>
      </c>
      <c r="HU113" s="27">
        <v>738</v>
      </c>
      <c r="HV113" s="28">
        <f>IF(AND(ISNUMBER(HW113),ISNUMBER(HU113)),HW113-HU113,"")</f>
        <v>0</v>
      </c>
      <c r="HW113" s="27">
        <v>735</v>
      </c>
      <c r="HX113" s="28">
        <f>IF(AND(ISNUMBER(HY113),ISNUMBER(HW113)),HY113-HW113,"")</f>
        <v>0</v>
      </c>
      <c r="HY113" s="27">
        <v>704</v>
      </c>
      <c r="HZ113" s="28">
        <f>IF(AND(ISNUMBER(IA113),ISNUMBER(HY113)),IA113-HY113,"")</f>
        <v>0</v>
      </c>
      <c r="IA113" s="27">
        <v>704</v>
      </c>
      <c r="IB113" s="28">
        <f>IF(AND(ISNUMBER(IC113),ISNUMBER(IA113)),IC113-IA113,"")</f>
        <v>0</v>
      </c>
      <c r="IC113" s="27">
        <v>723</v>
      </c>
      <c r="ID113" s="28">
        <f>IF(AND(ISNUMBER(IE113),ISNUMBER(IC113)),IE113-IC113,"")</f>
        <v>0</v>
      </c>
      <c r="IE113" s="27">
        <v>569</v>
      </c>
      <c r="IF113" s="28">
        <f>IF(AND(ISNUMBER(IG113),ISNUMBER(IE113)),IG113-IE113,"")</f>
        <v>0</v>
      </c>
      <c r="IG113" s="27">
        <v>565</v>
      </c>
      <c r="IH113" s="28">
        <f>IF(AND(ISNUMBER(II113),ISNUMBER(IG113)),II113-IG113,"")</f>
        <v>0</v>
      </c>
      <c r="II113" s="27">
        <v>531</v>
      </c>
      <c r="IJ113" s="28">
        <f>IF(AND(ISNUMBER(IK113),ISNUMBER(II113)),IK113-II113,"")</f>
        <v>0</v>
      </c>
      <c r="IK113" s="27">
        <v>469</v>
      </c>
      <c r="IL113" s="28">
        <f>IF(AND(ISNUMBER(IM113),ISNUMBER(IK113)),IM113-IK113,"")</f>
        <v>0</v>
      </c>
      <c r="IM113" s="27">
        <v>420</v>
      </c>
      <c r="IN113" s="28">
        <f>IF(AND(ISNUMBER(IO113),ISNUMBER(IM113)),IO113-IM113,"")</f>
        <v>0</v>
      </c>
      <c r="IO113" s="27">
        <v>394</v>
      </c>
      <c r="IP113" s="28">
        <f>IF(AND(ISNUMBER(IQ113),ISNUMBER(IO113)),IQ113-IO113,"")</f>
        <v>0</v>
      </c>
      <c r="IQ113" s="27">
        <v>429</v>
      </c>
      <c r="IR113" s="28">
        <f>IF(AND(ISNUMBER(IS113),ISNUMBER(IQ113)),IS113-IQ113,"")</f>
        <v>0</v>
      </c>
      <c r="IS113" s="27">
        <v>417</v>
      </c>
      <c r="IT113" s="28">
        <f>IF(AND(ISNUMBER(IU113),ISNUMBER(IS113)),IU113-IS113,"")</f>
        <v>0</v>
      </c>
      <c r="IU113" s="27">
        <v>362</v>
      </c>
      <c r="IV113" s="28">
        <f>IF(AND(ISNUMBER(IW113),ISNUMBER(IU113)),IW113-IU113,"")</f>
        <v>0</v>
      </c>
      <c r="IW113" s="27">
        <v>262</v>
      </c>
      <c r="IX113" s="28">
        <f>IF(AND(ISNUMBER(IY113),ISNUMBER(IW113)),IY113-IW113,"")</f>
        <v>0</v>
      </c>
      <c r="IY113" s="27">
        <v>244</v>
      </c>
      <c r="IZ113" s="28">
        <f>IF(AND(ISNUMBER(JA113),ISNUMBER(IY113)),JA113-IY113,"")</f>
        <v>0</v>
      </c>
      <c r="JA113" s="27">
        <v>271</v>
      </c>
      <c r="JB113" s="28">
        <f>IF(AND(ISNUMBER(JC113),ISNUMBER(JA113)),JC113-JA113,"")</f>
        <v>0</v>
      </c>
      <c r="JC113" s="27">
        <v>317</v>
      </c>
      <c r="JD113" s="28">
        <f>IF(AND(ISNUMBER(JE113),ISNUMBER(JC113)),JE113-JC113,"")</f>
        <v>0</v>
      </c>
      <c r="JE113" s="27">
        <v>280</v>
      </c>
      <c r="JF113" s="28">
        <f>IF(AND(ISNUMBER(JG113),ISNUMBER(JE113)),JG113-JE113,"")</f>
        <v>0</v>
      </c>
      <c r="JG113" s="27">
        <v>287</v>
      </c>
      <c r="JH113" s="28">
        <f>IF(AND(ISNUMBER(JI113),ISNUMBER(JG113)),JI113-JG113,"")</f>
        <v>0</v>
      </c>
      <c r="JI113" s="27">
        <v>278</v>
      </c>
      <c r="JJ113" s="28">
        <f>IF(AND(ISNUMBER(JK113),ISNUMBER(JI113)),JK113-JI113,"")</f>
        <v>0</v>
      </c>
      <c r="JK113" s="27">
        <v>316</v>
      </c>
      <c r="JL113" s="28">
        <f>IF(AND(ISNUMBER(JM113),ISNUMBER(JK113)),JM113-JK113,"")</f>
        <v>0</v>
      </c>
      <c r="JM113" s="27">
        <v>314</v>
      </c>
      <c r="JN113" s="28">
        <f>IF(AND(ISNUMBER(JO113),ISNUMBER(JM113)),JO113-JM113,"")</f>
        <v>0</v>
      </c>
      <c r="JO113" s="27">
        <v>325</v>
      </c>
      <c r="JP113" s="28">
        <f>IF(AND(ISNUMBER(JQ113),ISNUMBER(JO113)),JQ113-JO113,"")</f>
        <v>0</v>
      </c>
      <c r="JQ113" s="27">
        <v>323</v>
      </c>
      <c r="JR113" s="28">
        <f>IF(AND(ISNUMBER(JS113),ISNUMBER(JQ113)),JS113-JQ113,"")</f>
        <v>0</v>
      </c>
      <c r="JS113" s="27">
        <v>349</v>
      </c>
      <c r="JT113" s="28">
        <f>IF(AND(ISNUMBER(JU113),ISNUMBER(JS113)),JU113-JS113,"")</f>
        <v>0</v>
      </c>
      <c r="JU113" s="27">
        <v>370</v>
      </c>
      <c r="JV113" s="28">
        <f>IF(AND(ISNUMBER(JW113),ISNUMBER(JU113)),JW113-JU113,"")</f>
        <v>0</v>
      </c>
      <c r="JW113" s="27">
        <v>368</v>
      </c>
      <c r="JX113" s="28">
        <f>IF(AND(ISNUMBER(JY113),ISNUMBER(JW113)),JY113-JW113,"")</f>
        <v>0</v>
      </c>
      <c r="JY113" s="27">
        <v>389</v>
      </c>
      <c r="JZ113" s="28">
        <f>IF(AND(ISNUMBER(KA113),ISNUMBER(JY113)),KA113-JY113,"")</f>
        <v>0</v>
      </c>
      <c r="KA113" s="27"/>
      <c r="KB113" s="28">
        <f>IF(AND(ISNUMBER(KC113),ISNUMBER(KA113)),KC113-KA113,"")</f>
        <v>0</v>
      </c>
      <c r="KC113" s="27"/>
      <c r="KD113" s="28">
        <f>IF(AND(ISNUMBER(KE113),ISNUMBER(KC113)),KE113-KC113,"")</f>
        <v>0</v>
      </c>
      <c r="KE113" s="27"/>
      <c r="KF113" s="28">
        <f>IF(AND(ISNUMBER(KG113),ISNUMBER(KE113)),KG113-KE113,"")</f>
        <v>0</v>
      </c>
      <c r="KG113" s="27"/>
      <c r="KH113" s="28">
        <f>IF(AND(ISNUMBER(KI113),ISNUMBER(KG113)),KI113-KG113,"")</f>
        <v>0</v>
      </c>
      <c r="KI113" s="27"/>
      <c r="KJ113" s="28">
        <f>IF(AND(ISNUMBER(KK113),ISNUMBER(KI113)),KK113-KI113,"")</f>
        <v>0</v>
      </c>
      <c r="KK113" s="27"/>
      <c r="KL113" s="28">
        <f>IF(AND(ISNUMBER(KM113),ISNUMBER(KK113)),KM113-KK113,"")</f>
        <v>0</v>
      </c>
      <c r="KM113" s="27"/>
      <c r="KN113" s="28">
        <f>IF(AND(ISNUMBER(KO113),ISNUMBER(KM113)),KO113-KM113,"")</f>
        <v>0</v>
      </c>
      <c r="KO113" s="27"/>
      <c r="KP113" s="28">
        <f>IF(AND(ISNUMBER(KQ113),ISNUMBER(KO113)),KQ113-KO113,"")</f>
        <v>0</v>
      </c>
      <c r="KQ113" s="27"/>
      <c r="KR113" s="28">
        <f>IF(AND(ISNUMBER(KS113),ISNUMBER(KQ113)),KS113-KQ113,"")</f>
        <v>0</v>
      </c>
      <c r="KS113" s="27"/>
      <c r="KT113" s="28">
        <f>IF(AND(ISNUMBER(KU113),ISNUMBER(KS113)),KU113-KS113,"")</f>
        <v>0</v>
      </c>
      <c r="KU113" s="27"/>
      <c r="KV113" s="28">
        <f>IF(AND(ISNUMBER(KW113),ISNUMBER(KU113)),KW113-KU113,"")</f>
        <v>0</v>
      </c>
      <c r="KW113" s="27"/>
      <c r="KX113" s="28">
        <f>IF(AND(ISNUMBER(KY113),ISNUMBER(KW113)),KY113-KW113,"")</f>
        <v>0</v>
      </c>
      <c r="KY113" s="27"/>
      <c r="KZ113" s="28">
        <f>IF(AND(ISNUMBER(LA113),ISNUMBER(KY113)),LA113-KY113,"")</f>
        <v>0</v>
      </c>
      <c r="LA113" s="27"/>
      <c r="LB113" s="28">
        <f>IF(AND(ISNUMBER(LC113),ISNUMBER(LA113)),LC113-LA113,"")</f>
        <v>0</v>
      </c>
      <c r="LC113" s="27"/>
      <c r="LD113" s="28">
        <f>IF(AND(ISNUMBER(LE113),ISNUMBER(LC113)),LE113-LC113,"")</f>
        <v>0</v>
      </c>
      <c r="LE113" s="27"/>
      <c r="LF113" s="28">
        <f>IF(AND(ISNUMBER(LG113),ISNUMBER(LE113)),LG113-LE113,"")</f>
        <v>0</v>
      </c>
      <c r="LG113" s="27"/>
      <c r="LH113" s="30"/>
      <c r="LI113" s="30"/>
      <c r="LJ113" s="30"/>
    </row>
    <row r="114" spans="1:322">
      <c r="A114" s="22">
        <v>9</v>
      </c>
      <c r="B114" s="23" t="s">
        <v>1129</v>
      </c>
      <c r="C114" s="43" t="s">
        <v>728</v>
      </c>
      <c r="D114" s="43"/>
      <c r="E114" s="25" t="s">
        <v>1130</v>
      </c>
      <c r="F114" s="26"/>
      <c r="G114" s="26"/>
      <c r="H114" s="26" t="s">
        <v>1096</v>
      </c>
      <c r="I114" s="42" t="s">
        <v>1078</v>
      </c>
      <c r="J114" s="28">
        <f>IF(AND(ISNUMBER(K114),ISNUMBER(I114)),K114-I114,"")</f>
        <v>0</v>
      </c>
      <c r="K114" s="42" t="s">
        <v>1078</v>
      </c>
      <c r="L114" s="28">
        <f>IF(AND(ISNUMBER(M114),ISNUMBER(K114)),M114-K114,"")</f>
        <v>0</v>
      </c>
      <c r="M114" s="42" t="s">
        <v>1078</v>
      </c>
      <c r="N114" s="28">
        <f>IF(AND(ISNUMBER(O114),ISNUMBER(M114)),O114-M114,"")</f>
        <v>0</v>
      </c>
      <c r="O114" s="42" t="s">
        <v>1078</v>
      </c>
      <c r="P114" s="28">
        <f>IF(AND(ISNUMBER(Q114),ISNUMBER(O114)),Q114-O114,"")</f>
        <v>0</v>
      </c>
      <c r="Q114" s="42" t="s">
        <v>1078</v>
      </c>
      <c r="R114" s="28">
        <f>IF(AND(ISNUMBER(S114),ISNUMBER(Q114)),S114-Q114,"")</f>
        <v>0</v>
      </c>
      <c r="S114" s="42" t="s">
        <v>1078</v>
      </c>
      <c r="T114" s="28">
        <f>IF(AND(ISNUMBER(U114),ISNUMBER(S114)),U114-S114,"")</f>
        <v>0</v>
      </c>
      <c r="U114" s="42" t="s">
        <v>1078</v>
      </c>
      <c r="V114" s="28">
        <f>IF(AND(ISNUMBER(W114),ISNUMBER(U114)),W114-U114,"")</f>
        <v>0</v>
      </c>
      <c r="W114" s="42" t="s">
        <v>1078</v>
      </c>
      <c r="X114" s="28">
        <f>IF(AND(ISNUMBER(Y114),ISNUMBER(W114)),Y114-W114,"")</f>
        <v>0</v>
      </c>
      <c r="Y114" s="42" t="s">
        <v>1078</v>
      </c>
      <c r="Z114" s="28">
        <f>IF(AND(ISNUMBER(AA114),ISNUMBER(Y114)),AA114-Y114,"")</f>
        <v>0</v>
      </c>
      <c r="AA114" s="42" t="s">
        <v>1078</v>
      </c>
      <c r="AB114" s="28">
        <f>IF(AND(ISNUMBER(AC114),ISNUMBER(AA114)),AC114-AA114,"")</f>
        <v>0</v>
      </c>
      <c r="AC114" s="27">
        <v>27</v>
      </c>
      <c r="AD114" s="28">
        <f>IF(AND(ISNUMBER(AE114),ISNUMBER(AC114)),AE114-AC114,"")</f>
        <v>0</v>
      </c>
      <c r="AE114" s="42" t="s">
        <v>1078</v>
      </c>
      <c r="AF114" s="28">
        <f>IF(AND(ISNUMBER(AG114),ISNUMBER(AE114)),AG114-AE114,"")</f>
        <v>0</v>
      </c>
      <c r="AG114" s="42" t="s">
        <v>1078</v>
      </c>
      <c r="AH114" s="28">
        <f>IF(AND(ISNUMBER(AI114),ISNUMBER(AG114)),AI114-AG114,"")</f>
        <v>0</v>
      </c>
      <c r="AI114" s="42" t="s">
        <v>1078</v>
      </c>
      <c r="AJ114" s="28">
        <f>IF(AND(ISNUMBER(AK114),ISNUMBER(AI114)),AK114-AI114,"")</f>
        <v>0</v>
      </c>
      <c r="AK114" s="42" t="s">
        <v>1078</v>
      </c>
      <c r="AL114" s="28">
        <f>IF(AND(ISNUMBER(AM114),ISNUMBER(AK114)),AM114-AK114,"")</f>
        <v>0</v>
      </c>
      <c r="AM114" s="42" t="s">
        <v>1078</v>
      </c>
      <c r="AN114" s="28">
        <f>IF(AND(ISNUMBER(AO114),ISNUMBER(AM114)),AO114-AM114,"")</f>
        <v>0</v>
      </c>
      <c r="AO114" s="42" t="s">
        <v>1078</v>
      </c>
      <c r="AP114" s="28">
        <f>IF(AND(ISNUMBER(AQ114),ISNUMBER(AO114)),AQ114-AO114,"")</f>
        <v>0</v>
      </c>
      <c r="AQ114" s="27">
        <v>45</v>
      </c>
      <c r="AR114" s="28">
        <f>IF(AND(ISNUMBER(AS114),ISNUMBER(AQ114)),AS114-AQ114,"")</f>
        <v>0</v>
      </c>
      <c r="AS114" s="42" t="s">
        <v>1078</v>
      </c>
      <c r="AT114" s="28">
        <f>IF(AND(ISNUMBER(AU114),ISNUMBER(AS114)),AU114-AS114,"")</f>
        <v>0</v>
      </c>
      <c r="AU114" s="27">
        <v>70</v>
      </c>
      <c r="AV114" s="28">
        <f>IF(AND(ISNUMBER(AW114),ISNUMBER(AU114)),AW114-AU114,"")</f>
        <v>0</v>
      </c>
      <c r="AW114" s="27">
        <v>66</v>
      </c>
      <c r="AX114" s="28">
        <f>IF(AND(ISNUMBER(AY114),ISNUMBER(AW114)),AY114-AW114,"")</f>
        <v>0</v>
      </c>
      <c r="AY114" s="27">
        <v>87</v>
      </c>
      <c r="AZ114" s="28">
        <f>IF(AND(ISNUMBER(BA114),ISNUMBER(AY114)),BA114-AY114,"")</f>
        <v>0</v>
      </c>
      <c r="BA114" s="27">
        <v>87</v>
      </c>
      <c r="BB114" s="28">
        <f>IF(AND(ISNUMBER(BC114),ISNUMBER(BA114)),BC114-BA114,"")</f>
        <v>0</v>
      </c>
      <c r="BC114" s="27">
        <v>61</v>
      </c>
      <c r="BD114" s="28">
        <f>IF(AND(ISNUMBER(BE114),ISNUMBER(BC114)),BE114-BC114,"")</f>
        <v>0</v>
      </c>
      <c r="BE114" s="27">
        <v>72</v>
      </c>
      <c r="BF114" s="28">
        <f>IF(AND(ISNUMBER(BG114),ISNUMBER(BE114)),BG114-BE114,"")</f>
        <v>0</v>
      </c>
      <c r="BG114" s="27">
        <v>55</v>
      </c>
      <c r="BH114" s="28">
        <f>IF(AND(ISNUMBER(BI114),ISNUMBER(BG114)),BI114-BG114,"")</f>
        <v>0</v>
      </c>
      <c r="BI114" s="27">
        <v>55</v>
      </c>
      <c r="BJ114" s="28">
        <f>IF(AND(ISNUMBER(BK114),ISNUMBER(BI114)),BK114-BI114,"")</f>
        <v>0</v>
      </c>
      <c r="BK114" s="27">
        <v>42</v>
      </c>
      <c r="BL114" s="28">
        <f>IF(AND(ISNUMBER(BM114),ISNUMBER(BK114)),BM114-BK114,"")</f>
        <v>0</v>
      </c>
      <c r="BM114" s="27">
        <v>37</v>
      </c>
      <c r="BN114" s="28">
        <f>IF(AND(ISNUMBER(BO114),ISNUMBER(BM114)),BO114-BM114,"")</f>
        <v>0</v>
      </c>
      <c r="BO114" s="27">
        <v>38</v>
      </c>
      <c r="BP114" s="28">
        <f>IF(AND(ISNUMBER(BQ114),ISNUMBER(BO114)),BQ114-BO114,"")</f>
        <v>0</v>
      </c>
      <c r="BQ114" s="27">
        <v>46</v>
      </c>
      <c r="BR114" s="28">
        <f>IF(AND(ISNUMBER(BS114),ISNUMBER(BQ114)),BS114-BQ114,"")</f>
        <v>0</v>
      </c>
      <c r="BS114" s="27">
        <v>62</v>
      </c>
      <c r="BT114" s="28">
        <f>IF(AND(ISNUMBER(BU114),ISNUMBER(BS114)),BU114-BS114,"")</f>
        <v>0</v>
      </c>
      <c r="BU114" s="27">
        <v>52</v>
      </c>
      <c r="BV114" s="28">
        <f>IF(AND(ISNUMBER(BW114),ISNUMBER(BU114)),BW114-BU114,"")</f>
        <v>0</v>
      </c>
      <c r="BW114" s="27">
        <v>33</v>
      </c>
      <c r="BX114" s="28">
        <f>IF(AND(ISNUMBER(BY114),ISNUMBER(BW114)),BY114-BW114,"")</f>
        <v>0</v>
      </c>
      <c r="BY114" s="27">
        <v>34</v>
      </c>
      <c r="BZ114" s="28">
        <f>IF(AND(ISNUMBER(CA114),ISNUMBER(BY114)),CA114-BY114,"")</f>
        <v>0</v>
      </c>
      <c r="CA114" s="27">
        <v>28</v>
      </c>
      <c r="CB114" s="28">
        <f>IF(AND(ISNUMBER(CC114),ISNUMBER(CA114)),CC114-CA114,"")</f>
        <v>0</v>
      </c>
      <c r="CC114" s="27"/>
      <c r="CD114" s="28">
        <f>IF(AND(ISNUMBER(CE114),ISNUMBER(CC114)),CE114-CC114,"")</f>
        <v>0</v>
      </c>
      <c r="CE114" s="27">
        <v>42</v>
      </c>
      <c r="CF114" s="28">
        <f>IF(AND(ISNUMBER(CG114),ISNUMBER(CE114)),CG114-CE114,"")</f>
        <v>0</v>
      </c>
      <c r="CG114" s="27">
        <v>28</v>
      </c>
      <c r="CH114" s="28">
        <f>IF(AND(ISNUMBER(CI114),ISNUMBER(CG114)),CI114-CG114,"")</f>
        <v>0</v>
      </c>
      <c r="CI114" s="27">
        <v>36</v>
      </c>
      <c r="CJ114" s="28">
        <f>IF(AND(ISNUMBER(CK114),ISNUMBER(CI114)),CK114-CI114,"")</f>
        <v>0</v>
      </c>
      <c r="CK114" s="27">
        <v>27</v>
      </c>
      <c r="CL114" s="28">
        <f>IF(AND(ISNUMBER(CM114),ISNUMBER(CK114)),CM114-CK114,"")</f>
        <v>0</v>
      </c>
      <c r="CM114" s="27">
        <v>44</v>
      </c>
      <c r="CN114" s="28">
        <f>IF(AND(ISNUMBER(CO114),ISNUMBER(CM114)),CO114-CM114,"")</f>
        <v>0</v>
      </c>
      <c r="CO114" s="27">
        <v>46</v>
      </c>
      <c r="CP114" s="28">
        <f>IF(AND(ISNUMBER(CQ114),ISNUMBER(CO114)),CQ114-CO114,"")</f>
        <v>0</v>
      </c>
      <c r="CQ114" s="27">
        <v>47</v>
      </c>
      <c r="CR114" s="28">
        <f>IF(AND(ISNUMBER(CS114),ISNUMBER(CQ114)),CS114-CQ114,"")</f>
        <v>0</v>
      </c>
      <c r="CS114" s="27">
        <v>45</v>
      </c>
      <c r="CT114" s="28">
        <f>IF(AND(ISNUMBER(CU114),ISNUMBER(CS114)),CU114-CS114,"")</f>
        <v>0</v>
      </c>
      <c r="CU114" s="27">
        <v>54</v>
      </c>
      <c r="CV114" s="28">
        <f>IF(AND(ISNUMBER(CW114),ISNUMBER(CU114)),CW114-CU114,"")</f>
        <v>0</v>
      </c>
      <c r="CW114" s="27">
        <v>56</v>
      </c>
      <c r="CX114" s="28">
        <f>IF(AND(ISNUMBER(CY114),ISNUMBER(CW114)),CY114-CW114,"")</f>
        <v>0</v>
      </c>
      <c r="CY114" s="27">
        <v>106</v>
      </c>
      <c r="CZ114" s="28">
        <f>IF(AND(ISNUMBER(DA114),ISNUMBER(CY114)),DA114-CY114,"")</f>
        <v>0</v>
      </c>
      <c r="DA114" s="27">
        <v>66</v>
      </c>
      <c r="DB114" s="28">
        <f>IF(AND(ISNUMBER(DC114),ISNUMBER(DA114)),DC114-DA114,"")</f>
        <v>0</v>
      </c>
      <c r="DC114" s="27">
        <v>51</v>
      </c>
      <c r="DD114" s="28">
        <f>IF(AND(ISNUMBER(DE114),ISNUMBER(DC114)),DE114-DC114,"")</f>
        <v>0</v>
      </c>
      <c r="DE114" s="27">
        <v>44</v>
      </c>
      <c r="DF114" s="28">
        <f>IF(AND(ISNUMBER(DG114),ISNUMBER(DE114)),DG114-DE114,"")</f>
        <v>0</v>
      </c>
      <c r="DG114" s="27">
        <v>41</v>
      </c>
      <c r="DH114" s="28">
        <f>IF(AND(ISNUMBER(DI114),ISNUMBER(DG114)),DI114-DG114,"")</f>
        <v>0</v>
      </c>
      <c r="DI114" s="27">
        <v>51</v>
      </c>
      <c r="DJ114" s="28">
        <f>IF(AND(ISNUMBER(DK114),ISNUMBER(DI114)),DK114-DI114,"")</f>
        <v>0</v>
      </c>
      <c r="DK114" s="27">
        <v>41</v>
      </c>
      <c r="DL114" s="28">
        <f>IF(AND(ISNUMBER(DM114),ISNUMBER(DK114)),DM114-DK114,"")</f>
        <v>0</v>
      </c>
      <c r="DM114" s="27">
        <v>37</v>
      </c>
      <c r="DN114" s="28">
        <f>IF(AND(ISNUMBER(DO114),ISNUMBER(DM114)),DO114-DM114,"")</f>
        <v>0</v>
      </c>
      <c r="DO114" s="27">
        <v>39</v>
      </c>
      <c r="DP114" s="28">
        <f>IF(AND(ISNUMBER(DQ114),ISNUMBER(DO114)),DQ114-DO114,"")</f>
        <v>0</v>
      </c>
      <c r="DQ114" s="27">
        <v>39</v>
      </c>
      <c r="DR114" s="28">
        <f>IF(AND(ISNUMBER(DS114),ISNUMBER(DQ114)),DS114-DQ114,"")</f>
        <v>0</v>
      </c>
      <c r="DS114" s="27">
        <v>38</v>
      </c>
      <c r="DT114" s="28">
        <f>IF(AND(ISNUMBER(DU114),ISNUMBER(DS114)),DU114-DS114,"")</f>
        <v>0</v>
      </c>
      <c r="DU114" s="27">
        <v>39</v>
      </c>
      <c r="DV114" s="28">
        <f>IF(AND(ISNUMBER(DW114),ISNUMBER(DU114)),DW114-DU114,"")</f>
        <v>0</v>
      </c>
      <c r="DW114" s="27">
        <v>31</v>
      </c>
      <c r="DX114" s="28">
        <f>IF(AND(ISNUMBER(DY114),ISNUMBER(DW114)),DY114-DW114,"")</f>
        <v>0</v>
      </c>
      <c r="DY114" s="27">
        <v>33</v>
      </c>
      <c r="DZ114" s="28">
        <f>IF(AND(ISNUMBER(EA114),ISNUMBER(DY114)),EA114-DY114,"")</f>
        <v>0</v>
      </c>
      <c r="EA114" s="27">
        <v>38</v>
      </c>
      <c r="EB114" s="28">
        <f>IF(AND(ISNUMBER(EC114),ISNUMBER(EA114)),EC114-EA114,"")</f>
        <v>0</v>
      </c>
      <c r="EC114" s="27">
        <v>34</v>
      </c>
      <c r="ED114" s="28">
        <f>IF(AND(ISNUMBER(EE114),ISNUMBER(EC114)),EE114-EC114,"")</f>
        <v>0</v>
      </c>
      <c r="EE114" s="27">
        <v>33</v>
      </c>
      <c r="EF114" s="28">
        <f>IF(AND(ISNUMBER(EG114),ISNUMBER(EE114)),EG114-EE114,"")</f>
        <v>0</v>
      </c>
      <c r="EG114" s="27">
        <v>37</v>
      </c>
      <c r="EH114" s="28">
        <f>IF(AND(ISNUMBER(EI114),ISNUMBER(EG114)),EI114-EG114,"")</f>
        <v>0</v>
      </c>
      <c r="EI114" s="27">
        <v>38</v>
      </c>
      <c r="EJ114" s="28">
        <f>IF(AND(ISNUMBER(EK114),ISNUMBER(EI114)),EK114-EI114,"")</f>
        <v>0</v>
      </c>
      <c r="EK114" s="27">
        <v>39</v>
      </c>
      <c r="EL114" s="28">
        <f>IF(AND(ISNUMBER(EM114),ISNUMBER(EK114)),EM114-EK114,"")</f>
        <v>0</v>
      </c>
      <c r="EM114" s="27">
        <v>45</v>
      </c>
      <c r="EN114" s="28">
        <f>IF(AND(ISNUMBER(EO114),ISNUMBER(EM114)),EO114-EM114,"")</f>
        <v>0</v>
      </c>
      <c r="EO114" s="27">
        <v>47</v>
      </c>
      <c r="EP114" s="28">
        <f>IF(AND(ISNUMBER(EQ114),ISNUMBER(EO114)),EQ114-EO114,"")</f>
        <v>0</v>
      </c>
      <c r="EQ114" s="27"/>
      <c r="ER114" s="28">
        <f>IF(AND(ISNUMBER(ES114),ISNUMBER(EQ114)),ES114-EQ114,"")</f>
        <v>0</v>
      </c>
      <c r="ES114" s="27">
        <v>53</v>
      </c>
      <c r="ET114" s="28">
        <f>IF(AND(ISNUMBER(EU114),ISNUMBER(ES114)),EU114-ES114,"")</f>
        <v>0</v>
      </c>
      <c r="EU114" s="27"/>
      <c r="EV114" s="28">
        <f>IF(AND(ISNUMBER(EW114),ISNUMBER(EU114)),EW114-EU114,"")</f>
        <v>0</v>
      </c>
      <c r="EW114" s="27">
        <v>51</v>
      </c>
      <c r="EX114" s="28">
        <f>IF(AND(ISNUMBER(EY114),ISNUMBER(EW114)),EY114-EW114,"")</f>
        <v>0</v>
      </c>
      <c r="EY114" s="27">
        <v>48</v>
      </c>
      <c r="EZ114" s="28">
        <f>IF(AND(ISNUMBER(FA114),ISNUMBER(EY114)),FA114-EY114,"")</f>
        <v>0</v>
      </c>
      <c r="FA114" s="27">
        <v>50</v>
      </c>
      <c r="FB114" s="28">
        <f>IF(AND(ISNUMBER(FC114),ISNUMBER(FA114)),FC114-FA114,"")</f>
        <v>0</v>
      </c>
      <c r="FC114" s="27">
        <v>43</v>
      </c>
      <c r="FD114" s="28">
        <f>IF(AND(ISNUMBER(FE114),ISNUMBER(FC114)),FE114-FC114,"")</f>
        <v>0</v>
      </c>
      <c r="FE114" s="27"/>
      <c r="FF114" s="28">
        <f>IF(AND(ISNUMBER(FG114),ISNUMBER(FE114)),FG114-FE114,"")</f>
        <v>0</v>
      </c>
      <c r="FG114" s="27">
        <v>40</v>
      </c>
      <c r="FH114" s="28">
        <f>IF(AND(ISNUMBER(FI114),ISNUMBER(FG114)),FI114-FG114,"")</f>
        <v>0</v>
      </c>
      <c r="FI114" s="27">
        <v>36</v>
      </c>
      <c r="FJ114" s="28">
        <f>IF(AND(ISNUMBER(FK114),ISNUMBER(FI114)),FK114-FI114,"")</f>
        <v>0</v>
      </c>
      <c r="FK114" s="27">
        <v>40</v>
      </c>
      <c r="FL114" s="28">
        <f>IF(AND(ISNUMBER(FM114),ISNUMBER(FK114)),FM114-FK114,"")</f>
        <v>0</v>
      </c>
      <c r="FM114" s="27">
        <v>41</v>
      </c>
      <c r="FN114" s="28">
        <f>IF(AND(ISNUMBER(FO114),ISNUMBER(FM114)),FO114-FM114,"")</f>
        <v>0</v>
      </c>
      <c r="FO114" s="27">
        <v>43</v>
      </c>
      <c r="FP114" s="28">
        <f>IF(AND(ISNUMBER(FQ114),ISNUMBER(FO114)),FQ114-FO114,"")</f>
        <v>0</v>
      </c>
      <c r="FQ114" s="27">
        <v>35</v>
      </c>
      <c r="FR114" s="28">
        <f>IF(AND(ISNUMBER(FS114),ISNUMBER(FQ114)),FS114-FQ114,"")</f>
        <v>0</v>
      </c>
      <c r="FS114" s="27">
        <v>24</v>
      </c>
      <c r="FT114" s="28">
        <f>IF(AND(ISNUMBER(FU114),ISNUMBER(FS114)),FU114-FS114,"")</f>
        <v>0</v>
      </c>
      <c r="FU114" s="27">
        <v>24</v>
      </c>
      <c r="FV114" s="28">
        <f>IF(AND(ISNUMBER(FW114),ISNUMBER(FU114)),FW114-FU114,"")</f>
        <v>0</v>
      </c>
      <c r="FW114" s="27">
        <v>28</v>
      </c>
      <c r="FX114" s="28">
        <f>IF(AND(ISNUMBER(FY114),ISNUMBER(FW114)),FY114-FW114,"")</f>
        <v>0</v>
      </c>
      <c r="FY114" s="27">
        <v>30</v>
      </c>
      <c r="FZ114" s="28">
        <f>IF(AND(ISNUMBER(GA114),ISNUMBER(FY114)),GA114-FY114,"")</f>
        <v>0</v>
      </c>
      <c r="GA114" s="27">
        <v>35</v>
      </c>
      <c r="GB114" s="28">
        <f>IF(AND(ISNUMBER(GC114),ISNUMBER(GA114)),GC114-GA114,"")</f>
        <v>0</v>
      </c>
      <c r="GC114" s="27"/>
      <c r="GD114" s="28">
        <f>IF(AND(ISNUMBER(GE114),ISNUMBER(GC114)),GE114-GC114,"")</f>
        <v>0</v>
      </c>
      <c r="GE114" s="27"/>
      <c r="GF114" s="28">
        <f>IF(AND(ISNUMBER(GG114),ISNUMBER(GE114)),GG114-GE114,"")</f>
        <v>0</v>
      </c>
      <c r="GG114" s="27"/>
      <c r="GH114" s="28">
        <f>IF(AND(ISNUMBER(GI114),ISNUMBER(GG114)),GI114-GG114,"")</f>
        <v>0</v>
      </c>
      <c r="GI114" s="27"/>
      <c r="GJ114" s="28">
        <f>IF(AND(ISNUMBER(GK114),ISNUMBER(GI114)),GK114-GI114,"")</f>
        <v>0</v>
      </c>
      <c r="GK114" s="27"/>
      <c r="GL114" s="28">
        <f>IF(AND(ISNUMBER(GM114),ISNUMBER(GK114)),GM114-GK114,"")</f>
        <v>0</v>
      </c>
      <c r="GM114" s="27"/>
      <c r="GN114" s="28">
        <f>IF(AND(ISNUMBER(GO114),ISNUMBER(GM114)),GO114-GM114,"")</f>
        <v>0</v>
      </c>
      <c r="GO114" s="27"/>
      <c r="GP114" s="28">
        <f>IF(AND(ISNUMBER(GQ114),ISNUMBER(GO114)),GQ114-GO114,"")</f>
        <v>0</v>
      </c>
      <c r="GQ114" s="27"/>
      <c r="GR114" s="28">
        <f>IF(AND(ISNUMBER(GS114),ISNUMBER(GQ114)),GS114-GQ114,"")</f>
        <v>0</v>
      </c>
      <c r="GS114" s="27"/>
      <c r="GT114" s="28">
        <f>IF(AND(ISNUMBER(GU114),ISNUMBER(GS114)),GU114-GS114,"")</f>
        <v>0</v>
      </c>
      <c r="GU114" s="27"/>
      <c r="GV114" s="28">
        <f>IF(AND(ISNUMBER(GW114),ISNUMBER(GU114)),GW114-GU114,"")</f>
        <v>0</v>
      </c>
      <c r="GW114" s="27"/>
      <c r="GX114" s="28">
        <f>IF(AND(ISNUMBER(GY114),ISNUMBER(GW114)),GY114-GW114,"")</f>
        <v>0</v>
      </c>
      <c r="GY114" s="27"/>
      <c r="GZ114" s="28">
        <f>IF(AND(ISNUMBER(HA114),ISNUMBER(GY114)),HA114-GY114,"")</f>
        <v>0</v>
      </c>
      <c r="HA114" s="27"/>
      <c r="HB114" s="28">
        <f>IF(AND(ISNUMBER(HC114),ISNUMBER(HA114)),HC114-HA114,"")</f>
        <v>0</v>
      </c>
      <c r="HC114" s="27"/>
      <c r="HD114" s="28">
        <f>IF(AND(ISNUMBER(HE114),ISNUMBER(HC114)),HE114-HC114,"")</f>
        <v>0</v>
      </c>
      <c r="HE114" s="27"/>
      <c r="HF114" s="28">
        <f>IF(AND(ISNUMBER(HG114),ISNUMBER(HE114)),HG114-HE114,"")</f>
        <v>0</v>
      </c>
      <c r="HG114" s="27"/>
      <c r="HH114" s="28">
        <f>IF(AND(ISNUMBER(HI114),ISNUMBER(HG114)),HI114-HG114,"")</f>
        <v>0</v>
      </c>
      <c r="HI114" s="27"/>
      <c r="HJ114" s="28">
        <f>IF(AND(ISNUMBER(HK114),ISNUMBER(HI114)),HK114-HI114,"")</f>
        <v>0</v>
      </c>
      <c r="HK114" s="27"/>
      <c r="HL114" s="28">
        <f>IF(AND(ISNUMBER(HM114),ISNUMBER(HK114)),HM114-HK114,"")</f>
        <v>0</v>
      </c>
      <c r="HM114" s="27"/>
      <c r="HN114" s="28">
        <f>IF(AND(ISNUMBER(HO114),ISNUMBER(HM114)),HO114-HM114,"")</f>
        <v>0</v>
      </c>
      <c r="HO114" s="27"/>
      <c r="HP114" s="28">
        <f>IF(AND(ISNUMBER(HQ114),ISNUMBER(HO114)),HQ114-HO114,"")</f>
        <v>0</v>
      </c>
      <c r="HQ114" s="27"/>
      <c r="HR114" s="28">
        <f>IF(AND(ISNUMBER(HS114),ISNUMBER(HQ114)),HS114-HQ114,"")</f>
        <v>0</v>
      </c>
      <c r="HS114" s="27"/>
      <c r="HT114" s="28">
        <f>IF(AND(ISNUMBER(HU114),ISNUMBER(HS114)),HU114-HS114,"")</f>
        <v>0</v>
      </c>
      <c r="HU114" s="27"/>
      <c r="HV114" s="28">
        <f>IF(AND(ISNUMBER(HW114),ISNUMBER(HU114)),HW114-HU114,"")</f>
        <v>0</v>
      </c>
      <c r="HW114" s="27"/>
      <c r="HX114" s="28">
        <f>IF(AND(ISNUMBER(HY114),ISNUMBER(HW114)),HY114-HW114,"")</f>
        <v>0</v>
      </c>
      <c r="HY114" s="27"/>
      <c r="HZ114" s="28">
        <f>IF(AND(ISNUMBER(IA114),ISNUMBER(HY114)),IA114-HY114,"")</f>
        <v>0</v>
      </c>
      <c r="IA114" s="27"/>
      <c r="IB114" s="28">
        <f>IF(AND(ISNUMBER(IC114),ISNUMBER(IA114)),IC114-IA114,"")</f>
        <v>0</v>
      </c>
      <c r="IC114" s="27"/>
      <c r="ID114" s="28">
        <f>IF(AND(ISNUMBER(IE114),ISNUMBER(IC114)),IE114-IC114,"")</f>
        <v>0</v>
      </c>
      <c r="IE114" s="27"/>
      <c r="IF114" s="28">
        <f>IF(AND(ISNUMBER(IG114),ISNUMBER(IE114)),IG114-IE114,"")</f>
        <v>0</v>
      </c>
      <c r="IG114" s="27"/>
      <c r="IH114" s="28">
        <f>IF(AND(ISNUMBER(II114),ISNUMBER(IG114)),II114-IG114,"")</f>
        <v>0</v>
      </c>
      <c r="II114" s="27"/>
      <c r="IJ114" s="28">
        <f>IF(AND(ISNUMBER(IK114),ISNUMBER(II114)),IK114-II114,"")</f>
        <v>0</v>
      </c>
      <c r="IK114" s="27"/>
      <c r="IL114" s="28">
        <f>IF(AND(ISNUMBER(IM114),ISNUMBER(IK114)),IM114-IK114,"")</f>
        <v>0</v>
      </c>
      <c r="IM114" s="27"/>
      <c r="IN114" s="28">
        <f>IF(AND(ISNUMBER(IO114),ISNUMBER(IM114)),IO114-IM114,"")</f>
        <v>0</v>
      </c>
      <c r="IO114" s="27"/>
      <c r="IP114" s="28">
        <f>IF(AND(ISNUMBER(IQ114),ISNUMBER(IO114)),IQ114-IO114,"")</f>
        <v>0</v>
      </c>
      <c r="IQ114" s="27"/>
      <c r="IR114" s="28">
        <f>IF(AND(ISNUMBER(IS114),ISNUMBER(IQ114)),IS114-IQ114,"")</f>
        <v>0</v>
      </c>
      <c r="IS114" s="27"/>
      <c r="IT114" s="28">
        <f>IF(AND(ISNUMBER(IU114),ISNUMBER(IS114)),IU114-IS114,"")</f>
        <v>0</v>
      </c>
      <c r="IU114" s="27"/>
      <c r="IV114" s="28">
        <f>IF(AND(ISNUMBER(IW114),ISNUMBER(IU114)),IW114-IU114,"")</f>
        <v>0</v>
      </c>
      <c r="IW114" s="27"/>
      <c r="IX114" s="28">
        <f>IF(AND(ISNUMBER(IY114),ISNUMBER(IW114)),IY114-IW114,"")</f>
        <v>0</v>
      </c>
      <c r="IY114" s="27"/>
      <c r="IZ114" s="28">
        <f>IF(AND(ISNUMBER(JA114),ISNUMBER(IY114)),JA114-IY114,"")</f>
        <v>0</v>
      </c>
      <c r="JA114" s="27"/>
      <c r="JB114" s="28">
        <f>IF(AND(ISNUMBER(JC114),ISNUMBER(JA114)),JC114-JA114,"")</f>
        <v>0</v>
      </c>
      <c r="JC114" s="27"/>
      <c r="JD114" s="28">
        <f>IF(AND(ISNUMBER(JE114),ISNUMBER(JC114)),JE114-JC114,"")</f>
        <v>0</v>
      </c>
      <c r="JE114" s="27"/>
      <c r="JF114" s="28">
        <f>IF(AND(ISNUMBER(JG114),ISNUMBER(JE114)),JG114-JE114,"")</f>
        <v>0</v>
      </c>
      <c r="JG114" s="27"/>
      <c r="JH114" s="28">
        <f>IF(AND(ISNUMBER(JI114),ISNUMBER(JG114)),JI114-JG114,"")</f>
        <v>0</v>
      </c>
      <c r="JI114" s="27"/>
      <c r="JJ114" s="28">
        <f>IF(AND(ISNUMBER(JK114),ISNUMBER(JI114)),JK114-JI114,"")</f>
        <v>0</v>
      </c>
      <c r="JK114" s="27"/>
      <c r="JL114" s="28">
        <f>IF(AND(ISNUMBER(JM114),ISNUMBER(JK114)),JM114-JK114,"")</f>
        <v>0</v>
      </c>
      <c r="JM114" s="27"/>
      <c r="JN114" s="28">
        <f>IF(AND(ISNUMBER(JO114),ISNUMBER(JM114)),JO114-JM114,"")</f>
        <v>0</v>
      </c>
      <c r="JO114" s="27"/>
      <c r="JP114" s="28">
        <f>IF(AND(ISNUMBER(JQ114),ISNUMBER(JO114)),JQ114-JO114,"")</f>
        <v>0</v>
      </c>
      <c r="JQ114" s="27"/>
      <c r="JR114" s="28">
        <f>IF(AND(ISNUMBER(JS114),ISNUMBER(JQ114)),JS114-JQ114,"")</f>
        <v>0</v>
      </c>
      <c r="JS114" s="27"/>
      <c r="JT114" s="28">
        <f>IF(AND(ISNUMBER(JU114),ISNUMBER(JS114)),JU114-JS114,"")</f>
        <v>0</v>
      </c>
      <c r="JU114" s="27"/>
      <c r="JV114" s="28">
        <f>IF(AND(ISNUMBER(JW114),ISNUMBER(JU114)),JW114-JU114,"")</f>
        <v>0</v>
      </c>
      <c r="JW114" s="27"/>
      <c r="JX114" s="28">
        <f>IF(AND(ISNUMBER(JY114),ISNUMBER(JW114)),JY114-JW114,"")</f>
        <v>0</v>
      </c>
      <c r="JY114" s="27"/>
      <c r="JZ114" s="28">
        <f>IF(AND(ISNUMBER(KA114),ISNUMBER(JY114)),KA114-JY114,"")</f>
        <v>0</v>
      </c>
      <c r="KA114" s="27"/>
      <c r="KB114" s="28">
        <f>IF(AND(ISNUMBER(KC114),ISNUMBER(KA114)),KC114-KA114,"")</f>
        <v>0</v>
      </c>
      <c r="KC114" s="27"/>
      <c r="KD114" s="28">
        <f>IF(AND(ISNUMBER(KE114),ISNUMBER(KC114)),KE114-KC114,"")</f>
        <v>0</v>
      </c>
      <c r="KE114" s="27"/>
      <c r="KF114" s="28">
        <f>IF(AND(ISNUMBER(KG114),ISNUMBER(KE114)),KG114-KE114,"")</f>
        <v>0</v>
      </c>
      <c r="KG114" s="27"/>
      <c r="KH114" s="28">
        <f>IF(AND(ISNUMBER(KI114),ISNUMBER(KG114)),KI114-KG114,"")</f>
        <v>0</v>
      </c>
      <c r="KI114" s="27"/>
      <c r="KJ114" s="28">
        <f>IF(AND(ISNUMBER(KK114),ISNUMBER(KI114)),KK114-KI114,"")</f>
        <v>0</v>
      </c>
      <c r="KK114" s="27"/>
      <c r="KL114" s="28">
        <f>IF(AND(ISNUMBER(KM114),ISNUMBER(KK114)),KM114-KK114,"")</f>
        <v>0</v>
      </c>
      <c r="KM114" s="27"/>
      <c r="KN114" s="28">
        <f>IF(AND(ISNUMBER(KO114),ISNUMBER(KM114)),KO114-KM114,"")</f>
        <v>0</v>
      </c>
      <c r="KO114" s="27"/>
      <c r="KP114" s="28">
        <f>IF(AND(ISNUMBER(KQ114),ISNUMBER(KO114)),KQ114-KO114,"")</f>
        <v>0</v>
      </c>
      <c r="KQ114" s="27"/>
      <c r="KR114" s="28">
        <f>IF(AND(ISNUMBER(KS114),ISNUMBER(KQ114)),KS114-KQ114,"")</f>
        <v>0</v>
      </c>
      <c r="KS114" s="27"/>
      <c r="KT114" s="28">
        <f>IF(AND(ISNUMBER(KU114),ISNUMBER(KS114)),KU114-KS114,"")</f>
        <v>0</v>
      </c>
      <c r="KU114" s="27"/>
      <c r="KV114" s="28">
        <f>IF(AND(ISNUMBER(KW114),ISNUMBER(KU114)),KW114-KU114,"")</f>
        <v>0</v>
      </c>
      <c r="KW114" s="27"/>
      <c r="KX114" s="28">
        <f>IF(AND(ISNUMBER(KY114),ISNUMBER(KW114)),KY114-KW114,"")</f>
        <v>0</v>
      </c>
      <c r="KY114" s="27"/>
      <c r="KZ114" s="28">
        <f>IF(AND(ISNUMBER(LA114),ISNUMBER(KY114)),LA114-KY114,"")</f>
        <v>0</v>
      </c>
      <c r="LA114" s="27"/>
      <c r="LB114" s="28">
        <f>IF(AND(ISNUMBER(LC114),ISNUMBER(LA114)),LC114-LA114,"")</f>
        <v>0</v>
      </c>
      <c r="LC114" s="27"/>
      <c r="LD114" s="28">
        <f>IF(AND(ISNUMBER(LE114),ISNUMBER(LC114)),LE114-LC114,"")</f>
        <v>0</v>
      </c>
      <c r="LE114" s="27"/>
      <c r="LF114" s="28">
        <f>IF(AND(ISNUMBER(LG114),ISNUMBER(LE114)),LG114-LE114,"")</f>
        <v>0</v>
      </c>
      <c r="LG114" s="27"/>
      <c r="LH114" s="30"/>
      <c r="LI114" s="30"/>
      <c r="LJ114" s="41" t="s">
        <v>1131</v>
      </c>
    </row>
    <row r="115" spans="1:322">
      <c r="A115" s="22" t="s">
        <v>879</v>
      </c>
      <c r="B115" s="23" t="s">
        <v>1132</v>
      </c>
      <c r="C115" s="43" t="s">
        <v>728</v>
      </c>
      <c r="D115" s="43"/>
      <c r="E115" s="25" t="s">
        <v>1133</v>
      </c>
      <c r="F115" s="26"/>
      <c r="G115" s="26"/>
      <c r="H115" s="26" t="s">
        <v>1134</v>
      </c>
      <c r="I115" s="27"/>
      <c r="J115" s="28">
        <f>IF(AND(ISNUMBER(K115),ISNUMBER(I115)),K115-I115,"")</f>
        <v>0</v>
      </c>
      <c r="K115" s="27"/>
      <c r="L115" s="28">
        <f>IF(AND(ISNUMBER(M115),ISNUMBER(K115)),M115-K115,"")</f>
        <v>0</v>
      </c>
      <c r="M115" s="27"/>
      <c r="N115" s="28">
        <f>IF(AND(ISNUMBER(O115),ISNUMBER(M115)),O115-M115,"")</f>
        <v>0</v>
      </c>
      <c r="O115" s="27"/>
      <c r="P115" s="28">
        <f>IF(AND(ISNUMBER(Q115),ISNUMBER(O115)),Q115-O115,"")</f>
        <v>0</v>
      </c>
      <c r="Q115" s="27"/>
      <c r="R115" s="28">
        <f>IF(AND(ISNUMBER(S115),ISNUMBER(Q115)),S115-Q115,"")</f>
        <v>0</v>
      </c>
      <c r="S115" s="27"/>
      <c r="T115" s="28">
        <f>IF(AND(ISNUMBER(U115),ISNUMBER(S115)),U115-S115,"")</f>
        <v>0</v>
      </c>
      <c r="U115" s="27"/>
      <c r="V115" s="28">
        <f>IF(AND(ISNUMBER(W115),ISNUMBER(U115)),W115-U115,"")</f>
        <v>0</v>
      </c>
      <c r="W115" s="27"/>
      <c r="X115" s="28">
        <f>IF(AND(ISNUMBER(Y115),ISNUMBER(W115)),Y115-W115,"")</f>
        <v>0</v>
      </c>
      <c r="Y115" s="27"/>
      <c r="Z115" s="28">
        <f>IF(AND(ISNUMBER(AA115),ISNUMBER(Y115)),AA115-Y115,"")</f>
        <v>0</v>
      </c>
      <c r="AA115" s="27"/>
      <c r="AB115" s="28">
        <f>IF(AND(ISNUMBER(AC115),ISNUMBER(AA115)),AC115-AA115,"")</f>
        <v>0</v>
      </c>
      <c r="AC115" s="27"/>
      <c r="AD115" s="28">
        <f>IF(AND(ISNUMBER(AE115),ISNUMBER(AC115)),AE115-AC115,"")</f>
        <v>0</v>
      </c>
      <c r="AE115" s="27"/>
      <c r="AF115" s="28">
        <f>IF(AND(ISNUMBER(AG115),ISNUMBER(AE115)),AG115-AE115,"")</f>
        <v>0</v>
      </c>
      <c r="AG115" s="27"/>
      <c r="AH115" s="28">
        <f>IF(AND(ISNUMBER(AI115),ISNUMBER(AG115)),AI115-AG115,"")</f>
        <v>0</v>
      </c>
      <c r="AI115" s="27"/>
      <c r="AJ115" s="28">
        <f>IF(AND(ISNUMBER(AK115),ISNUMBER(AI115)),AK115-AI115,"")</f>
        <v>0</v>
      </c>
      <c r="AK115" s="27"/>
      <c r="AL115" s="28">
        <f>IF(AND(ISNUMBER(AM115),ISNUMBER(AK115)),AM115-AK115,"")</f>
        <v>0</v>
      </c>
      <c r="AM115" s="27"/>
      <c r="AN115" s="28">
        <f>IF(AND(ISNUMBER(AO115),ISNUMBER(AM115)),AO115-AM115,"")</f>
        <v>0</v>
      </c>
      <c r="AO115" s="27"/>
      <c r="AP115" s="28">
        <f>IF(AND(ISNUMBER(AQ115),ISNUMBER(AO115)),AQ115-AO115,"")</f>
        <v>0</v>
      </c>
      <c r="AQ115" s="27"/>
      <c r="AR115" s="28">
        <f>IF(AND(ISNUMBER(AS115),ISNUMBER(AQ115)),AS115-AQ115,"")</f>
        <v>0</v>
      </c>
      <c r="AS115" s="27"/>
      <c r="AT115" s="28">
        <f>IF(AND(ISNUMBER(AU115),ISNUMBER(AS115)),AU115-AS115,"")</f>
        <v>0</v>
      </c>
      <c r="AU115" s="27"/>
      <c r="AV115" s="28">
        <f>IF(AND(ISNUMBER(AW115),ISNUMBER(AU115)),AW115-AU115,"")</f>
        <v>0</v>
      </c>
      <c r="AW115" s="27"/>
      <c r="AX115" s="28">
        <f>IF(AND(ISNUMBER(AY115),ISNUMBER(AW115)),AY115-AW115,"")</f>
        <v>0</v>
      </c>
      <c r="AY115" s="27"/>
      <c r="AZ115" s="28">
        <f>IF(AND(ISNUMBER(BA115),ISNUMBER(AY115)),BA115-AY115,"")</f>
        <v>0</v>
      </c>
      <c r="BA115" s="27"/>
      <c r="BB115" s="28">
        <f>IF(AND(ISNUMBER(BC115),ISNUMBER(BA115)),BC115-BA115,"")</f>
        <v>0</v>
      </c>
      <c r="BC115" s="27"/>
      <c r="BD115" s="28">
        <f>IF(AND(ISNUMBER(BE115),ISNUMBER(BC115)),BE115-BC115,"")</f>
        <v>0</v>
      </c>
      <c r="BE115" s="27"/>
      <c r="BF115" s="28">
        <f>IF(AND(ISNUMBER(BG115),ISNUMBER(BE115)),BG115-BE115,"")</f>
        <v>0</v>
      </c>
      <c r="BG115" s="27"/>
      <c r="BH115" s="28">
        <f>IF(AND(ISNUMBER(BI115),ISNUMBER(BG115)),BI115-BG115,"")</f>
        <v>0</v>
      </c>
      <c r="BI115" s="27"/>
      <c r="BJ115" s="28">
        <f>IF(AND(ISNUMBER(BK115),ISNUMBER(BI115)),BK115-BI115,"")</f>
        <v>0</v>
      </c>
      <c r="BK115" s="27"/>
      <c r="BL115" s="28">
        <f>IF(AND(ISNUMBER(BM115),ISNUMBER(BK115)),BM115-BK115,"")</f>
        <v>0</v>
      </c>
      <c r="BM115" s="27"/>
      <c r="BN115" s="28">
        <f>IF(AND(ISNUMBER(BO115),ISNUMBER(BM115)),BO115-BM115,"")</f>
        <v>0</v>
      </c>
      <c r="BO115" s="27"/>
      <c r="BP115" s="28">
        <f>IF(AND(ISNUMBER(BQ115),ISNUMBER(BO115)),BQ115-BO115,"")</f>
        <v>0</v>
      </c>
      <c r="BQ115" s="42" t="s">
        <v>1135</v>
      </c>
      <c r="BR115" s="28">
        <f>IF(AND(ISNUMBER(BS115),ISNUMBER(BQ115)),BS115-BQ115,"")</f>
        <v>0</v>
      </c>
      <c r="BS115" s="42" t="s">
        <v>1135</v>
      </c>
      <c r="BT115" s="28">
        <f>IF(AND(ISNUMBER(BU115),ISNUMBER(BS115)),BU115-BS115,"")</f>
        <v>0</v>
      </c>
      <c r="BU115" s="42" t="s">
        <v>1135</v>
      </c>
      <c r="BV115" s="28">
        <f>IF(AND(ISNUMBER(BW115),ISNUMBER(BU115)),BW115-BU115,"")</f>
        <v>0</v>
      </c>
      <c r="BW115" s="42" t="s">
        <v>1135</v>
      </c>
      <c r="BX115" s="28">
        <f>IF(AND(ISNUMBER(BY115),ISNUMBER(BW115)),BY115-BW115,"")</f>
        <v>0</v>
      </c>
      <c r="BY115" s="27">
        <v>52</v>
      </c>
      <c r="BZ115" s="28">
        <f>IF(AND(ISNUMBER(CA115),ISNUMBER(BY115)),CA115-BY115,"")</f>
        <v>0</v>
      </c>
      <c r="CA115" s="27">
        <v>29</v>
      </c>
      <c r="CB115" s="28">
        <f>IF(AND(ISNUMBER(CC115),ISNUMBER(CA115)),CC115-CA115,"")</f>
        <v>0</v>
      </c>
      <c r="CC115" s="27">
        <v>29</v>
      </c>
      <c r="CD115" s="28">
        <f>IF(AND(ISNUMBER(CE115),ISNUMBER(CC115)),CE115-CC115,"")</f>
        <v>0</v>
      </c>
      <c r="CE115" s="27">
        <v>28</v>
      </c>
      <c r="CF115" s="28">
        <f>IF(AND(ISNUMBER(CG115),ISNUMBER(CE115)),CG115-CE115,"")</f>
        <v>0</v>
      </c>
      <c r="CG115" s="27">
        <v>28</v>
      </c>
      <c r="CH115" s="28">
        <f>IF(AND(ISNUMBER(CI115),ISNUMBER(CG115)),CI115-CG115,"")</f>
        <v>0</v>
      </c>
      <c r="CI115" s="27">
        <v>28</v>
      </c>
      <c r="CJ115" s="28">
        <f>IF(AND(ISNUMBER(CK115),ISNUMBER(CI115)),CK115-CI115,"")</f>
        <v>0</v>
      </c>
      <c r="CK115" s="27">
        <v>28</v>
      </c>
      <c r="CL115" s="28">
        <f>IF(AND(ISNUMBER(CM115),ISNUMBER(CK115)),CM115-CK115,"")</f>
        <v>0</v>
      </c>
      <c r="CM115" s="27">
        <v>27</v>
      </c>
      <c r="CN115" s="28">
        <f>IF(AND(ISNUMBER(CO115),ISNUMBER(CM115)),CO115-CM115,"")</f>
        <v>0</v>
      </c>
      <c r="CO115" s="27">
        <v>26</v>
      </c>
      <c r="CP115" s="28">
        <f>IF(AND(ISNUMBER(CQ115),ISNUMBER(CO115)),CQ115-CO115,"")</f>
        <v>0</v>
      </c>
      <c r="CQ115" s="27">
        <v>25</v>
      </c>
      <c r="CR115" s="28">
        <f>IF(AND(ISNUMBER(CS115),ISNUMBER(CQ115)),CS115-CQ115,"")</f>
        <v>0</v>
      </c>
      <c r="CS115" s="27">
        <v>25</v>
      </c>
      <c r="CT115" s="28">
        <f>IF(AND(ISNUMBER(CU115),ISNUMBER(CS115)),CU115-CS115,"")</f>
        <v>0</v>
      </c>
      <c r="CU115" s="27">
        <v>23</v>
      </c>
      <c r="CV115" s="28">
        <f>IF(AND(ISNUMBER(CW115),ISNUMBER(CU115)),CW115-CU115,"")</f>
        <v>0</v>
      </c>
      <c r="CW115" s="27">
        <v>22</v>
      </c>
      <c r="CX115" s="28">
        <f>IF(AND(ISNUMBER(CY115),ISNUMBER(CW115)),CY115-CW115,"")</f>
        <v>0</v>
      </c>
      <c r="CY115" s="27">
        <v>22</v>
      </c>
      <c r="CZ115" s="28">
        <f>IF(AND(ISNUMBER(DA115),ISNUMBER(CY115)),DA115-CY115,"")</f>
        <v>0</v>
      </c>
      <c r="DA115" s="27">
        <v>22</v>
      </c>
      <c r="DB115" s="28">
        <f>IF(AND(ISNUMBER(DC115),ISNUMBER(DA115)),DC115-DA115,"")</f>
        <v>0</v>
      </c>
      <c r="DC115" s="27">
        <v>21</v>
      </c>
      <c r="DD115" s="28">
        <f>IF(AND(ISNUMBER(DE115),ISNUMBER(DC115)),DE115-DC115,"")</f>
        <v>0</v>
      </c>
      <c r="DE115" s="27">
        <v>21</v>
      </c>
      <c r="DF115" s="28">
        <f>IF(AND(ISNUMBER(DG115),ISNUMBER(DE115)),DG115-DE115,"")</f>
        <v>0</v>
      </c>
      <c r="DG115" s="27">
        <v>21</v>
      </c>
      <c r="DH115" s="28">
        <f>IF(AND(ISNUMBER(DI115),ISNUMBER(DG115)),DI115-DG115,"")</f>
        <v>0</v>
      </c>
      <c r="DI115" s="27">
        <v>21</v>
      </c>
      <c r="DJ115" s="28">
        <f>IF(AND(ISNUMBER(DK115),ISNUMBER(DI115)),DK115-DI115,"")</f>
        <v>0</v>
      </c>
      <c r="DK115" s="27">
        <v>20</v>
      </c>
      <c r="DL115" s="28">
        <f>IF(AND(ISNUMBER(DM115),ISNUMBER(DK115)),DM115-DK115,"")</f>
        <v>0</v>
      </c>
      <c r="DM115" s="27">
        <v>20</v>
      </c>
      <c r="DN115" s="28">
        <f>IF(AND(ISNUMBER(DO115),ISNUMBER(DM115)),DO115-DM115,"")</f>
        <v>0</v>
      </c>
      <c r="DO115" s="27">
        <v>15</v>
      </c>
      <c r="DP115" s="28">
        <f>IF(AND(ISNUMBER(DQ115),ISNUMBER(DO115)),DQ115-DO115,"")</f>
        <v>0</v>
      </c>
      <c r="DQ115" s="27">
        <v>13</v>
      </c>
      <c r="DR115" s="28">
        <f>IF(AND(ISNUMBER(DS115),ISNUMBER(DQ115)),DS115-DQ115,"")</f>
        <v>0</v>
      </c>
      <c r="DS115" s="27">
        <v>13</v>
      </c>
      <c r="DT115" s="28">
        <f>IF(AND(ISNUMBER(DU115),ISNUMBER(DS115)),DU115-DS115,"")</f>
        <v>0</v>
      </c>
      <c r="DU115" s="27">
        <v>11</v>
      </c>
      <c r="DV115" s="28">
        <f>IF(AND(ISNUMBER(DW115),ISNUMBER(DU115)),DW115-DU115,"")</f>
        <v>0</v>
      </c>
      <c r="DW115" s="27">
        <v>11</v>
      </c>
      <c r="DX115" s="28">
        <f>IF(AND(ISNUMBER(DY115),ISNUMBER(DW115)),DY115-DW115,"")</f>
        <v>0</v>
      </c>
      <c r="DY115" s="27">
        <v>9</v>
      </c>
      <c r="DZ115" s="28">
        <f>IF(AND(ISNUMBER(EA115),ISNUMBER(DY115)),EA115-DY115,"")</f>
        <v>0</v>
      </c>
      <c r="EA115" s="27">
        <v>8</v>
      </c>
      <c r="EB115" s="28">
        <f>IF(AND(ISNUMBER(EC115),ISNUMBER(EA115)),EC115-EA115,"")</f>
        <v>0</v>
      </c>
      <c r="EC115" s="27">
        <v>8</v>
      </c>
      <c r="ED115" s="28">
        <f>IF(AND(ISNUMBER(EE115),ISNUMBER(EC115)),EE115-EC115,"")</f>
        <v>0</v>
      </c>
      <c r="EE115" s="27">
        <v>7</v>
      </c>
      <c r="EF115" s="28">
        <f>IF(AND(ISNUMBER(EG115),ISNUMBER(EE115)),EG115-EE115,"")</f>
        <v>0</v>
      </c>
      <c r="EG115" s="27">
        <v>6</v>
      </c>
      <c r="EH115" s="28">
        <f>IF(AND(ISNUMBER(EI115),ISNUMBER(EG115)),EI115-EG115,"")</f>
        <v>0</v>
      </c>
      <c r="EI115" s="27">
        <v>6</v>
      </c>
      <c r="EJ115" s="28">
        <f>IF(AND(ISNUMBER(EK115),ISNUMBER(EI115)),EK115-EI115,"")</f>
        <v>0</v>
      </c>
      <c r="EK115" s="27">
        <v>5</v>
      </c>
      <c r="EL115" s="28">
        <f>IF(AND(ISNUMBER(EM115),ISNUMBER(EK115)),EM115-EK115,"")</f>
        <v>0</v>
      </c>
      <c r="EM115" s="27">
        <v>3</v>
      </c>
      <c r="EN115" s="28">
        <f>IF(AND(ISNUMBER(EO115),ISNUMBER(EM115)),EO115-EM115,"")</f>
        <v>0</v>
      </c>
      <c r="EO115" s="27">
        <v>3</v>
      </c>
      <c r="EP115" s="28">
        <f>IF(AND(ISNUMBER(EQ115),ISNUMBER(EO115)),EQ115-EO115,"")</f>
        <v>0</v>
      </c>
      <c r="EQ115" s="27">
        <v>3</v>
      </c>
      <c r="ER115" s="28">
        <f>IF(AND(ISNUMBER(ES115),ISNUMBER(EQ115)),ES115-EQ115,"")</f>
        <v>0</v>
      </c>
      <c r="ES115" s="27">
        <v>3</v>
      </c>
      <c r="ET115" s="28">
        <f>IF(AND(ISNUMBER(EU115),ISNUMBER(ES115)),EU115-ES115,"")</f>
        <v>0</v>
      </c>
      <c r="EU115" s="27">
        <v>3</v>
      </c>
      <c r="EV115" s="28">
        <f>IF(AND(ISNUMBER(EW115),ISNUMBER(EU115)),EW115-EU115,"")</f>
        <v>0</v>
      </c>
      <c r="EW115" s="27">
        <v>3</v>
      </c>
      <c r="EX115" s="28">
        <f>IF(AND(ISNUMBER(EY115),ISNUMBER(EW115)),EY115-EW115,"")</f>
        <v>0</v>
      </c>
      <c r="EY115" s="27">
        <v>3</v>
      </c>
      <c r="EZ115" s="28">
        <f>IF(AND(ISNUMBER(FA115),ISNUMBER(EY115)),FA115-EY115,"")</f>
        <v>0</v>
      </c>
      <c r="FA115" s="27">
        <v>3</v>
      </c>
      <c r="FB115" s="28">
        <f>IF(AND(ISNUMBER(FC115),ISNUMBER(FA115)),FC115-FA115,"")</f>
        <v>0</v>
      </c>
      <c r="FC115" s="27">
        <v>2</v>
      </c>
      <c r="FD115" s="28">
        <f>IF(AND(ISNUMBER(FE115),ISNUMBER(FC115)),FE115-FC115,"")</f>
        <v>0</v>
      </c>
      <c r="FE115" s="27">
        <v>2</v>
      </c>
      <c r="FF115" s="28">
        <f>IF(AND(ISNUMBER(FG115),ISNUMBER(FE115)),FG115-FE115,"")</f>
        <v>0</v>
      </c>
      <c r="FG115" s="27">
        <v>2</v>
      </c>
      <c r="FH115" s="28">
        <f>IF(AND(ISNUMBER(FI115),ISNUMBER(FG115)),FI115-FG115,"")</f>
        <v>0</v>
      </c>
      <c r="FI115" s="27">
        <v>2</v>
      </c>
      <c r="FJ115" s="28">
        <f>IF(AND(ISNUMBER(FK115),ISNUMBER(FI115)),FK115-FI115,"")</f>
        <v>0</v>
      </c>
      <c r="FK115" s="27">
        <v>2</v>
      </c>
      <c r="FL115" s="28">
        <f>IF(AND(ISNUMBER(FM115),ISNUMBER(FK115)),FM115-FK115,"")</f>
        <v>0</v>
      </c>
      <c r="FM115" s="27">
        <v>2</v>
      </c>
      <c r="FN115" s="28">
        <f>IF(AND(ISNUMBER(FO115),ISNUMBER(FM115)),FO115-FM115,"")</f>
        <v>0</v>
      </c>
      <c r="FO115" s="27">
        <v>2</v>
      </c>
      <c r="FP115" s="28">
        <f>IF(AND(ISNUMBER(FQ115),ISNUMBER(FO115)),FQ115-FO115,"")</f>
        <v>0</v>
      </c>
      <c r="FQ115" s="27">
        <v>2</v>
      </c>
      <c r="FR115" s="28">
        <f>IF(AND(ISNUMBER(FS115),ISNUMBER(FQ115)),FS115-FQ115,"")</f>
        <v>0</v>
      </c>
      <c r="FS115" s="27">
        <v>2</v>
      </c>
      <c r="FT115" s="28">
        <f>IF(AND(ISNUMBER(FU115),ISNUMBER(FS115)),FU115-FS115,"")</f>
        <v>0</v>
      </c>
      <c r="FU115" s="27">
        <v>2</v>
      </c>
      <c r="FV115" s="28">
        <f>IF(AND(ISNUMBER(FW115),ISNUMBER(FU115)),FW115-FU115,"")</f>
        <v>0</v>
      </c>
      <c r="FW115" s="27">
        <v>2</v>
      </c>
      <c r="FX115" s="28">
        <f>IF(AND(ISNUMBER(FY115),ISNUMBER(FW115)),FY115-FW115,"")</f>
        <v>0</v>
      </c>
      <c r="FY115" s="27">
        <v>1</v>
      </c>
      <c r="FZ115" s="28">
        <f>IF(AND(ISNUMBER(GA115),ISNUMBER(FY115)),GA115-FY115,"")</f>
        <v>0</v>
      </c>
      <c r="GA115" s="27">
        <v>1</v>
      </c>
      <c r="GB115" s="28">
        <f>IF(AND(ISNUMBER(GC115),ISNUMBER(GA115)),GC115-GA115,"")</f>
        <v>0</v>
      </c>
      <c r="GC115" s="27">
        <v>1</v>
      </c>
      <c r="GD115" s="28">
        <f>IF(AND(ISNUMBER(GE115),ISNUMBER(GC115)),GE115-GC115,"")</f>
        <v>0</v>
      </c>
      <c r="GE115" s="27">
        <v>1</v>
      </c>
      <c r="GF115" s="28">
        <f>IF(AND(ISNUMBER(GG115),ISNUMBER(GE115)),GG115-GE115,"")</f>
        <v>0</v>
      </c>
      <c r="GG115" s="27">
        <v>1</v>
      </c>
      <c r="GH115" s="28">
        <f>IF(AND(ISNUMBER(GI115),ISNUMBER(GG115)),GI115-GG115,"")</f>
        <v>0</v>
      </c>
      <c r="GI115" s="27">
        <v>1</v>
      </c>
      <c r="GJ115" s="28">
        <f>IF(AND(ISNUMBER(GK115),ISNUMBER(GI115)),GK115-GI115,"")</f>
        <v>0</v>
      </c>
      <c r="GK115" s="27">
        <v>1</v>
      </c>
      <c r="GL115" s="28">
        <f>IF(AND(ISNUMBER(GM115),ISNUMBER(GK115)),GM115-GK115,"")</f>
        <v>0</v>
      </c>
      <c r="GM115" s="27">
        <v>1</v>
      </c>
      <c r="GN115" s="28">
        <f>IF(AND(ISNUMBER(GO115),ISNUMBER(GM115)),GO115-GM115,"")</f>
        <v>0</v>
      </c>
      <c r="GO115" s="27">
        <v>1</v>
      </c>
      <c r="GP115" s="28">
        <f>IF(AND(ISNUMBER(GQ115),ISNUMBER(GO115)),GQ115-GO115,"")</f>
        <v>0</v>
      </c>
      <c r="GQ115" s="27">
        <v>1</v>
      </c>
      <c r="GR115" s="28">
        <f>IF(AND(ISNUMBER(GS115),ISNUMBER(GQ115)),GS115-GQ115,"")</f>
        <v>0</v>
      </c>
      <c r="GS115" s="27">
        <v>1</v>
      </c>
      <c r="GT115" s="28">
        <f>IF(AND(ISNUMBER(GU115),ISNUMBER(GS115)),GU115-GS115,"")</f>
        <v>0</v>
      </c>
      <c r="GU115" s="27">
        <v>1</v>
      </c>
      <c r="GV115" s="28">
        <f>IF(AND(ISNUMBER(GW115),ISNUMBER(GU115)),GW115-GU115,"")</f>
        <v>0</v>
      </c>
      <c r="GW115" s="27">
        <v>1</v>
      </c>
      <c r="GX115" s="28">
        <f>IF(AND(ISNUMBER(GY115),ISNUMBER(GW115)),GY115-GW115,"")</f>
        <v>0</v>
      </c>
      <c r="GY115" s="27">
        <v>1</v>
      </c>
      <c r="GZ115" s="28">
        <f>IF(AND(ISNUMBER(HA115),ISNUMBER(GY115)),HA115-GY115,"")</f>
        <v>0</v>
      </c>
      <c r="HA115" s="27"/>
      <c r="HB115" s="28">
        <f>IF(AND(ISNUMBER(HC115),ISNUMBER(HA115)),HC115-HA115,"")</f>
        <v>0</v>
      </c>
      <c r="HC115" s="27"/>
      <c r="HD115" s="28">
        <f>IF(AND(ISNUMBER(HE115),ISNUMBER(HC115)),HE115-HC115,"")</f>
        <v>0</v>
      </c>
      <c r="HE115" s="27"/>
      <c r="HF115" s="28">
        <f>IF(AND(ISNUMBER(HG115),ISNUMBER(HE115)),HG115-HE115,"")</f>
        <v>0</v>
      </c>
      <c r="HG115" s="27"/>
      <c r="HH115" s="28">
        <f>IF(AND(ISNUMBER(HI115),ISNUMBER(HG115)),HI115-HG115,"")</f>
        <v>0</v>
      </c>
      <c r="HI115" s="27"/>
      <c r="HJ115" s="28">
        <f>IF(AND(ISNUMBER(HK115),ISNUMBER(HI115)),HK115-HI115,"")</f>
        <v>0</v>
      </c>
      <c r="HK115" s="27"/>
      <c r="HL115" s="28">
        <f>IF(AND(ISNUMBER(HM115),ISNUMBER(HK115)),HM115-HK115,"")</f>
        <v>0</v>
      </c>
      <c r="HM115" s="27"/>
      <c r="HN115" s="28">
        <f>IF(AND(ISNUMBER(HO115),ISNUMBER(HM115)),HO115-HM115,"")</f>
        <v>0</v>
      </c>
      <c r="HO115" s="27"/>
      <c r="HP115" s="28">
        <f>IF(AND(ISNUMBER(HQ115),ISNUMBER(HO115)),HQ115-HO115,"")</f>
        <v>0</v>
      </c>
      <c r="HQ115" s="27"/>
      <c r="HR115" s="28">
        <f>IF(AND(ISNUMBER(HS115),ISNUMBER(HQ115)),HS115-HQ115,"")</f>
        <v>0</v>
      </c>
      <c r="HS115" s="27"/>
      <c r="HT115" s="28">
        <f>IF(AND(ISNUMBER(HU115),ISNUMBER(HS115)),HU115-HS115,"")</f>
        <v>0</v>
      </c>
      <c r="HU115" s="27"/>
      <c r="HV115" s="28">
        <f>IF(AND(ISNUMBER(HW115),ISNUMBER(HU115)),HW115-HU115,"")</f>
        <v>0</v>
      </c>
      <c r="HW115" s="27"/>
      <c r="HX115" s="28">
        <f>IF(AND(ISNUMBER(HY115),ISNUMBER(HW115)),HY115-HW115,"")</f>
        <v>0</v>
      </c>
      <c r="HY115" s="27"/>
      <c r="HZ115" s="28">
        <f>IF(AND(ISNUMBER(IA115),ISNUMBER(HY115)),IA115-HY115,"")</f>
        <v>0</v>
      </c>
      <c r="IA115" s="27"/>
      <c r="IB115" s="28">
        <f>IF(AND(ISNUMBER(IC115),ISNUMBER(IA115)),IC115-IA115,"")</f>
        <v>0</v>
      </c>
      <c r="IC115" s="27"/>
      <c r="ID115" s="28">
        <f>IF(AND(ISNUMBER(IE115),ISNUMBER(IC115)),IE115-IC115,"")</f>
        <v>0</v>
      </c>
      <c r="IE115" s="27"/>
      <c r="IF115" s="28">
        <f>IF(AND(ISNUMBER(IG115),ISNUMBER(IE115)),IG115-IE115,"")</f>
        <v>0</v>
      </c>
      <c r="IG115" s="27"/>
      <c r="IH115" s="28">
        <f>IF(AND(ISNUMBER(II115),ISNUMBER(IG115)),II115-IG115,"")</f>
        <v>0</v>
      </c>
      <c r="II115" s="27"/>
      <c r="IJ115" s="28">
        <f>IF(AND(ISNUMBER(IK115),ISNUMBER(II115)),IK115-II115,"")</f>
        <v>0</v>
      </c>
      <c r="IK115" s="27"/>
      <c r="IL115" s="28">
        <f>IF(AND(ISNUMBER(IM115),ISNUMBER(IK115)),IM115-IK115,"")</f>
        <v>0</v>
      </c>
      <c r="IM115" s="27"/>
      <c r="IN115" s="28">
        <f>IF(AND(ISNUMBER(IO115),ISNUMBER(IM115)),IO115-IM115,"")</f>
        <v>0</v>
      </c>
      <c r="IO115" s="27"/>
      <c r="IP115" s="28">
        <f>IF(AND(ISNUMBER(IQ115),ISNUMBER(IO115)),IQ115-IO115,"")</f>
        <v>0</v>
      </c>
      <c r="IQ115" s="27"/>
      <c r="IR115" s="28">
        <f>IF(AND(ISNUMBER(IS115),ISNUMBER(IQ115)),IS115-IQ115,"")</f>
        <v>0</v>
      </c>
      <c r="IS115" s="27"/>
      <c r="IT115" s="28">
        <f>IF(AND(ISNUMBER(IU115),ISNUMBER(IS115)),IU115-IS115,"")</f>
        <v>0</v>
      </c>
      <c r="IU115" s="27"/>
      <c r="IV115" s="28">
        <f>IF(AND(ISNUMBER(IW115),ISNUMBER(IU115)),IW115-IU115,"")</f>
        <v>0</v>
      </c>
      <c r="IW115" s="27"/>
      <c r="IX115" s="28">
        <f>IF(AND(ISNUMBER(IY115),ISNUMBER(IW115)),IY115-IW115,"")</f>
        <v>0</v>
      </c>
      <c r="IY115" s="27"/>
      <c r="IZ115" s="28">
        <f>IF(AND(ISNUMBER(JA115),ISNUMBER(IY115)),JA115-IY115,"")</f>
        <v>0</v>
      </c>
      <c r="JA115" s="27"/>
      <c r="JB115" s="28">
        <f>IF(AND(ISNUMBER(JC115),ISNUMBER(JA115)),JC115-JA115,"")</f>
        <v>0</v>
      </c>
      <c r="JC115" s="27"/>
      <c r="JD115" s="28">
        <f>IF(AND(ISNUMBER(JE115),ISNUMBER(JC115)),JE115-JC115,"")</f>
        <v>0</v>
      </c>
      <c r="JE115" s="27"/>
      <c r="JF115" s="28">
        <f>IF(AND(ISNUMBER(JG115),ISNUMBER(JE115)),JG115-JE115,"")</f>
        <v>0</v>
      </c>
      <c r="JG115" s="27"/>
      <c r="JH115" s="28">
        <f>IF(AND(ISNUMBER(JI115),ISNUMBER(JG115)),JI115-JG115,"")</f>
        <v>0</v>
      </c>
      <c r="JI115" s="27"/>
      <c r="JJ115" s="28">
        <f>IF(AND(ISNUMBER(JK115),ISNUMBER(JI115)),JK115-JI115,"")</f>
        <v>0</v>
      </c>
      <c r="JK115" s="27"/>
      <c r="JL115" s="28">
        <f>IF(AND(ISNUMBER(JM115),ISNUMBER(JK115)),JM115-JK115,"")</f>
        <v>0</v>
      </c>
      <c r="JM115" s="27"/>
      <c r="JN115" s="28">
        <f>IF(AND(ISNUMBER(JO115),ISNUMBER(JM115)),JO115-JM115,"")</f>
        <v>0</v>
      </c>
      <c r="JO115" s="27"/>
      <c r="JP115" s="28">
        <f>IF(AND(ISNUMBER(JQ115),ISNUMBER(JO115)),JQ115-JO115,"")</f>
        <v>0</v>
      </c>
      <c r="JQ115" s="27"/>
      <c r="JR115" s="28">
        <f>IF(AND(ISNUMBER(JS115),ISNUMBER(JQ115)),JS115-JQ115,"")</f>
        <v>0</v>
      </c>
      <c r="JS115" s="27"/>
      <c r="JT115" s="28">
        <f>IF(AND(ISNUMBER(JU115),ISNUMBER(JS115)),JU115-JS115,"")</f>
        <v>0</v>
      </c>
      <c r="JU115" s="27"/>
      <c r="JV115" s="28">
        <f>IF(AND(ISNUMBER(JW115),ISNUMBER(JU115)),JW115-JU115,"")</f>
        <v>0</v>
      </c>
      <c r="JW115" s="27"/>
      <c r="JX115" s="28">
        <f>IF(AND(ISNUMBER(JY115),ISNUMBER(JW115)),JY115-JW115,"")</f>
        <v>0</v>
      </c>
      <c r="JY115" s="27"/>
      <c r="JZ115" s="28">
        <f>IF(AND(ISNUMBER(KA115),ISNUMBER(JY115)),KA115-JY115,"")</f>
        <v>0</v>
      </c>
      <c r="KA115" s="27"/>
      <c r="KB115" s="28">
        <f>IF(AND(ISNUMBER(KC115),ISNUMBER(KA115)),KC115-KA115,"")</f>
        <v>0</v>
      </c>
      <c r="KC115" s="27"/>
      <c r="KD115" s="28">
        <f>IF(AND(ISNUMBER(KE115),ISNUMBER(KC115)),KE115-KC115,"")</f>
        <v>0</v>
      </c>
      <c r="KE115" s="27"/>
      <c r="KF115" s="28">
        <f>IF(AND(ISNUMBER(KG115),ISNUMBER(KE115)),KG115-KE115,"")</f>
        <v>0</v>
      </c>
      <c r="KG115" s="27"/>
      <c r="KH115" s="28">
        <f>IF(AND(ISNUMBER(KI115),ISNUMBER(KG115)),KI115-KG115,"")</f>
        <v>0</v>
      </c>
      <c r="KI115" s="27"/>
      <c r="KJ115" s="28">
        <f>IF(AND(ISNUMBER(KK115),ISNUMBER(KI115)),KK115-KI115,"")</f>
        <v>0</v>
      </c>
      <c r="KK115" s="27"/>
      <c r="KL115" s="28">
        <f>IF(AND(ISNUMBER(KM115),ISNUMBER(KK115)),KM115-KK115,"")</f>
        <v>0</v>
      </c>
      <c r="KM115" s="27"/>
      <c r="KN115" s="28">
        <f>IF(AND(ISNUMBER(KO115),ISNUMBER(KM115)),KO115-KM115,"")</f>
        <v>0</v>
      </c>
      <c r="KO115" s="27"/>
      <c r="KP115" s="28">
        <f>IF(AND(ISNUMBER(KQ115),ISNUMBER(KO115)),KQ115-KO115,"")</f>
        <v>0</v>
      </c>
      <c r="KQ115" s="27"/>
      <c r="KR115" s="28">
        <f>IF(AND(ISNUMBER(KS115),ISNUMBER(KQ115)),KS115-KQ115,"")</f>
        <v>0</v>
      </c>
      <c r="KS115" s="27"/>
      <c r="KT115" s="28">
        <f>IF(AND(ISNUMBER(KU115),ISNUMBER(KS115)),KU115-KS115,"")</f>
        <v>0</v>
      </c>
      <c r="KU115" s="27"/>
      <c r="KV115" s="28">
        <f>IF(AND(ISNUMBER(KW115),ISNUMBER(KU115)),KW115-KU115,"")</f>
        <v>0</v>
      </c>
      <c r="KW115" s="27"/>
      <c r="KX115" s="28">
        <f>IF(AND(ISNUMBER(KY115),ISNUMBER(KW115)),KY115-KW115,"")</f>
        <v>0</v>
      </c>
      <c r="KY115" s="27"/>
      <c r="KZ115" s="28">
        <f>IF(AND(ISNUMBER(LA115),ISNUMBER(KY115)),LA115-KY115,"")</f>
        <v>0</v>
      </c>
      <c r="LA115" s="27"/>
      <c r="LB115" s="28">
        <f>IF(AND(ISNUMBER(LC115),ISNUMBER(LA115)),LC115-LA115,"")</f>
        <v>0</v>
      </c>
      <c r="LC115" s="27"/>
      <c r="LD115" s="28">
        <f>IF(AND(ISNUMBER(LE115),ISNUMBER(LC115)),LE115-LC115,"")</f>
        <v>0</v>
      </c>
      <c r="LE115" s="27"/>
      <c r="LF115" s="28">
        <f>IF(AND(ISNUMBER(LG115),ISNUMBER(LE115)),LG115-LE115,"")</f>
        <v>0</v>
      </c>
      <c r="LG115" s="27"/>
      <c r="LH115" s="30"/>
      <c r="LI115" s="30"/>
      <c r="LJ115" s="41" t="s">
        <v>1136</v>
      </c>
    </row>
    <row r="116" spans="1:322">
      <c r="A116" s="22" t="s">
        <v>104</v>
      </c>
      <c r="B116" s="23" t="s">
        <v>1137</v>
      </c>
      <c r="C116" s="43" t="s">
        <v>728</v>
      </c>
      <c r="D116" s="43"/>
      <c r="E116" s="25" t="s">
        <v>1133</v>
      </c>
      <c r="F116" s="26"/>
      <c r="G116" s="26"/>
      <c r="H116" s="26"/>
      <c r="I116" s="27"/>
      <c r="J116" s="28">
        <f>IF(AND(ISNUMBER(K116),ISNUMBER(I116)),K116-I116,"")</f>
        <v>0</v>
      </c>
      <c r="K116" s="27"/>
      <c r="L116" s="28">
        <f>IF(AND(ISNUMBER(M116),ISNUMBER(K116)),M116-K116,"")</f>
        <v>0</v>
      </c>
      <c r="M116" s="27"/>
      <c r="N116" s="28">
        <f>IF(AND(ISNUMBER(O116),ISNUMBER(M116)),O116-M116,"")</f>
        <v>0</v>
      </c>
      <c r="O116" s="27"/>
      <c r="P116" s="28">
        <f>IF(AND(ISNUMBER(Q116),ISNUMBER(O116)),Q116-O116,"")</f>
        <v>0</v>
      </c>
      <c r="Q116" s="27"/>
      <c r="R116" s="28">
        <f>IF(AND(ISNUMBER(S116),ISNUMBER(Q116)),S116-Q116,"")</f>
        <v>0</v>
      </c>
      <c r="S116" s="27"/>
      <c r="T116" s="28">
        <f>IF(AND(ISNUMBER(U116),ISNUMBER(S116)),U116-S116,"")</f>
        <v>0</v>
      </c>
      <c r="U116" s="27"/>
      <c r="V116" s="28">
        <f>IF(AND(ISNUMBER(W116),ISNUMBER(U116)),W116-U116,"")</f>
        <v>0</v>
      </c>
      <c r="W116" s="27"/>
      <c r="X116" s="28">
        <f>IF(AND(ISNUMBER(Y116),ISNUMBER(W116)),Y116-W116,"")</f>
        <v>0</v>
      </c>
      <c r="Y116" s="27"/>
      <c r="Z116" s="28">
        <f>IF(AND(ISNUMBER(AA116),ISNUMBER(Y116)),AA116-Y116,"")</f>
        <v>0</v>
      </c>
      <c r="AA116" s="27"/>
      <c r="AB116" s="28">
        <f>IF(AND(ISNUMBER(AC116),ISNUMBER(AA116)),AC116-AA116,"")</f>
        <v>0</v>
      </c>
      <c r="AC116" s="27"/>
      <c r="AD116" s="28">
        <f>IF(AND(ISNUMBER(AE116),ISNUMBER(AC116)),AE116-AC116,"")</f>
        <v>0</v>
      </c>
      <c r="AE116" s="27"/>
      <c r="AF116" s="28">
        <f>IF(AND(ISNUMBER(AG116),ISNUMBER(AE116)),AG116-AE116,"")</f>
        <v>0</v>
      </c>
      <c r="AG116" s="27"/>
      <c r="AH116" s="28">
        <f>IF(AND(ISNUMBER(AI116),ISNUMBER(AG116)),AI116-AG116,"")</f>
        <v>0</v>
      </c>
      <c r="AI116" s="27"/>
      <c r="AJ116" s="28">
        <f>IF(AND(ISNUMBER(AK116),ISNUMBER(AI116)),AK116-AI116,"")</f>
        <v>0</v>
      </c>
      <c r="AK116" s="27"/>
      <c r="AL116" s="28">
        <f>IF(AND(ISNUMBER(AM116),ISNUMBER(AK116)),AM116-AK116,"")</f>
        <v>0</v>
      </c>
      <c r="AM116" s="27"/>
      <c r="AN116" s="28">
        <f>IF(AND(ISNUMBER(AO116),ISNUMBER(AM116)),AO116-AM116,"")</f>
        <v>0</v>
      </c>
      <c r="AO116" s="27"/>
      <c r="AP116" s="28">
        <f>IF(AND(ISNUMBER(AQ116),ISNUMBER(AO116)),AQ116-AO116,"")</f>
        <v>0</v>
      </c>
      <c r="AQ116" s="27"/>
      <c r="AR116" s="28">
        <f>IF(AND(ISNUMBER(AS116),ISNUMBER(AQ116)),AS116-AQ116,"")</f>
        <v>0</v>
      </c>
      <c r="AS116" s="27"/>
      <c r="AT116" s="28">
        <f>IF(AND(ISNUMBER(AU116),ISNUMBER(AS116)),AU116-AS116,"")</f>
        <v>0</v>
      </c>
      <c r="AU116" s="27"/>
      <c r="AV116" s="28">
        <f>IF(AND(ISNUMBER(AW116),ISNUMBER(AU116)),AW116-AU116,"")</f>
        <v>0</v>
      </c>
      <c r="AW116" s="27"/>
      <c r="AX116" s="28">
        <f>IF(AND(ISNUMBER(AY116),ISNUMBER(AW116)),AY116-AW116,"")</f>
        <v>0</v>
      </c>
      <c r="AY116" s="27"/>
      <c r="AZ116" s="28">
        <f>IF(AND(ISNUMBER(BA116),ISNUMBER(AY116)),BA116-AY116,"")</f>
        <v>0</v>
      </c>
      <c r="BA116" s="27"/>
      <c r="BB116" s="28">
        <f>IF(AND(ISNUMBER(BC116),ISNUMBER(BA116)),BC116-BA116,"")</f>
        <v>0</v>
      </c>
      <c r="BC116" s="27"/>
      <c r="BD116" s="28">
        <f>IF(AND(ISNUMBER(BE116),ISNUMBER(BC116)),BE116-BC116,"")</f>
        <v>0</v>
      </c>
      <c r="BE116" s="27"/>
      <c r="BF116" s="28">
        <f>IF(AND(ISNUMBER(BG116),ISNUMBER(BE116)),BG116-BE116,"")</f>
        <v>0</v>
      </c>
      <c r="BG116" s="27"/>
      <c r="BH116" s="28">
        <f>IF(AND(ISNUMBER(BI116),ISNUMBER(BG116)),BI116-BG116,"")</f>
        <v>0</v>
      </c>
      <c r="BI116" s="27"/>
      <c r="BJ116" s="28">
        <f>IF(AND(ISNUMBER(BK116),ISNUMBER(BI116)),BK116-BI116,"")</f>
        <v>0</v>
      </c>
      <c r="BK116" s="27"/>
      <c r="BL116" s="28">
        <f>IF(AND(ISNUMBER(BM116),ISNUMBER(BK116)),BM116-BK116,"")</f>
        <v>0</v>
      </c>
      <c r="BM116" s="27"/>
      <c r="BN116" s="28">
        <f>IF(AND(ISNUMBER(BO116),ISNUMBER(BM116)),BO116-BM116,"")</f>
        <v>0</v>
      </c>
      <c r="BO116" s="27"/>
      <c r="BP116" s="28">
        <f>IF(AND(ISNUMBER(BQ116),ISNUMBER(BO116)),BQ116-BO116,"")</f>
        <v>0</v>
      </c>
      <c r="BQ116" s="27"/>
      <c r="BR116" s="28">
        <f>IF(AND(ISNUMBER(BS116),ISNUMBER(BQ116)),BS116-BQ116,"")</f>
        <v>0</v>
      </c>
      <c r="BS116" s="27"/>
      <c r="BT116" s="28">
        <f>IF(AND(ISNUMBER(BU116),ISNUMBER(BS116)),BU116-BS116,"")</f>
        <v>0</v>
      </c>
      <c r="BU116" s="27"/>
      <c r="BV116" s="28">
        <f>IF(AND(ISNUMBER(BW116),ISNUMBER(BU116)),BW116-BU116,"")</f>
        <v>0</v>
      </c>
      <c r="BW116" s="27"/>
      <c r="BX116" s="28">
        <f>IF(AND(ISNUMBER(BY116),ISNUMBER(BW116)),BY116-BW116,"")</f>
        <v>0</v>
      </c>
      <c r="BY116" s="27"/>
      <c r="BZ116" s="28">
        <f>IF(AND(ISNUMBER(CA116),ISNUMBER(BY116)),CA116-BY116,"")</f>
        <v>0</v>
      </c>
      <c r="CA116" s="27"/>
      <c r="CB116" s="28">
        <f>IF(AND(ISNUMBER(CC116),ISNUMBER(CA116)),CC116-CA116,"")</f>
        <v>0</v>
      </c>
      <c r="CC116" s="27"/>
      <c r="CD116" s="28">
        <f>IF(AND(ISNUMBER(CE116),ISNUMBER(CC116)),CE116-CC116,"")</f>
        <v>0</v>
      </c>
      <c r="CE116" s="27"/>
      <c r="CF116" s="28">
        <f>IF(AND(ISNUMBER(CG116),ISNUMBER(CE116)),CG116-CE116,"")</f>
        <v>0</v>
      </c>
      <c r="CG116" s="27"/>
      <c r="CH116" s="28">
        <f>IF(AND(ISNUMBER(CI116),ISNUMBER(CG116)),CI116-CG116,"")</f>
        <v>0</v>
      </c>
      <c r="CI116" s="27"/>
      <c r="CJ116" s="28">
        <f>IF(AND(ISNUMBER(CK116),ISNUMBER(CI116)),CK116-CI116,"")</f>
        <v>0</v>
      </c>
      <c r="CK116" s="27"/>
      <c r="CL116" s="28">
        <f>IF(AND(ISNUMBER(CM116),ISNUMBER(CK116)),CM116-CK116,"")</f>
        <v>0</v>
      </c>
      <c r="CM116" s="27"/>
      <c r="CN116" s="28">
        <f>IF(AND(ISNUMBER(CO116),ISNUMBER(CM116)),CO116-CM116,"")</f>
        <v>0</v>
      </c>
      <c r="CO116" s="27"/>
      <c r="CP116" s="28">
        <f>IF(AND(ISNUMBER(CQ116),ISNUMBER(CO116)),CQ116-CO116,"")</f>
        <v>0</v>
      </c>
      <c r="CQ116" s="27"/>
      <c r="CR116" s="28">
        <f>IF(AND(ISNUMBER(CS116),ISNUMBER(CQ116)),CS116-CQ116,"")</f>
        <v>0</v>
      </c>
      <c r="CS116" s="27"/>
      <c r="CT116" s="28">
        <f>IF(AND(ISNUMBER(CU116),ISNUMBER(CS116)),CU116-CS116,"")</f>
        <v>0</v>
      </c>
      <c r="CU116" s="27"/>
      <c r="CV116" s="28">
        <f>IF(AND(ISNUMBER(CW116),ISNUMBER(CU116)),CW116-CU116,"")</f>
        <v>0</v>
      </c>
      <c r="CW116" s="27"/>
      <c r="CX116" s="28">
        <f>IF(AND(ISNUMBER(CY116),ISNUMBER(CW116)),CY116-CW116,"")</f>
        <v>0</v>
      </c>
      <c r="CY116" s="27"/>
      <c r="CZ116" s="28">
        <f>IF(AND(ISNUMBER(DA116),ISNUMBER(CY116)),DA116-CY116,"")</f>
        <v>0</v>
      </c>
      <c r="DA116" s="27"/>
      <c r="DB116" s="28">
        <f>IF(AND(ISNUMBER(DC116),ISNUMBER(DA116)),DC116-DA116,"")</f>
        <v>0</v>
      </c>
      <c r="DC116" s="27"/>
      <c r="DD116" s="28">
        <f>IF(AND(ISNUMBER(DE116),ISNUMBER(DC116)),DE116-DC116,"")</f>
        <v>0</v>
      </c>
      <c r="DE116" s="27"/>
      <c r="DF116" s="28">
        <f>IF(AND(ISNUMBER(DG116),ISNUMBER(DE116)),DG116-DE116,"")</f>
        <v>0</v>
      </c>
      <c r="DG116" s="27"/>
      <c r="DH116" s="28">
        <f>IF(AND(ISNUMBER(DI116),ISNUMBER(DG116)),DI116-DG116,"")</f>
        <v>0</v>
      </c>
      <c r="DI116" s="27"/>
      <c r="DJ116" s="28">
        <f>IF(AND(ISNUMBER(DK116),ISNUMBER(DI116)),DK116-DI116,"")</f>
        <v>0</v>
      </c>
      <c r="DK116" s="27"/>
      <c r="DL116" s="28">
        <f>IF(AND(ISNUMBER(DM116),ISNUMBER(DK116)),DM116-DK116,"")</f>
        <v>0</v>
      </c>
      <c r="DM116" s="27"/>
      <c r="DN116" s="28">
        <f>IF(AND(ISNUMBER(DO116),ISNUMBER(DM116)),DO116-DM116,"")</f>
        <v>0</v>
      </c>
      <c r="DO116" s="27"/>
      <c r="DP116" s="28">
        <f>IF(AND(ISNUMBER(DQ116),ISNUMBER(DO116)),DQ116-DO116,"")</f>
        <v>0</v>
      </c>
      <c r="DQ116" s="27"/>
      <c r="DR116" s="28">
        <f>IF(AND(ISNUMBER(DS116),ISNUMBER(DQ116)),DS116-DQ116,"")</f>
        <v>0</v>
      </c>
      <c r="DS116" s="27"/>
      <c r="DT116" s="28">
        <f>IF(AND(ISNUMBER(DU116),ISNUMBER(DS116)),DU116-DS116,"")</f>
        <v>0</v>
      </c>
      <c r="DU116" s="27"/>
      <c r="DV116" s="28">
        <f>IF(AND(ISNUMBER(DW116),ISNUMBER(DU116)),DW116-DU116,"")</f>
        <v>0</v>
      </c>
      <c r="DW116" s="27"/>
      <c r="DX116" s="28">
        <f>IF(AND(ISNUMBER(DY116),ISNUMBER(DW116)),DY116-DW116,"")</f>
        <v>0</v>
      </c>
      <c r="DY116" s="27"/>
      <c r="DZ116" s="28">
        <f>IF(AND(ISNUMBER(EA116),ISNUMBER(DY116)),EA116-DY116,"")</f>
        <v>0</v>
      </c>
      <c r="EA116" s="27"/>
      <c r="EB116" s="28">
        <f>IF(AND(ISNUMBER(EC116),ISNUMBER(EA116)),EC116-EA116,"")</f>
        <v>0</v>
      </c>
      <c r="EC116" s="27"/>
      <c r="ED116" s="28">
        <f>IF(AND(ISNUMBER(EE116),ISNUMBER(EC116)),EE116-EC116,"")</f>
        <v>0</v>
      </c>
      <c r="EE116" s="27"/>
      <c r="EF116" s="28">
        <f>IF(AND(ISNUMBER(EG116),ISNUMBER(EE116)),EG116-EE116,"")</f>
        <v>0</v>
      </c>
      <c r="EG116" s="27"/>
      <c r="EH116" s="28">
        <f>IF(AND(ISNUMBER(EI116),ISNUMBER(EG116)),EI116-EG116,"")</f>
        <v>0</v>
      </c>
      <c r="EI116" s="27"/>
      <c r="EJ116" s="28">
        <f>IF(AND(ISNUMBER(EK116),ISNUMBER(EI116)),EK116-EI116,"")</f>
        <v>0</v>
      </c>
      <c r="EK116" s="27"/>
      <c r="EL116" s="28">
        <f>IF(AND(ISNUMBER(EM116),ISNUMBER(EK116)),EM116-EK116,"")</f>
        <v>0</v>
      </c>
      <c r="EM116" s="27"/>
      <c r="EN116" s="28">
        <f>IF(AND(ISNUMBER(EO116),ISNUMBER(EM116)),EO116-EM116,"")</f>
        <v>0</v>
      </c>
      <c r="EO116" s="27"/>
      <c r="EP116" s="28">
        <f>IF(AND(ISNUMBER(EQ116),ISNUMBER(EO116)),EQ116-EO116,"")</f>
        <v>0</v>
      </c>
      <c r="EQ116" s="27"/>
      <c r="ER116" s="28">
        <f>IF(AND(ISNUMBER(ES116),ISNUMBER(EQ116)),ES116-EQ116,"")</f>
        <v>0</v>
      </c>
      <c r="ES116" s="27"/>
      <c r="ET116" s="28">
        <f>IF(AND(ISNUMBER(EU116),ISNUMBER(ES116)),EU116-ES116,"")</f>
        <v>0</v>
      </c>
      <c r="EU116" s="27"/>
      <c r="EV116" s="28">
        <f>IF(AND(ISNUMBER(EW116),ISNUMBER(EU116)),EW116-EU116,"")</f>
        <v>0</v>
      </c>
      <c r="EW116" s="27"/>
      <c r="EX116" s="28">
        <f>IF(AND(ISNUMBER(EY116),ISNUMBER(EW116)),EY116-EW116,"")</f>
        <v>0</v>
      </c>
      <c r="EY116" s="27"/>
      <c r="EZ116" s="28">
        <f>IF(AND(ISNUMBER(FA116),ISNUMBER(EY116)),FA116-EY116,"")</f>
        <v>0</v>
      </c>
      <c r="FA116" s="27"/>
      <c r="FB116" s="28">
        <f>IF(AND(ISNUMBER(FC116),ISNUMBER(FA116)),FC116-FA116,"")</f>
        <v>0</v>
      </c>
      <c r="FC116" s="27"/>
      <c r="FD116" s="28">
        <f>IF(AND(ISNUMBER(FE116),ISNUMBER(FC116)),FE116-FC116,"")</f>
        <v>0</v>
      </c>
      <c r="FE116" s="27"/>
      <c r="FF116" s="28">
        <f>IF(AND(ISNUMBER(FG116),ISNUMBER(FE116)),FG116-FE116,"")</f>
        <v>0</v>
      </c>
      <c r="FG116" s="27"/>
      <c r="FH116" s="28">
        <f>IF(AND(ISNUMBER(FI116),ISNUMBER(FG116)),FI116-FG116,"")</f>
        <v>0</v>
      </c>
      <c r="FI116" s="27"/>
      <c r="FJ116" s="28">
        <f>IF(AND(ISNUMBER(FK116),ISNUMBER(FI116)),FK116-FI116,"")</f>
        <v>0</v>
      </c>
      <c r="FK116" s="27"/>
      <c r="FL116" s="28">
        <f>IF(AND(ISNUMBER(FM116),ISNUMBER(FK116)),FM116-FK116,"")</f>
        <v>0</v>
      </c>
      <c r="FM116" s="27"/>
      <c r="FN116" s="28">
        <f>IF(AND(ISNUMBER(FO116),ISNUMBER(FM116)),FO116-FM116,"")</f>
        <v>0</v>
      </c>
      <c r="FO116" s="27"/>
      <c r="FP116" s="28">
        <f>IF(AND(ISNUMBER(FQ116),ISNUMBER(FO116)),FQ116-FO116,"")</f>
        <v>0</v>
      </c>
      <c r="FQ116" s="27"/>
      <c r="FR116" s="28">
        <f>IF(AND(ISNUMBER(FS116),ISNUMBER(FQ116)),FS116-FQ116,"")</f>
        <v>0</v>
      </c>
      <c r="FS116" s="27"/>
      <c r="FT116" s="28">
        <f>IF(AND(ISNUMBER(FU116),ISNUMBER(FS116)),FU116-FS116,"")</f>
        <v>0</v>
      </c>
      <c r="FU116" s="27"/>
      <c r="FV116" s="28">
        <f>IF(AND(ISNUMBER(FW116),ISNUMBER(FU116)),FW116-FU116,"")</f>
        <v>0</v>
      </c>
      <c r="FW116" s="27"/>
      <c r="FX116" s="28">
        <f>IF(AND(ISNUMBER(FY116),ISNUMBER(FW116)),FY116-FW116,"")</f>
        <v>0</v>
      </c>
      <c r="FY116" s="27"/>
      <c r="FZ116" s="28">
        <f>IF(AND(ISNUMBER(GA116),ISNUMBER(FY116)),GA116-FY116,"")</f>
        <v>0</v>
      </c>
      <c r="GA116" s="27"/>
      <c r="GB116" s="28">
        <f>IF(AND(ISNUMBER(GC116),ISNUMBER(GA116)),GC116-GA116,"")</f>
        <v>0</v>
      </c>
      <c r="GC116" s="27"/>
      <c r="GD116" s="28">
        <f>IF(AND(ISNUMBER(GE116),ISNUMBER(GC116)),GE116-GC116,"")</f>
        <v>0</v>
      </c>
      <c r="GE116" s="27"/>
      <c r="GF116" s="28">
        <f>IF(AND(ISNUMBER(GG116),ISNUMBER(GE116)),GG116-GE116,"")</f>
        <v>0</v>
      </c>
      <c r="GG116" s="27"/>
      <c r="GH116" s="28">
        <f>IF(AND(ISNUMBER(GI116),ISNUMBER(GG116)),GI116-GG116,"")</f>
        <v>0</v>
      </c>
      <c r="GI116" s="27"/>
      <c r="GJ116" s="28">
        <f>IF(AND(ISNUMBER(GK116),ISNUMBER(GI116)),GK116-GI116,"")</f>
        <v>0</v>
      </c>
      <c r="GK116" s="27"/>
      <c r="GL116" s="28">
        <f>IF(AND(ISNUMBER(GM116),ISNUMBER(GK116)),GM116-GK116,"")</f>
        <v>0</v>
      </c>
      <c r="GM116" s="27"/>
      <c r="GN116" s="28">
        <f>IF(AND(ISNUMBER(GO116),ISNUMBER(GM116)),GO116-GM116,"")</f>
        <v>0</v>
      </c>
      <c r="GO116" s="27">
        <v>52</v>
      </c>
      <c r="GP116" s="28">
        <f>IF(AND(ISNUMBER(GQ116),ISNUMBER(GO116)),GQ116-GO116,"")</f>
        <v>0</v>
      </c>
      <c r="GQ116" s="27">
        <v>52</v>
      </c>
      <c r="GR116" s="28">
        <f>IF(AND(ISNUMBER(GS116),ISNUMBER(GQ116)),GS116-GQ116,"")</f>
        <v>0</v>
      </c>
      <c r="GS116" s="27">
        <v>52</v>
      </c>
      <c r="GT116" s="28">
        <f>IF(AND(ISNUMBER(GU116),ISNUMBER(GS116)),GU116-GS116,"")</f>
        <v>0</v>
      </c>
      <c r="GU116" s="27">
        <v>52</v>
      </c>
      <c r="GV116" s="28">
        <f>IF(AND(ISNUMBER(GW116),ISNUMBER(GU116)),GW116-GU116,"")</f>
        <v>0</v>
      </c>
      <c r="GW116" s="27">
        <v>52</v>
      </c>
      <c r="GX116" s="28">
        <f>IF(AND(ISNUMBER(GY116),ISNUMBER(GW116)),GY116-GW116,"")</f>
        <v>0</v>
      </c>
      <c r="GY116" s="27">
        <v>46</v>
      </c>
      <c r="GZ116" s="28">
        <f>IF(AND(ISNUMBER(HA116),ISNUMBER(GY116)),HA116-GY116,"")</f>
        <v>0</v>
      </c>
      <c r="HA116" s="27">
        <v>46</v>
      </c>
      <c r="HB116" s="28">
        <f>IF(AND(ISNUMBER(HC116),ISNUMBER(HA116)),HC116-HA116,"")</f>
        <v>0</v>
      </c>
      <c r="HC116" s="27">
        <v>46</v>
      </c>
      <c r="HD116" s="28">
        <f>IF(AND(ISNUMBER(HE116),ISNUMBER(HC116)),HE116-HC116,"")</f>
        <v>0</v>
      </c>
      <c r="HE116" s="27">
        <v>46</v>
      </c>
      <c r="HF116" s="28">
        <f>IF(AND(ISNUMBER(HG116),ISNUMBER(HE116)),HG116-HE116,"")</f>
        <v>0</v>
      </c>
      <c r="HG116" s="27">
        <v>43</v>
      </c>
      <c r="HH116" s="28">
        <f>IF(AND(ISNUMBER(HI116),ISNUMBER(HG116)),HI116-HG116,"")</f>
        <v>0</v>
      </c>
      <c r="HI116" s="27">
        <v>42</v>
      </c>
      <c r="HJ116" s="28">
        <f>IF(AND(ISNUMBER(HK116),ISNUMBER(HI116)),HK116-HI116,"")</f>
        <v>0</v>
      </c>
      <c r="HK116" s="27">
        <v>41</v>
      </c>
      <c r="HL116" s="28">
        <f>IF(AND(ISNUMBER(HM116),ISNUMBER(HK116)),HM116-HK116,"")</f>
        <v>0</v>
      </c>
      <c r="HM116" s="27">
        <v>40</v>
      </c>
      <c r="HN116" s="28">
        <f>IF(AND(ISNUMBER(HO116),ISNUMBER(HM116)),HO116-HM116,"")</f>
        <v>0</v>
      </c>
      <c r="HO116" s="27">
        <v>39</v>
      </c>
      <c r="HP116" s="28">
        <f>IF(AND(ISNUMBER(HQ116),ISNUMBER(HO116)),HQ116-HO116,"")</f>
        <v>0</v>
      </c>
      <c r="HQ116" s="27">
        <v>39</v>
      </c>
      <c r="HR116" s="28">
        <f>IF(AND(ISNUMBER(HS116),ISNUMBER(HQ116)),HS116-HQ116,"")</f>
        <v>0</v>
      </c>
      <c r="HS116" s="27">
        <v>39</v>
      </c>
      <c r="HT116" s="28">
        <f>IF(AND(ISNUMBER(HU116),ISNUMBER(HS116)),HU116-HS116,"")</f>
        <v>0</v>
      </c>
      <c r="HU116" s="27">
        <v>39</v>
      </c>
      <c r="HV116" s="28">
        <f>IF(AND(ISNUMBER(HW116),ISNUMBER(HU116)),HW116-HU116,"")</f>
        <v>0</v>
      </c>
      <c r="HW116" s="27">
        <v>39</v>
      </c>
      <c r="HX116" s="28">
        <f>IF(AND(ISNUMBER(HY116),ISNUMBER(HW116)),HY116-HW116,"")</f>
        <v>0</v>
      </c>
      <c r="HY116" s="27">
        <v>39</v>
      </c>
      <c r="HZ116" s="28">
        <f>IF(AND(ISNUMBER(IA116),ISNUMBER(HY116)),IA116-HY116,"")</f>
        <v>0</v>
      </c>
      <c r="IA116" s="27">
        <v>39</v>
      </c>
      <c r="IB116" s="28">
        <f>IF(AND(ISNUMBER(IC116),ISNUMBER(IA116)),IC116-IA116,"")</f>
        <v>0</v>
      </c>
      <c r="IC116" s="27">
        <v>39</v>
      </c>
      <c r="ID116" s="28">
        <f>IF(AND(ISNUMBER(IE116),ISNUMBER(IC116)),IE116-IC116,"")</f>
        <v>0</v>
      </c>
      <c r="IE116" s="27">
        <v>39</v>
      </c>
      <c r="IF116" s="28">
        <f>IF(AND(ISNUMBER(IG116),ISNUMBER(IE116)),IG116-IE116,"")</f>
        <v>0</v>
      </c>
      <c r="IG116" s="27">
        <v>39</v>
      </c>
      <c r="IH116" s="28">
        <f>IF(AND(ISNUMBER(II116),ISNUMBER(IG116)),II116-IG116,"")</f>
        <v>0</v>
      </c>
      <c r="II116" s="27">
        <v>39</v>
      </c>
      <c r="IJ116" s="28">
        <f>IF(AND(ISNUMBER(IK116),ISNUMBER(II116)),IK116-II116,"")</f>
        <v>0</v>
      </c>
      <c r="IK116" s="27">
        <v>38</v>
      </c>
      <c r="IL116" s="28">
        <f>IF(AND(ISNUMBER(IM116),ISNUMBER(IK116)),IM116-IK116,"")</f>
        <v>0</v>
      </c>
      <c r="IM116" s="27">
        <v>38</v>
      </c>
      <c r="IN116" s="28">
        <f>IF(AND(ISNUMBER(IO116),ISNUMBER(IM116)),IO116-IM116,"")</f>
        <v>0</v>
      </c>
      <c r="IO116" s="27">
        <v>31</v>
      </c>
      <c r="IP116" s="28">
        <f>IF(AND(ISNUMBER(IQ116),ISNUMBER(IO116)),IQ116-IO116,"")</f>
        <v>0</v>
      </c>
      <c r="IQ116" s="27">
        <v>30</v>
      </c>
      <c r="IR116" s="28">
        <f>IF(AND(ISNUMBER(IS116),ISNUMBER(IQ116)),IS116-IQ116,"")</f>
        <v>0</v>
      </c>
      <c r="IS116" s="27">
        <v>29</v>
      </c>
      <c r="IT116" s="28">
        <f>IF(AND(ISNUMBER(IU116),ISNUMBER(IS116)),IU116-IS116,"")</f>
        <v>0</v>
      </c>
      <c r="IU116" s="27">
        <v>29</v>
      </c>
      <c r="IV116" s="28">
        <f>IF(AND(ISNUMBER(IW116),ISNUMBER(IU116)),IW116-IU116,"")</f>
        <v>0</v>
      </c>
      <c r="IW116" s="27">
        <v>29</v>
      </c>
      <c r="IX116" s="28">
        <f>IF(AND(ISNUMBER(IY116),ISNUMBER(IW116)),IY116-IW116,"")</f>
        <v>0</v>
      </c>
      <c r="IY116" s="27">
        <v>29</v>
      </c>
      <c r="IZ116" s="28">
        <f>IF(AND(ISNUMBER(JA116),ISNUMBER(IY116)),JA116-IY116,"")</f>
        <v>0</v>
      </c>
      <c r="JA116" s="27">
        <v>29</v>
      </c>
      <c r="JB116" s="28">
        <f>IF(AND(ISNUMBER(JC116),ISNUMBER(JA116)),JC116-JA116,"")</f>
        <v>0</v>
      </c>
      <c r="JC116" s="27">
        <v>29</v>
      </c>
      <c r="JD116" s="28">
        <f>IF(AND(ISNUMBER(JE116),ISNUMBER(JC116)),JE116-JC116,"")</f>
        <v>0</v>
      </c>
      <c r="JE116" s="27">
        <v>29</v>
      </c>
      <c r="JF116" s="28">
        <f>IF(AND(ISNUMBER(JG116),ISNUMBER(JE116)),JG116-JE116,"")</f>
        <v>0</v>
      </c>
      <c r="JG116" s="27">
        <v>29</v>
      </c>
      <c r="JH116" s="28">
        <f>IF(AND(ISNUMBER(JI116),ISNUMBER(JG116)),JI116-JG116,"")</f>
        <v>0</v>
      </c>
      <c r="JI116" s="27">
        <v>28</v>
      </c>
      <c r="JJ116" s="28">
        <f>IF(AND(ISNUMBER(JK116),ISNUMBER(JI116)),JK116-JI116,"")</f>
        <v>0</v>
      </c>
      <c r="JK116" s="27">
        <v>28</v>
      </c>
      <c r="JL116" s="28">
        <f>IF(AND(ISNUMBER(JM116),ISNUMBER(JK116)),JM116-JK116,"")</f>
        <v>0</v>
      </c>
      <c r="JM116" s="27">
        <v>28</v>
      </c>
      <c r="JN116" s="28">
        <f>IF(AND(ISNUMBER(JO116),ISNUMBER(JM116)),JO116-JM116,"")</f>
        <v>0</v>
      </c>
      <c r="JO116" s="27">
        <v>28</v>
      </c>
      <c r="JP116" s="28">
        <f>IF(AND(ISNUMBER(JQ116),ISNUMBER(JO116)),JQ116-JO116,"")</f>
        <v>0</v>
      </c>
      <c r="JQ116" s="27">
        <v>26</v>
      </c>
      <c r="JR116" s="28">
        <f>IF(AND(ISNUMBER(JS116),ISNUMBER(JQ116)),JS116-JQ116,"")</f>
        <v>0</v>
      </c>
      <c r="JS116" s="27">
        <v>26</v>
      </c>
      <c r="JT116" s="28">
        <f>IF(AND(ISNUMBER(JU116),ISNUMBER(JS116)),JU116-JS116,"")</f>
        <v>0</v>
      </c>
      <c r="JU116" s="27">
        <v>26</v>
      </c>
      <c r="JV116" s="28">
        <f>IF(AND(ISNUMBER(JW116),ISNUMBER(JU116)),JW116-JU116,"")</f>
        <v>0</v>
      </c>
      <c r="JW116" s="27">
        <v>26</v>
      </c>
      <c r="JX116" s="28">
        <f>IF(AND(ISNUMBER(JY116),ISNUMBER(JW116)),JY116-JW116,"")</f>
        <v>0</v>
      </c>
      <c r="JY116" s="27">
        <v>26</v>
      </c>
      <c r="JZ116" s="28">
        <f>IF(AND(ISNUMBER(KA116),ISNUMBER(JY116)),KA116-JY116,"")</f>
        <v>0</v>
      </c>
      <c r="KA116" s="27"/>
      <c r="KB116" s="28">
        <f>IF(AND(ISNUMBER(KC116),ISNUMBER(KA116)),KC116-KA116,"")</f>
        <v>0</v>
      </c>
      <c r="KC116" s="27"/>
      <c r="KD116" s="28">
        <f>IF(AND(ISNUMBER(KE116),ISNUMBER(KC116)),KE116-KC116,"")</f>
        <v>0</v>
      </c>
      <c r="KE116" s="27"/>
      <c r="KF116" s="28">
        <f>IF(AND(ISNUMBER(KG116),ISNUMBER(KE116)),KG116-KE116,"")</f>
        <v>0</v>
      </c>
      <c r="KG116" s="27"/>
      <c r="KH116" s="28">
        <f>IF(AND(ISNUMBER(KI116),ISNUMBER(KG116)),KI116-KG116,"")</f>
        <v>0</v>
      </c>
      <c r="KI116" s="27"/>
      <c r="KJ116" s="28">
        <f>IF(AND(ISNUMBER(KK116),ISNUMBER(KI116)),KK116-KI116,"")</f>
        <v>0</v>
      </c>
      <c r="KK116" s="27"/>
      <c r="KL116" s="28">
        <f>IF(AND(ISNUMBER(KM116),ISNUMBER(KK116)),KM116-KK116,"")</f>
        <v>0</v>
      </c>
      <c r="KM116" s="27"/>
      <c r="KN116" s="28">
        <f>IF(AND(ISNUMBER(KO116),ISNUMBER(KM116)),KO116-KM116,"")</f>
        <v>0</v>
      </c>
      <c r="KO116" s="27"/>
      <c r="KP116" s="28">
        <f>IF(AND(ISNUMBER(KQ116),ISNUMBER(KO116)),KQ116-KO116,"")</f>
        <v>0</v>
      </c>
      <c r="KQ116" s="27"/>
      <c r="KR116" s="28">
        <f>IF(AND(ISNUMBER(KS116),ISNUMBER(KQ116)),KS116-KQ116,"")</f>
        <v>0</v>
      </c>
      <c r="KS116" s="27"/>
      <c r="KT116" s="28">
        <f>IF(AND(ISNUMBER(KU116),ISNUMBER(KS116)),KU116-KS116,"")</f>
        <v>0</v>
      </c>
      <c r="KU116" s="27"/>
      <c r="KV116" s="28">
        <f>IF(AND(ISNUMBER(KW116),ISNUMBER(KU116)),KW116-KU116,"")</f>
        <v>0</v>
      </c>
      <c r="KW116" s="27"/>
      <c r="KX116" s="28">
        <f>IF(AND(ISNUMBER(KY116),ISNUMBER(KW116)),KY116-KW116,"")</f>
        <v>0</v>
      </c>
      <c r="KY116" s="27"/>
      <c r="KZ116" s="28">
        <f>IF(AND(ISNUMBER(LA116),ISNUMBER(KY116)),LA116-KY116,"")</f>
        <v>0</v>
      </c>
      <c r="LA116" s="27"/>
      <c r="LB116" s="28">
        <f>IF(AND(ISNUMBER(LC116),ISNUMBER(LA116)),LC116-LA116,"")</f>
        <v>0</v>
      </c>
      <c r="LC116" s="27"/>
      <c r="LD116" s="28">
        <f>IF(AND(ISNUMBER(LE116),ISNUMBER(LC116)),LE116-LC116,"")</f>
        <v>0</v>
      </c>
      <c r="LE116" s="27"/>
      <c r="LF116" s="28">
        <f>IF(AND(ISNUMBER(LG116),ISNUMBER(LE116)),LG116-LE116,"")</f>
        <v>0</v>
      </c>
      <c r="LG116" s="27"/>
      <c r="LH116" s="30"/>
      <c r="LI116" s="30"/>
      <c r="LJ116" s="30"/>
    </row>
    <row r="117" spans="1:322">
      <c r="A117" s="22" t="s">
        <v>116</v>
      </c>
      <c r="B117" s="23" t="s">
        <v>1138</v>
      </c>
      <c r="C117" s="24" t="s">
        <v>728</v>
      </c>
      <c r="D117" s="24"/>
      <c r="E117" s="25" t="s">
        <v>1139</v>
      </c>
      <c r="F117" s="26"/>
      <c r="G117" s="26"/>
      <c r="H117" s="26" t="s">
        <v>1105</v>
      </c>
      <c r="I117" s="27"/>
      <c r="J117" s="28">
        <f>IF(AND(ISNUMBER(K117),ISNUMBER(I117)),K117-I117,"")</f>
        <v>0</v>
      </c>
      <c r="K117" s="27"/>
      <c r="L117" s="28">
        <f>IF(AND(ISNUMBER(M117),ISNUMBER(K117)),M117-K117,"")</f>
        <v>0</v>
      </c>
      <c r="M117" s="27"/>
      <c r="N117" s="28">
        <f>IF(AND(ISNUMBER(O117),ISNUMBER(M117)),O117-M117,"")</f>
        <v>0</v>
      </c>
      <c r="O117" s="27"/>
      <c r="P117" s="28">
        <f>IF(AND(ISNUMBER(Q117),ISNUMBER(O117)),Q117-O117,"")</f>
        <v>0</v>
      </c>
      <c r="Q117" s="27"/>
      <c r="R117" s="28">
        <f>IF(AND(ISNUMBER(S117),ISNUMBER(Q117)),S117-Q117,"")</f>
        <v>0</v>
      </c>
      <c r="S117" s="27"/>
      <c r="T117" s="28">
        <f>IF(AND(ISNUMBER(U117),ISNUMBER(S117)),U117-S117,"")</f>
        <v>0</v>
      </c>
      <c r="U117" s="27"/>
      <c r="V117" s="28">
        <f>IF(AND(ISNUMBER(W117),ISNUMBER(U117)),W117-U117,"")</f>
        <v>0</v>
      </c>
      <c r="W117" s="27"/>
      <c r="X117" s="28">
        <f>IF(AND(ISNUMBER(Y117),ISNUMBER(W117)),Y117-W117,"")</f>
        <v>0</v>
      </c>
      <c r="Y117" s="27"/>
      <c r="Z117" s="28">
        <f>IF(AND(ISNUMBER(AA117),ISNUMBER(Y117)),AA117-Y117,"")</f>
        <v>0</v>
      </c>
      <c r="AA117" s="27"/>
      <c r="AB117" s="28">
        <f>IF(AND(ISNUMBER(AC117),ISNUMBER(AA117)),AC117-AA117,"")</f>
        <v>0</v>
      </c>
      <c r="AC117" s="27"/>
      <c r="AD117" s="28">
        <f>IF(AND(ISNUMBER(AE117),ISNUMBER(AC117)),AE117-AC117,"")</f>
        <v>0</v>
      </c>
      <c r="AE117" s="27"/>
      <c r="AF117" s="28">
        <f>IF(AND(ISNUMBER(AG117),ISNUMBER(AE117)),AG117-AE117,"")</f>
        <v>0</v>
      </c>
      <c r="AG117" s="27"/>
      <c r="AH117" s="28">
        <f>IF(AND(ISNUMBER(AI117),ISNUMBER(AG117)),AI117-AG117,"")</f>
        <v>0</v>
      </c>
      <c r="AI117" s="27"/>
      <c r="AJ117" s="28">
        <f>IF(AND(ISNUMBER(AK117),ISNUMBER(AI117)),AK117-AI117,"")</f>
        <v>0</v>
      </c>
      <c r="AK117" s="27"/>
      <c r="AL117" s="28">
        <f>IF(AND(ISNUMBER(AM117),ISNUMBER(AK117)),AM117-AK117,"")</f>
        <v>0</v>
      </c>
      <c r="AM117" s="27"/>
      <c r="AN117" s="28">
        <f>IF(AND(ISNUMBER(AO117),ISNUMBER(AM117)),AO117-AM117,"")</f>
        <v>0</v>
      </c>
      <c r="AO117" s="27"/>
      <c r="AP117" s="28">
        <f>IF(AND(ISNUMBER(AQ117),ISNUMBER(AO117)),AQ117-AO117,"")</f>
        <v>0</v>
      </c>
      <c r="AQ117" s="27"/>
      <c r="AR117" s="28">
        <f>IF(AND(ISNUMBER(AS117),ISNUMBER(AQ117)),AS117-AQ117,"")</f>
        <v>0</v>
      </c>
      <c r="AS117" s="27"/>
      <c r="AT117" s="28">
        <f>IF(AND(ISNUMBER(AU117),ISNUMBER(AS117)),AU117-AS117,"")</f>
        <v>0</v>
      </c>
      <c r="AU117" s="27"/>
      <c r="AV117" s="28">
        <f>IF(AND(ISNUMBER(AW117),ISNUMBER(AU117)),AW117-AU117,"")</f>
        <v>0</v>
      </c>
      <c r="AW117" s="27"/>
      <c r="AX117" s="28">
        <f>IF(AND(ISNUMBER(AY117),ISNUMBER(AW117)),AY117-AW117,"")</f>
        <v>0</v>
      </c>
      <c r="AY117" s="27"/>
      <c r="AZ117" s="28">
        <f>IF(AND(ISNUMBER(BA117),ISNUMBER(AY117)),BA117-AY117,"")</f>
        <v>0</v>
      </c>
      <c r="BA117" s="27"/>
      <c r="BB117" s="28">
        <f>IF(AND(ISNUMBER(BC117),ISNUMBER(BA117)),BC117-BA117,"")</f>
        <v>0</v>
      </c>
      <c r="BC117" s="27"/>
      <c r="BD117" s="28">
        <f>IF(AND(ISNUMBER(BE117),ISNUMBER(BC117)),BE117-BC117,"")</f>
        <v>0</v>
      </c>
      <c r="BE117" s="27"/>
      <c r="BF117" s="28">
        <f>IF(AND(ISNUMBER(BG117),ISNUMBER(BE117)),BG117-BE117,"")</f>
        <v>0</v>
      </c>
      <c r="BG117" s="27"/>
      <c r="BH117" s="28">
        <f>IF(AND(ISNUMBER(BI117),ISNUMBER(BG117)),BI117-BG117,"")</f>
        <v>0</v>
      </c>
      <c r="BI117" s="27"/>
      <c r="BJ117" s="28">
        <f>IF(AND(ISNUMBER(BK117),ISNUMBER(BI117)),BK117-BI117,"")</f>
        <v>0</v>
      </c>
      <c r="BK117" s="27"/>
      <c r="BL117" s="28">
        <f>IF(AND(ISNUMBER(BM117),ISNUMBER(BK117)),BM117-BK117,"")</f>
        <v>0</v>
      </c>
      <c r="BM117" s="27"/>
      <c r="BN117" s="28">
        <f>IF(AND(ISNUMBER(BO117),ISNUMBER(BM117)),BO117-BM117,"")</f>
        <v>0</v>
      </c>
      <c r="BO117" s="27"/>
      <c r="BP117" s="28">
        <f>IF(AND(ISNUMBER(BQ117),ISNUMBER(BO117)),BQ117-BO117,"")</f>
        <v>0</v>
      </c>
      <c r="BQ117" s="27"/>
      <c r="BR117" s="28">
        <f>IF(AND(ISNUMBER(BS117),ISNUMBER(BQ117)),BS117-BQ117,"")</f>
        <v>0</v>
      </c>
      <c r="BS117" s="27"/>
      <c r="BT117" s="28">
        <f>IF(AND(ISNUMBER(BU117),ISNUMBER(BS117)),BU117-BS117,"")</f>
        <v>0</v>
      </c>
      <c r="BU117" s="27"/>
      <c r="BV117" s="28">
        <f>IF(AND(ISNUMBER(BW117),ISNUMBER(BU117)),BW117-BU117,"")</f>
        <v>0</v>
      </c>
      <c r="BW117" s="27"/>
      <c r="BX117" s="28">
        <f>IF(AND(ISNUMBER(BY117),ISNUMBER(BW117)),BY117-BW117,"")</f>
        <v>0</v>
      </c>
      <c r="BY117" s="29">
        <f>IF(COUNT(BY118:BY120)=0,"",SUM(BY118:BY120))</f>
        <v>0</v>
      </c>
      <c r="BZ117" s="28">
        <f>IF(AND(ISNUMBER(CA117),ISNUMBER(BY117)),CA117-BY117,"")</f>
        <v>0</v>
      </c>
      <c r="CA117" s="29">
        <f>IF(COUNT(CA118:CA120)=0,"",SUM(CA118:CA120))</f>
        <v>0</v>
      </c>
      <c r="CB117" s="28">
        <f>IF(AND(ISNUMBER(CC117),ISNUMBER(CA117)),CC117-CA117,"")</f>
        <v>0</v>
      </c>
      <c r="CC117" s="29">
        <f>IF(COUNT(CC118:CC120)=0,"",SUM(CC118:CC120))</f>
        <v>0</v>
      </c>
      <c r="CD117" s="28">
        <f>IF(AND(ISNUMBER(CE117),ISNUMBER(CC117)),CE117-CC117,"")</f>
        <v>0</v>
      </c>
      <c r="CE117" s="29">
        <f>IF(COUNT(CE118:CE120)=0,"",SUM(CE118:CE120))</f>
        <v>0</v>
      </c>
      <c r="CF117" s="28">
        <f>IF(AND(ISNUMBER(CG117),ISNUMBER(CE117)),CG117-CE117,"")</f>
        <v>0</v>
      </c>
      <c r="CG117" s="29">
        <f>IF(COUNT(CG118:CG120)=0,"",SUM(CG118:CG120))</f>
        <v>0</v>
      </c>
      <c r="CH117" s="28">
        <f>IF(AND(ISNUMBER(CI117),ISNUMBER(CG117)),CI117-CG117,"")</f>
        <v>0</v>
      </c>
      <c r="CI117" s="29">
        <f>IF(COUNT(CI118:CI120)=0,"",SUM(CI118:CI120))</f>
        <v>0</v>
      </c>
      <c r="CJ117" s="28">
        <f>IF(AND(ISNUMBER(CK117),ISNUMBER(CI117)),CK117-CI117,"")</f>
        <v>0</v>
      </c>
      <c r="CK117" s="29">
        <f>IF(COUNT(CK118:CK120)=0,"",SUM(CK118:CK120))</f>
        <v>0</v>
      </c>
      <c r="CL117" s="28">
        <f>IF(AND(ISNUMBER(CM117),ISNUMBER(CK117)),CM117-CK117,"")</f>
        <v>0</v>
      </c>
      <c r="CM117" s="29">
        <f>IF(COUNT(CM118:CM120)=0,"",SUM(CM118:CM120))</f>
        <v>0</v>
      </c>
      <c r="CN117" s="28">
        <f>IF(AND(ISNUMBER(CO117),ISNUMBER(CM117)),CO117-CM117,"")</f>
        <v>0</v>
      </c>
      <c r="CO117" s="29">
        <f>IF(COUNT(CO118:CO120)=0,"",SUM(CO118:CO120))</f>
        <v>0</v>
      </c>
      <c r="CP117" s="28">
        <f>IF(AND(ISNUMBER(CQ117),ISNUMBER(CO117)),CQ117-CO117,"")</f>
        <v>0</v>
      </c>
      <c r="CQ117" s="29">
        <f>IF(COUNT(CQ118:CQ120)=0,"",SUM(CQ118:CQ120))</f>
        <v>0</v>
      </c>
      <c r="CR117" s="28">
        <f>IF(AND(ISNUMBER(CS117),ISNUMBER(CQ117)),CS117-CQ117,"")</f>
        <v>0</v>
      </c>
      <c r="CS117" s="29">
        <f>IF(COUNT(CS118:CS120)=0,"",SUM(CS118:CS120))</f>
        <v>0</v>
      </c>
      <c r="CT117" s="28">
        <f>IF(AND(ISNUMBER(CU117),ISNUMBER(CS117)),CU117-CS117,"")</f>
        <v>0</v>
      </c>
      <c r="CU117" s="29">
        <f>IF(COUNT(CU118:CU120)=0,"",SUM(CU118:CU120))</f>
        <v>0</v>
      </c>
      <c r="CV117" s="28">
        <f>IF(AND(ISNUMBER(CW117),ISNUMBER(CU117)),CW117-CU117,"")</f>
        <v>0</v>
      </c>
      <c r="CW117" s="29">
        <f>IF(COUNT(CW118:CW120)=0,"",SUM(CW118:CW120))</f>
        <v>0</v>
      </c>
      <c r="CX117" s="28">
        <f>IF(AND(ISNUMBER(CY117),ISNUMBER(CW117)),CY117-CW117,"")</f>
        <v>0</v>
      </c>
      <c r="CY117" s="29">
        <f>IF(COUNT(CY118:CY120)=0,"",SUM(CY118:CY120))</f>
        <v>0</v>
      </c>
      <c r="CZ117" s="28">
        <f>IF(AND(ISNUMBER(DA117),ISNUMBER(CY117)),DA117-CY117,"")</f>
        <v>0</v>
      </c>
      <c r="DA117" s="29">
        <f>IF(COUNT(DA118:DA120)=0,"",SUM(DA118:DA120))</f>
        <v>0</v>
      </c>
      <c r="DB117" s="28">
        <f>IF(AND(ISNUMBER(DC117),ISNUMBER(DA117)),DC117-DA117,"")</f>
        <v>0</v>
      </c>
      <c r="DC117" s="29">
        <f>IF(COUNT(DC118:DC120)=0,"",SUM(DC118:DC120))</f>
        <v>0</v>
      </c>
      <c r="DD117" s="28">
        <f>IF(AND(ISNUMBER(DE117),ISNUMBER(DC117)),DE117-DC117,"")</f>
        <v>0</v>
      </c>
      <c r="DE117" s="29">
        <f>IF(COUNT(DE118:DE120)=0,"",SUM(DE118:DE120))</f>
        <v>0</v>
      </c>
      <c r="DF117" s="28">
        <f>IF(AND(ISNUMBER(DG117),ISNUMBER(DE117)),DG117-DE117,"")</f>
        <v>0</v>
      </c>
      <c r="DG117" s="29">
        <f>IF(COUNT(DG118:DG120)=0,"",SUM(DG118:DG120))</f>
        <v>0</v>
      </c>
      <c r="DH117" s="28">
        <f>IF(AND(ISNUMBER(DI117),ISNUMBER(DG117)),DI117-DG117,"")</f>
        <v>0</v>
      </c>
      <c r="DI117" s="29">
        <f>IF(COUNT(DI118:DI120)=0,"",SUM(DI118:DI120))</f>
        <v>0</v>
      </c>
      <c r="DJ117" s="28">
        <f>IF(AND(ISNUMBER(DK117),ISNUMBER(DI117)),DK117-DI117,"")</f>
        <v>0</v>
      </c>
      <c r="DK117" s="29">
        <f>IF(COUNT(DK118:DK120)=0,"",SUM(DK118:DK120))</f>
        <v>0</v>
      </c>
      <c r="DL117" s="28">
        <f>IF(AND(ISNUMBER(DM117),ISNUMBER(DK117)),DM117-DK117,"")</f>
        <v>0</v>
      </c>
      <c r="DM117" s="29">
        <f>IF(COUNT(DM118:DM120)=0,"",SUM(DM118:DM120))</f>
        <v>0</v>
      </c>
      <c r="DN117" s="28">
        <f>IF(AND(ISNUMBER(DO117),ISNUMBER(DM117)),DO117-DM117,"")</f>
        <v>0</v>
      </c>
      <c r="DO117" s="29">
        <f>IF(COUNT(DO118:DO120)=0,"",SUM(DO118:DO120))</f>
        <v>0</v>
      </c>
      <c r="DP117" s="28">
        <f>IF(AND(ISNUMBER(DQ117),ISNUMBER(DO117)),DQ117-DO117,"")</f>
        <v>0</v>
      </c>
      <c r="DQ117" s="29">
        <f>IF(COUNT(DQ118:DQ120)=0,"",SUM(DQ118:DQ120))</f>
        <v>0</v>
      </c>
      <c r="DR117" s="28">
        <f>IF(AND(ISNUMBER(DS117),ISNUMBER(DQ117)),DS117-DQ117,"")</f>
        <v>0</v>
      </c>
      <c r="DS117" s="29">
        <f>IF(COUNT(DS118:DS120)=0,"",SUM(DS118:DS120))</f>
        <v>0</v>
      </c>
      <c r="DT117" s="28">
        <f>IF(AND(ISNUMBER(DU117),ISNUMBER(DS117)),DU117-DS117,"")</f>
        <v>0</v>
      </c>
      <c r="DU117" s="29">
        <f>IF(COUNT(DU118:DU120)=0,"",SUM(DU118:DU120))</f>
        <v>0</v>
      </c>
      <c r="DV117" s="28">
        <f>IF(AND(ISNUMBER(DW117),ISNUMBER(DU117)),DW117-DU117,"")</f>
        <v>0</v>
      </c>
      <c r="DW117" s="29">
        <f>IF(COUNT(DW118:DW120)=0,"",SUM(DW118:DW120))</f>
        <v>0</v>
      </c>
      <c r="DX117" s="28">
        <f>IF(AND(ISNUMBER(DY117),ISNUMBER(DW117)),DY117-DW117,"")</f>
        <v>0</v>
      </c>
      <c r="DY117" s="29">
        <f>IF(COUNT(DY118:DY120)=0,"",SUM(DY118:DY120))</f>
        <v>0</v>
      </c>
      <c r="DZ117" s="28">
        <f>IF(AND(ISNUMBER(EA117),ISNUMBER(DY117)),EA117-DY117,"")</f>
        <v>0</v>
      </c>
      <c r="EA117" s="29">
        <f>IF(COUNT(EA118:EA120)=0,"",SUM(EA118:EA120))</f>
        <v>0</v>
      </c>
      <c r="EB117" s="28">
        <f>IF(AND(ISNUMBER(EC117),ISNUMBER(EA117)),EC117-EA117,"")</f>
        <v>0</v>
      </c>
      <c r="EC117" s="29">
        <f>IF(COUNT(EC118:EC120)=0,"",SUM(EC118:EC120))</f>
        <v>0</v>
      </c>
      <c r="ED117" s="28">
        <f>IF(AND(ISNUMBER(EE117),ISNUMBER(EC117)),EE117-EC117,"")</f>
        <v>0</v>
      </c>
      <c r="EE117" s="29">
        <f>IF(COUNT(EE118:EE120)=0,"",SUM(EE118:EE120))</f>
        <v>0</v>
      </c>
      <c r="EF117" s="28">
        <f>IF(AND(ISNUMBER(EG117),ISNUMBER(EE117)),EG117-EE117,"")</f>
        <v>0</v>
      </c>
      <c r="EG117" s="29">
        <f>IF(COUNT(EG118:EG120)=0,"",SUM(EG118:EG120))</f>
        <v>0</v>
      </c>
      <c r="EH117" s="28">
        <f>IF(AND(ISNUMBER(EI117),ISNUMBER(EG117)),EI117-EG117,"")</f>
        <v>0</v>
      </c>
      <c r="EI117" s="29">
        <f>IF(COUNT(EI118:EI120)=0,"",SUM(EI118:EI120))</f>
        <v>0</v>
      </c>
      <c r="EJ117" s="28">
        <f>IF(AND(ISNUMBER(EK117),ISNUMBER(EI117)),EK117-EI117,"")</f>
        <v>0</v>
      </c>
      <c r="EK117" s="29">
        <f>IF(COUNT(EK118:EK120)=0,"",SUM(EK118:EK120))</f>
        <v>0</v>
      </c>
      <c r="EL117" s="28">
        <f>IF(AND(ISNUMBER(EM117),ISNUMBER(EK117)),EM117-EK117,"")</f>
        <v>0</v>
      </c>
      <c r="EM117" s="29">
        <f>IF(COUNT(EM118:EM120)=0,"",SUM(EM118:EM120))</f>
        <v>0</v>
      </c>
      <c r="EN117" s="28">
        <f>IF(AND(ISNUMBER(EO117),ISNUMBER(EM117)),EO117-EM117,"")</f>
        <v>0</v>
      </c>
      <c r="EO117" s="29">
        <f>IF(COUNT(EO118:EO120)=0,"",SUM(EO118:EO120))</f>
        <v>0</v>
      </c>
      <c r="EP117" s="28">
        <f>IF(AND(ISNUMBER(EQ117),ISNUMBER(EO117)),EQ117-EO117,"")</f>
        <v>0</v>
      </c>
      <c r="EQ117" s="29">
        <f>IF(COUNT(EQ118:EQ120)=0,"",SUM(EQ118:EQ120))</f>
        <v>0</v>
      </c>
      <c r="ER117" s="28">
        <f>IF(AND(ISNUMBER(ES117),ISNUMBER(EQ117)),ES117-EQ117,"")</f>
        <v>0</v>
      </c>
      <c r="ES117" s="29">
        <f>IF(COUNT(ES118:ES120)=0,"",SUM(ES118:ES120))</f>
        <v>0</v>
      </c>
      <c r="ET117" s="28">
        <f>IF(AND(ISNUMBER(EU117),ISNUMBER(ES117)),EU117-ES117,"")</f>
        <v>0</v>
      </c>
      <c r="EU117" s="29">
        <f>IF(COUNT(EU118:EU120)=0,"",SUM(EU118:EU120))</f>
        <v>0</v>
      </c>
      <c r="EV117" s="28">
        <f>IF(AND(ISNUMBER(EW117),ISNUMBER(EU117)),EW117-EU117,"")</f>
        <v>0</v>
      </c>
      <c r="EW117" s="29">
        <f>IF(COUNT(EW118:EW120)=0,"",SUM(EW118:EW120))</f>
        <v>0</v>
      </c>
      <c r="EX117" s="28">
        <f>IF(AND(ISNUMBER(EY117),ISNUMBER(EW117)),EY117-EW117,"")</f>
        <v>0</v>
      </c>
      <c r="EY117" s="29">
        <f>IF(COUNT(EY118:EY120)=0,"",SUM(EY118:EY120))</f>
        <v>0</v>
      </c>
      <c r="EZ117" s="28">
        <f>IF(AND(ISNUMBER(FA117),ISNUMBER(EY117)),FA117-EY117,"")</f>
        <v>0</v>
      </c>
      <c r="FA117" s="29">
        <f>IF(COUNT(FA118:FA120)=0,"",SUM(FA118:FA120))</f>
        <v>0</v>
      </c>
      <c r="FB117" s="28">
        <f>IF(AND(ISNUMBER(FC117),ISNUMBER(FA117)),FC117-FA117,"")</f>
        <v>0</v>
      </c>
      <c r="FC117" s="29">
        <f>IF(COUNT(FC118:FC120)=0,"",SUM(FC118:FC120))</f>
        <v>0</v>
      </c>
      <c r="FD117" s="28">
        <f>IF(AND(ISNUMBER(FE117),ISNUMBER(FC117)),FE117-FC117,"")</f>
        <v>0</v>
      </c>
      <c r="FE117" s="29">
        <f>IF(COUNT(FE118:FE120)=0,"",SUM(FE118:FE120))</f>
        <v>0</v>
      </c>
      <c r="FF117" s="28">
        <f>IF(AND(ISNUMBER(FG117),ISNUMBER(FE117)),FG117-FE117,"")</f>
        <v>0</v>
      </c>
      <c r="FG117" s="29">
        <f>IF(COUNT(FG118:FG120)=0,"",SUM(FG118:FG120))</f>
        <v>0</v>
      </c>
      <c r="FH117" s="28">
        <f>IF(AND(ISNUMBER(FI117),ISNUMBER(FG117)),FI117-FG117,"")</f>
        <v>0</v>
      </c>
      <c r="FI117" s="29">
        <f>IF(COUNT(FI118:FI120)=0,"",SUM(FI118:FI120))</f>
        <v>0</v>
      </c>
      <c r="FJ117" s="28">
        <f>IF(AND(ISNUMBER(FK117),ISNUMBER(FI117)),FK117-FI117,"")</f>
        <v>0</v>
      </c>
      <c r="FK117" s="29">
        <f>IF(COUNT(FK118:FK120)=0,"",SUM(FK118:FK120))</f>
        <v>0</v>
      </c>
      <c r="FL117" s="28">
        <f>IF(AND(ISNUMBER(FM117),ISNUMBER(FK117)),FM117-FK117,"")</f>
        <v>0</v>
      </c>
      <c r="FM117" s="29">
        <f>IF(COUNT(FM118:FM120)=0,"",SUM(FM118:FM120))</f>
        <v>0</v>
      </c>
      <c r="FN117" s="28">
        <f>IF(AND(ISNUMBER(FO117),ISNUMBER(FM117)),FO117-FM117,"")</f>
        <v>0</v>
      </c>
      <c r="FO117" s="29">
        <f>IF(COUNT(FO118:FO120)=0,"",SUM(FO118:FO120))</f>
        <v>0</v>
      </c>
      <c r="FP117" s="28">
        <f>IF(AND(ISNUMBER(FQ117),ISNUMBER(FO117)),FQ117-FO117,"")</f>
        <v>0</v>
      </c>
      <c r="FQ117" s="29">
        <f>IF(COUNT(FQ118:FQ120)=0,"",SUM(FQ118:FQ120))</f>
        <v>0</v>
      </c>
      <c r="FR117" s="28">
        <f>IF(AND(ISNUMBER(FS117),ISNUMBER(FQ117)),FS117-FQ117,"")</f>
        <v>0</v>
      </c>
      <c r="FS117" s="29">
        <f>IF(COUNT(FS118:FS120)=0,"",SUM(FS118:FS120))</f>
        <v>0</v>
      </c>
      <c r="FT117" s="28">
        <f>IF(AND(ISNUMBER(FU117),ISNUMBER(FS117)),FU117-FS117,"")</f>
        <v>0</v>
      </c>
      <c r="FU117" s="29">
        <f>IF(COUNT(FU118:FU120)=0,"",SUM(FU118:FU120))</f>
        <v>0</v>
      </c>
      <c r="FV117" s="28">
        <f>IF(AND(ISNUMBER(FW117),ISNUMBER(FU117)),FW117-FU117,"")</f>
        <v>0</v>
      </c>
      <c r="FW117" s="29">
        <f>IF(COUNT(FW118:FW120)=0,"",SUM(FW118:FW120))</f>
        <v>0</v>
      </c>
      <c r="FX117" s="28">
        <f>IF(AND(ISNUMBER(FY117),ISNUMBER(FW117)),FY117-FW117,"")</f>
        <v>0</v>
      </c>
      <c r="FY117" s="29">
        <f>IF(COUNT(FY118:FY120)=0,"",SUM(FY118:FY120))</f>
        <v>0</v>
      </c>
      <c r="FZ117" s="28">
        <f>IF(AND(ISNUMBER(GA117),ISNUMBER(FY117)),GA117-FY117,"")</f>
        <v>0</v>
      </c>
      <c r="GA117" s="29">
        <f>IF(COUNT(GA118:GA120)=0,"",SUM(GA118:GA120))</f>
        <v>0</v>
      </c>
      <c r="GB117" s="28">
        <f>IF(AND(ISNUMBER(GC117),ISNUMBER(GA117)),GC117-GA117,"")</f>
        <v>0</v>
      </c>
      <c r="GC117" s="29">
        <f>IF(COUNT(GC118:GC120)=0,"",SUM(GC118:GC120))</f>
        <v>0</v>
      </c>
      <c r="GD117" s="28">
        <f>IF(AND(ISNUMBER(GE117),ISNUMBER(GC117)),GE117-GC117,"")</f>
        <v>0</v>
      </c>
      <c r="GE117" s="29">
        <f>IF(COUNT(GE118:GE120)=0,"",SUM(GE118:GE120))</f>
        <v>0</v>
      </c>
      <c r="GF117" s="28">
        <f>IF(AND(ISNUMBER(GG117),ISNUMBER(GE117)),GG117-GE117,"")</f>
        <v>0</v>
      </c>
      <c r="GG117" s="29">
        <f>IF(COUNT(GG118:GG120)=0,"",SUM(GG118:GG120))</f>
        <v>0</v>
      </c>
      <c r="GH117" s="28">
        <f>IF(AND(ISNUMBER(GI117),ISNUMBER(GG117)),GI117-GG117,"")</f>
        <v>0</v>
      </c>
      <c r="GI117" s="29">
        <f>IF(COUNT(GI118:GI120)=0,"",SUM(GI118:GI120))</f>
        <v>0</v>
      </c>
      <c r="GJ117" s="28">
        <f>IF(AND(ISNUMBER(GK117),ISNUMBER(GI117)),GK117-GI117,"")</f>
        <v>0</v>
      </c>
      <c r="GK117" s="29">
        <f>IF(COUNT(GK118:GK120)=0,"",SUM(GK118:GK120))</f>
        <v>0</v>
      </c>
      <c r="GL117" s="28">
        <f>IF(AND(ISNUMBER(GM117),ISNUMBER(GK117)),GM117-GK117,"")</f>
        <v>0</v>
      </c>
      <c r="GM117" s="29">
        <f>IF(COUNT(GM118:GM120)=0,"",SUM(GM118:GM120))</f>
        <v>0</v>
      </c>
      <c r="GN117" s="28">
        <f>IF(AND(ISNUMBER(GO117),ISNUMBER(GM117)),GO117-GM117,"")</f>
        <v>0</v>
      </c>
      <c r="GO117" s="29">
        <f>IF(COUNT(GO118:GO120)=0,"",SUM(GO118:GO120))</f>
        <v>0</v>
      </c>
      <c r="GP117" s="28">
        <f>IF(AND(ISNUMBER(GQ117),ISNUMBER(GO117)),GQ117-GO117,"")</f>
        <v>0</v>
      </c>
      <c r="GQ117" s="29">
        <f>IF(COUNT(GQ118:GQ120)=0,"",SUM(GQ118:GQ120))</f>
        <v>0</v>
      </c>
      <c r="GR117" s="28">
        <f>IF(AND(ISNUMBER(GS117),ISNUMBER(GQ117)),GS117-GQ117,"")</f>
        <v>0</v>
      </c>
      <c r="GS117" s="29">
        <f>IF(COUNT(GS118:GS120)=0,"",SUM(GS118:GS120))</f>
        <v>0</v>
      </c>
      <c r="GT117" s="28">
        <f>IF(AND(ISNUMBER(GU117),ISNUMBER(GS117)),GU117-GS117,"")</f>
        <v>0</v>
      </c>
      <c r="GU117" s="27">
        <v>132</v>
      </c>
      <c r="GV117" s="28">
        <f>IF(AND(ISNUMBER(GW117),ISNUMBER(GU117)),GW117-GU117,"")</f>
        <v>0</v>
      </c>
      <c r="GW117" s="27">
        <v>132</v>
      </c>
      <c r="GX117" s="28">
        <f>IF(AND(ISNUMBER(GY117),ISNUMBER(GW117)),GY117-GW117,"")</f>
        <v>0</v>
      </c>
      <c r="GY117" s="29">
        <f>IF(COUNT(GY118:GY120)=0,"",SUM(GY118:GY120))</f>
        <v>0</v>
      </c>
      <c r="GZ117" s="28">
        <f>IF(AND(ISNUMBER(HA117),ISNUMBER(GY117)),HA117-GY117,"")</f>
        <v>0</v>
      </c>
      <c r="HA117" s="29">
        <f>IF(COUNT(HA118:HA120)=0,"",SUM(HA118:HA120))</f>
        <v>0</v>
      </c>
      <c r="HB117" s="28">
        <f>IF(AND(ISNUMBER(HC117),ISNUMBER(HA117)),HC117-HA117,"")</f>
        <v>0</v>
      </c>
      <c r="HC117" s="29">
        <f>IF(COUNT(HC118:HC120)=0,"",SUM(HC118:HC120))</f>
        <v>0</v>
      </c>
      <c r="HD117" s="28">
        <f>IF(AND(ISNUMBER(HE117),ISNUMBER(HC117)),HE117-HC117,"")</f>
        <v>0</v>
      </c>
      <c r="HE117" s="29">
        <f>IF(COUNT(HE118:HE120)=0,"",SUM(HE118:HE120))</f>
        <v>0</v>
      </c>
      <c r="HF117" s="28">
        <f>IF(AND(ISNUMBER(HG117),ISNUMBER(HE117)),HG117-HE117,"")</f>
        <v>0</v>
      </c>
      <c r="HG117" s="29">
        <f>IF(COUNT(HG118:HG120)=0,"",SUM(HG118:HG120))</f>
        <v>0</v>
      </c>
      <c r="HH117" s="28">
        <f>IF(AND(ISNUMBER(HI117),ISNUMBER(HG117)),HI117-HG117,"")</f>
        <v>0</v>
      </c>
      <c r="HI117" s="29">
        <f>IF(COUNT(HI118:HI120)=0,"",SUM(HI118:HI120))</f>
        <v>0</v>
      </c>
      <c r="HJ117" s="28">
        <f>IF(AND(ISNUMBER(HK117),ISNUMBER(HI117)),HK117-HI117,"")</f>
        <v>0</v>
      </c>
      <c r="HK117" s="29">
        <f>IF(COUNT(HK118:HK120)=0,"",SUM(HK118:HK120))</f>
        <v>0</v>
      </c>
      <c r="HL117" s="28">
        <f>IF(AND(ISNUMBER(HM117),ISNUMBER(HK117)),HM117-HK117,"")</f>
        <v>0</v>
      </c>
      <c r="HM117" s="29">
        <f>IF(COUNT(HM118:HM120)=0,"",SUM(HM118:HM120))</f>
        <v>0</v>
      </c>
      <c r="HN117" s="28">
        <f>IF(AND(ISNUMBER(HO117),ISNUMBER(HM117)),HO117-HM117,"")</f>
        <v>0</v>
      </c>
      <c r="HO117" s="29">
        <f>IF(COUNT(HO118:HO120)=0,"",SUM(HO118:HO120))</f>
        <v>0</v>
      </c>
      <c r="HP117" s="28">
        <f>IF(AND(ISNUMBER(HQ117),ISNUMBER(HO117)),HQ117-HO117,"")</f>
        <v>0</v>
      </c>
      <c r="HQ117" s="29">
        <f>IF(COUNT(HQ118:HQ120)=0,"",SUM(HQ118:HQ120))</f>
        <v>0</v>
      </c>
      <c r="HR117" s="28">
        <f>IF(AND(ISNUMBER(HS117),ISNUMBER(HQ117)),HS117-HQ117,"")</f>
        <v>0</v>
      </c>
      <c r="HS117" s="29">
        <f>IF(COUNT(HS118:HS120)=0,"",SUM(HS118:HS120))</f>
        <v>0</v>
      </c>
      <c r="HT117" s="28">
        <f>IF(AND(ISNUMBER(HU117),ISNUMBER(HS117)),HU117-HS117,"")</f>
        <v>0</v>
      </c>
      <c r="HU117" s="29">
        <f>IF(COUNT(HU118:HU120)=0,"",SUM(HU118:HU120))</f>
        <v>0</v>
      </c>
      <c r="HV117" s="28">
        <f>IF(AND(ISNUMBER(HW117),ISNUMBER(HU117)),HW117-HU117,"")</f>
        <v>0</v>
      </c>
      <c r="HW117" s="29">
        <f>IF(COUNT(HW118:HW120)=0,"",SUM(HW118:HW120))</f>
        <v>0</v>
      </c>
      <c r="HX117" s="28">
        <f>IF(AND(ISNUMBER(HY117),ISNUMBER(HW117)),HY117-HW117,"")</f>
        <v>0</v>
      </c>
      <c r="HY117" s="29">
        <f>IF(COUNT(HY118:HY120)=0,"",SUM(HY118:HY120))</f>
        <v>0</v>
      </c>
      <c r="HZ117" s="28">
        <f>IF(AND(ISNUMBER(IA117),ISNUMBER(HY117)),IA117-HY117,"")</f>
        <v>0</v>
      </c>
      <c r="IA117" s="29">
        <f>IF(COUNT(IA118:IA120)=0,"",SUM(IA118:IA120))</f>
        <v>0</v>
      </c>
      <c r="IB117" s="28">
        <f>IF(AND(ISNUMBER(IC117),ISNUMBER(IA117)),IC117-IA117,"")</f>
        <v>0</v>
      </c>
      <c r="IC117" s="29">
        <f>IF(COUNT(IC118:IC120)=0,"",SUM(IC118:IC120))</f>
        <v>0</v>
      </c>
      <c r="ID117" s="28">
        <f>IF(AND(ISNUMBER(IE117),ISNUMBER(IC117)),IE117-IC117,"")</f>
        <v>0</v>
      </c>
      <c r="IE117" s="29">
        <f>IF(COUNT(IE118:IE120)=0,"",SUM(IE118:IE120))</f>
        <v>0</v>
      </c>
      <c r="IF117" s="28">
        <f>IF(AND(ISNUMBER(IG117),ISNUMBER(IE117)),IG117-IE117,"")</f>
        <v>0</v>
      </c>
      <c r="IG117" s="29">
        <f>IF(COUNT(IG118:IG120)=0,"",SUM(IG118:IG120))</f>
        <v>0</v>
      </c>
      <c r="IH117" s="28">
        <f>IF(AND(ISNUMBER(II117),ISNUMBER(IG117)),II117-IG117,"")</f>
        <v>0</v>
      </c>
      <c r="II117" s="29">
        <f>IF(COUNT(II118:II120)=0,"",SUM(II118:II120))</f>
        <v>0</v>
      </c>
      <c r="IJ117" s="28">
        <f>IF(AND(ISNUMBER(IK117),ISNUMBER(II117)),IK117-II117,"")</f>
        <v>0</v>
      </c>
      <c r="IK117" s="29">
        <f>IF(COUNT(IK118:IK120)=0,"",SUM(IK118:IK120))</f>
        <v>0</v>
      </c>
      <c r="IL117" s="28">
        <f>IF(AND(ISNUMBER(IM117),ISNUMBER(IK117)),IM117-IK117,"")</f>
        <v>0</v>
      </c>
      <c r="IM117" s="29">
        <f>IF(COUNT(IM118:IM120)=0,"",SUM(IM118:IM120))</f>
        <v>0</v>
      </c>
      <c r="IN117" s="28">
        <f>IF(AND(ISNUMBER(IO117),ISNUMBER(IM117)),IO117-IM117,"")</f>
        <v>0</v>
      </c>
      <c r="IO117" s="29">
        <f>IF(COUNT(IO118:IO120)=0,"",SUM(IO118:IO120))</f>
        <v>0</v>
      </c>
      <c r="IP117" s="28">
        <f>IF(AND(ISNUMBER(IQ117),ISNUMBER(IO117)),IQ117-IO117,"")</f>
        <v>0</v>
      </c>
      <c r="IQ117" s="29">
        <f>IF(COUNT(IQ118:IQ120)=0,"",SUM(IQ118:IQ120))</f>
        <v>0</v>
      </c>
      <c r="IR117" s="28">
        <f>IF(AND(ISNUMBER(IS117),ISNUMBER(IQ117)),IS117-IQ117,"")</f>
        <v>0</v>
      </c>
      <c r="IS117" s="29">
        <f>IF(COUNT(IS118:IS120)=0,"",SUM(IS118:IS120))</f>
        <v>0</v>
      </c>
      <c r="IT117" s="28">
        <f>IF(AND(ISNUMBER(IU117),ISNUMBER(IS117)),IU117-IS117,"")</f>
        <v>0</v>
      </c>
      <c r="IU117" s="29">
        <f>IF(COUNT(IU118:IU120)=0,"",SUM(IU118:IU120))</f>
        <v>0</v>
      </c>
      <c r="IV117" s="28">
        <f>IF(AND(ISNUMBER(IW117),ISNUMBER(IU117)),IW117-IU117,"")</f>
        <v>0</v>
      </c>
      <c r="IW117" s="29">
        <f>IF(COUNT(IW118:IW120)=0,"",SUM(IW118:IW120))</f>
        <v>0</v>
      </c>
      <c r="IX117" s="28">
        <f>IF(AND(ISNUMBER(IY117),ISNUMBER(IW117)),IY117-IW117,"")</f>
        <v>0</v>
      </c>
      <c r="IY117" s="29">
        <f>IF(COUNT(IY118:IY120)=0,"",SUM(IY118:IY120))</f>
        <v>0</v>
      </c>
      <c r="IZ117" s="28">
        <f>IF(AND(ISNUMBER(JA117),ISNUMBER(IY117)),JA117-IY117,"")</f>
        <v>0</v>
      </c>
      <c r="JA117" s="29">
        <f>IF(COUNT(JA118:JA120)=0,"",SUM(JA118:JA120))</f>
        <v>0</v>
      </c>
      <c r="JB117" s="28">
        <f>IF(AND(ISNUMBER(JC117),ISNUMBER(JA117)),JC117-JA117,"")</f>
        <v>0</v>
      </c>
      <c r="JC117" s="29">
        <f>IF(COUNT(JC118:JC120)=0,"",SUM(JC118:JC120))</f>
        <v>0</v>
      </c>
      <c r="JD117" s="28">
        <f>IF(AND(ISNUMBER(JE117),ISNUMBER(JC117)),JE117-JC117,"")</f>
        <v>0</v>
      </c>
      <c r="JE117" s="29">
        <f>IF(COUNT(JE118:JE120)=0,"",SUM(JE118:JE120))</f>
        <v>0</v>
      </c>
      <c r="JF117" s="28">
        <f>IF(AND(ISNUMBER(JG117),ISNUMBER(JE117)),JG117-JE117,"")</f>
        <v>0</v>
      </c>
      <c r="JG117" s="29">
        <f>IF(COUNT(JG118:JG120)=0,"",SUM(JG118:JG120))</f>
        <v>0</v>
      </c>
      <c r="JH117" s="28">
        <f>IF(AND(ISNUMBER(JI117),ISNUMBER(JG117)),JI117-JG117,"")</f>
        <v>0</v>
      </c>
      <c r="JI117" s="29">
        <f>IF(COUNT(JI118:JI120)=0,"",SUM(JI118:JI120))</f>
        <v>0</v>
      </c>
      <c r="JJ117" s="28">
        <f>IF(AND(ISNUMBER(JK117),ISNUMBER(JI117)),JK117-JI117,"")</f>
        <v>0</v>
      </c>
      <c r="JK117" s="29">
        <f>IF(COUNT(JK118:JK120)=0,"",SUM(JK118:JK120))</f>
        <v>0</v>
      </c>
      <c r="JL117" s="28">
        <f>IF(AND(ISNUMBER(JM117),ISNUMBER(JK117)),JM117-JK117,"")</f>
        <v>0</v>
      </c>
      <c r="JM117" s="29">
        <f>IF(COUNT(JM118:JM120)=0,"",SUM(JM118:JM120))</f>
        <v>0</v>
      </c>
      <c r="JN117" s="28">
        <f>IF(AND(ISNUMBER(JO117),ISNUMBER(JM117)),JO117-JM117,"")</f>
        <v>0</v>
      </c>
      <c r="JO117" s="29">
        <f>IF(COUNT(JO118:JO120)=0,"",SUM(JO118:JO120))</f>
        <v>0</v>
      </c>
      <c r="JP117" s="28">
        <f>IF(AND(ISNUMBER(JQ117),ISNUMBER(JO117)),JQ117-JO117,"")</f>
        <v>0</v>
      </c>
      <c r="JQ117" s="29">
        <f>IF(COUNT(JQ118:JQ120)=0,"",SUM(JQ118:JQ120))</f>
        <v>0</v>
      </c>
      <c r="JR117" s="28">
        <f>IF(AND(ISNUMBER(JS117),ISNUMBER(JQ117)),JS117-JQ117,"")</f>
        <v>0</v>
      </c>
      <c r="JS117" s="29">
        <f>IF(COUNT(JS118:JS120)=0,"",SUM(JS118:JS120))</f>
        <v>0</v>
      </c>
      <c r="JT117" s="28">
        <f>IF(AND(ISNUMBER(JU117),ISNUMBER(JS117)),JU117-JS117,"")</f>
        <v>0</v>
      </c>
      <c r="JU117" s="29">
        <f>IF(COUNT(JU118:JU120)=0,"",SUM(JU118:JU120))</f>
        <v>0</v>
      </c>
      <c r="JV117" s="28">
        <f>IF(AND(ISNUMBER(JW117),ISNUMBER(JU117)),JW117-JU117,"")</f>
        <v>0</v>
      </c>
      <c r="JW117" s="29">
        <f>IF(COUNT(JW118:JW120)=0,"",SUM(JW118:JW120))</f>
        <v>0</v>
      </c>
      <c r="JX117" s="28">
        <f>IF(AND(ISNUMBER(JY117),ISNUMBER(JW117)),JY117-JW117,"")</f>
        <v>0</v>
      </c>
      <c r="JY117" s="29">
        <f>IF(COUNT(JY118:JY120)=0,"",SUM(JY118:JY120))</f>
        <v>0</v>
      </c>
      <c r="JZ117" s="28">
        <f>IF(AND(ISNUMBER(KA117),ISNUMBER(JY117)),KA117-JY117,"")</f>
        <v>0</v>
      </c>
      <c r="KA117" s="29">
        <f>IF(COUNT(KA118:KA120)=0,"",SUM(KA118:KA120))</f>
        <v>0</v>
      </c>
      <c r="KB117" s="28">
        <f>IF(AND(ISNUMBER(KC117),ISNUMBER(KA117)),KC117-KA117,"")</f>
        <v>0</v>
      </c>
      <c r="KC117" s="29">
        <f>IF(COUNT(KC118:KC120)=0,"",SUM(KC118:KC120))</f>
        <v>0</v>
      </c>
      <c r="KD117" s="28">
        <f>IF(AND(ISNUMBER(KE117),ISNUMBER(KC117)),KE117-KC117,"")</f>
        <v>0</v>
      </c>
      <c r="KE117" s="29">
        <f>IF(COUNT(KE118:KE120)=0,"",SUM(KE118:KE120))</f>
        <v>0</v>
      </c>
      <c r="KF117" s="28">
        <f>IF(AND(ISNUMBER(KG117),ISNUMBER(KE117)),KG117-KE117,"")</f>
        <v>0</v>
      </c>
      <c r="KG117" s="29">
        <f>IF(COUNT(KG118:KG120)=0,"",SUM(KG118:KG120))</f>
        <v>0</v>
      </c>
      <c r="KH117" s="28">
        <f>IF(AND(ISNUMBER(KI117),ISNUMBER(KG117)),KI117-KG117,"")</f>
        <v>0</v>
      </c>
      <c r="KI117" s="29">
        <f>IF(COUNT(KI118:KI120)=0,"",SUM(KI118:KI120))</f>
        <v>0</v>
      </c>
      <c r="KJ117" s="28">
        <f>IF(AND(ISNUMBER(KK117),ISNUMBER(KI117)),KK117-KI117,"")</f>
        <v>0</v>
      </c>
      <c r="KK117" s="29">
        <f>IF(COUNT(KK118:KK120)=0,"",SUM(KK118:KK120))</f>
        <v>0</v>
      </c>
      <c r="KL117" s="28">
        <f>IF(AND(ISNUMBER(KM117),ISNUMBER(KK117)),KM117-KK117,"")</f>
        <v>0</v>
      </c>
      <c r="KM117" s="29">
        <f>IF(COUNT(KM118:KM120)=0,"",SUM(KM118:KM120))</f>
        <v>0</v>
      </c>
      <c r="KN117" s="28">
        <f>IF(AND(ISNUMBER(KO117),ISNUMBER(KM117)),KO117-KM117,"")</f>
        <v>0</v>
      </c>
      <c r="KO117" s="29">
        <f>IF(COUNT(KO118:KO120)=0,"",SUM(KO118:KO120))</f>
        <v>0</v>
      </c>
      <c r="KP117" s="28">
        <f>IF(AND(ISNUMBER(KQ117),ISNUMBER(KO117)),KQ117-KO117,"")</f>
        <v>0</v>
      </c>
      <c r="KQ117" s="29">
        <f>IF(COUNT(KQ118:KQ120)=0,"",SUM(KQ118:KQ120))</f>
        <v>0</v>
      </c>
      <c r="KR117" s="28">
        <f>IF(AND(ISNUMBER(KS117),ISNUMBER(KQ117)),KS117-KQ117,"")</f>
        <v>0</v>
      </c>
      <c r="KS117" s="29">
        <f>IF(COUNT(KS118:KS120)=0,"",SUM(KS118:KS120))</f>
        <v>0</v>
      </c>
      <c r="KT117" s="28">
        <f>IF(AND(ISNUMBER(KU117),ISNUMBER(KS117)),KU117-KS117,"")</f>
        <v>0</v>
      </c>
      <c r="KU117" s="29">
        <f>IF(COUNT(KU118:KU120)=0,"",SUM(KU118:KU120))</f>
        <v>0</v>
      </c>
      <c r="KV117" s="28">
        <f>IF(AND(ISNUMBER(KW117),ISNUMBER(KU117)),KW117-KU117,"")</f>
        <v>0</v>
      </c>
      <c r="KW117" s="29">
        <f>IF(COUNT(KW118:KW120)=0,"",SUM(KW118:KW120))</f>
        <v>0</v>
      </c>
      <c r="KX117" s="28">
        <f>IF(AND(ISNUMBER(KY117),ISNUMBER(KW117)),KY117-KW117,"")</f>
        <v>0</v>
      </c>
      <c r="KY117" s="29">
        <f>IF(COUNT(KY118:KY120)=0,"",SUM(KY118:KY120))</f>
        <v>0</v>
      </c>
      <c r="KZ117" s="28">
        <f>IF(AND(ISNUMBER(LA117),ISNUMBER(KY117)),LA117-KY117,"")</f>
        <v>0</v>
      </c>
      <c r="LA117" s="29">
        <f>IF(COUNT(LA118:LA120)=0,"",SUM(LA118:LA120))</f>
        <v>0</v>
      </c>
      <c r="LB117" s="28">
        <f>IF(AND(ISNUMBER(LC117),ISNUMBER(LA117)),LC117-LA117,"")</f>
        <v>0</v>
      </c>
      <c r="LC117" s="29">
        <f>IF(COUNT(LC118:LC120)=0,"",SUM(LC118:LC120))</f>
        <v>0</v>
      </c>
      <c r="LD117" s="28">
        <f>IF(AND(ISNUMBER(LE117),ISNUMBER(LC117)),LE117-LC117,"")</f>
        <v>0</v>
      </c>
      <c r="LE117" s="29">
        <f>IF(COUNT(LE118:LE120)=0,"",SUM(LE118:LE120))</f>
        <v>0</v>
      </c>
      <c r="LF117" s="28">
        <f>IF(AND(ISNUMBER(LG117),ISNUMBER(LE117)),LG117-LE117,"")</f>
        <v>0</v>
      </c>
      <c r="LG117" s="29">
        <f>IF(COUNT(LG118:LG120)=0,"",SUM(LG118:LG120))</f>
        <v>0</v>
      </c>
      <c r="LH117" s="30"/>
      <c r="LI117" s="30"/>
      <c r="LJ117" s="30"/>
    </row>
    <row r="118" spans="1:322">
      <c r="A118" s="36" t="s">
        <v>117</v>
      </c>
      <c r="B118" s="23"/>
      <c r="C118" s="31" t="s">
        <v>884</v>
      </c>
      <c r="E118" s="32" t="s">
        <v>1139</v>
      </c>
      <c r="H118" s="38" t="s">
        <v>1105</v>
      </c>
      <c r="I118" s="33"/>
      <c r="J118" s="34">
        <f>IF(AND(ISNUMBER(K118),ISNUMBER(I118)),K118-I118,"")</f>
        <v>0</v>
      </c>
      <c r="K118" s="33"/>
      <c r="L118" s="34">
        <f>IF(AND(ISNUMBER(M118),ISNUMBER(K118)),M118-K118,"")</f>
        <v>0</v>
      </c>
      <c r="M118" s="33"/>
      <c r="N118" s="34">
        <f>IF(AND(ISNUMBER(O118),ISNUMBER(M118)),O118-M118,"")</f>
        <v>0</v>
      </c>
      <c r="O118" s="33"/>
      <c r="P118" s="34">
        <f>IF(AND(ISNUMBER(Q118),ISNUMBER(O118)),Q118-O118,"")</f>
        <v>0</v>
      </c>
      <c r="Q118" s="33"/>
      <c r="R118" s="34">
        <f>IF(AND(ISNUMBER(S118),ISNUMBER(Q118)),S118-Q118,"")</f>
        <v>0</v>
      </c>
      <c r="S118" s="33"/>
      <c r="T118" s="34">
        <f>IF(AND(ISNUMBER(U118),ISNUMBER(S118)),U118-S118,"")</f>
        <v>0</v>
      </c>
      <c r="U118" s="33"/>
      <c r="V118" s="34">
        <f>IF(AND(ISNUMBER(W118),ISNUMBER(U118)),W118-U118,"")</f>
        <v>0</v>
      </c>
      <c r="W118" s="33"/>
      <c r="X118" s="34">
        <f>IF(AND(ISNUMBER(Y118),ISNUMBER(W118)),Y118-W118,"")</f>
        <v>0</v>
      </c>
      <c r="Y118" s="33"/>
      <c r="Z118" s="34">
        <f>IF(AND(ISNUMBER(AA118),ISNUMBER(Y118)),AA118-Y118,"")</f>
        <v>0</v>
      </c>
      <c r="AA118" s="33"/>
      <c r="AB118" s="34">
        <f>IF(AND(ISNUMBER(AC118),ISNUMBER(AA118)),AC118-AA118,"")</f>
        <v>0</v>
      </c>
      <c r="AC118" s="33"/>
      <c r="AD118" s="34">
        <f>IF(AND(ISNUMBER(AE118),ISNUMBER(AC118)),AE118-AC118,"")</f>
        <v>0</v>
      </c>
      <c r="AE118" s="33"/>
      <c r="AF118" s="34">
        <f>IF(AND(ISNUMBER(AG118),ISNUMBER(AE118)),AG118-AE118,"")</f>
        <v>0</v>
      </c>
      <c r="AG118" s="33"/>
      <c r="AH118" s="34">
        <f>IF(AND(ISNUMBER(AI118),ISNUMBER(AG118)),AI118-AG118,"")</f>
        <v>0</v>
      </c>
      <c r="AI118" s="33"/>
      <c r="AJ118" s="34">
        <f>IF(AND(ISNUMBER(AK118),ISNUMBER(AI118)),AK118-AI118,"")</f>
        <v>0</v>
      </c>
      <c r="AK118" s="33"/>
      <c r="AL118" s="34">
        <f>IF(AND(ISNUMBER(AM118),ISNUMBER(AK118)),AM118-AK118,"")</f>
        <v>0</v>
      </c>
      <c r="AM118" s="33"/>
      <c r="AN118" s="34">
        <f>IF(AND(ISNUMBER(AO118),ISNUMBER(AM118)),AO118-AM118,"")</f>
        <v>0</v>
      </c>
      <c r="AO118" s="33"/>
      <c r="AP118" s="34">
        <f>IF(AND(ISNUMBER(AQ118),ISNUMBER(AO118)),AQ118-AO118,"")</f>
        <v>0</v>
      </c>
      <c r="AQ118" s="33"/>
      <c r="AR118" s="34">
        <f>IF(AND(ISNUMBER(AS118),ISNUMBER(AQ118)),AS118-AQ118,"")</f>
        <v>0</v>
      </c>
      <c r="AS118" s="33"/>
      <c r="AT118" s="34">
        <f>IF(AND(ISNUMBER(AU118),ISNUMBER(AS118)),AU118-AS118,"")</f>
        <v>0</v>
      </c>
      <c r="AU118" s="33"/>
      <c r="AV118" s="34">
        <f>IF(AND(ISNUMBER(AW118),ISNUMBER(AU118)),AW118-AU118,"")</f>
        <v>0</v>
      </c>
      <c r="AW118" s="33"/>
      <c r="AX118" s="34">
        <f>IF(AND(ISNUMBER(AY118),ISNUMBER(AW118)),AY118-AW118,"")</f>
        <v>0</v>
      </c>
      <c r="AY118" s="33"/>
      <c r="AZ118" s="34">
        <f>IF(AND(ISNUMBER(BA118),ISNUMBER(AY118)),BA118-AY118,"")</f>
        <v>0</v>
      </c>
      <c r="BA118" s="33"/>
      <c r="BB118" s="34">
        <f>IF(AND(ISNUMBER(BC118),ISNUMBER(BA118)),BC118-BA118,"")</f>
        <v>0</v>
      </c>
      <c r="BC118" s="33"/>
      <c r="BD118" s="34">
        <f>IF(AND(ISNUMBER(BE118),ISNUMBER(BC118)),BE118-BC118,"")</f>
        <v>0</v>
      </c>
      <c r="BE118" s="33"/>
      <c r="BF118" s="34">
        <f>IF(AND(ISNUMBER(BG118),ISNUMBER(BE118)),BG118-BE118,"")</f>
        <v>0</v>
      </c>
      <c r="BG118" s="33"/>
      <c r="BH118" s="34">
        <f>IF(AND(ISNUMBER(BI118),ISNUMBER(BG118)),BI118-BG118,"")</f>
        <v>0</v>
      </c>
      <c r="BI118" s="33"/>
      <c r="BJ118" s="34">
        <f>IF(AND(ISNUMBER(BK118),ISNUMBER(BI118)),BK118-BI118,"")</f>
        <v>0</v>
      </c>
      <c r="BK118" s="33"/>
      <c r="BL118" s="34">
        <f>IF(AND(ISNUMBER(BM118),ISNUMBER(BK118)),BM118-BK118,"")</f>
        <v>0</v>
      </c>
      <c r="BM118" s="33"/>
      <c r="BN118" s="34">
        <f>IF(AND(ISNUMBER(BO118),ISNUMBER(BM118)),BO118-BM118,"")</f>
        <v>0</v>
      </c>
      <c r="BO118" s="33"/>
      <c r="BP118" s="34">
        <f>IF(AND(ISNUMBER(BQ118),ISNUMBER(BO118)),BQ118-BO118,"")</f>
        <v>0</v>
      </c>
      <c r="BQ118" s="33"/>
      <c r="BR118" s="34">
        <f>IF(AND(ISNUMBER(BS118),ISNUMBER(BQ118)),BS118-BQ118,"")</f>
        <v>0</v>
      </c>
      <c r="BS118" s="33"/>
      <c r="BT118" s="34">
        <f>IF(AND(ISNUMBER(BU118),ISNUMBER(BS118)),BU118-BS118,"")</f>
        <v>0</v>
      </c>
      <c r="BU118" s="33"/>
      <c r="BV118" s="34">
        <f>IF(AND(ISNUMBER(BW118),ISNUMBER(BU118)),BW118-BU118,"")</f>
        <v>0</v>
      </c>
      <c r="BW118" s="33"/>
      <c r="BX118" s="34">
        <f>IF(AND(ISNUMBER(BY118),ISNUMBER(BW118)),BY118-BW118,"")</f>
        <v>0</v>
      </c>
      <c r="BY118" s="33"/>
      <c r="BZ118" s="34">
        <f>IF(AND(ISNUMBER(CA118),ISNUMBER(BY118)),CA118-BY118,"")</f>
        <v>0</v>
      </c>
      <c r="CA118" s="33"/>
      <c r="CB118" s="34">
        <f>IF(AND(ISNUMBER(CC118),ISNUMBER(CA118)),CC118-CA118,"")</f>
        <v>0</v>
      </c>
      <c r="CC118" s="33"/>
      <c r="CD118" s="34">
        <f>IF(AND(ISNUMBER(CE118),ISNUMBER(CC118)),CE118-CC118,"")</f>
        <v>0</v>
      </c>
      <c r="CE118" s="33"/>
      <c r="CF118" s="34">
        <f>IF(AND(ISNUMBER(CG118),ISNUMBER(CE118)),CG118-CE118,"")</f>
        <v>0</v>
      </c>
      <c r="CG118" s="33">
        <v>61</v>
      </c>
      <c r="CH118" s="34">
        <f>IF(AND(ISNUMBER(CI118),ISNUMBER(CG118)),CI118-CG118,"")</f>
        <v>0</v>
      </c>
      <c r="CI118" s="33">
        <v>46</v>
      </c>
      <c r="CJ118" s="34">
        <f>IF(AND(ISNUMBER(CK118),ISNUMBER(CI118)),CK118-CI118,"")</f>
        <v>0</v>
      </c>
      <c r="CK118" s="33">
        <v>44</v>
      </c>
      <c r="CL118" s="34">
        <f>IF(AND(ISNUMBER(CM118),ISNUMBER(CK118)),CM118-CK118,"")</f>
        <v>0</v>
      </c>
      <c r="CM118" s="33">
        <v>43</v>
      </c>
      <c r="CN118" s="34">
        <f>IF(AND(ISNUMBER(CO118),ISNUMBER(CM118)),CO118-CM118,"")</f>
        <v>0</v>
      </c>
      <c r="CO118" s="33">
        <v>46</v>
      </c>
      <c r="CP118" s="34">
        <f>IF(AND(ISNUMBER(CQ118),ISNUMBER(CO118)),CQ118-CO118,"")</f>
        <v>0</v>
      </c>
      <c r="CQ118" s="33">
        <v>44</v>
      </c>
      <c r="CR118" s="34">
        <f>IF(AND(ISNUMBER(CS118),ISNUMBER(CQ118)),CS118-CQ118,"")</f>
        <v>0</v>
      </c>
      <c r="CS118" s="33">
        <v>43</v>
      </c>
      <c r="CT118" s="34">
        <f>IF(AND(ISNUMBER(CU118),ISNUMBER(CS118)),CU118-CS118,"")</f>
        <v>0</v>
      </c>
      <c r="CU118" s="33">
        <v>45</v>
      </c>
      <c r="CV118" s="34">
        <f>IF(AND(ISNUMBER(CW118),ISNUMBER(CU118)),CW118-CU118,"")</f>
        <v>0</v>
      </c>
      <c r="CW118" s="33">
        <v>43</v>
      </c>
      <c r="CX118" s="34">
        <f>IF(AND(ISNUMBER(CY118),ISNUMBER(CW118)),CY118-CW118,"")</f>
        <v>0</v>
      </c>
      <c r="CY118" s="33">
        <v>50</v>
      </c>
      <c r="CZ118" s="34">
        <f>IF(AND(ISNUMBER(DA118),ISNUMBER(CY118)),DA118-CY118,"")</f>
        <v>0</v>
      </c>
      <c r="DA118" s="33">
        <v>72</v>
      </c>
      <c r="DB118" s="34">
        <f>IF(AND(ISNUMBER(DC118),ISNUMBER(DA118)),DC118-DA118,"")</f>
        <v>0</v>
      </c>
      <c r="DC118" s="33">
        <v>78</v>
      </c>
      <c r="DD118" s="34">
        <f>IF(AND(ISNUMBER(DE118),ISNUMBER(DC118)),DE118-DC118,"")</f>
        <v>0</v>
      </c>
      <c r="DE118" s="33">
        <v>78</v>
      </c>
      <c r="DF118" s="34">
        <f>IF(AND(ISNUMBER(DG118),ISNUMBER(DE118)),DG118-DE118,"")</f>
        <v>0</v>
      </c>
      <c r="DG118" s="33">
        <v>71</v>
      </c>
      <c r="DH118" s="34">
        <f>IF(AND(ISNUMBER(DI118),ISNUMBER(DG118)),DI118-DG118,"")</f>
        <v>0</v>
      </c>
      <c r="DI118" s="33">
        <v>82</v>
      </c>
      <c r="DJ118" s="34">
        <f>IF(AND(ISNUMBER(DK118),ISNUMBER(DI118)),DK118-DI118,"")</f>
        <v>0</v>
      </c>
      <c r="DK118" s="33">
        <v>76</v>
      </c>
      <c r="DL118" s="34">
        <f>IF(AND(ISNUMBER(DM118),ISNUMBER(DK118)),DM118-DK118,"")</f>
        <v>0</v>
      </c>
      <c r="DM118" s="33">
        <v>67</v>
      </c>
      <c r="DN118" s="34">
        <f>IF(AND(ISNUMBER(DO118),ISNUMBER(DM118)),DO118-DM118,"")</f>
        <v>0</v>
      </c>
      <c r="DO118" s="33">
        <v>63</v>
      </c>
      <c r="DP118" s="34">
        <f>IF(AND(ISNUMBER(DQ118),ISNUMBER(DO118)),DQ118-DO118,"")</f>
        <v>0</v>
      </c>
      <c r="DQ118" s="33">
        <v>70</v>
      </c>
      <c r="DR118" s="34">
        <f>IF(AND(ISNUMBER(DS118),ISNUMBER(DQ118)),DS118-DQ118,"")</f>
        <v>0</v>
      </c>
      <c r="DS118" s="33">
        <v>93</v>
      </c>
      <c r="DT118" s="34">
        <f>IF(AND(ISNUMBER(DU118),ISNUMBER(DS118)),DU118-DS118,"")</f>
        <v>0</v>
      </c>
      <c r="DU118" s="33">
        <v>90</v>
      </c>
      <c r="DV118" s="34">
        <f>IF(AND(ISNUMBER(DW118),ISNUMBER(DU118)),DW118-DU118,"")</f>
        <v>0</v>
      </c>
      <c r="DW118" s="33">
        <v>58</v>
      </c>
      <c r="DX118" s="34">
        <f>IF(AND(ISNUMBER(DY118),ISNUMBER(DW118)),DY118-DW118,"")</f>
        <v>0</v>
      </c>
      <c r="DY118" s="33">
        <v>50</v>
      </c>
      <c r="DZ118" s="34">
        <f>IF(AND(ISNUMBER(EA118),ISNUMBER(DY118)),EA118-DY118,"")</f>
        <v>0</v>
      </c>
      <c r="EA118" s="33">
        <v>47</v>
      </c>
      <c r="EB118" s="34">
        <f>IF(AND(ISNUMBER(EC118),ISNUMBER(EA118)),EC118-EA118,"")</f>
        <v>0</v>
      </c>
      <c r="EC118" s="33">
        <v>35</v>
      </c>
      <c r="ED118" s="34">
        <f>IF(AND(ISNUMBER(EE118),ISNUMBER(EC118)),EE118-EC118,"")</f>
        <v>0</v>
      </c>
      <c r="EE118" s="33">
        <v>32</v>
      </c>
      <c r="EF118" s="34">
        <f>IF(AND(ISNUMBER(EG118),ISNUMBER(EE118)),EG118-EE118,"")</f>
        <v>0</v>
      </c>
      <c r="EG118" s="33">
        <v>32</v>
      </c>
      <c r="EH118" s="34">
        <f>IF(AND(ISNUMBER(EI118),ISNUMBER(EG118)),EI118-EG118,"")</f>
        <v>0</v>
      </c>
      <c r="EI118" s="33">
        <v>34</v>
      </c>
      <c r="EJ118" s="34">
        <f>IF(AND(ISNUMBER(EK118),ISNUMBER(EI118)),EK118-EI118,"")</f>
        <v>0</v>
      </c>
      <c r="EK118" s="33">
        <v>32</v>
      </c>
      <c r="EL118" s="34">
        <f>IF(AND(ISNUMBER(EM118),ISNUMBER(EK118)),EM118-EK118,"")</f>
        <v>0</v>
      </c>
      <c r="EM118" s="33">
        <v>34</v>
      </c>
      <c r="EN118" s="34">
        <f>IF(AND(ISNUMBER(EO118),ISNUMBER(EM118)),EO118-EM118,"")</f>
        <v>0</v>
      </c>
      <c r="EO118" s="33">
        <v>33</v>
      </c>
      <c r="EP118" s="34">
        <f>IF(AND(ISNUMBER(EQ118),ISNUMBER(EO118)),EQ118-EO118,"")</f>
        <v>0</v>
      </c>
      <c r="EQ118" s="33">
        <v>32</v>
      </c>
      <c r="ER118" s="34">
        <f>IF(AND(ISNUMBER(ES118),ISNUMBER(EQ118)),ES118-EQ118,"")</f>
        <v>0</v>
      </c>
      <c r="ES118" s="33">
        <v>34</v>
      </c>
      <c r="ET118" s="34">
        <f>IF(AND(ISNUMBER(EU118),ISNUMBER(ES118)),EU118-ES118,"")</f>
        <v>0</v>
      </c>
      <c r="EU118" s="33">
        <v>31</v>
      </c>
      <c r="EV118" s="34">
        <f>IF(AND(ISNUMBER(EW118),ISNUMBER(EU118)),EW118-EU118,"")</f>
        <v>0</v>
      </c>
      <c r="EW118" s="33">
        <v>29</v>
      </c>
      <c r="EX118" s="34">
        <f>IF(AND(ISNUMBER(EY118),ISNUMBER(EW118)),EY118-EW118,"")</f>
        <v>0</v>
      </c>
      <c r="EY118" s="33">
        <v>26</v>
      </c>
      <c r="EZ118" s="34">
        <f>IF(AND(ISNUMBER(FA118),ISNUMBER(EY118)),FA118-EY118,"")</f>
        <v>0</v>
      </c>
      <c r="FA118" s="33">
        <v>23</v>
      </c>
      <c r="FB118" s="34">
        <f>IF(AND(ISNUMBER(FC118),ISNUMBER(FA118)),FC118-FA118,"")</f>
        <v>0</v>
      </c>
      <c r="FC118" s="33">
        <v>21</v>
      </c>
      <c r="FD118" s="34">
        <f>IF(AND(ISNUMBER(FE118),ISNUMBER(FC118)),FE118-FC118,"")</f>
        <v>0</v>
      </c>
      <c r="FE118" s="33">
        <v>21</v>
      </c>
      <c r="FF118" s="34">
        <f>IF(AND(ISNUMBER(FG118),ISNUMBER(FE118)),FG118-FE118,"")</f>
        <v>0</v>
      </c>
      <c r="FG118" s="33">
        <v>19</v>
      </c>
      <c r="FH118" s="34">
        <f>IF(AND(ISNUMBER(FI118),ISNUMBER(FG118)),FI118-FG118,"")</f>
        <v>0</v>
      </c>
      <c r="FI118" s="33">
        <v>17</v>
      </c>
      <c r="FJ118" s="34">
        <f>IF(AND(ISNUMBER(FK118),ISNUMBER(FI118)),FK118-FI118,"")</f>
        <v>0</v>
      </c>
      <c r="FK118" s="33">
        <v>15</v>
      </c>
      <c r="FL118" s="34">
        <f>IF(AND(ISNUMBER(FM118),ISNUMBER(FK118)),FM118-FK118,"")</f>
        <v>0</v>
      </c>
      <c r="FM118" s="33">
        <v>12</v>
      </c>
      <c r="FN118" s="34">
        <f>IF(AND(ISNUMBER(FO118),ISNUMBER(FM118)),FO118-FM118,"")</f>
        <v>0</v>
      </c>
      <c r="FO118" s="33">
        <v>12</v>
      </c>
      <c r="FP118" s="34">
        <f>IF(AND(ISNUMBER(FQ118),ISNUMBER(FO118)),FQ118-FO118,"")</f>
        <v>0</v>
      </c>
      <c r="FQ118" s="33">
        <v>10</v>
      </c>
      <c r="FR118" s="34">
        <f>IF(AND(ISNUMBER(FS118),ISNUMBER(FQ118)),FS118-FQ118,"")</f>
        <v>0</v>
      </c>
      <c r="FS118" s="33">
        <v>9</v>
      </c>
      <c r="FT118" s="34">
        <f>IF(AND(ISNUMBER(FU118),ISNUMBER(FS118)),FU118-FS118,"")</f>
        <v>0</v>
      </c>
      <c r="FU118" s="33">
        <v>9</v>
      </c>
      <c r="FV118" s="34">
        <f>IF(AND(ISNUMBER(FW118),ISNUMBER(FU118)),FW118-FU118,"")</f>
        <v>0</v>
      </c>
      <c r="FW118" s="33">
        <v>9</v>
      </c>
      <c r="FX118" s="34">
        <f>IF(AND(ISNUMBER(FY118),ISNUMBER(FW118)),FY118-FW118,"")</f>
        <v>0</v>
      </c>
      <c r="FY118" s="33">
        <v>9</v>
      </c>
      <c r="FZ118" s="34">
        <f>IF(AND(ISNUMBER(GA118),ISNUMBER(FY118)),GA118-FY118,"")</f>
        <v>0</v>
      </c>
      <c r="GA118" s="33">
        <v>9</v>
      </c>
      <c r="GB118" s="34">
        <f>IF(AND(ISNUMBER(GC118),ISNUMBER(GA118)),GC118-GA118,"")</f>
        <v>0</v>
      </c>
      <c r="GC118" s="33">
        <v>7</v>
      </c>
      <c r="GD118" s="34">
        <f>IF(AND(ISNUMBER(GE118),ISNUMBER(GC118)),GE118-GC118,"")</f>
        <v>0</v>
      </c>
      <c r="GE118" s="33">
        <v>5</v>
      </c>
      <c r="GF118" s="34">
        <f>IF(AND(ISNUMBER(GG118),ISNUMBER(GE118)),GG118-GE118,"")</f>
        <v>0</v>
      </c>
      <c r="GG118" s="33">
        <v>4</v>
      </c>
      <c r="GH118" s="34">
        <f>IF(AND(ISNUMBER(GI118),ISNUMBER(GG118)),GI118-GG118,"")</f>
        <v>0</v>
      </c>
      <c r="GI118" s="33">
        <v>3</v>
      </c>
      <c r="GJ118" s="34">
        <f>IF(AND(ISNUMBER(GK118),ISNUMBER(GI118)),GK118-GI118,"")</f>
        <v>0</v>
      </c>
      <c r="GK118" s="33">
        <v>3</v>
      </c>
      <c r="GL118" s="34">
        <f>IF(AND(ISNUMBER(GM118),ISNUMBER(GK118)),GM118-GK118,"")</f>
        <v>0</v>
      </c>
      <c r="GM118" s="33">
        <v>3</v>
      </c>
      <c r="GN118" s="34">
        <f>IF(AND(ISNUMBER(GO118),ISNUMBER(GM118)),GO118-GM118,"")</f>
        <v>0</v>
      </c>
      <c r="GO118" s="33">
        <v>1</v>
      </c>
      <c r="GP118" s="34">
        <f>IF(AND(ISNUMBER(GQ118),ISNUMBER(GO118)),GQ118-GO118,"")</f>
        <v>0</v>
      </c>
      <c r="GQ118" s="33">
        <v>0</v>
      </c>
      <c r="GR118" s="34">
        <f>IF(AND(ISNUMBER(GS118),ISNUMBER(GQ118)),GS118-GQ118,"")</f>
        <v>0</v>
      </c>
      <c r="GS118" s="33">
        <v>0</v>
      </c>
      <c r="GT118" s="34">
        <f>IF(AND(ISNUMBER(GU118),ISNUMBER(GS118)),GU118-GS118,"")</f>
        <v>0</v>
      </c>
      <c r="GU118" s="33">
        <v>0</v>
      </c>
      <c r="GV118" s="34">
        <f>IF(AND(ISNUMBER(GW118),ISNUMBER(GU118)),GW118-GU118,"")</f>
        <v>0</v>
      </c>
      <c r="GW118" s="33">
        <v>0</v>
      </c>
      <c r="GX118" s="34">
        <f>IF(AND(ISNUMBER(GY118),ISNUMBER(GW118)),GY118-GW118,"")</f>
        <v>0</v>
      </c>
      <c r="GY118" s="33">
        <v>0</v>
      </c>
      <c r="GZ118" s="34">
        <f>IF(AND(ISNUMBER(HA118),ISNUMBER(GY118)),HA118-GY118,"")</f>
        <v>0</v>
      </c>
      <c r="HA118" s="33">
        <v>0</v>
      </c>
      <c r="HB118" s="34">
        <f>IF(AND(ISNUMBER(HC118),ISNUMBER(HA118)),HC118-HA118,"")</f>
        <v>0</v>
      </c>
      <c r="HC118" s="33">
        <v>0</v>
      </c>
      <c r="HD118" s="34">
        <f>IF(AND(ISNUMBER(HE118),ISNUMBER(HC118)),HE118-HC118,"")</f>
        <v>0</v>
      </c>
      <c r="HE118" s="33">
        <v>0</v>
      </c>
      <c r="HF118" s="34">
        <f>IF(AND(ISNUMBER(HG118),ISNUMBER(HE118)),HG118-HE118,"")</f>
        <v>0</v>
      </c>
      <c r="HG118" s="33">
        <v>0</v>
      </c>
      <c r="HH118" s="34">
        <f>IF(AND(ISNUMBER(HI118),ISNUMBER(HG118)),HI118-HG118,"")</f>
        <v>0</v>
      </c>
      <c r="HI118" s="33">
        <v>0</v>
      </c>
      <c r="HJ118" s="34">
        <f>IF(AND(ISNUMBER(HK118),ISNUMBER(HI118)),HK118-HI118,"")</f>
        <v>0</v>
      </c>
      <c r="HK118" s="33">
        <v>0</v>
      </c>
      <c r="HL118" s="34">
        <f>IF(AND(ISNUMBER(HM118),ISNUMBER(HK118)),HM118-HK118,"")</f>
        <v>0</v>
      </c>
      <c r="HM118" s="33">
        <v>0</v>
      </c>
      <c r="HN118" s="34">
        <f>IF(AND(ISNUMBER(HO118),ISNUMBER(HM118)),HO118-HM118,"")</f>
        <v>0</v>
      </c>
      <c r="HO118" s="33">
        <v>0</v>
      </c>
      <c r="HP118" s="34">
        <f>IF(AND(ISNUMBER(HQ118),ISNUMBER(HO118)),HQ118-HO118,"")</f>
        <v>0</v>
      </c>
      <c r="HQ118" s="33">
        <v>0</v>
      </c>
      <c r="HR118" s="34">
        <f>IF(AND(ISNUMBER(HS118),ISNUMBER(HQ118)),HS118-HQ118,"")</f>
        <v>0</v>
      </c>
      <c r="HS118" s="33">
        <v>0</v>
      </c>
      <c r="HT118" s="34">
        <f>IF(AND(ISNUMBER(HU118),ISNUMBER(HS118)),HU118-HS118,"")</f>
        <v>0</v>
      </c>
      <c r="HU118" s="33">
        <v>0</v>
      </c>
      <c r="HV118" s="34">
        <f>IF(AND(ISNUMBER(HW118),ISNUMBER(HU118)),HW118-HU118,"")</f>
        <v>0</v>
      </c>
      <c r="HW118" s="33">
        <v>0</v>
      </c>
      <c r="HX118" s="34">
        <f>IF(AND(ISNUMBER(HY118),ISNUMBER(HW118)),HY118-HW118,"")</f>
        <v>0</v>
      </c>
      <c r="HY118" s="33">
        <v>0</v>
      </c>
      <c r="HZ118" s="34">
        <f>IF(AND(ISNUMBER(IA118),ISNUMBER(HY118)),IA118-HY118,"")</f>
        <v>0</v>
      </c>
      <c r="IA118" s="33">
        <v>0</v>
      </c>
      <c r="IB118" s="34">
        <f>IF(AND(ISNUMBER(IC118),ISNUMBER(IA118)),IC118-IA118,"")</f>
        <v>0</v>
      </c>
      <c r="IC118" s="33">
        <v>0</v>
      </c>
      <c r="ID118" s="34">
        <f>IF(AND(ISNUMBER(IE118),ISNUMBER(IC118)),IE118-IC118,"")</f>
        <v>0</v>
      </c>
      <c r="IE118" s="33">
        <v>0</v>
      </c>
      <c r="IF118" s="34">
        <f>IF(AND(ISNUMBER(IG118),ISNUMBER(IE118)),IG118-IE118,"")</f>
        <v>0</v>
      </c>
      <c r="IG118" s="33">
        <v>0</v>
      </c>
      <c r="IH118" s="34">
        <f>IF(AND(ISNUMBER(II118),ISNUMBER(IG118)),II118-IG118,"")</f>
        <v>0</v>
      </c>
      <c r="II118" s="33">
        <v>0</v>
      </c>
      <c r="IJ118" s="34">
        <f>IF(AND(ISNUMBER(IK118),ISNUMBER(II118)),IK118-II118,"")</f>
        <v>0</v>
      </c>
      <c r="IK118" s="33">
        <v>0</v>
      </c>
      <c r="IL118" s="34">
        <f>IF(AND(ISNUMBER(IM118),ISNUMBER(IK118)),IM118-IK118,"")</f>
        <v>0</v>
      </c>
      <c r="IM118" s="33">
        <v>0</v>
      </c>
      <c r="IN118" s="34">
        <f>IF(AND(ISNUMBER(IO118),ISNUMBER(IM118)),IO118-IM118,"")</f>
        <v>0</v>
      </c>
      <c r="IO118" s="33">
        <v>0</v>
      </c>
      <c r="IP118" s="34">
        <f>IF(AND(ISNUMBER(IQ118),ISNUMBER(IO118)),IQ118-IO118,"")</f>
        <v>0</v>
      </c>
      <c r="IQ118" s="33">
        <v>0</v>
      </c>
      <c r="IR118" s="34">
        <f>IF(AND(ISNUMBER(IS118),ISNUMBER(IQ118)),IS118-IQ118,"")</f>
        <v>0</v>
      </c>
      <c r="IS118" s="33">
        <v>0</v>
      </c>
      <c r="IT118" s="34">
        <f>IF(AND(ISNUMBER(IU118),ISNUMBER(IS118)),IU118-IS118,"")</f>
        <v>0</v>
      </c>
      <c r="IU118" s="33">
        <v>0</v>
      </c>
      <c r="IV118" s="34">
        <f>IF(AND(ISNUMBER(IW118),ISNUMBER(IU118)),IW118-IU118,"")</f>
        <v>0</v>
      </c>
      <c r="IW118" s="33">
        <v>0</v>
      </c>
      <c r="IX118" s="34">
        <f>IF(AND(ISNUMBER(IY118),ISNUMBER(IW118)),IY118-IW118,"")</f>
        <v>0</v>
      </c>
      <c r="IY118" s="33">
        <v>0</v>
      </c>
      <c r="IZ118" s="34">
        <f>IF(AND(ISNUMBER(JA118),ISNUMBER(IY118)),JA118-IY118,"")</f>
        <v>0</v>
      </c>
      <c r="JA118" s="33">
        <v>0</v>
      </c>
      <c r="JB118" s="34">
        <f>IF(AND(ISNUMBER(JC118),ISNUMBER(JA118)),JC118-JA118,"")</f>
        <v>0</v>
      </c>
      <c r="JC118" s="33">
        <v>0</v>
      </c>
      <c r="JD118" s="34">
        <f>IF(AND(ISNUMBER(JE118),ISNUMBER(JC118)),JE118-JC118,"")</f>
        <v>0</v>
      </c>
      <c r="JE118" s="33">
        <v>0</v>
      </c>
      <c r="JF118" s="34">
        <f>IF(AND(ISNUMBER(JG118),ISNUMBER(JE118)),JG118-JE118,"")</f>
        <v>0</v>
      </c>
      <c r="JG118" s="33">
        <v>0</v>
      </c>
      <c r="JH118" s="34">
        <f>IF(AND(ISNUMBER(JI118),ISNUMBER(JG118)),JI118-JG118,"")</f>
        <v>0</v>
      </c>
      <c r="JI118" s="33">
        <v>0</v>
      </c>
      <c r="JJ118" s="34">
        <f>IF(AND(ISNUMBER(JK118),ISNUMBER(JI118)),JK118-JI118,"")</f>
        <v>0</v>
      </c>
      <c r="JK118" s="33">
        <v>0</v>
      </c>
      <c r="JL118" s="34">
        <f>IF(AND(ISNUMBER(JM118),ISNUMBER(JK118)),JM118-JK118,"")</f>
        <v>0</v>
      </c>
      <c r="JM118" s="33">
        <v>0</v>
      </c>
      <c r="JN118" s="34">
        <f>IF(AND(ISNUMBER(JO118),ISNUMBER(JM118)),JO118-JM118,"")</f>
        <v>0</v>
      </c>
      <c r="JO118" s="33">
        <v>0</v>
      </c>
      <c r="JP118" s="34">
        <f>IF(AND(ISNUMBER(JQ118),ISNUMBER(JO118)),JQ118-JO118,"")</f>
        <v>0</v>
      </c>
      <c r="JQ118" s="33">
        <v>0</v>
      </c>
      <c r="JR118" s="34">
        <f>IF(AND(ISNUMBER(JS118),ISNUMBER(JQ118)),JS118-JQ118,"")</f>
        <v>0</v>
      </c>
      <c r="JS118" s="33">
        <v>0</v>
      </c>
      <c r="JT118" s="34">
        <f>IF(AND(ISNUMBER(JU118),ISNUMBER(JS118)),JU118-JS118,"")</f>
        <v>0</v>
      </c>
      <c r="JU118" s="33">
        <v>0</v>
      </c>
      <c r="JV118" s="34">
        <f>IF(AND(ISNUMBER(JW118),ISNUMBER(JU118)),JW118-JU118,"")</f>
        <v>0</v>
      </c>
      <c r="JW118" s="33">
        <v>0</v>
      </c>
      <c r="JX118" s="34">
        <f>IF(AND(ISNUMBER(JY118),ISNUMBER(JW118)),JY118-JW118,"")</f>
        <v>0</v>
      </c>
      <c r="JY118" s="33">
        <v>0</v>
      </c>
      <c r="JZ118" s="34">
        <f>IF(AND(ISNUMBER(KA118),ISNUMBER(JY118)),KA118-JY118,"")</f>
        <v>0</v>
      </c>
      <c r="KA118" s="33"/>
      <c r="KB118" s="34">
        <f>IF(AND(ISNUMBER(KC118),ISNUMBER(KA118)),KC118-KA118,"")</f>
        <v>0</v>
      </c>
      <c r="KC118" s="33"/>
      <c r="KD118" s="34">
        <f>IF(AND(ISNUMBER(KE118),ISNUMBER(KC118)),KE118-KC118,"")</f>
        <v>0</v>
      </c>
      <c r="KE118" s="33"/>
      <c r="KF118" s="34">
        <f>IF(AND(ISNUMBER(KG118),ISNUMBER(KE118)),KG118-KE118,"")</f>
        <v>0</v>
      </c>
      <c r="KG118" s="33"/>
      <c r="KH118" s="34">
        <f>IF(AND(ISNUMBER(KI118),ISNUMBER(KG118)),KI118-KG118,"")</f>
        <v>0</v>
      </c>
      <c r="KI118" s="33"/>
      <c r="KJ118" s="34">
        <f>IF(AND(ISNUMBER(KK118),ISNUMBER(KI118)),KK118-KI118,"")</f>
        <v>0</v>
      </c>
      <c r="KK118" s="33"/>
      <c r="KL118" s="34">
        <f>IF(AND(ISNUMBER(KM118),ISNUMBER(KK118)),KM118-KK118,"")</f>
        <v>0</v>
      </c>
      <c r="KM118" s="33"/>
      <c r="KN118" s="34">
        <f>IF(AND(ISNUMBER(KO118),ISNUMBER(KM118)),KO118-KM118,"")</f>
        <v>0</v>
      </c>
      <c r="KO118" s="33"/>
      <c r="KP118" s="34">
        <f>IF(AND(ISNUMBER(KQ118),ISNUMBER(KO118)),KQ118-KO118,"")</f>
        <v>0</v>
      </c>
      <c r="KQ118" s="33"/>
      <c r="KR118" s="34">
        <f>IF(AND(ISNUMBER(KS118),ISNUMBER(KQ118)),KS118-KQ118,"")</f>
        <v>0</v>
      </c>
      <c r="KS118" s="33"/>
      <c r="KT118" s="34">
        <f>IF(AND(ISNUMBER(KU118),ISNUMBER(KS118)),KU118-KS118,"")</f>
        <v>0</v>
      </c>
      <c r="KU118" s="33"/>
      <c r="KV118" s="34">
        <f>IF(AND(ISNUMBER(KW118),ISNUMBER(KU118)),KW118-KU118,"")</f>
        <v>0</v>
      </c>
      <c r="KW118" s="33"/>
      <c r="KX118" s="34">
        <f>IF(AND(ISNUMBER(KY118),ISNUMBER(KW118)),KY118-KW118,"")</f>
        <v>0</v>
      </c>
      <c r="KY118" s="33"/>
      <c r="KZ118" s="34">
        <f>IF(AND(ISNUMBER(LA118),ISNUMBER(KY118)),LA118-KY118,"")</f>
        <v>0</v>
      </c>
      <c r="LA118" s="33"/>
      <c r="LB118" s="34">
        <f>IF(AND(ISNUMBER(LC118),ISNUMBER(LA118)),LC118-LA118,"")</f>
        <v>0</v>
      </c>
      <c r="LC118" s="33"/>
      <c r="LD118" s="34">
        <f>IF(AND(ISNUMBER(LE118),ISNUMBER(LC118)),LE118-LC118,"")</f>
        <v>0</v>
      </c>
      <c r="LE118" s="33"/>
      <c r="LF118" s="34">
        <f>IF(AND(ISNUMBER(LG118),ISNUMBER(LE118)),LG118-LE118,"")</f>
        <v>0</v>
      </c>
      <c r="LG118" s="33"/>
    </row>
    <row r="119" spans="1:322">
      <c r="A119" s="36" t="s">
        <v>118</v>
      </c>
      <c r="B119" s="23"/>
      <c r="C119" s="31" t="s">
        <v>886</v>
      </c>
      <c r="E119" s="32" t="s">
        <v>1139</v>
      </c>
      <c r="H119" s="38" t="s">
        <v>1105</v>
      </c>
      <c r="I119" s="33"/>
      <c r="J119" s="34">
        <f>IF(AND(ISNUMBER(K119),ISNUMBER(I119)),K119-I119,"")</f>
        <v>0</v>
      </c>
      <c r="K119" s="33"/>
      <c r="L119" s="34">
        <f>IF(AND(ISNUMBER(M119),ISNUMBER(K119)),M119-K119,"")</f>
        <v>0</v>
      </c>
      <c r="M119" s="33"/>
      <c r="N119" s="34">
        <f>IF(AND(ISNUMBER(O119),ISNUMBER(M119)),O119-M119,"")</f>
        <v>0</v>
      </c>
      <c r="O119" s="33"/>
      <c r="P119" s="34">
        <f>IF(AND(ISNUMBER(Q119),ISNUMBER(O119)),Q119-O119,"")</f>
        <v>0</v>
      </c>
      <c r="Q119" s="33"/>
      <c r="R119" s="34">
        <f>IF(AND(ISNUMBER(S119),ISNUMBER(Q119)),S119-Q119,"")</f>
        <v>0</v>
      </c>
      <c r="S119" s="33"/>
      <c r="T119" s="34">
        <f>IF(AND(ISNUMBER(U119),ISNUMBER(S119)),U119-S119,"")</f>
        <v>0</v>
      </c>
      <c r="U119" s="33"/>
      <c r="V119" s="34">
        <f>IF(AND(ISNUMBER(W119),ISNUMBER(U119)),W119-U119,"")</f>
        <v>0</v>
      </c>
      <c r="W119" s="33"/>
      <c r="X119" s="34">
        <f>IF(AND(ISNUMBER(Y119),ISNUMBER(W119)),Y119-W119,"")</f>
        <v>0</v>
      </c>
      <c r="Y119" s="33"/>
      <c r="Z119" s="34">
        <f>IF(AND(ISNUMBER(AA119),ISNUMBER(Y119)),AA119-Y119,"")</f>
        <v>0</v>
      </c>
      <c r="AA119" s="33"/>
      <c r="AB119" s="34">
        <f>IF(AND(ISNUMBER(AC119),ISNUMBER(AA119)),AC119-AA119,"")</f>
        <v>0</v>
      </c>
      <c r="AC119" s="33"/>
      <c r="AD119" s="34">
        <f>IF(AND(ISNUMBER(AE119),ISNUMBER(AC119)),AE119-AC119,"")</f>
        <v>0</v>
      </c>
      <c r="AE119" s="33"/>
      <c r="AF119" s="34">
        <f>IF(AND(ISNUMBER(AG119),ISNUMBER(AE119)),AG119-AE119,"")</f>
        <v>0</v>
      </c>
      <c r="AG119" s="33"/>
      <c r="AH119" s="34">
        <f>IF(AND(ISNUMBER(AI119),ISNUMBER(AG119)),AI119-AG119,"")</f>
        <v>0</v>
      </c>
      <c r="AI119" s="33"/>
      <c r="AJ119" s="34">
        <f>IF(AND(ISNUMBER(AK119),ISNUMBER(AI119)),AK119-AI119,"")</f>
        <v>0</v>
      </c>
      <c r="AK119" s="33"/>
      <c r="AL119" s="34">
        <f>IF(AND(ISNUMBER(AM119),ISNUMBER(AK119)),AM119-AK119,"")</f>
        <v>0</v>
      </c>
      <c r="AM119" s="33"/>
      <c r="AN119" s="34">
        <f>IF(AND(ISNUMBER(AO119),ISNUMBER(AM119)),AO119-AM119,"")</f>
        <v>0</v>
      </c>
      <c r="AO119" s="33"/>
      <c r="AP119" s="34">
        <f>IF(AND(ISNUMBER(AQ119),ISNUMBER(AO119)),AQ119-AO119,"")</f>
        <v>0</v>
      </c>
      <c r="AQ119" s="33"/>
      <c r="AR119" s="34">
        <f>IF(AND(ISNUMBER(AS119),ISNUMBER(AQ119)),AS119-AQ119,"")</f>
        <v>0</v>
      </c>
      <c r="AS119" s="33"/>
      <c r="AT119" s="34">
        <f>IF(AND(ISNUMBER(AU119),ISNUMBER(AS119)),AU119-AS119,"")</f>
        <v>0</v>
      </c>
      <c r="AU119" s="33"/>
      <c r="AV119" s="34">
        <f>IF(AND(ISNUMBER(AW119),ISNUMBER(AU119)),AW119-AU119,"")</f>
        <v>0</v>
      </c>
      <c r="AW119" s="33"/>
      <c r="AX119" s="34">
        <f>IF(AND(ISNUMBER(AY119),ISNUMBER(AW119)),AY119-AW119,"")</f>
        <v>0</v>
      </c>
      <c r="AY119" s="33"/>
      <c r="AZ119" s="34">
        <f>IF(AND(ISNUMBER(BA119),ISNUMBER(AY119)),BA119-AY119,"")</f>
        <v>0</v>
      </c>
      <c r="BA119" s="33"/>
      <c r="BB119" s="34">
        <f>IF(AND(ISNUMBER(BC119),ISNUMBER(BA119)),BC119-BA119,"")</f>
        <v>0</v>
      </c>
      <c r="BC119" s="33"/>
      <c r="BD119" s="34">
        <f>IF(AND(ISNUMBER(BE119),ISNUMBER(BC119)),BE119-BC119,"")</f>
        <v>0</v>
      </c>
      <c r="BE119" s="33"/>
      <c r="BF119" s="34">
        <f>IF(AND(ISNUMBER(BG119),ISNUMBER(BE119)),BG119-BE119,"")</f>
        <v>0</v>
      </c>
      <c r="BG119" s="33"/>
      <c r="BH119" s="34">
        <f>IF(AND(ISNUMBER(BI119),ISNUMBER(BG119)),BI119-BG119,"")</f>
        <v>0</v>
      </c>
      <c r="BI119" s="33"/>
      <c r="BJ119" s="34">
        <f>IF(AND(ISNUMBER(BK119),ISNUMBER(BI119)),BK119-BI119,"")</f>
        <v>0</v>
      </c>
      <c r="BK119" s="33"/>
      <c r="BL119" s="34">
        <f>IF(AND(ISNUMBER(BM119),ISNUMBER(BK119)),BM119-BK119,"")</f>
        <v>0</v>
      </c>
      <c r="BM119" s="33"/>
      <c r="BN119" s="34">
        <f>IF(AND(ISNUMBER(BO119),ISNUMBER(BM119)),BO119-BM119,"")</f>
        <v>0</v>
      </c>
      <c r="BO119" s="33"/>
      <c r="BP119" s="34">
        <f>IF(AND(ISNUMBER(BQ119),ISNUMBER(BO119)),BQ119-BO119,"")</f>
        <v>0</v>
      </c>
      <c r="BQ119" s="33"/>
      <c r="BR119" s="34">
        <f>IF(AND(ISNUMBER(BS119),ISNUMBER(BQ119)),BS119-BQ119,"")</f>
        <v>0</v>
      </c>
      <c r="BS119" s="33"/>
      <c r="BT119" s="34">
        <f>IF(AND(ISNUMBER(BU119),ISNUMBER(BS119)),BU119-BS119,"")</f>
        <v>0</v>
      </c>
      <c r="BU119" s="33"/>
      <c r="BV119" s="34">
        <f>IF(AND(ISNUMBER(BW119),ISNUMBER(BU119)),BW119-BU119,"")</f>
        <v>0</v>
      </c>
      <c r="BW119" s="33"/>
      <c r="BX119" s="34">
        <f>IF(AND(ISNUMBER(BY119),ISNUMBER(BW119)),BY119-BW119,"")</f>
        <v>0</v>
      </c>
      <c r="BY119" s="33"/>
      <c r="BZ119" s="34">
        <f>IF(AND(ISNUMBER(CA119),ISNUMBER(BY119)),CA119-BY119,"")</f>
        <v>0</v>
      </c>
      <c r="CA119" s="33"/>
      <c r="CB119" s="34">
        <f>IF(AND(ISNUMBER(CC119),ISNUMBER(CA119)),CC119-CA119,"")</f>
        <v>0</v>
      </c>
      <c r="CC119" s="33"/>
      <c r="CD119" s="34">
        <f>IF(AND(ISNUMBER(CE119),ISNUMBER(CC119)),CE119-CC119,"")</f>
        <v>0</v>
      </c>
      <c r="CE119" s="33"/>
      <c r="CF119" s="34">
        <f>IF(AND(ISNUMBER(CG119),ISNUMBER(CE119)),CG119-CE119,"")</f>
        <v>0</v>
      </c>
      <c r="CG119" s="33">
        <v>323</v>
      </c>
      <c r="CH119" s="34">
        <f>IF(AND(ISNUMBER(CI119),ISNUMBER(CG119)),CI119-CG119,"")</f>
        <v>0</v>
      </c>
      <c r="CI119" s="33">
        <v>323</v>
      </c>
      <c r="CJ119" s="34">
        <f>IF(AND(ISNUMBER(CK119),ISNUMBER(CI119)),CK119-CI119,"")</f>
        <v>0</v>
      </c>
      <c r="CK119" s="33">
        <v>309</v>
      </c>
      <c r="CL119" s="34">
        <f>IF(AND(ISNUMBER(CM119),ISNUMBER(CK119)),CM119-CK119,"")</f>
        <v>0</v>
      </c>
      <c r="CM119" s="33">
        <v>298</v>
      </c>
      <c r="CN119" s="34">
        <f>IF(AND(ISNUMBER(CO119),ISNUMBER(CM119)),CO119-CM119,"")</f>
        <v>0</v>
      </c>
      <c r="CO119" s="33">
        <v>301</v>
      </c>
      <c r="CP119" s="34">
        <f>IF(AND(ISNUMBER(CQ119),ISNUMBER(CO119)),CQ119-CO119,"")</f>
        <v>0</v>
      </c>
      <c r="CQ119" s="33">
        <v>289</v>
      </c>
      <c r="CR119" s="34">
        <f>IF(AND(ISNUMBER(CS119),ISNUMBER(CQ119)),CS119-CQ119,"")</f>
        <v>0</v>
      </c>
      <c r="CS119" s="33">
        <v>267</v>
      </c>
      <c r="CT119" s="34">
        <f>IF(AND(ISNUMBER(CU119),ISNUMBER(CS119)),CU119-CS119,"")</f>
        <v>0</v>
      </c>
      <c r="CU119" s="33">
        <v>267</v>
      </c>
      <c r="CV119" s="34">
        <f>IF(AND(ISNUMBER(CW119),ISNUMBER(CU119)),CW119-CU119,"")</f>
        <v>0</v>
      </c>
      <c r="CW119" s="33">
        <v>255</v>
      </c>
      <c r="CX119" s="34">
        <f>IF(AND(ISNUMBER(CY119),ISNUMBER(CW119)),CY119-CW119,"")</f>
        <v>0</v>
      </c>
      <c r="CY119" s="33">
        <v>270</v>
      </c>
      <c r="CZ119" s="34">
        <f>IF(AND(ISNUMBER(DA119),ISNUMBER(CY119)),DA119-CY119,"")</f>
        <v>0</v>
      </c>
      <c r="DA119" s="33">
        <v>290</v>
      </c>
      <c r="DB119" s="34">
        <f>IF(AND(ISNUMBER(DC119),ISNUMBER(DA119)),DC119-DA119,"")</f>
        <v>0</v>
      </c>
      <c r="DC119" s="33">
        <v>299</v>
      </c>
      <c r="DD119" s="34">
        <f>IF(AND(ISNUMBER(DE119),ISNUMBER(DC119)),DE119-DC119,"")</f>
        <v>0</v>
      </c>
      <c r="DE119" s="33">
        <v>304</v>
      </c>
      <c r="DF119" s="34">
        <f>IF(AND(ISNUMBER(DG119),ISNUMBER(DE119)),DG119-DE119,"")</f>
        <v>0</v>
      </c>
      <c r="DG119" s="33">
        <v>281</v>
      </c>
      <c r="DH119" s="34">
        <f>IF(AND(ISNUMBER(DI119),ISNUMBER(DG119)),DI119-DG119,"")</f>
        <v>0</v>
      </c>
      <c r="DI119" s="33">
        <v>280</v>
      </c>
      <c r="DJ119" s="34">
        <f>IF(AND(ISNUMBER(DK119),ISNUMBER(DI119)),DK119-DI119,"")</f>
        <v>0</v>
      </c>
      <c r="DK119" s="33">
        <v>313</v>
      </c>
      <c r="DL119" s="34">
        <f>IF(AND(ISNUMBER(DM119),ISNUMBER(DK119)),DM119-DK119,"")</f>
        <v>0</v>
      </c>
      <c r="DM119" s="33">
        <v>315</v>
      </c>
      <c r="DN119" s="34">
        <f>IF(AND(ISNUMBER(DO119),ISNUMBER(DM119)),DO119-DM119,"")</f>
        <v>0</v>
      </c>
      <c r="DO119" s="33">
        <v>292</v>
      </c>
      <c r="DP119" s="34">
        <f>IF(AND(ISNUMBER(DQ119),ISNUMBER(DO119)),DQ119-DO119,"")</f>
        <v>0</v>
      </c>
      <c r="DQ119" s="33">
        <v>303</v>
      </c>
      <c r="DR119" s="34">
        <f>IF(AND(ISNUMBER(DS119),ISNUMBER(DQ119)),DS119-DQ119,"")</f>
        <v>0</v>
      </c>
      <c r="DS119" s="33">
        <v>268</v>
      </c>
      <c r="DT119" s="34">
        <f>IF(AND(ISNUMBER(DU119),ISNUMBER(DS119)),DU119-DS119,"")</f>
        <v>0</v>
      </c>
      <c r="DU119" s="33">
        <v>274</v>
      </c>
      <c r="DV119" s="34">
        <f>IF(AND(ISNUMBER(DW119),ISNUMBER(DU119)),DW119-DU119,"")</f>
        <v>0</v>
      </c>
      <c r="DW119" s="33">
        <v>270</v>
      </c>
      <c r="DX119" s="34">
        <f>IF(AND(ISNUMBER(DY119),ISNUMBER(DW119)),DY119-DW119,"")</f>
        <v>0</v>
      </c>
      <c r="DY119" s="33">
        <v>282</v>
      </c>
      <c r="DZ119" s="34">
        <f>IF(AND(ISNUMBER(EA119),ISNUMBER(DY119)),EA119-DY119,"")</f>
        <v>0</v>
      </c>
      <c r="EA119" s="33">
        <v>290</v>
      </c>
      <c r="EB119" s="34">
        <f>IF(AND(ISNUMBER(EC119),ISNUMBER(EA119)),EC119-EA119,"")</f>
        <v>0</v>
      </c>
      <c r="EC119" s="33">
        <v>289</v>
      </c>
      <c r="ED119" s="34">
        <f>IF(AND(ISNUMBER(EE119),ISNUMBER(EC119)),EE119-EC119,"")</f>
        <v>0</v>
      </c>
      <c r="EE119" s="33">
        <v>292</v>
      </c>
      <c r="EF119" s="34">
        <f>IF(AND(ISNUMBER(EG119),ISNUMBER(EE119)),EG119-EE119,"")</f>
        <v>0</v>
      </c>
      <c r="EG119" s="33">
        <v>289</v>
      </c>
      <c r="EH119" s="34">
        <f>IF(AND(ISNUMBER(EI119),ISNUMBER(EG119)),EI119-EG119,"")</f>
        <v>0</v>
      </c>
      <c r="EI119" s="33">
        <v>291</v>
      </c>
      <c r="EJ119" s="34">
        <f>IF(AND(ISNUMBER(EK119),ISNUMBER(EI119)),EK119-EI119,"")</f>
        <v>0</v>
      </c>
      <c r="EK119" s="33">
        <v>296</v>
      </c>
      <c r="EL119" s="34">
        <f>IF(AND(ISNUMBER(EM119),ISNUMBER(EK119)),EM119-EK119,"")</f>
        <v>0</v>
      </c>
      <c r="EM119" s="33">
        <v>285</v>
      </c>
      <c r="EN119" s="34">
        <f>IF(AND(ISNUMBER(EO119),ISNUMBER(EM119)),EO119-EM119,"")</f>
        <v>0</v>
      </c>
      <c r="EO119" s="33">
        <v>273</v>
      </c>
      <c r="EP119" s="34">
        <f>IF(AND(ISNUMBER(EQ119),ISNUMBER(EO119)),EQ119-EO119,"")</f>
        <v>0</v>
      </c>
      <c r="EQ119" s="33">
        <v>280</v>
      </c>
      <c r="ER119" s="34">
        <f>IF(AND(ISNUMBER(ES119),ISNUMBER(EQ119)),ES119-EQ119,"")</f>
        <v>0</v>
      </c>
      <c r="ES119" s="33">
        <v>272</v>
      </c>
      <c r="ET119" s="34">
        <f>IF(AND(ISNUMBER(EU119),ISNUMBER(ES119)),EU119-ES119,"")</f>
        <v>0</v>
      </c>
      <c r="EU119" s="33">
        <v>277</v>
      </c>
      <c r="EV119" s="34">
        <f>IF(AND(ISNUMBER(EW119),ISNUMBER(EU119)),EW119-EU119,"")</f>
        <v>0</v>
      </c>
      <c r="EW119" s="33">
        <v>273</v>
      </c>
      <c r="EX119" s="34">
        <f>IF(AND(ISNUMBER(EY119),ISNUMBER(EW119)),EY119-EW119,"")</f>
        <v>0</v>
      </c>
      <c r="EY119" s="33">
        <v>281</v>
      </c>
      <c r="EZ119" s="34">
        <f>IF(AND(ISNUMBER(FA119),ISNUMBER(EY119)),FA119-EY119,"")</f>
        <v>0</v>
      </c>
      <c r="FA119" s="33">
        <v>279</v>
      </c>
      <c r="FB119" s="34">
        <f>IF(AND(ISNUMBER(FC119),ISNUMBER(FA119)),FC119-FA119,"")</f>
        <v>0</v>
      </c>
      <c r="FC119" s="33">
        <v>273</v>
      </c>
      <c r="FD119" s="34">
        <f>IF(AND(ISNUMBER(FE119),ISNUMBER(FC119)),FE119-FC119,"")</f>
        <v>0</v>
      </c>
      <c r="FE119" s="33">
        <v>264</v>
      </c>
      <c r="FF119" s="34">
        <f>IF(AND(ISNUMBER(FG119),ISNUMBER(FE119)),FG119-FE119,"")</f>
        <v>0</v>
      </c>
      <c r="FG119" s="33">
        <v>260</v>
      </c>
      <c r="FH119" s="34">
        <f>IF(AND(ISNUMBER(FI119),ISNUMBER(FG119)),FI119-FG119,"")</f>
        <v>0</v>
      </c>
      <c r="FI119" s="33">
        <v>262</v>
      </c>
      <c r="FJ119" s="34">
        <f>IF(AND(ISNUMBER(FK119),ISNUMBER(FI119)),FK119-FI119,"")</f>
        <v>0</v>
      </c>
      <c r="FK119" s="33">
        <v>262</v>
      </c>
      <c r="FL119" s="34">
        <f>IF(AND(ISNUMBER(FM119),ISNUMBER(FK119)),FM119-FK119,"")</f>
        <v>0</v>
      </c>
      <c r="FM119" s="33">
        <v>240</v>
      </c>
      <c r="FN119" s="34">
        <f>IF(AND(ISNUMBER(FO119),ISNUMBER(FM119)),FO119-FM119,"")</f>
        <v>0</v>
      </c>
      <c r="FO119" s="33">
        <v>237</v>
      </c>
      <c r="FP119" s="34">
        <f>IF(AND(ISNUMBER(FQ119),ISNUMBER(FO119)),FQ119-FO119,"")</f>
        <v>0</v>
      </c>
      <c r="FQ119" s="33">
        <v>244</v>
      </c>
      <c r="FR119" s="34">
        <f>IF(AND(ISNUMBER(FS119),ISNUMBER(FQ119)),FS119-FQ119,"")</f>
        <v>0</v>
      </c>
      <c r="FS119" s="33">
        <v>248</v>
      </c>
      <c r="FT119" s="34">
        <f>IF(AND(ISNUMBER(FU119),ISNUMBER(FS119)),FU119-FS119,"")</f>
        <v>0</v>
      </c>
      <c r="FU119" s="33">
        <v>232</v>
      </c>
      <c r="FV119" s="34">
        <f>IF(AND(ISNUMBER(FW119),ISNUMBER(FU119)),FW119-FU119,"")</f>
        <v>0</v>
      </c>
      <c r="FW119" s="33">
        <v>217</v>
      </c>
      <c r="FX119" s="34">
        <f>IF(AND(ISNUMBER(FY119),ISNUMBER(FW119)),FY119-FW119,"")</f>
        <v>0</v>
      </c>
      <c r="FY119" s="33">
        <v>192</v>
      </c>
      <c r="FZ119" s="34">
        <f>IF(AND(ISNUMBER(GA119),ISNUMBER(FY119)),GA119-FY119,"")</f>
        <v>0</v>
      </c>
      <c r="GA119" s="33">
        <v>192</v>
      </c>
      <c r="GB119" s="34">
        <f>IF(AND(ISNUMBER(GC119),ISNUMBER(GA119)),GC119-GA119,"")</f>
        <v>0</v>
      </c>
      <c r="GC119" s="33">
        <v>194</v>
      </c>
      <c r="GD119" s="34">
        <f>IF(AND(ISNUMBER(GE119),ISNUMBER(GC119)),GE119-GC119,"")</f>
        <v>0</v>
      </c>
      <c r="GE119" s="33">
        <v>183</v>
      </c>
      <c r="GF119" s="34">
        <f>IF(AND(ISNUMBER(GG119),ISNUMBER(GE119)),GG119-GE119,"")</f>
        <v>0</v>
      </c>
      <c r="GG119" s="33">
        <v>168</v>
      </c>
      <c r="GH119" s="34">
        <f>IF(AND(ISNUMBER(GI119),ISNUMBER(GG119)),GI119-GG119,"")</f>
        <v>0</v>
      </c>
      <c r="GI119" s="33">
        <v>156</v>
      </c>
      <c r="GJ119" s="34">
        <f>IF(AND(ISNUMBER(GK119),ISNUMBER(GI119)),GK119-GI119,"")</f>
        <v>0</v>
      </c>
      <c r="GK119" s="33">
        <v>127</v>
      </c>
      <c r="GL119" s="34">
        <f>IF(AND(ISNUMBER(GM119),ISNUMBER(GK119)),GM119-GK119,"")</f>
        <v>0</v>
      </c>
      <c r="GM119" s="33">
        <v>110</v>
      </c>
      <c r="GN119" s="34">
        <f>IF(AND(ISNUMBER(GO119),ISNUMBER(GM119)),GO119-GM119,"")</f>
        <v>0</v>
      </c>
      <c r="GO119" s="33">
        <v>103</v>
      </c>
      <c r="GP119" s="34">
        <f>IF(AND(ISNUMBER(GQ119),ISNUMBER(GO119)),GQ119-GO119,"")</f>
        <v>0</v>
      </c>
      <c r="GQ119" s="33">
        <v>95</v>
      </c>
      <c r="GR119" s="34">
        <f>IF(AND(ISNUMBER(GS119),ISNUMBER(GQ119)),GS119-GQ119,"")</f>
        <v>0</v>
      </c>
      <c r="GS119" s="33">
        <v>77</v>
      </c>
      <c r="GT119" s="34">
        <f>IF(AND(ISNUMBER(GU119),ISNUMBER(GS119)),GU119-GS119,"")</f>
        <v>0</v>
      </c>
      <c r="GU119" s="33">
        <v>77</v>
      </c>
      <c r="GV119" s="34">
        <f>IF(AND(ISNUMBER(GW119),ISNUMBER(GU119)),GW119-GU119,"")</f>
        <v>0</v>
      </c>
      <c r="GW119" s="33">
        <v>77</v>
      </c>
      <c r="GX119" s="34">
        <f>IF(AND(ISNUMBER(GY119),ISNUMBER(GW119)),GY119-GW119,"")</f>
        <v>0</v>
      </c>
      <c r="GY119" s="33">
        <v>77</v>
      </c>
      <c r="GZ119" s="34">
        <f>IF(AND(ISNUMBER(HA119),ISNUMBER(GY119)),HA119-GY119,"")</f>
        <v>0</v>
      </c>
      <c r="HA119" s="33">
        <v>76</v>
      </c>
      <c r="HB119" s="34">
        <f>IF(AND(ISNUMBER(HC119),ISNUMBER(HA119)),HC119-HA119,"")</f>
        <v>0</v>
      </c>
      <c r="HC119" s="33">
        <v>82</v>
      </c>
      <c r="HD119" s="34">
        <f>IF(AND(ISNUMBER(HE119),ISNUMBER(HC119)),HE119-HC119,"")</f>
        <v>0</v>
      </c>
      <c r="HE119" s="33">
        <v>77</v>
      </c>
      <c r="HF119" s="34">
        <f>IF(AND(ISNUMBER(HG119),ISNUMBER(HE119)),HG119-HE119,"")</f>
        <v>0</v>
      </c>
      <c r="HG119" s="33">
        <v>75</v>
      </c>
      <c r="HH119" s="34">
        <f>IF(AND(ISNUMBER(HI119),ISNUMBER(HG119)),HI119-HG119,"")</f>
        <v>0</v>
      </c>
      <c r="HI119" s="33">
        <v>75</v>
      </c>
      <c r="HJ119" s="34">
        <f>IF(AND(ISNUMBER(HK119),ISNUMBER(HI119)),HK119-HI119,"")</f>
        <v>0</v>
      </c>
      <c r="HK119" s="33">
        <v>75</v>
      </c>
      <c r="HL119" s="34">
        <f>IF(AND(ISNUMBER(HM119),ISNUMBER(HK119)),HM119-HK119,"")</f>
        <v>0</v>
      </c>
      <c r="HM119" s="33">
        <v>71</v>
      </c>
      <c r="HN119" s="34">
        <f>IF(AND(ISNUMBER(HO119),ISNUMBER(HM119)),HO119-HM119,"")</f>
        <v>0</v>
      </c>
      <c r="HO119" s="33">
        <v>70</v>
      </c>
      <c r="HP119" s="34">
        <f>IF(AND(ISNUMBER(HQ119),ISNUMBER(HO119)),HQ119-HO119,"")</f>
        <v>0</v>
      </c>
      <c r="HQ119" s="33">
        <v>71</v>
      </c>
      <c r="HR119" s="34">
        <f>IF(AND(ISNUMBER(HS119),ISNUMBER(HQ119)),HS119-HQ119,"")</f>
        <v>0</v>
      </c>
      <c r="HS119" s="33">
        <v>71</v>
      </c>
      <c r="HT119" s="34">
        <f>IF(AND(ISNUMBER(HU119),ISNUMBER(HS119)),HU119-HS119,"")</f>
        <v>0</v>
      </c>
      <c r="HU119" s="33">
        <v>65</v>
      </c>
      <c r="HV119" s="34">
        <f>IF(AND(ISNUMBER(HW119),ISNUMBER(HU119)),HW119-HU119,"")</f>
        <v>0</v>
      </c>
      <c r="HW119" s="33">
        <v>60</v>
      </c>
      <c r="HX119" s="34">
        <f>IF(AND(ISNUMBER(HY119),ISNUMBER(HW119)),HY119-HW119,"")</f>
        <v>0</v>
      </c>
      <c r="HY119" s="33">
        <v>57</v>
      </c>
      <c r="HZ119" s="34">
        <f>IF(AND(ISNUMBER(IA119),ISNUMBER(HY119)),IA119-HY119,"")</f>
        <v>0</v>
      </c>
      <c r="IA119" s="33">
        <v>50</v>
      </c>
      <c r="IB119" s="34">
        <f>IF(AND(ISNUMBER(IC119),ISNUMBER(IA119)),IC119-IA119,"")</f>
        <v>0</v>
      </c>
      <c r="IC119" s="33">
        <v>52</v>
      </c>
      <c r="ID119" s="34">
        <f>IF(AND(ISNUMBER(IE119),ISNUMBER(IC119)),IE119-IC119,"")</f>
        <v>0</v>
      </c>
      <c r="IE119" s="33">
        <v>51</v>
      </c>
      <c r="IF119" s="34">
        <f>IF(AND(ISNUMBER(IG119),ISNUMBER(IE119)),IG119-IE119,"")</f>
        <v>0</v>
      </c>
      <c r="IG119" s="33">
        <v>47</v>
      </c>
      <c r="IH119" s="34">
        <f>IF(AND(ISNUMBER(II119),ISNUMBER(IG119)),II119-IG119,"")</f>
        <v>0</v>
      </c>
      <c r="II119" s="33">
        <v>46</v>
      </c>
      <c r="IJ119" s="34">
        <f>IF(AND(ISNUMBER(IK119),ISNUMBER(II119)),IK119-II119,"")</f>
        <v>0</v>
      </c>
      <c r="IK119" s="33">
        <v>45</v>
      </c>
      <c r="IL119" s="34">
        <f>IF(AND(ISNUMBER(IM119),ISNUMBER(IK119)),IM119-IK119,"")</f>
        <v>0</v>
      </c>
      <c r="IM119" s="33">
        <v>41</v>
      </c>
      <c r="IN119" s="34">
        <f>IF(AND(ISNUMBER(IO119),ISNUMBER(IM119)),IO119-IM119,"")</f>
        <v>0</v>
      </c>
      <c r="IO119" s="33">
        <v>41</v>
      </c>
      <c r="IP119" s="34">
        <f>IF(AND(ISNUMBER(IQ119),ISNUMBER(IO119)),IQ119-IO119,"")</f>
        <v>0</v>
      </c>
      <c r="IQ119" s="33">
        <v>41</v>
      </c>
      <c r="IR119" s="34">
        <f>IF(AND(ISNUMBER(IS119),ISNUMBER(IQ119)),IS119-IQ119,"")</f>
        <v>0</v>
      </c>
      <c r="IS119" s="33">
        <v>41</v>
      </c>
      <c r="IT119" s="34">
        <f>IF(AND(ISNUMBER(IU119),ISNUMBER(IS119)),IU119-IS119,"")</f>
        <v>0</v>
      </c>
      <c r="IU119" s="33">
        <v>38</v>
      </c>
      <c r="IV119" s="34">
        <f>IF(AND(ISNUMBER(IW119),ISNUMBER(IU119)),IW119-IU119,"")</f>
        <v>0</v>
      </c>
      <c r="IW119" s="33">
        <v>38</v>
      </c>
      <c r="IX119" s="34">
        <f>IF(AND(ISNUMBER(IY119),ISNUMBER(IW119)),IY119-IW119,"")</f>
        <v>0</v>
      </c>
      <c r="IY119" s="33">
        <v>36</v>
      </c>
      <c r="IZ119" s="34">
        <f>IF(AND(ISNUMBER(JA119),ISNUMBER(IY119)),JA119-IY119,"")</f>
        <v>0</v>
      </c>
      <c r="JA119" s="33">
        <v>34</v>
      </c>
      <c r="JB119" s="34">
        <f>IF(AND(ISNUMBER(JC119),ISNUMBER(JA119)),JC119-JA119,"")</f>
        <v>0</v>
      </c>
      <c r="JC119" s="33">
        <v>31</v>
      </c>
      <c r="JD119" s="34">
        <f>IF(AND(ISNUMBER(JE119),ISNUMBER(JC119)),JE119-JC119,"")</f>
        <v>0</v>
      </c>
      <c r="JE119" s="33">
        <v>30</v>
      </c>
      <c r="JF119" s="34">
        <f>IF(AND(ISNUMBER(JG119),ISNUMBER(JE119)),JG119-JE119,"")</f>
        <v>0</v>
      </c>
      <c r="JG119" s="33">
        <v>29</v>
      </c>
      <c r="JH119" s="34">
        <f>IF(AND(ISNUMBER(JI119),ISNUMBER(JG119)),JI119-JG119,"")</f>
        <v>0</v>
      </c>
      <c r="JI119" s="33">
        <v>29</v>
      </c>
      <c r="JJ119" s="34">
        <f>IF(AND(ISNUMBER(JK119),ISNUMBER(JI119)),JK119-JI119,"")</f>
        <v>0</v>
      </c>
      <c r="JK119" s="33">
        <v>29</v>
      </c>
      <c r="JL119" s="34">
        <f>IF(AND(ISNUMBER(JM119),ISNUMBER(JK119)),JM119-JK119,"")</f>
        <v>0</v>
      </c>
      <c r="JM119" s="33">
        <v>28</v>
      </c>
      <c r="JN119" s="34">
        <f>IF(AND(ISNUMBER(JO119),ISNUMBER(JM119)),JO119-JM119,"")</f>
        <v>0</v>
      </c>
      <c r="JO119" s="33">
        <v>28</v>
      </c>
      <c r="JP119" s="34">
        <f>IF(AND(ISNUMBER(JQ119),ISNUMBER(JO119)),JQ119-JO119,"")</f>
        <v>0</v>
      </c>
      <c r="JQ119" s="33">
        <v>28</v>
      </c>
      <c r="JR119" s="34">
        <f>IF(AND(ISNUMBER(JS119),ISNUMBER(JQ119)),JS119-JQ119,"")</f>
        <v>0</v>
      </c>
      <c r="JS119" s="33">
        <v>28</v>
      </c>
      <c r="JT119" s="34">
        <f>IF(AND(ISNUMBER(JU119),ISNUMBER(JS119)),JU119-JS119,"")</f>
        <v>0</v>
      </c>
      <c r="JU119" s="33">
        <v>28</v>
      </c>
      <c r="JV119" s="34">
        <f>IF(AND(ISNUMBER(JW119),ISNUMBER(JU119)),JW119-JU119,"")</f>
        <v>0</v>
      </c>
      <c r="JW119" s="33">
        <v>27</v>
      </c>
      <c r="JX119" s="34">
        <f>IF(AND(ISNUMBER(JY119),ISNUMBER(JW119)),JY119-JW119,"")</f>
        <v>0</v>
      </c>
      <c r="JY119" s="33">
        <v>28</v>
      </c>
      <c r="JZ119" s="34">
        <f>IF(AND(ISNUMBER(KA119),ISNUMBER(JY119)),KA119-JY119,"")</f>
        <v>0</v>
      </c>
      <c r="KA119" s="33"/>
      <c r="KB119" s="34">
        <f>IF(AND(ISNUMBER(KC119),ISNUMBER(KA119)),KC119-KA119,"")</f>
        <v>0</v>
      </c>
      <c r="KC119" s="33"/>
      <c r="KD119" s="34">
        <f>IF(AND(ISNUMBER(KE119),ISNUMBER(KC119)),KE119-KC119,"")</f>
        <v>0</v>
      </c>
      <c r="KE119" s="33"/>
      <c r="KF119" s="34">
        <f>IF(AND(ISNUMBER(KG119),ISNUMBER(KE119)),KG119-KE119,"")</f>
        <v>0</v>
      </c>
      <c r="KG119" s="33"/>
      <c r="KH119" s="34">
        <f>IF(AND(ISNUMBER(KI119),ISNUMBER(KG119)),KI119-KG119,"")</f>
        <v>0</v>
      </c>
      <c r="KI119" s="33"/>
      <c r="KJ119" s="34">
        <f>IF(AND(ISNUMBER(KK119),ISNUMBER(KI119)),KK119-KI119,"")</f>
        <v>0</v>
      </c>
      <c r="KK119" s="33"/>
      <c r="KL119" s="34">
        <f>IF(AND(ISNUMBER(KM119),ISNUMBER(KK119)),KM119-KK119,"")</f>
        <v>0</v>
      </c>
      <c r="KM119" s="33"/>
      <c r="KN119" s="34">
        <f>IF(AND(ISNUMBER(KO119),ISNUMBER(KM119)),KO119-KM119,"")</f>
        <v>0</v>
      </c>
      <c r="KO119" s="33"/>
      <c r="KP119" s="34">
        <f>IF(AND(ISNUMBER(KQ119),ISNUMBER(KO119)),KQ119-KO119,"")</f>
        <v>0</v>
      </c>
      <c r="KQ119" s="33"/>
      <c r="KR119" s="34">
        <f>IF(AND(ISNUMBER(KS119),ISNUMBER(KQ119)),KS119-KQ119,"")</f>
        <v>0</v>
      </c>
      <c r="KS119" s="33"/>
      <c r="KT119" s="34">
        <f>IF(AND(ISNUMBER(KU119),ISNUMBER(KS119)),KU119-KS119,"")</f>
        <v>0</v>
      </c>
      <c r="KU119" s="33"/>
      <c r="KV119" s="34">
        <f>IF(AND(ISNUMBER(KW119),ISNUMBER(KU119)),KW119-KU119,"")</f>
        <v>0</v>
      </c>
      <c r="KW119" s="33"/>
      <c r="KX119" s="34">
        <f>IF(AND(ISNUMBER(KY119),ISNUMBER(KW119)),KY119-KW119,"")</f>
        <v>0</v>
      </c>
      <c r="KY119" s="33"/>
      <c r="KZ119" s="34">
        <f>IF(AND(ISNUMBER(LA119),ISNUMBER(KY119)),LA119-KY119,"")</f>
        <v>0</v>
      </c>
      <c r="LA119" s="33"/>
      <c r="LB119" s="34">
        <f>IF(AND(ISNUMBER(LC119),ISNUMBER(LA119)),LC119-LA119,"")</f>
        <v>0</v>
      </c>
      <c r="LC119" s="33"/>
      <c r="LD119" s="34">
        <f>IF(AND(ISNUMBER(LE119),ISNUMBER(LC119)),LE119-LC119,"")</f>
        <v>0</v>
      </c>
      <c r="LE119" s="33"/>
      <c r="LF119" s="34">
        <f>IF(AND(ISNUMBER(LG119),ISNUMBER(LE119)),LG119-LE119,"")</f>
        <v>0</v>
      </c>
      <c r="LG119" s="33"/>
    </row>
    <row r="120" spans="1:322">
      <c r="A120" s="36" t="s">
        <v>119</v>
      </c>
      <c r="B120" s="23"/>
      <c r="C120" s="31" t="s">
        <v>888</v>
      </c>
      <c r="E120" s="32" t="s">
        <v>1139</v>
      </c>
      <c r="H120" s="38" t="s">
        <v>1105</v>
      </c>
      <c r="I120" s="33"/>
      <c r="J120" s="34">
        <f>IF(AND(ISNUMBER(K120),ISNUMBER(I120)),K120-I120,"")</f>
        <v>0</v>
      </c>
      <c r="K120" s="33"/>
      <c r="L120" s="34">
        <f>IF(AND(ISNUMBER(M120),ISNUMBER(K120)),M120-K120,"")</f>
        <v>0</v>
      </c>
      <c r="M120" s="33"/>
      <c r="N120" s="34">
        <f>IF(AND(ISNUMBER(O120),ISNUMBER(M120)),O120-M120,"")</f>
        <v>0</v>
      </c>
      <c r="O120" s="33"/>
      <c r="P120" s="34">
        <f>IF(AND(ISNUMBER(Q120),ISNUMBER(O120)),Q120-O120,"")</f>
        <v>0</v>
      </c>
      <c r="Q120" s="33"/>
      <c r="R120" s="34">
        <f>IF(AND(ISNUMBER(S120),ISNUMBER(Q120)),S120-Q120,"")</f>
        <v>0</v>
      </c>
      <c r="S120" s="33"/>
      <c r="T120" s="34">
        <f>IF(AND(ISNUMBER(U120),ISNUMBER(S120)),U120-S120,"")</f>
        <v>0</v>
      </c>
      <c r="U120" s="33"/>
      <c r="V120" s="34">
        <f>IF(AND(ISNUMBER(W120),ISNUMBER(U120)),W120-U120,"")</f>
        <v>0</v>
      </c>
      <c r="W120" s="33"/>
      <c r="X120" s="34">
        <f>IF(AND(ISNUMBER(Y120),ISNUMBER(W120)),Y120-W120,"")</f>
        <v>0</v>
      </c>
      <c r="Y120" s="33"/>
      <c r="Z120" s="34">
        <f>IF(AND(ISNUMBER(AA120),ISNUMBER(Y120)),AA120-Y120,"")</f>
        <v>0</v>
      </c>
      <c r="AA120" s="33"/>
      <c r="AB120" s="34">
        <f>IF(AND(ISNUMBER(AC120),ISNUMBER(AA120)),AC120-AA120,"")</f>
        <v>0</v>
      </c>
      <c r="AC120" s="33"/>
      <c r="AD120" s="34">
        <f>IF(AND(ISNUMBER(AE120),ISNUMBER(AC120)),AE120-AC120,"")</f>
        <v>0</v>
      </c>
      <c r="AE120" s="33"/>
      <c r="AF120" s="34">
        <f>IF(AND(ISNUMBER(AG120),ISNUMBER(AE120)),AG120-AE120,"")</f>
        <v>0</v>
      </c>
      <c r="AG120" s="33"/>
      <c r="AH120" s="34">
        <f>IF(AND(ISNUMBER(AI120),ISNUMBER(AG120)),AI120-AG120,"")</f>
        <v>0</v>
      </c>
      <c r="AI120" s="33"/>
      <c r="AJ120" s="34">
        <f>IF(AND(ISNUMBER(AK120),ISNUMBER(AI120)),AK120-AI120,"")</f>
        <v>0</v>
      </c>
      <c r="AK120" s="33"/>
      <c r="AL120" s="34">
        <f>IF(AND(ISNUMBER(AM120),ISNUMBER(AK120)),AM120-AK120,"")</f>
        <v>0</v>
      </c>
      <c r="AM120" s="33"/>
      <c r="AN120" s="34">
        <f>IF(AND(ISNUMBER(AO120),ISNUMBER(AM120)),AO120-AM120,"")</f>
        <v>0</v>
      </c>
      <c r="AO120" s="33"/>
      <c r="AP120" s="34">
        <f>IF(AND(ISNUMBER(AQ120),ISNUMBER(AO120)),AQ120-AO120,"")</f>
        <v>0</v>
      </c>
      <c r="AQ120" s="33"/>
      <c r="AR120" s="34">
        <f>IF(AND(ISNUMBER(AS120),ISNUMBER(AQ120)),AS120-AQ120,"")</f>
        <v>0</v>
      </c>
      <c r="AS120" s="33"/>
      <c r="AT120" s="34">
        <f>IF(AND(ISNUMBER(AU120),ISNUMBER(AS120)),AU120-AS120,"")</f>
        <v>0</v>
      </c>
      <c r="AU120" s="33"/>
      <c r="AV120" s="34">
        <f>IF(AND(ISNUMBER(AW120),ISNUMBER(AU120)),AW120-AU120,"")</f>
        <v>0</v>
      </c>
      <c r="AW120" s="33"/>
      <c r="AX120" s="34">
        <f>IF(AND(ISNUMBER(AY120),ISNUMBER(AW120)),AY120-AW120,"")</f>
        <v>0</v>
      </c>
      <c r="AY120" s="33"/>
      <c r="AZ120" s="34">
        <f>IF(AND(ISNUMBER(BA120),ISNUMBER(AY120)),BA120-AY120,"")</f>
        <v>0</v>
      </c>
      <c r="BA120" s="33"/>
      <c r="BB120" s="34">
        <f>IF(AND(ISNUMBER(BC120),ISNUMBER(BA120)),BC120-BA120,"")</f>
        <v>0</v>
      </c>
      <c r="BC120" s="33"/>
      <c r="BD120" s="34">
        <f>IF(AND(ISNUMBER(BE120),ISNUMBER(BC120)),BE120-BC120,"")</f>
        <v>0</v>
      </c>
      <c r="BE120" s="33"/>
      <c r="BF120" s="34">
        <f>IF(AND(ISNUMBER(BG120),ISNUMBER(BE120)),BG120-BE120,"")</f>
        <v>0</v>
      </c>
      <c r="BG120" s="33"/>
      <c r="BH120" s="34">
        <f>IF(AND(ISNUMBER(BI120),ISNUMBER(BG120)),BI120-BG120,"")</f>
        <v>0</v>
      </c>
      <c r="BI120" s="33"/>
      <c r="BJ120" s="34">
        <f>IF(AND(ISNUMBER(BK120),ISNUMBER(BI120)),BK120-BI120,"")</f>
        <v>0</v>
      </c>
      <c r="BK120" s="33"/>
      <c r="BL120" s="34">
        <f>IF(AND(ISNUMBER(BM120),ISNUMBER(BK120)),BM120-BK120,"")</f>
        <v>0</v>
      </c>
      <c r="BM120" s="33"/>
      <c r="BN120" s="34">
        <f>IF(AND(ISNUMBER(BO120),ISNUMBER(BM120)),BO120-BM120,"")</f>
        <v>0</v>
      </c>
      <c r="BO120" s="33"/>
      <c r="BP120" s="34">
        <f>IF(AND(ISNUMBER(BQ120),ISNUMBER(BO120)),BQ120-BO120,"")</f>
        <v>0</v>
      </c>
      <c r="BQ120" s="33"/>
      <c r="BR120" s="34">
        <f>IF(AND(ISNUMBER(BS120),ISNUMBER(BQ120)),BS120-BQ120,"")</f>
        <v>0</v>
      </c>
      <c r="BS120" s="33"/>
      <c r="BT120" s="34">
        <f>IF(AND(ISNUMBER(BU120),ISNUMBER(BS120)),BU120-BS120,"")</f>
        <v>0</v>
      </c>
      <c r="BU120" s="33"/>
      <c r="BV120" s="34">
        <f>IF(AND(ISNUMBER(BW120),ISNUMBER(BU120)),BW120-BU120,"")</f>
        <v>0</v>
      </c>
      <c r="BW120" s="33"/>
      <c r="BX120" s="34">
        <f>IF(AND(ISNUMBER(BY120),ISNUMBER(BW120)),BY120-BW120,"")</f>
        <v>0</v>
      </c>
      <c r="BY120" s="33"/>
      <c r="BZ120" s="34">
        <f>IF(AND(ISNUMBER(CA120),ISNUMBER(BY120)),CA120-BY120,"")</f>
        <v>0</v>
      </c>
      <c r="CA120" s="33"/>
      <c r="CB120" s="34">
        <f>IF(AND(ISNUMBER(CC120),ISNUMBER(CA120)),CC120-CA120,"")</f>
        <v>0</v>
      </c>
      <c r="CC120" s="33"/>
      <c r="CD120" s="34">
        <f>IF(AND(ISNUMBER(CE120),ISNUMBER(CC120)),CE120-CC120,"")</f>
        <v>0</v>
      </c>
      <c r="CE120" s="33"/>
      <c r="CF120" s="34">
        <f>IF(AND(ISNUMBER(CG120),ISNUMBER(CE120)),CG120-CE120,"")</f>
        <v>0</v>
      </c>
      <c r="CG120" s="33">
        <v>28</v>
      </c>
      <c r="CH120" s="34">
        <f>IF(AND(ISNUMBER(CI120),ISNUMBER(CG120)),CI120-CG120,"")</f>
        <v>0</v>
      </c>
      <c r="CI120" s="33">
        <v>28</v>
      </c>
      <c r="CJ120" s="34">
        <f>IF(AND(ISNUMBER(CK120),ISNUMBER(CI120)),CK120-CI120,"")</f>
        <v>0</v>
      </c>
      <c r="CK120" s="33">
        <v>28</v>
      </c>
      <c r="CL120" s="34">
        <f>IF(AND(ISNUMBER(CM120),ISNUMBER(CK120)),CM120-CK120,"")</f>
        <v>0</v>
      </c>
      <c r="CM120" s="33">
        <v>28</v>
      </c>
      <c r="CN120" s="34">
        <f>IF(AND(ISNUMBER(CO120),ISNUMBER(CM120)),CO120-CM120,"")</f>
        <v>0</v>
      </c>
      <c r="CO120" s="33">
        <v>28</v>
      </c>
      <c r="CP120" s="34">
        <f>IF(AND(ISNUMBER(CQ120),ISNUMBER(CO120)),CQ120-CO120,"")</f>
        <v>0</v>
      </c>
      <c r="CQ120" s="33">
        <v>28</v>
      </c>
      <c r="CR120" s="34">
        <f>IF(AND(ISNUMBER(CS120),ISNUMBER(CQ120)),CS120-CQ120,"")</f>
        <v>0</v>
      </c>
      <c r="CS120" s="33">
        <v>28</v>
      </c>
      <c r="CT120" s="34">
        <f>IF(AND(ISNUMBER(CU120),ISNUMBER(CS120)),CU120-CS120,"")</f>
        <v>0</v>
      </c>
      <c r="CU120" s="33">
        <v>28</v>
      </c>
      <c r="CV120" s="34">
        <f>IF(AND(ISNUMBER(CW120),ISNUMBER(CU120)),CW120-CU120,"")</f>
        <v>0</v>
      </c>
      <c r="CW120" s="33">
        <v>28</v>
      </c>
      <c r="CX120" s="34">
        <f>IF(AND(ISNUMBER(CY120),ISNUMBER(CW120)),CY120-CW120,"")</f>
        <v>0</v>
      </c>
      <c r="CY120" s="33">
        <v>28</v>
      </c>
      <c r="CZ120" s="34">
        <f>IF(AND(ISNUMBER(DA120),ISNUMBER(CY120)),DA120-CY120,"")</f>
        <v>0</v>
      </c>
      <c r="DA120" s="33">
        <v>27</v>
      </c>
      <c r="DB120" s="34">
        <f>IF(AND(ISNUMBER(DC120),ISNUMBER(DA120)),DC120-DA120,"")</f>
        <v>0</v>
      </c>
      <c r="DC120" s="33">
        <v>27</v>
      </c>
      <c r="DD120" s="34">
        <f>IF(AND(ISNUMBER(DE120),ISNUMBER(DC120)),DE120-DC120,"")</f>
        <v>0</v>
      </c>
      <c r="DE120" s="33">
        <v>25</v>
      </c>
      <c r="DF120" s="34">
        <f>IF(AND(ISNUMBER(DG120),ISNUMBER(DE120)),DG120-DE120,"")</f>
        <v>0</v>
      </c>
      <c r="DG120" s="33">
        <v>27</v>
      </c>
      <c r="DH120" s="34">
        <f>IF(AND(ISNUMBER(DI120),ISNUMBER(DG120)),DI120-DG120,"")</f>
        <v>0</v>
      </c>
      <c r="DI120" s="33">
        <v>46</v>
      </c>
      <c r="DJ120" s="34">
        <f>IF(AND(ISNUMBER(DK120),ISNUMBER(DI120)),DK120-DI120,"")</f>
        <v>0</v>
      </c>
      <c r="DK120" s="33">
        <v>30</v>
      </c>
      <c r="DL120" s="34">
        <f>IF(AND(ISNUMBER(DM120),ISNUMBER(DK120)),DM120-DK120,"")</f>
        <v>0</v>
      </c>
      <c r="DM120" s="33">
        <v>26</v>
      </c>
      <c r="DN120" s="34">
        <f>IF(AND(ISNUMBER(DO120),ISNUMBER(DM120)),DO120-DM120,"")</f>
        <v>0</v>
      </c>
      <c r="DO120" s="33">
        <v>25</v>
      </c>
      <c r="DP120" s="34">
        <f>IF(AND(ISNUMBER(DQ120),ISNUMBER(DO120)),DQ120-DO120,"")</f>
        <v>0</v>
      </c>
      <c r="DQ120" s="33">
        <v>25</v>
      </c>
      <c r="DR120" s="34">
        <f>IF(AND(ISNUMBER(DS120),ISNUMBER(DQ120)),DS120-DQ120,"")</f>
        <v>0</v>
      </c>
      <c r="DS120" s="33">
        <v>25</v>
      </c>
      <c r="DT120" s="34">
        <f>IF(AND(ISNUMBER(DU120),ISNUMBER(DS120)),DU120-DS120,"")</f>
        <v>0</v>
      </c>
      <c r="DU120" s="33">
        <v>29</v>
      </c>
      <c r="DV120" s="34">
        <f>IF(AND(ISNUMBER(DW120),ISNUMBER(DU120)),DW120-DU120,"")</f>
        <v>0</v>
      </c>
      <c r="DW120" s="33">
        <v>29</v>
      </c>
      <c r="DX120" s="34">
        <f>IF(AND(ISNUMBER(DY120),ISNUMBER(DW120)),DY120-DW120,"")</f>
        <v>0</v>
      </c>
      <c r="DY120" s="33">
        <v>28</v>
      </c>
      <c r="DZ120" s="34">
        <f>IF(AND(ISNUMBER(EA120),ISNUMBER(DY120)),EA120-DY120,"")</f>
        <v>0</v>
      </c>
      <c r="EA120" s="33">
        <v>35</v>
      </c>
      <c r="EB120" s="34">
        <f>IF(AND(ISNUMBER(EC120),ISNUMBER(EA120)),EC120-EA120,"")</f>
        <v>0</v>
      </c>
      <c r="EC120" s="33">
        <v>30</v>
      </c>
      <c r="ED120" s="34">
        <f>IF(AND(ISNUMBER(EE120),ISNUMBER(EC120)),EE120-EC120,"")</f>
        <v>0</v>
      </c>
      <c r="EE120" s="33">
        <v>30</v>
      </c>
      <c r="EF120" s="34">
        <f>IF(AND(ISNUMBER(EG120),ISNUMBER(EE120)),EG120-EE120,"")</f>
        <v>0</v>
      </c>
      <c r="EG120" s="33">
        <v>29</v>
      </c>
      <c r="EH120" s="34">
        <f>IF(AND(ISNUMBER(EI120),ISNUMBER(EG120)),EI120-EG120,"")</f>
        <v>0</v>
      </c>
      <c r="EI120" s="33">
        <v>31</v>
      </c>
      <c r="EJ120" s="34">
        <f>IF(AND(ISNUMBER(EK120),ISNUMBER(EI120)),EK120-EI120,"")</f>
        <v>0</v>
      </c>
      <c r="EK120" s="33">
        <v>35</v>
      </c>
      <c r="EL120" s="34">
        <f>IF(AND(ISNUMBER(EM120),ISNUMBER(EK120)),EM120-EK120,"")</f>
        <v>0</v>
      </c>
      <c r="EM120" s="33">
        <v>35</v>
      </c>
      <c r="EN120" s="34">
        <f>IF(AND(ISNUMBER(EO120),ISNUMBER(EM120)),EO120-EM120,"")</f>
        <v>0</v>
      </c>
      <c r="EO120" s="33">
        <v>37</v>
      </c>
      <c r="EP120" s="34">
        <f>IF(AND(ISNUMBER(EQ120),ISNUMBER(EO120)),EQ120-EO120,"")</f>
        <v>0</v>
      </c>
      <c r="EQ120" s="33">
        <v>41</v>
      </c>
      <c r="ER120" s="34">
        <f>IF(AND(ISNUMBER(ES120),ISNUMBER(EQ120)),ES120-EQ120,"")</f>
        <v>0</v>
      </c>
      <c r="ES120" s="33">
        <v>37</v>
      </c>
      <c r="ET120" s="34">
        <f>IF(AND(ISNUMBER(EU120),ISNUMBER(ES120)),EU120-ES120,"")</f>
        <v>0</v>
      </c>
      <c r="EU120" s="33">
        <v>35</v>
      </c>
      <c r="EV120" s="34">
        <f>IF(AND(ISNUMBER(EW120),ISNUMBER(EU120)),EW120-EU120,"")</f>
        <v>0</v>
      </c>
      <c r="EW120" s="33">
        <v>32</v>
      </c>
      <c r="EX120" s="34">
        <f>IF(AND(ISNUMBER(EY120),ISNUMBER(EW120)),EY120-EW120,"")</f>
        <v>0</v>
      </c>
      <c r="EY120" s="33">
        <v>43</v>
      </c>
      <c r="EZ120" s="34">
        <f>IF(AND(ISNUMBER(FA120),ISNUMBER(EY120)),FA120-EY120,"")</f>
        <v>0</v>
      </c>
      <c r="FA120" s="33">
        <v>43</v>
      </c>
      <c r="FB120" s="34">
        <f>IF(AND(ISNUMBER(FC120),ISNUMBER(FA120)),FC120-FA120,"")</f>
        <v>0</v>
      </c>
      <c r="FC120" s="33">
        <v>43</v>
      </c>
      <c r="FD120" s="34">
        <f>IF(AND(ISNUMBER(FE120),ISNUMBER(FC120)),FE120-FC120,"")</f>
        <v>0</v>
      </c>
      <c r="FE120" s="33">
        <v>37</v>
      </c>
      <c r="FF120" s="34">
        <f>IF(AND(ISNUMBER(FG120),ISNUMBER(FE120)),FG120-FE120,"")</f>
        <v>0</v>
      </c>
      <c r="FG120" s="33">
        <v>36</v>
      </c>
      <c r="FH120" s="34">
        <f>IF(AND(ISNUMBER(FI120),ISNUMBER(FG120)),FI120-FG120,"")</f>
        <v>0</v>
      </c>
      <c r="FI120" s="33">
        <v>36</v>
      </c>
      <c r="FJ120" s="34">
        <f>IF(AND(ISNUMBER(FK120),ISNUMBER(FI120)),FK120-FI120,"")</f>
        <v>0</v>
      </c>
      <c r="FK120" s="33">
        <v>38</v>
      </c>
      <c r="FL120" s="34">
        <f>IF(AND(ISNUMBER(FM120),ISNUMBER(FK120)),FM120-FK120,"")</f>
        <v>0</v>
      </c>
      <c r="FM120" s="33">
        <v>40</v>
      </c>
      <c r="FN120" s="34">
        <f>IF(AND(ISNUMBER(FO120),ISNUMBER(FM120)),FO120-FM120,"")</f>
        <v>0</v>
      </c>
      <c r="FO120" s="33">
        <v>37</v>
      </c>
      <c r="FP120" s="34">
        <f>IF(AND(ISNUMBER(FQ120),ISNUMBER(FO120)),FQ120-FO120,"")</f>
        <v>0</v>
      </c>
      <c r="FQ120" s="33">
        <v>38</v>
      </c>
      <c r="FR120" s="34">
        <f>IF(AND(ISNUMBER(FS120),ISNUMBER(FQ120)),FS120-FQ120,"")</f>
        <v>0</v>
      </c>
      <c r="FS120" s="33">
        <v>37</v>
      </c>
      <c r="FT120" s="34">
        <f>IF(AND(ISNUMBER(FU120),ISNUMBER(FS120)),FU120-FS120,"")</f>
        <v>0</v>
      </c>
      <c r="FU120" s="33">
        <v>37</v>
      </c>
      <c r="FV120" s="34">
        <f>IF(AND(ISNUMBER(FW120),ISNUMBER(FU120)),FW120-FU120,"")</f>
        <v>0</v>
      </c>
      <c r="FW120" s="33">
        <v>40</v>
      </c>
      <c r="FX120" s="34">
        <f>IF(AND(ISNUMBER(FY120),ISNUMBER(FW120)),FY120-FW120,"")</f>
        <v>0</v>
      </c>
      <c r="FY120" s="33">
        <v>39</v>
      </c>
      <c r="FZ120" s="34">
        <f>IF(AND(ISNUMBER(GA120),ISNUMBER(FY120)),GA120-FY120,"")</f>
        <v>0</v>
      </c>
      <c r="GA120" s="33">
        <v>39</v>
      </c>
      <c r="GB120" s="34">
        <f>IF(AND(ISNUMBER(GC120),ISNUMBER(GA120)),GC120-GA120,"")</f>
        <v>0</v>
      </c>
      <c r="GC120" s="33">
        <v>43</v>
      </c>
      <c r="GD120" s="34">
        <f>IF(AND(ISNUMBER(GE120),ISNUMBER(GC120)),GE120-GC120,"")</f>
        <v>0</v>
      </c>
      <c r="GE120" s="33">
        <v>46</v>
      </c>
      <c r="GF120" s="34">
        <f>IF(AND(ISNUMBER(GG120),ISNUMBER(GE120)),GG120-GE120,"")</f>
        <v>0</v>
      </c>
      <c r="GG120" s="33">
        <v>46</v>
      </c>
      <c r="GH120" s="34">
        <f>IF(AND(ISNUMBER(GI120),ISNUMBER(GG120)),GI120-GG120,"")</f>
        <v>0</v>
      </c>
      <c r="GI120" s="33">
        <v>49</v>
      </c>
      <c r="GJ120" s="34">
        <f>IF(AND(ISNUMBER(GK120),ISNUMBER(GI120)),GK120-GI120,"")</f>
        <v>0</v>
      </c>
      <c r="GK120" s="33">
        <v>49</v>
      </c>
      <c r="GL120" s="34">
        <f>IF(AND(ISNUMBER(GM120),ISNUMBER(GK120)),GM120-GK120,"")</f>
        <v>0</v>
      </c>
      <c r="GM120" s="33">
        <v>51</v>
      </c>
      <c r="GN120" s="34">
        <f>IF(AND(ISNUMBER(GO120),ISNUMBER(GM120)),GO120-GM120,"")</f>
        <v>0</v>
      </c>
      <c r="GO120" s="33">
        <v>50</v>
      </c>
      <c r="GP120" s="34">
        <f>IF(AND(ISNUMBER(GQ120),ISNUMBER(GO120)),GQ120-GO120,"")</f>
        <v>0</v>
      </c>
      <c r="GQ120" s="33">
        <v>55</v>
      </c>
      <c r="GR120" s="34">
        <f>IF(AND(ISNUMBER(GS120),ISNUMBER(GQ120)),GS120-GQ120,"")</f>
        <v>0</v>
      </c>
      <c r="GS120" s="33">
        <v>55</v>
      </c>
      <c r="GT120" s="34">
        <f>IF(AND(ISNUMBER(GU120),ISNUMBER(GS120)),GU120-GS120,"")</f>
        <v>0</v>
      </c>
      <c r="GU120" s="33">
        <v>55</v>
      </c>
      <c r="GV120" s="34">
        <f>IF(AND(ISNUMBER(GW120),ISNUMBER(GU120)),GW120-GU120,"")</f>
        <v>0</v>
      </c>
      <c r="GW120" s="33">
        <v>55</v>
      </c>
      <c r="GX120" s="34">
        <f>IF(AND(ISNUMBER(GY120),ISNUMBER(GW120)),GY120-GW120,"")</f>
        <v>0</v>
      </c>
      <c r="GY120" s="33">
        <v>55</v>
      </c>
      <c r="GZ120" s="34">
        <f>IF(AND(ISNUMBER(HA120),ISNUMBER(GY120)),HA120-GY120,"")</f>
        <v>0</v>
      </c>
      <c r="HA120" s="33">
        <v>44</v>
      </c>
      <c r="HB120" s="34">
        <f>IF(AND(ISNUMBER(HC120),ISNUMBER(HA120)),HC120-HA120,"")</f>
        <v>0</v>
      </c>
      <c r="HC120" s="33">
        <v>48</v>
      </c>
      <c r="HD120" s="34">
        <f>IF(AND(ISNUMBER(HE120),ISNUMBER(HC120)),HE120-HC120,"")</f>
        <v>0</v>
      </c>
      <c r="HE120" s="33">
        <v>51</v>
      </c>
      <c r="HF120" s="34">
        <f>IF(AND(ISNUMBER(HG120),ISNUMBER(HE120)),HG120-HE120,"")</f>
        <v>0</v>
      </c>
      <c r="HG120" s="33">
        <v>50</v>
      </c>
      <c r="HH120" s="34">
        <f>IF(AND(ISNUMBER(HI120),ISNUMBER(HG120)),HI120-HG120,"")</f>
        <v>0</v>
      </c>
      <c r="HI120" s="33">
        <v>54</v>
      </c>
      <c r="HJ120" s="34">
        <f>IF(AND(ISNUMBER(HK120),ISNUMBER(HI120)),HK120-HI120,"")</f>
        <v>0</v>
      </c>
      <c r="HK120" s="33">
        <v>54</v>
      </c>
      <c r="HL120" s="34">
        <f>IF(AND(ISNUMBER(HM120),ISNUMBER(HK120)),HM120-HK120,"")</f>
        <v>0</v>
      </c>
      <c r="HM120" s="33">
        <v>46</v>
      </c>
      <c r="HN120" s="34">
        <f>IF(AND(ISNUMBER(HO120),ISNUMBER(HM120)),HO120-HM120,"")</f>
        <v>0</v>
      </c>
      <c r="HO120" s="33">
        <v>46</v>
      </c>
      <c r="HP120" s="34">
        <f>IF(AND(ISNUMBER(HQ120),ISNUMBER(HO120)),HQ120-HO120,"")</f>
        <v>0</v>
      </c>
      <c r="HQ120" s="33">
        <v>45</v>
      </c>
      <c r="HR120" s="34">
        <f>IF(AND(ISNUMBER(HS120),ISNUMBER(HQ120)),HS120-HQ120,"")</f>
        <v>0</v>
      </c>
      <c r="HS120" s="33">
        <v>42</v>
      </c>
      <c r="HT120" s="34">
        <f>IF(AND(ISNUMBER(HU120),ISNUMBER(HS120)),HU120-HS120,"")</f>
        <v>0</v>
      </c>
      <c r="HU120" s="33">
        <v>42</v>
      </c>
      <c r="HV120" s="34">
        <f>IF(AND(ISNUMBER(HW120),ISNUMBER(HU120)),HW120-HU120,"")</f>
        <v>0</v>
      </c>
      <c r="HW120" s="33">
        <v>41</v>
      </c>
      <c r="HX120" s="34">
        <f>IF(AND(ISNUMBER(HY120),ISNUMBER(HW120)),HY120-HW120,"")</f>
        <v>0</v>
      </c>
      <c r="HY120" s="33">
        <v>41</v>
      </c>
      <c r="HZ120" s="34">
        <f>IF(AND(ISNUMBER(IA120),ISNUMBER(HY120)),IA120-HY120,"")</f>
        <v>0</v>
      </c>
      <c r="IA120" s="33">
        <v>39</v>
      </c>
      <c r="IB120" s="34">
        <f>IF(AND(ISNUMBER(IC120),ISNUMBER(IA120)),IC120-IA120,"")</f>
        <v>0</v>
      </c>
      <c r="IC120" s="33">
        <v>39</v>
      </c>
      <c r="ID120" s="34">
        <f>IF(AND(ISNUMBER(IE120),ISNUMBER(IC120)),IE120-IC120,"")</f>
        <v>0</v>
      </c>
      <c r="IE120" s="33">
        <v>36</v>
      </c>
      <c r="IF120" s="34">
        <f>IF(AND(ISNUMBER(IG120),ISNUMBER(IE120)),IG120-IE120,"")</f>
        <v>0</v>
      </c>
      <c r="IG120" s="33">
        <v>35</v>
      </c>
      <c r="IH120" s="34">
        <f>IF(AND(ISNUMBER(II120),ISNUMBER(IG120)),II120-IG120,"")</f>
        <v>0</v>
      </c>
      <c r="II120" s="33">
        <v>35</v>
      </c>
      <c r="IJ120" s="34">
        <f>IF(AND(ISNUMBER(IK120),ISNUMBER(II120)),IK120-II120,"")</f>
        <v>0</v>
      </c>
      <c r="IK120" s="33">
        <v>35</v>
      </c>
      <c r="IL120" s="34">
        <f>IF(AND(ISNUMBER(IM120),ISNUMBER(IK120)),IM120-IK120,"")</f>
        <v>0</v>
      </c>
      <c r="IM120" s="33">
        <v>34</v>
      </c>
      <c r="IN120" s="34">
        <f>IF(AND(ISNUMBER(IO120),ISNUMBER(IM120)),IO120-IM120,"")</f>
        <v>0</v>
      </c>
      <c r="IO120" s="33">
        <v>34</v>
      </c>
      <c r="IP120" s="34">
        <f>IF(AND(ISNUMBER(IQ120),ISNUMBER(IO120)),IQ120-IO120,"")</f>
        <v>0</v>
      </c>
      <c r="IQ120" s="33">
        <v>34</v>
      </c>
      <c r="IR120" s="34">
        <f>IF(AND(ISNUMBER(IS120),ISNUMBER(IQ120)),IS120-IQ120,"")</f>
        <v>0</v>
      </c>
      <c r="IS120" s="33">
        <v>34</v>
      </c>
      <c r="IT120" s="34">
        <f>IF(AND(ISNUMBER(IU120),ISNUMBER(IS120)),IU120-IS120,"")</f>
        <v>0</v>
      </c>
      <c r="IU120" s="33">
        <v>34</v>
      </c>
      <c r="IV120" s="34">
        <f>IF(AND(ISNUMBER(IW120),ISNUMBER(IU120)),IW120-IU120,"")</f>
        <v>0</v>
      </c>
      <c r="IW120" s="33">
        <v>34</v>
      </c>
      <c r="IX120" s="34">
        <f>IF(AND(ISNUMBER(IY120),ISNUMBER(IW120)),IY120-IW120,"")</f>
        <v>0</v>
      </c>
      <c r="IY120" s="33">
        <v>34</v>
      </c>
      <c r="IZ120" s="34">
        <f>IF(AND(ISNUMBER(JA120),ISNUMBER(IY120)),JA120-IY120,"")</f>
        <v>0</v>
      </c>
      <c r="JA120" s="33">
        <v>33</v>
      </c>
      <c r="JB120" s="34">
        <f>IF(AND(ISNUMBER(JC120),ISNUMBER(JA120)),JC120-JA120,"")</f>
        <v>0</v>
      </c>
      <c r="JC120" s="33">
        <v>32</v>
      </c>
      <c r="JD120" s="34">
        <f>IF(AND(ISNUMBER(JE120),ISNUMBER(JC120)),JE120-JC120,"")</f>
        <v>0</v>
      </c>
      <c r="JE120" s="33">
        <v>32</v>
      </c>
      <c r="JF120" s="34">
        <f>IF(AND(ISNUMBER(JG120),ISNUMBER(JE120)),JG120-JE120,"")</f>
        <v>0</v>
      </c>
      <c r="JG120" s="33">
        <v>32</v>
      </c>
      <c r="JH120" s="34">
        <f>IF(AND(ISNUMBER(JI120),ISNUMBER(JG120)),JI120-JG120,"")</f>
        <v>0</v>
      </c>
      <c r="JI120" s="33">
        <v>32</v>
      </c>
      <c r="JJ120" s="34">
        <f>IF(AND(ISNUMBER(JK120),ISNUMBER(JI120)),JK120-JI120,"")</f>
        <v>0</v>
      </c>
      <c r="JK120" s="33">
        <v>32</v>
      </c>
      <c r="JL120" s="34">
        <f>IF(AND(ISNUMBER(JM120),ISNUMBER(JK120)),JM120-JK120,"")</f>
        <v>0</v>
      </c>
      <c r="JM120" s="33">
        <v>31</v>
      </c>
      <c r="JN120" s="34">
        <f>IF(AND(ISNUMBER(JO120),ISNUMBER(JM120)),JO120-JM120,"")</f>
        <v>0</v>
      </c>
      <c r="JO120" s="33">
        <v>26</v>
      </c>
      <c r="JP120" s="34">
        <f>IF(AND(ISNUMBER(JQ120),ISNUMBER(JO120)),JQ120-JO120,"")</f>
        <v>0</v>
      </c>
      <c r="JQ120" s="33">
        <v>26</v>
      </c>
      <c r="JR120" s="34">
        <f>IF(AND(ISNUMBER(JS120),ISNUMBER(JQ120)),JS120-JQ120,"")</f>
        <v>0</v>
      </c>
      <c r="JS120" s="33">
        <v>26</v>
      </c>
      <c r="JT120" s="34">
        <f>IF(AND(ISNUMBER(JU120),ISNUMBER(JS120)),JU120-JS120,"")</f>
        <v>0</v>
      </c>
      <c r="JU120" s="33">
        <v>26</v>
      </c>
      <c r="JV120" s="34">
        <f>IF(AND(ISNUMBER(JW120),ISNUMBER(JU120)),JW120-JU120,"")</f>
        <v>0</v>
      </c>
      <c r="JW120" s="33">
        <v>25</v>
      </c>
      <c r="JX120" s="34">
        <f>IF(AND(ISNUMBER(JY120),ISNUMBER(JW120)),JY120-JW120,"")</f>
        <v>0</v>
      </c>
      <c r="JY120" s="33">
        <v>25</v>
      </c>
      <c r="JZ120" s="34">
        <f>IF(AND(ISNUMBER(KA120),ISNUMBER(JY120)),KA120-JY120,"")</f>
        <v>0</v>
      </c>
      <c r="KA120" s="33"/>
      <c r="KB120" s="34">
        <f>IF(AND(ISNUMBER(KC120),ISNUMBER(KA120)),KC120-KA120,"")</f>
        <v>0</v>
      </c>
      <c r="KC120" s="33"/>
      <c r="KD120" s="34">
        <f>IF(AND(ISNUMBER(KE120),ISNUMBER(KC120)),KE120-KC120,"")</f>
        <v>0</v>
      </c>
      <c r="KE120" s="33"/>
      <c r="KF120" s="34">
        <f>IF(AND(ISNUMBER(KG120),ISNUMBER(KE120)),KG120-KE120,"")</f>
        <v>0</v>
      </c>
      <c r="KG120" s="33"/>
      <c r="KH120" s="34">
        <f>IF(AND(ISNUMBER(KI120),ISNUMBER(KG120)),KI120-KG120,"")</f>
        <v>0</v>
      </c>
      <c r="KI120" s="33"/>
      <c r="KJ120" s="34">
        <f>IF(AND(ISNUMBER(KK120),ISNUMBER(KI120)),KK120-KI120,"")</f>
        <v>0</v>
      </c>
      <c r="KK120" s="33"/>
      <c r="KL120" s="34">
        <f>IF(AND(ISNUMBER(KM120),ISNUMBER(KK120)),KM120-KK120,"")</f>
        <v>0</v>
      </c>
      <c r="KM120" s="33"/>
      <c r="KN120" s="34">
        <f>IF(AND(ISNUMBER(KO120),ISNUMBER(KM120)),KO120-KM120,"")</f>
        <v>0</v>
      </c>
      <c r="KO120" s="33"/>
      <c r="KP120" s="34">
        <f>IF(AND(ISNUMBER(KQ120),ISNUMBER(KO120)),KQ120-KO120,"")</f>
        <v>0</v>
      </c>
      <c r="KQ120" s="33"/>
      <c r="KR120" s="34">
        <f>IF(AND(ISNUMBER(KS120),ISNUMBER(KQ120)),KS120-KQ120,"")</f>
        <v>0</v>
      </c>
      <c r="KS120" s="33"/>
      <c r="KT120" s="34">
        <f>IF(AND(ISNUMBER(KU120),ISNUMBER(KS120)),KU120-KS120,"")</f>
        <v>0</v>
      </c>
      <c r="KU120" s="33"/>
      <c r="KV120" s="34">
        <f>IF(AND(ISNUMBER(KW120),ISNUMBER(KU120)),KW120-KU120,"")</f>
        <v>0</v>
      </c>
      <c r="KW120" s="33"/>
      <c r="KX120" s="34">
        <f>IF(AND(ISNUMBER(KY120),ISNUMBER(KW120)),KY120-KW120,"")</f>
        <v>0</v>
      </c>
      <c r="KY120" s="33"/>
      <c r="KZ120" s="34">
        <f>IF(AND(ISNUMBER(LA120),ISNUMBER(KY120)),LA120-KY120,"")</f>
        <v>0</v>
      </c>
      <c r="LA120" s="33"/>
      <c r="LB120" s="34">
        <f>IF(AND(ISNUMBER(LC120),ISNUMBER(LA120)),LC120-LA120,"")</f>
        <v>0</v>
      </c>
      <c r="LC120" s="33"/>
      <c r="LD120" s="34">
        <f>IF(AND(ISNUMBER(LE120),ISNUMBER(LC120)),LE120-LC120,"")</f>
        <v>0</v>
      </c>
      <c r="LE120" s="33"/>
      <c r="LF120" s="34">
        <f>IF(AND(ISNUMBER(LG120),ISNUMBER(LE120)),LG120-LE120,"")</f>
        <v>0</v>
      </c>
      <c r="LG120" s="33"/>
    </row>
    <row r="121" spans="1:322">
      <c r="A121" s="36" t="s">
        <v>120</v>
      </c>
      <c r="B121" s="23"/>
      <c r="C121" s="37" t="s">
        <v>783</v>
      </c>
      <c r="E121" s="32" t="s">
        <v>1139</v>
      </c>
      <c r="H121" s="38" t="s">
        <v>1105</v>
      </c>
      <c r="I121" s="33"/>
      <c r="J121" s="34">
        <f>IF(AND(ISNUMBER(K121),ISNUMBER(I121)),K121-I121,"")</f>
        <v>0</v>
      </c>
      <c r="K121" s="33"/>
      <c r="L121" s="34">
        <f>IF(AND(ISNUMBER(M121),ISNUMBER(K121)),M121-K121,"")</f>
        <v>0</v>
      </c>
      <c r="M121" s="33"/>
      <c r="N121" s="34">
        <f>IF(AND(ISNUMBER(O121),ISNUMBER(M121)),O121-M121,"")</f>
        <v>0</v>
      </c>
      <c r="O121" s="33"/>
      <c r="P121" s="34">
        <f>IF(AND(ISNUMBER(Q121),ISNUMBER(O121)),Q121-O121,"")</f>
        <v>0</v>
      </c>
      <c r="Q121" s="33"/>
      <c r="R121" s="34">
        <f>IF(AND(ISNUMBER(S121),ISNUMBER(Q121)),S121-Q121,"")</f>
        <v>0</v>
      </c>
      <c r="S121" s="33"/>
      <c r="T121" s="34">
        <f>IF(AND(ISNUMBER(U121),ISNUMBER(S121)),U121-S121,"")</f>
        <v>0</v>
      </c>
      <c r="U121" s="33"/>
      <c r="V121" s="34">
        <f>IF(AND(ISNUMBER(W121),ISNUMBER(U121)),W121-U121,"")</f>
        <v>0</v>
      </c>
      <c r="W121" s="33"/>
      <c r="X121" s="34">
        <f>IF(AND(ISNUMBER(Y121),ISNUMBER(W121)),Y121-W121,"")</f>
        <v>0</v>
      </c>
      <c r="Y121" s="33"/>
      <c r="Z121" s="34">
        <f>IF(AND(ISNUMBER(AA121),ISNUMBER(Y121)),AA121-Y121,"")</f>
        <v>0</v>
      </c>
      <c r="AA121" s="33"/>
      <c r="AB121" s="34">
        <f>IF(AND(ISNUMBER(AC121),ISNUMBER(AA121)),AC121-AA121,"")</f>
        <v>0</v>
      </c>
      <c r="AC121" s="33"/>
      <c r="AD121" s="34">
        <f>IF(AND(ISNUMBER(AE121),ISNUMBER(AC121)),AE121-AC121,"")</f>
        <v>0</v>
      </c>
      <c r="AE121" s="33"/>
      <c r="AF121" s="34">
        <f>IF(AND(ISNUMBER(AG121),ISNUMBER(AE121)),AG121-AE121,"")</f>
        <v>0</v>
      </c>
      <c r="AG121" s="33"/>
      <c r="AH121" s="34">
        <f>IF(AND(ISNUMBER(AI121),ISNUMBER(AG121)),AI121-AG121,"")</f>
        <v>0</v>
      </c>
      <c r="AI121" s="33"/>
      <c r="AJ121" s="34">
        <f>IF(AND(ISNUMBER(AK121),ISNUMBER(AI121)),AK121-AI121,"")</f>
        <v>0</v>
      </c>
      <c r="AK121" s="33"/>
      <c r="AL121" s="34">
        <f>IF(AND(ISNUMBER(AM121),ISNUMBER(AK121)),AM121-AK121,"")</f>
        <v>0</v>
      </c>
      <c r="AM121" s="33"/>
      <c r="AN121" s="34">
        <f>IF(AND(ISNUMBER(AO121),ISNUMBER(AM121)),AO121-AM121,"")</f>
        <v>0</v>
      </c>
      <c r="AO121" s="33"/>
      <c r="AP121" s="34">
        <f>IF(AND(ISNUMBER(AQ121),ISNUMBER(AO121)),AQ121-AO121,"")</f>
        <v>0</v>
      </c>
      <c r="AQ121" s="33"/>
      <c r="AR121" s="34">
        <f>IF(AND(ISNUMBER(AS121),ISNUMBER(AQ121)),AS121-AQ121,"")</f>
        <v>0</v>
      </c>
      <c r="AS121" s="33"/>
      <c r="AT121" s="34">
        <f>IF(AND(ISNUMBER(AU121),ISNUMBER(AS121)),AU121-AS121,"")</f>
        <v>0</v>
      </c>
      <c r="AU121" s="33"/>
      <c r="AV121" s="34">
        <f>IF(AND(ISNUMBER(AW121),ISNUMBER(AU121)),AW121-AU121,"")</f>
        <v>0</v>
      </c>
      <c r="AW121" s="33"/>
      <c r="AX121" s="34">
        <f>IF(AND(ISNUMBER(AY121),ISNUMBER(AW121)),AY121-AW121,"")</f>
        <v>0</v>
      </c>
      <c r="AY121" s="33"/>
      <c r="AZ121" s="34">
        <f>IF(AND(ISNUMBER(BA121),ISNUMBER(AY121)),BA121-AY121,"")</f>
        <v>0</v>
      </c>
      <c r="BA121" s="33"/>
      <c r="BB121" s="34">
        <f>IF(AND(ISNUMBER(BC121),ISNUMBER(BA121)),BC121-BA121,"")</f>
        <v>0</v>
      </c>
      <c r="BC121" s="33"/>
      <c r="BD121" s="34">
        <f>IF(AND(ISNUMBER(BE121),ISNUMBER(BC121)),BE121-BC121,"")</f>
        <v>0</v>
      </c>
      <c r="BE121" s="33"/>
      <c r="BF121" s="34">
        <f>IF(AND(ISNUMBER(BG121),ISNUMBER(BE121)),BG121-BE121,"")</f>
        <v>0</v>
      </c>
      <c r="BG121" s="33"/>
      <c r="BH121" s="34">
        <f>IF(AND(ISNUMBER(BI121),ISNUMBER(BG121)),BI121-BG121,"")</f>
        <v>0</v>
      </c>
      <c r="BI121" s="33"/>
      <c r="BJ121" s="34">
        <f>IF(AND(ISNUMBER(BK121),ISNUMBER(BI121)),BK121-BI121,"")</f>
        <v>0</v>
      </c>
      <c r="BK121" s="33"/>
      <c r="BL121" s="34">
        <f>IF(AND(ISNUMBER(BM121),ISNUMBER(BK121)),BM121-BK121,"")</f>
        <v>0</v>
      </c>
      <c r="BM121" s="33"/>
      <c r="BN121" s="34">
        <f>IF(AND(ISNUMBER(BO121),ISNUMBER(BM121)),BO121-BM121,"")</f>
        <v>0</v>
      </c>
      <c r="BO121" s="33"/>
      <c r="BP121" s="34">
        <f>IF(AND(ISNUMBER(BQ121),ISNUMBER(BO121)),BQ121-BO121,"")</f>
        <v>0</v>
      </c>
      <c r="BQ121" s="33"/>
      <c r="BR121" s="34">
        <f>IF(AND(ISNUMBER(BS121),ISNUMBER(BQ121)),BS121-BQ121,"")</f>
        <v>0</v>
      </c>
      <c r="BS121" s="33"/>
      <c r="BT121" s="34">
        <f>IF(AND(ISNUMBER(BU121),ISNUMBER(BS121)),BU121-BS121,"")</f>
        <v>0</v>
      </c>
      <c r="BU121" s="33"/>
      <c r="BV121" s="34">
        <f>IF(AND(ISNUMBER(BW121),ISNUMBER(BU121)),BW121-BU121,"")</f>
        <v>0</v>
      </c>
      <c r="BW121" s="33"/>
      <c r="BX121" s="34">
        <f>IF(AND(ISNUMBER(BY121),ISNUMBER(BW121)),BY121-BW121,"")</f>
        <v>0</v>
      </c>
      <c r="BY121" s="39">
        <f>IF(COUNT(BY122:BY124)=0,"",SUM(BY122:BY124))</f>
        <v>0</v>
      </c>
      <c r="BZ121" s="34">
        <f>IF(AND(ISNUMBER(CA121),ISNUMBER(BY121)),CA121-BY121,"")</f>
        <v>0</v>
      </c>
      <c r="CA121" s="39">
        <f>IF(COUNT(CA122:CA124)=0,"",SUM(CA122:CA124))</f>
        <v>0</v>
      </c>
      <c r="CB121" s="34">
        <f>IF(AND(ISNUMBER(CC121),ISNUMBER(CA121)),CC121-CA121,"")</f>
        <v>0</v>
      </c>
      <c r="CC121" s="39">
        <f>IF(COUNT(CC122:CC124)=0,"",SUM(CC122:CC124))</f>
        <v>0</v>
      </c>
      <c r="CD121" s="34">
        <f>IF(AND(ISNUMBER(CE121),ISNUMBER(CC121)),CE121-CC121,"")</f>
        <v>0</v>
      </c>
      <c r="CE121" s="39">
        <f>IF(COUNT(CE122:CE124)=0,"",SUM(CE122:CE124))</f>
        <v>0</v>
      </c>
      <c r="CF121" s="34">
        <f>IF(AND(ISNUMBER(CG121),ISNUMBER(CE121)),CG121-CE121,"")</f>
        <v>0</v>
      </c>
      <c r="CG121" s="39">
        <f>IF(COUNT(CG122:CG124)=0,"",SUM(CG122:CG124))</f>
        <v>0</v>
      </c>
      <c r="CH121" s="34">
        <f>IF(AND(ISNUMBER(CI121),ISNUMBER(CG121)),CI121-CG121,"")</f>
        <v>0</v>
      </c>
      <c r="CI121" s="39">
        <f>IF(COUNT(CI122:CI124)=0,"",SUM(CI122:CI124))</f>
        <v>0</v>
      </c>
      <c r="CJ121" s="34">
        <f>IF(AND(ISNUMBER(CK121),ISNUMBER(CI121)),CK121-CI121,"")</f>
        <v>0</v>
      </c>
      <c r="CK121" s="39">
        <f>IF(COUNT(CK122:CK124)=0,"",SUM(CK122:CK124))</f>
        <v>0</v>
      </c>
      <c r="CL121" s="34">
        <f>IF(AND(ISNUMBER(CM121),ISNUMBER(CK121)),CM121-CK121,"")</f>
        <v>0</v>
      </c>
      <c r="CM121" s="39">
        <f>IF(COUNT(CM122:CM124)=0,"",SUM(CM122:CM124))</f>
        <v>0</v>
      </c>
      <c r="CN121" s="34">
        <f>IF(AND(ISNUMBER(CO121),ISNUMBER(CM121)),CO121-CM121,"")</f>
        <v>0</v>
      </c>
      <c r="CO121" s="39">
        <f>IF(COUNT(CO122:CO124)=0,"",SUM(CO122:CO124))</f>
        <v>0</v>
      </c>
      <c r="CP121" s="34">
        <f>IF(AND(ISNUMBER(CQ121),ISNUMBER(CO121)),CQ121-CO121,"")</f>
        <v>0</v>
      </c>
      <c r="CQ121" s="39">
        <f>IF(COUNT(CQ122:CQ124)=0,"",SUM(CQ122:CQ124))</f>
        <v>0</v>
      </c>
      <c r="CR121" s="34">
        <f>IF(AND(ISNUMBER(CS121),ISNUMBER(CQ121)),CS121-CQ121,"")</f>
        <v>0</v>
      </c>
      <c r="CS121" s="39">
        <f>IF(COUNT(CS122:CS124)=0,"",SUM(CS122:CS124))</f>
        <v>0</v>
      </c>
      <c r="CT121" s="34">
        <f>IF(AND(ISNUMBER(CU121),ISNUMBER(CS121)),CU121-CS121,"")</f>
        <v>0</v>
      </c>
      <c r="CU121" s="39">
        <f>IF(COUNT(CU122:CU124)=0,"",SUM(CU122:CU124))</f>
        <v>0</v>
      </c>
      <c r="CV121" s="34">
        <f>IF(AND(ISNUMBER(CW121),ISNUMBER(CU121)),CW121-CU121,"")</f>
        <v>0</v>
      </c>
      <c r="CW121" s="39">
        <f>IF(COUNT(CW122:CW124)=0,"",SUM(CW122:CW124))</f>
        <v>0</v>
      </c>
      <c r="CX121" s="34">
        <f>IF(AND(ISNUMBER(CY121),ISNUMBER(CW121)),CY121-CW121,"")</f>
        <v>0</v>
      </c>
      <c r="CY121" s="39">
        <f>IF(COUNT(CY122:CY124)=0,"",SUM(CY122:CY124))</f>
        <v>0</v>
      </c>
      <c r="CZ121" s="34">
        <f>IF(AND(ISNUMBER(DA121),ISNUMBER(CY121)),DA121-CY121,"")</f>
        <v>0</v>
      </c>
      <c r="DA121" s="39">
        <f>IF(COUNT(DA122:DA124)=0,"",SUM(DA122:DA124))</f>
        <v>0</v>
      </c>
      <c r="DB121" s="34">
        <f>IF(AND(ISNUMBER(DC121),ISNUMBER(DA121)),DC121-DA121,"")</f>
        <v>0</v>
      </c>
      <c r="DC121" s="39">
        <f>IF(COUNT(DC122:DC124)=0,"",SUM(DC122:DC124))</f>
        <v>0</v>
      </c>
      <c r="DD121" s="34">
        <f>IF(AND(ISNUMBER(DE121),ISNUMBER(DC121)),DE121-DC121,"")</f>
        <v>0</v>
      </c>
      <c r="DE121" s="39">
        <f>IF(COUNT(DE122:DE124)=0,"",SUM(DE122:DE124))</f>
        <v>0</v>
      </c>
      <c r="DF121" s="34">
        <f>IF(AND(ISNUMBER(DG121),ISNUMBER(DE121)),DG121-DE121,"")</f>
        <v>0</v>
      </c>
      <c r="DG121" s="39">
        <f>IF(COUNT(DG122:DG124)=0,"",SUM(DG122:DG124))</f>
        <v>0</v>
      </c>
      <c r="DH121" s="34">
        <f>IF(AND(ISNUMBER(DI121),ISNUMBER(DG121)),DI121-DG121,"")</f>
        <v>0</v>
      </c>
      <c r="DI121" s="39">
        <f>IF(COUNT(DI122:DI124)=0,"",SUM(DI122:DI124))</f>
        <v>0</v>
      </c>
      <c r="DJ121" s="34">
        <f>IF(AND(ISNUMBER(DK121),ISNUMBER(DI121)),DK121-DI121,"")</f>
        <v>0</v>
      </c>
      <c r="DK121" s="39">
        <f>IF(COUNT(DK122:DK124)=0,"",SUM(DK122:DK124))</f>
        <v>0</v>
      </c>
      <c r="DL121" s="34">
        <f>IF(AND(ISNUMBER(DM121),ISNUMBER(DK121)),DM121-DK121,"")</f>
        <v>0</v>
      </c>
      <c r="DM121" s="39">
        <f>IF(COUNT(DM122:DM124)=0,"",SUM(DM122:DM124))</f>
        <v>0</v>
      </c>
      <c r="DN121" s="34">
        <f>IF(AND(ISNUMBER(DO121),ISNUMBER(DM121)),DO121-DM121,"")</f>
        <v>0</v>
      </c>
      <c r="DO121" s="39">
        <f>IF(COUNT(DO122:DO124)=0,"",SUM(DO122:DO124))</f>
        <v>0</v>
      </c>
      <c r="DP121" s="34">
        <f>IF(AND(ISNUMBER(DQ121),ISNUMBER(DO121)),DQ121-DO121,"")</f>
        <v>0</v>
      </c>
      <c r="DQ121" s="39">
        <f>IF(COUNT(DQ122:DQ124)=0,"",SUM(DQ122:DQ124))</f>
        <v>0</v>
      </c>
      <c r="DR121" s="34">
        <f>IF(AND(ISNUMBER(DS121),ISNUMBER(DQ121)),DS121-DQ121,"")</f>
        <v>0</v>
      </c>
      <c r="DS121" s="39">
        <f>IF(COUNT(DS122:DS124)=0,"",SUM(DS122:DS124))</f>
        <v>0</v>
      </c>
      <c r="DT121" s="34">
        <f>IF(AND(ISNUMBER(DU121),ISNUMBER(DS121)),DU121-DS121,"")</f>
        <v>0</v>
      </c>
      <c r="DU121" s="39">
        <f>IF(COUNT(DU122:DU124)=0,"",SUM(DU122:DU124))</f>
        <v>0</v>
      </c>
      <c r="DV121" s="34">
        <f>IF(AND(ISNUMBER(DW121),ISNUMBER(DU121)),DW121-DU121,"")</f>
        <v>0</v>
      </c>
      <c r="DW121" s="39">
        <f>IF(COUNT(DW122:DW124)=0,"",SUM(DW122:DW124))</f>
        <v>0</v>
      </c>
      <c r="DX121" s="34">
        <f>IF(AND(ISNUMBER(DY121),ISNUMBER(DW121)),DY121-DW121,"")</f>
        <v>0</v>
      </c>
      <c r="DY121" s="39">
        <f>IF(COUNT(DY122:DY124)=0,"",SUM(DY122:DY124))</f>
        <v>0</v>
      </c>
      <c r="DZ121" s="34">
        <f>IF(AND(ISNUMBER(EA121),ISNUMBER(DY121)),EA121-DY121,"")</f>
        <v>0</v>
      </c>
      <c r="EA121" s="39">
        <f>IF(COUNT(EA122:EA124)=0,"",SUM(EA122:EA124))</f>
        <v>0</v>
      </c>
      <c r="EB121" s="34">
        <f>IF(AND(ISNUMBER(EC121),ISNUMBER(EA121)),EC121-EA121,"")</f>
        <v>0</v>
      </c>
      <c r="EC121" s="39">
        <f>IF(COUNT(EC122:EC124)=0,"",SUM(EC122:EC124))</f>
        <v>0</v>
      </c>
      <c r="ED121" s="34">
        <f>IF(AND(ISNUMBER(EE121),ISNUMBER(EC121)),EE121-EC121,"")</f>
        <v>0</v>
      </c>
      <c r="EE121" s="39">
        <f>IF(COUNT(EE122:EE124)=0,"",SUM(EE122:EE124))</f>
        <v>0</v>
      </c>
      <c r="EF121" s="34">
        <f>IF(AND(ISNUMBER(EG121),ISNUMBER(EE121)),EG121-EE121,"")</f>
        <v>0</v>
      </c>
      <c r="EG121" s="39">
        <f>IF(COUNT(EG122:EG124)=0,"",SUM(EG122:EG124))</f>
        <v>0</v>
      </c>
      <c r="EH121" s="34">
        <f>IF(AND(ISNUMBER(EI121),ISNUMBER(EG121)),EI121-EG121,"")</f>
        <v>0</v>
      </c>
      <c r="EI121" s="39">
        <f>IF(COUNT(EI122:EI124)=0,"",SUM(EI122:EI124))</f>
        <v>0</v>
      </c>
      <c r="EJ121" s="34">
        <f>IF(AND(ISNUMBER(EK121),ISNUMBER(EI121)),EK121-EI121,"")</f>
        <v>0</v>
      </c>
      <c r="EK121" s="39">
        <f>IF(COUNT(EK122:EK124)=0,"",SUM(EK122:EK124))</f>
        <v>0</v>
      </c>
      <c r="EL121" s="34">
        <f>IF(AND(ISNUMBER(EM121),ISNUMBER(EK121)),EM121-EK121,"")</f>
        <v>0</v>
      </c>
      <c r="EM121" s="39">
        <f>IF(COUNT(EM122:EM124)=0,"",SUM(EM122:EM124))</f>
        <v>0</v>
      </c>
      <c r="EN121" s="34">
        <f>IF(AND(ISNUMBER(EO121),ISNUMBER(EM121)),EO121-EM121,"")</f>
        <v>0</v>
      </c>
      <c r="EO121" s="39">
        <f>IF(COUNT(EO122:EO124)=0,"",SUM(EO122:EO124))</f>
        <v>0</v>
      </c>
      <c r="EP121" s="34">
        <f>IF(AND(ISNUMBER(EQ121),ISNUMBER(EO121)),EQ121-EO121,"")</f>
        <v>0</v>
      </c>
      <c r="EQ121" s="39">
        <f>IF(COUNT(EQ122:EQ124)=0,"",SUM(EQ122:EQ124))</f>
        <v>0</v>
      </c>
      <c r="ER121" s="34">
        <f>IF(AND(ISNUMBER(ES121),ISNUMBER(EQ121)),ES121-EQ121,"")</f>
        <v>0</v>
      </c>
      <c r="ES121" s="39">
        <f>IF(COUNT(ES122:ES124)=0,"",SUM(ES122:ES124))</f>
        <v>0</v>
      </c>
      <c r="ET121" s="34">
        <f>IF(AND(ISNUMBER(EU121),ISNUMBER(ES121)),EU121-ES121,"")</f>
        <v>0</v>
      </c>
      <c r="EU121" s="39">
        <f>IF(COUNT(EU122:EU124)=0,"",SUM(EU122:EU124))</f>
        <v>0</v>
      </c>
      <c r="EV121" s="34">
        <f>IF(AND(ISNUMBER(EW121),ISNUMBER(EU121)),EW121-EU121,"")</f>
        <v>0</v>
      </c>
      <c r="EW121" s="39">
        <f>IF(COUNT(EW122:EW124)=0,"",SUM(EW122:EW124))</f>
        <v>0</v>
      </c>
      <c r="EX121" s="34">
        <f>IF(AND(ISNUMBER(EY121),ISNUMBER(EW121)),EY121-EW121,"")</f>
        <v>0</v>
      </c>
      <c r="EY121" s="39">
        <f>IF(COUNT(EY122:EY124)=0,"",SUM(EY122:EY124))</f>
        <v>0</v>
      </c>
      <c r="EZ121" s="34">
        <f>IF(AND(ISNUMBER(FA121),ISNUMBER(EY121)),FA121-EY121,"")</f>
        <v>0</v>
      </c>
      <c r="FA121" s="39">
        <f>IF(COUNT(FA122:FA124)=0,"",SUM(FA122:FA124))</f>
        <v>0</v>
      </c>
      <c r="FB121" s="34">
        <f>IF(AND(ISNUMBER(FC121),ISNUMBER(FA121)),FC121-FA121,"")</f>
        <v>0</v>
      </c>
      <c r="FC121" s="39">
        <f>IF(COUNT(FC122:FC124)=0,"",SUM(FC122:FC124))</f>
        <v>0</v>
      </c>
      <c r="FD121" s="34">
        <f>IF(AND(ISNUMBER(FE121),ISNUMBER(FC121)),FE121-FC121,"")</f>
        <v>0</v>
      </c>
      <c r="FE121" s="39">
        <f>IF(COUNT(FE122:FE124)=0,"",SUM(FE122:FE124))</f>
        <v>0</v>
      </c>
      <c r="FF121" s="34">
        <f>IF(AND(ISNUMBER(FG121),ISNUMBER(FE121)),FG121-FE121,"")</f>
        <v>0</v>
      </c>
      <c r="FG121" s="39">
        <f>IF(COUNT(FG122:FG124)=0,"",SUM(FG122:FG124))</f>
        <v>0</v>
      </c>
      <c r="FH121" s="34">
        <f>IF(AND(ISNUMBER(FI121),ISNUMBER(FG121)),FI121-FG121,"")</f>
        <v>0</v>
      </c>
      <c r="FI121" s="39">
        <f>IF(COUNT(FI122:FI124)=0,"",SUM(FI122:FI124))</f>
        <v>0</v>
      </c>
      <c r="FJ121" s="34">
        <f>IF(AND(ISNUMBER(FK121),ISNUMBER(FI121)),FK121-FI121,"")</f>
        <v>0</v>
      </c>
      <c r="FK121" s="39">
        <f>IF(COUNT(FK122:FK124)=0,"",SUM(FK122:FK124))</f>
        <v>0</v>
      </c>
      <c r="FL121" s="34">
        <f>IF(AND(ISNUMBER(FM121),ISNUMBER(FK121)),FM121-FK121,"")</f>
        <v>0</v>
      </c>
      <c r="FM121" s="39">
        <f>IF(COUNT(FM122:FM124)=0,"",SUM(FM122:FM124))</f>
        <v>0</v>
      </c>
      <c r="FN121" s="34">
        <f>IF(AND(ISNUMBER(FO121),ISNUMBER(FM121)),FO121-FM121,"")</f>
        <v>0</v>
      </c>
      <c r="FO121" s="39">
        <f>IF(COUNT(FO122:FO124)=0,"",SUM(FO122:FO124))</f>
        <v>0</v>
      </c>
      <c r="FP121" s="34">
        <f>IF(AND(ISNUMBER(FQ121),ISNUMBER(FO121)),FQ121-FO121,"")</f>
        <v>0</v>
      </c>
      <c r="FQ121" s="39">
        <f>IF(COUNT(FQ122:FQ124)=0,"",SUM(FQ122:FQ124))</f>
        <v>0</v>
      </c>
      <c r="FR121" s="34">
        <f>IF(AND(ISNUMBER(FS121),ISNUMBER(FQ121)),FS121-FQ121,"")</f>
        <v>0</v>
      </c>
      <c r="FS121" s="39">
        <f>IF(COUNT(FS122:FS124)=0,"",SUM(FS122:FS124))</f>
        <v>0</v>
      </c>
      <c r="FT121" s="34">
        <f>IF(AND(ISNUMBER(FU121),ISNUMBER(FS121)),FU121-FS121,"")</f>
        <v>0</v>
      </c>
      <c r="FU121" s="39">
        <f>IF(COUNT(FU122:FU124)=0,"",SUM(FU122:FU124))</f>
        <v>0</v>
      </c>
      <c r="FV121" s="34">
        <f>IF(AND(ISNUMBER(FW121),ISNUMBER(FU121)),FW121-FU121,"")</f>
        <v>0</v>
      </c>
      <c r="FW121" s="39">
        <f>IF(COUNT(FW122:FW124)=0,"",SUM(FW122:FW124))</f>
        <v>0</v>
      </c>
      <c r="FX121" s="34">
        <f>IF(AND(ISNUMBER(FY121),ISNUMBER(FW121)),FY121-FW121,"")</f>
        <v>0</v>
      </c>
      <c r="FY121" s="39">
        <f>IF(COUNT(FY122:FY124)=0,"",SUM(FY122:FY124))</f>
        <v>0</v>
      </c>
      <c r="FZ121" s="34">
        <f>IF(AND(ISNUMBER(GA121),ISNUMBER(FY121)),GA121-FY121,"")</f>
        <v>0</v>
      </c>
      <c r="GA121" s="39">
        <f>IF(COUNT(GA122:GA124)=0,"",SUM(GA122:GA124))</f>
        <v>0</v>
      </c>
      <c r="GB121" s="34">
        <f>IF(AND(ISNUMBER(GC121),ISNUMBER(GA121)),GC121-GA121,"")</f>
        <v>0</v>
      </c>
      <c r="GC121" s="39">
        <f>IF(COUNT(GC122:GC124)=0,"",SUM(GC122:GC124))</f>
        <v>0</v>
      </c>
      <c r="GD121" s="34">
        <f>IF(AND(ISNUMBER(GE121),ISNUMBER(GC121)),GE121-GC121,"")</f>
        <v>0</v>
      </c>
      <c r="GE121" s="39">
        <f>IF(COUNT(GE122:GE124)=0,"",SUM(GE122:GE124))</f>
        <v>0</v>
      </c>
      <c r="GF121" s="34">
        <f>IF(AND(ISNUMBER(GG121),ISNUMBER(GE121)),GG121-GE121,"")</f>
        <v>0</v>
      </c>
      <c r="GG121" s="39">
        <f>IF(COUNT(GG122:GG124)=0,"",SUM(GG122:GG124))</f>
        <v>0</v>
      </c>
      <c r="GH121" s="34">
        <f>IF(AND(ISNUMBER(GI121),ISNUMBER(GG121)),GI121-GG121,"")</f>
        <v>0</v>
      </c>
      <c r="GI121" s="39">
        <f>IF(COUNT(GI122:GI124)=0,"",SUM(GI122:GI124))</f>
        <v>0</v>
      </c>
      <c r="GJ121" s="34">
        <f>IF(AND(ISNUMBER(GK121),ISNUMBER(GI121)),GK121-GI121,"")</f>
        <v>0</v>
      </c>
      <c r="GK121" s="39">
        <f>IF(COUNT(GK122:GK124)=0,"",SUM(GK122:GK124))</f>
        <v>0</v>
      </c>
      <c r="GL121" s="34">
        <f>IF(AND(ISNUMBER(GM121),ISNUMBER(GK121)),GM121-GK121,"")</f>
        <v>0</v>
      </c>
      <c r="GM121" s="39">
        <f>IF(COUNT(GM122:GM124)=0,"",SUM(GM122:GM124))</f>
        <v>0</v>
      </c>
      <c r="GN121" s="34">
        <f>IF(AND(ISNUMBER(GO121),ISNUMBER(GM121)),GO121-GM121,"")</f>
        <v>0</v>
      </c>
      <c r="GO121" s="39">
        <f>IF(COUNT(GO122:GO124)=0,"",SUM(GO122:GO124))</f>
        <v>0</v>
      </c>
      <c r="GP121" s="34">
        <f>IF(AND(ISNUMBER(GQ121),ISNUMBER(GO121)),GQ121-GO121,"")</f>
        <v>0</v>
      </c>
      <c r="GQ121" s="39">
        <f>IF(COUNT(GQ122:GQ124)=0,"",SUM(GQ122:GQ124))</f>
        <v>0</v>
      </c>
      <c r="GR121" s="34">
        <f>IF(AND(ISNUMBER(GS121),ISNUMBER(GQ121)),GS121-GQ121,"")</f>
        <v>0</v>
      </c>
      <c r="GS121" s="39">
        <f>IF(COUNT(GS122:GS124)=0,"",SUM(GS122:GS124))</f>
        <v>0</v>
      </c>
      <c r="GT121" s="34">
        <f>IF(AND(ISNUMBER(GU121),ISNUMBER(GS121)),GU121-GS121,"")</f>
        <v>0</v>
      </c>
      <c r="GU121" s="39">
        <f>IF(COUNT(GU122:GU124)=0,"",SUM(GU122:GU124))</f>
        <v>0</v>
      </c>
      <c r="GV121" s="34">
        <f>IF(AND(ISNUMBER(GW121),ISNUMBER(GU121)),GW121-GU121,"")</f>
        <v>0</v>
      </c>
      <c r="GW121" s="39">
        <f>IF(COUNT(GW122:GW124)=0,"",SUM(GW122:GW124))</f>
        <v>0</v>
      </c>
      <c r="GX121" s="34">
        <f>IF(AND(ISNUMBER(GY121),ISNUMBER(GW121)),GY121-GW121,"")</f>
        <v>0</v>
      </c>
      <c r="GY121" s="39">
        <f>IF(COUNT(GY122:GY124)=0,"",SUM(GY122:GY124))</f>
        <v>0</v>
      </c>
      <c r="GZ121" s="34">
        <f>IF(AND(ISNUMBER(HA121),ISNUMBER(GY121)),HA121-GY121,"")</f>
        <v>0</v>
      </c>
      <c r="HA121" s="33">
        <v>0</v>
      </c>
      <c r="HB121" s="34">
        <f>IF(AND(ISNUMBER(HC121),ISNUMBER(HA121)),HC121-HA121,"")</f>
        <v>0</v>
      </c>
      <c r="HC121" s="39">
        <f>IF(COUNT(HC122:HC124)=0,"",SUM(HC122:HC124))</f>
        <v>0</v>
      </c>
      <c r="HD121" s="34">
        <f>IF(AND(ISNUMBER(HE121),ISNUMBER(HC121)),HE121-HC121,"")</f>
        <v>0</v>
      </c>
      <c r="HE121" s="39">
        <f>IF(COUNT(HE122:HE124)=0,"",SUM(HE122:HE124))</f>
        <v>0</v>
      </c>
      <c r="HF121" s="34">
        <f>IF(AND(ISNUMBER(HG121),ISNUMBER(HE121)),HG121-HE121,"")</f>
        <v>0</v>
      </c>
      <c r="HG121" s="39">
        <f>IF(COUNT(HG122:HG124)=0,"",SUM(HG122:HG124))</f>
        <v>0</v>
      </c>
      <c r="HH121" s="34">
        <f>IF(AND(ISNUMBER(HI121),ISNUMBER(HG121)),HI121-HG121,"")</f>
        <v>0</v>
      </c>
      <c r="HI121" s="39">
        <f>IF(COUNT(HI122:HI124)=0,"",SUM(HI122:HI124))</f>
        <v>0</v>
      </c>
      <c r="HJ121" s="34">
        <f>IF(AND(ISNUMBER(HK121),ISNUMBER(HI121)),HK121-HI121,"")</f>
        <v>0</v>
      </c>
      <c r="HK121" s="33">
        <v>4</v>
      </c>
      <c r="HL121" s="34">
        <f>IF(AND(ISNUMBER(HM121),ISNUMBER(HK121)),HM121-HK121,"")</f>
        <v>0</v>
      </c>
      <c r="HM121" s="39">
        <f>IF(COUNT(HM122:HM124)=0,"",SUM(HM122:HM124))</f>
        <v>0</v>
      </c>
      <c r="HN121" s="34">
        <f>IF(AND(ISNUMBER(HO121),ISNUMBER(HM121)),HO121-HM121,"")</f>
        <v>0</v>
      </c>
      <c r="HO121" s="39">
        <f>IF(COUNT(HO122:HO124)=0,"",SUM(HO122:HO124))</f>
        <v>0</v>
      </c>
      <c r="HP121" s="34">
        <f>IF(AND(ISNUMBER(HQ121),ISNUMBER(HO121)),HQ121-HO121,"")</f>
        <v>0</v>
      </c>
      <c r="HQ121" s="39">
        <f>IF(COUNT(HQ122:HQ124)=0,"",SUM(HQ122:HQ124))</f>
        <v>0</v>
      </c>
      <c r="HR121" s="34">
        <f>IF(AND(ISNUMBER(HS121),ISNUMBER(HQ121)),HS121-HQ121,"")</f>
        <v>0</v>
      </c>
      <c r="HS121" s="39">
        <f>IF(COUNT(HS122:HS124)=0,"",SUM(HS122:HS124))</f>
        <v>0</v>
      </c>
      <c r="HT121" s="34">
        <f>IF(AND(ISNUMBER(HU121),ISNUMBER(HS121)),HU121-HS121,"")</f>
        <v>0</v>
      </c>
      <c r="HU121" s="39">
        <f>IF(COUNT(HU122:HU124)=0,"",SUM(HU122:HU124))</f>
        <v>0</v>
      </c>
      <c r="HV121" s="34">
        <f>IF(AND(ISNUMBER(HW121),ISNUMBER(HU121)),HW121-HU121,"")</f>
        <v>0</v>
      </c>
      <c r="HW121" s="39">
        <f>IF(COUNT(HW122:HW124)=0,"",SUM(HW122:HW124))</f>
        <v>0</v>
      </c>
      <c r="HX121" s="34">
        <f>IF(AND(ISNUMBER(HY121),ISNUMBER(HW121)),HY121-HW121,"")</f>
        <v>0</v>
      </c>
      <c r="HY121" s="39">
        <f>IF(COUNT(HY122:HY124)=0,"",SUM(HY122:HY124))</f>
        <v>0</v>
      </c>
      <c r="HZ121" s="34">
        <f>IF(AND(ISNUMBER(IA121),ISNUMBER(HY121)),IA121-HY121,"")</f>
        <v>0</v>
      </c>
      <c r="IA121" s="39">
        <f>IF(COUNT(IA122:IA124)=0,"",SUM(IA122:IA124))</f>
        <v>0</v>
      </c>
      <c r="IB121" s="34">
        <f>IF(AND(ISNUMBER(IC121),ISNUMBER(IA121)),IC121-IA121,"")</f>
        <v>0</v>
      </c>
      <c r="IC121" s="39">
        <f>IF(COUNT(IC122:IC124)=0,"",SUM(IC122:IC124))</f>
        <v>0</v>
      </c>
      <c r="ID121" s="34">
        <f>IF(AND(ISNUMBER(IE121),ISNUMBER(IC121)),IE121-IC121,"")</f>
        <v>0</v>
      </c>
      <c r="IE121" s="39">
        <f>IF(COUNT(IE122:IE124)=0,"",SUM(IE122:IE124))</f>
        <v>0</v>
      </c>
      <c r="IF121" s="34">
        <f>IF(AND(ISNUMBER(IG121),ISNUMBER(IE121)),IG121-IE121,"")</f>
        <v>0</v>
      </c>
      <c r="IG121" s="39">
        <f>IF(COUNT(IG122:IG124)=0,"",SUM(IG122:IG124))</f>
        <v>0</v>
      </c>
      <c r="IH121" s="34">
        <f>IF(AND(ISNUMBER(II121),ISNUMBER(IG121)),II121-IG121,"")</f>
        <v>0</v>
      </c>
      <c r="II121" s="39">
        <f>IF(COUNT(II122:II124)=0,"",SUM(II122:II124))</f>
        <v>0</v>
      </c>
      <c r="IJ121" s="34">
        <f>IF(AND(ISNUMBER(IK121),ISNUMBER(II121)),IK121-II121,"")</f>
        <v>0</v>
      </c>
      <c r="IK121" s="39">
        <f>IF(COUNT(IK122:IK124)=0,"",SUM(IK122:IK124))</f>
        <v>0</v>
      </c>
      <c r="IL121" s="34">
        <f>IF(AND(ISNUMBER(IM121),ISNUMBER(IK121)),IM121-IK121,"")</f>
        <v>0</v>
      </c>
      <c r="IM121" s="39">
        <f>IF(COUNT(IM122:IM124)=0,"",SUM(IM122:IM124))</f>
        <v>0</v>
      </c>
      <c r="IN121" s="34">
        <f>IF(AND(ISNUMBER(IO121),ISNUMBER(IM121)),IO121-IM121,"")</f>
        <v>0</v>
      </c>
      <c r="IO121" s="39">
        <f>IF(COUNT(IO122:IO124)=0,"",SUM(IO122:IO124))</f>
        <v>0</v>
      </c>
      <c r="IP121" s="34">
        <f>IF(AND(ISNUMBER(IQ121),ISNUMBER(IO121)),IQ121-IO121,"")</f>
        <v>0</v>
      </c>
      <c r="IQ121" s="39">
        <f>IF(COUNT(IQ122:IQ124)=0,"",SUM(IQ122:IQ124))</f>
        <v>0</v>
      </c>
      <c r="IR121" s="34">
        <f>IF(AND(ISNUMBER(IS121),ISNUMBER(IQ121)),IS121-IQ121,"")</f>
        <v>0</v>
      </c>
      <c r="IS121" s="39">
        <f>IF(COUNT(IS122:IS124)=0,"",SUM(IS122:IS124))</f>
        <v>0</v>
      </c>
      <c r="IT121" s="34">
        <f>IF(AND(ISNUMBER(IU121),ISNUMBER(IS121)),IU121-IS121,"")</f>
        <v>0</v>
      </c>
      <c r="IU121" s="39">
        <f>IF(COUNT(IU122:IU124)=0,"",SUM(IU122:IU124))</f>
        <v>0</v>
      </c>
      <c r="IV121" s="34">
        <f>IF(AND(ISNUMBER(IW121),ISNUMBER(IU121)),IW121-IU121,"")</f>
        <v>0</v>
      </c>
      <c r="IW121" s="39">
        <f>IF(COUNT(IW122:IW124)=0,"",SUM(IW122:IW124))</f>
        <v>0</v>
      </c>
      <c r="IX121" s="34">
        <f>IF(AND(ISNUMBER(IY121),ISNUMBER(IW121)),IY121-IW121,"")</f>
        <v>0</v>
      </c>
      <c r="IY121" s="39">
        <f>IF(COUNT(IY122:IY124)=0,"",SUM(IY122:IY124))</f>
        <v>0</v>
      </c>
      <c r="IZ121" s="34">
        <f>IF(AND(ISNUMBER(JA121),ISNUMBER(IY121)),JA121-IY121,"")</f>
        <v>0</v>
      </c>
      <c r="JA121" s="39">
        <f>IF(COUNT(JA122:JA124)=0,"",SUM(JA122:JA124))</f>
        <v>0</v>
      </c>
      <c r="JB121" s="34">
        <f>IF(AND(ISNUMBER(JC121),ISNUMBER(JA121)),JC121-JA121,"")</f>
        <v>0</v>
      </c>
      <c r="JC121" s="39">
        <f>IF(COUNT(JC122:JC124)=0,"",SUM(JC122:JC124))</f>
        <v>0</v>
      </c>
      <c r="JD121" s="34">
        <f>IF(AND(ISNUMBER(JE121),ISNUMBER(JC121)),JE121-JC121,"")</f>
        <v>0</v>
      </c>
      <c r="JE121" s="39">
        <f>IF(COUNT(JE122:JE124)=0,"",SUM(JE122:JE124))</f>
        <v>0</v>
      </c>
      <c r="JF121" s="34">
        <f>IF(AND(ISNUMBER(JG121),ISNUMBER(JE121)),JG121-JE121,"")</f>
        <v>0</v>
      </c>
      <c r="JG121" s="39">
        <f>IF(COUNT(JG122:JG124)=0,"",SUM(JG122:JG124))</f>
        <v>0</v>
      </c>
      <c r="JH121" s="34">
        <f>IF(AND(ISNUMBER(JI121),ISNUMBER(JG121)),JI121-JG121,"")</f>
        <v>0</v>
      </c>
      <c r="JI121" s="39">
        <f>IF(COUNT(JI122:JI124)=0,"",SUM(JI122:JI124))</f>
        <v>0</v>
      </c>
      <c r="JJ121" s="34">
        <f>IF(AND(ISNUMBER(JK121),ISNUMBER(JI121)),JK121-JI121,"")</f>
        <v>0</v>
      </c>
      <c r="JK121" s="39">
        <f>IF(COUNT(JK122:JK124)=0,"",SUM(JK122:JK124))</f>
        <v>0</v>
      </c>
      <c r="JL121" s="34">
        <f>IF(AND(ISNUMBER(JM121),ISNUMBER(JK121)),JM121-JK121,"")</f>
        <v>0</v>
      </c>
      <c r="JM121" s="39">
        <f>IF(COUNT(JM122:JM124)=0,"",SUM(JM122:JM124))</f>
        <v>0</v>
      </c>
      <c r="JN121" s="34">
        <f>IF(AND(ISNUMBER(JO121),ISNUMBER(JM121)),JO121-JM121,"")</f>
        <v>0</v>
      </c>
      <c r="JO121" s="39">
        <f>IF(COUNT(JO122:JO124)=0,"",SUM(JO122:JO124))</f>
        <v>0</v>
      </c>
      <c r="JP121" s="34">
        <f>IF(AND(ISNUMBER(JQ121),ISNUMBER(JO121)),JQ121-JO121,"")</f>
        <v>0</v>
      </c>
      <c r="JQ121" s="39">
        <f>IF(COUNT(JQ122:JQ124)=0,"",SUM(JQ122:JQ124))</f>
        <v>0</v>
      </c>
      <c r="JR121" s="34">
        <f>IF(AND(ISNUMBER(JS121),ISNUMBER(JQ121)),JS121-JQ121,"")</f>
        <v>0</v>
      </c>
      <c r="JS121" s="39">
        <f>IF(COUNT(JS122:JS124)=0,"",SUM(JS122:JS124))</f>
        <v>0</v>
      </c>
      <c r="JT121" s="34">
        <f>IF(AND(ISNUMBER(JU121),ISNUMBER(JS121)),JU121-JS121,"")</f>
        <v>0</v>
      </c>
      <c r="JU121" s="39">
        <f>IF(COUNT(JU122:JU124)=0,"",SUM(JU122:JU124))</f>
        <v>0</v>
      </c>
      <c r="JV121" s="34">
        <f>IF(AND(ISNUMBER(JW121),ISNUMBER(JU121)),JW121-JU121,"")</f>
        <v>0</v>
      </c>
      <c r="JW121" s="39">
        <f>IF(COUNT(JW122:JW124)=0,"",SUM(JW122:JW124))</f>
        <v>0</v>
      </c>
      <c r="JX121" s="34">
        <f>IF(AND(ISNUMBER(JY121),ISNUMBER(JW121)),JY121-JW121,"")</f>
        <v>0</v>
      </c>
      <c r="JY121" s="39">
        <f>IF(COUNT(JY122:JY124)=0,"",SUM(JY122:JY124))</f>
        <v>0</v>
      </c>
      <c r="JZ121" s="34">
        <f>IF(AND(ISNUMBER(KA121),ISNUMBER(JY121)),KA121-JY121,"")</f>
        <v>0</v>
      </c>
      <c r="KA121" s="39">
        <f>IF(COUNT(KA122:KA124)=0,"",SUM(KA122:KA124))</f>
        <v>0</v>
      </c>
      <c r="KB121" s="34">
        <f>IF(AND(ISNUMBER(KC121),ISNUMBER(KA121)),KC121-KA121,"")</f>
        <v>0</v>
      </c>
      <c r="KC121" s="39">
        <f>IF(COUNT(KC122:KC124)=0,"",SUM(KC122:KC124))</f>
        <v>0</v>
      </c>
      <c r="KD121" s="34">
        <f>IF(AND(ISNUMBER(KE121),ISNUMBER(KC121)),KE121-KC121,"")</f>
        <v>0</v>
      </c>
      <c r="KE121" s="39">
        <f>IF(COUNT(KE122:KE124)=0,"",SUM(KE122:KE124))</f>
        <v>0</v>
      </c>
      <c r="KF121" s="34">
        <f>IF(AND(ISNUMBER(KG121),ISNUMBER(KE121)),KG121-KE121,"")</f>
        <v>0</v>
      </c>
      <c r="KG121" s="39">
        <f>IF(COUNT(KG122:KG124)=0,"",SUM(KG122:KG124))</f>
        <v>0</v>
      </c>
      <c r="KH121" s="34">
        <f>IF(AND(ISNUMBER(KI121),ISNUMBER(KG121)),KI121-KG121,"")</f>
        <v>0</v>
      </c>
      <c r="KI121" s="39">
        <f>IF(COUNT(KI122:KI124)=0,"",SUM(KI122:KI124))</f>
        <v>0</v>
      </c>
      <c r="KJ121" s="34">
        <f>IF(AND(ISNUMBER(KK121),ISNUMBER(KI121)),KK121-KI121,"")</f>
        <v>0</v>
      </c>
      <c r="KK121" s="39">
        <f>IF(COUNT(KK122:KK124)=0,"",SUM(KK122:KK124))</f>
        <v>0</v>
      </c>
      <c r="KL121" s="34">
        <f>IF(AND(ISNUMBER(KM121),ISNUMBER(KK121)),KM121-KK121,"")</f>
        <v>0</v>
      </c>
      <c r="KM121" s="39">
        <f>IF(COUNT(KM122:KM124)=0,"",SUM(KM122:KM124))</f>
        <v>0</v>
      </c>
      <c r="KN121" s="34">
        <f>IF(AND(ISNUMBER(KO121),ISNUMBER(KM121)),KO121-KM121,"")</f>
        <v>0</v>
      </c>
      <c r="KO121" s="39">
        <f>IF(COUNT(KO122:KO124)=0,"",SUM(KO122:KO124))</f>
        <v>0</v>
      </c>
      <c r="KP121" s="34">
        <f>IF(AND(ISNUMBER(KQ121),ISNUMBER(KO121)),KQ121-KO121,"")</f>
        <v>0</v>
      </c>
      <c r="KQ121" s="39">
        <f>IF(COUNT(KQ122:KQ124)=0,"",SUM(KQ122:KQ124))</f>
        <v>0</v>
      </c>
      <c r="KR121" s="34">
        <f>IF(AND(ISNUMBER(KS121),ISNUMBER(KQ121)),KS121-KQ121,"")</f>
        <v>0</v>
      </c>
      <c r="KS121" s="39">
        <f>IF(COUNT(KS122:KS124)=0,"",SUM(KS122:KS124))</f>
        <v>0</v>
      </c>
      <c r="KT121" s="34">
        <f>IF(AND(ISNUMBER(KU121),ISNUMBER(KS121)),KU121-KS121,"")</f>
        <v>0</v>
      </c>
      <c r="KU121" s="39">
        <f>IF(COUNT(KU122:KU124)=0,"",SUM(KU122:KU124))</f>
        <v>0</v>
      </c>
      <c r="KV121" s="34">
        <f>IF(AND(ISNUMBER(KW121),ISNUMBER(KU121)),KW121-KU121,"")</f>
        <v>0</v>
      </c>
      <c r="KW121" s="39">
        <f>IF(COUNT(KW122:KW124)=0,"",SUM(KW122:KW124))</f>
        <v>0</v>
      </c>
      <c r="KX121" s="34">
        <f>IF(AND(ISNUMBER(KY121),ISNUMBER(KW121)),KY121-KW121,"")</f>
        <v>0</v>
      </c>
      <c r="KY121" s="39">
        <f>IF(COUNT(KY122:KY124)=0,"",SUM(KY122:KY124))</f>
        <v>0</v>
      </c>
      <c r="KZ121" s="34">
        <f>IF(AND(ISNUMBER(LA121),ISNUMBER(KY121)),LA121-KY121,"")</f>
        <v>0</v>
      </c>
      <c r="LA121" s="39">
        <f>IF(COUNT(LA122:LA124)=0,"",SUM(LA122:LA124))</f>
        <v>0</v>
      </c>
      <c r="LB121" s="34">
        <f>IF(AND(ISNUMBER(LC121),ISNUMBER(LA121)),LC121-LA121,"")</f>
        <v>0</v>
      </c>
      <c r="LC121" s="39">
        <f>IF(COUNT(LC122:LC124)=0,"",SUM(LC122:LC124))</f>
        <v>0</v>
      </c>
      <c r="LD121" s="34">
        <f>IF(AND(ISNUMBER(LE121),ISNUMBER(LC121)),LE121-LC121,"")</f>
        <v>0</v>
      </c>
      <c r="LE121" s="39">
        <f>IF(COUNT(LE122:LE124)=0,"",SUM(LE122:LE124))</f>
        <v>0</v>
      </c>
      <c r="LF121" s="34">
        <f>IF(AND(ISNUMBER(LG121),ISNUMBER(LE121)),LG121-LE121,"")</f>
        <v>0</v>
      </c>
      <c r="LG121" s="39">
        <f>IF(COUNT(LG122:LG124)=0,"",SUM(LG122:LG124))</f>
        <v>0</v>
      </c>
    </row>
    <row r="122" spans="1:322">
      <c r="B122" s="23"/>
      <c r="C122" s="31" t="s">
        <v>891</v>
      </c>
      <c r="E122" s="32" t="s">
        <v>1139</v>
      </c>
      <c r="I122" s="33"/>
      <c r="J122" s="34">
        <f>IF(AND(ISNUMBER(K122),ISNUMBER(I122)),K122-I122,"")</f>
        <v>0</v>
      </c>
      <c r="K122" s="33"/>
      <c r="L122" s="34">
        <f>IF(AND(ISNUMBER(M122),ISNUMBER(K122)),M122-K122,"")</f>
        <v>0</v>
      </c>
      <c r="M122" s="33"/>
      <c r="N122" s="34">
        <f>IF(AND(ISNUMBER(O122),ISNUMBER(M122)),O122-M122,"")</f>
        <v>0</v>
      </c>
      <c r="O122" s="33"/>
      <c r="P122" s="34">
        <f>IF(AND(ISNUMBER(Q122),ISNUMBER(O122)),Q122-O122,"")</f>
        <v>0</v>
      </c>
      <c r="Q122" s="33"/>
      <c r="R122" s="34">
        <f>IF(AND(ISNUMBER(S122),ISNUMBER(Q122)),S122-Q122,"")</f>
        <v>0</v>
      </c>
      <c r="S122" s="33"/>
      <c r="T122" s="34">
        <f>IF(AND(ISNUMBER(U122),ISNUMBER(S122)),U122-S122,"")</f>
        <v>0</v>
      </c>
      <c r="U122" s="33"/>
      <c r="V122" s="34">
        <f>IF(AND(ISNUMBER(W122),ISNUMBER(U122)),W122-U122,"")</f>
        <v>0</v>
      </c>
      <c r="W122" s="33"/>
      <c r="X122" s="34">
        <f>IF(AND(ISNUMBER(Y122),ISNUMBER(W122)),Y122-W122,"")</f>
        <v>0</v>
      </c>
      <c r="Y122" s="33"/>
      <c r="Z122" s="34">
        <f>IF(AND(ISNUMBER(AA122),ISNUMBER(Y122)),AA122-Y122,"")</f>
        <v>0</v>
      </c>
      <c r="AA122" s="33"/>
      <c r="AB122" s="34">
        <f>IF(AND(ISNUMBER(AC122),ISNUMBER(AA122)),AC122-AA122,"")</f>
        <v>0</v>
      </c>
      <c r="AC122" s="33"/>
      <c r="AD122" s="34">
        <f>IF(AND(ISNUMBER(AE122),ISNUMBER(AC122)),AE122-AC122,"")</f>
        <v>0</v>
      </c>
      <c r="AE122" s="33"/>
      <c r="AF122" s="34">
        <f>IF(AND(ISNUMBER(AG122),ISNUMBER(AE122)),AG122-AE122,"")</f>
        <v>0</v>
      </c>
      <c r="AG122" s="33"/>
      <c r="AH122" s="34">
        <f>IF(AND(ISNUMBER(AI122),ISNUMBER(AG122)),AI122-AG122,"")</f>
        <v>0</v>
      </c>
      <c r="AI122" s="33"/>
      <c r="AJ122" s="34">
        <f>IF(AND(ISNUMBER(AK122),ISNUMBER(AI122)),AK122-AI122,"")</f>
        <v>0</v>
      </c>
      <c r="AK122" s="33"/>
      <c r="AL122" s="34">
        <f>IF(AND(ISNUMBER(AM122),ISNUMBER(AK122)),AM122-AK122,"")</f>
        <v>0</v>
      </c>
      <c r="AM122" s="33"/>
      <c r="AN122" s="34">
        <f>IF(AND(ISNUMBER(AO122),ISNUMBER(AM122)),AO122-AM122,"")</f>
        <v>0</v>
      </c>
      <c r="AO122" s="33"/>
      <c r="AP122" s="34">
        <f>IF(AND(ISNUMBER(AQ122),ISNUMBER(AO122)),AQ122-AO122,"")</f>
        <v>0</v>
      </c>
      <c r="AQ122" s="33"/>
      <c r="AR122" s="34">
        <f>IF(AND(ISNUMBER(AS122),ISNUMBER(AQ122)),AS122-AQ122,"")</f>
        <v>0</v>
      </c>
      <c r="AS122" s="33"/>
      <c r="AT122" s="34">
        <f>IF(AND(ISNUMBER(AU122),ISNUMBER(AS122)),AU122-AS122,"")</f>
        <v>0</v>
      </c>
      <c r="AU122" s="33"/>
      <c r="AV122" s="34">
        <f>IF(AND(ISNUMBER(AW122),ISNUMBER(AU122)),AW122-AU122,"")</f>
        <v>0</v>
      </c>
      <c r="AW122" s="33"/>
      <c r="AX122" s="34">
        <f>IF(AND(ISNUMBER(AY122),ISNUMBER(AW122)),AY122-AW122,"")</f>
        <v>0</v>
      </c>
      <c r="AY122" s="33"/>
      <c r="AZ122" s="34">
        <f>IF(AND(ISNUMBER(BA122),ISNUMBER(AY122)),BA122-AY122,"")</f>
        <v>0</v>
      </c>
      <c r="BA122" s="33"/>
      <c r="BB122" s="34">
        <f>IF(AND(ISNUMBER(BC122),ISNUMBER(BA122)),BC122-BA122,"")</f>
        <v>0</v>
      </c>
      <c r="BC122" s="33"/>
      <c r="BD122" s="34">
        <f>IF(AND(ISNUMBER(BE122),ISNUMBER(BC122)),BE122-BC122,"")</f>
        <v>0</v>
      </c>
      <c r="BE122" s="33"/>
      <c r="BF122" s="34">
        <f>IF(AND(ISNUMBER(BG122),ISNUMBER(BE122)),BG122-BE122,"")</f>
        <v>0</v>
      </c>
      <c r="BG122" s="33"/>
      <c r="BH122" s="34">
        <f>IF(AND(ISNUMBER(BI122),ISNUMBER(BG122)),BI122-BG122,"")</f>
        <v>0</v>
      </c>
      <c r="BI122" s="33"/>
      <c r="BJ122" s="34">
        <f>IF(AND(ISNUMBER(BK122),ISNUMBER(BI122)),BK122-BI122,"")</f>
        <v>0</v>
      </c>
      <c r="BK122" s="33"/>
      <c r="BL122" s="34">
        <f>IF(AND(ISNUMBER(BM122),ISNUMBER(BK122)),BM122-BK122,"")</f>
        <v>0</v>
      </c>
      <c r="BM122" s="33"/>
      <c r="BN122" s="34">
        <f>IF(AND(ISNUMBER(BO122),ISNUMBER(BM122)),BO122-BM122,"")</f>
        <v>0</v>
      </c>
      <c r="BO122" s="33"/>
      <c r="BP122" s="34">
        <f>IF(AND(ISNUMBER(BQ122),ISNUMBER(BO122)),BQ122-BO122,"")</f>
        <v>0</v>
      </c>
      <c r="BQ122" s="33"/>
      <c r="BR122" s="34">
        <f>IF(AND(ISNUMBER(BS122),ISNUMBER(BQ122)),BS122-BQ122,"")</f>
        <v>0</v>
      </c>
      <c r="BS122" s="33"/>
      <c r="BT122" s="34">
        <f>IF(AND(ISNUMBER(BU122),ISNUMBER(BS122)),BU122-BS122,"")</f>
        <v>0</v>
      </c>
      <c r="BU122" s="33"/>
      <c r="BV122" s="34">
        <f>IF(AND(ISNUMBER(BW122),ISNUMBER(BU122)),BW122-BU122,"")</f>
        <v>0</v>
      </c>
      <c r="BW122" s="33"/>
      <c r="BX122" s="34">
        <f>IF(AND(ISNUMBER(BY122),ISNUMBER(BW122)),BY122-BW122,"")</f>
        <v>0</v>
      </c>
      <c r="BY122" s="33"/>
      <c r="BZ122" s="34">
        <f>IF(AND(ISNUMBER(CA122),ISNUMBER(BY122)),CA122-BY122,"")</f>
        <v>0</v>
      </c>
      <c r="CA122" s="33"/>
      <c r="CB122" s="34">
        <f>IF(AND(ISNUMBER(CC122),ISNUMBER(CA122)),CC122-CA122,"")</f>
        <v>0</v>
      </c>
      <c r="CC122" s="33"/>
      <c r="CD122" s="34">
        <f>IF(AND(ISNUMBER(CE122),ISNUMBER(CC122)),CE122-CC122,"")</f>
        <v>0</v>
      </c>
      <c r="CE122" s="33"/>
      <c r="CF122" s="34">
        <f>IF(AND(ISNUMBER(CG122),ISNUMBER(CE122)),CG122-CE122,"")</f>
        <v>0</v>
      </c>
      <c r="CG122" s="33"/>
      <c r="CH122" s="34">
        <f>IF(AND(ISNUMBER(CI122),ISNUMBER(CG122)),CI122-CG122,"")</f>
        <v>0</v>
      </c>
      <c r="CI122" s="33">
        <v>1</v>
      </c>
      <c r="CJ122" s="34">
        <f>IF(AND(ISNUMBER(CK122),ISNUMBER(CI122)),CK122-CI122,"")</f>
        <v>0</v>
      </c>
      <c r="CK122" s="33">
        <v>2</v>
      </c>
      <c r="CL122" s="34">
        <f>IF(AND(ISNUMBER(CM122),ISNUMBER(CK122)),CM122-CK122,"")</f>
        <v>0</v>
      </c>
      <c r="CM122" s="33">
        <v>2</v>
      </c>
      <c r="CN122" s="34">
        <f>IF(AND(ISNUMBER(CO122),ISNUMBER(CM122)),CO122-CM122,"")</f>
        <v>0</v>
      </c>
      <c r="CO122" s="33">
        <v>9</v>
      </c>
      <c r="CP122" s="34">
        <f>IF(AND(ISNUMBER(CQ122),ISNUMBER(CO122)),CQ122-CO122,"")</f>
        <v>0</v>
      </c>
      <c r="CQ122" s="33">
        <v>10</v>
      </c>
      <c r="CR122" s="34">
        <f>IF(AND(ISNUMBER(CS122),ISNUMBER(CQ122)),CS122-CQ122,"")</f>
        <v>0</v>
      </c>
      <c r="CS122" s="33">
        <v>2</v>
      </c>
      <c r="CT122" s="34">
        <f>IF(AND(ISNUMBER(CU122),ISNUMBER(CS122)),CU122-CS122,"")</f>
        <v>0</v>
      </c>
      <c r="CU122" s="33">
        <v>9</v>
      </c>
      <c r="CV122" s="34">
        <f>IF(AND(ISNUMBER(CW122),ISNUMBER(CU122)),CW122-CU122,"")</f>
        <v>0</v>
      </c>
      <c r="CW122" s="33">
        <v>2</v>
      </c>
      <c r="CX122" s="34">
        <f>IF(AND(ISNUMBER(CY122),ISNUMBER(CW122)),CY122-CW122,"")</f>
        <v>0</v>
      </c>
      <c r="CY122" s="33">
        <v>0</v>
      </c>
      <c r="CZ122" s="34">
        <f>IF(AND(ISNUMBER(DA122),ISNUMBER(CY122)),DA122-CY122,"")</f>
        <v>0</v>
      </c>
      <c r="DA122" s="33">
        <v>23</v>
      </c>
      <c r="DB122" s="34">
        <f>IF(AND(ISNUMBER(DC122),ISNUMBER(DA122)),DC122-DA122,"")</f>
        <v>0</v>
      </c>
      <c r="DC122" s="33">
        <v>6</v>
      </c>
      <c r="DD122" s="34">
        <f>IF(AND(ISNUMBER(DE122),ISNUMBER(DC122)),DE122-DC122,"")</f>
        <v>0</v>
      </c>
      <c r="DE122" s="33">
        <v>3</v>
      </c>
      <c r="DF122" s="34">
        <f>IF(AND(ISNUMBER(DG122),ISNUMBER(DE122)),DG122-DE122,"")</f>
        <v>0</v>
      </c>
      <c r="DG122" s="33">
        <v>2</v>
      </c>
      <c r="DH122" s="34">
        <f>IF(AND(ISNUMBER(DI122),ISNUMBER(DG122)),DI122-DG122,"")</f>
        <v>0</v>
      </c>
      <c r="DI122" s="33">
        <v>11</v>
      </c>
      <c r="DJ122" s="34">
        <f>IF(AND(ISNUMBER(DK122),ISNUMBER(DI122)),DK122-DI122,"")</f>
        <v>0</v>
      </c>
      <c r="DK122" s="33">
        <v>1</v>
      </c>
      <c r="DL122" s="34">
        <f>IF(AND(ISNUMBER(DM122),ISNUMBER(DK122)),DM122-DK122,"")</f>
        <v>0</v>
      </c>
      <c r="DM122" s="33">
        <v>6</v>
      </c>
      <c r="DN122" s="34">
        <f>IF(AND(ISNUMBER(DO122),ISNUMBER(DM122)),DO122-DM122,"")</f>
        <v>0</v>
      </c>
      <c r="DO122" s="33">
        <v>1</v>
      </c>
      <c r="DP122" s="34">
        <f>IF(AND(ISNUMBER(DQ122),ISNUMBER(DO122)),DQ122-DO122,"")</f>
        <v>0</v>
      </c>
      <c r="DQ122" s="33">
        <v>27</v>
      </c>
      <c r="DR122" s="34">
        <f>IF(AND(ISNUMBER(DS122),ISNUMBER(DQ122)),DS122-DQ122,"")</f>
        <v>0</v>
      </c>
      <c r="DS122" s="33">
        <v>49</v>
      </c>
      <c r="DT122" s="34">
        <f>IF(AND(ISNUMBER(DU122),ISNUMBER(DS122)),DU122-DS122,"")</f>
        <v>0</v>
      </c>
      <c r="DU122" s="33">
        <v>4</v>
      </c>
      <c r="DV122" s="34">
        <f>IF(AND(ISNUMBER(DW122),ISNUMBER(DU122)),DW122-DU122,"")</f>
        <v>0</v>
      </c>
      <c r="DW122" s="33">
        <v>0</v>
      </c>
      <c r="DX122" s="34">
        <f>IF(AND(ISNUMBER(DY122),ISNUMBER(DW122)),DY122-DW122,"")</f>
        <v>0</v>
      </c>
      <c r="DY122" s="33">
        <v>5</v>
      </c>
      <c r="DZ122" s="34">
        <f>IF(AND(ISNUMBER(EA122),ISNUMBER(DY122)),EA122-DY122,"")</f>
        <v>0</v>
      </c>
      <c r="EA122" s="33">
        <v>3</v>
      </c>
      <c r="EB122" s="34">
        <f>IF(AND(ISNUMBER(EC122),ISNUMBER(EA122)),EC122-EA122,"")</f>
        <v>0</v>
      </c>
      <c r="EC122" s="33">
        <v>1</v>
      </c>
      <c r="ED122" s="34">
        <f>IF(AND(ISNUMBER(EE122),ISNUMBER(EC122)),EE122-EC122,"")</f>
        <v>0</v>
      </c>
      <c r="EE122" s="33">
        <v>1</v>
      </c>
      <c r="EF122" s="34">
        <f>IF(AND(ISNUMBER(EG122),ISNUMBER(EE122)),EG122-EE122,"")</f>
        <v>0</v>
      </c>
      <c r="EG122" s="33">
        <v>1</v>
      </c>
      <c r="EH122" s="34">
        <f>IF(AND(ISNUMBER(EI122),ISNUMBER(EG122)),EI122-EG122,"")</f>
        <v>0</v>
      </c>
      <c r="EI122" s="33">
        <v>1</v>
      </c>
      <c r="EJ122" s="34">
        <f>IF(AND(ISNUMBER(EK122),ISNUMBER(EI122)),EK122-EI122,"")</f>
        <v>0</v>
      </c>
      <c r="EK122" s="33">
        <v>0</v>
      </c>
      <c r="EL122" s="34">
        <f>IF(AND(ISNUMBER(EM122),ISNUMBER(EK122)),EM122-EK122,"")</f>
        <v>0</v>
      </c>
      <c r="EM122" s="33">
        <v>2</v>
      </c>
      <c r="EN122" s="34">
        <f>IF(AND(ISNUMBER(EO122),ISNUMBER(EM122)),EO122-EM122,"")</f>
        <v>0</v>
      </c>
      <c r="EO122" s="33">
        <v>0</v>
      </c>
      <c r="EP122" s="34">
        <f>IF(AND(ISNUMBER(EQ122),ISNUMBER(EO122)),EQ122-EO122,"")</f>
        <v>0</v>
      </c>
      <c r="EQ122" s="33">
        <v>2</v>
      </c>
      <c r="ER122" s="34">
        <f>IF(AND(ISNUMBER(ES122),ISNUMBER(EQ122)),ES122-EQ122,"")</f>
        <v>0</v>
      </c>
      <c r="ES122" s="33">
        <v>2</v>
      </c>
      <c r="ET122" s="34">
        <f>IF(AND(ISNUMBER(EU122),ISNUMBER(ES122)),EU122-ES122,"")</f>
        <v>0</v>
      </c>
      <c r="EU122" s="33">
        <v>0</v>
      </c>
      <c r="EV122" s="34">
        <f>IF(AND(ISNUMBER(EW122),ISNUMBER(EU122)),EW122-EU122,"")</f>
        <v>0</v>
      </c>
      <c r="EW122" s="33">
        <v>1</v>
      </c>
      <c r="EX122" s="34">
        <f>IF(AND(ISNUMBER(EY122),ISNUMBER(EW122)),EY122-EW122,"")</f>
        <v>0</v>
      </c>
      <c r="EY122" s="33">
        <v>0</v>
      </c>
      <c r="EZ122" s="34">
        <f>IF(AND(ISNUMBER(FA122),ISNUMBER(EY122)),FA122-EY122,"")</f>
        <v>0</v>
      </c>
      <c r="FA122" s="33">
        <v>0</v>
      </c>
      <c r="FB122" s="34">
        <f>IF(AND(ISNUMBER(FC122),ISNUMBER(FA122)),FC122-FA122,"")</f>
        <v>0</v>
      </c>
      <c r="FC122" s="33">
        <v>0</v>
      </c>
      <c r="FD122" s="34">
        <f>IF(AND(ISNUMBER(FE122),ISNUMBER(FC122)),FE122-FC122,"")</f>
        <v>0</v>
      </c>
      <c r="FE122" s="33">
        <v>1</v>
      </c>
      <c r="FF122" s="34">
        <f>IF(AND(ISNUMBER(FG122),ISNUMBER(FE122)),FG122-FE122,"")</f>
        <v>0</v>
      </c>
      <c r="FG122" s="33">
        <v>0</v>
      </c>
      <c r="FH122" s="34">
        <f>IF(AND(ISNUMBER(FI122),ISNUMBER(FG122)),FI122-FG122,"")</f>
        <v>0</v>
      </c>
      <c r="FI122" s="33">
        <v>0</v>
      </c>
      <c r="FJ122" s="34">
        <f>IF(AND(ISNUMBER(FK122),ISNUMBER(FI122)),FK122-FI122,"")</f>
        <v>0</v>
      </c>
      <c r="FK122" s="33">
        <v>0</v>
      </c>
      <c r="FL122" s="34">
        <f>IF(AND(ISNUMBER(FM122),ISNUMBER(FK122)),FM122-FK122,"")</f>
        <v>0</v>
      </c>
      <c r="FM122" s="33">
        <v>0</v>
      </c>
      <c r="FN122" s="34">
        <f>IF(AND(ISNUMBER(FO122),ISNUMBER(FM122)),FO122-FM122,"")</f>
        <v>0</v>
      </c>
      <c r="FO122" s="33">
        <v>0</v>
      </c>
      <c r="FP122" s="34">
        <f>IF(AND(ISNUMBER(FQ122),ISNUMBER(FO122)),FQ122-FO122,"")</f>
        <v>0</v>
      </c>
      <c r="FQ122" s="33">
        <v>0</v>
      </c>
      <c r="FR122" s="34">
        <f>IF(AND(ISNUMBER(FS122),ISNUMBER(FQ122)),FS122-FQ122,"")</f>
        <v>0</v>
      </c>
      <c r="FS122" s="33">
        <v>0</v>
      </c>
      <c r="FT122" s="34">
        <f>IF(AND(ISNUMBER(FU122),ISNUMBER(FS122)),FU122-FS122,"")</f>
        <v>0</v>
      </c>
      <c r="FU122" s="33">
        <v>0</v>
      </c>
      <c r="FV122" s="34">
        <f>IF(AND(ISNUMBER(FW122),ISNUMBER(FU122)),FW122-FU122,"")</f>
        <v>0</v>
      </c>
      <c r="FW122" s="33">
        <v>0</v>
      </c>
      <c r="FX122" s="34">
        <f>IF(AND(ISNUMBER(FY122),ISNUMBER(FW122)),FY122-FW122,"")</f>
        <v>0</v>
      </c>
      <c r="FY122" s="33">
        <v>0</v>
      </c>
      <c r="FZ122" s="34">
        <f>IF(AND(ISNUMBER(GA122),ISNUMBER(FY122)),GA122-FY122,"")</f>
        <v>0</v>
      </c>
      <c r="GA122" s="33">
        <v>0</v>
      </c>
      <c r="GB122" s="34">
        <f>IF(AND(ISNUMBER(GC122),ISNUMBER(GA122)),GC122-GA122,"")</f>
        <v>0</v>
      </c>
      <c r="GC122" s="33">
        <v>0</v>
      </c>
      <c r="GD122" s="34">
        <f>IF(AND(ISNUMBER(GE122),ISNUMBER(GC122)),GE122-GC122,"")</f>
        <v>0</v>
      </c>
      <c r="GE122" s="33">
        <v>0</v>
      </c>
      <c r="GF122" s="34">
        <f>IF(AND(ISNUMBER(GG122),ISNUMBER(GE122)),GG122-GE122,"")</f>
        <v>0</v>
      </c>
      <c r="GG122" s="33">
        <v>0</v>
      </c>
      <c r="GH122" s="34">
        <f>IF(AND(ISNUMBER(GI122),ISNUMBER(GG122)),GI122-GG122,"")</f>
        <v>0</v>
      </c>
      <c r="GI122" s="33">
        <v>0</v>
      </c>
      <c r="GJ122" s="34">
        <f>IF(AND(ISNUMBER(GK122),ISNUMBER(GI122)),GK122-GI122,"")</f>
        <v>0</v>
      </c>
      <c r="GK122" s="33">
        <v>0</v>
      </c>
      <c r="GL122" s="34">
        <f>IF(AND(ISNUMBER(GM122),ISNUMBER(GK122)),GM122-GK122,"")</f>
        <v>0</v>
      </c>
      <c r="GM122" s="33">
        <v>0</v>
      </c>
      <c r="GN122" s="34">
        <f>IF(AND(ISNUMBER(GO122),ISNUMBER(GM122)),GO122-GM122,"")</f>
        <v>0</v>
      </c>
      <c r="GO122" s="33">
        <v>0</v>
      </c>
      <c r="GP122" s="34">
        <f>IF(AND(ISNUMBER(GQ122),ISNUMBER(GO122)),GQ122-GO122,"")</f>
        <v>0</v>
      </c>
      <c r="GQ122" s="33">
        <v>0</v>
      </c>
      <c r="GR122" s="34">
        <f>IF(AND(ISNUMBER(GS122),ISNUMBER(GQ122)),GS122-GQ122,"")</f>
        <v>0</v>
      </c>
      <c r="GS122" s="33">
        <v>0</v>
      </c>
      <c r="GT122" s="34">
        <f>IF(AND(ISNUMBER(GU122),ISNUMBER(GS122)),GU122-GS122,"")</f>
        <v>0</v>
      </c>
      <c r="GU122" s="33">
        <v>0</v>
      </c>
      <c r="GV122" s="34">
        <f>IF(AND(ISNUMBER(GW122),ISNUMBER(GU122)),GW122-GU122,"")</f>
        <v>0</v>
      </c>
      <c r="GW122" s="33">
        <v>0</v>
      </c>
      <c r="GX122" s="34">
        <f>IF(AND(ISNUMBER(GY122),ISNUMBER(GW122)),GY122-GW122,"")</f>
        <v>0</v>
      </c>
      <c r="GY122" s="33">
        <v>0</v>
      </c>
      <c r="GZ122" s="34">
        <f>IF(AND(ISNUMBER(HA122),ISNUMBER(GY122)),HA122-GY122,"")</f>
        <v>0</v>
      </c>
      <c r="HA122" s="33">
        <v>0</v>
      </c>
      <c r="HB122" s="34">
        <f>IF(AND(ISNUMBER(HC122),ISNUMBER(HA122)),HC122-HA122,"")</f>
        <v>0</v>
      </c>
      <c r="HC122" s="33">
        <v>0</v>
      </c>
      <c r="HD122" s="34">
        <f>IF(AND(ISNUMBER(HE122),ISNUMBER(HC122)),HE122-HC122,"")</f>
        <v>0</v>
      </c>
      <c r="HE122" s="33">
        <v>0</v>
      </c>
      <c r="HF122" s="34">
        <f>IF(AND(ISNUMBER(HG122),ISNUMBER(HE122)),HG122-HE122,"")</f>
        <v>0</v>
      </c>
      <c r="HG122" s="33">
        <v>0</v>
      </c>
      <c r="HH122" s="34">
        <f>IF(AND(ISNUMBER(HI122),ISNUMBER(HG122)),HI122-HG122,"")</f>
        <v>0</v>
      </c>
      <c r="HI122" s="33">
        <v>0</v>
      </c>
      <c r="HJ122" s="34">
        <f>IF(AND(ISNUMBER(HK122),ISNUMBER(HI122)),HK122-HI122,"")</f>
        <v>0</v>
      </c>
      <c r="HK122" s="33">
        <v>0</v>
      </c>
      <c r="HL122" s="34">
        <f>IF(AND(ISNUMBER(HM122),ISNUMBER(HK122)),HM122-HK122,"")</f>
        <v>0</v>
      </c>
      <c r="HM122" s="33">
        <v>0</v>
      </c>
      <c r="HN122" s="34">
        <f>IF(AND(ISNUMBER(HO122),ISNUMBER(HM122)),HO122-HM122,"")</f>
        <v>0</v>
      </c>
      <c r="HO122" s="33">
        <v>0</v>
      </c>
      <c r="HP122" s="34">
        <f>IF(AND(ISNUMBER(HQ122),ISNUMBER(HO122)),HQ122-HO122,"")</f>
        <v>0</v>
      </c>
      <c r="HQ122" s="33">
        <v>0</v>
      </c>
      <c r="HR122" s="34">
        <f>IF(AND(ISNUMBER(HS122),ISNUMBER(HQ122)),HS122-HQ122,"")</f>
        <v>0</v>
      </c>
      <c r="HS122" s="33">
        <v>0</v>
      </c>
      <c r="HT122" s="34">
        <f>IF(AND(ISNUMBER(HU122),ISNUMBER(HS122)),HU122-HS122,"")</f>
        <v>0</v>
      </c>
      <c r="HU122" s="33">
        <v>0</v>
      </c>
      <c r="HV122" s="34">
        <f>IF(AND(ISNUMBER(HW122),ISNUMBER(HU122)),HW122-HU122,"")</f>
        <v>0</v>
      </c>
      <c r="HW122" s="33">
        <v>0</v>
      </c>
      <c r="HX122" s="34">
        <f>IF(AND(ISNUMBER(HY122),ISNUMBER(HW122)),HY122-HW122,"")</f>
        <v>0</v>
      </c>
      <c r="HY122" s="33">
        <v>0</v>
      </c>
      <c r="HZ122" s="34">
        <f>IF(AND(ISNUMBER(IA122),ISNUMBER(HY122)),IA122-HY122,"")</f>
        <v>0</v>
      </c>
      <c r="IA122" s="33">
        <v>0</v>
      </c>
      <c r="IB122" s="34">
        <f>IF(AND(ISNUMBER(IC122),ISNUMBER(IA122)),IC122-IA122,"")</f>
        <v>0</v>
      </c>
      <c r="IC122" s="33">
        <v>0</v>
      </c>
      <c r="ID122" s="34">
        <f>IF(AND(ISNUMBER(IE122),ISNUMBER(IC122)),IE122-IC122,"")</f>
        <v>0</v>
      </c>
      <c r="IE122" s="33">
        <v>0</v>
      </c>
      <c r="IF122" s="34">
        <f>IF(AND(ISNUMBER(IG122),ISNUMBER(IE122)),IG122-IE122,"")</f>
        <v>0</v>
      </c>
      <c r="IG122" s="33">
        <v>0</v>
      </c>
      <c r="IH122" s="34">
        <f>IF(AND(ISNUMBER(II122),ISNUMBER(IG122)),II122-IG122,"")</f>
        <v>0</v>
      </c>
      <c r="II122" s="33">
        <v>0</v>
      </c>
      <c r="IJ122" s="34">
        <f>IF(AND(ISNUMBER(IK122),ISNUMBER(II122)),IK122-II122,"")</f>
        <v>0</v>
      </c>
      <c r="IK122" s="33">
        <v>0</v>
      </c>
      <c r="IL122" s="34">
        <f>IF(AND(ISNUMBER(IM122),ISNUMBER(IK122)),IM122-IK122,"")</f>
        <v>0</v>
      </c>
      <c r="IM122" s="33">
        <v>0</v>
      </c>
      <c r="IN122" s="34">
        <f>IF(AND(ISNUMBER(IO122),ISNUMBER(IM122)),IO122-IM122,"")</f>
        <v>0</v>
      </c>
      <c r="IO122" s="33">
        <v>0</v>
      </c>
      <c r="IP122" s="34">
        <f>IF(AND(ISNUMBER(IQ122),ISNUMBER(IO122)),IQ122-IO122,"")</f>
        <v>0</v>
      </c>
      <c r="IQ122" s="33">
        <v>0</v>
      </c>
      <c r="IR122" s="34">
        <f>IF(AND(ISNUMBER(IS122),ISNUMBER(IQ122)),IS122-IQ122,"")</f>
        <v>0</v>
      </c>
      <c r="IS122" s="33">
        <v>0</v>
      </c>
      <c r="IT122" s="34">
        <f>IF(AND(ISNUMBER(IU122),ISNUMBER(IS122)),IU122-IS122,"")</f>
        <v>0</v>
      </c>
      <c r="IU122" s="33">
        <v>0</v>
      </c>
      <c r="IV122" s="34">
        <f>IF(AND(ISNUMBER(IW122),ISNUMBER(IU122)),IW122-IU122,"")</f>
        <v>0</v>
      </c>
      <c r="IW122" s="33">
        <v>0</v>
      </c>
      <c r="IX122" s="34">
        <f>IF(AND(ISNUMBER(IY122),ISNUMBER(IW122)),IY122-IW122,"")</f>
        <v>0</v>
      </c>
      <c r="IY122" s="33">
        <v>0</v>
      </c>
      <c r="IZ122" s="34">
        <f>IF(AND(ISNUMBER(JA122),ISNUMBER(IY122)),JA122-IY122,"")</f>
        <v>0</v>
      </c>
      <c r="JA122" s="33">
        <v>0</v>
      </c>
      <c r="JB122" s="34">
        <f>IF(AND(ISNUMBER(JC122),ISNUMBER(JA122)),JC122-JA122,"")</f>
        <v>0</v>
      </c>
      <c r="JC122" s="33">
        <v>0</v>
      </c>
      <c r="JD122" s="34">
        <f>IF(AND(ISNUMBER(JE122),ISNUMBER(JC122)),JE122-JC122,"")</f>
        <v>0</v>
      </c>
      <c r="JE122" s="33">
        <v>0</v>
      </c>
      <c r="JF122" s="34">
        <f>IF(AND(ISNUMBER(JG122),ISNUMBER(JE122)),JG122-JE122,"")</f>
        <v>0</v>
      </c>
      <c r="JG122" s="33">
        <v>0</v>
      </c>
      <c r="JH122" s="34">
        <f>IF(AND(ISNUMBER(JI122),ISNUMBER(JG122)),JI122-JG122,"")</f>
        <v>0</v>
      </c>
      <c r="JI122" s="33">
        <v>0</v>
      </c>
      <c r="JJ122" s="34">
        <f>IF(AND(ISNUMBER(JK122),ISNUMBER(JI122)),JK122-JI122,"")</f>
        <v>0</v>
      </c>
      <c r="JK122" s="33">
        <v>0</v>
      </c>
      <c r="JL122" s="34">
        <f>IF(AND(ISNUMBER(JM122),ISNUMBER(JK122)),JM122-JK122,"")</f>
        <v>0</v>
      </c>
      <c r="JM122" s="33">
        <v>0</v>
      </c>
      <c r="JN122" s="34">
        <f>IF(AND(ISNUMBER(JO122),ISNUMBER(JM122)),JO122-JM122,"")</f>
        <v>0</v>
      </c>
      <c r="JO122" s="33">
        <v>0</v>
      </c>
      <c r="JP122" s="34">
        <f>IF(AND(ISNUMBER(JQ122),ISNUMBER(JO122)),JQ122-JO122,"")</f>
        <v>0</v>
      </c>
      <c r="JQ122" s="33">
        <v>0</v>
      </c>
      <c r="JR122" s="34">
        <f>IF(AND(ISNUMBER(JS122),ISNUMBER(JQ122)),JS122-JQ122,"")</f>
        <v>0</v>
      </c>
      <c r="JS122" s="33">
        <v>0</v>
      </c>
      <c r="JT122" s="34">
        <f>IF(AND(ISNUMBER(JU122),ISNUMBER(JS122)),JU122-JS122,"")</f>
        <v>0</v>
      </c>
      <c r="JU122" s="33">
        <v>0</v>
      </c>
      <c r="JV122" s="34">
        <f>IF(AND(ISNUMBER(JW122),ISNUMBER(JU122)),JW122-JU122,"")</f>
        <v>0</v>
      </c>
      <c r="JW122" s="33">
        <v>0</v>
      </c>
      <c r="JX122" s="34">
        <f>IF(AND(ISNUMBER(JY122),ISNUMBER(JW122)),JY122-JW122,"")</f>
        <v>0</v>
      </c>
      <c r="JY122" s="33">
        <v>0</v>
      </c>
      <c r="JZ122" s="34">
        <f>IF(AND(ISNUMBER(KA122),ISNUMBER(JY122)),KA122-JY122,"")</f>
        <v>0</v>
      </c>
      <c r="KA122" s="33"/>
      <c r="KB122" s="34">
        <f>IF(AND(ISNUMBER(KC122),ISNUMBER(KA122)),KC122-KA122,"")</f>
        <v>0</v>
      </c>
      <c r="KC122" s="33"/>
      <c r="KD122" s="34">
        <f>IF(AND(ISNUMBER(KE122),ISNUMBER(KC122)),KE122-KC122,"")</f>
        <v>0</v>
      </c>
      <c r="KE122" s="33"/>
      <c r="KF122" s="34">
        <f>IF(AND(ISNUMBER(KG122),ISNUMBER(KE122)),KG122-KE122,"")</f>
        <v>0</v>
      </c>
      <c r="KG122" s="33"/>
      <c r="KH122" s="34">
        <f>IF(AND(ISNUMBER(KI122),ISNUMBER(KG122)),KI122-KG122,"")</f>
        <v>0</v>
      </c>
      <c r="KI122" s="33"/>
      <c r="KJ122" s="34">
        <f>IF(AND(ISNUMBER(KK122),ISNUMBER(KI122)),KK122-KI122,"")</f>
        <v>0</v>
      </c>
      <c r="KK122" s="33"/>
      <c r="KL122" s="34">
        <f>IF(AND(ISNUMBER(KM122),ISNUMBER(KK122)),KM122-KK122,"")</f>
        <v>0</v>
      </c>
      <c r="KM122" s="33"/>
      <c r="KN122" s="34">
        <f>IF(AND(ISNUMBER(KO122),ISNUMBER(KM122)),KO122-KM122,"")</f>
        <v>0</v>
      </c>
      <c r="KO122" s="33"/>
      <c r="KP122" s="34">
        <f>IF(AND(ISNUMBER(KQ122),ISNUMBER(KO122)),KQ122-KO122,"")</f>
        <v>0</v>
      </c>
      <c r="KQ122" s="33"/>
      <c r="KR122" s="34">
        <f>IF(AND(ISNUMBER(KS122),ISNUMBER(KQ122)),KS122-KQ122,"")</f>
        <v>0</v>
      </c>
      <c r="KS122" s="33"/>
      <c r="KT122" s="34">
        <f>IF(AND(ISNUMBER(KU122),ISNUMBER(KS122)),KU122-KS122,"")</f>
        <v>0</v>
      </c>
      <c r="KU122" s="33"/>
      <c r="KV122" s="34">
        <f>IF(AND(ISNUMBER(KW122),ISNUMBER(KU122)),KW122-KU122,"")</f>
        <v>0</v>
      </c>
      <c r="KW122" s="33"/>
      <c r="KX122" s="34">
        <f>IF(AND(ISNUMBER(KY122),ISNUMBER(KW122)),KY122-KW122,"")</f>
        <v>0</v>
      </c>
      <c r="KY122" s="33"/>
      <c r="KZ122" s="34">
        <f>IF(AND(ISNUMBER(LA122),ISNUMBER(KY122)),LA122-KY122,"")</f>
        <v>0</v>
      </c>
      <c r="LA122" s="33"/>
      <c r="LB122" s="34">
        <f>IF(AND(ISNUMBER(LC122),ISNUMBER(LA122)),LC122-LA122,"")</f>
        <v>0</v>
      </c>
      <c r="LC122" s="33"/>
      <c r="LD122" s="34">
        <f>IF(AND(ISNUMBER(LE122),ISNUMBER(LC122)),LE122-LC122,"")</f>
        <v>0</v>
      </c>
      <c r="LE122" s="33"/>
      <c r="LF122" s="34">
        <f>IF(AND(ISNUMBER(LG122),ISNUMBER(LE122)),LG122-LE122,"")</f>
        <v>0</v>
      </c>
      <c r="LG122" s="33"/>
    </row>
    <row r="123" spans="1:322">
      <c r="B123" s="23"/>
      <c r="C123" s="31" t="s">
        <v>893</v>
      </c>
      <c r="E123" s="32" t="s">
        <v>1139</v>
      </c>
      <c r="I123" s="33"/>
      <c r="J123" s="34">
        <f>IF(AND(ISNUMBER(K123),ISNUMBER(I123)),K123-I123,"")</f>
        <v>0</v>
      </c>
      <c r="K123" s="33"/>
      <c r="L123" s="34">
        <f>IF(AND(ISNUMBER(M123),ISNUMBER(K123)),M123-K123,"")</f>
        <v>0</v>
      </c>
      <c r="M123" s="33"/>
      <c r="N123" s="34">
        <f>IF(AND(ISNUMBER(O123),ISNUMBER(M123)),O123-M123,"")</f>
        <v>0</v>
      </c>
      <c r="O123" s="33"/>
      <c r="P123" s="34">
        <f>IF(AND(ISNUMBER(Q123),ISNUMBER(O123)),Q123-O123,"")</f>
        <v>0</v>
      </c>
      <c r="Q123" s="33"/>
      <c r="R123" s="34">
        <f>IF(AND(ISNUMBER(S123),ISNUMBER(Q123)),S123-Q123,"")</f>
        <v>0</v>
      </c>
      <c r="S123" s="33"/>
      <c r="T123" s="34">
        <f>IF(AND(ISNUMBER(U123),ISNUMBER(S123)),U123-S123,"")</f>
        <v>0</v>
      </c>
      <c r="U123" s="33"/>
      <c r="V123" s="34">
        <f>IF(AND(ISNUMBER(W123),ISNUMBER(U123)),W123-U123,"")</f>
        <v>0</v>
      </c>
      <c r="W123" s="33"/>
      <c r="X123" s="34">
        <f>IF(AND(ISNUMBER(Y123),ISNUMBER(W123)),Y123-W123,"")</f>
        <v>0</v>
      </c>
      <c r="Y123" s="33"/>
      <c r="Z123" s="34">
        <f>IF(AND(ISNUMBER(AA123),ISNUMBER(Y123)),AA123-Y123,"")</f>
        <v>0</v>
      </c>
      <c r="AA123" s="33"/>
      <c r="AB123" s="34">
        <f>IF(AND(ISNUMBER(AC123),ISNUMBER(AA123)),AC123-AA123,"")</f>
        <v>0</v>
      </c>
      <c r="AC123" s="33"/>
      <c r="AD123" s="34">
        <f>IF(AND(ISNUMBER(AE123),ISNUMBER(AC123)),AE123-AC123,"")</f>
        <v>0</v>
      </c>
      <c r="AE123" s="33"/>
      <c r="AF123" s="34">
        <f>IF(AND(ISNUMBER(AG123),ISNUMBER(AE123)),AG123-AE123,"")</f>
        <v>0</v>
      </c>
      <c r="AG123" s="33"/>
      <c r="AH123" s="34">
        <f>IF(AND(ISNUMBER(AI123),ISNUMBER(AG123)),AI123-AG123,"")</f>
        <v>0</v>
      </c>
      <c r="AI123" s="33"/>
      <c r="AJ123" s="34">
        <f>IF(AND(ISNUMBER(AK123),ISNUMBER(AI123)),AK123-AI123,"")</f>
        <v>0</v>
      </c>
      <c r="AK123" s="33"/>
      <c r="AL123" s="34">
        <f>IF(AND(ISNUMBER(AM123),ISNUMBER(AK123)),AM123-AK123,"")</f>
        <v>0</v>
      </c>
      <c r="AM123" s="33"/>
      <c r="AN123" s="34">
        <f>IF(AND(ISNUMBER(AO123),ISNUMBER(AM123)),AO123-AM123,"")</f>
        <v>0</v>
      </c>
      <c r="AO123" s="33"/>
      <c r="AP123" s="34">
        <f>IF(AND(ISNUMBER(AQ123),ISNUMBER(AO123)),AQ123-AO123,"")</f>
        <v>0</v>
      </c>
      <c r="AQ123" s="33"/>
      <c r="AR123" s="34">
        <f>IF(AND(ISNUMBER(AS123),ISNUMBER(AQ123)),AS123-AQ123,"")</f>
        <v>0</v>
      </c>
      <c r="AS123" s="33"/>
      <c r="AT123" s="34">
        <f>IF(AND(ISNUMBER(AU123),ISNUMBER(AS123)),AU123-AS123,"")</f>
        <v>0</v>
      </c>
      <c r="AU123" s="33"/>
      <c r="AV123" s="34">
        <f>IF(AND(ISNUMBER(AW123),ISNUMBER(AU123)),AW123-AU123,"")</f>
        <v>0</v>
      </c>
      <c r="AW123" s="33"/>
      <c r="AX123" s="34">
        <f>IF(AND(ISNUMBER(AY123),ISNUMBER(AW123)),AY123-AW123,"")</f>
        <v>0</v>
      </c>
      <c r="AY123" s="33"/>
      <c r="AZ123" s="34">
        <f>IF(AND(ISNUMBER(BA123),ISNUMBER(AY123)),BA123-AY123,"")</f>
        <v>0</v>
      </c>
      <c r="BA123" s="33"/>
      <c r="BB123" s="34">
        <f>IF(AND(ISNUMBER(BC123),ISNUMBER(BA123)),BC123-BA123,"")</f>
        <v>0</v>
      </c>
      <c r="BC123" s="33"/>
      <c r="BD123" s="34">
        <f>IF(AND(ISNUMBER(BE123),ISNUMBER(BC123)),BE123-BC123,"")</f>
        <v>0</v>
      </c>
      <c r="BE123" s="33"/>
      <c r="BF123" s="34">
        <f>IF(AND(ISNUMBER(BG123),ISNUMBER(BE123)),BG123-BE123,"")</f>
        <v>0</v>
      </c>
      <c r="BG123" s="33"/>
      <c r="BH123" s="34">
        <f>IF(AND(ISNUMBER(BI123),ISNUMBER(BG123)),BI123-BG123,"")</f>
        <v>0</v>
      </c>
      <c r="BI123" s="33"/>
      <c r="BJ123" s="34">
        <f>IF(AND(ISNUMBER(BK123),ISNUMBER(BI123)),BK123-BI123,"")</f>
        <v>0</v>
      </c>
      <c r="BK123" s="33"/>
      <c r="BL123" s="34">
        <f>IF(AND(ISNUMBER(BM123),ISNUMBER(BK123)),BM123-BK123,"")</f>
        <v>0</v>
      </c>
      <c r="BM123" s="33"/>
      <c r="BN123" s="34">
        <f>IF(AND(ISNUMBER(BO123),ISNUMBER(BM123)),BO123-BM123,"")</f>
        <v>0</v>
      </c>
      <c r="BO123" s="33"/>
      <c r="BP123" s="34">
        <f>IF(AND(ISNUMBER(BQ123),ISNUMBER(BO123)),BQ123-BO123,"")</f>
        <v>0</v>
      </c>
      <c r="BQ123" s="33"/>
      <c r="BR123" s="34">
        <f>IF(AND(ISNUMBER(BS123),ISNUMBER(BQ123)),BS123-BQ123,"")</f>
        <v>0</v>
      </c>
      <c r="BS123" s="33"/>
      <c r="BT123" s="34">
        <f>IF(AND(ISNUMBER(BU123),ISNUMBER(BS123)),BU123-BS123,"")</f>
        <v>0</v>
      </c>
      <c r="BU123" s="33"/>
      <c r="BV123" s="34">
        <f>IF(AND(ISNUMBER(BW123),ISNUMBER(BU123)),BW123-BU123,"")</f>
        <v>0</v>
      </c>
      <c r="BW123" s="33"/>
      <c r="BX123" s="34">
        <f>IF(AND(ISNUMBER(BY123),ISNUMBER(BW123)),BY123-BW123,"")</f>
        <v>0</v>
      </c>
      <c r="BY123" s="33"/>
      <c r="BZ123" s="34">
        <f>IF(AND(ISNUMBER(CA123),ISNUMBER(BY123)),CA123-BY123,"")</f>
        <v>0</v>
      </c>
      <c r="CA123" s="33"/>
      <c r="CB123" s="34">
        <f>IF(AND(ISNUMBER(CC123),ISNUMBER(CA123)),CC123-CA123,"")</f>
        <v>0</v>
      </c>
      <c r="CC123" s="33"/>
      <c r="CD123" s="34">
        <f>IF(AND(ISNUMBER(CE123),ISNUMBER(CC123)),CE123-CC123,"")</f>
        <v>0</v>
      </c>
      <c r="CE123" s="33"/>
      <c r="CF123" s="34">
        <f>IF(AND(ISNUMBER(CG123),ISNUMBER(CE123)),CG123-CE123,"")</f>
        <v>0</v>
      </c>
      <c r="CG123" s="33"/>
      <c r="CH123" s="34">
        <f>IF(AND(ISNUMBER(CI123),ISNUMBER(CG123)),CI123-CG123,"")</f>
        <v>0</v>
      </c>
      <c r="CI123" s="33">
        <v>18</v>
      </c>
      <c r="CJ123" s="34">
        <f>IF(AND(ISNUMBER(CK123),ISNUMBER(CI123)),CK123-CI123,"")</f>
        <v>0</v>
      </c>
      <c r="CK123" s="33">
        <v>18</v>
      </c>
      <c r="CL123" s="34">
        <f>IF(AND(ISNUMBER(CM123),ISNUMBER(CK123)),CM123-CK123,"")</f>
        <v>0</v>
      </c>
      <c r="CM123" s="33">
        <v>7</v>
      </c>
      <c r="CN123" s="34">
        <f>IF(AND(ISNUMBER(CO123),ISNUMBER(CM123)),CO123-CM123,"")</f>
        <v>0</v>
      </c>
      <c r="CO123" s="33">
        <v>9</v>
      </c>
      <c r="CP123" s="34">
        <f>IF(AND(ISNUMBER(CQ123),ISNUMBER(CO123)),CQ123-CO123,"")</f>
        <v>0</v>
      </c>
      <c r="CQ123" s="33">
        <v>5</v>
      </c>
      <c r="CR123" s="34">
        <f>IF(AND(ISNUMBER(CS123),ISNUMBER(CQ123)),CS123-CQ123,"")</f>
        <v>0</v>
      </c>
      <c r="CS123" s="33">
        <v>8</v>
      </c>
      <c r="CT123" s="34">
        <f>IF(AND(ISNUMBER(CU123),ISNUMBER(CS123)),CU123-CS123,"")</f>
        <v>0</v>
      </c>
      <c r="CU123" s="33">
        <v>15</v>
      </c>
      <c r="CV123" s="34">
        <f>IF(AND(ISNUMBER(CW123),ISNUMBER(CU123)),CW123-CU123,"")</f>
        <v>0</v>
      </c>
      <c r="CW123" s="33">
        <v>6</v>
      </c>
      <c r="CX123" s="34">
        <f>IF(AND(ISNUMBER(CY123),ISNUMBER(CW123)),CY123-CW123,"")</f>
        <v>0</v>
      </c>
      <c r="CY123" s="33">
        <v>2</v>
      </c>
      <c r="CZ123" s="34">
        <f>IF(AND(ISNUMBER(DA123),ISNUMBER(CY123)),DA123-CY123,"")</f>
        <v>0</v>
      </c>
      <c r="DA123" s="33">
        <v>20</v>
      </c>
      <c r="DB123" s="34">
        <f>IF(AND(ISNUMBER(DC123),ISNUMBER(DA123)),DC123-DA123,"")</f>
        <v>0</v>
      </c>
      <c r="DC123" s="33">
        <v>17</v>
      </c>
      <c r="DD123" s="34">
        <f>IF(AND(ISNUMBER(DE123),ISNUMBER(DC123)),DE123-DC123,"")</f>
        <v>0</v>
      </c>
      <c r="DE123" s="33">
        <v>8</v>
      </c>
      <c r="DF123" s="34">
        <f>IF(AND(ISNUMBER(DG123),ISNUMBER(DE123)),DG123-DE123,"")</f>
        <v>0</v>
      </c>
      <c r="DG123" s="33">
        <v>6</v>
      </c>
      <c r="DH123" s="34">
        <f>IF(AND(ISNUMBER(DI123),ISNUMBER(DG123)),DI123-DG123,"")</f>
        <v>0</v>
      </c>
      <c r="DI123" s="33">
        <v>5</v>
      </c>
      <c r="DJ123" s="34">
        <f>IF(AND(ISNUMBER(DK123),ISNUMBER(DI123)),DK123-DI123,"")</f>
        <v>0</v>
      </c>
      <c r="DK123" s="33">
        <v>33</v>
      </c>
      <c r="DL123" s="34">
        <f>IF(AND(ISNUMBER(DM123),ISNUMBER(DK123)),DM123-DK123,"")</f>
        <v>0</v>
      </c>
      <c r="DM123" s="33">
        <v>26</v>
      </c>
      <c r="DN123" s="34">
        <f>IF(AND(ISNUMBER(DO123),ISNUMBER(DM123)),DO123-DM123,"")</f>
        <v>0</v>
      </c>
      <c r="DO123" s="33">
        <v>16</v>
      </c>
      <c r="DP123" s="34">
        <f>IF(AND(ISNUMBER(DQ123),ISNUMBER(DO123)),DQ123-DO123,"")</f>
        <v>0</v>
      </c>
      <c r="DQ123" s="33">
        <v>25</v>
      </c>
      <c r="DR123" s="34">
        <f>IF(AND(ISNUMBER(DS123),ISNUMBER(DQ123)),DS123-DQ123,"")</f>
        <v>0</v>
      </c>
      <c r="DS123" s="33">
        <v>4</v>
      </c>
      <c r="DT123" s="34">
        <f>IF(AND(ISNUMBER(DU123),ISNUMBER(DS123)),DU123-DS123,"")</f>
        <v>0</v>
      </c>
      <c r="DU123" s="33">
        <v>16</v>
      </c>
      <c r="DV123" s="34">
        <f>IF(AND(ISNUMBER(DW123),ISNUMBER(DU123)),DW123-DU123,"")</f>
        <v>0</v>
      </c>
      <c r="DW123" s="33">
        <v>26</v>
      </c>
      <c r="DX123" s="34">
        <f>IF(AND(ISNUMBER(DY123),ISNUMBER(DW123)),DY123-DW123,"")</f>
        <v>0</v>
      </c>
      <c r="DY123" s="33">
        <v>12</v>
      </c>
      <c r="DZ123" s="34">
        <f>IF(AND(ISNUMBER(EA123),ISNUMBER(DY123)),EA123-DY123,"")</f>
        <v>0</v>
      </c>
      <c r="EA123" s="33">
        <v>15</v>
      </c>
      <c r="EB123" s="34">
        <f>IF(AND(ISNUMBER(EC123),ISNUMBER(EA123)),EC123-EA123,"")</f>
        <v>0</v>
      </c>
      <c r="EC123" s="33">
        <v>6</v>
      </c>
      <c r="ED123" s="34">
        <f>IF(AND(ISNUMBER(EE123),ISNUMBER(EC123)),EE123-EC123,"")</f>
        <v>0</v>
      </c>
      <c r="EE123" s="33">
        <v>6</v>
      </c>
      <c r="EF123" s="34">
        <f>IF(AND(ISNUMBER(EG123),ISNUMBER(EE123)),EG123-EE123,"")</f>
        <v>0</v>
      </c>
      <c r="EG123" s="33">
        <v>5</v>
      </c>
      <c r="EH123" s="34">
        <f>IF(AND(ISNUMBER(EI123),ISNUMBER(EG123)),EI123-EG123,"")</f>
        <v>0</v>
      </c>
      <c r="EI123" s="33">
        <v>14</v>
      </c>
      <c r="EJ123" s="34">
        <f>IF(AND(ISNUMBER(EK123),ISNUMBER(EI123)),EK123-EI123,"")</f>
        <v>0</v>
      </c>
      <c r="EK123" s="33">
        <v>16</v>
      </c>
      <c r="EL123" s="34">
        <f>IF(AND(ISNUMBER(EM123),ISNUMBER(EK123)),EM123-EK123,"")</f>
        <v>0</v>
      </c>
      <c r="EM123" s="33">
        <v>15</v>
      </c>
      <c r="EN123" s="34">
        <f>IF(AND(ISNUMBER(EO123),ISNUMBER(EM123)),EO123-EM123,"")</f>
        <v>0</v>
      </c>
      <c r="EO123" s="33">
        <v>3</v>
      </c>
      <c r="EP123" s="34">
        <f>IF(AND(ISNUMBER(EQ123),ISNUMBER(EO123)),EQ123-EO123,"")</f>
        <v>0</v>
      </c>
      <c r="EQ123" s="33">
        <v>12</v>
      </c>
      <c r="ER123" s="34">
        <f>IF(AND(ISNUMBER(ES123),ISNUMBER(EQ123)),ES123-EQ123,"")</f>
        <v>0</v>
      </c>
      <c r="ES123" s="33">
        <v>12</v>
      </c>
      <c r="ET123" s="34">
        <f>IF(AND(ISNUMBER(EU123),ISNUMBER(ES123)),EU123-ES123,"")</f>
        <v>0</v>
      </c>
      <c r="EU123" s="33">
        <v>14</v>
      </c>
      <c r="EV123" s="34">
        <f>IF(AND(ISNUMBER(EW123),ISNUMBER(EU123)),EW123-EU123,"")</f>
        <v>0</v>
      </c>
      <c r="EW123" s="33">
        <v>5</v>
      </c>
      <c r="EX123" s="34">
        <f>IF(AND(ISNUMBER(EY123),ISNUMBER(EW123)),EY123-EW123,"")</f>
        <v>0</v>
      </c>
      <c r="EY123" s="33">
        <v>16</v>
      </c>
      <c r="EZ123" s="34">
        <f>IF(AND(ISNUMBER(FA123),ISNUMBER(EY123)),FA123-EY123,"")</f>
        <v>0</v>
      </c>
      <c r="FA123" s="33">
        <v>0</v>
      </c>
      <c r="FB123" s="34">
        <f>IF(AND(ISNUMBER(FC123),ISNUMBER(FA123)),FC123-FA123,"")</f>
        <v>0</v>
      </c>
      <c r="FC123" s="33">
        <v>4</v>
      </c>
      <c r="FD123" s="34">
        <f>IF(AND(ISNUMBER(FE123),ISNUMBER(FC123)),FE123-FC123,"")</f>
        <v>0</v>
      </c>
      <c r="FE123" s="33">
        <v>0</v>
      </c>
      <c r="FF123" s="34">
        <f>IF(AND(ISNUMBER(FG123),ISNUMBER(FE123)),FG123-FE123,"")</f>
        <v>0</v>
      </c>
      <c r="FG123" s="33">
        <v>4</v>
      </c>
      <c r="FH123" s="34">
        <f>IF(AND(ISNUMBER(FI123),ISNUMBER(FG123)),FI123-FG123,"")</f>
        <v>0</v>
      </c>
      <c r="FI123" s="33">
        <v>0</v>
      </c>
      <c r="FJ123" s="34">
        <f>IF(AND(ISNUMBER(FK123),ISNUMBER(FI123)),FK123-FI123,"")</f>
        <v>0</v>
      </c>
      <c r="FK123" s="33">
        <v>3</v>
      </c>
      <c r="FL123" s="34">
        <f>IF(AND(ISNUMBER(FM123),ISNUMBER(FK123)),FM123-FK123,"")</f>
        <v>0</v>
      </c>
      <c r="FM123" s="33">
        <v>0</v>
      </c>
      <c r="FN123" s="34">
        <f>IF(AND(ISNUMBER(FO123),ISNUMBER(FM123)),FO123-FM123,"")</f>
        <v>0</v>
      </c>
      <c r="FO123" s="33">
        <v>0</v>
      </c>
      <c r="FP123" s="34">
        <f>IF(AND(ISNUMBER(FQ123),ISNUMBER(FO123)),FQ123-FO123,"")</f>
        <v>0</v>
      </c>
      <c r="FQ123" s="33">
        <v>9</v>
      </c>
      <c r="FR123" s="34">
        <f>IF(AND(ISNUMBER(FS123),ISNUMBER(FQ123)),FS123-FQ123,"")</f>
        <v>0</v>
      </c>
      <c r="FS123" s="33">
        <v>6</v>
      </c>
      <c r="FT123" s="34">
        <f>IF(AND(ISNUMBER(FU123),ISNUMBER(FS123)),FU123-FS123,"")</f>
        <v>0</v>
      </c>
      <c r="FU123" s="33">
        <v>22</v>
      </c>
      <c r="FV123" s="34">
        <f>IF(AND(ISNUMBER(FW123),ISNUMBER(FU123)),FW123-FU123,"")</f>
        <v>0</v>
      </c>
      <c r="FW123" s="33">
        <v>0</v>
      </c>
      <c r="FX123" s="34">
        <f>IF(AND(ISNUMBER(FY123),ISNUMBER(FW123)),FY123-FW123,"")</f>
        <v>0</v>
      </c>
      <c r="FY123" s="33">
        <v>0</v>
      </c>
      <c r="FZ123" s="34">
        <f>IF(AND(ISNUMBER(GA123),ISNUMBER(FY123)),GA123-FY123,"")</f>
        <v>0</v>
      </c>
      <c r="GA123" s="33">
        <v>2</v>
      </c>
      <c r="GB123" s="34">
        <f>IF(AND(ISNUMBER(GC123),ISNUMBER(GA123)),GC123-GA123,"")</f>
        <v>0</v>
      </c>
      <c r="GC123" s="33">
        <v>2</v>
      </c>
      <c r="GD123" s="34">
        <f>IF(AND(ISNUMBER(GE123),ISNUMBER(GC123)),GE123-GC123,"")</f>
        <v>0</v>
      </c>
      <c r="GE123" s="33">
        <v>0</v>
      </c>
      <c r="GF123" s="34">
        <f>IF(AND(ISNUMBER(GG123),ISNUMBER(GE123)),GG123-GE123,"")</f>
        <v>0</v>
      </c>
      <c r="GG123" s="33">
        <v>1</v>
      </c>
      <c r="GH123" s="34">
        <f>IF(AND(ISNUMBER(GI123),ISNUMBER(GG123)),GI123-GG123,"")</f>
        <v>0</v>
      </c>
      <c r="GI123" s="33">
        <v>0</v>
      </c>
      <c r="GJ123" s="34">
        <f>IF(AND(ISNUMBER(GK123),ISNUMBER(GI123)),GK123-GI123,"")</f>
        <v>0</v>
      </c>
      <c r="GK123" s="33">
        <v>0</v>
      </c>
      <c r="GL123" s="34">
        <f>IF(AND(ISNUMBER(GM123),ISNUMBER(GK123)),GM123-GK123,"")</f>
        <v>0</v>
      </c>
      <c r="GM123" s="33">
        <v>0</v>
      </c>
      <c r="GN123" s="34">
        <f>IF(AND(ISNUMBER(GO123),ISNUMBER(GM123)),GO123-GM123,"")</f>
        <v>0</v>
      </c>
      <c r="GO123" s="33">
        <v>0</v>
      </c>
      <c r="GP123" s="34">
        <f>IF(AND(ISNUMBER(GQ123),ISNUMBER(GO123)),GQ123-GO123,"")</f>
        <v>0</v>
      </c>
      <c r="GQ123" s="33">
        <v>0</v>
      </c>
      <c r="GR123" s="34">
        <f>IF(AND(ISNUMBER(GS123),ISNUMBER(GQ123)),GS123-GQ123,"")</f>
        <v>0</v>
      </c>
      <c r="GS123" s="33">
        <v>0</v>
      </c>
      <c r="GT123" s="34">
        <f>IF(AND(ISNUMBER(GU123),ISNUMBER(GS123)),GU123-GS123,"")</f>
        <v>0</v>
      </c>
      <c r="GU123" s="33">
        <v>0</v>
      </c>
      <c r="GV123" s="34">
        <f>IF(AND(ISNUMBER(GW123),ISNUMBER(GU123)),GW123-GU123,"")</f>
        <v>0</v>
      </c>
      <c r="GW123" s="33">
        <v>0</v>
      </c>
      <c r="GX123" s="34">
        <f>IF(AND(ISNUMBER(GY123),ISNUMBER(GW123)),GY123-GW123,"")</f>
        <v>0</v>
      </c>
      <c r="GY123" s="33">
        <v>0</v>
      </c>
      <c r="GZ123" s="34">
        <f>IF(AND(ISNUMBER(HA123),ISNUMBER(GY123)),HA123-GY123,"")</f>
        <v>0</v>
      </c>
      <c r="HA123" s="33">
        <v>0</v>
      </c>
      <c r="HB123" s="34">
        <f>IF(AND(ISNUMBER(HC123),ISNUMBER(HA123)),HC123-HA123,"")</f>
        <v>0</v>
      </c>
      <c r="HC123" s="33">
        <v>6</v>
      </c>
      <c r="HD123" s="34">
        <f>IF(AND(ISNUMBER(HE123),ISNUMBER(HC123)),HE123-HC123,"")</f>
        <v>0</v>
      </c>
      <c r="HE123" s="33">
        <v>0</v>
      </c>
      <c r="HF123" s="34">
        <f>IF(AND(ISNUMBER(HG123),ISNUMBER(HE123)),HG123-HE123,"")</f>
        <v>0</v>
      </c>
      <c r="HG123" s="33">
        <v>0</v>
      </c>
      <c r="HH123" s="34">
        <f>IF(AND(ISNUMBER(HI123),ISNUMBER(HG123)),HI123-HG123,"")</f>
        <v>0</v>
      </c>
      <c r="HI123" s="33">
        <v>0</v>
      </c>
      <c r="HJ123" s="34">
        <f>IF(AND(ISNUMBER(HK123),ISNUMBER(HI123)),HK123-HI123,"")</f>
        <v>0</v>
      </c>
      <c r="HK123" s="33">
        <v>0</v>
      </c>
      <c r="HL123" s="34">
        <f>IF(AND(ISNUMBER(HM123),ISNUMBER(HK123)),HM123-HK123,"")</f>
        <v>0</v>
      </c>
      <c r="HM123" s="33">
        <v>0</v>
      </c>
      <c r="HN123" s="34">
        <f>IF(AND(ISNUMBER(HO123),ISNUMBER(HM123)),HO123-HM123,"")</f>
        <v>0</v>
      </c>
      <c r="HO123" s="33">
        <v>0</v>
      </c>
      <c r="HP123" s="34">
        <f>IF(AND(ISNUMBER(HQ123),ISNUMBER(HO123)),HQ123-HO123,"")</f>
        <v>0</v>
      </c>
      <c r="HQ123" s="33">
        <v>1</v>
      </c>
      <c r="HR123" s="34">
        <f>IF(AND(ISNUMBER(HS123),ISNUMBER(HQ123)),HS123-HQ123,"")</f>
        <v>0</v>
      </c>
      <c r="HS123" s="33">
        <v>0</v>
      </c>
      <c r="HT123" s="34">
        <f>IF(AND(ISNUMBER(HU123),ISNUMBER(HS123)),HU123-HS123,"")</f>
        <v>0</v>
      </c>
      <c r="HU123" s="33">
        <v>0</v>
      </c>
      <c r="HV123" s="34">
        <f>IF(AND(ISNUMBER(HW123),ISNUMBER(HU123)),HW123-HU123,"")</f>
        <v>0</v>
      </c>
      <c r="HW123" s="33">
        <v>0</v>
      </c>
      <c r="HX123" s="34">
        <f>IF(AND(ISNUMBER(HY123),ISNUMBER(HW123)),HY123-HW123,"")</f>
        <v>0</v>
      </c>
      <c r="HY123" s="33">
        <v>0</v>
      </c>
      <c r="HZ123" s="34">
        <f>IF(AND(ISNUMBER(IA123),ISNUMBER(HY123)),IA123-HY123,"")</f>
        <v>0</v>
      </c>
      <c r="IA123" s="33">
        <v>0</v>
      </c>
      <c r="IB123" s="34">
        <f>IF(AND(ISNUMBER(IC123),ISNUMBER(IA123)),IC123-IA123,"")</f>
        <v>0</v>
      </c>
      <c r="IC123" s="33">
        <v>2</v>
      </c>
      <c r="ID123" s="34">
        <f>IF(AND(ISNUMBER(IE123),ISNUMBER(IC123)),IE123-IC123,"")</f>
        <v>0</v>
      </c>
      <c r="IE123" s="33">
        <v>2</v>
      </c>
      <c r="IF123" s="34">
        <f>IF(AND(ISNUMBER(IG123),ISNUMBER(IE123)),IG123-IE123,"")</f>
        <v>0</v>
      </c>
      <c r="IG123" s="33">
        <v>0</v>
      </c>
      <c r="IH123" s="34">
        <f>IF(AND(ISNUMBER(II123),ISNUMBER(IG123)),II123-IG123,"")</f>
        <v>0</v>
      </c>
      <c r="II123" s="33">
        <v>0</v>
      </c>
      <c r="IJ123" s="34">
        <f>IF(AND(ISNUMBER(IK123),ISNUMBER(II123)),IK123-II123,"")</f>
        <v>0</v>
      </c>
      <c r="IK123" s="33">
        <v>0</v>
      </c>
      <c r="IL123" s="34">
        <f>IF(AND(ISNUMBER(IM123),ISNUMBER(IK123)),IM123-IK123,"")</f>
        <v>0</v>
      </c>
      <c r="IM123" s="33">
        <v>0</v>
      </c>
      <c r="IN123" s="34">
        <f>IF(AND(ISNUMBER(IO123),ISNUMBER(IM123)),IO123-IM123,"")</f>
        <v>0</v>
      </c>
      <c r="IO123" s="33">
        <v>0</v>
      </c>
      <c r="IP123" s="34">
        <f>IF(AND(ISNUMBER(IQ123),ISNUMBER(IO123)),IQ123-IO123,"")</f>
        <v>0</v>
      </c>
      <c r="IQ123" s="33">
        <v>0</v>
      </c>
      <c r="IR123" s="34">
        <f>IF(AND(ISNUMBER(IS123),ISNUMBER(IQ123)),IS123-IQ123,"")</f>
        <v>0</v>
      </c>
      <c r="IS123" s="33">
        <v>0</v>
      </c>
      <c r="IT123" s="34">
        <f>IF(AND(ISNUMBER(IU123),ISNUMBER(IS123)),IU123-IS123,"")</f>
        <v>0</v>
      </c>
      <c r="IU123" s="33">
        <v>0</v>
      </c>
      <c r="IV123" s="34">
        <f>IF(AND(ISNUMBER(IW123),ISNUMBER(IU123)),IW123-IU123,"")</f>
        <v>0</v>
      </c>
      <c r="IW123" s="33">
        <v>0</v>
      </c>
      <c r="IX123" s="34">
        <f>IF(AND(ISNUMBER(IY123),ISNUMBER(IW123)),IY123-IW123,"")</f>
        <v>0</v>
      </c>
      <c r="IY123" s="33">
        <v>0</v>
      </c>
      <c r="IZ123" s="34">
        <f>IF(AND(ISNUMBER(JA123),ISNUMBER(IY123)),JA123-IY123,"")</f>
        <v>0</v>
      </c>
      <c r="JA123" s="33">
        <v>0</v>
      </c>
      <c r="JB123" s="34">
        <f>IF(AND(ISNUMBER(JC123),ISNUMBER(JA123)),JC123-JA123,"")</f>
        <v>0</v>
      </c>
      <c r="JC123" s="33">
        <v>0</v>
      </c>
      <c r="JD123" s="34">
        <f>IF(AND(ISNUMBER(JE123),ISNUMBER(JC123)),JE123-JC123,"")</f>
        <v>0</v>
      </c>
      <c r="JE123" s="33">
        <v>0</v>
      </c>
      <c r="JF123" s="34">
        <f>IF(AND(ISNUMBER(JG123),ISNUMBER(JE123)),JG123-JE123,"")</f>
        <v>0</v>
      </c>
      <c r="JG123" s="33">
        <v>0</v>
      </c>
      <c r="JH123" s="34">
        <f>IF(AND(ISNUMBER(JI123),ISNUMBER(JG123)),JI123-JG123,"")</f>
        <v>0</v>
      </c>
      <c r="JI123" s="33">
        <v>0</v>
      </c>
      <c r="JJ123" s="34">
        <f>IF(AND(ISNUMBER(JK123),ISNUMBER(JI123)),JK123-JI123,"")</f>
        <v>0</v>
      </c>
      <c r="JK123" s="33">
        <v>0</v>
      </c>
      <c r="JL123" s="34">
        <f>IF(AND(ISNUMBER(JM123),ISNUMBER(JK123)),JM123-JK123,"")</f>
        <v>0</v>
      </c>
      <c r="JM123" s="33">
        <v>0</v>
      </c>
      <c r="JN123" s="34">
        <f>IF(AND(ISNUMBER(JO123),ISNUMBER(JM123)),JO123-JM123,"")</f>
        <v>0</v>
      </c>
      <c r="JO123" s="33">
        <v>0</v>
      </c>
      <c r="JP123" s="34">
        <f>IF(AND(ISNUMBER(JQ123),ISNUMBER(JO123)),JQ123-JO123,"")</f>
        <v>0</v>
      </c>
      <c r="JQ123" s="33">
        <v>0</v>
      </c>
      <c r="JR123" s="34">
        <f>IF(AND(ISNUMBER(JS123),ISNUMBER(JQ123)),JS123-JQ123,"")</f>
        <v>0</v>
      </c>
      <c r="JS123" s="33">
        <v>0</v>
      </c>
      <c r="JT123" s="34">
        <f>IF(AND(ISNUMBER(JU123),ISNUMBER(JS123)),JU123-JS123,"")</f>
        <v>0</v>
      </c>
      <c r="JU123" s="33">
        <v>0</v>
      </c>
      <c r="JV123" s="34">
        <f>IF(AND(ISNUMBER(JW123),ISNUMBER(JU123)),JW123-JU123,"")</f>
        <v>0</v>
      </c>
      <c r="JW123" s="33">
        <v>0</v>
      </c>
      <c r="JX123" s="34">
        <f>IF(AND(ISNUMBER(JY123),ISNUMBER(JW123)),JY123-JW123,"")</f>
        <v>0</v>
      </c>
      <c r="JY123" s="33">
        <v>1</v>
      </c>
      <c r="JZ123" s="34">
        <f>IF(AND(ISNUMBER(KA123),ISNUMBER(JY123)),KA123-JY123,"")</f>
        <v>0</v>
      </c>
      <c r="KA123" s="33"/>
      <c r="KB123" s="34">
        <f>IF(AND(ISNUMBER(KC123),ISNUMBER(KA123)),KC123-KA123,"")</f>
        <v>0</v>
      </c>
      <c r="KC123" s="33"/>
      <c r="KD123" s="34">
        <f>IF(AND(ISNUMBER(KE123),ISNUMBER(KC123)),KE123-KC123,"")</f>
        <v>0</v>
      </c>
      <c r="KE123" s="33"/>
      <c r="KF123" s="34">
        <f>IF(AND(ISNUMBER(KG123),ISNUMBER(KE123)),KG123-KE123,"")</f>
        <v>0</v>
      </c>
      <c r="KG123" s="33"/>
      <c r="KH123" s="34">
        <f>IF(AND(ISNUMBER(KI123),ISNUMBER(KG123)),KI123-KG123,"")</f>
        <v>0</v>
      </c>
      <c r="KI123" s="33"/>
      <c r="KJ123" s="34">
        <f>IF(AND(ISNUMBER(KK123),ISNUMBER(KI123)),KK123-KI123,"")</f>
        <v>0</v>
      </c>
      <c r="KK123" s="33"/>
      <c r="KL123" s="34">
        <f>IF(AND(ISNUMBER(KM123),ISNUMBER(KK123)),KM123-KK123,"")</f>
        <v>0</v>
      </c>
      <c r="KM123" s="33"/>
      <c r="KN123" s="34">
        <f>IF(AND(ISNUMBER(KO123),ISNUMBER(KM123)),KO123-KM123,"")</f>
        <v>0</v>
      </c>
      <c r="KO123" s="33"/>
      <c r="KP123" s="34">
        <f>IF(AND(ISNUMBER(KQ123),ISNUMBER(KO123)),KQ123-KO123,"")</f>
        <v>0</v>
      </c>
      <c r="KQ123" s="33"/>
      <c r="KR123" s="34">
        <f>IF(AND(ISNUMBER(KS123),ISNUMBER(KQ123)),KS123-KQ123,"")</f>
        <v>0</v>
      </c>
      <c r="KS123" s="33"/>
      <c r="KT123" s="34">
        <f>IF(AND(ISNUMBER(KU123),ISNUMBER(KS123)),KU123-KS123,"")</f>
        <v>0</v>
      </c>
      <c r="KU123" s="33"/>
      <c r="KV123" s="34">
        <f>IF(AND(ISNUMBER(KW123),ISNUMBER(KU123)),KW123-KU123,"")</f>
        <v>0</v>
      </c>
      <c r="KW123" s="33"/>
      <c r="KX123" s="34">
        <f>IF(AND(ISNUMBER(KY123),ISNUMBER(KW123)),KY123-KW123,"")</f>
        <v>0</v>
      </c>
      <c r="KY123" s="33"/>
      <c r="KZ123" s="34">
        <f>IF(AND(ISNUMBER(LA123),ISNUMBER(KY123)),LA123-KY123,"")</f>
        <v>0</v>
      </c>
      <c r="LA123" s="33"/>
      <c r="LB123" s="34">
        <f>IF(AND(ISNUMBER(LC123),ISNUMBER(LA123)),LC123-LA123,"")</f>
        <v>0</v>
      </c>
      <c r="LC123" s="33"/>
      <c r="LD123" s="34">
        <f>IF(AND(ISNUMBER(LE123),ISNUMBER(LC123)),LE123-LC123,"")</f>
        <v>0</v>
      </c>
      <c r="LE123" s="33"/>
      <c r="LF123" s="34">
        <f>IF(AND(ISNUMBER(LG123),ISNUMBER(LE123)),LG123-LE123,"")</f>
        <v>0</v>
      </c>
      <c r="LG123" s="33"/>
    </row>
    <row r="124" spans="1:322">
      <c r="B124" s="23"/>
      <c r="C124" s="31" t="s">
        <v>895</v>
      </c>
      <c r="E124" s="32" t="s">
        <v>1139</v>
      </c>
      <c r="I124" s="33"/>
      <c r="J124" s="34">
        <f>IF(AND(ISNUMBER(K124),ISNUMBER(I124)),K124-I124,"")</f>
        <v>0</v>
      </c>
      <c r="K124" s="33"/>
      <c r="L124" s="34">
        <f>IF(AND(ISNUMBER(M124),ISNUMBER(K124)),M124-K124,"")</f>
        <v>0</v>
      </c>
      <c r="M124" s="33"/>
      <c r="N124" s="34">
        <f>IF(AND(ISNUMBER(O124),ISNUMBER(M124)),O124-M124,"")</f>
        <v>0</v>
      </c>
      <c r="O124" s="33"/>
      <c r="P124" s="34">
        <f>IF(AND(ISNUMBER(Q124),ISNUMBER(O124)),Q124-O124,"")</f>
        <v>0</v>
      </c>
      <c r="Q124" s="33"/>
      <c r="R124" s="34">
        <f>IF(AND(ISNUMBER(S124),ISNUMBER(Q124)),S124-Q124,"")</f>
        <v>0</v>
      </c>
      <c r="S124" s="33"/>
      <c r="T124" s="34">
        <f>IF(AND(ISNUMBER(U124),ISNUMBER(S124)),U124-S124,"")</f>
        <v>0</v>
      </c>
      <c r="U124" s="33"/>
      <c r="V124" s="34">
        <f>IF(AND(ISNUMBER(W124),ISNUMBER(U124)),W124-U124,"")</f>
        <v>0</v>
      </c>
      <c r="W124" s="33"/>
      <c r="X124" s="34">
        <f>IF(AND(ISNUMBER(Y124),ISNUMBER(W124)),Y124-W124,"")</f>
        <v>0</v>
      </c>
      <c r="Y124" s="33"/>
      <c r="Z124" s="34">
        <f>IF(AND(ISNUMBER(AA124),ISNUMBER(Y124)),AA124-Y124,"")</f>
        <v>0</v>
      </c>
      <c r="AA124" s="33"/>
      <c r="AB124" s="34">
        <f>IF(AND(ISNUMBER(AC124),ISNUMBER(AA124)),AC124-AA124,"")</f>
        <v>0</v>
      </c>
      <c r="AC124" s="33"/>
      <c r="AD124" s="34">
        <f>IF(AND(ISNUMBER(AE124),ISNUMBER(AC124)),AE124-AC124,"")</f>
        <v>0</v>
      </c>
      <c r="AE124" s="33"/>
      <c r="AF124" s="34">
        <f>IF(AND(ISNUMBER(AG124),ISNUMBER(AE124)),AG124-AE124,"")</f>
        <v>0</v>
      </c>
      <c r="AG124" s="33"/>
      <c r="AH124" s="34">
        <f>IF(AND(ISNUMBER(AI124),ISNUMBER(AG124)),AI124-AG124,"")</f>
        <v>0</v>
      </c>
      <c r="AI124" s="33"/>
      <c r="AJ124" s="34">
        <f>IF(AND(ISNUMBER(AK124),ISNUMBER(AI124)),AK124-AI124,"")</f>
        <v>0</v>
      </c>
      <c r="AK124" s="33"/>
      <c r="AL124" s="34">
        <f>IF(AND(ISNUMBER(AM124),ISNUMBER(AK124)),AM124-AK124,"")</f>
        <v>0</v>
      </c>
      <c r="AM124" s="33"/>
      <c r="AN124" s="34">
        <f>IF(AND(ISNUMBER(AO124),ISNUMBER(AM124)),AO124-AM124,"")</f>
        <v>0</v>
      </c>
      <c r="AO124" s="33"/>
      <c r="AP124" s="34">
        <f>IF(AND(ISNUMBER(AQ124),ISNUMBER(AO124)),AQ124-AO124,"")</f>
        <v>0</v>
      </c>
      <c r="AQ124" s="33"/>
      <c r="AR124" s="34">
        <f>IF(AND(ISNUMBER(AS124),ISNUMBER(AQ124)),AS124-AQ124,"")</f>
        <v>0</v>
      </c>
      <c r="AS124" s="33"/>
      <c r="AT124" s="34">
        <f>IF(AND(ISNUMBER(AU124),ISNUMBER(AS124)),AU124-AS124,"")</f>
        <v>0</v>
      </c>
      <c r="AU124" s="33"/>
      <c r="AV124" s="34">
        <f>IF(AND(ISNUMBER(AW124),ISNUMBER(AU124)),AW124-AU124,"")</f>
        <v>0</v>
      </c>
      <c r="AW124" s="33"/>
      <c r="AX124" s="34">
        <f>IF(AND(ISNUMBER(AY124),ISNUMBER(AW124)),AY124-AW124,"")</f>
        <v>0</v>
      </c>
      <c r="AY124" s="33"/>
      <c r="AZ124" s="34">
        <f>IF(AND(ISNUMBER(BA124),ISNUMBER(AY124)),BA124-AY124,"")</f>
        <v>0</v>
      </c>
      <c r="BA124" s="33"/>
      <c r="BB124" s="34">
        <f>IF(AND(ISNUMBER(BC124),ISNUMBER(BA124)),BC124-BA124,"")</f>
        <v>0</v>
      </c>
      <c r="BC124" s="33"/>
      <c r="BD124" s="34">
        <f>IF(AND(ISNUMBER(BE124),ISNUMBER(BC124)),BE124-BC124,"")</f>
        <v>0</v>
      </c>
      <c r="BE124" s="33"/>
      <c r="BF124" s="34">
        <f>IF(AND(ISNUMBER(BG124),ISNUMBER(BE124)),BG124-BE124,"")</f>
        <v>0</v>
      </c>
      <c r="BG124" s="33"/>
      <c r="BH124" s="34">
        <f>IF(AND(ISNUMBER(BI124),ISNUMBER(BG124)),BI124-BG124,"")</f>
        <v>0</v>
      </c>
      <c r="BI124" s="33"/>
      <c r="BJ124" s="34">
        <f>IF(AND(ISNUMBER(BK124),ISNUMBER(BI124)),BK124-BI124,"")</f>
        <v>0</v>
      </c>
      <c r="BK124" s="33"/>
      <c r="BL124" s="34">
        <f>IF(AND(ISNUMBER(BM124),ISNUMBER(BK124)),BM124-BK124,"")</f>
        <v>0</v>
      </c>
      <c r="BM124" s="33"/>
      <c r="BN124" s="34">
        <f>IF(AND(ISNUMBER(BO124),ISNUMBER(BM124)),BO124-BM124,"")</f>
        <v>0</v>
      </c>
      <c r="BO124" s="33"/>
      <c r="BP124" s="34">
        <f>IF(AND(ISNUMBER(BQ124),ISNUMBER(BO124)),BQ124-BO124,"")</f>
        <v>0</v>
      </c>
      <c r="BQ124" s="33"/>
      <c r="BR124" s="34">
        <f>IF(AND(ISNUMBER(BS124),ISNUMBER(BQ124)),BS124-BQ124,"")</f>
        <v>0</v>
      </c>
      <c r="BS124" s="33"/>
      <c r="BT124" s="34">
        <f>IF(AND(ISNUMBER(BU124),ISNUMBER(BS124)),BU124-BS124,"")</f>
        <v>0</v>
      </c>
      <c r="BU124" s="33"/>
      <c r="BV124" s="34">
        <f>IF(AND(ISNUMBER(BW124),ISNUMBER(BU124)),BW124-BU124,"")</f>
        <v>0</v>
      </c>
      <c r="BW124" s="33"/>
      <c r="BX124" s="34">
        <f>IF(AND(ISNUMBER(BY124),ISNUMBER(BW124)),BY124-BW124,"")</f>
        <v>0</v>
      </c>
      <c r="BY124" s="33"/>
      <c r="BZ124" s="34">
        <f>IF(AND(ISNUMBER(CA124),ISNUMBER(BY124)),CA124-BY124,"")</f>
        <v>0</v>
      </c>
      <c r="CA124" s="33"/>
      <c r="CB124" s="34">
        <f>IF(AND(ISNUMBER(CC124),ISNUMBER(CA124)),CC124-CA124,"")</f>
        <v>0</v>
      </c>
      <c r="CC124" s="33"/>
      <c r="CD124" s="34">
        <f>IF(AND(ISNUMBER(CE124),ISNUMBER(CC124)),CE124-CC124,"")</f>
        <v>0</v>
      </c>
      <c r="CE124" s="33"/>
      <c r="CF124" s="34">
        <f>IF(AND(ISNUMBER(CG124),ISNUMBER(CE124)),CG124-CE124,"")</f>
        <v>0</v>
      </c>
      <c r="CG124" s="33"/>
      <c r="CH124" s="34">
        <f>IF(AND(ISNUMBER(CI124),ISNUMBER(CG124)),CI124-CG124,"")</f>
        <v>0</v>
      </c>
      <c r="CI124" s="33">
        <v>0</v>
      </c>
      <c r="CJ124" s="34">
        <f>IF(AND(ISNUMBER(CK124),ISNUMBER(CI124)),CK124-CI124,"")</f>
        <v>0</v>
      </c>
      <c r="CK124" s="33">
        <v>0</v>
      </c>
      <c r="CL124" s="34">
        <f>IF(AND(ISNUMBER(CM124),ISNUMBER(CK124)),CM124-CK124,"")</f>
        <v>0</v>
      </c>
      <c r="CM124" s="33">
        <v>0</v>
      </c>
      <c r="CN124" s="34">
        <f>IF(AND(ISNUMBER(CO124),ISNUMBER(CM124)),CO124-CM124,"")</f>
        <v>0</v>
      </c>
      <c r="CO124" s="33">
        <v>0</v>
      </c>
      <c r="CP124" s="34">
        <f>IF(AND(ISNUMBER(CQ124),ISNUMBER(CO124)),CQ124-CO124,"")</f>
        <v>0</v>
      </c>
      <c r="CQ124" s="33">
        <v>0</v>
      </c>
      <c r="CR124" s="34">
        <f>IF(AND(ISNUMBER(CS124),ISNUMBER(CQ124)),CS124-CQ124,"")</f>
        <v>0</v>
      </c>
      <c r="CS124" s="33">
        <v>0</v>
      </c>
      <c r="CT124" s="34">
        <f>IF(AND(ISNUMBER(CU124),ISNUMBER(CS124)),CU124-CS124,"")</f>
        <v>0</v>
      </c>
      <c r="CU124" s="33">
        <v>0</v>
      </c>
      <c r="CV124" s="34">
        <f>IF(AND(ISNUMBER(CW124),ISNUMBER(CU124)),CW124-CU124,"")</f>
        <v>0</v>
      </c>
      <c r="CW124" s="33">
        <v>0</v>
      </c>
      <c r="CX124" s="34">
        <f>IF(AND(ISNUMBER(CY124),ISNUMBER(CW124)),CY124-CW124,"")</f>
        <v>0</v>
      </c>
      <c r="CY124" s="33">
        <v>0</v>
      </c>
      <c r="CZ124" s="34">
        <f>IF(AND(ISNUMBER(DA124),ISNUMBER(CY124)),DA124-CY124,"")</f>
        <v>0</v>
      </c>
      <c r="DA124" s="33">
        <v>0</v>
      </c>
      <c r="DB124" s="34">
        <f>IF(AND(ISNUMBER(DC124),ISNUMBER(DA124)),DC124-DA124,"")</f>
        <v>0</v>
      </c>
      <c r="DC124" s="33">
        <v>0</v>
      </c>
      <c r="DD124" s="34">
        <f>IF(AND(ISNUMBER(DE124),ISNUMBER(DC124)),DE124-DC124,"")</f>
        <v>0</v>
      </c>
      <c r="DE124" s="33">
        <v>0</v>
      </c>
      <c r="DF124" s="34">
        <f>IF(AND(ISNUMBER(DG124),ISNUMBER(DE124)),DG124-DE124,"")</f>
        <v>0</v>
      </c>
      <c r="DG124" s="33">
        <v>2</v>
      </c>
      <c r="DH124" s="34">
        <f>IF(AND(ISNUMBER(DI124),ISNUMBER(DG124)),DI124-DG124,"")</f>
        <v>0</v>
      </c>
      <c r="DI124" s="33">
        <v>19</v>
      </c>
      <c r="DJ124" s="34">
        <f>IF(AND(ISNUMBER(DK124),ISNUMBER(DI124)),DK124-DI124,"")</f>
        <v>0</v>
      </c>
      <c r="DK124" s="33">
        <v>3</v>
      </c>
      <c r="DL124" s="34">
        <f>IF(AND(ISNUMBER(DM124),ISNUMBER(DK124)),DM124-DK124,"")</f>
        <v>0</v>
      </c>
      <c r="DM124" s="33">
        <v>5</v>
      </c>
      <c r="DN124" s="34">
        <f>IF(AND(ISNUMBER(DO124),ISNUMBER(DM124)),DO124-DM124,"")</f>
        <v>0</v>
      </c>
      <c r="DO124" s="33">
        <v>0</v>
      </c>
      <c r="DP124" s="34">
        <f>IF(AND(ISNUMBER(DQ124),ISNUMBER(DO124)),DQ124-DO124,"")</f>
        <v>0</v>
      </c>
      <c r="DQ124" s="33">
        <v>3</v>
      </c>
      <c r="DR124" s="34">
        <f>IF(AND(ISNUMBER(DS124),ISNUMBER(DQ124)),DS124-DQ124,"")</f>
        <v>0</v>
      </c>
      <c r="DS124" s="33">
        <v>0</v>
      </c>
      <c r="DT124" s="34">
        <f>IF(AND(ISNUMBER(DU124),ISNUMBER(DS124)),DU124-DS124,"")</f>
        <v>0</v>
      </c>
      <c r="DU124" s="33">
        <v>4</v>
      </c>
      <c r="DV124" s="34">
        <f>IF(AND(ISNUMBER(DW124),ISNUMBER(DU124)),DW124-DU124,"")</f>
        <v>0</v>
      </c>
      <c r="DW124" s="33">
        <v>5</v>
      </c>
      <c r="DX124" s="34">
        <f>IF(AND(ISNUMBER(DY124),ISNUMBER(DW124)),DY124-DW124,"")</f>
        <v>0</v>
      </c>
      <c r="DY124" s="33">
        <v>1</v>
      </c>
      <c r="DZ124" s="34">
        <f>IF(AND(ISNUMBER(EA124),ISNUMBER(DY124)),EA124-DY124,"")</f>
        <v>0</v>
      </c>
      <c r="EA124" s="33">
        <v>5</v>
      </c>
      <c r="EB124" s="34">
        <f>IF(AND(ISNUMBER(EC124),ISNUMBER(EA124)),EC124-EA124,"")</f>
        <v>0</v>
      </c>
      <c r="EC124" s="33">
        <v>0</v>
      </c>
      <c r="ED124" s="34">
        <f>IF(AND(ISNUMBER(EE124),ISNUMBER(EC124)),EE124-EC124,"")</f>
        <v>0</v>
      </c>
      <c r="EE124" s="33">
        <v>1</v>
      </c>
      <c r="EF124" s="34">
        <f>IF(AND(ISNUMBER(EG124),ISNUMBER(EE124)),EG124-EE124,"")</f>
        <v>0</v>
      </c>
      <c r="EG124" s="33">
        <v>0</v>
      </c>
      <c r="EH124" s="34">
        <f>IF(AND(ISNUMBER(EI124),ISNUMBER(EG124)),EI124-EG124,"")</f>
        <v>0</v>
      </c>
      <c r="EI124" s="33">
        <v>2</v>
      </c>
      <c r="EJ124" s="34">
        <f>IF(AND(ISNUMBER(EK124),ISNUMBER(EI124)),EK124-EI124,"")</f>
        <v>0</v>
      </c>
      <c r="EK124" s="33">
        <v>4</v>
      </c>
      <c r="EL124" s="34">
        <f>IF(AND(ISNUMBER(EM124),ISNUMBER(EK124)),EM124-EK124,"")</f>
        <v>0</v>
      </c>
      <c r="EM124" s="33">
        <v>0</v>
      </c>
      <c r="EN124" s="34">
        <f>IF(AND(ISNUMBER(EO124),ISNUMBER(EM124)),EO124-EM124,"")</f>
        <v>0</v>
      </c>
      <c r="EO124" s="33">
        <v>1</v>
      </c>
      <c r="EP124" s="34">
        <f>IF(AND(ISNUMBER(EQ124),ISNUMBER(EO124)),EQ124-EO124,"")</f>
        <v>0</v>
      </c>
      <c r="EQ124" s="33">
        <v>4</v>
      </c>
      <c r="ER124" s="34">
        <f>IF(AND(ISNUMBER(ES124),ISNUMBER(EQ124)),ES124-EQ124,"")</f>
        <v>0</v>
      </c>
      <c r="ES124" s="33">
        <v>1</v>
      </c>
      <c r="ET124" s="34">
        <f>IF(AND(ISNUMBER(EU124),ISNUMBER(ES124)),EU124-ES124,"")</f>
        <v>0</v>
      </c>
      <c r="EU124" s="33">
        <v>1</v>
      </c>
      <c r="EV124" s="34">
        <f>IF(AND(ISNUMBER(EW124),ISNUMBER(EU124)),EW124-EU124,"")</f>
        <v>0</v>
      </c>
      <c r="EW124" s="33">
        <v>0</v>
      </c>
      <c r="EX124" s="34">
        <f>IF(AND(ISNUMBER(EY124),ISNUMBER(EW124)),EY124-EW124,"")</f>
        <v>0</v>
      </c>
      <c r="EY124" s="33">
        <v>12</v>
      </c>
      <c r="EZ124" s="34">
        <f>IF(AND(ISNUMBER(FA124),ISNUMBER(EY124)),FA124-EY124,"")</f>
        <v>0</v>
      </c>
      <c r="FA124" s="33">
        <v>0</v>
      </c>
      <c r="FB124" s="34">
        <f>IF(AND(ISNUMBER(FC124),ISNUMBER(FA124)),FC124-FA124,"")</f>
        <v>0</v>
      </c>
      <c r="FC124" s="33">
        <v>3</v>
      </c>
      <c r="FD124" s="34">
        <f>IF(AND(ISNUMBER(FE124),ISNUMBER(FC124)),FE124-FC124,"")</f>
        <v>0</v>
      </c>
      <c r="FE124" s="33">
        <v>1</v>
      </c>
      <c r="FF124" s="34">
        <f>IF(AND(ISNUMBER(FG124),ISNUMBER(FE124)),FG124-FE124,"")</f>
        <v>0</v>
      </c>
      <c r="FG124" s="33">
        <v>0</v>
      </c>
      <c r="FH124" s="34">
        <f>IF(AND(ISNUMBER(FI124),ISNUMBER(FG124)),FI124-FG124,"")</f>
        <v>0</v>
      </c>
      <c r="FI124" s="33">
        <v>0</v>
      </c>
      <c r="FJ124" s="34">
        <f>IF(AND(ISNUMBER(FK124),ISNUMBER(FI124)),FK124-FI124,"")</f>
        <v>0</v>
      </c>
      <c r="FK124" s="33">
        <v>1</v>
      </c>
      <c r="FL124" s="34">
        <f>IF(AND(ISNUMBER(FM124),ISNUMBER(FK124)),FM124-FK124,"")</f>
        <v>0</v>
      </c>
      <c r="FM124" s="33">
        <v>2</v>
      </c>
      <c r="FN124" s="34">
        <f>IF(AND(ISNUMBER(FO124),ISNUMBER(FM124)),FO124-FM124,"")</f>
        <v>0</v>
      </c>
      <c r="FO124" s="33">
        <v>0</v>
      </c>
      <c r="FP124" s="34">
        <f>IF(AND(ISNUMBER(FQ124),ISNUMBER(FO124)),FQ124-FO124,"")</f>
        <v>0</v>
      </c>
      <c r="FQ124" s="33">
        <v>1</v>
      </c>
      <c r="FR124" s="34">
        <f>IF(AND(ISNUMBER(FS124),ISNUMBER(FQ124)),FS124-FQ124,"")</f>
        <v>0</v>
      </c>
      <c r="FS124" s="33">
        <v>0</v>
      </c>
      <c r="FT124" s="34">
        <f>IF(AND(ISNUMBER(FU124),ISNUMBER(FS124)),FU124-FS124,"")</f>
        <v>0</v>
      </c>
      <c r="FU124" s="33">
        <v>1</v>
      </c>
      <c r="FV124" s="34">
        <f>IF(AND(ISNUMBER(FW124),ISNUMBER(FU124)),FW124-FU124,"")</f>
        <v>0</v>
      </c>
      <c r="FW124" s="33">
        <v>3</v>
      </c>
      <c r="FX124" s="34">
        <f>IF(AND(ISNUMBER(FY124),ISNUMBER(FW124)),FY124-FW124,"")</f>
        <v>0</v>
      </c>
      <c r="FY124" s="33">
        <v>0</v>
      </c>
      <c r="FZ124" s="34">
        <f>IF(AND(ISNUMBER(GA124),ISNUMBER(FY124)),GA124-FY124,"")</f>
        <v>0</v>
      </c>
      <c r="GA124" s="33">
        <v>0</v>
      </c>
      <c r="GB124" s="34">
        <f>IF(AND(ISNUMBER(GC124),ISNUMBER(GA124)),GC124-GA124,"")</f>
        <v>0</v>
      </c>
      <c r="GC124" s="33">
        <v>4</v>
      </c>
      <c r="GD124" s="34">
        <f>IF(AND(ISNUMBER(GE124),ISNUMBER(GC124)),GE124-GC124,"")</f>
        <v>0</v>
      </c>
      <c r="GE124" s="33">
        <v>3</v>
      </c>
      <c r="GF124" s="34">
        <f>IF(AND(ISNUMBER(GG124),ISNUMBER(GE124)),GG124-GE124,"")</f>
        <v>0</v>
      </c>
      <c r="GG124" s="33">
        <v>0</v>
      </c>
      <c r="GH124" s="34">
        <f>IF(AND(ISNUMBER(GI124),ISNUMBER(GG124)),GI124-GG124,"")</f>
        <v>0</v>
      </c>
      <c r="GI124" s="33">
        <v>3</v>
      </c>
      <c r="GJ124" s="34">
        <f>IF(AND(ISNUMBER(GK124),ISNUMBER(GI124)),GK124-GI124,"")</f>
        <v>0</v>
      </c>
      <c r="GK124" s="33">
        <v>0</v>
      </c>
      <c r="GL124" s="34">
        <f>IF(AND(ISNUMBER(GM124),ISNUMBER(GK124)),GM124-GK124,"")</f>
        <v>0</v>
      </c>
      <c r="GM124" s="33">
        <v>2</v>
      </c>
      <c r="GN124" s="34">
        <f>IF(AND(ISNUMBER(GO124),ISNUMBER(GM124)),GO124-GM124,"")</f>
        <v>0</v>
      </c>
      <c r="GO124" s="33">
        <v>0</v>
      </c>
      <c r="GP124" s="34">
        <f>IF(AND(ISNUMBER(GQ124),ISNUMBER(GO124)),GQ124-GO124,"")</f>
        <v>0</v>
      </c>
      <c r="GQ124" s="33">
        <v>5</v>
      </c>
      <c r="GR124" s="34">
        <f>IF(AND(ISNUMBER(GS124),ISNUMBER(GQ124)),GS124-GQ124,"")</f>
        <v>0</v>
      </c>
      <c r="GS124" s="33">
        <v>0</v>
      </c>
      <c r="GT124" s="34">
        <f>IF(AND(ISNUMBER(GU124),ISNUMBER(GS124)),GU124-GS124,"")</f>
        <v>0</v>
      </c>
      <c r="GU124" s="33">
        <v>0</v>
      </c>
      <c r="GV124" s="34">
        <f>IF(AND(ISNUMBER(GW124),ISNUMBER(GU124)),GW124-GU124,"")</f>
        <v>0</v>
      </c>
      <c r="GW124" s="33">
        <v>0</v>
      </c>
      <c r="GX124" s="34">
        <f>IF(AND(ISNUMBER(GY124),ISNUMBER(GW124)),GY124-GW124,"")</f>
        <v>0</v>
      </c>
      <c r="GY124" s="33">
        <v>0</v>
      </c>
      <c r="GZ124" s="34">
        <f>IF(AND(ISNUMBER(HA124),ISNUMBER(GY124)),HA124-GY124,"")</f>
        <v>0</v>
      </c>
      <c r="HA124" s="33">
        <v>0</v>
      </c>
      <c r="HB124" s="34">
        <f>IF(AND(ISNUMBER(HC124),ISNUMBER(HA124)),HC124-HA124,"")</f>
        <v>0</v>
      </c>
      <c r="HC124" s="33">
        <v>4</v>
      </c>
      <c r="HD124" s="34">
        <f>IF(AND(ISNUMBER(HE124),ISNUMBER(HC124)),HE124-HC124,"")</f>
        <v>0</v>
      </c>
      <c r="HE124" s="33">
        <v>3</v>
      </c>
      <c r="HF124" s="34">
        <f>IF(AND(ISNUMBER(HG124),ISNUMBER(HE124)),HG124-HE124,"")</f>
        <v>0</v>
      </c>
      <c r="HG124" s="33">
        <v>0</v>
      </c>
      <c r="HH124" s="34">
        <f>IF(AND(ISNUMBER(HI124),ISNUMBER(HG124)),HI124-HG124,"")</f>
        <v>0</v>
      </c>
      <c r="HI124" s="33">
        <v>4</v>
      </c>
      <c r="HJ124" s="34">
        <f>IF(AND(ISNUMBER(HK124),ISNUMBER(HI124)),HK124-HI124,"")</f>
        <v>0</v>
      </c>
      <c r="HK124" s="33">
        <v>4</v>
      </c>
      <c r="HL124" s="34">
        <f>IF(AND(ISNUMBER(HM124),ISNUMBER(HK124)),HM124-HK124,"")</f>
        <v>0</v>
      </c>
      <c r="HM124" s="33">
        <v>0</v>
      </c>
      <c r="HN124" s="34">
        <f>IF(AND(ISNUMBER(HO124),ISNUMBER(HM124)),HO124-HM124,"")</f>
        <v>0</v>
      </c>
      <c r="HO124" s="33">
        <v>0</v>
      </c>
      <c r="HP124" s="34">
        <f>IF(AND(ISNUMBER(HQ124),ISNUMBER(HO124)),HQ124-HO124,"")</f>
        <v>0</v>
      </c>
      <c r="HQ124" s="33">
        <v>0</v>
      </c>
      <c r="HR124" s="34">
        <f>IF(AND(ISNUMBER(HS124),ISNUMBER(HQ124)),HS124-HQ124,"")</f>
        <v>0</v>
      </c>
      <c r="HS124" s="33">
        <v>0</v>
      </c>
      <c r="HT124" s="34">
        <f>IF(AND(ISNUMBER(HU124),ISNUMBER(HS124)),HU124-HS124,"")</f>
        <v>0</v>
      </c>
      <c r="HU124" s="33">
        <v>0</v>
      </c>
      <c r="HV124" s="34">
        <f>IF(AND(ISNUMBER(HW124),ISNUMBER(HU124)),HW124-HU124,"")</f>
        <v>0</v>
      </c>
      <c r="HW124" s="33">
        <v>0</v>
      </c>
      <c r="HX124" s="34">
        <f>IF(AND(ISNUMBER(HY124),ISNUMBER(HW124)),HY124-HW124,"")</f>
        <v>0</v>
      </c>
      <c r="HY124" s="33">
        <v>0</v>
      </c>
      <c r="HZ124" s="34">
        <f>IF(AND(ISNUMBER(IA124),ISNUMBER(HY124)),IA124-HY124,"")</f>
        <v>0</v>
      </c>
      <c r="IA124" s="33">
        <v>0</v>
      </c>
      <c r="IB124" s="34">
        <f>IF(AND(ISNUMBER(IC124),ISNUMBER(IA124)),IC124-IA124,"")</f>
        <v>0</v>
      </c>
      <c r="IC124" s="33">
        <v>0</v>
      </c>
      <c r="ID124" s="34">
        <f>IF(AND(ISNUMBER(IE124),ISNUMBER(IC124)),IE124-IC124,"")</f>
        <v>0</v>
      </c>
      <c r="IE124" s="33">
        <v>0</v>
      </c>
      <c r="IF124" s="34">
        <f>IF(AND(ISNUMBER(IG124),ISNUMBER(IE124)),IG124-IE124,"")</f>
        <v>0</v>
      </c>
      <c r="IG124" s="33">
        <v>0</v>
      </c>
      <c r="IH124" s="34">
        <f>IF(AND(ISNUMBER(II124),ISNUMBER(IG124)),II124-IG124,"")</f>
        <v>0</v>
      </c>
      <c r="II124" s="33">
        <v>0</v>
      </c>
      <c r="IJ124" s="34">
        <f>IF(AND(ISNUMBER(IK124),ISNUMBER(II124)),IK124-II124,"")</f>
        <v>0</v>
      </c>
      <c r="IK124" s="33">
        <v>0</v>
      </c>
      <c r="IL124" s="34">
        <f>IF(AND(ISNUMBER(IM124),ISNUMBER(IK124)),IM124-IK124,"")</f>
        <v>0</v>
      </c>
      <c r="IM124" s="33">
        <v>0</v>
      </c>
      <c r="IN124" s="34">
        <f>IF(AND(ISNUMBER(IO124),ISNUMBER(IM124)),IO124-IM124,"")</f>
        <v>0</v>
      </c>
      <c r="IO124" s="33">
        <v>0</v>
      </c>
      <c r="IP124" s="34">
        <f>IF(AND(ISNUMBER(IQ124),ISNUMBER(IO124)),IQ124-IO124,"")</f>
        <v>0</v>
      </c>
      <c r="IQ124" s="33">
        <v>0</v>
      </c>
      <c r="IR124" s="34">
        <f>IF(AND(ISNUMBER(IS124),ISNUMBER(IQ124)),IS124-IQ124,"")</f>
        <v>0</v>
      </c>
      <c r="IS124" s="33">
        <v>0</v>
      </c>
      <c r="IT124" s="34">
        <f>IF(AND(ISNUMBER(IU124),ISNUMBER(IS124)),IU124-IS124,"")</f>
        <v>0</v>
      </c>
      <c r="IU124" s="33">
        <v>0</v>
      </c>
      <c r="IV124" s="34">
        <f>IF(AND(ISNUMBER(IW124),ISNUMBER(IU124)),IW124-IU124,"")</f>
        <v>0</v>
      </c>
      <c r="IW124" s="33">
        <v>0</v>
      </c>
      <c r="IX124" s="34">
        <f>IF(AND(ISNUMBER(IY124),ISNUMBER(IW124)),IY124-IW124,"")</f>
        <v>0</v>
      </c>
      <c r="IY124" s="33">
        <v>0</v>
      </c>
      <c r="IZ124" s="34">
        <f>IF(AND(ISNUMBER(JA124),ISNUMBER(IY124)),JA124-IY124,"")</f>
        <v>0</v>
      </c>
      <c r="JA124" s="33">
        <v>0</v>
      </c>
      <c r="JB124" s="34">
        <f>IF(AND(ISNUMBER(JC124),ISNUMBER(JA124)),JC124-JA124,"")</f>
        <v>0</v>
      </c>
      <c r="JC124" s="33">
        <v>0</v>
      </c>
      <c r="JD124" s="34">
        <f>IF(AND(ISNUMBER(JE124),ISNUMBER(JC124)),JE124-JC124,"")</f>
        <v>0</v>
      </c>
      <c r="JE124" s="33">
        <v>0</v>
      </c>
      <c r="JF124" s="34">
        <f>IF(AND(ISNUMBER(JG124),ISNUMBER(JE124)),JG124-JE124,"")</f>
        <v>0</v>
      </c>
      <c r="JG124" s="33">
        <v>0</v>
      </c>
      <c r="JH124" s="34">
        <f>IF(AND(ISNUMBER(JI124),ISNUMBER(JG124)),JI124-JG124,"")</f>
        <v>0</v>
      </c>
      <c r="JI124" s="33">
        <v>0</v>
      </c>
      <c r="JJ124" s="34">
        <f>IF(AND(ISNUMBER(JK124),ISNUMBER(JI124)),JK124-JI124,"")</f>
        <v>0</v>
      </c>
      <c r="JK124" s="33">
        <v>0</v>
      </c>
      <c r="JL124" s="34">
        <f>IF(AND(ISNUMBER(JM124),ISNUMBER(JK124)),JM124-JK124,"")</f>
        <v>0</v>
      </c>
      <c r="JM124" s="33">
        <v>0</v>
      </c>
      <c r="JN124" s="34">
        <f>IF(AND(ISNUMBER(JO124),ISNUMBER(JM124)),JO124-JM124,"")</f>
        <v>0</v>
      </c>
      <c r="JO124" s="33">
        <v>0</v>
      </c>
      <c r="JP124" s="34">
        <f>IF(AND(ISNUMBER(JQ124),ISNUMBER(JO124)),JQ124-JO124,"")</f>
        <v>0</v>
      </c>
      <c r="JQ124" s="33">
        <v>0</v>
      </c>
      <c r="JR124" s="34">
        <f>IF(AND(ISNUMBER(JS124),ISNUMBER(JQ124)),JS124-JQ124,"")</f>
        <v>0</v>
      </c>
      <c r="JS124" s="33">
        <v>0</v>
      </c>
      <c r="JT124" s="34">
        <f>IF(AND(ISNUMBER(JU124),ISNUMBER(JS124)),JU124-JS124,"")</f>
        <v>0</v>
      </c>
      <c r="JU124" s="33">
        <v>0</v>
      </c>
      <c r="JV124" s="34">
        <f>IF(AND(ISNUMBER(JW124),ISNUMBER(JU124)),JW124-JU124,"")</f>
        <v>0</v>
      </c>
      <c r="JW124" s="33">
        <v>0</v>
      </c>
      <c r="JX124" s="34">
        <f>IF(AND(ISNUMBER(JY124),ISNUMBER(JW124)),JY124-JW124,"")</f>
        <v>0</v>
      </c>
      <c r="JY124" s="33">
        <v>0</v>
      </c>
      <c r="JZ124" s="34">
        <f>IF(AND(ISNUMBER(KA124),ISNUMBER(JY124)),KA124-JY124,"")</f>
        <v>0</v>
      </c>
      <c r="KA124" s="33"/>
      <c r="KB124" s="34">
        <f>IF(AND(ISNUMBER(KC124),ISNUMBER(KA124)),KC124-KA124,"")</f>
        <v>0</v>
      </c>
      <c r="KC124" s="33"/>
      <c r="KD124" s="34">
        <f>IF(AND(ISNUMBER(KE124),ISNUMBER(KC124)),KE124-KC124,"")</f>
        <v>0</v>
      </c>
      <c r="KE124" s="33"/>
      <c r="KF124" s="34">
        <f>IF(AND(ISNUMBER(KG124),ISNUMBER(KE124)),KG124-KE124,"")</f>
        <v>0</v>
      </c>
      <c r="KG124" s="33"/>
      <c r="KH124" s="34">
        <f>IF(AND(ISNUMBER(KI124),ISNUMBER(KG124)),KI124-KG124,"")</f>
        <v>0</v>
      </c>
      <c r="KI124" s="33"/>
      <c r="KJ124" s="34">
        <f>IF(AND(ISNUMBER(KK124),ISNUMBER(KI124)),KK124-KI124,"")</f>
        <v>0</v>
      </c>
      <c r="KK124" s="33"/>
      <c r="KL124" s="34">
        <f>IF(AND(ISNUMBER(KM124),ISNUMBER(KK124)),KM124-KK124,"")</f>
        <v>0</v>
      </c>
      <c r="KM124" s="33"/>
      <c r="KN124" s="34">
        <f>IF(AND(ISNUMBER(KO124),ISNUMBER(KM124)),KO124-KM124,"")</f>
        <v>0</v>
      </c>
      <c r="KO124" s="33"/>
      <c r="KP124" s="34">
        <f>IF(AND(ISNUMBER(KQ124),ISNUMBER(KO124)),KQ124-KO124,"")</f>
        <v>0</v>
      </c>
      <c r="KQ124" s="33"/>
      <c r="KR124" s="34">
        <f>IF(AND(ISNUMBER(KS124),ISNUMBER(KQ124)),KS124-KQ124,"")</f>
        <v>0</v>
      </c>
      <c r="KS124" s="33"/>
      <c r="KT124" s="34">
        <f>IF(AND(ISNUMBER(KU124),ISNUMBER(KS124)),KU124-KS124,"")</f>
        <v>0</v>
      </c>
      <c r="KU124" s="33"/>
      <c r="KV124" s="34">
        <f>IF(AND(ISNUMBER(KW124),ISNUMBER(KU124)),KW124-KU124,"")</f>
        <v>0</v>
      </c>
      <c r="KW124" s="33"/>
      <c r="KX124" s="34">
        <f>IF(AND(ISNUMBER(KY124),ISNUMBER(KW124)),KY124-KW124,"")</f>
        <v>0</v>
      </c>
      <c r="KY124" s="33"/>
      <c r="KZ124" s="34">
        <f>IF(AND(ISNUMBER(LA124),ISNUMBER(KY124)),LA124-KY124,"")</f>
        <v>0</v>
      </c>
      <c r="LA124" s="33"/>
      <c r="LB124" s="34">
        <f>IF(AND(ISNUMBER(LC124),ISNUMBER(LA124)),LC124-LA124,"")</f>
        <v>0</v>
      </c>
      <c r="LC124" s="33"/>
      <c r="LD124" s="34">
        <f>IF(AND(ISNUMBER(LE124),ISNUMBER(LC124)),LE124-LC124,"")</f>
        <v>0</v>
      </c>
      <c r="LE124" s="33"/>
      <c r="LF124" s="34">
        <f>IF(AND(ISNUMBER(LG124),ISNUMBER(LE124)),LG124-LE124,"")</f>
        <v>0</v>
      </c>
      <c r="LG124" s="33"/>
    </row>
    <row r="125" spans="1:322">
      <c r="A125" s="36" t="s">
        <v>121</v>
      </c>
      <c r="B125" s="23"/>
      <c r="C125" s="37" t="s">
        <v>786</v>
      </c>
      <c r="E125" s="32" t="s">
        <v>1139</v>
      </c>
      <c r="H125" s="38" t="s">
        <v>1105</v>
      </c>
      <c r="I125" s="33"/>
      <c r="J125" s="34">
        <f>IF(AND(ISNUMBER(K125),ISNUMBER(I125)),K125-I125,"")</f>
        <v>0</v>
      </c>
      <c r="K125" s="33"/>
      <c r="L125" s="34">
        <f>IF(AND(ISNUMBER(M125),ISNUMBER(K125)),M125-K125,"")</f>
        <v>0</v>
      </c>
      <c r="M125" s="33"/>
      <c r="N125" s="34">
        <f>IF(AND(ISNUMBER(O125),ISNUMBER(M125)),O125-M125,"")</f>
        <v>0</v>
      </c>
      <c r="O125" s="33"/>
      <c r="P125" s="34">
        <f>IF(AND(ISNUMBER(Q125),ISNUMBER(O125)),Q125-O125,"")</f>
        <v>0</v>
      </c>
      <c r="Q125" s="33"/>
      <c r="R125" s="34">
        <f>IF(AND(ISNUMBER(S125),ISNUMBER(Q125)),S125-Q125,"")</f>
        <v>0</v>
      </c>
      <c r="S125" s="33"/>
      <c r="T125" s="34">
        <f>IF(AND(ISNUMBER(U125),ISNUMBER(S125)),U125-S125,"")</f>
        <v>0</v>
      </c>
      <c r="U125" s="33"/>
      <c r="V125" s="34">
        <f>IF(AND(ISNUMBER(W125),ISNUMBER(U125)),W125-U125,"")</f>
        <v>0</v>
      </c>
      <c r="W125" s="33"/>
      <c r="X125" s="34">
        <f>IF(AND(ISNUMBER(Y125),ISNUMBER(W125)),Y125-W125,"")</f>
        <v>0</v>
      </c>
      <c r="Y125" s="33"/>
      <c r="Z125" s="34">
        <f>IF(AND(ISNUMBER(AA125),ISNUMBER(Y125)),AA125-Y125,"")</f>
        <v>0</v>
      </c>
      <c r="AA125" s="33"/>
      <c r="AB125" s="34">
        <f>IF(AND(ISNUMBER(AC125),ISNUMBER(AA125)),AC125-AA125,"")</f>
        <v>0</v>
      </c>
      <c r="AC125" s="33"/>
      <c r="AD125" s="34">
        <f>IF(AND(ISNUMBER(AE125),ISNUMBER(AC125)),AE125-AC125,"")</f>
        <v>0</v>
      </c>
      <c r="AE125" s="33"/>
      <c r="AF125" s="34">
        <f>IF(AND(ISNUMBER(AG125),ISNUMBER(AE125)),AG125-AE125,"")</f>
        <v>0</v>
      </c>
      <c r="AG125" s="33"/>
      <c r="AH125" s="34">
        <f>IF(AND(ISNUMBER(AI125),ISNUMBER(AG125)),AI125-AG125,"")</f>
        <v>0</v>
      </c>
      <c r="AI125" s="33"/>
      <c r="AJ125" s="34">
        <f>IF(AND(ISNUMBER(AK125),ISNUMBER(AI125)),AK125-AI125,"")</f>
        <v>0</v>
      </c>
      <c r="AK125" s="33"/>
      <c r="AL125" s="34">
        <f>IF(AND(ISNUMBER(AM125),ISNUMBER(AK125)),AM125-AK125,"")</f>
        <v>0</v>
      </c>
      <c r="AM125" s="33"/>
      <c r="AN125" s="34">
        <f>IF(AND(ISNUMBER(AO125),ISNUMBER(AM125)),AO125-AM125,"")</f>
        <v>0</v>
      </c>
      <c r="AO125" s="33"/>
      <c r="AP125" s="34">
        <f>IF(AND(ISNUMBER(AQ125),ISNUMBER(AO125)),AQ125-AO125,"")</f>
        <v>0</v>
      </c>
      <c r="AQ125" s="33"/>
      <c r="AR125" s="34">
        <f>IF(AND(ISNUMBER(AS125),ISNUMBER(AQ125)),AS125-AQ125,"")</f>
        <v>0</v>
      </c>
      <c r="AS125" s="33"/>
      <c r="AT125" s="34">
        <f>IF(AND(ISNUMBER(AU125),ISNUMBER(AS125)),AU125-AS125,"")</f>
        <v>0</v>
      </c>
      <c r="AU125" s="33"/>
      <c r="AV125" s="34">
        <f>IF(AND(ISNUMBER(AW125),ISNUMBER(AU125)),AW125-AU125,"")</f>
        <v>0</v>
      </c>
      <c r="AW125" s="33"/>
      <c r="AX125" s="34">
        <f>IF(AND(ISNUMBER(AY125),ISNUMBER(AW125)),AY125-AW125,"")</f>
        <v>0</v>
      </c>
      <c r="AY125" s="33"/>
      <c r="AZ125" s="34">
        <f>IF(AND(ISNUMBER(BA125),ISNUMBER(AY125)),BA125-AY125,"")</f>
        <v>0</v>
      </c>
      <c r="BA125" s="33"/>
      <c r="BB125" s="34">
        <f>IF(AND(ISNUMBER(BC125),ISNUMBER(BA125)),BC125-BA125,"")</f>
        <v>0</v>
      </c>
      <c r="BC125" s="33"/>
      <c r="BD125" s="34">
        <f>IF(AND(ISNUMBER(BE125),ISNUMBER(BC125)),BE125-BC125,"")</f>
        <v>0</v>
      </c>
      <c r="BE125" s="33"/>
      <c r="BF125" s="34">
        <f>IF(AND(ISNUMBER(BG125),ISNUMBER(BE125)),BG125-BE125,"")</f>
        <v>0</v>
      </c>
      <c r="BG125" s="33"/>
      <c r="BH125" s="34">
        <f>IF(AND(ISNUMBER(BI125),ISNUMBER(BG125)),BI125-BG125,"")</f>
        <v>0</v>
      </c>
      <c r="BI125" s="33"/>
      <c r="BJ125" s="34">
        <f>IF(AND(ISNUMBER(BK125),ISNUMBER(BI125)),BK125-BI125,"")</f>
        <v>0</v>
      </c>
      <c r="BK125" s="33"/>
      <c r="BL125" s="34">
        <f>IF(AND(ISNUMBER(BM125),ISNUMBER(BK125)),BM125-BK125,"")</f>
        <v>0</v>
      </c>
      <c r="BM125" s="33"/>
      <c r="BN125" s="34">
        <f>IF(AND(ISNUMBER(BO125),ISNUMBER(BM125)),BO125-BM125,"")</f>
        <v>0</v>
      </c>
      <c r="BO125" s="33"/>
      <c r="BP125" s="34">
        <f>IF(AND(ISNUMBER(BQ125),ISNUMBER(BO125)),BQ125-BO125,"")</f>
        <v>0</v>
      </c>
      <c r="BQ125" s="33"/>
      <c r="BR125" s="34">
        <f>IF(AND(ISNUMBER(BS125),ISNUMBER(BQ125)),BS125-BQ125,"")</f>
        <v>0</v>
      </c>
      <c r="BS125" s="33"/>
      <c r="BT125" s="34">
        <f>IF(AND(ISNUMBER(BU125),ISNUMBER(BS125)),BU125-BS125,"")</f>
        <v>0</v>
      </c>
      <c r="BU125" s="33"/>
      <c r="BV125" s="34">
        <f>IF(AND(ISNUMBER(BW125),ISNUMBER(BU125)),BW125-BU125,"")</f>
        <v>0</v>
      </c>
      <c r="BW125" s="33"/>
      <c r="BX125" s="34">
        <f>IF(AND(ISNUMBER(BY125),ISNUMBER(BW125)),BY125-BW125,"")</f>
        <v>0</v>
      </c>
      <c r="BY125" s="39">
        <f>IF(COUNT(BY126:BY128)=0,"",SUM(BY126:BY128))</f>
        <v>0</v>
      </c>
      <c r="BZ125" s="34">
        <f>IF(AND(ISNUMBER(CA125),ISNUMBER(BY125)),CA125-BY125,"")</f>
        <v>0</v>
      </c>
      <c r="CA125" s="39">
        <f>IF(COUNT(CA126:CA128)=0,"",SUM(CA126:CA128))</f>
        <v>0</v>
      </c>
      <c r="CB125" s="34">
        <f>IF(AND(ISNUMBER(CC125),ISNUMBER(CA125)),CC125-CA125,"")</f>
        <v>0</v>
      </c>
      <c r="CC125" s="39">
        <f>IF(COUNT(CC126:CC128)=0,"",SUM(CC126:CC128))</f>
        <v>0</v>
      </c>
      <c r="CD125" s="34">
        <f>IF(AND(ISNUMBER(CE125),ISNUMBER(CC125)),CE125-CC125,"")</f>
        <v>0</v>
      </c>
      <c r="CE125" s="39">
        <f>IF(COUNT(CE126:CE128)=0,"",SUM(CE126:CE128))</f>
        <v>0</v>
      </c>
      <c r="CF125" s="34">
        <f>IF(AND(ISNUMBER(CG125),ISNUMBER(CE125)),CG125-CE125,"")</f>
        <v>0</v>
      </c>
      <c r="CG125" s="39">
        <f>IF(COUNT(CG126:CG128)=0,"",SUM(CG126:CG128))</f>
        <v>0</v>
      </c>
      <c r="CH125" s="34">
        <f>IF(AND(ISNUMBER(CI125),ISNUMBER(CG125)),CI125-CG125,"")</f>
        <v>0</v>
      </c>
      <c r="CI125" s="39">
        <f>IF(COUNT(CI126:CI128)=0,"",SUM(CI126:CI128))</f>
        <v>0</v>
      </c>
      <c r="CJ125" s="34">
        <f>IF(AND(ISNUMBER(CK125),ISNUMBER(CI125)),CK125-CI125,"")</f>
        <v>0</v>
      </c>
      <c r="CK125" s="39">
        <f>IF(COUNT(CK126:CK128)=0,"",SUM(CK126:CK128))</f>
        <v>0</v>
      </c>
      <c r="CL125" s="34">
        <f>IF(AND(ISNUMBER(CM125),ISNUMBER(CK125)),CM125-CK125,"")</f>
        <v>0</v>
      </c>
      <c r="CM125" s="39">
        <f>IF(COUNT(CM126:CM128)=0,"",SUM(CM126:CM128))</f>
        <v>0</v>
      </c>
      <c r="CN125" s="34">
        <f>IF(AND(ISNUMBER(CO125),ISNUMBER(CM125)),CO125-CM125,"")</f>
        <v>0</v>
      </c>
      <c r="CO125" s="39">
        <f>IF(COUNT(CO126:CO128)=0,"",SUM(CO126:CO128))</f>
        <v>0</v>
      </c>
      <c r="CP125" s="34">
        <f>IF(AND(ISNUMBER(CQ125),ISNUMBER(CO125)),CQ125-CO125,"")</f>
        <v>0</v>
      </c>
      <c r="CQ125" s="39">
        <f>IF(COUNT(CQ126:CQ128)=0,"",SUM(CQ126:CQ128))</f>
        <v>0</v>
      </c>
      <c r="CR125" s="34">
        <f>IF(AND(ISNUMBER(CS125),ISNUMBER(CQ125)),CS125-CQ125,"")</f>
        <v>0</v>
      </c>
      <c r="CS125" s="39">
        <f>IF(COUNT(CS126:CS128)=0,"",SUM(CS126:CS128))</f>
        <v>0</v>
      </c>
      <c r="CT125" s="34">
        <f>IF(AND(ISNUMBER(CU125),ISNUMBER(CS125)),CU125-CS125,"")</f>
        <v>0</v>
      </c>
      <c r="CU125" s="39">
        <f>IF(COUNT(CU126:CU128)=0,"",SUM(CU126:CU128))</f>
        <v>0</v>
      </c>
      <c r="CV125" s="34">
        <f>IF(AND(ISNUMBER(CW125),ISNUMBER(CU125)),CW125-CU125,"")</f>
        <v>0</v>
      </c>
      <c r="CW125" s="39">
        <f>IF(COUNT(CW126:CW128)=0,"",SUM(CW126:CW128))</f>
        <v>0</v>
      </c>
      <c r="CX125" s="34">
        <f>IF(AND(ISNUMBER(CY125),ISNUMBER(CW125)),CY125-CW125,"")</f>
        <v>0</v>
      </c>
      <c r="CY125" s="39">
        <f>IF(COUNT(CY126:CY128)=0,"",SUM(CY126:CY128))</f>
        <v>0</v>
      </c>
      <c r="CZ125" s="34">
        <f>IF(AND(ISNUMBER(DA125),ISNUMBER(CY125)),DA125-CY125,"")</f>
        <v>0</v>
      </c>
      <c r="DA125" s="39">
        <f>IF(COUNT(DA126:DA128)=0,"",SUM(DA126:DA128))</f>
        <v>0</v>
      </c>
      <c r="DB125" s="34">
        <f>IF(AND(ISNUMBER(DC125),ISNUMBER(DA125)),DC125-DA125,"")</f>
        <v>0</v>
      </c>
      <c r="DC125" s="39">
        <f>IF(COUNT(DC126:DC128)=0,"",SUM(DC126:DC128))</f>
        <v>0</v>
      </c>
      <c r="DD125" s="34">
        <f>IF(AND(ISNUMBER(DE125),ISNUMBER(DC125)),DE125-DC125,"")</f>
        <v>0</v>
      </c>
      <c r="DE125" s="39">
        <f>IF(COUNT(DE126:DE128)=0,"",SUM(DE126:DE128))</f>
        <v>0</v>
      </c>
      <c r="DF125" s="34">
        <f>IF(AND(ISNUMBER(DG125),ISNUMBER(DE125)),DG125-DE125,"")</f>
        <v>0</v>
      </c>
      <c r="DG125" s="39">
        <f>IF(COUNT(DG126:DG128)=0,"",SUM(DG126:DG128))</f>
        <v>0</v>
      </c>
      <c r="DH125" s="34">
        <f>IF(AND(ISNUMBER(DI125),ISNUMBER(DG125)),DI125-DG125,"")</f>
        <v>0</v>
      </c>
      <c r="DI125" s="39">
        <f>IF(COUNT(DI126:DI128)=0,"",SUM(DI126:DI128))</f>
        <v>0</v>
      </c>
      <c r="DJ125" s="34">
        <f>IF(AND(ISNUMBER(DK125),ISNUMBER(DI125)),DK125-DI125,"")</f>
        <v>0</v>
      </c>
      <c r="DK125" s="39">
        <f>IF(COUNT(DK126:DK128)=0,"",SUM(DK126:DK128))</f>
        <v>0</v>
      </c>
      <c r="DL125" s="34">
        <f>IF(AND(ISNUMBER(DM125),ISNUMBER(DK125)),DM125-DK125,"")</f>
        <v>0</v>
      </c>
      <c r="DM125" s="39">
        <f>IF(COUNT(DM126:DM128)=0,"",SUM(DM126:DM128))</f>
        <v>0</v>
      </c>
      <c r="DN125" s="34">
        <f>IF(AND(ISNUMBER(DO125),ISNUMBER(DM125)),DO125-DM125,"")</f>
        <v>0</v>
      </c>
      <c r="DO125" s="39">
        <f>IF(COUNT(DO126:DO128)=0,"",SUM(DO126:DO128))</f>
        <v>0</v>
      </c>
      <c r="DP125" s="34">
        <f>IF(AND(ISNUMBER(DQ125),ISNUMBER(DO125)),DQ125-DO125,"")</f>
        <v>0</v>
      </c>
      <c r="DQ125" s="39">
        <f>IF(COUNT(DQ126:DQ128)=0,"",SUM(DQ126:DQ128))</f>
        <v>0</v>
      </c>
      <c r="DR125" s="34">
        <f>IF(AND(ISNUMBER(DS125),ISNUMBER(DQ125)),DS125-DQ125,"")</f>
        <v>0</v>
      </c>
      <c r="DS125" s="39">
        <f>IF(COUNT(DS126:DS128)=0,"",SUM(DS126:DS128))</f>
        <v>0</v>
      </c>
      <c r="DT125" s="34">
        <f>IF(AND(ISNUMBER(DU125),ISNUMBER(DS125)),DU125-DS125,"")</f>
        <v>0</v>
      </c>
      <c r="DU125" s="39">
        <f>IF(COUNT(DU126:DU128)=0,"",SUM(DU126:DU128))</f>
        <v>0</v>
      </c>
      <c r="DV125" s="34">
        <f>IF(AND(ISNUMBER(DW125),ISNUMBER(DU125)),DW125-DU125,"")</f>
        <v>0</v>
      </c>
      <c r="DW125" s="39">
        <f>IF(COUNT(DW126:DW128)=0,"",SUM(DW126:DW128))</f>
        <v>0</v>
      </c>
      <c r="DX125" s="34">
        <f>IF(AND(ISNUMBER(DY125),ISNUMBER(DW125)),DY125-DW125,"")</f>
        <v>0</v>
      </c>
      <c r="DY125" s="39">
        <f>IF(COUNT(DY126:DY128)=0,"",SUM(DY126:DY128))</f>
        <v>0</v>
      </c>
      <c r="DZ125" s="34">
        <f>IF(AND(ISNUMBER(EA125),ISNUMBER(DY125)),EA125-DY125,"")</f>
        <v>0</v>
      </c>
      <c r="EA125" s="39">
        <f>IF(COUNT(EA126:EA128)=0,"",SUM(EA126:EA128))</f>
        <v>0</v>
      </c>
      <c r="EB125" s="34">
        <f>IF(AND(ISNUMBER(EC125),ISNUMBER(EA125)),EC125-EA125,"")</f>
        <v>0</v>
      </c>
      <c r="EC125" s="39">
        <f>IF(COUNT(EC126:EC128)=0,"",SUM(EC126:EC128))</f>
        <v>0</v>
      </c>
      <c r="ED125" s="34">
        <f>IF(AND(ISNUMBER(EE125),ISNUMBER(EC125)),EE125-EC125,"")</f>
        <v>0</v>
      </c>
      <c r="EE125" s="39">
        <f>IF(COUNT(EE126:EE128)=0,"",SUM(EE126:EE128))</f>
        <v>0</v>
      </c>
      <c r="EF125" s="34">
        <f>IF(AND(ISNUMBER(EG125),ISNUMBER(EE125)),EG125-EE125,"")</f>
        <v>0</v>
      </c>
      <c r="EG125" s="39">
        <f>IF(COUNT(EG126:EG128)=0,"",SUM(EG126:EG128))</f>
        <v>0</v>
      </c>
      <c r="EH125" s="34">
        <f>IF(AND(ISNUMBER(EI125),ISNUMBER(EG125)),EI125-EG125,"")</f>
        <v>0</v>
      </c>
      <c r="EI125" s="39">
        <f>IF(COUNT(EI126:EI128)=0,"",SUM(EI126:EI128))</f>
        <v>0</v>
      </c>
      <c r="EJ125" s="34">
        <f>IF(AND(ISNUMBER(EK125),ISNUMBER(EI125)),EK125-EI125,"")</f>
        <v>0</v>
      </c>
      <c r="EK125" s="39">
        <f>IF(COUNT(EK126:EK128)=0,"",SUM(EK126:EK128))</f>
        <v>0</v>
      </c>
      <c r="EL125" s="34">
        <f>IF(AND(ISNUMBER(EM125),ISNUMBER(EK125)),EM125-EK125,"")</f>
        <v>0</v>
      </c>
      <c r="EM125" s="39">
        <f>IF(COUNT(EM126:EM128)=0,"",SUM(EM126:EM128))</f>
        <v>0</v>
      </c>
      <c r="EN125" s="34">
        <f>IF(AND(ISNUMBER(EO125),ISNUMBER(EM125)),EO125-EM125,"")</f>
        <v>0</v>
      </c>
      <c r="EO125" s="39">
        <f>IF(COUNT(EO126:EO128)=0,"",SUM(EO126:EO128))</f>
        <v>0</v>
      </c>
      <c r="EP125" s="34">
        <f>IF(AND(ISNUMBER(EQ125),ISNUMBER(EO125)),EQ125-EO125,"")</f>
        <v>0</v>
      </c>
      <c r="EQ125" s="39">
        <f>IF(COUNT(EQ126:EQ128)=0,"",SUM(EQ126:EQ128))</f>
        <v>0</v>
      </c>
      <c r="ER125" s="34">
        <f>IF(AND(ISNUMBER(ES125),ISNUMBER(EQ125)),ES125-EQ125,"")</f>
        <v>0</v>
      </c>
      <c r="ES125" s="39">
        <f>IF(COUNT(ES126:ES128)=0,"",SUM(ES126:ES128))</f>
        <v>0</v>
      </c>
      <c r="ET125" s="34">
        <f>IF(AND(ISNUMBER(EU125),ISNUMBER(ES125)),EU125-ES125,"")</f>
        <v>0</v>
      </c>
      <c r="EU125" s="39">
        <f>IF(COUNT(EU126:EU128)=0,"",SUM(EU126:EU128))</f>
        <v>0</v>
      </c>
      <c r="EV125" s="34">
        <f>IF(AND(ISNUMBER(EW125),ISNUMBER(EU125)),EW125-EU125,"")</f>
        <v>0</v>
      </c>
      <c r="EW125" s="39">
        <f>IF(COUNT(EW126:EW128)=0,"",SUM(EW126:EW128))</f>
        <v>0</v>
      </c>
      <c r="EX125" s="34">
        <f>IF(AND(ISNUMBER(EY125),ISNUMBER(EW125)),EY125-EW125,"")</f>
        <v>0</v>
      </c>
      <c r="EY125" s="39">
        <f>IF(COUNT(EY126:EY128)=0,"",SUM(EY126:EY128))</f>
        <v>0</v>
      </c>
      <c r="EZ125" s="34">
        <f>IF(AND(ISNUMBER(FA125),ISNUMBER(EY125)),FA125-EY125,"")</f>
        <v>0</v>
      </c>
      <c r="FA125" s="39">
        <f>IF(COUNT(FA126:FA128)=0,"",SUM(FA126:FA128))</f>
        <v>0</v>
      </c>
      <c r="FB125" s="34">
        <f>IF(AND(ISNUMBER(FC125),ISNUMBER(FA125)),FC125-FA125,"")</f>
        <v>0</v>
      </c>
      <c r="FC125" s="39">
        <f>IF(COUNT(FC126:FC128)=0,"",SUM(FC126:FC128))</f>
        <v>0</v>
      </c>
      <c r="FD125" s="34">
        <f>IF(AND(ISNUMBER(FE125),ISNUMBER(FC125)),FE125-FC125,"")</f>
        <v>0</v>
      </c>
      <c r="FE125" s="39">
        <f>IF(COUNT(FE126:FE128)=0,"",SUM(FE126:FE128))</f>
        <v>0</v>
      </c>
      <c r="FF125" s="34">
        <f>IF(AND(ISNUMBER(FG125),ISNUMBER(FE125)),FG125-FE125,"")</f>
        <v>0</v>
      </c>
      <c r="FG125" s="39">
        <f>IF(COUNT(FG126:FG128)=0,"",SUM(FG126:FG128))</f>
        <v>0</v>
      </c>
      <c r="FH125" s="34">
        <f>IF(AND(ISNUMBER(FI125),ISNUMBER(FG125)),FI125-FG125,"")</f>
        <v>0</v>
      </c>
      <c r="FI125" s="39">
        <f>IF(COUNT(FI126:FI128)=0,"",SUM(FI126:FI128))</f>
        <v>0</v>
      </c>
      <c r="FJ125" s="34">
        <f>IF(AND(ISNUMBER(FK125),ISNUMBER(FI125)),FK125-FI125,"")</f>
        <v>0</v>
      </c>
      <c r="FK125" s="39">
        <f>IF(COUNT(FK126:FK128)=0,"",SUM(FK126:FK128))</f>
        <v>0</v>
      </c>
      <c r="FL125" s="34">
        <f>IF(AND(ISNUMBER(FM125),ISNUMBER(FK125)),FM125-FK125,"")</f>
        <v>0</v>
      </c>
      <c r="FM125" s="39">
        <f>IF(COUNT(FM126:FM128)=0,"",SUM(FM126:FM128))</f>
        <v>0</v>
      </c>
      <c r="FN125" s="34">
        <f>IF(AND(ISNUMBER(FO125),ISNUMBER(FM125)),FO125-FM125,"")</f>
        <v>0</v>
      </c>
      <c r="FO125" s="39">
        <f>IF(COUNT(FO126:FO128)=0,"",SUM(FO126:FO128))</f>
        <v>0</v>
      </c>
      <c r="FP125" s="34">
        <f>IF(AND(ISNUMBER(FQ125),ISNUMBER(FO125)),FQ125-FO125,"")</f>
        <v>0</v>
      </c>
      <c r="FQ125" s="39">
        <f>IF(COUNT(FQ126:FQ128)=0,"",SUM(FQ126:FQ128))</f>
        <v>0</v>
      </c>
      <c r="FR125" s="34">
        <f>IF(AND(ISNUMBER(FS125),ISNUMBER(FQ125)),FS125-FQ125,"")</f>
        <v>0</v>
      </c>
      <c r="FS125" s="39">
        <f>IF(COUNT(FS126:FS128)=0,"",SUM(FS126:FS128))</f>
        <v>0</v>
      </c>
      <c r="FT125" s="34">
        <f>IF(AND(ISNUMBER(FU125),ISNUMBER(FS125)),FU125-FS125,"")</f>
        <v>0</v>
      </c>
      <c r="FU125" s="39">
        <f>IF(COUNT(FU126:FU128)=0,"",SUM(FU126:FU128))</f>
        <v>0</v>
      </c>
      <c r="FV125" s="34">
        <f>IF(AND(ISNUMBER(FW125),ISNUMBER(FU125)),FW125-FU125,"")</f>
        <v>0</v>
      </c>
      <c r="FW125" s="39">
        <f>IF(COUNT(FW126:FW128)=0,"",SUM(FW126:FW128))</f>
        <v>0</v>
      </c>
      <c r="FX125" s="34">
        <f>IF(AND(ISNUMBER(FY125),ISNUMBER(FW125)),FY125-FW125,"")</f>
        <v>0</v>
      </c>
      <c r="FY125" s="39">
        <f>IF(COUNT(FY126:FY128)=0,"",SUM(FY126:FY128))</f>
        <v>0</v>
      </c>
      <c r="FZ125" s="34">
        <f>IF(AND(ISNUMBER(GA125),ISNUMBER(FY125)),GA125-FY125,"")</f>
        <v>0</v>
      </c>
      <c r="GA125" s="39">
        <f>IF(COUNT(GA126:GA128)=0,"",SUM(GA126:GA128))</f>
        <v>0</v>
      </c>
      <c r="GB125" s="34">
        <f>IF(AND(ISNUMBER(GC125),ISNUMBER(GA125)),GC125-GA125,"")</f>
        <v>0</v>
      </c>
      <c r="GC125" s="39">
        <f>IF(COUNT(GC126:GC128)=0,"",SUM(GC126:GC128))</f>
        <v>0</v>
      </c>
      <c r="GD125" s="34">
        <f>IF(AND(ISNUMBER(GE125),ISNUMBER(GC125)),GE125-GC125,"")</f>
        <v>0</v>
      </c>
      <c r="GE125" s="39">
        <f>IF(COUNT(GE126:GE128)=0,"",SUM(GE126:GE128))</f>
        <v>0</v>
      </c>
      <c r="GF125" s="34">
        <f>IF(AND(ISNUMBER(GG125),ISNUMBER(GE125)),GG125-GE125,"")</f>
        <v>0</v>
      </c>
      <c r="GG125" s="39">
        <f>IF(COUNT(GG126:GG128)=0,"",SUM(GG126:GG128))</f>
        <v>0</v>
      </c>
      <c r="GH125" s="34">
        <f>IF(AND(ISNUMBER(GI125),ISNUMBER(GG125)),GI125-GG125,"")</f>
        <v>0</v>
      </c>
      <c r="GI125" s="39">
        <f>IF(COUNT(GI126:GI128)=0,"",SUM(GI126:GI128))</f>
        <v>0</v>
      </c>
      <c r="GJ125" s="34">
        <f>IF(AND(ISNUMBER(GK125),ISNUMBER(GI125)),GK125-GI125,"")</f>
        <v>0</v>
      </c>
      <c r="GK125" s="39">
        <f>IF(COUNT(GK126:GK128)=0,"",SUM(GK126:GK128))</f>
        <v>0</v>
      </c>
      <c r="GL125" s="34">
        <f>IF(AND(ISNUMBER(GM125),ISNUMBER(GK125)),GM125-GK125,"")</f>
        <v>0</v>
      </c>
      <c r="GM125" s="39">
        <f>IF(COUNT(GM126:GM128)=0,"",SUM(GM126:GM128))</f>
        <v>0</v>
      </c>
      <c r="GN125" s="34">
        <f>IF(AND(ISNUMBER(GO125),ISNUMBER(GM125)),GO125-GM125,"")</f>
        <v>0</v>
      </c>
      <c r="GO125" s="39">
        <f>IF(COUNT(GO126:GO128)=0,"",SUM(GO126:GO128))</f>
        <v>0</v>
      </c>
      <c r="GP125" s="34">
        <f>IF(AND(ISNUMBER(GQ125),ISNUMBER(GO125)),GQ125-GO125,"")</f>
        <v>0</v>
      </c>
      <c r="GQ125" s="39">
        <f>IF(COUNT(GQ126:GQ128)=0,"",SUM(GQ126:GQ128))</f>
        <v>0</v>
      </c>
      <c r="GR125" s="34">
        <f>IF(AND(ISNUMBER(GS125),ISNUMBER(GQ125)),GS125-GQ125,"")</f>
        <v>0</v>
      </c>
      <c r="GS125" s="39">
        <f>IF(COUNT(GS126:GS128)=0,"",SUM(GS126:GS128))</f>
        <v>0</v>
      </c>
      <c r="GT125" s="34">
        <f>IF(AND(ISNUMBER(GU125),ISNUMBER(GS125)),GU125-GS125,"")</f>
        <v>0</v>
      </c>
      <c r="GU125" s="39">
        <f>IF(COUNT(GU126:GU128)=0,"",SUM(GU126:GU128))</f>
        <v>0</v>
      </c>
      <c r="GV125" s="34">
        <f>IF(AND(ISNUMBER(GW125),ISNUMBER(GU125)),GW125-GU125,"")</f>
        <v>0</v>
      </c>
      <c r="GW125" s="39">
        <f>IF(COUNT(GW126:GW128)=0,"",SUM(GW126:GW128))</f>
        <v>0</v>
      </c>
      <c r="GX125" s="34">
        <f>IF(AND(ISNUMBER(GY125),ISNUMBER(GW125)),GY125-GW125,"")</f>
        <v>0</v>
      </c>
      <c r="GY125" s="39">
        <f>IF(COUNT(GY126:GY128)=0,"",SUM(GY126:GY128))</f>
        <v>0</v>
      </c>
      <c r="GZ125" s="34">
        <f>IF(AND(ISNUMBER(HA125),ISNUMBER(GY125)),HA125-GY125,"")</f>
        <v>0</v>
      </c>
      <c r="HA125" s="39">
        <f>IF(COUNT(HA126:HA128)=0,"",SUM(HA126:HA128))</f>
        <v>0</v>
      </c>
      <c r="HB125" s="34">
        <f>IF(AND(ISNUMBER(HC125),ISNUMBER(HA125)),HC125-HA125,"")</f>
        <v>0</v>
      </c>
      <c r="HC125" s="39">
        <f>IF(COUNT(HC126:HC128)=0,"",SUM(HC126:HC128))</f>
        <v>0</v>
      </c>
      <c r="HD125" s="34">
        <f>IF(AND(ISNUMBER(HE125),ISNUMBER(HC125)),HE125-HC125,"")</f>
        <v>0</v>
      </c>
      <c r="HE125" s="39">
        <f>IF(COUNT(HE126:HE128)=0,"",SUM(HE126:HE128))</f>
        <v>0</v>
      </c>
      <c r="HF125" s="34">
        <f>IF(AND(ISNUMBER(HG125),ISNUMBER(HE125)),HG125-HE125,"")</f>
        <v>0</v>
      </c>
      <c r="HG125" s="39">
        <f>IF(COUNT(HG126:HG128)=0,"",SUM(HG126:HG128))</f>
        <v>0</v>
      </c>
      <c r="HH125" s="34">
        <f>IF(AND(ISNUMBER(HI125),ISNUMBER(HG125)),HI125-HG125,"")</f>
        <v>0</v>
      </c>
      <c r="HI125" s="39">
        <f>IF(COUNT(HI126:HI128)=0,"",SUM(HI126:HI128))</f>
        <v>0</v>
      </c>
      <c r="HJ125" s="34">
        <f>IF(AND(ISNUMBER(HK125),ISNUMBER(HI125)),HK125-HI125,"")</f>
        <v>0</v>
      </c>
      <c r="HK125" s="39">
        <f>IF(COUNT(HK126:HK128)=0,"",SUM(HK126:HK128))</f>
        <v>0</v>
      </c>
      <c r="HL125" s="34">
        <f>IF(AND(ISNUMBER(HM125),ISNUMBER(HK125)),HM125-HK125,"")</f>
        <v>0</v>
      </c>
      <c r="HM125" s="39">
        <f>IF(COUNT(HM126:HM128)=0,"",SUM(HM126:HM128))</f>
        <v>0</v>
      </c>
      <c r="HN125" s="34">
        <f>IF(AND(ISNUMBER(HO125),ISNUMBER(HM125)),HO125-HM125,"")</f>
        <v>0</v>
      </c>
      <c r="HO125" s="39">
        <f>IF(COUNT(HO126:HO128)=0,"",SUM(HO126:HO128))</f>
        <v>0</v>
      </c>
      <c r="HP125" s="34">
        <f>IF(AND(ISNUMBER(HQ125),ISNUMBER(HO125)),HQ125-HO125,"")</f>
        <v>0</v>
      </c>
      <c r="HQ125" s="39">
        <f>IF(COUNT(HQ126:HQ128)=0,"",SUM(HQ126:HQ128))</f>
        <v>0</v>
      </c>
      <c r="HR125" s="34">
        <f>IF(AND(ISNUMBER(HS125),ISNUMBER(HQ125)),HS125-HQ125,"")</f>
        <v>0</v>
      </c>
      <c r="HS125" s="39">
        <f>IF(COUNT(HS126:HS128)=0,"",SUM(HS126:HS128))</f>
        <v>0</v>
      </c>
      <c r="HT125" s="34">
        <f>IF(AND(ISNUMBER(HU125),ISNUMBER(HS125)),HU125-HS125,"")</f>
        <v>0</v>
      </c>
      <c r="HU125" s="39">
        <f>IF(COUNT(HU126:HU128)=0,"",SUM(HU126:HU128))</f>
        <v>0</v>
      </c>
      <c r="HV125" s="34">
        <f>IF(AND(ISNUMBER(HW125),ISNUMBER(HU125)),HW125-HU125,"")</f>
        <v>0</v>
      </c>
      <c r="HW125" s="39">
        <f>IF(COUNT(HW126:HW128)=0,"",SUM(HW126:HW128))</f>
        <v>0</v>
      </c>
      <c r="HX125" s="34">
        <f>IF(AND(ISNUMBER(HY125),ISNUMBER(HW125)),HY125-HW125,"")</f>
        <v>0</v>
      </c>
      <c r="HY125" s="33">
        <v>3</v>
      </c>
      <c r="HZ125" s="34">
        <f>IF(AND(ISNUMBER(IA125),ISNUMBER(HY125)),IA125-HY125,"")</f>
        <v>0</v>
      </c>
      <c r="IA125" s="39">
        <f>IF(COUNT(IA126:IA128)=0,"",SUM(IA126:IA128))</f>
        <v>0</v>
      </c>
      <c r="IB125" s="34">
        <f>IF(AND(ISNUMBER(IC125),ISNUMBER(IA125)),IC125-IA125,"")</f>
        <v>0</v>
      </c>
      <c r="IC125" s="39">
        <f>IF(COUNT(IC126:IC128)=0,"",SUM(IC126:IC128))</f>
        <v>0</v>
      </c>
      <c r="ID125" s="34">
        <f>IF(AND(ISNUMBER(IE125),ISNUMBER(IC125)),IE125-IC125,"")</f>
        <v>0</v>
      </c>
      <c r="IE125" s="39">
        <f>IF(COUNT(IE126:IE128)=0,"",SUM(IE126:IE128))</f>
        <v>0</v>
      </c>
      <c r="IF125" s="34">
        <f>IF(AND(ISNUMBER(IG125),ISNUMBER(IE125)),IG125-IE125,"")</f>
        <v>0</v>
      </c>
      <c r="IG125" s="39">
        <f>IF(COUNT(IG126:IG128)=0,"",SUM(IG126:IG128))</f>
        <v>0</v>
      </c>
      <c r="IH125" s="34">
        <f>IF(AND(ISNUMBER(II125),ISNUMBER(IG125)),II125-IG125,"")</f>
        <v>0</v>
      </c>
      <c r="II125" s="39">
        <f>IF(COUNT(II126:II128)=0,"",SUM(II126:II128))</f>
        <v>0</v>
      </c>
      <c r="IJ125" s="34">
        <f>IF(AND(ISNUMBER(IK125),ISNUMBER(II125)),IK125-II125,"")</f>
        <v>0</v>
      </c>
      <c r="IK125" s="39">
        <f>IF(COUNT(IK126:IK128)=0,"",SUM(IK126:IK128))</f>
        <v>0</v>
      </c>
      <c r="IL125" s="34">
        <f>IF(AND(ISNUMBER(IM125),ISNUMBER(IK125)),IM125-IK125,"")</f>
        <v>0</v>
      </c>
      <c r="IM125" s="39">
        <f>IF(COUNT(IM126:IM128)=0,"",SUM(IM126:IM128))</f>
        <v>0</v>
      </c>
      <c r="IN125" s="34">
        <f>IF(AND(ISNUMBER(IO125),ISNUMBER(IM125)),IO125-IM125,"")</f>
        <v>0</v>
      </c>
      <c r="IO125" s="39">
        <f>IF(COUNT(IO126:IO128)=0,"",SUM(IO126:IO128))</f>
        <v>0</v>
      </c>
      <c r="IP125" s="34">
        <f>IF(AND(ISNUMBER(IQ125),ISNUMBER(IO125)),IQ125-IO125,"")</f>
        <v>0</v>
      </c>
      <c r="IQ125" s="39">
        <f>IF(COUNT(IQ126:IQ128)=0,"",SUM(IQ126:IQ128))</f>
        <v>0</v>
      </c>
      <c r="IR125" s="34">
        <f>IF(AND(ISNUMBER(IS125),ISNUMBER(IQ125)),IS125-IQ125,"")</f>
        <v>0</v>
      </c>
      <c r="IS125" s="39">
        <f>IF(COUNT(IS126:IS128)=0,"",SUM(IS126:IS128))</f>
        <v>0</v>
      </c>
      <c r="IT125" s="34">
        <f>IF(AND(ISNUMBER(IU125),ISNUMBER(IS125)),IU125-IS125,"")</f>
        <v>0</v>
      </c>
      <c r="IU125" s="39">
        <f>IF(COUNT(IU126:IU128)=0,"",SUM(IU126:IU128))</f>
        <v>0</v>
      </c>
      <c r="IV125" s="34">
        <f>IF(AND(ISNUMBER(IW125),ISNUMBER(IU125)),IW125-IU125,"")</f>
        <v>0</v>
      </c>
      <c r="IW125" s="39">
        <f>IF(COUNT(IW126:IW128)=0,"",SUM(IW126:IW128))</f>
        <v>0</v>
      </c>
      <c r="IX125" s="34">
        <f>IF(AND(ISNUMBER(IY125),ISNUMBER(IW125)),IY125-IW125,"")</f>
        <v>0</v>
      </c>
      <c r="IY125" s="39">
        <f>IF(COUNT(IY126:IY128)=0,"",SUM(IY126:IY128))</f>
        <v>0</v>
      </c>
      <c r="IZ125" s="34">
        <f>IF(AND(ISNUMBER(JA125),ISNUMBER(IY125)),JA125-IY125,"")</f>
        <v>0</v>
      </c>
      <c r="JA125" s="39">
        <f>IF(COUNT(JA126:JA128)=0,"",SUM(JA126:JA128))</f>
        <v>0</v>
      </c>
      <c r="JB125" s="34">
        <f>IF(AND(ISNUMBER(JC125),ISNUMBER(JA125)),JC125-JA125,"")</f>
        <v>0</v>
      </c>
      <c r="JC125" s="39">
        <f>IF(COUNT(JC126:JC128)=0,"",SUM(JC126:JC128))</f>
        <v>0</v>
      </c>
      <c r="JD125" s="34">
        <f>IF(AND(ISNUMBER(JE125),ISNUMBER(JC125)),JE125-JC125,"")</f>
        <v>0</v>
      </c>
      <c r="JE125" s="39">
        <f>IF(COUNT(JE126:JE128)=0,"",SUM(JE126:JE128))</f>
        <v>0</v>
      </c>
      <c r="JF125" s="34">
        <f>IF(AND(ISNUMBER(JG125),ISNUMBER(JE125)),JG125-JE125,"")</f>
        <v>0</v>
      </c>
      <c r="JG125" s="39">
        <f>IF(COUNT(JG126:JG128)=0,"",SUM(JG126:JG128))</f>
        <v>0</v>
      </c>
      <c r="JH125" s="34">
        <f>IF(AND(ISNUMBER(JI125),ISNUMBER(JG125)),JI125-JG125,"")</f>
        <v>0</v>
      </c>
      <c r="JI125" s="39">
        <f>IF(COUNT(JI126:JI128)=0,"",SUM(JI126:JI128))</f>
        <v>0</v>
      </c>
      <c r="JJ125" s="34">
        <f>IF(AND(ISNUMBER(JK125),ISNUMBER(JI125)),JK125-JI125,"")</f>
        <v>0</v>
      </c>
      <c r="JK125" s="39">
        <f>IF(COUNT(JK126:JK128)=0,"",SUM(JK126:JK128))</f>
        <v>0</v>
      </c>
      <c r="JL125" s="34">
        <f>IF(AND(ISNUMBER(JM125),ISNUMBER(JK125)),JM125-JK125,"")</f>
        <v>0</v>
      </c>
      <c r="JM125" s="39">
        <f>IF(COUNT(JM126:JM128)=0,"",SUM(JM126:JM128))</f>
        <v>0</v>
      </c>
      <c r="JN125" s="34">
        <f>IF(AND(ISNUMBER(JO125),ISNUMBER(JM125)),JO125-JM125,"")</f>
        <v>0</v>
      </c>
      <c r="JO125" s="39">
        <f>IF(COUNT(JO126:JO128)=0,"",SUM(JO126:JO128))</f>
        <v>0</v>
      </c>
      <c r="JP125" s="34">
        <f>IF(AND(ISNUMBER(JQ125),ISNUMBER(JO125)),JQ125-JO125,"")</f>
        <v>0</v>
      </c>
      <c r="JQ125" s="39">
        <f>IF(COUNT(JQ126:JQ128)=0,"",SUM(JQ126:JQ128))</f>
        <v>0</v>
      </c>
      <c r="JR125" s="34">
        <f>IF(AND(ISNUMBER(JS125),ISNUMBER(JQ125)),JS125-JQ125,"")</f>
        <v>0</v>
      </c>
      <c r="JS125" s="39">
        <f>IF(COUNT(JS126:JS128)=0,"",SUM(JS126:JS128))</f>
        <v>0</v>
      </c>
      <c r="JT125" s="34">
        <f>IF(AND(ISNUMBER(JU125),ISNUMBER(JS125)),JU125-JS125,"")</f>
        <v>0</v>
      </c>
      <c r="JU125" s="39">
        <f>IF(COUNT(JU126:JU128)=0,"",SUM(JU126:JU128))</f>
        <v>0</v>
      </c>
      <c r="JV125" s="34">
        <f>IF(AND(ISNUMBER(JW125),ISNUMBER(JU125)),JW125-JU125,"")</f>
        <v>0</v>
      </c>
      <c r="JW125" s="39">
        <f>IF(COUNT(JW126:JW128)=0,"",SUM(JW126:JW128))</f>
        <v>0</v>
      </c>
      <c r="JX125" s="34">
        <f>IF(AND(ISNUMBER(JY125),ISNUMBER(JW125)),JY125-JW125,"")</f>
        <v>0</v>
      </c>
      <c r="JY125" s="39">
        <f>IF(COUNT(JY126:JY128)=0,"",SUM(JY126:JY128))</f>
        <v>0</v>
      </c>
      <c r="JZ125" s="34">
        <f>IF(AND(ISNUMBER(KA125),ISNUMBER(JY125)),KA125-JY125,"")</f>
        <v>0</v>
      </c>
      <c r="KA125" s="39">
        <f>IF(COUNT(KA126:KA128)=0,"",SUM(KA126:KA128))</f>
        <v>0</v>
      </c>
      <c r="KB125" s="34">
        <f>IF(AND(ISNUMBER(KC125),ISNUMBER(KA125)),KC125-KA125,"")</f>
        <v>0</v>
      </c>
      <c r="KC125" s="39">
        <f>IF(COUNT(KC126:KC128)=0,"",SUM(KC126:KC128))</f>
        <v>0</v>
      </c>
      <c r="KD125" s="34">
        <f>IF(AND(ISNUMBER(KE125),ISNUMBER(KC125)),KE125-KC125,"")</f>
        <v>0</v>
      </c>
      <c r="KE125" s="39">
        <f>IF(COUNT(KE126:KE128)=0,"",SUM(KE126:KE128))</f>
        <v>0</v>
      </c>
      <c r="KF125" s="34">
        <f>IF(AND(ISNUMBER(KG125),ISNUMBER(KE125)),KG125-KE125,"")</f>
        <v>0</v>
      </c>
      <c r="KG125" s="39">
        <f>IF(COUNT(KG126:KG128)=0,"",SUM(KG126:KG128))</f>
        <v>0</v>
      </c>
      <c r="KH125" s="34">
        <f>IF(AND(ISNUMBER(KI125),ISNUMBER(KG125)),KI125-KG125,"")</f>
        <v>0</v>
      </c>
      <c r="KI125" s="39">
        <f>IF(COUNT(KI126:KI128)=0,"",SUM(KI126:KI128))</f>
        <v>0</v>
      </c>
      <c r="KJ125" s="34">
        <f>IF(AND(ISNUMBER(KK125),ISNUMBER(KI125)),KK125-KI125,"")</f>
        <v>0</v>
      </c>
      <c r="KK125" s="39">
        <f>IF(COUNT(KK126:KK128)=0,"",SUM(KK126:KK128))</f>
        <v>0</v>
      </c>
      <c r="KL125" s="34">
        <f>IF(AND(ISNUMBER(KM125),ISNUMBER(KK125)),KM125-KK125,"")</f>
        <v>0</v>
      </c>
      <c r="KM125" s="39">
        <f>IF(COUNT(KM126:KM128)=0,"",SUM(KM126:KM128))</f>
        <v>0</v>
      </c>
      <c r="KN125" s="34">
        <f>IF(AND(ISNUMBER(KO125),ISNUMBER(KM125)),KO125-KM125,"")</f>
        <v>0</v>
      </c>
      <c r="KO125" s="39">
        <f>IF(COUNT(KO126:KO128)=0,"",SUM(KO126:KO128))</f>
        <v>0</v>
      </c>
      <c r="KP125" s="34">
        <f>IF(AND(ISNUMBER(KQ125),ISNUMBER(KO125)),KQ125-KO125,"")</f>
        <v>0</v>
      </c>
      <c r="KQ125" s="39">
        <f>IF(COUNT(KQ126:KQ128)=0,"",SUM(KQ126:KQ128))</f>
        <v>0</v>
      </c>
      <c r="KR125" s="34">
        <f>IF(AND(ISNUMBER(KS125),ISNUMBER(KQ125)),KS125-KQ125,"")</f>
        <v>0</v>
      </c>
      <c r="KS125" s="39">
        <f>IF(COUNT(KS126:KS128)=0,"",SUM(KS126:KS128))</f>
        <v>0</v>
      </c>
      <c r="KT125" s="34">
        <f>IF(AND(ISNUMBER(KU125),ISNUMBER(KS125)),KU125-KS125,"")</f>
        <v>0</v>
      </c>
      <c r="KU125" s="39">
        <f>IF(COUNT(KU126:KU128)=0,"",SUM(KU126:KU128))</f>
        <v>0</v>
      </c>
      <c r="KV125" s="34">
        <f>IF(AND(ISNUMBER(KW125),ISNUMBER(KU125)),KW125-KU125,"")</f>
        <v>0</v>
      </c>
      <c r="KW125" s="39">
        <f>IF(COUNT(KW126:KW128)=0,"",SUM(KW126:KW128))</f>
        <v>0</v>
      </c>
      <c r="KX125" s="34">
        <f>IF(AND(ISNUMBER(KY125),ISNUMBER(KW125)),KY125-KW125,"")</f>
        <v>0</v>
      </c>
      <c r="KY125" s="39">
        <f>IF(COUNT(KY126:KY128)=0,"",SUM(KY126:KY128))</f>
        <v>0</v>
      </c>
      <c r="KZ125" s="34">
        <f>IF(AND(ISNUMBER(LA125),ISNUMBER(KY125)),LA125-KY125,"")</f>
        <v>0</v>
      </c>
      <c r="LA125" s="39">
        <f>IF(COUNT(LA126:LA128)=0,"",SUM(LA126:LA128))</f>
        <v>0</v>
      </c>
      <c r="LB125" s="34">
        <f>IF(AND(ISNUMBER(LC125),ISNUMBER(LA125)),LC125-LA125,"")</f>
        <v>0</v>
      </c>
      <c r="LC125" s="39">
        <f>IF(COUNT(LC126:LC128)=0,"",SUM(LC126:LC128))</f>
        <v>0</v>
      </c>
      <c r="LD125" s="34">
        <f>IF(AND(ISNUMBER(LE125),ISNUMBER(LC125)),LE125-LC125,"")</f>
        <v>0</v>
      </c>
      <c r="LE125" s="39">
        <f>IF(COUNT(LE126:LE128)=0,"",SUM(LE126:LE128))</f>
        <v>0</v>
      </c>
      <c r="LF125" s="34">
        <f>IF(AND(ISNUMBER(LG125),ISNUMBER(LE125)),LG125-LE125,"")</f>
        <v>0</v>
      </c>
      <c r="LG125" s="39">
        <f>IF(COUNT(LG126:LG128)=0,"",SUM(LG126:LG128))</f>
        <v>0</v>
      </c>
    </row>
    <row r="126" spans="1:322">
      <c r="B126" s="23"/>
      <c r="C126" s="31" t="s">
        <v>898</v>
      </c>
      <c r="E126" s="32" t="s">
        <v>1139</v>
      </c>
      <c r="I126" s="33"/>
      <c r="J126" s="34">
        <f>IF(AND(ISNUMBER(K126),ISNUMBER(I126)),K126-I126,"")</f>
        <v>0</v>
      </c>
      <c r="K126" s="33"/>
      <c r="L126" s="34">
        <f>IF(AND(ISNUMBER(M126),ISNUMBER(K126)),M126-K126,"")</f>
        <v>0</v>
      </c>
      <c r="M126" s="33"/>
      <c r="N126" s="34">
        <f>IF(AND(ISNUMBER(O126),ISNUMBER(M126)),O126-M126,"")</f>
        <v>0</v>
      </c>
      <c r="O126" s="33"/>
      <c r="P126" s="34">
        <f>IF(AND(ISNUMBER(Q126),ISNUMBER(O126)),Q126-O126,"")</f>
        <v>0</v>
      </c>
      <c r="Q126" s="33"/>
      <c r="R126" s="34">
        <f>IF(AND(ISNUMBER(S126),ISNUMBER(Q126)),S126-Q126,"")</f>
        <v>0</v>
      </c>
      <c r="S126" s="33"/>
      <c r="T126" s="34">
        <f>IF(AND(ISNUMBER(U126),ISNUMBER(S126)),U126-S126,"")</f>
        <v>0</v>
      </c>
      <c r="U126" s="33"/>
      <c r="V126" s="34">
        <f>IF(AND(ISNUMBER(W126),ISNUMBER(U126)),W126-U126,"")</f>
        <v>0</v>
      </c>
      <c r="W126" s="33"/>
      <c r="X126" s="34">
        <f>IF(AND(ISNUMBER(Y126),ISNUMBER(W126)),Y126-W126,"")</f>
        <v>0</v>
      </c>
      <c r="Y126" s="33"/>
      <c r="Z126" s="34">
        <f>IF(AND(ISNUMBER(AA126),ISNUMBER(Y126)),AA126-Y126,"")</f>
        <v>0</v>
      </c>
      <c r="AA126" s="33"/>
      <c r="AB126" s="34">
        <f>IF(AND(ISNUMBER(AC126),ISNUMBER(AA126)),AC126-AA126,"")</f>
        <v>0</v>
      </c>
      <c r="AC126" s="33"/>
      <c r="AD126" s="34">
        <f>IF(AND(ISNUMBER(AE126),ISNUMBER(AC126)),AE126-AC126,"")</f>
        <v>0</v>
      </c>
      <c r="AE126" s="33"/>
      <c r="AF126" s="34">
        <f>IF(AND(ISNUMBER(AG126),ISNUMBER(AE126)),AG126-AE126,"")</f>
        <v>0</v>
      </c>
      <c r="AG126" s="33"/>
      <c r="AH126" s="34">
        <f>IF(AND(ISNUMBER(AI126),ISNUMBER(AG126)),AI126-AG126,"")</f>
        <v>0</v>
      </c>
      <c r="AI126" s="33"/>
      <c r="AJ126" s="34">
        <f>IF(AND(ISNUMBER(AK126),ISNUMBER(AI126)),AK126-AI126,"")</f>
        <v>0</v>
      </c>
      <c r="AK126" s="33"/>
      <c r="AL126" s="34">
        <f>IF(AND(ISNUMBER(AM126),ISNUMBER(AK126)),AM126-AK126,"")</f>
        <v>0</v>
      </c>
      <c r="AM126" s="33"/>
      <c r="AN126" s="34">
        <f>IF(AND(ISNUMBER(AO126),ISNUMBER(AM126)),AO126-AM126,"")</f>
        <v>0</v>
      </c>
      <c r="AO126" s="33"/>
      <c r="AP126" s="34">
        <f>IF(AND(ISNUMBER(AQ126),ISNUMBER(AO126)),AQ126-AO126,"")</f>
        <v>0</v>
      </c>
      <c r="AQ126" s="33"/>
      <c r="AR126" s="34">
        <f>IF(AND(ISNUMBER(AS126),ISNUMBER(AQ126)),AS126-AQ126,"")</f>
        <v>0</v>
      </c>
      <c r="AS126" s="33"/>
      <c r="AT126" s="34">
        <f>IF(AND(ISNUMBER(AU126),ISNUMBER(AS126)),AU126-AS126,"")</f>
        <v>0</v>
      </c>
      <c r="AU126" s="33"/>
      <c r="AV126" s="34">
        <f>IF(AND(ISNUMBER(AW126),ISNUMBER(AU126)),AW126-AU126,"")</f>
        <v>0</v>
      </c>
      <c r="AW126" s="33"/>
      <c r="AX126" s="34">
        <f>IF(AND(ISNUMBER(AY126),ISNUMBER(AW126)),AY126-AW126,"")</f>
        <v>0</v>
      </c>
      <c r="AY126" s="33"/>
      <c r="AZ126" s="34">
        <f>IF(AND(ISNUMBER(BA126),ISNUMBER(AY126)),BA126-AY126,"")</f>
        <v>0</v>
      </c>
      <c r="BA126" s="33"/>
      <c r="BB126" s="34">
        <f>IF(AND(ISNUMBER(BC126),ISNUMBER(BA126)),BC126-BA126,"")</f>
        <v>0</v>
      </c>
      <c r="BC126" s="33"/>
      <c r="BD126" s="34">
        <f>IF(AND(ISNUMBER(BE126),ISNUMBER(BC126)),BE126-BC126,"")</f>
        <v>0</v>
      </c>
      <c r="BE126" s="33"/>
      <c r="BF126" s="34">
        <f>IF(AND(ISNUMBER(BG126),ISNUMBER(BE126)),BG126-BE126,"")</f>
        <v>0</v>
      </c>
      <c r="BG126" s="33"/>
      <c r="BH126" s="34">
        <f>IF(AND(ISNUMBER(BI126),ISNUMBER(BG126)),BI126-BG126,"")</f>
        <v>0</v>
      </c>
      <c r="BI126" s="33"/>
      <c r="BJ126" s="34">
        <f>IF(AND(ISNUMBER(BK126),ISNUMBER(BI126)),BK126-BI126,"")</f>
        <v>0</v>
      </c>
      <c r="BK126" s="33"/>
      <c r="BL126" s="34">
        <f>IF(AND(ISNUMBER(BM126),ISNUMBER(BK126)),BM126-BK126,"")</f>
        <v>0</v>
      </c>
      <c r="BM126" s="33"/>
      <c r="BN126" s="34">
        <f>IF(AND(ISNUMBER(BO126),ISNUMBER(BM126)),BO126-BM126,"")</f>
        <v>0</v>
      </c>
      <c r="BO126" s="33"/>
      <c r="BP126" s="34">
        <f>IF(AND(ISNUMBER(BQ126),ISNUMBER(BO126)),BQ126-BO126,"")</f>
        <v>0</v>
      </c>
      <c r="BQ126" s="33"/>
      <c r="BR126" s="34">
        <f>IF(AND(ISNUMBER(BS126),ISNUMBER(BQ126)),BS126-BQ126,"")</f>
        <v>0</v>
      </c>
      <c r="BS126" s="33"/>
      <c r="BT126" s="34">
        <f>IF(AND(ISNUMBER(BU126),ISNUMBER(BS126)),BU126-BS126,"")</f>
        <v>0</v>
      </c>
      <c r="BU126" s="33"/>
      <c r="BV126" s="34">
        <f>IF(AND(ISNUMBER(BW126),ISNUMBER(BU126)),BW126-BU126,"")</f>
        <v>0</v>
      </c>
      <c r="BW126" s="33"/>
      <c r="BX126" s="34">
        <f>IF(AND(ISNUMBER(BY126),ISNUMBER(BW126)),BY126-BW126,"")</f>
        <v>0</v>
      </c>
      <c r="BY126" s="33"/>
      <c r="BZ126" s="34">
        <f>IF(AND(ISNUMBER(CA126),ISNUMBER(BY126)),CA126-BY126,"")</f>
        <v>0</v>
      </c>
      <c r="CA126" s="33"/>
      <c r="CB126" s="34">
        <f>IF(AND(ISNUMBER(CC126),ISNUMBER(CA126)),CC126-CA126,"")</f>
        <v>0</v>
      </c>
      <c r="CC126" s="33"/>
      <c r="CD126" s="34">
        <f>IF(AND(ISNUMBER(CE126),ISNUMBER(CC126)),CE126-CC126,"")</f>
        <v>0</v>
      </c>
      <c r="CE126" s="33"/>
      <c r="CF126" s="34">
        <f>IF(AND(ISNUMBER(CG126),ISNUMBER(CE126)),CG126-CE126,"")</f>
        <v>0</v>
      </c>
      <c r="CG126" s="33"/>
      <c r="CH126" s="34">
        <f>IF(AND(ISNUMBER(CI126),ISNUMBER(CG126)),CI126-CG126,"")</f>
        <v>0</v>
      </c>
      <c r="CI126" s="33">
        <v>12</v>
      </c>
      <c r="CJ126" s="34">
        <f>IF(AND(ISNUMBER(CK126),ISNUMBER(CI126)),CK126-CI126,"")</f>
        <v>0</v>
      </c>
      <c r="CK126" s="33">
        <v>4</v>
      </c>
      <c r="CL126" s="34">
        <f>IF(AND(ISNUMBER(CM126),ISNUMBER(CK126)),CM126-CK126,"")</f>
        <v>0</v>
      </c>
      <c r="CM126" s="33">
        <v>3</v>
      </c>
      <c r="CN126" s="34">
        <f>IF(AND(ISNUMBER(CO126),ISNUMBER(CM126)),CO126-CM126,"")</f>
        <v>0</v>
      </c>
      <c r="CO126" s="33">
        <v>7</v>
      </c>
      <c r="CP126" s="34">
        <f>IF(AND(ISNUMBER(CQ126),ISNUMBER(CO126)),CQ126-CO126,"")</f>
        <v>0</v>
      </c>
      <c r="CQ126" s="33">
        <v>4</v>
      </c>
      <c r="CR126" s="34">
        <f>IF(AND(ISNUMBER(CS126),ISNUMBER(CQ126)),CS126-CQ126,"")</f>
        <v>0</v>
      </c>
      <c r="CS126" s="33">
        <v>3</v>
      </c>
      <c r="CT126" s="34">
        <f>IF(AND(ISNUMBER(CU126),ISNUMBER(CS126)),CU126-CS126,"")</f>
        <v>0</v>
      </c>
      <c r="CU126" s="33">
        <v>7</v>
      </c>
      <c r="CV126" s="34">
        <f>IF(AND(ISNUMBER(CW126),ISNUMBER(CU126)),CW126-CU126,"")</f>
        <v>0</v>
      </c>
      <c r="CW126" s="33">
        <v>10</v>
      </c>
      <c r="CX126" s="34">
        <f>IF(AND(ISNUMBER(CY126),ISNUMBER(CW126)),CY126-CW126,"")</f>
        <v>0</v>
      </c>
      <c r="CY126" s="33">
        <v>11</v>
      </c>
      <c r="CZ126" s="34">
        <f>IF(AND(ISNUMBER(DA126),ISNUMBER(CY126)),DA126-CY126,"")</f>
        <v>0</v>
      </c>
      <c r="DA126" s="33">
        <v>1</v>
      </c>
      <c r="DB126" s="34">
        <f>IF(AND(ISNUMBER(DC126),ISNUMBER(DA126)),DC126-DA126,"")</f>
        <v>0</v>
      </c>
      <c r="DC126" s="33">
        <v>0</v>
      </c>
      <c r="DD126" s="34">
        <f>IF(AND(ISNUMBER(DE126),ISNUMBER(DC126)),DE126-DC126,"")</f>
        <v>0</v>
      </c>
      <c r="DE126" s="33">
        <v>3</v>
      </c>
      <c r="DF126" s="34">
        <f>IF(AND(ISNUMBER(DG126),ISNUMBER(DE126)),DG126-DE126,"")</f>
        <v>0</v>
      </c>
      <c r="DG126" s="33">
        <v>9</v>
      </c>
      <c r="DH126" s="34">
        <f>IF(AND(ISNUMBER(DI126),ISNUMBER(DG126)),DI126-DG126,"")</f>
        <v>0</v>
      </c>
      <c r="DI126" s="33">
        <v>0</v>
      </c>
      <c r="DJ126" s="34">
        <f>IF(AND(ISNUMBER(DK126),ISNUMBER(DI126)),DK126-DI126,"")</f>
        <v>0</v>
      </c>
      <c r="DK126" s="33">
        <v>7</v>
      </c>
      <c r="DL126" s="34">
        <f>IF(AND(ISNUMBER(DM126),ISNUMBER(DK126)),DM126-DK126,"")</f>
        <v>0</v>
      </c>
      <c r="DM126" s="33">
        <v>15</v>
      </c>
      <c r="DN126" s="34">
        <f>IF(AND(ISNUMBER(DO126),ISNUMBER(DM126)),DO126-DM126,"")</f>
        <v>0</v>
      </c>
      <c r="DO126" s="33">
        <v>5</v>
      </c>
      <c r="DP126" s="34">
        <f>IF(AND(ISNUMBER(DQ126),ISNUMBER(DO126)),DQ126-DO126,"")</f>
        <v>0</v>
      </c>
      <c r="DQ126" s="33">
        <v>46</v>
      </c>
      <c r="DR126" s="34">
        <f>IF(AND(ISNUMBER(DS126),ISNUMBER(DQ126)),DS126-DQ126,"")</f>
        <v>0</v>
      </c>
      <c r="DS126" s="33">
        <v>0</v>
      </c>
      <c r="DT126" s="34">
        <f>IF(AND(ISNUMBER(DU126),ISNUMBER(DS126)),DU126-DS126,"")</f>
        <v>0</v>
      </c>
      <c r="DU126" s="33">
        <v>7</v>
      </c>
      <c r="DV126" s="34">
        <f>IF(AND(ISNUMBER(DW126),ISNUMBER(DU126)),DW126-DU126,"")</f>
        <v>0</v>
      </c>
      <c r="DW126" s="33">
        <v>32</v>
      </c>
      <c r="DX126" s="34">
        <f>IF(AND(ISNUMBER(DY126),ISNUMBER(DW126)),DY126-DW126,"")</f>
        <v>0</v>
      </c>
      <c r="DY126" s="33">
        <v>13</v>
      </c>
      <c r="DZ126" s="34">
        <f>IF(AND(ISNUMBER(EA126),ISNUMBER(DY126)),EA126-DY126,"")</f>
        <v>0</v>
      </c>
      <c r="EA126" s="33">
        <v>6</v>
      </c>
      <c r="EB126" s="34">
        <f>IF(AND(ISNUMBER(EC126),ISNUMBER(EA126)),EC126-EA126,"")</f>
        <v>0</v>
      </c>
      <c r="EC126" s="33">
        <v>13</v>
      </c>
      <c r="ED126" s="34">
        <f>IF(AND(ISNUMBER(EE126),ISNUMBER(EC126)),EE126-EC126,"")</f>
        <v>0</v>
      </c>
      <c r="EE126" s="33">
        <v>4</v>
      </c>
      <c r="EF126" s="34">
        <f>IF(AND(ISNUMBER(EG126),ISNUMBER(EE126)),EG126-EE126,"")</f>
        <v>0</v>
      </c>
      <c r="EG126" s="33">
        <v>1</v>
      </c>
      <c r="EH126" s="34">
        <f>IF(AND(ISNUMBER(EI126),ISNUMBER(EG126)),EI126-EG126,"")</f>
        <v>0</v>
      </c>
      <c r="EI126" s="33">
        <v>0</v>
      </c>
      <c r="EJ126" s="34">
        <f>IF(AND(ISNUMBER(EK126),ISNUMBER(EI126)),EK126-EI126,"")</f>
        <v>0</v>
      </c>
      <c r="EK126" s="33">
        <v>2</v>
      </c>
      <c r="EL126" s="34">
        <f>IF(AND(ISNUMBER(EM126),ISNUMBER(EK126)),EM126-EK126,"")</f>
        <v>0</v>
      </c>
      <c r="EM126" s="33">
        <v>0</v>
      </c>
      <c r="EN126" s="34">
        <f>IF(AND(ISNUMBER(EO126),ISNUMBER(EM126)),EO126-EM126,"")</f>
        <v>0</v>
      </c>
      <c r="EO126" s="33">
        <v>1</v>
      </c>
      <c r="EP126" s="34">
        <f>IF(AND(ISNUMBER(EQ126),ISNUMBER(EO126)),EQ126-EO126,"")</f>
        <v>0</v>
      </c>
      <c r="EQ126" s="33">
        <v>1</v>
      </c>
      <c r="ER126" s="34">
        <f>IF(AND(ISNUMBER(ES126),ISNUMBER(EQ126)),ES126-EQ126,"")</f>
        <v>0</v>
      </c>
      <c r="ES126" s="33">
        <v>0</v>
      </c>
      <c r="ET126" s="34">
        <f>IF(AND(ISNUMBER(EU126),ISNUMBER(ES126)),EU126-ES126,"")</f>
        <v>0</v>
      </c>
      <c r="EU126" s="33">
        <v>3</v>
      </c>
      <c r="EV126" s="34">
        <f>IF(AND(ISNUMBER(EW126),ISNUMBER(EU126)),EW126-EU126,"")</f>
        <v>0</v>
      </c>
      <c r="EW126" s="33">
        <v>0</v>
      </c>
      <c r="EX126" s="34">
        <f>IF(AND(ISNUMBER(EY126),ISNUMBER(EW126)),EY126-EW126,"")</f>
        <v>0</v>
      </c>
      <c r="EY126" s="33">
        <v>3</v>
      </c>
      <c r="EZ126" s="34">
        <f>IF(AND(ISNUMBER(FA126),ISNUMBER(EY126)),FA126-EY126,"")</f>
        <v>0</v>
      </c>
      <c r="FA126" s="33">
        <v>3</v>
      </c>
      <c r="FB126" s="34">
        <f>IF(AND(ISNUMBER(FC126),ISNUMBER(FA126)),FC126-FA126,"")</f>
        <v>0</v>
      </c>
      <c r="FC126" s="33">
        <v>2</v>
      </c>
      <c r="FD126" s="34">
        <f>IF(AND(ISNUMBER(FE126),ISNUMBER(FC126)),FE126-FC126,"")</f>
        <v>0</v>
      </c>
      <c r="FE126" s="33">
        <v>1</v>
      </c>
      <c r="FF126" s="34">
        <f>IF(AND(ISNUMBER(FG126),ISNUMBER(FE126)),FG126-FE126,"")</f>
        <v>0</v>
      </c>
      <c r="FG126" s="33">
        <v>0</v>
      </c>
      <c r="FH126" s="34">
        <f>IF(AND(ISNUMBER(FI126),ISNUMBER(FG126)),FI126-FG126,"")</f>
        <v>0</v>
      </c>
      <c r="FI126" s="33">
        <v>0</v>
      </c>
      <c r="FJ126" s="34">
        <f>IF(AND(ISNUMBER(FK126),ISNUMBER(FI126)),FK126-FI126,"")</f>
        <v>0</v>
      </c>
      <c r="FK126" s="33">
        <v>2</v>
      </c>
      <c r="FL126" s="34">
        <f>IF(AND(ISNUMBER(FM126),ISNUMBER(FK126)),FM126-FK126,"")</f>
        <v>0</v>
      </c>
      <c r="FM126" s="33">
        <v>3</v>
      </c>
      <c r="FN126" s="34">
        <f>IF(AND(ISNUMBER(FO126),ISNUMBER(FM126)),FO126-FM126,"")</f>
        <v>0</v>
      </c>
      <c r="FO126" s="33">
        <v>0</v>
      </c>
      <c r="FP126" s="34">
        <f>IF(AND(ISNUMBER(FQ126),ISNUMBER(FO126)),FQ126-FO126,"")</f>
        <v>0</v>
      </c>
      <c r="FQ126" s="33">
        <v>2</v>
      </c>
      <c r="FR126" s="34">
        <f>IF(AND(ISNUMBER(FS126),ISNUMBER(FQ126)),FS126-FQ126,"")</f>
        <v>0</v>
      </c>
      <c r="FS126" s="33">
        <v>0</v>
      </c>
      <c r="FT126" s="34">
        <f>IF(AND(ISNUMBER(FU126),ISNUMBER(FS126)),FU126-FS126,"")</f>
        <v>0</v>
      </c>
      <c r="FU126" s="33">
        <v>0</v>
      </c>
      <c r="FV126" s="34">
        <f>IF(AND(ISNUMBER(FW126),ISNUMBER(FU126)),FW126-FU126,"")</f>
        <v>0</v>
      </c>
      <c r="FW126" s="33">
        <v>0</v>
      </c>
      <c r="FX126" s="34">
        <f>IF(AND(ISNUMBER(FY126),ISNUMBER(FW126)),FY126-FW126,"")</f>
        <v>0</v>
      </c>
      <c r="FY126" s="33">
        <v>0</v>
      </c>
      <c r="FZ126" s="34">
        <f>IF(AND(ISNUMBER(GA126),ISNUMBER(FY126)),GA126-FY126,"")</f>
        <v>0</v>
      </c>
      <c r="GA126" s="33">
        <v>0</v>
      </c>
      <c r="GB126" s="34">
        <f>IF(AND(ISNUMBER(GC126),ISNUMBER(GA126)),GC126-GA126,"")</f>
        <v>0</v>
      </c>
      <c r="GC126" s="33">
        <v>2</v>
      </c>
      <c r="GD126" s="34">
        <f>IF(AND(ISNUMBER(GE126),ISNUMBER(GC126)),GE126-GC126,"")</f>
        <v>0</v>
      </c>
      <c r="GE126" s="33">
        <v>2</v>
      </c>
      <c r="GF126" s="34">
        <f>IF(AND(ISNUMBER(GG126),ISNUMBER(GE126)),GG126-GE126,"")</f>
        <v>0</v>
      </c>
      <c r="GG126" s="33">
        <v>1</v>
      </c>
      <c r="GH126" s="34">
        <f>IF(AND(ISNUMBER(GI126),ISNUMBER(GG126)),GI126-GG126,"")</f>
        <v>0</v>
      </c>
      <c r="GI126" s="33">
        <v>1</v>
      </c>
      <c r="GJ126" s="34">
        <f>IF(AND(ISNUMBER(GK126),ISNUMBER(GI126)),GK126-GI126,"")</f>
        <v>0</v>
      </c>
      <c r="GK126" s="33">
        <v>0</v>
      </c>
      <c r="GL126" s="34">
        <f>IF(AND(ISNUMBER(GM126),ISNUMBER(GK126)),GM126-GK126,"")</f>
        <v>0</v>
      </c>
      <c r="GM126" s="33">
        <v>0</v>
      </c>
      <c r="GN126" s="34">
        <f>IF(AND(ISNUMBER(GO126),ISNUMBER(GM126)),GO126-GM126,"")</f>
        <v>0</v>
      </c>
      <c r="GO126" s="33">
        <v>0</v>
      </c>
      <c r="GP126" s="34">
        <f>IF(AND(ISNUMBER(GQ126),ISNUMBER(GO126)),GQ126-GO126,"")</f>
        <v>0</v>
      </c>
      <c r="GQ126" s="33">
        <v>1</v>
      </c>
      <c r="GR126" s="34">
        <f>IF(AND(ISNUMBER(GS126),ISNUMBER(GQ126)),GS126-GQ126,"")</f>
        <v>0</v>
      </c>
      <c r="GS126" s="33">
        <v>0</v>
      </c>
      <c r="GT126" s="34">
        <f>IF(AND(ISNUMBER(GU126),ISNUMBER(GS126)),GU126-GS126,"")</f>
        <v>0</v>
      </c>
      <c r="GU126" s="33">
        <v>0</v>
      </c>
      <c r="GV126" s="34">
        <f>IF(AND(ISNUMBER(GW126),ISNUMBER(GU126)),GW126-GU126,"")</f>
        <v>0</v>
      </c>
      <c r="GW126" s="33">
        <v>0</v>
      </c>
      <c r="GX126" s="34">
        <f>IF(AND(ISNUMBER(GY126),ISNUMBER(GW126)),GY126-GW126,"")</f>
        <v>0</v>
      </c>
      <c r="GY126" s="33">
        <v>0</v>
      </c>
      <c r="GZ126" s="34">
        <f>IF(AND(ISNUMBER(HA126),ISNUMBER(GY126)),HA126-GY126,"")</f>
        <v>0</v>
      </c>
      <c r="HA126" s="33">
        <v>0</v>
      </c>
      <c r="HB126" s="34">
        <f>IF(AND(ISNUMBER(HC126),ISNUMBER(HA126)),HC126-HA126,"")</f>
        <v>0</v>
      </c>
      <c r="HC126" s="33">
        <v>0</v>
      </c>
      <c r="HD126" s="34">
        <f>IF(AND(ISNUMBER(HE126),ISNUMBER(HC126)),HE126-HC126,"")</f>
        <v>0</v>
      </c>
      <c r="HE126" s="33">
        <v>0</v>
      </c>
      <c r="HF126" s="34">
        <f>IF(AND(ISNUMBER(HG126),ISNUMBER(HE126)),HG126-HE126,"")</f>
        <v>0</v>
      </c>
      <c r="HG126" s="33">
        <v>0</v>
      </c>
      <c r="HH126" s="34">
        <f>IF(AND(ISNUMBER(HI126),ISNUMBER(HG126)),HI126-HG126,"")</f>
        <v>0</v>
      </c>
      <c r="HI126" s="33">
        <v>0</v>
      </c>
      <c r="HJ126" s="34">
        <f>IF(AND(ISNUMBER(HK126),ISNUMBER(HI126)),HK126-HI126,"")</f>
        <v>0</v>
      </c>
      <c r="HK126" s="33">
        <v>0</v>
      </c>
      <c r="HL126" s="34">
        <f>IF(AND(ISNUMBER(HM126),ISNUMBER(HK126)),HM126-HK126,"")</f>
        <v>0</v>
      </c>
      <c r="HM126" s="33">
        <v>0</v>
      </c>
      <c r="HN126" s="34">
        <f>IF(AND(ISNUMBER(HO126),ISNUMBER(HM126)),HO126-HM126,"")</f>
        <v>0</v>
      </c>
      <c r="HO126" s="33">
        <v>0</v>
      </c>
      <c r="HP126" s="34">
        <f>IF(AND(ISNUMBER(HQ126),ISNUMBER(HO126)),HQ126-HO126,"")</f>
        <v>0</v>
      </c>
      <c r="HQ126" s="33">
        <v>0</v>
      </c>
      <c r="HR126" s="34">
        <f>IF(AND(ISNUMBER(HS126),ISNUMBER(HQ126)),HS126-HQ126,"")</f>
        <v>0</v>
      </c>
      <c r="HS126" s="33">
        <v>0</v>
      </c>
      <c r="HT126" s="34">
        <f>IF(AND(ISNUMBER(HU126),ISNUMBER(HS126)),HU126-HS126,"")</f>
        <v>0</v>
      </c>
      <c r="HU126" s="33">
        <v>0</v>
      </c>
      <c r="HV126" s="34">
        <f>IF(AND(ISNUMBER(HW126),ISNUMBER(HU126)),HW126-HU126,"")</f>
        <v>0</v>
      </c>
      <c r="HW126" s="33">
        <v>0</v>
      </c>
      <c r="HX126" s="34">
        <f>IF(AND(ISNUMBER(HY126),ISNUMBER(HW126)),HY126-HW126,"")</f>
        <v>0</v>
      </c>
      <c r="HY126" s="33">
        <v>0</v>
      </c>
      <c r="HZ126" s="34">
        <f>IF(AND(ISNUMBER(IA126),ISNUMBER(HY126)),IA126-HY126,"")</f>
        <v>0</v>
      </c>
      <c r="IA126" s="33">
        <v>0</v>
      </c>
      <c r="IB126" s="34">
        <f>IF(AND(ISNUMBER(IC126),ISNUMBER(IA126)),IC126-IA126,"")</f>
        <v>0</v>
      </c>
      <c r="IC126" s="33">
        <v>0</v>
      </c>
      <c r="ID126" s="34">
        <f>IF(AND(ISNUMBER(IE126),ISNUMBER(IC126)),IE126-IC126,"")</f>
        <v>0</v>
      </c>
      <c r="IE126" s="33">
        <v>0</v>
      </c>
      <c r="IF126" s="34">
        <f>IF(AND(ISNUMBER(IG126),ISNUMBER(IE126)),IG126-IE126,"")</f>
        <v>0</v>
      </c>
      <c r="IG126" s="33">
        <v>0</v>
      </c>
      <c r="IH126" s="34">
        <f>IF(AND(ISNUMBER(II126),ISNUMBER(IG126)),II126-IG126,"")</f>
        <v>0</v>
      </c>
      <c r="II126" s="33">
        <v>0</v>
      </c>
      <c r="IJ126" s="34">
        <f>IF(AND(ISNUMBER(IK126),ISNUMBER(II126)),IK126-II126,"")</f>
        <v>0</v>
      </c>
      <c r="IK126" s="33">
        <v>0</v>
      </c>
      <c r="IL126" s="34">
        <f>IF(AND(ISNUMBER(IM126),ISNUMBER(IK126)),IM126-IK126,"")</f>
        <v>0</v>
      </c>
      <c r="IM126" s="33">
        <v>0</v>
      </c>
      <c r="IN126" s="34">
        <f>IF(AND(ISNUMBER(IO126),ISNUMBER(IM126)),IO126-IM126,"")</f>
        <v>0</v>
      </c>
      <c r="IO126" s="33">
        <v>0</v>
      </c>
      <c r="IP126" s="34">
        <f>IF(AND(ISNUMBER(IQ126),ISNUMBER(IO126)),IQ126-IO126,"")</f>
        <v>0</v>
      </c>
      <c r="IQ126" s="33">
        <v>0</v>
      </c>
      <c r="IR126" s="34">
        <f>IF(AND(ISNUMBER(IS126),ISNUMBER(IQ126)),IS126-IQ126,"")</f>
        <v>0</v>
      </c>
      <c r="IS126" s="33">
        <v>0</v>
      </c>
      <c r="IT126" s="34">
        <f>IF(AND(ISNUMBER(IU126),ISNUMBER(IS126)),IU126-IS126,"")</f>
        <v>0</v>
      </c>
      <c r="IU126" s="33">
        <v>0</v>
      </c>
      <c r="IV126" s="34">
        <f>IF(AND(ISNUMBER(IW126),ISNUMBER(IU126)),IW126-IU126,"")</f>
        <v>0</v>
      </c>
      <c r="IW126" s="33">
        <v>0</v>
      </c>
      <c r="IX126" s="34">
        <f>IF(AND(ISNUMBER(IY126),ISNUMBER(IW126)),IY126-IW126,"")</f>
        <v>0</v>
      </c>
      <c r="IY126" s="33">
        <v>0</v>
      </c>
      <c r="IZ126" s="34">
        <f>IF(AND(ISNUMBER(JA126),ISNUMBER(IY126)),JA126-IY126,"")</f>
        <v>0</v>
      </c>
      <c r="JA126" s="33">
        <v>0</v>
      </c>
      <c r="JB126" s="34">
        <f>IF(AND(ISNUMBER(JC126),ISNUMBER(JA126)),JC126-JA126,"")</f>
        <v>0</v>
      </c>
      <c r="JC126" s="33">
        <v>0</v>
      </c>
      <c r="JD126" s="34">
        <f>IF(AND(ISNUMBER(JE126),ISNUMBER(JC126)),JE126-JC126,"")</f>
        <v>0</v>
      </c>
      <c r="JE126" s="33">
        <v>0</v>
      </c>
      <c r="JF126" s="34">
        <f>IF(AND(ISNUMBER(JG126),ISNUMBER(JE126)),JG126-JE126,"")</f>
        <v>0</v>
      </c>
      <c r="JG126" s="33">
        <v>0</v>
      </c>
      <c r="JH126" s="34">
        <f>IF(AND(ISNUMBER(JI126),ISNUMBER(JG126)),JI126-JG126,"")</f>
        <v>0</v>
      </c>
      <c r="JI126" s="33">
        <v>0</v>
      </c>
      <c r="JJ126" s="34">
        <f>IF(AND(ISNUMBER(JK126),ISNUMBER(JI126)),JK126-JI126,"")</f>
        <v>0</v>
      </c>
      <c r="JK126" s="33">
        <v>0</v>
      </c>
      <c r="JL126" s="34">
        <f>IF(AND(ISNUMBER(JM126),ISNUMBER(JK126)),JM126-JK126,"")</f>
        <v>0</v>
      </c>
      <c r="JM126" s="33">
        <v>0</v>
      </c>
      <c r="JN126" s="34">
        <f>IF(AND(ISNUMBER(JO126),ISNUMBER(JM126)),JO126-JM126,"")</f>
        <v>0</v>
      </c>
      <c r="JO126" s="33">
        <v>0</v>
      </c>
      <c r="JP126" s="34">
        <f>IF(AND(ISNUMBER(JQ126),ISNUMBER(JO126)),JQ126-JO126,"")</f>
        <v>0</v>
      </c>
      <c r="JQ126" s="33">
        <v>0</v>
      </c>
      <c r="JR126" s="34">
        <f>IF(AND(ISNUMBER(JS126),ISNUMBER(JQ126)),JS126-JQ126,"")</f>
        <v>0</v>
      </c>
      <c r="JS126" s="33">
        <v>0</v>
      </c>
      <c r="JT126" s="34">
        <f>IF(AND(ISNUMBER(JU126),ISNUMBER(JS126)),JU126-JS126,"")</f>
        <v>0</v>
      </c>
      <c r="JU126" s="33">
        <v>0</v>
      </c>
      <c r="JV126" s="34">
        <f>IF(AND(ISNUMBER(JW126),ISNUMBER(JU126)),JW126-JU126,"")</f>
        <v>0</v>
      </c>
      <c r="JW126" s="33">
        <v>0</v>
      </c>
      <c r="JX126" s="34">
        <f>IF(AND(ISNUMBER(JY126),ISNUMBER(JW126)),JY126-JW126,"")</f>
        <v>0</v>
      </c>
      <c r="JY126" s="33">
        <v>0</v>
      </c>
      <c r="JZ126" s="34">
        <f>IF(AND(ISNUMBER(KA126),ISNUMBER(JY126)),KA126-JY126,"")</f>
        <v>0</v>
      </c>
      <c r="KA126" s="33"/>
      <c r="KB126" s="34">
        <f>IF(AND(ISNUMBER(KC126),ISNUMBER(KA126)),KC126-KA126,"")</f>
        <v>0</v>
      </c>
      <c r="KC126" s="33"/>
      <c r="KD126" s="34">
        <f>IF(AND(ISNUMBER(KE126),ISNUMBER(KC126)),KE126-KC126,"")</f>
        <v>0</v>
      </c>
      <c r="KE126" s="33"/>
      <c r="KF126" s="34">
        <f>IF(AND(ISNUMBER(KG126),ISNUMBER(KE126)),KG126-KE126,"")</f>
        <v>0</v>
      </c>
      <c r="KG126" s="33"/>
      <c r="KH126" s="34">
        <f>IF(AND(ISNUMBER(KI126),ISNUMBER(KG126)),KI126-KG126,"")</f>
        <v>0</v>
      </c>
      <c r="KI126" s="33"/>
      <c r="KJ126" s="34">
        <f>IF(AND(ISNUMBER(KK126),ISNUMBER(KI126)),KK126-KI126,"")</f>
        <v>0</v>
      </c>
      <c r="KK126" s="33"/>
      <c r="KL126" s="34">
        <f>IF(AND(ISNUMBER(KM126),ISNUMBER(KK126)),KM126-KK126,"")</f>
        <v>0</v>
      </c>
      <c r="KM126" s="33"/>
      <c r="KN126" s="34">
        <f>IF(AND(ISNUMBER(KO126),ISNUMBER(KM126)),KO126-KM126,"")</f>
        <v>0</v>
      </c>
      <c r="KO126" s="33"/>
      <c r="KP126" s="34">
        <f>IF(AND(ISNUMBER(KQ126),ISNUMBER(KO126)),KQ126-KO126,"")</f>
        <v>0</v>
      </c>
      <c r="KQ126" s="33"/>
      <c r="KR126" s="34">
        <f>IF(AND(ISNUMBER(KS126),ISNUMBER(KQ126)),KS126-KQ126,"")</f>
        <v>0</v>
      </c>
      <c r="KS126" s="33"/>
      <c r="KT126" s="34">
        <f>IF(AND(ISNUMBER(KU126),ISNUMBER(KS126)),KU126-KS126,"")</f>
        <v>0</v>
      </c>
      <c r="KU126" s="33"/>
      <c r="KV126" s="34">
        <f>IF(AND(ISNUMBER(KW126),ISNUMBER(KU126)),KW126-KU126,"")</f>
        <v>0</v>
      </c>
      <c r="KW126" s="33"/>
      <c r="KX126" s="34">
        <f>IF(AND(ISNUMBER(KY126),ISNUMBER(KW126)),KY126-KW126,"")</f>
        <v>0</v>
      </c>
      <c r="KY126" s="33"/>
      <c r="KZ126" s="34">
        <f>IF(AND(ISNUMBER(LA126),ISNUMBER(KY126)),LA126-KY126,"")</f>
        <v>0</v>
      </c>
      <c r="LA126" s="33"/>
      <c r="LB126" s="34">
        <f>IF(AND(ISNUMBER(LC126),ISNUMBER(LA126)),LC126-LA126,"")</f>
        <v>0</v>
      </c>
      <c r="LC126" s="33"/>
      <c r="LD126" s="34">
        <f>IF(AND(ISNUMBER(LE126),ISNUMBER(LC126)),LE126-LC126,"")</f>
        <v>0</v>
      </c>
      <c r="LE126" s="33"/>
      <c r="LF126" s="34">
        <f>IF(AND(ISNUMBER(LG126),ISNUMBER(LE126)),LG126-LE126,"")</f>
        <v>0</v>
      </c>
      <c r="LG126" s="33"/>
    </row>
    <row r="127" spans="1:322">
      <c r="B127" s="23"/>
      <c r="C127" s="31" t="s">
        <v>900</v>
      </c>
      <c r="E127" s="32" t="s">
        <v>1139</v>
      </c>
      <c r="I127" s="33"/>
      <c r="J127" s="34">
        <f>IF(AND(ISNUMBER(K127),ISNUMBER(I127)),K127-I127,"")</f>
        <v>0</v>
      </c>
      <c r="K127" s="33"/>
      <c r="L127" s="34">
        <f>IF(AND(ISNUMBER(M127),ISNUMBER(K127)),M127-K127,"")</f>
        <v>0</v>
      </c>
      <c r="M127" s="33"/>
      <c r="N127" s="34">
        <f>IF(AND(ISNUMBER(O127),ISNUMBER(M127)),O127-M127,"")</f>
        <v>0</v>
      </c>
      <c r="O127" s="33"/>
      <c r="P127" s="34">
        <f>IF(AND(ISNUMBER(Q127),ISNUMBER(O127)),Q127-O127,"")</f>
        <v>0</v>
      </c>
      <c r="Q127" s="33"/>
      <c r="R127" s="34">
        <f>IF(AND(ISNUMBER(S127),ISNUMBER(Q127)),S127-Q127,"")</f>
        <v>0</v>
      </c>
      <c r="S127" s="33"/>
      <c r="T127" s="34">
        <f>IF(AND(ISNUMBER(U127),ISNUMBER(S127)),U127-S127,"")</f>
        <v>0</v>
      </c>
      <c r="U127" s="33"/>
      <c r="V127" s="34">
        <f>IF(AND(ISNUMBER(W127),ISNUMBER(U127)),W127-U127,"")</f>
        <v>0</v>
      </c>
      <c r="W127" s="33"/>
      <c r="X127" s="34">
        <f>IF(AND(ISNUMBER(Y127),ISNUMBER(W127)),Y127-W127,"")</f>
        <v>0</v>
      </c>
      <c r="Y127" s="33"/>
      <c r="Z127" s="34">
        <f>IF(AND(ISNUMBER(AA127),ISNUMBER(Y127)),AA127-Y127,"")</f>
        <v>0</v>
      </c>
      <c r="AA127" s="33"/>
      <c r="AB127" s="34">
        <f>IF(AND(ISNUMBER(AC127),ISNUMBER(AA127)),AC127-AA127,"")</f>
        <v>0</v>
      </c>
      <c r="AC127" s="33"/>
      <c r="AD127" s="34">
        <f>IF(AND(ISNUMBER(AE127),ISNUMBER(AC127)),AE127-AC127,"")</f>
        <v>0</v>
      </c>
      <c r="AE127" s="33"/>
      <c r="AF127" s="34">
        <f>IF(AND(ISNUMBER(AG127),ISNUMBER(AE127)),AG127-AE127,"")</f>
        <v>0</v>
      </c>
      <c r="AG127" s="33"/>
      <c r="AH127" s="34">
        <f>IF(AND(ISNUMBER(AI127),ISNUMBER(AG127)),AI127-AG127,"")</f>
        <v>0</v>
      </c>
      <c r="AI127" s="33"/>
      <c r="AJ127" s="34">
        <f>IF(AND(ISNUMBER(AK127),ISNUMBER(AI127)),AK127-AI127,"")</f>
        <v>0</v>
      </c>
      <c r="AK127" s="33"/>
      <c r="AL127" s="34">
        <f>IF(AND(ISNUMBER(AM127),ISNUMBER(AK127)),AM127-AK127,"")</f>
        <v>0</v>
      </c>
      <c r="AM127" s="33"/>
      <c r="AN127" s="34">
        <f>IF(AND(ISNUMBER(AO127),ISNUMBER(AM127)),AO127-AM127,"")</f>
        <v>0</v>
      </c>
      <c r="AO127" s="33"/>
      <c r="AP127" s="34">
        <f>IF(AND(ISNUMBER(AQ127),ISNUMBER(AO127)),AQ127-AO127,"")</f>
        <v>0</v>
      </c>
      <c r="AQ127" s="33"/>
      <c r="AR127" s="34">
        <f>IF(AND(ISNUMBER(AS127),ISNUMBER(AQ127)),AS127-AQ127,"")</f>
        <v>0</v>
      </c>
      <c r="AS127" s="33"/>
      <c r="AT127" s="34">
        <f>IF(AND(ISNUMBER(AU127),ISNUMBER(AS127)),AU127-AS127,"")</f>
        <v>0</v>
      </c>
      <c r="AU127" s="33"/>
      <c r="AV127" s="34">
        <f>IF(AND(ISNUMBER(AW127),ISNUMBER(AU127)),AW127-AU127,"")</f>
        <v>0</v>
      </c>
      <c r="AW127" s="33"/>
      <c r="AX127" s="34">
        <f>IF(AND(ISNUMBER(AY127),ISNUMBER(AW127)),AY127-AW127,"")</f>
        <v>0</v>
      </c>
      <c r="AY127" s="33"/>
      <c r="AZ127" s="34">
        <f>IF(AND(ISNUMBER(BA127),ISNUMBER(AY127)),BA127-AY127,"")</f>
        <v>0</v>
      </c>
      <c r="BA127" s="33"/>
      <c r="BB127" s="34">
        <f>IF(AND(ISNUMBER(BC127),ISNUMBER(BA127)),BC127-BA127,"")</f>
        <v>0</v>
      </c>
      <c r="BC127" s="33"/>
      <c r="BD127" s="34">
        <f>IF(AND(ISNUMBER(BE127),ISNUMBER(BC127)),BE127-BC127,"")</f>
        <v>0</v>
      </c>
      <c r="BE127" s="33"/>
      <c r="BF127" s="34">
        <f>IF(AND(ISNUMBER(BG127),ISNUMBER(BE127)),BG127-BE127,"")</f>
        <v>0</v>
      </c>
      <c r="BG127" s="33"/>
      <c r="BH127" s="34">
        <f>IF(AND(ISNUMBER(BI127),ISNUMBER(BG127)),BI127-BG127,"")</f>
        <v>0</v>
      </c>
      <c r="BI127" s="33"/>
      <c r="BJ127" s="34">
        <f>IF(AND(ISNUMBER(BK127),ISNUMBER(BI127)),BK127-BI127,"")</f>
        <v>0</v>
      </c>
      <c r="BK127" s="33"/>
      <c r="BL127" s="34">
        <f>IF(AND(ISNUMBER(BM127),ISNUMBER(BK127)),BM127-BK127,"")</f>
        <v>0</v>
      </c>
      <c r="BM127" s="33"/>
      <c r="BN127" s="34">
        <f>IF(AND(ISNUMBER(BO127),ISNUMBER(BM127)),BO127-BM127,"")</f>
        <v>0</v>
      </c>
      <c r="BO127" s="33"/>
      <c r="BP127" s="34">
        <f>IF(AND(ISNUMBER(BQ127),ISNUMBER(BO127)),BQ127-BO127,"")</f>
        <v>0</v>
      </c>
      <c r="BQ127" s="33"/>
      <c r="BR127" s="34">
        <f>IF(AND(ISNUMBER(BS127),ISNUMBER(BQ127)),BS127-BQ127,"")</f>
        <v>0</v>
      </c>
      <c r="BS127" s="33"/>
      <c r="BT127" s="34">
        <f>IF(AND(ISNUMBER(BU127),ISNUMBER(BS127)),BU127-BS127,"")</f>
        <v>0</v>
      </c>
      <c r="BU127" s="33"/>
      <c r="BV127" s="34">
        <f>IF(AND(ISNUMBER(BW127),ISNUMBER(BU127)),BW127-BU127,"")</f>
        <v>0</v>
      </c>
      <c r="BW127" s="33"/>
      <c r="BX127" s="34">
        <f>IF(AND(ISNUMBER(BY127),ISNUMBER(BW127)),BY127-BW127,"")</f>
        <v>0</v>
      </c>
      <c r="BY127" s="33"/>
      <c r="BZ127" s="34">
        <f>IF(AND(ISNUMBER(CA127),ISNUMBER(BY127)),CA127-BY127,"")</f>
        <v>0</v>
      </c>
      <c r="CA127" s="33"/>
      <c r="CB127" s="34">
        <f>IF(AND(ISNUMBER(CC127),ISNUMBER(CA127)),CC127-CA127,"")</f>
        <v>0</v>
      </c>
      <c r="CC127" s="33"/>
      <c r="CD127" s="34">
        <f>IF(AND(ISNUMBER(CE127),ISNUMBER(CC127)),CE127-CC127,"")</f>
        <v>0</v>
      </c>
      <c r="CE127" s="33"/>
      <c r="CF127" s="34">
        <f>IF(AND(ISNUMBER(CG127),ISNUMBER(CE127)),CG127-CE127,"")</f>
        <v>0</v>
      </c>
      <c r="CG127" s="33"/>
      <c r="CH127" s="34">
        <f>IF(AND(ISNUMBER(CI127),ISNUMBER(CG127)),CI127-CG127,"")</f>
        <v>0</v>
      </c>
      <c r="CI127" s="33">
        <v>18</v>
      </c>
      <c r="CJ127" s="34">
        <f>IF(AND(ISNUMBER(CK127),ISNUMBER(CI127)),CK127-CI127,"")</f>
        <v>0</v>
      </c>
      <c r="CK127" s="33">
        <v>32</v>
      </c>
      <c r="CL127" s="34">
        <f>IF(AND(ISNUMBER(CM127),ISNUMBER(CK127)),CM127-CK127,"")</f>
        <v>0</v>
      </c>
      <c r="CM127" s="33">
        <v>18</v>
      </c>
      <c r="CN127" s="34">
        <f>IF(AND(ISNUMBER(CO127),ISNUMBER(CM127)),CO127-CM127,"")</f>
        <v>0</v>
      </c>
      <c r="CO127" s="33">
        <v>6</v>
      </c>
      <c r="CP127" s="34">
        <f>IF(AND(ISNUMBER(CQ127),ISNUMBER(CO127)),CQ127-CO127,"")</f>
        <v>0</v>
      </c>
      <c r="CQ127" s="33">
        <v>17</v>
      </c>
      <c r="CR127" s="34">
        <f>IF(AND(ISNUMBER(CS127),ISNUMBER(CQ127)),CS127-CQ127,"")</f>
        <v>0</v>
      </c>
      <c r="CS127" s="33">
        <v>30</v>
      </c>
      <c r="CT127" s="34">
        <f>IF(AND(ISNUMBER(CU127),ISNUMBER(CS127)),CU127-CS127,"")</f>
        <v>0</v>
      </c>
      <c r="CU127" s="33">
        <v>15</v>
      </c>
      <c r="CV127" s="34">
        <f>IF(AND(ISNUMBER(CW127),ISNUMBER(CU127)),CW127-CU127,"")</f>
        <v>0</v>
      </c>
      <c r="CW127" s="33">
        <v>12</v>
      </c>
      <c r="CX127" s="34">
        <f>IF(AND(ISNUMBER(CY127),ISNUMBER(CW127)),CY127-CW127,"")</f>
        <v>0</v>
      </c>
      <c r="CY127" s="33">
        <v>27</v>
      </c>
      <c r="CZ127" s="34">
        <f>IF(AND(ISNUMBER(DA127),ISNUMBER(CY127)),DA127-CY127,"")</f>
        <v>0</v>
      </c>
      <c r="DA127" s="33">
        <v>0</v>
      </c>
      <c r="DB127" s="34">
        <f>IF(AND(ISNUMBER(DC127),ISNUMBER(DA127)),DC127-DA127,"")</f>
        <v>0</v>
      </c>
      <c r="DC127" s="33">
        <v>8</v>
      </c>
      <c r="DD127" s="34">
        <f>IF(AND(ISNUMBER(DE127),ISNUMBER(DC127)),DE127-DC127,"")</f>
        <v>0</v>
      </c>
      <c r="DE127" s="33">
        <v>3</v>
      </c>
      <c r="DF127" s="34">
        <f>IF(AND(ISNUMBER(DG127),ISNUMBER(DE127)),DG127-DE127,"")</f>
        <v>0</v>
      </c>
      <c r="DG127" s="33">
        <v>29</v>
      </c>
      <c r="DH127" s="34">
        <f>IF(AND(ISNUMBER(DI127),ISNUMBER(DG127)),DI127-DG127,"")</f>
        <v>0</v>
      </c>
      <c r="DI127" s="33">
        <v>19</v>
      </c>
      <c r="DJ127" s="34">
        <f>IF(AND(ISNUMBER(DK127),ISNUMBER(DI127)),DK127-DI127,"")</f>
        <v>0</v>
      </c>
      <c r="DK127" s="33">
        <v>0</v>
      </c>
      <c r="DL127" s="34">
        <f>IF(AND(ISNUMBER(DM127),ISNUMBER(DK127)),DM127-DK127,"")</f>
        <v>0</v>
      </c>
      <c r="DM127" s="33">
        <v>24</v>
      </c>
      <c r="DN127" s="34">
        <f>IF(AND(ISNUMBER(DO127),ISNUMBER(DM127)),DO127-DM127,"")</f>
        <v>0</v>
      </c>
      <c r="DO127" s="33">
        <v>39</v>
      </c>
      <c r="DP127" s="34">
        <f>IF(AND(ISNUMBER(DQ127),ISNUMBER(DO127)),DQ127-DO127,"")</f>
        <v>0</v>
      </c>
      <c r="DQ127" s="33">
        <v>14</v>
      </c>
      <c r="DR127" s="34">
        <f>IF(AND(ISNUMBER(DS127),ISNUMBER(DQ127)),DS127-DQ127,"")</f>
        <v>0</v>
      </c>
      <c r="DS127" s="33">
        <v>65</v>
      </c>
      <c r="DT127" s="34">
        <f>IF(AND(ISNUMBER(DU127),ISNUMBER(DS127)),DU127-DS127,"")</f>
        <v>0</v>
      </c>
      <c r="DU127" s="33">
        <v>10</v>
      </c>
      <c r="DV127" s="34">
        <f>IF(AND(ISNUMBER(DW127),ISNUMBER(DU127)),DW127-DU127,"")</f>
        <v>0</v>
      </c>
      <c r="DW127" s="33">
        <v>30</v>
      </c>
      <c r="DX127" s="34">
        <f>IF(AND(ISNUMBER(DY127),ISNUMBER(DW127)),DY127-DW127,"")</f>
        <v>0</v>
      </c>
      <c r="DY127" s="33">
        <v>0</v>
      </c>
      <c r="DZ127" s="34">
        <f>IF(AND(ISNUMBER(EA127),ISNUMBER(DY127)),EA127-DY127,"")</f>
        <v>0</v>
      </c>
      <c r="EA127" s="33">
        <v>7</v>
      </c>
      <c r="EB127" s="34">
        <f>IF(AND(ISNUMBER(EC127),ISNUMBER(EA127)),EC127-EA127,"")</f>
        <v>0</v>
      </c>
      <c r="EC127" s="33">
        <v>7</v>
      </c>
      <c r="ED127" s="34">
        <f>IF(AND(ISNUMBER(EE127),ISNUMBER(EC127)),EE127-EC127,"")</f>
        <v>0</v>
      </c>
      <c r="EE127" s="33">
        <v>3</v>
      </c>
      <c r="EF127" s="34">
        <f>IF(AND(ISNUMBER(EG127),ISNUMBER(EE127)),EG127-EE127,"")</f>
        <v>0</v>
      </c>
      <c r="EG127" s="33">
        <v>8</v>
      </c>
      <c r="EH127" s="34">
        <f>IF(AND(ISNUMBER(EI127),ISNUMBER(EG127)),EI127-EG127,"")</f>
        <v>0</v>
      </c>
      <c r="EI127" s="33">
        <v>12</v>
      </c>
      <c r="EJ127" s="34">
        <f>IF(AND(ISNUMBER(EK127),ISNUMBER(EI127)),EK127-EI127,"")</f>
        <v>0</v>
      </c>
      <c r="EK127" s="33">
        <v>11</v>
      </c>
      <c r="EL127" s="34">
        <f>IF(AND(ISNUMBER(EM127),ISNUMBER(EK127)),EM127-EK127,"")</f>
        <v>0</v>
      </c>
      <c r="EM127" s="33">
        <v>27</v>
      </c>
      <c r="EN127" s="34">
        <f>IF(AND(ISNUMBER(EO127),ISNUMBER(EM127)),EO127-EM127,"")</f>
        <v>0</v>
      </c>
      <c r="EO127" s="33">
        <v>15</v>
      </c>
      <c r="EP127" s="34">
        <f>IF(AND(ISNUMBER(EQ127),ISNUMBER(EO127)),EQ127-EO127,"")</f>
        <v>0</v>
      </c>
      <c r="EQ127" s="33">
        <v>5</v>
      </c>
      <c r="ER127" s="34">
        <f>IF(AND(ISNUMBER(ES127),ISNUMBER(EQ127)),ES127-EQ127,"")</f>
        <v>0</v>
      </c>
      <c r="ES127" s="33">
        <v>20</v>
      </c>
      <c r="ET127" s="34">
        <f>IF(AND(ISNUMBER(EU127),ISNUMBER(ES127)),EU127-ES127,"")</f>
        <v>0</v>
      </c>
      <c r="EU127" s="33">
        <v>9</v>
      </c>
      <c r="EV127" s="34">
        <f>IF(AND(ISNUMBER(EW127),ISNUMBER(EU127)),EW127-EU127,"")</f>
        <v>0</v>
      </c>
      <c r="EW127" s="33">
        <v>9</v>
      </c>
      <c r="EX127" s="34">
        <f>IF(AND(ISNUMBER(EY127),ISNUMBER(EW127)),EY127-EW127,"")</f>
        <v>0</v>
      </c>
      <c r="EY127" s="33">
        <v>8</v>
      </c>
      <c r="EZ127" s="34">
        <f>IF(AND(ISNUMBER(FA127),ISNUMBER(EY127)),FA127-EY127,"")</f>
        <v>0</v>
      </c>
      <c r="FA127" s="33">
        <v>2</v>
      </c>
      <c r="FB127" s="34">
        <f>IF(AND(ISNUMBER(FC127),ISNUMBER(FA127)),FC127-FA127,"")</f>
        <v>0</v>
      </c>
      <c r="FC127" s="33">
        <v>9</v>
      </c>
      <c r="FD127" s="34">
        <f>IF(AND(ISNUMBER(FE127),ISNUMBER(FC127)),FE127-FC127,"")</f>
        <v>0</v>
      </c>
      <c r="FE127" s="33">
        <v>9</v>
      </c>
      <c r="FF127" s="34">
        <f>IF(AND(ISNUMBER(FG127),ISNUMBER(FE127)),FG127-FE127,"")</f>
        <v>0</v>
      </c>
      <c r="FG127" s="33">
        <v>2</v>
      </c>
      <c r="FH127" s="34">
        <f>IF(AND(ISNUMBER(FI127),ISNUMBER(FG127)),FI127-FG127,"")</f>
        <v>0</v>
      </c>
      <c r="FI127" s="33">
        <v>5</v>
      </c>
      <c r="FJ127" s="34">
        <f>IF(AND(ISNUMBER(FK127),ISNUMBER(FI127)),FK127-FI127,"")</f>
        <v>0</v>
      </c>
      <c r="FK127" s="33">
        <v>3</v>
      </c>
      <c r="FL127" s="34">
        <f>IF(AND(ISNUMBER(FM127),ISNUMBER(FK127)),FM127-FK127,"")</f>
        <v>0</v>
      </c>
      <c r="FM127" s="33">
        <v>22</v>
      </c>
      <c r="FN127" s="34">
        <f>IF(AND(ISNUMBER(FO127),ISNUMBER(FM127)),FO127-FM127,"")</f>
        <v>0</v>
      </c>
      <c r="FO127" s="33">
        <v>3</v>
      </c>
      <c r="FP127" s="34">
        <f>IF(AND(ISNUMBER(FQ127),ISNUMBER(FO127)),FQ127-FO127,"")</f>
        <v>0</v>
      </c>
      <c r="FQ127" s="33">
        <v>2</v>
      </c>
      <c r="FR127" s="34">
        <f>IF(AND(ISNUMBER(FS127),ISNUMBER(FQ127)),FS127-FQ127,"")</f>
        <v>0</v>
      </c>
      <c r="FS127" s="33">
        <v>2</v>
      </c>
      <c r="FT127" s="34">
        <f>IF(AND(ISNUMBER(FU127),ISNUMBER(FS127)),FU127-FS127,"")</f>
        <v>0</v>
      </c>
      <c r="FU127" s="33">
        <v>6</v>
      </c>
      <c r="FV127" s="34">
        <f>IF(AND(ISNUMBER(FW127),ISNUMBER(FU127)),FW127-FU127,"")</f>
        <v>0</v>
      </c>
      <c r="FW127" s="33">
        <v>15</v>
      </c>
      <c r="FX127" s="34">
        <f>IF(AND(ISNUMBER(FY127),ISNUMBER(FW127)),FY127-FW127,"")</f>
        <v>0</v>
      </c>
      <c r="FY127" s="33">
        <v>25</v>
      </c>
      <c r="FZ127" s="34">
        <f>IF(AND(ISNUMBER(GA127),ISNUMBER(FY127)),GA127-FY127,"")</f>
        <v>0</v>
      </c>
      <c r="GA127" s="33">
        <v>2</v>
      </c>
      <c r="GB127" s="34">
        <f>IF(AND(ISNUMBER(GC127),ISNUMBER(GA127)),GC127-GA127,"")</f>
        <v>0</v>
      </c>
      <c r="GC127" s="33">
        <v>0</v>
      </c>
      <c r="GD127" s="34">
        <f>IF(AND(ISNUMBER(GE127),ISNUMBER(GC127)),GE127-GC127,"")</f>
        <v>0</v>
      </c>
      <c r="GE127" s="33">
        <v>11</v>
      </c>
      <c r="GF127" s="34">
        <f>IF(AND(ISNUMBER(GG127),ISNUMBER(GE127)),GG127-GE127,"")</f>
        <v>0</v>
      </c>
      <c r="GG127" s="33">
        <v>16</v>
      </c>
      <c r="GH127" s="34">
        <f>IF(AND(ISNUMBER(GI127),ISNUMBER(GG127)),GI127-GG127,"")</f>
        <v>0</v>
      </c>
      <c r="GI127" s="33">
        <v>12</v>
      </c>
      <c r="GJ127" s="34">
        <f>IF(AND(ISNUMBER(GK127),ISNUMBER(GI127)),GK127-GI127,"")</f>
        <v>0</v>
      </c>
      <c r="GK127" s="33">
        <v>29</v>
      </c>
      <c r="GL127" s="34">
        <f>IF(AND(ISNUMBER(GM127),ISNUMBER(GK127)),GM127-GK127,"")</f>
        <v>0</v>
      </c>
      <c r="GM127" s="33">
        <v>17</v>
      </c>
      <c r="GN127" s="34">
        <f>IF(AND(ISNUMBER(GO127),ISNUMBER(GM127)),GO127-GM127,"")</f>
        <v>0</v>
      </c>
      <c r="GO127" s="33">
        <v>7</v>
      </c>
      <c r="GP127" s="34">
        <f>IF(AND(ISNUMBER(GQ127),ISNUMBER(GO127)),GQ127-GO127,"")</f>
        <v>0</v>
      </c>
      <c r="GQ127" s="33">
        <v>8</v>
      </c>
      <c r="GR127" s="34">
        <f>IF(AND(ISNUMBER(GS127),ISNUMBER(GQ127)),GS127-GQ127,"")</f>
        <v>0</v>
      </c>
      <c r="GS127" s="33">
        <v>0</v>
      </c>
      <c r="GT127" s="34">
        <f>IF(AND(ISNUMBER(GU127),ISNUMBER(GS127)),GU127-GS127,"")</f>
        <v>0</v>
      </c>
      <c r="GU127" s="33">
        <v>0</v>
      </c>
      <c r="GV127" s="34">
        <f>IF(AND(ISNUMBER(GW127),ISNUMBER(GU127)),GW127-GU127,"")</f>
        <v>0</v>
      </c>
      <c r="GW127" s="33">
        <v>0</v>
      </c>
      <c r="GX127" s="34">
        <f>IF(AND(ISNUMBER(GY127),ISNUMBER(GW127)),GY127-GW127,"")</f>
        <v>0</v>
      </c>
      <c r="GY127" s="33">
        <v>0</v>
      </c>
      <c r="GZ127" s="34">
        <f>IF(AND(ISNUMBER(HA127),ISNUMBER(GY127)),HA127-GY127,"")</f>
        <v>0</v>
      </c>
      <c r="HA127" s="33">
        <v>1</v>
      </c>
      <c r="HB127" s="34">
        <f>IF(AND(ISNUMBER(HC127),ISNUMBER(HA127)),HC127-HA127,"")</f>
        <v>0</v>
      </c>
      <c r="HC127" s="33">
        <v>0</v>
      </c>
      <c r="HD127" s="34">
        <f>IF(AND(ISNUMBER(HE127),ISNUMBER(HC127)),HE127-HC127,"")</f>
        <v>0</v>
      </c>
      <c r="HE127" s="33">
        <v>5</v>
      </c>
      <c r="HF127" s="34">
        <f>IF(AND(ISNUMBER(HG127),ISNUMBER(HE127)),HG127-HE127,"")</f>
        <v>0</v>
      </c>
      <c r="HG127" s="33">
        <v>2</v>
      </c>
      <c r="HH127" s="34">
        <f>IF(AND(ISNUMBER(HI127),ISNUMBER(HG127)),HI127-HG127,"")</f>
        <v>0</v>
      </c>
      <c r="HI127" s="33">
        <v>0</v>
      </c>
      <c r="HJ127" s="34">
        <f>IF(AND(ISNUMBER(HK127),ISNUMBER(HI127)),HK127-HI127,"")</f>
        <v>0</v>
      </c>
      <c r="HK127" s="33">
        <v>0</v>
      </c>
      <c r="HL127" s="34">
        <f>IF(AND(ISNUMBER(HM127),ISNUMBER(HK127)),HM127-HK127,"")</f>
        <v>0</v>
      </c>
      <c r="HM127" s="33">
        <v>4</v>
      </c>
      <c r="HN127" s="34">
        <f>IF(AND(ISNUMBER(HO127),ISNUMBER(HM127)),HO127-HM127,"")</f>
        <v>0</v>
      </c>
      <c r="HO127" s="33">
        <v>1</v>
      </c>
      <c r="HP127" s="34">
        <f>IF(AND(ISNUMBER(HQ127),ISNUMBER(HO127)),HQ127-HO127,"")</f>
        <v>0</v>
      </c>
      <c r="HQ127" s="33">
        <v>0</v>
      </c>
      <c r="HR127" s="34">
        <f>IF(AND(ISNUMBER(HS127),ISNUMBER(HQ127)),HS127-HQ127,"")</f>
        <v>0</v>
      </c>
      <c r="HS127" s="33">
        <v>0</v>
      </c>
      <c r="HT127" s="34">
        <f>IF(AND(ISNUMBER(HU127),ISNUMBER(HS127)),HU127-HS127,"")</f>
        <v>0</v>
      </c>
      <c r="HU127" s="33">
        <v>6</v>
      </c>
      <c r="HV127" s="34">
        <f>IF(AND(ISNUMBER(HW127),ISNUMBER(HU127)),HW127-HU127,"")</f>
        <v>0</v>
      </c>
      <c r="HW127" s="33">
        <v>5</v>
      </c>
      <c r="HX127" s="34">
        <f>IF(AND(ISNUMBER(HY127),ISNUMBER(HW127)),HY127-HW127,"")</f>
        <v>0</v>
      </c>
      <c r="HY127" s="33">
        <v>2</v>
      </c>
      <c r="HZ127" s="34">
        <f>IF(AND(ISNUMBER(IA127),ISNUMBER(HY127)),IA127-HY127,"")</f>
        <v>0</v>
      </c>
      <c r="IA127" s="33">
        <v>7</v>
      </c>
      <c r="IB127" s="34">
        <f>IF(AND(ISNUMBER(IC127),ISNUMBER(IA127)),IC127-IA127,"")</f>
        <v>0</v>
      </c>
      <c r="IC127" s="33">
        <v>0</v>
      </c>
      <c r="ID127" s="34">
        <f>IF(AND(ISNUMBER(IE127),ISNUMBER(IC127)),IE127-IC127,"")</f>
        <v>0</v>
      </c>
      <c r="IE127" s="33">
        <v>2</v>
      </c>
      <c r="IF127" s="34">
        <f>IF(AND(ISNUMBER(IG127),ISNUMBER(IE127)),IG127-IE127,"")</f>
        <v>0</v>
      </c>
      <c r="IG127" s="33">
        <v>4</v>
      </c>
      <c r="IH127" s="34">
        <f>IF(AND(ISNUMBER(II127),ISNUMBER(IG127)),II127-IG127,"")</f>
        <v>0</v>
      </c>
      <c r="II127" s="33">
        <v>1</v>
      </c>
      <c r="IJ127" s="34">
        <f>IF(AND(ISNUMBER(IK127),ISNUMBER(II127)),IK127-II127,"")</f>
        <v>0</v>
      </c>
      <c r="IK127" s="33">
        <v>1</v>
      </c>
      <c r="IL127" s="34">
        <f>IF(AND(ISNUMBER(IM127),ISNUMBER(IK127)),IM127-IK127,"")</f>
        <v>0</v>
      </c>
      <c r="IM127" s="33">
        <v>4</v>
      </c>
      <c r="IN127" s="34">
        <f>IF(AND(ISNUMBER(IO127),ISNUMBER(IM127)),IO127-IM127,"")</f>
        <v>0</v>
      </c>
      <c r="IO127" s="33">
        <v>0</v>
      </c>
      <c r="IP127" s="34">
        <f>IF(AND(ISNUMBER(IQ127),ISNUMBER(IO127)),IQ127-IO127,"")</f>
        <v>0</v>
      </c>
      <c r="IQ127" s="33">
        <v>0</v>
      </c>
      <c r="IR127" s="34">
        <f>IF(AND(ISNUMBER(IS127),ISNUMBER(IQ127)),IS127-IQ127,"")</f>
        <v>0</v>
      </c>
      <c r="IS127" s="33">
        <v>0</v>
      </c>
      <c r="IT127" s="34">
        <f>IF(AND(ISNUMBER(IU127),ISNUMBER(IS127)),IU127-IS127,"")</f>
        <v>0</v>
      </c>
      <c r="IU127" s="33">
        <v>3</v>
      </c>
      <c r="IV127" s="34">
        <f>IF(AND(ISNUMBER(IW127),ISNUMBER(IU127)),IW127-IU127,"")</f>
        <v>0</v>
      </c>
      <c r="IW127" s="33">
        <v>0</v>
      </c>
      <c r="IX127" s="34">
        <f>IF(AND(ISNUMBER(IY127),ISNUMBER(IW127)),IY127-IW127,"")</f>
        <v>0</v>
      </c>
      <c r="IY127" s="33">
        <v>2</v>
      </c>
      <c r="IZ127" s="34">
        <f>IF(AND(ISNUMBER(JA127),ISNUMBER(IY127)),JA127-IY127,"")</f>
        <v>0</v>
      </c>
      <c r="JA127" s="33">
        <v>2</v>
      </c>
      <c r="JB127" s="34">
        <f>IF(AND(ISNUMBER(JC127),ISNUMBER(JA127)),JC127-JA127,"")</f>
        <v>0</v>
      </c>
      <c r="JC127" s="33">
        <v>3</v>
      </c>
      <c r="JD127" s="34">
        <f>IF(AND(ISNUMBER(JE127),ISNUMBER(JC127)),JE127-JC127,"")</f>
        <v>0</v>
      </c>
      <c r="JE127" s="33">
        <v>1</v>
      </c>
      <c r="JF127" s="34">
        <f>IF(AND(ISNUMBER(JG127),ISNUMBER(JE127)),JG127-JE127,"")</f>
        <v>0</v>
      </c>
      <c r="JG127" s="33">
        <v>1</v>
      </c>
      <c r="JH127" s="34">
        <f>IF(AND(ISNUMBER(JI127),ISNUMBER(JG127)),JI127-JG127,"")</f>
        <v>0</v>
      </c>
      <c r="JI127" s="33">
        <v>0</v>
      </c>
      <c r="JJ127" s="34">
        <f>IF(AND(ISNUMBER(JK127),ISNUMBER(JI127)),JK127-JI127,"")</f>
        <v>0</v>
      </c>
      <c r="JK127" s="33">
        <v>0</v>
      </c>
      <c r="JL127" s="34">
        <f>IF(AND(ISNUMBER(JM127),ISNUMBER(JK127)),JM127-JK127,"")</f>
        <v>0</v>
      </c>
      <c r="JM127" s="33">
        <v>1</v>
      </c>
      <c r="JN127" s="34">
        <f>IF(AND(ISNUMBER(JO127),ISNUMBER(JM127)),JO127-JM127,"")</f>
        <v>0</v>
      </c>
      <c r="JO127" s="33">
        <v>0</v>
      </c>
      <c r="JP127" s="34">
        <f>IF(AND(ISNUMBER(JQ127),ISNUMBER(JO127)),JQ127-JO127,"")</f>
        <v>0</v>
      </c>
      <c r="JQ127" s="33">
        <v>0</v>
      </c>
      <c r="JR127" s="34">
        <f>IF(AND(ISNUMBER(JS127),ISNUMBER(JQ127)),JS127-JQ127,"")</f>
        <v>0</v>
      </c>
      <c r="JS127" s="33">
        <v>0</v>
      </c>
      <c r="JT127" s="34">
        <f>IF(AND(ISNUMBER(JU127),ISNUMBER(JS127)),JU127-JS127,"")</f>
        <v>0</v>
      </c>
      <c r="JU127" s="33">
        <v>0</v>
      </c>
      <c r="JV127" s="34">
        <f>IF(AND(ISNUMBER(JW127),ISNUMBER(JU127)),JW127-JU127,"")</f>
        <v>0</v>
      </c>
      <c r="JW127" s="33">
        <v>1</v>
      </c>
      <c r="JX127" s="34">
        <f>IF(AND(ISNUMBER(JY127),ISNUMBER(JW127)),JY127-JW127,"")</f>
        <v>0</v>
      </c>
      <c r="JY127" s="33">
        <v>0</v>
      </c>
      <c r="JZ127" s="34">
        <f>IF(AND(ISNUMBER(KA127),ISNUMBER(JY127)),KA127-JY127,"")</f>
        <v>0</v>
      </c>
      <c r="KA127" s="33"/>
      <c r="KB127" s="34">
        <f>IF(AND(ISNUMBER(KC127),ISNUMBER(KA127)),KC127-KA127,"")</f>
        <v>0</v>
      </c>
      <c r="KC127" s="33"/>
      <c r="KD127" s="34">
        <f>IF(AND(ISNUMBER(KE127),ISNUMBER(KC127)),KE127-KC127,"")</f>
        <v>0</v>
      </c>
      <c r="KE127" s="33"/>
      <c r="KF127" s="34">
        <f>IF(AND(ISNUMBER(KG127),ISNUMBER(KE127)),KG127-KE127,"")</f>
        <v>0</v>
      </c>
      <c r="KG127" s="33"/>
      <c r="KH127" s="34">
        <f>IF(AND(ISNUMBER(KI127),ISNUMBER(KG127)),KI127-KG127,"")</f>
        <v>0</v>
      </c>
      <c r="KI127" s="33"/>
      <c r="KJ127" s="34">
        <f>IF(AND(ISNUMBER(KK127),ISNUMBER(KI127)),KK127-KI127,"")</f>
        <v>0</v>
      </c>
      <c r="KK127" s="33"/>
      <c r="KL127" s="34">
        <f>IF(AND(ISNUMBER(KM127),ISNUMBER(KK127)),KM127-KK127,"")</f>
        <v>0</v>
      </c>
      <c r="KM127" s="33"/>
      <c r="KN127" s="34">
        <f>IF(AND(ISNUMBER(KO127),ISNUMBER(KM127)),KO127-KM127,"")</f>
        <v>0</v>
      </c>
      <c r="KO127" s="33"/>
      <c r="KP127" s="34">
        <f>IF(AND(ISNUMBER(KQ127),ISNUMBER(KO127)),KQ127-KO127,"")</f>
        <v>0</v>
      </c>
      <c r="KQ127" s="33"/>
      <c r="KR127" s="34">
        <f>IF(AND(ISNUMBER(KS127),ISNUMBER(KQ127)),KS127-KQ127,"")</f>
        <v>0</v>
      </c>
      <c r="KS127" s="33"/>
      <c r="KT127" s="34">
        <f>IF(AND(ISNUMBER(KU127),ISNUMBER(KS127)),KU127-KS127,"")</f>
        <v>0</v>
      </c>
      <c r="KU127" s="33"/>
      <c r="KV127" s="34">
        <f>IF(AND(ISNUMBER(KW127),ISNUMBER(KU127)),KW127-KU127,"")</f>
        <v>0</v>
      </c>
      <c r="KW127" s="33"/>
      <c r="KX127" s="34">
        <f>IF(AND(ISNUMBER(KY127),ISNUMBER(KW127)),KY127-KW127,"")</f>
        <v>0</v>
      </c>
      <c r="KY127" s="33"/>
      <c r="KZ127" s="34">
        <f>IF(AND(ISNUMBER(LA127),ISNUMBER(KY127)),LA127-KY127,"")</f>
        <v>0</v>
      </c>
      <c r="LA127" s="33"/>
      <c r="LB127" s="34">
        <f>IF(AND(ISNUMBER(LC127),ISNUMBER(LA127)),LC127-LA127,"")</f>
        <v>0</v>
      </c>
      <c r="LC127" s="33"/>
      <c r="LD127" s="34">
        <f>IF(AND(ISNUMBER(LE127),ISNUMBER(LC127)),LE127-LC127,"")</f>
        <v>0</v>
      </c>
      <c r="LE127" s="33"/>
      <c r="LF127" s="34">
        <f>IF(AND(ISNUMBER(LG127),ISNUMBER(LE127)),LG127-LE127,"")</f>
        <v>0</v>
      </c>
      <c r="LG127" s="33"/>
    </row>
    <row r="128" spans="1:322">
      <c r="B128" s="23"/>
      <c r="C128" s="31" t="s">
        <v>902</v>
      </c>
      <c r="E128" s="32" t="s">
        <v>1139</v>
      </c>
      <c r="I128" s="33"/>
      <c r="J128" s="34">
        <f>IF(AND(ISNUMBER(K128),ISNUMBER(I128)),K128-I128,"")</f>
        <v>0</v>
      </c>
      <c r="K128" s="33"/>
      <c r="L128" s="34">
        <f>IF(AND(ISNUMBER(M128),ISNUMBER(K128)),M128-K128,"")</f>
        <v>0</v>
      </c>
      <c r="M128" s="33"/>
      <c r="N128" s="34">
        <f>IF(AND(ISNUMBER(O128),ISNUMBER(M128)),O128-M128,"")</f>
        <v>0</v>
      </c>
      <c r="O128" s="33"/>
      <c r="P128" s="34">
        <f>IF(AND(ISNUMBER(Q128),ISNUMBER(O128)),Q128-O128,"")</f>
        <v>0</v>
      </c>
      <c r="Q128" s="33"/>
      <c r="R128" s="34">
        <f>IF(AND(ISNUMBER(S128),ISNUMBER(Q128)),S128-Q128,"")</f>
        <v>0</v>
      </c>
      <c r="S128" s="33"/>
      <c r="T128" s="34">
        <f>IF(AND(ISNUMBER(U128),ISNUMBER(S128)),U128-S128,"")</f>
        <v>0</v>
      </c>
      <c r="U128" s="33"/>
      <c r="V128" s="34">
        <f>IF(AND(ISNUMBER(W128),ISNUMBER(U128)),W128-U128,"")</f>
        <v>0</v>
      </c>
      <c r="W128" s="33"/>
      <c r="X128" s="34">
        <f>IF(AND(ISNUMBER(Y128),ISNUMBER(W128)),Y128-W128,"")</f>
        <v>0</v>
      </c>
      <c r="Y128" s="33"/>
      <c r="Z128" s="34">
        <f>IF(AND(ISNUMBER(AA128),ISNUMBER(Y128)),AA128-Y128,"")</f>
        <v>0</v>
      </c>
      <c r="AA128" s="33"/>
      <c r="AB128" s="34">
        <f>IF(AND(ISNUMBER(AC128),ISNUMBER(AA128)),AC128-AA128,"")</f>
        <v>0</v>
      </c>
      <c r="AC128" s="33"/>
      <c r="AD128" s="34">
        <f>IF(AND(ISNUMBER(AE128),ISNUMBER(AC128)),AE128-AC128,"")</f>
        <v>0</v>
      </c>
      <c r="AE128" s="33"/>
      <c r="AF128" s="34">
        <f>IF(AND(ISNUMBER(AG128),ISNUMBER(AE128)),AG128-AE128,"")</f>
        <v>0</v>
      </c>
      <c r="AG128" s="33"/>
      <c r="AH128" s="34">
        <f>IF(AND(ISNUMBER(AI128),ISNUMBER(AG128)),AI128-AG128,"")</f>
        <v>0</v>
      </c>
      <c r="AI128" s="33"/>
      <c r="AJ128" s="34">
        <f>IF(AND(ISNUMBER(AK128),ISNUMBER(AI128)),AK128-AI128,"")</f>
        <v>0</v>
      </c>
      <c r="AK128" s="33"/>
      <c r="AL128" s="34">
        <f>IF(AND(ISNUMBER(AM128),ISNUMBER(AK128)),AM128-AK128,"")</f>
        <v>0</v>
      </c>
      <c r="AM128" s="33"/>
      <c r="AN128" s="34">
        <f>IF(AND(ISNUMBER(AO128),ISNUMBER(AM128)),AO128-AM128,"")</f>
        <v>0</v>
      </c>
      <c r="AO128" s="33"/>
      <c r="AP128" s="34">
        <f>IF(AND(ISNUMBER(AQ128),ISNUMBER(AO128)),AQ128-AO128,"")</f>
        <v>0</v>
      </c>
      <c r="AQ128" s="33"/>
      <c r="AR128" s="34">
        <f>IF(AND(ISNUMBER(AS128),ISNUMBER(AQ128)),AS128-AQ128,"")</f>
        <v>0</v>
      </c>
      <c r="AS128" s="33"/>
      <c r="AT128" s="34">
        <f>IF(AND(ISNUMBER(AU128),ISNUMBER(AS128)),AU128-AS128,"")</f>
        <v>0</v>
      </c>
      <c r="AU128" s="33"/>
      <c r="AV128" s="34">
        <f>IF(AND(ISNUMBER(AW128),ISNUMBER(AU128)),AW128-AU128,"")</f>
        <v>0</v>
      </c>
      <c r="AW128" s="33"/>
      <c r="AX128" s="34">
        <f>IF(AND(ISNUMBER(AY128),ISNUMBER(AW128)),AY128-AW128,"")</f>
        <v>0</v>
      </c>
      <c r="AY128" s="33"/>
      <c r="AZ128" s="34">
        <f>IF(AND(ISNUMBER(BA128),ISNUMBER(AY128)),BA128-AY128,"")</f>
        <v>0</v>
      </c>
      <c r="BA128" s="33"/>
      <c r="BB128" s="34">
        <f>IF(AND(ISNUMBER(BC128),ISNUMBER(BA128)),BC128-BA128,"")</f>
        <v>0</v>
      </c>
      <c r="BC128" s="33"/>
      <c r="BD128" s="34">
        <f>IF(AND(ISNUMBER(BE128),ISNUMBER(BC128)),BE128-BC128,"")</f>
        <v>0</v>
      </c>
      <c r="BE128" s="33"/>
      <c r="BF128" s="34">
        <f>IF(AND(ISNUMBER(BG128),ISNUMBER(BE128)),BG128-BE128,"")</f>
        <v>0</v>
      </c>
      <c r="BG128" s="33"/>
      <c r="BH128" s="34">
        <f>IF(AND(ISNUMBER(BI128),ISNUMBER(BG128)),BI128-BG128,"")</f>
        <v>0</v>
      </c>
      <c r="BI128" s="33"/>
      <c r="BJ128" s="34">
        <f>IF(AND(ISNUMBER(BK128),ISNUMBER(BI128)),BK128-BI128,"")</f>
        <v>0</v>
      </c>
      <c r="BK128" s="33"/>
      <c r="BL128" s="34">
        <f>IF(AND(ISNUMBER(BM128),ISNUMBER(BK128)),BM128-BK128,"")</f>
        <v>0</v>
      </c>
      <c r="BM128" s="33"/>
      <c r="BN128" s="34">
        <f>IF(AND(ISNUMBER(BO128),ISNUMBER(BM128)),BO128-BM128,"")</f>
        <v>0</v>
      </c>
      <c r="BO128" s="33"/>
      <c r="BP128" s="34">
        <f>IF(AND(ISNUMBER(BQ128),ISNUMBER(BO128)),BQ128-BO128,"")</f>
        <v>0</v>
      </c>
      <c r="BQ128" s="33"/>
      <c r="BR128" s="34">
        <f>IF(AND(ISNUMBER(BS128),ISNUMBER(BQ128)),BS128-BQ128,"")</f>
        <v>0</v>
      </c>
      <c r="BS128" s="33"/>
      <c r="BT128" s="34">
        <f>IF(AND(ISNUMBER(BU128),ISNUMBER(BS128)),BU128-BS128,"")</f>
        <v>0</v>
      </c>
      <c r="BU128" s="33"/>
      <c r="BV128" s="34">
        <f>IF(AND(ISNUMBER(BW128),ISNUMBER(BU128)),BW128-BU128,"")</f>
        <v>0</v>
      </c>
      <c r="BW128" s="33"/>
      <c r="BX128" s="34">
        <f>IF(AND(ISNUMBER(BY128),ISNUMBER(BW128)),BY128-BW128,"")</f>
        <v>0</v>
      </c>
      <c r="BY128" s="33"/>
      <c r="BZ128" s="34">
        <f>IF(AND(ISNUMBER(CA128),ISNUMBER(BY128)),CA128-BY128,"")</f>
        <v>0</v>
      </c>
      <c r="CA128" s="33"/>
      <c r="CB128" s="34">
        <f>IF(AND(ISNUMBER(CC128),ISNUMBER(CA128)),CC128-CA128,"")</f>
        <v>0</v>
      </c>
      <c r="CC128" s="33"/>
      <c r="CD128" s="34">
        <f>IF(AND(ISNUMBER(CE128),ISNUMBER(CC128)),CE128-CC128,"")</f>
        <v>0</v>
      </c>
      <c r="CE128" s="33"/>
      <c r="CF128" s="34">
        <f>IF(AND(ISNUMBER(CG128),ISNUMBER(CE128)),CG128-CE128,"")</f>
        <v>0</v>
      </c>
      <c r="CG128" s="33"/>
      <c r="CH128" s="34">
        <f>IF(AND(ISNUMBER(CI128),ISNUMBER(CG128)),CI128-CG128,"")</f>
        <v>0</v>
      </c>
      <c r="CI128" s="33">
        <v>0</v>
      </c>
      <c r="CJ128" s="34">
        <f>IF(AND(ISNUMBER(CK128),ISNUMBER(CI128)),CK128-CI128,"")</f>
        <v>0</v>
      </c>
      <c r="CK128" s="33">
        <v>0</v>
      </c>
      <c r="CL128" s="34">
        <f>IF(AND(ISNUMBER(CM128),ISNUMBER(CK128)),CM128-CK128,"")</f>
        <v>0</v>
      </c>
      <c r="CM128" s="33">
        <v>0</v>
      </c>
      <c r="CN128" s="34">
        <f>IF(AND(ISNUMBER(CO128),ISNUMBER(CM128)),CO128-CM128,"")</f>
        <v>0</v>
      </c>
      <c r="CO128" s="33">
        <v>0</v>
      </c>
      <c r="CP128" s="34">
        <f>IF(AND(ISNUMBER(CQ128),ISNUMBER(CO128)),CQ128-CO128,"")</f>
        <v>0</v>
      </c>
      <c r="CQ128" s="33">
        <v>0</v>
      </c>
      <c r="CR128" s="34">
        <f>IF(AND(ISNUMBER(CS128),ISNUMBER(CQ128)),CS128-CQ128,"")</f>
        <v>0</v>
      </c>
      <c r="CS128" s="33">
        <v>0</v>
      </c>
      <c r="CT128" s="34">
        <f>IF(AND(ISNUMBER(CU128),ISNUMBER(CS128)),CU128-CS128,"")</f>
        <v>0</v>
      </c>
      <c r="CU128" s="33">
        <v>0</v>
      </c>
      <c r="CV128" s="34">
        <f>IF(AND(ISNUMBER(CW128),ISNUMBER(CU128)),CW128-CU128,"")</f>
        <v>0</v>
      </c>
      <c r="CW128" s="33">
        <v>0</v>
      </c>
      <c r="CX128" s="34">
        <f>IF(AND(ISNUMBER(CY128),ISNUMBER(CW128)),CY128-CW128,"")</f>
        <v>0</v>
      </c>
      <c r="CY128" s="33">
        <v>0</v>
      </c>
      <c r="CZ128" s="34">
        <f>IF(AND(ISNUMBER(DA128),ISNUMBER(CY128)),DA128-CY128,"")</f>
        <v>0</v>
      </c>
      <c r="DA128" s="33">
        <v>1</v>
      </c>
      <c r="DB128" s="34">
        <f>IF(AND(ISNUMBER(DC128),ISNUMBER(DA128)),DC128-DA128,"")</f>
        <v>0</v>
      </c>
      <c r="DC128" s="33">
        <v>0</v>
      </c>
      <c r="DD128" s="34">
        <f>IF(AND(ISNUMBER(DE128),ISNUMBER(DC128)),DE128-DC128,"")</f>
        <v>0</v>
      </c>
      <c r="DE128" s="33">
        <v>2</v>
      </c>
      <c r="DF128" s="34">
        <f>IF(AND(ISNUMBER(DG128),ISNUMBER(DE128)),DG128-DE128,"")</f>
        <v>0</v>
      </c>
      <c r="DG128" s="33">
        <v>0</v>
      </c>
      <c r="DH128" s="34">
        <f>IF(AND(ISNUMBER(DI128),ISNUMBER(DG128)),DI128-DG128,"")</f>
        <v>0</v>
      </c>
      <c r="DI128" s="33">
        <v>0</v>
      </c>
      <c r="DJ128" s="34">
        <f>IF(AND(ISNUMBER(DK128),ISNUMBER(DI128)),DK128-DI128,"")</f>
        <v>0</v>
      </c>
      <c r="DK128" s="33">
        <v>19</v>
      </c>
      <c r="DL128" s="34">
        <f>IF(AND(ISNUMBER(DM128),ISNUMBER(DK128)),DM128-DK128,"")</f>
        <v>0</v>
      </c>
      <c r="DM128" s="33">
        <v>9</v>
      </c>
      <c r="DN128" s="34">
        <f>IF(AND(ISNUMBER(DO128),ISNUMBER(DM128)),DO128-DM128,"")</f>
        <v>0</v>
      </c>
      <c r="DO128" s="33">
        <v>1</v>
      </c>
      <c r="DP128" s="34">
        <f>IF(AND(ISNUMBER(DQ128),ISNUMBER(DO128)),DQ128-DO128,"")</f>
        <v>0</v>
      </c>
      <c r="DQ128" s="33">
        <v>2</v>
      </c>
      <c r="DR128" s="34">
        <f>IF(AND(ISNUMBER(DS128),ISNUMBER(DQ128)),DS128-DQ128,"")</f>
        <v>0</v>
      </c>
      <c r="DS128" s="33">
        <v>1</v>
      </c>
      <c r="DT128" s="34">
        <f>IF(AND(ISNUMBER(DU128),ISNUMBER(DS128)),DU128-DS128,"")</f>
        <v>0</v>
      </c>
      <c r="DU128" s="33">
        <v>0</v>
      </c>
      <c r="DV128" s="34">
        <f>IF(AND(ISNUMBER(DW128),ISNUMBER(DU128)),DW128-DU128,"")</f>
        <v>0</v>
      </c>
      <c r="DW128" s="33">
        <v>5</v>
      </c>
      <c r="DX128" s="34">
        <f>IF(AND(ISNUMBER(DY128),ISNUMBER(DW128)),DY128-DW128,"")</f>
        <v>0</v>
      </c>
      <c r="DY128" s="33">
        <v>2</v>
      </c>
      <c r="DZ128" s="34">
        <f>IF(AND(ISNUMBER(EA128),ISNUMBER(DY128)),EA128-DY128,"")</f>
        <v>0</v>
      </c>
      <c r="EA128" s="33">
        <v>0</v>
      </c>
      <c r="EB128" s="34">
        <f>IF(AND(ISNUMBER(EC128),ISNUMBER(EA128)),EC128-EA128,"")</f>
        <v>0</v>
      </c>
      <c r="EC128" s="33">
        <v>5</v>
      </c>
      <c r="ED128" s="34">
        <f>IF(AND(ISNUMBER(EE128),ISNUMBER(EC128)),EE128-EC128,"")</f>
        <v>0</v>
      </c>
      <c r="EE128" s="33">
        <v>1</v>
      </c>
      <c r="EF128" s="34">
        <f>IF(AND(ISNUMBER(EG128),ISNUMBER(EE128)),EG128-EE128,"")</f>
        <v>0</v>
      </c>
      <c r="EG128" s="33">
        <v>1</v>
      </c>
      <c r="EH128" s="34">
        <f>IF(AND(ISNUMBER(EI128),ISNUMBER(EG128)),EI128-EG128,"")</f>
        <v>0</v>
      </c>
      <c r="EI128" s="33">
        <v>0</v>
      </c>
      <c r="EJ128" s="34">
        <f>IF(AND(ISNUMBER(EK128),ISNUMBER(EI128)),EK128-EI128,"")</f>
        <v>0</v>
      </c>
      <c r="EK128" s="33">
        <v>0</v>
      </c>
      <c r="EL128" s="34">
        <f>IF(AND(ISNUMBER(EM128),ISNUMBER(EK128)),EM128-EK128,"")</f>
        <v>0</v>
      </c>
      <c r="EM128" s="33">
        <v>0</v>
      </c>
      <c r="EN128" s="34">
        <f>IF(AND(ISNUMBER(EO128),ISNUMBER(EM128)),EO128-EM128,"")</f>
        <v>0</v>
      </c>
      <c r="EO128" s="33">
        <v>0</v>
      </c>
      <c r="EP128" s="34">
        <f>IF(AND(ISNUMBER(EQ128),ISNUMBER(EO128)),EQ128-EO128,"")</f>
        <v>0</v>
      </c>
      <c r="EQ128" s="33">
        <v>0</v>
      </c>
      <c r="ER128" s="34">
        <f>IF(AND(ISNUMBER(ES128),ISNUMBER(EQ128)),ES128-EQ128,"")</f>
        <v>0</v>
      </c>
      <c r="ES128" s="33">
        <v>5</v>
      </c>
      <c r="ET128" s="34">
        <f>IF(AND(ISNUMBER(EU128),ISNUMBER(ES128)),EU128-ES128,"")</f>
        <v>0</v>
      </c>
      <c r="EU128" s="33">
        <v>3</v>
      </c>
      <c r="EV128" s="34">
        <f>IF(AND(ISNUMBER(EW128),ISNUMBER(EU128)),EW128-EU128,"")</f>
        <v>0</v>
      </c>
      <c r="EW128" s="33">
        <v>3</v>
      </c>
      <c r="EX128" s="34">
        <f>IF(AND(ISNUMBER(EY128),ISNUMBER(EW128)),EY128-EW128,"")</f>
        <v>0</v>
      </c>
      <c r="EY128" s="33">
        <v>1</v>
      </c>
      <c r="EZ128" s="34">
        <f>IF(AND(ISNUMBER(FA128),ISNUMBER(EY128)),FA128-EY128,"")</f>
        <v>0</v>
      </c>
      <c r="FA128" s="33">
        <v>0</v>
      </c>
      <c r="FB128" s="34">
        <f>IF(AND(ISNUMBER(FC128),ISNUMBER(FA128)),FC128-FA128,"")</f>
        <v>0</v>
      </c>
      <c r="FC128" s="33">
        <v>4</v>
      </c>
      <c r="FD128" s="34">
        <f>IF(AND(ISNUMBER(FE128),ISNUMBER(FC128)),FE128-FC128,"")</f>
        <v>0</v>
      </c>
      <c r="FE128" s="33">
        <v>6</v>
      </c>
      <c r="FF128" s="34">
        <f>IF(AND(ISNUMBER(FG128),ISNUMBER(FE128)),FG128-FE128,"")</f>
        <v>0</v>
      </c>
      <c r="FG128" s="33">
        <v>1</v>
      </c>
      <c r="FH128" s="34">
        <f>IF(AND(ISNUMBER(FI128),ISNUMBER(FG128)),FI128-FG128,"")</f>
        <v>0</v>
      </c>
      <c r="FI128" s="33">
        <v>0</v>
      </c>
      <c r="FJ128" s="34">
        <f>IF(AND(ISNUMBER(FK128),ISNUMBER(FI128)),FK128-FI128,"")</f>
        <v>0</v>
      </c>
      <c r="FK128" s="33">
        <v>0</v>
      </c>
      <c r="FL128" s="34">
        <f>IF(AND(ISNUMBER(FM128),ISNUMBER(FK128)),FM128-FK128,"")</f>
        <v>0</v>
      </c>
      <c r="FM128" s="33">
        <v>0</v>
      </c>
      <c r="FN128" s="34">
        <f>IF(AND(ISNUMBER(FO128),ISNUMBER(FM128)),FO128-FM128,"")</f>
        <v>0</v>
      </c>
      <c r="FO128" s="33">
        <v>3</v>
      </c>
      <c r="FP128" s="34">
        <f>IF(AND(ISNUMBER(FQ128),ISNUMBER(FO128)),FQ128-FO128,"")</f>
        <v>0</v>
      </c>
      <c r="FQ128" s="33">
        <v>0</v>
      </c>
      <c r="FR128" s="34">
        <f>IF(AND(ISNUMBER(FS128),ISNUMBER(FQ128)),FS128-FQ128,"")</f>
        <v>0</v>
      </c>
      <c r="FS128" s="33">
        <v>1</v>
      </c>
      <c r="FT128" s="34">
        <f>IF(AND(ISNUMBER(FU128),ISNUMBER(FS128)),FU128-FS128,"")</f>
        <v>0</v>
      </c>
      <c r="FU128" s="33">
        <v>1</v>
      </c>
      <c r="FV128" s="34">
        <f>IF(AND(ISNUMBER(FW128),ISNUMBER(FU128)),FW128-FU128,"")</f>
        <v>0</v>
      </c>
      <c r="FW128" s="33">
        <v>0</v>
      </c>
      <c r="FX128" s="34">
        <f>IF(AND(ISNUMBER(FY128),ISNUMBER(FW128)),FY128-FW128,"")</f>
        <v>0</v>
      </c>
      <c r="FY128" s="33">
        <v>1</v>
      </c>
      <c r="FZ128" s="34">
        <f>IF(AND(ISNUMBER(GA128),ISNUMBER(FY128)),GA128-FY128,"")</f>
        <v>0</v>
      </c>
      <c r="GA128" s="33">
        <v>0</v>
      </c>
      <c r="GB128" s="34">
        <f>IF(AND(ISNUMBER(GC128),ISNUMBER(GA128)),GC128-GA128,"")</f>
        <v>0</v>
      </c>
      <c r="GC128" s="33">
        <v>0</v>
      </c>
      <c r="GD128" s="34">
        <f>IF(AND(ISNUMBER(GE128),ISNUMBER(GC128)),GE128-GC128,"")</f>
        <v>0</v>
      </c>
      <c r="GE128" s="33">
        <v>0</v>
      </c>
      <c r="GF128" s="34">
        <f>IF(AND(ISNUMBER(GG128),ISNUMBER(GE128)),GG128-GE128,"")</f>
        <v>0</v>
      </c>
      <c r="GG128" s="33">
        <v>0</v>
      </c>
      <c r="GH128" s="34">
        <f>IF(AND(ISNUMBER(GI128),ISNUMBER(GG128)),GI128-GG128,"")</f>
        <v>0</v>
      </c>
      <c r="GI128" s="33">
        <v>0</v>
      </c>
      <c r="GJ128" s="34">
        <f>IF(AND(ISNUMBER(GK128),ISNUMBER(GI128)),GK128-GI128,"")</f>
        <v>0</v>
      </c>
      <c r="GK128" s="33">
        <v>0</v>
      </c>
      <c r="GL128" s="34">
        <f>IF(AND(ISNUMBER(GM128),ISNUMBER(GK128)),GM128-GK128,"")</f>
        <v>0</v>
      </c>
      <c r="GM128" s="33">
        <v>0</v>
      </c>
      <c r="GN128" s="34">
        <f>IF(AND(ISNUMBER(GO128),ISNUMBER(GM128)),GO128-GM128,"")</f>
        <v>0</v>
      </c>
      <c r="GO128" s="33">
        <v>1</v>
      </c>
      <c r="GP128" s="34">
        <f>IF(AND(ISNUMBER(GQ128),ISNUMBER(GO128)),GQ128-GO128,"")</f>
        <v>0</v>
      </c>
      <c r="GQ128" s="33">
        <v>0</v>
      </c>
      <c r="GR128" s="34">
        <f>IF(AND(ISNUMBER(GS128),ISNUMBER(GQ128)),GS128-GQ128,"")</f>
        <v>0</v>
      </c>
      <c r="GS128" s="33">
        <v>0</v>
      </c>
      <c r="GT128" s="34">
        <f>IF(AND(ISNUMBER(GU128),ISNUMBER(GS128)),GU128-GS128,"")</f>
        <v>0</v>
      </c>
      <c r="GU128" s="33">
        <v>0</v>
      </c>
      <c r="GV128" s="34">
        <f>IF(AND(ISNUMBER(GW128),ISNUMBER(GU128)),GW128-GU128,"")</f>
        <v>0</v>
      </c>
      <c r="GW128" s="33">
        <v>0</v>
      </c>
      <c r="GX128" s="34">
        <f>IF(AND(ISNUMBER(GY128),ISNUMBER(GW128)),GY128-GW128,"")</f>
        <v>0</v>
      </c>
      <c r="GY128" s="33">
        <v>0</v>
      </c>
      <c r="GZ128" s="34">
        <f>IF(AND(ISNUMBER(HA128),ISNUMBER(GY128)),HA128-GY128,"")</f>
        <v>0</v>
      </c>
      <c r="HA128" s="33">
        <v>11</v>
      </c>
      <c r="HB128" s="34">
        <f>IF(AND(ISNUMBER(HC128),ISNUMBER(HA128)),HC128-HA128,"")</f>
        <v>0</v>
      </c>
      <c r="HC128" s="33">
        <v>0</v>
      </c>
      <c r="HD128" s="34">
        <f>IF(AND(ISNUMBER(HE128),ISNUMBER(HC128)),HE128-HC128,"")</f>
        <v>0</v>
      </c>
      <c r="HE128" s="33">
        <v>0</v>
      </c>
      <c r="HF128" s="34">
        <f>IF(AND(ISNUMBER(HG128),ISNUMBER(HE128)),HG128-HE128,"")</f>
        <v>0</v>
      </c>
      <c r="HG128" s="33">
        <v>1</v>
      </c>
      <c r="HH128" s="34">
        <f>IF(AND(ISNUMBER(HI128),ISNUMBER(HG128)),HI128-HG128,"")</f>
        <v>0</v>
      </c>
      <c r="HI128" s="33">
        <v>0</v>
      </c>
      <c r="HJ128" s="34">
        <f>IF(AND(ISNUMBER(HK128),ISNUMBER(HI128)),HK128-HI128,"")</f>
        <v>0</v>
      </c>
      <c r="HK128" s="33">
        <v>0</v>
      </c>
      <c r="HL128" s="34">
        <f>IF(AND(ISNUMBER(HM128),ISNUMBER(HK128)),HM128-HK128,"")</f>
        <v>0</v>
      </c>
      <c r="HM128" s="33">
        <v>8</v>
      </c>
      <c r="HN128" s="34">
        <f>IF(AND(ISNUMBER(HO128),ISNUMBER(HM128)),HO128-HM128,"")</f>
        <v>0</v>
      </c>
      <c r="HO128" s="33">
        <v>0</v>
      </c>
      <c r="HP128" s="34">
        <f>IF(AND(ISNUMBER(HQ128),ISNUMBER(HO128)),HQ128-HO128,"")</f>
        <v>0</v>
      </c>
      <c r="HQ128" s="33">
        <v>1</v>
      </c>
      <c r="HR128" s="34">
        <f>IF(AND(ISNUMBER(HS128),ISNUMBER(HQ128)),HS128-HQ128,"")</f>
        <v>0</v>
      </c>
      <c r="HS128" s="33">
        <v>3</v>
      </c>
      <c r="HT128" s="34">
        <f>IF(AND(ISNUMBER(HU128),ISNUMBER(HS128)),HU128-HS128,"")</f>
        <v>0</v>
      </c>
      <c r="HU128" s="33">
        <v>0</v>
      </c>
      <c r="HV128" s="34">
        <f>IF(AND(ISNUMBER(HW128),ISNUMBER(HU128)),HW128-HU128,"")</f>
        <v>0</v>
      </c>
      <c r="HW128" s="33">
        <v>1</v>
      </c>
      <c r="HX128" s="34">
        <f>IF(AND(ISNUMBER(HY128),ISNUMBER(HW128)),HY128-HW128,"")</f>
        <v>0</v>
      </c>
      <c r="HY128" s="33">
        <v>0</v>
      </c>
      <c r="HZ128" s="34">
        <f>IF(AND(ISNUMBER(IA128),ISNUMBER(HY128)),IA128-HY128,"")</f>
        <v>0</v>
      </c>
      <c r="IA128" s="33">
        <v>2</v>
      </c>
      <c r="IB128" s="34">
        <f>IF(AND(ISNUMBER(IC128),ISNUMBER(IA128)),IC128-IA128,"")</f>
        <v>0</v>
      </c>
      <c r="IC128" s="33">
        <v>0</v>
      </c>
      <c r="ID128" s="34">
        <f>IF(AND(ISNUMBER(IE128),ISNUMBER(IC128)),IE128-IC128,"")</f>
        <v>0</v>
      </c>
      <c r="IE128" s="33">
        <v>3</v>
      </c>
      <c r="IF128" s="34">
        <f>IF(AND(ISNUMBER(IG128),ISNUMBER(IE128)),IG128-IE128,"")</f>
        <v>0</v>
      </c>
      <c r="IG128" s="33">
        <v>1</v>
      </c>
      <c r="IH128" s="34">
        <f>IF(AND(ISNUMBER(II128),ISNUMBER(IG128)),II128-IG128,"")</f>
        <v>0</v>
      </c>
      <c r="II128" s="33">
        <v>0</v>
      </c>
      <c r="IJ128" s="34">
        <f>IF(AND(ISNUMBER(IK128),ISNUMBER(II128)),IK128-II128,"")</f>
        <v>0</v>
      </c>
      <c r="IK128" s="33">
        <v>0</v>
      </c>
      <c r="IL128" s="34">
        <f>IF(AND(ISNUMBER(IM128),ISNUMBER(IK128)),IM128-IK128,"")</f>
        <v>0</v>
      </c>
      <c r="IM128" s="33">
        <v>1</v>
      </c>
      <c r="IN128" s="34">
        <f>IF(AND(ISNUMBER(IO128),ISNUMBER(IM128)),IO128-IM128,"")</f>
        <v>0</v>
      </c>
      <c r="IO128" s="33">
        <v>0</v>
      </c>
      <c r="IP128" s="34">
        <f>IF(AND(ISNUMBER(IQ128),ISNUMBER(IO128)),IQ128-IO128,"")</f>
        <v>0</v>
      </c>
      <c r="IQ128" s="33">
        <v>0</v>
      </c>
      <c r="IR128" s="34">
        <f>IF(AND(ISNUMBER(IS128),ISNUMBER(IQ128)),IS128-IQ128,"")</f>
        <v>0</v>
      </c>
      <c r="IS128" s="33">
        <v>0</v>
      </c>
      <c r="IT128" s="34">
        <f>IF(AND(ISNUMBER(IU128),ISNUMBER(IS128)),IU128-IS128,"")</f>
        <v>0</v>
      </c>
      <c r="IU128" s="33">
        <v>0</v>
      </c>
      <c r="IV128" s="34">
        <f>IF(AND(ISNUMBER(IW128),ISNUMBER(IU128)),IW128-IU128,"")</f>
        <v>0</v>
      </c>
      <c r="IW128" s="33">
        <v>0</v>
      </c>
      <c r="IX128" s="34">
        <f>IF(AND(ISNUMBER(IY128),ISNUMBER(IW128)),IY128-IW128,"")</f>
        <v>0</v>
      </c>
      <c r="IY128" s="33">
        <v>0</v>
      </c>
      <c r="IZ128" s="34">
        <f>IF(AND(ISNUMBER(JA128),ISNUMBER(IY128)),JA128-IY128,"")</f>
        <v>0</v>
      </c>
      <c r="JA128" s="33">
        <v>1</v>
      </c>
      <c r="JB128" s="34">
        <f>IF(AND(ISNUMBER(JC128),ISNUMBER(JA128)),JC128-JA128,"")</f>
        <v>0</v>
      </c>
      <c r="JC128" s="33">
        <v>1</v>
      </c>
      <c r="JD128" s="34">
        <f>IF(AND(ISNUMBER(JE128),ISNUMBER(JC128)),JE128-JC128,"")</f>
        <v>0</v>
      </c>
      <c r="JE128" s="33">
        <v>0</v>
      </c>
      <c r="JF128" s="34">
        <f>IF(AND(ISNUMBER(JG128),ISNUMBER(JE128)),JG128-JE128,"")</f>
        <v>0</v>
      </c>
      <c r="JG128" s="33">
        <v>0</v>
      </c>
      <c r="JH128" s="34">
        <f>IF(AND(ISNUMBER(JI128),ISNUMBER(JG128)),JI128-JG128,"")</f>
        <v>0</v>
      </c>
      <c r="JI128" s="33">
        <v>0</v>
      </c>
      <c r="JJ128" s="34">
        <f>IF(AND(ISNUMBER(JK128),ISNUMBER(JI128)),JK128-JI128,"")</f>
        <v>0</v>
      </c>
      <c r="JK128" s="33">
        <v>0</v>
      </c>
      <c r="JL128" s="34">
        <f>IF(AND(ISNUMBER(JM128),ISNUMBER(JK128)),JM128-JK128,"")</f>
        <v>0</v>
      </c>
      <c r="JM128" s="33">
        <v>1</v>
      </c>
      <c r="JN128" s="34">
        <f>IF(AND(ISNUMBER(JO128),ISNUMBER(JM128)),JO128-JM128,"")</f>
        <v>0</v>
      </c>
      <c r="JO128" s="33">
        <v>5</v>
      </c>
      <c r="JP128" s="34">
        <f>IF(AND(ISNUMBER(JQ128),ISNUMBER(JO128)),JQ128-JO128,"")</f>
        <v>0</v>
      </c>
      <c r="JQ128" s="33">
        <v>0</v>
      </c>
      <c r="JR128" s="34">
        <f>IF(AND(ISNUMBER(JS128),ISNUMBER(JQ128)),JS128-JQ128,"")</f>
        <v>0</v>
      </c>
      <c r="JS128" s="33">
        <v>0</v>
      </c>
      <c r="JT128" s="34">
        <f>IF(AND(ISNUMBER(JU128),ISNUMBER(JS128)),JU128-JS128,"")</f>
        <v>0</v>
      </c>
      <c r="JU128" s="33">
        <v>0</v>
      </c>
      <c r="JV128" s="34">
        <f>IF(AND(ISNUMBER(JW128),ISNUMBER(JU128)),JW128-JU128,"")</f>
        <v>0</v>
      </c>
      <c r="JW128" s="33">
        <v>1</v>
      </c>
      <c r="JX128" s="34">
        <f>IF(AND(ISNUMBER(JY128),ISNUMBER(JW128)),JY128-JW128,"")</f>
        <v>0</v>
      </c>
      <c r="JY128" s="33">
        <v>0</v>
      </c>
      <c r="JZ128" s="34">
        <f>IF(AND(ISNUMBER(KA128),ISNUMBER(JY128)),KA128-JY128,"")</f>
        <v>0</v>
      </c>
      <c r="KA128" s="33"/>
      <c r="KB128" s="34">
        <f>IF(AND(ISNUMBER(KC128),ISNUMBER(KA128)),KC128-KA128,"")</f>
        <v>0</v>
      </c>
      <c r="KC128" s="33"/>
      <c r="KD128" s="34">
        <f>IF(AND(ISNUMBER(KE128),ISNUMBER(KC128)),KE128-KC128,"")</f>
        <v>0</v>
      </c>
      <c r="KE128" s="33"/>
      <c r="KF128" s="34">
        <f>IF(AND(ISNUMBER(KG128),ISNUMBER(KE128)),KG128-KE128,"")</f>
        <v>0</v>
      </c>
      <c r="KG128" s="33"/>
      <c r="KH128" s="34">
        <f>IF(AND(ISNUMBER(KI128),ISNUMBER(KG128)),KI128-KG128,"")</f>
        <v>0</v>
      </c>
      <c r="KI128" s="33"/>
      <c r="KJ128" s="34">
        <f>IF(AND(ISNUMBER(KK128),ISNUMBER(KI128)),KK128-KI128,"")</f>
        <v>0</v>
      </c>
      <c r="KK128" s="33"/>
      <c r="KL128" s="34">
        <f>IF(AND(ISNUMBER(KM128),ISNUMBER(KK128)),KM128-KK128,"")</f>
        <v>0</v>
      </c>
      <c r="KM128" s="33"/>
      <c r="KN128" s="34">
        <f>IF(AND(ISNUMBER(KO128),ISNUMBER(KM128)),KO128-KM128,"")</f>
        <v>0</v>
      </c>
      <c r="KO128" s="33"/>
      <c r="KP128" s="34">
        <f>IF(AND(ISNUMBER(KQ128),ISNUMBER(KO128)),KQ128-KO128,"")</f>
        <v>0</v>
      </c>
      <c r="KQ128" s="33"/>
      <c r="KR128" s="34">
        <f>IF(AND(ISNUMBER(KS128),ISNUMBER(KQ128)),KS128-KQ128,"")</f>
        <v>0</v>
      </c>
      <c r="KS128" s="33"/>
      <c r="KT128" s="34">
        <f>IF(AND(ISNUMBER(KU128),ISNUMBER(KS128)),KU128-KS128,"")</f>
        <v>0</v>
      </c>
      <c r="KU128" s="33"/>
      <c r="KV128" s="34">
        <f>IF(AND(ISNUMBER(KW128),ISNUMBER(KU128)),KW128-KU128,"")</f>
        <v>0</v>
      </c>
      <c r="KW128" s="33"/>
      <c r="KX128" s="34">
        <f>IF(AND(ISNUMBER(KY128),ISNUMBER(KW128)),KY128-KW128,"")</f>
        <v>0</v>
      </c>
      <c r="KY128" s="33"/>
      <c r="KZ128" s="34">
        <f>IF(AND(ISNUMBER(LA128),ISNUMBER(KY128)),LA128-KY128,"")</f>
        <v>0</v>
      </c>
      <c r="LA128" s="33"/>
      <c r="LB128" s="34">
        <f>IF(AND(ISNUMBER(LC128),ISNUMBER(LA128)),LC128-LA128,"")</f>
        <v>0</v>
      </c>
      <c r="LC128" s="33"/>
      <c r="LD128" s="34">
        <f>IF(AND(ISNUMBER(LE128),ISNUMBER(LC128)),LE128-LC128,"")</f>
        <v>0</v>
      </c>
      <c r="LE128" s="33"/>
      <c r="LF128" s="34">
        <f>IF(AND(ISNUMBER(LG128),ISNUMBER(LE128)),LG128-LE128,"")</f>
        <v>0</v>
      </c>
      <c r="LG128" s="33"/>
    </row>
    <row r="129" spans="1:322">
      <c r="A129" s="22" t="s">
        <v>122</v>
      </c>
      <c r="B129" s="23" t="s">
        <v>1140</v>
      </c>
      <c r="C129" s="24" t="s">
        <v>905</v>
      </c>
      <c r="D129" s="24"/>
      <c r="E129" s="25" t="s">
        <v>1139</v>
      </c>
      <c r="F129" s="26"/>
      <c r="G129" s="26"/>
      <c r="H129" s="26"/>
      <c r="I129" s="27"/>
      <c r="J129" s="28">
        <f>IF(AND(ISNUMBER(K129),ISNUMBER(I129)),K129-I129,"")</f>
        <v>0</v>
      </c>
      <c r="K129" s="27"/>
      <c r="L129" s="28">
        <f>IF(AND(ISNUMBER(M129),ISNUMBER(K129)),M129-K129,"")</f>
        <v>0</v>
      </c>
      <c r="M129" s="27"/>
      <c r="N129" s="28">
        <f>IF(AND(ISNUMBER(O129),ISNUMBER(M129)),O129-M129,"")</f>
        <v>0</v>
      </c>
      <c r="O129" s="27"/>
      <c r="P129" s="28">
        <f>IF(AND(ISNUMBER(Q129),ISNUMBER(O129)),Q129-O129,"")</f>
        <v>0</v>
      </c>
      <c r="Q129" s="27"/>
      <c r="R129" s="28">
        <f>IF(AND(ISNUMBER(S129),ISNUMBER(Q129)),S129-Q129,"")</f>
        <v>0</v>
      </c>
      <c r="S129" s="27"/>
      <c r="T129" s="28">
        <f>IF(AND(ISNUMBER(U129),ISNUMBER(S129)),U129-S129,"")</f>
        <v>0</v>
      </c>
      <c r="U129" s="27"/>
      <c r="V129" s="28">
        <f>IF(AND(ISNUMBER(W129),ISNUMBER(U129)),W129-U129,"")</f>
        <v>0</v>
      </c>
      <c r="W129" s="27"/>
      <c r="X129" s="28">
        <f>IF(AND(ISNUMBER(Y129),ISNUMBER(W129)),Y129-W129,"")</f>
        <v>0</v>
      </c>
      <c r="Y129" s="27"/>
      <c r="Z129" s="28">
        <f>IF(AND(ISNUMBER(AA129),ISNUMBER(Y129)),AA129-Y129,"")</f>
        <v>0</v>
      </c>
      <c r="AA129" s="27"/>
      <c r="AB129" s="28">
        <f>IF(AND(ISNUMBER(AC129),ISNUMBER(AA129)),AC129-AA129,"")</f>
        <v>0</v>
      </c>
      <c r="AC129" s="27"/>
      <c r="AD129" s="28">
        <f>IF(AND(ISNUMBER(AE129),ISNUMBER(AC129)),AE129-AC129,"")</f>
        <v>0</v>
      </c>
      <c r="AE129" s="27"/>
      <c r="AF129" s="28">
        <f>IF(AND(ISNUMBER(AG129),ISNUMBER(AE129)),AG129-AE129,"")</f>
        <v>0</v>
      </c>
      <c r="AG129" s="27"/>
      <c r="AH129" s="28">
        <f>IF(AND(ISNUMBER(AI129),ISNUMBER(AG129)),AI129-AG129,"")</f>
        <v>0</v>
      </c>
      <c r="AI129" s="27"/>
      <c r="AJ129" s="28">
        <f>IF(AND(ISNUMBER(AK129),ISNUMBER(AI129)),AK129-AI129,"")</f>
        <v>0</v>
      </c>
      <c r="AK129" s="27"/>
      <c r="AL129" s="28">
        <f>IF(AND(ISNUMBER(AM129),ISNUMBER(AK129)),AM129-AK129,"")</f>
        <v>0</v>
      </c>
      <c r="AM129" s="27"/>
      <c r="AN129" s="28">
        <f>IF(AND(ISNUMBER(AO129),ISNUMBER(AM129)),AO129-AM129,"")</f>
        <v>0</v>
      </c>
      <c r="AO129" s="27"/>
      <c r="AP129" s="28">
        <f>IF(AND(ISNUMBER(AQ129),ISNUMBER(AO129)),AQ129-AO129,"")</f>
        <v>0</v>
      </c>
      <c r="AQ129" s="27"/>
      <c r="AR129" s="28">
        <f>IF(AND(ISNUMBER(AS129),ISNUMBER(AQ129)),AS129-AQ129,"")</f>
        <v>0</v>
      </c>
      <c r="AS129" s="27"/>
      <c r="AT129" s="28">
        <f>IF(AND(ISNUMBER(AU129),ISNUMBER(AS129)),AU129-AS129,"")</f>
        <v>0</v>
      </c>
      <c r="AU129" s="27"/>
      <c r="AV129" s="28">
        <f>IF(AND(ISNUMBER(AW129),ISNUMBER(AU129)),AW129-AU129,"")</f>
        <v>0</v>
      </c>
      <c r="AW129" s="27"/>
      <c r="AX129" s="28">
        <f>IF(AND(ISNUMBER(AY129),ISNUMBER(AW129)),AY129-AW129,"")</f>
        <v>0</v>
      </c>
      <c r="AY129" s="27"/>
      <c r="AZ129" s="28">
        <f>IF(AND(ISNUMBER(BA129),ISNUMBER(AY129)),BA129-AY129,"")</f>
        <v>0</v>
      </c>
      <c r="BA129" s="27"/>
      <c r="BB129" s="28">
        <f>IF(AND(ISNUMBER(BC129),ISNUMBER(BA129)),BC129-BA129,"")</f>
        <v>0</v>
      </c>
      <c r="BC129" s="27"/>
      <c r="BD129" s="28">
        <f>IF(AND(ISNUMBER(BE129),ISNUMBER(BC129)),BE129-BC129,"")</f>
        <v>0</v>
      </c>
      <c r="BE129" s="27"/>
      <c r="BF129" s="28">
        <f>IF(AND(ISNUMBER(BG129),ISNUMBER(BE129)),BG129-BE129,"")</f>
        <v>0</v>
      </c>
      <c r="BG129" s="27"/>
      <c r="BH129" s="28">
        <f>IF(AND(ISNUMBER(BI129),ISNUMBER(BG129)),BI129-BG129,"")</f>
        <v>0</v>
      </c>
      <c r="BI129" s="27"/>
      <c r="BJ129" s="28">
        <f>IF(AND(ISNUMBER(BK129),ISNUMBER(BI129)),BK129-BI129,"")</f>
        <v>0</v>
      </c>
      <c r="BK129" s="27"/>
      <c r="BL129" s="28">
        <f>IF(AND(ISNUMBER(BM129),ISNUMBER(BK129)),BM129-BK129,"")</f>
        <v>0</v>
      </c>
      <c r="BM129" s="27"/>
      <c r="BN129" s="28">
        <f>IF(AND(ISNUMBER(BO129),ISNUMBER(BM129)),BO129-BM129,"")</f>
        <v>0</v>
      </c>
      <c r="BO129" s="27"/>
      <c r="BP129" s="28">
        <f>IF(AND(ISNUMBER(BQ129),ISNUMBER(BO129)),BQ129-BO129,"")</f>
        <v>0</v>
      </c>
      <c r="BQ129" s="27"/>
      <c r="BR129" s="28">
        <f>IF(AND(ISNUMBER(BS129),ISNUMBER(BQ129)),BS129-BQ129,"")</f>
        <v>0</v>
      </c>
      <c r="BS129" s="27"/>
      <c r="BT129" s="28">
        <f>IF(AND(ISNUMBER(BU129),ISNUMBER(BS129)),BU129-BS129,"")</f>
        <v>0</v>
      </c>
      <c r="BU129" s="27"/>
      <c r="BV129" s="28">
        <f>IF(AND(ISNUMBER(BW129),ISNUMBER(BU129)),BW129-BU129,"")</f>
        <v>0</v>
      </c>
      <c r="BW129" s="27"/>
      <c r="BX129" s="28">
        <f>IF(AND(ISNUMBER(BY129),ISNUMBER(BW129)),BY129-BW129,"")</f>
        <v>0</v>
      </c>
      <c r="BY129" s="27"/>
      <c r="BZ129" s="28">
        <f>IF(AND(ISNUMBER(CA129),ISNUMBER(BY129)),CA129-BY129,"")</f>
        <v>0</v>
      </c>
      <c r="CA129" s="27"/>
      <c r="CB129" s="28">
        <f>IF(AND(ISNUMBER(CC129),ISNUMBER(CA129)),CC129-CA129,"")</f>
        <v>0</v>
      </c>
      <c r="CC129" s="27"/>
      <c r="CD129" s="28">
        <f>IF(AND(ISNUMBER(CE129),ISNUMBER(CC129)),CE129-CC129,"")</f>
        <v>0</v>
      </c>
      <c r="CE129" s="27"/>
      <c r="CF129" s="28">
        <f>IF(AND(ISNUMBER(CG129),ISNUMBER(CE129)),CG129-CE129,"")</f>
        <v>0</v>
      </c>
      <c r="CG129" s="27"/>
      <c r="CH129" s="28">
        <f>IF(AND(ISNUMBER(CI129),ISNUMBER(CG129)),CI129-CG129,"")</f>
        <v>0</v>
      </c>
      <c r="CI129" s="27"/>
      <c r="CJ129" s="28">
        <f>IF(AND(ISNUMBER(CK129),ISNUMBER(CI129)),CK129-CI129,"")</f>
        <v>0</v>
      </c>
      <c r="CK129" s="27"/>
      <c r="CL129" s="28">
        <f>IF(AND(ISNUMBER(CM129),ISNUMBER(CK129)),CM129-CK129,"")</f>
        <v>0</v>
      </c>
      <c r="CM129" s="27"/>
      <c r="CN129" s="28">
        <f>IF(AND(ISNUMBER(CO129),ISNUMBER(CM129)),CO129-CM129,"")</f>
        <v>0</v>
      </c>
      <c r="CO129" s="27"/>
      <c r="CP129" s="28">
        <f>IF(AND(ISNUMBER(CQ129),ISNUMBER(CO129)),CQ129-CO129,"")</f>
        <v>0</v>
      </c>
      <c r="CQ129" s="27"/>
      <c r="CR129" s="28">
        <f>IF(AND(ISNUMBER(CS129),ISNUMBER(CQ129)),CS129-CQ129,"")</f>
        <v>0</v>
      </c>
      <c r="CS129" s="27"/>
      <c r="CT129" s="28">
        <f>IF(AND(ISNUMBER(CU129),ISNUMBER(CS129)),CU129-CS129,"")</f>
        <v>0</v>
      </c>
      <c r="CU129" s="27"/>
      <c r="CV129" s="28">
        <f>IF(AND(ISNUMBER(CW129),ISNUMBER(CU129)),CW129-CU129,"")</f>
        <v>0</v>
      </c>
      <c r="CW129" s="27"/>
      <c r="CX129" s="28">
        <f>IF(AND(ISNUMBER(CY129),ISNUMBER(CW129)),CY129-CW129,"")</f>
        <v>0</v>
      </c>
      <c r="CY129" s="27"/>
      <c r="CZ129" s="28">
        <f>IF(AND(ISNUMBER(DA129),ISNUMBER(CY129)),DA129-CY129,"")</f>
        <v>0</v>
      </c>
      <c r="DA129" s="27"/>
      <c r="DB129" s="28">
        <f>IF(AND(ISNUMBER(DC129),ISNUMBER(DA129)),DC129-DA129,"")</f>
        <v>0</v>
      </c>
      <c r="DC129" s="27"/>
      <c r="DD129" s="28">
        <f>IF(AND(ISNUMBER(DE129),ISNUMBER(DC129)),DE129-DC129,"")</f>
        <v>0</v>
      </c>
      <c r="DE129" s="27"/>
      <c r="DF129" s="28">
        <f>IF(AND(ISNUMBER(DG129),ISNUMBER(DE129)),DG129-DE129,"")</f>
        <v>0</v>
      </c>
      <c r="DG129" s="27"/>
      <c r="DH129" s="28">
        <f>IF(AND(ISNUMBER(DI129),ISNUMBER(DG129)),DI129-DG129,"")</f>
        <v>0</v>
      </c>
      <c r="DI129" s="27"/>
      <c r="DJ129" s="28">
        <f>IF(AND(ISNUMBER(DK129),ISNUMBER(DI129)),DK129-DI129,"")</f>
        <v>0</v>
      </c>
      <c r="DK129" s="27"/>
      <c r="DL129" s="28">
        <f>IF(AND(ISNUMBER(DM129),ISNUMBER(DK129)),DM129-DK129,"")</f>
        <v>0</v>
      </c>
      <c r="DM129" s="27"/>
      <c r="DN129" s="28">
        <f>IF(AND(ISNUMBER(DO129),ISNUMBER(DM129)),DO129-DM129,"")</f>
        <v>0</v>
      </c>
      <c r="DO129" s="27"/>
      <c r="DP129" s="28">
        <f>IF(AND(ISNUMBER(DQ129),ISNUMBER(DO129)),DQ129-DO129,"")</f>
        <v>0</v>
      </c>
      <c r="DQ129" s="27"/>
      <c r="DR129" s="28">
        <f>IF(AND(ISNUMBER(DS129),ISNUMBER(DQ129)),DS129-DQ129,"")</f>
        <v>0</v>
      </c>
      <c r="DS129" s="27"/>
      <c r="DT129" s="28">
        <f>IF(AND(ISNUMBER(DU129),ISNUMBER(DS129)),DU129-DS129,"")</f>
        <v>0</v>
      </c>
      <c r="DU129" s="27"/>
      <c r="DV129" s="28">
        <f>IF(AND(ISNUMBER(DW129),ISNUMBER(DU129)),DW129-DU129,"")</f>
        <v>0</v>
      </c>
      <c r="DW129" s="27"/>
      <c r="DX129" s="28">
        <f>IF(AND(ISNUMBER(DY129),ISNUMBER(DW129)),DY129-DW129,"")</f>
        <v>0</v>
      </c>
      <c r="DY129" s="27"/>
      <c r="DZ129" s="28">
        <f>IF(AND(ISNUMBER(EA129),ISNUMBER(DY129)),EA129-DY129,"")</f>
        <v>0</v>
      </c>
      <c r="EA129" s="27"/>
      <c r="EB129" s="28">
        <f>IF(AND(ISNUMBER(EC129),ISNUMBER(EA129)),EC129-EA129,"")</f>
        <v>0</v>
      </c>
      <c r="EC129" s="27"/>
      <c r="ED129" s="28">
        <f>IF(AND(ISNUMBER(EE129),ISNUMBER(EC129)),EE129-EC129,"")</f>
        <v>0</v>
      </c>
      <c r="EE129" s="27"/>
      <c r="EF129" s="28">
        <f>IF(AND(ISNUMBER(EG129),ISNUMBER(EE129)),EG129-EE129,"")</f>
        <v>0</v>
      </c>
      <c r="EG129" s="27"/>
      <c r="EH129" s="28">
        <f>IF(AND(ISNUMBER(EI129),ISNUMBER(EG129)),EI129-EG129,"")</f>
        <v>0</v>
      </c>
      <c r="EI129" s="27"/>
      <c r="EJ129" s="28">
        <f>IF(AND(ISNUMBER(EK129),ISNUMBER(EI129)),EK129-EI129,"")</f>
        <v>0</v>
      </c>
      <c r="EK129" s="27"/>
      <c r="EL129" s="28">
        <f>IF(AND(ISNUMBER(EM129),ISNUMBER(EK129)),EM129-EK129,"")</f>
        <v>0</v>
      </c>
      <c r="EM129" s="27"/>
      <c r="EN129" s="28">
        <f>IF(AND(ISNUMBER(EO129),ISNUMBER(EM129)),EO129-EM129,"")</f>
        <v>0</v>
      </c>
      <c r="EO129" s="27"/>
      <c r="EP129" s="28">
        <f>IF(AND(ISNUMBER(EQ129),ISNUMBER(EO129)),EQ129-EO129,"")</f>
        <v>0</v>
      </c>
      <c r="EQ129" s="27"/>
      <c r="ER129" s="28">
        <f>IF(AND(ISNUMBER(ES129),ISNUMBER(EQ129)),ES129-EQ129,"")</f>
        <v>0</v>
      </c>
      <c r="ES129" s="27"/>
      <c r="ET129" s="28">
        <f>IF(AND(ISNUMBER(EU129),ISNUMBER(ES129)),EU129-ES129,"")</f>
        <v>0</v>
      </c>
      <c r="EU129" s="27"/>
      <c r="EV129" s="28">
        <f>IF(AND(ISNUMBER(EW129),ISNUMBER(EU129)),EW129-EU129,"")</f>
        <v>0</v>
      </c>
      <c r="EW129" s="27"/>
      <c r="EX129" s="28">
        <f>IF(AND(ISNUMBER(EY129),ISNUMBER(EW129)),EY129-EW129,"")</f>
        <v>0</v>
      </c>
      <c r="EY129" s="27"/>
      <c r="EZ129" s="28">
        <f>IF(AND(ISNUMBER(FA129),ISNUMBER(EY129)),FA129-EY129,"")</f>
        <v>0</v>
      </c>
      <c r="FA129" s="27"/>
      <c r="FB129" s="28">
        <f>IF(AND(ISNUMBER(FC129),ISNUMBER(FA129)),FC129-FA129,"")</f>
        <v>0</v>
      </c>
      <c r="FC129" s="27"/>
      <c r="FD129" s="28">
        <f>IF(AND(ISNUMBER(FE129),ISNUMBER(FC129)),FE129-FC129,"")</f>
        <v>0</v>
      </c>
      <c r="FE129" s="27"/>
      <c r="FF129" s="28">
        <f>IF(AND(ISNUMBER(FG129),ISNUMBER(FE129)),FG129-FE129,"")</f>
        <v>0</v>
      </c>
      <c r="FG129" s="27"/>
      <c r="FH129" s="28">
        <f>IF(AND(ISNUMBER(FI129),ISNUMBER(FG129)),FI129-FG129,"")</f>
        <v>0</v>
      </c>
      <c r="FI129" s="27"/>
      <c r="FJ129" s="28">
        <f>IF(AND(ISNUMBER(FK129),ISNUMBER(FI129)),FK129-FI129,"")</f>
        <v>0</v>
      </c>
      <c r="FK129" s="27"/>
      <c r="FL129" s="28">
        <f>IF(AND(ISNUMBER(FM129),ISNUMBER(FK129)),FM129-FK129,"")</f>
        <v>0</v>
      </c>
      <c r="FM129" s="27"/>
      <c r="FN129" s="28">
        <f>IF(AND(ISNUMBER(FO129),ISNUMBER(FM129)),FO129-FM129,"")</f>
        <v>0</v>
      </c>
      <c r="FO129" s="27"/>
      <c r="FP129" s="28">
        <f>IF(AND(ISNUMBER(FQ129),ISNUMBER(FO129)),FQ129-FO129,"")</f>
        <v>0</v>
      </c>
      <c r="FQ129" s="27"/>
      <c r="FR129" s="28">
        <f>IF(AND(ISNUMBER(FS129),ISNUMBER(FQ129)),FS129-FQ129,"")</f>
        <v>0</v>
      </c>
      <c r="FS129" s="27"/>
      <c r="FT129" s="28">
        <f>IF(AND(ISNUMBER(FU129),ISNUMBER(FS129)),FU129-FS129,"")</f>
        <v>0</v>
      </c>
      <c r="FU129" s="27"/>
      <c r="FV129" s="28">
        <f>IF(AND(ISNUMBER(FW129),ISNUMBER(FU129)),FW129-FU129,"")</f>
        <v>0</v>
      </c>
      <c r="FW129" s="27"/>
      <c r="FX129" s="28">
        <f>IF(AND(ISNUMBER(FY129),ISNUMBER(FW129)),FY129-FW129,"")</f>
        <v>0</v>
      </c>
      <c r="FY129" s="27"/>
      <c r="FZ129" s="28">
        <f>IF(AND(ISNUMBER(GA129),ISNUMBER(FY129)),GA129-FY129,"")</f>
        <v>0</v>
      </c>
      <c r="GA129" s="27"/>
      <c r="GB129" s="28">
        <f>IF(AND(ISNUMBER(GC129),ISNUMBER(GA129)),GC129-GA129,"")</f>
        <v>0</v>
      </c>
      <c r="GC129" s="27"/>
      <c r="GD129" s="28">
        <f>IF(AND(ISNUMBER(GE129),ISNUMBER(GC129)),GE129-GC129,"")</f>
        <v>0</v>
      </c>
      <c r="GE129" s="27"/>
      <c r="GF129" s="28">
        <f>IF(AND(ISNUMBER(GG129),ISNUMBER(GE129)),GG129-GE129,"")</f>
        <v>0</v>
      </c>
      <c r="GG129" s="27"/>
      <c r="GH129" s="28">
        <f>IF(AND(ISNUMBER(GI129),ISNUMBER(GG129)),GI129-GG129,"")</f>
        <v>0</v>
      </c>
      <c r="GI129" s="27"/>
      <c r="GJ129" s="28">
        <f>IF(AND(ISNUMBER(GK129),ISNUMBER(GI129)),GK129-GI129,"")</f>
        <v>0</v>
      </c>
      <c r="GK129" s="27"/>
      <c r="GL129" s="28">
        <f>IF(AND(ISNUMBER(GM129),ISNUMBER(GK129)),GM129-GK129,"")</f>
        <v>0</v>
      </c>
      <c r="GM129" s="27"/>
      <c r="GN129" s="28">
        <f>IF(AND(ISNUMBER(GO129),ISNUMBER(GM129)),GO129-GM129,"")</f>
        <v>0</v>
      </c>
      <c r="GO129" s="27"/>
      <c r="GP129" s="28">
        <f>IF(AND(ISNUMBER(GQ129),ISNUMBER(GO129)),GQ129-GO129,"")</f>
        <v>0</v>
      </c>
      <c r="GQ129" s="27"/>
      <c r="GR129" s="28">
        <f>IF(AND(ISNUMBER(GS129),ISNUMBER(GQ129)),GS129-GQ129,"")</f>
        <v>0</v>
      </c>
      <c r="GS129" s="27"/>
      <c r="GT129" s="28">
        <f>IF(AND(ISNUMBER(GU129),ISNUMBER(GS129)),GU129-GS129,"")</f>
        <v>0</v>
      </c>
      <c r="GU129" s="27"/>
      <c r="GV129" s="28">
        <f>IF(AND(ISNUMBER(GW129),ISNUMBER(GU129)),GW129-GU129,"")</f>
        <v>0</v>
      </c>
      <c r="GW129" s="27"/>
      <c r="GX129" s="28">
        <f>IF(AND(ISNUMBER(GY129),ISNUMBER(GW129)),GY129-GW129,"")</f>
        <v>0</v>
      </c>
      <c r="GY129" s="27"/>
      <c r="GZ129" s="28">
        <f>IF(AND(ISNUMBER(HA129),ISNUMBER(GY129)),HA129-GY129,"")</f>
        <v>0</v>
      </c>
      <c r="HA129" s="27"/>
      <c r="HB129" s="28">
        <f>IF(AND(ISNUMBER(HC129),ISNUMBER(HA129)),HC129-HA129,"")</f>
        <v>0</v>
      </c>
      <c r="HC129" s="27"/>
      <c r="HD129" s="28">
        <f>IF(AND(ISNUMBER(HE129),ISNUMBER(HC129)),HE129-HC129,"")</f>
        <v>0</v>
      </c>
      <c r="HE129" s="29">
        <f>IF(COUNT(HE130:HE132)=0,"",SUM(HE130:HE132))</f>
        <v>0</v>
      </c>
      <c r="HF129" s="28">
        <f>IF(AND(ISNUMBER(HG129),ISNUMBER(HE129)),HG129-HE129,"")</f>
        <v>0</v>
      </c>
      <c r="HG129" s="29">
        <f>IF(COUNT(HG130:HG132)=0,"",SUM(HG130:HG132))</f>
        <v>0</v>
      </c>
      <c r="HH129" s="28">
        <f>IF(AND(ISNUMBER(HI129),ISNUMBER(HG129)),HI129-HG129,"")</f>
        <v>0</v>
      </c>
      <c r="HI129" s="29">
        <f>IF(COUNT(HI130:HI132)=0,"",SUM(HI130:HI132))</f>
        <v>0</v>
      </c>
      <c r="HJ129" s="28">
        <f>IF(AND(ISNUMBER(HK129),ISNUMBER(HI129)),HK129-HI129,"")</f>
        <v>0</v>
      </c>
      <c r="HK129" s="29">
        <f>IF(COUNT(HK130:HK132)=0,"",SUM(HK130:HK132))</f>
        <v>0</v>
      </c>
      <c r="HL129" s="28">
        <f>IF(AND(ISNUMBER(HM129),ISNUMBER(HK129)),HM129-HK129,"")</f>
        <v>0</v>
      </c>
      <c r="HM129" s="29">
        <f>IF(COUNT(HM130:HM132)=0,"",SUM(HM130:HM132))</f>
        <v>0</v>
      </c>
      <c r="HN129" s="28">
        <f>IF(AND(ISNUMBER(HO129),ISNUMBER(HM129)),HO129-HM129,"")</f>
        <v>0</v>
      </c>
      <c r="HO129" s="29">
        <f>IF(COUNT(HO130:HO132)=0,"",SUM(HO130:HO132))</f>
        <v>0</v>
      </c>
      <c r="HP129" s="28">
        <f>IF(AND(ISNUMBER(HQ129),ISNUMBER(HO129)),HQ129-HO129,"")</f>
        <v>0</v>
      </c>
      <c r="HQ129" s="29">
        <f>IF(COUNT(HQ130:HQ132)=0,"",SUM(HQ130:HQ132))</f>
        <v>0</v>
      </c>
      <c r="HR129" s="28">
        <f>IF(AND(ISNUMBER(HS129),ISNUMBER(HQ129)),HS129-HQ129,"")</f>
        <v>0</v>
      </c>
      <c r="HS129" s="29">
        <f>IF(COUNT(HS130:HS132)=0,"",SUM(HS130:HS132))</f>
        <v>0</v>
      </c>
      <c r="HT129" s="28">
        <f>IF(AND(ISNUMBER(HU129),ISNUMBER(HS129)),HU129-HS129,"")</f>
        <v>0</v>
      </c>
      <c r="HU129" s="29">
        <f>IF(COUNT(HU130:HU132)=0,"",SUM(HU130:HU132))</f>
        <v>0</v>
      </c>
      <c r="HV129" s="28">
        <f>IF(AND(ISNUMBER(HW129),ISNUMBER(HU129)),HW129-HU129,"")</f>
        <v>0</v>
      </c>
      <c r="HW129" s="29">
        <f>IF(COUNT(HW130:HW132)=0,"",SUM(HW130:HW132))</f>
        <v>0</v>
      </c>
      <c r="HX129" s="28">
        <f>IF(AND(ISNUMBER(HY129),ISNUMBER(HW129)),HY129-HW129,"")</f>
        <v>0</v>
      </c>
      <c r="HY129" s="29">
        <f>IF(COUNT(HY130:HY132)=0,"",SUM(HY130:HY132))</f>
        <v>0</v>
      </c>
      <c r="HZ129" s="28">
        <f>IF(AND(ISNUMBER(IA129),ISNUMBER(HY129)),IA129-HY129,"")</f>
        <v>0</v>
      </c>
      <c r="IA129" s="29">
        <f>IF(COUNT(IA130:IA132)=0,"",SUM(IA130:IA132))</f>
        <v>0</v>
      </c>
      <c r="IB129" s="28">
        <f>IF(AND(ISNUMBER(IC129),ISNUMBER(IA129)),IC129-IA129,"")</f>
        <v>0</v>
      </c>
      <c r="IC129" s="29">
        <f>IF(COUNT(IC130:IC132)=0,"",SUM(IC130:IC132))</f>
        <v>0</v>
      </c>
      <c r="ID129" s="28">
        <f>IF(AND(ISNUMBER(IE129),ISNUMBER(IC129)),IE129-IC129,"")</f>
        <v>0</v>
      </c>
      <c r="IE129" s="29">
        <f>IF(COUNT(IE130:IE132)=0,"",SUM(IE130:IE132))</f>
        <v>0</v>
      </c>
      <c r="IF129" s="28">
        <f>IF(AND(ISNUMBER(IG129),ISNUMBER(IE129)),IG129-IE129,"")</f>
        <v>0</v>
      </c>
      <c r="IG129" s="29">
        <f>IF(COUNT(IG130:IG132)=0,"",SUM(IG130:IG132))</f>
        <v>0</v>
      </c>
      <c r="IH129" s="28">
        <f>IF(AND(ISNUMBER(II129),ISNUMBER(IG129)),II129-IG129,"")</f>
        <v>0</v>
      </c>
      <c r="II129" s="29">
        <f>IF(COUNT(II130:II132)=0,"",SUM(II130:II132))</f>
        <v>0</v>
      </c>
      <c r="IJ129" s="28">
        <f>IF(AND(ISNUMBER(IK129),ISNUMBER(II129)),IK129-II129,"")</f>
        <v>0</v>
      </c>
      <c r="IK129" s="29">
        <f>IF(COUNT(IK130:IK132)=0,"",SUM(IK130:IK132))</f>
        <v>0</v>
      </c>
      <c r="IL129" s="28">
        <f>IF(AND(ISNUMBER(IM129),ISNUMBER(IK129)),IM129-IK129,"")</f>
        <v>0</v>
      </c>
      <c r="IM129" s="29">
        <f>IF(COUNT(IM130:IM132)=0,"",SUM(IM130:IM132))</f>
        <v>0</v>
      </c>
      <c r="IN129" s="28">
        <f>IF(AND(ISNUMBER(IO129),ISNUMBER(IM129)),IO129-IM129,"")</f>
        <v>0</v>
      </c>
      <c r="IO129" s="29">
        <f>IF(COUNT(IO130:IO132)=0,"",SUM(IO130:IO132))</f>
        <v>0</v>
      </c>
      <c r="IP129" s="28">
        <f>IF(AND(ISNUMBER(IQ129),ISNUMBER(IO129)),IQ129-IO129,"")</f>
        <v>0</v>
      </c>
      <c r="IQ129" s="29">
        <f>IF(COUNT(IQ130:IQ132)=0,"",SUM(IQ130:IQ132))</f>
        <v>0</v>
      </c>
      <c r="IR129" s="28">
        <f>IF(AND(ISNUMBER(IS129),ISNUMBER(IQ129)),IS129-IQ129,"")</f>
        <v>0</v>
      </c>
      <c r="IS129" s="29">
        <f>IF(COUNT(IS130:IS132)=0,"",SUM(IS130:IS132))</f>
        <v>0</v>
      </c>
      <c r="IT129" s="28">
        <f>IF(AND(ISNUMBER(IU129),ISNUMBER(IS129)),IU129-IS129,"")</f>
        <v>0</v>
      </c>
      <c r="IU129" s="29">
        <f>IF(COUNT(IU130:IU132)=0,"",SUM(IU130:IU132))</f>
        <v>0</v>
      </c>
      <c r="IV129" s="28">
        <f>IF(AND(ISNUMBER(IW129),ISNUMBER(IU129)),IW129-IU129,"")</f>
        <v>0</v>
      </c>
      <c r="IW129" s="29">
        <f>IF(COUNT(IW130:IW132)=0,"",SUM(IW130:IW132))</f>
        <v>0</v>
      </c>
      <c r="IX129" s="28">
        <f>IF(AND(ISNUMBER(IY129),ISNUMBER(IW129)),IY129-IW129,"")</f>
        <v>0</v>
      </c>
      <c r="IY129" s="29">
        <f>IF(COUNT(IY130:IY132)=0,"",SUM(IY130:IY132))</f>
        <v>0</v>
      </c>
      <c r="IZ129" s="28">
        <f>IF(AND(ISNUMBER(JA129),ISNUMBER(IY129)),JA129-IY129,"")</f>
        <v>0</v>
      </c>
      <c r="JA129" s="29">
        <f>IF(COUNT(JA130:JA132)=0,"",SUM(JA130:JA132))</f>
        <v>0</v>
      </c>
      <c r="JB129" s="28">
        <f>IF(AND(ISNUMBER(JC129),ISNUMBER(JA129)),JC129-JA129,"")</f>
        <v>0</v>
      </c>
      <c r="JC129" s="29">
        <f>IF(COUNT(JC130:JC132)=0,"",SUM(JC130:JC132))</f>
        <v>0</v>
      </c>
      <c r="JD129" s="28">
        <f>IF(AND(ISNUMBER(JE129),ISNUMBER(JC129)),JE129-JC129,"")</f>
        <v>0</v>
      </c>
      <c r="JE129" s="29">
        <f>IF(COUNT(JE130:JE132)=0,"",SUM(JE130:JE132))</f>
        <v>0</v>
      </c>
      <c r="JF129" s="28">
        <f>IF(AND(ISNUMBER(JG129),ISNUMBER(JE129)),JG129-JE129,"")</f>
        <v>0</v>
      </c>
      <c r="JG129" s="29">
        <f>IF(COUNT(JG130:JG132)=0,"",SUM(JG130:JG132))</f>
        <v>0</v>
      </c>
      <c r="JH129" s="28">
        <f>IF(AND(ISNUMBER(JI129),ISNUMBER(JG129)),JI129-JG129,"")</f>
        <v>0</v>
      </c>
      <c r="JI129" s="29">
        <f>IF(COUNT(JI130:JI132)=0,"",SUM(JI130:JI132))</f>
        <v>0</v>
      </c>
      <c r="JJ129" s="28">
        <f>IF(AND(ISNUMBER(JK129),ISNUMBER(JI129)),JK129-JI129,"")</f>
        <v>0</v>
      </c>
      <c r="JK129" s="29">
        <f>IF(COUNT(JK130:JK132)=0,"",SUM(JK130:JK132))</f>
        <v>0</v>
      </c>
      <c r="JL129" s="28">
        <f>IF(AND(ISNUMBER(JM129),ISNUMBER(JK129)),JM129-JK129,"")</f>
        <v>0</v>
      </c>
      <c r="JM129" s="29">
        <f>IF(COUNT(JM130:JM132)=0,"",SUM(JM130:JM132))</f>
        <v>0</v>
      </c>
      <c r="JN129" s="28">
        <f>IF(AND(ISNUMBER(JO129),ISNUMBER(JM129)),JO129-JM129,"")</f>
        <v>0</v>
      </c>
      <c r="JO129" s="29">
        <f>IF(COUNT(JO130:JO132)=0,"",SUM(JO130:JO132))</f>
        <v>0</v>
      </c>
      <c r="JP129" s="28">
        <f>IF(AND(ISNUMBER(JQ129),ISNUMBER(JO129)),JQ129-JO129,"")</f>
        <v>0</v>
      </c>
      <c r="JQ129" s="29">
        <f>IF(COUNT(JQ130:JQ132)=0,"",SUM(JQ130:JQ132))</f>
        <v>0</v>
      </c>
      <c r="JR129" s="28">
        <f>IF(AND(ISNUMBER(JS129),ISNUMBER(JQ129)),JS129-JQ129,"")</f>
        <v>0</v>
      </c>
      <c r="JS129" s="29">
        <f>IF(COUNT(JS130:JS132)=0,"",SUM(JS130:JS132))</f>
        <v>0</v>
      </c>
      <c r="JT129" s="28">
        <f>IF(AND(ISNUMBER(JU129),ISNUMBER(JS129)),JU129-JS129,"")</f>
        <v>0</v>
      </c>
      <c r="JU129" s="29">
        <f>IF(COUNT(JU130:JU132)=0,"",SUM(JU130:JU132))</f>
        <v>0</v>
      </c>
      <c r="JV129" s="28">
        <f>IF(AND(ISNUMBER(JW129),ISNUMBER(JU129)),JW129-JU129,"")</f>
        <v>0</v>
      </c>
      <c r="JW129" s="29">
        <f>IF(COUNT(JW130:JW132)=0,"",SUM(JW130:JW132))</f>
        <v>0</v>
      </c>
      <c r="JX129" s="28">
        <f>IF(AND(ISNUMBER(JY129),ISNUMBER(JW129)),JY129-JW129,"")</f>
        <v>0</v>
      </c>
      <c r="JY129" s="29">
        <f>IF(COUNT(JY130:JY132)=0,"",SUM(JY130:JY132))</f>
        <v>0</v>
      </c>
      <c r="JZ129" s="28">
        <f>IF(AND(ISNUMBER(KA129),ISNUMBER(JY129)),KA129-JY129,"")</f>
        <v>0</v>
      </c>
      <c r="KA129" s="29">
        <f>IF(COUNT(KA130:KA132)=0,"",SUM(KA130:KA132))</f>
        <v>0</v>
      </c>
      <c r="KB129" s="28">
        <f>IF(AND(ISNUMBER(KC129),ISNUMBER(KA129)),KC129-KA129,"")</f>
        <v>0</v>
      </c>
      <c r="KC129" s="29">
        <f>IF(COUNT(KC130:KC132)=0,"",SUM(KC130:KC132))</f>
        <v>0</v>
      </c>
      <c r="KD129" s="28">
        <f>IF(AND(ISNUMBER(KE129),ISNUMBER(KC129)),KE129-KC129,"")</f>
        <v>0</v>
      </c>
      <c r="KE129" s="29">
        <f>IF(COUNT(KE130:KE132)=0,"",SUM(KE130:KE132))</f>
        <v>0</v>
      </c>
      <c r="KF129" s="28">
        <f>IF(AND(ISNUMBER(KG129),ISNUMBER(KE129)),KG129-KE129,"")</f>
        <v>0</v>
      </c>
      <c r="KG129" s="29">
        <f>IF(COUNT(KG130:KG132)=0,"",SUM(KG130:KG132))</f>
        <v>0</v>
      </c>
      <c r="KH129" s="28">
        <f>IF(AND(ISNUMBER(KI129),ISNUMBER(KG129)),KI129-KG129,"")</f>
        <v>0</v>
      </c>
      <c r="KI129" s="29">
        <f>IF(COUNT(KI130:KI132)=0,"",SUM(KI130:KI132))</f>
        <v>0</v>
      </c>
      <c r="KJ129" s="28">
        <f>IF(AND(ISNUMBER(KK129),ISNUMBER(KI129)),KK129-KI129,"")</f>
        <v>0</v>
      </c>
      <c r="KK129" s="29">
        <f>IF(COUNT(KK130:KK132)=0,"",SUM(KK130:KK132))</f>
        <v>0</v>
      </c>
      <c r="KL129" s="28">
        <f>IF(AND(ISNUMBER(KM129),ISNUMBER(KK129)),KM129-KK129,"")</f>
        <v>0</v>
      </c>
      <c r="KM129" s="29">
        <f>IF(COUNT(KM130:KM132)=0,"",SUM(KM130:KM132))</f>
        <v>0</v>
      </c>
      <c r="KN129" s="28">
        <f>IF(AND(ISNUMBER(KO129),ISNUMBER(KM129)),KO129-KM129,"")</f>
        <v>0</v>
      </c>
      <c r="KO129" s="29">
        <f>IF(COUNT(KO130:KO132)=0,"",SUM(KO130:KO132))</f>
        <v>0</v>
      </c>
      <c r="KP129" s="28">
        <f>IF(AND(ISNUMBER(KQ129),ISNUMBER(KO129)),KQ129-KO129,"")</f>
        <v>0</v>
      </c>
      <c r="KQ129" s="29">
        <f>IF(COUNT(KQ130:KQ132)=0,"",SUM(KQ130:KQ132))</f>
        <v>0</v>
      </c>
      <c r="KR129" s="28">
        <f>IF(AND(ISNUMBER(KS129),ISNUMBER(KQ129)),KS129-KQ129,"")</f>
        <v>0</v>
      </c>
      <c r="KS129" s="29">
        <f>IF(COUNT(KS130:KS132)=0,"",SUM(KS130:KS132))</f>
        <v>0</v>
      </c>
      <c r="KT129" s="28">
        <f>IF(AND(ISNUMBER(KU129),ISNUMBER(KS129)),KU129-KS129,"")</f>
        <v>0</v>
      </c>
      <c r="KU129" s="29">
        <f>IF(COUNT(KU130:KU132)=0,"",SUM(KU130:KU132))</f>
        <v>0</v>
      </c>
      <c r="KV129" s="28">
        <f>IF(AND(ISNUMBER(KW129),ISNUMBER(KU129)),KW129-KU129,"")</f>
        <v>0</v>
      </c>
      <c r="KW129" s="29">
        <f>IF(COUNT(KW130:KW132)=0,"",SUM(KW130:KW132))</f>
        <v>0</v>
      </c>
      <c r="KX129" s="28">
        <f>IF(AND(ISNUMBER(KY129),ISNUMBER(KW129)),KY129-KW129,"")</f>
        <v>0</v>
      </c>
      <c r="KY129" s="29">
        <f>IF(COUNT(KY130:KY132)=0,"",SUM(KY130:KY132))</f>
        <v>0</v>
      </c>
      <c r="KZ129" s="28">
        <f>IF(AND(ISNUMBER(LA129),ISNUMBER(KY129)),LA129-KY129,"")</f>
        <v>0</v>
      </c>
      <c r="LA129" s="29">
        <f>IF(COUNT(LA130:LA132)=0,"",SUM(LA130:LA132))</f>
        <v>0</v>
      </c>
      <c r="LB129" s="28">
        <f>IF(AND(ISNUMBER(LC129),ISNUMBER(LA129)),LC129-LA129,"")</f>
        <v>0</v>
      </c>
      <c r="LC129" s="29">
        <f>IF(COUNT(LC130:LC132)=0,"",SUM(LC130:LC132))</f>
        <v>0</v>
      </c>
      <c r="LD129" s="28">
        <f>IF(AND(ISNUMBER(LE129),ISNUMBER(LC129)),LE129-LC129,"")</f>
        <v>0</v>
      </c>
      <c r="LE129" s="29">
        <f>IF(COUNT(LE130:LE132)=0,"",SUM(LE130:LE132))</f>
        <v>0</v>
      </c>
      <c r="LF129" s="28">
        <f>IF(AND(ISNUMBER(LG129),ISNUMBER(LE129)),LG129-LE129,"")</f>
        <v>0</v>
      </c>
      <c r="LG129" s="29">
        <f>IF(COUNT(LG130:LG132)=0,"",SUM(LG130:LG132))</f>
        <v>0</v>
      </c>
      <c r="LH129" s="30"/>
      <c r="LI129" s="30"/>
      <c r="LJ129" s="30"/>
    </row>
    <row r="130" spans="1:322">
      <c r="A130" s="36" t="s">
        <v>123</v>
      </c>
      <c r="B130" s="23"/>
      <c r="C130" s="31" t="s">
        <v>907</v>
      </c>
      <c r="E130" s="32" t="s">
        <v>1139</v>
      </c>
      <c r="I130" s="33"/>
      <c r="J130" s="34">
        <f>IF(AND(ISNUMBER(K130),ISNUMBER(I130)),K130-I130,"")</f>
        <v>0</v>
      </c>
      <c r="K130" s="33"/>
      <c r="L130" s="34">
        <f>IF(AND(ISNUMBER(M130),ISNUMBER(K130)),M130-K130,"")</f>
        <v>0</v>
      </c>
      <c r="M130" s="33"/>
      <c r="N130" s="34">
        <f>IF(AND(ISNUMBER(O130),ISNUMBER(M130)),O130-M130,"")</f>
        <v>0</v>
      </c>
      <c r="O130" s="33"/>
      <c r="P130" s="34">
        <f>IF(AND(ISNUMBER(Q130),ISNUMBER(O130)),Q130-O130,"")</f>
        <v>0</v>
      </c>
      <c r="Q130" s="33"/>
      <c r="R130" s="34">
        <f>IF(AND(ISNUMBER(S130),ISNUMBER(Q130)),S130-Q130,"")</f>
        <v>0</v>
      </c>
      <c r="S130" s="33"/>
      <c r="T130" s="34">
        <f>IF(AND(ISNUMBER(U130),ISNUMBER(S130)),U130-S130,"")</f>
        <v>0</v>
      </c>
      <c r="U130" s="33"/>
      <c r="V130" s="34">
        <f>IF(AND(ISNUMBER(W130),ISNUMBER(U130)),W130-U130,"")</f>
        <v>0</v>
      </c>
      <c r="W130" s="33"/>
      <c r="X130" s="34">
        <f>IF(AND(ISNUMBER(Y130),ISNUMBER(W130)),Y130-W130,"")</f>
        <v>0</v>
      </c>
      <c r="Y130" s="33"/>
      <c r="Z130" s="34">
        <f>IF(AND(ISNUMBER(AA130),ISNUMBER(Y130)),AA130-Y130,"")</f>
        <v>0</v>
      </c>
      <c r="AA130" s="33"/>
      <c r="AB130" s="34">
        <f>IF(AND(ISNUMBER(AC130),ISNUMBER(AA130)),AC130-AA130,"")</f>
        <v>0</v>
      </c>
      <c r="AC130" s="33"/>
      <c r="AD130" s="34">
        <f>IF(AND(ISNUMBER(AE130),ISNUMBER(AC130)),AE130-AC130,"")</f>
        <v>0</v>
      </c>
      <c r="AE130" s="33"/>
      <c r="AF130" s="34">
        <f>IF(AND(ISNUMBER(AG130),ISNUMBER(AE130)),AG130-AE130,"")</f>
        <v>0</v>
      </c>
      <c r="AG130" s="33"/>
      <c r="AH130" s="34">
        <f>IF(AND(ISNUMBER(AI130),ISNUMBER(AG130)),AI130-AG130,"")</f>
        <v>0</v>
      </c>
      <c r="AI130" s="33"/>
      <c r="AJ130" s="34">
        <f>IF(AND(ISNUMBER(AK130),ISNUMBER(AI130)),AK130-AI130,"")</f>
        <v>0</v>
      </c>
      <c r="AK130" s="33"/>
      <c r="AL130" s="34">
        <f>IF(AND(ISNUMBER(AM130),ISNUMBER(AK130)),AM130-AK130,"")</f>
        <v>0</v>
      </c>
      <c r="AM130" s="33"/>
      <c r="AN130" s="34">
        <f>IF(AND(ISNUMBER(AO130),ISNUMBER(AM130)),AO130-AM130,"")</f>
        <v>0</v>
      </c>
      <c r="AO130" s="33"/>
      <c r="AP130" s="34">
        <f>IF(AND(ISNUMBER(AQ130),ISNUMBER(AO130)),AQ130-AO130,"")</f>
        <v>0</v>
      </c>
      <c r="AQ130" s="33"/>
      <c r="AR130" s="34">
        <f>IF(AND(ISNUMBER(AS130),ISNUMBER(AQ130)),AS130-AQ130,"")</f>
        <v>0</v>
      </c>
      <c r="AS130" s="33"/>
      <c r="AT130" s="34">
        <f>IF(AND(ISNUMBER(AU130),ISNUMBER(AS130)),AU130-AS130,"")</f>
        <v>0</v>
      </c>
      <c r="AU130" s="33"/>
      <c r="AV130" s="34">
        <f>IF(AND(ISNUMBER(AW130),ISNUMBER(AU130)),AW130-AU130,"")</f>
        <v>0</v>
      </c>
      <c r="AW130" s="33"/>
      <c r="AX130" s="34">
        <f>IF(AND(ISNUMBER(AY130),ISNUMBER(AW130)),AY130-AW130,"")</f>
        <v>0</v>
      </c>
      <c r="AY130" s="33"/>
      <c r="AZ130" s="34">
        <f>IF(AND(ISNUMBER(BA130),ISNUMBER(AY130)),BA130-AY130,"")</f>
        <v>0</v>
      </c>
      <c r="BA130" s="33"/>
      <c r="BB130" s="34">
        <f>IF(AND(ISNUMBER(BC130),ISNUMBER(BA130)),BC130-BA130,"")</f>
        <v>0</v>
      </c>
      <c r="BC130" s="33"/>
      <c r="BD130" s="34">
        <f>IF(AND(ISNUMBER(BE130),ISNUMBER(BC130)),BE130-BC130,"")</f>
        <v>0</v>
      </c>
      <c r="BE130" s="33"/>
      <c r="BF130" s="34">
        <f>IF(AND(ISNUMBER(BG130),ISNUMBER(BE130)),BG130-BE130,"")</f>
        <v>0</v>
      </c>
      <c r="BG130" s="33"/>
      <c r="BH130" s="34">
        <f>IF(AND(ISNUMBER(BI130),ISNUMBER(BG130)),BI130-BG130,"")</f>
        <v>0</v>
      </c>
      <c r="BI130" s="33"/>
      <c r="BJ130" s="34">
        <f>IF(AND(ISNUMBER(BK130),ISNUMBER(BI130)),BK130-BI130,"")</f>
        <v>0</v>
      </c>
      <c r="BK130" s="33"/>
      <c r="BL130" s="34">
        <f>IF(AND(ISNUMBER(BM130),ISNUMBER(BK130)),BM130-BK130,"")</f>
        <v>0</v>
      </c>
      <c r="BM130" s="33"/>
      <c r="BN130" s="34">
        <f>IF(AND(ISNUMBER(BO130),ISNUMBER(BM130)),BO130-BM130,"")</f>
        <v>0</v>
      </c>
      <c r="BO130" s="33"/>
      <c r="BP130" s="34">
        <f>IF(AND(ISNUMBER(BQ130),ISNUMBER(BO130)),BQ130-BO130,"")</f>
        <v>0</v>
      </c>
      <c r="BQ130" s="33"/>
      <c r="BR130" s="34">
        <f>IF(AND(ISNUMBER(BS130),ISNUMBER(BQ130)),BS130-BQ130,"")</f>
        <v>0</v>
      </c>
      <c r="BS130" s="33"/>
      <c r="BT130" s="34">
        <f>IF(AND(ISNUMBER(BU130),ISNUMBER(BS130)),BU130-BS130,"")</f>
        <v>0</v>
      </c>
      <c r="BU130" s="33"/>
      <c r="BV130" s="34">
        <f>IF(AND(ISNUMBER(BW130),ISNUMBER(BU130)),BW130-BU130,"")</f>
        <v>0</v>
      </c>
      <c r="BW130" s="33"/>
      <c r="BX130" s="34">
        <f>IF(AND(ISNUMBER(BY130),ISNUMBER(BW130)),BY130-BW130,"")</f>
        <v>0</v>
      </c>
      <c r="BY130" s="33"/>
      <c r="BZ130" s="34">
        <f>IF(AND(ISNUMBER(CA130),ISNUMBER(BY130)),CA130-BY130,"")</f>
        <v>0</v>
      </c>
      <c r="CA130" s="33"/>
      <c r="CB130" s="34">
        <f>IF(AND(ISNUMBER(CC130),ISNUMBER(CA130)),CC130-CA130,"")</f>
        <v>0</v>
      </c>
      <c r="CC130" s="33"/>
      <c r="CD130" s="34">
        <f>IF(AND(ISNUMBER(CE130),ISNUMBER(CC130)),CE130-CC130,"")</f>
        <v>0</v>
      </c>
      <c r="CE130" s="33"/>
      <c r="CF130" s="34">
        <f>IF(AND(ISNUMBER(CG130),ISNUMBER(CE130)),CG130-CE130,"")</f>
        <v>0</v>
      </c>
      <c r="CG130" s="33"/>
      <c r="CH130" s="34">
        <f>IF(AND(ISNUMBER(CI130),ISNUMBER(CG130)),CI130-CG130,"")</f>
        <v>0</v>
      </c>
      <c r="CI130" s="33"/>
      <c r="CJ130" s="34">
        <f>IF(AND(ISNUMBER(CK130),ISNUMBER(CI130)),CK130-CI130,"")</f>
        <v>0</v>
      </c>
      <c r="CK130" s="33"/>
      <c r="CL130" s="34">
        <f>IF(AND(ISNUMBER(CM130),ISNUMBER(CK130)),CM130-CK130,"")</f>
        <v>0</v>
      </c>
      <c r="CM130" s="33"/>
      <c r="CN130" s="34">
        <f>IF(AND(ISNUMBER(CO130),ISNUMBER(CM130)),CO130-CM130,"")</f>
        <v>0</v>
      </c>
      <c r="CO130" s="33"/>
      <c r="CP130" s="34">
        <f>IF(AND(ISNUMBER(CQ130),ISNUMBER(CO130)),CQ130-CO130,"")</f>
        <v>0</v>
      </c>
      <c r="CQ130" s="33"/>
      <c r="CR130" s="34">
        <f>IF(AND(ISNUMBER(CS130),ISNUMBER(CQ130)),CS130-CQ130,"")</f>
        <v>0</v>
      </c>
      <c r="CS130" s="33"/>
      <c r="CT130" s="34">
        <f>IF(AND(ISNUMBER(CU130),ISNUMBER(CS130)),CU130-CS130,"")</f>
        <v>0</v>
      </c>
      <c r="CU130" s="33"/>
      <c r="CV130" s="34">
        <f>IF(AND(ISNUMBER(CW130),ISNUMBER(CU130)),CW130-CU130,"")</f>
        <v>0</v>
      </c>
      <c r="CW130" s="33"/>
      <c r="CX130" s="34">
        <f>IF(AND(ISNUMBER(CY130),ISNUMBER(CW130)),CY130-CW130,"")</f>
        <v>0</v>
      </c>
      <c r="CY130" s="33"/>
      <c r="CZ130" s="34">
        <f>IF(AND(ISNUMBER(DA130),ISNUMBER(CY130)),DA130-CY130,"")</f>
        <v>0</v>
      </c>
      <c r="DA130" s="33"/>
      <c r="DB130" s="34">
        <f>IF(AND(ISNUMBER(DC130),ISNUMBER(DA130)),DC130-DA130,"")</f>
        <v>0</v>
      </c>
      <c r="DC130" s="33"/>
      <c r="DD130" s="34">
        <f>IF(AND(ISNUMBER(DE130),ISNUMBER(DC130)),DE130-DC130,"")</f>
        <v>0</v>
      </c>
      <c r="DE130" s="33"/>
      <c r="DF130" s="34">
        <f>IF(AND(ISNUMBER(DG130),ISNUMBER(DE130)),DG130-DE130,"")</f>
        <v>0</v>
      </c>
      <c r="DG130" s="33"/>
      <c r="DH130" s="34">
        <f>IF(AND(ISNUMBER(DI130),ISNUMBER(DG130)),DI130-DG130,"")</f>
        <v>0</v>
      </c>
      <c r="DI130" s="33"/>
      <c r="DJ130" s="34">
        <f>IF(AND(ISNUMBER(DK130),ISNUMBER(DI130)),DK130-DI130,"")</f>
        <v>0</v>
      </c>
      <c r="DK130" s="33"/>
      <c r="DL130" s="34">
        <f>IF(AND(ISNUMBER(DM130),ISNUMBER(DK130)),DM130-DK130,"")</f>
        <v>0</v>
      </c>
      <c r="DM130" s="33"/>
      <c r="DN130" s="34">
        <f>IF(AND(ISNUMBER(DO130),ISNUMBER(DM130)),DO130-DM130,"")</f>
        <v>0</v>
      </c>
      <c r="DO130" s="33"/>
      <c r="DP130" s="34">
        <f>IF(AND(ISNUMBER(DQ130),ISNUMBER(DO130)),DQ130-DO130,"")</f>
        <v>0</v>
      </c>
      <c r="DQ130" s="33"/>
      <c r="DR130" s="34">
        <f>IF(AND(ISNUMBER(DS130),ISNUMBER(DQ130)),DS130-DQ130,"")</f>
        <v>0</v>
      </c>
      <c r="DS130" s="33"/>
      <c r="DT130" s="34">
        <f>IF(AND(ISNUMBER(DU130),ISNUMBER(DS130)),DU130-DS130,"")</f>
        <v>0</v>
      </c>
      <c r="DU130" s="33"/>
      <c r="DV130" s="34">
        <f>IF(AND(ISNUMBER(DW130),ISNUMBER(DU130)),DW130-DU130,"")</f>
        <v>0</v>
      </c>
      <c r="DW130" s="33"/>
      <c r="DX130" s="34">
        <f>IF(AND(ISNUMBER(DY130),ISNUMBER(DW130)),DY130-DW130,"")</f>
        <v>0</v>
      </c>
      <c r="DY130" s="33"/>
      <c r="DZ130" s="34">
        <f>IF(AND(ISNUMBER(EA130),ISNUMBER(DY130)),EA130-DY130,"")</f>
        <v>0</v>
      </c>
      <c r="EA130" s="33"/>
      <c r="EB130" s="34">
        <f>IF(AND(ISNUMBER(EC130),ISNUMBER(EA130)),EC130-EA130,"")</f>
        <v>0</v>
      </c>
      <c r="EC130" s="33"/>
      <c r="ED130" s="34">
        <f>IF(AND(ISNUMBER(EE130),ISNUMBER(EC130)),EE130-EC130,"")</f>
        <v>0</v>
      </c>
      <c r="EE130" s="33"/>
      <c r="EF130" s="34">
        <f>IF(AND(ISNUMBER(EG130),ISNUMBER(EE130)),EG130-EE130,"")</f>
        <v>0</v>
      </c>
      <c r="EG130" s="33"/>
      <c r="EH130" s="34">
        <f>IF(AND(ISNUMBER(EI130),ISNUMBER(EG130)),EI130-EG130,"")</f>
        <v>0</v>
      </c>
      <c r="EI130" s="33"/>
      <c r="EJ130" s="34">
        <f>IF(AND(ISNUMBER(EK130),ISNUMBER(EI130)),EK130-EI130,"")</f>
        <v>0</v>
      </c>
      <c r="EK130" s="33"/>
      <c r="EL130" s="34">
        <f>IF(AND(ISNUMBER(EM130),ISNUMBER(EK130)),EM130-EK130,"")</f>
        <v>0</v>
      </c>
      <c r="EM130" s="33"/>
      <c r="EN130" s="34">
        <f>IF(AND(ISNUMBER(EO130),ISNUMBER(EM130)),EO130-EM130,"")</f>
        <v>0</v>
      </c>
      <c r="EO130" s="33"/>
      <c r="EP130" s="34">
        <f>IF(AND(ISNUMBER(EQ130),ISNUMBER(EO130)),EQ130-EO130,"")</f>
        <v>0</v>
      </c>
      <c r="EQ130" s="33"/>
      <c r="ER130" s="34">
        <f>IF(AND(ISNUMBER(ES130),ISNUMBER(EQ130)),ES130-EQ130,"")</f>
        <v>0</v>
      </c>
      <c r="ES130" s="33"/>
      <c r="ET130" s="34">
        <f>IF(AND(ISNUMBER(EU130),ISNUMBER(ES130)),EU130-ES130,"")</f>
        <v>0</v>
      </c>
      <c r="EU130" s="33"/>
      <c r="EV130" s="34">
        <f>IF(AND(ISNUMBER(EW130),ISNUMBER(EU130)),EW130-EU130,"")</f>
        <v>0</v>
      </c>
      <c r="EW130" s="33"/>
      <c r="EX130" s="34">
        <f>IF(AND(ISNUMBER(EY130),ISNUMBER(EW130)),EY130-EW130,"")</f>
        <v>0</v>
      </c>
      <c r="EY130" s="33"/>
      <c r="EZ130" s="34">
        <f>IF(AND(ISNUMBER(FA130),ISNUMBER(EY130)),FA130-EY130,"")</f>
        <v>0</v>
      </c>
      <c r="FA130" s="33"/>
      <c r="FB130" s="34">
        <f>IF(AND(ISNUMBER(FC130),ISNUMBER(FA130)),FC130-FA130,"")</f>
        <v>0</v>
      </c>
      <c r="FC130" s="33"/>
      <c r="FD130" s="34">
        <f>IF(AND(ISNUMBER(FE130),ISNUMBER(FC130)),FE130-FC130,"")</f>
        <v>0</v>
      </c>
      <c r="FE130" s="33"/>
      <c r="FF130" s="34">
        <f>IF(AND(ISNUMBER(FG130),ISNUMBER(FE130)),FG130-FE130,"")</f>
        <v>0</v>
      </c>
      <c r="FG130" s="33"/>
      <c r="FH130" s="34">
        <f>IF(AND(ISNUMBER(FI130),ISNUMBER(FG130)),FI130-FG130,"")</f>
        <v>0</v>
      </c>
      <c r="FI130" s="33"/>
      <c r="FJ130" s="34">
        <f>IF(AND(ISNUMBER(FK130),ISNUMBER(FI130)),FK130-FI130,"")</f>
        <v>0</v>
      </c>
      <c r="FK130" s="33"/>
      <c r="FL130" s="34">
        <f>IF(AND(ISNUMBER(FM130),ISNUMBER(FK130)),FM130-FK130,"")</f>
        <v>0</v>
      </c>
      <c r="FM130" s="33"/>
      <c r="FN130" s="34">
        <f>IF(AND(ISNUMBER(FO130),ISNUMBER(FM130)),FO130-FM130,"")</f>
        <v>0</v>
      </c>
      <c r="FO130" s="33"/>
      <c r="FP130" s="34">
        <f>IF(AND(ISNUMBER(FQ130),ISNUMBER(FO130)),FQ130-FO130,"")</f>
        <v>0</v>
      </c>
      <c r="FQ130" s="33"/>
      <c r="FR130" s="34">
        <f>IF(AND(ISNUMBER(FS130),ISNUMBER(FQ130)),FS130-FQ130,"")</f>
        <v>0</v>
      </c>
      <c r="FS130" s="33"/>
      <c r="FT130" s="34">
        <f>IF(AND(ISNUMBER(FU130),ISNUMBER(FS130)),FU130-FS130,"")</f>
        <v>0</v>
      </c>
      <c r="FU130" s="33"/>
      <c r="FV130" s="34">
        <f>IF(AND(ISNUMBER(FW130),ISNUMBER(FU130)),FW130-FU130,"")</f>
        <v>0</v>
      </c>
      <c r="FW130" s="33"/>
      <c r="FX130" s="34">
        <f>IF(AND(ISNUMBER(FY130),ISNUMBER(FW130)),FY130-FW130,"")</f>
        <v>0</v>
      </c>
      <c r="FY130" s="33"/>
      <c r="FZ130" s="34">
        <f>IF(AND(ISNUMBER(GA130),ISNUMBER(FY130)),GA130-FY130,"")</f>
        <v>0</v>
      </c>
      <c r="GA130" s="33"/>
      <c r="GB130" s="34">
        <f>IF(AND(ISNUMBER(GC130),ISNUMBER(GA130)),GC130-GA130,"")</f>
        <v>0</v>
      </c>
      <c r="GC130" s="33"/>
      <c r="GD130" s="34">
        <f>IF(AND(ISNUMBER(GE130),ISNUMBER(GC130)),GE130-GC130,"")</f>
        <v>0</v>
      </c>
      <c r="GE130" s="33"/>
      <c r="GF130" s="34">
        <f>IF(AND(ISNUMBER(GG130),ISNUMBER(GE130)),GG130-GE130,"")</f>
        <v>0</v>
      </c>
      <c r="GG130" s="33"/>
      <c r="GH130" s="34">
        <f>IF(AND(ISNUMBER(GI130),ISNUMBER(GG130)),GI130-GG130,"")</f>
        <v>0</v>
      </c>
      <c r="GI130" s="33"/>
      <c r="GJ130" s="34">
        <f>IF(AND(ISNUMBER(GK130),ISNUMBER(GI130)),GK130-GI130,"")</f>
        <v>0</v>
      </c>
      <c r="GK130" s="33"/>
      <c r="GL130" s="34">
        <f>IF(AND(ISNUMBER(GM130),ISNUMBER(GK130)),GM130-GK130,"")</f>
        <v>0</v>
      </c>
      <c r="GM130" s="33"/>
      <c r="GN130" s="34">
        <f>IF(AND(ISNUMBER(GO130),ISNUMBER(GM130)),GO130-GM130,"")</f>
        <v>0</v>
      </c>
      <c r="GO130" s="33"/>
      <c r="GP130" s="34">
        <f>IF(AND(ISNUMBER(GQ130),ISNUMBER(GO130)),GQ130-GO130,"")</f>
        <v>0</v>
      </c>
      <c r="GQ130" s="33"/>
      <c r="GR130" s="34">
        <f>IF(AND(ISNUMBER(GS130),ISNUMBER(GQ130)),GS130-GQ130,"")</f>
        <v>0</v>
      </c>
      <c r="GS130" s="33"/>
      <c r="GT130" s="34">
        <f>IF(AND(ISNUMBER(GU130),ISNUMBER(GS130)),GU130-GS130,"")</f>
        <v>0</v>
      </c>
      <c r="GU130" s="33"/>
      <c r="GV130" s="34">
        <f>IF(AND(ISNUMBER(GW130),ISNUMBER(GU130)),GW130-GU130,"")</f>
        <v>0</v>
      </c>
      <c r="GW130" s="33"/>
      <c r="GX130" s="34">
        <f>IF(AND(ISNUMBER(GY130),ISNUMBER(GW130)),GY130-GW130,"")</f>
        <v>0</v>
      </c>
      <c r="GY130" s="33"/>
      <c r="GZ130" s="34">
        <f>IF(AND(ISNUMBER(HA130),ISNUMBER(GY130)),HA130-GY130,"")</f>
        <v>0</v>
      </c>
      <c r="HA130" s="33"/>
      <c r="HB130" s="34">
        <f>IF(AND(ISNUMBER(HC130),ISNUMBER(HA130)),HC130-HA130,"")</f>
        <v>0</v>
      </c>
      <c r="HC130" s="33"/>
      <c r="HD130" s="34">
        <f>IF(AND(ISNUMBER(HE130),ISNUMBER(HC130)),HE130-HC130,"")</f>
        <v>0</v>
      </c>
      <c r="HE130" s="33"/>
      <c r="HF130" s="34">
        <f>IF(AND(ISNUMBER(HG130),ISNUMBER(HE130)),HG130-HE130,"")</f>
        <v>0</v>
      </c>
      <c r="HG130" s="33"/>
      <c r="HH130" s="34">
        <f>IF(AND(ISNUMBER(HI130),ISNUMBER(HG130)),HI130-HG130,"")</f>
        <v>0</v>
      </c>
      <c r="HI130" s="33"/>
      <c r="HJ130" s="34">
        <f>IF(AND(ISNUMBER(HK130),ISNUMBER(HI130)),HK130-HI130,"")</f>
        <v>0</v>
      </c>
      <c r="HK130" s="33"/>
      <c r="HL130" s="34">
        <f>IF(AND(ISNUMBER(HM130),ISNUMBER(HK130)),HM130-HK130,"")</f>
        <v>0</v>
      </c>
      <c r="HM130" s="33"/>
      <c r="HN130" s="34">
        <f>IF(AND(ISNUMBER(HO130),ISNUMBER(HM130)),HO130-HM130,"")</f>
        <v>0</v>
      </c>
      <c r="HO130" s="33"/>
      <c r="HP130" s="34">
        <f>IF(AND(ISNUMBER(HQ130),ISNUMBER(HO130)),HQ130-HO130,"")</f>
        <v>0</v>
      </c>
      <c r="HQ130" s="33"/>
      <c r="HR130" s="34">
        <f>IF(AND(ISNUMBER(HS130),ISNUMBER(HQ130)),HS130-HQ130,"")</f>
        <v>0</v>
      </c>
      <c r="HS130" s="33"/>
      <c r="HT130" s="34">
        <f>IF(AND(ISNUMBER(HU130),ISNUMBER(HS130)),HU130-HS130,"")</f>
        <v>0</v>
      </c>
      <c r="HU130" s="33"/>
      <c r="HV130" s="34">
        <f>IF(AND(ISNUMBER(HW130),ISNUMBER(HU130)),HW130-HU130,"")</f>
        <v>0</v>
      </c>
      <c r="HW130" s="33"/>
      <c r="HX130" s="34">
        <f>IF(AND(ISNUMBER(HY130),ISNUMBER(HW130)),HY130-HW130,"")</f>
        <v>0</v>
      </c>
      <c r="HY130" s="33"/>
      <c r="HZ130" s="34">
        <f>IF(AND(ISNUMBER(IA130),ISNUMBER(HY130)),IA130-HY130,"")</f>
        <v>0</v>
      </c>
      <c r="IA130" s="33"/>
      <c r="IB130" s="34">
        <f>IF(AND(ISNUMBER(IC130),ISNUMBER(IA130)),IC130-IA130,"")</f>
        <v>0</v>
      </c>
      <c r="IC130" s="33">
        <v>0</v>
      </c>
      <c r="ID130" s="34">
        <f>IF(AND(ISNUMBER(IE130),ISNUMBER(IC130)),IE130-IC130,"")</f>
        <v>0</v>
      </c>
      <c r="IE130" s="33">
        <v>0</v>
      </c>
      <c r="IF130" s="34">
        <f>IF(AND(ISNUMBER(IG130),ISNUMBER(IE130)),IG130-IE130,"")</f>
        <v>0</v>
      </c>
      <c r="IG130" s="33">
        <v>0</v>
      </c>
      <c r="IH130" s="34">
        <f>IF(AND(ISNUMBER(II130),ISNUMBER(IG130)),II130-IG130,"")</f>
        <v>0</v>
      </c>
      <c r="II130" s="33">
        <v>0</v>
      </c>
      <c r="IJ130" s="34">
        <f>IF(AND(ISNUMBER(IK130),ISNUMBER(II130)),IK130-II130,"")</f>
        <v>0</v>
      </c>
      <c r="IK130" s="33">
        <v>0</v>
      </c>
      <c r="IL130" s="34">
        <f>IF(AND(ISNUMBER(IM130),ISNUMBER(IK130)),IM130-IK130,"")</f>
        <v>0</v>
      </c>
      <c r="IM130" s="33">
        <v>0</v>
      </c>
      <c r="IN130" s="34">
        <f>IF(AND(ISNUMBER(IO130),ISNUMBER(IM130)),IO130-IM130,"")</f>
        <v>0</v>
      </c>
      <c r="IO130" s="33">
        <v>0</v>
      </c>
      <c r="IP130" s="34">
        <f>IF(AND(ISNUMBER(IQ130),ISNUMBER(IO130)),IQ130-IO130,"")</f>
        <v>0</v>
      </c>
      <c r="IQ130" s="33">
        <v>0</v>
      </c>
      <c r="IR130" s="34">
        <f>IF(AND(ISNUMBER(IS130),ISNUMBER(IQ130)),IS130-IQ130,"")</f>
        <v>0</v>
      </c>
      <c r="IS130" s="33">
        <v>0</v>
      </c>
      <c r="IT130" s="34">
        <f>IF(AND(ISNUMBER(IU130),ISNUMBER(IS130)),IU130-IS130,"")</f>
        <v>0</v>
      </c>
      <c r="IU130" s="33">
        <v>0</v>
      </c>
      <c r="IV130" s="34">
        <f>IF(AND(ISNUMBER(IW130),ISNUMBER(IU130)),IW130-IU130,"")</f>
        <v>0</v>
      </c>
      <c r="IW130" s="33">
        <v>0</v>
      </c>
      <c r="IX130" s="34">
        <f>IF(AND(ISNUMBER(IY130),ISNUMBER(IW130)),IY130-IW130,"")</f>
        <v>0</v>
      </c>
      <c r="IY130" s="33">
        <v>0</v>
      </c>
      <c r="IZ130" s="34">
        <f>IF(AND(ISNUMBER(JA130),ISNUMBER(IY130)),JA130-IY130,"")</f>
        <v>0</v>
      </c>
      <c r="JA130" s="33">
        <v>0</v>
      </c>
      <c r="JB130" s="34">
        <f>IF(AND(ISNUMBER(JC130),ISNUMBER(JA130)),JC130-JA130,"")</f>
        <v>0</v>
      </c>
      <c r="JC130" s="33">
        <v>0</v>
      </c>
      <c r="JD130" s="34">
        <f>IF(AND(ISNUMBER(JE130),ISNUMBER(JC130)),JE130-JC130,"")</f>
        <v>0</v>
      </c>
      <c r="JE130" s="33">
        <v>0</v>
      </c>
      <c r="JF130" s="34">
        <f>IF(AND(ISNUMBER(JG130),ISNUMBER(JE130)),JG130-JE130,"")</f>
        <v>0</v>
      </c>
      <c r="JG130" s="33">
        <v>0</v>
      </c>
      <c r="JH130" s="34">
        <f>IF(AND(ISNUMBER(JI130),ISNUMBER(JG130)),JI130-JG130,"")</f>
        <v>0</v>
      </c>
      <c r="JI130" s="33">
        <v>0</v>
      </c>
      <c r="JJ130" s="34">
        <f>IF(AND(ISNUMBER(JK130),ISNUMBER(JI130)),JK130-JI130,"")</f>
        <v>0</v>
      </c>
      <c r="JK130" s="33">
        <v>0</v>
      </c>
      <c r="JL130" s="34">
        <f>IF(AND(ISNUMBER(JM130),ISNUMBER(JK130)),JM130-JK130,"")</f>
        <v>0</v>
      </c>
      <c r="JM130" s="33">
        <v>0</v>
      </c>
      <c r="JN130" s="34">
        <f>IF(AND(ISNUMBER(JO130),ISNUMBER(JM130)),JO130-JM130,"")</f>
        <v>0</v>
      </c>
      <c r="JO130" s="33">
        <v>0</v>
      </c>
      <c r="JP130" s="34">
        <f>IF(AND(ISNUMBER(JQ130),ISNUMBER(JO130)),JQ130-JO130,"")</f>
        <v>0</v>
      </c>
      <c r="JQ130" s="33">
        <v>0</v>
      </c>
      <c r="JR130" s="34">
        <f>IF(AND(ISNUMBER(JS130),ISNUMBER(JQ130)),JS130-JQ130,"")</f>
        <v>0</v>
      </c>
      <c r="JS130" s="33">
        <v>0</v>
      </c>
      <c r="JT130" s="34">
        <f>IF(AND(ISNUMBER(JU130),ISNUMBER(JS130)),JU130-JS130,"")</f>
        <v>0</v>
      </c>
      <c r="JU130" s="33">
        <v>1</v>
      </c>
      <c r="JV130" s="34">
        <f>IF(AND(ISNUMBER(JW130),ISNUMBER(JU130)),JW130-JU130,"")</f>
        <v>0</v>
      </c>
      <c r="JW130" s="33">
        <v>0</v>
      </c>
      <c r="JX130" s="34">
        <f>IF(AND(ISNUMBER(JY130),ISNUMBER(JW130)),JY130-JW130,"")</f>
        <v>0</v>
      </c>
      <c r="JY130" s="33">
        <v>0</v>
      </c>
      <c r="JZ130" s="34">
        <f>IF(AND(ISNUMBER(KA130),ISNUMBER(JY130)),KA130-JY130,"")</f>
        <v>0</v>
      </c>
      <c r="KA130" s="33"/>
      <c r="KB130" s="34">
        <f>IF(AND(ISNUMBER(KC130),ISNUMBER(KA130)),KC130-KA130,"")</f>
        <v>0</v>
      </c>
      <c r="KC130" s="33"/>
      <c r="KD130" s="34">
        <f>IF(AND(ISNUMBER(KE130),ISNUMBER(KC130)),KE130-KC130,"")</f>
        <v>0</v>
      </c>
      <c r="KE130" s="33"/>
      <c r="KF130" s="34">
        <f>IF(AND(ISNUMBER(KG130),ISNUMBER(KE130)),KG130-KE130,"")</f>
        <v>0</v>
      </c>
      <c r="KG130" s="33"/>
      <c r="KH130" s="34">
        <f>IF(AND(ISNUMBER(KI130),ISNUMBER(KG130)),KI130-KG130,"")</f>
        <v>0</v>
      </c>
      <c r="KI130" s="33"/>
      <c r="KJ130" s="34">
        <f>IF(AND(ISNUMBER(KK130),ISNUMBER(KI130)),KK130-KI130,"")</f>
        <v>0</v>
      </c>
      <c r="KK130" s="33"/>
      <c r="KL130" s="34">
        <f>IF(AND(ISNUMBER(KM130),ISNUMBER(KK130)),KM130-KK130,"")</f>
        <v>0</v>
      </c>
      <c r="KM130" s="33"/>
      <c r="KN130" s="34">
        <f>IF(AND(ISNUMBER(KO130),ISNUMBER(KM130)),KO130-KM130,"")</f>
        <v>0</v>
      </c>
      <c r="KO130" s="33"/>
      <c r="KP130" s="34">
        <f>IF(AND(ISNUMBER(KQ130),ISNUMBER(KO130)),KQ130-KO130,"")</f>
        <v>0</v>
      </c>
      <c r="KQ130" s="33"/>
      <c r="KR130" s="34">
        <f>IF(AND(ISNUMBER(KS130),ISNUMBER(KQ130)),KS130-KQ130,"")</f>
        <v>0</v>
      </c>
      <c r="KS130" s="33"/>
      <c r="KT130" s="34">
        <f>IF(AND(ISNUMBER(KU130),ISNUMBER(KS130)),KU130-KS130,"")</f>
        <v>0</v>
      </c>
      <c r="KU130" s="33"/>
      <c r="KV130" s="34">
        <f>IF(AND(ISNUMBER(KW130),ISNUMBER(KU130)),KW130-KU130,"")</f>
        <v>0</v>
      </c>
      <c r="KW130" s="33"/>
      <c r="KX130" s="34">
        <f>IF(AND(ISNUMBER(KY130),ISNUMBER(KW130)),KY130-KW130,"")</f>
        <v>0</v>
      </c>
      <c r="KY130" s="33"/>
      <c r="KZ130" s="34">
        <f>IF(AND(ISNUMBER(LA130),ISNUMBER(KY130)),LA130-KY130,"")</f>
        <v>0</v>
      </c>
      <c r="LA130" s="33"/>
      <c r="LB130" s="34">
        <f>IF(AND(ISNUMBER(LC130),ISNUMBER(LA130)),LC130-LA130,"")</f>
        <v>0</v>
      </c>
      <c r="LC130" s="33"/>
      <c r="LD130" s="34">
        <f>IF(AND(ISNUMBER(LE130),ISNUMBER(LC130)),LE130-LC130,"")</f>
        <v>0</v>
      </c>
      <c r="LE130" s="33"/>
      <c r="LF130" s="34">
        <f>IF(AND(ISNUMBER(LG130),ISNUMBER(LE130)),LG130-LE130,"")</f>
        <v>0</v>
      </c>
      <c r="LG130" s="33"/>
    </row>
    <row r="131" spans="1:322">
      <c r="A131" s="36" t="s">
        <v>124</v>
      </c>
      <c r="B131" s="23"/>
      <c r="C131" s="31" t="s">
        <v>909</v>
      </c>
      <c r="E131" s="32" t="s">
        <v>1139</v>
      </c>
      <c r="I131" s="33"/>
      <c r="J131" s="34">
        <f>IF(AND(ISNUMBER(K131),ISNUMBER(I131)),K131-I131,"")</f>
        <v>0</v>
      </c>
      <c r="K131" s="33"/>
      <c r="L131" s="34">
        <f>IF(AND(ISNUMBER(M131),ISNUMBER(K131)),M131-K131,"")</f>
        <v>0</v>
      </c>
      <c r="M131" s="33"/>
      <c r="N131" s="34">
        <f>IF(AND(ISNUMBER(O131),ISNUMBER(M131)),O131-M131,"")</f>
        <v>0</v>
      </c>
      <c r="O131" s="33"/>
      <c r="P131" s="34">
        <f>IF(AND(ISNUMBER(Q131),ISNUMBER(O131)),Q131-O131,"")</f>
        <v>0</v>
      </c>
      <c r="Q131" s="33"/>
      <c r="R131" s="34">
        <f>IF(AND(ISNUMBER(S131),ISNUMBER(Q131)),S131-Q131,"")</f>
        <v>0</v>
      </c>
      <c r="S131" s="33"/>
      <c r="T131" s="34">
        <f>IF(AND(ISNUMBER(U131),ISNUMBER(S131)),U131-S131,"")</f>
        <v>0</v>
      </c>
      <c r="U131" s="33"/>
      <c r="V131" s="34">
        <f>IF(AND(ISNUMBER(W131),ISNUMBER(U131)),W131-U131,"")</f>
        <v>0</v>
      </c>
      <c r="W131" s="33"/>
      <c r="X131" s="34">
        <f>IF(AND(ISNUMBER(Y131),ISNUMBER(W131)),Y131-W131,"")</f>
        <v>0</v>
      </c>
      <c r="Y131" s="33"/>
      <c r="Z131" s="34">
        <f>IF(AND(ISNUMBER(AA131),ISNUMBER(Y131)),AA131-Y131,"")</f>
        <v>0</v>
      </c>
      <c r="AA131" s="33"/>
      <c r="AB131" s="34">
        <f>IF(AND(ISNUMBER(AC131),ISNUMBER(AA131)),AC131-AA131,"")</f>
        <v>0</v>
      </c>
      <c r="AC131" s="33"/>
      <c r="AD131" s="34">
        <f>IF(AND(ISNUMBER(AE131),ISNUMBER(AC131)),AE131-AC131,"")</f>
        <v>0</v>
      </c>
      <c r="AE131" s="33"/>
      <c r="AF131" s="34">
        <f>IF(AND(ISNUMBER(AG131),ISNUMBER(AE131)),AG131-AE131,"")</f>
        <v>0</v>
      </c>
      <c r="AG131" s="33"/>
      <c r="AH131" s="34">
        <f>IF(AND(ISNUMBER(AI131),ISNUMBER(AG131)),AI131-AG131,"")</f>
        <v>0</v>
      </c>
      <c r="AI131" s="33"/>
      <c r="AJ131" s="34">
        <f>IF(AND(ISNUMBER(AK131),ISNUMBER(AI131)),AK131-AI131,"")</f>
        <v>0</v>
      </c>
      <c r="AK131" s="33"/>
      <c r="AL131" s="34">
        <f>IF(AND(ISNUMBER(AM131),ISNUMBER(AK131)),AM131-AK131,"")</f>
        <v>0</v>
      </c>
      <c r="AM131" s="33"/>
      <c r="AN131" s="34">
        <f>IF(AND(ISNUMBER(AO131),ISNUMBER(AM131)),AO131-AM131,"")</f>
        <v>0</v>
      </c>
      <c r="AO131" s="33"/>
      <c r="AP131" s="34">
        <f>IF(AND(ISNUMBER(AQ131),ISNUMBER(AO131)),AQ131-AO131,"")</f>
        <v>0</v>
      </c>
      <c r="AQ131" s="33"/>
      <c r="AR131" s="34">
        <f>IF(AND(ISNUMBER(AS131),ISNUMBER(AQ131)),AS131-AQ131,"")</f>
        <v>0</v>
      </c>
      <c r="AS131" s="33"/>
      <c r="AT131" s="34">
        <f>IF(AND(ISNUMBER(AU131),ISNUMBER(AS131)),AU131-AS131,"")</f>
        <v>0</v>
      </c>
      <c r="AU131" s="33"/>
      <c r="AV131" s="34">
        <f>IF(AND(ISNUMBER(AW131),ISNUMBER(AU131)),AW131-AU131,"")</f>
        <v>0</v>
      </c>
      <c r="AW131" s="33"/>
      <c r="AX131" s="34">
        <f>IF(AND(ISNUMBER(AY131),ISNUMBER(AW131)),AY131-AW131,"")</f>
        <v>0</v>
      </c>
      <c r="AY131" s="33"/>
      <c r="AZ131" s="34">
        <f>IF(AND(ISNUMBER(BA131),ISNUMBER(AY131)),BA131-AY131,"")</f>
        <v>0</v>
      </c>
      <c r="BA131" s="33"/>
      <c r="BB131" s="34">
        <f>IF(AND(ISNUMBER(BC131),ISNUMBER(BA131)),BC131-BA131,"")</f>
        <v>0</v>
      </c>
      <c r="BC131" s="33"/>
      <c r="BD131" s="34">
        <f>IF(AND(ISNUMBER(BE131),ISNUMBER(BC131)),BE131-BC131,"")</f>
        <v>0</v>
      </c>
      <c r="BE131" s="33"/>
      <c r="BF131" s="34">
        <f>IF(AND(ISNUMBER(BG131),ISNUMBER(BE131)),BG131-BE131,"")</f>
        <v>0</v>
      </c>
      <c r="BG131" s="33"/>
      <c r="BH131" s="34">
        <f>IF(AND(ISNUMBER(BI131),ISNUMBER(BG131)),BI131-BG131,"")</f>
        <v>0</v>
      </c>
      <c r="BI131" s="33"/>
      <c r="BJ131" s="34">
        <f>IF(AND(ISNUMBER(BK131),ISNUMBER(BI131)),BK131-BI131,"")</f>
        <v>0</v>
      </c>
      <c r="BK131" s="33"/>
      <c r="BL131" s="34">
        <f>IF(AND(ISNUMBER(BM131),ISNUMBER(BK131)),BM131-BK131,"")</f>
        <v>0</v>
      </c>
      <c r="BM131" s="33"/>
      <c r="BN131" s="34">
        <f>IF(AND(ISNUMBER(BO131),ISNUMBER(BM131)),BO131-BM131,"")</f>
        <v>0</v>
      </c>
      <c r="BO131" s="33"/>
      <c r="BP131" s="34">
        <f>IF(AND(ISNUMBER(BQ131),ISNUMBER(BO131)),BQ131-BO131,"")</f>
        <v>0</v>
      </c>
      <c r="BQ131" s="33"/>
      <c r="BR131" s="34">
        <f>IF(AND(ISNUMBER(BS131),ISNUMBER(BQ131)),BS131-BQ131,"")</f>
        <v>0</v>
      </c>
      <c r="BS131" s="33"/>
      <c r="BT131" s="34">
        <f>IF(AND(ISNUMBER(BU131),ISNUMBER(BS131)),BU131-BS131,"")</f>
        <v>0</v>
      </c>
      <c r="BU131" s="33"/>
      <c r="BV131" s="34">
        <f>IF(AND(ISNUMBER(BW131),ISNUMBER(BU131)),BW131-BU131,"")</f>
        <v>0</v>
      </c>
      <c r="BW131" s="33"/>
      <c r="BX131" s="34">
        <f>IF(AND(ISNUMBER(BY131),ISNUMBER(BW131)),BY131-BW131,"")</f>
        <v>0</v>
      </c>
      <c r="BY131" s="33"/>
      <c r="BZ131" s="34">
        <f>IF(AND(ISNUMBER(CA131),ISNUMBER(BY131)),CA131-BY131,"")</f>
        <v>0</v>
      </c>
      <c r="CA131" s="33"/>
      <c r="CB131" s="34">
        <f>IF(AND(ISNUMBER(CC131),ISNUMBER(CA131)),CC131-CA131,"")</f>
        <v>0</v>
      </c>
      <c r="CC131" s="33"/>
      <c r="CD131" s="34">
        <f>IF(AND(ISNUMBER(CE131),ISNUMBER(CC131)),CE131-CC131,"")</f>
        <v>0</v>
      </c>
      <c r="CE131" s="33"/>
      <c r="CF131" s="34">
        <f>IF(AND(ISNUMBER(CG131),ISNUMBER(CE131)),CG131-CE131,"")</f>
        <v>0</v>
      </c>
      <c r="CG131" s="33"/>
      <c r="CH131" s="34">
        <f>IF(AND(ISNUMBER(CI131),ISNUMBER(CG131)),CI131-CG131,"")</f>
        <v>0</v>
      </c>
      <c r="CI131" s="33"/>
      <c r="CJ131" s="34">
        <f>IF(AND(ISNUMBER(CK131),ISNUMBER(CI131)),CK131-CI131,"")</f>
        <v>0</v>
      </c>
      <c r="CK131" s="33"/>
      <c r="CL131" s="34">
        <f>IF(AND(ISNUMBER(CM131),ISNUMBER(CK131)),CM131-CK131,"")</f>
        <v>0</v>
      </c>
      <c r="CM131" s="33"/>
      <c r="CN131" s="34">
        <f>IF(AND(ISNUMBER(CO131),ISNUMBER(CM131)),CO131-CM131,"")</f>
        <v>0</v>
      </c>
      <c r="CO131" s="33"/>
      <c r="CP131" s="34">
        <f>IF(AND(ISNUMBER(CQ131),ISNUMBER(CO131)),CQ131-CO131,"")</f>
        <v>0</v>
      </c>
      <c r="CQ131" s="33"/>
      <c r="CR131" s="34">
        <f>IF(AND(ISNUMBER(CS131),ISNUMBER(CQ131)),CS131-CQ131,"")</f>
        <v>0</v>
      </c>
      <c r="CS131" s="33"/>
      <c r="CT131" s="34">
        <f>IF(AND(ISNUMBER(CU131),ISNUMBER(CS131)),CU131-CS131,"")</f>
        <v>0</v>
      </c>
      <c r="CU131" s="33"/>
      <c r="CV131" s="34">
        <f>IF(AND(ISNUMBER(CW131),ISNUMBER(CU131)),CW131-CU131,"")</f>
        <v>0</v>
      </c>
      <c r="CW131" s="33"/>
      <c r="CX131" s="34">
        <f>IF(AND(ISNUMBER(CY131),ISNUMBER(CW131)),CY131-CW131,"")</f>
        <v>0</v>
      </c>
      <c r="CY131" s="33"/>
      <c r="CZ131" s="34">
        <f>IF(AND(ISNUMBER(DA131),ISNUMBER(CY131)),DA131-CY131,"")</f>
        <v>0</v>
      </c>
      <c r="DA131" s="33"/>
      <c r="DB131" s="34">
        <f>IF(AND(ISNUMBER(DC131),ISNUMBER(DA131)),DC131-DA131,"")</f>
        <v>0</v>
      </c>
      <c r="DC131" s="33"/>
      <c r="DD131" s="34">
        <f>IF(AND(ISNUMBER(DE131),ISNUMBER(DC131)),DE131-DC131,"")</f>
        <v>0</v>
      </c>
      <c r="DE131" s="33"/>
      <c r="DF131" s="34">
        <f>IF(AND(ISNUMBER(DG131),ISNUMBER(DE131)),DG131-DE131,"")</f>
        <v>0</v>
      </c>
      <c r="DG131" s="33"/>
      <c r="DH131" s="34">
        <f>IF(AND(ISNUMBER(DI131),ISNUMBER(DG131)),DI131-DG131,"")</f>
        <v>0</v>
      </c>
      <c r="DI131" s="33"/>
      <c r="DJ131" s="34">
        <f>IF(AND(ISNUMBER(DK131),ISNUMBER(DI131)),DK131-DI131,"")</f>
        <v>0</v>
      </c>
      <c r="DK131" s="33"/>
      <c r="DL131" s="34">
        <f>IF(AND(ISNUMBER(DM131),ISNUMBER(DK131)),DM131-DK131,"")</f>
        <v>0</v>
      </c>
      <c r="DM131" s="33"/>
      <c r="DN131" s="34">
        <f>IF(AND(ISNUMBER(DO131),ISNUMBER(DM131)),DO131-DM131,"")</f>
        <v>0</v>
      </c>
      <c r="DO131" s="33"/>
      <c r="DP131" s="34">
        <f>IF(AND(ISNUMBER(DQ131),ISNUMBER(DO131)),DQ131-DO131,"")</f>
        <v>0</v>
      </c>
      <c r="DQ131" s="33"/>
      <c r="DR131" s="34">
        <f>IF(AND(ISNUMBER(DS131),ISNUMBER(DQ131)),DS131-DQ131,"")</f>
        <v>0</v>
      </c>
      <c r="DS131" s="33"/>
      <c r="DT131" s="34">
        <f>IF(AND(ISNUMBER(DU131),ISNUMBER(DS131)),DU131-DS131,"")</f>
        <v>0</v>
      </c>
      <c r="DU131" s="33"/>
      <c r="DV131" s="34">
        <f>IF(AND(ISNUMBER(DW131),ISNUMBER(DU131)),DW131-DU131,"")</f>
        <v>0</v>
      </c>
      <c r="DW131" s="33"/>
      <c r="DX131" s="34">
        <f>IF(AND(ISNUMBER(DY131),ISNUMBER(DW131)),DY131-DW131,"")</f>
        <v>0</v>
      </c>
      <c r="DY131" s="33"/>
      <c r="DZ131" s="34">
        <f>IF(AND(ISNUMBER(EA131),ISNUMBER(DY131)),EA131-DY131,"")</f>
        <v>0</v>
      </c>
      <c r="EA131" s="33"/>
      <c r="EB131" s="34">
        <f>IF(AND(ISNUMBER(EC131),ISNUMBER(EA131)),EC131-EA131,"")</f>
        <v>0</v>
      </c>
      <c r="EC131" s="33"/>
      <c r="ED131" s="34">
        <f>IF(AND(ISNUMBER(EE131),ISNUMBER(EC131)),EE131-EC131,"")</f>
        <v>0</v>
      </c>
      <c r="EE131" s="33"/>
      <c r="EF131" s="34">
        <f>IF(AND(ISNUMBER(EG131),ISNUMBER(EE131)),EG131-EE131,"")</f>
        <v>0</v>
      </c>
      <c r="EG131" s="33"/>
      <c r="EH131" s="34">
        <f>IF(AND(ISNUMBER(EI131),ISNUMBER(EG131)),EI131-EG131,"")</f>
        <v>0</v>
      </c>
      <c r="EI131" s="33"/>
      <c r="EJ131" s="34">
        <f>IF(AND(ISNUMBER(EK131),ISNUMBER(EI131)),EK131-EI131,"")</f>
        <v>0</v>
      </c>
      <c r="EK131" s="33"/>
      <c r="EL131" s="34">
        <f>IF(AND(ISNUMBER(EM131),ISNUMBER(EK131)),EM131-EK131,"")</f>
        <v>0</v>
      </c>
      <c r="EM131" s="33"/>
      <c r="EN131" s="34">
        <f>IF(AND(ISNUMBER(EO131),ISNUMBER(EM131)),EO131-EM131,"")</f>
        <v>0</v>
      </c>
      <c r="EO131" s="33"/>
      <c r="EP131" s="34">
        <f>IF(AND(ISNUMBER(EQ131),ISNUMBER(EO131)),EQ131-EO131,"")</f>
        <v>0</v>
      </c>
      <c r="EQ131" s="33"/>
      <c r="ER131" s="34">
        <f>IF(AND(ISNUMBER(ES131),ISNUMBER(EQ131)),ES131-EQ131,"")</f>
        <v>0</v>
      </c>
      <c r="ES131" s="33"/>
      <c r="ET131" s="34">
        <f>IF(AND(ISNUMBER(EU131),ISNUMBER(ES131)),EU131-ES131,"")</f>
        <v>0</v>
      </c>
      <c r="EU131" s="33"/>
      <c r="EV131" s="34">
        <f>IF(AND(ISNUMBER(EW131),ISNUMBER(EU131)),EW131-EU131,"")</f>
        <v>0</v>
      </c>
      <c r="EW131" s="33"/>
      <c r="EX131" s="34">
        <f>IF(AND(ISNUMBER(EY131),ISNUMBER(EW131)),EY131-EW131,"")</f>
        <v>0</v>
      </c>
      <c r="EY131" s="33"/>
      <c r="EZ131" s="34">
        <f>IF(AND(ISNUMBER(FA131),ISNUMBER(EY131)),FA131-EY131,"")</f>
        <v>0</v>
      </c>
      <c r="FA131" s="33"/>
      <c r="FB131" s="34">
        <f>IF(AND(ISNUMBER(FC131),ISNUMBER(FA131)),FC131-FA131,"")</f>
        <v>0</v>
      </c>
      <c r="FC131" s="33"/>
      <c r="FD131" s="34">
        <f>IF(AND(ISNUMBER(FE131),ISNUMBER(FC131)),FE131-FC131,"")</f>
        <v>0</v>
      </c>
      <c r="FE131" s="33"/>
      <c r="FF131" s="34">
        <f>IF(AND(ISNUMBER(FG131),ISNUMBER(FE131)),FG131-FE131,"")</f>
        <v>0</v>
      </c>
      <c r="FG131" s="33"/>
      <c r="FH131" s="34">
        <f>IF(AND(ISNUMBER(FI131),ISNUMBER(FG131)),FI131-FG131,"")</f>
        <v>0</v>
      </c>
      <c r="FI131" s="33"/>
      <c r="FJ131" s="34">
        <f>IF(AND(ISNUMBER(FK131),ISNUMBER(FI131)),FK131-FI131,"")</f>
        <v>0</v>
      </c>
      <c r="FK131" s="33"/>
      <c r="FL131" s="34">
        <f>IF(AND(ISNUMBER(FM131),ISNUMBER(FK131)),FM131-FK131,"")</f>
        <v>0</v>
      </c>
      <c r="FM131" s="33"/>
      <c r="FN131" s="34">
        <f>IF(AND(ISNUMBER(FO131),ISNUMBER(FM131)),FO131-FM131,"")</f>
        <v>0</v>
      </c>
      <c r="FO131" s="33"/>
      <c r="FP131" s="34">
        <f>IF(AND(ISNUMBER(FQ131),ISNUMBER(FO131)),FQ131-FO131,"")</f>
        <v>0</v>
      </c>
      <c r="FQ131" s="33"/>
      <c r="FR131" s="34">
        <f>IF(AND(ISNUMBER(FS131),ISNUMBER(FQ131)),FS131-FQ131,"")</f>
        <v>0</v>
      </c>
      <c r="FS131" s="33"/>
      <c r="FT131" s="34">
        <f>IF(AND(ISNUMBER(FU131),ISNUMBER(FS131)),FU131-FS131,"")</f>
        <v>0</v>
      </c>
      <c r="FU131" s="33"/>
      <c r="FV131" s="34">
        <f>IF(AND(ISNUMBER(FW131),ISNUMBER(FU131)),FW131-FU131,"")</f>
        <v>0</v>
      </c>
      <c r="FW131" s="33"/>
      <c r="FX131" s="34">
        <f>IF(AND(ISNUMBER(FY131),ISNUMBER(FW131)),FY131-FW131,"")</f>
        <v>0</v>
      </c>
      <c r="FY131" s="33"/>
      <c r="FZ131" s="34">
        <f>IF(AND(ISNUMBER(GA131),ISNUMBER(FY131)),GA131-FY131,"")</f>
        <v>0</v>
      </c>
      <c r="GA131" s="33"/>
      <c r="GB131" s="34">
        <f>IF(AND(ISNUMBER(GC131),ISNUMBER(GA131)),GC131-GA131,"")</f>
        <v>0</v>
      </c>
      <c r="GC131" s="33"/>
      <c r="GD131" s="34">
        <f>IF(AND(ISNUMBER(GE131),ISNUMBER(GC131)),GE131-GC131,"")</f>
        <v>0</v>
      </c>
      <c r="GE131" s="33"/>
      <c r="GF131" s="34">
        <f>IF(AND(ISNUMBER(GG131),ISNUMBER(GE131)),GG131-GE131,"")</f>
        <v>0</v>
      </c>
      <c r="GG131" s="33"/>
      <c r="GH131" s="34">
        <f>IF(AND(ISNUMBER(GI131),ISNUMBER(GG131)),GI131-GG131,"")</f>
        <v>0</v>
      </c>
      <c r="GI131" s="33"/>
      <c r="GJ131" s="34">
        <f>IF(AND(ISNUMBER(GK131),ISNUMBER(GI131)),GK131-GI131,"")</f>
        <v>0</v>
      </c>
      <c r="GK131" s="33"/>
      <c r="GL131" s="34">
        <f>IF(AND(ISNUMBER(GM131),ISNUMBER(GK131)),GM131-GK131,"")</f>
        <v>0</v>
      </c>
      <c r="GM131" s="33"/>
      <c r="GN131" s="34">
        <f>IF(AND(ISNUMBER(GO131),ISNUMBER(GM131)),GO131-GM131,"")</f>
        <v>0</v>
      </c>
      <c r="GO131" s="33"/>
      <c r="GP131" s="34">
        <f>IF(AND(ISNUMBER(GQ131),ISNUMBER(GO131)),GQ131-GO131,"")</f>
        <v>0</v>
      </c>
      <c r="GQ131" s="33"/>
      <c r="GR131" s="34">
        <f>IF(AND(ISNUMBER(GS131),ISNUMBER(GQ131)),GS131-GQ131,"")</f>
        <v>0</v>
      </c>
      <c r="GS131" s="33"/>
      <c r="GT131" s="34">
        <f>IF(AND(ISNUMBER(GU131),ISNUMBER(GS131)),GU131-GS131,"")</f>
        <v>0</v>
      </c>
      <c r="GU131" s="33"/>
      <c r="GV131" s="34">
        <f>IF(AND(ISNUMBER(GW131),ISNUMBER(GU131)),GW131-GU131,"")</f>
        <v>0</v>
      </c>
      <c r="GW131" s="33"/>
      <c r="GX131" s="34">
        <f>IF(AND(ISNUMBER(GY131),ISNUMBER(GW131)),GY131-GW131,"")</f>
        <v>0</v>
      </c>
      <c r="GY131" s="33"/>
      <c r="GZ131" s="34">
        <f>IF(AND(ISNUMBER(HA131),ISNUMBER(GY131)),HA131-GY131,"")</f>
        <v>0</v>
      </c>
      <c r="HA131" s="33"/>
      <c r="HB131" s="34">
        <f>IF(AND(ISNUMBER(HC131),ISNUMBER(HA131)),HC131-HA131,"")</f>
        <v>0</v>
      </c>
      <c r="HC131" s="33"/>
      <c r="HD131" s="34">
        <f>IF(AND(ISNUMBER(HE131),ISNUMBER(HC131)),HE131-HC131,"")</f>
        <v>0</v>
      </c>
      <c r="HE131" s="33"/>
      <c r="HF131" s="34">
        <f>IF(AND(ISNUMBER(HG131),ISNUMBER(HE131)),HG131-HE131,"")</f>
        <v>0</v>
      </c>
      <c r="HG131" s="33"/>
      <c r="HH131" s="34">
        <f>IF(AND(ISNUMBER(HI131),ISNUMBER(HG131)),HI131-HG131,"")</f>
        <v>0</v>
      </c>
      <c r="HI131" s="33"/>
      <c r="HJ131" s="34">
        <f>IF(AND(ISNUMBER(HK131),ISNUMBER(HI131)),HK131-HI131,"")</f>
        <v>0</v>
      </c>
      <c r="HK131" s="33"/>
      <c r="HL131" s="34">
        <f>IF(AND(ISNUMBER(HM131),ISNUMBER(HK131)),HM131-HK131,"")</f>
        <v>0</v>
      </c>
      <c r="HM131" s="33"/>
      <c r="HN131" s="34">
        <f>IF(AND(ISNUMBER(HO131),ISNUMBER(HM131)),HO131-HM131,"")</f>
        <v>0</v>
      </c>
      <c r="HO131" s="33"/>
      <c r="HP131" s="34">
        <f>IF(AND(ISNUMBER(HQ131),ISNUMBER(HO131)),HQ131-HO131,"")</f>
        <v>0</v>
      </c>
      <c r="HQ131" s="33"/>
      <c r="HR131" s="34">
        <f>IF(AND(ISNUMBER(HS131),ISNUMBER(HQ131)),HS131-HQ131,"")</f>
        <v>0</v>
      </c>
      <c r="HS131" s="33"/>
      <c r="HT131" s="34">
        <f>IF(AND(ISNUMBER(HU131),ISNUMBER(HS131)),HU131-HS131,"")</f>
        <v>0</v>
      </c>
      <c r="HU131" s="33"/>
      <c r="HV131" s="34">
        <f>IF(AND(ISNUMBER(HW131),ISNUMBER(HU131)),HW131-HU131,"")</f>
        <v>0</v>
      </c>
      <c r="HW131" s="33"/>
      <c r="HX131" s="34">
        <f>IF(AND(ISNUMBER(HY131),ISNUMBER(HW131)),HY131-HW131,"")</f>
        <v>0</v>
      </c>
      <c r="HY131" s="33"/>
      <c r="HZ131" s="34">
        <f>IF(AND(ISNUMBER(IA131),ISNUMBER(HY131)),IA131-HY131,"")</f>
        <v>0</v>
      </c>
      <c r="IA131" s="33"/>
      <c r="IB131" s="34">
        <f>IF(AND(ISNUMBER(IC131),ISNUMBER(IA131)),IC131-IA131,"")</f>
        <v>0</v>
      </c>
      <c r="IC131" s="33">
        <v>55</v>
      </c>
      <c r="ID131" s="34">
        <f>IF(AND(ISNUMBER(IE131),ISNUMBER(IC131)),IE131-IC131,"")</f>
        <v>0</v>
      </c>
      <c r="IE131" s="33">
        <v>57</v>
      </c>
      <c r="IF131" s="34">
        <f>IF(AND(ISNUMBER(IG131),ISNUMBER(IE131)),IG131-IE131,"")</f>
        <v>0</v>
      </c>
      <c r="IG131" s="33">
        <v>54</v>
      </c>
      <c r="IH131" s="34">
        <f>IF(AND(ISNUMBER(II131),ISNUMBER(IG131)),II131-IG131,"")</f>
        <v>0</v>
      </c>
      <c r="II131" s="33">
        <v>56</v>
      </c>
      <c r="IJ131" s="34">
        <f>IF(AND(ISNUMBER(IK131),ISNUMBER(II131)),IK131-II131,"")</f>
        <v>0</v>
      </c>
      <c r="IK131" s="33">
        <v>57</v>
      </c>
      <c r="IL131" s="34">
        <f>IF(AND(ISNUMBER(IM131),ISNUMBER(IK131)),IM131-IK131,"")</f>
        <v>0</v>
      </c>
      <c r="IM131" s="33">
        <v>56</v>
      </c>
      <c r="IN131" s="34">
        <f>IF(AND(ISNUMBER(IO131),ISNUMBER(IM131)),IO131-IM131,"")</f>
        <v>0</v>
      </c>
      <c r="IO131" s="33">
        <v>52</v>
      </c>
      <c r="IP131" s="34">
        <f>IF(AND(ISNUMBER(IQ131),ISNUMBER(IO131)),IQ131-IO131,"")</f>
        <v>0</v>
      </c>
      <c r="IQ131" s="33">
        <v>51</v>
      </c>
      <c r="IR131" s="34">
        <f>IF(AND(ISNUMBER(IS131),ISNUMBER(IQ131)),IS131-IQ131,"")</f>
        <v>0</v>
      </c>
      <c r="IS131" s="33">
        <v>53</v>
      </c>
      <c r="IT131" s="34">
        <f>IF(AND(ISNUMBER(IU131),ISNUMBER(IS131)),IU131-IS131,"")</f>
        <v>0</v>
      </c>
      <c r="IU131" s="33">
        <v>55</v>
      </c>
      <c r="IV131" s="34">
        <f>IF(AND(ISNUMBER(IW131),ISNUMBER(IU131)),IW131-IU131,"")</f>
        <v>0</v>
      </c>
      <c r="IW131" s="33">
        <v>55</v>
      </c>
      <c r="IX131" s="34">
        <f>IF(AND(ISNUMBER(IY131),ISNUMBER(IW131)),IY131-IW131,"")</f>
        <v>0</v>
      </c>
      <c r="IY131" s="33">
        <v>57</v>
      </c>
      <c r="IZ131" s="34">
        <f>IF(AND(ISNUMBER(JA131),ISNUMBER(IY131)),JA131-IY131,"")</f>
        <v>0</v>
      </c>
      <c r="JA131" s="33">
        <v>54</v>
      </c>
      <c r="JB131" s="34">
        <f>IF(AND(ISNUMBER(JC131),ISNUMBER(JA131)),JC131-JA131,"")</f>
        <v>0</v>
      </c>
      <c r="JC131" s="33">
        <v>56</v>
      </c>
      <c r="JD131" s="34">
        <f>IF(AND(ISNUMBER(JE131),ISNUMBER(JC131)),JE131-JC131,"")</f>
        <v>0</v>
      </c>
      <c r="JE131" s="33">
        <v>58</v>
      </c>
      <c r="JF131" s="34">
        <f>IF(AND(ISNUMBER(JG131),ISNUMBER(JE131)),JG131-JE131,"")</f>
        <v>0</v>
      </c>
      <c r="JG131" s="33">
        <v>58</v>
      </c>
      <c r="JH131" s="34">
        <f>IF(AND(ISNUMBER(JI131),ISNUMBER(JG131)),JI131-JG131,"")</f>
        <v>0</v>
      </c>
      <c r="JI131" s="33">
        <v>60</v>
      </c>
      <c r="JJ131" s="34">
        <f>IF(AND(ISNUMBER(JK131),ISNUMBER(JI131)),JK131-JI131,"")</f>
        <v>0</v>
      </c>
      <c r="JK131" s="33">
        <v>58</v>
      </c>
      <c r="JL131" s="34">
        <f>IF(AND(ISNUMBER(JM131),ISNUMBER(JK131)),JM131-JK131,"")</f>
        <v>0</v>
      </c>
      <c r="JM131" s="33">
        <v>63</v>
      </c>
      <c r="JN131" s="34">
        <f>IF(AND(ISNUMBER(JO131),ISNUMBER(JM131)),JO131-JM131,"")</f>
        <v>0</v>
      </c>
      <c r="JO131" s="33">
        <v>64</v>
      </c>
      <c r="JP131" s="34">
        <f>IF(AND(ISNUMBER(JQ131),ISNUMBER(JO131)),JQ131-JO131,"")</f>
        <v>0</v>
      </c>
      <c r="JQ131" s="33">
        <v>64</v>
      </c>
      <c r="JR131" s="34">
        <f>IF(AND(ISNUMBER(JS131),ISNUMBER(JQ131)),JS131-JQ131,"")</f>
        <v>0</v>
      </c>
      <c r="JS131" s="33">
        <v>64</v>
      </c>
      <c r="JT131" s="34">
        <f>IF(AND(ISNUMBER(JU131),ISNUMBER(JS131)),JU131-JS131,"")</f>
        <v>0</v>
      </c>
      <c r="JU131" s="33">
        <v>63</v>
      </c>
      <c r="JV131" s="34">
        <f>IF(AND(ISNUMBER(JW131),ISNUMBER(JU131)),JW131-JU131,"")</f>
        <v>0</v>
      </c>
      <c r="JW131" s="33">
        <v>66</v>
      </c>
      <c r="JX131" s="34">
        <f>IF(AND(ISNUMBER(JY131),ISNUMBER(JW131)),JY131-JW131,"")</f>
        <v>0</v>
      </c>
      <c r="JY131" s="33">
        <v>67</v>
      </c>
      <c r="JZ131" s="34">
        <f>IF(AND(ISNUMBER(KA131),ISNUMBER(JY131)),KA131-JY131,"")</f>
        <v>0</v>
      </c>
      <c r="KA131" s="33"/>
      <c r="KB131" s="34">
        <f>IF(AND(ISNUMBER(KC131),ISNUMBER(KA131)),KC131-KA131,"")</f>
        <v>0</v>
      </c>
      <c r="KC131" s="33"/>
      <c r="KD131" s="34">
        <f>IF(AND(ISNUMBER(KE131),ISNUMBER(KC131)),KE131-KC131,"")</f>
        <v>0</v>
      </c>
      <c r="KE131" s="33"/>
      <c r="KF131" s="34">
        <f>IF(AND(ISNUMBER(KG131),ISNUMBER(KE131)),KG131-KE131,"")</f>
        <v>0</v>
      </c>
      <c r="KG131" s="33"/>
      <c r="KH131" s="34">
        <f>IF(AND(ISNUMBER(KI131),ISNUMBER(KG131)),KI131-KG131,"")</f>
        <v>0</v>
      </c>
      <c r="KI131" s="33"/>
      <c r="KJ131" s="34">
        <f>IF(AND(ISNUMBER(KK131),ISNUMBER(KI131)),KK131-KI131,"")</f>
        <v>0</v>
      </c>
      <c r="KK131" s="33"/>
      <c r="KL131" s="34">
        <f>IF(AND(ISNUMBER(KM131),ISNUMBER(KK131)),KM131-KK131,"")</f>
        <v>0</v>
      </c>
      <c r="KM131" s="33"/>
      <c r="KN131" s="34">
        <f>IF(AND(ISNUMBER(KO131),ISNUMBER(KM131)),KO131-KM131,"")</f>
        <v>0</v>
      </c>
      <c r="KO131" s="33"/>
      <c r="KP131" s="34">
        <f>IF(AND(ISNUMBER(KQ131),ISNUMBER(KO131)),KQ131-KO131,"")</f>
        <v>0</v>
      </c>
      <c r="KQ131" s="33"/>
      <c r="KR131" s="34">
        <f>IF(AND(ISNUMBER(KS131),ISNUMBER(KQ131)),KS131-KQ131,"")</f>
        <v>0</v>
      </c>
      <c r="KS131" s="33"/>
      <c r="KT131" s="34">
        <f>IF(AND(ISNUMBER(KU131),ISNUMBER(KS131)),KU131-KS131,"")</f>
        <v>0</v>
      </c>
      <c r="KU131" s="33"/>
      <c r="KV131" s="34">
        <f>IF(AND(ISNUMBER(KW131),ISNUMBER(KU131)),KW131-KU131,"")</f>
        <v>0</v>
      </c>
      <c r="KW131" s="33"/>
      <c r="KX131" s="34">
        <f>IF(AND(ISNUMBER(KY131),ISNUMBER(KW131)),KY131-KW131,"")</f>
        <v>0</v>
      </c>
      <c r="KY131" s="33"/>
      <c r="KZ131" s="34">
        <f>IF(AND(ISNUMBER(LA131),ISNUMBER(KY131)),LA131-KY131,"")</f>
        <v>0</v>
      </c>
      <c r="LA131" s="33"/>
      <c r="LB131" s="34">
        <f>IF(AND(ISNUMBER(LC131),ISNUMBER(LA131)),LC131-LA131,"")</f>
        <v>0</v>
      </c>
      <c r="LC131" s="33"/>
      <c r="LD131" s="34">
        <f>IF(AND(ISNUMBER(LE131),ISNUMBER(LC131)),LE131-LC131,"")</f>
        <v>0</v>
      </c>
      <c r="LE131" s="33"/>
      <c r="LF131" s="34">
        <f>IF(AND(ISNUMBER(LG131),ISNUMBER(LE131)),LG131-LE131,"")</f>
        <v>0</v>
      </c>
      <c r="LG131" s="33"/>
    </row>
    <row r="132" spans="1:322">
      <c r="A132" s="36" t="s">
        <v>125</v>
      </c>
      <c r="B132" s="23"/>
      <c r="C132" s="31" t="s">
        <v>911</v>
      </c>
      <c r="E132" s="32" t="s">
        <v>1139</v>
      </c>
      <c r="I132" s="33"/>
      <c r="J132" s="34">
        <f>IF(AND(ISNUMBER(K132),ISNUMBER(I132)),K132-I132,"")</f>
        <v>0</v>
      </c>
      <c r="K132" s="33"/>
      <c r="L132" s="34">
        <f>IF(AND(ISNUMBER(M132),ISNUMBER(K132)),M132-K132,"")</f>
        <v>0</v>
      </c>
      <c r="M132" s="33"/>
      <c r="N132" s="34">
        <f>IF(AND(ISNUMBER(O132),ISNUMBER(M132)),O132-M132,"")</f>
        <v>0</v>
      </c>
      <c r="O132" s="33"/>
      <c r="P132" s="34">
        <f>IF(AND(ISNUMBER(Q132),ISNUMBER(O132)),Q132-O132,"")</f>
        <v>0</v>
      </c>
      <c r="Q132" s="33"/>
      <c r="R132" s="34">
        <f>IF(AND(ISNUMBER(S132),ISNUMBER(Q132)),S132-Q132,"")</f>
        <v>0</v>
      </c>
      <c r="S132" s="33"/>
      <c r="T132" s="34">
        <f>IF(AND(ISNUMBER(U132),ISNUMBER(S132)),U132-S132,"")</f>
        <v>0</v>
      </c>
      <c r="U132" s="33"/>
      <c r="V132" s="34">
        <f>IF(AND(ISNUMBER(W132),ISNUMBER(U132)),W132-U132,"")</f>
        <v>0</v>
      </c>
      <c r="W132" s="33"/>
      <c r="X132" s="34">
        <f>IF(AND(ISNUMBER(Y132),ISNUMBER(W132)),Y132-W132,"")</f>
        <v>0</v>
      </c>
      <c r="Y132" s="33"/>
      <c r="Z132" s="34">
        <f>IF(AND(ISNUMBER(AA132),ISNUMBER(Y132)),AA132-Y132,"")</f>
        <v>0</v>
      </c>
      <c r="AA132" s="33"/>
      <c r="AB132" s="34">
        <f>IF(AND(ISNUMBER(AC132),ISNUMBER(AA132)),AC132-AA132,"")</f>
        <v>0</v>
      </c>
      <c r="AC132" s="33"/>
      <c r="AD132" s="34">
        <f>IF(AND(ISNUMBER(AE132),ISNUMBER(AC132)),AE132-AC132,"")</f>
        <v>0</v>
      </c>
      <c r="AE132" s="33"/>
      <c r="AF132" s="34">
        <f>IF(AND(ISNUMBER(AG132),ISNUMBER(AE132)),AG132-AE132,"")</f>
        <v>0</v>
      </c>
      <c r="AG132" s="33"/>
      <c r="AH132" s="34">
        <f>IF(AND(ISNUMBER(AI132),ISNUMBER(AG132)),AI132-AG132,"")</f>
        <v>0</v>
      </c>
      <c r="AI132" s="33"/>
      <c r="AJ132" s="34">
        <f>IF(AND(ISNUMBER(AK132),ISNUMBER(AI132)),AK132-AI132,"")</f>
        <v>0</v>
      </c>
      <c r="AK132" s="33"/>
      <c r="AL132" s="34">
        <f>IF(AND(ISNUMBER(AM132),ISNUMBER(AK132)),AM132-AK132,"")</f>
        <v>0</v>
      </c>
      <c r="AM132" s="33"/>
      <c r="AN132" s="34">
        <f>IF(AND(ISNUMBER(AO132),ISNUMBER(AM132)),AO132-AM132,"")</f>
        <v>0</v>
      </c>
      <c r="AO132" s="33"/>
      <c r="AP132" s="34">
        <f>IF(AND(ISNUMBER(AQ132),ISNUMBER(AO132)),AQ132-AO132,"")</f>
        <v>0</v>
      </c>
      <c r="AQ132" s="33"/>
      <c r="AR132" s="34">
        <f>IF(AND(ISNUMBER(AS132),ISNUMBER(AQ132)),AS132-AQ132,"")</f>
        <v>0</v>
      </c>
      <c r="AS132" s="33"/>
      <c r="AT132" s="34">
        <f>IF(AND(ISNUMBER(AU132),ISNUMBER(AS132)),AU132-AS132,"")</f>
        <v>0</v>
      </c>
      <c r="AU132" s="33"/>
      <c r="AV132" s="34">
        <f>IF(AND(ISNUMBER(AW132),ISNUMBER(AU132)),AW132-AU132,"")</f>
        <v>0</v>
      </c>
      <c r="AW132" s="33"/>
      <c r="AX132" s="34">
        <f>IF(AND(ISNUMBER(AY132),ISNUMBER(AW132)),AY132-AW132,"")</f>
        <v>0</v>
      </c>
      <c r="AY132" s="33"/>
      <c r="AZ132" s="34">
        <f>IF(AND(ISNUMBER(BA132),ISNUMBER(AY132)),BA132-AY132,"")</f>
        <v>0</v>
      </c>
      <c r="BA132" s="33"/>
      <c r="BB132" s="34">
        <f>IF(AND(ISNUMBER(BC132),ISNUMBER(BA132)),BC132-BA132,"")</f>
        <v>0</v>
      </c>
      <c r="BC132" s="33"/>
      <c r="BD132" s="34">
        <f>IF(AND(ISNUMBER(BE132),ISNUMBER(BC132)),BE132-BC132,"")</f>
        <v>0</v>
      </c>
      <c r="BE132" s="33"/>
      <c r="BF132" s="34">
        <f>IF(AND(ISNUMBER(BG132),ISNUMBER(BE132)),BG132-BE132,"")</f>
        <v>0</v>
      </c>
      <c r="BG132" s="33"/>
      <c r="BH132" s="34">
        <f>IF(AND(ISNUMBER(BI132),ISNUMBER(BG132)),BI132-BG132,"")</f>
        <v>0</v>
      </c>
      <c r="BI132" s="33"/>
      <c r="BJ132" s="34">
        <f>IF(AND(ISNUMBER(BK132),ISNUMBER(BI132)),BK132-BI132,"")</f>
        <v>0</v>
      </c>
      <c r="BK132" s="33"/>
      <c r="BL132" s="34">
        <f>IF(AND(ISNUMBER(BM132),ISNUMBER(BK132)),BM132-BK132,"")</f>
        <v>0</v>
      </c>
      <c r="BM132" s="33"/>
      <c r="BN132" s="34">
        <f>IF(AND(ISNUMBER(BO132),ISNUMBER(BM132)),BO132-BM132,"")</f>
        <v>0</v>
      </c>
      <c r="BO132" s="33"/>
      <c r="BP132" s="34">
        <f>IF(AND(ISNUMBER(BQ132),ISNUMBER(BO132)),BQ132-BO132,"")</f>
        <v>0</v>
      </c>
      <c r="BQ132" s="33"/>
      <c r="BR132" s="34">
        <f>IF(AND(ISNUMBER(BS132),ISNUMBER(BQ132)),BS132-BQ132,"")</f>
        <v>0</v>
      </c>
      <c r="BS132" s="33"/>
      <c r="BT132" s="34">
        <f>IF(AND(ISNUMBER(BU132),ISNUMBER(BS132)),BU132-BS132,"")</f>
        <v>0</v>
      </c>
      <c r="BU132" s="33"/>
      <c r="BV132" s="34">
        <f>IF(AND(ISNUMBER(BW132),ISNUMBER(BU132)),BW132-BU132,"")</f>
        <v>0</v>
      </c>
      <c r="BW132" s="33"/>
      <c r="BX132" s="34">
        <f>IF(AND(ISNUMBER(BY132),ISNUMBER(BW132)),BY132-BW132,"")</f>
        <v>0</v>
      </c>
      <c r="BY132" s="33"/>
      <c r="BZ132" s="34">
        <f>IF(AND(ISNUMBER(CA132),ISNUMBER(BY132)),CA132-BY132,"")</f>
        <v>0</v>
      </c>
      <c r="CA132" s="33"/>
      <c r="CB132" s="34">
        <f>IF(AND(ISNUMBER(CC132),ISNUMBER(CA132)),CC132-CA132,"")</f>
        <v>0</v>
      </c>
      <c r="CC132" s="33"/>
      <c r="CD132" s="34">
        <f>IF(AND(ISNUMBER(CE132),ISNUMBER(CC132)),CE132-CC132,"")</f>
        <v>0</v>
      </c>
      <c r="CE132" s="33"/>
      <c r="CF132" s="34">
        <f>IF(AND(ISNUMBER(CG132),ISNUMBER(CE132)),CG132-CE132,"")</f>
        <v>0</v>
      </c>
      <c r="CG132" s="33"/>
      <c r="CH132" s="34">
        <f>IF(AND(ISNUMBER(CI132),ISNUMBER(CG132)),CI132-CG132,"")</f>
        <v>0</v>
      </c>
      <c r="CI132" s="33"/>
      <c r="CJ132" s="34">
        <f>IF(AND(ISNUMBER(CK132),ISNUMBER(CI132)),CK132-CI132,"")</f>
        <v>0</v>
      </c>
      <c r="CK132" s="33"/>
      <c r="CL132" s="34">
        <f>IF(AND(ISNUMBER(CM132),ISNUMBER(CK132)),CM132-CK132,"")</f>
        <v>0</v>
      </c>
      <c r="CM132" s="33"/>
      <c r="CN132" s="34">
        <f>IF(AND(ISNUMBER(CO132),ISNUMBER(CM132)),CO132-CM132,"")</f>
        <v>0</v>
      </c>
      <c r="CO132" s="33"/>
      <c r="CP132" s="34">
        <f>IF(AND(ISNUMBER(CQ132),ISNUMBER(CO132)),CQ132-CO132,"")</f>
        <v>0</v>
      </c>
      <c r="CQ132" s="33"/>
      <c r="CR132" s="34">
        <f>IF(AND(ISNUMBER(CS132),ISNUMBER(CQ132)),CS132-CQ132,"")</f>
        <v>0</v>
      </c>
      <c r="CS132" s="33"/>
      <c r="CT132" s="34">
        <f>IF(AND(ISNUMBER(CU132),ISNUMBER(CS132)),CU132-CS132,"")</f>
        <v>0</v>
      </c>
      <c r="CU132" s="33"/>
      <c r="CV132" s="34">
        <f>IF(AND(ISNUMBER(CW132),ISNUMBER(CU132)),CW132-CU132,"")</f>
        <v>0</v>
      </c>
      <c r="CW132" s="33"/>
      <c r="CX132" s="34">
        <f>IF(AND(ISNUMBER(CY132),ISNUMBER(CW132)),CY132-CW132,"")</f>
        <v>0</v>
      </c>
      <c r="CY132" s="33"/>
      <c r="CZ132" s="34">
        <f>IF(AND(ISNUMBER(DA132),ISNUMBER(CY132)),DA132-CY132,"")</f>
        <v>0</v>
      </c>
      <c r="DA132" s="33"/>
      <c r="DB132" s="34">
        <f>IF(AND(ISNUMBER(DC132),ISNUMBER(DA132)),DC132-DA132,"")</f>
        <v>0</v>
      </c>
      <c r="DC132" s="33"/>
      <c r="DD132" s="34">
        <f>IF(AND(ISNUMBER(DE132),ISNUMBER(DC132)),DE132-DC132,"")</f>
        <v>0</v>
      </c>
      <c r="DE132" s="33"/>
      <c r="DF132" s="34">
        <f>IF(AND(ISNUMBER(DG132),ISNUMBER(DE132)),DG132-DE132,"")</f>
        <v>0</v>
      </c>
      <c r="DG132" s="33"/>
      <c r="DH132" s="34">
        <f>IF(AND(ISNUMBER(DI132),ISNUMBER(DG132)),DI132-DG132,"")</f>
        <v>0</v>
      </c>
      <c r="DI132" s="33"/>
      <c r="DJ132" s="34">
        <f>IF(AND(ISNUMBER(DK132),ISNUMBER(DI132)),DK132-DI132,"")</f>
        <v>0</v>
      </c>
      <c r="DK132" s="33"/>
      <c r="DL132" s="34">
        <f>IF(AND(ISNUMBER(DM132),ISNUMBER(DK132)),DM132-DK132,"")</f>
        <v>0</v>
      </c>
      <c r="DM132" s="33"/>
      <c r="DN132" s="34">
        <f>IF(AND(ISNUMBER(DO132),ISNUMBER(DM132)),DO132-DM132,"")</f>
        <v>0</v>
      </c>
      <c r="DO132" s="33"/>
      <c r="DP132" s="34">
        <f>IF(AND(ISNUMBER(DQ132),ISNUMBER(DO132)),DQ132-DO132,"")</f>
        <v>0</v>
      </c>
      <c r="DQ132" s="33"/>
      <c r="DR132" s="34">
        <f>IF(AND(ISNUMBER(DS132),ISNUMBER(DQ132)),DS132-DQ132,"")</f>
        <v>0</v>
      </c>
      <c r="DS132" s="33"/>
      <c r="DT132" s="34">
        <f>IF(AND(ISNUMBER(DU132),ISNUMBER(DS132)),DU132-DS132,"")</f>
        <v>0</v>
      </c>
      <c r="DU132" s="33"/>
      <c r="DV132" s="34">
        <f>IF(AND(ISNUMBER(DW132),ISNUMBER(DU132)),DW132-DU132,"")</f>
        <v>0</v>
      </c>
      <c r="DW132" s="33"/>
      <c r="DX132" s="34">
        <f>IF(AND(ISNUMBER(DY132),ISNUMBER(DW132)),DY132-DW132,"")</f>
        <v>0</v>
      </c>
      <c r="DY132" s="33"/>
      <c r="DZ132" s="34">
        <f>IF(AND(ISNUMBER(EA132),ISNUMBER(DY132)),EA132-DY132,"")</f>
        <v>0</v>
      </c>
      <c r="EA132" s="33"/>
      <c r="EB132" s="34">
        <f>IF(AND(ISNUMBER(EC132),ISNUMBER(EA132)),EC132-EA132,"")</f>
        <v>0</v>
      </c>
      <c r="EC132" s="33"/>
      <c r="ED132" s="34">
        <f>IF(AND(ISNUMBER(EE132),ISNUMBER(EC132)),EE132-EC132,"")</f>
        <v>0</v>
      </c>
      <c r="EE132" s="33"/>
      <c r="EF132" s="34">
        <f>IF(AND(ISNUMBER(EG132),ISNUMBER(EE132)),EG132-EE132,"")</f>
        <v>0</v>
      </c>
      <c r="EG132" s="33"/>
      <c r="EH132" s="34">
        <f>IF(AND(ISNUMBER(EI132),ISNUMBER(EG132)),EI132-EG132,"")</f>
        <v>0</v>
      </c>
      <c r="EI132" s="33"/>
      <c r="EJ132" s="34">
        <f>IF(AND(ISNUMBER(EK132),ISNUMBER(EI132)),EK132-EI132,"")</f>
        <v>0</v>
      </c>
      <c r="EK132" s="33"/>
      <c r="EL132" s="34">
        <f>IF(AND(ISNUMBER(EM132),ISNUMBER(EK132)),EM132-EK132,"")</f>
        <v>0</v>
      </c>
      <c r="EM132" s="33"/>
      <c r="EN132" s="34">
        <f>IF(AND(ISNUMBER(EO132),ISNUMBER(EM132)),EO132-EM132,"")</f>
        <v>0</v>
      </c>
      <c r="EO132" s="33"/>
      <c r="EP132" s="34">
        <f>IF(AND(ISNUMBER(EQ132),ISNUMBER(EO132)),EQ132-EO132,"")</f>
        <v>0</v>
      </c>
      <c r="EQ132" s="33"/>
      <c r="ER132" s="34">
        <f>IF(AND(ISNUMBER(ES132),ISNUMBER(EQ132)),ES132-EQ132,"")</f>
        <v>0</v>
      </c>
      <c r="ES132" s="33"/>
      <c r="ET132" s="34">
        <f>IF(AND(ISNUMBER(EU132),ISNUMBER(ES132)),EU132-ES132,"")</f>
        <v>0</v>
      </c>
      <c r="EU132" s="33"/>
      <c r="EV132" s="34">
        <f>IF(AND(ISNUMBER(EW132),ISNUMBER(EU132)),EW132-EU132,"")</f>
        <v>0</v>
      </c>
      <c r="EW132" s="33"/>
      <c r="EX132" s="34">
        <f>IF(AND(ISNUMBER(EY132),ISNUMBER(EW132)),EY132-EW132,"")</f>
        <v>0</v>
      </c>
      <c r="EY132" s="33"/>
      <c r="EZ132" s="34">
        <f>IF(AND(ISNUMBER(FA132),ISNUMBER(EY132)),FA132-EY132,"")</f>
        <v>0</v>
      </c>
      <c r="FA132" s="33"/>
      <c r="FB132" s="34">
        <f>IF(AND(ISNUMBER(FC132),ISNUMBER(FA132)),FC132-FA132,"")</f>
        <v>0</v>
      </c>
      <c r="FC132" s="33"/>
      <c r="FD132" s="34">
        <f>IF(AND(ISNUMBER(FE132),ISNUMBER(FC132)),FE132-FC132,"")</f>
        <v>0</v>
      </c>
      <c r="FE132" s="33"/>
      <c r="FF132" s="34">
        <f>IF(AND(ISNUMBER(FG132),ISNUMBER(FE132)),FG132-FE132,"")</f>
        <v>0</v>
      </c>
      <c r="FG132" s="33"/>
      <c r="FH132" s="34">
        <f>IF(AND(ISNUMBER(FI132),ISNUMBER(FG132)),FI132-FG132,"")</f>
        <v>0</v>
      </c>
      <c r="FI132" s="33"/>
      <c r="FJ132" s="34">
        <f>IF(AND(ISNUMBER(FK132),ISNUMBER(FI132)),FK132-FI132,"")</f>
        <v>0</v>
      </c>
      <c r="FK132" s="33"/>
      <c r="FL132" s="34">
        <f>IF(AND(ISNUMBER(FM132),ISNUMBER(FK132)),FM132-FK132,"")</f>
        <v>0</v>
      </c>
      <c r="FM132" s="33"/>
      <c r="FN132" s="34">
        <f>IF(AND(ISNUMBER(FO132),ISNUMBER(FM132)),FO132-FM132,"")</f>
        <v>0</v>
      </c>
      <c r="FO132" s="33"/>
      <c r="FP132" s="34">
        <f>IF(AND(ISNUMBER(FQ132),ISNUMBER(FO132)),FQ132-FO132,"")</f>
        <v>0</v>
      </c>
      <c r="FQ132" s="33"/>
      <c r="FR132" s="34">
        <f>IF(AND(ISNUMBER(FS132),ISNUMBER(FQ132)),FS132-FQ132,"")</f>
        <v>0</v>
      </c>
      <c r="FS132" s="33"/>
      <c r="FT132" s="34">
        <f>IF(AND(ISNUMBER(FU132),ISNUMBER(FS132)),FU132-FS132,"")</f>
        <v>0</v>
      </c>
      <c r="FU132" s="33"/>
      <c r="FV132" s="34">
        <f>IF(AND(ISNUMBER(FW132),ISNUMBER(FU132)),FW132-FU132,"")</f>
        <v>0</v>
      </c>
      <c r="FW132" s="33"/>
      <c r="FX132" s="34">
        <f>IF(AND(ISNUMBER(FY132),ISNUMBER(FW132)),FY132-FW132,"")</f>
        <v>0</v>
      </c>
      <c r="FY132" s="33"/>
      <c r="FZ132" s="34">
        <f>IF(AND(ISNUMBER(GA132),ISNUMBER(FY132)),GA132-FY132,"")</f>
        <v>0</v>
      </c>
      <c r="GA132" s="33"/>
      <c r="GB132" s="34">
        <f>IF(AND(ISNUMBER(GC132),ISNUMBER(GA132)),GC132-GA132,"")</f>
        <v>0</v>
      </c>
      <c r="GC132" s="33"/>
      <c r="GD132" s="34">
        <f>IF(AND(ISNUMBER(GE132),ISNUMBER(GC132)),GE132-GC132,"")</f>
        <v>0</v>
      </c>
      <c r="GE132" s="33"/>
      <c r="GF132" s="34">
        <f>IF(AND(ISNUMBER(GG132),ISNUMBER(GE132)),GG132-GE132,"")</f>
        <v>0</v>
      </c>
      <c r="GG132" s="33"/>
      <c r="GH132" s="34">
        <f>IF(AND(ISNUMBER(GI132),ISNUMBER(GG132)),GI132-GG132,"")</f>
        <v>0</v>
      </c>
      <c r="GI132" s="33"/>
      <c r="GJ132" s="34">
        <f>IF(AND(ISNUMBER(GK132),ISNUMBER(GI132)),GK132-GI132,"")</f>
        <v>0</v>
      </c>
      <c r="GK132" s="33"/>
      <c r="GL132" s="34">
        <f>IF(AND(ISNUMBER(GM132),ISNUMBER(GK132)),GM132-GK132,"")</f>
        <v>0</v>
      </c>
      <c r="GM132" s="33"/>
      <c r="GN132" s="34">
        <f>IF(AND(ISNUMBER(GO132),ISNUMBER(GM132)),GO132-GM132,"")</f>
        <v>0</v>
      </c>
      <c r="GO132" s="33"/>
      <c r="GP132" s="34">
        <f>IF(AND(ISNUMBER(GQ132),ISNUMBER(GO132)),GQ132-GO132,"")</f>
        <v>0</v>
      </c>
      <c r="GQ132" s="33"/>
      <c r="GR132" s="34">
        <f>IF(AND(ISNUMBER(GS132),ISNUMBER(GQ132)),GS132-GQ132,"")</f>
        <v>0</v>
      </c>
      <c r="GS132" s="33"/>
      <c r="GT132" s="34">
        <f>IF(AND(ISNUMBER(GU132),ISNUMBER(GS132)),GU132-GS132,"")</f>
        <v>0</v>
      </c>
      <c r="GU132" s="33"/>
      <c r="GV132" s="34">
        <f>IF(AND(ISNUMBER(GW132),ISNUMBER(GU132)),GW132-GU132,"")</f>
        <v>0</v>
      </c>
      <c r="GW132" s="33"/>
      <c r="GX132" s="34">
        <f>IF(AND(ISNUMBER(GY132),ISNUMBER(GW132)),GY132-GW132,"")</f>
        <v>0</v>
      </c>
      <c r="GY132" s="33"/>
      <c r="GZ132" s="34">
        <f>IF(AND(ISNUMBER(HA132),ISNUMBER(GY132)),HA132-GY132,"")</f>
        <v>0</v>
      </c>
      <c r="HA132" s="33"/>
      <c r="HB132" s="34">
        <f>IF(AND(ISNUMBER(HC132),ISNUMBER(HA132)),HC132-HA132,"")</f>
        <v>0</v>
      </c>
      <c r="HC132" s="33"/>
      <c r="HD132" s="34">
        <f>IF(AND(ISNUMBER(HE132),ISNUMBER(HC132)),HE132-HC132,"")</f>
        <v>0</v>
      </c>
      <c r="HE132" s="33"/>
      <c r="HF132" s="34">
        <f>IF(AND(ISNUMBER(HG132),ISNUMBER(HE132)),HG132-HE132,"")</f>
        <v>0</v>
      </c>
      <c r="HG132" s="33"/>
      <c r="HH132" s="34">
        <f>IF(AND(ISNUMBER(HI132),ISNUMBER(HG132)),HI132-HG132,"")</f>
        <v>0</v>
      </c>
      <c r="HI132" s="33"/>
      <c r="HJ132" s="34">
        <f>IF(AND(ISNUMBER(HK132),ISNUMBER(HI132)),HK132-HI132,"")</f>
        <v>0</v>
      </c>
      <c r="HK132" s="33"/>
      <c r="HL132" s="34">
        <f>IF(AND(ISNUMBER(HM132),ISNUMBER(HK132)),HM132-HK132,"")</f>
        <v>0</v>
      </c>
      <c r="HM132" s="33"/>
      <c r="HN132" s="34">
        <f>IF(AND(ISNUMBER(HO132),ISNUMBER(HM132)),HO132-HM132,"")</f>
        <v>0</v>
      </c>
      <c r="HO132" s="33"/>
      <c r="HP132" s="34">
        <f>IF(AND(ISNUMBER(HQ132),ISNUMBER(HO132)),HQ132-HO132,"")</f>
        <v>0</v>
      </c>
      <c r="HQ132" s="33"/>
      <c r="HR132" s="34">
        <f>IF(AND(ISNUMBER(HS132),ISNUMBER(HQ132)),HS132-HQ132,"")</f>
        <v>0</v>
      </c>
      <c r="HS132" s="33"/>
      <c r="HT132" s="34">
        <f>IF(AND(ISNUMBER(HU132),ISNUMBER(HS132)),HU132-HS132,"")</f>
        <v>0</v>
      </c>
      <c r="HU132" s="33"/>
      <c r="HV132" s="34">
        <f>IF(AND(ISNUMBER(HW132),ISNUMBER(HU132)),HW132-HU132,"")</f>
        <v>0</v>
      </c>
      <c r="HW132" s="33"/>
      <c r="HX132" s="34">
        <f>IF(AND(ISNUMBER(HY132),ISNUMBER(HW132)),HY132-HW132,"")</f>
        <v>0</v>
      </c>
      <c r="HY132" s="33"/>
      <c r="HZ132" s="34">
        <f>IF(AND(ISNUMBER(IA132),ISNUMBER(HY132)),IA132-HY132,"")</f>
        <v>0</v>
      </c>
      <c r="IA132" s="33"/>
      <c r="IB132" s="34">
        <f>IF(AND(ISNUMBER(IC132),ISNUMBER(IA132)),IC132-IA132,"")</f>
        <v>0</v>
      </c>
      <c r="IC132" s="33">
        <v>14</v>
      </c>
      <c r="ID132" s="34">
        <f>IF(AND(ISNUMBER(IE132),ISNUMBER(IC132)),IE132-IC132,"")</f>
        <v>0</v>
      </c>
      <c r="IE132" s="33">
        <v>15</v>
      </c>
      <c r="IF132" s="34">
        <f>IF(AND(ISNUMBER(IG132),ISNUMBER(IE132)),IG132-IE132,"")</f>
        <v>0</v>
      </c>
      <c r="IG132" s="33">
        <v>14</v>
      </c>
      <c r="IH132" s="34">
        <f>IF(AND(ISNUMBER(II132),ISNUMBER(IG132)),II132-IG132,"")</f>
        <v>0</v>
      </c>
      <c r="II132" s="33">
        <v>11</v>
      </c>
      <c r="IJ132" s="34">
        <f>IF(AND(ISNUMBER(IK132),ISNUMBER(II132)),IK132-II132,"")</f>
        <v>0</v>
      </c>
      <c r="IK132" s="33">
        <v>11</v>
      </c>
      <c r="IL132" s="34">
        <f>IF(AND(ISNUMBER(IM132),ISNUMBER(IK132)),IM132-IK132,"")</f>
        <v>0</v>
      </c>
      <c r="IM132" s="33">
        <v>11</v>
      </c>
      <c r="IN132" s="34">
        <f>IF(AND(ISNUMBER(IO132),ISNUMBER(IM132)),IO132-IM132,"")</f>
        <v>0</v>
      </c>
      <c r="IO132" s="33">
        <v>11</v>
      </c>
      <c r="IP132" s="34">
        <f>IF(AND(ISNUMBER(IQ132),ISNUMBER(IO132)),IQ132-IO132,"")</f>
        <v>0</v>
      </c>
      <c r="IQ132" s="33">
        <v>11</v>
      </c>
      <c r="IR132" s="34">
        <f>IF(AND(ISNUMBER(IS132),ISNUMBER(IQ132)),IS132-IQ132,"")</f>
        <v>0</v>
      </c>
      <c r="IS132" s="33">
        <v>12</v>
      </c>
      <c r="IT132" s="34">
        <f>IF(AND(ISNUMBER(IU132),ISNUMBER(IS132)),IU132-IS132,"")</f>
        <v>0</v>
      </c>
      <c r="IU132" s="33">
        <v>12</v>
      </c>
      <c r="IV132" s="34">
        <f>IF(AND(ISNUMBER(IW132),ISNUMBER(IU132)),IW132-IU132,"")</f>
        <v>0</v>
      </c>
      <c r="IW132" s="33">
        <v>12</v>
      </c>
      <c r="IX132" s="34">
        <f>IF(AND(ISNUMBER(IY132),ISNUMBER(IW132)),IY132-IW132,"")</f>
        <v>0</v>
      </c>
      <c r="IY132" s="33">
        <v>13</v>
      </c>
      <c r="IZ132" s="34">
        <f>IF(AND(ISNUMBER(JA132),ISNUMBER(IY132)),JA132-IY132,"")</f>
        <v>0</v>
      </c>
      <c r="JA132" s="33">
        <v>13</v>
      </c>
      <c r="JB132" s="34">
        <f>IF(AND(ISNUMBER(JC132),ISNUMBER(JA132)),JC132-JA132,"")</f>
        <v>0</v>
      </c>
      <c r="JC132" s="33">
        <v>13</v>
      </c>
      <c r="JD132" s="34">
        <f>IF(AND(ISNUMBER(JE132),ISNUMBER(JC132)),JE132-JC132,"")</f>
        <v>0</v>
      </c>
      <c r="JE132" s="33">
        <v>13</v>
      </c>
      <c r="JF132" s="34">
        <f>IF(AND(ISNUMBER(JG132),ISNUMBER(JE132)),JG132-JE132,"")</f>
        <v>0</v>
      </c>
      <c r="JG132" s="33">
        <v>15</v>
      </c>
      <c r="JH132" s="34">
        <f>IF(AND(ISNUMBER(JI132),ISNUMBER(JG132)),JI132-JG132,"")</f>
        <v>0</v>
      </c>
      <c r="JI132" s="33">
        <v>15</v>
      </c>
      <c r="JJ132" s="34">
        <f>IF(AND(ISNUMBER(JK132),ISNUMBER(JI132)),JK132-JI132,"")</f>
        <v>0</v>
      </c>
      <c r="JK132" s="33">
        <v>16</v>
      </c>
      <c r="JL132" s="34">
        <f>IF(AND(ISNUMBER(JM132),ISNUMBER(JK132)),JM132-JK132,"")</f>
        <v>0</v>
      </c>
      <c r="JM132" s="33">
        <v>18</v>
      </c>
      <c r="JN132" s="34">
        <f>IF(AND(ISNUMBER(JO132),ISNUMBER(JM132)),JO132-JM132,"")</f>
        <v>0</v>
      </c>
      <c r="JO132" s="33">
        <v>23</v>
      </c>
      <c r="JP132" s="34">
        <f>IF(AND(ISNUMBER(JQ132),ISNUMBER(JO132)),JQ132-JO132,"")</f>
        <v>0</v>
      </c>
      <c r="JQ132" s="33">
        <v>23</v>
      </c>
      <c r="JR132" s="34">
        <f>IF(AND(ISNUMBER(JS132),ISNUMBER(JQ132)),JS132-JQ132,"")</f>
        <v>0</v>
      </c>
      <c r="JS132" s="33">
        <v>26</v>
      </c>
      <c r="JT132" s="34">
        <f>IF(AND(ISNUMBER(JU132),ISNUMBER(JS132)),JU132-JS132,"")</f>
        <v>0</v>
      </c>
      <c r="JU132" s="33">
        <v>26</v>
      </c>
      <c r="JV132" s="34">
        <f>IF(AND(ISNUMBER(JW132),ISNUMBER(JU132)),JW132-JU132,"")</f>
        <v>0</v>
      </c>
      <c r="JW132" s="33">
        <v>26</v>
      </c>
      <c r="JX132" s="34">
        <f>IF(AND(ISNUMBER(JY132),ISNUMBER(JW132)),JY132-JW132,"")</f>
        <v>0</v>
      </c>
      <c r="JY132" s="33">
        <v>26</v>
      </c>
      <c r="JZ132" s="34">
        <f>IF(AND(ISNUMBER(KA132),ISNUMBER(JY132)),KA132-JY132,"")</f>
        <v>0</v>
      </c>
      <c r="KA132" s="33"/>
      <c r="KB132" s="34">
        <f>IF(AND(ISNUMBER(KC132),ISNUMBER(KA132)),KC132-KA132,"")</f>
        <v>0</v>
      </c>
      <c r="KC132" s="33"/>
      <c r="KD132" s="34">
        <f>IF(AND(ISNUMBER(KE132),ISNUMBER(KC132)),KE132-KC132,"")</f>
        <v>0</v>
      </c>
      <c r="KE132" s="33"/>
      <c r="KF132" s="34">
        <f>IF(AND(ISNUMBER(KG132),ISNUMBER(KE132)),KG132-KE132,"")</f>
        <v>0</v>
      </c>
      <c r="KG132" s="33"/>
      <c r="KH132" s="34">
        <f>IF(AND(ISNUMBER(KI132),ISNUMBER(KG132)),KI132-KG132,"")</f>
        <v>0</v>
      </c>
      <c r="KI132" s="33"/>
      <c r="KJ132" s="34">
        <f>IF(AND(ISNUMBER(KK132),ISNUMBER(KI132)),KK132-KI132,"")</f>
        <v>0</v>
      </c>
      <c r="KK132" s="33"/>
      <c r="KL132" s="34">
        <f>IF(AND(ISNUMBER(KM132),ISNUMBER(KK132)),KM132-KK132,"")</f>
        <v>0</v>
      </c>
      <c r="KM132" s="33"/>
      <c r="KN132" s="34">
        <f>IF(AND(ISNUMBER(KO132),ISNUMBER(KM132)),KO132-KM132,"")</f>
        <v>0</v>
      </c>
      <c r="KO132" s="33"/>
      <c r="KP132" s="34">
        <f>IF(AND(ISNUMBER(KQ132),ISNUMBER(KO132)),KQ132-KO132,"")</f>
        <v>0</v>
      </c>
      <c r="KQ132" s="33"/>
      <c r="KR132" s="34">
        <f>IF(AND(ISNUMBER(KS132),ISNUMBER(KQ132)),KS132-KQ132,"")</f>
        <v>0</v>
      </c>
      <c r="KS132" s="33"/>
      <c r="KT132" s="34">
        <f>IF(AND(ISNUMBER(KU132),ISNUMBER(KS132)),KU132-KS132,"")</f>
        <v>0</v>
      </c>
      <c r="KU132" s="33"/>
      <c r="KV132" s="34">
        <f>IF(AND(ISNUMBER(KW132),ISNUMBER(KU132)),KW132-KU132,"")</f>
        <v>0</v>
      </c>
      <c r="KW132" s="33"/>
      <c r="KX132" s="34">
        <f>IF(AND(ISNUMBER(KY132),ISNUMBER(KW132)),KY132-KW132,"")</f>
        <v>0</v>
      </c>
      <c r="KY132" s="33"/>
      <c r="KZ132" s="34">
        <f>IF(AND(ISNUMBER(LA132),ISNUMBER(KY132)),LA132-KY132,"")</f>
        <v>0</v>
      </c>
      <c r="LA132" s="33"/>
      <c r="LB132" s="34">
        <f>IF(AND(ISNUMBER(LC132),ISNUMBER(LA132)),LC132-LA132,"")</f>
        <v>0</v>
      </c>
      <c r="LC132" s="33"/>
      <c r="LD132" s="34">
        <f>IF(AND(ISNUMBER(LE132),ISNUMBER(LC132)),LE132-LC132,"")</f>
        <v>0</v>
      </c>
      <c r="LE132" s="33"/>
      <c r="LF132" s="34">
        <f>IF(AND(ISNUMBER(LG132),ISNUMBER(LE132)),LG132-LE132,"")</f>
        <v>0</v>
      </c>
      <c r="LG132" s="33"/>
    </row>
    <row r="133" spans="1:322">
      <c r="A133" s="36" t="s">
        <v>126</v>
      </c>
      <c r="B133" s="23"/>
      <c r="C133" s="37" t="s">
        <v>913</v>
      </c>
      <c r="E133" s="32" t="s">
        <v>1139</v>
      </c>
      <c r="I133" s="33"/>
      <c r="J133" s="34">
        <f>IF(AND(ISNUMBER(K133),ISNUMBER(I133)),K133-I133,"")</f>
        <v>0</v>
      </c>
      <c r="K133" s="33"/>
      <c r="L133" s="34">
        <f>IF(AND(ISNUMBER(M133),ISNUMBER(K133)),M133-K133,"")</f>
        <v>0</v>
      </c>
      <c r="M133" s="33"/>
      <c r="N133" s="34">
        <f>IF(AND(ISNUMBER(O133),ISNUMBER(M133)),O133-M133,"")</f>
        <v>0</v>
      </c>
      <c r="O133" s="33"/>
      <c r="P133" s="34">
        <f>IF(AND(ISNUMBER(Q133),ISNUMBER(O133)),Q133-O133,"")</f>
        <v>0</v>
      </c>
      <c r="Q133" s="33"/>
      <c r="R133" s="34">
        <f>IF(AND(ISNUMBER(S133),ISNUMBER(Q133)),S133-Q133,"")</f>
        <v>0</v>
      </c>
      <c r="S133" s="33"/>
      <c r="T133" s="34">
        <f>IF(AND(ISNUMBER(U133),ISNUMBER(S133)),U133-S133,"")</f>
        <v>0</v>
      </c>
      <c r="U133" s="33"/>
      <c r="V133" s="34">
        <f>IF(AND(ISNUMBER(W133),ISNUMBER(U133)),W133-U133,"")</f>
        <v>0</v>
      </c>
      <c r="W133" s="33"/>
      <c r="X133" s="34">
        <f>IF(AND(ISNUMBER(Y133),ISNUMBER(W133)),Y133-W133,"")</f>
        <v>0</v>
      </c>
      <c r="Y133" s="33"/>
      <c r="Z133" s="34">
        <f>IF(AND(ISNUMBER(AA133),ISNUMBER(Y133)),AA133-Y133,"")</f>
        <v>0</v>
      </c>
      <c r="AA133" s="33"/>
      <c r="AB133" s="34">
        <f>IF(AND(ISNUMBER(AC133),ISNUMBER(AA133)),AC133-AA133,"")</f>
        <v>0</v>
      </c>
      <c r="AC133" s="33"/>
      <c r="AD133" s="34">
        <f>IF(AND(ISNUMBER(AE133),ISNUMBER(AC133)),AE133-AC133,"")</f>
        <v>0</v>
      </c>
      <c r="AE133" s="33"/>
      <c r="AF133" s="34">
        <f>IF(AND(ISNUMBER(AG133),ISNUMBER(AE133)),AG133-AE133,"")</f>
        <v>0</v>
      </c>
      <c r="AG133" s="33"/>
      <c r="AH133" s="34">
        <f>IF(AND(ISNUMBER(AI133),ISNUMBER(AG133)),AI133-AG133,"")</f>
        <v>0</v>
      </c>
      <c r="AI133" s="33"/>
      <c r="AJ133" s="34">
        <f>IF(AND(ISNUMBER(AK133),ISNUMBER(AI133)),AK133-AI133,"")</f>
        <v>0</v>
      </c>
      <c r="AK133" s="33"/>
      <c r="AL133" s="34">
        <f>IF(AND(ISNUMBER(AM133),ISNUMBER(AK133)),AM133-AK133,"")</f>
        <v>0</v>
      </c>
      <c r="AM133" s="33"/>
      <c r="AN133" s="34">
        <f>IF(AND(ISNUMBER(AO133),ISNUMBER(AM133)),AO133-AM133,"")</f>
        <v>0</v>
      </c>
      <c r="AO133" s="33"/>
      <c r="AP133" s="34">
        <f>IF(AND(ISNUMBER(AQ133),ISNUMBER(AO133)),AQ133-AO133,"")</f>
        <v>0</v>
      </c>
      <c r="AQ133" s="33"/>
      <c r="AR133" s="34">
        <f>IF(AND(ISNUMBER(AS133),ISNUMBER(AQ133)),AS133-AQ133,"")</f>
        <v>0</v>
      </c>
      <c r="AS133" s="33"/>
      <c r="AT133" s="34">
        <f>IF(AND(ISNUMBER(AU133),ISNUMBER(AS133)),AU133-AS133,"")</f>
        <v>0</v>
      </c>
      <c r="AU133" s="33"/>
      <c r="AV133" s="34">
        <f>IF(AND(ISNUMBER(AW133),ISNUMBER(AU133)),AW133-AU133,"")</f>
        <v>0</v>
      </c>
      <c r="AW133" s="33"/>
      <c r="AX133" s="34">
        <f>IF(AND(ISNUMBER(AY133),ISNUMBER(AW133)),AY133-AW133,"")</f>
        <v>0</v>
      </c>
      <c r="AY133" s="33"/>
      <c r="AZ133" s="34">
        <f>IF(AND(ISNUMBER(BA133),ISNUMBER(AY133)),BA133-AY133,"")</f>
        <v>0</v>
      </c>
      <c r="BA133" s="33"/>
      <c r="BB133" s="34">
        <f>IF(AND(ISNUMBER(BC133),ISNUMBER(BA133)),BC133-BA133,"")</f>
        <v>0</v>
      </c>
      <c r="BC133" s="33"/>
      <c r="BD133" s="34">
        <f>IF(AND(ISNUMBER(BE133),ISNUMBER(BC133)),BE133-BC133,"")</f>
        <v>0</v>
      </c>
      <c r="BE133" s="33"/>
      <c r="BF133" s="34">
        <f>IF(AND(ISNUMBER(BG133),ISNUMBER(BE133)),BG133-BE133,"")</f>
        <v>0</v>
      </c>
      <c r="BG133" s="33"/>
      <c r="BH133" s="34">
        <f>IF(AND(ISNUMBER(BI133),ISNUMBER(BG133)),BI133-BG133,"")</f>
        <v>0</v>
      </c>
      <c r="BI133" s="33"/>
      <c r="BJ133" s="34">
        <f>IF(AND(ISNUMBER(BK133),ISNUMBER(BI133)),BK133-BI133,"")</f>
        <v>0</v>
      </c>
      <c r="BK133" s="33"/>
      <c r="BL133" s="34">
        <f>IF(AND(ISNUMBER(BM133),ISNUMBER(BK133)),BM133-BK133,"")</f>
        <v>0</v>
      </c>
      <c r="BM133" s="33"/>
      <c r="BN133" s="34">
        <f>IF(AND(ISNUMBER(BO133),ISNUMBER(BM133)),BO133-BM133,"")</f>
        <v>0</v>
      </c>
      <c r="BO133" s="33"/>
      <c r="BP133" s="34">
        <f>IF(AND(ISNUMBER(BQ133),ISNUMBER(BO133)),BQ133-BO133,"")</f>
        <v>0</v>
      </c>
      <c r="BQ133" s="33"/>
      <c r="BR133" s="34">
        <f>IF(AND(ISNUMBER(BS133),ISNUMBER(BQ133)),BS133-BQ133,"")</f>
        <v>0</v>
      </c>
      <c r="BS133" s="33"/>
      <c r="BT133" s="34">
        <f>IF(AND(ISNUMBER(BU133),ISNUMBER(BS133)),BU133-BS133,"")</f>
        <v>0</v>
      </c>
      <c r="BU133" s="33"/>
      <c r="BV133" s="34">
        <f>IF(AND(ISNUMBER(BW133),ISNUMBER(BU133)),BW133-BU133,"")</f>
        <v>0</v>
      </c>
      <c r="BW133" s="33"/>
      <c r="BX133" s="34">
        <f>IF(AND(ISNUMBER(BY133),ISNUMBER(BW133)),BY133-BW133,"")</f>
        <v>0</v>
      </c>
      <c r="BY133" s="33"/>
      <c r="BZ133" s="34">
        <f>IF(AND(ISNUMBER(CA133),ISNUMBER(BY133)),CA133-BY133,"")</f>
        <v>0</v>
      </c>
      <c r="CA133" s="33"/>
      <c r="CB133" s="34">
        <f>IF(AND(ISNUMBER(CC133),ISNUMBER(CA133)),CC133-CA133,"")</f>
        <v>0</v>
      </c>
      <c r="CC133" s="33"/>
      <c r="CD133" s="34">
        <f>IF(AND(ISNUMBER(CE133),ISNUMBER(CC133)),CE133-CC133,"")</f>
        <v>0</v>
      </c>
      <c r="CE133" s="33"/>
      <c r="CF133" s="34">
        <f>IF(AND(ISNUMBER(CG133),ISNUMBER(CE133)),CG133-CE133,"")</f>
        <v>0</v>
      </c>
      <c r="CG133" s="33"/>
      <c r="CH133" s="34">
        <f>IF(AND(ISNUMBER(CI133),ISNUMBER(CG133)),CI133-CG133,"")</f>
        <v>0</v>
      </c>
      <c r="CI133" s="33"/>
      <c r="CJ133" s="34">
        <f>IF(AND(ISNUMBER(CK133),ISNUMBER(CI133)),CK133-CI133,"")</f>
        <v>0</v>
      </c>
      <c r="CK133" s="33"/>
      <c r="CL133" s="34">
        <f>IF(AND(ISNUMBER(CM133),ISNUMBER(CK133)),CM133-CK133,"")</f>
        <v>0</v>
      </c>
      <c r="CM133" s="33"/>
      <c r="CN133" s="34">
        <f>IF(AND(ISNUMBER(CO133),ISNUMBER(CM133)),CO133-CM133,"")</f>
        <v>0</v>
      </c>
      <c r="CO133" s="33"/>
      <c r="CP133" s="34">
        <f>IF(AND(ISNUMBER(CQ133),ISNUMBER(CO133)),CQ133-CO133,"")</f>
        <v>0</v>
      </c>
      <c r="CQ133" s="33"/>
      <c r="CR133" s="34">
        <f>IF(AND(ISNUMBER(CS133),ISNUMBER(CQ133)),CS133-CQ133,"")</f>
        <v>0</v>
      </c>
      <c r="CS133" s="33"/>
      <c r="CT133" s="34">
        <f>IF(AND(ISNUMBER(CU133),ISNUMBER(CS133)),CU133-CS133,"")</f>
        <v>0</v>
      </c>
      <c r="CU133" s="33"/>
      <c r="CV133" s="34">
        <f>IF(AND(ISNUMBER(CW133),ISNUMBER(CU133)),CW133-CU133,"")</f>
        <v>0</v>
      </c>
      <c r="CW133" s="33"/>
      <c r="CX133" s="34">
        <f>IF(AND(ISNUMBER(CY133),ISNUMBER(CW133)),CY133-CW133,"")</f>
        <v>0</v>
      </c>
      <c r="CY133" s="33"/>
      <c r="CZ133" s="34">
        <f>IF(AND(ISNUMBER(DA133),ISNUMBER(CY133)),DA133-CY133,"")</f>
        <v>0</v>
      </c>
      <c r="DA133" s="33"/>
      <c r="DB133" s="34">
        <f>IF(AND(ISNUMBER(DC133),ISNUMBER(DA133)),DC133-DA133,"")</f>
        <v>0</v>
      </c>
      <c r="DC133" s="33"/>
      <c r="DD133" s="34">
        <f>IF(AND(ISNUMBER(DE133),ISNUMBER(DC133)),DE133-DC133,"")</f>
        <v>0</v>
      </c>
      <c r="DE133" s="33"/>
      <c r="DF133" s="34">
        <f>IF(AND(ISNUMBER(DG133),ISNUMBER(DE133)),DG133-DE133,"")</f>
        <v>0</v>
      </c>
      <c r="DG133" s="33"/>
      <c r="DH133" s="34">
        <f>IF(AND(ISNUMBER(DI133),ISNUMBER(DG133)),DI133-DG133,"")</f>
        <v>0</v>
      </c>
      <c r="DI133" s="33"/>
      <c r="DJ133" s="34">
        <f>IF(AND(ISNUMBER(DK133),ISNUMBER(DI133)),DK133-DI133,"")</f>
        <v>0</v>
      </c>
      <c r="DK133" s="33"/>
      <c r="DL133" s="34">
        <f>IF(AND(ISNUMBER(DM133),ISNUMBER(DK133)),DM133-DK133,"")</f>
        <v>0</v>
      </c>
      <c r="DM133" s="33"/>
      <c r="DN133" s="34">
        <f>IF(AND(ISNUMBER(DO133),ISNUMBER(DM133)),DO133-DM133,"")</f>
        <v>0</v>
      </c>
      <c r="DO133" s="33"/>
      <c r="DP133" s="34">
        <f>IF(AND(ISNUMBER(DQ133),ISNUMBER(DO133)),DQ133-DO133,"")</f>
        <v>0</v>
      </c>
      <c r="DQ133" s="33"/>
      <c r="DR133" s="34">
        <f>IF(AND(ISNUMBER(DS133),ISNUMBER(DQ133)),DS133-DQ133,"")</f>
        <v>0</v>
      </c>
      <c r="DS133" s="33"/>
      <c r="DT133" s="34">
        <f>IF(AND(ISNUMBER(DU133),ISNUMBER(DS133)),DU133-DS133,"")</f>
        <v>0</v>
      </c>
      <c r="DU133" s="33"/>
      <c r="DV133" s="34">
        <f>IF(AND(ISNUMBER(DW133),ISNUMBER(DU133)),DW133-DU133,"")</f>
        <v>0</v>
      </c>
      <c r="DW133" s="33"/>
      <c r="DX133" s="34">
        <f>IF(AND(ISNUMBER(DY133),ISNUMBER(DW133)),DY133-DW133,"")</f>
        <v>0</v>
      </c>
      <c r="DY133" s="33"/>
      <c r="DZ133" s="34">
        <f>IF(AND(ISNUMBER(EA133),ISNUMBER(DY133)),EA133-DY133,"")</f>
        <v>0</v>
      </c>
      <c r="EA133" s="33"/>
      <c r="EB133" s="34">
        <f>IF(AND(ISNUMBER(EC133),ISNUMBER(EA133)),EC133-EA133,"")</f>
        <v>0</v>
      </c>
      <c r="EC133" s="33"/>
      <c r="ED133" s="34">
        <f>IF(AND(ISNUMBER(EE133),ISNUMBER(EC133)),EE133-EC133,"")</f>
        <v>0</v>
      </c>
      <c r="EE133" s="33"/>
      <c r="EF133" s="34">
        <f>IF(AND(ISNUMBER(EG133),ISNUMBER(EE133)),EG133-EE133,"")</f>
        <v>0</v>
      </c>
      <c r="EG133" s="33"/>
      <c r="EH133" s="34">
        <f>IF(AND(ISNUMBER(EI133),ISNUMBER(EG133)),EI133-EG133,"")</f>
        <v>0</v>
      </c>
      <c r="EI133" s="33"/>
      <c r="EJ133" s="34">
        <f>IF(AND(ISNUMBER(EK133),ISNUMBER(EI133)),EK133-EI133,"")</f>
        <v>0</v>
      </c>
      <c r="EK133" s="33"/>
      <c r="EL133" s="34">
        <f>IF(AND(ISNUMBER(EM133),ISNUMBER(EK133)),EM133-EK133,"")</f>
        <v>0</v>
      </c>
      <c r="EM133" s="33"/>
      <c r="EN133" s="34">
        <f>IF(AND(ISNUMBER(EO133),ISNUMBER(EM133)),EO133-EM133,"")</f>
        <v>0</v>
      </c>
      <c r="EO133" s="33"/>
      <c r="EP133" s="34">
        <f>IF(AND(ISNUMBER(EQ133),ISNUMBER(EO133)),EQ133-EO133,"")</f>
        <v>0</v>
      </c>
      <c r="EQ133" s="33"/>
      <c r="ER133" s="34">
        <f>IF(AND(ISNUMBER(ES133),ISNUMBER(EQ133)),ES133-EQ133,"")</f>
        <v>0</v>
      </c>
      <c r="ES133" s="33"/>
      <c r="ET133" s="34">
        <f>IF(AND(ISNUMBER(EU133),ISNUMBER(ES133)),EU133-ES133,"")</f>
        <v>0</v>
      </c>
      <c r="EU133" s="33"/>
      <c r="EV133" s="34">
        <f>IF(AND(ISNUMBER(EW133),ISNUMBER(EU133)),EW133-EU133,"")</f>
        <v>0</v>
      </c>
      <c r="EW133" s="33"/>
      <c r="EX133" s="34">
        <f>IF(AND(ISNUMBER(EY133),ISNUMBER(EW133)),EY133-EW133,"")</f>
        <v>0</v>
      </c>
      <c r="EY133" s="33"/>
      <c r="EZ133" s="34">
        <f>IF(AND(ISNUMBER(FA133),ISNUMBER(EY133)),FA133-EY133,"")</f>
        <v>0</v>
      </c>
      <c r="FA133" s="33"/>
      <c r="FB133" s="34">
        <f>IF(AND(ISNUMBER(FC133),ISNUMBER(FA133)),FC133-FA133,"")</f>
        <v>0</v>
      </c>
      <c r="FC133" s="33"/>
      <c r="FD133" s="34">
        <f>IF(AND(ISNUMBER(FE133),ISNUMBER(FC133)),FE133-FC133,"")</f>
        <v>0</v>
      </c>
      <c r="FE133" s="33"/>
      <c r="FF133" s="34">
        <f>IF(AND(ISNUMBER(FG133),ISNUMBER(FE133)),FG133-FE133,"")</f>
        <v>0</v>
      </c>
      <c r="FG133" s="33"/>
      <c r="FH133" s="34">
        <f>IF(AND(ISNUMBER(FI133),ISNUMBER(FG133)),FI133-FG133,"")</f>
        <v>0</v>
      </c>
      <c r="FI133" s="33"/>
      <c r="FJ133" s="34">
        <f>IF(AND(ISNUMBER(FK133),ISNUMBER(FI133)),FK133-FI133,"")</f>
        <v>0</v>
      </c>
      <c r="FK133" s="33"/>
      <c r="FL133" s="34">
        <f>IF(AND(ISNUMBER(FM133),ISNUMBER(FK133)),FM133-FK133,"")</f>
        <v>0</v>
      </c>
      <c r="FM133" s="33"/>
      <c r="FN133" s="34">
        <f>IF(AND(ISNUMBER(FO133),ISNUMBER(FM133)),FO133-FM133,"")</f>
        <v>0</v>
      </c>
      <c r="FO133" s="33"/>
      <c r="FP133" s="34">
        <f>IF(AND(ISNUMBER(FQ133),ISNUMBER(FO133)),FQ133-FO133,"")</f>
        <v>0</v>
      </c>
      <c r="FQ133" s="33"/>
      <c r="FR133" s="34">
        <f>IF(AND(ISNUMBER(FS133),ISNUMBER(FQ133)),FS133-FQ133,"")</f>
        <v>0</v>
      </c>
      <c r="FS133" s="33"/>
      <c r="FT133" s="34">
        <f>IF(AND(ISNUMBER(FU133),ISNUMBER(FS133)),FU133-FS133,"")</f>
        <v>0</v>
      </c>
      <c r="FU133" s="33"/>
      <c r="FV133" s="34">
        <f>IF(AND(ISNUMBER(FW133),ISNUMBER(FU133)),FW133-FU133,"")</f>
        <v>0</v>
      </c>
      <c r="FW133" s="33"/>
      <c r="FX133" s="34">
        <f>IF(AND(ISNUMBER(FY133),ISNUMBER(FW133)),FY133-FW133,"")</f>
        <v>0</v>
      </c>
      <c r="FY133" s="33"/>
      <c r="FZ133" s="34">
        <f>IF(AND(ISNUMBER(GA133),ISNUMBER(FY133)),GA133-FY133,"")</f>
        <v>0</v>
      </c>
      <c r="GA133" s="33"/>
      <c r="GB133" s="34">
        <f>IF(AND(ISNUMBER(GC133),ISNUMBER(GA133)),GC133-GA133,"")</f>
        <v>0</v>
      </c>
      <c r="GC133" s="33"/>
      <c r="GD133" s="34">
        <f>IF(AND(ISNUMBER(GE133),ISNUMBER(GC133)),GE133-GC133,"")</f>
        <v>0</v>
      </c>
      <c r="GE133" s="33"/>
      <c r="GF133" s="34">
        <f>IF(AND(ISNUMBER(GG133),ISNUMBER(GE133)),GG133-GE133,"")</f>
        <v>0</v>
      </c>
      <c r="GG133" s="33"/>
      <c r="GH133" s="34">
        <f>IF(AND(ISNUMBER(GI133),ISNUMBER(GG133)),GI133-GG133,"")</f>
        <v>0</v>
      </c>
      <c r="GI133" s="33"/>
      <c r="GJ133" s="34">
        <f>IF(AND(ISNUMBER(GK133),ISNUMBER(GI133)),GK133-GI133,"")</f>
        <v>0</v>
      </c>
      <c r="GK133" s="33"/>
      <c r="GL133" s="34">
        <f>IF(AND(ISNUMBER(GM133),ISNUMBER(GK133)),GM133-GK133,"")</f>
        <v>0</v>
      </c>
      <c r="GM133" s="33"/>
      <c r="GN133" s="34">
        <f>IF(AND(ISNUMBER(GO133),ISNUMBER(GM133)),GO133-GM133,"")</f>
        <v>0</v>
      </c>
      <c r="GO133" s="33"/>
      <c r="GP133" s="34">
        <f>IF(AND(ISNUMBER(GQ133),ISNUMBER(GO133)),GQ133-GO133,"")</f>
        <v>0</v>
      </c>
      <c r="GQ133" s="33"/>
      <c r="GR133" s="34">
        <f>IF(AND(ISNUMBER(GS133),ISNUMBER(GQ133)),GS133-GQ133,"")</f>
        <v>0</v>
      </c>
      <c r="GS133" s="33"/>
      <c r="GT133" s="34">
        <f>IF(AND(ISNUMBER(GU133),ISNUMBER(GS133)),GU133-GS133,"")</f>
        <v>0</v>
      </c>
      <c r="GU133" s="33"/>
      <c r="GV133" s="34">
        <f>IF(AND(ISNUMBER(GW133),ISNUMBER(GU133)),GW133-GU133,"")</f>
        <v>0</v>
      </c>
      <c r="GW133" s="33"/>
      <c r="GX133" s="34">
        <f>IF(AND(ISNUMBER(GY133),ISNUMBER(GW133)),GY133-GW133,"")</f>
        <v>0</v>
      </c>
      <c r="GY133" s="33"/>
      <c r="GZ133" s="34">
        <f>IF(AND(ISNUMBER(HA133),ISNUMBER(GY133)),HA133-GY133,"")</f>
        <v>0</v>
      </c>
      <c r="HA133" s="33"/>
      <c r="HB133" s="34">
        <f>IF(AND(ISNUMBER(HC133),ISNUMBER(HA133)),HC133-HA133,"")</f>
        <v>0</v>
      </c>
      <c r="HC133" s="39">
        <f>IF(COUNT(HC134:HC136)=0,"",SUM(HC134:HC136))</f>
        <v>0</v>
      </c>
      <c r="HD133" s="34">
        <f>IF(AND(ISNUMBER(HE133),ISNUMBER(HC133)),HE133-HC133,"")</f>
        <v>0</v>
      </c>
      <c r="HE133" s="39">
        <f>IF(COUNT(HE134:HE136)=0,"",SUM(HE134:HE136))</f>
        <v>0</v>
      </c>
      <c r="HF133" s="34">
        <f>IF(AND(ISNUMBER(HG133),ISNUMBER(HE133)),HG133-HE133,"")</f>
        <v>0</v>
      </c>
      <c r="HG133" s="39">
        <f>IF(COUNT(HG134:HG136)=0,"",SUM(HG134:HG136))</f>
        <v>0</v>
      </c>
      <c r="HH133" s="34">
        <f>IF(AND(ISNUMBER(HI133),ISNUMBER(HG133)),HI133-HG133,"")</f>
        <v>0</v>
      </c>
      <c r="HI133" s="39">
        <f>IF(COUNT(HI134:HI136)=0,"",SUM(HI134:HI136))</f>
        <v>0</v>
      </c>
      <c r="HJ133" s="34">
        <f>IF(AND(ISNUMBER(HK133),ISNUMBER(HI133)),HK133-HI133,"")</f>
        <v>0</v>
      </c>
      <c r="HK133" s="39">
        <f>IF(COUNT(HK134:HK136)=0,"",SUM(HK134:HK136))</f>
        <v>0</v>
      </c>
      <c r="HL133" s="34">
        <f>IF(AND(ISNUMBER(HM133),ISNUMBER(HK133)),HM133-HK133,"")</f>
        <v>0</v>
      </c>
      <c r="HM133" s="39">
        <f>IF(COUNT(HM134:HM136)=0,"",SUM(HM134:HM136))</f>
        <v>0</v>
      </c>
      <c r="HN133" s="34">
        <f>IF(AND(ISNUMBER(HO133),ISNUMBER(HM133)),HO133-HM133,"")</f>
        <v>0</v>
      </c>
      <c r="HO133" s="39">
        <f>IF(COUNT(HO134:HO136)=0,"",SUM(HO134:HO136))</f>
        <v>0</v>
      </c>
      <c r="HP133" s="34">
        <f>IF(AND(ISNUMBER(HQ133),ISNUMBER(HO133)),HQ133-HO133,"")</f>
        <v>0</v>
      </c>
      <c r="HQ133" s="39">
        <f>IF(COUNT(HQ134:HQ136)=0,"",SUM(HQ134:HQ136))</f>
        <v>0</v>
      </c>
      <c r="HR133" s="34">
        <f>IF(AND(ISNUMBER(HS133),ISNUMBER(HQ133)),HS133-HQ133,"")</f>
        <v>0</v>
      </c>
      <c r="HS133" s="39">
        <f>IF(COUNT(HS134:HS136)=0,"",SUM(HS134:HS136))</f>
        <v>0</v>
      </c>
      <c r="HT133" s="34">
        <f>IF(AND(ISNUMBER(HU133),ISNUMBER(HS133)),HU133-HS133,"")</f>
        <v>0</v>
      </c>
      <c r="HU133" s="39">
        <f>IF(COUNT(HU134:HU136)=0,"",SUM(HU134:HU136))</f>
        <v>0</v>
      </c>
      <c r="HV133" s="34">
        <f>IF(AND(ISNUMBER(HW133),ISNUMBER(HU133)),HW133-HU133,"")</f>
        <v>0</v>
      </c>
      <c r="HW133" s="39">
        <f>IF(COUNT(HW134:HW136)=0,"",SUM(HW134:HW136))</f>
        <v>0</v>
      </c>
      <c r="HX133" s="34">
        <f>IF(AND(ISNUMBER(HY133),ISNUMBER(HW133)),HY133-HW133,"")</f>
        <v>0</v>
      </c>
      <c r="HY133" s="39">
        <f>IF(COUNT(HY134:HY136)=0,"",SUM(HY134:HY136))</f>
        <v>0</v>
      </c>
      <c r="HZ133" s="34">
        <f>IF(AND(ISNUMBER(IA133),ISNUMBER(HY133)),IA133-HY133,"")</f>
        <v>0</v>
      </c>
      <c r="IA133" s="39">
        <f>IF(COUNT(IA134:IA136)=0,"",SUM(IA134:IA136))</f>
        <v>0</v>
      </c>
      <c r="IB133" s="34">
        <f>IF(AND(ISNUMBER(IC133),ISNUMBER(IA133)),IC133-IA133,"")</f>
        <v>0</v>
      </c>
      <c r="IC133" s="39">
        <f>IF(COUNT(IC134:IC136)=0,"",SUM(IC134:IC136))</f>
        <v>0</v>
      </c>
      <c r="ID133" s="34">
        <f>IF(AND(ISNUMBER(IE133),ISNUMBER(IC133)),IE133-IC133,"")</f>
        <v>0</v>
      </c>
      <c r="IE133" s="39">
        <f>IF(COUNT(IE134:IE136)=0,"",SUM(IE134:IE136))</f>
        <v>0</v>
      </c>
      <c r="IF133" s="34">
        <f>IF(AND(ISNUMBER(IG133),ISNUMBER(IE133)),IG133-IE133,"")</f>
        <v>0</v>
      </c>
      <c r="IG133" s="39">
        <f>IF(COUNT(IG134:IG136)=0,"",SUM(IG134:IG136))</f>
        <v>0</v>
      </c>
      <c r="IH133" s="34">
        <f>IF(AND(ISNUMBER(II133),ISNUMBER(IG133)),II133-IG133,"")</f>
        <v>0</v>
      </c>
      <c r="II133" s="39">
        <f>IF(COUNT(II134:II136)=0,"",SUM(II134:II136))</f>
        <v>0</v>
      </c>
      <c r="IJ133" s="34">
        <f>IF(AND(ISNUMBER(IK133),ISNUMBER(II133)),IK133-II133,"")</f>
        <v>0</v>
      </c>
      <c r="IK133" s="39">
        <f>IF(COUNT(IK134:IK136)=0,"",SUM(IK134:IK136))</f>
        <v>0</v>
      </c>
      <c r="IL133" s="34">
        <f>IF(AND(ISNUMBER(IM133),ISNUMBER(IK133)),IM133-IK133,"")</f>
        <v>0</v>
      </c>
      <c r="IM133" s="39">
        <f>IF(COUNT(IM134:IM136)=0,"",SUM(IM134:IM136))</f>
        <v>0</v>
      </c>
      <c r="IN133" s="34">
        <f>IF(AND(ISNUMBER(IO133),ISNUMBER(IM133)),IO133-IM133,"")</f>
        <v>0</v>
      </c>
      <c r="IO133" s="39">
        <f>IF(COUNT(IO134:IO136)=0,"",SUM(IO134:IO136))</f>
        <v>0</v>
      </c>
      <c r="IP133" s="34">
        <f>IF(AND(ISNUMBER(IQ133),ISNUMBER(IO133)),IQ133-IO133,"")</f>
        <v>0</v>
      </c>
      <c r="IQ133" s="39">
        <f>IF(COUNT(IQ134:IQ136)=0,"",SUM(IQ134:IQ136))</f>
        <v>0</v>
      </c>
      <c r="IR133" s="34">
        <f>IF(AND(ISNUMBER(IS133),ISNUMBER(IQ133)),IS133-IQ133,"")</f>
        <v>0</v>
      </c>
      <c r="IS133" s="39">
        <f>IF(COUNT(IS134:IS136)=0,"",SUM(IS134:IS136))</f>
        <v>0</v>
      </c>
      <c r="IT133" s="34">
        <f>IF(AND(ISNUMBER(IU133),ISNUMBER(IS133)),IU133-IS133,"")</f>
        <v>0</v>
      </c>
      <c r="IU133" s="39">
        <f>IF(COUNT(IU134:IU136)=0,"",SUM(IU134:IU136))</f>
        <v>0</v>
      </c>
      <c r="IV133" s="34">
        <f>IF(AND(ISNUMBER(IW133),ISNUMBER(IU133)),IW133-IU133,"")</f>
        <v>0</v>
      </c>
      <c r="IW133" s="39">
        <f>IF(COUNT(IW134:IW136)=0,"",SUM(IW134:IW136))</f>
        <v>0</v>
      </c>
      <c r="IX133" s="34">
        <f>IF(AND(ISNUMBER(IY133),ISNUMBER(IW133)),IY133-IW133,"")</f>
        <v>0</v>
      </c>
      <c r="IY133" s="39">
        <f>IF(COUNT(IY134:IY136)=0,"",SUM(IY134:IY136))</f>
        <v>0</v>
      </c>
      <c r="IZ133" s="34">
        <f>IF(AND(ISNUMBER(JA133),ISNUMBER(IY133)),JA133-IY133,"")</f>
        <v>0</v>
      </c>
      <c r="JA133" s="39">
        <f>IF(COUNT(JA134:JA136)=0,"",SUM(JA134:JA136))</f>
        <v>0</v>
      </c>
      <c r="JB133" s="34">
        <f>IF(AND(ISNUMBER(JC133),ISNUMBER(JA133)),JC133-JA133,"")</f>
        <v>0</v>
      </c>
      <c r="JC133" s="39">
        <f>IF(COUNT(JC134:JC136)=0,"",SUM(JC134:JC136))</f>
        <v>0</v>
      </c>
      <c r="JD133" s="34">
        <f>IF(AND(ISNUMBER(JE133),ISNUMBER(JC133)),JE133-JC133,"")</f>
        <v>0</v>
      </c>
      <c r="JE133" s="39">
        <f>IF(COUNT(JE134:JE136)=0,"",SUM(JE134:JE136))</f>
        <v>0</v>
      </c>
      <c r="JF133" s="34">
        <f>IF(AND(ISNUMBER(JG133),ISNUMBER(JE133)),JG133-JE133,"")</f>
        <v>0</v>
      </c>
      <c r="JG133" s="39">
        <f>IF(COUNT(JG134:JG136)=0,"",SUM(JG134:JG136))</f>
        <v>0</v>
      </c>
      <c r="JH133" s="34">
        <f>IF(AND(ISNUMBER(JI133),ISNUMBER(JG133)),JI133-JG133,"")</f>
        <v>0</v>
      </c>
      <c r="JI133" s="39">
        <f>IF(COUNT(JI134:JI136)=0,"",SUM(JI134:JI136))</f>
        <v>0</v>
      </c>
      <c r="JJ133" s="34">
        <f>IF(AND(ISNUMBER(JK133),ISNUMBER(JI133)),JK133-JI133,"")</f>
        <v>0</v>
      </c>
      <c r="JK133" s="39">
        <f>IF(COUNT(JK134:JK136)=0,"",SUM(JK134:JK136))</f>
        <v>0</v>
      </c>
      <c r="JL133" s="34">
        <f>IF(AND(ISNUMBER(JM133),ISNUMBER(JK133)),JM133-JK133,"")</f>
        <v>0</v>
      </c>
      <c r="JM133" s="39">
        <f>IF(COUNT(JM134:JM136)=0,"",SUM(JM134:JM136))</f>
        <v>0</v>
      </c>
      <c r="JN133" s="34">
        <f>IF(AND(ISNUMBER(JO133),ISNUMBER(JM133)),JO133-JM133,"")</f>
        <v>0</v>
      </c>
      <c r="JO133" s="39">
        <f>IF(COUNT(JO134:JO136)=0,"",SUM(JO134:JO136))</f>
        <v>0</v>
      </c>
      <c r="JP133" s="34">
        <f>IF(AND(ISNUMBER(JQ133),ISNUMBER(JO133)),JQ133-JO133,"")</f>
        <v>0</v>
      </c>
      <c r="JQ133" s="39">
        <f>IF(COUNT(JQ134:JQ136)=0,"",SUM(JQ134:JQ136))</f>
        <v>0</v>
      </c>
      <c r="JR133" s="34">
        <f>IF(AND(ISNUMBER(JS133),ISNUMBER(JQ133)),JS133-JQ133,"")</f>
        <v>0</v>
      </c>
      <c r="JS133" s="39">
        <f>IF(COUNT(JS134:JS136)=0,"",SUM(JS134:JS136))</f>
        <v>0</v>
      </c>
      <c r="JT133" s="34">
        <f>IF(AND(ISNUMBER(JU133),ISNUMBER(JS133)),JU133-JS133,"")</f>
        <v>0</v>
      </c>
      <c r="JU133" s="39">
        <f>IF(COUNT(JU134:JU136)=0,"",SUM(JU134:JU136))</f>
        <v>0</v>
      </c>
      <c r="JV133" s="34">
        <f>IF(AND(ISNUMBER(JW133),ISNUMBER(JU133)),JW133-JU133,"")</f>
        <v>0</v>
      </c>
      <c r="JW133" s="39">
        <f>IF(COUNT(JW134:JW136)=0,"",SUM(JW134:JW136))</f>
        <v>0</v>
      </c>
      <c r="JX133" s="34">
        <f>IF(AND(ISNUMBER(JY133),ISNUMBER(JW133)),JY133-JW133,"")</f>
        <v>0</v>
      </c>
      <c r="JY133" s="39">
        <f>IF(COUNT(JY134:JY136)=0,"",SUM(JY134:JY136))</f>
        <v>0</v>
      </c>
      <c r="JZ133" s="34">
        <f>IF(AND(ISNUMBER(KA133),ISNUMBER(JY133)),KA133-JY133,"")</f>
        <v>0</v>
      </c>
      <c r="KA133" s="39">
        <f>IF(COUNT(KA134:KA136)=0,"",SUM(KA134:KA136))</f>
        <v>0</v>
      </c>
      <c r="KB133" s="34">
        <f>IF(AND(ISNUMBER(KC133),ISNUMBER(KA133)),KC133-KA133,"")</f>
        <v>0</v>
      </c>
      <c r="KC133" s="39">
        <f>IF(COUNT(KC134:KC136)=0,"",SUM(KC134:KC136))</f>
        <v>0</v>
      </c>
      <c r="KD133" s="34">
        <f>IF(AND(ISNUMBER(KE133),ISNUMBER(KC133)),KE133-KC133,"")</f>
        <v>0</v>
      </c>
      <c r="KE133" s="39">
        <f>IF(COUNT(KE134:KE136)=0,"",SUM(KE134:KE136))</f>
        <v>0</v>
      </c>
      <c r="KF133" s="34">
        <f>IF(AND(ISNUMBER(KG133),ISNUMBER(KE133)),KG133-KE133,"")</f>
        <v>0</v>
      </c>
      <c r="KG133" s="39">
        <f>IF(COUNT(KG134:KG136)=0,"",SUM(KG134:KG136))</f>
        <v>0</v>
      </c>
      <c r="KH133" s="34">
        <f>IF(AND(ISNUMBER(KI133),ISNUMBER(KG133)),KI133-KG133,"")</f>
        <v>0</v>
      </c>
      <c r="KI133" s="39">
        <f>IF(COUNT(KI134:KI136)=0,"",SUM(KI134:KI136))</f>
        <v>0</v>
      </c>
      <c r="KJ133" s="34">
        <f>IF(AND(ISNUMBER(KK133),ISNUMBER(KI133)),KK133-KI133,"")</f>
        <v>0</v>
      </c>
      <c r="KK133" s="39">
        <f>IF(COUNT(KK134:KK136)=0,"",SUM(KK134:KK136))</f>
        <v>0</v>
      </c>
      <c r="KL133" s="34">
        <f>IF(AND(ISNUMBER(KM133),ISNUMBER(KK133)),KM133-KK133,"")</f>
        <v>0</v>
      </c>
      <c r="KM133" s="39">
        <f>IF(COUNT(KM134:KM136)=0,"",SUM(KM134:KM136))</f>
        <v>0</v>
      </c>
      <c r="KN133" s="34">
        <f>IF(AND(ISNUMBER(KO133),ISNUMBER(KM133)),KO133-KM133,"")</f>
        <v>0</v>
      </c>
      <c r="KO133" s="39">
        <f>IF(COUNT(KO134:KO136)=0,"",SUM(KO134:KO136))</f>
        <v>0</v>
      </c>
      <c r="KP133" s="34">
        <f>IF(AND(ISNUMBER(KQ133),ISNUMBER(KO133)),KQ133-KO133,"")</f>
        <v>0</v>
      </c>
      <c r="KQ133" s="39">
        <f>IF(COUNT(KQ134:KQ136)=0,"",SUM(KQ134:KQ136))</f>
        <v>0</v>
      </c>
      <c r="KR133" s="34">
        <f>IF(AND(ISNUMBER(KS133),ISNUMBER(KQ133)),KS133-KQ133,"")</f>
        <v>0</v>
      </c>
      <c r="KS133" s="39">
        <f>IF(COUNT(KS134:KS136)=0,"",SUM(KS134:KS136))</f>
        <v>0</v>
      </c>
      <c r="KT133" s="34">
        <f>IF(AND(ISNUMBER(KU133),ISNUMBER(KS133)),KU133-KS133,"")</f>
        <v>0</v>
      </c>
      <c r="KU133" s="39">
        <f>IF(COUNT(KU134:KU136)=0,"",SUM(KU134:KU136))</f>
        <v>0</v>
      </c>
      <c r="KV133" s="34">
        <f>IF(AND(ISNUMBER(KW133),ISNUMBER(KU133)),KW133-KU133,"")</f>
        <v>0</v>
      </c>
      <c r="KW133" s="39">
        <f>IF(COUNT(KW134:KW136)=0,"",SUM(KW134:KW136))</f>
        <v>0</v>
      </c>
      <c r="KX133" s="34">
        <f>IF(AND(ISNUMBER(KY133),ISNUMBER(KW133)),KY133-KW133,"")</f>
        <v>0</v>
      </c>
      <c r="KY133" s="39">
        <f>IF(COUNT(KY134:KY136)=0,"",SUM(KY134:KY136))</f>
        <v>0</v>
      </c>
      <c r="KZ133" s="34">
        <f>IF(AND(ISNUMBER(LA133),ISNUMBER(KY133)),LA133-KY133,"")</f>
        <v>0</v>
      </c>
      <c r="LA133" s="39">
        <f>IF(COUNT(LA134:LA136)=0,"",SUM(LA134:LA136))</f>
        <v>0</v>
      </c>
      <c r="LB133" s="34">
        <f>IF(AND(ISNUMBER(LC133),ISNUMBER(LA133)),LC133-LA133,"")</f>
        <v>0</v>
      </c>
      <c r="LC133" s="39">
        <f>IF(COUNT(LC134:LC136)=0,"",SUM(LC134:LC136))</f>
        <v>0</v>
      </c>
      <c r="LD133" s="34">
        <f>IF(AND(ISNUMBER(LE133),ISNUMBER(LC133)),LE133-LC133,"")</f>
        <v>0</v>
      </c>
      <c r="LE133" s="39">
        <f>IF(COUNT(LE134:LE136)=0,"",SUM(LE134:LE136))</f>
        <v>0</v>
      </c>
      <c r="LF133" s="34">
        <f>IF(AND(ISNUMBER(LG133),ISNUMBER(LE133)),LG133-LE133,"")</f>
        <v>0</v>
      </c>
      <c r="LG133" s="39">
        <f>IF(COUNT(LG134:LG136)=0,"",SUM(LG134:LG136))</f>
        <v>0</v>
      </c>
    </row>
    <row r="134" spans="1:322">
      <c r="B134" s="23"/>
      <c r="C134" s="31" t="s">
        <v>915</v>
      </c>
      <c r="E134" s="32" t="s">
        <v>1139</v>
      </c>
      <c r="I134" s="33"/>
      <c r="J134" s="34">
        <f>IF(AND(ISNUMBER(K134),ISNUMBER(I134)),K134-I134,"")</f>
        <v>0</v>
      </c>
      <c r="K134" s="33"/>
      <c r="L134" s="34">
        <f>IF(AND(ISNUMBER(M134),ISNUMBER(K134)),M134-K134,"")</f>
        <v>0</v>
      </c>
      <c r="M134" s="33"/>
      <c r="N134" s="34">
        <f>IF(AND(ISNUMBER(O134),ISNUMBER(M134)),O134-M134,"")</f>
        <v>0</v>
      </c>
      <c r="O134" s="33"/>
      <c r="P134" s="34">
        <f>IF(AND(ISNUMBER(Q134),ISNUMBER(O134)),Q134-O134,"")</f>
        <v>0</v>
      </c>
      <c r="Q134" s="33"/>
      <c r="R134" s="34">
        <f>IF(AND(ISNUMBER(S134),ISNUMBER(Q134)),S134-Q134,"")</f>
        <v>0</v>
      </c>
      <c r="S134" s="33"/>
      <c r="T134" s="34">
        <f>IF(AND(ISNUMBER(U134),ISNUMBER(S134)),U134-S134,"")</f>
        <v>0</v>
      </c>
      <c r="U134" s="33"/>
      <c r="V134" s="34">
        <f>IF(AND(ISNUMBER(W134),ISNUMBER(U134)),W134-U134,"")</f>
        <v>0</v>
      </c>
      <c r="W134" s="33"/>
      <c r="X134" s="34">
        <f>IF(AND(ISNUMBER(Y134),ISNUMBER(W134)),Y134-W134,"")</f>
        <v>0</v>
      </c>
      <c r="Y134" s="33"/>
      <c r="Z134" s="34">
        <f>IF(AND(ISNUMBER(AA134),ISNUMBER(Y134)),AA134-Y134,"")</f>
        <v>0</v>
      </c>
      <c r="AA134" s="33"/>
      <c r="AB134" s="34">
        <f>IF(AND(ISNUMBER(AC134),ISNUMBER(AA134)),AC134-AA134,"")</f>
        <v>0</v>
      </c>
      <c r="AC134" s="33"/>
      <c r="AD134" s="34">
        <f>IF(AND(ISNUMBER(AE134),ISNUMBER(AC134)),AE134-AC134,"")</f>
        <v>0</v>
      </c>
      <c r="AE134" s="33"/>
      <c r="AF134" s="34">
        <f>IF(AND(ISNUMBER(AG134),ISNUMBER(AE134)),AG134-AE134,"")</f>
        <v>0</v>
      </c>
      <c r="AG134" s="33"/>
      <c r="AH134" s="34">
        <f>IF(AND(ISNUMBER(AI134),ISNUMBER(AG134)),AI134-AG134,"")</f>
        <v>0</v>
      </c>
      <c r="AI134" s="33"/>
      <c r="AJ134" s="34">
        <f>IF(AND(ISNUMBER(AK134),ISNUMBER(AI134)),AK134-AI134,"")</f>
        <v>0</v>
      </c>
      <c r="AK134" s="33"/>
      <c r="AL134" s="34">
        <f>IF(AND(ISNUMBER(AM134),ISNUMBER(AK134)),AM134-AK134,"")</f>
        <v>0</v>
      </c>
      <c r="AM134" s="33"/>
      <c r="AN134" s="34">
        <f>IF(AND(ISNUMBER(AO134),ISNUMBER(AM134)),AO134-AM134,"")</f>
        <v>0</v>
      </c>
      <c r="AO134" s="33"/>
      <c r="AP134" s="34">
        <f>IF(AND(ISNUMBER(AQ134),ISNUMBER(AO134)),AQ134-AO134,"")</f>
        <v>0</v>
      </c>
      <c r="AQ134" s="33"/>
      <c r="AR134" s="34">
        <f>IF(AND(ISNUMBER(AS134),ISNUMBER(AQ134)),AS134-AQ134,"")</f>
        <v>0</v>
      </c>
      <c r="AS134" s="33"/>
      <c r="AT134" s="34">
        <f>IF(AND(ISNUMBER(AU134),ISNUMBER(AS134)),AU134-AS134,"")</f>
        <v>0</v>
      </c>
      <c r="AU134" s="33"/>
      <c r="AV134" s="34">
        <f>IF(AND(ISNUMBER(AW134),ISNUMBER(AU134)),AW134-AU134,"")</f>
        <v>0</v>
      </c>
      <c r="AW134" s="33"/>
      <c r="AX134" s="34">
        <f>IF(AND(ISNUMBER(AY134),ISNUMBER(AW134)),AY134-AW134,"")</f>
        <v>0</v>
      </c>
      <c r="AY134" s="33"/>
      <c r="AZ134" s="34">
        <f>IF(AND(ISNUMBER(BA134),ISNUMBER(AY134)),BA134-AY134,"")</f>
        <v>0</v>
      </c>
      <c r="BA134" s="33"/>
      <c r="BB134" s="34">
        <f>IF(AND(ISNUMBER(BC134),ISNUMBER(BA134)),BC134-BA134,"")</f>
        <v>0</v>
      </c>
      <c r="BC134" s="33"/>
      <c r="BD134" s="34">
        <f>IF(AND(ISNUMBER(BE134),ISNUMBER(BC134)),BE134-BC134,"")</f>
        <v>0</v>
      </c>
      <c r="BE134" s="33"/>
      <c r="BF134" s="34">
        <f>IF(AND(ISNUMBER(BG134),ISNUMBER(BE134)),BG134-BE134,"")</f>
        <v>0</v>
      </c>
      <c r="BG134" s="33"/>
      <c r="BH134" s="34">
        <f>IF(AND(ISNUMBER(BI134),ISNUMBER(BG134)),BI134-BG134,"")</f>
        <v>0</v>
      </c>
      <c r="BI134" s="33"/>
      <c r="BJ134" s="34">
        <f>IF(AND(ISNUMBER(BK134),ISNUMBER(BI134)),BK134-BI134,"")</f>
        <v>0</v>
      </c>
      <c r="BK134" s="33"/>
      <c r="BL134" s="34">
        <f>IF(AND(ISNUMBER(BM134),ISNUMBER(BK134)),BM134-BK134,"")</f>
        <v>0</v>
      </c>
      <c r="BM134" s="33"/>
      <c r="BN134" s="34">
        <f>IF(AND(ISNUMBER(BO134),ISNUMBER(BM134)),BO134-BM134,"")</f>
        <v>0</v>
      </c>
      <c r="BO134" s="33"/>
      <c r="BP134" s="34">
        <f>IF(AND(ISNUMBER(BQ134),ISNUMBER(BO134)),BQ134-BO134,"")</f>
        <v>0</v>
      </c>
      <c r="BQ134" s="33"/>
      <c r="BR134" s="34">
        <f>IF(AND(ISNUMBER(BS134),ISNUMBER(BQ134)),BS134-BQ134,"")</f>
        <v>0</v>
      </c>
      <c r="BS134" s="33"/>
      <c r="BT134" s="34">
        <f>IF(AND(ISNUMBER(BU134),ISNUMBER(BS134)),BU134-BS134,"")</f>
        <v>0</v>
      </c>
      <c r="BU134" s="33"/>
      <c r="BV134" s="34">
        <f>IF(AND(ISNUMBER(BW134),ISNUMBER(BU134)),BW134-BU134,"")</f>
        <v>0</v>
      </c>
      <c r="BW134" s="33"/>
      <c r="BX134" s="34">
        <f>IF(AND(ISNUMBER(BY134),ISNUMBER(BW134)),BY134-BW134,"")</f>
        <v>0</v>
      </c>
      <c r="BY134" s="33"/>
      <c r="BZ134" s="34">
        <f>IF(AND(ISNUMBER(CA134),ISNUMBER(BY134)),CA134-BY134,"")</f>
        <v>0</v>
      </c>
      <c r="CA134" s="33"/>
      <c r="CB134" s="34">
        <f>IF(AND(ISNUMBER(CC134),ISNUMBER(CA134)),CC134-CA134,"")</f>
        <v>0</v>
      </c>
      <c r="CC134" s="33"/>
      <c r="CD134" s="34">
        <f>IF(AND(ISNUMBER(CE134),ISNUMBER(CC134)),CE134-CC134,"")</f>
        <v>0</v>
      </c>
      <c r="CE134" s="33"/>
      <c r="CF134" s="34">
        <f>IF(AND(ISNUMBER(CG134),ISNUMBER(CE134)),CG134-CE134,"")</f>
        <v>0</v>
      </c>
      <c r="CG134" s="33"/>
      <c r="CH134" s="34">
        <f>IF(AND(ISNUMBER(CI134),ISNUMBER(CG134)),CI134-CG134,"")</f>
        <v>0</v>
      </c>
      <c r="CI134" s="33"/>
      <c r="CJ134" s="34">
        <f>IF(AND(ISNUMBER(CK134),ISNUMBER(CI134)),CK134-CI134,"")</f>
        <v>0</v>
      </c>
      <c r="CK134" s="33"/>
      <c r="CL134" s="34">
        <f>IF(AND(ISNUMBER(CM134),ISNUMBER(CK134)),CM134-CK134,"")</f>
        <v>0</v>
      </c>
      <c r="CM134" s="33"/>
      <c r="CN134" s="34">
        <f>IF(AND(ISNUMBER(CO134),ISNUMBER(CM134)),CO134-CM134,"")</f>
        <v>0</v>
      </c>
      <c r="CO134" s="33"/>
      <c r="CP134" s="34">
        <f>IF(AND(ISNUMBER(CQ134),ISNUMBER(CO134)),CQ134-CO134,"")</f>
        <v>0</v>
      </c>
      <c r="CQ134" s="33"/>
      <c r="CR134" s="34">
        <f>IF(AND(ISNUMBER(CS134),ISNUMBER(CQ134)),CS134-CQ134,"")</f>
        <v>0</v>
      </c>
      <c r="CS134" s="33"/>
      <c r="CT134" s="34">
        <f>IF(AND(ISNUMBER(CU134),ISNUMBER(CS134)),CU134-CS134,"")</f>
        <v>0</v>
      </c>
      <c r="CU134" s="33"/>
      <c r="CV134" s="34">
        <f>IF(AND(ISNUMBER(CW134),ISNUMBER(CU134)),CW134-CU134,"")</f>
        <v>0</v>
      </c>
      <c r="CW134" s="33"/>
      <c r="CX134" s="34">
        <f>IF(AND(ISNUMBER(CY134),ISNUMBER(CW134)),CY134-CW134,"")</f>
        <v>0</v>
      </c>
      <c r="CY134" s="33"/>
      <c r="CZ134" s="34">
        <f>IF(AND(ISNUMBER(DA134),ISNUMBER(CY134)),DA134-CY134,"")</f>
        <v>0</v>
      </c>
      <c r="DA134" s="33"/>
      <c r="DB134" s="34">
        <f>IF(AND(ISNUMBER(DC134),ISNUMBER(DA134)),DC134-DA134,"")</f>
        <v>0</v>
      </c>
      <c r="DC134" s="33"/>
      <c r="DD134" s="34">
        <f>IF(AND(ISNUMBER(DE134),ISNUMBER(DC134)),DE134-DC134,"")</f>
        <v>0</v>
      </c>
      <c r="DE134" s="33"/>
      <c r="DF134" s="34">
        <f>IF(AND(ISNUMBER(DG134),ISNUMBER(DE134)),DG134-DE134,"")</f>
        <v>0</v>
      </c>
      <c r="DG134" s="33"/>
      <c r="DH134" s="34">
        <f>IF(AND(ISNUMBER(DI134),ISNUMBER(DG134)),DI134-DG134,"")</f>
        <v>0</v>
      </c>
      <c r="DI134" s="33"/>
      <c r="DJ134" s="34">
        <f>IF(AND(ISNUMBER(DK134),ISNUMBER(DI134)),DK134-DI134,"")</f>
        <v>0</v>
      </c>
      <c r="DK134" s="33"/>
      <c r="DL134" s="34">
        <f>IF(AND(ISNUMBER(DM134),ISNUMBER(DK134)),DM134-DK134,"")</f>
        <v>0</v>
      </c>
      <c r="DM134" s="33"/>
      <c r="DN134" s="34">
        <f>IF(AND(ISNUMBER(DO134),ISNUMBER(DM134)),DO134-DM134,"")</f>
        <v>0</v>
      </c>
      <c r="DO134" s="33"/>
      <c r="DP134" s="34">
        <f>IF(AND(ISNUMBER(DQ134),ISNUMBER(DO134)),DQ134-DO134,"")</f>
        <v>0</v>
      </c>
      <c r="DQ134" s="33"/>
      <c r="DR134" s="34">
        <f>IF(AND(ISNUMBER(DS134),ISNUMBER(DQ134)),DS134-DQ134,"")</f>
        <v>0</v>
      </c>
      <c r="DS134" s="33"/>
      <c r="DT134" s="34">
        <f>IF(AND(ISNUMBER(DU134),ISNUMBER(DS134)),DU134-DS134,"")</f>
        <v>0</v>
      </c>
      <c r="DU134" s="33"/>
      <c r="DV134" s="34">
        <f>IF(AND(ISNUMBER(DW134),ISNUMBER(DU134)),DW134-DU134,"")</f>
        <v>0</v>
      </c>
      <c r="DW134" s="33"/>
      <c r="DX134" s="34">
        <f>IF(AND(ISNUMBER(DY134),ISNUMBER(DW134)),DY134-DW134,"")</f>
        <v>0</v>
      </c>
      <c r="DY134" s="33"/>
      <c r="DZ134" s="34">
        <f>IF(AND(ISNUMBER(EA134),ISNUMBER(DY134)),EA134-DY134,"")</f>
        <v>0</v>
      </c>
      <c r="EA134" s="33"/>
      <c r="EB134" s="34">
        <f>IF(AND(ISNUMBER(EC134),ISNUMBER(EA134)),EC134-EA134,"")</f>
        <v>0</v>
      </c>
      <c r="EC134" s="33"/>
      <c r="ED134" s="34">
        <f>IF(AND(ISNUMBER(EE134),ISNUMBER(EC134)),EE134-EC134,"")</f>
        <v>0</v>
      </c>
      <c r="EE134" s="33"/>
      <c r="EF134" s="34">
        <f>IF(AND(ISNUMBER(EG134),ISNUMBER(EE134)),EG134-EE134,"")</f>
        <v>0</v>
      </c>
      <c r="EG134" s="33"/>
      <c r="EH134" s="34">
        <f>IF(AND(ISNUMBER(EI134),ISNUMBER(EG134)),EI134-EG134,"")</f>
        <v>0</v>
      </c>
      <c r="EI134" s="33"/>
      <c r="EJ134" s="34">
        <f>IF(AND(ISNUMBER(EK134),ISNUMBER(EI134)),EK134-EI134,"")</f>
        <v>0</v>
      </c>
      <c r="EK134" s="33"/>
      <c r="EL134" s="34">
        <f>IF(AND(ISNUMBER(EM134),ISNUMBER(EK134)),EM134-EK134,"")</f>
        <v>0</v>
      </c>
      <c r="EM134" s="33"/>
      <c r="EN134" s="34">
        <f>IF(AND(ISNUMBER(EO134),ISNUMBER(EM134)),EO134-EM134,"")</f>
        <v>0</v>
      </c>
      <c r="EO134" s="33"/>
      <c r="EP134" s="34">
        <f>IF(AND(ISNUMBER(EQ134),ISNUMBER(EO134)),EQ134-EO134,"")</f>
        <v>0</v>
      </c>
      <c r="EQ134" s="33"/>
      <c r="ER134" s="34">
        <f>IF(AND(ISNUMBER(ES134),ISNUMBER(EQ134)),ES134-EQ134,"")</f>
        <v>0</v>
      </c>
      <c r="ES134" s="33"/>
      <c r="ET134" s="34">
        <f>IF(AND(ISNUMBER(EU134),ISNUMBER(ES134)),EU134-ES134,"")</f>
        <v>0</v>
      </c>
      <c r="EU134" s="33"/>
      <c r="EV134" s="34">
        <f>IF(AND(ISNUMBER(EW134),ISNUMBER(EU134)),EW134-EU134,"")</f>
        <v>0</v>
      </c>
      <c r="EW134" s="33"/>
      <c r="EX134" s="34">
        <f>IF(AND(ISNUMBER(EY134),ISNUMBER(EW134)),EY134-EW134,"")</f>
        <v>0</v>
      </c>
      <c r="EY134" s="33"/>
      <c r="EZ134" s="34">
        <f>IF(AND(ISNUMBER(FA134),ISNUMBER(EY134)),FA134-EY134,"")</f>
        <v>0</v>
      </c>
      <c r="FA134" s="33"/>
      <c r="FB134" s="34">
        <f>IF(AND(ISNUMBER(FC134),ISNUMBER(FA134)),FC134-FA134,"")</f>
        <v>0</v>
      </c>
      <c r="FC134" s="33"/>
      <c r="FD134" s="34">
        <f>IF(AND(ISNUMBER(FE134),ISNUMBER(FC134)),FE134-FC134,"")</f>
        <v>0</v>
      </c>
      <c r="FE134" s="33"/>
      <c r="FF134" s="34">
        <f>IF(AND(ISNUMBER(FG134),ISNUMBER(FE134)),FG134-FE134,"")</f>
        <v>0</v>
      </c>
      <c r="FG134" s="33"/>
      <c r="FH134" s="34">
        <f>IF(AND(ISNUMBER(FI134),ISNUMBER(FG134)),FI134-FG134,"")</f>
        <v>0</v>
      </c>
      <c r="FI134" s="33"/>
      <c r="FJ134" s="34">
        <f>IF(AND(ISNUMBER(FK134),ISNUMBER(FI134)),FK134-FI134,"")</f>
        <v>0</v>
      </c>
      <c r="FK134" s="33"/>
      <c r="FL134" s="34">
        <f>IF(AND(ISNUMBER(FM134),ISNUMBER(FK134)),FM134-FK134,"")</f>
        <v>0</v>
      </c>
      <c r="FM134" s="33"/>
      <c r="FN134" s="34">
        <f>IF(AND(ISNUMBER(FO134),ISNUMBER(FM134)),FO134-FM134,"")</f>
        <v>0</v>
      </c>
      <c r="FO134" s="33"/>
      <c r="FP134" s="34">
        <f>IF(AND(ISNUMBER(FQ134),ISNUMBER(FO134)),FQ134-FO134,"")</f>
        <v>0</v>
      </c>
      <c r="FQ134" s="33"/>
      <c r="FR134" s="34">
        <f>IF(AND(ISNUMBER(FS134),ISNUMBER(FQ134)),FS134-FQ134,"")</f>
        <v>0</v>
      </c>
      <c r="FS134" s="33"/>
      <c r="FT134" s="34">
        <f>IF(AND(ISNUMBER(FU134),ISNUMBER(FS134)),FU134-FS134,"")</f>
        <v>0</v>
      </c>
      <c r="FU134" s="33"/>
      <c r="FV134" s="34">
        <f>IF(AND(ISNUMBER(FW134),ISNUMBER(FU134)),FW134-FU134,"")</f>
        <v>0</v>
      </c>
      <c r="FW134" s="33"/>
      <c r="FX134" s="34">
        <f>IF(AND(ISNUMBER(FY134),ISNUMBER(FW134)),FY134-FW134,"")</f>
        <v>0</v>
      </c>
      <c r="FY134" s="33"/>
      <c r="FZ134" s="34">
        <f>IF(AND(ISNUMBER(GA134),ISNUMBER(FY134)),GA134-FY134,"")</f>
        <v>0</v>
      </c>
      <c r="GA134" s="33"/>
      <c r="GB134" s="34">
        <f>IF(AND(ISNUMBER(GC134),ISNUMBER(GA134)),GC134-GA134,"")</f>
        <v>0</v>
      </c>
      <c r="GC134" s="33"/>
      <c r="GD134" s="34">
        <f>IF(AND(ISNUMBER(GE134),ISNUMBER(GC134)),GE134-GC134,"")</f>
        <v>0</v>
      </c>
      <c r="GE134" s="33"/>
      <c r="GF134" s="34">
        <f>IF(AND(ISNUMBER(GG134),ISNUMBER(GE134)),GG134-GE134,"")</f>
        <v>0</v>
      </c>
      <c r="GG134" s="33"/>
      <c r="GH134" s="34">
        <f>IF(AND(ISNUMBER(GI134),ISNUMBER(GG134)),GI134-GG134,"")</f>
        <v>0</v>
      </c>
      <c r="GI134" s="33"/>
      <c r="GJ134" s="34">
        <f>IF(AND(ISNUMBER(GK134),ISNUMBER(GI134)),GK134-GI134,"")</f>
        <v>0</v>
      </c>
      <c r="GK134" s="33"/>
      <c r="GL134" s="34">
        <f>IF(AND(ISNUMBER(GM134),ISNUMBER(GK134)),GM134-GK134,"")</f>
        <v>0</v>
      </c>
      <c r="GM134" s="33"/>
      <c r="GN134" s="34">
        <f>IF(AND(ISNUMBER(GO134),ISNUMBER(GM134)),GO134-GM134,"")</f>
        <v>0</v>
      </c>
      <c r="GO134" s="33"/>
      <c r="GP134" s="34">
        <f>IF(AND(ISNUMBER(GQ134),ISNUMBER(GO134)),GQ134-GO134,"")</f>
        <v>0</v>
      </c>
      <c r="GQ134" s="33"/>
      <c r="GR134" s="34">
        <f>IF(AND(ISNUMBER(GS134),ISNUMBER(GQ134)),GS134-GQ134,"")</f>
        <v>0</v>
      </c>
      <c r="GS134" s="33"/>
      <c r="GT134" s="34">
        <f>IF(AND(ISNUMBER(GU134),ISNUMBER(GS134)),GU134-GS134,"")</f>
        <v>0</v>
      </c>
      <c r="GU134" s="33"/>
      <c r="GV134" s="34">
        <f>IF(AND(ISNUMBER(GW134),ISNUMBER(GU134)),GW134-GU134,"")</f>
        <v>0</v>
      </c>
      <c r="GW134" s="33"/>
      <c r="GX134" s="34">
        <f>IF(AND(ISNUMBER(GY134),ISNUMBER(GW134)),GY134-GW134,"")</f>
        <v>0</v>
      </c>
      <c r="GY134" s="33"/>
      <c r="GZ134" s="34">
        <f>IF(AND(ISNUMBER(HA134),ISNUMBER(GY134)),HA134-GY134,"")</f>
        <v>0</v>
      </c>
      <c r="HA134" s="33"/>
      <c r="HB134" s="34">
        <f>IF(AND(ISNUMBER(HC134),ISNUMBER(HA134)),HC134-HA134,"")</f>
        <v>0</v>
      </c>
      <c r="HC134" s="33"/>
      <c r="HD134" s="34">
        <f>IF(AND(ISNUMBER(HE134),ISNUMBER(HC134)),HE134-HC134,"")</f>
        <v>0</v>
      </c>
      <c r="HE134" s="33"/>
      <c r="HF134" s="34">
        <f>IF(AND(ISNUMBER(HG134),ISNUMBER(HE134)),HG134-HE134,"")</f>
        <v>0</v>
      </c>
      <c r="HG134" s="33"/>
      <c r="HH134" s="34">
        <f>IF(AND(ISNUMBER(HI134),ISNUMBER(HG134)),HI134-HG134,"")</f>
        <v>0</v>
      </c>
      <c r="HI134" s="33"/>
      <c r="HJ134" s="34">
        <f>IF(AND(ISNUMBER(HK134),ISNUMBER(HI134)),HK134-HI134,"")</f>
        <v>0</v>
      </c>
      <c r="HK134" s="33"/>
      <c r="HL134" s="34">
        <f>IF(AND(ISNUMBER(HM134),ISNUMBER(HK134)),HM134-HK134,"")</f>
        <v>0</v>
      </c>
      <c r="HM134" s="33"/>
      <c r="HN134" s="34">
        <f>IF(AND(ISNUMBER(HO134),ISNUMBER(HM134)),HO134-HM134,"")</f>
        <v>0</v>
      </c>
      <c r="HO134" s="33"/>
      <c r="HP134" s="34">
        <f>IF(AND(ISNUMBER(HQ134),ISNUMBER(HO134)),HQ134-HO134,"")</f>
        <v>0</v>
      </c>
      <c r="HQ134" s="33"/>
      <c r="HR134" s="34">
        <f>IF(AND(ISNUMBER(HS134),ISNUMBER(HQ134)),HS134-HQ134,"")</f>
        <v>0</v>
      </c>
      <c r="HS134" s="33"/>
      <c r="HT134" s="34">
        <f>IF(AND(ISNUMBER(HU134),ISNUMBER(HS134)),HU134-HS134,"")</f>
        <v>0</v>
      </c>
      <c r="HU134" s="33"/>
      <c r="HV134" s="34">
        <f>IF(AND(ISNUMBER(HW134),ISNUMBER(HU134)),HW134-HU134,"")</f>
        <v>0</v>
      </c>
      <c r="HW134" s="33"/>
      <c r="HX134" s="34">
        <f>IF(AND(ISNUMBER(HY134),ISNUMBER(HW134)),HY134-HW134,"")</f>
        <v>0</v>
      </c>
      <c r="HY134" s="33"/>
      <c r="HZ134" s="34">
        <f>IF(AND(ISNUMBER(IA134),ISNUMBER(HY134)),IA134-HY134,"")</f>
        <v>0</v>
      </c>
      <c r="IA134" s="33"/>
      <c r="IB134" s="34">
        <f>IF(AND(ISNUMBER(IC134),ISNUMBER(IA134)),IC134-IA134,"")</f>
        <v>0</v>
      </c>
      <c r="IC134" s="33"/>
      <c r="ID134" s="34">
        <f>IF(AND(ISNUMBER(IE134),ISNUMBER(IC134)),IE134-IC134,"")</f>
        <v>0</v>
      </c>
      <c r="IE134" s="33">
        <v>0</v>
      </c>
      <c r="IF134" s="34">
        <f>IF(AND(ISNUMBER(IG134),ISNUMBER(IE134)),IG134-IE134,"")</f>
        <v>0</v>
      </c>
      <c r="IG134" s="33">
        <v>0</v>
      </c>
      <c r="IH134" s="34">
        <f>IF(AND(ISNUMBER(II134),ISNUMBER(IG134)),II134-IG134,"")</f>
        <v>0</v>
      </c>
      <c r="II134" s="33">
        <v>0</v>
      </c>
      <c r="IJ134" s="34">
        <f>IF(AND(ISNUMBER(IK134),ISNUMBER(II134)),IK134-II134,"")</f>
        <v>0</v>
      </c>
      <c r="IK134" s="33">
        <v>0</v>
      </c>
      <c r="IL134" s="34">
        <f>IF(AND(ISNUMBER(IM134),ISNUMBER(IK134)),IM134-IK134,"")</f>
        <v>0</v>
      </c>
      <c r="IM134" s="33">
        <v>0</v>
      </c>
      <c r="IN134" s="34">
        <f>IF(AND(ISNUMBER(IO134),ISNUMBER(IM134)),IO134-IM134,"")</f>
        <v>0</v>
      </c>
      <c r="IO134" s="33">
        <v>0</v>
      </c>
      <c r="IP134" s="34">
        <f>IF(AND(ISNUMBER(IQ134),ISNUMBER(IO134)),IQ134-IO134,"")</f>
        <v>0</v>
      </c>
      <c r="IQ134" s="33">
        <v>0</v>
      </c>
      <c r="IR134" s="34">
        <f>IF(AND(ISNUMBER(IS134),ISNUMBER(IQ134)),IS134-IQ134,"")</f>
        <v>0</v>
      </c>
      <c r="IS134" s="33">
        <v>0</v>
      </c>
      <c r="IT134" s="34">
        <f>IF(AND(ISNUMBER(IU134),ISNUMBER(IS134)),IU134-IS134,"")</f>
        <v>0</v>
      </c>
      <c r="IU134" s="33">
        <v>0</v>
      </c>
      <c r="IV134" s="34">
        <f>IF(AND(ISNUMBER(IW134),ISNUMBER(IU134)),IW134-IU134,"")</f>
        <v>0</v>
      </c>
      <c r="IW134" s="33">
        <v>0</v>
      </c>
      <c r="IX134" s="34">
        <f>IF(AND(ISNUMBER(IY134),ISNUMBER(IW134)),IY134-IW134,"")</f>
        <v>0</v>
      </c>
      <c r="IY134" s="33">
        <v>0</v>
      </c>
      <c r="IZ134" s="34">
        <f>IF(AND(ISNUMBER(JA134),ISNUMBER(IY134)),JA134-IY134,"")</f>
        <v>0</v>
      </c>
      <c r="JA134" s="33">
        <v>0</v>
      </c>
      <c r="JB134" s="34">
        <f>IF(AND(ISNUMBER(JC134),ISNUMBER(JA134)),JC134-JA134,"")</f>
        <v>0</v>
      </c>
      <c r="JC134" s="33">
        <v>0</v>
      </c>
      <c r="JD134" s="34">
        <f>IF(AND(ISNUMBER(JE134),ISNUMBER(JC134)),JE134-JC134,"")</f>
        <v>0</v>
      </c>
      <c r="JE134" s="33">
        <v>0</v>
      </c>
      <c r="JF134" s="34">
        <f>IF(AND(ISNUMBER(JG134),ISNUMBER(JE134)),JG134-JE134,"")</f>
        <v>0</v>
      </c>
      <c r="JG134" s="33">
        <v>0</v>
      </c>
      <c r="JH134" s="34">
        <f>IF(AND(ISNUMBER(JI134),ISNUMBER(JG134)),JI134-JG134,"")</f>
        <v>0</v>
      </c>
      <c r="JI134" s="33">
        <v>0</v>
      </c>
      <c r="JJ134" s="34">
        <f>IF(AND(ISNUMBER(JK134),ISNUMBER(JI134)),JK134-JI134,"")</f>
        <v>0</v>
      </c>
      <c r="JK134" s="33">
        <v>0</v>
      </c>
      <c r="JL134" s="34">
        <f>IF(AND(ISNUMBER(JM134),ISNUMBER(JK134)),JM134-JK134,"")</f>
        <v>0</v>
      </c>
      <c r="JM134" s="33">
        <v>0</v>
      </c>
      <c r="JN134" s="34">
        <f>IF(AND(ISNUMBER(JO134),ISNUMBER(JM134)),JO134-JM134,"")</f>
        <v>0</v>
      </c>
      <c r="JO134" s="33">
        <v>0</v>
      </c>
      <c r="JP134" s="34">
        <f>IF(AND(ISNUMBER(JQ134),ISNUMBER(JO134)),JQ134-JO134,"")</f>
        <v>0</v>
      </c>
      <c r="JQ134" s="33">
        <v>0</v>
      </c>
      <c r="JR134" s="34">
        <f>IF(AND(ISNUMBER(JS134),ISNUMBER(JQ134)),JS134-JQ134,"")</f>
        <v>0</v>
      </c>
      <c r="JS134" s="33">
        <v>0</v>
      </c>
      <c r="JT134" s="34">
        <f>IF(AND(ISNUMBER(JU134),ISNUMBER(JS134)),JU134-JS134,"")</f>
        <v>0</v>
      </c>
      <c r="JU134" s="33">
        <v>1</v>
      </c>
      <c r="JV134" s="34">
        <f>IF(AND(ISNUMBER(JW134),ISNUMBER(JU134)),JW134-JU134,"")</f>
        <v>0</v>
      </c>
      <c r="JW134" s="33">
        <v>0</v>
      </c>
      <c r="JX134" s="34">
        <f>IF(AND(ISNUMBER(JY134),ISNUMBER(JW134)),JY134-JW134,"")</f>
        <v>0</v>
      </c>
      <c r="JY134" s="33">
        <v>0</v>
      </c>
      <c r="JZ134" s="34">
        <f>IF(AND(ISNUMBER(KA134),ISNUMBER(JY134)),KA134-JY134,"")</f>
        <v>0</v>
      </c>
      <c r="KA134" s="33"/>
      <c r="KB134" s="34">
        <f>IF(AND(ISNUMBER(KC134),ISNUMBER(KA134)),KC134-KA134,"")</f>
        <v>0</v>
      </c>
      <c r="KC134" s="33"/>
      <c r="KD134" s="34">
        <f>IF(AND(ISNUMBER(KE134),ISNUMBER(KC134)),KE134-KC134,"")</f>
        <v>0</v>
      </c>
      <c r="KE134" s="33"/>
      <c r="KF134" s="34">
        <f>IF(AND(ISNUMBER(KG134),ISNUMBER(KE134)),KG134-KE134,"")</f>
        <v>0</v>
      </c>
      <c r="KG134" s="33"/>
      <c r="KH134" s="34">
        <f>IF(AND(ISNUMBER(KI134),ISNUMBER(KG134)),KI134-KG134,"")</f>
        <v>0</v>
      </c>
      <c r="KI134" s="33"/>
      <c r="KJ134" s="34">
        <f>IF(AND(ISNUMBER(KK134),ISNUMBER(KI134)),KK134-KI134,"")</f>
        <v>0</v>
      </c>
      <c r="KK134" s="33"/>
      <c r="KL134" s="34">
        <f>IF(AND(ISNUMBER(KM134),ISNUMBER(KK134)),KM134-KK134,"")</f>
        <v>0</v>
      </c>
      <c r="KM134" s="33"/>
      <c r="KN134" s="34">
        <f>IF(AND(ISNUMBER(KO134),ISNUMBER(KM134)),KO134-KM134,"")</f>
        <v>0</v>
      </c>
      <c r="KO134" s="33"/>
      <c r="KP134" s="34">
        <f>IF(AND(ISNUMBER(KQ134),ISNUMBER(KO134)),KQ134-KO134,"")</f>
        <v>0</v>
      </c>
      <c r="KQ134" s="33"/>
      <c r="KR134" s="34">
        <f>IF(AND(ISNUMBER(KS134),ISNUMBER(KQ134)),KS134-KQ134,"")</f>
        <v>0</v>
      </c>
      <c r="KS134" s="33"/>
      <c r="KT134" s="34">
        <f>IF(AND(ISNUMBER(KU134),ISNUMBER(KS134)),KU134-KS134,"")</f>
        <v>0</v>
      </c>
      <c r="KU134" s="33"/>
      <c r="KV134" s="34">
        <f>IF(AND(ISNUMBER(KW134),ISNUMBER(KU134)),KW134-KU134,"")</f>
        <v>0</v>
      </c>
      <c r="KW134" s="33"/>
      <c r="KX134" s="34">
        <f>IF(AND(ISNUMBER(KY134),ISNUMBER(KW134)),KY134-KW134,"")</f>
        <v>0</v>
      </c>
      <c r="KY134" s="33"/>
      <c r="KZ134" s="34">
        <f>IF(AND(ISNUMBER(LA134),ISNUMBER(KY134)),LA134-KY134,"")</f>
        <v>0</v>
      </c>
      <c r="LA134" s="33"/>
      <c r="LB134" s="34">
        <f>IF(AND(ISNUMBER(LC134),ISNUMBER(LA134)),LC134-LA134,"")</f>
        <v>0</v>
      </c>
      <c r="LC134" s="33"/>
      <c r="LD134" s="34">
        <f>IF(AND(ISNUMBER(LE134),ISNUMBER(LC134)),LE134-LC134,"")</f>
        <v>0</v>
      </c>
      <c r="LE134" s="33"/>
      <c r="LF134" s="34">
        <f>IF(AND(ISNUMBER(LG134),ISNUMBER(LE134)),LG134-LE134,"")</f>
        <v>0</v>
      </c>
      <c r="LG134" s="33"/>
    </row>
    <row r="135" spans="1:322">
      <c r="B135" s="23"/>
      <c r="C135" s="31" t="s">
        <v>917</v>
      </c>
      <c r="E135" s="32" t="s">
        <v>1139</v>
      </c>
      <c r="I135" s="33"/>
      <c r="J135" s="34">
        <f>IF(AND(ISNUMBER(K135),ISNUMBER(I135)),K135-I135,"")</f>
        <v>0</v>
      </c>
      <c r="K135" s="33"/>
      <c r="L135" s="34">
        <f>IF(AND(ISNUMBER(M135),ISNUMBER(K135)),M135-K135,"")</f>
        <v>0</v>
      </c>
      <c r="M135" s="33"/>
      <c r="N135" s="34">
        <f>IF(AND(ISNUMBER(O135),ISNUMBER(M135)),O135-M135,"")</f>
        <v>0</v>
      </c>
      <c r="O135" s="33"/>
      <c r="P135" s="34">
        <f>IF(AND(ISNUMBER(Q135),ISNUMBER(O135)),Q135-O135,"")</f>
        <v>0</v>
      </c>
      <c r="Q135" s="33"/>
      <c r="R135" s="34">
        <f>IF(AND(ISNUMBER(S135),ISNUMBER(Q135)),S135-Q135,"")</f>
        <v>0</v>
      </c>
      <c r="S135" s="33"/>
      <c r="T135" s="34">
        <f>IF(AND(ISNUMBER(U135),ISNUMBER(S135)),U135-S135,"")</f>
        <v>0</v>
      </c>
      <c r="U135" s="33"/>
      <c r="V135" s="34">
        <f>IF(AND(ISNUMBER(W135),ISNUMBER(U135)),W135-U135,"")</f>
        <v>0</v>
      </c>
      <c r="W135" s="33"/>
      <c r="X135" s="34">
        <f>IF(AND(ISNUMBER(Y135),ISNUMBER(W135)),Y135-W135,"")</f>
        <v>0</v>
      </c>
      <c r="Y135" s="33"/>
      <c r="Z135" s="34">
        <f>IF(AND(ISNUMBER(AA135),ISNUMBER(Y135)),AA135-Y135,"")</f>
        <v>0</v>
      </c>
      <c r="AA135" s="33"/>
      <c r="AB135" s="34">
        <f>IF(AND(ISNUMBER(AC135),ISNUMBER(AA135)),AC135-AA135,"")</f>
        <v>0</v>
      </c>
      <c r="AC135" s="33"/>
      <c r="AD135" s="34">
        <f>IF(AND(ISNUMBER(AE135),ISNUMBER(AC135)),AE135-AC135,"")</f>
        <v>0</v>
      </c>
      <c r="AE135" s="33"/>
      <c r="AF135" s="34">
        <f>IF(AND(ISNUMBER(AG135),ISNUMBER(AE135)),AG135-AE135,"")</f>
        <v>0</v>
      </c>
      <c r="AG135" s="33"/>
      <c r="AH135" s="34">
        <f>IF(AND(ISNUMBER(AI135),ISNUMBER(AG135)),AI135-AG135,"")</f>
        <v>0</v>
      </c>
      <c r="AI135" s="33"/>
      <c r="AJ135" s="34">
        <f>IF(AND(ISNUMBER(AK135),ISNUMBER(AI135)),AK135-AI135,"")</f>
        <v>0</v>
      </c>
      <c r="AK135" s="33"/>
      <c r="AL135" s="34">
        <f>IF(AND(ISNUMBER(AM135),ISNUMBER(AK135)),AM135-AK135,"")</f>
        <v>0</v>
      </c>
      <c r="AM135" s="33"/>
      <c r="AN135" s="34">
        <f>IF(AND(ISNUMBER(AO135),ISNUMBER(AM135)),AO135-AM135,"")</f>
        <v>0</v>
      </c>
      <c r="AO135" s="33"/>
      <c r="AP135" s="34">
        <f>IF(AND(ISNUMBER(AQ135),ISNUMBER(AO135)),AQ135-AO135,"")</f>
        <v>0</v>
      </c>
      <c r="AQ135" s="33"/>
      <c r="AR135" s="34">
        <f>IF(AND(ISNUMBER(AS135),ISNUMBER(AQ135)),AS135-AQ135,"")</f>
        <v>0</v>
      </c>
      <c r="AS135" s="33"/>
      <c r="AT135" s="34">
        <f>IF(AND(ISNUMBER(AU135),ISNUMBER(AS135)),AU135-AS135,"")</f>
        <v>0</v>
      </c>
      <c r="AU135" s="33"/>
      <c r="AV135" s="34">
        <f>IF(AND(ISNUMBER(AW135),ISNUMBER(AU135)),AW135-AU135,"")</f>
        <v>0</v>
      </c>
      <c r="AW135" s="33"/>
      <c r="AX135" s="34">
        <f>IF(AND(ISNUMBER(AY135),ISNUMBER(AW135)),AY135-AW135,"")</f>
        <v>0</v>
      </c>
      <c r="AY135" s="33"/>
      <c r="AZ135" s="34">
        <f>IF(AND(ISNUMBER(BA135),ISNUMBER(AY135)),BA135-AY135,"")</f>
        <v>0</v>
      </c>
      <c r="BA135" s="33"/>
      <c r="BB135" s="34">
        <f>IF(AND(ISNUMBER(BC135),ISNUMBER(BA135)),BC135-BA135,"")</f>
        <v>0</v>
      </c>
      <c r="BC135" s="33"/>
      <c r="BD135" s="34">
        <f>IF(AND(ISNUMBER(BE135),ISNUMBER(BC135)),BE135-BC135,"")</f>
        <v>0</v>
      </c>
      <c r="BE135" s="33"/>
      <c r="BF135" s="34">
        <f>IF(AND(ISNUMBER(BG135),ISNUMBER(BE135)),BG135-BE135,"")</f>
        <v>0</v>
      </c>
      <c r="BG135" s="33"/>
      <c r="BH135" s="34">
        <f>IF(AND(ISNUMBER(BI135),ISNUMBER(BG135)),BI135-BG135,"")</f>
        <v>0</v>
      </c>
      <c r="BI135" s="33"/>
      <c r="BJ135" s="34">
        <f>IF(AND(ISNUMBER(BK135),ISNUMBER(BI135)),BK135-BI135,"")</f>
        <v>0</v>
      </c>
      <c r="BK135" s="33"/>
      <c r="BL135" s="34">
        <f>IF(AND(ISNUMBER(BM135),ISNUMBER(BK135)),BM135-BK135,"")</f>
        <v>0</v>
      </c>
      <c r="BM135" s="33"/>
      <c r="BN135" s="34">
        <f>IF(AND(ISNUMBER(BO135),ISNUMBER(BM135)),BO135-BM135,"")</f>
        <v>0</v>
      </c>
      <c r="BO135" s="33"/>
      <c r="BP135" s="34">
        <f>IF(AND(ISNUMBER(BQ135),ISNUMBER(BO135)),BQ135-BO135,"")</f>
        <v>0</v>
      </c>
      <c r="BQ135" s="33"/>
      <c r="BR135" s="34">
        <f>IF(AND(ISNUMBER(BS135),ISNUMBER(BQ135)),BS135-BQ135,"")</f>
        <v>0</v>
      </c>
      <c r="BS135" s="33"/>
      <c r="BT135" s="34">
        <f>IF(AND(ISNUMBER(BU135),ISNUMBER(BS135)),BU135-BS135,"")</f>
        <v>0</v>
      </c>
      <c r="BU135" s="33"/>
      <c r="BV135" s="34">
        <f>IF(AND(ISNUMBER(BW135),ISNUMBER(BU135)),BW135-BU135,"")</f>
        <v>0</v>
      </c>
      <c r="BW135" s="33"/>
      <c r="BX135" s="34">
        <f>IF(AND(ISNUMBER(BY135),ISNUMBER(BW135)),BY135-BW135,"")</f>
        <v>0</v>
      </c>
      <c r="BY135" s="33"/>
      <c r="BZ135" s="34">
        <f>IF(AND(ISNUMBER(CA135),ISNUMBER(BY135)),CA135-BY135,"")</f>
        <v>0</v>
      </c>
      <c r="CA135" s="33"/>
      <c r="CB135" s="34">
        <f>IF(AND(ISNUMBER(CC135),ISNUMBER(CA135)),CC135-CA135,"")</f>
        <v>0</v>
      </c>
      <c r="CC135" s="33"/>
      <c r="CD135" s="34">
        <f>IF(AND(ISNUMBER(CE135),ISNUMBER(CC135)),CE135-CC135,"")</f>
        <v>0</v>
      </c>
      <c r="CE135" s="33"/>
      <c r="CF135" s="34">
        <f>IF(AND(ISNUMBER(CG135),ISNUMBER(CE135)),CG135-CE135,"")</f>
        <v>0</v>
      </c>
      <c r="CG135" s="33"/>
      <c r="CH135" s="34">
        <f>IF(AND(ISNUMBER(CI135),ISNUMBER(CG135)),CI135-CG135,"")</f>
        <v>0</v>
      </c>
      <c r="CI135" s="33"/>
      <c r="CJ135" s="34">
        <f>IF(AND(ISNUMBER(CK135),ISNUMBER(CI135)),CK135-CI135,"")</f>
        <v>0</v>
      </c>
      <c r="CK135" s="33"/>
      <c r="CL135" s="34">
        <f>IF(AND(ISNUMBER(CM135),ISNUMBER(CK135)),CM135-CK135,"")</f>
        <v>0</v>
      </c>
      <c r="CM135" s="33"/>
      <c r="CN135" s="34">
        <f>IF(AND(ISNUMBER(CO135),ISNUMBER(CM135)),CO135-CM135,"")</f>
        <v>0</v>
      </c>
      <c r="CO135" s="33"/>
      <c r="CP135" s="34">
        <f>IF(AND(ISNUMBER(CQ135),ISNUMBER(CO135)),CQ135-CO135,"")</f>
        <v>0</v>
      </c>
      <c r="CQ135" s="33"/>
      <c r="CR135" s="34">
        <f>IF(AND(ISNUMBER(CS135),ISNUMBER(CQ135)),CS135-CQ135,"")</f>
        <v>0</v>
      </c>
      <c r="CS135" s="33"/>
      <c r="CT135" s="34">
        <f>IF(AND(ISNUMBER(CU135),ISNUMBER(CS135)),CU135-CS135,"")</f>
        <v>0</v>
      </c>
      <c r="CU135" s="33"/>
      <c r="CV135" s="34">
        <f>IF(AND(ISNUMBER(CW135),ISNUMBER(CU135)),CW135-CU135,"")</f>
        <v>0</v>
      </c>
      <c r="CW135" s="33"/>
      <c r="CX135" s="34">
        <f>IF(AND(ISNUMBER(CY135),ISNUMBER(CW135)),CY135-CW135,"")</f>
        <v>0</v>
      </c>
      <c r="CY135" s="33"/>
      <c r="CZ135" s="34">
        <f>IF(AND(ISNUMBER(DA135),ISNUMBER(CY135)),DA135-CY135,"")</f>
        <v>0</v>
      </c>
      <c r="DA135" s="33"/>
      <c r="DB135" s="34">
        <f>IF(AND(ISNUMBER(DC135),ISNUMBER(DA135)),DC135-DA135,"")</f>
        <v>0</v>
      </c>
      <c r="DC135" s="33"/>
      <c r="DD135" s="34">
        <f>IF(AND(ISNUMBER(DE135),ISNUMBER(DC135)),DE135-DC135,"")</f>
        <v>0</v>
      </c>
      <c r="DE135" s="33"/>
      <c r="DF135" s="34">
        <f>IF(AND(ISNUMBER(DG135),ISNUMBER(DE135)),DG135-DE135,"")</f>
        <v>0</v>
      </c>
      <c r="DG135" s="33"/>
      <c r="DH135" s="34">
        <f>IF(AND(ISNUMBER(DI135),ISNUMBER(DG135)),DI135-DG135,"")</f>
        <v>0</v>
      </c>
      <c r="DI135" s="33"/>
      <c r="DJ135" s="34">
        <f>IF(AND(ISNUMBER(DK135),ISNUMBER(DI135)),DK135-DI135,"")</f>
        <v>0</v>
      </c>
      <c r="DK135" s="33"/>
      <c r="DL135" s="34">
        <f>IF(AND(ISNUMBER(DM135),ISNUMBER(DK135)),DM135-DK135,"")</f>
        <v>0</v>
      </c>
      <c r="DM135" s="33"/>
      <c r="DN135" s="34">
        <f>IF(AND(ISNUMBER(DO135),ISNUMBER(DM135)),DO135-DM135,"")</f>
        <v>0</v>
      </c>
      <c r="DO135" s="33"/>
      <c r="DP135" s="34">
        <f>IF(AND(ISNUMBER(DQ135),ISNUMBER(DO135)),DQ135-DO135,"")</f>
        <v>0</v>
      </c>
      <c r="DQ135" s="33"/>
      <c r="DR135" s="34">
        <f>IF(AND(ISNUMBER(DS135),ISNUMBER(DQ135)),DS135-DQ135,"")</f>
        <v>0</v>
      </c>
      <c r="DS135" s="33"/>
      <c r="DT135" s="34">
        <f>IF(AND(ISNUMBER(DU135),ISNUMBER(DS135)),DU135-DS135,"")</f>
        <v>0</v>
      </c>
      <c r="DU135" s="33"/>
      <c r="DV135" s="34">
        <f>IF(AND(ISNUMBER(DW135),ISNUMBER(DU135)),DW135-DU135,"")</f>
        <v>0</v>
      </c>
      <c r="DW135" s="33"/>
      <c r="DX135" s="34">
        <f>IF(AND(ISNUMBER(DY135),ISNUMBER(DW135)),DY135-DW135,"")</f>
        <v>0</v>
      </c>
      <c r="DY135" s="33"/>
      <c r="DZ135" s="34">
        <f>IF(AND(ISNUMBER(EA135),ISNUMBER(DY135)),EA135-DY135,"")</f>
        <v>0</v>
      </c>
      <c r="EA135" s="33"/>
      <c r="EB135" s="34">
        <f>IF(AND(ISNUMBER(EC135),ISNUMBER(EA135)),EC135-EA135,"")</f>
        <v>0</v>
      </c>
      <c r="EC135" s="33"/>
      <c r="ED135" s="34">
        <f>IF(AND(ISNUMBER(EE135),ISNUMBER(EC135)),EE135-EC135,"")</f>
        <v>0</v>
      </c>
      <c r="EE135" s="33"/>
      <c r="EF135" s="34">
        <f>IF(AND(ISNUMBER(EG135),ISNUMBER(EE135)),EG135-EE135,"")</f>
        <v>0</v>
      </c>
      <c r="EG135" s="33"/>
      <c r="EH135" s="34">
        <f>IF(AND(ISNUMBER(EI135),ISNUMBER(EG135)),EI135-EG135,"")</f>
        <v>0</v>
      </c>
      <c r="EI135" s="33"/>
      <c r="EJ135" s="34">
        <f>IF(AND(ISNUMBER(EK135),ISNUMBER(EI135)),EK135-EI135,"")</f>
        <v>0</v>
      </c>
      <c r="EK135" s="33"/>
      <c r="EL135" s="34">
        <f>IF(AND(ISNUMBER(EM135),ISNUMBER(EK135)),EM135-EK135,"")</f>
        <v>0</v>
      </c>
      <c r="EM135" s="33"/>
      <c r="EN135" s="34">
        <f>IF(AND(ISNUMBER(EO135),ISNUMBER(EM135)),EO135-EM135,"")</f>
        <v>0</v>
      </c>
      <c r="EO135" s="33"/>
      <c r="EP135" s="34">
        <f>IF(AND(ISNUMBER(EQ135),ISNUMBER(EO135)),EQ135-EO135,"")</f>
        <v>0</v>
      </c>
      <c r="EQ135" s="33"/>
      <c r="ER135" s="34">
        <f>IF(AND(ISNUMBER(ES135),ISNUMBER(EQ135)),ES135-EQ135,"")</f>
        <v>0</v>
      </c>
      <c r="ES135" s="33"/>
      <c r="ET135" s="34">
        <f>IF(AND(ISNUMBER(EU135),ISNUMBER(ES135)),EU135-ES135,"")</f>
        <v>0</v>
      </c>
      <c r="EU135" s="33"/>
      <c r="EV135" s="34">
        <f>IF(AND(ISNUMBER(EW135),ISNUMBER(EU135)),EW135-EU135,"")</f>
        <v>0</v>
      </c>
      <c r="EW135" s="33"/>
      <c r="EX135" s="34">
        <f>IF(AND(ISNUMBER(EY135),ISNUMBER(EW135)),EY135-EW135,"")</f>
        <v>0</v>
      </c>
      <c r="EY135" s="33"/>
      <c r="EZ135" s="34">
        <f>IF(AND(ISNUMBER(FA135),ISNUMBER(EY135)),FA135-EY135,"")</f>
        <v>0</v>
      </c>
      <c r="FA135" s="33"/>
      <c r="FB135" s="34">
        <f>IF(AND(ISNUMBER(FC135),ISNUMBER(FA135)),FC135-FA135,"")</f>
        <v>0</v>
      </c>
      <c r="FC135" s="33"/>
      <c r="FD135" s="34">
        <f>IF(AND(ISNUMBER(FE135),ISNUMBER(FC135)),FE135-FC135,"")</f>
        <v>0</v>
      </c>
      <c r="FE135" s="33"/>
      <c r="FF135" s="34">
        <f>IF(AND(ISNUMBER(FG135),ISNUMBER(FE135)),FG135-FE135,"")</f>
        <v>0</v>
      </c>
      <c r="FG135" s="33"/>
      <c r="FH135" s="34">
        <f>IF(AND(ISNUMBER(FI135),ISNUMBER(FG135)),FI135-FG135,"")</f>
        <v>0</v>
      </c>
      <c r="FI135" s="33"/>
      <c r="FJ135" s="34">
        <f>IF(AND(ISNUMBER(FK135),ISNUMBER(FI135)),FK135-FI135,"")</f>
        <v>0</v>
      </c>
      <c r="FK135" s="33"/>
      <c r="FL135" s="34">
        <f>IF(AND(ISNUMBER(FM135),ISNUMBER(FK135)),FM135-FK135,"")</f>
        <v>0</v>
      </c>
      <c r="FM135" s="33"/>
      <c r="FN135" s="34">
        <f>IF(AND(ISNUMBER(FO135),ISNUMBER(FM135)),FO135-FM135,"")</f>
        <v>0</v>
      </c>
      <c r="FO135" s="33"/>
      <c r="FP135" s="34">
        <f>IF(AND(ISNUMBER(FQ135),ISNUMBER(FO135)),FQ135-FO135,"")</f>
        <v>0</v>
      </c>
      <c r="FQ135" s="33"/>
      <c r="FR135" s="34">
        <f>IF(AND(ISNUMBER(FS135),ISNUMBER(FQ135)),FS135-FQ135,"")</f>
        <v>0</v>
      </c>
      <c r="FS135" s="33"/>
      <c r="FT135" s="34">
        <f>IF(AND(ISNUMBER(FU135),ISNUMBER(FS135)),FU135-FS135,"")</f>
        <v>0</v>
      </c>
      <c r="FU135" s="33"/>
      <c r="FV135" s="34">
        <f>IF(AND(ISNUMBER(FW135),ISNUMBER(FU135)),FW135-FU135,"")</f>
        <v>0</v>
      </c>
      <c r="FW135" s="33"/>
      <c r="FX135" s="34">
        <f>IF(AND(ISNUMBER(FY135),ISNUMBER(FW135)),FY135-FW135,"")</f>
        <v>0</v>
      </c>
      <c r="FY135" s="33"/>
      <c r="FZ135" s="34">
        <f>IF(AND(ISNUMBER(GA135),ISNUMBER(FY135)),GA135-FY135,"")</f>
        <v>0</v>
      </c>
      <c r="GA135" s="33"/>
      <c r="GB135" s="34">
        <f>IF(AND(ISNUMBER(GC135),ISNUMBER(GA135)),GC135-GA135,"")</f>
        <v>0</v>
      </c>
      <c r="GC135" s="33"/>
      <c r="GD135" s="34">
        <f>IF(AND(ISNUMBER(GE135),ISNUMBER(GC135)),GE135-GC135,"")</f>
        <v>0</v>
      </c>
      <c r="GE135" s="33"/>
      <c r="GF135" s="34">
        <f>IF(AND(ISNUMBER(GG135),ISNUMBER(GE135)),GG135-GE135,"")</f>
        <v>0</v>
      </c>
      <c r="GG135" s="33"/>
      <c r="GH135" s="34">
        <f>IF(AND(ISNUMBER(GI135),ISNUMBER(GG135)),GI135-GG135,"")</f>
        <v>0</v>
      </c>
      <c r="GI135" s="33"/>
      <c r="GJ135" s="34">
        <f>IF(AND(ISNUMBER(GK135),ISNUMBER(GI135)),GK135-GI135,"")</f>
        <v>0</v>
      </c>
      <c r="GK135" s="33"/>
      <c r="GL135" s="34">
        <f>IF(AND(ISNUMBER(GM135),ISNUMBER(GK135)),GM135-GK135,"")</f>
        <v>0</v>
      </c>
      <c r="GM135" s="33"/>
      <c r="GN135" s="34">
        <f>IF(AND(ISNUMBER(GO135),ISNUMBER(GM135)),GO135-GM135,"")</f>
        <v>0</v>
      </c>
      <c r="GO135" s="33"/>
      <c r="GP135" s="34">
        <f>IF(AND(ISNUMBER(GQ135),ISNUMBER(GO135)),GQ135-GO135,"")</f>
        <v>0</v>
      </c>
      <c r="GQ135" s="33"/>
      <c r="GR135" s="34">
        <f>IF(AND(ISNUMBER(GS135),ISNUMBER(GQ135)),GS135-GQ135,"")</f>
        <v>0</v>
      </c>
      <c r="GS135" s="33"/>
      <c r="GT135" s="34">
        <f>IF(AND(ISNUMBER(GU135),ISNUMBER(GS135)),GU135-GS135,"")</f>
        <v>0</v>
      </c>
      <c r="GU135" s="33"/>
      <c r="GV135" s="34">
        <f>IF(AND(ISNUMBER(GW135),ISNUMBER(GU135)),GW135-GU135,"")</f>
        <v>0</v>
      </c>
      <c r="GW135" s="33"/>
      <c r="GX135" s="34">
        <f>IF(AND(ISNUMBER(GY135),ISNUMBER(GW135)),GY135-GW135,"")</f>
        <v>0</v>
      </c>
      <c r="GY135" s="33"/>
      <c r="GZ135" s="34">
        <f>IF(AND(ISNUMBER(HA135),ISNUMBER(GY135)),HA135-GY135,"")</f>
        <v>0</v>
      </c>
      <c r="HA135" s="33"/>
      <c r="HB135" s="34">
        <f>IF(AND(ISNUMBER(HC135),ISNUMBER(HA135)),HC135-HA135,"")</f>
        <v>0</v>
      </c>
      <c r="HC135" s="33"/>
      <c r="HD135" s="34">
        <f>IF(AND(ISNUMBER(HE135),ISNUMBER(HC135)),HE135-HC135,"")</f>
        <v>0</v>
      </c>
      <c r="HE135" s="33"/>
      <c r="HF135" s="34">
        <f>IF(AND(ISNUMBER(HG135),ISNUMBER(HE135)),HG135-HE135,"")</f>
        <v>0</v>
      </c>
      <c r="HG135" s="33"/>
      <c r="HH135" s="34">
        <f>IF(AND(ISNUMBER(HI135),ISNUMBER(HG135)),HI135-HG135,"")</f>
        <v>0</v>
      </c>
      <c r="HI135" s="33"/>
      <c r="HJ135" s="34">
        <f>IF(AND(ISNUMBER(HK135),ISNUMBER(HI135)),HK135-HI135,"")</f>
        <v>0</v>
      </c>
      <c r="HK135" s="33"/>
      <c r="HL135" s="34">
        <f>IF(AND(ISNUMBER(HM135),ISNUMBER(HK135)),HM135-HK135,"")</f>
        <v>0</v>
      </c>
      <c r="HM135" s="33"/>
      <c r="HN135" s="34">
        <f>IF(AND(ISNUMBER(HO135),ISNUMBER(HM135)),HO135-HM135,"")</f>
        <v>0</v>
      </c>
      <c r="HO135" s="33"/>
      <c r="HP135" s="34">
        <f>IF(AND(ISNUMBER(HQ135),ISNUMBER(HO135)),HQ135-HO135,"")</f>
        <v>0</v>
      </c>
      <c r="HQ135" s="33"/>
      <c r="HR135" s="34">
        <f>IF(AND(ISNUMBER(HS135),ISNUMBER(HQ135)),HS135-HQ135,"")</f>
        <v>0</v>
      </c>
      <c r="HS135" s="33"/>
      <c r="HT135" s="34">
        <f>IF(AND(ISNUMBER(HU135),ISNUMBER(HS135)),HU135-HS135,"")</f>
        <v>0</v>
      </c>
      <c r="HU135" s="33"/>
      <c r="HV135" s="34">
        <f>IF(AND(ISNUMBER(HW135),ISNUMBER(HU135)),HW135-HU135,"")</f>
        <v>0</v>
      </c>
      <c r="HW135" s="33"/>
      <c r="HX135" s="34">
        <f>IF(AND(ISNUMBER(HY135),ISNUMBER(HW135)),HY135-HW135,"")</f>
        <v>0</v>
      </c>
      <c r="HY135" s="33"/>
      <c r="HZ135" s="34">
        <f>IF(AND(ISNUMBER(IA135),ISNUMBER(HY135)),IA135-HY135,"")</f>
        <v>0</v>
      </c>
      <c r="IA135" s="33"/>
      <c r="IB135" s="34">
        <f>IF(AND(ISNUMBER(IC135),ISNUMBER(IA135)),IC135-IA135,"")</f>
        <v>0</v>
      </c>
      <c r="IC135" s="33"/>
      <c r="ID135" s="34">
        <f>IF(AND(ISNUMBER(IE135),ISNUMBER(IC135)),IE135-IC135,"")</f>
        <v>0</v>
      </c>
      <c r="IE135" s="33">
        <v>4</v>
      </c>
      <c r="IF135" s="34">
        <f>IF(AND(ISNUMBER(IG135),ISNUMBER(IE135)),IG135-IE135,"")</f>
        <v>0</v>
      </c>
      <c r="IG135" s="33">
        <v>2</v>
      </c>
      <c r="IH135" s="34">
        <f>IF(AND(ISNUMBER(II135),ISNUMBER(IG135)),II135-IG135,"")</f>
        <v>0</v>
      </c>
      <c r="II135" s="33">
        <v>5</v>
      </c>
      <c r="IJ135" s="34">
        <f>IF(AND(ISNUMBER(IK135),ISNUMBER(II135)),IK135-II135,"")</f>
        <v>0</v>
      </c>
      <c r="IK135" s="33">
        <v>4</v>
      </c>
      <c r="IL135" s="34">
        <f>IF(AND(ISNUMBER(IM135),ISNUMBER(IK135)),IM135-IK135,"")</f>
        <v>0</v>
      </c>
      <c r="IM135" s="33">
        <v>2</v>
      </c>
      <c r="IN135" s="34">
        <f>IF(AND(ISNUMBER(IO135),ISNUMBER(IM135)),IO135-IM135,"")</f>
        <v>0</v>
      </c>
      <c r="IO135" s="33">
        <v>2</v>
      </c>
      <c r="IP135" s="34">
        <f>IF(AND(ISNUMBER(IQ135),ISNUMBER(IO135)),IQ135-IO135,"")</f>
        <v>0</v>
      </c>
      <c r="IQ135" s="33">
        <v>0</v>
      </c>
      <c r="IR135" s="34">
        <f>IF(AND(ISNUMBER(IS135),ISNUMBER(IQ135)),IS135-IQ135,"")</f>
        <v>0</v>
      </c>
      <c r="IS135" s="33">
        <v>4</v>
      </c>
      <c r="IT135" s="34">
        <f>IF(AND(ISNUMBER(IU135),ISNUMBER(IS135)),IU135-IS135,"")</f>
        <v>0</v>
      </c>
      <c r="IU135" s="33">
        <v>2</v>
      </c>
      <c r="IV135" s="34">
        <f>IF(AND(ISNUMBER(IW135),ISNUMBER(IU135)),IW135-IU135,"")</f>
        <v>0</v>
      </c>
      <c r="IW135" s="33">
        <v>0</v>
      </c>
      <c r="IX135" s="34">
        <f>IF(AND(ISNUMBER(IY135),ISNUMBER(IW135)),IY135-IW135,"")</f>
        <v>0</v>
      </c>
      <c r="IY135" s="33">
        <v>4</v>
      </c>
      <c r="IZ135" s="34">
        <f>IF(AND(ISNUMBER(JA135),ISNUMBER(IY135)),JA135-IY135,"")</f>
        <v>0</v>
      </c>
      <c r="JA135" s="33">
        <v>2</v>
      </c>
      <c r="JB135" s="34">
        <f>IF(AND(ISNUMBER(JC135),ISNUMBER(JA135)),JC135-JA135,"")</f>
        <v>0</v>
      </c>
      <c r="JC135" s="33">
        <v>4</v>
      </c>
      <c r="JD135" s="34">
        <f>IF(AND(ISNUMBER(JE135),ISNUMBER(JC135)),JE135-JC135,"")</f>
        <v>0</v>
      </c>
      <c r="JE135" s="33">
        <v>2</v>
      </c>
      <c r="JF135" s="34">
        <f>IF(AND(ISNUMBER(JG135),ISNUMBER(JE135)),JG135-JE135,"")</f>
        <v>0</v>
      </c>
      <c r="JG135" s="33">
        <v>0</v>
      </c>
      <c r="JH135" s="34">
        <f>IF(AND(ISNUMBER(JI135),ISNUMBER(JG135)),JI135-JG135,"")</f>
        <v>0</v>
      </c>
      <c r="JI135" s="33">
        <v>2</v>
      </c>
      <c r="JJ135" s="34">
        <f>IF(AND(ISNUMBER(JK135),ISNUMBER(JI135)),JK135-JI135,"")</f>
        <v>0</v>
      </c>
      <c r="JK135" s="33">
        <v>0</v>
      </c>
      <c r="JL135" s="34">
        <f>IF(AND(ISNUMBER(JM135),ISNUMBER(JK135)),JM135-JK135,"")</f>
        <v>0</v>
      </c>
      <c r="JM135" s="33">
        <v>5</v>
      </c>
      <c r="JN135" s="34">
        <f>IF(AND(ISNUMBER(JO135),ISNUMBER(JM135)),JO135-JM135,"")</f>
        <v>0</v>
      </c>
      <c r="JO135" s="33">
        <v>3</v>
      </c>
      <c r="JP135" s="34">
        <f>IF(AND(ISNUMBER(JQ135),ISNUMBER(JO135)),JQ135-JO135,"")</f>
        <v>0</v>
      </c>
      <c r="JQ135" s="33">
        <v>2</v>
      </c>
      <c r="JR135" s="34">
        <f>IF(AND(ISNUMBER(JS135),ISNUMBER(JQ135)),JS135-JQ135,"")</f>
        <v>0</v>
      </c>
      <c r="JS135" s="33">
        <v>0</v>
      </c>
      <c r="JT135" s="34">
        <f>IF(AND(ISNUMBER(JU135),ISNUMBER(JS135)),JU135-JS135,"")</f>
        <v>0</v>
      </c>
      <c r="JU135" s="33">
        <v>0</v>
      </c>
      <c r="JV135" s="34">
        <f>IF(AND(ISNUMBER(JW135),ISNUMBER(JU135)),JW135-JU135,"")</f>
        <v>0</v>
      </c>
      <c r="JW135" s="33">
        <v>3</v>
      </c>
      <c r="JX135" s="34">
        <f>IF(AND(ISNUMBER(JY135),ISNUMBER(JW135)),JY135-JW135,"")</f>
        <v>0</v>
      </c>
      <c r="JY135" s="33">
        <v>1</v>
      </c>
      <c r="JZ135" s="34">
        <f>IF(AND(ISNUMBER(KA135),ISNUMBER(JY135)),KA135-JY135,"")</f>
        <v>0</v>
      </c>
      <c r="KA135" s="33"/>
      <c r="KB135" s="34">
        <f>IF(AND(ISNUMBER(KC135),ISNUMBER(KA135)),KC135-KA135,"")</f>
        <v>0</v>
      </c>
      <c r="KC135" s="33"/>
      <c r="KD135" s="34">
        <f>IF(AND(ISNUMBER(KE135),ISNUMBER(KC135)),KE135-KC135,"")</f>
        <v>0</v>
      </c>
      <c r="KE135" s="33"/>
      <c r="KF135" s="34">
        <f>IF(AND(ISNUMBER(KG135),ISNUMBER(KE135)),KG135-KE135,"")</f>
        <v>0</v>
      </c>
      <c r="KG135" s="33"/>
      <c r="KH135" s="34">
        <f>IF(AND(ISNUMBER(KI135),ISNUMBER(KG135)),KI135-KG135,"")</f>
        <v>0</v>
      </c>
      <c r="KI135" s="33"/>
      <c r="KJ135" s="34">
        <f>IF(AND(ISNUMBER(KK135),ISNUMBER(KI135)),KK135-KI135,"")</f>
        <v>0</v>
      </c>
      <c r="KK135" s="33"/>
      <c r="KL135" s="34">
        <f>IF(AND(ISNUMBER(KM135),ISNUMBER(KK135)),KM135-KK135,"")</f>
        <v>0</v>
      </c>
      <c r="KM135" s="33"/>
      <c r="KN135" s="34">
        <f>IF(AND(ISNUMBER(KO135),ISNUMBER(KM135)),KO135-KM135,"")</f>
        <v>0</v>
      </c>
      <c r="KO135" s="33"/>
      <c r="KP135" s="34">
        <f>IF(AND(ISNUMBER(KQ135),ISNUMBER(KO135)),KQ135-KO135,"")</f>
        <v>0</v>
      </c>
      <c r="KQ135" s="33"/>
      <c r="KR135" s="34">
        <f>IF(AND(ISNUMBER(KS135),ISNUMBER(KQ135)),KS135-KQ135,"")</f>
        <v>0</v>
      </c>
      <c r="KS135" s="33"/>
      <c r="KT135" s="34">
        <f>IF(AND(ISNUMBER(KU135),ISNUMBER(KS135)),KU135-KS135,"")</f>
        <v>0</v>
      </c>
      <c r="KU135" s="33"/>
      <c r="KV135" s="34">
        <f>IF(AND(ISNUMBER(KW135),ISNUMBER(KU135)),KW135-KU135,"")</f>
        <v>0</v>
      </c>
      <c r="KW135" s="33"/>
      <c r="KX135" s="34">
        <f>IF(AND(ISNUMBER(KY135),ISNUMBER(KW135)),KY135-KW135,"")</f>
        <v>0</v>
      </c>
      <c r="KY135" s="33"/>
      <c r="KZ135" s="34">
        <f>IF(AND(ISNUMBER(LA135),ISNUMBER(KY135)),LA135-KY135,"")</f>
        <v>0</v>
      </c>
      <c r="LA135" s="33"/>
      <c r="LB135" s="34">
        <f>IF(AND(ISNUMBER(LC135),ISNUMBER(LA135)),LC135-LA135,"")</f>
        <v>0</v>
      </c>
      <c r="LC135" s="33"/>
      <c r="LD135" s="34">
        <f>IF(AND(ISNUMBER(LE135),ISNUMBER(LC135)),LE135-LC135,"")</f>
        <v>0</v>
      </c>
      <c r="LE135" s="33"/>
      <c r="LF135" s="34">
        <f>IF(AND(ISNUMBER(LG135),ISNUMBER(LE135)),LG135-LE135,"")</f>
        <v>0</v>
      </c>
      <c r="LG135" s="33"/>
    </row>
    <row r="136" spans="1:322">
      <c r="B136" s="23"/>
      <c r="C136" s="31" t="s">
        <v>919</v>
      </c>
      <c r="E136" s="32" t="s">
        <v>1139</v>
      </c>
      <c r="I136" s="33"/>
      <c r="J136" s="34">
        <f>IF(AND(ISNUMBER(K136),ISNUMBER(I136)),K136-I136,"")</f>
        <v>0</v>
      </c>
      <c r="K136" s="33"/>
      <c r="L136" s="34">
        <f>IF(AND(ISNUMBER(M136),ISNUMBER(K136)),M136-K136,"")</f>
        <v>0</v>
      </c>
      <c r="M136" s="33"/>
      <c r="N136" s="34">
        <f>IF(AND(ISNUMBER(O136),ISNUMBER(M136)),O136-M136,"")</f>
        <v>0</v>
      </c>
      <c r="O136" s="33"/>
      <c r="P136" s="34">
        <f>IF(AND(ISNUMBER(Q136),ISNUMBER(O136)),Q136-O136,"")</f>
        <v>0</v>
      </c>
      <c r="Q136" s="33"/>
      <c r="R136" s="34">
        <f>IF(AND(ISNUMBER(S136),ISNUMBER(Q136)),S136-Q136,"")</f>
        <v>0</v>
      </c>
      <c r="S136" s="33"/>
      <c r="T136" s="34">
        <f>IF(AND(ISNUMBER(U136),ISNUMBER(S136)),U136-S136,"")</f>
        <v>0</v>
      </c>
      <c r="U136" s="33"/>
      <c r="V136" s="34">
        <f>IF(AND(ISNUMBER(W136),ISNUMBER(U136)),W136-U136,"")</f>
        <v>0</v>
      </c>
      <c r="W136" s="33"/>
      <c r="X136" s="34">
        <f>IF(AND(ISNUMBER(Y136),ISNUMBER(W136)),Y136-W136,"")</f>
        <v>0</v>
      </c>
      <c r="Y136" s="33"/>
      <c r="Z136" s="34">
        <f>IF(AND(ISNUMBER(AA136),ISNUMBER(Y136)),AA136-Y136,"")</f>
        <v>0</v>
      </c>
      <c r="AA136" s="33"/>
      <c r="AB136" s="34">
        <f>IF(AND(ISNUMBER(AC136),ISNUMBER(AA136)),AC136-AA136,"")</f>
        <v>0</v>
      </c>
      <c r="AC136" s="33"/>
      <c r="AD136" s="34">
        <f>IF(AND(ISNUMBER(AE136),ISNUMBER(AC136)),AE136-AC136,"")</f>
        <v>0</v>
      </c>
      <c r="AE136" s="33"/>
      <c r="AF136" s="34">
        <f>IF(AND(ISNUMBER(AG136),ISNUMBER(AE136)),AG136-AE136,"")</f>
        <v>0</v>
      </c>
      <c r="AG136" s="33"/>
      <c r="AH136" s="34">
        <f>IF(AND(ISNUMBER(AI136),ISNUMBER(AG136)),AI136-AG136,"")</f>
        <v>0</v>
      </c>
      <c r="AI136" s="33"/>
      <c r="AJ136" s="34">
        <f>IF(AND(ISNUMBER(AK136),ISNUMBER(AI136)),AK136-AI136,"")</f>
        <v>0</v>
      </c>
      <c r="AK136" s="33"/>
      <c r="AL136" s="34">
        <f>IF(AND(ISNUMBER(AM136),ISNUMBER(AK136)),AM136-AK136,"")</f>
        <v>0</v>
      </c>
      <c r="AM136" s="33"/>
      <c r="AN136" s="34">
        <f>IF(AND(ISNUMBER(AO136),ISNUMBER(AM136)),AO136-AM136,"")</f>
        <v>0</v>
      </c>
      <c r="AO136" s="33"/>
      <c r="AP136" s="34">
        <f>IF(AND(ISNUMBER(AQ136),ISNUMBER(AO136)),AQ136-AO136,"")</f>
        <v>0</v>
      </c>
      <c r="AQ136" s="33"/>
      <c r="AR136" s="34">
        <f>IF(AND(ISNUMBER(AS136),ISNUMBER(AQ136)),AS136-AQ136,"")</f>
        <v>0</v>
      </c>
      <c r="AS136" s="33"/>
      <c r="AT136" s="34">
        <f>IF(AND(ISNUMBER(AU136),ISNUMBER(AS136)),AU136-AS136,"")</f>
        <v>0</v>
      </c>
      <c r="AU136" s="33"/>
      <c r="AV136" s="34">
        <f>IF(AND(ISNUMBER(AW136),ISNUMBER(AU136)),AW136-AU136,"")</f>
        <v>0</v>
      </c>
      <c r="AW136" s="33"/>
      <c r="AX136" s="34">
        <f>IF(AND(ISNUMBER(AY136),ISNUMBER(AW136)),AY136-AW136,"")</f>
        <v>0</v>
      </c>
      <c r="AY136" s="33"/>
      <c r="AZ136" s="34">
        <f>IF(AND(ISNUMBER(BA136),ISNUMBER(AY136)),BA136-AY136,"")</f>
        <v>0</v>
      </c>
      <c r="BA136" s="33"/>
      <c r="BB136" s="34">
        <f>IF(AND(ISNUMBER(BC136),ISNUMBER(BA136)),BC136-BA136,"")</f>
        <v>0</v>
      </c>
      <c r="BC136" s="33"/>
      <c r="BD136" s="34">
        <f>IF(AND(ISNUMBER(BE136),ISNUMBER(BC136)),BE136-BC136,"")</f>
        <v>0</v>
      </c>
      <c r="BE136" s="33"/>
      <c r="BF136" s="34">
        <f>IF(AND(ISNUMBER(BG136),ISNUMBER(BE136)),BG136-BE136,"")</f>
        <v>0</v>
      </c>
      <c r="BG136" s="33"/>
      <c r="BH136" s="34">
        <f>IF(AND(ISNUMBER(BI136),ISNUMBER(BG136)),BI136-BG136,"")</f>
        <v>0</v>
      </c>
      <c r="BI136" s="33"/>
      <c r="BJ136" s="34">
        <f>IF(AND(ISNUMBER(BK136),ISNUMBER(BI136)),BK136-BI136,"")</f>
        <v>0</v>
      </c>
      <c r="BK136" s="33"/>
      <c r="BL136" s="34">
        <f>IF(AND(ISNUMBER(BM136),ISNUMBER(BK136)),BM136-BK136,"")</f>
        <v>0</v>
      </c>
      <c r="BM136" s="33"/>
      <c r="BN136" s="34">
        <f>IF(AND(ISNUMBER(BO136),ISNUMBER(BM136)),BO136-BM136,"")</f>
        <v>0</v>
      </c>
      <c r="BO136" s="33"/>
      <c r="BP136" s="34">
        <f>IF(AND(ISNUMBER(BQ136),ISNUMBER(BO136)),BQ136-BO136,"")</f>
        <v>0</v>
      </c>
      <c r="BQ136" s="33"/>
      <c r="BR136" s="34">
        <f>IF(AND(ISNUMBER(BS136),ISNUMBER(BQ136)),BS136-BQ136,"")</f>
        <v>0</v>
      </c>
      <c r="BS136" s="33"/>
      <c r="BT136" s="34">
        <f>IF(AND(ISNUMBER(BU136),ISNUMBER(BS136)),BU136-BS136,"")</f>
        <v>0</v>
      </c>
      <c r="BU136" s="33"/>
      <c r="BV136" s="34">
        <f>IF(AND(ISNUMBER(BW136),ISNUMBER(BU136)),BW136-BU136,"")</f>
        <v>0</v>
      </c>
      <c r="BW136" s="33"/>
      <c r="BX136" s="34">
        <f>IF(AND(ISNUMBER(BY136),ISNUMBER(BW136)),BY136-BW136,"")</f>
        <v>0</v>
      </c>
      <c r="BY136" s="33"/>
      <c r="BZ136" s="34">
        <f>IF(AND(ISNUMBER(CA136),ISNUMBER(BY136)),CA136-BY136,"")</f>
        <v>0</v>
      </c>
      <c r="CA136" s="33"/>
      <c r="CB136" s="34">
        <f>IF(AND(ISNUMBER(CC136),ISNUMBER(CA136)),CC136-CA136,"")</f>
        <v>0</v>
      </c>
      <c r="CC136" s="33"/>
      <c r="CD136" s="34">
        <f>IF(AND(ISNUMBER(CE136),ISNUMBER(CC136)),CE136-CC136,"")</f>
        <v>0</v>
      </c>
      <c r="CE136" s="33"/>
      <c r="CF136" s="34">
        <f>IF(AND(ISNUMBER(CG136),ISNUMBER(CE136)),CG136-CE136,"")</f>
        <v>0</v>
      </c>
      <c r="CG136" s="33"/>
      <c r="CH136" s="34">
        <f>IF(AND(ISNUMBER(CI136),ISNUMBER(CG136)),CI136-CG136,"")</f>
        <v>0</v>
      </c>
      <c r="CI136" s="33"/>
      <c r="CJ136" s="34">
        <f>IF(AND(ISNUMBER(CK136),ISNUMBER(CI136)),CK136-CI136,"")</f>
        <v>0</v>
      </c>
      <c r="CK136" s="33"/>
      <c r="CL136" s="34">
        <f>IF(AND(ISNUMBER(CM136),ISNUMBER(CK136)),CM136-CK136,"")</f>
        <v>0</v>
      </c>
      <c r="CM136" s="33"/>
      <c r="CN136" s="34">
        <f>IF(AND(ISNUMBER(CO136),ISNUMBER(CM136)),CO136-CM136,"")</f>
        <v>0</v>
      </c>
      <c r="CO136" s="33"/>
      <c r="CP136" s="34">
        <f>IF(AND(ISNUMBER(CQ136),ISNUMBER(CO136)),CQ136-CO136,"")</f>
        <v>0</v>
      </c>
      <c r="CQ136" s="33"/>
      <c r="CR136" s="34">
        <f>IF(AND(ISNUMBER(CS136),ISNUMBER(CQ136)),CS136-CQ136,"")</f>
        <v>0</v>
      </c>
      <c r="CS136" s="33"/>
      <c r="CT136" s="34">
        <f>IF(AND(ISNUMBER(CU136),ISNUMBER(CS136)),CU136-CS136,"")</f>
        <v>0</v>
      </c>
      <c r="CU136" s="33"/>
      <c r="CV136" s="34">
        <f>IF(AND(ISNUMBER(CW136),ISNUMBER(CU136)),CW136-CU136,"")</f>
        <v>0</v>
      </c>
      <c r="CW136" s="33"/>
      <c r="CX136" s="34">
        <f>IF(AND(ISNUMBER(CY136),ISNUMBER(CW136)),CY136-CW136,"")</f>
        <v>0</v>
      </c>
      <c r="CY136" s="33"/>
      <c r="CZ136" s="34">
        <f>IF(AND(ISNUMBER(DA136),ISNUMBER(CY136)),DA136-CY136,"")</f>
        <v>0</v>
      </c>
      <c r="DA136" s="33"/>
      <c r="DB136" s="34">
        <f>IF(AND(ISNUMBER(DC136),ISNUMBER(DA136)),DC136-DA136,"")</f>
        <v>0</v>
      </c>
      <c r="DC136" s="33"/>
      <c r="DD136" s="34">
        <f>IF(AND(ISNUMBER(DE136),ISNUMBER(DC136)),DE136-DC136,"")</f>
        <v>0</v>
      </c>
      <c r="DE136" s="33"/>
      <c r="DF136" s="34">
        <f>IF(AND(ISNUMBER(DG136),ISNUMBER(DE136)),DG136-DE136,"")</f>
        <v>0</v>
      </c>
      <c r="DG136" s="33"/>
      <c r="DH136" s="34">
        <f>IF(AND(ISNUMBER(DI136),ISNUMBER(DG136)),DI136-DG136,"")</f>
        <v>0</v>
      </c>
      <c r="DI136" s="33"/>
      <c r="DJ136" s="34">
        <f>IF(AND(ISNUMBER(DK136),ISNUMBER(DI136)),DK136-DI136,"")</f>
        <v>0</v>
      </c>
      <c r="DK136" s="33"/>
      <c r="DL136" s="34">
        <f>IF(AND(ISNUMBER(DM136),ISNUMBER(DK136)),DM136-DK136,"")</f>
        <v>0</v>
      </c>
      <c r="DM136" s="33"/>
      <c r="DN136" s="34">
        <f>IF(AND(ISNUMBER(DO136),ISNUMBER(DM136)),DO136-DM136,"")</f>
        <v>0</v>
      </c>
      <c r="DO136" s="33"/>
      <c r="DP136" s="34">
        <f>IF(AND(ISNUMBER(DQ136),ISNUMBER(DO136)),DQ136-DO136,"")</f>
        <v>0</v>
      </c>
      <c r="DQ136" s="33"/>
      <c r="DR136" s="34">
        <f>IF(AND(ISNUMBER(DS136),ISNUMBER(DQ136)),DS136-DQ136,"")</f>
        <v>0</v>
      </c>
      <c r="DS136" s="33"/>
      <c r="DT136" s="34">
        <f>IF(AND(ISNUMBER(DU136),ISNUMBER(DS136)),DU136-DS136,"")</f>
        <v>0</v>
      </c>
      <c r="DU136" s="33"/>
      <c r="DV136" s="34">
        <f>IF(AND(ISNUMBER(DW136),ISNUMBER(DU136)),DW136-DU136,"")</f>
        <v>0</v>
      </c>
      <c r="DW136" s="33"/>
      <c r="DX136" s="34">
        <f>IF(AND(ISNUMBER(DY136),ISNUMBER(DW136)),DY136-DW136,"")</f>
        <v>0</v>
      </c>
      <c r="DY136" s="33"/>
      <c r="DZ136" s="34">
        <f>IF(AND(ISNUMBER(EA136),ISNUMBER(DY136)),EA136-DY136,"")</f>
        <v>0</v>
      </c>
      <c r="EA136" s="33"/>
      <c r="EB136" s="34">
        <f>IF(AND(ISNUMBER(EC136),ISNUMBER(EA136)),EC136-EA136,"")</f>
        <v>0</v>
      </c>
      <c r="EC136" s="33"/>
      <c r="ED136" s="34">
        <f>IF(AND(ISNUMBER(EE136),ISNUMBER(EC136)),EE136-EC136,"")</f>
        <v>0</v>
      </c>
      <c r="EE136" s="33"/>
      <c r="EF136" s="34">
        <f>IF(AND(ISNUMBER(EG136),ISNUMBER(EE136)),EG136-EE136,"")</f>
        <v>0</v>
      </c>
      <c r="EG136" s="33"/>
      <c r="EH136" s="34">
        <f>IF(AND(ISNUMBER(EI136),ISNUMBER(EG136)),EI136-EG136,"")</f>
        <v>0</v>
      </c>
      <c r="EI136" s="33"/>
      <c r="EJ136" s="34">
        <f>IF(AND(ISNUMBER(EK136),ISNUMBER(EI136)),EK136-EI136,"")</f>
        <v>0</v>
      </c>
      <c r="EK136" s="33"/>
      <c r="EL136" s="34">
        <f>IF(AND(ISNUMBER(EM136),ISNUMBER(EK136)),EM136-EK136,"")</f>
        <v>0</v>
      </c>
      <c r="EM136" s="33"/>
      <c r="EN136" s="34">
        <f>IF(AND(ISNUMBER(EO136),ISNUMBER(EM136)),EO136-EM136,"")</f>
        <v>0</v>
      </c>
      <c r="EO136" s="33"/>
      <c r="EP136" s="34">
        <f>IF(AND(ISNUMBER(EQ136),ISNUMBER(EO136)),EQ136-EO136,"")</f>
        <v>0</v>
      </c>
      <c r="EQ136" s="33"/>
      <c r="ER136" s="34">
        <f>IF(AND(ISNUMBER(ES136),ISNUMBER(EQ136)),ES136-EQ136,"")</f>
        <v>0</v>
      </c>
      <c r="ES136" s="33"/>
      <c r="ET136" s="34">
        <f>IF(AND(ISNUMBER(EU136),ISNUMBER(ES136)),EU136-ES136,"")</f>
        <v>0</v>
      </c>
      <c r="EU136" s="33"/>
      <c r="EV136" s="34">
        <f>IF(AND(ISNUMBER(EW136),ISNUMBER(EU136)),EW136-EU136,"")</f>
        <v>0</v>
      </c>
      <c r="EW136" s="33"/>
      <c r="EX136" s="34">
        <f>IF(AND(ISNUMBER(EY136),ISNUMBER(EW136)),EY136-EW136,"")</f>
        <v>0</v>
      </c>
      <c r="EY136" s="33"/>
      <c r="EZ136" s="34">
        <f>IF(AND(ISNUMBER(FA136),ISNUMBER(EY136)),FA136-EY136,"")</f>
        <v>0</v>
      </c>
      <c r="FA136" s="33"/>
      <c r="FB136" s="34">
        <f>IF(AND(ISNUMBER(FC136),ISNUMBER(FA136)),FC136-FA136,"")</f>
        <v>0</v>
      </c>
      <c r="FC136" s="33"/>
      <c r="FD136" s="34">
        <f>IF(AND(ISNUMBER(FE136),ISNUMBER(FC136)),FE136-FC136,"")</f>
        <v>0</v>
      </c>
      <c r="FE136" s="33"/>
      <c r="FF136" s="34">
        <f>IF(AND(ISNUMBER(FG136),ISNUMBER(FE136)),FG136-FE136,"")</f>
        <v>0</v>
      </c>
      <c r="FG136" s="33"/>
      <c r="FH136" s="34">
        <f>IF(AND(ISNUMBER(FI136),ISNUMBER(FG136)),FI136-FG136,"")</f>
        <v>0</v>
      </c>
      <c r="FI136" s="33"/>
      <c r="FJ136" s="34">
        <f>IF(AND(ISNUMBER(FK136),ISNUMBER(FI136)),FK136-FI136,"")</f>
        <v>0</v>
      </c>
      <c r="FK136" s="33"/>
      <c r="FL136" s="34">
        <f>IF(AND(ISNUMBER(FM136),ISNUMBER(FK136)),FM136-FK136,"")</f>
        <v>0</v>
      </c>
      <c r="FM136" s="33"/>
      <c r="FN136" s="34">
        <f>IF(AND(ISNUMBER(FO136),ISNUMBER(FM136)),FO136-FM136,"")</f>
        <v>0</v>
      </c>
      <c r="FO136" s="33"/>
      <c r="FP136" s="34">
        <f>IF(AND(ISNUMBER(FQ136),ISNUMBER(FO136)),FQ136-FO136,"")</f>
        <v>0</v>
      </c>
      <c r="FQ136" s="33"/>
      <c r="FR136" s="34">
        <f>IF(AND(ISNUMBER(FS136),ISNUMBER(FQ136)),FS136-FQ136,"")</f>
        <v>0</v>
      </c>
      <c r="FS136" s="33"/>
      <c r="FT136" s="34">
        <f>IF(AND(ISNUMBER(FU136),ISNUMBER(FS136)),FU136-FS136,"")</f>
        <v>0</v>
      </c>
      <c r="FU136" s="33"/>
      <c r="FV136" s="34">
        <f>IF(AND(ISNUMBER(FW136),ISNUMBER(FU136)),FW136-FU136,"")</f>
        <v>0</v>
      </c>
      <c r="FW136" s="33"/>
      <c r="FX136" s="34">
        <f>IF(AND(ISNUMBER(FY136),ISNUMBER(FW136)),FY136-FW136,"")</f>
        <v>0</v>
      </c>
      <c r="FY136" s="33"/>
      <c r="FZ136" s="34">
        <f>IF(AND(ISNUMBER(GA136),ISNUMBER(FY136)),GA136-FY136,"")</f>
        <v>0</v>
      </c>
      <c r="GA136" s="33"/>
      <c r="GB136" s="34">
        <f>IF(AND(ISNUMBER(GC136),ISNUMBER(GA136)),GC136-GA136,"")</f>
        <v>0</v>
      </c>
      <c r="GC136" s="33"/>
      <c r="GD136" s="34">
        <f>IF(AND(ISNUMBER(GE136),ISNUMBER(GC136)),GE136-GC136,"")</f>
        <v>0</v>
      </c>
      <c r="GE136" s="33"/>
      <c r="GF136" s="34">
        <f>IF(AND(ISNUMBER(GG136),ISNUMBER(GE136)),GG136-GE136,"")</f>
        <v>0</v>
      </c>
      <c r="GG136" s="33"/>
      <c r="GH136" s="34">
        <f>IF(AND(ISNUMBER(GI136),ISNUMBER(GG136)),GI136-GG136,"")</f>
        <v>0</v>
      </c>
      <c r="GI136" s="33"/>
      <c r="GJ136" s="34">
        <f>IF(AND(ISNUMBER(GK136),ISNUMBER(GI136)),GK136-GI136,"")</f>
        <v>0</v>
      </c>
      <c r="GK136" s="33"/>
      <c r="GL136" s="34">
        <f>IF(AND(ISNUMBER(GM136),ISNUMBER(GK136)),GM136-GK136,"")</f>
        <v>0</v>
      </c>
      <c r="GM136" s="33"/>
      <c r="GN136" s="34">
        <f>IF(AND(ISNUMBER(GO136),ISNUMBER(GM136)),GO136-GM136,"")</f>
        <v>0</v>
      </c>
      <c r="GO136" s="33"/>
      <c r="GP136" s="34">
        <f>IF(AND(ISNUMBER(GQ136),ISNUMBER(GO136)),GQ136-GO136,"")</f>
        <v>0</v>
      </c>
      <c r="GQ136" s="33"/>
      <c r="GR136" s="34">
        <f>IF(AND(ISNUMBER(GS136),ISNUMBER(GQ136)),GS136-GQ136,"")</f>
        <v>0</v>
      </c>
      <c r="GS136" s="33"/>
      <c r="GT136" s="34">
        <f>IF(AND(ISNUMBER(GU136),ISNUMBER(GS136)),GU136-GS136,"")</f>
        <v>0</v>
      </c>
      <c r="GU136" s="33"/>
      <c r="GV136" s="34">
        <f>IF(AND(ISNUMBER(GW136),ISNUMBER(GU136)),GW136-GU136,"")</f>
        <v>0</v>
      </c>
      <c r="GW136" s="33"/>
      <c r="GX136" s="34">
        <f>IF(AND(ISNUMBER(GY136),ISNUMBER(GW136)),GY136-GW136,"")</f>
        <v>0</v>
      </c>
      <c r="GY136" s="33"/>
      <c r="GZ136" s="34">
        <f>IF(AND(ISNUMBER(HA136),ISNUMBER(GY136)),HA136-GY136,"")</f>
        <v>0</v>
      </c>
      <c r="HA136" s="33"/>
      <c r="HB136" s="34">
        <f>IF(AND(ISNUMBER(HC136),ISNUMBER(HA136)),HC136-HA136,"")</f>
        <v>0</v>
      </c>
      <c r="HC136" s="33"/>
      <c r="HD136" s="34">
        <f>IF(AND(ISNUMBER(HE136),ISNUMBER(HC136)),HE136-HC136,"")</f>
        <v>0</v>
      </c>
      <c r="HE136" s="33"/>
      <c r="HF136" s="34">
        <f>IF(AND(ISNUMBER(HG136),ISNUMBER(HE136)),HG136-HE136,"")</f>
        <v>0</v>
      </c>
      <c r="HG136" s="33"/>
      <c r="HH136" s="34">
        <f>IF(AND(ISNUMBER(HI136),ISNUMBER(HG136)),HI136-HG136,"")</f>
        <v>0</v>
      </c>
      <c r="HI136" s="33"/>
      <c r="HJ136" s="34">
        <f>IF(AND(ISNUMBER(HK136),ISNUMBER(HI136)),HK136-HI136,"")</f>
        <v>0</v>
      </c>
      <c r="HK136" s="33"/>
      <c r="HL136" s="34">
        <f>IF(AND(ISNUMBER(HM136),ISNUMBER(HK136)),HM136-HK136,"")</f>
        <v>0</v>
      </c>
      <c r="HM136" s="33"/>
      <c r="HN136" s="34">
        <f>IF(AND(ISNUMBER(HO136),ISNUMBER(HM136)),HO136-HM136,"")</f>
        <v>0</v>
      </c>
      <c r="HO136" s="33"/>
      <c r="HP136" s="34">
        <f>IF(AND(ISNUMBER(HQ136),ISNUMBER(HO136)),HQ136-HO136,"")</f>
        <v>0</v>
      </c>
      <c r="HQ136" s="33"/>
      <c r="HR136" s="34">
        <f>IF(AND(ISNUMBER(HS136),ISNUMBER(HQ136)),HS136-HQ136,"")</f>
        <v>0</v>
      </c>
      <c r="HS136" s="33"/>
      <c r="HT136" s="34">
        <f>IF(AND(ISNUMBER(HU136),ISNUMBER(HS136)),HU136-HS136,"")</f>
        <v>0</v>
      </c>
      <c r="HU136" s="33"/>
      <c r="HV136" s="34">
        <f>IF(AND(ISNUMBER(HW136),ISNUMBER(HU136)),HW136-HU136,"")</f>
        <v>0</v>
      </c>
      <c r="HW136" s="33"/>
      <c r="HX136" s="34">
        <f>IF(AND(ISNUMBER(HY136),ISNUMBER(HW136)),HY136-HW136,"")</f>
        <v>0</v>
      </c>
      <c r="HY136" s="33"/>
      <c r="HZ136" s="34">
        <f>IF(AND(ISNUMBER(IA136),ISNUMBER(HY136)),IA136-HY136,"")</f>
        <v>0</v>
      </c>
      <c r="IA136" s="33"/>
      <c r="IB136" s="34">
        <f>IF(AND(ISNUMBER(IC136),ISNUMBER(IA136)),IC136-IA136,"")</f>
        <v>0</v>
      </c>
      <c r="IC136" s="33"/>
      <c r="ID136" s="34">
        <f>IF(AND(ISNUMBER(IE136),ISNUMBER(IC136)),IE136-IC136,"")</f>
        <v>0</v>
      </c>
      <c r="IE136" s="33">
        <v>1</v>
      </c>
      <c r="IF136" s="34">
        <f>IF(AND(ISNUMBER(IG136),ISNUMBER(IE136)),IG136-IE136,"")</f>
        <v>0</v>
      </c>
      <c r="IG136" s="33">
        <v>4</v>
      </c>
      <c r="IH136" s="34">
        <f>IF(AND(ISNUMBER(II136),ISNUMBER(IG136)),II136-IG136,"")</f>
        <v>0</v>
      </c>
      <c r="II136" s="33">
        <v>0</v>
      </c>
      <c r="IJ136" s="34">
        <f>IF(AND(ISNUMBER(IK136),ISNUMBER(II136)),IK136-II136,"")</f>
        <v>0</v>
      </c>
      <c r="IK136" s="33">
        <v>1</v>
      </c>
      <c r="IL136" s="34">
        <f>IF(AND(ISNUMBER(IM136),ISNUMBER(IK136)),IM136-IK136,"")</f>
        <v>0</v>
      </c>
      <c r="IM136" s="33">
        <v>0</v>
      </c>
      <c r="IN136" s="34">
        <f>IF(AND(ISNUMBER(IO136),ISNUMBER(IM136)),IO136-IM136,"")</f>
        <v>0</v>
      </c>
      <c r="IO136" s="33">
        <v>0</v>
      </c>
      <c r="IP136" s="34">
        <f>IF(AND(ISNUMBER(IQ136),ISNUMBER(IO136)),IQ136-IO136,"")</f>
        <v>0</v>
      </c>
      <c r="IQ136" s="33">
        <v>0</v>
      </c>
      <c r="IR136" s="34">
        <f>IF(AND(ISNUMBER(IS136),ISNUMBER(IQ136)),IS136-IQ136,"")</f>
        <v>0</v>
      </c>
      <c r="IS136" s="33">
        <v>1</v>
      </c>
      <c r="IT136" s="34">
        <f>IF(AND(ISNUMBER(IU136),ISNUMBER(IS136)),IU136-IS136,"")</f>
        <v>0</v>
      </c>
      <c r="IU136" s="33">
        <v>0</v>
      </c>
      <c r="IV136" s="34">
        <f>IF(AND(ISNUMBER(IW136),ISNUMBER(IU136)),IW136-IU136,"")</f>
        <v>0</v>
      </c>
      <c r="IW136" s="33">
        <v>0</v>
      </c>
      <c r="IX136" s="34">
        <f>IF(AND(ISNUMBER(IY136),ISNUMBER(IW136)),IY136-IW136,"")</f>
        <v>0</v>
      </c>
      <c r="IY136" s="33">
        <v>1</v>
      </c>
      <c r="IZ136" s="34">
        <f>IF(AND(ISNUMBER(JA136),ISNUMBER(IY136)),JA136-IY136,"")</f>
        <v>0</v>
      </c>
      <c r="JA136" s="33">
        <v>0</v>
      </c>
      <c r="JB136" s="34">
        <f>IF(AND(ISNUMBER(JC136),ISNUMBER(JA136)),JC136-JA136,"")</f>
        <v>0</v>
      </c>
      <c r="JC136" s="33">
        <v>0</v>
      </c>
      <c r="JD136" s="34">
        <f>IF(AND(ISNUMBER(JE136),ISNUMBER(JC136)),JE136-JC136,"")</f>
        <v>0</v>
      </c>
      <c r="JE136" s="33">
        <v>0</v>
      </c>
      <c r="JF136" s="34">
        <f>IF(AND(ISNUMBER(JG136),ISNUMBER(JE136)),JG136-JE136,"")</f>
        <v>0</v>
      </c>
      <c r="JG136" s="33">
        <v>2</v>
      </c>
      <c r="JH136" s="34">
        <f>IF(AND(ISNUMBER(JI136),ISNUMBER(JG136)),JI136-JG136,"")</f>
        <v>0</v>
      </c>
      <c r="JI136" s="33">
        <v>0</v>
      </c>
      <c r="JJ136" s="34">
        <f>IF(AND(ISNUMBER(JK136),ISNUMBER(JI136)),JK136-JI136,"")</f>
        <v>0</v>
      </c>
      <c r="JK136" s="33">
        <v>1</v>
      </c>
      <c r="JL136" s="34">
        <f>IF(AND(ISNUMBER(JM136),ISNUMBER(JK136)),JM136-JK136,"")</f>
        <v>0</v>
      </c>
      <c r="JM136" s="33">
        <v>4</v>
      </c>
      <c r="JN136" s="34">
        <f>IF(AND(ISNUMBER(JO136),ISNUMBER(JM136)),JO136-JM136,"")</f>
        <v>0</v>
      </c>
      <c r="JO136" s="33">
        <v>10</v>
      </c>
      <c r="JP136" s="34">
        <f>IF(AND(ISNUMBER(JQ136),ISNUMBER(JO136)),JQ136-JO136,"")</f>
        <v>0</v>
      </c>
      <c r="JQ136" s="33">
        <v>0</v>
      </c>
      <c r="JR136" s="34">
        <f>IF(AND(ISNUMBER(JS136),ISNUMBER(JQ136)),JS136-JQ136,"")</f>
        <v>0</v>
      </c>
      <c r="JS136" s="33">
        <v>3</v>
      </c>
      <c r="JT136" s="34">
        <f>IF(AND(ISNUMBER(JU136),ISNUMBER(JS136)),JU136-JS136,"")</f>
        <v>0</v>
      </c>
      <c r="JU136" s="33">
        <v>0</v>
      </c>
      <c r="JV136" s="34">
        <f>IF(AND(ISNUMBER(JW136),ISNUMBER(JU136)),JW136-JU136,"")</f>
        <v>0</v>
      </c>
      <c r="JW136" s="33">
        <v>0</v>
      </c>
      <c r="JX136" s="34">
        <f>IF(AND(ISNUMBER(JY136),ISNUMBER(JW136)),JY136-JW136,"")</f>
        <v>0</v>
      </c>
      <c r="JY136" s="33">
        <v>0</v>
      </c>
      <c r="JZ136" s="34">
        <f>IF(AND(ISNUMBER(KA136),ISNUMBER(JY136)),KA136-JY136,"")</f>
        <v>0</v>
      </c>
      <c r="KA136" s="33"/>
      <c r="KB136" s="34">
        <f>IF(AND(ISNUMBER(KC136),ISNUMBER(KA136)),KC136-KA136,"")</f>
        <v>0</v>
      </c>
      <c r="KC136" s="33"/>
      <c r="KD136" s="34">
        <f>IF(AND(ISNUMBER(KE136),ISNUMBER(KC136)),KE136-KC136,"")</f>
        <v>0</v>
      </c>
      <c r="KE136" s="33"/>
      <c r="KF136" s="34">
        <f>IF(AND(ISNUMBER(KG136),ISNUMBER(KE136)),KG136-KE136,"")</f>
        <v>0</v>
      </c>
      <c r="KG136" s="33"/>
      <c r="KH136" s="34">
        <f>IF(AND(ISNUMBER(KI136),ISNUMBER(KG136)),KI136-KG136,"")</f>
        <v>0</v>
      </c>
      <c r="KI136" s="33"/>
      <c r="KJ136" s="34">
        <f>IF(AND(ISNUMBER(KK136),ISNUMBER(KI136)),KK136-KI136,"")</f>
        <v>0</v>
      </c>
      <c r="KK136" s="33"/>
      <c r="KL136" s="34">
        <f>IF(AND(ISNUMBER(KM136),ISNUMBER(KK136)),KM136-KK136,"")</f>
        <v>0</v>
      </c>
      <c r="KM136" s="33"/>
      <c r="KN136" s="34">
        <f>IF(AND(ISNUMBER(KO136),ISNUMBER(KM136)),KO136-KM136,"")</f>
        <v>0</v>
      </c>
      <c r="KO136" s="33"/>
      <c r="KP136" s="34">
        <f>IF(AND(ISNUMBER(KQ136),ISNUMBER(KO136)),KQ136-KO136,"")</f>
        <v>0</v>
      </c>
      <c r="KQ136" s="33"/>
      <c r="KR136" s="34">
        <f>IF(AND(ISNUMBER(KS136),ISNUMBER(KQ136)),KS136-KQ136,"")</f>
        <v>0</v>
      </c>
      <c r="KS136" s="33"/>
      <c r="KT136" s="34">
        <f>IF(AND(ISNUMBER(KU136),ISNUMBER(KS136)),KU136-KS136,"")</f>
        <v>0</v>
      </c>
      <c r="KU136" s="33"/>
      <c r="KV136" s="34">
        <f>IF(AND(ISNUMBER(KW136),ISNUMBER(KU136)),KW136-KU136,"")</f>
        <v>0</v>
      </c>
      <c r="KW136" s="33"/>
      <c r="KX136" s="34">
        <f>IF(AND(ISNUMBER(KY136),ISNUMBER(KW136)),KY136-KW136,"")</f>
        <v>0</v>
      </c>
      <c r="KY136" s="33"/>
      <c r="KZ136" s="34">
        <f>IF(AND(ISNUMBER(LA136),ISNUMBER(KY136)),LA136-KY136,"")</f>
        <v>0</v>
      </c>
      <c r="LA136" s="33"/>
      <c r="LB136" s="34">
        <f>IF(AND(ISNUMBER(LC136),ISNUMBER(LA136)),LC136-LA136,"")</f>
        <v>0</v>
      </c>
      <c r="LC136" s="33"/>
      <c r="LD136" s="34">
        <f>IF(AND(ISNUMBER(LE136),ISNUMBER(LC136)),LE136-LC136,"")</f>
        <v>0</v>
      </c>
      <c r="LE136" s="33"/>
      <c r="LF136" s="34">
        <f>IF(AND(ISNUMBER(LG136),ISNUMBER(LE136)),LG136-LE136,"")</f>
        <v>0</v>
      </c>
      <c r="LG136" s="33"/>
    </row>
    <row r="137" spans="1:322">
      <c r="A137" s="36" t="s">
        <v>127</v>
      </c>
      <c r="B137" s="23"/>
      <c r="C137" s="37" t="s">
        <v>921</v>
      </c>
      <c r="E137" s="32" t="s">
        <v>1139</v>
      </c>
      <c r="I137" s="33"/>
      <c r="J137" s="34">
        <f>IF(AND(ISNUMBER(K137),ISNUMBER(I137)),K137-I137,"")</f>
        <v>0</v>
      </c>
      <c r="K137" s="33"/>
      <c r="L137" s="34">
        <f>IF(AND(ISNUMBER(M137),ISNUMBER(K137)),M137-K137,"")</f>
        <v>0</v>
      </c>
      <c r="M137" s="33"/>
      <c r="N137" s="34">
        <f>IF(AND(ISNUMBER(O137),ISNUMBER(M137)),O137-M137,"")</f>
        <v>0</v>
      </c>
      <c r="O137" s="33"/>
      <c r="P137" s="34">
        <f>IF(AND(ISNUMBER(Q137),ISNUMBER(O137)),Q137-O137,"")</f>
        <v>0</v>
      </c>
      <c r="Q137" s="33"/>
      <c r="R137" s="34">
        <f>IF(AND(ISNUMBER(S137),ISNUMBER(Q137)),S137-Q137,"")</f>
        <v>0</v>
      </c>
      <c r="S137" s="33"/>
      <c r="T137" s="34">
        <f>IF(AND(ISNUMBER(U137),ISNUMBER(S137)),U137-S137,"")</f>
        <v>0</v>
      </c>
      <c r="U137" s="33"/>
      <c r="V137" s="34">
        <f>IF(AND(ISNUMBER(W137),ISNUMBER(U137)),W137-U137,"")</f>
        <v>0</v>
      </c>
      <c r="W137" s="33"/>
      <c r="X137" s="34">
        <f>IF(AND(ISNUMBER(Y137),ISNUMBER(W137)),Y137-W137,"")</f>
        <v>0</v>
      </c>
      <c r="Y137" s="33"/>
      <c r="Z137" s="34">
        <f>IF(AND(ISNUMBER(AA137),ISNUMBER(Y137)),AA137-Y137,"")</f>
        <v>0</v>
      </c>
      <c r="AA137" s="33"/>
      <c r="AB137" s="34">
        <f>IF(AND(ISNUMBER(AC137),ISNUMBER(AA137)),AC137-AA137,"")</f>
        <v>0</v>
      </c>
      <c r="AC137" s="33"/>
      <c r="AD137" s="34">
        <f>IF(AND(ISNUMBER(AE137),ISNUMBER(AC137)),AE137-AC137,"")</f>
        <v>0</v>
      </c>
      <c r="AE137" s="33"/>
      <c r="AF137" s="34">
        <f>IF(AND(ISNUMBER(AG137),ISNUMBER(AE137)),AG137-AE137,"")</f>
        <v>0</v>
      </c>
      <c r="AG137" s="33"/>
      <c r="AH137" s="34">
        <f>IF(AND(ISNUMBER(AI137),ISNUMBER(AG137)),AI137-AG137,"")</f>
        <v>0</v>
      </c>
      <c r="AI137" s="33"/>
      <c r="AJ137" s="34">
        <f>IF(AND(ISNUMBER(AK137),ISNUMBER(AI137)),AK137-AI137,"")</f>
        <v>0</v>
      </c>
      <c r="AK137" s="33"/>
      <c r="AL137" s="34">
        <f>IF(AND(ISNUMBER(AM137),ISNUMBER(AK137)),AM137-AK137,"")</f>
        <v>0</v>
      </c>
      <c r="AM137" s="33"/>
      <c r="AN137" s="34">
        <f>IF(AND(ISNUMBER(AO137),ISNUMBER(AM137)),AO137-AM137,"")</f>
        <v>0</v>
      </c>
      <c r="AO137" s="33"/>
      <c r="AP137" s="34">
        <f>IF(AND(ISNUMBER(AQ137),ISNUMBER(AO137)),AQ137-AO137,"")</f>
        <v>0</v>
      </c>
      <c r="AQ137" s="33"/>
      <c r="AR137" s="34">
        <f>IF(AND(ISNUMBER(AS137),ISNUMBER(AQ137)),AS137-AQ137,"")</f>
        <v>0</v>
      </c>
      <c r="AS137" s="33"/>
      <c r="AT137" s="34">
        <f>IF(AND(ISNUMBER(AU137),ISNUMBER(AS137)),AU137-AS137,"")</f>
        <v>0</v>
      </c>
      <c r="AU137" s="33"/>
      <c r="AV137" s="34">
        <f>IF(AND(ISNUMBER(AW137),ISNUMBER(AU137)),AW137-AU137,"")</f>
        <v>0</v>
      </c>
      <c r="AW137" s="33"/>
      <c r="AX137" s="34">
        <f>IF(AND(ISNUMBER(AY137),ISNUMBER(AW137)),AY137-AW137,"")</f>
        <v>0</v>
      </c>
      <c r="AY137" s="33"/>
      <c r="AZ137" s="34">
        <f>IF(AND(ISNUMBER(BA137),ISNUMBER(AY137)),BA137-AY137,"")</f>
        <v>0</v>
      </c>
      <c r="BA137" s="33"/>
      <c r="BB137" s="34">
        <f>IF(AND(ISNUMBER(BC137),ISNUMBER(BA137)),BC137-BA137,"")</f>
        <v>0</v>
      </c>
      <c r="BC137" s="33"/>
      <c r="BD137" s="34">
        <f>IF(AND(ISNUMBER(BE137),ISNUMBER(BC137)),BE137-BC137,"")</f>
        <v>0</v>
      </c>
      <c r="BE137" s="33"/>
      <c r="BF137" s="34">
        <f>IF(AND(ISNUMBER(BG137),ISNUMBER(BE137)),BG137-BE137,"")</f>
        <v>0</v>
      </c>
      <c r="BG137" s="33"/>
      <c r="BH137" s="34">
        <f>IF(AND(ISNUMBER(BI137),ISNUMBER(BG137)),BI137-BG137,"")</f>
        <v>0</v>
      </c>
      <c r="BI137" s="33"/>
      <c r="BJ137" s="34">
        <f>IF(AND(ISNUMBER(BK137),ISNUMBER(BI137)),BK137-BI137,"")</f>
        <v>0</v>
      </c>
      <c r="BK137" s="33"/>
      <c r="BL137" s="34">
        <f>IF(AND(ISNUMBER(BM137),ISNUMBER(BK137)),BM137-BK137,"")</f>
        <v>0</v>
      </c>
      <c r="BM137" s="33"/>
      <c r="BN137" s="34">
        <f>IF(AND(ISNUMBER(BO137),ISNUMBER(BM137)),BO137-BM137,"")</f>
        <v>0</v>
      </c>
      <c r="BO137" s="33"/>
      <c r="BP137" s="34">
        <f>IF(AND(ISNUMBER(BQ137),ISNUMBER(BO137)),BQ137-BO137,"")</f>
        <v>0</v>
      </c>
      <c r="BQ137" s="33"/>
      <c r="BR137" s="34">
        <f>IF(AND(ISNUMBER(BS137),ISNUMBER(BQ137)),BS137-BQ137,"")</f>
        <v>0</v>
      </c>
      <c r="BS137" s="33"/>
      <c r="BT137" s="34">
        <f>IF(AND(ISNUMBER(BU137),ISNUMBER(BS137)),BU137-BS137,"")</f>
        <v>0</v>
      </c>
      <c r="BU137" s="33"/>
      <c r="BV137" s="34">
        <f>IF(AND(ISNUMBER(BW137),ISNUMBER(BU137)),BW137-BU137,"")</f>
        <v>0</v>
      </c>
      <c r="BW137" s="33"/>
      <c r="BX137" s="34">
        <f>IF(AND(ISNUMBER(BY137),ISNUMBER(BW137)),BY137-BW137,"")</f>
        <v>0</v>
      </c>
      <c r="BY137" s="33"/>
      <c r="BZ137" s="34">
        <f>IF(AND(ISNUMBER(CA137),ISNUMBER(BY137)),CA137-BY137,"")</f>
        <v>0</v>
      </c>
      <c r="CA137" s="33"/>
      <c r="CB137" s="34">
        <f>IF(AND(ISNUMBER(CC137),ISNUMBER(CA137)),CC137-CA137,"")</f>
        <v>0</v>
      </c>
      <c r="CC137" s="33"/>
      <c r="CD137" s="34">
        <f>IF(AND(ISNUMBER(CE137),ISNUMBER(CC137)),CE137-CC137,"")</f>
        <v>0</v>
      </c>
      <c r="CE137" s="33"/>
      <c r="CF137" s="34">
        <f>IF(AND(ISNUMBER(CG137),ISNUMBER(CE137)),CG137-CE137,"")</f>
        <v>0</v>
      </c>
      <c r="CG137" s="33"/>
      <c r="CH137" s="34">
        <f>IF(AND(ISNUMBER(CI137),ISNUMBER(CG137)),CI137-CG137,"")</f>
        <v>0</v>
      </c>
      <c r="CI137" s="33"/>
      <c r="CJ137" s="34">
        <f>IF(AND(ISNUMBER(CK137),ISNUMBER(CI137)),CK137-CI137,"")</f>
        <v>0</v>
      </c>
      <c r="CK137" s="33"/>
      <c r="CL137" s="34">
        <f>IF(AND(ISNUMBER(CM137),ISNUMBER(CK137)),CM137-CK137,"")</f>
        <v>0</v>
      </c>
      <c r="CM137" s="33"/>
      <c r="CN137" s="34">
        <f>IF(AND(ISNUMBER(CO137),ISNUMBER(CM137)),CO137-CM137,"")</f>
        <v>0</v>
      </c>
      <c r="CO137" s="33"/>
      <c r="CP137" s="34">
        <f>IF(AND(ISNUMBER(CQ137),ISNUMBER(CO137)),CQ137-CO137,"")</f>
        <v>0</v>
      </c>
      <c r="CQ137" s="33"/>
      <c r="CR137" s="34">
        <f>IF(AND(ISNUMBER(CS137),ISNUMBER(CQ137)),CS137-CQ137,"")</f>
        <v>0</v>
      </c>
      <c r="CS137" s="33"/>
      <c r="CT137" s="34">
        <f>IF(AND(ISNUMBER(CU137),ISNUMBER(CS137)),CU137-CS137,"")</f>
        <v>0</v>
      </c>
      <c r="CU137" s="33"/>
      <c r="CV137" s="34">
        <f>IF(AND(ISNUMBER(CW137),ISNUMBER(CU137)),CW137-CU137,"")</f>
        <v>0</v>
      </c>
      <c r="CW137" s="33"/>
      <c r="CX137" s="34">
        <f>IF(AND(ISNUMBER(CY137),ISNUMBER(CW137)),CY137-CW137,"")</f>
        <v>0</v>
      </c>
      <c r="CY137" s="33"/>
      <c r="CZ137" s="34">
        <f>IF(AND(ISNUMBER(DA137),ISNUMBER(CY137)),DA137-CY137,"")</f>
        <v>0</v>
      </c>
      <c r="DA137" s="33"/>
      <c r="DB137" s="34">
        <f>IF(AND(ISNUMBER(DC137),ISNUMBER(DA137)),DC137-DA137,"")</f>
        <v>0</v>
      </c>
      <c r="DC137" s="33"/>
      <c r="DD137" s="34">
        <f>IF(AND(ISNUMBER(DE137),ISNUMBER(DC137)),DE137-DC137,"")</f>
        <v>0</v>
      </c>
      <c r="DE137" s="33"/>
      <c r="DF137" s="34">
        <f>IF(AND(ISNUMBER(DG137),ISNUMBER(DE137)),DG137-DE137,"")</f>
        <v>0</v>
      </c>
      <c r="DG137" s="33"/>
      <c r="DH137" s="34">
        <f>IF(AND(ISNUMBER(DI137),ISNUMBER(DG137)),DI137-DG137,"")</f>
        <v>0</v>
      </c>
      <c r="DI137" s="33"/>
      <c r="DJ137" s="34">
        <f>IF(AND(ISNUMBER(DK137),ISNUMBER(DI137)),DK137-DI137,"")</f>
        <v>0</v>
      </c>
      <c r="DK137" s="33"/>
      <c r="DL137" s="34">
        <f>IF(AND(ISNUMBER(DM137),ISNUMBER(DK137)),DM137-DK137,"")</f>
        <v>0</v>
      </c>
      <c r="DM137" s="33"/>
      <c r="DN137" s="34">
        <f>IF(AND(ISNUMBER(DO137),ISNUMBER(DM137)),DO137-DM137,"")</f>
        <v>0</v>
      </c>
      <c r="DO137" s="33"/>
      <c r="DP137" s="34">
        <f>IF(AND(ISNUMBER(DQ137),ISNUMBER(DO137)),DQ137-DO137,"")</f>
        <v>0</v>
      </c>
      <c r="DQ137" s="33"/>
      <c r="DR137" s="34">
        <f>IF(AND(ISNUMBER(DS137),ISNUMBER(DQ137)),DS137-DQ137,"")</f>
        <v>0</v>
      </c>
      <c r="DS137" s="33"/>
      <c r="DT137" s="34">
        <f>IF(AND(ISNUMBER(DU137),ISNUMBER(DS137)),DU137-DS137,"")</f>
        <v>0</v>
      </c>
      <c r="DU137" s="33"/>
      <c r="DV137" s="34">
        <f>IF(AND(ISNUMBER(DW137),ISNUMBER(DU137)),DW137-DU137,"")</f>
        <v>0</v>
      </c>
      <c r="DW137" s="33"/>
      <c r="DX137" s="34">
        <f>IF(AND(ISNUMBER(DY137),ISNUMBER(DW137)),DY137-DW137,"")</f>
        <v>0</v>
      </c>
      <c r="DY137" s="33"/>
      <c r="DZ137" s="34">
        <f>IF(AND(ISNUMBER(EA137),ISNUMBER(DY137)),EA137-DY137,"")</f>
        <v>0</v>
      </c>
      <c r="EA137" s="33"/>
      <c r="EB137" s="34">
        <f>IF(AND(ISNUMBER(EC137),ISNUMBER(EA137)),EC137-EA137,"")</f>
        <v>0</v>
      </c>
      <c r="EC137" s="33"/>
      <c r="ED137" s="34">
        <f>IF(AND(ISNUMBER(EE137),ISNUMBER(EC137)),EE137-EC137,"")</f>
        <v>0</v>
      </c>
      <c r="EE137" s="33"/>
      <c r="EF137" s="34">
        <f>IF(AND(ISNUMBER(EG137),ISNUMBER(EE137)),EG137-EE137,"")</f>
        <v>0</v>
      </c>
      <c r="EG137" s="33"/>
      <c r="EH137" s="34">
        <f>IF(AND(ISNUMBER(EI137),ISNUMBER(EG137)),EI137-EG137,"")</f>
        <v>0</v>
      </c>
      <c r="EI137" s="33"/>
      <c r="EJ137" s="34">
        <f>IF(AND(ISNUMBER(EK137),ISNUMBER(EI137)),EK137-EI137,"")</f>
        <v>0</v>
      </c>
      <c r="EK137" s="33"/>
      <c r="EL137" s="34">
        <f>IF(AND(ISNUMBER(EM137),ISNUMBER(EK137)),EM137-EK137,"")</f>
        <v>0</v>
      </c>
      <c r="EM137" s="33"/>
      <c r="EN137" s="34">
        <f>IF(AND(ISNUMBER(EO137),ISNUMBER(EM137)),EO137-EM137,"")</f>
        <v>0</v>
      </c>
      <c r="EO137" s="33"/>
      <c r="EP137" s="34">
        <f>IF(AND(ISNUMBER(EQ137),ISNUMBER(EO137)),EQ137-EO137,"")</f>
        <v>0</v>
      </c>
      <c r="EQ137" s="33"/>
      <c r="ER137" s="34">
        <f>IF(AND(ISNUMBER(ES137),ISNUMBER(EQ137)),ES137-EQ137,"")</f>
        <v>0</v>
      </c>
      <c r="ES137" s="33"/>
      <c r="ET137" s="34">
        <f>IF(AND(ISNUMBER(EU137),ISNUMBER(ES137)),EU137-ES137,"")</f>
        <v>0</v>
      </c>
      <c r="EU137" s="33"/>
      <c r="EV137" s="34">
        <f>IF(AND(ISNUMBER(EW137),ISNUMBER(EU137)),EW137-EU137,"")</f>
        <v>0</v>
      </c>
      <c r="EW137" s="33"/>
      <c r="EX137" s="34">
        <f>IF(AND(ISNUMBER(EY137),ISNUMBER(EW137)),EY137-EW137,"")</f>
        <v>0</v>
      </c>
      <c r="EY137" s="33"/>
      <c r="EZ137" s="34">
        <f>IF(AND(ISNUMBER(FA137),ISNUMBER(EY137)),FA137-EY137,"")</f>
        <v>0</v>
      </c>
      <c r="FA137" s="33"/>
      <c r="FB137" s="34">
        <f>IF(AND(ISNUMBER(FC137),ISNUMBER(FA137)),FC137-FA137,"")</f>
        <v>0</v>
      </c>
      <c r="FC137" s="33"/>
      <c r="FD137" s="34">
        <f>IF(AND(ISNUMBER(FE137),ISNUMBER(FC137)),FE137-FC137,"")</f>
        <v>0</v>
      </c>
      <c r="FE137" s="33"/>
      <c r="FF137" s="34">
        <f>IF(AND(ISNUMBER(FG137),ISNUMBER(FE137)),FG137-FE137,"")</f>
        <v>0</v>
      </c>
      <c r="FG137" s="33"/>
      <c r="FH137" s="34">
        <f>IF(AND(ISNUMBER(FI137),ISNUMBER(FG137)),FI137-FG137,"")</f>
        <v>0</v>
      </c>
      <c r="FI137" s="33"/>
      <c r="FJ137" s="34">
        <f>IF(AND(ISNUMBER(FK137),ISNUMBER(FI137)),FK137-FI137,"")</f>
        <v>0</v>
      </c>
      <c r="FK137" s="33"/>
      <c r="FL137" s="34">
        <f>IF(AND(ISNUMBER(FM137),ISNUMBER(FK137)),FM137-FK137,"")</f>
        <v>0</v>
      </c>
      <c r="FM137" s="33"/>
      <c r="FN137" s="34">
        <f>IF(AND(ISNUMBER(FO137),ISNUMBER(FM137)),FO137-FM137,"")</f>
        <v>0</v>
      </c>
      <c r="FO137" s="33"/>
      <c r="FP137" s="34">
        <f>IF(AND(ISNUMBER(FQ137),ISNUMBER(FO137)),FQ137-FO137,"")</f>
        <v>0</v>
      </c>
      <c r="FQ137" s="33"/>
      <c r="FR137" s="34">
        <f>IF(AND(ISNUMBER(FS137),ISNUMBER(FQ137)),FS137-FQ137,"")</f>
        <v>0</v>
      </c>
      <c r="FS137" s="33"/>
      <c r="FT137" s="34">
        <f>IF(AND(ISNUMBER(FU137),ISNUMBER(FS137)),FU137-FS137,"")</f>
        <v>0</v>
      </c>
      <c r="FU137" s="33"/>
      <c r="FV137" s="34">
        <f>IF(AND(ISNUMBER(FW137),ISNUMBER(FU137)),FW137-FU137,"")</f>
        <v>0</v>
      </c>
      <c r="FW137" s="33"/>
      <c r="FX137" s="34">
        <f>IF(AND(ISNUMBER(FY137),ISNUMBER(FW137)),FY137-FW137,"")</f>
        <v>0</v>
      </c>
      <c r="FY137" s="33"/>
      <c r="FZ137" s="34">
        <f>IF(AND(ISNUMBER(GA137),ISNUMBER(FY137)),GA137-FY137,"")</f>
        <v>0</v>
      </c>
      <c r="GA137" s="33"/>
      <c r="GB137" s="34">
        <f>IF(AND(ISNUMBER(GC137),ISNUMBER(GA137)),GC137-GA137,"")</f>
        <v>0</v>
      </c>
      <c r="GC137" s="33"/>
      <c r="GD137" s="34">
        <f>IF(AND(ISNUMBER(GE137),ISNUMBER(GC137)),GE137-GC137,"")</f>
        <v>0</v>
      </c>
      <c r="GE137" s="33"/>
      <c r="GF137" s="34">
        <f>IF(AND(ISNUMBER(GG137),ISNUMBER(GE137)),GG137-GE137,"")</f>
        <v>0</v>
      </c>
      <c r="GG137" s="33"/>
      <c r="GH137" s="34">
        <f>IF(AND(ISNUMBER(GI137),ISNUMBER(GG137)),GI137-GG137,"")</f>
        <v>0</v>
      </c>
      <c r="GI137" s="33"/>
      <c r="GJ137" s="34">
        <f>IF(AND(ISNUMBER(GK137),ISNUMBER(GI137)),GK137-GI137,"")</f>
        <v>0</v>
      </c>
      <c r="GK137" s="33"/>
      <c r="GL137" s="34">
        <f>IF(AND(ISNUMBER(GM137),ISNUMBER(GK137)),GM137-GK137,"")</f>
        <v>0</v>
      </c>
      <c r="GM137" s="33"/>
      <c r="GN137" s="34">
        <f>IF(AND(ISNUMBER(GO137),ISNUMBER(GM137)),GO137-GM137,"")</f>
        <v>0</v>
      </c>
      <c r="GO137" s="33"/>
      <c r="GP137" s="34">
        <f>IF(AND(ISNUMBER(GQ137),ISNUMBER(GO137)),GQ137-GO137,"")</f>
        <v>0</v>
      </c>
      <c r="GQ137" s="33"/>
      <c r="GR137" s="34">
        <f>IF(AND(ISNUMBER(GS137),ISNUMBER(GQ137)),GS137-GQ137,"")</f>
        <v>0</v>
      </c>
      <c r="GS137" s="33"/>
      <c r="GT137" s="34">
        <f>IF(AND(ISNUMBER(GU137),ISNUMBER(GS137)),GU137-GS137,"")</f>
        <v>0</v>
      </c>
      <c r="GU137" s="33"/>
      <c r="GV137" s="34">
        <f>IF(AND(ISNUMBER(GW137),ISNUMBER(GU137)),GW137-GU137,"")</f>
        <v>0</v>
      </c>
      <c r="GW137" s="33"/>
      <c r="GX137" s="34">
        <f>IF(AND(ISNUMBER(GY137),ISNUMBER(GW137)),GY137-GW137,"")</f>
        <v>0</v>
      </c>
      <c r="GY137" s="33"/>
      <c r="GZ137" s="34">
        <f>IF(AND(ISNUMBER(HA137),ISNUMBER(GY137)),HA137-GY137,"")</f>
        <v>0</v>
      </c>
      <c r="HA137" s="33"/>
      <c r="HB137" s="34">
        <f>IF(AND(ISNUMBER(HC137),ISNUMBER(HA137)),HC137-HA137,"")</f>
        <v>0</v>
      </c>
      <c r="HC137" s="33"/>
      <c r="HD137" s="34">
        <f>IF(AND(ISNUMBER(HE137),ISNUMBER(HC137)),HE137-HC137,"")</f>
        <v>0</v>
      </c>
      <c r="HE137" s="39">
        <f>IF(COUNT(HE138:HE140)=0,"",SUM(HE138:HE140))</f>
        <v>0</v>
      </c>
      <c r="HF137" s="34">
        <f>IF(AND(ISNUMBER(HG137),ISNUMBER(HE137)),HG137-HE137,"")</f>
        <v>0</v>
      </c>
      <c r="HG137" s="39">
        <f>IF(COUNT(HG138:HG140)=0,"",SUM(HG138:HG140))</f>
        <v>0</v>
      </c>
      <c r="HH137" s="34">
        <f>IF(AND(ISNUMBER(HI137),ISNUMBER(HG137)),HI137-HG137,"")</f>
        <v>0</v>
      </c>
      <c r="HI137" s="39">
        <f>IF(COUNT(HI138:HI140)=0,"",SUM(HI138:HI140))</f>
        <v>0</v>
      </c>
      <c r="HJ137" s="34">
        <f>IF(AND(ISNUMBER(HK137),ISNUMBER(HI137)),HK137-HI137,"")</f>
        <v>0</v>
      </c>
      <c r="HK137" s="39">
        <f>IF(COUNT(HK138:HK140)=0,"",SUM(HK138:HK140))</f>
        <v>0</v>
      </c>
      <c r="HL137" s="34">
        <f>IF(AND(ISNUMBER(HM137),ISNUMBER(HK137)),HM137-HK137,"")</f>
        <v>0</v>
      </c>
      <c r="HM137" s="39">
        <f>IF(COUNT(HM138:HM140)=0,"",SUM(HM138:HM140))</f>
        <v>0</v>
      </c>
      <c r="HN137" s="34">
        <f>IF(AND(ISNUMBER(HO137),ISNUMBER(HM137)),HO137-HM137,"")</f>
        <v>0</v>
      </c>
      <c r="HO137" s="39">
        <f>IF(COUNT(HO138:HO140)=0,"",SUM(HO138:HO140))</f>
        <v>0</v>
      </c>
      <c r="HP137" s="34">
        <f>IF(AND(ISNUMBER(HQ137),ISNUMBER(HO137)),HQ137-HO137,"")</f>
        <v>0</v>
      </c>
      <c r="HQ137" s="39">
        <f>IF(COUNT(HQ138:HQ140)=0,"",SUM(HQ138:HQ140))</f>
        <v>0</v>
      </c>
      <c r="HR137" s="34">
        <f>IF(AND(ISNUMBER(HS137),ISNUMBER(HQ137)),HS137-HQ137,"")</f>
        <v>0</v>
      </c>
      <c r="HS137" s="39">
        <f>IF(COUNT(HS138:HS140)=0,"",SUM(HS138:HS140))</f>
        <v>0</v>
      </c>
      <c r="HT137" s="34">
        <f>IF(AND(ISNUMBER(HU137),ISNUMBER(HS137)),HU137-HS137,"")</f>
        <v>0</v>
      </c>
      <c r="HU137" s="39">
        <f>IF(COUNT(HU138:HU140)=0,"",SUM(HU138:HU140))</f>
        <v>0</v>
      </c>
      <c r="HV137" s="34">
        <f>IF(AND(ISNUMBER(HW137),ISNUMBER(HU137)),HW137-HU137,"")</f>
        <v>0</v>
      </c>
      <c r="HW137" s="39">
        <f>IF(COUNT(HW138:HW140)=0,"",SUM(HW138:HW140))</f>
        <v>0</v>
      </c>
      <c r="HX137" s="34">
        <f>IF(AND(ISNUMBER(HY137),ISNUMBER(HW137)),HY137-HW137,"")</f>
        <v>0</v>
      </c>
      <c r="HY137" s="39">
        <f>IF(COUNT(HY138:HY140)=0,"",SUM(HY138:HY140))</f>
        <v>0</v>
      </c>
      <c r="HZ137" s="34">
        <f>IF(AND(ISNUMBER(IA137),ISNUMBER(HY137)),IA137-HY137,"")</f>
        <v>0</v>
      </c>
      <c r="IA137" s="39">
        <f>IF(COUNT(IA138:IA140)=0,"",SUM(IA138:IA140))</f>
        <v>0</v>
      </c>
      <c r="IB137" s="34">
        <f>IF(AND(ISNUMBER(IC137),ISNUMBER(IA137)),IC137-IA137,"")</f>
        <v>0</v>
      </c>
      <c r="IC137" s="39">
        <f>IF(COUNT(IC138:IC140)=0,"",SUM(IC138:IC140))</f>
        <v>0</v>
      </c>
      <c r="ID137" s="34">
        <f>IF(AND(ISNUMBER(IE137),ISNUMBER(IC137)),IE137-IC137,"")</f>
        <v>0</v>
      </c>
      <c r="IE137" s="39">
        <f>IF(COUNT(IE138:IE140)=0,"",SUM(IE138:IE140))</f>
        <v>0</v>
      </c>
      <c r="IF137" s="34">
        <f>IF(AND(ISNUMBER(IG137),ISNUMBER(IE137)),IG137-IE137,"")</f>
        <v>0</v>
      </c>
      <c r="IG137" s="39">
        <f>IF(COUNT(IG138:IG140)=0,"",SUM(IG138:IG140))</f>
        <v>0</v>
      </c>
      <c r="IH137" s="34">
        <f>IF(AND(ISNUMBER(II137),ISNUMBER(IG137)),II137-IG137,"")</f>
        <v>0</v>
      </c>
      <c r="II137" s="39">
        <f>IF(COUNT(II138:II140)=0,"",SUM(II138:II140))</f>
        <v>0</v>
      </c>
      <c r="IJ137" s="34">
        <f>IF(AND(ISNUMBER(IK137),ISNUMBER(II137)),IK137-II137,"")</f>
        <v>0</v>
      </c>
      <c r="IK137" s="39">
        <f>IF(COUNT(IK138:IK140)=0,"",SUM(IK138:IK140))</f>
        <v>0</v>
      </c>
      <c r="IL137" s="34">
        <f>IF(AND(ISNUMBER(IM137),ISNUMBER(IK137)),IM137-IK137,"")</f>
        <v>0</v>
      </c>
      <c r="IM137" s="39">
        <f>IF(COUNT(IM138:IM140)=0,"",SUM(IM138:IM140))</f>
        <v>0</v>
      </c>
      <c r="IN137" s="34">
        <f>IF(AND(ISNUMBER(IO137),ISNUMBER(IM137)),IO137-IM137,"")</f>
        <v>0</v>
      </c>
      <c r="IO137" s="39">
        <f>IF(COUNT(IO138:IO140)=0,"",SUM(IO138:IO140))</f>
        <v>0</v>
      </c>
      <c r="IP137" s="34">
        <f>IF(AND(ISNUMBER(IQ137),ISNUMBER(IO137)),IQ137-IO137,"")</f>
        <v>0</v>
      </c>
      <c r="IQ137" s="39">
        <f>IF(COUNT(IQ138:IQ140)=0,"",SUM(IQ138:IQ140))</f>
        <v>0</v>
      </c>
      <c r="IR137" s="34">
        <f>IF(AND(ISNUMBER(IS137),ISNUMBER(IQ137)),IS137-IQ137,"")</f>
        <v>0</v>
      </c>
      <c r="IS137" s="39">
        <f>IF(COUNT(IS138:IS140)=0,"",SUM(IS138:IS140))</f>
        <v>0</v>
      </c>
      <c r="IT137" s="34">
        <f>IF(AND(ISNUMBER(IU137),ISNUMBER(IS137)),IU137-IS137,"")</f>
        <v>0</v>
      </c>
      <c r="IU137" s="39">
        <f>IF(COUNT(IU138:IU140)=0,"",SUM(IU138:IU140))</f>
        <v>0</v>
      </c>
      <c r="IV137" s="34">
        <f>IF(AND(ISNUMBER(IW137),ISNUMBER(IU137)),IW137-IU137,"")</f>
        <v>0</v>
      </c>
      <c r="IW137" s="39">
        <f>IF(COUNT(IW138:IW140)=0,"",SUM(IW138:IW140))</f>
        <v>0</v>
      </c>
      <c r="IX137" s="34">
        <f>IF(AND(ISNUMBER(IY137),ISNUMBER(IW137)),IY137-IW137,"")</f>
        <v>0</v>
      </c>
      <c r="IY137" s="39">
        <f>IF(COUNT(IY138:IY140)=0,"",SUM(IY138:IY140))</f>
        <v>0</v>
      </c>
      <c r="IZ137" s="34">
        <f>IF(AND(ISNUMBER(JA137),ISNUMBER(IY137)),JA137-IY137,"")</f>
        <v>0</v>
      </c>
      <c r="JA137" s="39">
        <f>IF(COUNT(JA138:JA140)=0,"",SUM(JA138:JA140))</f>
        <v>0</v>
      </c>
      <c r="JB137" s="34">
        <f>IF(AND(ISNUMBER(JC137),ISNUMBER(JA137)),JC137-JA137,"")</f>
        <v>0</v>
      </c>
      <c r="JC137" s="39">
        <f>IF(COUNT(JC138:JC140)=0,"",SUM(JC138:JC140))</f>
        <v>0</v>
      </c>
      <c r="JD137" s="34">
        <f>IF(AND(ISNUMBER(JE137),ISNUMBER(JC137)),JE137-JC137,"")</f>
        <v>0</v>
      </c>
      <c r="JE137" s="39">
        <f>IF(COUNT(JE138:JE140)=0,"",SUM(JE138:JE140))</f>
        <v>0</v>
      </c>
      <c r="JF137" s="34">
        <f>IF(AND(ISNUMBER(JG137),ISNUMBER(JE137)),JG137-JE137,"")</f>
        <v>0</v>
      </c>
      <c r="JG137" s="39">
        <f>IF(COUNT(JG138:JG140)=0,"",SUM(JG138:JG140))</f>
        <v>0</v>
      </c>
      <c r="JH137" s="34">
        <f>IF(AND(ISNUMBER(JI137),ISNUMBER(JG137)),JI137-JG137,"")</f>
        <v>0</v>
      </c>
      <c r="JI137" s="39">
        <f>IF(COUNT(JI138:JI140)=0,"",SUM(JI138:JI140))</f>
        <v>0</v>
      </c>
      <c r="JJ137" s="34">
        <f>IF(AND(ISNUMBER(JK137),ISNUMBER(JI137)),JK137-JI137,"")</f>
        <v>0</v>
      </c>
      <c r="JK137" s="39">
        <f>IF(COUNT(JK138:JK140)=0,"",SUM(JK138:JK140))</f>
        <v>0</v>
      </c>
      <c r="JL137" s="34">
        <f>IF(AND(ISNUMBER(JM137),ISNUMBER(JK137)),JM137-JK137,"")</f>
        <v>0</v>
      </c>
      <c r="JM137" s="39">
        <f>IF(COUNT(JM138:JM140)=0,"",SUM(JM138:JM140))</f>
        <v>0</v>
      </c>
      <c r="JN137" s="34">
        <f>IF(AND(ISNUMBER(JO137),ISNUMBER(JM137)),JO137-JM137,"")</f>
        <v>0</v>
      </c>
      <c r="JO137" s="39">
        <f>IF(COUNT(JO138:JO140)=0,"",SUM(JO138:JO140))</f>
        <v>0</v>
      </c>
      <c r="JP137" s="34">
        <f>IF(AND(ISNUMBER(JQ137),ISNUMBER(JO137)),JQ137-JO137,"")</f>
        <v>0</v>
      </c>
      <c r="JQ137" s="39">
        <f>IF(COUNT(JQ138:JQ140)=0,"",SUM(JQ138:JQ140))</f>
        <v>0</v>
      </c>
      <c r="JR137" s="34">
        <f>IF(AND(ISNUMBER(JS137),ISNUMBER(JQ137)),JS137-JQ137,"")</f>
        <v>0</v>
      </c>
      <c r="JS137" s="39">
        <f>IF(COUNT(JS138:JS140)=0,"",SUM(JS138:JS140))</f>
        <v>0</v>
      </c>
      <c r="JT137" s="34">
        <f>IF(AND(ISNUMBER(JU137),ISNUMBER(JS137)),JU137-JS137,"")</f>
        <v>0</v>
      </c>
      <c r="JU137" s="39">
        <f>IF(COUNT(JU138:JU140)=0,"",SUM(JU138:JU140))</f>
        <v>0</v>
      </c>
      <c r="JV137" s="34">
        <f>IF(AND(ISNUMBER(JW137),ISNUMBER(JU137)),JW137-JU137,"")</f>
        <v>0</v>
      </c>
      <c r="JW137" s="39">
        <f>IF(COUNT(JW138:JW140)=0,"",SUM(JW138:JW140))</f>
        <v>0</v>
      </c>
      <c r="JX137" s="34">
        <f>IF(AND(ISNUMBER(JY137),ISNUMBER(JW137)),JY137-JW137,"")</f>
        <v>0</v>
      </c>
      <c r="JY137" s="39">
        <f>IF(COUNT(JY138:JY140)=0,"",SUM(JY138:JY140))</f>
        <v>0</v>
      </c>
      <c r="JZ137" s="34">
        <f>IF(AND(ISNUMBER(KA137),ISNUMBER(JY137)),KA137-JY137,"")</f>
        <v>0</v>
      </c>
      <c r="KA137" s="39">
        <f>IF(COUNT(KA138:KA140)=0,"",SUM(KA138:KA140))</f>
        <v>0</v>
      </c>
      <c r="KB137" s="34">
        <f>IF(AND(ISNUMBER(KC137),ISNUMBER(KA137)),KC137-KA137,"")</f>
        <v>0</v>
      </c>
      <c r="KC137" s="39">
        <f>IF(COUNT(KC138:KC140)=0,"",SUM(KC138:KC140))</f>
        <v>0</v>
      </c>
      <c r="KD137" s="34">
        <f>IF(AND(ISNUMBER(KE137),ISNUMBER(KC137)),KE137-KC137,"")</f>
        <v>0</v>
      </c>
      <c r="KE137" s="39">
        <f>IF(COUNT(KE138:KE140)=0,"",SUM(KE138:KE140))</f>
        <v>0</v>
      </c>
      <c r="KF137" s="34">
        <f>IF(AND(ISNUMBER(KG137),ISNUMBER(KE137)),KG137-KE137,"")</f>
        <v>0</v>
      </c>
      <c r="KG137" s="39">
        <f>IF(COUNT(KG138:KG140)=0,"",SUM(KG138:KG140))</f>
        <v>0</v>
      </c>
      <c r="KH137" s="34">
        <f>IF(AND(ISNUMBER(KI137),ISNUMBER(KG137)),KI137-KG137,"")</f>
        <v>0</v>
      </c>
      <c r="KI137" s="39">
        <f>IF(COUNT(KI138:KI140)=0,"",SUM(KI138:KI140))</f>
        <v>0</v>
      </c>
      <c r="KJ137" s="34">
        <f>IF(AND(ISNUMBER(KK137),ISNUMBER(KI137)),KK137-KI137,"")</f>
        <v>0</v>
      </c>
      <c r="KK137" s="39">
        <f>IF(COUNT(KK138:KK140)=0,"",SUM(KK138:KK140))</f>
        <v>0</v>
      </c>
      <c r="KL137" s="34">
        <f>IF(AND(ISNUMBER(KM137),ISNUMBER(KK137)),KM137-KK137,"")</f>
        <v>0</v>
      </c>
      <c r="KM137" s="39">
        <f>IF(COUNT(KM138:KM140)=0,"",SUM(KM138:KM140))</f>
        <v>0</v>
      </c>
      <c r="KN137" s="34">
        <f>IF(AND(ISNUMBER(KO137),ISNUMBER(KM137)),KO137-KM137,"")</f>
        <v>0</v>
      </c>
      <c r="KO137" s="39">
        <f>IF(COUNT(KO138:KO140)=0,"",SUM(KO138:KO140))</f>
        <v>0</v>
      </c>
      <c r="KP137" s="34">
        <f>IF(AND(ISNUMBER(KQ137),ISNUMBER(KO137)),KQ137-KO137,"")</f>
        <v>0</v>
      </c>
      <c r="KQ137" s="39">
        <f>IF(COUNT(KQ138:KQ140)=0,"",SUM(KQ138:KQ140))</f>
        <v>0</v>
      </c>
      <c r="KR137" s="34">
        <f>IF(AND(ISNUMBER(KS137),ISNUMBER(KQ137)),KS137-KQ137,"")</f>
        <v>0</v>
      </c>
      <c r="KS137" s="39">
        <f>IF(COUNT(KS138:KS140)=0,"",SUM(KS138:KS140))</f>
        <v>0</v>
      </c>
      <c r="KT137" s="34">
        <f>IF(AND(ISNUMBER(KU137),ISNUMBER(KS137)),KU137-KS137,"")</f>
        <v>0</v>
      </c>
      <c r="KU137" s="39">
        <f>IF(COUNT(KU138:KU140)=0,"",SUM(KU138:KU140))</f>
        <v>0</v>
      </c>
      <c r="KV137" s="34">
        <f>IF(AND(ISNUMBER(KW137),ISNUMBER(KU137)),KW137-KU137,"")</f>
        <v>0</v>
      </c>
      <c r="KW137" s="39">
        <f>IF(COUNT(KW138:KW140)=0,"",SUM(KW138:KW140))</f>
        <v>0</v>
      </c>
      <c r="KX137" s="34">
        <f>IF(AND(ISNUMBER(KY137),ISNUMBER(KW137)),KY137-KW137,"")</f>
        <v>0</v>
      </c>
      <c r="KY137" s="39">
        <f>IF(COUNT(KY138:KY140)=0,"",SUM(KY138:KY140))</f>
        <v>0</v>
      </c>
      <c r="KZ137" s="34">
        <f>IF(AND(ISNUMBER(LA137),ISNUMBER(KY137)),LA137-KY137,"")</f>
        <v>0</v>
      </c>
      <c r="LA137" s="39">
        <f>IF(COUNT(LA138:LA140)=0,"",SUM(LA138:LA140))</f>
        <v>0</v>
      </c>
      <c r="LB137" s="34">
        <f>IF(AND(ISNUMBER(LC137),ISNUMBER(LA137)),LC137-LA137,"")</f>
        <v>0</v>
      </c>
      <c r="LC137" s="39">
        <f>IF(COUNT(LC138:LC140)=0,"",SUM(LC138:LC140))</f>
        <v>0</v>
      </c>
      <c r="LD137" s="34">
        <f>IF(AND(ISNUMBER(LE137),ISNUMBER(LC137)),LE137-LC137,"")</f>
        <v>0</v>
      </c>
      <c r="LE137" s="39">
        <f>IF(COUNT(LE138:LE140)=0,"",SUM(LE138:LE140))</f>
        <v>0</v>
      </c>
      <c r="LF137" s="34">
        <f>IF(AND(ISNUMBER(LG137),ISNUMBER(LE137)),LG137-LE137,"")</f>
        <v>0</v>
      </c>
      <c r="LG137" s="39">
        <f>IF(COUNT(LG138:LG140)=0,"",SUM(LG138:LG140))</f>
        <v>0</v>
      </c>
    </row>
    <row r="138" spans="1:322">
      <c r="B138" s="23"/>
      <c r="C138" s="31" t="s">
        <v>923</v>
      </c>
      <c r="E138" s="32" t="s">
        <v>1139</v>
      </c>
      <c r="I138" s="33"/>
      <c r="J138" s="34">
        <f>IF(AND(ISNUMBER(K138),ISNUMBER(I138)),K138-I138,"")</f>
        <v>0</v>
      </c>
      <c r="K138" s="33"/>
      <c r="L138" s="34">
        <f>IF(AND(ISNUMBER(M138),ISNUMBER(K138)),M138-K138,"")</f>
        <v>0</v>
      </c>
      <c r="M138" s="33"/>
      <c r="N138" s="34">
        <f>IF(AND(ISNUMBER(O138),ISNUMBER(M138)),O138-M138,"")</f>
        <v>0</v>
      </c>
      <c r="O138" s="33"/>
      <c r="P138" s="34">
        <f>IF(AND(ISNUMBER(Q138),ISNUMBER(O138)),Q138-O138,"")</f>
        <v>0</v>
      </c>
      <c r="Q138" s="33"/>
      <c r="R138" s="34">
        <f>IF(AND(ISNUMBER(S138),ISNUMBER(Q138)),S138-Q138,"")</f>
        <v>0</v>
      </c>
      <c r="S138" s="33"/>
      <c r="T138" s="34">
        <f>IF(AND(ISNUMBER(U138),ISNUMBER(S138)),U138-S138,"")</f>
        <v>0</v>
      </c>
      <c r="U138" s="33"/>
      <c r="V138" s="34">
        <f>IF(AND(ISNUMBER(W138),ISNUMBER(U138)),W138-U138,"")</f>
        <v>0</v>
      </c>
      <c r="W138" s="33"/>
      <c r="X138" s="34">
        <f>IF(AND(ISNUMBER(Y138),ISNUMBER(W138)),Y138-W138,"")</f>
        <v>0</v>
      </c>
      <c r="Y138" s="33"/>
      <c r="Z138" s="34">
        <f>IF(AND(ISNUMBER(AA138),ISNUMBER(Y138)),AA138-Y138,"")</f>
        <v>0</v>
      </c>
      <c r="AA138" s="33"/>
      <c r="AB138" s="34">
        <f>IF(AND(ISNUMBER(AC138),ISNUMBER(AA138)),AC138-AA138,"")</f>
        <v>0</v>
      </c>
      <c r="AC138" s="33"/>
      <c r="AD138" s="34">
        <f>IF(AND(ISNUMBER(AE138),ISNUMBER(AC138)),AE138-AC138,"")</f>
        <v>0</v>
      </c>
      <c r="AE138" s="33"/>
      <c r="AF138" s="34">
        <f>IF(AND(ISNUMBER(AG138),ISNUMBER(AE138)),AG138-AE138,"")</f>
        <v>0</v>
      </c>
      <c r="AG138" s="33"/>
      <c r="AH138" s="34">
        <f>IF(AND(ISNUMBER(AI138),ISNUMBER(AG138)),AI138-AG138,"")</f>
        <v>0</v>
      </c>
      <c r="AI138" s="33"/>
      <c r="AJ138" s="34">
        <f>IF(AND(ISNUMBER(AK138),ISNUMBER(AI138)),AK138-AI138,"")</f>
        <v>0</v>
      </c>
      <c r="AK138" s="33"/>
      <c r="AL138" s="34">
        <f>IF(AND(ISNUMBER(AM138),ISNUMBER(AK138)),AM138-AK138,"")</f>
        <v>0</v>
      </c>
      <c r="AM138" s="33"/>
      <c r="AN138" s="34">
        <f>IF(AND(ISNUMBER(AO138),ISNUMBER(AM138)),AO138-AM138,"")</f>
        <v>0</v>
      </c>
      <c r="AO138" s="33"/>
      <c r="AP138" s="34">
        <f>IF(AND(ISNUMBER(AQ138),ISNUMBER(AO138)),AQ138-AO138,"")</f>
        <v>0</v>
      </c>
      <c r="AQ138" s="33"/>
      <c r="AR138" s="34">
        <f>IF(AND(ISNUMBER(AS138),ISNUMBER(AQ138)),AS138-AQ138,"")</f>
        <v>0</v>
      </c>
      <c r="AS138" s="33"/>
      <c r="AT138" s="34">
        <f>IF(AND(ISNUMBER(AU138),ISNUMBER(AS138)),AU138-AS138,"")</f>
        <v>0</v>
      </c>
      <c r="AU138" s="33"/>
      <c r="AV138" s="34">
        <f>IF(AND(ISNUMBER(AW138),ISNUMBER(AU138)),AW138-AU138,"")</f>
        <v>0</v>
      </c>
      <c r="AW138" s="33"/>
      <c r="AX138" s="34">
        <f>IF(AND(ISNUMBER(AY138),ISNUMBER(AW138)),AY138-AW138,"")</f>
        <v>0</v>
      </c>
      <c r="AY138" s="33"/>
      <c r="AZ138" s="34">
        <f>IF(AND(ISNUMBER(BA138),ISNUMBER(AY138)),BA138-AY138,"")</f>
        <v>0</v>
      </c>
      <c r="BA138" s="33"/>
      <c r="BB138" s="34">
        <f>IF(AND(ISNUMBER(BC138),ISNUMBER(BA138)),BC138-BA138,"")</f>
        <v>0</v>
      </c>
      <c r="BC138" s="33"/>
      <c r="BD138" s="34">
        <f>IF(AND(ISNUMBER(BE138),ISNUMBER(BC138)),BE138-BC138,"")</f>
        <v>0</v>
      </c>
      <c r="BE138" s="33"/>
      <c r="BF138" s="34">
        <f>IF(AND(ISNUMBER(BG138),ISNUMBER(BE138)),BG138-BE138,"")</f>
        <v>0</v>
      </c>
      <c r="BG138" s="33"/>
      <c r="BH138" s="34">
        <f>IF(AND(ISNUMBER(BI138),ISNUMBER(BG138)),BI138-BG138,"")</f>
        <v>0</v>
      </c>
      <c r="BI138" s="33"/>
      <c r="BJ138" s="34">
        <f>IF(AND(ISNUMBER(BK138),ISNUMBER(BI138)),BK138-BI138,"")</f>
        <v>0</v>
      </c>
      <c r="BK138" s="33"/>
      <c r="BL138" s="34">
        <f>IF(AND(ISNUMBER(BM138),ISNUMBER(BK138)),BM138-BK138,"")</f>
        <v>0</v>
      </c>
      <c r="BM138" s="33"/>
      <c r="BN138" s="34">
        <f>IF(AND(ISNUMBER(BO138),ISNUMBER(BM138)),BO138-BM138,"")</f>
        <v>0</v>
      </c>
      <c r="BO138" s="33"/>
      <c r="BP138" s="34">
        <f>IF(AND(ISNUMBER(BQ138),ISNUMBER(BO138)),BQ138-BO138,"")</f>
        <v>0</v>
      </c>
      <c r="BQ138" s="33"/>
      <c r="BR138" s="34">
        <f>IF(AND(ISNUMBER(BS138),ISNUMBER(BQ138)),BS138-BQ138,"")</f>
        <v>0</v>
      </c>
      <c r="BS138" s="33"/>
      <c r="BT138" s="34">
        <f>IF(AND(ISNUMBER(BU138),ISNUMBER(BS138)),BU138-BS138,"")</f>
        <v>0</v>
      </c>
      <c r="BU138" s="33"/>
      <c r="BV138" s="34">
        <f>IF(AND(ISNUMBER(BW138),ISNUMBER(BU138)),BW138-BU138,"")</f>
        <v>0</v>
      </c>
      <c r="BW138" s="33"/>
      <c r="BX138" s="34">
        <f>IF(AND(ISNUMBER(BY138),ISNUMBER(BW138)),BY138-BW138,"")</f>
        <v>0</v>
      </c>
      <c r="BY138" s="33"/>
      <c r="BZ138" s="34">
        <f>IF(AND(ISNUMBER(CA138),ISNUMBER(BY138)),CA138-BY138,"")</f>
        <v>0</v>
      </c>
      <c r="CA138" s="33"/>
      <c r="CB138" s="34">
        <f>IF(AND(ISNUMBER(CC138),ISNUMBER(CA138)),CC138-CA138,"")</f>
        <v>0</v>
      </c>
      <c r="CC138" s="33"/>
      <c r="CD138" s="34">
        <f>IF(AND(ISNUMBER(CE138),ISNUMBER(CC138)),CE138-CC138,"")</f>
        <v>0</v>
      </c>
      <c r="CE138" s="33"/>
      <c r="CF138" s="34">
        <f>IF(AND(ISNUMBER(CG138),ISNUMBER(CE138)),CG138-CE138,"")</f>
        <v>0</v>
      </c>
      <c r="CG138" s="33"/>
      <c r="CH138" s="34">
        <f>IF(AND(ISNUMBER(CI138),ISNUMBER(CG138)),CI138-CG138,"")</f>
        <v>0</v>
      </c>
      <c r="CI138" s="33"/>
      <c r="CJ138" s="34">
        <f>IF(AND(ISNUMBER(CK138),ISNUMBER(CI138)),CK138-CI138,"")</f>
        <v>0</v>
      </c>
      <c r="CK138" s="33"/>
      <c r="CL138" s="34">
        <f>IF(AND(ISNUMBER(CM138),ISNUMBER(CK138)),CM138-CK138,"")</f>
        <v>0</v>
      </c>
      <c r="CM138" s="33"/>
      <c r="CN138" s="34">
        <f>IF(AND(ISNUMBER(CO138),ISNUMBER(CM138)),CO138-CM138,"")</f>
        <v>0</v>
      </c>
      <c r="CO138" s="33"/>
      <c r="CP138" s="34">
        <f>IF(AND(ISNUMBER(CQ138),ISNUMBER(CO138)),CQ138-CO138,"")</f>
        <v>0</v>
      </c>
      <c r="CQ138" s="33"/>
      <c r="CR138" s="34">
        <f>IF(AND(ISNUMBER(CS138),ISNUMBER(CQ138)),CS138-CQ138,"")</f>
        <v>0</v>
      </c>
      <c r="CS138" s="33"/>
      <c r="CT138" s="34">
        <f>IF(AND(ISNUMBER(CU138),ISNUMBER(CS138)),CU138-CS138,"")</f>
        <v>0</v>
      </c>
      <c r="CU138" s="33"/>
      <c r="CV138" s="34">
        <f>IF(AND(ISNUMBER(CW138),ISNUMBER(CU138)),CW138-CU138,"")</f>
        <v>0</v>
      </c>
      <c r="CW138" s="33"/>
      <c r="CX138" s="34">
        <f>IF(AND(ISNUMBER(CY138),ISNUMBER(CW138)),CY138-CW138,"")</f>
        <v>0</v>
      </c>
      <c r="CY138" s="33"/>
      <c r="CZ138" s="34">
        <f>IF(AND(ISNUMBER(DA138),ISNUMBER(CY138)),DA138-CY138,"")</f>
        <v>0</v>
      </c>
      <c r="DA138" s="33"/>
      <c r="DB138" s="34">
        <f>IF(AND(ISNUMBER(DC138),ISNUMBER(DA138)),DC138-DA138,"")</f>
        <v>0</v>
      </c>
      <c r="DC138" s="33"/>
      <c r="DD138" s="34">
        <f>IF(AND(ISNUMBER(DE138),ISNUMBER(DC138)),DE138-DC138,"")</f>
        <v>0</v>
      </c>
      <c r="DE138" s="33"/>
      <c r="DF138" s="34">
        <f>IF(AND(ISNUMBER(DG138),ISNUMBER(DE138)),DG138-DE138,"")</f>
        <v>0</v>
      </c>
      <c r="DG138" s="33"/>
      <c r="DH138" s="34">
        <f>IF(AND(ISNUMBER(DI138),ISNUMBER(DG138)),DI138-DG138,"")</f>
        <v>0</v>
      </c>
      <c r="DI138" s="33"/>
      <c r="DJ138" s="34">
        <f>IF(AND(ISNUMBER(DK138),ISNUMBER(DI138)),DK138-DI138,"")</f>
        <v>0</v>
      </c>
      <c r="DK138" s="33"/>
      <c r="DL138" s="34">
        <f>IF(AND(ISNUMBER(DM138),ISNUMBER(DK138)),DM138-DK138,"")</f>
        <v>0</v>
      </c>
      <c r="DM138" s="33"/>
      <c r="DN138" s="34">
        <f>IF(AND(ISNUMBER(DO138),ISNUMBER(DM138)),DO138-DM138,"")</f>
        <v>0</v>
      </c>
      <c r="DO138" s="33"/>
      <c r="DP138" s="34">
        <f>IF(AND(ISNUMBER(DQ138),ISNUMBER(DO138)),DQ138-DO138,"")</f>
        <v>0</v>
      </c>
      <c r="DQ138" s="33"/>
      <c r="DR138" s="34">
        <f>IF(AND(ISNUMBER(DS138),ISNUMBER(DQ138)),DS138-DQ138,"")</f>
        <v>0</v>
      </c>
      <c r="DS138" s="33"/>
      <c r="DT138" s="34">
        <f>IF(AND(ISNUMBER(DU138),ISNUMBER(DS138)),DU138-DS138,"")</f>
        <v>0</v>
      </c>
      <c r="DU138" s="33"/>
      <c r="DV138" s="34">
        <f>IF(AND(ISNUMBER(DW138),ISNUMBER(DU138)),DW138-DU138,"")</f>
        <v>0</v>
      </c>
      <c r="DW138" s="33"/>
      <c r="DX138" s="34">
        <f>IF(AND(ISNUMBER(DY138),ISNUMBER(DW138)),DY138-DW138,"")</f>
        <v>0</v>
      </c>
      <c r="DY138" s="33"/>
      <c r="DZ138" s="34">
        <f>IF(AND(ISNUMBER(EA138),ISNUMBER(DY138)),EA138-DY138,"")</f>
        <v>0</v>
      </c>
      <c r="EA138" s="33"/>
      <c r="EB138" s="34">
        <f>IF(AND(ISNUMBER(EC138),ISNUMBER(EA138)),EC138-EA138,"")</f>
        <v>0</v>
      </c>
      <c r="EC138" s="33"/>
      <c r="ED138" s="34">
        <f>IF(AND(ISNUMBER(EE138),ISNUMBER(EC138)),EE138-EC138,"")</f>
        <v>0</v>
      </c>
      <c r="EE138" s="33"/>
      <c r="EF138" s="34">
        <f>IF(AND(ISNUMBER(EG138),ISNUMBER(EE138)),EG138-EE138,"")</f>
        <v>0</v>
      </c>
      <c r="EG138" s="33"/>
      <c r="EH138" s="34">
        <f>IF(AND(ISNUMBER(EI138),ISNUMBER(EG138)),EI138-EG138,"")</f>
        <v>0</v>
      </c>
      <c r="EI138" s="33"/>
      <c r="EJ138" s="34">
        <f>IF(AND(ISNUMBER(EK138),ISNUMBER(EI138)),EK138-EI138,"")</f>
        <v>0</v>
      </c>
      <c r="EK138" s="33"/>
      <c r="EL138" s="34">
        <f>IF(AND(ISNUMBER(EM138),ISNUMBER(EK138)),EM138-EK138,"")</f>
        <v>0</v>
      </c>
      <c r="EM138" s="33"/>
      <c r="EN138" s="34">
        <f>IF(AND(ISNUMBER(EO138),ISNUMBER(EM138)),EO138-EM138,"")</f>
        <v>0</v>
      </c>
      <c r="EO138" s="33"/>
      <c r="EP138" s="34">
        <f>IF(AND(ISNUMBER(EQ138),ISNUMBER(EO138)),EQ138-EO138,"")</f>
        <v>0</v>
      </c>
      <c r="EQ138" s="33"/>
      <c r="ER138" s="34">
        <f>IF(AND(ISNUMBER(ES138),ISNUMBER(EQ138)),ES138-EQ138,"")</f>
        <v>0</v>
      </c>
      <c r="ES138" s="33"/>
      <c r="ET138" s="34">
        <f>IF(AND(ISNUMBER(EU138),ISNUMBER(ES138)),EU138-ES138,"")</f>
        <v>0</v>
      </c>
      <c r="EU138" s="33"/>
      <c r="EV138" s="34">
        <f>IF(AND(ISNUMBER(EW138),ISNUMBER(EU138)),EW138-EU138,"")</f>
        <v>0</v>
      </c>
      <c r="EW138" s="33"/>
      <c r="EX138" s="34">
        <f>IF(AND(ISNUMBER(EY138),ISNUMBER(EW138)),EY138-EW138,"")</f>
        <v>0</v>
      </c>
      <c r="EY138" s="33"/>
      <c r="EZ138" s="34">
        <f>IF(AND(ISNUMBER(FA138),ISNUMBER(EY138)),FA138-EY138,"")</f>
        <v>0</v>
      </c>
      <c r="FA138" s="33"/>
      <c r="FB138" s="34">
        <f>IF(AND(ISNUMBER(FC138),ISNUMBER(FA138)),FC138-FA138,"")</f>
        <v>0</v>
      </c>
      <c r="FC138" s="33"/>
      <c r="FD138" s="34">
        <f>IF(AND(ISNUMBER(FE138),ISNUMBER(FC138)),FE138-FC138,"")</f>
        <v>0</v>
      </c>
      <c r="FE138" s="33"/>
      <c r="FF138" s="34">
        <f>IF(AND(ISNUMBER(FG138),ISNUMBER(FE138)),FG138-FE138,"")</f>
        <v>0</v>
      </c>
      <c r="FG138" s="33"/>
      <c r="FH138" s="34">
        <f>IF(AND(ISNUMBER(FI138),ISNUMBER(FG138)),FI138-FG138,"")</f>
        <v>0</v>
      </c>
      <c r="FI138" s="33"/>
      <c r="FJ138" s="34">
        <f>IF(AND(ISNUMBER(FK138),ISNUMBER(FI138)),FK138-FI138,"")</f>
        <v>0</v>
      </c>
      <c r="FK138" s="33"/>
      <c r="FL138" s="34">
        <f>IF(AND(ISNUMBER(FM138),ISNUMBER(FK138)),FM138-FK138,"")</f>
        <v>0</v>
      </c>
      <c r="FM138" s="33"/>
      <c r="FN138" s="34">
        <f>IF(AND(ISNUMBER(FO138),ISNUMBER(FM138)),FO138-FM138,"")</f>
        <v>0</v>
      </c>
      <c r="FO138" s="33"/>
      <c r="FP138" s="34">
        <f>IF(AND(ISNUMBER(FQ138),ISNUMBER(FO138)),FQ138-FO138,"")</f>
        <v>0</v>
      </c>
      <c r="FQ138" s="33"/>
      <c r="FR138" s="34">
        <f>IF(AND(ISNUMBER(FS138),ISNUMBER(FQ138)),FS138-FQ138,"")</f>
        <v>0</v>
      </c>
      <c r="FS138" s="33"/>
      <c r="FT138" s="34">
        <f>IF(AND(ISNUMBER(FU138),ISNUMBER(FS138)),FU138-FS138,"")</f>
        <v>0</v>
      </c>
      <c r="FU138" s="33"/>
      <c r="FV138" s="34">
        <f>IF(AND(ISNUMBER(FW138),ISNUMBER(FU138)),FW138-FU138,"")</f>
        <v>0</v>
      </c>
      <c r="FW138" s="33"/>
      <c r="FX138" s="34">
        <f>IF(AND(ISNUMBER(FY138),ISNUMBER(FW138)),FY138-FW138,"")</f>
        <v>0</v>
      </c>
      <c r="FY138" s="33"/>
      <c r="FZ138" s="34">
        <f>IF(AND(ISNUMBER(GA138),ISNUMBER(FY138)),GA138-FY138,"")</f>
        <v>0</v>
      </c>
      <c r="GA138" s="33"/>
      <c r="GB138" s="34">
        <f>IF(AND(ISNUMBER(GC138),ISNUMBER(GA138)),GC138-GA138,"")</f>
        <v>0</v>
      </c>
      <c r="GC138" s="33"/>
      <c r="GD138" s="34">
        <f>IF(AND(ISNUMBER(GE138),ISNUMBER(GC138)),GE138-GC138,"")</f>
        <v>0</v>
      </c>
      <c r="GE138" s="33"/>
      <c r="GF138" s="34">
        <f>IF(AND(ISNUMBER(GG138),ISNUMBER(GE138)),GG138-GE138,"")</f>
        <v>0</v>
      </c>
      <c r="GG138" s="33"/>
      <c r="GH138" s="34">
        <f>IF(AND(ISNUMBER(GI138),ISNUMBER(GG138)),GI138-GG138,"")</f>
        <v>0</v>
      </c>
      <c r="GI138" s="33"/>
      <c r="GJ138" s="34">
        <f>IF(AND(ISNUMBER(GK138),ISNUMBER(GI138)),GK138-GI138,"")</f>
        <v>0</v>
      </c>
      <c r="GK138" s="33"/>
      <c r="GL138" s="34">
        <f>IF(AND(ISNUMBER(GM138),ISNUMBER(GK138)),GM138-GK138,"")</f>
        <v>0</v>
      </c>
      <c r="GM138" s="33"/>
      <c r="GN138" s="34">
        <f>IF(AND(ISNUMBER(GO138),ISNUMBER(GM138)),GO138-GM138,"")</f>
        <v>0</v>
      </c>
      <c r="GO138" s="33"/>
      <c r="GP138" s="34">
        <f>IF(AND(ISNUMBER(GQ138),ISNUMBER(GO138)),GQ138-GO138,"")</f>
        <v>0</v>
      </c>
      <c r="GQ138" s="33"/>
      <c r="GR138" s="34">
        <f>IF(AND(ISNUMBER(GS138),ISNUMBER(GQ138)),GS138-GQ138,"")</f>
        <v>0</v>
      </c>
      <c r="GS138" s="33"/>
      <c r="GT138" s="34">
        <f>IF(AND(ISNUMBER(GU138),ISNUMBER(GS138)),GU138-GS138,"")</f>
        <v>0</v>
      </c>
      <c r="GU138" s="33"/>
      <c r="GV138" s="34">
        <f>IF(AND(ISNUMBER(GW138),ISNUMBER(GU138)),GW138-GU138,"")</f>
        <v>0</v>
      </c>
      <c r="GW138" s="33"/>
      <c r="GX138" s="34">
        <f>IF(AND(ISNUMBER(GY138),ISNUMBER(GW138)),GY138-GW138,"")</f>
        <v>0</v>
      </c>
      <c r="GY138" s="33"/>
      <c r="GZ138" s="34">
        <f>IF(AND(ISNUMBER(HA138),ISNUMBER(GY138)),HA138-GY138,"")</f>
        <v>0</v>
      </c>
      <c r="HA138" s="33"/>
      <c r="HB138" s="34">
        <f>IF(AND(ISNUMBER(HC138),ISNUMBER(HA138)),HC138-HA138,"")</f>
        <v>0</v>
      </c>
      <c r="HC138" s="33"/>
      <c r="HD138" s="34">
        <f>IF(AND(ISNUMBER(HE138),ISNUMBER(HC138)),HE138-HC138,"")</f>
        <v>0</v>
      </c>
      <c r="HE138" s="33"/>
      <c r="HF138" s="34">
        <f>IF(AND(ISNUMBER(HG138),ISNUMBER(HE138)),HG138-HE138,"")</f>
        <v>0</v>
      </c>
      <c r="HG138" s="33"/>
      <c r="HH138" s="34">
        <f>IF(AND(ISNUMBER(HI138),ISNUMBER(HG138)),HI138-HG138,"")</f>
        <v>0</v>
      </c>
      <c r="HI138" s="33"/>
      <c r="HJ138" s="34">
        <f>IF(AND(ISNUMBER(HK138),ISNUMBER(HI138)),HK138-HI138,"")</f>
        <v>0</v>
      </c>
      <c r="HK138" s="33"/>
      <c r="HL138" s="34">
        <f>IF(AND(ISNUMBER(HM138),ISNUMBER(HK138)),HM138-HK138,"")</f>
        <v>0</v>
      </c>
      <c r="HM138" s="33"/>
      <c r="HN138" s="34">
        <f>IF(AND(ISNUMBER(HO138),ISNUMBER(HM138)),HO138-HM138,"")</f>
        <v>0</v>
      </c>
      <c r="HO138" s="33"/>
      <c r="HP138" s="34">
        <f>IF(AND(ISNUMBER(HQ138),ISNUMBER(HO138)),HQ138-HO138,"")</f>
        <v>0</v>
      </c>
      <c r="HQ138" s="33"/>
      <c r="HR138" s="34">
        <f>IF(AND(ISNUMBER(HS138),ISNUMBER(HQ138)),HS138-HQ138,"")</f>
        <v>0</v>
      </c>
      <c r="HS138" s="33"/>
      <c r="HT138" s="34">
        <f>IF(AND(ISNUMBER(HU138),ISNUMBER(HS138)),HU138-HS138,"")</f>
        <v>0</v>
      </c>
      <c r="HU138" s="33"/>
      <c r="HV138" s="34">
        <f>IF(AND(ISNUMBER(HW138),ISNUMBER(HU138)),HW138-HU138,"")</f>
        <v>0</v>
      </c>
      <c r="HW138" s="33"/>
      <c r="HX138" s="34">
        <f>IF(AND(ISNUMBER(HY138),ISNUMBER(HW138)),HY138-HW138,"")</f>
        <v>0</v>
      </c>
      <c r="HY138" s="33"/>
      <c r="HZ138" s="34">
        <f>IF(AND(ISNUMBER(IA138),ISNUMBER(HY138)),IA138-HY138,"")</f>
        <v>0</v>
      </c>
      <c r="IA138" s="33"/>
      <c r="IB138" s="34">
        <f>IF(AND(ISNUMBER(IC138),ISNUMBER(IA138)),IC138-IA138,"")</f>
        <v>0</v>
      </c>
      <c r="IC138" s="33"/>
      <c r="ID138" s="34">
        <f>IF(AND(ISNUMBER(IE138),ISNUMBER(IC138)),IE138-IC138,"")</f>
        <v>0</v>
      </c>
      <c r="IE138" s="33">
        <v>0</v>
      </c>
      <c r="IF138" s="34">
        <f>IF(AND(ISNUMBER(IG138),ISNUMBER(IE138)),IG138-IE138,"")</f>
        <v>0</v>
      </c>
      <c r="IG138" s="33">
        <v>0</v>
      </c>
      <c r="IH138" s="34">
        <f>IF(AND(ISNUMBER(II138),ISNUMBER(IG138)),II138-IG138,"")</f>
        <v>0</v>
      </c>
      <c r="II138" s="33">
        <v>0</v>
      </c>
      <c r="IJ138" s="34">
        <f>IF(AND(ISNUMBER(IK138),ISNUMBER(II138)),IK138-II138,"")</f>
        <v>0</v>
      </c>
      <c r="IK138" s="33">
        <v>0</v>
      </c>
      <c r="IL138" s="34">
        <f>IF(AND(ISNUMBER(IM138),ISNUMBER(IK138)),IM138-IK138,"")</f>
        <v>0</v>
      </c>
      <c r="IM138" s="33">
        <v>0</v>
      </c>
      <c r="IN138" s="34">
        <f>IF(AND(ISNUMBER(IO138),ISNUMBER(IM138)),IO138-IM138,"")</f>
        <v>0</v>
      </c>
      <c r="IO138" s="33">
        <v>0</v>
      </c>
      <c r="IP138" s="34">
        <f>IF(AND(ISNUMBER(IQ138),ISNUMBER(IO138)),IQ138-IO138,"")</f>
        <v>0</v>
      </c>
      <c r="IQ138" s="33">
        <v>0</v>
      </c>
      <c r="IR138" s="34">
        <f>IF(AND(ISNUMBER(IS138),ISNUMBER(IQ138)),IS138-IQ138,"")</f>
        <v>0</v>
      </c>
      <c r="IS138" s="33">
        <v>0</v>
      </c>
      <c r="IT138" s="34">
        <f>IF(AND(ISNUMBER(IU138),ISNUMBER(IS138)),IU138-IS138,"")</f>
        <v>0</v>
      </c>
      <c r="IU138" s="33">
        <v>0</v>
      </c>
      <c r="IV138" s="34">
        <f>IF(AND(ISNUMBER(IW138),ISNUMBER(IU138)),IW138-IU138,"")</f>
        <v>0</v>
      </c>
      <c r="IW138" s="33">
        <v>0</v>
      </c>
      <c r="IX138" s="34">
        <f>IF(AND(ISNUMBER(IY138),ISNUMBER(IW138)),IY138-IW138,"")</f>
        <v>0</v>
      </c>
      <c r="IY138" s="33">
        <v>0</v>
      </c>
      <c r="IZ138" s="34">
        <f>IF(AND(ISNUMBER(JA138),ISNUMBER(IY138)),JA138-IY138,"")</f>
        <v>0</v>
      </c>
      <c r="JA138" s="33">
        <v>0</v>
      </c>
      <c r="JB138" s="34">
        <f>IF(AND(ISNUMBER(JC138),ISNUMBER(JA138)),JC138-JA138,"")</f>
        <v>0</v>
      </c>
      <c r="JC138" s="33">
        <v>0</v>
      </c>
      <c r="JD138" s="34">
        <f>IF(AND(ISNUMBER(JE138),ISNUMBER(JC138)),JE138-JC138,"")</f>
        <v>0</v>
      </c>
      <c r="JE138" s="33">
        <v>0</v>
      </c>
      <c r="JF138" s="34">
        <f>IF(AND(ISNUMBER(JG138),ISNUMBER(JE138)),JG138-JE138,"")</f>
        <v>0</v>
      </c>
      <c r="JG138" s="33">
        <v>0</v>
      </c>
      <c r="JH138" s="34">
        <f>IF(AND(ISNUMBER(JI138),ISNUMBER(JG138)),JI138-JG138,"")</f>
        <v>0</v>
      </c>
      <c r="JI138" s="33">
        <v>0</v>
      </c>
      <c r="JJ138" s="34">
        <f>IF(AND(ISNUMBER(JK138),ISNUMBER(JI138)),JK138-JI138,"")</f>
        <v>0</v>
      </c>
      <c r="JK138" s="33">
        <v>0</v>
      </c>
      <c r="JL138" s="34">
        <f>IF(AND(ISNUMBER(JM138),ISNUMBER(JK138)),JM138-JK138,"")</f>
        <v>0</v>
      </c>
      <c r="JM138" s="33">
        <v>0</v>
      </c>
      <c r="JN138" s="34">
        <f>IF(AND(ISNUMBER(JO138),ISNUMBER(JM138)),JO138-JM138,"")</f>
        <v>0</v>
      </c>
      <c r="JO138" s="33">
        <v>0</v>
      </c>
      <c r="JP138" s="34">
        <f>IF(AND(ISNUMBER(JQ138),ISNUMBER(JO138)),JQ138-JO138,"")</f>
        <v>0</v>
      </c>
      <c r="JQ138" s="33">
        <v>0</v>
      </c>
      <c r="JR138" s="34">
        <f>IF(AND(ISNUMBER(JS138),ISNUMBER(JQ138)),JS138-JQ138,"")</f>
        <v>0</v>
      </c>
      <c r="JS138" s="33">
        <v>0</v>
      </c>
      <c r="JT138" s="34">
        <f>IF(AND(ISNUMBER(JU138),ISNUMBER(JS138)),JU138-JS138,"")</f>
        <v>0</v>
      </c>
      <c r="JU138" s="33">
        <v>0</v>
      </c>
      <c r="JV138" s="34">
        <f>IF(AND(ISNUMBER(JW138),ISNUMBER(JU138)),JW138-JU138,"")</f>
        <v>0</v>
      </c>
      <c r="JW138" s="33">
        <v>1</v>
      </c>
      <c r="JX138" s="34">
        <f>IF(AND(ISNUMBER(JY138),ISNUMBER(JW138)),JY138-JW138,"")</f>
        <v>0</v>
      </c>
      <c r="JY138" s="33">
        <v>0</v>
      </c>
      <c r="JZ138" s="34">
        <f>IF(AND(ISNUMBER(KA138),ISNUMBER(JY138)),KA138-JY138,"")</f>
        <v>0</v>
      </c>
      <c r="KA138" s="33"/>
      <c r="KB138" s="34">
        <f>IF(AND(ISNUMBER(KC138),ISNUMBER(KA138)),KC138-KA138,"")</f>
        <v>0</v>
      </c>
      <c r="KC138" s="33"/>
      <c r="KD138" s="34">
        <f>IF(AND(ISNUMBER(KE138),ISNUMBER(KC138)),KE138-KC138,"")</f>
        <v>0</v>
      </c>
      <c r="KE138" s="33"/>
      <c r="KF138" s="34">
        <f>IF(AND(ISNUMBER(KG138),ISNUMBER(KE138)),KG138-KE138,"")</f>
        <v>0</v>
      </c>
      <c r="KG138" s="33"/>
      <c r="KH138" s="34">
        <f>IF(AND(ISNUMBER(KI138),ISNUMBER(KG138)),KI138-KG138,"")</f>
        <v>0</v>
      </c>
      <c r="KI138" s="33"/>
      <c r="KJ138" s="34">
        <f>IF(AND(ISNUMBER(KK138),ISNUMBER(KI138)),KK138-KI138,"")</f>
        <v>0</v>
      </c>
      <c r="KK138" s="33"/>
      <c r="KL138" s="34">
        <f>IF(AND(ISNUMBER(KM138),ISNUMBER(KK138)),KM138-KK138,"")</f>
        <v>0</v>
      </c>
      <c r="KM138" s="33"/>
      <c r="KN138" s="34">
        <f>IF(AND(ISNUMBER(KO138),ISNUMBER(KM138)),KO138-KM138,"")</f>
        <v>0</v>
      </c>
      <c r="KO138" s="33"/>
      <c r="KP138" s="34">
        <f>IF(AND(ISNUMBER(KQ138),ISNUMBER(KO138)),KQ138-KO138,"")</f>
        <v>0</v>
      </c>
      <c r="KQ138" s="33"/>
      <c r="KR138" s="34">
        <f>IF(AND(ISNUMBER(KS138),ISNUMBER(KQ138)),KS138-KQ138,"")</f>
        <v>0</v>
      </c>
      <c r="KS138" s="33"/>
      <c r="KT138" s="34">
        <f>IF(AND(ISNUMBER(KU138),ISNUMBER(KS138)),KU138-KS138,"")</f>
        <v>0</v>
      </c>
      <c r="KU138" s="33"/>
      <c r="KV138" s="34">
        <f>IF(AND(ISNUMBER(KW138),ISNUMBER(KU138)),KW138-KU138,"")</f>
        <v>0</v>
      </c>
      <c r="KW138" s="33"/>
      <c r="KX138" s="34">
        <f>IF(AND(ISNUMBER(KY138),ISNUMBER(KW138)),KY138-KW138,"")</f>
        <v>0</v>
      </c>
      <c r="KY138" s="33"/>
      <c r="KZ138" s="34">
        <f>IF(AND(ISNUMBER(LA138),ISNUMBER(KY138)),LA138-KY138,"")</f>
        <v>0</v>
      </c>
      <c r="LA138" s="33"/>
      <c r="LB138" s="34">
        <f>IF(AND(ISNUMBER(LC138),ISNUMBER(LA138)),LC138-LA138,"")</f>
        <v>0</v>
      </c>
      <c r="LC138" s="33"/>
      <c r="LD138" s="34">
        <f>IF(AND(ISNUMBER(LE138),ISNUMBER(LC138)),LE138-LC138,"")</f>
        <v>0</v>
      </c>
      <c r="LE138" s="33"/>
      <c r="LF138" s="34">
        <f>IF(AND(ISNUMBER(LG138),ISNUMBER(LE138)),LG138-LE138,"")</f>
        <v>0</v>
      </c>
      <c r="LG138" s="33"/>
    </row>
    <row r="139" spans="1:322">
      <c r="B139" s="23"/>
      <c r="C139" s="31" t="s">
        <v>925</v>
      </c>
      <c r="E139" s="32" t="s">
        <v>1139</v>
      </c>
      <c r="I139" s="33"/>
      <c r="J139" s="34">
        <f>IF(AND(ISNUMBER(K139),ISNUMBER(I139)),K139-I139,"")</f>
        <v>0</v>
      </c>
      <c r="K139" s="33"/>
      <c r="L139" s="34">
        <f>IF(AND(ISNUMBER(M139),ISNUMBER(K139)),M139-K139,"")</f>
        <v>0</v>
      </c>
      <c r="M139" s="33"/>
      <c r="N139" s="34">
        <f>IF(AND(ISNUMBER(O139),ISNUMBER(M139)),O139-M139,"")</f>
        <v>0</v>
      </c>
      <c r="O139" s="33"/>
      <c r="P139" s="34">
        <f>IF(AND(ISNUMBER(Q139),ISNUMBER(O139)),Q139-O139,"")</f>
        <v>0</v>
      </c>
      <c r="Q139" s="33"/>
      <c r="R139" s="34">
        <f>IF(AND(ISNUMBER(S139),ISNUMBER(Q139)),S139-Q139,"")</f>
        <v>0</v>
      </c>
      <c r="S139" s="33"/>
      <c r="T139" s="34">
        <f>IF(AND(ISNUMBER(U139),ISNUMBER(S139)),U139-S139,"")</f>
        <v>0</v>
      </c>
      <c r="U139" s="33"/>
      <c r="V139" s="34">
        <f>IF(AND(ISNUMBER(W139),ISNUMBER(U139)),W139-U139,"")</f>
        <v>0</v>
      </c>
      <c r="W139" s="33"/>
      <c r="X139" s="34">
        <f>IF(AND(ISNUMBER(Y139),ISNUMBER(W139)),Y139-W139,"")</f>
        <v>0</v>
      </c>
      <c r="Y139" s="33"/>
      <c r="Z139" s="34">
        <f>IF(AND(ISNUMBER(AA139),ISNUMBER(Y139)),AA139-Y139,"")</f>
        <v>0</v>
      </c>
      <c r="AA139" s="33"/>
      <c r="AB139" s="34">
        <f>IF(AND(ISNUMBER(AC139),ISNUMBER(AA139)),AC139-AA139,"")</f>
        <v>0</v>
      </c>
      <c r="AC139" s="33"/>
      <c r="AD139" s="34">
        <f>IF(AND(ISNUMBER(AE139),ISNUMBER(AC139)),AE139-AC139,"")</f>
        <v>0</v>
      </c>
      <c r="AE139" s="33"/>
      <c r="AF139" s="34">
        <f>IF(AND(ISNUMBER(AG139),ISNUMBER(AE139)),AG139-AE139,"")</f>
        <v>0</v>
      </c>
      <c r="AG139" s="33"/>
      <c r="AH139" s="34">
        <f>IF(AND(ISNUMBER(AI139),ISNUMBER(AG139)),AI139-AG139,"")</f>
        <v>0</v>
      </c>
      <c r="AI139" s="33"/>
      <c r="AJ139" s="34">
        <f>IF(AND(ISNUMBER(AK139),ISNUMBER(AI139)),AK139-AI139,"")</f>
        <v>0</v>
      </c>
      <c r="AK139" s="33"/>
      <c r="AL139" s="34">
        <f>IF(AND(ISNUMBER(AM139),ISNUMBER(AK139)),AM139-AK139,"")</f>
        <v>0</v>
      </c>
      <c r="AM139" s="33"/>
      <c r="AN139" s="34">
        <f>IF(AND(ISNUMBER(AO139),ISNUMBER(AM139)),AO139-AM139,"")</f>
        <v>0</v>
      </c>
      <c r="AO139" s="33"/>
      <c r="AP139" s="34">
        <f>IF(AND(ISNUMBER(AQ139),ISNUMBER(AO139)),AQ139-AO139,"")</f>
        <v>0</v>
      </c>
      <c r="AQ139" s="33"/>
      <c r="AR139" s="34">
        <f>IF(AND(ISNUMBER(AS139),ISNUMBER(AQ139)),AS139-AQ139,"")</f>
        <v>0</v>
      </c>
      <c r="AS139" s="33"/>
      <c r="AT139" s="34">
        <f>IF(AND(ISNUMBER(AU139),ISNUMBER(AS139)),AU139-AS139,"")</f>
        <v>0</v>
      </c>
      <c r="AU139" s="33"/>
      <c r="AV139" s="34">
        <f>IF(AND(ISNUMBER(AW139),ISNUMBER(AU139)),AW139-AU139,"")</f>
        <v>0</v>
      </c>
      <c r="AW139" s="33"/>
      <c r="AX139" s="34">
        <f>IF(AND(ISNUMBER(AY139),ISNUMBER(AW139)),AY139-AW139,"")</f>
        <v>0</v>
      </c>
      <c r="AY139" s="33"/>
      <c r="AZ139" s="34">
        <f>IF(AND(ISNUMBER(BA139),ISNUMBER(AY139)),BA139-AY139,"")</f>
        <v>0</v>
      </c>
      <c r="BA139" s="33"/>
      <c r="BB139" s="34">
        <f>IF(AND(ISNUMBER(BC139),ISNUMBER(BA139)),BC139-BA139,"")</f>
        <v>0</v>
      </c>
      <c r="BC139" s="33"/>
      <c r="BD139" s="34">
        <f>IF(AND(ISNUMBER(BE139),ISNUMBER(BC139)),BE139-BC139,"")</f>
        <v>0</v>
      </c>
      <c r="BE139" s="33"/>
      <c r="BF139" s="34">
        <f>IF(AND(ISNUMBER(BG139),ISNUMBER(BE139)),BG139-BE139,"")</f>
        <v>0</v>
      </c>
      <c r="BG139" s="33"/>
      <c r="BH139" s="34">
        <f>IF(AND(ISNUMBER(BI139),ISNUMBER(BG139)),BI139-BG139,"")</f>
        <v>0</v>
      </c>
      <c r="BI139" s="33"/>
      <c r="BJ139" s="34">
        <f>IF(AND(ISNUMBER(BK139),ISNUMBER(BI139)),BK139-BI139,"")</f>
        <v>0</v>
      </c>
      <c r="BK139" s="33"/>
      <c r="BL139" s="34">
        <f>IF(AND(ISNUMBER(BM139),ISNUMBER(BK139)),BM139-BK139,"")</f>
        <v>0</v>
      </c>
      <c r="BM139" s="33"/>
      <c r="BN139" s="34">
        <f>IF(AND(ISNUMBER(BO139),ISNUMBER(BM139)),BO139-BM139,"")</f>
        <v>0</v>
      </c>
      <c r="BO139" s="33"/>
      <c r="BP139" s="34">
        <f>IF(AND(ISNUMBER(BQ139),ISNUMBER(BO139)),BQ139-BO139,"")</f>
        <v>0</v>
      </c>
      <c r="BQ139" s="33"/>
      <c r="BR139" s="34">
        <f>IF(AND(ISNUMBER(BS139),ISNUMBER(BQ139)),BS139-BQ139,"")</f>
        <v>0</v>
      </c>
      <c r="BS139" s="33"/>
      <c r="BT139" s="34">
        <f>IF(AND(ISNUMBER(BU139),ISNUMBER(BS139)),BU139-BS139,"")</f>
        <v>0</v>
      </c>
      <c r="BU139" s="33"/>
      <c r="BV139" s="34">
        <f>IF(AND(ISNUMBER(BW139),ISNUMBER(BU139)),BW139-BU139,"")</f>
        <v>0</v>
      </c>
      <c r="BW139" s="33"/>
      <c r="BX139" s="34">
        <f>IF(AND(ISNUMBER(BY139),ISNUMBER(BW139)),BY139-BW139,"")</f>
        <v>0</v>
      </c>
      <c r="BY139" s="33"/>
      <c r="BZ139" s="34">
        <f>IF(AND(ISNUMBER(CA139),ISNUMBER(BY139)),CA139-BY139,"")</f>
        <v>0</v>
      </c>
      <c r="CA139" s="33"/>
      <c r="CB139" s="34">
        <f>IF(AND(ISNUMBER(CC139),ISNUMBER(CA139)),CC139-CA139,"")</f>
        <v>0</v>
      </c>
      <c r="CC139" s="33"/>
      <c r="CD139" s="34">
        <f>IF(AND(ISNUMBER(CE139),ISNUMBER(CC139)),CE139-CC139,"")</f>
        <v>0</v>
      </c>
      <c r="CE139" s="33"/>
      <c r="CF139" s="34">
        <f>IF(AND(ISNUMBER(CG139),ISNUMBER(CE139)),CG139-CE139,"")</f>
        <v>0</v>
      </c>
      <c r="CG139" s="33"/>
      <c r="CH139" s="34">
        <f>IF(AND(ISNUMBER(CI139),ISNUMBER(CG139)),CI139-CG139,"")</f>
        <v>0</v>
      </c>
      <c r="CI139" s="33"/>
      <c r="CJ139" s="34">
        <f>IF(AND(ISNUMBER(CK139),ISNUMBER(CI139)),CK139-CI139,"")</f>
        <v>0</v>
      </c>
      <c r="CK139" s="33"/>
      <c r="CL139" s="34">
        <f>IF(AND(ISNUMBER(CM139),ISNUMBER(CK139)),CM139-CK139,"")</f>
        <v>0</v>
      </c>
      <c r="CM139" s="33"/>
      <c r="CN139" s="34">
        <f>IF(AND(ISNUMBER(CO139),ISNUMBER(CM139)),CO139-CM139,"")</f>
        <v>0</v>
      </c>
      <c r="CO139" s="33"/>
      <c r="CP139" s="34">
        <f>IF(AND(ISNUMBER(CQ139),ISNUMBER(CO139)),CQ139-CO139,"")</f>
        <v>0</v>
      </c>
      <c r="CQ139" s="33"/>
      <c r="CR139" s="34">
        <f>IF(AND(ISNUMBER(CS139),ISNUMBER(CQ139)),CS139-CQ139,"")</f>
        <v>0</v>
      </c>
      <c r="CS139" s="33"/>
      <c r="CT139" s="34">
        <f>IF(AND(ISNUMBER(CU139),ISNUMBER(CS139)),CU139-CS139,"")</f>
        <v>0</v>
      </c>
      <c r="CU139" s="33"/>
      <c r="CV139" s="34">
        <f>IF(AND(ISNUMBER(CW139),ISNUMBER(CU139)),CW139-CU139,"")</f>
        <v>0</v>
      </c>
      <c r="CW139" s="33"/>
      <c r="CX139" s="34">
        <f>IF(AND(ISNUMBER(CY139),ISNUMBER(CW139)),CY139-CW139,"")</f>
        <v>0</v>
      </c>
      <c r="CY139" s="33"/>
      <c r="CZ139" s="34">
        <f>IF(AND(ISNUMBER(DA139),ISNUMBER(CY139)),DA139-CY139,"")</f>
        <v>0</v>
      </c>
      <c r="DA139" s="33"/>
      <c r="DB139" s="34">
        <f>IF(AND(ISNUMBER(DC139),ISNUMBER(DA139)),DC139-DA139,"")</f>
        <v>0</v>
      </c>
      <c r="DC139" s="33"/>
      <c r="DD139" s="34">
        <f>IF(AND(ISNUMBER(DE139),ISNUMBER(DC139)),DE139-DC139,"")</f>
        <v>0</v>
      </c>
      <c r="DE139" s="33"/>
      <c r="DF139" s="34">
        <f>IF(AND(ISNUMBER(DG139),ISNUMBER(DE139)),DG139-DE139,"")</f>
        <v>0</v>
      </c>
      <c r="DG139" s="33"/>
      <c r="DH139" s="34">
        <f>IF(AND(ISNUMBER(DI139),ISNUMBER(DG139)),DI139-DG139,"")</f>
        <v>0</v>
      </c>
      <c r="DI139" s="33"/>
      <c r="DJ139" s="34">
        <f>IF(AND(ISNUMBER(DK139),ISNUMBER(DI139)),DK139-DI139,"")</f>
        <v>0</v>
      </c>
      <c r="DK139" s="33"/>
      <c r="DL139" s="34">
        <f>IF(AND(ISNUMBER(DM139),ISNUMBER(DK139)),DM139-DK139,"")</f>
        <v>0</v>
      </c>
      <c r="DM139" s="33"/>
      <c r="DN139" s="34">
        <f>IF(AND(ISNUMBER(DO139),ISNUMBER(DM139)),DO139-DM139,"")</f>
        <v>0</v>
      </c>
      <c r="DO139" s="33"/>
      <c r="DP139" s="34">
        <f>IF(AND(ISNUMBER(DQ139),ISNUMBER(DO139)),DQ139-DO139,"")</f>
        <v>0</v>
      </c>
      <c r="DQ139" s="33"/>
      <c r="DR139" s="34">
        <f>IF(AND(ISNUMBER(DS139),ISNUMBER(DQ139)),DS139-DQ139,"")</f>
        <v>0</v>
      </c>
      <c r="DS139" s="33"/>
      <c r="DT139" s="34">
        <f>IF(AND(ISNUMBER(DU139),ISNUMBER(DS139)),DU139-DS139,"")</f>
        <v>0</v>
      </c>
      <c r="DU139" s="33"/>
      <c r="DV139" s="34">
        <f>IF(AND(ISNUMBER(DW139),ISNUMBER(DU139)),DW139-DU139,"")</f>
        <v>0</v>
      </c>
      <c r="DW139" s="33"/>
      <c r="DX139" s="34">
        <f>IF(AND(ISNUMBER(DY139),ISNUMBER(DW139)),DY139-DW139,"")</f>
        <v>0</v>
      </c>
      <c r="DY139" s="33"/>
      <c r="DZ139" s="34">
        <f>IF(AND(ISNUMBER(EA139),ISNUMBER(DY139)),EA139-DY139,"")</f>
        <v>0</v>
      </c>
      <c r="EA139" s="33"/>
      <c r="EB139" s="34">
        <f>IF(AND(ISNUMBER(EC139),ISNUMBER(EA139)),EC139-EA139,"")</f>
        <v>0</v>
      </c>
      <c r="EC139" s="33"/>
      <c r="ED139" s="34">
        <f>IF(AND(ISNUMBER(EE139),ISNUMBER(EC139)),EE139-EC139,"")</f>
        <v>0</v>
      </c>
      <c r="EE139" s="33"/>
      <c r="EF139" s="34">
        <f>IF(AND(ISNUMBER(EG139),ISNUMBER(EE139)),EG139-EE139,"")</f>
        <v>0</v>
      </c>
      <c r="EG139" s="33"/>
      <c r="EH139" s="34">
        <f>IF(AND(ISNUMBER(EI139),ISNUMBER(EG139)),EI139-EG139,"")</f>
        <v>0</v>
      </c>
      <c r="EI139" s="33"/>
      <c r="EJ139" s="34">
        <f>IF(AND(ISNUMBER(EK139),ISNUMBER(EI139)),EK139-EI139,"")</f>
        <v>0</v>
      </c>
      <c r="EK139" s="33"/>
      <c r="EL139" s="34">
        <f>IF(AND(ISNUMBER(EM139),ISNUMBER(EK139)),EM139-EK139,"")</f>
        <v>0</v>
      </c>
      <c r="EM139" s="33"/>
      <c r="EN139" s="34">
        <f>IF(AND(ISNUMBER(EO139),ISNUMBER(EM139)),EO139-EM139,"")</f>
        <v>0</v>
      </c>
      <c r="EO139" s="33"/>
      <c r="EP139" s="34">
        <f>IF(AND(ISNUMBER(EQ139),ISNUMBER(EO139)),EQ139-EO139,"")</f>
        <v>0</v>
      </c>
      <c r="EQ139" s="33"/>
      <c r="ER139" s="34">
        <f>IF(AND(ISNUMBER(ES139),ISNUMBER(EQ139)),ES139-EQ139,"")</f>
        <v>0</v>
      </c>
      <c r="ES139" s="33"/>
      <c r="ET139" s="34">
        <f>IF(AND(ISNUMBER(EU139),ISNUMBER(ES139)),EU139-ES139,"")</f>
        <v>0</v>
      </c>
      <c r="EU139" s="33"/>
      <c r="EV139" s="34">
        <f>IF(AND(ISNUMBER(EW139),ISNUMBER(EU139)),EW139-EU139,"")</f>
        <v>0</v>
      </c>
      <c r="EW139" s="33"/>
      <c r="EX139" s="34">
        <f>IF(AND(ISNUMBER(EY139),ISNUMBER(EW139)),EY139-EW139,"")</f>
        <v>0</v>
      </c>
      <c r="EY139" s="33"/>
      <c r="EZ139" s="34">
        <f>IF(AND(ISNUMBER(FA139),ISNUMBER(EY139)),FA139-EY139,"")</f>
        <v>0</v>
      </c>
      <c r="FA139" s="33"/>
      <c r="FB139" s="34">
        <f>IF(AND(ISNUMBER(FC139),ISNUMBER(FA139)),FC139-FA139,"")</f>
        <v>0</v>
      </c>
      <c r="FC139" s="33"/>
      <c r="FD139" s="34">
        <f>IF(AND(ISNUMBER(FE139),ISNUMBER(FC139)),FE139-FC139,"")</f>
        <v>0</v>
      </c>
      <c r="FE139" s="33"/>
      <c r="FF139" s="34">
        <f>IF(AND(ISNUMBER(FG139),ISNUMBER(FE139)),FG139-FE139,"")</f>
        <v>0</v>
      </c>
      <c r="FG139" s="33"/>
      <c r="FH139" s="34">
        <f>IF(AND(ISNUMBER(FI139),ISNUMBER(FG139)),FI139-FG139,"")</f>
        <v>0</v>
      </c>
      <c r="FI139" s="33"/>
      <c r="FJ139" s="34">
        <f>IF(AND(ISNUMBER(FK139),ISNUMBER(FI139)),FK139-FI139,"")</f>
        <v>0</v>
      </c>
      <c r="FK139" s="33"/>
      <c r="FL139" s="34">
        <f>IF(AND(ISNUMBER(FM139),ISNUMBER(FK139)),FM139-FK139,"")</f>
        <v>0</v>
      </c>
      <c r="FM139" s="33"/>
      <c r="FN139" s="34">
        <f>IF(AND(ISNUMBER(FO139),ISNUMBER(FM139)),FO139-FM139,"")</f>
        <v>0</v>
      </c>
      <c r="FO139" s="33"/>
      <c r="FP139" s="34">
        <f>IF(AND(ISNUMBER(FQ139),ISNUMBER(FO139)),FQ139-FO139,"")</f>
        <v>0</v>
      </c>
      <c r="FQ139" s="33"/>
      <c r="FR139" s="34">
        <f>IF(AND(ISNUMBER(FS139),ISNUMBER(FQ139)),FS139-FQ139,"")</f>
        <v>0</v>
      </c>
      <c r="FS139" s="33"/>
      <c r="FT139" s="34">
        <f>IF(AND(ISNUMBER(FU139),ISNUMBER(FS139)),FU139-FS139,"")</f>
        <v>0</v>
      </c>
      <c r="FU139" s="33"/>
      <c r="FV139" s="34">
        <f>IF(AND(ISNUMBER(FW139),ISNUMBER(FU139)),FW139-FU139,"")</f>
        <v>0</v>
      </c>
      <c r="FW139" s="33"/>
      <c r="FX139" s="34">
        <f>IF(AND(ISNUMBER(FY139),ISNUMBER(FW139)),FY139-FW139,"")</f>
        <v>0</v>
      </c>
      <c r="FY139" s="33"/>
      <c r="FZ139" s="34">
        <f>IF(AND(ISNUMBER(GA139),ISNUMBER(FY139)),GA139-FY139,"")</f>
        <v>0</v>
      </c>
      <c r="GA139" s="33"/>
      <c r="GB139" s="34">
        <f>IF(AND(ISNUMBER(GC139),ISNUMBER(GA139)),GC139-GA139,"")</f>
        <v>0</v>
      </c>
      <c r="GC139" s="33"/>
      <c r="GD139" s="34">
        <f>IF(AND(ISNUMBER(GE139),ISNUMBER(GC139)),GE139-GC139,"")</f>
        <v>0</v>
      </c>
      <c r="GE139" s="33"/>
      <c r="GF139" s="34">
        <f>IF(AND(ISNUMBER(GG139),ISNUMBER(GE139)),GG139-GE139,"")</f>
        <v>0</v>
      </c>
      <c r="GG139" s="33"/>
      <c r="GH139" s="34">
        <f>IF(AND(ISNUMBER(GI139),ISNUMBER(GG139)),GI139-GG139,"")</f>
        <v>0</v>
      </c>
      <c r="GI139" s="33"/>
      <c r="GJ139" s="34">
        <f>IF(AND(ISNUMBER(GK139),ISNUMBER(GI139)),GK139-GI139,"")</f>
        <v>0</v>
      </c>
      <c r="GK139" s="33"/>
      <c r="GL139" s="34">
        <f>IF(AND(ISNUMBER(GM139),ISNUMBER(GK139)),GM139-GK139,"")</f>
        <v>0</v>
      </c>
      <c r="GM139" s="33"/>
      <c r="GN139" s="34">
        <f>IF(AND(ISNUMBER(GO139),ISNUMBER(GM139)),GO139-GM139,"")</f>
        <v>0</v>
      </c>
      <c r="GO139" s="33"/>
      <c r="GP139" s="34">
        <f>IF(AND(ISNUMBER(GQ139),ISNUMBER(GO139)),GQ139-GO139,"")</f>
        <v>0</v>
      </c>
      <c r="GQ139" s="33"/>
      <c r="GR139" s="34">
        <f>IF(AND(ISNUMBER(GS139),ISNUMBER(GQ139)),GS139-GQ139,"")</f>
        <v>0</v>
      </c>
      <c r="GS139" s="33"/>
      <c r="GT139" s="34">
        <f>IF(AND(ISNUMBER(GU139),ISNUMBER(GS139)),GU139-GS139,"")</f>
        <v>0</v>
      </c>
      <c r="GU139" s="33"/>
      <c r="GV139" s="34">
        <f>IF(AND(ISNUMBER(GW139),ISNUMBER(GU139)),GW139-GU139,"")</f>
        <v>0</v>
      </c>
      <c r="GW139" s="33"/>
      <c r="GX139" s="34">
        <f>IF(AND(ISNUMBER(GY139),ISNUMBER(GW139)),GY139-GW139,"")</f>
        <v>0</v>
      </c>
      <c r="GY139" s="33"/>
      <c r="GZ139" s="34">
        <f>IF(AND(ISNUMBER(HA139),ISNUMBER(GY139)),HA139-GY139,"")</f>
        <v>0</v>
      </c>
      <c r="HA139" s="33"/>
      <c r="HB139" s="34">
        <f>IF(AND(ISNUMBER(HC139),ISNUMBER(HA139)),HC139-HA139,"")</f>
        <v>0</v>
      </c>
      <c r="HC139" s="33"/>
      <c r="HD139" s="34">
        <f>IF(AND(ISNUMBER(HE139),ISNUMBER(HC139)),HE139-HC139,"")</f>
        <v>0</v>
      </c>
      <c r="HE139" s="33"/>
      <c r="HF139" s="34">
        <f>IF(AND(ISNUMBER(HG139),ISNUMBER(HE139)),HG139-HE139,"")</f>
        <v>0</v>
      </c>
      <c r="HG139" s="33"/>
      <c r="HH139" s="34">
        <f>IF(AND(ISNUMBER(HI139),ISNUMBER(HG139)),HI139-HG139,"")</f>
        <v>0</v>
      </c>
      <c r="HI139" s="33"/>
      <c r="HJ139" s="34">
        <f>IF(AND(ISNUMBER(HK139),ISNUMBER(HI139)),HK139-HI139,"")</f>
        <v>0</v>
      </c>
      <c r="HK139" s="33"/>
      <c r="HL139" s="34">
        <f>IF(AND(ISNUMBER(HM139),ISNUMBER(HK139)),HM139-HK139,"")</f>
        <v>0</v>
      </c>
      <c r="HM139" s="33"/>
      <c r="HN139" s="34">
        <f>IF(AND(ISNUMBER(HO139),ISNUMBER(HM139)),HO139-HM139,"")</f>
        <v>0</v>
      </c>
      <c r="HO139" s="33"/>
      <c r="HP139" s="34">
        <f>IF(AND(ISNUMBER(HQ139),ISNUMBER(HO139)),HQ139-HO139,"")</f>
        <v>0</v>
      </c>
      <c r="HQ139" s="33"/>
      <c r="HR139" s="34">
        <f>IF(AND(ISNUMBER(HS139),ISNUMBER(HQ139)),HS139-HQ139,"")</f>
        <v>0</v>
      </c>
      <c r="HS139" s="33"/>
      <c r="HT139" s="34">
        <f>IF(AND(ISNUMBER(HU139),ISNUMBER(HS139)),HU139-HS139,"")</f>
        <v>0</v>
      </c>
      <c r="HU139" s="33"/>
      <c r="HV139" s="34">
        <f>IF(AND(ISNUMBER(HW139),ISNUMBER(HU139)),HW139-HU139,"")</f>
        <v>0</v>
      </c>
      <c r="HW139" s="33"/>
      <c r="HX139" s="34">
        <f>IF(AND(ISNUMBER(HY139),ISNUMBER(HW139)),HY139-HW139,"")</f>
        <v>0</v>
      </c>
      <c r="HY139" s="33"/>
      <c r="HZ139" s="34">
        <f>IF(AND(ISNUMBER(IA139),ISNUMBER(HY139)),IA139-HY139,"")</f>
        <v>0</v>
      </c>
      <c r="IA139" s="33"/>
      <c r="IB139" s="34">
        <f>IF(AND(ISNUMBER(IC139),ISNUMBER(IA139)),IC139-IA139,"")</f>
        <v>0</v>
      </c>
      <c r="IC139" s="33"/>
      <c r="ID139" s="34">
        <f>IF(AND(ISNUMBER(IE139),ISNUMBER(IC139)),IE139-IC139,"")</f>
        <v>0</v>
      </c>
      <c r="IE139" s="33">
        <v>2</v>
      </c>
      <c r="IF139" s="34">
        <f>IF(AND(ISNUMBER(IG139),ISNUMBER(IE139)),IG139-IE139,"")</f>
        <v>0</v>
      </c>
      <c r="IG139" s="33">
        <v>5</v>
      </c>
      <c r="IH139" s="34">
        <f>IF(AND(ISNUMBER(II139),ISNUMBER(IG139)),II139-IG139,"")</f>
        <v>0</v>
      </c>
      <c r="II139" s="33">
        <v>3</v>
      </c>
      <c r="IJ139" s="34">
        <f>IF(AND(ISNUMBER(IK139),ISNUMBER(II139)),IK139-II139,"")</f>
        <v>0</v>
      </c>
      <c r="IK139" s="33">
        <v>3</v>
      </c>
      <c r="IL139" s="34">
        <f>IF(AND(ISNUMBER(IM139),ISNUMBER(IK139)),IM139-IK139,"")</f>
        <v>0</v>
      </c>
      <c r="IM139" s="33">
        <v>3</v>
      </c>
      <c r="IN139" s="34">
        <f>IF(AND(ISNUMBER(IO139),ISNUMBER(IM139)),IO139-IM139,"")</f>
        <v>0</v>
      </c>
      <c r="IO139" s="33">
        <v>6</v>
      </c>
      <c r="IP139" s="34">
        <f>IF(AND(ISNUMBER(IQ139),ISNUMBER(IO139)),IQ139-IO139,"")</f>
        <v>0</v>
      </c>
      <c r="IQ139" s="33">
        <v>1</v>
      </c>
      <c r="IR139" s="34">
        <f>IF(AND(ISNUMBER(IS139),ISNUMBER(IQ139)),IS139-IQ139,"")</f>
        <v>0</v>
      </c>
      <c r="IS139" s="33">
        <v>2</v>
      </c>
      <c r="IT139" s="34">
        <f>IF(AND(ISNUMBER(IU139),ISNUMBER(IS139)),IU139-IS139,"")</f>
        <v>0</v>
      </c>
      <c r="IU139" s="33">
        <v>0</v>
      </c>
      <c r="IV139" s="34">
        <f>IF(AND(ISNUMBER(IW139),ISNUMBER(IU139)),IW139-IU139,"")</f>
        <v>0</v>
      </c>
      <c r="IW139" s="33">
        <v>0</v>
      </c>
      <c r="IX139" s="34">
        <f>IF(AND(ISNUMBER(IY139),ISNUMBER(IW139)),IY139-IW139,"")</f>
        <v>0</v>
      </c>
      <c r="IY139" s="33">
        <v>2</v>
      </c>
      <c r="IZ139" s="34">
        <f>IF(AND(ISNUMBER(JA139),ISNUMBER(IY139)),JA139-IY139,"")</f>
        <v>0</v>
      </c>
      <c r="JA139" s="33">
        <v>5</v>
      </c>
      <c r="JB139" s="34">
        <f>IF(AND(ISNUMBER(JC139),ISNUMBER(JA139)),JC139-JA139,"")</f>
        <v>0</v>
      </c>
      <c r="JC139" s="33">
        <v>2</v>
      </c>
      <c r="JD139" s="34">
        <f>IF(AND(ISNUMBER(JE139),ISNUMBER(JC139)),JE139-JC139,"")</f>
        <v>0</v>
      </c>
      <c r="JE139" s="33">
        <v>0</v>
      </c>
      <c r="JF139" s="34">
        <f>IF(AND(ISNUMBER(JG139),ISNUMBER(JE139)),JG139-JE139,"")</f>
        <v>0</v>
      </c>
      <c r="JG139" s="33">
        <v>0</v>
      </c>
      <c r="JH139" s="34">
        <f>IF(AND(ISNUMBER(JI139),ISNUMBER(JG139)),JI139-JG139,"")</f>
        <v>0</v>
      </c>
      <c r="JI139" s="33">
        <v>0</v>
      </c>
      <c r="JJ139" s="34">
        <f>IF(AND(ISNUMBER(JK139),ISNUMBER(JI139)),JK139-JI139,"")</f>
        <v>0</v>
      </c>
      <c r="JK139" s="33">
        <v>2</v>
      </c>
      <c r="JL139" s="34">
        <f>IF(AND(ISNUMBER(JM139),ISNUMBER(JK139)),JM139-JK139,"")</f>
        <v>0</v>
      </c>
      <c r="JM139" s="33">
        <v>0</v>
      </c>
      <c r="JN139" s="34">
        <f>IF(AND(ISNUMBER(JO139),ISNUMBER(JM139)),JO139-JM139,"")</f>
        <v>0</v>
      </c>
      <c r="JO139" s="33">
        <v>2</v>
      </c>
      <c r="JP139" s="34">
        <f>IF(AND(ISNUMBER(JQ139),ISNUMBER(JO139)),JQ139-JO139,"")</f>
        <v>0</v>
      </c>
      <c r="JQ139" s="33">
        <v>2</v>
      </c>
      <c r="JR139" s="34">
        <f>IF(AND(ISNUMBER(JS139),ISNUMBER(JQ139)),JS139-JQ139,"")</f>
        <v>0</v>
      </c>
      <c r="JS139" s="33">
        <v>0</v>
      </c>
      <c r="JT139" s="34">
        <f>IF(AND(ISNUMBER(JU139),ISNUMBER(JS139)),JU139-JS139,"")</f>
        <v>0</v>
      </c>
      <c r="JU139" s="33">
        <v>1</v>
      </c>
      <c r="JV139" s="34">
        <f>IF(AND(ISNUMBER(JW139),ISNUMBER(JU139)),JW139-JU139,"")</f>
        <v>0</v>
      </c>
      <c r="JW139" s="33">
        <v>0</v>
      </c>
      <c r="JX139" s="34">
        <f>IF(AND(ISNUMBER(JY139),ISNUMBER(JW139)),JY139-JW139,"")</f>
        <v>0</v>
      </c>
      <c r="JY139" s="33">
        <v>0</v>
      </c>
      <c r="JZ139" s="34">
        <f>IF(AND(ISNUMBER(KA139),ISNUMBER(JY139)),KA139-JY139,"")</f>
        <v>0</v>
      </c>
      <c r="KA139" s="33"/>
      <c r="KB139" s="34">
        <f>IF(AND(ISNUMBER(KC139),ISNUMBER(KA139)),KC139-KA139,"")</f>
        <v>0</v>
      </c>
      <c r="KC139" s="33"/>
      <c r="KD139" s="34">
        <f>IF(AND(ISNUMBER(KE139),ISNUMBER(KC139)),KE139-KC139,"")</f>
        <v>0</v>
      </c>
      <c r="KE139" s="33"/>
      <c r="KF139" s="34">
        <f>IF(AND(ISNUMBER(KG139),ISNUMBER(KE139)),KG139-KE139,"")</f>
        <v>0</v>
      </c>
      <c r="KG139" s="33"/>
      <c r="KH139" s="34">
        <f>IF(AND(ISNUMBER(KI139),ISNUMBER(KG139)),KI139-KG139,"")</f>
        <v>0</v>
      </c>
      <c r="KI139" s="33"/>
      <c r="KJ139" s="34">
        <f>IF(AND(ISNUMBER(KK139),ISNUMBER(KI139)),KK139-KI139,"")</f>
        <v>0</v>
      </c>
      <c r="KK139" s="33"/>
      <c r="KL139" s="34">
        <f>IF(AND(ISNUMBER(KM139),ISNUMBER(KK139)),KM139-KK139,"")</f>
        <v>0</v>
      </c>
      <c r="KM139" s="33"/>
      <c r="KN139" s="34">
        <f>IF(AND(ISNUMBER(KO139),ISNUMBER(KM139)),KO139-KM139,"")</f>
        <v>0</v>
      </c>
      <c r="KO139" s="33"/>
      <c r="KP139" s="34">
        <f>IF(AND(ISNUMBER(KQ139),ISNUMBER(KO139)),KQ139-KO139,"")</f>
        <v>0</v>
      </c>
      <c r="KQ139" s="33"/>
      <c r="KR139" s="34">
        <f>IF(AND(ISNUMBER(KS139),ISNUMBER(KQ139)),KS139-KQ139,"")</f>
        <v>0</v>
      </c>
      <c r="KS139" s="33"/>
      <c r="KT139" s="34">
        <f>IF(AND(ISNUMBER(KU139),ISNUMBER(KS139)),KU139-KS139,"")</f>
        <v>0</v>
      </c>
      <c r="KU139" s="33"/>
      <c r="KV139" s="34">
        <f>IF(AND(ISNUMBER(KW139),ISNUMBER(KU139)),KW139-KU139,"")</f>
        <v>0</v>
      </c>
      <c r="KW139" s="33"/>
      <c r="KX139" s="34">
        <f>IF(AND(ISNUMBER(KY139),ISNUMBER(KW139)),KY139-KW139,"")</f>
        <v>0</v>
      </c>
      <c r="KY139" s="33"/>
      <c r="KZ139" s="34">
        <f>IF(AND(ISNUMBER(LA139),ISNUMBER(KY139)),LA139-KY139,"")</f>
        <v>0</v>
      </c>
      <c r="LA139" s="33"/>
      <c r="LB139" s="34">
        <f>IF(AND(ISNUMBER(LC139),ISNUMBER(LA139)),LC139-LA139,"")</f>
        <v>0</v>
      </c>
      <c r="LC139" s="33"/>
      <c r="LD139" s="34">
        <f>IF(AND(ISNUMBER(LE139),ISNUMBER(LC139)),LE139-LC139,"")</f>
        <v>0</v>
      </c>
      <c r="LE139" s="33"/>
      <c r="LF139" s="34">
        <f>IF(AND(ISNUMBER(LG139),ISNUMBER(LE139)),LG139-LE139,"")</f>
        <v>0</v>
      </c>
      <c r="LG139" s="33"/>
    </row>
    <row r="140" spans="1:322">
      <c r="B140" s="23"/>
      <c r="C140" s="31" t="s">
        <v>927</v>
      </c>
      <c r="E140" s="32" t="s">
        <v>1139</v>
      </c>
      <c r="I140" s="33"/>
      <c r="J140" s="34">
        <f>IF(AND(ISNUMBER(K140),ISNUMBER(I140)),K140-I140,"")</f>
        <v>0</v>
      </c>
      <c r="K140" s="33"/>
      <c r="L140" s="34">
        <f>IF(AND(ISNUMBER(M140),ISNUMBER(K140)),M140-K140,"")</f>
        <v>0</v>
      </c>
      <c r="M140" s="33"/>
      <c r="N140" s="34">
        <f>IF(AND(ISNUMBER(O140),ISNUMBER(M140)),O140-M140,"")</f>
        <v>0</v>
      </c>
      <c r="O140" s="33"/>
      <c r="P140" s="34">
        <f>IF(AND(ISNUMBER(Q140),ISNUMBER(O140)),Q140-O140,"")</f>
        <v>0</v>
      </c>
      <c r="Q140" s="33"/>
      <c r="R140" s="34">
        <f>IF(AND(ISNUMBER(S140),ISNUMBER(Q140)),S140-Q140,"")</f>
        <v>0</v>
      </c>
      <c r="S140" s="33"/>
      <c r="T140" s="34">
        <f>IF(AND(ISNUMBER(U140),ISNUMBER(S140)),U140-S140,"")</f>
        <v>0</v>
      </c>
      <c r="U140" s="33"/>
      <c r="V140" s="34">
        <f>IF(AND(ISNUMBER(W140),ISNUMBER(U140)),W140-U140,"")</f>
        <v>0</v>
      </c>
      <c r="W140" s="33"/>
      <c r="X140" s="34">
        <f>IF(AND(ISNUMBER(Y140),ISNUMBER(W140)),Y140-W140,"")</f>
        <v>0</v>
      </c>
      <c r="Y140" s="33"/>
      <c r="Z140" s="34">
        <f>IF(AND(ISNUMBER(AA140),ISNUMBER(Y140)),AA140-Y140,"")</f>
        <v>0</v>
      </c>
      <c r="AA140" s="33"/>
      <c r="AB140" s="34">
        <f>IF(AND(ISNUMBER(AC140),ISNUMBER(AA140)),AC140-AA140,"")</f>
        <v>0</v>
      </c>
      <c r="AC140" s="33"/>
      <c r="AD140" s="34">
        <f>IF(AND(ISNUMBER(AE140),ISNUMBER(AC140)),AE140-AC140,"")</f>
        <v>0</v>
      </c>
      <c r="AE140" s="33"/>
      <c r="AF140" s="34">
        <f>IF(AND(ISNUMBER(AG140),ISNUMBER(AE140)),AG140-AE140,"")</f>
        <v>0</v>
      </c>
      <c r="AG140" s="33"/>
      <c r="AH140" s="34">
        <f>IF(AND(ISNUMBER(AI140),ISNUMBER(AG140)),AI140-AG140,"")</f>
        <v>0</v>
      </c>
      <c r="AI140" s="33"/>
      <c r="AJ140" s="34">
        <f>IF(AND(ISNUMBER(AK140),ISNUMBER(AI140)),AK140-AI140,"")</f>
        <v>0</v>
      </c>
      <c r="AK140" s="33"/>
      <c r="AL140" s="34">
        <f>IF(AND(ISNUMBER(AM140),ISNUMBER(AK140)),AM140-AK140,"")</f>
        <v>0</v>
      </c>
      <c r="AM140" s="33"/>
      <c r="AN140" s="34">
        <f>IF(AND(ISNUMBER(AO140),ISNUMBER(AM140)),AO140-AM140,"")</f>
        <v>0</v>
      </c>
      <c r="AO140" s="33"/>
      <c r="AP140" s="34">
        <f>IF(AND(ISNUMBER(AQ140),ISNUMBER(AO140)),AQ140-AO140,"")</f>
        <v>0</v>
      </c>
      <c r="AQ140" s="33"/>
      <c r="AR140" s="34">
        <f>IF(AND(ISNUMBER(AS140),ISNUMBER(AQ140)),AS140-AQ140,"")</f>
        <v>0</v>
      </c>
      <c r="AS140" s="33"/>
      <c r="AT140" s="34">
        <f>IF(AND(ISNUMBER(AU140),ISNUMBER(AS140)),AU140-AS140,"")</f>
        <v>0</v>
      </c>
      <c r="AU140" s="33"/>
      <c r="AV140" s="34">
        <f>IF(AND(ISNUMBER(AW140),ISNUMBER(AU140)),AW140-AU140,"")</f>
        <v>0</v>
      </c>
      <c r="AW140" s="33"/>
      <c r="AX140" s="34">
        <f>IF(AND(ISNUMBER(AY140),ISNUMBER(AW140)),AY140-AW140,"")</f>
        <v>0</v>
      </c>
      <c r="AY140" s="33"/>
      <c r="AZ140" s="34">
        <f>IF(AND(ISNUMBER(BA140),ISNUMBER(AY140)),BA140-AY140,"")</f>
        <v>0</v>
      </c>
      <c r="BA140" s="33"/>
      <c r="BB140" s="34">
        <f>IF(AND(ISNUMBER(BC140),ISNUMBER(BA140)),BC140-BA140,"")</f>
        <v>0</v>
      </c>
      <c r="BC140" s="33"/>
      <c r="BD140" s="34">
        <f>IF(AND(ISNUMBER(BE140),ISNUMBER(BC140)),BE140-BC140,"")</f>
        <v>0</v>
      </c>
      <c r="BE140" s="33"/>
      <c r="BF140" s="34">
        <f>IF(AND(ISNUMBER(BG140),ISNUMBER(BE140)),BG140-BE140,"")</f>
        <v>0</v>
      </c>
      <c r="BG140" s="33"/>
      <c r="BH140" s="34">
        <f>IF(AND(ISNUMBER(BI140),ISNUMBER(BG140)),BI140-BG140,"")</f>
        <v>0</v>
      </c>
      <c r="BI140" s="33"/>
      <c r="BJ140" s="34">
        <f>IF(AND(ISNUMBER(BK140),ISNUMBER(BI140)),BK140-BI140,"")</f>
        <v>0</v>
      </c>
      <c r="BK140" s="33"/>
      <c r="BL140" s="34">
        <f>IF(AND(ISNUMBER(BM140),ISNUMBER(BK140)),BM140-BK140,"")</f>
        <v>0</v>
      </c>
      <c r="BM140" s="33"/>
      <c r="BN140" s="34">
        <f>IF(AND(ISNUMBER(BO140),ISNUMBER(BM140)),BO140-BM140,"")</f>
        <v>0</v>
      </c>
      <c r="BO140" s="33"/>
      <c r="BP140" s="34">
        <f>IF(AND(ISNUMBER(BQ140),ISNUMBER(BO140)),BQ140-BO140,"")</f>
        <v>0</v>
      </c>
      <c r="BQ140" s="33"/>
      <c r="BR140" s="34">
        <f>IF(AND(ISNUMBER(BS140),ISNUMBER(BQ140)),BS140-BQ140,"")</f>
        <v>0</v>
      </c>
      <c r="BS140" s="33"/>
      <c r="BT140" s="34">
        <f>IF(AND(ISNUMBER(BU140),ISNUMBER(BS140)),BU140-BS140,"")</f>
        <v>0</v>
      </c>
      <c r="BU140" s="33"/>
      <c r="BV140" s="34">
        <f>IF(AND(ISNUMBER(BW140),ISNUMBER(BU140)),BW140-BU140,"")</f>
        <v>0</v>
      </c>
      <c r="BW140" s="33"/>
      <c r="BX140" s="34">
        <f>IF(AND(ISNUMBER(BY140),ISNUMBER(BW140)),BY140-BW140,"")</f>
        <v>0</v>
      </c>
      <c r="BY140" s="33"/>
      <c r="BZ140" s="34">
        <f>IF(AND(ISNUMBER(CA140),ISNUMBER(BY140)),CA140-BY140,"")</f>
        <v>0</v>
      </c>
      <c r="CA140" s="33"/>
      <c r="CB140" s="34">
        <f>IF(AND(ISNUMBER(CC140),ISNUMBER(CA140)),CC140-CA140,"")</f>
        <v>0</v>
      </c>
      <c r="CC140" s="33"/>
      <c r="CD140" s="34">
        <f>IF(AND(ISNUMBER(CE140),ISNUMBER(CC140)),CE140-CC140,"")</f>
        <v>0</v>
      </c>
      <c r="CE140" s="33"/>
      <c r="CF140" s="34">
        <f>IF(AND(ISNUMBER(CG140),ISNUMBER(CE140)),CG140-CE140,"")</f>
        <v>0</v>
      </c>
      <c r="CG140" s="33"/>
      <c r="CH140" s="34">
        <f>IF(AND(ISNUMBER(CI140),ISNUMBER(CG140)),CI140-CG140,"")</f>
        <v>0</v>
      </c>
      <c r="CI140" s="33"/>
      <c r="CJ140" s="34">
        <f>IF(AND(ISNUMBER(CK140),ISNUMBER(CI140)),CK140-CI140,"")</f>
        <v>0</v>
      </c>
      <c r="CK140" s="33"/>
      <c r="CL140" s="34">
        <f>IF(AND(ISNUMBER(CM140),ISNUMBER(CK140)),CM140-CK140,"")</f>
        <v>0</v>
      </c>
      <c r="CM140" s="33"/>
      <c r="CN140" s="34">
        <f>IF(AND(ISNUMBER(CO140),ISNUMBER(CM140)),CO140-CM140,"")</f>
        <v>0</v>
      </c>
      <c r="CO140" s="33"/>
      <c r="CP140" s="34">
        <f>IF(AND(ISNUMBER(CQ140),ISNUMBER(CO140)),CQ140-CO140,"")</f>
        <v>0</v>
      </c>
      <c r="CQ140" s="33"/>
      <c r="CR140" s="34">
        <f>IF(AND(ISNUMBER(CS140),ISNUMBER(CQ140)),CS140-CQ140,"")</f>
        <v>0</v>
      </c>
      <c r="CS140" s="33"/>
      <c r="CT140" s="34">
        <f>IF(AND(ISNUMBER(CU140),ISNUMBER(CS140)),CU140-CS140,"")</f>
        <v>0</v>
      </c>
      <c r="CU140" s="33"/>
      <c r="CV140" s="34">
        <f>IF(AND(ISNUMBER(CW140),ISNUMBER(CU140)),CW140-CU140,"")</f>
        <v>0</v>
      </c>
      <c r="CW140" s="33"/>
      <c r="CX140" s="34">
        <f>IF(AND(ISNUMBER(CY140),ISNUMBER(CW140)),CY140-CW140,"")</f>
        <v>0</v>
      </c>
      <c r="CY140" s="33"/>
      <c r="CZ140" s="34">
        <f>IF(AND(ISNUMBER(DA140),ISNUMBER(CY140)),DA140-CY140,"")</f>
        <v>0</v>
      </c>
      <c r="DA140" s="33"/>
      <c r="DB140" s="34">
        <f>IF(AND(ISNUMBER(DC140),ISNUMBER(DA140)),DC140-DA140,"")</f>
        <v>0</v>
      </c>
      <c r="DC140" s="33"/>
      <c r="DD140" s="34">
        <f>IF(AND(ISNUMBER(DE140),ISNUMBER(DC140)),DE140-DC140,"")</f>
        <v>0</v>
      </c>
      <c r="DE140" s="33"/>
      <c r="DF140" s="34">
        <f>IF(AND(ISNUMBER(DG140),ISNUMBER(DE140)),DG140-DE140,"")</f>
        <v>0</v>
      </c>
      <c r="DG140" s="33"/>
      <c r="DH140" s="34">
        <f>IF(AND(ISNUMBER(DI140),ISNUMBER(DG140)),DI140-DG140,"")</f>
        <v>0</v>
      </c>
      <c r="DI140" s="33"/>
      <c r="DJ140" s="34">
        <f>IF(AND(ISNUMBER(DK140),ISNUMBER(DI140)),DK140-DI140,"")</f>
        <v>0</v>
      </c>
      <c r="DK140" s="33"/>
      <c r="DL140" s="34">
        <f>IF(AND(ISNUMBER(DM140),ISNUMBER(DK140)),DM140-DK140,"")</f>
        <v>0</v>
      </c>
      <c r="DM140" s="33"/>
      <c r="DN140" s="34">
        <f>IF(AND(ISNUMBER(DO140),ISNUMBER(DM140)),DO140-DM140,"")</f>
        <v>0</v>
      </c>
      <c r="DO140" s="33"/>
      <c r="DP140" s="34">
        <f>IF(AND(ISNUMBER(DQ140),ISNUMBER(DO140)),DQ140-DO140,"")</f>
        <v>0</v>
      </c>
      <c r="DQ140" s="33"/>
      <c r="DR140" s="34">
        <f>IF(AND(ISNUMBER(DS140),ISNUMBER(DQ140)),DS140-DQ140,"")</f>
        <v>0</v>
      </c>
      <c r="DS140" s="33"/>
      <c r="DT140" s="34">
        <f>IF(AND(ISNUMBER(DU140),ISNUMBER(DS140)),DU140-DS140,"")</f>
        <v>0</v>
      </c>
      <c r="DU140" s="33"/>
      <c r="DV140" s="34">
        <f>IF(AND(ISNUMBER(DW140),ISNUMBER(DU140)),DW140-DU140,"")</f>
        <v>0</v>
      </c>
      <c r="DW140" s="33"/>
      <c r="DX140" s="34">
        <f>IF(AND(ISNUMBER(DY140),ISNUMBER(DW140)),DY140-DW140,"")</f>
        <v>0</v>
      </c>
      <c r="DY140" s="33"/>
      <c r="DZ140" s="34">
        <f>IF(AND(ISNUMBER(EA140),ISNUMBER(DY140)),EA140-DY140,"")</f>
        <v>0</v>
      </c>
      <c r="EA140" s="33"/>
      <c r="EB140" s="34">
        <f>IF(AND(ISNUMBER(EC140),ISNUMBER(EA140)),EC140-EA140,"")</f>
        <v>0</v>
      </c>
      <c r="EC140" s="33"/>
      <c r="ED140" s="34">
        <f>IF(AND(ISNUMBER(EE140),ISNUMBER(EC140)),EE140-EC140,"")</f>
        <v>0</v>
      </c>
      <c r="EE140" s="33"/>
      <c r="EF140" s="34">
        <f>IF(AND(ISNUMBER(EG140),ISNUMBER(EE140)),EG140-EE140,"")</f>
        <v>0</v>
      </c>
      <c r="EG140" s="33"/>
      <c r="EH140" s="34">
        <f>IF(AND(ISNUMBER(EI140),ISNUMBER(EG140)),EI140-EG140,"")</f>
        <v>0</v>
      </c>
      <c r="EI140" s="33"/>
      <c r="EJ140" s="34">
        <f>IF(AND(ISNUMBER(EK140),ISNUMBER(EI140)),EK140-EI140,"")</f>
        <v>0</v>
      </c>
      <c r="EK140" s="33"/>
      <c r="EL140" s="34">
        <f>IF(AND(ISNUMBER(EM140),ISNUMBER(EK140)),EM140-EK140,"")</f>
        <v>0</v>
      </c>
      <c r="EM140" s="33"/>
      <c r="EN140" s="34">
        <f>IF(AND(ISNUMBER(EO140),ISNUMBER(EM140)),EO140-EM140,"")</f>
        <v>0</v>
      </c>
      <c r="EO140" s="33"/>
      <c r="EP140" s="34">
        <f>IF(AND(ISNUMBER(EQ140),ISNUMBER(EO140)),EQ140-EO140,"")</f>
        <v>0</v>
      </c>
      <c r="EQ140" s="33"/>
      <c r="ER140" s="34">
        <f>IF(AND(ISNUMBER(ES140),ISNUMBER(EQ140)),ES140-EQ140,"")</f>
        <v>0</v>
      </c>
      <c r="ES140" s="33"/>
      <c r="ET140" s="34">
        <f>IF(AND(ISNUMBER(EU140),ISNUMBER(ES140)),EU140-ES140,"")</f>
        <v>0</v>
      </c>
      <c r="EU140" s="33"/>
      <c r="EV140" s="34">
        <f>IF(AND(ISNUMBER(EW140),ISNUMBER(EU140)),EW140-EU140,"")</f>
        <v>0</v>
      </c>
      <c r="EW140" s="33"/>
      <c r="EX140" s="34">
        <f>IF(AND(ISNUMBER(EY140),ISNUMBER(EW140)),EY140-EW140,"")</f>
        <v>0</v>
      </c>
      <c r="EY140" s="33"/>
      <c r="EZ140" s="34">
        <f>IF(AND(ISNUMBER(FA140),ISNUMBER(EY140)),FA140-EY140,"")</f>
        <v>0</v>
      </c>
      <c r="FA140" s="33"/>
      <c r="FB140" s="34">
        <f>IF(AND(ISNUMBER(FC140),ISNUMBER(FA140)),FC140-FA140,"")</f>
        <v>0</v>
      </c>
      <c r="FC140" s="33"/>
      <c r="FD140" s="34">
        <f>IF(AND(ISNUMBER(FE140),ISNUMBER(FC140)),FE140-FC140,"")</f>
        <v>0</v>
      </c>
      <c r="FE140" s="33"/>
      <c r="FF140" s="34">
        <f>IF(AND(ISNUMBER(FG140),ISNUMBER(FE140)),FG140-FE140,"")</f>
        <v>0</v>
      </c>
      <c r="FG140" s="33"/>
      <c r="FH140" s="34">
        <f>IF(AND(ISNUMBER(FI140),ISNUMBER(FG140)),FI140-FG140,"")</f>
        <v>0</v>
      </c>
      <c r="FI140" s="33"/>
      <c r="FJ140" s="34">
        <f>IF(AND(ISNUMBER(FK140),ISNUMBER(FI140)),FK140-FI140,"")</f>
        <v>0</v>
      </c>
      <c r="FK140" s="33"/>
      <c r="FL140" s="34">
        <f>IF(AND(ISNUMBER(FM140),ISNUMBER(FK140)),FM140-FK140,"")</f>
        <v>0</v>
      </c>
      <c r="FM140" s="33"/>
      <c r="FN140" s="34">
        <f>IF(AND(ISNUMBER(FO140),ISNUMBER(FM140)),FO140-FM140,"")</f>
        <v>0</v>
      </c>
      <c r="FO140" s="33"/>
      <c r="FP140" s="34">
        <f>IF(AND(ISNUMBER(FQ140),ISNUMBER(FO140)),FQ140-FO140,"")</f>
        <v>0</v>
      </c>
      <c r="FQ140" s="33"/>
      <c r="FR140" s="34">
        <f>IF(AND(ISNUMBER(FS140),ISNUMBER(FQ140)),FS140-FQ140,"")</f>
        <v>0</v>
      </c>
      <c r="FS140" s="33"/>
      <c r="FT140" s="34">
        <f>IF(AND(ISNUMBER(FU140),ISNUMBER(FS140)),FU140-FS140,"")</f>
        <v>0</v>
      </c>
      <c r="FU140" s="33"/>
      <c r="FV140" s="34">
        <f>IF(AND(ISNUMBER(FW140),ISNUMBER(FU140)),FW140-FU140,"")</f>
        <v>0</v>
      </c>
      <c r="FW140" s="33"/>
      <c r="FX140" s="34">
        <f>IF(AND(ISNUMBER(FY140),ISNUMBER(FW140)),FY140-FW140,"")</f>
        <v>0</v>
      </c>
      <c r="FY140" s="33"/>
      <c r="FZ140" s="34">
        <f>IF(AND(ISNUMBER(GA140),ISNUMBER(FY140)),GA140-FY140,"")</f>
        <v>0</v>
      </c>
      <c r="GA140" s="33"/>
      <c r="GB140" s="34">
        <f>IF(AND(ISNUMBER(GC140),ISNUMBER(GA140)),GC140-GA140,"")</f>
        <v>0</v>
      </c>
      <c r="GC140" s="33"/>
      <c r="GD140" s="34">
        <f>IF(AND(ISNUMBER(GE140),ISNUMBER(GC140)),GE140-GC140,"")</f>
        <v>0</v>
      </c>
      <c r="GE140" s="33"/>
      <c r="GF140" s="34">
        <f>IF(AND(ISNUMBER(GG140),ISNUMBER(GE140)),GG140-GE140,"")</f>
        <v>0</v>
      </c>
      <c r="GG140" s="33"/>
      <c r="GH140" s="34">
        <f>IF(AND(ISNUMBER(GI140),ISNUMBER(GG140)),GI140-GG140,"")</f>
        <v>0</v>
      </c>
      <c r="GI140" s="33"/>
      <c r="GJ140" s="34">
        <f>IF(AND(ISNUMBER(GK140),ISNUMBER(GI140)),GK140-GI140,"")</f>
        <v>0</v>
      </c>
      <c r="GK140" s="33"/>
      <c r="GL140" s="34">
        <f>IF(AND(ISNUMBER(GM140),ISNUMBER(GK140)),GM140-GK140,"")</f>
        <v>0</v>
      </c>
      <c r="GM140" s="33"/>
      <c r="GN140" s="34">
        <f>IF(AND(ISNUMBER(GO140),ISNUMBER(GM140)),GO140-GM140,"")</f>
        <v>0</v>
      </c>
      <c r="GO140" s="33"/>
      <c r="GP140" s="34">
        <f>IF(AND(ISNUMBER(GQ140),ISNUMBER(GO140)),GQ140-GO140,"")</f>
        <v>0</v>
      </c>
      <c r="GQ140" s="33"/>
      <c r="GR140" s="34">
        <f>IF(AND(ISNUMBER(GS140),ISNUMBER(GQ140)),GS140-GQ140,"")</f>
        <v>0</v>
      </c>
      <c r="GS140" s="33"/>
      <c r="GT140" s="34">
        <f>IF(AND(ISNUMBER(GU140),ISNUMBER(GS140)),GU140-GS140,"")</f>
        <v>0</v>
      </c>
      <c r="GU140" s="33"/>
      <c r="GV140" s="34">
        <f>IF(AND(ISNUMBER(GW140),ISNUMBER(GU140)),GW140-GU140,"")</f>
        <v>0</v>
      </c>
      <c r="GW140" s="33"/>
      <c r="GX140" s="34">
        <f>IF(AND(ISNUMBER(GY140),ISNUMBER(GW140)),GY140-GW140,"")</f>
        <v>0</v>
      </c>
      <c r="GY140" s="33"/>
      <c r="GZ140" s="34">
        <f>IF(AND(ISNUMBER(HA140),ISNUMBER(GY140)),HA140-GY140,"")</f>
        <v>0</v>
      </c>
      <c r="HA140" s="33"/>
      <c r="HB140" s="34">
        <f>IF(AND(ISNUMBER(HC140),ISNUMBER(HA140)),HC140-HA140,"")</f>
        <v>0</v>
      </c>
      <c r="HC140" s="33"/>
      <c r="HD140" s="34">
        <f>IF(AND(ISNUMBER(HE140),ISNUMBER(HC140)),HE140-HC140,"")</f>
        <v>0</v>
      </c>
      <c r="HE140" s="33"/>
      <c r="HF140" s="34">
        <f>IF(AND(ISNUMBER(HG140),ISNUMBER(HE140)),HG140-HE140,"")</f>
        <v>0</v>
      </c>
      <c r="HG140" s="33"/>
      <c r="HH140" s="34">
        <f>IF(AND(ISNUMBER(HI140),ISNUMBER(HG140)),HI140-HG140,"")</f>
        <v>0</v>
      </c>
      <c r="HI140" s="33"/>
      <c r="HJ140" s="34">
        <f>IF(AND(ISNUMBER(HK140),ISNUMBER(HI140)),HK140-HI140,"")</f>
        <v>0</v>
      </c>
      <c r="HK140" s="33"/>
      <c r="HL140" s="34">
        <f>IF(AND(ISNUMBER(HM140),ISNUMBER(HK140)),HM140-HK140,"")</f>
        <v>0</v>
      </c>
      <c r="HM140" s="33"/>
      <c r="HN140" s="34">
        <f>IF(AND(ISNUMBER(HO140),ISNUMBER(HM140)),HO140-HM140,"")</f>
        <v>0</v>
      </c>
      <c r="HO140" s="33"/>
      <c r="HP140" s="34">
        <f>IF(AND(ISNUMBER(HQ140),ISNUMBER(HO140)),HQ140-HO140,"")</f>
        <v>0</v>
      </c>
      <c r="HQ140" s="33"/>
      <c r="HR140" s="34">
        <f>IF(AND(ISNUMBER(HS140),ISNUMBER(HQ140)),HS140-HQ140,"")</f>
        <v>0</v>
      </c>
      <c r="HS140" s="33"/>
      <c r="HT140" s="34">
        <f>IF(AND(ISNUMBER(HU140),ISNUMBER(HS140)),HU140-HS140,"")</f>
        <v>0</v>
      </c>
      <c r="HU140" s="33"/>
      <c r="HV140" s="34">
        <f>IF(AND(ISNUMBER(HW140),ISNUMBER(HU140)),HW140-HU140,"")</f>
        <v>0</v>
      </c>
      <c r="HW140" s="33"/>
      <c r="HX140" s="34">
        <f>IF(AND(ISNUMBER(HY140),ISNUMBER(HW140)),HY140-HW140,"")</f>
        <v>0</v>
      </c>
      <c r="HY140" s="33"/>
      <c r="HZ140" s="34">
        <f>IF(AND(ISNUMBER(IA140),ISNUMBER(HY140)),IA140-HY140,"")</f>
        <v>0</v>
      </c>
      <c r="IA140" s="33"/>
      <c r="IB140" s="34">
        <f>IF(AND(ISNUMBER(IC140),ISNUMBER(IA140)),IC140-IA140,"")</f>
        <v>0</v>
      </c>
      <c r="IC140" s="33"/>
      <c r="ID140" s="34">
        <f>IF(AND(ISNUMBER(IE140),ISNUMBER(IC140)),IE140-IC140,"")</f>
        <v>0</v>
      </c>
      <c r="IE140" s="33">
        <v>0</v>
      </c>
      <c r="IF140" s="34">
        <f>IF(AND(ISNUMBER(IG140),ISNUMBER(IE140)),IG140-IE140,"")</f>
        <v>0</v>
      </c>
      <c r="IG140" s="33">
        <v>5</v>
      </c>
      <c r="IH140" s="34">
        <f>IF(AND(ISNUMBER(II140),ISNUMBER(IG140)),II140-IG140,"")</f>
        <v>0</v>
      </c>
      <c r="II140" s="33">
        <v>3</v>
      </c>
      <c r="IJ140" s="34">
        <f>IF(AND(ISNUMBER(IK140),ISNUMBER(II140)),IK140-II140,"")</f>
        <v>0</v>
      </c>
      <c r="IK140" s="33">
        <v>1</v>
      </c>
      <c r="IL140" s="34">
        <f>IF(AND(ISNUMBER(IM140),ISNUMBER(IK140)),IM140-IK140,"")</f>
        <v>0</v>
      </c>
      <c r="IM140" s="33">
        <v>0</v>
      </c>
      <c r="IN140" s="34">
        <f>IF(AND(ISNUMBER(IO140),ISNUMBER(IM140)),IO140-IM140,"")</f>
        <v>0</v>
      </c>
      <c r="IO140" s="33">
        <v>0</v>
      </c>
      <c r="IP140" s="34">
        <f>IF(AND(ISNUMBER(IQ140),ISNUMBER(IO140)),IQ140-IO140,"")</f>
        <v>0</v>
      </c>
      <c r="IQ140" s="33">
        <v>0</v>
      </c>
      <c r="IR140" s="34">
        <f>IF(AND(ISNUMBER(IS140),ISNUMBER(IQ140)),IS140-IQ140,"")</f>
        <v>0</v>
      </c>
      <c r="IS140" s="33">
        <v>0</v>
      </c>
      <c r="IT140" s="34">
        <f>IF(AND(ISNUMBER(IU140),ISNUMBER(IS140)),IU140-IS140,"")</f>
        <v>0</v>
      </c>
      <c r="IU140" s="33">
        <v>0</v>
      </c>
      <c r="IV140" s="34">
        <f>IF(AND(ISNUMBER(IW140),ISNUMBER(IU140)),IW140-IU140,"")</f>
        <v>0</v>
      </c>
      <c r="IW140" s="33">
        <v>0</v>
      </c>
      <c r="IX140" s="34">
        <f>IF(AND(ISNUMBER(IY140),ISNUMBER(IW140)),IY140-IW140,"")</f>
        <v>0</v>
      </c>
      <c r="IY140" s="33">
        <v>0</v>
      </c>
      <c r="IZ140" s="34">
        <f>IF(AND(ISNUMBER(JA140),ISNUMBER(IY140)),JA140-IY140,"")</f>
        <v>0</v>
      </c>
      <c r="JA140" s="33">
        <v>0</v>
      </c>
      <c r="JB140" s="34">
        <f>IF(AND(ISNUMBER(JC140),ISNUMBER(JA140)),JC140-JA140,"")</f>
        <v>0</v>
      </c>
      <c r="JC140" s="33">
        <v>0</v>
      </c>
      <c r="JD140" s="34">
        <f>IF(AND(ISNUMBER(JE140),ISNUMBER(JC140)),JE140-JC140,"")</f>
        <v>0</v>
      </c>
      <c r="JE140" s="33">
        <v>0</v>
      </c>
      <c r="JF140" s="34">
        <f>IF(AND(ISNUMBER(JG140),ISNUMBER(JE140)),JG140-JE140,"")</f>
        <v>0</v>
      </c>
      <c r="JG140" s="33">
        <v>0</v>
      </c>
      <c r="JH140" s="34">
        <f>IF(AND(ISNUMBER(JI140),ISNUMBER(JG140)),JI140-JG140,"")</f>
        <v>0</v>
      </c>
      <c r="JI140" s="33">
        <v>0</v>
      </c>
      <c r="JJ140" s="34">
        <f>IF(AND(ISNUMBER(JK140),ISNUMBER(JI140)),JK140-JI140,"")</f>
        <v>0</v>
      </c>
      <c r="JK140" s="33">
        <v>0</v>
      </c>
      <c r="JL140" s="34">
        <f>IF(AND(ISNUMBER(JM140),ISNUMBER(JK140)),JM140-JK140,"")</f>
        <v>0</v>
      </c>
      <c r="JM140" s="33">
        <v>2</v>
      </c>
      <c r="JN140" s="34">
        <f>IF(AND(ISNUMBER(JO140),ISNUMBER(JM140)),JO140-JM140,"")</f>
        <v>0</v>
      </c>
      <c r="JO140" s="33">
        <v>5</v>
      </c>
      <c r="JP140" s="34">
        <f>IF(AND(ISNUMBER(JQ140),ISNUMBER(JO140)),JQ140-JO140,"")</f>
        <v>0</v>
      </c>
      <c r="JQ140" s="33">
        <v>0</v>
      </c>
      <c r="JR140" s="34">
        <f>IF(AND(ISNUMBER(JS140),ISNUMBER(JQ140)),JS140-JQ140,"")</f>
        <v>0</v>
      </c>
      <c r="JS140" s="33">
        <v>0</v>
      </c>
      <c r="JT140" s="34">
        <f>IF(AND(ISNUMBER(JU140),ISNUMBER(JS140)),JU140-JS140,"")</f>
        <v>0</v>
      </c>
      <c r="JU140" s="33">
        <v>0</v>
      </c>
      <c r="JV140" s="34">
        <f>IF(AND(ISNUMBER(JW140),ISNUMBER(JU140)),JW140-JU140,"")</f>
        <v>0</v>
      </c>
      <c r="JW140" s="33">
        <v>0</v>
      </c>
      <c r="JX140" s="34">
        <f>IF(AND(ISNUMBER(JY140),ISNUMBER(JW140)),JY140-JW140,"")</f>
        <v>0</v>
      </c>
      <c r="JY140" s="33">
        <v>0</v>
      </c>
      <c r="JZ140" s="34">
        <f>IF(AND(ISNUMBER(KA140),ISNUMBER(JY140)),KA140-JY140,"")</f>
        <v>0</v>
      </c>
      <c r="KA140" s="33"/>
      <c r="KB140" s="34">
        <f>IF(AND(ISNUMBER(KC140),ISNUMBER(KA140)),KC140-KA140,"")</f>
        <v>0</v>
      </c>
      <c r="KC140" s="33"/>
      <c r="KD140" s="34">
        <f>IF(AND(ISNUMBER(KE140),ISNUMBER(KC140)),KE140-KC140,"")</f>
        <v>0</v>
      </c>
      <c r="KE140" s="33"/>
      <c r="KF140" s="34">
        <f>IF(AND(ISNUMBER(KG140),ISNUMBER(KE140)),KG140-KE140,"")</f>
        <v>0</v>
      </c>
      <c r="KG140" s="33"/>
      <c r="KH140" s="34">
        <f>IF(AND(ISNUMBER(KI140),ISNUMBER(KG140)),KI140-KG140,"")</f>
        <v>0</v>
      </c>
      <c r="KI140" s="33"/>
      <c r="KJ140" s="34">
        <f>IF(AND(ISNUMBER(KK140),ISNUMBER(KI140)),KK140-KI140,"")</f>
        <v>0</v>
      </c>
      <c r="KK140" s="33"/>
      <c r="KL140" s="34">
        <f>IF(AND(ISNUMBER(KM140),ISNUMBER(KK140)),KM140-KK140,"")</f>
        <v>0</v>
      </c>
      <c r="KM140" s="33"/>
      <c r="KN140" s="34">
        <f>IF(AND(ISNUMBER(KO140),ISNUMBER(KM140)),KO140-KM140,"")</f>
        <v>0</v>
      </c>
      <c r="KO140" s="33"/>
      <c r="KP140" s="34">
        <f>IF(AND(ISNUMBER(KQ140),ISNUMBER(KO140)),KQ140-KO140,"")</f>
        <v>0</v>
      </c>
      <c r="KQ140" s="33"/>
      <c r="KR140" s="34">
        <f>IF(AND(ISNUMBER(KS140),ISNUMBER(KQ140)),KS140-KQ140,"")</f>
        <v>0</v>
      </c>
      <c r="KS140" s="33"/>
      <c r="KT140" s="34">
        <f>IF(AND(ISNUMBER(KU140),ISNUMBER(KS140)),KU140-KS140,"")</f>
        <v>0</v>
      </c>
      <c r="KU140" s="33"/>
      <c r="KV140" s="34">
        <f>IF(AND(ISNUMBER(KW140),ISNUMBER(KU140)),KW140-KU140,"")</f>
        <v>0</v>
      </c>
      <c r="KW140" s="33"/>
      <c r="KX140" s="34">
        <f>IF(AND(ISNUMBER(KY140),ISNUMBER(KW140)),KY140-KW140,"")</f>
        <v>0</v>
      </c>
      <c r="KY140" s="33"/>
      <c r="KZ140" s="34">
        <f>IF(AND(ISNUMBER(LA140),ISNUMBER(KY140)),LA140-KY140,"")</f>
        <v>0</v>
      </c>
      <c r="LA140" s="33"/>
      <c r="LB140" s="34">
        <f>IF(AND(ISNUMBER(LC140),ISNUMBER(LA140)),LC140-LA140,"")</f>
        <v>0</v>
      </c>
      <c r="LC140" s="33"/>
      <c r="LD140" s="34">
        <f>IF(AND(ISNUMBER(LE140),ISNUMBER(LC140)),LE140-LC140,"")</f>
        <v>0</v>
      </c>
      <c r="LE140" s="33"/>
      <c r="LF140" s="34">
        <f>IF(AND(ISNUMBER(LG140),ISNUMBER(LE140)),LG140-LE140,"")</f>
        <v>0</v>
      </c>
      <c r="LG140" s="33"/>
    </row>
    <row r="141" spans="1:322">
      <c r="A141" s="22">
        <v>12</v>
      </c>
      <c r="B141" s="23" t="s">
        <v>1141</v>
      </c>
      <c r="C141" s="43" t="s">
        <v>930</v>
      </c>
      <c r="D141" s="43"/>
      <c r="E141" s="25" t="s">
        <v>1139</v>
      </c>
      <c r="F141" s="26"/>
      <c r="G141" s="26"/>
      <c r="H141" s="26" t="s">
        <v>1134</v>
      </c>
      <c r="I141" s="27"/>
      <c r="J141" s="28">
        <f>IF(AND(ISNUMBER(K141),ISNUMBER(I141)),K141-I141,"")</f>
        <v>0</v>
      </c>
      <c r="K141" s="27"/>
      <c r="L141" s="28">
        <f>IF(AND(ISNUMBER(M141),ISNUMBER(K141)),M141-K141,"")</f>
        <v>0</v>
      </c>
      <c r="M141" s="27"/>
      <c r="N141" s="28">
        <f>IF(AND(ISNUMBER(O141),ISNUMBER(M141)),O141-M141,"")</f>
        <v>0</v>
      </c>
      <c r="O141" s="27"/>
      <c r="P141" s="28">
        <f>IF(AND(ISNUMBER(Q141),ISNUMBER(O141)),Q141-O141,"")</f>
        <v>0</v>
      </c>
      <c r="Q141" s="27"/>
      <c r="R141" s="28">
        <f>IF(AND(ISNUMBER(S141),ISNUMBER(Q141)),S141-Q141,"")</f>
        <v>0</v>
      </c>
      <c r="S141" s="27"/>
      <c r="T141" s="28">
        <f>IF(AND(ISNUMBER(U141),ISNUMBER(S141)),U141-S141,"")</f>
        <v>0</v>
      </c>
      <c r="U141" s="27"/>
      <c r="V141" s="28">
        <f>IF(AND(ISNUMBER(W141),ISNUMBER(U141)),W141-U141,"")</f>
        <v>0</v>
      </c>
      <c r="W141" s="27"/>
      <c r="X141" s="28">
        <f>IF(AND(ISNUMBER(Y141),ISNUMBER(W141)),Y141-W141,"")</f>
        <v>0</v>
      </c>
      <c r="Y141" s="27"/>
      <c r="Z141" s="28">
        <f>IF(AND(ISNUMBER(AA141),ISNUMBER(Y141)),AA141-Y141,"")</f>
        <v>0</v>
      </c>
      <c r="AA141" s="27"/>
      <c r="AB141" s="28">
        <f>IF(AND(ISNUMBER(AC141),ISNUMBER(AA141)),AC141-AA141,"")</f>
        <v>0</v>
      </c>
      <c r="AC141" s="27"/>
      <c r="AD141" s="28">
        <f>IF(AND(ISNUMBER(AE141),ISNUMBER(AC141)),AE141-AC141,"")</f>
        <v>0</v>
      </c>
      <c r="AE141" s="27"/>
      <c r="AF141" s="28">
        <f>IF(AND(ISNUMBER(AG141),ISNUMBER(AE141)),AG141-AE141,"")</f>
        <v>0</v>
      </c>
      <c r="AG141" s="27"/>
      <c r="AH141" s="28">
        <f>IF(AND(ISNUMBER(AI141),ISNUMBER(AG141)),AI141-AG141,"")</f>
        <v>0</v>
      </c>
      <c r="AI141" s="27"/>
      <c r="AJ141" s="28">
        <f>IF(AND(ISNUMBER(AK141),ISNUMBER(AI141)),AK141-AI141,"")</f>
        <v>0</v>
      </c>
      <c r="AK141" s="27"/>
      <c r="AL141" s="28">
        <f>IF(AND(ISNUMBER(AM141),ISNUMBER(AK141)),AM141-AK141,"")</f>
        <v>0</v>
      </c>
      <c r="AM141" s="27"/>
      <c r="AN141" s="28">
        <f>IF(AND(ISNUMBER(AO141),ISNUMBER(AM141)),AO141-AM141,"")</f>
        <v>0</v>
      </c>
      <c r="AO141" s="27"/>
      <c r="AP141" s="28">
        <f>IF(AND(ISNUMBER(AQ141),ISNUMBER(AO141)),AQ141-AO141,"")</f>
        <v>0</v>
      </c>
      <c r="AQ141" s="27"/>
      <c r="AR141" s="28">
        <f>IF(AND(ISNUMBER(AS141),ISNUMBER(AQ141)),AS141-AQ141,"")</f>
        <v>0</v>
      </c>
      <c r="AS141" s="27"/>
      <c r="AT141" s="28">
        <f>IF(AND(ISNUMBER(AU141),ISNUMBER(AS141)),AU141-AS141,"")</f>
        <v>0</v>
      </c>
      <c r="AU141" s="27"/>
      <c r="AV141" s="28">
        <f>IF(AND(ISNUMBER(AW141),ISNUMBER(AU141)),AW141-AU141,"")</f>
        <v>0</v>
      </c>
      <c r="AW141" s="27"/>
      <c r="AX141" s="28">
        <f>IF(AND(ISNUMBER(AY141),ISNUMBER(AW141)),AY141-AW141,"")</f>
        <v>0</v>
      </c>
      <c r="AY141" s="27"/>
      <c r="AZ141" s="28">
        <f>IF(AND(ISNUMBER(BA141),ISNUMBER(AY141)),BA141-AY141,"")</f>
        <v>0</v>
      </c>
      <c r="BA141" s="27"/>
      <c r="BB141" s="28">
        <f>IF(AND(ISNUMBER(BC141),ISNUMBER(BA141)),BC141-BA141,"")</f>
        <v>0</v>
      </c>
      <c r="BC141" s="27"/>
      <c r="BD141" s="28">
        <f>IF(AND(ISNUMBER(BE141),ISNUMBER(BC141)),BE141-BC141,"")</f>
        <v>0</v>
      </c>
      <c r="BE141" s="27"/>
      <c r="BF141" s="28">
        <f>IF(AND(ISNUMBER(BG141),ISNUMBER(BE141)),BG141-BE141,"")</f>
        <v>0</v>
      </c>
      <c r="BG141" s="27"/>
      <c r="BH141" s="28">
        <f>IF(AND(ISNUMBER(BI141),ISNUMBER(BG141)),BI141-BG141,"")</f>
        <v>0</v>
      </c>
      <c r="BI141" s="27"/>
      <c r="BJ141" s="28">
        <f>IF(AND(ISNUMBER(BK141),ISNUMBER(BI141)),BK141-BI141,"")</f>
        <v>0</v>
      </c>
      <c r="BK141" s="27"/>
      <c r="BL141" s="28">
        <f>IF(AND(ISNUMBER(BM141),ISNUMBER(BK141)),BM141-BK141,"")</f>
        <v>0</v>
      </c>
      <c r="BM141" s="27"/>
      <c r="BN141" s="28">
        <f>IF(AND(ISNUMBER(BO141),ISNUMBER(BM141)),BO141-BM141,"")</f>
        <v>0</v>
      </c>
      <c r="BO141" s="27"/>
      <c r="BP141" s="28">
        <f>IF(AND(ISNUMBER(BQ141),ISNUMBER(BO141)),BQ141-BO141,"")</f>
        <v>0</v>
      </c>
      <c r="BQ141" s="42" t="s">
        <v>1142</v>
      </c>
      <c r="BR141" s="28">
        <f>IF(AND(ISNUMBER(BS141),ISNUMBER(BQ141)),BS141-BQ141,"")</f>
        <v>0</v>
      </c>
      <c r="BS141" s="42" t="s">
        <v>1142</v>
      </c>
      <c r="BT141" s="28">
        <f>IF(AND(ISNUMBER(BU141),ISNUMBER(BS141)),BU141-BS141,"")</f>
        <v>0</v>
      </c>
      <c r="BU141" s="42" t="s">
        <v>1142</v>
      </c>
      <c r="BV141" s="28">
        <f>IF(AND(ISNUMBER(BW141),ISNUMBER(BU141)),BW141-BU141,"")</f>
        <v>0</v>
      </c>
      <c r="BW141" s="42" t="s">
        <v>1142</v>
      </c>
      <c r="BX141" s="28">
        <f>IF(AND(ISNUMBER(BY141),ISNUMBER(BW141)),BY141-BW141,"")</f>
        <v>0</v>
      </c>
      <c r="BY141" s="42" t="s">
        <v>1142</v>
      </c>
      <c r="BZ141" s="28">
        <f>IF(AND(ISNUMBER(CA141),ISNUMBER(BY141)),CA141-BY141,"")</f>
        <v>0</v>
      </c>
      <c r="CA141" s="27">
        <v>23</v>
      </c>
      <c r="CB141" s="28">
        <f>IF(AND(ISNUMBER(CC141),ISNUMBER(CA141)),CC141-CA141,"")</f>
        <v>0</v>
      </c>
      <c r="CC141" s="27">
        <v>22</v>
      </c>
      <c r="CD141" s="28">
        <f>IF(AND(ISNUMBER(CE141),ISNUMBER(CC141)),CE141-CC141,"")</f>
        <v>0</v>
      </c>
      <c r="CE141" s="27">
        <v>22</v>
      </c>
      <c r="CF141" s="28">
        <f>IF(AND(ISNUMBER(CG141),ISNUMBER(CE141)),CG141-CE141,"")</f>
        <v>0</v>
      </c>
      <c r="CG141" s="27">
        <v>26</v>
      </c>
      <c r="CH141" s="28">
        <f>IF(AND(ISNUMBER(CI141),ISNUMBER(CG141)),CI141-CG141,"")</f>
        <v>0</v>
      </c>
      <c r="CI141" s="27">
        <v>23</v>
      </c>
      <c r="CJ141" s="28">
        <f>IF(AND(ISNUMBER(CK141),ISNUMBER(CI141)),CK141-CI141,"")</f>
        <v>0</v>
      </c>
      <c r="CK141" s="27">
        <v>24</v>
      </c>
      <c r="CL141" s="28">
        <f>IF(AND(ISNUMBER(CM141),ISNUMBER(CK141)),CM141-CK141,"")</f>
        <v>0</v>
      </c>
      <c r="CM141" s="27">
        <v>22</v>
      </c>
      <c r="CN141" s="28">
        <f>IF(AND(ISNUMBER(CO141),ISNUMBER(CM141)),CO141-CM141,"")</f>
        <v>0</v>
      </c>
      <c r="CO141" s="27">
        <v>24</v>
      </c>
      <c r="CP141" s="28">
        <f>IF(AND(ISNUMBER(CQ141),ISNUMBER(CO141)),CQ141-CO141,"")</f>
        <v>0</v>
      </c>
      <c r="CQ141" s="27">
        <v>25</v>
      </c>
      <c r="CR141" s="28">
        <f>IF(AND(ISNUMBER(CS141),ISNUMBER(CQ141)),CS141-CQ141,"")</f>
        <v>0</v>
      </c>
      <c r="CS141" s="27">
        <v>19</v>
      </c>
      <c r="CT141" s="28">
        <f>IF(AND(ISNUMBER(CU141),ISNUMBER(CS141)),CU141-CS141,"")</f>
        <v>0</v>
      </c>
      <c r="CU141" s="27">
        <v>26</v>
      </c>
      <c r="CV141" s="28">
        <f>IF(AND(ISNUMBER(CW141),ISNUMBER(CU141)),CW141-CU141,"")</f>
        <v>0</v>
      </c>
      <c r="CW141" s="27">
        <v>34</v>
      </c>
      <c r="CX141" s="28">
        <f>IF(AND(ISNUMBER(CY141),ISNUMBER(CW141)),CY141-CW141,"")</f>
        <v>0</v>
      </c>
      <c r="CY141" s="27">
        <v>32</v>
      </c>
      <c r="CZ141" s="28">
        <f>IF(AND(ISNUMBER(DA141),ISNUMBER(CY141)),DA141-CY141,"")</f>
        <v>0</v>
      </c>
      <c r="DA141" s="27">
        <v>34</v>
      </c>
      <c r="DB141" s="28">
        <f>IF(AND(ISNUMBER(DC141),ISNUMBER(DA141)),DC141-DA141,"")</f>
        <v>0</v>
      </c>
      <c r="DC141" s="27">
        <v>37</v>
      </c>
      <c r="DD141" s="28">
        <f>IF(AND(ISNUMBER(DE141),ISNUMBER(DC141)),DE141-DC141,"")</f>
        <v>0</v>
      </c>
      <c r="DE141" s="27">
        <v>30</v>
      </c>
      <c r="DF141" s="28">
        <f>IF(AND(ISNUMBER(DG141),ISNUMBER(DE141)),DG141-DE141,"")</f>
        <v>0</v>
      </c>
      <c r="DG141" s="27">
        <v>38</v>
      </c>
      <c r="DH141" s="28">
        <f>IF(AND(ISNUMBER(DI141),ISNUMBER(DG141)),DI141-DG141,"")</f>
        <v>0</v>
      </c>
      <c r="DI141" s="27">
        <v>39</v>
      </c>
      <c r="DJ141" s="28">
        <f>IF(AND(ISNUMBER(DK141),ISNUMBER(DI141)),DK141-DI141,"")</f>
        <v>0</v>
      </c>
      <c r="DK141" s="27">
        <v>44</v>
      </c>
      <c r="DL141" s="28">
        <f>IF(AND(ISNUMBER(DM141),ISNUMBER(DK141)),DM141-DK141,"")</f>
        <v>0</v>
      </c>
      <c r="DM141" s="27">
        <v>35</v>
      </c>
      <c r="DN141" s="28">
        <f>IF(AND(ISNUMBER(DO141),ISNUMBER(DM141)),DO141-DM141,"")</f>
        <v>0</v>
      </c>
      <c r="DO141" s="27">
        <v>25</v>
      </c>
      <c r="DP141" s="28">
        <f>IF(AND(ISNUMBER(DQ141),ISNUMBER(DO141)),DQ141-DO141,"")</f>
        <v>0</v>
      </c>
      <c r="DQ141" s="27">
        <v>24</v>
      </c>
      <c r="DR141" s="28">
        <f>IF(AND(ISNUMBER(DS141),ISNUMBER(DQ141)),DS141-DQ141,"")</f>
        <v>0</v>
      </c>
      <c r="DS141" s="27">
        <v>39</v>
      </c>
      <c r="DT141" s="28">
        <f>IF(AND(ISNUMBER(DU141),ISNUMBER(DS141)),DU141-DS141,"")</f>
        <v>0</v>
      </c>
      <c r="DU141" s="27">
        <v>26</v>
      </c>
      <c r="DV141" s="28">
        <f>IF(AND(ISNUMBER(DW141),ISNUMBER(DU141)),DW141-DU141,"")</f>
        <v>0</v>
      </c>
      <c r="DW141" s="27">
        <v>26</v>
      </c>
      <c r="DX141" s="28">
        <f>IF(AND(ISNUMBER(DY141),ISNUMBER(DW141)),DY141-DW141,"")</f>
        <v>0</v>
      </c>
      <c r="DY141" s="27">
        <v>30</v>
      </c>
      <c r="DZ141" s="28">
        <f>IF(AND(ISNUMBER(EA141),ISNUMBER(DY141)),EA141-DY141,"")</f>
        <v>0</v>
      </c>
      <c r="EA141" s="27">
        <v>34</v>
      </c>
      <c r="EB141" s="28">
        <f>IF(AND(ISNUMBER(EC141),ISNUMBER(EA141)),EC141-EA141,"")</f>
        <v>0</v>
      </c>
      <c r="EC141" s="27">
        <v>35</v>
      </c>
      <c r="ED141" s="28">
        <f>IF(AND(ISNUMBER(EE141),ISNUMBER(EC141)),EE141-EC141,"")</f>
        <v>0</v>
      </c>
      <c r="EE141" s="27">
        <v>37</v>
      </c>
      <c r="EF141" s="28">
        <f>IF(AND(ISNUMBER(EG141),ISNUMBER(EE141)),EG141-EE141,"")</f>
        <v>0</v>
      </c>
      <c r="EG141" s="27">
        <v>42</v>
      </c>
      <c r="EH141" s="28">
        <f>IF(AND(ISNUMBER(EI141),ISNUMBER(EG141)),EI141-EG141,"")</f>
        <v>0</v>
      </c>
      <c r="EI141" s="27">
        <v>39</v>
      </c>
      <c r="EJ141" s="28">
        <f>IF(AND(ISNUMBER(EK141),ISNUMBER(EI141)),EK141-EI141,"")</f>
        <v>0</v>
      </c>
      <c r="EK141" s="27">
        <v>32</v>
      </c>
      <c r="EL141" s="28">
        <f>IF(AND(ISNUMBER(EM141),ISNUMBER(EK141)),EM141-EK141,"")</f>
        <v>0</v>
      </c>
      <c r="EM141" s="27">
        <v>27</v>
      </c>
      <c r="EN141" s="28">
        <f>IF(AND(ISNUMBER(EO141),ISNUMBER(EM141)),EO141-EM141,"")</f>
        <v>0</v>
      </c>
      <c r="EO141" s="27">
        <v>29</v>
      </c>
      <c r="EP141" s="28">
        <f>IF(AND(ISNUMBER(EQ141),ISNUMBER(EO141)),EQ141-EO141,"")</f>
        <v>0</v>
      </c>
      <c r="EQ141" s="27">
        <v>22</v>
      </c>
      <c r="ER141" s="28">
        <f>IF(AND(ISNUMBER(ES141),ISNUMBER(EQ141)),ES141-EQ141,"")</f>
        <v>0</v>
      </c>
      <c r="ES141" s="27">
        <v>22</v>
      </c>
      <c r="ET141" s="28">
        <f>IF(AND(ISNUMBER(EU141),ISNUMBER(ES141)),EU141-ES141,"")</f>
        <v>0</v>
      </c>
      <c r="EU141" s="27">
        <v>56</v>
      </c>
      <c r="EV141" s="28">
        <f>IF(AND(ISNUMBER(EW141),ISNUMBER(EU141)),EW141-EU141,"")</f>
        <v>0</v>
      </c>
      <c r="EW141" s="27">
        <v>55</v>
      </c>
      <c r="EX141" s="28">
        <f>IF(AND(ISNUMBER(EY141),ISNUMBER(EW141)),EY141-EW141,"")</f>
        <v>0</v>
      </c>
      <c r="EY141" s="27">
        <v>57</v>
      </c>
      <c r="EZ141" s="28">
        <f>IF(AND(ISNUMBER(FA141),ISNUMBER(EY141)),FA141-EY141,"")</f>
        <v>0</v>
      </c>
      <c r="FA141" s="27">
        <v>61</v>
      </c>
      <c r="FB141" s="28">
        <f>IF(AND(ISNUMBER(FC141),ISNUMBER(FA141)),FC141-FA141,"")</f>
        <v>0</v>
      </c>
      <c r="FC141" s="27">
        <v>55</v>
      </c>
      <c r="FD141" s="28">
        <f>IF(AND(ISNUMBER(FE141),ISNUMBER(FC141)),FE141-FC141,"")</f>
        <v>0</v>
      </c>
      <c r="FE141" s="27">
        <v>51</v>
      </c>
      <c r="FF141" s="28">
        <f>IF(AND(ISNUMBER(FG141),ISNUMBER(FE141)),FG141-FE141,"")</f>
        <v>0</v>
      </c>
      <c r="FG141" s="27">
        <v>55</v>
      </c>
      <c r="FH141" s="28">
        <f>IF(AND(ISNUMBER(FI141),ISNUMBER(FG141)),FI141-FG141,"")</f>
        <v>0</v>
      </c>
      <c r="FI141" s="27">
        <v>41</v>
      </c>
      <c r="FJ141" s="28">
        <f>IF(AND(ISNUMBER(FK141),ISNUMBER(FI141)),FK141-FI141,"")</f>
        <v>0</v>
      </c>
      <c r="FK141" s="27">
        <v>36</v>
      </c>
      <c r="FL141" s="28">
        <f>IF(AND(ISNUMBER(FM141),ISNUMBER(FK141)),FM141-FK141,"")</f>
        <v>0</v>
      </c>
      <c r="FM141" s="27">
        <v>45</v>
      </c>
      <c r="FN141" s="28">
        <f>IF(AND(ISNUMBER(FO141),ISNUMBER(FM141)),FO141-FM141,"")</f>
        <v>0</v>
      </c>
      <c r="FO141" s="27">
        <v>42</v>
      </c>
      <c r="FP141" s="28">
        <f>IF(AND(ISNUMBER(FQ141),ISNUMBER(FO141)),FQ141-FO141,"")</f>
        <v>0</v>
      </c>
      <c r="FQ141" s="27">
        <v>42</v>
      </c>
      <c r="FR141" s="28">
        <f>IF(AND(ISNUMBER(FS141),ISNUMBER(FQ141)),FS141-FQ141,"")</f>
        <v>0</v>
      </c>
      <c r="FS141" s="27">
        <v>40</v>
      </c>
      <c r="FT141" s="28">
        <f>IF(AND(ISNUMBER(FU141),ISNUMBER(FS141)),FU141-FS141,"")</f>
        <v>0</v>
      </c>
      <c r="FU141" s="27">
        <v>37</v>
      </c>
      <c r="FV141" s="28">
        <f>IF(AND(ISNUMBER(FW141),ISNUMBER(FU141)),FW141-FU141,"")</f>
        <v>0</v>
      </c>
      <c r="FW141" s="27">
        <v>29</v>
      </c>
      <c r="FX141" s="28">
        <f>IF(AND(ISNUMBER(FY141),ISNUMBER(FW141)),FY141-FW141,"")</f>
        <v>0</v>
      </c>
      <c r="FY141" s="27">
        <v>33</v>
      </c>
      <c r="FZ141" s="28">
        <f>IF(AND(ISNUMBER(GA141),ISNUMBER(FY141)),GA141-FY141,"")</f>
        <v>0</v>
      </c>
      <c r="GA141" s="27">
        <v>31</v>
      </c>
      <c r="GB141" s="28">
        <f>IF(AND(ISNUMBER(GC141),ISNUMBER(GA141)),GC141-GA141,"")</f>
        <v>0</v>
      </c>
      <c r="GC141" s="27">
        <v>13</v>
      </c>
      <c r="GD141" s="28">
        <f>IF(AND(ISNUMBER(GE141),ISNUMBER(GC141)),GE141-GC141,"")</f>
        <v>0</v>
      </c>
      <c r="GE141" s="27">
        <v>16</v>
      </c>
      <c r="GF141" s="28">
        <f>IF(AND(ISNUMBER(GG141),ISNUMBER(GE141)),GG141-GE141,"")</f>
        <v>0</v>
      </c>
      <c r="GG141" s="27">
        <v>16</v>
      </c>
      <c r="GH141" s="28">
        <f>IF(AND(ISNUMBER(GI141),ISNUMBER(GG141)),GI141-GG141,"")</f>
        <v>0</v>
      </c>
      <c r="GI141" s="27">
        <v>20</v>
      </c>
      <c r="GJ141" s="28">
        <f>IF(AND(ISNUMBER(GK141),ISNUMBER(GI141)),GK141-GI141,"")</f>
        <v>0</v>
      </c>
      <c r="GK141" s="27">
        <v>26</v>
      </c>
      <c r="GL141" s="28">
        <f>IF(AND(ISNUMBER(GM141),ISNUMBER(GK141)),GM141-GK141,"")</f>
        <v>0</v>
      </c>
      <c r="GM141" s="27">
        <v>22</v>
      </c>
      <c r="GN141" s="28">
        <f>IF(AND(ISNUMBER(GO141),ISNUMBER(GM141)),GO141-GM141,"")</f>
        <v>0</v>
      </c>
      <c r="GO141" s="27">
        <v>20</v>
      </c>
      <c r="GP141" s="28">
        <f>IF(AND(ISNUMBER(GQ141),ISNUMBER(GO141)),GQ141-GO141,"")</f>
        <v>0</v>
      </c>
      <c r="GQ141" s="27">
        <v>26</v>
      </c>
      <c r="GR141" s="28">
        <f>IF(AND(ISNUMBER(GS141),ISNUMBER(GQ141)),GS141-GQ141,"")</f>
        <v>0</v>
      </c>
      <c r="GS141" s="27">
        <v>25</v>
      </c>
      <c r="GT141" s="28">
        <f>IF(AND(ISNUMBER(GU141),ISNUMBER(GS141)),GU141-GS141,"")</f>
        <v>0</v>
      </c>
      <c r="GU141" s="27">
        <v>30</v>
      </c>
      <c r="GV141" s="28">
        <f>IF(AND(ISNUMBER(GW141),ISNUMBER(GU141)),GW141-GU141,"")</f>
        <v>0</v>
      </c>
      <c r="GW141" s="27">
        <v>34</v>
      </c>
      <c r="GX141" s="28">
        <f>IF(AND(ISNUMBER(GY141),ISNUMBER(GW141)),GY141-GW141,"")</f>
        <v>0</v>
      </c>
      <c r="GY141" s="27">
        <v>35</v>
      </c>
      <c r="GZ141" s="28">
        <f>IF(AND(ISNUMBER(HA141),ISNUMBER(GY141)),HA141-GY141,"")</f>
        <v>0</v>
      </c>
      <c r="HA141" s="27"/>
      <c r="HB141" s="28">
        <f>IF(AND(ISNUMBER(HC141),ISNUMBER(HA141)),HC141-HA141,"")</f>
        <v>0</v>
      </c>
      <c r="HC141" s="27"/>
      <c r="HD141" s="28">
        <f>IF(AND(ISNUMBER(HE141),ISNUMBER(HC141)),HE141-HC141,"")</f>
        <v>0</v>
      </c>
      <c r="HE141" s="27"/>
      <c r="HF141" s="28">
        <f>IF(AND(ISNUMBER(HG141),ISNUMBER(HE141)),HG141-HE141,"")</f>
        <v>0</v>
      </c>
      <c r="HG141" s="27"/>
      <c r="HH141" s="28">
        <f>IF(AND(ISNUMBER(HI141),ISNUMBER(HG141)),HI141-HG141,"")</f>
        <v>0</v>
      </c>
      <c r="HI141" s="27"/>
      <c r="HJ141" s="28">
        <f>IF(AND(ISNUMBER(HK141),ISNUMBER(HI141)),HK141-HI141,"")</f>
        <v>0</v>
      </c>
      <c r="HK141" s="27"/>
      <c r="HL141" s="28">
        <f>IF(AND(ISNUMBER(HM141),ISNUMBER(HK141)),HM141-HK141,"")</f>
        <v>0</v>
      </c>
      <c r="HM141" s="27"/>
      <c r="HN141" s="28">
        <f>IF(AND(ISNUMBER(HO141),ISNUMBER(HM141)),HO141-HM141,"")</f>
        <v>0</v>
      </c>
      <c r="HO141" s="27"/>
      <c r="HP141" s="28">
        <f>IF(AND(ISNUMBER(HQ141),ISNUMBER(HO141)),HQ141-HO141,"")</f>
        <v>0</v>
      </c>
      <c r="HQ141" s="27"/>
      <c r="HR141" s="28">
        <f>IF(AND(ISNUMBER(HS141),ISNUMBER(HQ141)),HS141-HQ141,"")</f>
        <v>0</v>
      </c>
      <c r="HS141" s="27"/>
      <c r="HT141" s="28">
        <f>IF(AND(ISNUMBER(HU141),ISNUMBER(HS141)),HU141-HS141,"")</f>
        <v>0</v>
      </c>
      <c r="HU141" s="27"/>
      <c r="HV141" s="28">
        <f>IF(AND(ISNUMBER(HW141),ISNUMBER(HU141)),HW141-HU141,"")</f>
        <v>0</v>
      </c>
      <c r="HW141" s="27"/>
      <c r="HX141" s="28">
        <f>IF(AND(ISNUMBER(HY141),ISNUMBER(HW141)),HY141-HW141,"")</f>
        <v>0</v>
      </c>
      <c r="HY141" s="27"/>
      <c r="HZ141" s="28">
        <f>IF(AND(ISNUMBER(IA141),ISNUMBER(HY141)),IA141-HY141,"")</f>
        <v>0</v>
      </c>
      <c r="IA141" s="27"/>
      <c r="IB141" s="28">
        <f>IF(AND(ISNUMBER(IC141),ISNUMBER(IA141)),IC141-IA141,"")</f>
        <v>0</v>
      </c>
      <c r="IC141" s="27"/>
      <c r="ID141" s="28">
        <f>IF(AND(ISNUMBER(IE141),ISNUMBER(IC141)),IE141-IC141,"")</f>
        <v>0</v>
      </c>
      <c r="IE141" s="27"/>
      <c r="IF141" s="28">
        <f>IF(AND(ISNUMBER(IG141),ISNUMBER(IE141)),IG141-IE141,"")</f>
        <v>0</v>
      </c>
      <c r="IG141" s="27"/>
      <c r="IH141" s="28">
        <f>IF(AND(ISNUMBER(II141),ISNUMBER(IG141)),II141-IG141,"")</f>
        <v>0</v>
      </c>
      <c r="II141" s="27"/>
      <c r="IJ141" s="28">
        <f>IF(AND(ISNUMBER(IK141),ISNUMBER(II141)),IK141-II141,"")</f>
        <v>0</v>
      </c>
      <c r="IK141" s="27"/>
      <c r="IL141" s="28">
        <f>IF(AND(ISNUMBER(IM141),ISNUMBER(IK141)),IM141-IK141,"")</f>
        <v>0</v>
      </c>
      <c r="IM141" s="27"/>
      <c r="IN141" s="28">
        <f>IF(AND(ISNUMBER(IO141),ISNUMBER(IM141)),IO141-IM141,"")</f>
        <v>0</v>
      </c>
      <c r="IO141" s="27"/>
      <c r="IP141" s="28">
        <f>IF(AND(ISNUMBER(IQ141),ISNUMBER(IO141)),IQ141-IO141,"")</f>
        <v>0</v>
      </c>
      <c r="IQ141" s="27"/>
      <c r="IR141" s="28">
        <f>IF(AND(ISNUMBER(IS141),ISNUMBER(IQ141)),IS141-IQ141,"")</f>
        <v>0</v>
      </c>
      <c r="IS141" s="27"/>
      <c r="IT141" s="28">
        <f>IF(AND(ISNUMBER(IU141),ISNUMBER(IS141)),IU141-IS141,"")</f>
        <v>0</v>
      </c>
      <c r="IU141" s="27"/>
      <c r="IV141" s="28">
        <f>IF(AND(ISNUMBER(IW141),ISNUMBER(IU141)),IW141-IU141,"")</f>
        <v>0</v>
      </c>
      <c r="IW141" s="27"/>
      <c r="IX141" s="28">
        <f>IF(AND(ISNUMBER(IY141),ISNUMBER(IW141)),IY141-IW141,"")</f>
        <v>0</v>
      </c>
      <c r="IY141" s="27"/>
      <c r="IZ141" s="28">
        <f>IF(AND(ISNUMBER(JA141),ISNUMBER(IY141)),JA141-IY141,"")</f>
        <v>0</v>
      </c>
      <c r="JA141" s="27"/>
      <c r="JB141" s="28">
        <f>IF(AND(ISNUMBER(JC141),ISNUMBER(JA141)),JC141-JA141,"")</f>
        <v>0</v>
      </c>
      <c r="JC141" s="27"/>
      <c r="JD141" s="28">
        <f>IF(AND(ISNUMBER(JE141),ISNUMBER(JC141)),JE141-JC141,"")</f>
        <v>0</v>
      </c>
      <c r="JE141" s="27"/>
      <c r="JF141" s="28">
        <f>IF(AND(ISNUMBER(JG141),ISNUMBER(JE141)),JG141-JE141,"")</f>
        <v>0</v>
      </c>
      <c r="JG141" s="27"/>
      <c r="JH141" s="28">
        <f>IF(AND(ISNUMBER(JI141),ISNUMBER(JG141)),JI141-JG141,"")</f>
        <v>0</v>
      </c>
      <c r="JI141" s="27"/>
      <c r="JJ141" s="28">
        <f>IF(AND(ISNUMBER(JK141),ISNUMBER(JI141)),JK141-JI141,"")</f>
        <v>0</v>
      </c>
      <c r="JK141" s="27"/>
      <c r="JL141" s="28">
        <f>IF(AND(ISNUMBER(JM141),ISNUMBER(JK141)),JM141-JK141,"")</f>
        <v>0</v>
      </c>
      <c r="JM141" s="27"/>
      <c r="JN141" s="28">
        <f>IF(AND(ISNUMBER(JO141),ISNUMBER(JM141)),JO141-JM141,"")</f>
        <v>0</v>
      </c>
      <c r="JO141" s="27"/>
      <c r="JP141" s="28">
        <f>IF(AND(ISNUMBER(JQ141),ISNUMBER(JO141)),JQ141-JO141,"")</f>
        <v>0</v>
      </c>
      <c r="JQ141" s="27"/>
      <c r="JR141" s="28">
        <f>IF(AND(ISNUMBER(JS141),ISNUMBER(JQ141)),JS141-JQ141,"")</f>
        <v>0</v>
      </c>
      <c r="JS141" s="27"/>
      <c r="JT141" s="28">
        <f>IF(AND(ISNUMBER(JU141),ISNUMBER(JS141)),JU141-JS141,"")</f>
        <v>0</v>
      </c>
      <c r="JU141" s="27"/>
      <c r="JV141" s="28">
        <f>IF(AND(ISNUMBER(JW141),ISNUMBER(JU141)),JW141-JU141,"")</f>
        <v>0</v>
      </c>
      <c r="JW141" s="27"/>
      <c r="JX141" s="28">
        <f>IF(AND(ISNUMBER(JY141),ISNUMBER(JW141)),JY141-JW141,"")</f>
        <v>0</v>
      </c>
      <c r="JY141" s="27"/>
      <c r="JZ141" s="28">
        <f>IF(AND(ISNUMBER(KA141),ISNUMBER(JY141)),KA141-JY141,"")</f>
        <v>0</v>
      </c>
      <c r="KA141" s="27"/>
      <c r="KB141" s="28">
        <f>IF(AND(ISNUMBER(KC141),ISNUMBER(KA141)),KC141-KA141,"")</f>
        <v>0</v>
      </c>
      <c r="KC141" s="27"/>
      <c r="KD141" s="28">
        <f>IF(AND(ISNUMBER(KE141),ISNUMBER(KC141)),KE141-KC141,"")</f>
        <v>0</v>
      </c>
      <c r="KE141" s="27"/>
      <c r="KF141" s="28">
        <f>IF(AND(ISNUMBER(KG141),ISNUMBER(KE141)),KG141-KE141,"")</f>
        <v>0</v>
      </c>
      <c r="KG141" s="27"/>
      <c r="KH141" s="28">
        <f>IF(AND(ISNUMBER(KI141),ISNUMBER(KG141)),KI141-KG141,"")</f>
        <v>0</v>
      </c>
      <c r="KI141" s="27"/>
      <c r="KJ141" s="28">
        <f>IF(AND(ISNUMBER(KK141),ISNUMBER(KI141)),KK141-KI141,"")</f>
        <v>0</v>
      </c>
      <c r="KK141" s="27"/>
      <c r="KL141" s="28">
        <f>IF(AND(ISNUMBER(KM141),ISNUMBER(KK141)),KM141-KK141,"")</f>
        <v>0</v>
      </c>
      <c r="KM141" s="27"/>
      <c r="KN141" s="28">
        <f>IF(AND(ISNUMBER(KO141),ISNUMBER(KM141)),KO141-KM141,"")</f>
        <v>0</v>
      </c>
      <c r="KO141" s="27"/>
      <c r="KP141" s="28">
        <f>IF(AND(ISNUMBER(KQ141),ISNUMBER(KO141)),KQ141-KO141,"")</f>
        <v>0</v>
      </c>
      <c r="KQ141" s="27"/>
      <c r="KR141" s="28">
        <f>IF(AND(ISNUMBER(KS141),ISNUMBER(KQ141)),KS141-KQ141,"")</f>
        <v>0</v>
      </c>
      <c r="KS141" s="27"/>
      <c r="KT141" s="28">
        <f>IF(AND(ISNUMBER(KU141),ISNUMBER(KS141)),KU141-KS141,"")</f>
        <v>0</v>
      </c>
      <c r="KU141" s="27"/>
      <c r="KV141" s="28">
        <f>IF(AND(ISNUMBER(KW141),ISNUMBER(KU141)),KW141-KU141,"")</f>
        <v>0</v>
      </c>
      <c r="KW141" s="27"/>
      <c r="KX141" s="28">
        <f>IF(AND(ISNUMBER(KY141),ISNUMBER(KW141)),KY141-KW141,"")</f>
        <v>0</v>
      </c>
      <c r="KY141" s="27"/>
      <c r="KZ141" s="28">
        <f>IF(AND(ISNUMBER(LA141),ISNUMBER(KY141)),LA141-KY141,"")</f>
        <v>0</v>
      </c>
      <c r="LA141" s="27"/>
      <c r="LB141" s="28">
        <f>IF(AND(ISNUMBER(LC141),ISNUMBER(LA141)),LC141-LA141,"")</f>
        <v>0</v>
      </c>
      <c r="LC141" s="27"/>
      <c r="LD141" s="28">
        <f>IF(AND(ISNUMBER(LE141),ISNUMBER(LC141)),LE141-LC141,"")</f>
        <v>0</v>
      </c>
      <c r="LE141" s="27"/>
      <c r="LF141" s="28">
        <f>IF(AND(ISNUMBER(LG141),ISNUMBER(LE141)),LG141-LE141,"")</f>
        <v>0</v>
      </c>
      <c r="LG141" s="27"/>
      <c r="LH141" s="30"/>
      <c r="LI141" s="30"/>
      <c r="LJ141" s="41" t="s">
        <v>1143</v>
      </c>
    </row>
    <row r="142" spans="1:322">
      <c r="A142" s="22" t="s">
        <v>112</v>
      </c>
      <c r="B142" s="23" t="s">
        <v>1144</v>
      </c>
      <c r="C142" s="43" t="s">
        <v>934</v>
      </c>
      <c r="D142" s="43"/>
      <c r="E142" s="25" t="s">
        <v>1139</v>
      </c>
      <c r="F142" s="26"/>
      <c r="G142" s="26"/>
      <c r="H142" s="26" t="s">
        <v>1105</v>
      </c>
      <c r="I142" s="27"/>
      <c r="J142" s="28">
        <f>IF(AND(ISNUMBER(K142),ISNUMBER(I142)),K142-I142,"")</f>
        <v>0</v>
      </c>
      <c r="K142" s="27"/>
      <c r="L142" s="28">
        <f>IF(AND(ISNUMBER(M142),ISNUMBER(K142)),M142-K142,"")</f>
        <v>0</v>
      </c>
      <c r="M142" s="27"/>
      <c r="N142" s="28">
        <f>IF(AND(ISNUMBER(O142),ISNUMBER(M142)),O142-M142,"")</f>
        <v>0</v>
      </c>
      <c r="O142" s="27"/>
      <c r="P142" s="28">
        <f>IF(AND(ISNUMBER(Q142),ISNUMBER(O142)),Q142-O142,"")</f>
        <v>0</v>
      </c>
      <c r="Q142" s="27"/>
      <c r="R142" s="28">
        <f>IF(AND(ISNUMBER(S142),ISNUMBER(Q142)),S142-Q142,"")</f>
        <v>0</v>
      </c>
      <c r="S142" s="27"/>
      <c r="T142" s="28">
        <f>IF(AND(ISNUMBER(U142),ISNUMBER(S142)),U142-S142,"")</f>
        <v>0</v>
      </c>
      <c r="U142" s="27"/>
      <c r="V142" s="28">
        <f>IF(AND(ISNUMBER(W142),ISNUMBER(U142)),W142-U142,"")</f>
        <v>0</v>
      </c>
      <c r="W142" s="27"/>
      <c r="X142" s="28">
        <f>IF(AND(ISNUMBER(Y142),ISNUMBER(W142)),Y142-W142,"")</f>
        <v>0</v>
      </c>
      <c r="Y142" s="27"/>
      <c r="Z142" s="28">
        <f>IF(AND(ISNUMBER(AA142),ISNUMBER(Y142)),AA142-Y142,"")</f>
        <v>0</v>
      </c>
      <c r="AA142" s="27"/>
      <c r="AB142" s="28">
        <f>IF(AND(ISNUMBER(AC142),ISNUMBER(AA142)),AC142-AA142,"")</f>
        <v>0</v>
      </c>
      <c r="AC142" s="27"/>
      <c r="AD142" s="28">
        <f>IF(AND(ISNUMBER(AE142),ISNUMBER(AC142)),AE142-AC142,"")</f>
        <v>0</v>
      </c>
      <c r="AE142" s="27"/>
      <c r="AF142" s="28">
        <f>IF(AND(ISNUMBER(AG142),ISNUMBER(AE142)),AG142-AE142,"")</f>
        <v>0</v>
      </c>
      <c r="AG142" s="27"/>
      <c r="AH142" s="28">
        <f>IF(AND(ISNUMBER(AI142),ISNUMBER(AG142)),AI142-AG142,"")</f>
        <v>0</v>
      </c>
      <c r="AI142" s="27"/>
      <c r="AJ142" s="28">
        <f>IF(AND(ISNUMBER(AK142),ISNUMBER(AI142)),AK142-AI142,"")</f>
        <v>0</v>
      </c>
      <c r="AK142" s="27"/>
      <c r="AL142" s="28">
        <f>IF(AND(ISNUMBER(AM142),ISNUMBER(AK142)),AM142-AK142,"")</f>
        <v>0</v>
      </c>
      <c r="AM142" s="27"/>
      <c r="AN142" s="28">
        <f>IF(AND(ISNUMBER(AO142),ISNUMBER(AM142)),AO142-AM142,"")</f>
        <v>0</v>
      </c>
      <c r="AO142" s="27"/>
      <c r="AP142" s="28">
        <f>IF(AND(ISNUMBER(AQ142),ISNUMBER(AO142)),AQ142-AO142,"")</f>
        <v>0</v>
      </c>
      <c r="AQ142" s="27"/>
      <c r="AR142" s="28">
        <f>IF(AND(ISNUMBER(AS142),ISNUMBER(AQ142)),AS142-AQ142,"")</f>
        <v>0</v>
      </c>
      <c r="AS142" s="27"/>
      <c r="AT142" s="28">
        <f>IF(AND(ISNUMBER(AU142),ISNUMBER(AS142)),AU142-AS142,"")</f>
        <v>0</v>
      </c>
      <c r="AU142" s="27"/>
      <c r="AV142" s="28">
        <f>IF(AND(ISNUMBER(AW142),ISNUMBER(AU142)),AW142-AU142,"")</f>
        <v>0</v>
      </c>
      <c r="AW142" s="27"/>
      <c r="AX142" s="28">
        <f>IF(AND(ISNUMBER(AY142),ISNUMBER(AW142)),AY142-AW142,"")</f>
        <v>0</v>
      </c>
      <c r="AY142" s="27"/>
      <c r="AZ142" s="28">
        <f>IF(AND(ISNUMBER(BA142),ISNUMBER(AY142)),BA142-AY142,"")</f>
        <v>0</v>
      </c>
      <c r="BA142" s="27"/>
      <c r="BB142" s="28">
        <f>IF(AND(ISNUMBER(BC142),ISNUMBER(BA142)),BC142-BA142,"")</f>
        <v>0</v>
      </c>
      <c r="BC142" s="27"/>
      <c r="BD142" s="28">
        <f>IF(AND(ISNUMBER(BE142),ISNUMBER(BC142)),BE142-BC142,"")</f>
        <v>0</v>
      </c>
      <c r="BE142" s="27"/>
      <c r="BF142" s="28">
        <f>IF(AND(ISNUMBER(BG142),ISNUMBER(BE142)),BG142-BE142,"")</f>
        <v>0</v>
      </c>
      <c r="BG142" s="27"/>
      <c r="BH142" s="28">
        <f>IF(AND(ISNUMBER(BI142),ISNUMBER(BG142)),BI142-BG142,"")</f>
        <v>0</v>
      </c>
      <c r="BI142" s="27"/>
      <c r="BJ142" s="28">
        <f>IF(AND(ISNUMBER(BK142),ISNUMBER(BI142)),BK142-BI142,"")</f>
        <v>0</v>
      </c>
      <c r="BK142" s="27"/>
      <c r="BL142" s="28">
        <f>IF(AND(ISNUMBER(BM142),ISNUMBER(BK142)),BM142-BK142,"")</f>
        <v>0</v>
      </c>
      <c r="BM142" s="27"/>
      <c r="BN142" s="28">
        <f>IF(AND(ISNUMBER(BO142),ISNUMBER(BM142)),BO142-BM142,"")</f>
        <v>0</v>
      </c>
      <c r="BO142" s="27"/>
      <c r="BP142" s="28">
        <f>IF(AND(ISNUMBER(BQ142),ISNUMBER(BO142)),BQ142-BO142,"")</f>
        <v>0</v>
      </c>
      <c r="BQ142" s="27"/>
      <c r="BR142" s="28">
        <f>IF(AND(ISNUMBER(BS142),ISNUMBER(BQ142)),BS142-BQ142,"")</f>
        <v>0</v>
      </c>
      <c r="BS142" s="27"/>
      <c r="BT142" s="28">
        <f>IF(AND(ISNUMBER(BU142),ISNUMBER(BS142)),BU142-BS142,"")</f>
        <v>0</v>
      </c>
      <c r="BU142" s="27"/>
      <c r="BV142" s="28">
        <f>IF(AND(ISNUMBER(BW142),ISNUMBER(BU142)),BW142-BU142,"")</f>
        <v>0</v>
      </c>
      <c r="BW142" s="27"/>
      <c r="BX142" s="28">
        <f>IF(AND(ISNUMBER(BY142),ISNUMBER(BW142)),BY142-BW142,"")</f>
        <v>0</v>
      </c>
      <c r="BY142" s="27"/>
      <c r="BZ142" s="28">
        <f>IF(AND(ISNUMBER(CA142),ISNUMBER(BY142)),CA142-BY142,"")</f>
        <v>0</v>
      </c>
      <c r="CA142" s="27"/>
      <c r="CB142" s="28">
        <f>IF(AND(ISNUMBER(CC142),ISNUMBER(CA142)),CC142-CA142,"")</f>
        <v>0</v>
      </c>
      <c r="CC142" s="27"/>
      <c r="CD142" s="28">
        <f>IF(AND(ISNUMBER(CE142),ISNUMBER(CC142)),CE142-CC142,"")</f>
        <v>0</v>
      </c>
      <c r="CE142" s="27">
        <v>130000</v>
      </c>
      <c r="CF142" s="28">
        <f>IF(AND(ISNUMBER(CG142),ISNUMBER(CE142)),CG142-CE142,"")</f>
        <v>0</v>
      </c>
      <c r="CG142" s="27">
        <v>130000</v>
      </c>
      <c r="CH142" s="28">
        <f>IF(AND(ISNUMBER(CI142),ISNUMBER(CG142)),CI142-CG142,"")</f>
        <v>0</v>
      </c>
      <c r="CI142" s="27">
        <v>130000</v>
      </c>
      <c r="CJ142" s="28">
        <f>IF(AND(ISNUMBER(CK142),ISNUMBER(CI142)),CK142-CI142,"")</f>
        <v>0</v>
      </c>
      <c r="CK142" s="27">
        <v>160410</v>
      </c>
      <c r="CL142" s="28">
        <f>IF(AND(ISNUMBER(CM142),ISNUMBER(CK142)),CM142-CK142,"")</f>
        <v>0</v>
      </c>
      <c r="CM142" s="27">
        <v>160407</v>
      </c>
      <c r="CN142" s="28">
        <f>IF(AND(ISNUMBER(CO142),ISNUMBER(CM142)),CO142-CM142,"")</f>
        <v>0</v>
      </c>
      <c r="CO142" s="27">
        <v>160407</v>
      </c>
      <c r="CP142" s="28">
        <f>IF(AND(ISNUMBER(CQ142),ISNUMBER(CO142)),CQ142-CO142,"")</f>
        <v>0</v>
      </c>
      <c r="CQ142" s="27">
        <v>159411</v>
      </c>
      <c r="CR142" s="28">
        <f>IF(AND(ISNUMBER(CS142),ISNUMBER(CQ142)),CS142-CQ142,"")</f>
        <v>0</v>
      </c>
      <c r="CS142" s="27">
        <v>159411</v>
      </c>
      <c r="CT142" s="28">
        <f>IF(AND(ISNUMBER(CU142),ISNUMBER(CS142)),CU142-CS142,"")</f>
        <v>0</v>
      </c>
      <c r="CU142" s="27">
        <v>159411</v>
      </c>
      <c r="CV142" s="28">
        <f>IF(AND(ISNUMBER(CW142),ISNUMBER(CU142)),CW142-CU142,"")</f>
        <v>0</v>
      </c>
      <c r="CW142" s="27">
        <v>159411</v>
      </c>
      <c r="CX142" s="28">
        <f>IF(AND(ISNUMBER(CY142),ISNUMBER(CW142)),CY142-CW142,"")</f>
        <v>0</v>
      </c>
      <c r="CY142" s="27">
        <v>159411</v>
      </c>
      <c r="CZ142" s="28">
        <f>IF(AND(ISNUMBER(DA142),ISNUMBER(CY142)),DA142-CY142,"")</f>
        <v>0</v>
      </c>
      <c r="DA142" s="27">
        <v>159411</v>
      </c>
      <c r="DB142" s="28">
        <f>IF(AND(ISNUMBER(DC142),ISNUMBER(DA142)),DC142-DA142,"")</f>
        <v>0</v>
      </c>
      <c r="DC142" s="27">
        <v>159411</v>
      </c>
      <c r="DD142" s="28">
        <f>IF(AND(ISNUMBER(DE142),ISNUMBER(DC142)),DE142-DC142,"")</f>
        <v>0</v>
      </c>
      <c r="DE142" s="27">
        <v>159411</v>
      </c>
      <c r="DF142" s="28">
        <f>IF(AND(ISNUMBER(DG142),ISNUMBER(DE142)),DG142-DE142,"")</f>
        <v>0</v>
      </c>
      <c r="DG142" s="27">
        <v>159411</v>
      </c>
      <c r="DH142" s="28">
        <f>IF(AND(ISNUMBER(DI142),ISNUMBER(DG142)),DI142-DG142,"")</f>
        <v>0</v>
      </c>
      <c r="DI142" s="27">
        <v>159411</v>
      </c>
      <c r="DJ142" s="28">
        <f>IF(AND(ISNUMBER(DK142),ISNUMBER(DI142)),DK142-DI142,"")</f>
        <v>0</v>
      </c>
      <c r="DK142" s="27">
        <v>159411</v>
      </c>
      <c r="DL142" s="28">
        <f>IF(AND(ISNUMBER(DM142),ISNUMBER(DK142)),DM142-DK142,"")</f>
        <v>0</v>
      </c>
      <c r="DM142" s="27">
        <v>159411</v>
      </c>
      <c r="DN142" s="28">
        <f>IF(AND(ISNUMBER(DO142),ISNUMBER(DM142)),DO142-DM142,"")</f>
        <v>0</v>
      </c>
      <c r="DO142" s="27">
        <v>159411</v>
      </c>
      <c r="DP142" s="28">
        <f>IF(AND(ISNUMBER(DQ142),ISNUMBER(DO142)),DQ142-DO142,"")</f>
        <v>0</v>
      </c>
      <c r="DQ142" s="27">
        <v>159411</v>
      </c>
      <c r="DR142" s="28">
        <f>IF(AND(ISNUMBER(DS142),ISNUMBER(DQ142)),DS142-DQ142,"")</f>
        <v>0</v>
      </c>
      <c r="DS142" s="27">
        <v>159411</v>
      </c>
      <c r="DT142" s="28">
        <f>IF(AND(ISNUMBER(DU142),ISNUMBER(DS142)),DU142-DS142,"")</f>
        <v>0</v>
      </c>
      <c r="DU142" s="27">
        <v>159411</v>
      </c>
      <c r="DV142" s="28">
        <f>IF(AND(ISNUMBER(DW142),ISNUMBER(DU142)),DW142-DU142,"")</f>
        <v>0</v>
      </c>
      <c r="DW142" s="27">
        <v>159411</v>
      </c>
      <c r="DX142" s="28">
        <f>IF(AND(ISNUMBER(DY142),ISNUMBER(DW142)),DY142-DW142,"")</f>
        <v>0</v>
      </c>
      <c r="DY142" s="27">
        <v>159411</v>
      </c>
      <c r="DZ142" s="28">
        <f>IF(AND(ISNUMBER(EA142),ISNUMBER(DY142)),EA142-DY142,"")</f>
        <v>0</v>
      </c>
      <c r="EA142" s="27">
        <v>159411</v>
      </c>
      <c r="EB142" s="28">
        <f>IF(AND(ISNUMBER(EC142),ISNUMBER(EA142)),EC142-EA142,"")</f>
        <v>0</v>
      </c>
      <c r="EC142" s="27">
        <v>159411</v>
      </c>
      <c r="ED142" s="28">
        <f>IF(AND(ISNUMBER(EE142),ISNUMBER(EC142)),EE142-EC142,"")</f>
        <v>0</v>
      </c>
      <c r="EE142" s="27">
        <v>159411</v>
      </c>
      <c r="EF142" s="28">
        <f>IF(AND(ISNUMBER(EG142),ISNUMBER(EE142)),EG142-EE142,"")</f>
        <v>0</v>
      </c>
      <c r="EG142" s="27">
        <v>159411</v>
      </c>
      <c r="EH142" s="28">
        <f>IF(AND(ISNUMBER(EI142),ISNUMBER(EG142)),EI142-EG142,"")</f>
        <v>0</v>
      </c>
      <c r="EI142" s="27">
        <v>95411</v>
      </c>
      <c r="EJ142" s="28">
        <f>IF(AND(ISNUMBER(EK142),ISNUMBER(EI142)),EK142-EI142,"")</f>
        <v>0</v>
      </c>
      <c r="EK142" s="27">
        <v>95411</v>
      </c>
      <c r="EL142" s="28">
        <f>IF(AND(ISNUMBER(EM142),ISNUMBER(EK142)),EM142-EK142,"")</f>
        <v>0</v>
      </c>
      <c r="EM142" s="27">
        <v>95411</v>
      </c>
      <c r="EN142" s="28">
        <f>IF(AND(ISNUMBER(EO142),ISNUMBER(EM142)),EO142-EM142,"")</f>
        <v>0</v>
      </c>
      <c r="EO142" s="27">
        <v>95411</v>
      </c>
      <c r="EP142" s="28">
        <f>IF(AND(ISNUMBER(EQ142),ISNUMBER(EO142)),EQ142-EO142,"")</f>
        <v>0</v>
      </c>
      <c r="EQ142" s="27">
        <v>95411</v>
      </c>
      <c r="ER142" s="28">
        <f>IF(AND(ISNUMBER(ES142),ISNUMBER(EQ142)),ES142-EQ142,"")</f>
        <v>0</v>
      </c>
      <c r="ES142" s="27">
        <v>95411</v>
      </c>
      <c r="ET142" s="28">
        <f>IF(AND(ISNUMBER(EU142),ISNUMBER(ES142)),EU142-ES142,"")</f>
        <v>0</v>
      </c>
      <c r="EU142" s="27">
        <v>95411</v>
      </c>
      <c r="EV142" s="28">
        <f>IF(AND(ISNUMBER(EW142),ISNUMBER(EU142)),EW142-EU142,"")</f>
        <v>0</v>
      </c>
      <c r="EW142" s="27">
        <v>95411</v>
      </c>
      <c r="EX142" s="28">
        <f>IF(AND(ISNUMBER(EY142),ISNUMBER(EW142)),EY142-EW142,"")</f>
        <v>0</v>
      </c>
      <c r="EY142" s="27">
        <v>97048</v>
      </c>
      <c r="EZ142" s="28">
        <f>IF(AND(ISNUMBER(FA142),ISNUMBER(EY142)),FA142-EY142,"")</f>
        <v>0</v>
      </c>
      <c r="FA142" s="27">
        <v>97048</v>
      </c>
      <c r="FB142" s="28">
        <f>IF(AND(ISNUMBER(FC142),ISNUMBER(FA142)),FC142-FA142,"")</f>
        <v>0</v>
      </c>
      <c r="FC142" s="27">
        <v>97048</v>
      </c>
      <c r="FD142" s="28">
        <f>IF(AND(ISNUMBER(FE142),ISNUMBER(FC142)),FE142-FC142,"")</f>
        <v>0</v>
      </c>
      <c r="FE142" s="27">
        <v>97048</v>
      </c>
      <c r="FF142" s="28">
        <f>IF(AND(ISNUMBER(FG142),ISNUMBER(FE142)),FG142-FE142,"")</f>
        <v>0</v>
      </c>
      <c r="FG142" s="27">
        <v>98392</v>
      </c>
      <c r="FH142" s="28">
        <f>IF(AND(ISNUMBER(FI142),ISNUMBER(FG142)),FI142-FG142,"")</f>
        <v>0</v>
      </c>
      <c r="FI142" s="27">
        <v>98392</v>
      </c>
      <c r="FJ142" s="28">
        <f>IF(AND(ISNUMBER(FK142),ISNUMBER(FI142)),FK142-FI142,"")</f>
        <v>0</v>
      </c>
      <c r="FK142" s="27">
        <v>98392</v>
      </c>
      <c r="FL142" s="28">
        <f>IF(AND(ISNUMBER(FM142),ISNUMBER(FK142)),FM142-FK142,"")</f>
        <v>0</v>
      </c>
      <c r="FM142" s="27">
        <v>98392</v>
      </c>
      <c r="FN142" s="28">
        <f>IF(AND(ISNUMBER(FO142),ISNUMBER(FM142)),FO142-FM142,"")</f>
        <v>0</v>
      </c>
      <c r="FO142" s="27">
        <v>98392</v>
      </c>
      <c r="FP142" s="28">
        <f>IF(AND(ISNUMBER(FQ142),ISNUMBER(FO142)),FQ142-FO142,"")</f>
        <v>0</v>
      </c>
      <c r="FQ142" s="27">
        <v>98392</v>
      </c>
      <c r="FR142" s="28">
        <f>IF(AND(ISNUMBER(FS142),ISNUMBER(FQ142)),FS142-FQ142,"")</f>
        <v>0</v>
      </c>
      <c r="FS142" s="27">
        <v>98392</v>
      </c>
      <c r="FT142" s="28">
        <f>IF(AND(ISNUMBER(FU142),ISNUMBER(FS142)),FU142-FS142,"")</f>
        <v>0</v>
      </c>
      <c r="FU142" s="27">
        <v>98392</v>
      </c>
      <c r="FV142" s="28">
        <f>IF(AND(ISNUMBER(FW142),ISNUMBER(FU142)),FW142-FU142,"")</f>
        <v>0</v>
      </c>
      <c r="FW142" s="27">
        <v>98392</v>
      </c>
      <c r="FX142" s="28">
        <f>IF(AND(ISNUMBER(FY142),ISNUMBER(FW142)),FY142-FW142,"")</f>
        <v>0</v>
      </c>
      <c r="FY142" s="27">
        <v>98392</v>
      </c>
      <c r="FZ142" s="28">
        <f>IF(AND(ISNUMBER(GA142),ISNUMBER(FY142)),GA142-FY142,"")</f>
        <v>0</v>
      </c>
      <c r="GA142" s="27">
        <v>98870</v>
      </c>
      <c r="GB142" s="28">
        <f>IF(AND(ISNUMBER(GC142),ISNUMBER(GA142)),GC142-GA142,"")</f>
        <v>0</v>
      </c>
      <c r="GC142" s="27">
        <v>98870</v>
      </c>
      <c r="GD142" s="28">
        <f>IF(AND(ISNUMBER(GE142),ISNUMBER(GC142)),GE142-GC142,"")</f>
        <v>0</v>
      </c>
      <c r="GE142" s="27">
        <v>98870</v>
      </c>
      <c r="GF142" s="28">
        <f>IF(AND(ISNUMBER(GG142),ISNUMBER(GE142)),GG142-GE142,"")</f>
        <v>0</v>
      </c>
      <c r="GG142" s="27">
        <v>98870</v>
      </c>
      <c r="GH142" s="28">
        <f>IF(AND(ISNUMBER(GI142),ISNUMBER(GG142)),GI142-GG142,"")</f>
        <v>0</v>
      </c>
      <c r="GI142" s="27">
        <v>98870</v>
      </c>
      <c r="GJ142" s="28">
        <f>IF(AND(ISNUMBER(GK142),ISNUMBER(GI142)),GK142-GI142,"")</f>
        <v>0</v>
      </c>
      <c r="GK142" s="27">
        <v>98870</v>
      </c>
      <c r="GL142" s="28">
        <f>IF(AND(ISNUMBER(GM142),ISNUMBER(GK142)),GM142-GK142,"")</f>
        <v>0</v>
      </c>
      <c r="GM142" s="27">
        <v>117706</v>
      </c>
      <c r="GN142" s="28">
        <f>IF(AND(ISNUMBER(GO142),ISNUMBER(GM142)),GO142-GM142,"")</f>
        <v>0</v>
      </c>
      <c r="GO142" s="27">
        <v>134023</v>
      </c>
      <c r="GP142" s="28">
        <f>IF(AND(ISNUMBER(GQ142),ISNUMBER(GO142)),GQ142-GO142,"")</f>
        <v>0</v>
      </c>
      <c r="GQ142" s="27">
        <v>101264</v>
      </c>
      <c r="GR142" s="28">
        <f>IF(AND(ISNUMBER(GS142),ISNUMBER(GQ142)),GS142-GQ142,"")</f>
        <v>0</v>
      </c>
      <c r="GS142" s="27">
        <v>86946</v>
      </c>
      <c r="GT142" s="28">
        <f>IF(AND(ISNUMBER(GU142),ISNUMBER(GS142)),GU142-GS142,"")</f>
        <v>0</v>
      </c>
      <c r="GU142" s="27">
        <v>86967</v>
      </c>
      <c r="GV142" s="28">
        <f>IF(AND(ISNUMBER(GW142),ISNUMBER(GU142)),GW142-GU142,"")</f>
        <v>0</v>
      </c>
      <c r="GW142" s="27">
        <v>86967</v>
      </c>
      <c r="GX142" s="28">
        <f>IF(AND(ISNUMBER(GY142),ISNUMBER(GW142)),GY142-GW142,"")</f>
        <v>0</v>
      </c>
      <c r="GY142" s="27">
        <v>85788</v>
      </c>
      <c r="GZ142" s="28">
        <f>IF(AND(ISNUMBER(HA142),ISNUMBER(GY142)),HA142-GY142,"")</f>
        <v>0</v>
      </c>
      <c r="HA142" s="27">
        <v>85788</v>
      </c>
      <c r="HB142" s="28">
        <f>IF(AND(ISNUMBER(HC142),ISNUMBER(HA142)),HC142-HA142,"")</f>
        <v>0</v>
      </c>
      <c r="HC142" s="27">
        <v>81764</v>
      </c>
      <c r="HD142" s="28">
        <f>IF(AND(ISNUMBER(HE142),ISNUMBER(HC142)),HE142-HC142,"")</f>
        <v>0</v>
      </c>
      <c r="HE142" s="27">
        <v>63143</v>
      </c>
      <c r="HF142" s="28">
        <f>IF(AND(ISNUMBER(HG142),ISNUMBER(HE142)),HG142-HE142,"")</f>
        <v>0</v>
      </c>
      <c r="HG142" s="27">
        <v>62485</v>
      </c>
      <c r="HH142" s="28">
        <f>IF(AND(ISNUMBER(HI142),ISNUMBER(HG142)),HI142-HG142,"")</f>
        <v>0</v>
      </c>
      <c r="HI142" s="27">
        <v>62481</v>
      </c>
      <c r="HJ142" s="28">
        <f>IF(AND(ISNUMBER(HK142),ISNUMBER(HI142)),HK142-HI142,"")</f>
        <v>0</v>
      </c>
      <c r="HK142" s="27">
        <v>62479</v>
      </c>
      <c r="HL142" s="28">
        <f>IF(AND(ISNUMBER(HM142),ISNUMBER(HK142)),HM142-HK142,"")</f>
        <v>0</v>
      </c>
      <c r="HM142" s="27">
        <v>62235</v>
      </c>
      <c r="HN142" s="28">
        <f>IF(AND(ISNUMBER(HO142),ISNUMBER(HM142)),HO142-HM142,"")</f>
        <v>0</v>
      </c>
      <c r="HO142" s="27">
        <v>61411</v>
      </c>
      <c r="HP142" s="28">
        <f>IF(AND(ISNUMBER(HQ142),ISNUMBER(HO142)),HQ142-HO142,"")</f>
        <v>0</v>
      </c>
      <c r="HQ142" s="27">
        <v>61421</v>
      </c>
      <c r="HR142" s="28">
        <f>IF(AND(ISNUMBER(HS142),ISNUMBER(HQ142)),HS142-HQ142,"")</f>
        <v>0</v>
      </c>
      <c r="HS142" s="27">
        <v>61420</v>
      </c>
      <c r="HT142" s="28">
        <f>IF(AND(ISNUMBER(HU142),ISNUMBER(HS142)),HU142-HS142,"")</f>
        <v>0</v>
      </c>
      <c r="HU142" s="27">
        <v>61418</v>
      </c>
      <c r="HV142" s="28">
        <f>IF(AND(ISNUMBER(HW142),ISNUMBER(HU142)),HW142-HU142,"")</f>
        <v>0</v>
      </c>
      <c r="HW142" s="27">
        <v>61417</v>
      </c>
      <c r="HX142" s="28">
        <f>IF(AND(ISNUMBER(HY142),ISNUMBER(HW142)),HY142-HW142,"")</f>
        <v>0</v>
      </c>
      <c r="HY142" s="27">
        <v>59995</v>
      </c>
      <c r="HZ142" s="28">
        <f>IF(AND(ISNUMBER(IA142),ISNUMBER(HY142)),IA142-HY142,"")</f>
        <v>0</v>
      </c>
      <c r="IA142" s="27">
        <v>59991</v>
      </c>
      <c r="IB142" s="28">
        <f>IF(AND(ISNUMBER(IC142),ISNUMBER(IA142)),IC142-IA142,"")</f>
        <v>0</v>
      </c>
      <c r="IC142" s="27">
        <v>59987</v>
      </c>
      <c r="ID142" s="28">
        <f>IF(AND(ISNUMBER(IE142),ISNUMBER(IC142)),IE142-IC142,"")</f>
        <v>0</v>
      </c>
      <c r="IE142" s="27">
        <v>59984</v>
      </c>
      <c r="IF142" s="28">
        <f>IF(AND(ISNUMBER(IG142),ISNUMBER(IE142)),IG142-IE142,"")</f>
        <v>0</v>
      </c>
      <c r="IG142" s="27">
        <v>59104</v>
      </c>
      <c r="IH142" s="28">
        <f>IF(AND(ISNUMBER(II142),ISNUMBER(IG142)),II142-IG142,"")</f>
        <v>0</v>
      </c>
      <c r="II142" s="27">
        <v>59101</v>
      </c>
      <c r="IJ142" s="28">
        <f>IF(AND(ISNUMBER(IK142),ISNUMBER(II142)),IK142-II142,"")</f>
        <v>0</v>
      </c>
      <c r="IK142" s="27">
        <v>59099</v>
      </c>
      <c r="IL142" s="28">
        <f>IF(AND(ISNUMBER(IM142),ISNUMBER(IK142)),IM142-IK142,"")</f>
        <v>0</v>
      </c>
      <c r="IM142" s="27">
        <v>59096</v>
      </c>
      <c r="IN142" s="28">
        <f>IF(AND(ISNUMBER(IO142),ISNUMBER(IM142)),IO142-IM142,"")</f>
        <v>0</v>
      </c>
      <c r="IO142" s="27">
        <v>59089</v>
      </c>
      <c r="IP142" s="28">
        <f>IF(AND(ISNUMBER(IQ142),ISNUMBER(IO142)),IQ142-IO142,"")</f>
        <v>0</v>
      </c>
      <c r="IQ142" s="27">
        <v>58142</v>
      </c>
      <c r="IR142" s="28">
        <f>IF(AND(ISNUMBER(IS142),ISNUMBER(IQ142)),IS142-IQ142,"")</f>
        <v>0</v>
      </c>
      <c r="IS142" s="27">
        <v>58142</v>
      </c>
      <c r="IT142" s="28">
        <f>IF(AND(ISNUMBER(IU142),ISNUMBER(IS142)),IU142-IS142,"")</f>
        <v>0</v>
      </c>
      <c r="IU142" s="27">
        <v>58141</v>
      </c>
      <c r="IV142" s="28">
        <f>IF(AND(ISNUMBER(IW142),ISNUMBER(IU142)),IW142-IU142,"")</f>
        <v>0</v>
      </c>
      <c r="IW142" s="27">
        <v>58138</v>
      </c>
      <c r="IX142" s="28">
        <f>IF(AND(ISNUMBER(IY142),ISNUMBER(IW142)),IY142-IW142,"")</f>
        <v>0</v>
      </c>
      <c r="IY142" s="27">
        <v>57110</v>
      </c>
      <c r="IZ142" s="28">
        <f>IF(AND(ISNUMBER(JA142),ISNUMBER(IY142)),JA142-IY142,"")</f>
        <v>0</v>
      </c>
      <c r="JA142" s="27">
        <v>57107</v>
      </c>
      <c r="JB142" s="28">
        <f>IF(AND(ISNUMBER(JC142),ISNUMBER(JA142)),JC142-JA142,"")</f>
        <v>0</v>
      </c>
      <c r="JC142" s="27">
        <v>57107</v>
      </c>
      <c r="JD142" s="28">
        <f>IF(AND(ISNUMBER(JE142),ISNUMBER(JC142)),JE142-JC142,"")</f>
        <v>0</v>
      </c>
      <c r="JE142" s="27">
        <v>57106</v>
      </c>
      <c r="JF142" s="28">
        <f>IF(AND(ISNUMBER(JG142),ISNUMBER(JE142)),JG142-JE142,"")</f>
        <v>0</v>
      </c>
      <c r="JG142" s="27">
        <v>56077</v>
      </c>
      <c r="JH142" s="28">
        <f>IF(AND(ISNUMBER(JI142),ISNUMBER(JG142)),JI142-JG142,"")</f>
        <v>0</v>
      </c>
      <c r="JI142" s="27">
        <v>56071</v>
      </c>
      <c r="JJ142" s="28">
        <f>IF(AND(ISNUMBER(JK142),ISNUMBER(JI142)),JK142-JI142,"")</f>
        <v>0</v>
      </c>
      <c r="JK142" s="27">
        <v>56066</v>
      </c>
      <c r="JL142" s="28">
        <f>IF(AND(ISNUMBER(JM142),ISNUMBER(JK142)),JM142-JK142,"")</f>
        <v>0</v>
      </c>
      <c r="JM142" s="27">
        <v>56064</v>
      </c>
      <c r="JN142" s="28">
        <f>IF(AND(ISNUMBER(JO142),ISNUMBER(JM142)),JO142-JM142,"")</f>
        <v>0</v>
      </c>
      <c r="JO142" s="27">
        <v>56063</v>
      </c>
      <c r="JP142" s="28">
        <f>IF(AND(ISNUMBER(JQ142),ISNUMBER(JO142)),JQ142-JO142,"")</f>
        <v>0</v>
      </c>
      <c r="JQ142" s="27">
        <v>55054</v>
      </c>
      <c r="JR142" s="28">
        <f>IF(AND(ISNUMBER(JS142),ISNUMBER(JQ142)),JS142-JQ142,"")</f>
        <v>0</v>
      </c>
      <c r="JS142" s="27">
        <v>55052</v>
      </c>
      <c r="JT142" s="28">
        <f>IF(AND(ISNUMBER(JU142),ISNUMBER(JS142)),JU142-JS142,"")</f>
        <v>0</v>
      </c>
      <c r="JU142" s="27">
        <v>55048</v>
      </c>
      <c r="JV142" s="28">
        <f>IF(AND(ISNUMBER(JW142),ISNUMBER(JU142)),JW142-JU142,"")</f>
        <v>0</v>
      </c>
      <c r="JW142" s="27">
        <v>55047</v>
      </c>
      <c r="JX142" s="28">
        <f>IF(AND(ISNUMBER(JY142),ISNUMBER(JW142)),JY142-JW142,"")</f>
        <v>0</v>
      </c>
      <c r="JY142" s="27">
        <v>53897</v>
      </c>
      <c r="JZ142" s="28">
        <f>IF(AND(ISNUMBER(KA142),ISNUMBER(JY142)),KA142-JY142,"")</f>
        <v>0</v>
      </c>
      <c r="KA142" s="27"/>
      <c r="KB142" s="28">
        <f>IF(AND(ISNUMBER(KC142),ISNUMBER(KA142)),KC142-KA142,"")</f>
        <v>0</v>
      </c>
      <c r="KC142" s="27"/>
      <c r="KD142" s="28">
        <f>IF(AND(ISNUMBER(KE142),ISNUMBER(KC142)),KE142-KC142,"")</f>
        <v>0</v>
      </c>
      <c r="KE142" s="27"/>
      <c r="KF142" s="28">
        <f>IF(AND(ISNUMBER(KG142),ISNUMBER(KE142)),KG142-KE142,"")</f>
        <v>0</v>
      </c>
      <c r="KG142" s="27"/>
      <c r="KH142" s="28">
        <f>IF(AND(ISNUMBER(KI142),ISNUMBER(KG142)),KI142-KG142,"")</f>
        <v>0</v>
      </c>
      <c r="KI142" s="27"/>
      <c r="KJ142" s="28">
        <f>IF(AND(ISNUMBER(KK142),ISNUMBER(KI142)),KK142-KI142,"")</f>
        <v>0</v>
      </c>
      <c r="KK142" s="27"/>
      <c r="KL142" s="28">
        <f>IF(AND(ISNUMBER(KM142),ISNUMBER(KK142)),KM142-KK142,"")</f>
        <v>0</v>
      </c>
      <c r="KM142" s="27"/>
      <c r="KN142" s="28">
        <f>IF(AND(ISNUMBER(KO142),ISNUMBER(KM142)),KO142-KM142,"")</f>
        <v>0</v>
      </c>
      <c r="KO142" s="27"/>
      <c r="KP142" s="28">
        <f>IF(AND(ISNUMBER(KQ142),ISNUMBER(KO142)),KQ142-KO142,"")</f>
        <v>0</v>
      </c>
      <c r="KQ142" s="27"/>
      <c r="KR142" s="28">
        <f>IF(AND(ISNUMBER(KS142),ISNUMBER(KQ142)),KS142-KQ142,"")</f>
        <v>0</v>
      </c>
      <c r="KS142" s="27"/>
      <c r="KT142" s="28">
        <f>IF(AND(ISNUMBER(KU142),ISNUMBER(KS142)),KU142-KS142,"")</f>
        <v>0</v>
      </c>
      <c r="KU142" s="27"/>
      <c r="KV142" s="28">
        <f>IF(AND(ISNUMBER(KW142),ISNUMBER(KU142)),KW142-KU142,"")</f>
        <v>0</v>
      </c>
      <c r="KW142" s="27"/>
      <c r="KX142" s="28">
        <f>IF(AND(ISNUMBER(KY142),ISNUMBER(KW142)),KY142-KW142,"")</f>
        <v>0</v>
      </c>
      <c r="KY142" s="27"/>
      <c r="KZ142" s="28">
        <f>IF(AND(ISNUMBER(LA142),ISNUMBER(KY142)),LA142-KY142,"")</f>
        <v>0</v>
      </c>
      <c r="LA142" s="27"/>
      <c r="LB142" s="28">
        <f>IF(AND(ISNUMBER(LC142),ISNUMBER(LA142)),LC142-LA142,"")</f>
        <v>0</v>
      </c>
      <c r="LC142" s="27"/>
      <c r="LD142" s="28">
        <f>IF(AND(ISNUMBER(LE142),ISNUMBER(LC142)),LE142-LC142,"")</f>
        <v>0</v>
      </c>
      <c r="LE142" s="27"/>
      <c r="LF142" s="28">
        <f>IF(AND(ISNUMBER(LG142),ISNUMBER(LE142)),LG142-LE142,"")</f>
        <v>0</v>
      </c>
      <c r="LG142" s="27"/>
      <c r="LH142" s="30"/>
      <c r="LI142" s="30"/>
      <c r="LJ142" s="30"/>
    </row>
    <row r="143" spans="1:322">
      <c r="A143" s="22" t="s">
        <v>113</v>
      </c>
      <c r="B143" s="23" t="s">
        <v>1144</v>
      </c>
      <c r="C143" s="43" t="s">
        <v>936</v>
      </c>
      <c r="D143" s="43"/>
      <c r="E143" s="25" t="s">
        <v>1139</v>
      </c>
      <c r="F143" s="26"/>
      <c r="G143" s="26"/>
      <c r="H143" s="26"/>
      <c r="I143" s="27"/>
      <c r="J143" s="28">
        <f>IF(AND(ISNUMBER(K143),ISNUMBER(I143)),K143-I143,"")</f>
        <v>0</v>
      </c>
      <c r="K143" s="27"/>
      <c r="L143" s="28">
        <f>IF(AND(ISNUMBER(M143),ISNUMBER(K143)),M143-K143,"")</f>
        <v>0</v>
      </c>
      <c r="M143" s="27"/>
      <c r="N143" s="28">
        <f>IF(AND(ISNUMBER(O143),ISNUMBER(M143)),O143-M143,"")</f>
        <v>0</v>
      </c>
      <c r="O143" s="27"/>
      <c r="P143" s="28">
        <f>IF(AND(ISNUMBER(Q143),ISNUMBER(O143)),Q143-O143,"")</f>
        <v>0</v>
      </c>
      <c r="Q143" s="27"/>
      <c r="R143" s="28">
        <f>IF(AND(ISNUMBER(S143),ISNUMBER(Q143)),S143-Q143,"")</f>
        <v>0</v>
      </c>
      <c r="S143" s="27"/>
      <c r="T143" s="28">
        <f>IF(AND(ISNUMBER(U143),ISNUMBER(S143)),U143-S143,"")</f>
        <v>0</v>
      </c>
      <c r="U143" s="27"/>
      <c r="V143" s="28">
        <f>IF(AND(ISNUMBER(W143),ISNUMBER(U143)),W143-U143,"")</f>
        <v>0</v>
      </c>
      <c r="W143" s="27"/>
      <c r="X143" s="28">
        <f>IF(AND(ISNUMBER(Y143),ISNUMBER(W143)),Y143-W143,"")</f>
        <v>0</v>
      </c>
      <c r="Y143" s="27"/>
      <c r="Z143" s="28">
        <f>IF(AND(ISNUMBER(AA143),ISNUMBER(Y143)),AA143-Y143,"")</f>
        <v>0</v>
      </c>
      <c r="AA143" s="27"/>
      <c r="AB143" s="28">
        <f>IF(AND(ISNUMBER(AC143),ISNUMBER(AA143)),AC143-AA143,"")</f>
        <v>0</v>
      </c>
      <c r="AC143" s="27"/>
      <c r="AD143" s="28">
        <f>IF(AND(ISNUMBER(AE143),ISNUMBER(AC143)),AE143-AC143,"")</f>
        <v>0</v>
      </c>
      <c r="AE143" s="27"/>
      <c r="AF143" s="28">
        <f>IF(AND(ISNUMBER(AG143),ISNUMBER(AE143)),AG143-AE143,"")</f>
        <v>0</v>
      </c>
      <c r="AG143" s="27"/>
      <c r="AH143" s="28">
        <f>IF(AND(ISNUMBER(AI143),ISNUMBER(AG143)),AI143-AG143,"")</f>
        <v>0</v>
      </c>
      <c r="AI143" s="27"/>
      <c r="AJ143" s="28">
        <f>IF(AND(ISNUMBER(AK143),ISNUMBER(AI143)),AK143-AI143,"")</f>
        <v>0</v>
      </c>
      <c r="AK143" s="27"/>
      <c r="AL143" s="28">
        <f>IF(AND(ISNUMBER(AM143),ISNUMBER(AK143)),AM143-AK143,"")</f>
        <v>0</v>
      </c>
      <c r="AM143" s="27"/>
      <c r="AN143" s="28">
        <f>IF(AND(ISNUMBER(AO143),ISNUMBER(AM143)),AO143-AM143,"")</f>
        <v>0</v>
      </c>
      <c r="AO143" s="27"/>
      <c r="AP143" s="28">
        <f>IF(AND(ISNUMBER(AQ143),ISNUMBER(AO143)),AQ143-AO143,"")</f>
        <v>0</v>
      </c>
      <c r="AQ143" s="27"/>
      <c r="AR143" s="28">
        <f>IF(AND(ISNUMBER(AS143),ISNUMBER(AQ143)),AS143-AQ143,"")</f>
        <v>0</v>
      </c>
      <c r="AS143" s="27"/>
      <c r="AT143" s="28">
        <f>IF(AND(ISNUMBER(AU143),ISNUMBER(AS143)),AU143-AS143,"")</f>
        <v>0</v>
      </c>
      <c r="AU143" s="27"/>
      <c r="AV143" s="28">
        <f>IF(AND(ISNUMBER(AW143),ISNUMBER(AU143)),AW143-AU143,"")</f>
        <v>0</v>
      </c>
      <c r="AW143" s="27"/>
      <c r="AX143" s="28">
        <f>IF(AND(ISNUMBER(AY143),ISNUMBER(AW143)),AY143-AW143,"")</f>
        <v>0</v>
      </c>
      <c r="AY143" s="27"/>
      <c r="AZ143" s="28">
        <f>IF(AND(ISNUMBER(BA143),ISNUMBER(AY143)),BA143-AY143,"")</f>
        <v>0</v>
      </c>
      <c r="BA143" s="27"/>
      <c r="BB143" s="28">
        <f>IF(AND(ISNUMBER(BC143),ISNUMBER(BA143)),BC143-BA143,"")</f>
        <v>0</v>
      </c>
      <c r="BC143" s="27"/>
      <c r="BD143" s="28">
        <f>IF(AND(ISNUMBER(BE143),ISNUMBER(BC143)),BE143-BC143,"")</f>
        <v>0</v>
      </c>
      <c r="BE143" s="27"/>
      <c r="BF143" s="28">
        <f>IF(AND(ISNUMBER(BG143),ISNUMBER(BE143)),BG143-BE143,"")</f>
        <v>0</v>
      </c>
      <c r="BG143" s="27"/>
      <c r="BH143" s="28">
        <f>IF(AND(ISNUMBER(BI143),ISNUMBER(BG143)),BI143-BG143,"")</f>
        <v>0</v>
      </c>
      <c r="BI143" s="27"/>
      <c r="BJ143" s="28">
        <f>IF(AND(ISNUMBER(BK143),ISNUMBER(BI143)),BK143-BI143,"")</f>
        <v>0</v>
      </c>
      <c r="BK143" s="27"/>
      <c r="BL143" s="28">
        <f>IF(AND(ISNUMBER(BM143),ISNUMBER(BK143)),BM143-BK143,"")</f>
        <v>0</v>
      </c>
      <c r="BM143" s="27"/>
      <c r="BN143" s="28">
        <f>IF(AND(ISNUMBER(BO143),ISNUMBER(BM143)),BO143-BM143,"")</f>
        <v>0</v>
      </c>
      <c r="BO143" s="27"/>
      <c r="BP143" s="28">
        <f>IF(AND(ISNUMBER(BQ143),ISNUMBER(BO143)),BQ143-BO143,"")</f>
        <v>0</v>
      </c>
      <c r="BQ143" s="27"/>
      <c r="BR143" s="28">
        <f>IF(AND(ISNUMBER(BS143),ISNUMBER(BQ143)),BS143-BQ143,"")</f>
        <v>0</v>
      </c>
      <c r="BS143" s="27"/>
      <c r="BT143" s="28">
        <f>IF(AND(ISNUMBER(BU143),ISNUMBER(BS143)),BU143-BS143,"")</f>
        <v>0</v>
      </c>
      <c r="BU143" s="27"/>
      <c r="BV143" s="28">
        <f>IF(AND(ISNUMBER(BW143),ISNUMBER(BU143)),BW143-BU143,"")</f>
        <v>0</v>
      </c>
      <c r="BW143" s="27"/>
      <c r="BX143" s="28">
        <f>IF(AND(ISNUMBER(BY143),ISNUMBER(BW143)),BY143-BW143,"")</f>
        <v>0</v>
      </c>
      <c r="BY143" s="27"/>
      <c r="BZ143" s="28">
        <f>IF(AND(ISNUMBER(CA143),ISNUMBER(BY143)),CA143-BY143,"")</f>
        <v>0</v>
      </c>
      <c r="CA143" s="27"/>
      <c r="CB143" s="28">
        <f>IF(AND(ISNUMBER(CC143),ISNUMBER(CA143)),CC143-CA143,"")</f>
        <v>0</v>
      </c>
      <c r="CC143" s="27"/>
      <c r="CD143" s="28">
        <f>IF(AND(ISNUMBER(CE143),ISNUMBER(CC143)),CE143-CC143,"")</f>
        <v>0</v>
      </c>
      <c r="CE143" s="27"/>
      <c r="CF143" s="28">
        <f>IF(AND(ISNUMBER(CG143),ISNUMBER(CE143)),CG143-CE143,"")</f>
        <v>0</v>
      </c>
      <c r="CG143" s="27"/>
      <c r="CH143" s="28">
        <f>IF(AND(ISNUMBER(CI143),ISNUMBER(CG143)),CI143-CG143,"")</f>
        <v>0</v>
      </c>
      <c r="CI143" s="27"/>
      <c r="CJ143" s="28">
        <f>IF(AND(ISNUMBER(CK143),ISNUMBER(CI143)),CK143-CI143,"")</f>
        <v>0</v>
      </c>
      <c r="CK143" s="27"/>
      <c r="CL143" s="28">
        <f>IF(AND(ISNUMBER(CM143),ISNUMBER(CK143)),CM143-CK143,"")</f>
        <v>0</v>
      </c>
      <c r="CM143" s="27"/>
      <c r="CN143" s="28">
        <f>IF(AND(ISNUMBER(CO143),ISNUMBER(CM143)),CO143-CM143,"")</f>
        <v>0</v>
      </c>
      <c r="CO143" s="27"/>
      <c r="CP143" s="28">
        <f>IF(AND(ISNUMBER(CQ143),ISNUMBER(CO143)),CQ143-CO143,"")</f>
        <v>0</v>
      </c>
      <c r="CQ143" s="27"/>
      <c r="CR143" s="28">
        <f>IF(AND(ISNUMBER(CS143),ISNUMBER(CQ143)),CS143-CQ143,"")</f>
        <v>0</v>
      </c>
      <c r="CS143" s="27"/>
      <c r="CT143" s="28">
        <f>IF(AND(ISNUMBER(CU143),ISNUMBER(CS143)),CU143-CS143,"")</f>
        <v>0</v>
      </c>
      <c r="CU143" s="27"/>
      <c r="CV143" s="28">
        <f>IF(AND(ISNUMBER(CW143),ISNUMBER(CU143)),CW143-CU143,"")</f>
        <v>0</v>
      </c>
      <c r="CW143" s="27"/>
      <c r="CX143" s="28">
        <f>IF(AND(ISNUMBER(CY143),ISNUMBER(CW143)),CY143-CW143,"")</f>
        <v>0</v>
      </c>
      <c r="CY143" s="27"/>
      <c r="CZ143" s="28">
        <f>IF(AND(ISNUMBER(DA143),ISNUMBER(CY143)),DA143-CY143,"")</f>
        <v>0</v>
      </c>
      <c r="DA143" s="27"/>
      <c r="DB143" s="28">
        <f>IF(AND(ISNUMBER(DC143),ISNUMBER(DA143)),DC143-DA143,"")</f>
        <v>0</v>
      </c>
      <c r="DC143" s="27"/>
      <c r="DD143" s="28">
        <f>IF(AND(ISNUMBER(DE143),ISNUMBER(DC143)),DE143-DC143,"")</f>
        <v>0</v>
      </c>
      <c r="DE143" s="27"/>
      <c r="DF143" s="28">
        <f>IF(AND(ISNUMBER(DG143),ISNUMBER(DE143)),DG143-DE143,"")</f>
        <v>0</v>
      </c>
      <c r="DG143" s="27"/>
      <c r="DH143" s="28">
        <f>IF(AND(ISNUMBER(DI143),ISNUMBER(DG143)),DI143-DG143,"")</f>
        <v>0</v>
      </c>
      <c r="DI143" s="27"/>
      <c r="DJ143" s="28">
        <f>IF(AND(ISNUMBER(DK143),ISNUMBER(DI143)),DK143-DI143,"")</f>
        <v>0</v>
      </c>
      <c r="DK143" s="27"/>
      <c r="DL143" s="28">
        <f>IF(AND(ISNUMBER(DM143),ISNUMBER(DK143)),DM143-DK143,"")</f>
        <v>0</v>
      </c>
      <c r="DM143" s="27"/>
      <c r="DN143" s="28">
        <f>IF(AND(ISNUMBER(DO143),ISNUMBER(DM143)),DO143-DM143,"")</f>
        <v>0</v>
      </c>
      <c r="DO143" s="27"/>
      <c r="DP143" s="28">
        <f>IF(AND(ISNUMBER(DQ143),ISNUMBER(DO143)),DQ143-DO143,"")</f>
        <v>0</v>
      </c>
      <c r="DQ143" s="27"/>
      <c r="DR143" s="28">
        <f>IF(AND(ISNUMBER(DS143),ISNUMBER(DQ143)),DS143-DQ143,"")</f>
        <v>0</v>
      </c>
      <c r="DS143" s="27"/>
      <c r="DT143" s="28">
        <f>IF(AND(ISNUMBER(DU143),ISNUMBER(DS143)),DU143-DS143,"")</f>
        <v>0</v>
      </c>
      <c r="DU143" s="27"/>
      <c r="DV143" s="28">
        <f>IF(AND(ISNUMBER(DW143),ISNUMBER(DU143)),DW143-DU143,"")</f>
        <v>0</v>
      </c>
      <c r="DW143" s="27"/>
      <c r="DX143" s="28">
        <f>IF(AND(ISNUMBER(DY143),ISNUMBER(DW143)),DY143-DW143,"")</f>
        <v>0</v>
      </c>
      <c r="DY143" s="27"/>
      <c r="DZ143" s="28">
        <f>IF(AND(ISNUMBER(EA143),ISNUMBER(DY143)),EA143-DY143,"")</f>
        <v>0</v>
      </c>
      <c r="EA143" s="27"/>
      <c r="EB143" s="28">
        <f>IF(AND(ISNUMBER(EC143),ISNUMBER(EA143)),EC143-EA143,"")</f>
        <v>0</v>
      </c>
      <c r="EC143" s="27"/>
      <c r="ED143" s="28">
        <f>IF(AND(ISNUMBER(EE143),ISNUMBER(EC143)),EE143-EC143,"")</f>
        <v>0</v>
      </c>
      <c r="EE143" s="27"/>
      <c r="EF143" s="28">
        <f>IF(AND(ISNUMBER(EG143),ISNUMBER(EE143)),EG143-EE143,"")</f>
        <v>0</v>
      </c>
      <c r="EG143" s="27"/>
      <c r="EH143" s="28">
        <f>IF(AND(ISNUMBER(EI143),ISNUMBER(EG143)),EI143-EG143,"")</f>
        <v>0</v>
      </c>
      <c r="EI143" s="27"/>
      <c r="EJ143" s="28">
        <f>IF(AND(ISNUMBER(EK143),ISNUMBER(EI143)),EK143-EI143,"")</f>
        <v>0</v>
      </c>
      <c r="EK143" s="27"/>
      <c r="EL143" s="28">
        <f>IF(AND(ISNUMBER(EM143),ISNUMBER(EK143)),EM143-EK143,"")</f>
        <v>0</v>
      </c>
      <c r="EM143" s="27"/>
      <c r="EN143" s="28">
        <f>IF(AND(ISNUMBER(EO143),ISNUMBER(EM143)),EO143-EM143,"")</f>
        <v>0</v>
      </c>
      <c r="EO143" s="27"/>
      <c r="EP143" s="28">
        <f>IF(AND(ISNUMBER(EQ143),ISNUMBER(EO143)),EQ143-EO143,"")</f>
        <v>0</v>
      </c>
      <c r="EQ143" s="27"/>
      <c r="ER143" s="28">
        <f>IF(AND(ISNUMBER(ES143),ISNUMBER(EQ143)),ES143-EQ143,"")</f>
        <v>0</v>
      </c>
      <c r="ES143" s="27"/>
      <c r="ET143" s="28">
        <f>IF(AND(ISNUMBER(EU143),ISNUMBER(ES143)),EU143-ES143,"")</f>
        <v>0</v>
      </c>
      <c r="EU143" s="27"/>
      <c r="EV143" s="28">
        <f>IF(AND(ISNUMBER(EW143),ISNUMBER(EU143)),EW143-EU143,"")</f>
        <v>0</v>
      </c>
      <c r="EW143" s="27"/>
      <c r="EX143" s="28">
        <f>IF(AND(ISNUMBER(EY143),ISNUMBER(EW143)),EY143-EW143,"")</f>
        <v>0</v>
      </c>
      <c r="EY143" s="27"/>
      <c r="EZ143" s="28">
        <f>IF(AND(ISNUMBER(FA143),ISNUMBER(EY143)),FA143-EY143,"")</f>
        <v>0</v>
      </c>
      <c r="FA143" s="27"/>
      <c r="FB143" s="28">
        <f>IF(AND(ISNUMBER(FC143),ISNUMBER(FA143)),FC143-FA143,"")</f>
        <v>0</v>
      </c>
      <c r="FC143" s="27"/>
      <c r="FD143" s="28">
        <f>IF(AND(ISNUMBER(FE143),ISNUMBER(FC143)),FE143-FC143,"")</f>
        <v>0</v>
      </c>
      <c r="FE143" s="27"/>
      <c r="FF143" s="28">
        <f>IF(AND(ISNUMBER(FG143),ISNUMBER(FE143)),FG143-FE143,"")</f>
        <v>0</v>
      </c>
      <c r="FG143" s="27"/>
      <c r="FH143" s="28">
        <f>IF(AND(ISNUMBER(FI143),ISNUMBER(FG143)),FI143-FG143,"")</f>
        <v>0</v>
      </c>
      <c r="FI143" s="27"/>
      <c r="FJ143" s="28">
        <f>IF(AND(ISNUMBER(FK143),ISNUMBER(FI143)),FK143-FI143,"")</f>
        <v>0</v>
      </c>
      <c r="FK143" s="27"/>
      <c r="FL143" s="28">
        <f>IF(AND(ISNUMBER(FM143),ISNUMBER(FK143)),FM143-FK143,"")</f>
        <v>0</v>
      </c>
      <c r="FM143" s="27"/>
      <c r="FN143" s="28">
        <f>IF(AND(ISNUMBER(FO143),ISNUMBER(FM143)),FO143-FM143,"")</f>
        <v>0</v>
      </c>
      <c r="FO143" s="27"/>
      <c r="FP143" s="28">
        <f>IF(AND(ISNUMBER(FQ143),ISNUMBER(FO143)),FQ143-FO143,"")</f>
        <v>0</v>
      </c>
      <c r="FQ143" s="27"/>
      <c r="FR143" s="28">
        <f>IF(AND(ISNUMBER(FS143),ISNUMBER(FQ143)),FS143-FQ143,"")</f>
        <v>0</v>
      </c>
      <c r="FS143" s="27"/>
      <c r="FT143" s="28">
        <f>IF(AND(ISNUMBER(FU143),ISNUMBER(FS143)),FU143-FS143,"")</f>
        <v>0</v>
      </c>
      <c r="FU143" s="27"/>
      <c r="FV143" s="28">
        <f>IF(AND(ISNUMBER(FW143),ISNUMBER(FU143)),FW143-FU143,"")</f>
        <v>0</v>
      </c>
      <c r="FW143" s="27"/>
      <c r="FX143" s="28">
        <f>IF(AND(ISNUMBER(FY143),ISNUMBER(FW143)),FY143-FW143,"")</f>
        <v>0</v>
      </c>
      <c r="FY143" s="27"/>
      <c r="FZ143" s="28">
        <f>IF(AND(ISNUMBER(GA143),ISNUMBER(FY143)),GA143-FY143,"")</f>
        <v>0</v>
      </c>
      <c r="GA143" s="27"/>
      <c r="GB143" s="28">
        <f>IF(AND(ISNUMBER(GC143),ISNUMBER(GA143)),GC143-GA143,"")</f>
        <v>0</v>
      </c>
      <c r="GC143" s="27"/>
      <c r="GD143" s="28">
        <f>IF(AND(ISNUMBER(GE143),ISNUMBER(GC143)),GE143-GC143,"")</f>
        <v>0</v>
      </c>
      <c r="GE143" s="27"/>
      <c r="GF143" s="28">
        <f>IF(AND(ISNUMBER(GG143),ISNUMBER(GE143)),GG143-GE143,"")</f>
        <v>0</v>
      </c>
      <c r="GG143" s="27"/>
      <c r="GH143" s="28">
        <f>IF(AND(ISNUMBER(GI143),ISNUMBER(GG143)),GI143-GG143,"")</f>
        <v>0</v>
      </c>
      <c r="GI143" s="27"/>
      <c r="GJ143" s="28">
        <f>IF(AND(ISNUMBER(GK143),ISNUMBER(GI143)),GK143-GI143,"")</f>
        <v>0</v>
      </c>
      <c r="GK143" s="27"/>
      <c r="GL143" s="28">
        <f>IF(AND(ISNUMBER(GM143),ISNUMBER(GK143)),GM143-GK143,"")</f>
        <v>0</v>
      </c>
      <c r="GM143" s="27">
        <v>2658</v>
      </c>
      <c r="GN143" s="28">
        <f>IF(AND(ISNUMBER(GO143),ISNUMBER(GM143)),GO143-GM143,"")</f>
        <v>0</v>
      </c>
      <c r="GO143" s="27">
        <v>2721</v>
      </c>
      <c r="GP143" s="28">
        <f>IF(AND(ISNUMBER(GQ143),ISNUMBER(GO143)),GQ143-GO143,"")</f>
        <v>0</v>
      </c>
      <c r="GQ143" s="27">
        <v>2667</v>
      </c>
      <c r="GR143" s="28">
        <f>IF(AND(ISNUMBER(GS143),ISNUMBER(GQ143)),GS143-GQ143,"")</f>
        <v>0</v>
      </c>
      <c r="GS143" s="27">
        <v>1841</v>
      </c>
      <c r="GT143" s="28">
        <f>IF(AND(ISNUMBER(GU143),ISNUMBER(GS143)),GU143-GS143,"")</f>
        <v>0</v>
      </c>
      <c r="GU143" s="27">
        <v>1873</v>
      </c>
      <c r="GV143" s="28">
        <f>IF(AND(ISNUMBER(GW143),ISNUMBER(GU143)),GW143-GU143,"")</f>
        <v>0</v>
      </c>
      <c r="GW143" s="27">
        <v>1873</v>
      </c>
      <c r="GX143" s="28">
        <f>IF(AND(ISNUMBER(GY143),ISNUMBER(GW143)),GY143-GW143,"")</f>
        <v>0</v>
      </c>
      <c r="GY143" s="27">
        <v>1897</v>
      </c>
      <c r="GZ143" s="28">
        <f>IF(AND(ISNUMBER(HA143),ISNUMBER(GY143)),HA143-GY143,"")</f>
        <v>0</v>
      </c>
      <c r="HA143" s="27">
        <v>1997</v>
      </c>
      <c r="HB143" s="28">
        <f>IF(AND(ISNUMBER(HC143),ISNUMBER(HA143)),HC143-HA143,"")</f>
        <v>0</v>
      </c>
      <c r="HC143" s="27">
        <v>1830</v>
      </c>
      <c r="HD143" s="28">
        <f>IF(AND(ISNUMBER(HE143),ISNUMBER(HC143)),HE143-HC143,"")</f>
        <v>0</v>
      </c>
      <c r="HE143" s="27">
        <v>1747</v>
      </c>
      <c r="HF143" s="28">
        <f>IF(AND(ISNUMBER(HG143),ISNUMBER(HE143)),HG143-HE143,"")</f>
        <v>0</v>
      </c>
      <c r="HG143" s="27">
        <v>1764</v>
      </c>
      <c r="HH143" s="28">
        <f>IF(AND(ISNUMBER(HI143),ISNUMBER(HG143)),HI143-HG143,"")</f>
        <v>0</v>
      </c>
      <c r="HI143" s="27">
        <v>1790</v>
      </c>
      <c r="HJ143" s="28">
        <f>IF(AND(ISNUMBER(HK143),ISNUMBER(HI143)),HK143-HI143,"")</f>
        <v>0</v>
      </c>
      <c r="HK143" s="27">
        <v>1819</v>
      </c>
      <c r="HL143" s="28">
        <f>IF(AND(ISNUMBER(HM143),ISNUMBER(HK143)),HM143-HK143,"")</f>
        <v>0</v>
      </c>
      <c r="HM143" s="27">
        <v>1837</v>
      </c>
      <c r="HN143" s="28">
        <f>IF(AND(ISNUMBER(HO143),ISNUMBER(HM143)),HO143-HM143,"")</f>
        <v>0</v>
      </c>
      <c r="HO143" s="27">
        <v>2838</v>
      </c>
      <c r="HP143" s="28">
        <f>IF(AND(ISNUMBER(HQ143),ISNUMBER(HO143)),HQ143-HO143,"")</f>
        <v>0</v>
      </c>
      <c r="HQ143" s="27">
        <v>2868</v>
      </c>
      <c r="HR143" s="28">
        <f>IF(AND(ISNUMBER(HS143),ISNUMBER(HQ143)),HS143-HQ143,"")</f>
        <v>0</v>
      </c>
      <c r="HS143" s="27">
        <v>2700</v>
      </c>
      <c r="HT143" s="28">
        <f>IF(AND(ISNUMBER(HU143),ISNUMBER(HS143)),HU143-HS143,"")</f>
        <v>0</v>
      </c>
      <c r="HU143" s="27">
        <v>2756</v>
      </c>
      <c r="HV143" s="28">
        <f>IF(AND(ISNUMBER(HW143),ISNUMBER(HU143)),HW143-HU143,"")</f>
        <v>0</v>
      </c>
      <c r="HW143" s="27">
        <v>2779</v>
      </c>
      <c r="HX143" s="28">
        <f>IF(AND(ISNUMBER(HY143),ISNUMBER(HW143)),HY143-HW143,"")</f>
        <v>0</v>
      </c>
      <c r="HY143" s="27">
        <v>2792</v>
      </c>
      <c r="HZ143" s="28">
        <f>IF(AND(ISNUMBER(IA143),ISNUMBER(HY143)),IA143-HY143,"")</f>
        <v>0</v>
      </c>
      <c r="IA143" s="27">
        <v>2830</v>
      </c>
      <c r="IB143" s="28">
        <f>IF(AND(ISNUMBER(IC143),ISNUMBER(IA143)),IC143-IA143,"")</f>
        <v>0</v>
      </c>
      <c r="IC143" s="27">
        <v>2861</v>
      </c>
      <c r="ID143" s="28">
        <f>IF(AND(ISNUMBER(IE143),ISNUMBER(IC143)),IE143-IC143,"")</f>
        <v>0</v>
      </c>
      <c r="IE143" s="27">
        <v>2889</v>
      </c>
      <c r="IF143" s="28">
        <f>IF(AND(ISNUMBER(IG143),ISNUMBER(IE143)),IG143-IE143,"")</f>
        <v>0</v>
      </c>
      <c r="IG143" s="27">
        <v>2894</v>
      </c>
      <c r="IH143" s="28">
        <f>IF(AND(ISNUMBER(II143),ISNUMBER(IG143)),II143-IG143,"")</f>
        <v>0</v>
      </c>
      <c r="II143" s="27">
        <v>2947</v>
      </c>
      <c r="IJ143" s="28">
        <f>IF(AND(ISNUMBER(IK143),ISNUMBER(II143)),IK143-II143,"")</f>
        <v>0</v>
      </c>
      <c r="IK143" s="27">
        <v>2967</v>
      </c>
      <c r="IL143" s="28">
        <f>IF(AND(ISNUMBER(IM143),ISNUMBER(IK143)),IM143-IK143,"")</f>
        <v>0</v>
      </c>
      <c r="IM143" s="27">
        <v>2995</v>
      </c>
      <c r="IN143" s="28">
        <f>IF(AND(ISNUMBER(IO143),ISNUMBER(IM143)),IO143-IM143,"")</f>
        <v>0</v>
      </c>
      <c r="IO143" s="27">
        <v>3013</v>
      </c>
      <c r="IP143" s="28">
        <f>IF(AND(ISNUMBER(IQ143),ISNUMBER(IO143)),IQ143-IO143,"")</f>
        <v>0</v>
      </c>
      <c r="IQ143" s="27">
        <v>3041</v>
      </c>
      <c r="IR143" s="28">
        <f>IF(AND(ISNUMBER(IS143),ISNUMBER(IQ143)),IS143-IQ143,"")</f>
        <v>0</v>
      </c>
      <c r="IS143" s="27">
        <v>3071</v>
      </c>
      <c r="IT143" s="28">
        <f>IF(AND(ISNUMBER(IU143),ISNUMBER(IS143)),IU143-IS143,"")</f>
        <v>0</v>
      </c>
      <c r="IU143" s="27">
        <v>3131</v>
      </c>
      <c r="IV143" s="28">
        <f>IF(AND(ISNUMBER(IW143),ISNUMBER(IU143)),IW143-IU143,"")</f>
        <v>0</v>
      </c>
      <c r="IW143" s="27">
        <v>3150</v>
      </c>
      <c r="IX143" s="28">
        <f>IF(AND(ISNUMBER(IY143),ISNUMBER(IW143)),IY143-IW143,"")</f>
        <v>0</v>
      </c>
      <c r="IY143" s="27">
        <v>3172</v>
      </c>
      <c r="IZ143" s="28">
        <f>IF(AND(ISNUMBER(JA143),ISNUMBER(IY143)),JA143-IY143,"")</f>
        <v>0</v>
      </c>
      <c r="JA143" s="27">
        <v>3194</v>
      </c>
      <c r="JB143" s="28">
        <f>IF(AND(ISNUMBER(JC143),ISNUMBER(JA143)),JC143-JA143,"")</f>
        <v>0</v>
      </c>
      <c r="JC143" s="27">
        <v>3207</v>
      </c>
      <c r="JD143" s="28">
        <f>IF(AND(ISNUMBER(JE143),ISNUMBER(JC143)),JE143-JC143,"")</f>
        <v>0</v>
      </c>
      <c r="JE143" s="27">
        <v>3234</v>
      </c>
      <c r="JF143" s="28">
        <f>IF(AND(ISNUMBER(JG143),ISNUMBER(JE143)),JG143-JE143,"")</f>
        <v>0</v>
      </c>
      <c r="JG143" s="27">
        <v>3249</v>
      </c>
      <c r="JH143" s="28">
        <f>IF(AND(ISNUMBER(JI143),ISNUMBER(JG143)),JI143-JG143,"")</f>
        <v>0</v>
      </c>
      <c r="JI143" s="27">
        <v>3279</v>
      </c>
      <c r="JJ143" s="28">
        <f>IF(AND(ISNUMBER(JK143),ISNUMBER(JI143)),JK143-JI143,"")</f>
        <v>0</v>
      </c>
      <c r="JK143" s="27">
        <v>3311</v>
      </c>
      <c r="JL143" s="28">
        <f>IF(AND(ISNUMBER(JM143),ISNUMBER(JK143)),JM143-JK143,"")</f>
        <v>0</v>
      </c>
      <c r="JM143" s="27">
        <v>3325</v>
      </c>
      <c r="JN143" s="28">
        <f>IF(AND(ISNUMBER(JO143),ISNUMBER(JM143)),JO143-JM143,"")</f>
        <v>0</v>
      </c>
      <c r="JO143" s="27">
        <v>3348</v>
      </c>
      <c r="JP143" s="28">
        <f>IF(AND(ISNUMBER(JQ143),ISNUMBER(JO143)),JQ143-JO143,"")</f>
        <v>0</v>
      </c>
      <c r="JQ143" s="27">
        <v>3382</v>
      </c>
      <c r="JR143" s="28">
        <f>IF(AND(ISNUMBER(JS143),ISNUMBER(JQ143)),JS143-JQ143,"")</f>
        <v>0</v>
      </c>
      <c r="JS143" s="27">
        <v>3404</v>
      </c>
      <c r="JT143" s="28">
        <f>IF(AND(ISNUMBER(JU143),ISNUMBER(JS143)),JU143-JS143,"")</f>
        <v>0</v>
      </c>
      <c r="JU143" s="27">
        <v>3421</v>
      </c>
      <c r="JV143" s="28">
        <f>IF(AND(ISNUMBER(JW143),ISNUMBER(JU143)),JW143-JU143,"")</f>
        <v>0</v>
      </c>
      <c r="JW143" s="27">
        <v>3439</v>
      </c>
      <c r="JX143" s="28">
        <f>IF(AND(ISNUMBER(JY143),ISNUMBER(JW143)),JY143-JW143,"")</f>
        <v>0</v>
      </c>
      <c r="JY143" s="27">
        <v>3479</v>
      </c>
      <c r="JZ143" s="28">
        <f>IF(AND(ISNUMBER(KA143),ISNUMBER(JY143)),KA143-JY143,"")</f>
        <v>0</v>
      </c>
      <c r="KA143" s="27"/>
      <c r="KB143" s="28">
        <f>IF(AND(ISNUMBER(KC143),ISNUMBER(KA143)),KC143-KA143,"")</f>
        <v>0</v>
      </c>
      <c r="KC143" s="27"/>
      <c r="KD143" s="28">
        <f>IF(AND(ISNUMBER(KE143),ISNUMBER(KC143)),KE143-KC143,"")</f>
        <v>0</v>
      </c>
      <c r="KE143" s="27"/>
      <c r="KF143" s="28">
        <f>IF(AND(ISNUMBER(KG143),ISNUMBER(KE143)),KG143-KE143,"")</f>
        <v>0</v>
      </c>
      <c r="KG143" s="27"/>
      <c r="KH143" s="28">
        <f>IF(AND(ISNUMBER(KI143),ISNUMBER(KG143)),KI143-KG143,"")</f>
        <v>0</v>
      </c>
      <c r="KI143" s="27"/>
      <c r="KJ143" s="28">
        <f>IF(AND(ISNUMBER(KK143),ISNUMBER(KI143)),KK143-KI143,"")</f>
        <v>0</v>
      </c>
      <c r="KK143" s="27"/>
      <c r="KL143" s="28">
        <f>IF(AND(ISNUMBER(KM143),ISNUMBER(KK143)),KM143-KK143,"")</f>
        <v>0</v>
      </c>
      <c r="KM143" s="27"/>
      <c r="KN143" s="28">
        <f>IF(AND(ISNUMBER(KO143),ISNUMBER(KM143)),KO143-KM143,"")</f>
        <v>0</v>
      </c>
      <c r="KO143" s="27"/>
      <c r="KP143" s="28">
        <f>IF(AND(ISNUMBER(KQ143),ISNUMBER(KO143)),KQ143-KO143,"")</f>
        <v>0</v>
      </c>
      <c r="KQ143" s="27"/>
      <c r="KR143" s="28">
        <f>IF(AND(ISNUMBER(KS143),ISNUMBER(KQ143)),KS143-KQ143,"")</f>
        <v>0</v>
      </c>
      <c r="KS143" s="27"/>
      <c r="KT143" s="28">
        <f>IF(AND(ISNUMBER(KU143),ISNUMBER(KS143)),KU143-KS143,"")</f>
        <v>0</v>
      </c>
      <c r="KU143" s="27"/>
      <c r="KV143" s="28">
        <f>IF(AND(ISNUMBER(KW143),ISNUMBER(KU143)),KW143-KU143,"")</f>
        <v>0</v>
      </c>
      <c r="KW143" s="27"/>
      <c r="KX143" s="28">
        <f>IF(AND(ISNUMBER(KY143),ISNUMBER(KW143)),KY143-KW143,"")</f>
        <v>0</v>
      </c>
      <c r="KY143" s="27"/>
      <c r="KZ143" s="28">
        <f>IF(AND(ISNUMBER(LA143),ISNUMBER(KY143)),LA143-KY143,"")</f>
        <v>0</v>
      </c>
      <c r="LA143" s="27"/>
      <c r="LB143" s="28">
        <f>IF(AND(ISNUMBER(LC143),ISNUMBER(LA143)),LC143-LA143,"")</f>
        <v>0</v>
      </c>
      <c r="LC143" s="27"/>
      <c r="LD143" s="28">
        <f>IF(AND(ISNUMBER(LE143),ISNUMBER(LC143)),LE143-LC143,"")</f>
        <v>0</v>
      </c>
      <c r="LE143" s="27"/>
      <c r="LF143" s="28">
        <f>IF(AND(ISNUMBER(LG143),ISNUMBER(LE143)),LG143-LE143,"")</f>
        <v>0</v>
      </c>
      <c r="LG143" s="27"/>
      <c r="LH143" s="30"/>
      <c r="LI143" s="30"/>
      <c r="LJ143" s="30"/>
    </row>
    <row r="144" spans="1:322">
      <c r="A144" s="22" t="s">
        <v>114</v>
      </c>
      <c r="B144" s="23" t="s">
        <v>1144</v>
      </c>
      <c r="C144" s="43" t="s">
        <v>938</v>
      </c>
      <c r="D144" s="43"/>
      <c r="E144" s="25" t="s">
        <v>1139</v>
      </c>
      <c r="F144" s="26"/>
      <c r="G144" s="26"/>
      <c r="H144" s="26"/>
      <c r="I144" s="27"/>
      <c r="J144" s="28">
        <f>IF(AND(ISNUMBER(K144),ISNUMBER(I144)),K144-I144,"")</f>
        <v>0</v>
      </c>
      <c r="K144" s="27"/>
      <c r="L144" s="28">
        <f>IF(AND(ISNUMBER(M144),ISNUMBER(K144)),M144-K144,"")</f>
        <v>0</v>
      </c>
      <c r="M144" s="27"/>
      <c r="N144" s="28">
        <f>IF(AND(ISNUMBER(O144),ISNUMBER(M144)),O144-M144,"")</f>
        <v>0</v>
      </c>
      <c r="O144" s="27"/>
      <c r="P144" s="28">
        <f>IF(AND(ISNUMBER(Q144),ISNUMBER(O144)),Q144-O144,"")</f>
        <v>0</v>
      </c>
      <c r="Q144" s="27"/>
      <c r="R144" s="28">
        <f>IF(AND(ISNUMBER(S144),ISNUMBER(Q144)),S144-Q144,"")</f>
        <v>0</v>
      </c>
      <c r="S144" s="27"/>
      <c r="T144" s="28">
        <f>IF(AND(ISNUMBER(U144),ISNUMBER(S144)),U144-S144,"")</f>
        <v>0</v>
      </c>
      <c r="U144" s="27"/>
      <c r="V144" s="28">
        <f>IF(AND(ISNUMBER(W144),ISNUMBER(U144)),W144-U144,"")</f>
        <v>0</v>
      </c>
      <c r="W144" s="27"/>
      <c r="X144" s="28">
        <f>IF(AND(ISNUMBER(Y144),ISNUMBER(W144)),Y144-W144,"")</f>
        <v>0</v>
      </c>
      <c r="Y144" s="27"/>
      <c r="Z144" s="28">
        <f>IF(AND(ISNUMBER(AA144),ISNUMBER(Y144)),AA144-Y144,"")</f>
        <v>0</v>
      </c>
      <c r="AA144" s="27"/>
      <c r="AB144" s="28">
        <f>IF(AND(ISNUMBER(AC144),ISNUMBER(AA144)),AC144-AA144,"")</f>
        <v>0</v>
      </c>
      <c r="AC144" s="27"/>
      <c r="AD144" s="28">
        <f>IF(AND(ISNUMBER(AE144),ISNUMBER(AC144)),AE144-AC144,"")</f>
        <v>0</v>
      </c>
      <c r="AE144" s="27"/>
      <c r="AF144" s="28">
        <f>IF(AND(ISNUMBER(AG144),ISNUMBER(AE144)),AG144-AE144,"")</f>
        <v>0</v>
      </c>
      <c r="AG144" s="27"/>
      <c r="AH144" s="28">
        <f>IF(AND(ISNUMBER(AI144),ISNUMBER(AG144)),AI144-AG144,"")</f>
        <v>0</v>
      </c>
      <c r="AI144" s="27"/>
      <c r="AJ144" s="28">
        <f>IF(AND(ISNUMBER(AK144),ISNUMBER(AI144)),AK144-AI144,"")</f>
        <v>0</v>
      </c>
      <c r="AK144" s="27"/>
      <c r="AL144" s="28">
        <f>IF(AND(ISNUMBER(AM144),ISNUMBER(AK144)),AM144-AK144,"")</f>
        <v>0</v>
      </c>
      <c r="AM144" s="27"/>
      <c r="AN144" s="28">
        <f>IF(AND(ISNUMBER(AO144),ISNUMBER(AM144)),AO144-AM144,"")</f>
        <v>0</v>
      </c>
      <c r="AO144" s="27"/>
      <c r="AP144" s="28">
        <f>IF(AND(ISNUMBER(AQ144),ISNUMBER(AO144)),AQ144-AO144,"")</f>
        <v>0</v>
      </c>
      <c r="AQ144" s="27"/>
      <c r="AR144" s="28">
        <f>IF(AND(ISNUMBER(AS144),ISNUMBER(AQ144)),AS144-AQ144,"")</f>
        <v>0</v>
      </c>
      <c r="AS144" s="27"/>
      <c r="AT144" s="28">
        <f>IF(AND(ISNUMBER(AU144),ISNUMBER(AS144)),AU144-AS144,"")</f>
        <v>0</v>
      </c>
      <c r="AU144" s="27"/>
      <c r="AV144" s="28">
        <f>IF(AND(ISNUMBER(AW144),ISNUMBER(AU144)),AW144-AU144,"")</f>
        <v>0</v>
      </c>
      <c r="AW144" s="27"/>
      <c r="AX144" s="28">
        <f>IF(AND(ISNUMBER(AY144),ISNUMBER(AW144)),AY144-AW144,"")</f>
        <v>0</v>
      </c>
      <c r="AY144" s="27"/>
      <c r="AZ144" s="28">
        <f>IF(AND(ISNUMBER(BA144),ISNUMBER(AY144)),BA144-AY144,"")</f>
        <v>0</v>
      </c>
      <c r="BA144" s="27"/>
      <c r="BB144" s="28">
        <f>IF(AND(ISNUMBER(BC144),ISNUMBER(BA144)),BC144-BA144,"")</f>
        <v>0</v>
      </c>
      <c r="BC144" s="27"/>
      <c r="BD144" s="28">
        <f>IF(AND(ISNUMBER(BE144),ISNUMBER(BC144)),BE144-BC144,"")</f>
        <v>0</v>
      </c>
      <c r="BE144" s="27"/>
      <c r="BF144" s="28">
        <f>IF(AND(ISNUMBER(BG144),ISNUMBER(BE144)),BG144-BE144,"")</f>
        <v>0</v>
      </c>
      <c r="BG144" s="27"/>
      <c r="BH144" s="28">
        <f>IF(AND(ISNUMBER(BI144),ISNUMBER(BG144)),BI144-BG144,"")</f>
        <v>0</v>
      </c>
      <c r="BI144" s="27"/>
      <c r="BJ144" s="28">
        <f>IF(AND(ISNUMBER(BK144),ISNUMBER(BI144)),BK144-BI144,"")</f>
        <v>0</v>
      </c>
      <c r="BK144" s="27"/>
      <c r="BL144" s="28">
        <f>IF(AND(ISNUMBER(BM144),ISNUMBER(BK144)),BM144-BK144,"")</f>
        <v>0</v>
      </c>
      <c r="BM144" s="27"/>
      <c r="BN144" s="28">
        <f>IF(AND(ISNUMBER(BO144),ISNUMBER(BM144)),BO144-BM144,"")</f>
        <v>0</v>
      </c>
      <c r="BO144" s="27"/>
      <c r="BP144" s="28">
        <f>IF(AND(ISNUMBER(BQ144),ISNUMBER(BO144)),BQ144-BO144,"")</f>
        <v>0</v>
      </c>
      <c r="BQ144" s="27"/>
      <c r="BR144" s="28">
        <f>IF(AND(ISNUMBER(BS144),ISNUMBER(BQ144)),BS144-BQ144,"")</f>
        <v>0</v>
      </c>
      <c r="BS144" s="27"/>
      <c r="BT144" s="28">
        <f>IF(AND(ISNUMBER(BU144),ISNUMBER(BS144)),BU144-BS144,"")</f>
        <v>0</v>
      </c>
      <c r="BU144" s="27"/>
      <c r="BV144" s="28">
        <f>IF(AND(ISNUMBER(BW144),ISNUMBER(BU144)),BW144-BU144,"")</f>
        <v>0</v>
      </c>
      <c r="BW144" s="27"/>
      <c r="BX144" s="28">
        <f>IF(AND(ISNUMBER(BY144),ISNUMBER(BW144)),BY144-BW144,"")</f>
        <v>0</v>
      </c>
      <c r="BY144" s="27"/>
      <c r="BZ144" s="28">
        <f>IF(AND(ISNUMBER(CA144),ISNUMBER(BY144)),CA144-BY144,"")</f>
        <v>0</v>
      </c>
      <c r="CA144" s="27"/>
      <c r="CB144" s="28">
        <f>IF(AND(ISNUMBER(CC144),ISNUMBER(CA144)),CC144-CA144,"")</f>
        <v>0</v>
      </c>
      <c r="CC144" s="27"/>
      <c r="CD144" s="28">
        <f>IF(AND(ISNUMBER(CE144),ISNUMBER(CC144)),CE144-CC144,"")</f>
        <v>0</v>
      </c>
      <c r="CE144" s="27"/>
      <c r="CF144" s="28">
        <f>IF(AND(ISNUMBER(CG144),ISNUMBER(CE144)),CG144-CE144,"")</f>
        <v>0</v>
      </c>
      <c r="CG144" s="27"/>
      <c r="CH144" s="28">
        <f>IF(AND(ISNUMBER(CI144),ISNUMBER(CG144)),CI144-CG144,"")</f>
        <v>0</v>
      </c>
      <c r="CI144" s="27"/>
      <c r="CJ144" s="28">
        <f>IF(AND(ISNUMBER(CK144),ISNUMBER(CI144)),CK144-CI144,"")</f>
        <v>0</v>
      </c>
      <c r="CK144" s="27"/>
      <c r="CL144" s="28">
        <f>IF(AND(ISNUMBER(CM144),ISNUMBER(CK144)),CM144-CK144,"")</f>
        <v>0</v>
      </c>
      <c r="CM144" s="27"/>
      <c r="CN144" s="28">
        <f>IF(AND(ISNUMBER(CO144),ISNUMBER(CM144)),CO144-CM144,"")</f>
        <v>0</v>
      </c>
      <c r="CO144" s="27"/>
      <c r="CP144" s="28">
        <f>IF(AND(ISNUMBER(CQ144),ISNUMBER(CO144)),CQ144-CO144,"")</f>
        <v>0</v>
      </c>
      <c r="CQ144" s="27"/>
      <c r="CR144" s="28">
        <f>IF(AND(ISNUMBER(CS144),ISNUMBER(CQ144)),CS144-CQ144,"")</f>
        <v>0</v>
      </c>
      <c r="CS144" s="27"/>
      <c r="CT144" s="28">
        <f>IF(AND(ISNUMBER(CU144),ISNUMBER(CS144)),CU144-CS144,"")</f>
        <v>0</v>
      </c>
      <c r="CU144" s="27"/>
      <c r="CV144" s="28">
        <f>IF(AND(ISNUMBER(CW144),ISNUMBER(CU144)),CW144-CU144,"")</f>
        <v>0</v>
      </c>
      <c r="CW144" s="27"/>
      <c r="CX144" s="28">
        <f>IF(AND(ISNUMBER(CY144),ISNUMBER(CW144)),CY144-CW144,"")</f>
        <v>0</v>
      </c>
      <c r="CY144" s="27"/>
      <c r="CZ144" s="28">
        <f>IF(AND(ISNUMBER(DA144),ISNUMBER(CY144)),DA144-CY144,"")</f>
        <v>0</v>
      </c>
      <c r="DA144" s="27"/>
      <c r="DB144" s="28">
        <f>IF(AND(ISNUMBER(DC144),ISNUMBER(DA144)),DC144-DA144,"")</f>
        <v>0</v>
      </c>
      <c r="DC144" s="27"/>
      <c r="DD144" s="28">
        <f>IF(AND(ISNUMBER(DE144),ISNUMBER(DC144)),DE144-DC144,"")</f>
        <v>0</v>
      </c>
      <c r="DE144" s="27"/>
      <c r="DF144" s="28">
        <f>IF(AND(ISNUMBER(DG144),ISNUMBER(DE144)),DG144-DE144,"")</f>
        <v>0</v>
      </c>
      <c r="DG144" s="27"/>
      <c r="DH144" s="28">
        <f>IF(AND(ISNUMBER(DI144),ISNUMBER(DG144)),DI144-DG144,"")</f>
        <v>0</v>
      </c>
      <c r="DI144" s="27"/>
      <c r="DJ144" s="28">
        <f>IF(AND(ISNUMBER(DK144),ISNUMBER(DI144)),DK144-DI144,"")</f>
        <v>0</v>
      </c>
      <c r="DK144" s="27"/>
      <c r="DL144" s="28">
        <f>IF(AND(ISNUMBER(DM144),ISNUMBER(DK144)),DM144-DK144,"")</f>
        <v>0</v>
      </c>
      <c r="DM144" s="27"/>
      <c r="DN144" s="28">
        <f>IF(AND(ISNUMBER(DO144),ISNUMBER(DM144)),DO144-DM144,"")</f>
        <v>0</v>
      </c>
      <c r="DO144" s="27"/>
      <c r="DP144" s="28">
        <f>IF(AND(ISNUMBER(DQ144),ISNUMBER(DO144)),DQ144-DO144,"")</f>
        <v>0</v>
      </c>
      <c r="DQ144" s="27"/>
      <c r="DR144" s="28">
        <f>IF(AND(ISNUMBER(DS144),ISNUMBER(DQ144)),DS144-DQ144,"")</f>
        <v>0</v>
      </c>
      <c r="DS144" s="27"/>
      <c r="DT144" s="28">
        <f>IF(AND(ISNUMBER(DU144),ISNUMBER(DS144)),DU144-DS144,"")</f>
        <v>0</v>
      </c>
      <c r="DU144" s="27"/>
      <c r="DV144" s="28">
        <f>IF(AND(ISNUMBER(DW144),ISNUMBER(DU144)),DW144-DU144,"")</f>
        <v>0</v>
      </c>
      <c r="DW144" s="27"/>
      <c r="DX144" s="28">
        <f>IF(AND(ISNUMBER(DY144),ISNUMBER(DW144)),DY144-DW144,"")</f>
        <v>0</v>
      </c>
      <c r="DY144" s="27"/>
      <c r="DZ144" s="28">
        <f>IF(AND(ISNUMBER(EA144),ISNUMBER(DY144)),EA144-DY144,"")</f>
        <v>0</v>
      </c>
      <c r="EA144" s="27"/>
      <c r="EB144" s="28">
        <f>IF(AND(ISNUMBER(EC144),ISNUMBER(EA144)),EC144-EA144,"")</f>
        <v>0</v>
      </c>
      <c r="EC144" s="27"/>
      <c r="ED144" s="28">
        <f>IF(AND(ISNUMBER(EE144),ISNUMBER(EC144)),EE144-EC144,"")</f>
        <v>0</v>
      </c>
      <c r="EE144" s="27"/>
      <c r="EF144" s="28">
        <f>IF(AND(ISNUMBER(EG144),ISNUMBER(EE144)),EG144-EE144,"")</f>
        <v>0</v>
      </c>
      <c r="EG144" s="27"/>
      <c r="EH144" s="28">
        <f>IF(AND(ISNUMBER(EI144),ISNUMBER(EG144)),EI144-EG144,"")</f>
        <v>0</v>
      </c>
      <c r="EI144" s="27"/>
      <c r="EJ144" s="28">
        <f>IF(AND(ISNUMBER(EK144),ISNUMBER(EI144)),EK144-EI144,"")</f>
        <v>0</v>
      </c>
      <c r="EK144" s="27"/>
      <c r="EL144" s="28">
        <f>IF(AND(ISNUMBER(EM144),ISNUMBER(EK144)),EM144-EK144,"")</f>
        <v>0</v>
      </c>
      <c r="EM144" s="27"/>
      <c r="EN144" s="28">
        <f>IF(AND(ISNUMBER(EO144),ISNUMBER(EM144)),EO144-EM144,"")</f>
        <v>0</v>
      </c>
      <c r="EO144" s="27"/>
      <c r="EP144" s="28">
        <f>IF(AND(ISNUMBER(EQ144),ISNUMBER(EO144)),EQ144-EO144,"")</f>
        <v>0</v>
      </c>
      <c r="EQ144" s="27"/>
      <c r="ER144" s="28">
        <f>IF(AND(ISNUMBER(ES144),ISNUMBER(EQ144)),ES144-EQ144,"")</f>
        <v>0</v>
      </c>
      <c r="ES144" s="27"/>
      <c r="ET144" s="28">
        <f>IF(AND(ISNUMBER(EU144),ISNUMBER(ES144)),EU144-ES144,"")</f>
        <v>0</v>
      </c>
      <c r="EU144" s="27"/>
      <c r="EV144" s="28">
        <f>IF(AND(ISNUMBER(EW144),ISNUMBER(EU144)),EW144-EU144,"")</f>
        <v>0</v>
      </c>
      <c r="EW144" s="27"/>
      <c r="EX144" s="28">
        <f>IF(AND(ISNUMBER(EY144),ISNUMBER(EW144)),EY144-EW144,"")</f>
        <v>0</v>
      </c>
      <c r="EY144" s="27"/>
      <c r="EZ144" s="28">
        <f>IF(AND(ISNUMBER(FA144),ISNUMBER(EY144)),FA144-EY144,"")</f>
        <v>0</v>
      </c>
      <c r="FA144" s="27"/>
      <c r="FB144" s="28">
        <f>IF(AND(ISNUMBER(FC144),ISNUMBER(FA144)),FC144-FA144,"")</f>
        <v>0</v>
      </c>
      <c r="FC144" s="27"/>
      <c r="FD144" s="28">
        <f>IF(AND(ISNUMBER(FE144),ISNUMBER(FC144)),FE144-FC144,"")</f>
        <v>0</v>
      </c>
      <c r="FE144" s="27"/>
      <c r="FF144" s="28">
        <f>IF(AND(ISNUMBER(FG144),ISNUMBER(FE144)),FG144-FE144,"")</f>
        <v>0</v>
      </c>
      <c r="FG144" s="27"/>
      <c r="FH144" s="28">
        <f>IF(AND(ISNUMBER(FI144),ISNUMBER(FG144)),FI144-FG144,"")</f>
        <v>0</v>
      </c>
      <c r="FI144" s="27"/>
      <c r="FJ144" s="28">
        <f>IF(AND(ISNUMBER(FK144),ISNUMBER(FI144)),FK144-FI144,"")</f>
        <v>0</v>
      </c>
      <c r="FK144" s="27"/>
      <c r="FL144" s="28">
        <f>IF(AND(ISNUMBER(FM144),ISNUMBER(FK144)),FM144-FK144,"")</f>
        <v>0</v>
      </c>
      <c r="FM144" s="27"/>
      <c r="FN144" s="28">
        <f>IF(AND(ISNUMBER(FO144),ISNUMBER(FM144)),FO144-FM144,"")</f>
        <v>0</v>
      </c>
      <c r="FO144" s="27"/>
      <c r="FP144" s="28">
        <f>IF(AND(ISNUMBER(FQ144),ISNUMBER(FO144)),FQ144-FO144,"")</f>
        <v>0</v>
      </c>
      <c r="FQ144" s="27"/>
      <c r="FR144" s="28">
        <f>IF(AND(ISNUMBER(FS144),ISNUMBER(FQ144)),FS144-FQ144,"")</f>
        <v>0</v>
      </c>
      <c r="FS144" s="27"/>
      <c r="FT144" s="28">
        <f>IF(AND(ISNUMBER(FU144),ISNUMBER(FS144)),FU144-FS144,"")</f>
        <v>0</v>
      </c>
      <c r="FU144" s="27"/>
      <c r="FV144" s="28">
        <f>IF(AND(ISNUMBER(FW144),ISNUMBER(FU144)),FW144-FU144,"")</f>
        <v>0</v>
      </c>
      <c r="FW144" s="27"/>
      <c r="FX144" s="28">
        <f>IF(AND(ISNUMBER(FY144),ISNUMBER(FW144)),FY144-FW144,"")</f>
        <v>0</v>
      </c>
      <c r="FY144" s="27"/>
      <c r="FZ144" s="28">
        <f>IF(AND(ISNUMBER(GA144),ISNUMBER(FY144)),GA144-FY144,"")</f>
        <v>0</v>
      </c>
      <c r="GA144" s="27"/>
      <c r="GB144" s="28">
        <f>IF(AND(ISNUMBER(GC144),ISNUMBER(GA144)),GC144-GA144,"")</f>
        <v>0</v>
      </c>
      <c r="GC144" s="27"/>
      <c r="GD144" s="28">
        <f>IF(AND(ISNUMBER(GE144),ISNUMBER(GC144)),GE144-GC144,"")</f>
        <v>0</v>
      </c>
      <c r="GE144" s="27"/>
      <c r="GF144" s="28">
        <f>IF(AND(ISNUMBER(GG144),ISNUMBER(GE144)),GG144-GE144,"")</f>
        <v>0</v>
      </c>
      <c r="GG144" s="27"/>
      <c r="GH144" s="28">
        <f>IF(AND(ISNUMBER(GI144),ISNUMBER(GG144)),GI144-GG144,"")</f>
        <v>0</v>
      </c>
      <c r="GI144" s="27"/>
      <c r="GJ144" s="28">
        <f>IF(AND(ISNUMBER(GK144),ISNUMBER(GI144)),GK144-GI144,"")</f>
        <v>0</v>
      </c>
      <c r="GK144" s="27"/>
      <c r="GL144" s="28">
        <f>IF(AND(ISNUMBER(GM144),ISNUMBER(GK144)),GM144-GK144,"")</f>
        <v>0</v>
      </c>
      <c r="GM144" s="27">
        <v>1755</v>
      </c>
      <c r="GN144" s="28">
        <f>IF(AND(ISNUMBER(GO144),ISNUMBER(GM144)),GO144-GM144,"")</f>
        <v>0</v>
      </c>
      <c r="GO144" s="27">
        <v>1813</v>
      </c>
      <c r="GP144" s="28">
        <f>IF(AND(ISNUMBER(GQ144),ISNUMBER(GO144)),GQ144-GO144,"")</f>
        <v>0</v>
      </c>
      <c r="GQ144" s="27">
        <v>1759</v>
      </c>
      <c r="GR144" s="28">
        <f>IF(AND(ISNUMBER(GS144),ISNUMBER(GQ144)),GS144-GQ144,"")</f>
        <v>0</v>
      </c>
      <c r="GS144" s="27">
        <v>912</v>
      </c>
      <c r="GT144" s="28">
        <f>IF(AND(ISNUMBER(GU144),ISNUMBER(GS144)),GU144-GS144,"")</f>
        <v>0</v>
      </c>
      <c r="GU144" s="27">
        <v>942</v>
      </c>
      <c r="GV144" s="28">
        <f>IF(AND(ISNUMBER(GW144),ISNUMBER(GU144)),GW144-GU144,"")</f>
        <v>0</v>
      </c>
      <c r="GW144" s="27">
        <v>938</v>
      </c>
      <c r="GX144" s="28">
        <f>IF(AND(ISNUMBER(GY144),ISNUMBER(GW144)),GY144-GW144,"")</f>
        <v>0</v>
      </c>
      <c r="GY144" s="27">
        <v>961</v>
      </c>
      <c r="GZ144" s="28">
        <f>IF(AND(ISNUMBER(HA144),ISNUMBER(GY144)),HA144-GY144,"")</f>
        <v>0</v>
      </c>
      <c r="HA144" s="27">
        <v>1008</v>
      </c>
      <c r="HB144" s="28">
        <f>IF(AND(ISNUMBER(HC144),ISNUMBER(HA144)),HC144-HA144,"")</f>
        <v>0</v>
      </c>
      <c r="HC144" s="27">
        <v>818</v>
      </c>
      <c r="HD144" s="28">
        <f>IF(AND(ISNUMBER(HE144),ISNUMBER(HC144)),HE144-HC144,"")</f>
        <v>0</v>
      </c>
      <c r="HE144" s="27">
        <v>612</v>
      </c>
      <c r="HF144" s="28">
        <f>IF(AND(ISNUMBER(HG144),ISNUMBER(HE144)),HG144-HE144,"")</f>
        <v>0</v>
      </c>
      <c r="HG144" s="27">
        <v>565</v>
      </c>
      <c r="HH144" s="28">
        <f>IF(AND(ISNUMBER(HI144),ISNUMBER(HG144)),HI144-HG144,"")</f>
        <v>0</v>
      </c>
      <c r="HI144" s="27">
        <v>481</v>
      </c>
      <c r="HJ144" s="28">
        <f>IF(AND(ISNUMBER(HK144),ISNUMBER(HI144)),HK144-HI144,"")</f>
        <v>0</v>
      </c>
      <c r="HK144" s="27">
        <v>471</v>
      </c>
      <c r="HL144" s="28">
        <f>IF(AND(ISNUMBER(HM144),ISNUMBER(HK144)),HM144-HK144,"")</f>
        <v>0</v>
      </c>
      <c r="HM144" s="27">
        <v>443</v>
      </c>
      <c r="HN144" s="28">
        <f>IF(AND(ISNUMBER(HO144),ISNUMBER(HM144)),HO144-HM144,"")</f>
        <v>0</v>
      </c>
      <c r="HO144" s="27">
        <v>1233</v>
      </c>
      <c r="HP144" s="28">
        <f>IF(AND(ISNUMBER(HQ144),ISNUMBER(HO144)),HQ144-HO144,"")</f>
        <v>0</v>
      </c>
      <c r="HQ144" s="27">
        <v>1036</v>
      </c>
      <c r="HR144" s="28">
        <f>IF(AND(ISNUMBER(HS144),ISNUMBER(HQ144)),HS144-HQ144,"")</f>
        <v>0</v>
      </c>
      <c r="HS144" s="27">
        <v>752</v>
      </c>
      <c r="HT144" s="28">
        <f>IF(AND(ISNUMBER(HU144),ISNUMBER(HS144)),HU144-HS144,"")</f>
        <v>0</v>
      </c>
      <c r="HU144" s="27">
        <v>779</v>
      </c>
      <c r="HV144" s="28">
        <f>IF(AND(ISNUMBER(HW144),ISNUMBER(HU144)),HW144-HU144,"")</f>
        <v>0</v>
      </c>
      <c r="HW144" s="27">
        <v>745</v>
      </c>
      <c r="HX144" s="28">
        <f>IF(AND(ISNUMBER(HY144),ISNUMBER(HW144)),HY144-HW144,"")</f>
        <v>0</v>
      </c>
      <c r="HY144" s="27">
        <v>715</v>
      </c>
      <c r="HZ144" s="28">
        <f>IF(AND(ISNUMBER(IA144),ISNUMBER(HY144)),IA144-HY144,"")</f>
        <v>0</v>
      </c>
      <c r="IA144" s="27">
        <v>709</v>
      </c>
      <c r="IB144" s="28">
        <f>IF(AND(ISNUMBER(IC144),ISNUMBER(IA144)),IC144-IA144,"")</f>
        <v>0</v>
      </c>
      <c r="IC144" s="27">
        <v>683</v>
      </c>
      <c r="ID144" s="28">
        <f>IF(AND(ISNUMBER(IE144),ISNUMBER(IC144)),IE144-IC144,"")</f>
        <v>0</v>
      </c>
      <c r="IE144" s="27">
        <v>663</v>
      </c>
      <c r="IF144" s="28">
        <f>IF(AND(ISNUMBER(IG144),ISNUMBER(IE144)),IG144-IE144,"")</f>
        <v>0</v>
      </c>
      <c r="IG144" s="27">
        <v>640</v>
      </c>
      <c r="IH144" s="28">
        <f>IF(AND(ISNUMBER(II144),ISNUMBER(IG144)),II144-IG144,"")</f>
        <v>0</v>
      </c>
      <c r="II144" s="27">
        <v>702</v>
      </c>
      <c r="IJ144" s="28">
        <f>IF(AND(ISNUMBER(IK144),ISNUMBER(II144)),IK144-II144,"")</f>
        <v>0</v>
      </c>
      <c r="IK144" s="27">
        <v>694</v>
      </c>
      <c r="IL144" s="28">
        <f>IF(AND(ISNUMBER(IM144),ISNUMBER(IK144)),IM144-IK144,"")</f>
        <v>0</v>
      </c>
      <c r="IM144" s="27">
        <v>705</v>
      </c>
      <c r="IN144" s="28">
        <f>IF(AND(ISNUMBER(IO144),ISNUMBER(IM144)),IO144-IM144,"")</f>
        <v>0</v>
      </c>
      <c r="IO144" s="27">
        <v>674</v>
      </c>
      <c r="IP144" s="28">
        <f>IF(AND(ISNUMBER(IQ144),ISNUMBER(IO144)),IQ144-IO144,"")</f>
        <v>0</v>
      </c>
      <c r="IQ144" s="27">
        <v>690</v>
      </c>
      <c r="IR144" s="28">
        <f>IF(AND(ISNUMBER(IS144),ISNUMBER(IQ144)),IS144-IQ144,"")</f>
        <v>0</v>
      </c>
      <c r="IS144" s="27">
        <v>715</v>
      </c>
      <c r="IT144" s="28">
        <f>IF(AND(ISNUMBER(IU144),ISNUMBER(IS144)),IU144-IS144,"")</f>
        <v>0</v>
      </c>
      <c r="IU144" s="27">
        <v>779</v>
      </c>
      <c r="IV144" s="28">
        <f>IF(AND(ISNUMBER(IW144),ISNUMBER(IU144)),IW144-IU144,"")</f>
        <v>0</v>
      </c>
      <c r="IW144" s="27">
        <v>748</v>
      </c>
      <c r="IX144" s="28">
        <f>IF(AND(ISNUMBER(IY144),ISNUMBER(IW144)),IY144-IW144,"")</f>
        <v>0</v>
      </c>
      <c r="IY144" s="27">
        <v>709</v>
      </c>
      <c r="IZ144" s="28">
        <f>IF(AND(ISNUMBER(JA144),ISNUMBER(IY144)),JA144-IY144,"")</f>
        <v>0</v>
      </c>
      <c r="JA144" s="27">
        <v>728</v>
      </c>
      <c r="JB144" s="28">
        <f>IF(AND(ISNUMBER(JC144),ISNUMBER(JA144)),JC144-JA144,"")</f>
        <v>0</v>
      </c>
      <c r="JC144" s="27">
        <v>730</v>
      </c>
      <c r="JD144" s="28">
        <f>IF(AND(ISNUMBER(JE144),ISNUMBER(JC144)),JE144-JC144,"")</f>
        <v>0</v>
      </c>
      <c r="JE144" s="27">
        <v>745</v>
      </c>
      <c r="JF144" s="28">
        <f>IF(AND(ISNUMBER(JG144),ISNUMBER(JE144)),JG144-JE144,"")</f>
        <v>0</v>
      </c>
      <c r="JG144" s="27">
        <v>748</v>
      </c>
      <c r="JH144" s="28">
        <f>IF(AND(ISNUMBER(JI144),ISNUMBER(JG144)),JI144-JG144,"")</f>
        <v>0</v>
      </c>
      <c r="JI144" s="27">
        <v>736</v>
      </c>
      <c r="JJ144" s="28">
        <f>IF(AND(ISNUMBER(JK144),ISNUMBER(JI144)),JK144-JI144,"")</f>
        <v>0</v>
      </c>
      <c r="JK144" s="27">
        <v>746</v>
      </c>
      <c r="JL144" s="28">
        <f>IF(AND(ISNUMBER(JM144),ISNUMBER(JK144)),JM144-JK144,"")</f>
        <v>0</v>
      </c>
      <c r="JM144" s="27">
        <v>730</v>
      </c>
      <c r="JN144" s="28">
        <f>IF(AND(ISNUMBER(JO144),ISNUMBER(JM144)),JO144-JM144,"")</f>
        <v>0</v>
      </c>
      <c r="JO144" s="27">
        <v>747</v>
      </c>
      <c r="JP144" s="28">
        <f>IF(AND(ISNUMBER(JQ144),ISNUMBER(JO144)),JQ144-JO144,"")</f>
        <v>0</v>
      </c>
      <c r="JQ144" s="27">
        <v>749</v>
      </c>
      <c r="JR144" s="28">
        <f>IF(AND(ISNUMBER(JS144),ISNUMBER(JQ144)),JS144-JQ144,"")</f>
        <v>0</v>
      </c>
      <c r="JS144" s="27">
        <v>759</v>
      </c>
      <c r="JT144" s="28">
        <f>IF(AND(ISNUMBER(JU144),ISNUMBER(JS144)),JU144-JS144,"")</f>
        <v>0</v>
      </c>
      <c r="JU144" s="27">
        <v>764</v>
      </c>
      <c r="JV144" s="28">
        <f>IF(AND(ISNUMBER(JW144),ISNUMBER(JU144)),JW144-JU144,"")</f>
        <v>0</v>
      </c>
      <c r="JW144" s="27">
        <v>782</v>
      </c>
      <c r="JX144" s="28">
        <f>IF(AND(ISNUMBER(JY144),ISNUMBER(JW144)),JY144-JW144,"")</f>
        <v>0</v>
      </c>
      <c r="JY144" s="27">
        <v>826</v>
      </c>
      <c r="JZ144" s="28">
        <f>IF(AND(ISNUMBER(KA144),ISNUMBER(JY144)),KA144-JY144,"")</f>
        <v>0</v>
      </c>
      <c r="KA144" s="27"/>
      <c r="KB144" s="28">
        <f>IF(AND(ISNUMBER(KC144),ISNUMBER(KA144)),KC144-KA144,"")</f>
        <v>0</v>
      </c>
      <c r="KC144" s="27"/>
      <c r="KD144" s="28">
        <f>IF(AND(ISNUMBER(KE144),ISNUMBER(KC144)),KE144-KC144,"")</f>
        <v>0</v>
      </c>
      <c r="KE144" s="27"/>
      <c r="KF144" s="28">
        <f>IF(AND(ISNUMBER(KG144),ISNUMBER(KE144)),KG144-KE144,"")</f>
        <v>0</v>
      </c>
      <c r="KG144" s="27"/>
      <c r="KH144" s="28">
        <f>IF(AND(ISNUMBER(KI144),ISNUMBER(KG144)),KI144-KG144,"")</f>
        <v>0</v>
      </c>
      <c r="KI144" s="27"/>
      <c r="KJ144" s="28">
        <f>IF(AND(ISNUMBER(KK144),ISNUMBER(KI144)),KK144-KI144,"")</f>
        <v>0</v>
      </c>
      <c r="KK144" s="27"/>
      <c r="KL144" s="28">
        <f>IF(AND(ISNUMBER(KM144),ISNUMBER(KK144)),KM144-KK144,"")</f>
        <v>0</v>
      </c>
      <c r="KM144" s="27"/>
      <c r="KN144" s="28">
        <f>IF(AND(ISNUMBER(KO144),ISNUMBER(KM144)),KO144-KM144,"")</f>
        <v>0</v>
      </c>
      <c r="KO144" s="27"/>
      <c r="KP144" s="28">
        <f>IF(AND(ISNUMBER(KQ144),ISNUMBER(KO144)),KQ144-KO144,"")</f>
        <v>0</v>
      </c>
      <c r="KQ144" s="27"/>
      <c r="KR144" s="28">
        <f>IF(AND(ISNUMBER(KS144),ISNUMBER(KQ144)),KS144-KQ144,"")</f>
        <v>0</v>
      </c>
      <c r="KS144" s="27"/>
      <c r="KT144" s="28">
        <f>IF(AND(ISNUMBER(KU144),ISNUMBER(KS144)),KU144-KS144,"")</f>
        <v>0</v>
      </c>
      <c r="KU144" s="27"/>
      <c r="KV144" s="28">
        <f>IF(AND(ISNUMBER(KW144),ISNUMBER(KU144)),KW144-KU144,"")</f>
        <v>0</v>
      </c>
      <c r="KW144" s="27"/>
      <c r="KX144" s="28">
        <f>IF(AND(ISNUMBER(KY144),ISNUMBER(KW144)),KY144-KW144,"")</f>
        <v>0</v>
      </c>
      <c r="KY144" s="27"/>
      <c r="KZ144" s="28">
        <f>IF(AND(ISNUMBER(LA144),ISNUMBER(KY144)),LA144-KY144,"")</f>
        <v>0</v>
      </c>
      <c r="LA144" s="27"/>
      <c r="LB144" s="28">
        <f>IF(AND(ISNUMBER(LC144),ISNUMBER(LA144)),LC144-LA144,"")</f>
        <v>0</v>
      </c>
      <c r="LC144" s="27"/>
      <c r="LD144" s="28">
        <f>IF(AND(ISNUMBER(LE144),ISNUMBER(LC144)),LE144-LC144,"")</f>
        <v>0</v>
      </c>
      <c r="LE144" s="27"/>
      <c r="LF144" s="28">
        <f>IF(AND(ISNUMBER(LG144),ISNUMBER(LE144)),LG144-LE144,"")</f>
        <v>0</v>
      </c>
      <c r="LG144" s="27"/>
      <c r="LH144" s="30"/>
      <c r="LI144" s="30"/>
      <c r="LJ144" s="30"/>
    </row>
    <row r="145" spans="1:322">
      <c r="A145" s="22" t="s">
        <v>115</v>
      </c>
      <c r="B145" s="23" t="s">
        <v>1144</v>
      </c>
      <c r="C145" s="43" t="s">
        <v>940</v>
      </c>
      <c r="D145" s="43"/>
      <c r="E145" s="25" t="s">
        <v>1139</v>
      </c>
      <c r="F145" s="26"/>
      <c r="G145" s="26"/>
      <c r="H145" s="26"/>
      <c r="I145" s="27"/>
      <c r="J145" s="28">
        <f>IF(AND(ISNUMBER(K145),ISNUMBER(I145)),K145-I145,"")</f>
        <v>0</v>
      </c>
      <c r="K145" s="27"/>
      <c r="L145" s="28">
        <f>IF(AND(ISNUMBER(M145),ISNUMBER(K145)),M145-K145,"")</f>
        <v>0</v>
      </c>
      <c r="M145" s="27"/>
      <c r="N145" s="28">
        <f>IF(AND(ISNUMBER(O145),ISNUMBER(M145)),O145-M145,"")</f>
        <v>0</v>
      </c>
      <c r="O145" s="27"/>
      <c r="P145" s="28">
        <f>IF(AND(ISNUMBER(Q145),ISNUMBER(O145)),Q145-O145,"")</f>
        <v>0</v>
      </c>
      <c r="Q145" s="27"/>
      <c r="R145" s="28">
        <f>IF(AND(ISNUMBER(S145),ISNUMBER(Q145)),S145-Q145,"")</f>
        <v>0</v>
      </c>
      <c r="S145" s="27"/>
      <c r="T145" s="28">
        <f>IF(AND(ISNUMBER(U145),ISNUMBER(S145)),U145-S145,"")</f>
        <v>0</v>
      </c>
      <c r="U145" s="27"/>
      <c r="V145" s="28">
        <f>IF(AND(ISNUMBER(W145),ISNUMBER(U145)),W145-U145,"")</f>
        <v>0</v>
      </c>
      <c r="W145" s="27"/>
      <c r="X145" s="28">
        <f>IF(AND(ISNUMBER(Y145),ISNUMBER(W145)),Y145-W145,"")</f>
        <v>0</v>
      </c>
      <c r="Y145" s="27"/>
      <c r="Z145" s="28">
        <f>IF(AND(ISNUMBER(AA145),ISNUMBER(Y145)),AA145-Y145,"")</f>
        <v>0</v>
      </c>
      <c r="AA145" s="27"/>
      <c r="AB145" s="28">
        <f>IF(AND(ISNUMBER(AC145),ISNUMBER(AA145)),AC145-AA145,"")</f>
        <v>0</v>
      </c>
      <c r="AC145" s="27"/>
      <c r="AD145" s="28">
        <f>IF(AND(ISNUMBER(AE145),ISNUMBER(AC145)),AE145-AC145,"")</f>
        <v>0</v>
      </c>
      <c r="AE145" s="27"/>
      <c r="AF145" s="28">
        <f>IF(AND(ISNUMBER(AG145),ISNUMBER(AE145)),AG145-AE145,"")</f>
        <v>0</v>
      </c>
      <c r="AG145" s="27"/>
      <c r="AH145" s="28">
        <f>IF(AND(ISNUMBER(AI145),ISNUMBER(AG145)),AI145-AG145,"")</f>
        <v>0</v>
      </c>
      <c r="AI145" s="27"/>
      <c r="AJ145" s="28">
        <f>IF(AND(ISNUMBER(AK145),ISNUMBER(AI145)),AK145-AI145,"")</f>
        <v>0</v>
      </c>
      <c r="AK145" s="27"/>
      <c r="AL145" s="28">
        <f>IF(AND(ISNUMBER(AM145),ISNUMBER(AK145)),AM145-AK145,"")</f>
        <v>0</v>
      </c>
      <c r="AM145" s="27"/>
      <c r="AN145" s="28">
        <f>IF(AND(ISNUMBER(AO145),ISNUMBER(AM145)),AO145-AM145,"")</f>
        <v>0</v>
      </c>
      <c r="AO145" s="27"/>
      <c r="AP145" s="28">
        <f>IF(AND(ISNUMBER(AQ145),ISNUMBER(AO145)),AQ145-AO145,"")</f>
        <v>0</v>
      </c>
      <c r="AQ145" s="27"/>
      <c r="AR145" s="28">
        <f>IF(AND(ISNUMBER(AS145),ISNUMBER(AQ145)),AS145-AQ145,"")</f>
        <v>0</v>
      </c>
      <c r="AS145" s="27"/>
      <c r="AT145" s="28">
        <f>IF(AND(ISNUMBER(AU145),ISNUMBER(AS145)),AU145-AS145,"")</f>
        <v>0</v>
      </c>
      <c r="AU145" s="27"/>
      <c r="AV145" s="28">
        <f>IF(AND(ISNUMBER(AW145),ISNUMBER(AU145)),AW145-AU145,"")</f>
        <v>0</v>
      </c>
      <c r="AW145" s="27"/>
      <c r="AX145" s="28">
        <f>IF(AND(ISNUMBER(AY145),ISNUMBER(AW145)),AY145-AW145,"")</f>
        <v>0</v>
      </c>
      <c r="AY145" s="27"/>
      <c r="AZ145" s="28">
        <f>IF(AND(ISNUMBER(BA145),ISNUMBER(AY145)),BA145-AY145,"")</f>
        <v>0</v>
      </c>
      <c r="BA145" s="27"/>
      <c r="BB145" s="28">
        <f>IF(AND(ISNUMBER(BC145),ISNUMBER(BA145)),BC145-BA145,"")</f>
        <v>0</v>
      </c>
      <c r="BC145" s="27"/>
      <c r="BD145" s="28">
        <f>IF(AND(ISNUMBER(BE145),ISNUMBER(BC145)),BE145-BC145,"")</f>
        <v>0</v>
      </c>
      <c r="BE145" s="27"/>
      <c r="BF145" s="28">
        <f>IF(AND(ISNUMBER(BG145),ISNUMBER(BE145)),BG145-BE145,"")</f>
        <v>0</v>
      </c>
      <c r="BG145" s="27"/>
      <c r="BH145" s="28">
        <f>IF(AND(ISNUMBER(BI145),ISNUMBER(BG145)),BI145-BG145,"")</f>
        <v>0</v>
      </c>
      <c r="BI145" s="27"/>
      <c r="BJ145" s="28">
        <f>IF(AND(ISNUMBER(BK145),ISNUMBER(BI145)),BK145-BI145,"")</f>
        <v>0</v>
      </c>
      <c r="BK145" s="27"/>
      <c r="BL145" s="28">
        <f>IF(AND(ISNUMBER(BM145),ISNUMBER(BK145)),BM145-BK145,"")</f>
        <v>0</v>
      </c>
      <c r="BM145" s="27"/>
      <c r="BN145" s="28">
        <f>IF(AND(ISNUMBER(BO145),ISNUMBER(BM145)),BO145-BM145,"")</f>
        <v>0</v>
      </c>
      <c r="BO145" s="27"/>
      <c r="BP145" s="28">
        <f>IF(AND(ISNUMBER(BQ145),ISNUMBER(BO145)),BQ145-BO145,"")</f>
        <v>0</v>
      </c>
      <c r="BQ145" s="27"/>
      <c r="BR145" s="28">
        <f>IF(AND(ISNUMBER(BS145),ISNUMBER(BQ145)),BS145-BQ145,"")</f>
        <v>0</v>
      </c>
      <c r="BS145" s="27"/>
      <c r="BT145" s="28">
        <f>IF(AND(ISNUMBER(BU145),ISNUMBER(BS145)),BU145-BS145,"")</f>
        <v>0</v>
      </c>
      <c r="BU145" s="27"/>
      <c r="BV145" s="28">
        <f>IF(AND(ISNUMBER(BW145),ISNUMBER(BU145)),BW145-BU145,"")</f>
        <v>0</v>
      </c>
      <c r="BW145" s="27"/>
      <c r="BX145" s="28">
        <f>IF(AND(ISNUMBER(BY145),ISNUMBER(BW145)),BY145-BW145,"")</f>
        <v>0</v>
      </c>
      <c r="BY145" s="27"/>
      <c r="BZ145" s="28">
        <f>IF(AND(ISNUMBER(CA145),ISNUMBER(BY145)),CA145-BY145,"")</f>
        <v>0</v>
      </c>
      <c r="CA145" s="27"/>
      <c r="CB145" s="28">
        <f>IF(AND(ISNUMBER(CC145),ISNUMBER(CA145)),CC145-CA145,"")</f>
        <v>0</v>
      </c>
      <c r="CC145" s="27"/>
      <c r="CD145" s="28">
        <f>IF(AND(ISNUMBER(CE145),ISNUMBER(CC145)),CE145-CC145,"")</f>
        <v>0</v>
      </c>
      <c r="CE145" s="27"/>
      <c r="CF145" s="28">
        <f>IF(AND(ISNUMBER(CG145),ISNUMBER(CE145)),CG145-CE145,"")</f>
        <v>0</v>
      </c>
      <c r="CG145" s="27"/>
      <c r="CH145" s="28">
        <f>IF(AND(ISNUMBER(CI145),ISNUMBER(CG145)),CI145-CG145,"")</f>
        <v>0</v>
      </c>
      <c r="CI145" s="27"/>
      <c r="CJ145" s="28">
        <f>IF(AND(ISNUMBER(CK145),ISNUMBER(CI145)),CK145-CI145,"")</f>
        <v>0</v>
      </c>
      <c r="CK145" s="27"/>
      <c r="CL145" s="28">
        <f>IF(AND(ISNUMBER(CM145),ISNUMBER(CK145)),CM145-CK145,"")</f>
        <v>0</v>
      </c>
      <c r="CM145" s="27"/>
      <c r="CN145" s="28">
        <f>IF(AND(ISNUMBER(CO145),ISNUMBER(CM145)),CO145-CM145,"")</f>
        <v>0</v>
      </c>
      <c r="CO145" s="27"/>
      <c r="CP145" s="28">
        <f>IF(AND(ISNUMBER(CQ145),ISNUMBER(CO145)),CQ145-CO145,"")</f>
        <v>0</v>
      </c>
      <c r="CQ145" s="27"/>
      <c r="CR145" s="28">
        <f>IF(AND(ISNUMBER(CS145),ISNUMBER(CQ145)),CS145-CQ145,"")</f>
        <v>0</v>
      </c>
      <c r="CS145" s="27"/>
      <c r="CT145" s="28">
        <f>IF(AND(ISNUMBER(CU145),ISNUMBER(CS145)),CU145-CS145,"")</f>
        <v>0</v>
      </c>
      <c r="CU145" s="27"/>
      <c r="CV145" s="28">
        <f>IF(AND(ISNUMBER(CW145),ISNUMBER(CU145)),CW145-CU145,"")</f>
        <v>0</v>
      </c>
      <c r="CW145" s="27"/>
      <c r="CX145" s="28">
        <f>IF(AND(ISNUMBER(CY145),ISNUMBER(CW145)),CY145-CW145,"")</f>
        <v>0</v>
      </c>
      <c r="CY145" s="27"/>
      <c r="CZ145" s="28">
        <f>IF(AND(ISNUMBER(DA145),ISNUMBER(CY145)),DA145-CY145,"")</f>
        <v>0</v>
      </c>
      <c r="DA145" s="27"/>
      <c r="DB145" s="28">
        <f>IF(AND(ISNUMBER(DC145),ISNUMBER(DA145)),DC145-DA145,"")</f>
        <v>0</v>
      </c>
      <c r="DC145" s="27"/>
      <c r="DD145" s="28">
        <f>IF(AND(ISNUMBER(DE145),ISNUMBER(DC145)),DE145-DC145,"")</f>
        <v>0</v>
      </c>
      <c r="DE145" s="27"/>
      <c r="DF145" s="28">
        <f>IF(AND(ISNUMBER(DG145),ISNUMBER(DE145)),DG145-DE145,"")</f>
        <v>0</v>
      </c>
      <c r="DG145" s="27"/>
      <c r="DH145" s="28">
        <f>IF(AND(ISNUMBER(DI145),ISNUMBER(DG145)),DI145-DG145,"")</f>
        <v>0</v>
      </c>
      <c r="DI145" s="27"/>
      <c r="DJ145" s="28">
        <f>IF(AND(ISNUMBER(DK145),ISNUMBER(DI145)),DK145-DI145,"")</f>
        <v>0</v>
      </c>
      <c r="DK145" s="27"/>
      <c r="DL145" s="28">
        <f>IF(AND(ISNUMBER(DM145),ISNUMBER(DK145)),DM145-DK145,"")</f>
        <v>0</v>
      </c>
      <c r="DM145" s="27"/>
      <c r="DN145" s="28">
        <f>IF(AND(ISNUMBER(DO145),ISNUMBER(DM145)),DO145-DM145,"")</f>
        <v>0</v>
      </c>
      <c r="DO145" s="27"/>
      <c r="DP145" s="28">
        <f>IF(AND(ISNUMBER(DQ145),ISNUMBER(DO145)),DQ145-DO145,"")</f>
        <v>0</v>
      </c>
      <c r="DQ145" s="27"/>
      <c r="DR145" s="28">
        <f>IF(AND(ISNUMBER(DS145),ISNUMBER(DQ145)),DS145-DQ145,"")</f>
        <v>0</v>
      </c>
      <c r="DS145" s="27"/>
      <c r="DT145" s="28">
        <f>IF(AND(ISNUMBER(DU145),ISNUMBER(DS145)),DU145-DS145,"")</f>
        <v>0</v>
      </c>
      <c r="DU145" s="27"/>
      <c r="DV145" s="28">
        <f>IF(AND(ISNUMBER(DW145),ISNUMBER(DU145)),DW145-DU145,"")</f>
        <v>0</v>
      </c>
      <c r="DW145" s="27"/>
      <c r="DX145" s="28">
        <f>IF(AND(ISNUMBER(DY145),ISNUMBER(DW145)),DY145-DW145,"")</f>
        <v>0</v>
      </c>
      <c r="DY145" s="27"/>
      <c r="DZ145" s="28">
        <f>IF(AND(ISNUMBER(EA145),ISNUMBER(DY145)),EA145-DY145,"")</f>
        <v>0</v>
      </c>
      <c r="EA145" s="27"/>
      <c r="EB145" s="28">
        <f>IF(AND(ISNUMBER(EC145),ISNUMBER(EA145)),EC145-EA145,"")</f>
        <v>0</v>
      </c>
      <c r="EC145" s="27"/>
      <c r="ED145" s="28">
        <f>IF(AND(ISNUMBER(EE145),ISNUMBER(EC145)),EE145-EC145,"")</f>
        <v>0</v>
      </c>
      <c r="EE145" s="27"/>
      <c r="EF145" s="28">
        <f>IF(AND(ISNUMBER(EG145),ISNUMBER(EE145)),EG145-EE145,"")</f>
        <v>0</v>
      </c>
      <c r="EG145" s="27"/>
      <c r="EH145" s="28">
        <f>IF(AND(ISNUMBER(EI145),ISNUMBER(EG145)),EI145-EG145,"")</f>
        <v>0</v>
      </c>
      <c r="EI145" s="27"/>
      <c r="EJ145" s="28">
        <f>IF(AND(ISNUMBER(EK145),ISNUMBER(EI145)),EK145-EI145,"")</f>
        <v>0</v>
      </c>
      <c r="EK145" s="27"/>
      <c r="EL145" s="28">
        <f>IF(AND(ISNUMBER(EM145),ISNUMBER(EK145)),EM145-EK145,"")</f>
        <v>0</v>
      </c>
      <c r="EM145" s="27"/>
      <c r="EN145" s="28">
        <f>IF(AND(ISNUMBER(EO145),ISNUMBER(EM145)),EO145-EM145,"")</f>
        <v>0</v>
      </c>
      <c r="EO145" s="27"/>
      <c r="EP145" s="28">
        <f>IF(AND(ISNUMBER(EQ145),ISNUMBER(EO145)),EQ145-EO145,"")</f>
        <v>0</v>
      </c>
      <c r="EQ145" s="27"/>
      <c r="ER145" s="28">
        <f>IF(AND(ISNUMBER(ES145),ISNUMBER(EQ145)),ES145-EQ145,"")</f>
        <v>0</v>
      </c>
      <c r="ES145" s="27"/>
      <c r="ET145" s="28">
        <f>IF(AND(ISNUMBER(EU145),ISNUMBER(ES145)),EU145-ES145,"")</f>
        <v>0</v>
      </c>
      <c r="EU145" s="27"/>
      <c r="EV145" s="28">
        <f>IF(AND(ISNUMBER(EW145),ISNUMBER(EU145)),EW145-EU145,"")</f>
        <v>0</v>
      </c>
      <c r="EW145" s="27"/>
      <c r="EX145" s="28">
        <f>IF(AND(ISNUMBER(EY145),ISNUMBER(EW145)),EY145-EW145,"")</f>
        <v>0</v>
      </c>
      <c r="EY145" s="27"/>
      <c r="EZ145" s="28">
        <f>IF(AND(ISNUMBER(FA145),ISNUMBER(EY145)),FA145-EY145,"")</f>
        <v>0</v>
      </c>
      <c r="FA145" s="27"/>
      <c r="FB145" s="28">
        <f>IF(AND(ISNUMBER(FC145),ISNUMBER(FA145)),FC145-FA145,"")</f>
        <v>0</v>
      </c>
      <c r="FC145" s="27"/>
      <c r="FD145" s="28">
        <f>IF(AND(ISNUMBER(FE145),ISNUMBER(FC145)),FE145-FC145,"")</f>
        <v>0</v>
      </c>
      <c r="FE145" s="27"/>
      <c r="FF145" s="28">
        <f>IF(AND(ISNUMBER(FG145),ISNUMBER(FE145)),FG145-FE145,"")</f>
        <v>0</v>
      </c>
      <c r="FG145" s="27"/>
      <c r="FH145" s="28">
        <f>IF(AND(ISNUMBER(FI145),ISNUMBER(FG145)),FI145-FG145,"")</f>
        <v>0</v>
      </c>
      <c r="FI145" s="27"/>
      <c r="FJ145" s="28">
        <f>IF(AND(ISNUMBER(FK145),ISNUMBER(FI145)),FK145-FI145,"")</f>
        <v>0</v>
      </c>
      <c r="FK145" s="27"/>
      <c r="FL145" s="28">
        <f>IF(AND(ISNUMBER(FM145),ISNUMBER(FK145)),FM145-FK145,"")</f>
        <v>0</v>
      </c>
      <c r="FM145" s="27"/>
      <c r="FN145" s="28">
        <f>IF(AND(ISNUMBER(FO145),ISNUMBER(FM145)),FO145-FM145,"")</f>
        <v>0</v>
      </c>
      <c r="FO145" s="27"/>
      <c r="FP145" s="28">
        <f>IF(AND(ISNUMBER(FQ145),ISNUMBER(FO145)),FQ145-FO145,"")</f>
        <v>0</v>
      </c>
      <c r="FQ145" s="27"/>
      <c r="FR145" s="28">
        <f>IF(AND(ISNUMBER(FS145),ISNUMBER(FQ145)),FS145-FQ145,"")</f>
        <v>0</v>
      </c>
      <c r="FS145" s="27"/>
      <c r="FT145" s="28">
        <f>IF(AND(ISNUMBER(FU145),ISNUMBER(FS145)),FU145-FS145,"")</f>
        <v>0</v>
      </c>
      <c r="FU145" s="27"/>
      <c r="FV145" s="28">
        <f>IF(AND(ISNUMBER(FW145),ISNUMBER(FU145)),FW145-FU145,"")</f>
        <v>0</v>
      </c>
      <c r="FW145" s="27"/>
      <c r="FX145" s="28">
        <f>IF(AND(ISNUMBER(FY145),ISNUMBER(FW145)),FY145-FW145,"")</f>
        <v>0</v>
      </c>
      <c r="FY145" s="27"/>
      <c r="FZ145" s="28">
        <f>IF(AND(ISNUMBER(GA145),ISNUMBER(FY145)),GA145-FY145,"")</f>
        <v>0</v>
      </c>
      <c r="GA145" s="27"/>
      <c r="GB145" s="28">
        <f>IF(AND(ISNUMBER(GC145),ISNUMBER(GA145)),GC145-GA145,"")</f>
        <v>0</v>
      </c>
      <c r="GC145" s="27"/>
      <c r="GD145" s="28">
        <f>IF(AND(ISNUMBER(GE145),ISNUMBER(GC145)),GE145-GC145,"")</f>
        <v>0</v>
      </c>
      <c r="GE145" s="27"/>
      <c r="GF145" s="28">
        <f>IF(AND(ISNUMBER(GG145),ISNUMBER(GE145)),GG145-GE145,"")</f>
        <v>0</v>
      </c>
      <c r="GG145" s="27"/>
      <c r="GH145" s="28">
        <f>IF(AND(ISNUMBER(GI145),ISNUMBER(GG145)),GI145-GG145,"")</f>
        <v>0</v>
      </c>
      <c r="GI145" s="27"/>
      <c r="GJ145" s="28">
        <f>IF(AND(ISNUMBER(GK145),ISNUMBER(GI145)),GK145-GI145,"")</f>
        <v>0</v>
      </c>
      <c r="GK145" s="27"/>
      <c r="GL145" s="28">
        <f>IF(AND(ISNUMBER(GM145),ISNUMBER(GK145)),GM145-GK145,"")</f>
        <v>0</v>
      </c>
      <c r="GM145" s="27">
        <v>903</v>
      </c>
      <c r="GN145" s="28">
        <f>IF(AND(ISNUMBER(GO145),ISNUMBER(GM145)),GO145-GM145,"")</f>
        <v>0</v>
      </c>
      <c r="GO145" s="27">
        <v>908</v>
      </c>
      <c r="GP145" s="28">
        <f>IF(AND(ISNUMBER(GQ145),ISNUMBER(GO145)),GQ145-GO145,"")</f>
        <v>0</v>
      </c>
      <c r="GQ145" s="27">
        <v>742</v>
      </c>
      <c r="GR145" s="28">
        <f>IF(AND(ISNUMBER(GS145),ISNUMBER(GQ145)),GS145-GQ145,"")</f>
        <v>0</v>
      </c>
      <c r="GS145" s="27">
        <v>929</v>
      </c>
      <c r="GT145" s="28">
        <f>IF(AND(ISNUMBER(GU145),ISNUMBER(GS145)),GU145-GS145,"")</f>
        <v>0</v>
      </c>
      <c r="GU145" s="27">
        <v>931</v>
      </c>
      <c r="GV145" s="28">
        <f>IF(AND(ISNUMBER(GW145),ISNUMBER(GU145)),GW145-GU145,"")</f>
        <v>0</v>
      </c>
      <c r="GW145" s="27">
        <v>935</v>
      </c>
      <c r="GX145" s="28">
        <f>IF(AND(ISNUMBER(GY145),ISNUMBER(GW145)),GY145-GW145,"")</f>
        <v>0</v>
      </c>
      <c r="GY145" s="27">
        <v>936</v>
      </c>
      <c r="GZ145" s="28">
        <f>IF(AND(ISNUMBER(HA145),ISNUMBER(GY145)),HA145-GY145,"")</f>
        <v>0</v>
      </c>
      <c r="HA145" s="27">
        <v>989</v>
      </c>
      <c r="HB145" s="28">
        <f>IF(AND(ISNUMBER(HC145),ISNUMBER(HA145)),HC145-HA145,"")</f>
        <v>0</v>
      </c>
      <c r="HC145" s="27">
        <v>1012</v>
      </c>
      <c r="HD145" s="28">
        <f>IF(AND(ISNUMBER(HE145),ISNUMBER(HC145)),HE145-HC145,"")</f>
        <v>0</v>
      </c>
      <c r="HE145" s="27">
        <v>1135</v>
      </c>
      <c r="HF145" s="28">
        <f>IF(AND(ISNUMBER(HG145),ISNUMBER(HE145)),HG145-HE145,"")</f>
        <v>0</v>
      </c>
      <c r="HG145" s="27">
        <v>1199</v>
      </c>
      <c r="HH145" s="28">
        <f>IF(AND(ISNUMBER(HI145),ISNUMBER(HG145)),HI145-HG145,"")</f>
        <v>0</v>
      </c>
      <c r="HI145" s="27">
        <v>1309</v>
      </c>
      <c r="HJ145" s="28">
        <f>IF(AND(ISNUMBER(HK145),ISNUMBER(HI145)),HK145-HI145,"")</f>
        <v>0</v>
      </c>
      <c r="HK145" s="27">
        <v>1348</v>
      </c>
      <c r="HL145" s="28">
        <f>IF(AND(ISNUMBER(HM145),ISNUMBER(HK145)),HM145-HK145,"")</f>
        <v>0</v>
      </c>
      <c r="HM145" s="27">
        <v>1394</v>
      </c>
      <c r="HN145" s="28">
        <f>IF(AND(ISNUMBER(HO145),ISNUMBER(HM145)),HO145-HM145,"")</f>
        <v>0</v>
      </c>
      <c r="HO145" s="27">
        <v>1605</v>
      </c>
      <c r="HP145" s="28">
        <f>IF(AND(ISNUMBER(HQ145),ISNUMBER(HO145)),HQ145-HO145,"")</f>
        <v>0</v>
      </c>
      <c r="HQ145" s="27">
        <v>1832</v>
      </c>
      <c r="HR145" s="28">
        <f>IF(AND(ISNUMBER(HS145),ISNUMBER(HQ145)),HS145-HQ145,"")</f>
        <v>0</v>
      </c>
      <c r="HS145" s="27">
        <v>1948</v>
      </c>
      <c r="HT145" s="28">
        <f>IF(AND(ISNUMBER(HU145),ISNUMBER(HS145)),HU145-HS145,"")</f>
        <v>0</v>
      </c>
      <c r="HU145" s="27">
        <v>1977</v>
      </c>
      <c r="HV145" s="28">
        <f>IF(AND(ISNUMBER(HW145),ISNUMBER(HU145)),HW145-HU145,"")</f>
        <v>0</v>
      </c>
      <c r="HW145" s="27">
        <v>2034</v>
      </c>
      <c r="HX145" s="28">
        <f>IF(AND(ISNUMBER(HY145),ISNUMBER(HW145)),HY145-HW145,"")</f>
        <v>0</v>
      </c>
      <c r="HY145" s="27">
        <v>2077</v>
      </c>
      <c r="HZ145" s="28">
        <f>IF(AND(ISNUMBER(IA145),ISNUMBER(HY145)),IA145-HY145,"")</f>
        <v>0</v>
      </c>
      <c r="IA145" s="27">
        <v>2121</v>
      </c>
      <c r="IB145" s="28">
        <f>IF(AND(ISNUMBER(IC145),ISNUMBER(IA145)),IC145-IA145,"")</f>
        <v>0</v>
      </c>
      <c r="IC145" s="27">
        <v>2178</v>
      </c>
      <c r="ID145" s="28">
        <f>IF(AND(ISNUMBER(IE145),ISNUMBER(IC145)),IE145-IC145,"")</f>
        <v>0</v>
      </c>
      <c r="IE145" s="27">
        <v>2226</v>
      </c>
      <c r="IF145" s="28">
        <f>IF(AND(ISNUMBER(IG145),ISNUMBER(IE145)),IG145-IE145,"")</f>
        <v>0</v>
      </c>
      <c r="IG145" s="27">
        <v>2254</v>
      </c>
      <c r="IH145" s="28">
        <f>IF(AND(ISNUMBER(II145),ISNUMBER(IG145)),II145-IG145,"")</f>
        <v>0</v>
      </c>
      <c r="II145" s="27">
        <v>2245</v>
      </c>
      <c r="IJ145" s="28">
        <f>IF(AND(ISNUMBER(IK145),ISNUMBER(II145)),IK145-II145,"")</f>
        <v>0</v>
      </c>
      <c r="IK145" s="27">
        <v>2273</v>
      </c>
      <c r="IL145" s="28">
        <f>IF(AND(ISNUMBER(IM145),ISNUMBER(IK145)),IM145-IK145,"")</f>
        <v>0</v>
      </c>
      <c r="IM145" s="27">
        <v>2290</v>
      </c>
      <c r="IN145" s="28">
        <f>IF(AND(ISNUMBER(IO145),ISNUMBER(IM145)),IO145-IM145,"")</f>
        <v>0</v>
      </c>
      <c r="IO145" s="27">
        <v>2339</v>
      </c>
      <c r="IP145" s="28">
        <f>IF(AND(ISNUMBER(IQ145),ISNUMBER(IO145)),IQ145-IO145,"")</f>
        <v>0</v>
      </c>
      <c r="IQ145" s="27">
        <v>2351</v>
      </c>
      <c r="IR145" s="28">
        <f>IF(AND(ISNUMBER(IS145),ISNUMBER(IQ145)),IS145-IQ145,"")</f>
        <v>0</v>
      </c>
      <c r="IS145" s="27">
        <v>2356</v>
      </c>
      <c r="IT145" s="28">
        <f>IF(AND(ISNUMBER(IU145),ISNUMBER(IS145)),IU145-IS145,"")</f>
        <v>0</v>
      </c>
      <c r="IU145" s="27">
        <v>2352</v>
      </c>
      <c r="IV145" s="28">
        <f>IF(AND(ISNUMBER(IW145),ISNUMBER(IU145)),IW145-IU145,"")</f>
        <v>0</v>
      </c>
      <c r="IW145" s="27">
        <v>2402</v>
      </c>
      <c r="IX145" s="28">
        <f>IF(AND(ISNUMBER(IY145),ISNUMBER(IW145)),IY145-IW145,"")</f>
        <v>0</v>
      </c>
      <c r="IY145" s="27">
        <v>2463</v>
      </c>
      <c r="IZ145" s="28">
        <f>IF(AND(ISNUMBER(JA145),ISNUMBER(IY145)),JA145-IY145,"")</f>
        <v>0</v>
      </c>
      <c r="JA145" s="27">
        <v>2466</v>
      </c>
      <c r="JB145" s="28">
        <f>IF(AND(ISNUMBER(JC145),ISNUMBER(JA145)),JC145-JA145,"")</f>
        <v>0</v>
      </c>
      <c r="JC145" s="27">
        <v>2477</v>
      </c>
      <c r="JD145" s="28">
        <f>IF(AND(ISNUMBER(JE145),ISNUMBER(JC145)),JE145-JC145,"")</f>
        <v>0</v>
      </c>
      <c r="JE145" s="27">
        <v>2489</v>
      </c>
      <c r="JF145" s="28">
        <f>IF(AND(ISNUMBER(JG145),ISNUMBER(JE145)),JG145-JE145,"")</f>
        <v>0</v>
      </c>
      <c r="JG145" s="27">
        <v>2501</v>
      </c>
      <c r="JH145" s="28">
        <f>IF(AND(ISNUMBER(JI145),ISNUMBER(JG145)),JI145-JG145,"")</f>
        <v>0</v>
      </c>
      <c r="JI145" s="27">
        <v>2543</v>
      </c>
      <c r="JJ145" s="28">
        <f>IF(AND(ISNUMBER(JK145),ISNUMBER(JI145)),JK145-JI145,"")</f>
        <v>0</v>
      </c>
      <c r="JK145" s="27">
        <v>2565</v>
      </c>
      <c r="JL145" s="28">
        <f>IF(AND(ISNUMBER(JM145),ISNUMBER(JK145)),JM145-JK145,"")</f>
        <v>0</v>
      </c>
      <c r="JM145" s="27">
        <v>2595</v>
      </c>
      <c r="JN145" s="28">
        <f>IF(AND(ISNUMBER(JO145),ISNUMBER(JM145)),JO145-JM145,"")</f>
        <v>0</v>
      </c>
      <c r="JO145" s="27">
        <v>2601</v>
      </c>
      <c r="JP145" s="28">
        <f>IF(AND(ISNUMBER(JQ145),ISNUMBER(JO145)),JQ145-JO145,"")</f>
        <v>0</v>
      </c>
      <c r="JQ145" s="27">
        <v>2633</v>
      </c>
      <c r="JR145" s="28">
        <f>IF(AND(ISNUMBER(JS145),ISNUMBER(JQ145)),JS145-JQ145,"")</f>
        <v>0</v>
      </c>
      <c r="JS145" s="27">
        <v>2645</v>
      </c>
      <c r="JT145" s="28">
        <f>IF(AND(ISNUMBER(JU145),ISNUMBER(JS145)),JU145-JS145,"")</f>
        <v>0</v>
      </c>
      <c r="JU145" s="27">
        <v>2657</v>
      </c>
      <c r="JV145" s="28">
        <f>IF(AND(ISNUMBER(JW145),ISNUMBER(JU145)),JW145-JU145,"")</f>
        <v>0</v>
      </c>
      <c r="JW145" s="27">
        <v>2657</v>
      </c>
      <c r="JX145" s="28">
        <f>IF(AND(ISNUMBER(JY145),ISNUMBER(JW145)),JY145-JW145,"")</f>
        <v>0</v>
      </c>
      <c r="JY145" s="27">
        <v>2653</v>
      </c>
      <c r="JZ145" s="28">
        <f>IF(AND(ISNUMBER(KA145),ISNUMBER(JY145)),KA145-JY145,"")</f>
        <v>0</v>
      </c>
      <c r="KA145" s="27"/>
      <c r="KB145" s="28">
        <f>IF(AND(ISNUMBER(KC145),ISNUMBER(KA145)),KC145-KA145,"")</f>
        <v>0</v>
      </c>
      <c r="KC145" s="27"/>
      <c r="KD145" s="28">
        <f>IF(AND(ISNUMBER(KE145),ISNUMBER(KC145)),KE145-KC145,"")</f>
        <v>0</v>
      </c>
      <c r="KE145" s="27"/>
      <c r="KF145" s="28">
        <f>IF(AND(ISNUMBER(KG145),ISNUMBER(KE145)),KG145-KE145,"")</f>
        <v>0</v>
      </c>
      <c r="KG145" s="27"/>
      <c r="KH145" s="28">
        <f>IF(AND(ISNUMBER(KI145),ISNUMBER(KG145)),KI145-KG145,"")</f>
        <v>0</v>
      </c>
      <c r="KI145" s="27"/>
      <c r="KJ145" s="28">
        <f>IF(AND(ISNUMBER(KK145),ISNUMBER(KI145)),KK145-KI145,"")</f>
        <v>0</v>
      </c>
      <c r="KK145" s="27"/>
      <c r="KL145" s="28">
        <f>IF(AND(ISNUMBER(KM145),ISNUMBER(KK145)),KM145-KK145,"")</f>
        <v>0</v>
      </c>
      <c r="KM145" s="27"/>
      <c r="KN145" s="28">
        <f>IF(AND(ISNUMBER(KO145),ISNUMBER(KM145)),KO145-KM145,"")</f>
        <v>0</v>
      </c>
      <c r="KO145" s="27"/>
      <c r="KP145" s="28">
        <f>IF(AND(ISNUMBER(KQ145),ISNUMBER(KO145)),KQ145-KO145,"")</f>
        <v>0</v>
      </c>
      <c r="KQ145" s="27"/>
      <c r="KR145" s="28">
        <f>IF(AND(ISNUMBER(KS145),ISNUMBER(KQ145)),KS145-KQ145,"")</f>
        <v>0</v>
      </c>
      <c r="KS145" s="27"/>
      <c r="KT145" s="28">
        <f>IF(AND(ISNUMBER(KU145),ISNUMBER(KS145)),KU145-KS145,"")</f>
        <v>0</v>
      </c>
      <c r="KU145" s="27"/>
      <c r="KV145" s="28">
        <f>IF(AND(ISNUMBER(KW145),ISNUMBER(KU145)),KW145-KU145,"")</f>
        <v>0</v>
      </c>
      <c r="KW145" s="27"/>
      <c r="KX145" s="28">
        <f>IF(AND(ISNUMBER(KY145),ISNUMBER(KW145)),KY145-KW145,"")</f>
        <v>0</v>
      </c>
      <c r="KY145" s="27"/>
      <c r="KZ145" s="28">
        <f>IF(AND(ISNUMBER(LA145),ISNUMBER(KY145)),LA145-KY145,"")</f>
        <v>0</v>
      </c>
      <c r="LA145" s="27"/>
      <c r="LB145" s="28">
        <f>IF(AND(ISNUMBER(LC145),ISNUMBER(LA145)),LC145-LA145,"")</f>
        <v>0</v>
      </c>
      <c r="LC145" s="27"/>
      <c r="LD145" s="28">
        <f>IF(AND(ISNUMBER(LE145),ISNUMBER(LC145)),LE145-LC145,"")</f>
        <v>0</v>
      </c>
      <c r="LE145" s="27"/>
      <c r="LF145" s="28">
        <f>IF(AND(ISNUMBER(LG145),ISNUMBER(LE145)),LG145-LE145,"")</f>
        <v>0</v>
      </c>
      <c r="LG145" s="27"/>
      <c r="LH145" s="30"/>
      <c r="LI145" s="30"/>
      <c r="LJ145" s="30"/>
    </row>
    <row r="146" spans="1:322">
      <c r="A146" s="22">
        <v>14</v>
      </c>
      <c r="B146" s="23" t="s">
        <v>1145</v>
      </c>
      <c r="C146" s="43" t="s">
        <v>728</v>
      </c>
      <c r="D146" s="43"/>
      <c r="E146" s="25" t="s">
        <v>1146</v>
      </c>
      <c r="F146" s="26"/>
      <c r="G146" s="26"/>
      <c r="H146" s="26" t="s">
        <v>1105</v>
      </c>
      <c r="I146" s="27"/>
      <c r="J146" s="28">
        <f>IF(AND(ISNUMBER(K146),ISNUMBER(I146)),K146-I146,"")</f>
        <v>0</v>
      </c>
      <c r="K146" s="27"/>
      <c r="L146" s="28">
        <f>IF(AND(ISNUMBER(M146),ISNUMBER(K146)),M146-K146,"")</f>
        <v>0</v>
      </c>
      <c r="M146" s="27"/>
      <c r="N146" s="28">
        <f>IF(AND(ISNUMBER(O146),ISNUMBER(M146)),O146-M146,"")</f>
        <v>0</v>
      </c>
      <c r="O146" s="27"/>
      <c r="P146" s="28">
        <f>IF(AND(ISNUMBER(Q146),ISNUMBER(O146)),Q146-O146,"")</f>
        <v>0</v>
      </c>
      <c r="Q146" s="27"/>
      <c r="R146" s="28">
        <f>IF(AND(ISNUMBER(S146),ISNUMBER(Q146)),S146-Q146,"")</f>
        <v>0</v>
      </c>
      <c r="S146" s="27"/>
      <c r="T146" s="28">
        <f>IF(AND(ISNUMBER(U146),ISNUMBER(S146)),U146-S146,"")</f>
        <v>0</v>
      </c>
      <c r="U146" s="27"/>
      <c r="V146" s="28">
        <f>IF(AND(ISNUMBER(W146),ISNUMBER(U146)),W146-U146,"")</f>
        <v>0</v>
      </c>
      <c r="W146" s="27"/>
      <c r="X146" s="28">
        <f>IF(AND(ISNUMBER(Y146),ISNUMBER(W146)),Y146-W146,"")</f>
        <v>0</v>
      </c>
      <c r="Y146" s="27"/>
      <c r="Z146" s="28">
        <f>IF(AND(ISNUMBER(AA146),ISNUMBER(Y146)),AA146-Y146,"")</f>
        <v>0</v>
      </c>
      <c r="AA146" s="27"/>
      <c r="AB146" s="28">
        <f>IF(AND(ISNUMBER(AC146),ISNUMBER(AA146)),AC146-AA146,"")</f>
        <v>0</v>
      </c>
      <c r="AC146" s="27"/>
      <c r="AD146" s="28">
        <f>IF(AND(ISNUMBER(AE146),ISNUMBER(AC146)),AE146-AC146,"")</f>
        <v>0</v>
      </c>
      <c r="AE146" s="27"/>
      <c r="AF146" s="28">
        <f>IF(AND(ISNUMBER(AG146),ISNUMBER(AE146)),AG146-AE146,"")</f>
        <v>0</v>
      </c>
      <c r="AG146" s="27"/>
      <c r="AH146" s="28">
        <f>IF(AND(ISNUMBER(AI146),ISNUMBER(AG146)),AI146-AG146,"")</f>
        <v>0</v>
      </c>
      <c r="AI146" s="27"/>
      <c r="AJ146" s="28">
        <f>IF(AND(ISNUMBER(AK146),ISNUMBER(AI146)),AK146-AI146,"")</f>
        <v>0</v>
      </c>
      <c r="AK146" s="27"/>
      <c r="AL146" s="28">
        <f>IF(AND(ISNUMBER(AM146),ISNUMBER(AK146)),AM146-AK146,"")</f>
        <v>0</v>
      </c>
      <c r="AM146" s="27"/>
      <c r="AN146" s="28">
        <f>IF(AND(ISNUMBER(AO146),ISNUMBER(AM146)),AO146-AM146,"")</f>
        <v>0</v>
      </c>
      <c r="AO146" s="27"/>
      <c r="AP146" s="28">
        <f>IF(AND(ISNUMBER(AQ146),ISNUMBER(AO146)),AQ146-AO146,"")</f>
        <v>0</v>
      </c>
      <c r="AQ146" s="27"/>
      <c r="AR146" s="28">
        <f>IF(AND(ISNUMBER(AS146),ISNUMBER(AQ146)),AS146-AQ146,"")</f>
        <v>0</v>
      </c>
      <c r="AS146" s="27"/>
      <c r="AT146" s="28">
        <f>IF(AND(ISNUMBER(AU146),ISNUMBER(AS146)),AU146-AS146,"")</f>
        <v>0</v>
      </c>
      <c r="AU146" s="27"/>
      <c r="AV146" s="28">
        <f>IF(AND(ISNUMBER(AW146),ISNUMBER(AU146)),AW146-AU146,"")</f>
        <v>0</v>
      </c>
      <c r="AW146" s="27"/>
      <c r="AX146" s="28">
        <f>IF(AND(ISNUMBER(AY146),ISNUMBER(AW146)),AY146-AW146,"")</f>
        <v>0</v>
      </c>
      <c r="AY146" s="27"/>
      <c r="AZ146" s="28">
        <f>IF(AND(ISNUMBER(BA146),ISNUMBER(AY146)),BA146-AY146,"")</f>
        <v>0</v>
      </c>
      <c r="BA146" s="27"/>
      <c r="BB146" s="28">
        <f>IF(AND(ISNUMBER(BC146),ISNUMBER(BA146)),BC146-BA146,"")</f>
        <v>0</v>
      </c>
      <c r="BC146" s="27"/>
      <c r="BD146" s="28">
        <f>IF(AND(ISNUMBER(BE146),ISNUMBER(BC146)),BE146-BC146,"")</f>
        <v>0</v>
      </c>
      <c r="BE146" s="27"/>
      <c r="BF146" s="28">
        <f>IF(AND(ISNUMBER(BG146),ISNUMBER(BE146)),BG146-BE146,"")</f>
        <v>0</v>
      </c>
      <c r="BG146" s="27"/>
      <c r="BH146" s="28">
        <f>IF(AND(ISNUMBER(BI146),ISNUMBER(BG146)),BI146-BG146,"")</f>
        <v>0</v>
      </c>
      <c r="BI146" s="27"/>
      <c r="BJ146" s="28">
        <f>IF(AND(ISNUMBER(BK146),ISNUMBER(BI146)),BK146-BI146,"")</f>
        <v>0</v>
      </c>
      <c r="BK146" s="27"/>
      <c r="BL146" s="28">
        <f>IF(AND(ISNUMBER(BM146),ISNUMBER(BK146)),BM146-BK146,"")</f>
        <v>0</v>
      </c>
      <c r="BM146" s="27"/>
      <c r="BN146" s="28">
        <f>IF(AND(ISNUMBER(BO146),ISNUMBER(BM146)),BO146-BM146,"")</f>
        <v>0</v>
      </c>
      <c r="BO146" s="27"/>
      <c r="BP146" s="28">
        <f>IF(AND(ISNUMBER(BQ146),ISNUMBER(BO146)),BQ146-BO146,"")</f>
        <v>0</v>
      </c>
      <c r="BQ146" s="27"/>
      <c r="BR146" s="28">
        <f>IF(AND(ISNUMBER(BS146),ISNUMBER(BQ146)),BS146-BQ146,"")</f>
        <v>0</v>
      </c>
      <c r="BS146" s="27"/>
      <c r="BT146" s="28">
        <f>IF(AND(ISNUMBER(BU146),ISNUMBER(BS146)),BU146-BS146,"")</f>
        <v>0</v>
      </c>
      <c r="BU146" s="27">
        <v>68</v>
      </c>
      <c r="BV146" s="28">
        <f>IF(AND(ISNUMBER(BW146),ISNUMBER(BU146)),BW146-BU146,"")</f>
        <v>0</v>
      </c>
      <c r="BW146" s="27">
        <v>68</v>
      </c>
      <c r="BX146" s="28">
        <f>IF(AND(ISNUMBER(BY146),ISNUMBER(BW146)),BY146-BW146,"")</f>
        <v>0</v>
      </c>
      <c r="BY146" s="27">
        <v>68</v>
      </c>
      <c r="BZ146" s="28">
        <f>IF(AND(ISNUMBER(CA146),ISNUMBER(BY146)),CA146-BY146,"")</f>
        <v>0</v>
      </c>
      <c r="CA146" s="27">
        <v>68</v>
      </c>
      <c r="CB146" s="28">
        <f>IF(AND(ISNUMBER(CC146),ISNUMBER(CA146)),CC146-CA146,"")</f>
        <v>0</v>
      </c>
      <c r="CC146" s="27">
        <v>68</v>
      </c>
      <c r="CD146" s="28">
        <f>IF(AND(ISNUMBER(CE146),ISNUMBER(CC146)),CE146-CC146,"")</f>
        <v>0</v>
      </c>
      <c r="CE146" s="27">
        <v>45</v>
      </c>
      <c r="CF146" s="28">
        <f>IF(AND(ISNUMBER(CG146),ISNUMBER(CE146)),CG146-CE146,"")</f>
        <v>0</v>
      </c>
      <c r="CG146" s="27">
        <v>45</v>
      </c>
      <c r="CH146" s="28">
        <f>IF(AND(ISNUMBER(CI146),ISNUMBER(CG146)),CI146-CG146,"")</f>
        <v>0</v>
      </c>
      <c r="CI146" s="27">
        <v>45</v>
      </c>
      <c r="CJ146" s="28">
        <f>IF(AND(ISNUMBER(CK146),ISNUMBER(CI146)),CK146-CI146,"")</f>
        <v>0</v>
      </c>
      <c r="CK146" s="27">
        <v>45</v>
      </c>
      <c r="CL146" s="28">
        <f>IF(AND(ISNUMBER(CM146),ISNUMBER(CK146)),CM146-CK146,"")</f>
        <v>0</v>
      </c>
      <c r="CM146" s="27">
        <v>45</v>
      </c>
      <c r="CN146" s="28">
        <f>IF(AND(ISNUMBER(CO146),ISNUMBER(CM146)),CO146-CM146,"")</f>
        <v>0</v>
      </c>
      <c r="CO146" s="27">
        <v>45</v>
      </c>
      <c r="CP146" s="28">
        <f>IF(AND(ISNUMBER(CQ146),ISNUMBER(CO146)),CQ146-CO146,"")</f>
        <v>0</v>
      </c>
      <c r="CQ146" s="27">
        <v>45</v>
      </c>
      <c r="CR146" s="28">
        <f>IF(AND(ISNUMBER(CS146),ISNUMBER(CQ146)),CS146-CQ146,"")</f>
        <v>0</v>
      </c>
      <c r="CS146" s="27">
        <v>45</v>
      </c>
      <c r="CT146" s="28">
        <f>IF(AND(ISNUMBER(CU146),ISNUMBER(CS146)),CU146-CS146,"")</f>
        <v>0</v>
      </c>
      <c r="CU146" s="27">
        <v>45</v>
      </c>
      <c r="CV146" s="28">
        <f>IF(AND(ISNUMBER(CW146),ISNUMBER(CU146)),CW146-CU146,"")</f>
        <v>0</v>
      </c>
      <c r="CW146" s="27">
        <v>45</v>
      </c>
      <c r="CX146" s="28">
        <f>IF(AND(ISNUMBER(CY146),ISNUMBER(CW146)),CY146-CW146,"")</f>
        <v>0</v>
      </c>
      <c r="CY146" s="27">
        <v>45</v>
      </c>
      <c r="CZ146" s="28">
        <f>IF(AND(ISNUMBER(DA146),ISNUMBER(CY146)),DA146-CY146,"")</f>
        <v>0</v>
      </c>
      <c r="DA146" s="27">
        <v>45</v>
      </c>
      <c r="DB146" s="28">
        <f>IF(AND(ISNUMBER(DC146),ISNUMBER(DA146)),DC146-DA146,"")</f>
        <v>0</v>
      </c>
      <c r="DC146" s="27">
        <v>45</v>
      </c>
      <c r="DD146" s="28">
        <f>IF(AND(ISNUMBER(DE146),ISNUMBER(DC146)),DE146-DC146,"")</f>
        <v>0</v>
      </c>
      <c r="DE146" s="27">
        <v>41</v>
      </c>
      <c r="DF146" s="28">
        <f>IF(AND(ISNUMBER(DG146),ISNUMBER(DE146)),DG146-DE146,"")</f>
        <v>0</v>
      </c>
      <c r="DG146" s="27">
        <v>41</v>
      </c>
      <c r="DH146" s="28">
        <f>IF(AND(ISNUMBER(DI146),ISNUMBER(DG146)),DI146-DG146,"")</f>
        <v>0</v>
      </c>
      <c r="DI146" s="27">
        <v>41</v>
      </c>
      <c r="DJ146" s="28">
        <f>IF(AND(ISNUMBER(DK146),ISNUMBER(DI146)),DK146-DI146,"")</f>
        <v>0</v>
      </c>
      <c r="DK146" s="27">
        <v>40</v>
      </c>
      <c r="DL146" s="28">
        <f>IF(AND(ISNUMBER(DM146),ISNUMBER(DK146)),DM146-DK146,"")</f>
        <v>0</v>
      </c>
      <c r="DM146" s="27">
        <v>40</v>
      </c>
      <c r="DN146" s="28">
        <f>IF(AND(ISNUMBER(DO146),ISNUMBER(DM146)),DO146-DM146,"")</f>
        <v>0</v>
      </c>
      <c r="DO146" s="27">
        <v>40</v>
      </c>
      <c r="DP146" s="28">
        <f>IF(AND(ISNUMBER(DQ146),ISNUMBER(DO146)),DQ146-DO146,"")</f>
        <v>0</v>
      </c>
      <c r="DQ146" s="27">
        <v>40</v>
      </c>
      <c r="DR146" s="28">
        <f>IF(AND(ISNUMBER(DS146),ISNUMBER(DQ146)),DS146-DQ146,"")</f>
        <v>0</v>
      </c>
      <c r="DS146" s="27">
        <v>40</v>
      </c>
      <c r="DT146" s="28">
        <f>IF(AND(ISNUMBER(DU146),ISNUMBER(DS146)),DU146-DS146,"")</f>
        <v>0</v>
      </c>
      <c r="DU146" s="27">
        <v>40</v>
      </c>
      <c r="DV146" s="28">
        <f>IF(AND(ISNUMBER(DW146),ISNUMBER(DU146)),DW146-DU146,"")</f>
        <v>0</v>
      </c>
      <c r="DW146" s="27">
        <v>40</v>
      </c>
      <c r="DX146" s="28">
        <f>IF(AND(ISNUMBER(DY146),ISNUMBER(DW146)),DY146-DW146,"")</f>
        <v>0</v>
      </c>
      <c r="DY146" s="27">
        <v>40</v>
      </c>
      <c r="DZ146" s="28">
        <f>IF(AND(ISNUMBER(EA146),ISNUMBER(DY146)),EA146-DY146,"")</f>
        <v>0</v>
      </c>
      <c r="EA146" s="27">
        <v>40</v>
      </c>
      <c r="EB146" s="28">
        <f>IF(AND(ISNUMBER(EC146),ISNUMBER(EA146)),EC146-EA146,"")</f>
        <v>0</v>
      </c>
      <c r="EC146" s="27">
        <v>40</v>
      </c>
      <c r="ED146" s="28">
        <f>IF(AND(ISNUMBER(EE146),ISNUMBER(EC146)),EE146-EC146,"")</f>
        <v>0</v>
      </c>
      <c r="EE146" s="27">
        <v>40</v>
      </c>
      <c r="EF146" s="28">
        <f>IF(AND(ISNUMBER(EG146),ISNUMBER(EE146)),EG146-EE146,"")</f>
        <v>0</v>
      </c>
      <c r="EG146" s="27">
        <v>40</v>
      </c>
      <c r="EH146" s="28">
        <f>IF(AND(ISNUMBER(EI146),ISNUMBER(EG146)),EI146-EG146,"")</f>
        <v>0</v>
      </c>
      <c r="EI146" s="27">
        <v>36</v>
      </c>
      <c r="EJ146" s="28">
        <f>IF(AND(ISNUMBER(EK146),ISNUMBER(EI146)),EK146-EI146,"")</f>
        <v>0</v>
      </c>
      <c r="EK146" s="27">
        <v>34</v>
      </c>
      <c r="EL146" s="28">
        <f>IF(AND(ISNUMBER(EM146),ISNUMBER(EK146)),EM146-EK146,"")</f>
        <v>0</v>
      </c>
      <c r="EM146" s="27">
        <v>34</v>
      </c>
      <c r="EN146" s="28">
        <f>IF(AND(ISNUMBER(EO146),ISNUMBER(EM146)),EO146-EM146,"")</f>
        <v>0</v>
      </c>
      <c r="EO146" s="27">
        <v>34</v>
      </c>
      <c r="EP146" s="28">
        <f>IF(AND(ISNUMBER(EQ146),ISNUMBER(EO146)),EQ146-EO146,"")</f>
        <v>0</v>
      </c>
      <c r="EQ146" s="27">
        <v>33</v>
      </c>
      <c r="ER146" s="28">
        <f>IF(AND(ISNUMBER(ES146),ISNUMBER(EQ146)),ES146-EQ146,"")</f>
        <v>0</v>
      </c>
      <c r="ES146" s="27">
        <v>33</v>
      </c>
      <c r="ET146" s="28">
        <f>IF(AND(ISNUMBER(EU146),ISNUMBER(ES146)),EU146-ES146,"")</f>
        <v>0</v>
      </c>
      <c r="EU146" s="27">
        <v>33</v>
      </c>
      <c r="EV146" s="28">
        <f>IF(AND(ISNUMBER(EW146),ISNUMBER(EU146)),EW146-EU146,"")</f>
        <v>0</v>
      </c>
      <c r="EW146" s="27">
        <v>33</v>
      </c>
      <c r="EX146" s="28">
        <f>IF(AND(ISNUMBER(EY146),ISNUMBER(EW146)),EY146-EW146,"")</f>
        <v>0</v>
      </c>
      <c r="EY146" s="27">
        <v>33</v>
      </c>
      <c r="EZ146" s="28">
        <f>IF(AND(ISNUMBER(FA146),ISNUMBER(EY146)),FA146-EY146,"")</f>
        <v>0</v>
      </c>
      <c r="FA146" s="27">
        <v>33</v>
      </c>
      <c r="FB146" s="28">
        <f>IF(AND(ISNUMBER(FC146),ISNUMBER(FA146)),FC146-FA146,"")</f>
        <v>0</v>
      </c>
      <c r="FC146" s="27">
        <v>33</v>
      </c>
      <c r="FD146" s="28">
        <f>IF(AND(ISNUMBER(FE146),ISNUMBER(FC146)),FE146-FC146,"")</f>
        <v>0</v>
      </c>
      <c r="FE146" s="27">
        <v>33</v>
      </c>
      <c r="FF146" s="28">
        <f>IF(AND(ISNUMBER(FG146),ISNUMBER(FE146)),FG146-FE146,"")</f>
        <v>0</v>
      </c>
      <c r="FG146" s="27">
        <v>33</v>
      </c>
      <c r="FH146" s="28">
        <f>IF(AND(ISNUMBER(FI146),ISNUMBER(FG146)),FI146-FG146,"")</f>
        <v>0</v>
      </c>
      <c r="FI146" s="27">
        <v>33</v>
      </c>
      <c r="FJ146" s="28">
        <f>IF(AND(ISNUMBER(FK146),ISNUMBER(FI146)),FK146-FI146,"")</f>
        <v>0</v>
      </c>
      <c r="FK146" s="27">
        <v>33</v>
      </c>
      <c r="FL146" s="28">
        <f>IF(AND(ISNUMBER(FM146),ISNUMBER(FK146)),FM146-FK146,"")</f>
        <v>0</v>
      </c>
      <c r="FM146" s="27">
        <v>33</v>
      </c>
      <c r="FN146" s="28">
        <f>IF(AND(ISNUMBER(FO146),ISNUMBER(FM146)),FO146-FM146,"")</f>
        <v>0</v>
      </c>
      <c r="FO146" s="27">
        <v>33</v>
      </c>
      <c r="FP146" s="28">
        <f>IF(AND(ISNUMBER(FQ146),ISNUMBER(FO146)),FQ146-FO146,"")</f>
        <v>0</v>
      </c>
      <c r="FQ146" s="27">
        <v>33</v>
      </c>
      <c r="FR146" s="28">
        <f>IF(AND(ISNUMBER(FS146),ISNUMBER(FQ146)),FS146-FQ146,"")</f>
        <v>0</v>
      </c>
      <c r="FS146" s="27">
        <v>33</v>
      </c>
      <c r="FT146" s="28">
        <f>IF(AND(ISNUMBER(FU146),ISNUMBER(FS146)),FU146-FS146,"")</f>
        <v>0</v>
      </c>
      <c r="FU146" s="27">
        <v>33</v>
      </c>
      <c r="FV146" s="28">
        <f>IF(AND(ISNUMBER(FW146),ISNUMBER(FU146)),FW146-FU146,"")</f>
        <v>0</v>
      </c>
      <c r="FW146" s="27">
        <v>33</v>
      </c>
      <c r="FX146" s="28">
        <f>IF(AND(ISNUMBER(FY146),ISNUMBER(FW146)),FY146-FW146,"")</f>
        <v>0</v>
      </c>
      <c r="FY146" s="27">
        <v>33</v>
      </c>
      <c r="FZ146" s="28">
        <f>IF(AND(ISNUMBER(GA146),ISNUMBER(FY146)),GA146-FY146,"")</f>
        <v>0</v>
      </c>
      <c r="GA146" s="27">
        <v>33</v>
      </c>
      <c r="GB146" s="28">
        <f>IF(AND(ISNUMBER(GC146),ISNUMBER(GA146)),GC146-GA146,"")</f>
        <v>0</v>
      </c>
      <c r="GC146" s="27">
        <v>33</v>
      </c>
      <c r="GD146" s="28">
        <f>IF(AND(ISNUMBER(GE146),ISNUMBER(GC146)),GE146-GC146,"")</f>
        <v>0</v>
      </c>
      <c r="GE146" s="27">
        <v>33</v>
      </c>
      <c r="GF146" s="28">
        <f>IF(AND(ISNUMBER(GG146),ISNUMBER(GE146)),GG146-GE146,"")</f>
        <v>0</v>
      </c>
      <c r="GG146" s="27">
        <v>33</v>
      </c>
      <c r="GH146" s="28">
        <f>IF(AND(ISNUMBER(GI146),ISNUMBER(GG146)),GI146-GG146,"")</f>
        <v>0</v>
      </c>
      <c r="GI146" s="27">
        <v>33</v>
      </c>
      <c r="GJ146" s="28">
        <f>IF(AND(ISNUMBER(GK146),ISNUMBER(GI146)),GK146-GI146,"")</f>
        <v>0</v>
      </c>
      <c r="GK146" s="27">
        <v>33</v>
      </c>
      <c r="GL146" s="28">
        <f>IF(AND(ISNUMBER(GM146),ISNUMBER(GK146)),GM146-GK146,"")</f>
        <v>0</v>
      </c>
      <c r="GM146" s="27">
        <v>33</v>
      </c>
      <c r="GN146" s="28">
        <f>IF(AND(ISNUMBER(GO146),ISNUMBER(GM146)),GO146-GM146,"")</f>
        <v>0</v>
      </c>
      <c r="GO146" s="27">
        <v>33</v>
      </c>
      <c r="GP146" s="28">
        <f>IF(AND(ISNUMBER(GQ146),ISNUMBER(GO146)),GQ146-GO146,"")</f>
        <v>0</v>
      </c>
      <c r="GQ146" s="27">
        <v>31</v>
      </c>
      <c r="GR146" s="28">
        <f>IF(AND(ISNUMBER(GS146),ISNUMBER(GQ146)),GS146-GQ146,"")</f>
        <v>0</v>
      </c>
      <c r="GS146" s="27">
        <v>31</v>
      </c>
      <c r="GT146" s="28">
        <f>IF(AND(ISNUMBER(GU146),ISNUMBER(GS146)),GU146-GS146,"")</f>
        <v>0</v>
      </c>
      <c r="GU146" s="27">
        <v>31</v>
      </c>
      <c r="GV146" s="28">
        <f>IF(AND(ISNUMBER(GW146),ISNUMBER(GU146)),GW146-GU146,"")</f>
        <v>0</v>
      </c>
      <c r="GW146" s="27">
        <v>31</v>
      </c>
      <c r="GX146" s="28">
        <f>IF(AND(ISNUMBER(GY146),ISNUMBER(GW146)),GY146-GW146,"")</f>
        <v>0</v>
      </c>
      <c r="GY146" s="27">
        <v>31</v>
      </c>
      <c r="GZ146" s="28">
        <f>IF(AND(ISNUMBER(HA146),ISNUMBER(GY146)),HA146-GY146,"")</f>
        <v>0</v>
      </c>
      <c r="HA146" s="27">
        <v>29</v>
      </c>
      <c r="HB146" s="28">
        <f>IF(AND(ISNUMBER(HC146),ISNUMBER(HA146)),HC146-HA146,"")</f>
        <v>0</v>
      </c>
      <c r="HC146" s="27">
        <v>29</v>
      </c>
      <c r="HD146" s="28">
        <f>IF(AND(ISNUMBER(HE146),ISNUMBER(HC146)),HE146-HC146,"")</f>
        <v>0</v>
      </c>
      <c r="HE146" s="27">
        <v>29</v>
      </c>
      <c r="HF146" s="28">
        <f>IF(AND(ISNUMBER(HG146),ISNUMBER(HE146)),HG146-HE146,"")</f>
        <v>0</v>
      </c>
      <c r="HG146" s="27">
        <v>29</v>
      </c>
      <c r="HH146" s="28">
        <f>IF(AND(ISNUMBER(HI146),ISNUMBER(HG146)),HI146-HG146,"")</f>
        <v>0</v>
      </c>
      <c r="HI146" s="27">
        <v>29</v>
      </c>
      <c r="HJ146" s="28">
        <f>IF(AND(ISNUMBER(HK146),ISNUMBER(HI146)),HK146-HI146,"")</f>
        <v>0</v>
      </c>
      <c r="HK146" s="27">
        <v>29</v>
      </c>
      <c r="HL146" s="28">
        <f>IF(AND(ISNUMBER(HM146),ISNUMBER(HK146)),HM146-HK146,"")</f>
        <v>0</v>
      </c>
      <c r="HM146" s="27">
        <v>29</v>
      </c>
      <c r="HN146" s="28">
        <f>IF(AND(ISNUMBER(HO146),ISNUMBER(HM146)),HO146-HM146,"")</f>
        <v>0</v>
      </c>
      <c r="HO146" s="27">
        <v>29</v>
      </c>
      <c r="HP146" s="28">
        <f>IF(AND(ISNUMBER(HQ146),ISNUMBER(HO146)),HQ146-HO146,"")</f>
        <v>0</v>
      </c>
      <c r="HQ146" s="27">
        <v>29</v>
      </c>
      <c r="HR146" s="28">
        <f>IF(AND(ISNUMBER(HS146),ISNUMBER(HQ146)),HS146-HQ146,"")</f>
        <v>0</v>
      </c>
      <c r="HS146" s="27">
        <v>29</v>
      </c>
      <c r="HT146" s="28">
        <f>IF(AND(ISNUMBER(HU146),ISNUMBER(HS146)),HU146-HS146,"")</f>
        <v>0</v>
      </c>
      <c r="HU146" s="27">
        <v>29</v>
      </c>
      <c r="HV146" s="28">
        <f>IF(AND(ISNUMBER(HW146),ISNUMBER(HU146)),HW146-HU146,"")</f>
        <v>0</v>
      </c>
      <c r="HW146" s="27">
        <v>29</v>
      </c>
      <c r="HX146" s="28">
        <f>IF(AND(ISNUMBER(HY146),ISNUMBER(HW146)),HY146-HW146,"")</f>
        <v>0</v>
      </c>
      <c r="HY146" s="27">
        <v>29</v>
      </c>
      <c r="HZ146" s="28">
        <f>IF(AND(ISNUMBER(IA146),ISNUMBER(HY146)),IA146-HY146,"")</f>
        <v>0</v>
      </c>
      <c r="IA146" s="27">
        <v>29</v>
      </c>
      <c r="IB146" s="28">
        <f>IF(AND(ISNUMBER(IC146),ISNUMBER(IA146)),IC146-IA146,"")</f>
        <v>0</v>
      </c>
      <c r="IC146" s="27">
        <v>29</v>
      </c>
      <c r="ID146" s="28">
        <f>IF(AND(ISNUMBER(IE146),ISNUMBER(IC146)),IE146-IC146,"")</f>
        <v>0</v>
      </c>
      <c r="IE146" s="27">
        <v>29</v>
      </c>
      <c r="IF146" s="28">
        <f>IF(AND(ISNUMBER(IG146),ISNUMBER(IE146)),IG146-IE146,"")</f>
        <v>0</v>
      </c>
      <c r="IG146" s="27">
        <v>23</v>
      </c>
      <c r="IH146" s="28">
        <f>IF(AND(ISNUMBER(II146),ISNUMBER(IG146)),II146-IG146,"")</f>
        <v>0</v>
      </c>
      <c r="II146" s="27">
        <v>23</v>
      </c>
      <c r="IJ146" s="28">
        <f>IF(AND(ISNUMBER(IK146),ISNUMBER(II146)),IK146-II146,"")</f>
        <v>0</v>
      </c>
      <c r="IK146" s="27">
        <v>23</v>
      </c>
      <c r="IL146" s="28">
        <f>IF(AND(ISNUMBER(IM146),ISNUMBER(IK146)),IM146-IK146,"")</f>
        <v>0</v>
      </c>
      <c r="IM146" s="27">
        <v>23</v>
      </c>
      <c r="IN146" s="28">
        <f>IF(AND(ISNUMBER(IO146),ISNUMBER(IM146)),IO146-IM146,"")</f>
        <v>0</v>
      </c>
      <c r="IO146" s="27">
        <v>23</v>
      </c>
      <c r="IP146" s="28">
        <f>IF(AND(ISNUMBER(IQ146),ISNUMBER(IO146)),IQ146-IO146,"")</f>
        <v>0</v>
      </c>
      <c r="IQ146" s="27">
        <v>23</v>
      </c>
      <c r="IR146" s="28">
        <f>IF(AND(ISNUMBER(IS146),ISNUMBER(IQ146)),IS146-IQ146,"")</f>
        <v>0</v>
      </c>
      <c r="IS146" s="27">
        <v>23</v>
      </c>
      <c r="IT146" s="28">
        <f>IF(AND(ISNUMBER(IU146),ISNUMBER(IS146)),IU146-IS146,"")</f>
        <v>0</v>
      </c>
      <c r="IU146" s="27">
        <v>23</v>
      </c>
      <c r="IV146" s="28">
        <f>IF(AND(ISNUMBER(IW146),ISNUMBER(IU146)),IW146-IU146,"")</f>
        <v>0</v>
      </c>
      <c r="IW146" s="27">
        <v>23</v>
      </c>
      <c r="IX146" s="28">
        <f>IF(AND(ISNUMBER(IY146),ISNUMBER(IW146)),IY146-IW146,"")</f>
        <v>0</v>
      </c>
      <c r="IY146" s="27">
        <v>23</v>
      </c>
      <c r="IZ146" s="28">
        <f>IF(AND(ISNUMBER(JA146),ISNUMBER(IY146)),JA146-IY146,"")</f>
        <v>0</v>
      </c>
      <c r="JA146" s="27">
        <v>23</v>
      </c>
      <c r="JB146" s="28">
        <f>IF(AND(ISNUMBER(JC146),ISNUMBER(JA146)),JC146-JA146,"")</f>
        <v>0</v>
      </c>
      <c r="JC146" s="27">
        <v>23</v>
      </c>
      <c r="JD146" s="28">
        <f>IF(AND(ISNUMBER(JE146),ISNUMBER(JC146)),JE146-JC146,"")</f>
        <v>0</v>
      </c>
      <c r="JE146" s="27">
        <v>23</v>
      </c>
      <c r="JF146" s="28">
        <f>IF(AND(ISNUMBER(JG146),ISNUMBER(JE146)),JG146-JE146,"")</f>
        <v>0</v>
      </c>
      <c r="JG146" s="27">
        <v>23</v>
      </c>
      <c r="JH146" s="28">
        <f>IF(AND(ISNUMBER(JI146),ISNUMBER(JG146)),JI146-JG146,"")</f>
        <v>0</v>
      </c>
      <c r="JI146" s="27">
        <v>23</v>
      </c>
      <c r="JJ146" s="28">
        <f>IF(AND(ISNUMBER(JK146),ISNUMBER(JI146)),JK146-JI146,"")</f>
        <v>0</v>
      </c>
      <c r="JK146" s="27">
        <v>23</v>
      </c>
      <c r="JL146" s="28">
        <f>IF(AND(ISNUMBER(JM146),ISNUMBER(JK146)),JM146-JK146,"")</f>
        <v>0</v>
      </c>
      <c r="JM146" s="27">
        <v>23</v>
      </c>
      <c r="JN146" s="28">
        <f>IF(AND(ISNUMBER(JO146),ISNUMBER(JM146)),JO146-JM146,"")</f>
        <v>0</v>
      </c>
      <c r="JO146" s="27">
        <v>23</v>
      </c>
      <c r="JP146" s="28">
        <f>IF(AND(ISNUMBER(JQ146),ISNUMBER(JO146)),JQ146-JO146,"")</f>
        <v>0</v>
      </c>
      <c r="JQ146" s="27">
        <v>23</v>
      </c>
      <c r="JR146" s="28">
        <f>IF(AND(ISNUMBER(JS146),ISNUMBER(JQ146)),JS146-JQ146,"")</f>
        <v>0</v>
      </c>
      <c r="JS146" s="27">
        <v>23</v>
      </c>
      <c r="JT146" s="28">
        <f>IF(AND(ISNUMBER(JU146),ISNUMBER(JS146)),JU146-JS146,"")</f>
        <v>0</v>
      </c>
      <c r="JU146" s="27">
        <v>23</v>
      </c>
      <c r="JV146" s="28">
        <f>IF(AND(ISNUMBER(JW146),ISNUMBER(JU146)),JW146-JU146,"")</f>
        <v>0</v>
      </c>
      <c r="JW146" s="27">
        <v>23</v>
      </c>
      <c r="JX146" s="28">
        <f>IF(AND(ISNUMBER(JY146),ISNUMBER(JW146)),JY146-JW146,"")</f>
        <v>0</v>
      </c>
      <c r="JY146" s="27">
        <v>23</v>
      </c>
      <c r="JZ146" s="28">
        <f>IF(AND(ISNUMBER(KA146),ISNUMBER(JY146)),KA146-JY146,"")</f>
        <v>0</v>
      </c>
      <c r="KA146" s="27"/>
      <c r="KB146" s="28">
        <f>IF(AND(ISNUMBER(KC146),ISNUMBER(KA146)),KC146-KA146,"")</f>
        <v>0</v>
      </c>
      <c r="KC146" s="27"/>
      <c r="KD146" s="28">
        <f>IF(AND(ISNUMBER(KE146),ISNUMBER(KC146)),KE146-KC146,"")</f>
        <v>0</v>
      </c>
      <c r="KE146" s="27"/>
      <c r="KF146" s="28">
        <f>IF(AND(ISNUMBER(KG146),ISNUMBER(KE146)),KG146-KE146,"")</f>
        <v>0</v>
      </c>
      <c r="KG146" s="27"/>
      <c r="KH146" s="28">
        <f>IF(AND(ISNUMBER(KI146),ISNUMBER(KG146)),KI146-KG146,"")</f>
        <v>0</v>
      </c>
      <c r="KI146" s="27"/>
      <c r="KJ146" s="28">
        <f>IF(AND(ISNUMBER(KK146),ISNUMBER(KI146)),KK146-KI146,"")</f>
        <v>0</v>
      </c>
      <c r="KK146" s="27"/>
      <c r="KL146" s="28">
        <f>IF(AND(ISNUMBER(KM146),ISNUMBER(KK146)),KM146-KK146,"")</f>
        <v>0</v>
      </c>
      <c r="KM146" s="27"/>
      <c r="KN146" s="28">
        <f>IF(AND(ISNUMBER(KO146),ISNUMBER(KM146)),KO146-KM146,"")</f>
        <v>0</v>
      </c>
      <c r="KO146" s="27"/>
      <c r="KP146" s="28">
        <f>IF(AND(ISNUMBER(KQ146),ISNUMBER(KO146)),KQ146-KO146,"")</f>
        <v>0</v>
      </c>
      <c r="KQ146" s="27"/>
      <c r="KR146" s="28">
        <f>IF(AND(ISNUMBER(KS146),ISNUMBER(KQ146)),KS146-KQ146,"")</f>
        <v>0</v>
      </c>
      <c r="KS146" s="27"/>
      <c r="KT146" s="28">
        <f>IF(AND(ISNUMBER(KU146),ISNUMBER(KS146)),KU146-KS146,"")</f>
        <v>0</v>
      </c>
      <c r="KU146" s="27"/>
      <c r="KV146" s="28">
        <f>IF(AND(ISNUMBER(KW146),ISNUMBER(KU146)),KW146-KU146,"")</f>
        <v>0</v>
      </c>
      <c r="KW146" s="27"/>
      <c r="KX146" s="28">
        <f>IF(AND(ISNUMBER(KY146),ISNUMBER(KW146)),KY146-KW146,"")</f>
        <v>0</v>
      </c>
      <c r="KY146" s="27"/>
      <c r="KZ146" s="28">
        <f>IF(AND(ISNUMBER(LA146),ISNUMBER(KY146)),LA146-KY146,"")</f>
        <v>0</v>
      </c>
      <c r="LA146" s="27"/>
      <c r="LB146" s="28">
        <f>IF(AND(ISNUMBER(LC146),ISNUMBER(LA146)),LC146-LA146,"")</f>
        <v>0</v>
      </c>
      <c r="LC146" s="27"/>
      <c r="LD146" s="28">
        <f>IF(AND(ISNUMBER(LE146),ISNUMBER(LC146)),LE146-LC146,"")</f>
        <v>0</v>
      </c>
      <c r="LE146" s="27"/>
      <c r="LF146" s="28">
        <f>IF(AND(ISNUMBER(LG146),ISNUMBER(LE146)),LG146-LE146,"")</f>
        <v>0</v>
      </c>
      <c r="LG146" s="27"/>
      <c r="LH146" s="30"/>
      <c r="LI146" s="30"/>
      <c r="LJ146" s="41" t="s">
        <v>1147</v>
      </c>
    </row>
    <row r="147" spans="1:322" ht="40.25" customHeight="1" collapsed="1">
      <c r="A147" s="22">
        <v>15</v>
      </c>
      <c r="B147" s="23" t="s">
        <v>1148</v>
      </c>
      <c r="C147" s="43" t="s">
        <v>728</v>
      </c>
      <c r="D147" s="43"/>
      <c r="E147" s="25" t="s">
        <v>1056</v>
      </c>
      <c r="F147" s="26"/>
      <c r="G147" s="26" t="s">
        <v>1149</v>
      </c>
      <c r="H147" s="26" t="s">
        <v>1150</v>
      </c>
      <c r="I147" s="27"/>
      <c r="J147" s="28">
        <f>IF(AND(ISNUMBER(K147),ISNUMBER(I147)),K147-I147,"")</f>
        <v>0</v>
      </c>
      <c r="K147" s="27"/>
      <c r="L147" s="28">
        <f>IF(AND(ISNUMBER(M147),ISNUMBER(K147)),M147-K147,"")</f>
        <v>0</v>
      </c>
      <c r="M147" s="27"/>
      <c r="N147" s="28">
        <f>IF(AND(ISNUMBER(O147),ISNUMBER(M147)),O147-M147,"")</f>
        <v>0</v>
      </c>
      <c r="O147" s="27"/>
      <c r="P147" s="28">
        <f>IF(AND(ISNUMBER(Q147),ISNUMBER(O147)),Q147-O147,"")</f>
        <v>0</v>
      </c>
      <c r="Q147" s="27"/>
      <c r="R147" s="28">
        <f>IF(AND(ISNUMBER(S147),ISNUMBER(Q147)),S147-Q147,"")</f>
        <v>0</v>
      </c>
      <c r="S147" s="27"/>
      <c r="T147" s="28">
        <f>IF(AND(ISNUMBER(U147),ISNUMBER(S147)),U147-S147,"")</f>
        <v>0</v>
      </c>
      <c r="U147" s="27"/>
      <c r="V147" s="28">
        <f>IF(AND(ISNUMBER(W147),ISNUMBER(U147)),W147-U147,"")</f>
        <v>0</v>
      </c>
      <c r="W147" s="27"/>
      <c r="X147" s="28">
        <f>IF(AND(ISNUMBER(Y147),ISNUMBER(W147)),Y147-W147,"")</f>
        <v>0</v>
      </c>
      <c r="Y147" s="27"/>
      <c r="Z147" s="28">
        <f>IF(AND(ISNUMBER(AA147),ISNUMBER(Y147)),AA147-Y147,"")</f>
        <v>0</v>
      </c>
      <c r="AA147" s="27"/>
      <c r="AB147" s="28">
        <f>IF(AND(ISNUMBER(AC147),ISNUMBER(AA147)),AC147-AA147,"")</f>
        <v>0</v>
      </c>
      <c r="AC147" s="27"/>
      <c r="AD147" s="28">
        <f>IF(AND(ISNUMBER(AE147),ISNUMBER(AC147)),AE147-AC147,"")</f>
        <v>0</v>
      </c>
      <c r="AE147" s="27"/>
      <c r="AF147" s="28">
        <f>IF(AND(ISNUMBER(AG147),ISNUMBER(AE147)),AG147-AE147,"")</f>
        <v>0</v>
      </c>
      <c r="AG147" s="27"/>
      <c r="AH147" s="28">
        <f>IF(AND(ISNUMBER(AI147),ISNUMBER(AG147)),AI147-AG147,"")</f>
        <v>0</v>
      </c>
      <c r="AI147" s="27"/>
      <c r="AJ147" s="28">
        <f>IF(AND(ISNUMBER(AK147),ISNUMBER(AI147)),AK147-AI147,"")</f>
        <v>0</v>
      </c>
      <c r="AK147" s="27"/>
      <c r="AL147" s="28">
        <f>IF(AND(ISNUMBER(AM147),ISNUMBER(AK147)),AM147-AK147,"")</f>
        <v>0</v>
      </c>
      <c r="AM147" s="27"/>
      <c r="AN147" s="28">
        <f>IF(AND(ISNUMBER(AO147),ISNUMBER(AM147)),AO147-AM147,"")</f>
        <v>0</v>
      </c>
      <c r="AO147" s="27"/>
      <c r="AP147" s="28">
        <f>IF(AND(ISNUMBER(AQ147),ISNUMBER(AO147)),AQ147-AO147,"")</f>
        <v>0</v>
      </c>
      <c r="AQ147" s="27"/>
      <c r="AR147" s="28">
        <f>IF(AND(ISNUMBER(AS147),ISNUMBER(AQ147)),AS147-AQ147,"")</f>
        <v>0</v>
      </c>
      <c r="AS147" s="27"/>
      <c r="AT147" s="28">
        <f>IF(AND(ISNUMBER(AU147),ISNUMBER(AS147)),AU147-AS147,"")</f>
        <v>0</v>
      </c>
      <c r="AU147" s="27"/>
      <c r="AV147" s="28">
        <f>IF(AND(ISNUMBER(AW147),ISNUMBER(AU147)),AW147-AU147,"")</f>
        <v>0</v>
      </c>
      <c r="AW147" s="27"/>
      <c r="AX147" s="28">
        <f>IF(AND(ISNUMBER(AY147),ISNUMBER(AW147)),AY147-AW147,"")</f>
        <v>0</v>
      </c>
      <c r="AY147" s="27"/>
      <c r="AZ147" s="28">
        <f>IF(AND(ISNUMBER(BA147),ISNUMBER(AY147)),BA147-AY147,"")</f>
        <v>0</v>
      </c>
      <c r="BA147" s="27"/>
      <c r="BB147" s="28">
        <f>IF(AND(ISNUMBER(BC147),ISNUMBER(BA147)),BC147-BA147,"")</f>
        <v>0</v>
      </c>
      <c r="BC147" s="27"/>
      <c r="BD147" s="28">
        <f>IF(AND(ISNUMBER(BE147),ISNUMBER(BC147)),BE147-BC147,"")</f>
        <v>0</v>
      </c>
      <c r="BE147" s="27"/>
      <c r="BF147" s="28">
        <f>IF(AND(ISNUMBER(BG147),ISNUMBER(BE147)),BG147-BE147,"")</f>
        <v>0</v>
      </c>
      <c r="BG147" s="27"/>
      <c r="BH147" s="28">
        <f>IF(AND(ISNUMBER(BI147),ISNUMBER(BG147)),BI147-BG147,"")</f>
        <v>0</v>
      </c>
      <c r="BI147" s="27"/>
      <c r="BJ147" s="28">
        <f>IF(AND(ISNUMBER(BK147),ISNUMBER(BI147)),BK147-BI147,"")</f>
        <v>0</v>
      </c>
      <c r="BK147" s="27"/>
      <c r="BL147" s="28">
        <f>IF(AND(ISNUMBER(BM147),ISNUMBER(BK147)),BM147-BK147,"")</f>
        <v>0</v>
      </c>
      <c r="BM147" s="27"/>
      <c r="BN147" s="28">
        <f>IF(AND(ISNUMBER(BO147),ISNUMBER(BM147)),BO147-BM147,"")</f>
        <v>0</v>
      </c>
      <c r="BO147" s="27"/>
      <c r="BP147" s="28">
        <f>IF(AND(ISNUMBER(BQ147),ISNUMBER(BO147)),BQ147-BO147,"")</f>
        <v>0</v>
      </c>
      <c r="BQ147" s="27"/>
      <c r="BR147" s="28">
        <f>IF(AND(ISNUMBER(BS147),ISNUMBER(BQ147)),BS147-BQ147,"")</f>
        <v>0</v>
      </c>
      <c r="BS147" s="27"/>
      <c r="BT147" s="28">
        <f>IF(AND(ISNUMBER(BU147),ISNUMBER(BS147)),BU147-BS147,"")</f>
        <v>0</v>
      </c>
      <c r="BU147" s="27"/>
      <c r="BV147" s="28">
        <f>IF(AND(ISNUMBER(BW147),ISNUMBER(BU147)),BW147-BU147,"")</f>
        <v>0</v>
      </c>
      <c r="BW147" s="27"/>
      <c r="BX147" s="28">
        <f>IF(AND(ISNUMBER(BY147),ISNUMBER(BW147)),BY147-BW147,"")</f>
        <v>0</v>
      </c>
      <c r="BY147" s="42" t="s">
        <v>1151</v>
      </c>
      <c r="BZ147" s="28">
        <f>IF(AND(ISNUMBER(CA147),ISNUMBER(BY147)),CA147-BY147,"")</f>
        <v>0</v>
      </c>
      <c r="CA147" s="27">
        <v>3772</v>
      </c>
      <c r="CB147" s="28">
        <f>IF(AND(ISNUMBER(CC147),ISNUMBER(CA147)),CC147-CA147,"")</f>
        <v>0</v>
      </c>
      <c r="CC147" s="27">
        <v>3772</v>
      </c>
      <c r="CD147" s="28">
        <f>IF(AND(ISNUMBER(CE147),ISNUMBER(CC147)),CE147-CC147,"")</f>
        <v>0</v>
      </c>
      <c r="CE147" s="27">
        <v>1569</v>
      </c>
      <c r="CF147" s="28">
        <f>IF(AND(ISNUMBER(CG147),ISNUMBER(CE147)),CG147-CE147,"")</f>
        <v>0</v>
      </c>
      <c r="CG147" s="27">
        <v>663</v>
      </c>
      <c r="CH147" s="28">
        <f>IF(AND(ISNUMBER(CI147),ISNUMBER(CG147)),CI147-CG147,"")</f>
        <v>0</v>
      </c>
      <c r="CI147" s="27">
        <v>454</v>
      </c>
      <c r="CJ147" s="28">
        <f>IF(AND(ISNUMBER(CK147),ISNUMBER(CI147)),CK147-CI147,"")</f>
        <v>0</v>
      </c>
      <c r="CK147" s="27">
        <v>362</v>
      </c>
      <c r="CL147" s="28">
        <f>IF(AND(ISNUMBER(CM147),ISNUMBER(CK147)),CM147-CK147,"")</f>
        <v>0</v>
      </c>
      <c r="CM147" s="27">
        <v>388</v>
      </c>
      <c r="CN147" s="28">
        <f>IF(AND(ISNUMBER(CO147),ISNUMBER(CM147)),CO147-CM147,"")</f>
        <v>0</v>
      </c>
      <c r="CO147" s="27">
        <v>197</v>
      </c>
      <c r="CP147" s="28">
        <f>IF(AND(ISNUMBER(CQ147),ISNUMBER(CO147)),CQ147-CO147,"")</f>
        <v>0</v>
      </c>
      <c r="CQ147" s="27">
        <v>130</v>
      </c>
      <c r="CR147" s="28">
        <f>IF(AND(ISNUMBER(CS147),ISNUMBER(CQ147)),CS147-CQ147,"")</f>
        <v>0</v>
      </c>
      <c r="CS147" s="27">
        <v>107</v>
      </c>
      <c r="CT147" s="28">
        <f>IF(AND(ISNUMBER(CU147),ISNUMBER(CS147)),CU147-CS147,"")</f>
        <v>0</v>
      </c>
      <c r="CU147" s="27">
        <v>88</v>
      </c>
      <c r="CV147" s="28">
        <f>IF(AND(ISNUMBER(CW147),ISNUMBER(CU147)),CW147-CU147,"")</f>
        <v>0</v>
      </c>
      <c r="CW147" s="27">
        <v>88</v>
      </c>
      <c r="CX147" s="28">
        <f>IF(AND(ISNUMBER(CY147),ISNUMBER(CW147)),CY147-CW147,"")</f>
        <v>0</v>
      </c>
      <c r="CY147" s="27">
        <v>86</v>
      </c>
      <c r="CZ147" s="28">
        <f>IF(AND(ISNUMBER(DA147),ISNUMBER(CY147)),DA147-CY147,"")</f>
        <v>0</v>
      </c>
      <c r="DA147" s="27">
        <v>85</v>
      </c>
      <c r="DB147" s="28">
        <f>IF(AND(ISNUMBER(DC147),ISNUMBER(DA147)),DC147-DA147,"")</f>
        <v>0</v>
      </c>
      <c r="DC147" s="27">
        <v>82</v>
      </c>
      <c r="DD147" s="28">
        <f>IF(AND(ISNUMBER(DE147),ISNUMBER(DC147)),DE147-DC147,"")</f>
        <v>0</v>
      </c>
      <c r="DE147" s="27">
        <v>82</v>
      </c>
      <c r="DF147" s="28">
        <f>IF(AND(ISNUMBER(DG147),ISNUMBER(DE147)),DG147-DE147,"")</f>
        <v>0</v>
      </c>
      <c r="DG147" s="27">
        <v>81</v>
      </c>
      <c r="DH147" s="28">
        <f>IF(AND(ISNUMBER(DI147),ISNUMBER(DG147)),DI147-DG147,"")</f>
        <v>0</v>
      </c>
      <c r="DI147" s="27">
        <v>80</v>
      </c>
      <c r="DJ147" s="28">
        <f>IF(AND(ISNUMBER(DK147),ISNUMBER(DI147)),DK147-DI147,"")</f>
        <v>0</v>
      </c>
      <c r="DK147" s="27">
        <v>80</v>
      </c>
      <c r="DL147" s="28">
        <f>IF(AND(ISNUMBER(DM147),ISNUMBER(DK147)),DM147-DK147,"")</f>
        <v>0</v>
      </c>
      <c r="DM147" s="27">
        <v>80</v>
      </c>
      <c r="DN147" s="28">
        <f>IF(AND(ISNUMBER(DO147),ISNUMBER(DM147)),DO147-DM147,"")</f>
        <v>0</v>
      </c>
      <c r="DO147" s="27">
        <v>79</v>
      </c>
      <c r="DP147" s="28">
        <f>IF(AND(ISNUMBER(DQ147),ISNUMBER(DO147)),DQ147-DO147,"")</f>
        <v>0</v>
      </c>
      <c r="DQ147" s="27">
        <v>77</v>
      </c>
      <c r="DR147" s="28">
        <f>IF(AND(ISNUMBER(DS147),ISNUMBER(DQ147)),DS147-DQ147,"")</f>
        <v>0</v>
      </c>
      <c r="DS147" s="27">
        <v>76</v>
      </c>
      <c r="DT147" s="28">
        <f>IF(AND(ISNUMBER(DU147),ISNUMBER(DS147)),DU147-DS147,"")</f>
        <v>0</v>
      </c>
      <c r="DU147" s="27">
        <v>75</v>
      </c>
      <c r="DV147" s="28">
        <f>IF(AND(ISNUMBER(DW147),ISNUMBER(DU147)),DW147-DU147,"")</f>
        <v>0</v>
      </c>
      <c r="DW147" s="27">
        <v>75</v>
      </c>
      <c r="DX147" s="28">
        <f>IF(AND(ISNUMBER(DY147),ISNUMBER(DW147)),DY147-DW147,"")</f>
        <v>0</v>
      </c>
      <c r="DY147" s="27">
        <v>75</v>
      </c>
      <c r="DZ147" s="28">
        <f>IF(AND(ISNUMBER(EA147),ISNUMBER(DY147)),EA147-DY147,"")</f>
        <v>0</v>
      </c>
      <c r="EA147" s="27">
        <v>75</v>
      </c>
      <c r="EB147" s="28">
        <f>IF(AND(ISNUMBER(EC147),ISNUMBER(EA147)),EC147-EA147,"")</f>
        <v>0</v>
      </c>
      <c r="EC147" s="27">
        <v>75</v>
      </c>
      <c r="ED147" s="28">
        <f>IF(AND(ISNUMBER(EE147),ISNUMBER(EC147)),EE147-EC147,"")</f>
        <v>0</v>
      </c>
      <c r="EE147" s="27">
        <v>75</v>
      </c>
      <c r="EF147" s="28">
        <f>IF(AND(ISNUMBER(EG147),ISNUMBER(EE147)),EG147-EE147,"")</f>
        <v>0</v>
      </c>
      <c r="EG147" s="27">
        <v>75</v>
      </c>
      <c r="EH147" s="28">
        <f>IF(AND(ISNUMBER(EI147),ISNUMBER(EG147)),EI147-EG147,"")</f>
        <v>0</v>
      </c>
      <c r="EI147" s="27">
        <v>75</v>
      </c>
      <c r="EJ147" s="28">
        <f>IF(AND(ISNUMBER(EK147),ISNUMBER(EI147)),EK147-EI147,"")</f>
        <v>0</v>
      </c>
      <c r="EK147" s="27">
        <v>75</v>
      </c>
      <c r="EL147" s="28">
        <f>IF(AND(ISNUMBER(EM147),ISNUMBER(EK147)),EM147-EK147,"")</f>
        <v>0</v>
      </c>
      <c r="EM147" s="27">
        <v>75</v>
      </c>
      <c r="EN147" s="28">
        <f>IF(AND(ISNUMBER(EO147),ISNUMBER(EM147)),EO147-EM147,"")</f>
        <v>0</v>
      </c>
      <c r="EO147" s="27">
        <v>75</v>
      </c>
      <c r="EP147" s="28">
        <f>IF(AND(ISNUMBER(EQ147),ISNUMBER(EO147)),EQ147-EO147,"")</f>
        <v>0</v>
      </c>
      <c r="EQ147" s="27">
        <v>75</v>
      </c>
      <c r="ER147" s="28">
        <f>IF(AND(ISNUMBER(ES147),ISNUMBER(EQ147)),ES147-EQ147,"")</f>
        <v>0</v>
      </c>
      <c r="ES147" s="27">
        <v>75</v>
      </c>
      <c r="ET147" s="28">
        <f>IF(AND(ISNUMBER(EU147),ISNUMBER(ES147)),EU147-ES147,"")</f>
        <v>0</v>
      </c>
      <c r="EU147" s="27">
        <v>75</v>
      </c>
      <c r="EV147" s="28">
        <f>IF(AND(ISNUMBER(EW147),ISNUMBER(EU147)),EW147-EU147,"")</f>
        <v>0</v>
      </c>
      <c r="EW147" s="27">
        <v>75</v>
      </c>
      <c r="EX147" s="28">
        <f>IF(AND(ISNUMBER(EY147),ISNUMBER(EW147)),EY147-EW147,"")</f>
        <v>0</v>
      </c>
      <c r="EY147" s="27">
        <v>75</v>
      </c>
      <c r="EZ147" s="28">
        <f>IF(AND(ISNUMBER(FA147),ISNUMBER(EY147)),FA147-EY147,"")</f>
        <v>0</v>
      </c>
      <c r="FA147" s="27">
        <v>75</v>
      </c>
      <c r="FB147" s="28">
        <f>IF(AND(ISNUMBER(FC147),ISNUMBER(FA147)),FC147-FA147,"")</f>
        <v>0</v>
      </c>
      <c r="FC147" s="27">
        <v>75</v>
      </c>
      <c r="FD147" s="28">
        <f>IF(AND(ISNUMBER(FE147),ISNUMBER(FC147)),FE147-FC147,"")</f>
        <v>0</v>
      </c>
      <c r="FE147" s="27">
        <v>75</v>
      </c>
      <c r="FF147" s="28">
        <f>IF(AND(ISNUMBER(FG147),ISNUMBER(FE147)),FG147-FE147,"")</f>
        <v>0</v>
      </c>
      <c r="FG147" s="27">
        <v>75</v>
      </c>
      <c r="FH147" s="28">
        <f>IF(AND(ISNUMBER(FI147),ISNUMBER(FG147)),FI147-FG147,"")</f>
        <v>0</v>
      </c>
      <c r="FI147" s="27">
        <v>75</v>
      </c>
      <c r="FJ147" s="28">
        <f>IF(AND(ISNUMBER(FK147),ISNUMBER(FI147)),FK147-FI147,"")</f>
        <v>0</v>
      </c>
      <c r="FK147" s="27">
        <v>75</v>
      </c>
      <c r="FL147" s="28">
        <f>IF(AND(ISNUMBER(FM147),ISNUMBER(FK147)),FM147-FK147,"")</f>
        <v>0</v>
      </c>
      <c r="FM147" s="27">
        <v>75</v>
      </c>
      <c r="FN147" s="28">
        <f>IF(AND(ISNUMBER(FO147),ISNUMBER(FM147)),FO147-FM147,"")</f>
        <v>0</v>
      </c>
      <c r="FO147" s="27">
        <v>75</v>
      </c>
      <c r="FP147" s="28">
        <f>IF(AND(ISNUMBER(FQ147),ISNUMBER(FO147)),FQ147-FO147,"")</f>
        <v>0</v>
      </c>
      <c r="FQ147" s="27">
        <v>75</v>
      </c>
      <c r="FR147" s="28">
        <f>IF(AND(ISNUMBER(FS147),ISNUMBER(FQ147)),FS147-FQ147,"")</f>
        <v>0</v>
      </c>
      <c r="FS147" s="27">
        <v>74</v>
      </c>
      <c r="FT147" s="28">
        <f>IF(AND(ISNUMBER(FU147),ISNUMBER(FS147)),FU147-FS147,"")</f>
        <v>0</v>
      </c>
      <c r="FU147" s="27">
        <v>74</v>
      </c>
      <c r="FV147" s="28">
        <f>IF(AND(ISNUMBER(FW147),ISNUMBER(FU147)),FW147-FU147,"")</f>
        <v>0</v>
      </c>
      <c r="FW147" s="27">
        <v>74</v>
      </c>
      <c r="FX147" s="28">
        <f>IF(AND(ISNUMBER(FY147),ISNUMBER(FW147)),FY147-FW147,"")</f>
        <v>0</v>
      </c>
      <c r="FY147" s="27">
        <v>74</v>
      </c>
      <c r="FZ147" s="28">
        <f>IF(AND(ISNUMBER(GA147),ISNUMBER(FY147)),GA147-FY147,"")</f>
        <v>0</v>
      </c>
      <c r="GA147" s="27">
        <v>74</v>
      </c>
      <c r="GB147" s="28">
        <f>IF(AND(ISNUMBER(GC147),ISNUMBER(GA147)),GC147-GA147,"")</f>
        <v>0</v>
      </c>
      <c r="GC147" s="27">
        <v>74</v>
      </c>
      <c r="GD147" s="28">
        <f>IF(AND(ISNUMBER(GE147),ISNUMBER(GC147)),GE147-GC147,"")</f>
        <v>0</v>
      </c>
      <c r="GE147" s="27">
        <v>74</v>
      </c>
      <c r="GF147" s="28">
        <f>IF(AND(ISNUMBER(GG147),ISNUMBER(GE147)),GG147-GE147,"")</f>
        <v>0</v>
      </c>
      <c r="GG147" s="27">
        <v>74</v>
      </c>
      <c r="GH147" s="28">
        <f>IF(AND(ISNUMBER(GI147),ISNUMBER(GG147)),GI147-GG147,"")</f>
        <v>0</v>
      </c>
      <c r="GI147" s="27">
        <v>74</v>
      </c>
      <c r="GJ147" s="28">
        <f>IF(AND(ISNUMBER(GK147),ISNUMBER(GI147)),GK147-GI147,"")</f>
        <v>0</v>
      </c>
      <c r="GK147" s="27">
        <v>74</v>
      </c>
      <c r="GL147" s="28">
        <f>IF(AND(ISNUMBER(GM147),ISNUMBER(GK147)),GM147-GK147,"")</f>
        <v>0</v>
      </c>
      <c r="GM147" s="27">
        <v>74</v>
      </c>
      <c r="GN147" s="28">
        <f>IF(AND(ISNUMBER(GO147),ISNUMBER(GM147)),GO147-GM147,"")</f>
        <v>0</v>
      </c>
      <c r="GO147" s="27">
        <v>74</v>
      </c>
      <c r="GP147" s="28">
        <f>IF(AND(ISNUMBER(GQ147),ISNUMBER(GO147)),GQ147-GO147,"")</f>
        <v>0</v>
      </c>
      <c r="GQ147" s="27">
        <v>74</v>
      </c>
      <c r="GR147" s="28">
        <f>IF(AND(ISNUMBER(GS147),ISNUMBER(GQ147)),GS147-GQ147,"")</f>
        <v>0</v>
      </c>
      <c r="GS147" s="27">
        <v>74</v>
      </c>
      <c r="GT147" s="28">
        <f>IF(AND(ISNUMBER(GU147),ISNUMBER(GS147)),GU147-GS147,"")</f>
        <v>0</v>
      </c>
      <c r="GU147" s="27">
        <v>74</v>
      </c>
      <c r="GV147" s="28">
        <f>IF(AND(ISNUMBER(GW147),ISNUMBER(GU147)),GW147-GU147,"")</f>
        <v>0</v>
      </c>
      <c r="GW147" s="27">
        <v>74</v>
      </c>
      <c r="GX147" s="28">
        <f>IF(AND(ISNUMBER(GY147),ISNUMBER(GW147)),GY147-GW147,"")</f>
        <v>0</v>
      </c>
      <c r="GY147" s="27">
        <v>74</v>
      </c>
      <c r="GZ147" s="28">
        <f>IF(AND(ISNUMBER(HA147),ISNUMBER(GY147)),HA147-GY147,"")</f>
        <v>0</v>
      </c>
      <c r="HA147" s="27">
        <v>74</v>
      </c>
      <c r="HB147" s="28">
        <f>IF(AND(ISNUMBER(HC147),ISNUMBER(HA147)),HC147-HA147,"")</f>
        <v>0</v>
      </c>
      <c r="HC147" s="27">
        <v>74</v>
      </c>
      <c r="HD147" s="28">
        <f>IF(AND(ISNUMBER(HE147),ISNUMBER(HC147)),HE147-HC147,"")</f>
        <v>0</v>
      </c>
      <c r="HE147" s="27"/>
      <c r="HF147" s="28">
        <f>IF(AND(ISNUMBER(HG147),ISNUMBER(HE147)),HG147-HE147,"")</f>
        <v>0</v>
      </c>
      <c r="HG147" s="27"/>
      <c r="HH147" s="28">
        <f>IF(AND(ISNUMBER(HI147),ISNUMBER(HG147)),HI147-HG147,"")</f>
        <v>0</v>
      </c>
      <c r="HI147" s="27"/>
      <c r="HJ147" s="28">
        <f>IF(AND(ISNUMBER(HK147),ISNUMBER(HI147)),HK147-HI147,"")</f>
        <v>0</v>
      </c>
      <c r="HK147" s="27"/>
      <c r="HL147" s="28">
        <f>IF(AND(ISNUMBER(HM147),ISNUMBER(HK147)),HM147-HK147,"")</f>
        <v>0</v>
      </c>
      <c r="HM147" s="27"/>
      <c r="HN147" s="28">
        <f>IF(AND(ISNUMBER(HO147),ISNUMBER(HM147)),HO147-HM147,"")</f>
        <v>0</v>
      </c>
      <c r="HO147" s="27"/>
      <c r="HP147" s="28">
        <f>IF(AND(ISNUMBER(HQ147),ISNUMBER(HO147)),HQ147-HO147,"")</f>
        <v>0</v>
      </c>
      <c r="HQ147" s="27"/>
      <c r="HR147" s="28">
        <f>IF(AND(ISNUMBER(HS147),ISNUMBER(HQ147)),HS147-HQ147,"")</f>
        <v>0</v>
      </c>
      <c r="HS147" s="27"/>
      <c r="HT147" s="28">
        <f>IF(AND(ISNUMBER(HU147),ISNUMBER(HS147)),HU147-HS147,"")</f>
        <v>0</v>
      </c>
      <c r="HU147" s="27"/>
      <c r="HV147" s="28">
        <f>IF(AND(ISNUMBER(HW147),ISNUMBER(HU147)),HW147-HU147,"")</f>
        <v>0</v>
      </c>
      <c r="HW147" s="27"/>
      <c r="HX147" s="28">
        <f>IF(AND(ISNUMBER(HY147),ISNUMBER(HW147)),HY147-HW147,"")</f>
        <v>0</v>
      </c>
      <c r="HY147" s="27"/>
      <c r="HZ147" s="28">
        <f>IF(AND(ISNUMBER(IA147),ISNUMBER(HY147)),IA147-HY147,"")</f>
        <v>0</v>
      </c>
      <c r="IA147" s="27"/>
      <c r="IB147" s="28">
        <f>IF(AND(ISNUMBER(IC147),ISNUMBER(IA147)),IC147-IA147,"")</f>
        <v>0</v>
      </c>
      <c r="IC147" s="27"/>
      <c r="ID147" s="28">
        <f>IF(AND(ISNUMBER(IE147),ISNUMBER(IC147)),IE147-IC147,"")</f>
        <v>0</v>
      </c>
      <c r="IE147" s="27"/>
      <c r="IF147" s="28">
        <f>IF(AND(ISNUMBER(IG147),ISNUMBER(IE147)),IG147-IE147,"")</f>
        <v>0</v>
      </c>
      <c r="IG147" s="27"/>
      <c r="IH147" s="28">
        <f>IF(AND(ISNUMBER(II147),ISNUMBER(IG147)),II147-IG147,"")</f>
        <v>0</v>
      </c>
      <c r="II147" s="27"/>
      <c r="IJ147" s="28">
        <f>IF(AND(ISNUMBER(IK147),ISNUMBER(II147)),IK147-II147,"")</f>
        <v>0</v>
      </c>
      <c r="IK147" s="27"/>
      <c r="IL147" s="28">
        <f>IF(AND(ISNUMBER(IM147),ISNUMBER(IK147)),IM147-IK147,"")</f>
        <v>0</v>
      </c>
      <c r="IM147" s="27"/>
      <c r="IN147" s="28">
        <f>IF(AND(ISNUMBER(IO147),ISNUMBER(IM147)),IO147-IM147,"")</f>
        <v>0</v>
      </c>
      <c r="IO147" s="27"/>
      <c r="IP147" s="28">
        <f>IF(AND(ISNUMBER(IQ147),ISNUMBER(IO147)),IQ147-IO147,"")</f>
        <v>0</v>
      </c>
      <c r="IQ147" s="27"/>
      <c r="IR147" s="28">
        <f>IF(AND(ISNUMBER(IS147),ISNUMBER(IQ147)),IS147-IQ147,"")</f>
        <v>0</v>
      </c>
      <c r="IS147" s="27"/>
      <c r="IT147" s="28">
        <f>IF(AND(ISNUMBER(IU147),ISNUMBER(IS147)),IU147-IS147,"")</f>
        <v>0</v>
      </c>
      <c r="IU147" s="27"/>
      <c r="IV147" s="28">
        <f>IF(AND(ISNUMBER(IW147),ISNUMBER(IU147)),IW147-IU147,"")</f>
        <v>0</v>
      </c>
      <c r="IW147" s="27"/>
      <c r="IX147" s="28">
        <f>IF(AND(ISNUMBER(IY147),ISNUMBER(IW147)),IY147-IW147,"")</f>
        <v>0</v>
      </c>
      <c r="IY147" s="27"/>
      <c r="IZ147" s="28">
        <f>IF(AND(ISNUMBER(JA147),ISNUMBER(IY147)),JA147-IY147,"")</f>
        <v>0</v>
      </c>
      <c r="JA147" s="27"/>
      <c r="JB147" s="28">
        <f>IF(AND(ISNUMBER(JC147),ISNUMBER(JA147)),JC147-JA147,"")</f>
        <v>0</v>
      </c>
      <c r="JC147" s="27"/>
      <c r="JD147" s="28">
        <f>IF(AND(ISNUMBER(JE147),ISNUMBER(JC147)),JE147-JC147,"")</f>
        <v>0</v>
      </c>
      <c r="JE147" s="27"/>
      <c r="JF147" s="28">
        <f>IF(AND(ISNUMBER(JG147),ISNUMBER(JE147)),JG147-JE147,"")</f>
        <v>0</v>
      </c>
      <c r="JG147" s="27"/>
      <c r="JH147" s="28">
        <f>IF(AND(ISNUMBER(JI147),ISNUMBER(JG147)),JI147-JG147,"")</f>
        <v>0</v>
      </c>
      <c r="JI147" s="27"/>
      <c r="JJ147" s="28">
        <f>IF(AND(ISNUMBER(JK147),ISNUMBER(JI147)),JK147-JI147,"")</f>
        <v>0</v>
      </c>
      <c r="JK147" s="27"/>
      <c r="JL147" s="28">
        <f>IF(AND(ISNUMBER(JM147),ISNUMBER(JK147)),JM147-JK147,"")</f>
        <v>0</v>
      </c>
      <c r="JM147" s="27"/>
      <c r="JN147" s="28">
        <f>IF(AND(ISNUMBER(JO147),ISNUMBER(JM147)),JO147-JM147,"")</f>
        <v>0</v>
      </c>
      <c r="JO147" s="27"/>
      <c r="JP147" s="28">
        <f>IF(AND(ISNUMBER(JQ147),ISNUMBER(JO147)),JQ147-JO147,"")</f>
        <v>0</v>
      </c>
      <c r="JQ147" s="27"/>
      <c r="JR147" s="28">
        <f>IF(AND(ISNUMBER(JS147),ISNUMBER(JQ147)),JS147-JQ147,"")</f>
        <v>0</v>
      </c>
      <c r="JS147" s="27"/>
      <c r="JT147" s="28">
        <f>IF(AND(ISNUMBER(JU147),ISNUMBER(JS147)),JU147-JS147,"")</f>
        <v>0</v>
      </c>
      <c r="JU147" s="27"/>
      <c r="JV147" s="28">
        <f>IF(AND(ISNUMBER(JW147),ISNUMBER(JU147)),JW147-JU147,"")</f>
        <v>0</v>
      </c>
      <c r="JW147" s="27"/>
      <c r="JX147" s="28">
        <f>IF(AND(ISNUMBER(JY147),ISNUMBER(JW147)),JY147-JW147,"")</f>
        <v>0</v>
      </c>
      <c r="JY147" s="27"/>
      <c r="JZ147" s="28">
        <f>IF(AND(ISNUMBER(KA147),ISNUMBER(JY147)),KA147-JY147,"")</f>
        <v>0</v>
      </c>
      <c r="KA147" s="27"/>
      <c r="KB147" s="28">
        <f>IF(AND(ISNUMBER(KC147),ISNUMBER(KA147)),KC147-KA147,"")</f>
        <v>0</v>
      </c>
      <c r="KC147" s="27"/>
      <c r="KD147" s="28">
        <f>IF(AND(ISNUMBER(KE147),ISNUMBER(KC147)),KE147-KC147,"")</f>
        <v>0</v>
      </c>
      <c r="KE147" s="27"/>
      <c r="KF147" s="28">
        <f>IF(AND(ISNUMBER(KG147),ISNUMBER(KE147)),KG147-KE147,"")</f>
        <v>0</v>
      </c>
      <c r="KG147" s="27"/>
      <c r="KH147" s="28">
        <f>IF(AND(ISNUMBER(KI147),ISNUMBER(KG147)),KI147-KG147,"")</f>
        <v>0</v>
      </c>
      <c r="KI147" s="27"/>
      <c r="KJ147" s="28">
        <f>IF(AND(ISNUMBER(KK147),ISNUMBER(KI147)),KK147-KI147,"")</f>
        <v>0</v>
      </c>
      <c r="KK147" s="27"/>
      <c r="KL147" s="28">
        <f>IF(AND(ISNUMBER(KM147),ISNUMBER(KK147)),KM147-KK147,"")</f>
        <v>0</v>
      </c>
      <c r="KM147" s="27"/>
      <c r="KN147" s="28">
        <f>IF(AND(ISNUMBER(KO147),ISNUMBER(KM147)),KO147-KM147,"")</f>
        <v>0</v>
      </c>
      <c r="KO147" s="27"/>
      <c r="KP147" s="28">
        <f>IF(AND(ISNUMBER(KQ147),ISNUMBER(KO147)),KQ147-KO147,"")</f>
        <v>0</v>
      </c>
      <c r="KQ147" s="27"/>
      <c r="KR147" s="28">
        <f>IF(AND(ISNUMBER(KS147),ISNUMBER(KQ147)),KS147-KQ147,"")</f>
        <v>0</v>
      </c>
      <c r="KS147" s="27"/>
      <c r="KT147" s="28">
        <f>IF(AND(ISNUMBER(KU147),ISNUMBER(KS147)),KU147-KS147,"")</f>
        <v>0</v>
      </c>
      <c r="KU147" s="27"/>
      <c r="KV147" s="28">
        <f>IF(AND(ISNUMBER(KW147),ISNUMBER(KU147)),KW147-KU147,"")</f>
        <v>0</v>
      </c>
      <c r="KW147" s="27"/>
      <c r="KX147" s="28">
        <f>IF(AND(ISNUMBER(KY147),ISNUMBER(KW147)),KY147-KW147,"")</f>
        <v>0</v>
      </c>
      <c r="KY147" s="27"/>
      <c r="KZ147" s="28">
        <f>IF(AND(ISNUMBER(LA147),ISNUMBER(KY147)),LA147-KY147,"")</f>
        <v>0</v>
      </c>
      <c r="LA147" s="27"/>
      <c r="LB147" s="28">
        <f>IF(AND(ISNUMBER(LC147),ISNUMBER(LA147)),LC147-LA147,"")</f>
        <v>0</v>
      </c>
      <c r="LC147" s="27"/>
      <c r="LD147" s="28">
        <f>IF(AND(ISNUMBER(LE147),ISNUMBER(LC147)),LE147-LC147,"")</f>
        <v>0</v>
      </c>
      <c r="LE147" s="27"/>
      <c r="LF147" s="28">
        <f>IF(AND(ISNUMBER(LG147),ISNUMBER(LE147)),LG147-LE147,"")</f>
        <v>0</v>
      </c>
      <c r="LG147" s="27"/>
      <c r="LH147" s="30"/>
      <c r="LI147" s="30"/>
      <c r="LJ147" s="41" t="s">
        <v>1152</v>
      </c>
    </row>
    <row r="148" spans="1:322" hidden="1" outlineLevel="1">
      <c r="A148" s="22">
        <v>16</v>
      </c>
      <c r="B148" s="23"/>
      <c r="C148" s="43"/>
      <c r="D148" s="43"/>
      <c r="E148" s="25"/>
      <c r="F148" s="26"/>
      <c r="G148" s="26"/>
      <c r="H148" s="26"/>
      <c r="I148" s="27"/>
      <c r="J148" s="28">
        <f>IF(AND(ISNUMBER(K148),ISNUMBER(I148)),K148-I148,"")</f>
        <v>0</v>
      </c>
      <c r="K148" s="27"/>
      <c r="L148" s="28">
        <f>IF(AND(ISNUMBER(M148),ISNUMBER(K148)),M148-K148,"")</f>
        <v>0</v>
      </c>
      <c r="M148" s="27"/>
      <c r="N148" s="28">
        <f>IF(AND(ISNUMBER(O148),ISNUMBER(M148)),O148-M148,"")</f>
        <v>0</v>
      </c>
      <c r="O148" s="27"/>
      <c r="P148" s="28">
        <f>IF(AND(ISNUMBER(Q148),ISNUMBER(O148)),Q148-O148,"")</f>
        <v>0</v>
      </c>
      <c r="Q148" s="27"/>
      <c r="R148" s="28">
        <f>IF(AND(ISNUMBER(S148),ISNUMBER(Q148)),S148-Q148,"")</f>
        <v>0</v>
      </c>
      <c r="S148" s="27"/>
      <c r="T148" s="28">
        <f>IF(AND(ISNUMBER(U148),ISNUMBER(S148)),U148-S148,"")</f>
        <v>0</v>
      </c>
      <c r="U148" s="27"/>
      <c r="V148" s="28">
        <f>IF(AND(ISNUMBER(W148),ISNUMBER(U148)),W148-U148,"")</f>
        <v>0</v>
      </c>
      <c r="W148" s="27"/>
      <c r="X148" s="28">
        <f>IF(AND(ISNUMBER(Y148),ISNUMBER(W148)),Y148-W148,"")</f>
        <v>0</v>
      </c>
      <c r="Y148" s="27"/>
      <c r="Z148" s="28">
        <f>IF(AND(ISNUMBER(AA148),ISNUMBER(Y148)),AA148-Y148,"")</f>
        <v>0</v>
      </c>
      <c r="AA148" s="27"/>
      <c r="AB148" s="28">
        <f>IF(AND(ISNUMBER(AC148),ISNUMBER(AA148)),AC148-AA148,"")</f>
        <v>0</v>
      </c>
      <c r="AC148" s="27"/>
      <c r="AD148" s="28">
        <f>IF(AND(ISNUMBER(AE148),ISNUMBER(AC148)),AE148-AC148,"")</f>
        <v>0</v>
      </c>
      <c r="AE148" s="27"/>
      <c r="AF148" s="28">
        <f>IF(AND(ISNUMBER(AG148),ISNUMBER(AE148)),AG148-AE148,"")</f>
        <v>0</v>
      </c>
      <c r="AG148" s="27"/>
      <c r="AH148" s="28">
        <f>IF(AND(ISNUMBER(AI148),ISNUMBER(AG148)),AI148-AG148,"")</f>
        <v>0</v>
      </c>
      <c r="AI148" s="27"/>
      <c r="AJ148" s="28">
        <f>IF(AND(ISNUMBER(AK148),ISNUMBER(AI148)),AK148-AI148,"")</f>
        <v>0</v>
      </c>
      <c r="AK148" s="27"/>
      <c r="AL148" s="28">
        <f>IF(AND(ISNUMBER(AM148),ISNUMBER(AK148)),AM148-AK148,"")</f>
        <v>0</v>
      </c>
      <c r="AM148" s="27"/>
      <c r="AN148" s="28">
        <f>IF(AND(ISNUMBER(AO148),ISNUMBER(AM148)),AO148-AM148,"")</f>
        <v>0</v>
      </c>
      <c r="AO148" s="27"/>
      <c r="AP148" s="28">
        <f>IF(AND(ISNUMBER(AQ148),ISNUMBER(AO148)),AQ148-AO148,"")</f>
        <v>0</v>
      </c>
      <c r="AQ148" s="27"/>
      <c r="AR148" s="28">
        <f>IF(AND(ISNUMBER(AS148),ISNUMBER(AQ148)),AS148-AQ148,"")</f>
        <v>0</v>
      </c>
      <c r="AS148" s="27"/>
      <c r="AT148" s="28">
        <f>IF(AND(ISNUMBER(AU148),ISNUMBER(AS148)),AU148-AS148,"")</f>
        <v>0</v>
      </c>
      <c r="AU148" s="27"/>
      <c r="AV148" s="28">
        <f>IF(AND(ISNUMBER(AW148),ISNUMBER(AU148)),AW148-AU148,"")</f>
        <v>0</v>
      </c>
      <c r="AW148" s="27"/>
      <c r="AX148" s="28">
        <f>IF(AND(ISNUMBER(AY148),ISNUMBER(AW148)),AY148-AW148,"")</f>
        <v>0</v>
      </c>
      <c r="AY148" s="27"/>
      <c r="AZ148" s="28">
        <f>IF(AND(ISNUMBER(BA148),ISNUMBER(AY148)),BA148-AY148,"")</f>
        <v>0</v>
      </c>
      <c r="BA148" s="27"/>
      <c r="BB148" s="28">
        <f>IF(AND(ISNUMBER(BC148),ISNUMBER(BA148)),BC148-BA148,"")</f>
        <v>0</v>
      </c>
      <c r="BC148" s="27"/>
      <c r="BD148" s="28">
        <f>IF(AND(ISNUMBER(BE148),ISNUMBER(BC148)),BE148-BC148,"")</f>
        <v>0</v>
      </c>
      <c r="BE148" s="27"/>
      <c r="BF148" s="28">
        <f>IF(AND(ISNUMBER(BG148),ISNUMBER(BE148)),BG148-BE148,"")</f>
        <v>0</v>
      </c>
      <c r="BG148" s="27"/>
      <c r="BH148" s="28">
        <f>IF(AND(ISNUMBER(BI148),ISNUMBER(BG148)),BI148-BG148,"")</f>
        <v>0</v>
      </c>
      <c r="BI148" s="27"/>
      <c r="BJ148" s="28">
        <f>IF(AND(ISNUMBER(BK148),ISNUMBER(BI148)),BK148-BI148,"")</f>
        <v>0</v>
      </c>
      <c r="BK148" s="27"/>
      <c r="BL148" s="28">
        <f>IF(AND(ISNUMBER(BM148),ISNUMBER(BK148)),BM148-BK148,"")</f>
        <v>0</v>
      </c>
      <c r="BM148" s="27"/>
      <c r="BN148" s="28">
        <f>IF(AND(ISNUMBER(BO148),ISNUMBER(BM148)),BO148-BM148,"")</f>
        <v>0</v>
      </c>
      <c r="BO148" s="27"/>
      <c r="BP148" s="28">
        <f>IF(AND(ISNUMBER(BQ148),ISNUMBER(BO148)),BQ148-BO148,"")</f>
        <v>0</v>
      </c>
      <c r="BQ148" s="27"/>
      <c r="BR148" s="28">
        <f>IF(AND(ISNUMBER(BS148),ISNUMBER(BQ148)),BS148-BQ148,"")</f>
        <v>0</v>
      </c>
      <c r="BS148" s="27"/>
      <c r="BT148" s="28">
        <f>IF(AND(ISNUMBER(BU148),ISNUMBER(BS148)),BU148-BS148,"")</f>
        <v>0</v>
      </c>
      <c r="BU148" s="27"/>
      <c r="BV148" s="28">
        <f>IF(AND(ISNUMBER(BW148),ISNUMBER(BU148)),BW148-BU148,"")</f>
        <v>0</v>
      </c>
      <c r="BW148" s="27"/>
      <c r="BX148" s="28">
        <f>IF(AND(ISNUMBER(BY148),ISNUMBER(BW148)),BY148-BW148,"")</f>
        <v>0</v>
      </c>
      <c r="BY148" s="27"/>
      <c r="BZ148" s="28">
        <f>IF(AND(ISNUMBER(CA148),ISNUMBER(BY148)),CA148-BY148,"")</f>
        <v>0</v>
      </c>
      <c r="CA148" s="27"/>
      <c r="CB148" s="28">
        <f>IF(AND(ISNUMBER(CC148),ISNUMBER(CA148)),CC148-CA148,"")</f>
        <v>0</v>
      </c>
      <c r="CC148" s="27"/>
      <c r="CD148" s="28">
        <f>IF(AND(ISNUMBER(CE148),ISNUMBER(CC148)),CE148-CC148,"")</f>
        <v>0</v>
      </c>
      <c r="CE148" s="27"/>
      <c r="CF148" s="28">
        <f>IF(AND(ISNUMBER(CG148),ISNUMBER(CE148)),CG148-CE148,"")</f>
        <v>0</v>
      </c>
      <c r="CG148" s="27"/>
      <c r="CH148" s="28">
        <f>IF(AND(ISNUMBER(CI148),ISNUMBER(CG148)),CI148-CG148,"")</f>
        <v>0</v>
      </c>
      <c r="CI148" s="27"/>
      <c r="CJ148" s="28">
        <f>IF(AND(ISNUMBER(CK148),ISNUMBER(CI148)),CK148-CI148,"")</f>
        <v>0</v>
      </c>
      <c r="CK148" s="27"/>
      <c r="CL148" s="28">
        <f>IF(AND(ISNUMBER(CM148),ISNUMBER(CK148)),CM148-CK148,"")</f>
        <v>0</v>
      </c>
      <c r="CM148" s="27"/>
      <c r="CN148" s="28">
        <f>IF(AND(ISNUMBER(CO148),ISNUMBER(CM148)),CO148-CM148,"")</f>
        <v>0</v>
      </c>
      <c r="CO148" s="27"/>
      <c r="CP148" s="28">
        <f>IF(AND(ISNUMBER(CQ148),ISNUMBER(CO148)),CQ148-CO148,"")</f>
        <v>0</v>
      </c>
      <c r="CQ148" s="27"/>
      <c r="CR148" s="28">
        <f>IF(AND(ISNUMBER(CS148),ISNUMBER(CQ148)),CS148-CQ148,"")</f>
        <v>0</v>
      </c>
      <c r="CS148" s="27"/>
      <c r="CT148" s="28">
        <f>IF(AND(ISNUMBER(CU148),ISNUMBER(CS148)),CU148-CS148,"")</f>
        <v>0</v>
      </c>
      <c r="CU148" s="27"/>
      <c r="CV148" s="28">
        <f>IF(AND(ISNUMBER(CW148),ISNUMBER(CU148)),CW148-CU148,"")</f>
        <v>0</v>
      </c>
      <c r="CW148" s="27"/>
      <c r="CX148" s="28">
        <f>IF(AND(ISNUMBER(CY148),ISNUMBER(CW148)),CY148-CW148,"")</f>
        <v>0</v>
      </c>
      <c r="CY148" s="27"/>
      <c r="CZ148" s="28">
        <f>IF(AND(ISNUMBER(DA148),ISNUMBER(CY148)),DA148-CY148,"")</f>
        <v>0</v>
      </c>
      <c r="DA148" s="27"/>
      <c r="DB148" s="28">
        <f>IF(AND(ISNUMBER(DC148),ISNUMBER(DA148)),DC148-DA148,"")</f>
        <v>0</v>
      </c>
      <c r="DC148" s="27"/>
      <c r="DD148" s="28">
        <f>IF(AND(ISNUMBER(DE148),ISNUMBER(DC148)),DE148-DC148,"")</f>
        <v>0</v>
      </c>
      <c r="DE148" s="27"/>
      <c r="DF148" s="28">
        <f>IF(AND(ISNUMBER(DG148),ISNUMBER(DE148)),DG148-DE148,"")</f>
        <v>0</v>
      </c>
      <c r="DG148" s="27"/>
      <c r="DH148" s="28">
        <f>IF(AND(ISNUMBER(DI148),ISNUMBER(DG148)),DI148-DG148,"")</f>
        <v>0</v>
      </c>
      <c r="DI148" s="27"/>
      <c r="DJ148" s="28">
        <f>IF(AND(ISNUMBER(DK148),ISNUMBER(DI148)),DK148-DI148,"")</f>
        <v>0</v>
      </c>
      <c r="DK148" s="27"/>
      <c r="DL148" s="28">
        <f>IF(AND(ISNUMBER(DM148),ISNUMBER(DK148)),DM148-DK148,"")</f>
        <v>0</v>
      </c>
      <c r="DM148" s="27"/>
      <c r="DN148" s="28">
        <f>IF(AND(ISNUMBER(DO148),ISNUMBER(DM148)),DO148-DM148,"")</f>
        <v>0</v>
      </c>
      <c r="DO148" s="27"/>
      <c r="DP148" s="28">
        <f>IF(AND(ISNUMBER(DQ148),ISNUMBER(DO148)),DQ148-DO148,"")</f>
        <v>0</v>
      </c>
      <c r="DQ148" s="27"/>
      <c r="DR148" s="28">
        <f>IF(AND(ISNUMBER(DS148),ISNUMBER(DQ148)),DS148-DQ148,"")</f>
        <v>0</v>
      </c>
      <c r="DS148" s="27"/>
      <c r="DT148" s="28">
        <f>IF(AND(ISNUMBER(DU148),ISNUMBER(DS148)),DU148-DS148,"")</f>
        <v>0</v>
      </c>
      <c r="DU148" s="27"/>
      <c r="DV148" s="28">
        <f>IF(AND(ISNUMBER(DW148),ISNUMBER(DU148)),DW148-DU148,"")</f>
        <v>0</v>
      </c>
      <c r="DW148" s="27"/>
      <c r="DX148" s="28">
        <f>IF(AND(ISNUMBER(DY148),ISNUMBER(DW148)),DY148-DW148,"")</f>
        <v>0</v>
      </c>
      <c r="DY148" s="27"/>
      <c r="DZ148" s="28">
        <f>IF(AND(ISNUMBER(EA148),ISNUMBER(DY148)),EA148-DY148,"")</f>
        <v>0</v>
      </c>
      <c r="EA148" s="27"/>
      <c r="EB148" s="28">
        <f>IF(AND(ISNUMBER(EC148),ISNUMBER(EA148)),EC148-EA148,"")</f>
        <v>0</v>
      </c>
      <c r="EC148" s="27"/>
      <c r="ED148" s="28">
        <f>IF(AND(ISNUMBER(EE148),ISNUMBER(EC148)),EE148-EC148,"")</f>
        <v>0</v>
      </c>
      <c r="EE148" s="27"/>
      <c r="EF148" s="28">
        <f>IF(AND(ISNUMBER(EG148),ISNUMBER(EE148)),EG148-EE148,"")</f>
        <v>0</v>
      </c>
      <c r="EG148" s="27"/>
      <c r="EH148" s="28">
        <f>IF(AND(ISNUMBER(EI148),ISNUMBER(EG148)),EI148-EG148,"")</f>
        <v>0</v>
      </c>
      <c r="EI148" s="27"/>
      <c r="EJ148" s="28">
        <f>IF(AND(ISNUMBER(EK148),ISNUMBER(EI148)),EK148-EI148,"")</f>
        <v>0</v>
      </c>
      <c r="EK148" s="27"/>
      <c r="EL148" s="28">
        <f>IF(AND(ISNUMBER(EM148),ISNUMBER(EK148)),EM148-EK148,"")</f>
        <v>0</v>
      </c>
      <c r="EM148" s="27"/>
      <c r="EN148" s="28">
        <f>IF(AND(ISNUMBER(EO148),ISNUMBER(EM148)),EO148-EM148,"")</f>
        <v>0</v>
      </c>
      <c r="EO148" s="27"/>
      <c r="EP148" s="28">
        <f>IF(AND(ISNUMBER(EQ148),ISNUMBER(EO148)),EQ148-EO148,"")</f>
        <v>0</v>
      </c>
      <c r="EQ148" s="27"/>
      <c r="ER148" s="28">
        <f>IF(AND(ISNUMBER(ES148),ISNUMBER(EQ148)),ES148-EQ148,"")</f>
        <v>0</v>
      </c>
      <c r="ES148" s="27"/>
      <c r="ET148" s="28">
        <f>IF(AND(ISNUMBER(EU148),ISNUMBER(ES148)),EU148-ES148,"")</f>
        <v>0</v>
      </c>
      <c r="EU148" s="27"/>
      <c r="EV148" s="28">
        <f>IF(AND(ISNUMBER(EW148),ISNUMBER(EU148)),EW148-EU148,"")</f>
        <v>0</v>
      </c>
      <c r="EW148" s="27"/>
      <c r="EX148" s="28">
        <f>IF(AND(ISNUMBER(EY148),ISNUMBER(EW148)),EY148-EW148,"")</f>
        <v>0</v>
      </c>
      <c r="EY148" s="27"/>
      <c r="EZ148" s="28">
        <f>IF(AND(ISNUMBER(FA148),ISNUMBER(EY148)),FA148-EY148,"")</f>
        <v>0</v>
      </c>
      <c r="FA148" s="27"/>
      <c r="FB148" s="28">
        <f>IF(AND(ISNUMBER(FC148),ISNUMBER(FA148)),FC148-FA148,"")</f>
        <v>0</v>
      </c>
      <c r="FC148" s="27"/>
      <c r="FD148" s="28">
        <f>IF(AND(ISNUMBER(FE148),ISNUMBER(FC148)),FE148-FC148,"")</f>
        <v>0</v>
      </c>
      <c r="FE148" s="27"/>
      <c r="FF148" s="28">
        <f>IF(AND(ISNUMBER(FG148),ISNUMBER(FE148)),FG148-FE148,"")</f>
        <v>0</v>
      </c>
      <c r="FG148" s="27"/>
      <c r="FH148" s="28">
        <f>IF(AND(ISNUMBER(FI148),ISNUMBER(FG148)),FI148-FG148,"")</f>
        <v>0</v>
      </c>
      <c r="FI148" s="27"/>
      <c r="FJ148" s="28">
        <f>IF(AND(ISNUMBER(FK148),ISNUMBER(FI148)),FK148-FI148,"")</f>
        <v>0</v>
      </c>
      <c r="FK148" s="27"/>
      <c r="FL148" s="28">
        <f>IF(AND(ISNUMBER(FM148),ISNUMBER(FK148)),FM148-FK148,"")</f>
        <v>0</v>
      </c>
      <c r="FM148" s="27"/>
      <c r="FN148" s="28">
        <f>IF(AND(ISNUMBER(FO148),ISNUMBER(FM148)),FO148-FM148,"")</f>
        <v>0</v>
      </c>
      <c r="FO148" s="27"/>
      <c r="FP148" s="28">
        <f>IF(AND(ISNUMBER(FQ148),ISNUMBER(FO148)),FQ148-FO148,"")</f>
        <v>0</v>
      </c>
      <c r="FQ148" s="27"/>
      <c r="FR148" s="28">
        <f>IF(AND(ISNUMBER(FS148),ISNUMBER(FQ148)),FS148-FQ148,"")</f>
        <v>0</v>
      </c>
      <c r="FS148" s="27"/>
      <c r="FT148" s="28">
        <f>IF(AND(ISNUMBER(FU148),ISNUMBER(FS148)),FU148-FS148,"")</f>
        <v>0</v>
      </c>
      <c r="FU148" s="27"/>
      <c r="FV148" s="28">
        <f>IF(AND(ISNUMBER(FW148),ISNUMBER(FU148)),FW148-FU148,"")</f>
        <v>0</v>
      </c>
      <c r="FW148" s="27"/>
      <c r="FX148" s="28">
        <f>IF(AND(ISNUMBER(FY148),ISNUMBER(FW148)),FY148-FW148,"")</f>
        <v>0</v>
      </c>
      <c r="FY148" s="27"/>
      <c r="FZ148" s="28">
        <f>IF(AND(ISNUMBER(GA148),ISNUMBER(FY148)),GA148-FY148,"")</f>
        <v>0</v>
      </c>
      <c r="GA148" s="27"/>
      <c r="GB148" s="28">
        <f>IF(AND(ISNUMBER(GC148),ISNUMBER(GA148)),GC148-GA148,"")</f>
        <v>0</v>
      </c>
      <c r="GC148" s="27"/>
      <c r="GD148" s="28">
        <f>IF(AND(ISNUMBER(GE148),ISNUMBER(GC148)),GE148-GC148,"")</f>
        <v>0</v>
      </c>
      <c r="GE148" s="27"/>
      <c r="GF148" s="28">
        <f>IF(AND(ISNUMBER(GG148),ISNUMBER(GE148)),GG148-GE148,"")</f>
        <v>0</v>
      </c>
      <c r="GG148" s="27"/>
      <c r="GH148" s="28">
        <f>IF(AND(ISNUMBER(GI148),ISNUMBER(GG148)),GI148-GG148,"")</f>
        <v>0</v>
      </c>
      <c r="GI148" s="27"/>
      <c r="GJ148" s="28">
        <f>IF(AND(ISNUMBER(GK148),ISNUMBER(GI148)),GK148-GI148,"")</f>
        <v>0</v>
      </c>
      <c r="GK148" s="27"/>
      <c r="GL148" s="28">
        <f>IF(AND(ISNUMBER(GM148),ISNUMBER(GK148)),GM148-GK148,"")</f>
        <v>0</v>
      </c>
      <c r="GM148" s="27"/>
      <c r="GN148" s="28">
        <f>IF(AND(ISNUMBER(GO148),ISNUMBER(GM148)),GO148-GM148,"")</f>
        <v>0</v>
      </c>
      <c r="GO148" s="27"/>
      <c r="GP148" s="28">
        <f>IF(AND(ISNUMBER(GQ148),ISNUMBER(GO148)),GQ148-GO148,"")</f>
        <v>0</v>
      </c>
      <c r="GQ148" s="27"/>
      <c r="GR148" s="28">
        <f>IF(AND(ISNUMBER(GS148),ISNUMBER(GQ148)),GS148-GQ148,"")</f>
        <v>0</v>
      </c>
      <c r="GS148" s="27"/>
      <c r="GT148" s="28">
        <f>IF(AND(ISNUMBER(GU148),ISNUMBER(GS148)),GU148-GS148,"")</f>
        <v>0</v>
      </c>
      <c r="GU148" s="27"/>
      <c r="GV148" s="28">
        <f>IF(AND(ISNUMBER(GW148),ISNUMBER(GU148)),GW148-GU148,"")</f>
        <v>0</v>
      </c>
      <c r="GW148" s="27"/>
      <c r="GX148" s="28">
        <f>IF(AND(ISNUMBER(GY148),ISNUMBER(GW148)),GY148-GW148,"")</f>
        <v>0</v>
      </c>
      <c r="GY148" s="27"/>
      <c r="GZ148" s="28">
        <f>IF(AND(ISNUMBER(HA148),ISNUMBER(GY148)),HA148-GY148,"")</f>
        <v>0</v>
      </c>
      <c r="HA148" s="27"/>
      <c r="HB148" s="28">
        <f>IF(AND(ISNUMBER(HC148),ISNUMBER(HA148)),HC148-HA148,"")</f>
        <v>0</v>
      </c>
      <c r="HC148" s="27"/>
      <c r="HD148" s="28">
        <f>IF(AND(ISNUMBER(HE148),ISNUMBER(HC148)),HE148-HC148,"")</f>
        <v>0</v>
      </c>
      <c r="HE148" s="27"/>
      <c r="HF148" s="28">
        <f>IF(AND(ISNUMBER(HG148),ISNUMBER(HE148)),HG148-HE148,"")</f>
        <v>0</v>
      </c>
      <c r="HG148" s="27"/>
      <c r="HH148" s="28">
        <f>IF(AND(ISNUMBER(HI148),ISNUMBER(HG148)),HI148-HG148,"")</f>
        <v>0</v>
      </c>
      <c r="HI148" s="27"/>
      <c r="HJ148" s="28">
        <f>IF(AND(ISNUMBER(HK148),ISNUMBER(HI148)),HK148-HI148,"")</f>
        <v>0</v>
      </c>
      <c r="HK148" s="27"/>
      <c r="HL148" s="28">
        <f>IF(AND(ISNUMBER(HM148),ISNUMBER(HK148)),HM148-HK148,"")</f>
        <v>0</v>
      </c>
      <c r="HM148" s="27"/>
      <c r="HN148" s="28">
        <f>IF(AND(ISNUMBER(HO148),ISNUMBER(HM148)),HO148-HM148,"")</f>
        <v>0</v>
      </c>
      <c r="HO148" s="27"/>
      <c r="HP148" s="28">
        <f>IF(AND(ISNUMBER(HQ148),ISNUMBER(HO148)),HQ148-HO148,"")</f>
        <v>0</v>
      </c>
      <c r="HQ148" s="27"/>
      <c r="HR148" s="28">
        <f>IF(AND(ISNUMBER(HS148),ISNUMBER(HQ148)),HS148-HQ148,"")</f>
        <v>0</v>
      </c>
      <c r="HS148" s="27"/>
      <c r="HT148" s="28">
        <f>IF(AND(ISNUMBER(HU148),ISNUMBER(HS148)),HU148-HS148,"")</f>
        <v>0</v>
      </c>
      <c r="HU148" s="27"/>
      <c r="HV148" s="28">
        <f>IF(AND(ISNUMBER(HW148),ISNUMBER(HU148)),HW148-HU148,"")</f>
        <v>0</v>
      </c>
      <c r="HW148" s="27"/>
      <c r="HX148" s="28">
        <f>IF(AND(ISNUMBER(HY148),ISNUMBER(HW148)),HY148-HW148,"")</f>
        <v>0</v>
      </c>
      <c r="HY148" s="27"/>
      <c r="HZ148" s="28">
        <f>IF(AND(ISNUMBER(IA148),ISNUMBER(HY148)),IA148-HY148,"")</f>
        <v>0</v>
      </c>
      <c r="IA148" s="27"/>
      <c r="IB148" s="28">
        <f>IF(AND(ISNUMBER(IC148),ISNUMBER(IA148)),IC148-IA148,"")</f>
        <v>0</v>
      </c>
      <c r="IC148" s="27"/>
      <c r="ID148" s="28">
        <f>IF(AND(ISNUMBER(IE148),ISNUMBER(IC148)),IE148-IC148,"")</f>
        <v>0</v>
      </c>
      <c r="IE148" s="27"/>
      <c r="IF148" s="28">
        <f>IF(AND(ISNUMBER(IG148),ISNUMBER(IE148)),IG148-IE148,"")</f>
        <v>0</v>
      </c>
      <c r="IG148" s="27"/>
      <c r="IH148" s="28">
        <f>IF(AND(ISNUMBER(II148),ISNUMBER(IG148)),II148-IG148,"")</f>
        <v>0</v>
      </c>
      <c r="II148" s="27"/>
      <c r="IJ148" s="28">
        <f>IF(AND(ISNUMBER(IK148),ISNUMBER(II148)),IK148-II148,"")</f>
        <v>0</v>
      </c>
      <c r="IK148" s="27"/>
      <c r="IL148" s="28">
        <f>IF(AND(ISNUMBER(IM148),ISNUMBER(IK148)),IM148-IK148,"")</f>
        <v>0</v>
      </c>
      <c r="IM148" s="27"/>
      <c r="IN148" s="28">
        <f>IF(AND(ISNUMBER(IO148),ISNUMBER(IM148)),IO148-IM148,"")</f>
        <v>0</v>
      </c>
      <c r="IO148" s="27"/>
      <c r="IP148" s="28">
        <f>IF(AND(ISNUMBER(IQ148),ISNUMBER(IO148)),IQ148-IO148,"")</f>
        <v>0</v>
      </c>
      <c r="IQ148" s="27"/>
      <c r="IR148" s="28">
        <f>IF(AND(ISNUMBER(IS148),ISNUMBER(IQ148)),IS148-IQ148,"")</f>
        <v>0</v>
      </c>
      <c r="IS148" s="27"/>
      <c r="IT148" s="28">
        <f>IF(AND(ISNUMBER(IU148),ISNUMBER(IS148)),IU148-IS148,"")</f>
        <v>0</v>
      </c>
      <c r="IU148" s="27"/>
      <c r="IV148" s="28">
        <f>IF(AND(ISNUMBER(IW148),ISNUMBER(IU148)),IW148-IU148,"")</f>
        <v>0</v>
      </c>
      <c r="IW148" s="27"/>
      <c r="IX148" s="28">
        <f>IF(AND(ISNUMBER(IY148),ISNUMBER(IW148)),IY148-IW148,"")</f>
        <v>0</v>
      </c>
      <c r="IY148" s="27"/>
      <c r="IZ148" s="28">
        <f>IF(AND(ISNUMBER(JA148),ISNUMBER(IY148)),JA148-IY148,"")</f>
        <v>0</v>
      </c>
      <c r="JA148" s="27"/>
      <c r="JB148" s="28">
        <f>IF(AND(ISNUMBER(JC148),ISNUMBER(JA148)),JC148-JA148,"")</f>
        <v>0</v>
      </c>
      <c r="JC148" s="27"/>
      <c r="JD148" s="28">
        <f>IF(AND(ISNUMBER(JE148),ISNUMBER(JC148)),JE148-JC148,"")</f>
        <v>0</v>
      </c>
      <c r="JE148" s="27"/>
      <c r="JF148" s="28">
        <f>IF(AND(ISNUMBER(JG148),ISNUMBER(JE148)),JG148-JE148,"")</f>
        <v>0</v>
      </c>
      <c r="JG148" s="27"/>
      <c r="JH148" s="28">
        <f>IF(AND(ISNUMBER(JI148),ISNUMBER(JG148)),JI148-JG148,"")</f>
        <v>0</v>
      </c>
      <c r="JI148" s="27"/>
      <c r="JJ148" s="28">
        <f>IF(AND(ISNUMBER(JK148),ISNUMBER(JI148)),JK148-JI148,"")</f>
        <v>0</v>
      </c>
      <c r="JK148" s="27"/>
      <c r="JL148" s="28">
        <f>IF(AND(ISNUMBER(JM148),ISNUMBER(JK148)),JM148-JK148,"")</f>
        <v>0</v>
      </c>
      <c r="JM148" s="27"/>
      <c r="JN148" s="28">
        <f>IF(AND(ISNUMBER(JO148),ISNUMBER(JM148)),JO148-JM148,"")</f>
        <v>0</v>
      </c>
      <c r="JO148" s="27"/>
      <c r="JP148" s="28">
        <f>IF(AND(ISNUMBER(JQ148),ISNUMBER(JO148)),JQ148-JO148,"")</f>
        <v>0</v>
      </c>
      <c r="JQ148" s="27"/>
      <c r="JR148" s="28">
        <f>IF(AND(ISNUMBER(JS148),ISNUMBER(JQ148)),JS148-JQ148,"")</f>
        <v>0</v>
      </c>
      <c r="JS148" s="27"/>
      <c r="JT148" s="28">
        <f>IF(AND(ISNUMBER(JU148),ISNUMBER(JS148)),JU148-JS148,"")</f>
        <v>0</v>
      </c>
      <c r="JU148" s="27"/>
      <c r="JV148" s="28">
        <f>IF(AND(ISNUMBER(JW148),ISNUMBER(JU148)),JW148-JU148,"")</f>
        <v>0</v>
      </c>
      <c r="JW148" s="27"/>
      <c r="JX148" s="28">
        <f>IF(AND(ISNUMBER(JY148),ISNUMBER(JW148)),JY148-JW148,"")</f>
        <v>0</v>
      </c>
      <c r="JY148" s="27"/>
      <c r="JZ148" s="28">
        <f>IF(AND(ISNUMBER(KA148),ISNUMBER(JY148)),KA148-JY148,"")</f>
        <v>0</v>
      </c>
      <c r="KA148" s="27"/>
      <c r="KB148" s="28">
        <f>IF(AND(ISNUMBER(KC148),ISNUMBER(KA148)),KC148-KA148,"")</f>
        <v>0</v>
      </c>
      <c r="KC148" s="27"/>
      <c r="KD148" s="28">
        <f>IF(AND(ISNUMBER(KE148),ISNUMBER(KC148)),KE148-KC148,"")</f>
        <v>0</v>
      </c>
      <c r="KE148" s="27"/>
      <c r="KF148" s="28">
        <f>IF(AND(ISNUMBER(KG148),ISNUMBER(KE148)),KG148-KE148,"")</f>
        <v>0</v>
      </c>
      <c r="KG148" s="27"/>
      <c r="KH148" s="28">
        <f>IF(AND(ISNUMBER(KI148),ISNUMBER(KG148)),KI148-KG148,"")</f>
        <v>0</v>
      </c>
      <c r="KI148" s="27"/>
      <c r="KJ148" s="28">
        <f>IF(AND(ISNUMBER(KK148),ISNUMBER(KI148)),KK148-KI148,"")</f>
        <v>0</v>
      </c>
      <c r="KK148" s="27"/>
      <c r="KL148" s="28">
        <f>IF(AND(ISNUMBER(KM148),ISNUMBER(KK148)),KM148-KK148,"")</f>
        <v>0</v>
      </c>
      <c r="KM148" s="27"/>
      <c r="KN148" s="28">
        <f>IF(AND(ISNUMBER(KO148),ISNUMBER(KM148)),KO148-KM148,"")</f>
        <v>0</v>
      </c>
      <c r="KO148" s="27"/>
      <c r="KP148" s="28">
        <f>IF(AND(ISNUMBER(KQ148),ISNUMBER(KO148)),KQ148-KO148,"")</f>
        <v>0</v>
      </c>
      <c r="KQ148" s="27"/>
      <c r="KR148" s="28">
        <f>IF(AND(ISNUMBER(KS148),ISNUMBER(KQ148)),KS148-KQ148,"")</f>
        <v>0</v>
      </c>
      <c r="KS148" s="27"/>
      <c r="KT148" s="28">
        <f>IF(AND(ISNUMBER(KU148),ISNUMBER(KS148)),KU148-KS148,"")</f>
        <v>0</v>
      </c>
      <c r="KU148" s="27"/>
      <c r="KV148" s="28">
        <f>IF(AND(ISNUMBER(KW148),ISNUMBER(KU148)),KW148-KU148,"")</f>
        <v>0</v>
      </c>
      <c r="KW148" s="27"/>
      <c r="KX148" s="28">
        <f>IF(AND(ISNUMBER(KY148),ISNUMBER(KW148)),KY148-KW148,"")</f>
        <v>0</v>
      </c>
      <c r="KY148" s="27"/>
      <c r="KZ148" s="28">
        <f>IF(AND(ISNUMBER(LA148),ISNUMBER(KY148)),LA148-KY148,"")</f>
        <v>0</v>
      </c>
      <c r="LA148" s="27"/>
      <c r="LB148" s="28">
        <f>IF(AND(ISNUMBER(LC148),ISNUMBER(LA148)),LC148-LA148,"")</f>
        <v>0</v>
      </c>
      <c r="LC148" s="27"/>
      <c r="LD148" s="28">
        <f>IF(AND(ISNUMBER(LE148),ISNUMBER(LC148)),LE148-LC148,"")</f>
        <v>0</v>
      </c>
      <c r="LE148" s="27"/>
      <c r="LF148" s="28">
        <f>IF(AND(ISNUMBER(LG148),ISNUMBER(LE148)),LG148-LE148,"")</f>
        <v>0</v>
      </c>
      <c r="LG148" s="27"/>
      <c r="LH148" s="30"/>
      <c r="LI148" s="30"/>
      <c r="LJ148" s="30"/>
    </row>
    <row r="149" spans="1:322" hidden="1" outlineLevel="1">
      <c r="A149" s="22">
        <v>17</v>
      </c>
      <c r="B149" s="23"/>
      <c r="C149" s="43"/>
      <c r="D149" s="43"/>
      <c r="E149" s="25"/>
      <c r="F149" s="26"/>
      <c r="G149" s="26"/>
      <c r="H149" s="26" t="s">
        <v>1105</v>
      </c>
      <c r="I149" s="27"/>
      <c r="J149" s="28">
        <f>IF(AND(ISNUMBER(K149),ISNUMBER(I149)),K149-I149,"")</f>
        <v>0</v>
      </c>
      <c r="K149" s="27"/>
      <c r="L149" s="28">
        <f>IF(AND(ISNUMBER(M149),ISNUMBER(K149)),M149-K149,"")</f>
        <v>0</v>
      </c>
      <c r="M149" s="27"/>
      <c r="N149" s="28">
        <f>IF(AND(ISNUMBER(O149),ISNUMBER(M149)),O149-M149,"")</f>
        <v>0</v>
      </c>
      <c r="O149" s="27"/>
      <c r="P149" s="28">
        <f>IF(AND(ISNUMBER(Q149),ISNUMBER(O149)),Q149-O149,"")</f>
        <v>0</v>
      </c>
      <c r="Q149" s="27"/>
      <c r="R149" s="28">
        <f>IF(AND(ISNUMBER(S149),ISNUMBER(Q149)),S149-Q149,"")</f>
        <v>0</v>
      </c>
      <c r="S149" s="27"/>
      <c r="T149" s="28">
        <f>IF(AND(ISNUMBER(U149),ISNUMBER(S149)),U149-S149,"")</f>
        <v>0</v>
      </c>
      <c r="U149" s="27"/>
      <c r="V149" s="28">
        <f>IF(AND(ISNUMBER(W149),ISNUMBER(U149)),W149-U149,"")</f>
        <v>0</v>
      </c>
      <c r="W149" s="27"/>
      <c r="X149" s="28">
        <f>IF(AND(ISNUMBER(Y149),ISNUMBER(W149)),Y149-W149,"")</f>
        <v>0</v>
      </c>
      <c r="Y149" s="27"/>
      <c r="Z149" s="28">
        <f>IF(AND(ISNUMBER(AA149),ISNUMBER(Y149)),AA149-Y149,"")</f>
        <v>0</v>
      </c>
      <c r="AA149" s="27"/>
      <c r="AB149" s="28">
        <f>IF(AND(ISNUMBER(AC149),ISNUMBER(AA149)),AC149-AA149,"")</f>
        <v>0</v>
      </c>
      <c r="AC149" s="27"/>
      <c r="AD149" s="28">
        <f>IF(AND(ISNUMBER(AE149),ISNUMBER(AC149)),AE149-AC149,"")</f>
        <v>0</v>
      </c>
      <c r="AE149" s="27"/>
      <c r="AF149" s="28">
        <f>IF(AND(ISNUMBER(AG149),ISNUMBER(AE149)),AG149-AE149,"")</f>
        <v>0</v>
      </c>
      <c r="AG149" s="27"/>
      <c r="AH149" s="28">
        <f>IF(AND(ISNUMBER(AI149),ISNUMBER(AG149)),AI149-AG149,"")</f>
        <v>0</v>
      </c>
      <c r="AI149" s="27"/>
      <c r="AJ149" s="28">
        <f>IF(AND(ISNUMBER(AK149),ISNUMBER(AI149)),AK149-AI149,"")</f>
        <v>0</v>
      </c>
      <c r="AK149" s="27"/>
      <c r="AL149" s="28">
        <f>IF(AND(ISNUMBER(AM149),ISNUMBER(AK149)),AM149-AK149,"")</f>
        <v>0</v>
      </c>
      <c r="AM149" s="27"/>
      <c r="AN149" s="28">
        <f>IF(AND(ISNUMBER(AO149),ISNUMBER(AM149)),AO149-AM149,"")</f>
        <v>0</v>
      </c>
      <c r="AO149" s="27"/>
      <c r="AP149" s="28">
        <f>IF(AND(ISNUMBER(AQ149),ISNUMBER(AO149)),AQ149-AO149,"")</f>
        <v>0</v>
      </c>
      <c r="AQ149" s="27"/>
      <c r="AR149" s="28">
        <f>IF(AND(ISNUMBER(AS149),ISNUMBER(AQ149)),AS149-AQ149,"")</f>
        <v>0</v>
      </c>
      <c r="AS149" s="27"/>
      <c r="AT149" s="28">
        <f>IF(AND(ISNUMBER(AU149),ISNUMBER(AS149)),AU149-AS149,"")</f>
        <v>0</v>
      </c>
      <c r="AU149" s="27"/>
      <c r="AV149" s="28">
        <f>IF(AND(ISNUMBER(AW149),ISNUMBER(AU149)),AW149-AU149,"")</f>
        <v>0</v>
      </c>
      <c r="AW149" s="27"/>
      <c r="AX149" s="28">
        <f>IF(AND(ISNUMBER(AY149),ISNUMBER(AW149)),AY149-AW149,"")</f>
        <v>0</v>
      </c>
      <c r="AY149" s="27"/>
      <c r="AZ149" s="28">
        <f>IF(AND(ISNUMBER(BA149),ISNUMBER(AY149)),BA149-AY149,"")</f>
        <v>0</v>
      </c>
      <c r="BA149" s="27"/>
      <c r="BB149" s="28">
        <f>IF(AND(ISNUMBER(BC149),ISNUMBER(BA149)),BC149-BA149,"")</f>
        <v>0</v>
      </c>
      <c r="BC149" s="27"/>
      <c r="BD149" s="28">
        <f>IF(AND(ISNUMBER(BE149),ISNUMBER(BC149)),BE149-BC149,"")</f>
        <v>0</v>
      </c>
      <c r="BE149" s="27"/>
      <c r="BF149" s="28">
        <f>IF(AND(ISNUMBER(BG149),ISNUMBER(BE149)),BG149-BE149,"")</f>
        <v>0</v>
      </c>
      <c r="BG149" s="27"/>
      <c r="BH149" s="28">
        <f>IF(AND(ISNUMBER(BI149),ISNUMBER(BG149)),BI149-BG149,"")</f>
        <v>0</v>
      </c>
      <c r="BI149" s="27"/>
      <c r="BJ149" s="28">
        <f>IF(AND(ISNUMBER(BK149),ISNUMBER(BI149)),BK149-BI149,"")</f>
        <v>0</v>
      </c>
      <c r="BK149" s="27"/>
      <c r="BL149" s="28">
        <f>IF(AND(ISNUMBER(BM149),ISNUMBER(BK149)),BM149-BK149,"")</f>
        <v>0</v>
      </c>
      <c r="BM149" s="27"/>
      <c r="BN149" s="28">
        <f>IF(AND(ISNUMBER(BO149),ISNUMBER(BM149)),BO149-BM149,"")</f>
        <v>0</v>
      </c>
      <c r="BO149" s="27"/>
      <c r="BP149" s="28">
        <f>IF(AND(ISNUMBER(BQ149),ISNUMBER(BO149)),BQ149-BO149,"")</f>
        <v>0</v>
      </c>
      <c r="BQ149" s="27"/>
      <c r="BR149" s="28">
        <f>IF(AND(ISNUMBER(BS149),ISNUMBER(BQ149)),BS149-BQ149,"")</f>
        <v>0</v>
      </c>
      <c r="BS149" s="27"/>
      <c r="BT149" s="28">
        <f>IF(AND(ISNUMBER(BU149),ISNUMBER(BS149)),BU149-BS149,"")</f>
        <v>0</v>
      </c>
      <c r="BU149" s="27"/>
      <c r="BV149" s="28">
        <f>IF(AND(ISNUMBER(BW149),ISNUMBER(BU149)),BW149-BU149,"")</f>
        <v>0</v>
      </c>
      <c r="BW149" s="27"/>
      <c r="BX149" s="28">
        <f>IF(AND(ISNUMBER(BY149),ISNUMBER(BW149)),BY149-BW149,"")</f>
        <v>0</v>
      </c>
      <c r="BY149" s="27"/>
      <c r="BZ149" s="28">
        <f>IF(AND(ISNUMBER(CA149),ISNUMBER(BY149)),CA149-BY149,"")</f>
        <v>0</v>
      </c>
      <c r="CA149" s="27"/>
      <c r="CB149" s="28">
        <f>IF(AND(ISNUMBER(CC149),ISNUMBER(CA149)),CC149-CA149,"")</f>
        <v>0</v>
      </c>
      <c r="CC149" s="27"/>
      <c r="CD149" s="28">
        <f>IF(AND(ISNUMBER(CE149),ISNUMBER(CC149)),CE149-CC149,"")</f>
        <v>0</v>
      </c>
      <c r="CE149" s="27"/>
      <c r="CF149" s="28">
        <f>IF(AND(ISNUMBER(CG149),ISNUMBER(CE149)),CG149-CE149,"")</f>
        <v>0</v>
      </c>
      <c r="CG149" s="27"/>
      <c r="CH149" s="28">
        <f>IF(AND(ISNUMBER(CI149),ISNUMBER(CG149)),CI149-CG149,"")</f>
        <v>0</v>
      </c>
      <c r="CI149" s="27"/>
      <c r="CJ149" s="28">
        <f>IF(AND(ISNUMBER(CK149),ISNUMBER(CI149)),CK149-CI149,"")</f>
        <v>0</v>
      </c>
      <c r="CK149" s="27"/>
      <c r="CL149" s="28">
        <f>IF(AND(ISNUMBER(CM149),ISNUMBER(CK149)),CM149-CK149,"")</f>
        <v>0</v>
      </c>
      <c r="CM149" s="27"/>
      <c r="CN149" s="28">
        <f>IF(AND(ISNUMBER(CO149),ISNUMBER(CM149)),CO149-CM149,"")</f>
        <v>0</v>
      </c>
      <c r="CO149" s="27"/>
      <c r="CP149" s="28">
        <f>IF(AND(ISNUMBER(CQ149),ISNUMBER(CO149)),CQ149-CO149,"")</f>
        <v>0</v>
      </c>
      <c r="CQ149" s="27"/>
      <c r="CR149" s="28">
        <f>IF(AND(ISNUMBER(CS149),ISNUMBER(CQ149)),CS149-CQ149,"")</f>
        <v>0</v>
      </c>
      <c r="CS149" s="27"/>
      <c r="CT149" s="28">
        <f>IF(AND(ISNUMBER(CU149),ISNUMBER(CS149)),CU149-CS149,"")</f>
        <v>0</v>
      </c>
      <c r="CU149" s="27"/>
      <c r="CV149" s="28">
        <f>IF(AND(ISNUMBER(CW149),ISNUMBER(CU149)),CW149-CU149,"")</f>
        <v>0</v>
      </c>
      <c r="CW149" s="27"/>
      <c r="CX149" s="28">
        <f>IF(AND(ISNUMBER(CY149),ISNUMBER(CW149)),CY149-CW149,"")</f>
        <v>0</v>
      </c>
      <c r="CY149" s="27"/>
      <c r="CZ149" s="28">
        <f>IF(AND(ISNUMBER(DA149),ISNUMBER(CY149)),DA149-CY149,"")</f>
        <v>0</v>
      </c>
      <c r="DA149" s="27"/>
      <c r="DB149" s="28">
        <f>IF(AND(ISNUMBER(DC149),ISNUMBER(DA149)),DC149-DA149,"")</f>
        <v>0</v>
      </c>
      <c r="DC149" s="27"/>
      <c r="DD149" s="28">
        <f>IF(AND(ISNUMBER(DE149),ISNUMBER(DC149)),DE149-DC149,"")</f>
        <v>0</v>
      </c>
      <c r="DE149" s="27"/>
      <c r="DF149" s="28">
        <f>IF(AND(ISNUMBER(DG149),ISNUMBER(DE149)),DG149-DE149,"")</f>
        <v>0</v>
      </c>
      <c r="DG149" s="27"/>
      <c r="DH149" s="28">
        <f>IF(AND(ISNUMBER(DI149),ISNUMBER(DG149)),DI149-DG149,"")</f>
        <v>0</v>
      </c>
      <c r="DI149" s="27"/>
      <c r="DJ149" s="28">
        <f>IF(AND(ISNUMBER(DK149),ISNUMBER(DI149)),DK149-DI149,"")</f>
        <v>0</v>
      </c>
      <c r="DK149" s="27"/>
      <c r="DL149" s="28">
        <f>IF(AND(ISNUMBER(DM149),ISNUMBER(DK149)),DM149-DK149,"")</f>
        <v>0</v>
      </c>
      <c r="DM149" s="27"/>
      <c r="DN149" s="28">
        <f>IF(AND(ISNUMBER(DO149),ISNUMBER(DM149)),DO149-DM149,"")</f>
        <v>0</v>
      </c>
      <c r="DO149" s="27"/>
      <c r="DP149" s="28">
        <f>IF(AND(ISNUMBER(DQ149),ISNUMBER(DO149)),DQ149-DO149,"")</f>
        <v>0</v>
      </c>
      <c r="DQ149" s="27"/>
      <c r="DR149" s="28">
        <f>IF(AND(ISNUMBER(DS149),ISNUMBER(DQ149)),DS149-DQ149,"")</f>
        <v>0</v>
      </c>
      <c r="DS149" s="27"/>
      <c r="DT149" s="28">
        <f>IF(AND(ISNUMBER(DU149),ISNUMBER(DS149)),DU149-DS149,"")</f>
        <v>0</v>
      </c>
      <c r="DU149" s="27"/>
      <c r="DV149" s="28">
        <f>IF(AND(ISNUMBER(DW149),ISNUMBER(DU149)),DW149-DU149,"")</f>
        <v>0</v>
      </c>
      <c r="DW149" s="27"/>
      <c r="DX149" s="28">
        <f>IF(AND(ISNUMBER(DY149),ISNUMBER(DW149)),DY149-DW149,"")</f>
        <v>0</v>
      </c>
      <c r="DY149" s="27"/>
      <c r="DZ149" s="28">
        <f>IF(AND(ISNUMBER(EA149),ISNUMBER(DY149)),EA149-DY149,"")</f>
        <v>0</v>
      </c>
      <c r="EA149" s="27"/>
      <c r="EB149" s="28">
        <f>IF(AND(ISNUMBER(EC149),ISNUMBER(EA149)),EC149-EA149,"")</f>
        <v>0</v>
      </c>
      <c r="EC149" s="27"/>
      <c r="ED149" s="28">
        <f>IF(AND(ISNUMBER(EE149),ISNUMBER(EC149)),EE149-EC149,"")</f>
        <v>0</v>
      </c>
      <c r="EE149" s="27"/>
      <c r="EF149" s="28">
        <f>IF(AND(ISNUMBER(EG149),ISNUMBER(EE149)),EG149-EE149,"")</f>
        <v>0</v>
      </c>
      <c r="EG149" s="27"/>
      <c r="EH149" s="28">
        <f>IF(AND(ISNUMBER(EI149),ISNUMBER(EG149)),EI149-EG149,"")</f>
        <v>0</v>
      </c>
      <c r="EI149" s="27"/>
      <c r="EJ149" s="28">
        <f>IF(AND(ISNUMBER(EK149),ISNUMBER(EI149)),EK149-EI149,"")</f>
        <v>0</v>
      </c>
      <c r="EK149" s="27"/>
      <c r="EL149" s="28">
        <f>IF(AND(ISNUMBER(EM149),ISNUMBER(EK149)),EM149-EK149,"")</f>
        <v>0</v>
      </c>
      <c r="EM149" s="27"/>
      <c r="EN149" s="28">
        <f>IF(AND(ISNUMBER(EO149),ISNUMBER(EM149)),EO149-EM149,"")</f>
        <v>0</v>
      </c>
      <c r="EO149" s="27"/>
      <c r="EP149" s="28">
        <f>IF(AND(ISNUMBER(EQ149),ISNUMBER(EO149)),EQ149-EO149,"")</f>
        <v>0</v>
      </c>
      <c r="EQ149" s="27"/>
      <c r="ER149" s="28">
        <f>IF(AND(ISNUMBER(ES149),ISNUMBER(EQ149)),ES149-EQ149,"")</f>
        <v>0</v>
      </c>
      <c r="ES149" s="27"/>
      <c r="ET149" s="28">
        <f>IF(AND(ISNUMBER(EU149),ISNUMBER(ES149)),EU149-ES149,"")</f>
        <v>0</v>
      </c>
      <c r="EU149" s="27"/>
      <c r="EV149" s="28">
        <f>IF(AND(ISNUMBER(EW149),ISNUMBER(EU149)),EW149-EU149,"")</f>
        <v>0</v>
      </c>
      <c r="EW149" s="27"/>
      <c r="EX149" s="28">
        <f>IF(AND(ISNUMBER(EY149),ISNUMBER(EW149)),EY149-EW149,"")</f>
        <v>0</v>
      </c>
      <c r="EY149" s="27"/>
      <c r="EZ149" s="28">
        <f>IF(AND(ISNUMBER(FA149),ISNUMBER(EY149)),FA149-EY149,"")</f>
        <v>0</v>
      </c>
      <c r="FA149" s="27"/>
      <c r="FB149" s="28">
        <f>IF(AND(ISNUMBER(FC149),ISNUMBER(FA149)),FC149-FA149,"")</f>
        <v>0</v>
      </c>
      <c r="FC149" s="27"/>
      <c r="FD149" s="28">
        <f>IF(AND(ISNUMBER(FE149),ISNUMBER(FC149)),FE149-FC149,"")</f>
        <v>0</v>
      </c>
      <c r="FE149" s="27"/>
      <c r="FF149" s="28">
        <f>IF(AND(ISNUMBER(FG149),ISNUMBER(FE149)),FG149-FE149,"")</f>
        <v>0</v>
      </c>
      <c r="FG149" s="27"/>
      <c r="FH149" s="28">
        <f>IF(AND(ISNUMBER(FI149),ISNUMBER(FG149)),FI149-FG149,"")</f>
        <v>0</v>
      </c>
      <c r="FI149" s="27"/>
      <c r="FJ149" s="28">
        <f>IF(AND(ISNUMBER(FK149),ISNUMBER(FI149)),FK149-FI149,"")</f>
        <v>0</v>
      </c>
      <c r="FK149" s="27"/>
      <c r="FL149" s="28">
        <f>IF(AND(ISNUMBER(FM149),ISNUMBER(FK149)),FM149-FK149,"")</f>
        <v>0</v>
      </c>
      <c r="FM149" s="27"/>
      <c r="FN149" s="28">
        <f>IF(AND(ISNUMBER(FO149),ISNUMBER(FM149)),FO149-FM149,"")</f>
        <v>0</v>
      </c>
      <c r="FO149" s="27"/>
      <c r="FP149" s="28">
        <f>IF(AND(ISNUMBER(FQ149),ISNUMBER(FO149)),FQ149-FO149,"")</f>
        <v>0</v>
      </c>
      <c r="FQ149" s="27"/>
      <c r="FR149" s="28">
        <f>IF(AND(ISNUMBER(FS149),ISNUMBER(FQ149)),FS149-FQ149,"")</f>
        <v>0</v>
      </c>
      <c r="FS149" s="27"/>
      <c r="FT149" s="28">
        <f>IF(AND(ISNUMBER(FU149),ISNUMBER(FS149)),FU149-FS149,"")</f>
        <v>0</v>
      </c>
      <c r="FU149" s="27"/>
      <c r="FV149" s="28">
        <f>IF(AND(ISNUMBER(FW149),ISNUMBER(FU149)),FW149-FU149,"")</f>
        <v>0</v>
      </c>
      <c r="FW149" s="27"/>
      <c r="FX149" s="28">
        <f>IF(AND(ISNUMBER(FY149),ISNUMBER(FW149)),FY149-FW149,"")</f>
        <v>0</v>
      </c>
      <c r="FY149" s="27"/>
      <c r="FZ149" s="28">
        <f>IF(AND(ISNUMBER(GA149),ISNUMBER(FY149)),GA149-FY149,"")</f>
        <v>0</v>
      </c>
      <c r="GA149" s="27"/>
      <c r="GB149" s="28">
        <f>IF(AND(ISNUMBER(GC149),ISNUMBER(GA149)),GC149-GA149,"")</f>
        <v>0</v>
      </c>
      <c r="GC149" s="27"/>
      <c r="GD149" s="28">
        <f>IF(AND(ISNUMBER(GE149),ISNUMBER(GC149)),GE149-GC149,"")</f>
        <v>0</v>
      </c>
      <c r="GE149" s="27"/>
      <c r="GF149" s="28">
        <f>IF(AND(ISNUMBER(GG149),ISNUMBER(GE149)),GG149-GE149,"")</f>
        <v>0</v>
      </c>
      <c r="GG149" s="27"/>
      <c r="GH149" s="28">
        <f>IF(AND(ISNUMBER(GI149),ISNUMBER(GG149)),GI149-GG149,"")</f>
        <v>0</v>
      </c>
      <c r="GI149" s="27"/>
      <c r="GJ149" s="28">
        <f>IF(AND(ISNUMBER(GK149),ISNUMBER(GI149)),GK149-GI149,"")</f>
        <v>0</v>
      </c>
      <c r="GK149" s="27"/>
      <c r="GL149" s="28">
        <f>IF(AND(ISNUMBER(GM149),ISNUMBER(GK149)),GM149-GK149,"")</f>
        <v>0</v>
      </c>
      <c r="GM149" s="27"/>
      <c r="GN149" s="28">
        <f>IF(AND(ISNUMBER(GO149),ISNUMBER(GM149)),GO149-GM149,"")</f>
        <v>0</v>
      </c>
      <c r="GO149" s="27"/>
      <c r="GP149" s="28">
        <f>IF(AND(ISNUMBER(GQ149),ISNUMBER(GO149)),GQ149-GO149,"")</f>
        <v>0</v>
      </c>
      <c r="GQ149" s="27"/>
      <c r="GR149" s="28">
        <f>IF(AND(ISNUMBER(GS149),ISNUMBER(GQ149)),GS149-GQ149,"")</f>
        <v>0</v>
      </c>
      <c r="GS149" s="27"/>
      <c r="GT149" s="28">
        <f>IF(AND(ISNUMBER(GU149),ISNUMBER(GS149)),GU149-GS149,"")</f>
        <v>0</v>
      </c>
      <c r="GU149" s="27"/>
      <c r="GV149" s="28">
        <f>IF(AND(ISNUMBER(GW149),ISNUMBER(GU149)),GW149-GU149,"")</f>
        <v>0</v>
      </c>
      <c r="GW149" s="27"/>
      <c r="GX149" s="28">
        <f>IF(AND(ISNUMBER(GY149),ISNUMBER(GW149)),GY149-GW149,"")</f>
        <v>0</v>
      </c>
      <c r="GY149" s="27"/>
      <c r="GZ149" s="28">
        <f>IF(AND(ISNUMBER(HA149),ISNUMBER(GY149)),HA149-GY149,"")</f>
        <v>0</v>
      </c>
      <c r="HA149" s="27"/>
      <c r="HB149" s="28">
        <f>IF(AND(ISNUMBER(HC149),ISNUMBER(HA149)),HC149-HA149,"")</f>
        <v>0</v>
      </c>
      <c r="HC149" s="27"/>
      <c r="HD149" s="28">
        <f>IF(AND(ISNUMBER(HE149),ISNUMBER(HC149)),HE149-HC149,"")</f>
        <v>0</v>
      </c>
      <c r="HE149" s="27"/>
      <c r="HF149" s="28">
        <f>IF(AND(ISNUMBER(HG149),ISNUMBER(HE149)),HG149-HE149,"")</f>
        <v>0</v>
      </c>
      <c r="HG149" s="27"/>
      <c r="HH149" s="28">
        <f>IF(AND(ISNUMBER(HI149),ISNUMBER(HG149)),HI149-HG149,"")</f>
        <v>0</v>
      </c>
      <c r="HI149" s="27"/>
      <c r="HJ149" s="28">
        <f>IF(AND(ISNUMBER(HK149),ISNUMBER(HI149)),HK149-HI149,"")</f>
        <v>0</v>
      </c>
      <c r="HK149" s="27"/>
      <c r="HL149" s="28">
        <f>IF(AND(ISNUMBER(HM149),ISNUMBER(HK149)),HM149-HK149,"")</f>
        <v>0</v>
      </c>
      <c r="HM149" s="27"/>
      <c r="HN149" s="28">
        <f>IF(AND(ISNUMBER(HO149),ISNUMBER(HM149)),HO149-HM149,"")</f>
        <v>0</v>
      </c>
      <c r="HO149" s="27"/>
      <c r="HP149" s="28">
        <f>IF(AND(ISNUMBER(HQ149),ISNUMBER(HO149)),HQ149-HO149,"")</f>
        <v>0</v>
      </c>
      <c r="HQ149" s="27"/>
      <c r="HR149" s="28">
        <f>IF(AND(ISNUMBER(HS149),ISNUMBER(HQ149)),HS149-HQ149,"")</f>
        <v>0</v>
      </c>
      <c r="HS149" s="27"/>
      <c r="HT149" s="28">
        <f>IF(AND(ISNUMBER(HU149),ISNUMBER(HS149)),HU149-HS149,"")</f>
        <v>0</v>
      </c>
      <c r="HU149" s="27"/>
      <c r="HV149" s="28">
        <f>IF(AND(ISNUMBER(HW149),ISNUMBER(HU149)),HW149-HU149,"")</f>
        <v>0</v>
      </c>
      <c r="HW149" s="27"/>
      <c r="HX149" s="28">
        <f>IF(AND(ISNUMBER(HY149),ISNUMBER(HW149)),HY149-HW149,"")</f>
        <v>0</v>
      </c>
      <c r="HY149" s="27"/>
      <c r="HZ149" s="28">
        <f>IF(AND(ISNUMBER(IA149),ISNUMBER(HY149)),IA149-HY149,"")</f>
        <v>0</v>
      </c>
      <c r="IA149" s="27"/>
      <c r="IB149" s="28">
        <f>IF(AND(ISNUMBER(IC149),ISNUMBER(IA149)),IC149-IA149,"")</f>
        <v>0</v>
      </c>
      <c r="IC149" s="27"/>
      <c r="ID149" s="28">
        <f>IF(AND(ISNUMBER(IE149),ISNUMBER(IC149)),IE149-IC149,"")</f>
        <v>0</v>
      </c>
      <c r="IE149" s="27"/>
      <c r="IF149" s="28">
        <f>IF(AND(ISNUMBER(IG149),ISNUMBER(IE149)),IG149-IE149,"")</f>
        <v>0</v>
      </c>
      <c r="IG149" s="27"/>
      <c r="IH149" s="28">
        <f>IF(AND(ISNUMBER(II149),ISNUMBER(IG149)),II149-IG149,"")</f>
        <v>0</v>
      </c>
      <c r="II149" s="27"/>
      <c r="IJ149" s="28">
        <f>IF(AND(ISNUMBER(IK149),ISNUMBER(II149)),IK149-II149,"")</f>
        <v>0</v>
      </c>
      <c r="IK149" s="27"/>
      <c r="IL149" s="28">
        <f>IF(AND(ISNUMBER(IM149),ISNUMBER(IK149)),IM149-IK149,"")</f>
        <v>0</v>
      </c>
      <c r="IM149" s="27"/>
      <c r="IN149" s="28">
        <f>IF(AND(ISNUMBER(IO149),ISNUMBER(IM149)),IO149-IM149,"")</f>
        <v>0</v>
      </c>
      <c r="IO149" s="27"/>
      <c r="IP149" s="28">
        <f>IF(AND(ISNUMBER(IQ149),ISNUMBER(IO149)),IQ149-IO149,"")</f>
        <v>0</v>
      </c>
      <c r="IQ149" s="27"/>
      <c r="IR149" s="28">
        <f>IF(AND(ISNUMBER(IS149),ISNUMBER(IQ149)),IS149-IQ149,"")</f>
        <v>0</v>
      </c>
      <c r="IS149" s="27"/>
      <c r="IT149" s="28">
        <f>IF(AND(ISNUMBER(IU149),ISNUMBER(IS149)),IU149-IS149,"")</f>
        <v>0</v>
      </c>
      <c r="IU149" s="27"/>
      <c r="IV149" s="28">
        <f>IF(AND(ISNUMBER(IW149),ISNUMBER(IU149)),IW149-IU149,"")</f>
        <v>0</v>
      </c>
      <c r="IW149" s="27"/>
      <c r="IX149" s="28">
        <f>IF(AND(ISNUMBER(IY149),ISNUMBER(IW149)),IY149-IW149,"")</f>
        <v>0</v>
      </c>
      <c r="IY149" s="27"/>
      <c r="IZ149" s="28">
        <f>IF(AND(ISNUMBER(JA149),ISNUMBER(IY149)),JA149-IY149,"")</f>
        <v>0</v>
      </c>
      <c r="JA149" s="27"/>
      <c r="JB149" s="28">
        <f>IF(AND(ISNUMBER(JC149),ISNUMBER(JA149)),JC149-JA149,"")</f>
        <v>0</v>
      </c>
      <c r="JC149" s="27"/>
      <c r="JD149" s="28">
        <f>IF(AND(ISNUMBER(JE149),ISNUMBER(JC149)),JE149-JC149,"")</f>
        <v>0</v>
      </c>
      <c r="JE149" s="27"/>
      <c r="JF149" s="28">
        <f>IF(AND(ISNUMBER(JG149),ISNUMBER(JE149)),JG149-JE149,"")</f>
        <v>0</v>
      </c>
      <c r="JG149" s="27"/>
      <c r="JH149" s="28">
        <f>IF(AND(ISNUMBER(JI149),ISNUMBER(JG149)),JI149-JG149,"")</f>
        <v>0</v>
      </c>
      <c r="JI149" s="27"/>
      <c r="JJ149" s="28">
        <f>IF(AND(ISNUMBER(JK149),ISNUMBER(JI149)),JK149-JI149,"")</f>
        <v>0</v>
      </c>
      <c r="JK149" s="27"/>
      <c r="JL149" s="28">
        <f>IF(AND(ISNUMBER(JM149),ISNUMBER(JK149)),JM149-JK149,"")</f>
        <v>0</v>
      </c>
      <c r="JM149" s="27"/>
      <c r="JN149" s="28">
        <f>IF(AND(ISNUMBER(JO149),ISNUMBER(JM149)),JO149-JM149,"")</f>
        <v>0</v>
      </c>
      <c r="JO149" s="27"/>
      <c r="JP149" s="28">
        <f>IF(AND(ISNUMBER(JQ149),ISNUMBER(JO149)),JQ149-JO149,"")</f>
        <v>0</v>
      </c>
      <c r="JQ149" s="27"/>
      <c r="JR149" s="28">
        <f>IF(AND(ISNUMBER(JS149),ISNUMBER(JQ149)),JS149-JQ149,"")</f>
        <v>0</v>
      </c>
      <c r="JS149" s="27"/>
      <c r="JT149" s="28">
        <f>IF(AND(ISNUMBER(JU149),ISNUMBER(JS149)),JU149-JS149,"")</f>
        <v>0</v>
      </c>
      <c r="JU149" s="27"/>
      <c r="JV149" s="28">
        <f>IF(AND(ISNUMBER(JW149),ISNUMBER(JU149)),JW149-JU149,"")</f>
        <v>0</v>
      </c>
      <c r="JW149" s="27"/>
      <c r="JX149" s="28">
        <f>IF(AND(ISNUMBER(JY149),ISNUMBER(JW149)),JY149-JW149,"")</f>
        <v>0</v>
      </c>
      <c r="JY149" s="27"/>
      <c r="JZ149" s="28">
        <f>IF(AND(ISNUMBER(KA149),ISNUMBER(JY149)),KA149-JY149,"")</f>
        <v>0</v>
      </c>
      <c r="KA149" s="27"/>
      <c r="KB149" s="28">
        <f>IF(AND(ISNUMBER(KC149),ISNUMBER(KA149)),KC149-KA149,"")</f>
        <v>0</v>
      </c>
      <c r="KC149" s="27"/>
      <c r="KD149" s="28">
        <f>IF(AND(ISNUMBER(KE149),ISNUMBER(KC149)),KE149-KC149,"")</f>
        <v>0</v>
      </c>
      <c r="KE149" s="27"/>
      <c r="KF149" s="28">
        <f>IF(AND(ISNUMBER(KG149),ISNUMBER(KE149)),KG149-KE149,"")</f>
        <v>0</v>
      </c>
      <c r="KG149" s="27"/>
      <c r="KH149" s="28">
        <f>IF(AND(ISNUMBER(KI149),ISNUMBER(KG149)),KI149-KG149,"")</f>
        <v>0</v>
      </c>
      <c r="KI149" s="27"/>
      <c r="KJ149" s="28">
        <f>IF(AND(ISNUMBER(KK149),ISNUMBER(KI149)),KK149-KI149,"")</f>
        <v>0</v>
      </c>
      <c r="KK149" s="27"/>
      <c r="KL149" s="28">
        <f>IF(AND(ISNUMBER(KM149),ISNUMBER(KK149)),KM149-KK149,"")</f>
        <v>0</v>
      </c>
      <c r="KM149" s="27"/>
      <c r="KN149" s="28">
        <f>IF(AND(ISNUMBER(KO149),ISNUMBER(KM149)),KO149-KM149,"")</f>
        <v>0</v>
      </c>
      <c r="KO149" s="27"/>
      <c r="KP149" s="28">
        <f>IF(AND(ISNUMBER(KQ149),ISNUMBER(KO149)),KQ149-KO149,"")</f>
        <v>0</v>
      </c>
      <c r="KQ149" s="27"/>
      <c r="KR149" s="28">
        <f>IF(AND(ISNUMBER(KS149),ISNUMBER(KQ149)),KS149-KQ149,"")</f>
        <v>0</v>
      </c>
      <c r="KS149" s="27"/>
      <c r="KT149" s="28">
        <f>IF(AND(ISNUMBER(KU149),ISNUMBER(KS149)),KU149-KS149,"")</f>
        <v>0</v>
      </c>
      <c r="KU149" s="27"/>
      <c r="KV149" s="28">
        <f>IF(AND(ISNUMBER(KW149),ISNUMBER(KU149)),KW149-KU149,"")</f>
        <v>0</v>
      </c>
      <c r="KW149" s="27"/>
      <c r="KX149" s="28">
        <f>IF(AND(ISNUMBER(KY149),ISNUMBER(KW149)),KY149-KW149,"")</f>
        <v>0</v>
      </c>
      <c r="KY149" s="27"/>
      <c r="KZ149" s="28">
        <f>IF(AND(ISNUMBER(LA149),ISNUMBER(KY149)),LA149-KY149,"")</f>
        <v>0</v>
      </c>
      <c r="LA149" s="27"/>
      <c r="LB149" s="28">
        <f>IF(AND(ISNUMBER(LC149),ISNUMBER(LA149)),LC149-LA149,"")</f>
        <v>0</v>
      </c>
      <c r="LC149" s="27"/>
      <c r="LD149" s="28">
        <f>IF(AND(ISNUMBER(LE149),ISNUMBER(LC149)),LE149-LC149,"")</f>
        <v>0</v>
      </c>
      <c r="LE149" s="27"/>
      <c r="LF149" s="28">
        <f>IF(AND(ISNUMBER(LG149),ISNUMBER(LE149)),LG149-LE149,"")</f>
        <v>0</v>
      </c>
      <c r="LG149" s="27"/>
      <c r="LH149" s="30"/>
      <c r="LI149" s="30"/>
      <c r="LJ149" s="30"/>
    </row>
    <row r="150" spans="1:322" collapsed="1">
      <c r="A150" s="22" t="s">
        <v>954</v>
      </c>
      <c r="B150" s="23" t="s">
        <v>1153</v>
      </c>
      <c r="C150" s="43" t="s">
        <v>952</v>
      </c>
      <c r="D150" s="43"/>
      <c r="E150" s="25" t="s">
        <v>1154</v>
      </c>
      <c r="F150" s="26"/>
      <c r="G150" s="26"/>
      <c r="H150" s="26" t="s">
        <v>1105</v>
      </c>
      <c r="I150" s="27"/>
      <c r="J150" s="28">
        <f>IF(AND(ISNUMBER(K150),ISNUMBER(I150)),K150-I150,"")</f>
        <v>0</v>
      </c>
      <c r="K150" s="27"/>
      <c r="L150" s="28">
        <f>IF(AND(ISNUMBER(M150),ISNUMBER(K150)),M150-K150,"")</f>
        <v>0</v>
      </c>
      <c r="M150" s="27"/>
      <c r="N150" s="28">
        <f>IF(AND(ISNUMBER(O150),ISNUMBER(M150)),O150-M150,"")</f>
        <v>0</v>
      </c>
      <c r="O150" s="27"/>
      <c r="P150" s="28">
        <f>IF(AND(ISNUMBER(Q150),ISNUMBER(O150)),Q150-O150,"")</f>
        <v>0</v>
      </c>
      <c r="Q150" s="27"/>
      <c r="R150" s="28">
        <f>IF(AND(ISNUMBER(S150),ISNUMBER(Q150)),S150-Q150,"")</f>
        <v>0</v>
      </c>
      <c r="S150" s="27"/>
      <c r="T150" s="28">
        <f>IF(AND(ISNUMBER(U150),ISNUMBER(S150)),U150-S150,"")</f>
        <v>0</v>
      </c>
      <c r="U150" s="27"/>
      <c r="V150" s="28">
        <f>IF(AND(ISNUMBER(W150),ISNUMBER(U150)),W150-U150,"")</f>
        <v>0</v>
      </c>
      <c r="W150" s="27"/>
      <c r="X150" s="28">
        <f>IF(AND(ISNUMBER(Y150),ISNUMBER(W150)),Y150-W150,"")</f>
        <v>0</v>
      </c>
      <c r="Y150" s="27"/>
      <c r="Z150" s="28">
        <f>IF(AND(ISNUMBER(AA150),ISNUMBER(Y150)),AA150-Y150,"")</f>
        <v>0</v>
      </c>
      <c r="AA150" s="27"/>
      <c r="AB150" s="28">
        <f>IF(AND(ISNUMBER(AC150),ISNUMBER(AA150)),AC150-AA150,"")</f>
        <v>0</v>
      </c>
      <c r="AC150" s="27"/>
      <c r="AD150" s="28">
        <f>IF(AND(ISNUMBER(AE150),ISNUMBER(AC150)),AE150-AC150,"")</f>
        <v>0</v>
      </c>
      <c r="AE150" s="27"/>
      <c r="AF150" s="28">
        <f>IF(AND(ISNUMBER(AG150),ISNUMBER(AE150)),AG150-AE150,"")</f>
        <v>0</v>
      </c>
      <c r="AG150" s="27"/>
      <c r="AH150" s="28">
        <f>IF(AND(ISNUMBER(AI150),ISNUMBER(AG150)),AI150-AG150,"")</f>
        <v>0</v>
      </c>
      <c r="AI150" s="27"/>
      <c r="AJ150" s="28">
        <f>IF(AND(ISNUMBER(AK150),ISNUMBER(AI150)),AK150-AI150,"")</f>
        <v>0</v>
      </c>
      <c r="AK150" s="27"/>
      <c r="AL150" s="28">
        <f>IF(AND(ISNUMBER(AM150),ISNUMBER(AK150)),AM150-AK150,"")</f>
        <v>0</v>
      </c>
      <c r="AM150" s="27"/>
      <c r="AN150" s="28">
        <f>IF(AND(ISNUMBER(AO150),ISNUMBER(AM150)),AO150-AM150,"")</f>
        <v>0</v>
      </c>
      <c r="AO150" s="27"/>
      <c r="AP150" s="28">
        <f>IF(AND(ISNUMBER(AQ150),ISNUMBER(AO150)),AQ150-AO150,"")</f>
        <v>0</v>
      </c>
      <c r="AQ150" s="27"/>
      <c r="AR150" s="28">
        <f>IF(AND(ISNUMBER(AS150),ISNUMBER(AQ150)),AS150-AQ150,"")</f>
        <v>0</v>
      </c>
      <c r="AS150" s="27"/>
      <c r="AT150" s="28">
        <f>IF(AND(ISNUMBER(AU150),ISNUMBER(AS150)),AU150-AS150,"")</f>
        <v>0</v>
      </c>
      <c r="AU150" s="27"/>
      <c r="AV150" s="28">
        <f>IF(AND(ISNUMBER(AW150),ISNUMBER(AU150)),AW150-AU150,"")</f>
        <v>0</v>
      </c>
      <c r="AW150" s="27"/>
      <c r="AX150" s="28">
        <f>IF(AND(ISNUMBER(AY150),ISNUMBER(AW150)),AY150-AW150,"")</f>
        <v>0</v>
      </c>
      <c r="AY150" s="27"/>
      <c r="AZ150" s="28">
        <f>IF(AND(ISNUMBER(BA150),ISNUMBER(AY150)),BA150-AY150,"")</f>
        <v>0</v>
      </c>
      <c r="BA150" s="27"/>
      <c r="BB150" s="28">
        <f>IF(AND(ISNUMBER(BC150),ISNUMBER(BA150)),BC150-BA150,"")</f>
        <v>0</v>
      </c>
      <c r="BC150" s="27"/>
      <c r="BD150" s="28">
        <f>IF(AND(ISNUMBER(BE150),ISNUMBER(BC150)),BE150-BC150,"")</f>
        <v>0</v>
      </c>
      <c r="BE150" s="27"/>
      <c r="BF150" s="28">
        <f>IF(AND(ISNUMBER(BG150),ISNUMBER(BE150)),BG150-BE150,"")</f>
        <v>0</v>
      </c>
      <c r="BG150" s="27"/>
      <c r="BH150" s="28">
        <f>IF(AND(ISNUMBER(BI150),ISNUMBER(BG150)),BI150-BG150,"")</f>
        <v>0</v>
      </c>
      <c r="BI150" s="27"/>
      <c r="BJ150" s="28">
        <f>IF(AND(ISNUMBER(BK150),ISNUMBER(BI150)),BK150-BI150,"")</f>
        <v>0</v>
      </c>
      <c r="BK150" s="27"/>
      <c r="BL150" s="28">
        <f>IF(AND(ISNUMBER(BM150),ISNUMBER(BK150)),BM150-BK150,"")</f>
        <v>0</v>
      </c>
      <c r="BM150" s="27"/>
      <c r="BN150" s="28">
        <f>IF(AND(ISNUMBER(BO150),ISNUMBER(BM150)),BO150-BM150,"")</f>
        <v>0</v>
      </c>
      <c r="BO150" s="27"/>
      <c r="BP150" s="28">
        <f>IF(AND(ISNUMBER(BQ150),ISNUMBER(BO150)),BQ150-BO150,"")</f>
        <v>0</v>
      </c>
      <c r="BQ150" s="27"/>
      <c r="BR150" s="28">
        <f>IF(AND(ISNUMBER(BS150),ISNUMBER(BQ150)),BS150-BQ150,"")</f>
        <v>0</v>
      </c>
      <c r="BS150" s="27"/>
      <c r="BT150" s="28">
        <f>IF(AND(ISNUMBER(BU150),ISNUMBER(BS150)),BU150-BS150,"")</f>
        <v>0</v>
      </c>
      <c r="BU150" s="27"/>
      <c r="BV150" s="28">
        <f>IF(AND(ISNUMBER(BW150),ISNUMBER(BU150)),BW150-BU150,"")</f>
        <v>0</v>
      </c>
      <c r="BW150" s="27"/>
      <c r="BX150" s="28">
        <f>IF(AND(ISNUMBER(BY150),ISNUMBER(BW150)),BY150-BW150,"")</f>
        <v>0</v>
      </c>
      <c r="BY150" s="27"/>
      <c r="BZ150" s="28">
        <f>IF(AND(ISNUMBER(CA150),ISNUMBER(BY150)),CA150-BY150,"")</f>
        <v>0</v>
      </c>
      <c r="CA150" s="27"/>
      <c r="CB150" s="28">
        <f>IF(AND(ISNUMBER(CC150),ISNUMBER(CA150)),CC150-CA150,"")</f>
        <v>0</v>
      </c>
      <c r="CC150" s="27"/>
      <c r="CD150" s="28">
        <f>IF(AND(ISNUMBER(CE150),ISNUMBER(CC150)),CE150-CC150,"")</f>
        <v>0</v>
      </c>
      <c r="CE150" s="27"/>
      <c r="CF150" s="28">
        <f>IF(AND(ISNUMBER(CG150),ISNUMBER(CE150)),CG150-CE150,"")</f>
        <v>0</v>
      </c>
      <c r="CG150" s="27"/>
      <c r="CH150" s="28">
        <f>IF(AND(ISNUMBER(CI150),ISNUMBER(CG150)),CI150-CG150,"")</f>
        <v>0</v>
      </c>
      <c r="CI150" s="27"/>
      <c r="CJ150" s="28">
        <f>IF(AND(ISNUMBER(CK150),ISNUMBER(CI150)),CK150-CI150,"")</f>
        <v>0</v>
      </c>
      <c r="CK150" s="27"/>
      <c r="CL150" s="28">
        <f>IF(AND(ISNUMBER(CM150),ISNUMBER(CK150)),CM150-CK150,"")</f>
        <v>0</v>
      </c>
      <c r="CM150" s="27"/>
      <c r="CN150" s="28">
        <f>IF(AND(ISNUMBER(CO150),ISNUMBER(CM150)),CO150-CM150,"")</f>
        <v>0</v>
      </c>
      <c r="CO150" s="27"/>
      <c r="CP150" s="28">
        <f>IF(AND(ISNUMBER(CQ150),ISNUMBER(CO150)),CQ150-CO150,"")</f>
        <v>0</v>
      </c>
      <c r="CQ150" s="27"/>
      <c r="CR150" s="28">
        <f>IF(AND(ISNUMBER(CS150),ISNUMBER(CQ150)),CS150-CQ150,"")</f>
        <v>0</v>
      </c>
      <c r="CS150" s="27"/>
      <c r="CT150" s="28">
        <f>IF(AND(ISNUMBER(CU150),ISNUMBER(CS150)),CU150-CS150,"")</f>
        <v>0</v>
      </c>
      <c r="CU150" s="27"/>
      <c r="CV150" s="28">
        <f>IF(AND(ISNUMBER(CW150),ISNUMBER(CU150)),CW150-CU150,"")</f>
        <v>0</v>
      </c>
      <c r="CW150" s="27"/>
      <c r="CX150" s="28">
        <f>IF(AND(ISNUMBER(CY150),ISNUMBER(CW150)),CY150-CW150,"")</f>
        <v>0</v>
      </c>
      <c r="CY150" s="27"/>
      <c r="CZ150" s="28">
        <f>IF(AND(ISNUMBER(DA150),ISNUMBER(CY150)),DA150-CY150,"")</f>
        <v>0</v>
      </c>
      <c r="DA150" s="27"/>
      <c r="DB150" s="28">
        <f>IF(AND(ISNUMBER(DC150),ISNUMBER(DA150)),DC150-DA150,"")</f>
        <v>0</v>
      </c>
      <c r="DC150" s="27"/>
      <c r="DD150" s="28">
        <f>IF(AND(ISNUMBER(DE150),ISNUMBER(DC150)),DE150-DC150,"")</f>
        <v>0</v>
      </c>
      <c r="DE150" s="27">
        <v>19</v>
      </c>
      <c r="DF150" s="28">
        <f>IF(AND(ISNUMBER(DG150),ISNUMBER(DE150)),DG150-DE150,"")</f>
        <v>0</v>
      </c>
      <c r="DG150" s="27">
        <v>15</v>
      </c>
      <c r="DH150" s="28">
        <f>IF(AND(ISNUMBER(DI150),ISNUMBER(DG150)),DI150-DG150,"")</f>
        <v>0</v>
      </c>
      <c r="DI150" s="27">
        <v>24</v>
      </c>
      <c r="DJ150" s="28">
        <f>IF(AND(ISNUMBER(DK150),ISNUMBER(DI150)),DK150-DI150,"")</f>
        <v>0</v>
      </c>
      <c r="DK150" s="27">
        <v>17</v>
      </c>
      <c r="DL150" s="28">
        <f>IF(AND(ISNUMBER(DM150),ISNUMBER(DK150)),DM150-DK150,"")</f>
        <v>0</v>
      </c>
      <c r="DM150" s="27">
        <v>30</v>
      </c>
      <c r="DN150" s="28">
        <f>IF(AND(ISNUMBER(DO150),ISNUMBER(DM150)),DO150-DM150,"")</f>
        <v>0</v>
      </c>
      <c r="DO150" s="27">
        <v>21</v>
      </c>
      <c r="DP150" s="28">
        <f>IF(AND(ISNUMBER(DQ150),ISNUMBER(DO150)),DQ150-DO150,"")</f>
        <v>0</v>
      </c>
      <c r="DQ150" s="27">
        <v>29</v>
      </c>
      <c r="DR150" s="28">
        <f>IF(AND(ISNUMBER(DS150),ISNUMBER(DQ150)),DS150-DQ150,"")</f>
        <v>0</v>
      </c>
      <c r="DS150" s="27">
        <v>32</v>
      </c>
      <c r="DT150" s="28">
        <f>IF(AND(ISNUMBER(DU150),ISNUMBER(DS150)),DU150-DS150,"")</f>
        <v>0</v>
      </c>
      <c r="DU150" s="27">
        <v>29</v>
      </c>
      <c r="DV150" s="28">
        <f>IF(AND(ISNUMBER(DW150),ISNUMBER(DU150)),DW150-DU150,"")</f>
        <v>0</v>
      </c>
      <c r="DW150" s="27">
        <v>31</v>
      </c>
      <c r="DX150" s="28">
        <f>IF(AND(ISNUMBER(DY150),ISNUMBER(DW150)),DY150-DW150,"")</f>
        <v>0</v>
      </c>
      <c r="DY150" s="27">
        <v>29</v>
      </c>
      <c r="DZ150" s="28">
        <f>IF(AND(ISNUMBER(EA150),ISNUMBER(DY150)),EA150-DY150,"")</f>
        <v>0</v>
      </c>
      <c r="EA150" s="27">
        <v>33</v>
      </c>
      <c r="EB150" s="28">
        <f>IF(AND(ISNUMBER(EC150),ISNUMBER(EA150)),EC150-EA150,"")</f>
        <v>0</v>
      </c>
      <c r="EC150" s="27">
        <v>26</v>
      </c>
      <c r="ED150" s="28">
        <f>IF(AND(ISNUMBER(EE150),ISNUMBER(EC150)),EE150-EC150,"")</f>
        <v>0</v>
      </c>
      <c r="EE150" s="27">
        <v>28</v>
      </c>
      <c r="EF150" s="28">
        <f>IF(AND(ISNUMBER(EG150),ISNUMBER(EE150)),EG150-EE150,"")</f>
        <v>0</v>
      </c>
      <c r="EG150" s="27">
        <v>33</v>
      </c>
      <c r="EH150" s="28">
        <f>IF(AND(ISNUMBER(EI150),ISNUMBER(EG150)),EI150-EG150,"")</f>
        <v>0</v>
      </c>
      <c r="EI150" s="27">
        <v>37</v>
      </c>
      <c r="EJ150" s="28">
        <f>IF(AND(ISNUMBER(EK150),ISNUMBER(EI150)),EK150-EI150,"")</f>
        <v>0</v>
      </c>
      <c r="EK150" s="27">
        <v>36</v>
      </c>
      <c r="EL150" s="28">
        <f>IF(AND(ISNUMBER(EM150),ISNUMBER(EK150)),EM150-EK150,"")</f>
        <v>0</v>
      </c>
      <c r="EM150" s="27">
        <v>36</v>
      </c>
      <c r="EN150" s="28">
        <f>IF(AND(ISNUMBER(EO150),ISNUMBER(EM150)),EO150-EM150,"")</f>
        <v>0</v>
      </c>
      <c r="EO150" s="27">
        <v>35</v>
      </c>
      <c r="EP150" s="28">
        <f>IF(AND(ISNUMBER(EQ150),ISNUMBER(EO150)),EQ150-EO150,"")</f>
        <v>0</v>
      </c>
      <c r="EQ150" s="27">
        <v>48</v>
      </c>
      <c r="ER150" s="28">
        <f>IF(AND(ISNUMBER(ES150),ISNUMBER(EQ150)),ES150-EQ150,"")</f>
        <v>0</v>
      </c>
      <c r="ES150" s="27">
        <v>46</v>
      </c>
      <c r="ET150" s="28">
        <f>IF(AND(ISNUMBER(EU150),ISNUMBER(ES150)),EU150-ES150,"")</f>
        <v>0</v>
      </c>
      <c r="EU150" s="27">
        <v>55</v>
      </c>
      <c r="EV150" s="28">
        <f>IF(AND(ISNUMBER(EW150),ISNUMBER(EU150)),EW150-EU150,"")</f>
        <v>0</v>
      </c>
      <c r="EW150" s="27">
        <v>52</v>
      </c>
      <c r="EX150" s="28">
        <f>IF(AND(ISNUMBER(EY150),ISNUMBER(EW150)),EY150-EW150,"")</f>
        <v>0</v>
      </c>
      <c r="EY150" s="27">
        <v>45</v>
      </c>
      <c r="EZ150" s="28">
        <f>IF(AND(ISNUMBER(FA150),ISNUMBER(EY150)),FA150-EY150,"")</f>
        <v>0</v>
      </c>
      <c r="FA150" s="27">
        <v>34</v>
      </c>
      <c r="FB150" s="28">
        <f>IF(AND(ISNUMBER(FC150),ISNUMBER(FA150)),FC150-FA150,"")</f>
        <v>0</v>
      </c>
      <c r="FC150" s="27">
        <v>34</v>
      </c>
      <c r="FD150" s="28">
        <f>IF(AND(ISNUMBER(FE150),ISNUMBER(FC150)),FE150-FC150,"")</f>
        <v>0</v>
      </c>
      <c r="FE150" s="27">
        <v>39</v>
      </c>
      <c r="FF150" s="28">
        <f>IF(AND(ISNUMBER(FG150),ISNUMBER(FE150)),FG150-FE150,"")</f>
        <v>0</v>
      </c>
      <c r="FG150" s="27">
        <v>54</v>
      </c>
      <c r="FH150" s="28">
        <f>IF(AND(ISNUMBER(FI150),ISNUMBER(FG150)),FI150-FG150,"")</f>
        <v>0</v>
      </c>
      <c r="FI150" s="27">
        <v>58</v>
      </c>
      <c r="FJ150" s="28">
        <f>IF(AND(ISNUMBER(FK150),ISNUMBER(FI150)),FK150-FI150,"")</f>
        <v>0</v>
      </c>
      <c r="FK150" s="27">
        <v>55</v>
      </c>
      <c r="FL150" s="28">
        <f>IF(AND(ISNUMBER(FM150),ISNUMBER(FK150)),FM150-FK150,"")</f>
        <v>0</v>
      </c>
      <c r="FM150" s="27">
        <v>56</v>
      </c>
      <c r="FN150" s="28">
        <f>IF(AND(ISNUMBER(FO150),ISNUMBER(FM150)),FO150-FM150,"")</f>
        <v>0</v>
      </c>
      <c r="FO150" s="27">
        <v>60</v>
      </c>
      <c r="FP150" s="28">
        <f>IF(AND(ISNUMBER(FQ150),ISNUMBER(FO150)),FQ150-FO150,"")</f>
        <v>0</v>
      </c>
      <c r="FQ150" s="27">
        <v>43</v>
      </c>
      <c r="FR150" s="28">
        <f>IF(AND(ISNUMBER(FS150),ISNUMBER(FQ150)),FS150-FQ150,"")</f>
        <v>0</v>
      </c>
      <c r="FS150" s="27">
        <v>32</v>
      </c>
      <c r="FT150" s="28">
        <f>IF(AND(ISNUMBER(FU150),ISNUMBER(FS150)),FU150-FS150,"")</f>
        <v>0</v>
      </c>
      <c r="FU150" s="27">
        <v>32</v>
      </c>
      <c r="FV150" s="28">
        <f>IF(AND(ISNUMBER(FW150),ISNUMBER(FU150)),FW150-FU150,"")</f>
        <v>0</v>
      </c>
      <c r="FW150" s="27">
        <v>22</v>
      </c>
      <c r="FX150" s="28">
        <f>IF(AND(ISNUMBER(FY150),ISNUMBER(FW150)),FY150-FW150,"")</f>
        <v>0</v>
      </c>
      <c r="FY150" s="27">
        <v>10</v>
      </c>
      <c r="FZ150" s="28">
        <f>IF(AND(ISNUMBER(GA150),ISNUMBER(FY150)),GA150-FY150,"")</f>
        <v>0</v>
      </c>
      <c r="GA150" s="27">
        <v>52</v>
      </c>
      <c r="GB150" s="28">
        <f>IF(AND(ISNUMBER(GC150),ISNUMBER(GA150)),GC150-GA150,"")</f>
        <v>0</v>
      </c>
      <c r="GC150" s="27">
        <v>34</v>
      </c>
      <c r="GD150" s="28">
        <f>IF(AND(ISNUMBER(GE150),ISNUMBER(GC150)),GE150-GC150,"")</f>
        <v>0</v>
      </c>
      <c r="GE150" s="27">
        <v>11</v>
      </c>
      <c r="GF150" s="28">
        <f>IF(AND(ISNUMBER(GG150),ISNUMBER(GE150)),GG150-GE150,"")</f>
        <v>0</v>
      </c>
      <c r="GG150" s="27">
        <v>34</v>
      </c>
      <c r="GH150" s="28">
        <f>IF(AND(ISNUMBER(GI150),ISNUMBER(GG150)),GI150-GG150,"")</f>
        <v>0</v>
      </c>
      <c r="GI150" s="27">
        <v>39</v>
      </c>
      <c r="GJ150" s="28">
        <f>IF(AND(ISNUMBER(GK150),ISNUMBER(GI150)),GK150-GI150,"")</f>
        <v>0</v>
      </c>
      <c r="GK150" s="27">
        <v>34</v>
      </c>
      <c r="GL150" s="28">
        <f>IF(AND(ISNUMBER(GM150),ISNUMBER(GK150)),GM150-GK150,"")</f>
        <v>0</v>
      </c>
      <c r="GM150" s="27">
        <v>39</v>
      </c>
      <c r="GN150" s="28">
        <f>IF(AND(ISNUMBER(GO150),ISNUMBER(GM150)),GO150-GM150,"")</f>
        <v>0</v>
      </c>
      <c r="GO150" s="27">
        <v>19</v>
      </c>
      <c r="GP150" s="28">
        <f>IF(AND(ISNUMBER(GQ150),ISNUMBER(GO150)),GQ150-GO150,"")</f>
        <v>0</v>
      </c>
      <c r="GQ150" s="27">
        <v>45</v>
      </c>
      <c r="GR150" s="28">
        <f>IF(AND(ISNUMBER(GS150),ISNUMBER(GQ150)),GS150-GQ150,"")</f>
        <v>0</v>
      </c>
      <c r="GS150" s="27">
        <v>47</v>
      </c>
      <c r="GT150" s="28">
        <f>IF(AND(ISNUMBER(GU150),ISNUMBER(GS150)),GU150-GS150,"")</f>
        <v>0</v>
      </c>
      <c r="GU150" s="27">
        <v>48</v>
      </c>
      <c r="GV150" s="28">
        <f>IF(AND(ISNUMBER(GW150),ISNUMBER(GU150)),GW150-GU150,"")</f>
        <v>0</v>
      </c>
      <c r="GW150" s="27">
        <v>48</v>
      </c>
      <c r="GX150" s="28">
        <f>IF(AND(ISNUMBER(GY150),ISNUMBER(GW150)),GY150-GW150,"")</f>
        <v>0</v>
      </c>
      <c r="GY150" s="27">
        <v>32</v>
      </c>
      <c r="GZ150" s="28">
        <f>IF(AND(ISNUMBER(HA150),ISNUMBER(GY150)),HA150-GY150,"")</f>
        <v>0</v>
      </c>
      <c r="HA150" s="27">
        <v>20</v>
      </c>
      <c r="HB150" s="28">
        <f>IF(AND(ISNUMBER(HC150),ISNUMBER(HA150)),HC150-HA150,"")</f>
        <v>0</v>
      </c>
      <c r="HC150" s="27">
        <v>21</v>
      </c>
      <c r="HD150" s="28">
        <f>IF(AND(ISNUMBER(HE150),ISNUMBER(HC150)),HE150-HC150,"")</f>
        <v>0</v>
      </c>
      <c r="HE150" s="27">
        <v>23</v>
      </c>
      <c r="HF150" s="28">
        <f>IF(AND(ISNUMBER(HG150),ISNUMBER(HE150)),HG150-HE150,"")</f>
        <v>0</v>
      </c>
      <c r="HG150" s="27">
        <v>21</v>
      </c>
      <c r="HH150" s="28">
        <f>IF(AND(ISNUMBER(HI150),ISNUMBER(HG150)),HI150-HG150,"")</f>
        <v>0</v>
      </c>
      <c r="HI150" s="27">
        <v>28</v>
      </c>
      <c r="HJ150" s="28">
        <f>IF(AND(ISNUMBER(HK150),ISNUMBER(HI150)),HK150-HI150,"")</f>
        <v>0</v>
      </c>
      <c r="HK150" s="27">
        <v>47</v>
      </c>
      <c r="HL150" s="28">
        <f>IF(AND(ISNUMBER(HM150),ISNUMBER(HK150)),HM150-HK150,"")</f>
        <v>0</v>
      </c>
      <c r="HM150" s="27">
        <v>38</v>
      </c>
      <c r="HN150" s="28">
        <f>IF(AND(ISNUMBER(HO150),ISNUMBER(HM150)),HO150-HM150,"")</f>
        <v>0</v>
      </c>
      <c r="HO150" s="27">
        <v>17</v>
      </c>
      <c r="HP150" s="28">
        <f>IF(AND(ISNUMBER(HQ150),ISNUMBER(HO150)),HQ150-HO150,"")</f>
        <v>0</v>
      </c>
      <c r="HQ150" s="27">
        <v>15</v>
      </c>
      <c r="HR150" s="28">
        <f>IF(AND(ISNUMBER(HS150),ISNUMBER(HQ150)),HS150-HQ150,"")</f>
        <v>0</v>
      </c>
      <c r="HS150" s="27">
        <v>11</v>
      </c>
      <c r="HT150" s="28">
        <f>IF(AND(ISNUMBER(HU150),ISNUMBER(HS150)),HU150-HS150,"")</f>
        <v>0</v>
      </c>
      <c r="HU150" s="27">
        <v>13</v>
      </c>
      <c r="HV150" s="28">
        <f>IF(AND(ISNUMBER(HW150),ISNUMBER(HU150)),HW150-HU150,"")</f>
        <v>0</v>
      </c>
      <c r="HW150" s="27">
        <v>16</v>
      </c>
      <c r="HX150" s="28">
        <f>IF(AND(ISNUMBER(HY150),ISNUMBER(HW150)),HY150-HW150,"")</f>
        <v>0</v>
      </c>
      <c r="HY150" s="27">
        <v>24</v>
      </c>
      <c r="HZ150" s="28">
        <f>IF(AND(ISNUMBER(IA150),ISNUMBER(HY150)),IA150-HY150,"")</f>
        <v>0</v>
      </c>
      <c r="IA150" s="27">
        <v>36</v>
      </c>
      <c r="IB150" s="28">
        <f>IF(AND(ISNUMBER(IC150),ISNUMBER(IA150)),IC150-IA150,"")</f>
        <v>0</v>
      </c>
      <c r="IC150" s="27">
        <v>33</v>
      </c>
      <c r="ID150" s="28">
        <f>IF(AND(ISNUMBER(IE150),ISNUMBER(IC150)),IE150-IC150,"")</f>
        <v>0</v>
      </c>
      <c r="IE150" s="27">
        <v>12</v>
      </c>
      <c r="IF150" s="28">
        <f>IF(AND(ISNUMBER(IG150),ISNUMBER(IE150)),IG150-IE150,"")</f>
        <v>0</v>
      </c>
      <c r="IG150" s="27">
        <v>3</v>
      </c>
      <c r="IH150" s="28">
        <f>IF(AND(ISNUMBER(II150),ISNUMBER(IG150)),II150-IG150,"")</f>
        <v>0</v>
      </c>
      <c r="II150" s="27">
        <v>6</v>
      </c>
      <c r="IJ150" s="28">
        <f>IF(AND(ISNUMBER(IK150),ISNUMBER(II150)),IK150-II150,"")</f>
        <v>0</v>
      </c>
      <c r="IK150" s="27">
        <v>11</v>
      </c>
      <c r="IL150" s="28">
        <f>IF(AND(ISNUMBER(IM150),ISNUMBER(IK150)),IM150-IK150,"")</f>
        <v>0</v>
      </c>
      <c r="IM150" s="27">
        <v>16</v>
      </c>
      <c r="IN150" s="28">
        <f>IF(AND(ISNUMBER(IO150),ISNUMBER(IM150)),IO150-IM150,"")</f>
        <v>0</v>
      </c>
      <c r="IO150" s="27">
        <v>25</v>
      </c>
      <c r="IP150" s="28">
        <f>IF(AND(ISNUMBER(IQ150),ISNUMBER(IO150)),IQ150-IO150,"")</f>
        <v>0</v>
      </c>
      <c r="IQ150" s="27">
        <v>29</v>
      </c>
      <c r="IR150" s="28">
        <f>IF(AND(ISNUMBER(IS150),ISNUMBER(IQ150)),IS150-IQ150,"")</f>
        <v>0</v>
      </c>
      <c r="IS150" s="27">
        <v>76</v>
      </c>
      <c r="IT150" s="28">
        <f>IF(AND(ISNUMBER(IU150),ISNUMBER(IS150)),IU150-IS150,"")</f>
        <v>0</v>
      </c>
      <c r="IU150" s="27">
        <v>107</v>
      </c>
      <c r="IV150" s="28">
        <f>IF(AND(ISNUMBER(IW150),ISNUMBER(IU150)),IW150-IU150,"")</f>
        <v>0</v>
      </c>
      <c r="IW150" s="27">
        <v>68</v>
      </c>
      <c r="IX150" s="28">
        <f>IF(AND(ISNUMBER(IY150),ISNUMBER(IW150)),IY150-IW150,"")</f>
        <v>0</v>
      </c>
      <c r="IY150" s="27">
        <v>56</v>
      </c>
      <c r="IZ150" s="28">
        <f>IF(AND(ISNUMBER(JA150),ISNUMBER(IY150)),JA150-IY150,"")</f>
        <v>0</v>
      </c>
      <c r="JA150" s="27">
        <v>32</v>
      </c>
      <c r="JB150" s="28">
        <f>IF(AND(ISNUMBER(JC150),ISNUMBER(JA150)),JC150-JA150,"")</f>
        <v>0</v>
      </c>
      <c r="JC150" s="27">
        <v>31</v>
      </c>
      <c r="JD150" s="28">
        <f>IF(AND(ISNUMBER(JE150),ISNUMBER(JC150)),JE150-JC150,"")</f>
        <v>0</v>
      </c>
      <c r="JE150" s="27">
        <v>28</v>
      </c>
      <c r="JF150" s="28">
        <f>IF(AND(ISNUMBER(JG150),ISNUMBER(JE150)),JG150-JE150,"")</f>
        <v>0</v>
      </c>
      <c r="JG150" s="27">
        <v>26</v>
      </c>
      <c r="JH150" s="28">
        <f>IF(AND(ISNUMBER(JI150),ISNUMBER(JG150)),JI150-JG150,"")</f>
        <v>0</v>
      </c>
      <c r="JI150" s="27">
        <v>31</v>
      </c>
      <c r="JJ150" s="28">
        <f>IF(AND(ISNUMBER(JK150),ISNUMBER(JI150)),JK150-JI150,"")</f>
        <v>0</v>
      </c>
      <c r="JK150" s="27">
        <v>29</v>
      </c>
      <c r="JL150" s="28">
        <f>IF(AND(ISNUMBER(JM150),ISNUMBER(JK150)),JM150-JK150,"")</f>
        <v>0</v>
      </c>
      <c r="JM150" s="27">
        <v>12</v>
      </c>
      <c r="JN150" s="28">
        <f>IF(AND(ISNUMBER(JO150),ISNUMBER(JM150)),JO150-JM150,"")</f>
        <v>0</v>
      </c>
      <c r="JO150" s="27">
        <v>14</v>
      </c>
      <c r="JP150" s="28">
        <f>IF(AND(ISNUMBER(JQ150),ISNUMBER(JO150)),JQ150-JO150,"")</f>
        <v>0</v>
      </c>
      <c r="JQ150" s="27">
        <v>10</v>
      </c>
      <c r="JR150" s="28">
        <f>IF(AND(ISNUMBER(JS150),ISNUMBER(JQ150)),JS150-JQ150,"")</f>
        <v>0</v>
      </c>
      <c r="JS150" s="27">
        <v>18</v>
      </c>
      <c r="JT150" s="28">
        <f>IF(AND(ISNUMBER(JU150),ISNUMBER(JS150)),JU150-JS150,"")</f>
        <v>0</v>
      </c>
      <c r="JU150" s="27">
        <v>14</v>
      </c>
      <c r="JV150" s="28">
        <f>IF(AND(ISNUMBER(JW150),ISNUMBER(JU150)),JW150-JU150,"")</f>
        <v>0</v>
      </c>
      <c r="JW150" s="27">
        <v>12</v>
      </c>
      <c r="JX150" s="28">
        <f>IF(AND(ISNUMBER(JY150),ISNUMBER(JW150)),JY150-JW150,"")</f>
        <v>0</v>
      </c>
      <c r="JY150" s="27">
        <v>20</v>
      </c>
      <c r="JZ150" s="28">
        <f>IF(AND(ISNUMBER(KA150),ISNUMBER(JY150)),KA150-JY150,"")</f>
        <v>0</v>
      </c>
      <c r="KA150" s="27"/>
      <c r="KB150" s="28">
        <f>IF(AND(ISNUMBER(KC150),ISNUMBER(KA150)),KC150-KA150,"")</f>
        <v>0</v>
      </c>
      <c r="KC150" s="27"/>
      <c r="KD150" s="28">
        <f>IF(AND(ISNUMBER(KE150),ISNUMBER(KC150)),KE150-KC150,"")</f>
        <v>0</v>
      </c>
      <c r="KE150" s="27"/>
      <c r="KF150" s="28">
        <f>IF(AND(ISNUMBER(KG150),ISNUMBER(KE150)),KG150-KE150,"")</f>
        <v>0</v>
      </c>
      <c r="KG150" s="27"/>
      <c r="KH150" s="28">
        <f>IF(AND(ISNUMBER(KI150),ISNUMBER(KG150)),KI150-KG150,"")</f>
        <v>0</v>
      </c>
      <c r="KI150" s="27"/>
      <c r="KJ150" s="28">
        <f>IF(AND(ISNUMBER(KK150),ISNUMBER(KI150)),KK150-KI150,"")</f>
        <v>0</v>
      </c>
      <c r="KK150" s="27"/>
      <c r="KL150" s="28">
        <f>IF(AND(ISNUMBER(KM150),ISNUMBER(KK150)),KM150-KK150,"")</f>
        <v>0</v>
      </c>
      <c r="KM150" s="27"/>
      <c r="KN150" s="28">
        <f>IF(AND(ISNUMBER(KO150),ISNUMBER(KM150)),KO150-KM150,"")</f>
        <v>0</v>
      </c>
      <c r="KO150" s="27"/>
      <c r="KP150" s="28">
        <f>IF(AND(ISNUMBER(KQ150),ISNUMBER(KO150)),KQ150-KO150,"")</f>
        <v>0</v>
      </c>
      <c r="KQ150" s="27"/>
      <c r="KR150" s="28">
        <f>IF(AND(ISNUMBER(KS150),ISNUMBER(KQ150)),KS150-KQ150,"")</f>
        <v>0</v>
      </c>
      <c r="KS150" s="27"/>
      <c r="KT150" s="28">
        <f>IF(AND(ISNUMBER(KU150),ISNUMBER(KS150)),KU150-KS150,"")</f>
        <v>0</v>
      </c>
      <c r="KU150" s="27"/>
      <c r="KV150" s="28">
        <f>IF(AND(ISNUMBER(KW150),ISNUMBER(KU150)),KW150-KU150,"")</f>
        <v>0</v>
      </c>
      <c r="KW150" s="27"/>
      <c r="KX150" s="28">
        <f>IF(AND(ISNUMBER(KY150),ISNUMBER(KW150)),KY150-KW150,"")</f>
        <v>0</v>
      </c>
      <c r="KY150" s="27"/>
      <c r="KZ150" s="28">
        <f>IF(AND(ISNUMBER(LA150),ISNUMBER(KY150)),LA150-KY150,"")</f>
        <v>0</v>
      </c>
      <c r="LA150" s="27"/>
      <c r="LB150" s="28">
        <f>IF(AND(ISNUMBER(LC150),ISNUMBER(LA150)),LC150-LA150,"")</f>
        <v>0</v>
      </c>
      <c r="LC150" s="27"/>
      <c r="LD150" s="28">
        <f>IF(AND(ISNUMBER(LE150),ISNUMBER(LC150)),LE150-LC150,"")</f>
        <v>0</v>
      </c>
      <c r="LE150" s="27"/>
      <c r="LF150" s="28">
        <f>IF(AND(ISNUMBER(LG150),ISNUMBER(LE150)),LG150-LE150,"")</f>
        <v>0</v>
      </c>
      <c r="LG150" s="27"/>
      <c r="LH150" s="30"/>
      <c r="LI150" s="30"/>
      <c r="LJ150" s="30"/>
    </row>
    <row r="151" spans="1:322" hidden="1" outlineLevel="1">
      <c r="A151" s="36" t="s">
        <v>956</v>
      </c>
      <c r="B151" s="23"/>
      <c r="C151" s="31" t="s">
        <v>728</v>
      </c>
      <c r="E151" s="32" t="s">
        <v>1154</v>
      </c>
      <c r="F151" s="38">
        <v>45658</v>
      </c>
      <c r="H151" s="38" t="s">
        <v>1105</v>
      </c>
      <c r="I151" s="33"/>
      <c r="J151" s="34">
        <f>IF(AND(ISNUMBER(K151),ISNUMBER(I151)),K151-I151,"")</f>
        <v>0</v>
      </c>
      <c r="K151" s="33"/>
      <c r="L151" s="34">
        <f>IF(AND(ISNUMBER(M151),ISNUMBER(K151)),M151-K151,"")</f>
        <v>0</v>
      </c>
      <c r="M151" s="33"/>
      <c r="N151" s="34">
        <f>IF(AND(ISNUMBER(O151),ISNUMBER(M151)),O151-M151,"")</f>
        <v>0</v>
      </c>
      <c r="O151" s="33"/>
      <c r="P151" s="34">
        <f>IF(AND(ISNUMBER(Q151),ISNUMBER(O151)),Q151-O151,"")</f>
        <v>0</v>
      </c>
      <c r="Q151" s="33"/>
      <c r="R151" s="34">
        <f>IF(AND(ISNUMBER(S151),ISNUMBER(Q151)),S151-Q151,"")</f>
        <v>0</v>
      </c>
      <c r="S151" s="33"/>
      <c r="T151" s="34">
        <f>IF(AND(ISNUMBER(U151),ISNUMBER(S151)),U151-S151,"")</f>
        <v>0</v>
      </c>
      <c r="U151" s="33"/>
      <c r="V151" s="34">
        <f>IF(AND(ISNUMBER(W151),ISNUMBER(U151)),W151-U151,"")</f>
        <v>0</v>
      </c>
      <c r="W151" s="33"/>
      <c r="X151" s="34">
        <f>IF(AND(ISNUMBER(Y151),ISNUMBER(W151)),Y151-W151,"")</f>
        <v>0</v>
      </c>
      <c r="Y151" s="33"/>
      <c r="Z151" s="34">
        <f>IF(AND(ISNUMBER(AA151),ISNUMBER(Y151)),AA151-Y151,"")</f>
        <v>0</v>
      </c>
      <c r="AA151" s="33"/>
      <c r="AB151" s="34">
        <f>IF(AND(ISNUMBER(AC151),ISNUMBER(AA151)),AC151-AA151,"")</f>
        <v>0</v>
      </c>
      <c r="AC151" s="33"/>
      <c r="AD151" s="34">
        <f>IF(AND(ISNUMBER(AE151),ISNUMBER(AC151)),AE151-AC151,"")</f>
        <v>0</v>
      </c>
      <c r="AE151" s="33"/>
      <c r="AF151" s="34">
        <f>IF(AND(ISNUMBER(AG151),ISNUMBER(AE151)),AG151-AE151,"")</f>
        <v>0</v>
      </c>
      <c r="AG151" s="33"/>
      <c r="AH151" s="34">
        <f>IF(AND(ISNUMBER(AI151),ISNUMBER(AG151)),AI151-AG151,"")</f>
        <v>0</v>
      </c>
      <c r="AI151" s="33"/>
      <c r="AJ151" s="34">
        <f>IF(AND(ISNUMBER(AK151),ISNUMBER(AI151)),AK151-AI151,"")</f>
        <v>0</v>
      </c>
      <c r="AK151" s="33"/>
      <c r="AL151" s="34">
        <f>IF(AND(ISNUMBER(AM151),ISNUMBER(AK151)),AM151-AK151,"")</f>
        <v>0</v>
      </c>
      <c r="AM151" s="33"/>
      <c r="AN151" s="34">
        <f>IF(AND(ISNUMBER(AO151),ISNUMBER(AM151)),AO151-AM151,"")</f>
        <v>0</v>
      </c>
      <c r="AO151" s="33"/>
      <c r="AP151" s="34">
        <f>IF(AND(ISNUMBER(AQ151),ISNUMBER(AO151)),AQ151-AO151,"")</f>
        <v>0</v>
      </c>
      <c r="AQ151" s="33"/>
      <c r="AR151" s="34">
        <f>IF(AND(ISNUMBER(AS151),ISNUMBER(AQ151)),AS151-AQ151,"")</f>
        <v>0</v>
      </c>
      <c r="AS151" s="33"/>
      <c r="AT151" s="34">
        <f>IF(AND(ISNUMBER(AU151),ISNUMBER(AS151)),AU151-AS151,"")</f>
        <v>0</v>
      </c>
      <c r="AU151" s="33"/>
      <c r="AV151" s="34">
        <f>IF(AND(ISNUMBER(AW151),ISNUMBER(AU151)),AW151-AU151,"")</f>
        <v>0</v>
      </c>
      <c r="AW151" s="33"/>
      <c r="AX151" s="34">
        <f>IF(AND(ISNUMBER(AY151),ISNUMBER(AW151)),AY151-AW151,"")</f>
        <v>0</v>
      </c>
      <c r="AY151" s="33"/>
      <c r="AZ151" s="34">
        <f>IF(AND(ISNUMBER(BA151),ISNUMBER(AY151)),BA151-AY151,"")</f>
        <v>0</v>
      </c>
      <c r="BA151" s="33"/>
      <c r="BB151" s="34">
        <f>IF(AND(ISNUMBER(BC151),ISNUMBER(BA151)),BC151-BA151,"")</f>
        <v>0</v>
      </c>
      <c r="BC151" s="33"/>
      <c r="BD151" s="34">
        <f>IF(AND(ISNUMBER(BE151),ISNUMBER(BC151)),BE151-BC151,"")</f>
        <v>0</v>
      </c>
      <c r="BE151" s="33"/>
      <c r="BF151" s="34">
        <f>IF(AND(ISNUMBER(BG151),ISNUMBER(BE151)),BG151-BE151,"")</f>
        <v>0</v>
      </c>
      <c r="BG151" s="33"/>
      <c r="BH151" s="34">
        <f>IF(AND(ISNUMBER(BI151),ISNUMBER(BG151)),BI151-BG151,"")</f>
        <v>0</v>
      </c>
      <c r="BI151" s="33"/>
      <c r="BJ151" s="34">
        <f>IF(AND(ISNUMBER(BK151),ISNUMBER(BI151)),BK151-BI151,"")</f>
        <v>0</v>
      </c>
      <c r="BK151" s="33"/>
      <c r="BL151" s="34">
        <f>IF(AND(ISNUMBER(BM151),ISNUMBER(BK151)),BM151-BK151,"")</f>
        <v>0</v>
      </c>
      <c r="BM151" s="33"/>
      <c r="BN151" s="34">
        <f>IF(AND(ISNUMBER(BO151),ISNUMBER(BM151)),BO151-BM151,"")</f>
        <v>0</v>
      </c>
      <c r="BO151" s="33"/>
      <c r="BP151" s="34">
        <f>IF(AND(ISNUMBER(BQ151),ISNUMBER(BO151)),BQ151-BO151,"")</f>
        <v>0</v>
      </c>
      <c r="BQ151" s="33"/>
      <c r="BR151" s="34">
        <f>IF(AND(ISNUMBER(BS151),ISNUMBER(BQ151)),BS151-BQ151,"")</f>
        <v>0</v>
      </c>
      <c r="BS151" s="33"/>
      <c r="BT151" s="34">
        <f>IF(AND(ISNUMBER(BU151),ISNUMBER(BS151)),BU151-BS151,"")</f>
        <v>0</v>
      </c>
      <c r="BU151" s="33"/>
      <c r="BV151" s="34">
        <f>IF(AND(ISNUMBER(BW151),ISNUMBER(BU151)),BW151-BU151,"")</f>
        <v>0</v>
      </c>
      <c r="BW151" s="33"/>
      <c r="BX151" s="34">
        <f>IF(AND(ISNUMBER(BY151),ISNUMBER(BW151)),BY151-BW151,"")</f>
        <v>0</v>
      </c>
      <c r="BY151" s="33">
        <v>10</v>
      </c>
      <c r="BZ151" s="34">
        <f>IF(AND(ISNUMBER(CA151),ISNUMBER(BY151)),CA151-BY151,"")</f>
        <v>0</v>
      </c>
      <c r="CA151" s="33">
        <v>12</v>
      </c>
      <c r="CB151" s="34">
        <f>IF(AND(ISNUMBER(CC151),ISNUMBER(CA151)),CC151-CA151,"")</f>
        <v>0</v>
      </c>
      <c r="CC151" s="33">
        <v>9</v>
      </c>
      <c r="CD151" s="34">
        <f>IF(AND(ISNUMBER(CE151),ISNUMBER(CC151)),CE151-CC151,"")</f>
        <v>0</v>
      </c>
      <c r="CE151" s="33">
        <v>7</v>
      </c>
      <c r="CF151" s="34">
        <f>IF(AND(ISNUMBER(CG151),ISNUMBER(CE151)),CG151-CE151,"")</f>
        <v>0</v>
      </c>
      <c r="CG151" s="33">
        <v>15</v>
      </c>
      <c r="CH151" s="34">
        <f>IF(AND(ISNUMBER(CI151),ISNUMBER(CG151)),CI151-CG151,"")</f>
        <v>0</v>
      </c>
      <c r="CI151" s="33">
        <v>17</v>
      </c>
      <c r="CJ151" s="34">
        <f>IF(AND(ISNUMBER(CK151),ISNUMBER(CI151)),CK151-CI151,"")</f>
        <v>0</v>
      </c>
      <c r="CK151" s="33">
        <v>12</v>
      </c>
      <c r="CL151" s="34">
        <f>IF(AND(ISNUMBER(CM151),ISNUMBER(CK151)),CM151-CK151,"")</f>
        <v>0</v>
      </c>
      <c r="CM151" s="33">
        <v>8</v>
      </c>
      <c r="CN151" s="34">
        <f>IF(AND(ISNUMBER(CO151),ISNUMBER(CM151)),CO151-CM151,"")</f>
        <v>0</v>
      </c>
      <c r="CO151" s="33">
        <v>8</v>
      </c>
      <c r="CP151" s="34">
        <f>IF(AND(ISNUMBER(CQ151),ISNUMBER(CO151)),CQ151-CO151,"")</f>
        <v>0</v>
      </c>
      <c r="CQ151" s="33">
        <v>5</v>
      </c>
      <c r="CR151" s="34">
        <f>IF(AND(ISNUMBER(CS151),ISNUMBER(CQ151)),CS151-CQ151,"")</f>
        <v>0</v>
      </c>
      <c r="CS151" s="33">
        <v>13</v>
      </c>
      <c r="CT151" s="34">
        <f>IF(AND(ISNUMBER(CU151),ISNUMBER(CS151)),CU151-CS151,"")</f>
        <v>0</v>
      </c>
      <c r="CU151" s="33">
        <v>20</v>
      </c>
      <c r="CV151" s="34">
        <f>IF(AND(ISNUMBER(CW151),ISNUMBER(CU151)),CW151-CU151,"")</f>
        <v>0</v>
      </c>
      <c r="CW151" s="33">
        <v>8</v>
      </c>
      <c r="CX151" s="34">
        <f>IF(AND(ISNUMBER(CY151),ISNUMBER(CW151)),CY151-CW151,"")</f>
        <v>0</v>
      </c>
      <c r="CY151" s="33">
        <v>8</v>
      </c>
      <c r="CZ151" s="34">
        <f>IF(AND(ISNUMBER(DA151),ISNUMBER(CY151)),DA151-CY151,"")</f>
        <v>0</v>
      </c>
      <c r="DA151" s="33">
        <v>5</v>
      </c>
      <c r="DB151" s="34">
        <f>IF(AND(ISNUMBER(DC151),ISNUMBER(DA151)),DC151-DA151,"")</f>
        <v>0</v>
      </c>
      <c r="DC151" s="33">
        <v>8</v>
      </c>
      <c r="DD151" s="34">
        <f>IF(AND(ISNUMBER(DE151),ISNUMBER(DC151)),DE151-DC151,"")</f>
        <v>0</v>
      </c>
      <c r="DE151" s="33">
        <v>5</v>
      </c>
      <c r="DF151" s="34">
        <f>IF(AND(ISNUMBER(DG151),ISNUMBER(DE151)),DG151-DE151,"")</f>
        <v>0</v>
      </c>
      <c r="DG151" s="33">
        <v>5</v>
      </c>
      <c r="DH151" s="34">
        <f>IF(AND(ISNUMBER(DI151),ISNUMBER(DG151)),DI151-DG151,"")</f>
        <v>0</v>
      </c>
      <c r="DI151" s="33">
        <v>6</v>
      </c>
      <c r="DJ151" s="34">
        <f>IF(AND(ISNUMBER(DK151),ISNUMBER(DI151)),DK151-DI151,"")</f>
        <v>0</v>
      </c>
      <c r="DK151" s="33">
        <v>1</v>
      </c>
      <c r="DL151" s="34">
        <f>IF(AND(ISNUMBER(DM151),ISNUMBER(DK151)),DM151-DK151,"")</f>
        <v>0</v>
      </c>
      <c r="DM151" s="33">
        <v>3</v>
      </c>
      <c r="DN151" s="34">
        <f>IF(AND(ISNUMBER(DO151),ISNUMBER(DM151)),DO151-DM151,"")</f>
        <v>0</v>
      </c>
      <c r="DO151" s="33">
        <v>4</v>
      </c>
      <c r="DP151" s="34">
        <f>IF(AND(ISNUMBER(DQ151),ISNUMBER(DO151)),DQ151-DO151,"")</f>
        <v>0</v>
      </c>
      <c r="DQ151" s="33">
        <v>5</v>
      </c>
      <c r="DR151" s="34">
        <f>IF(AND(ISNUMBER(DS151),ISNUMBER(DQ151)),DS151-DQ151,"")</f>
        <v>0</v>
      </c>
      <c r="DS151" s="33">
        <v>5</v>
      </c>
      <c r="DT151" s="34">
        <f>IF(AND(ISNUMBER(DU151),ISNUMBER(DS151)),DU151-DS151,"")</f>
        <v>0</v>
      </c>
      <c r="DU151" s="33">
        <v>3</v>
      </c>
      <c r="DV151" s="34">
        <f>IF(AND(ISNUMBER(DW151),ISNUMBER(DU151)),DW151-DU151,"")</f>
        <v>0</v>
      </c>
      <c r="DW151" s="33">
        <v>3</v>
      </c>
      <c r="DX151" s="34">
        <f>IF(AND(ISNUMBER(DY151),ISNUMBER(DW151)),DY151-DW151,"")</f>
        <v>0</v>
      </c>
      <c r="DY151" s="33">
        <v>3</v>
      </c>
      <c r="DZ151" s="34">
        <f>IF(AND(ISNUMBER(EA151),ISNUMBER(DY151)),EA151-DY151,"")</f>
        <v>0</v>
      </c>
      <c r="EA151" s="33">
        <v>3</v>
      </c>
      <c r="EB151" s="34">
        <f>IF(AND(ISNUMBER(EC151),ISNUMBER(EA151)),EC151-EA151,"")</f>
        <v>0</v>
      </c>
      <c r="EC151" s="33">
        <v>4</v>
      </c>
      <c r="ED151" s="34">
        <f>IF(AND(ISNUMBER(EE151),ISNUMBER(EC151)),EE151-EC151,"")</f>
        <v>0</v>
      </c>
      <c r="EE151" s="33">
        <v>5</v>
      </c>
      <c r="EF151" s="34">
        <f>IF(AND(ISNUMBER(EG151),ISNUMBER(EE151)),EG151-EE151,"")</f>
        <v>0</v>
      </c>
      <c r="EG151" s="33">
        <v>4</v>
      </c>
      <c r="EH151" s="34">
        <f>IF(AND(ISNUMBER(EI151),ISNUMBER(EG151)),EI151-EG151,"")</f>
        <v>0</v>
      </c>
      <c r="EI151" s="33">
        <v>4</v>
      </c>
      <c r="EJ151" s="34">
        <f>IF(AND(ISNUMBER(EK151),ISNUMBER(EI151)),EK151-EI151,"")</f>
        <v>0</v>
      </c>
      <c r="EK151" s="33">
        <v>4</v>
      </c>
      <c r="EL151" s="34">
        <f>IF(AND(ISNUMBER(EM151),ISNUMBER(EK151)),EM151-EK151,"")</f>
        <v>0</v>
      </c>
      <c r="EM151" s="33">
        <v>4</v>
      </c>
      <c r="EN151" s="34">
        <f>IF(AND(ISNUMBER(EO151),ISNUMBER(EM151)),EO151-EM151,"")</f>
        <v>0</v>
      </c>
      <c r="EO151" s="33">
        <v>5</v>
      </c>
      <c r="EP151" s="34">
        <f>IF(AND(ISNUMBER(EQ151),ISNUMBER(EO151)),EQ151-EO151,"")</f>
        <v>0</v>
      </c>
      <c r="EQ151" s="33">
        <v>4</v>
      </c>
      <c r="ER151" s="34">
        <f>IF(AND(ISNUMBER(ES151),ISNUMBER(EQ151)),ES151-EQ151,"")</f>
        <v>0</v>
      </c>
      <c r="ES151" s="33">
        <v>8</v>
      </c>
      <c r="ET151" s="34">
        <f>IF(AND(ISNUMBER(EU151),ISNUMBER(ES151)),EU151-ES151,"")</f>
        <v>0</v>
      </c>
      <c r="EU151" s="33">
        <v>4</v>
      </c>
      <c r="EV151" s="34">
        <f>IF(AND(ISNUMBER(EW151),ISNUMBER(EU151)),EW151-EU151,"")</f>
        <v>0</v>
      </c>
      <c r="EW151" s="33">
        <v>5</v>
      </c>
      <c r="EX151" s="34">
        <f>IF(AND(ISNUMBER(EY151),ISNUMBER(EW151)),EY151-EW151,"")</f>
        <v>0</v>
      </c>
      <c r="EY151" s="33">
        <v>8</v>
      </c>
      <c r="EZ151" s="34">
        <f>IF(AND(ISNUMBER(FA151),ISNUMBER(EY151)),FA151-EY151,"")</f>
        <v>0</v>
      </c>
      <c r="FA151" s="33">
        <v>12</v>
      </c>
      <c r="FB151" s="34">
        <f>IF(AND(ISNUMBER(FC151),ISNUMBER(FA151)),FC151-FA151,"")</f>
        <v>0</v>
      </c>
      <c r="FC151" s="33">
        <v>14</v>
      </c>
      <c r="FD151" s="34">
        <f>IF(AND(ISNUMBER(FE151),ISNUMBER(FC151)),FE151-FC151,"")</f>
        <v>0</v>
      </c>
      <c r="FE151" s="33">
        <v>14</v>
      </c>
      <c r="FF151" s="34">
        <f>IF(AND(ISNUMBER(FG151),ISNUMBER(FE151)),FG151-FE151,"")</f>
        <v>0</v>
      </c>
      <c r="FG151" s="33">
        <v>3</v>
      </c>
      <c r="FH151" s="34">
        <f>IF(AND(ISNUMBER(FI151),ISNUMBER(FG151)),FI151-FG151,"")</f>
        <v>0</v>
      </c>
      <c r="FI151" s="33">
        <v>4</v>
      </c>
      <c r="FJ151" s="34">
        <f>IF(AND(ISNUMBER(FK151),ISNUMBER(FI151)),FK151-FI151,"")</f>
        <v>0</v>
      </c>
      <c r="FK151" s="33">
        <v>4</v>
      </c>
      <c r="FL151" s="34">
        <f>IF(AND(ISNUMBER(FM151),ISNUMBER(FK151)),FM151-FK151,"")</f>
        <v>0</v>
      </c>
      <c r="FM151" s="33">
        <v>4</v>
      </c>
      <c r="FN151" s="34">
        <f>IF(AND(ISNUMBER(FO151),ISNUMBER(FM151)),FO151-FM151,"")</f>
        <v>0</v>
      </c>
      <c r="FO151" s="33">
        <v>3</v>
      </c>
      <c r="FP151" s="34">
        <f>IF(AND(ISNUMBER(FQ151),ISNUMBER(FO151)),FQ151-FO151,"")</f>
        <v>0</v>
      </c>
      <c r="FQ151" s="33">
        <v>2</v>
      </c>
      <c r="FR151" s="34">
        <f>IF(AND(ISNUMBER(FS151),ISNUMBER(FQ151)),FS151-FQ151,"")</f>
        <v>0</v>
      </c>
      <c r="FS151" s="33">
        <v>1</v>
      </c>
      <c r="FT151" s="34">
        <f>IF(AND(ISNUMBER(FU151),ISNUMBER(FS151)),FU151-FS151,"")</f>
        <v>0</v>
      </c>
      <c r="FU151" s="33">
        <v>2</v>
      </c>
      <c r="FV151" s="34">
        <f>IF(AND(ISNUMBER(FW151),ISNUMBER(FU151)),FW151-FU151,"")</f>
        <v>0</v>
      </c>
      <c r="FW151" s="33">
        <v>2</v>
      </c>
      <c r="FX151" s="34">
        <f>IF(AND(ISNUMBER(FY151),ISNUMBER(FW151)),FY151-FW151,"")</f>
        <v>0</v>
      </c>
      <c r="FY151" s="33">
        <v>0</v>
      </c>
      <c r="FZ151" s="34">
        <f>IF(AND(ISNUMBER(GA151),ISNUMBER(FY151)),GA151-FY151,"")</f>
        <v>0</v>
      </c>
      <c r="GA151" s="33">
        <v>2</v>
      </c>
      <c r="GB151" s="34">
        <f>IF(AND(ISNUMBER(GC151),ISNUMBER(GA151)),GC151-GA151,"")</f>
        <v>0</v>
      </c>
      <c r="GC151" s="33">
        <v>1</v>
      </c>
      <c r="GD151" s="34">
        <f>IF(AND(ISNUMBER(GE151),ISNUMBER(GC151)),GE151-GC151,"")</f>
        <v>0</v>
      </c>
      <c r="GE151" s="33">
        <v>1</v>
      </c>
      <c r="GF151" s="34">
        <f>IF(AND(ISNUMBER(GG151),ISNUMBER(GE151)),GG151-GE151,"")</f>
        <v>0</v>
      </c>
      <c r="GG151" s="33">
        <v>1</v>
      </c>
      <c r="GH151" s="34">
        <f>IF(AND(ISNUMBER(GI151),ISNUMBER(GG151)),GI151-GG151,"")</f>
        <v>0</v>
      </c>
      <c r="GI151" s="33">
        <v>1</v>
      </c>
      <c r="GJ151" s="34">
        <f>IF(AND(ISNUMBER(GK151),ISNUMBER(GI151)),GK151-GI151,"")</f>
        <v>0</v>
      </c>
      <c r="GK151" s="33">
        <v>1</v>
      </c>
      <c r="GL151" s="34">
        <f>IF(AND(ISNUMBER(GM151),ISNUMBER(GK151)),GM151-GK151,"")</f>
        <v>0</v>
      </c>
      <c r="GM151" s="33">
        <v>0</v>
      </c>
      <c r="GN151" s="34">
        <f>IF(AND(ISNUMBER(GO151),ISNUMBER(GM151)),GO151-GM151,"")</f>
        <v>0</v>
      </c>
      <c r="GO151" s="33">
        <v>0</v>
      </c>
      <c r="GP151" s="34">
        <f>IF(AND(ISNUMBER(GQ151),ISNUMBER(GO151)),GQ151-GO151,"")</f>
        <v>0</v>
      </c>
      <c r="GQ151" s="33">
        <v>0</v>
      </c>
      <c r="GR151" s="34">
        <f>IF(AND(ISNUMBER(GS151),ISNUMBER(GQ151)),GS151-GQ151,"")</f>
        <v>0</v>
      </c>
      <c r="GS151" s="33">
        <v>0</v>
      </c>
      <c r="GT151" s="34">
        <f>IF(AND(ISNUMBER(GU151),ISNUMBER(GS151)),GU151-GS151,"")</f>
        <v>0</v>
      </c>
      <c r="GU151" s="33">
        <v>0</v>
      </c>
      <c r="GV151" s="34">
        <f>IF(AND(ISNUMBER(GW151),ISNUMBER(GU151)),GW151-GU151,"")</f>
        <v>0</v>
      </c>
      <c r="GW151" s="33">
        <v>0</v>
      </c>
      <c r="GX151" s="34">
        <f>IF(AND(ISNUMBER(GY151),ISNUMBER(GW151)),GY151-GW151,"")</f>
        <v>0</v>
      </c>
      <c r="GY151" s="33">
        <v>0</v>
      </c>
      <c r="GZ151" s="34">
        <f>IF(AND(ISNUMBER(HA151),ISNUMBER(GY151)),HA151-GY151,"")</f>
        <v>0</v>
      </c>
      <c r="HA151" s="33">
        <v>0</v>
      </c>
      <c r="HB151" s="34">
        <f>IF(AND(ISNUMBER(HC151),ISNUMBER(HA151)),HC151-HA151,"")</f>
        <v>0</v>
      </c>
      <c r="HC151" s="33">
        <v>0</v>
      </c>
      <c r="HD151" s="34">
        <f>IF(AND(ISNUMBER(HE151),ISNUMBER(HC151)),HE151-HC151,"")</f>
        <v>0</v>
      </c>
      <c r="HE151" s="33">
        <v>0</v>
      </c>
      <c r="HF151" s="34">
        <f>IF(AND(ISNUMBER(HG151),ISNUMBER(HE151)),HG151-HE151,"")</f>
        <v>0</v>
      </c>
      <c r="HG151" s="33">
        <v>0</v>
      </c>
      <c r="HH151" s="34">
        <f>IF(AND(ISNUMBER(HI151),ISNUMBER(HG151)),HI151-HG151,"")</f>
        <v>0</v>
      </c>
      <c r="HI151" s="33">
        <v>0</v>
      </c>
      <c r="HJ151" s="34">
        <f>IF(AND(ISNUMBER(HK151),ISNUMBER(HI151)),HK151-HI151,"")</f>
        <v>0</v>
      </c>
      <c r="HK151" s="33">
        <v>0</v>
      </c>
      <c r="HL151" s="34">
        <f>IF(AND(ISNUMBER(HM151),ISNUMBER(HK151)),HM151-HK151,"")</f>
        <v>0</v>
      </c>
      <c r="HM151" s="33">
        <v>0</v>
      </c>
      <c r="HN151" s="34">
        <f>IF(AND(ISNUMBER(HO151),ISNUMBER(HM151)),HO151-HM151,"")</f>
        <v>0</v>
      </c>
      <c r="HO151" s="33">
        <v>0</v>
      </c>
      <c r="HP151" s="34">
        <f>IF(AND(ISNUMBER(HQ151),ISNUMBER(HO151)),HQ151-HO151,"")</f>
        <v>0</v>
      </c>
      <c r="HQ151" s="33">
        <v>0</v>
      </c>
      <c r="HR151" s="34">
        <f>IF(AND(ISNUMBER(HS151),ISNUMBER(HQ151)),HS151-HQ151,"")</f>
        <v>0</v>
      </c>
      <c r="HS151" s="33">
        <v>0</v>
      </c>
      <c r="HT151" s="34">
        <f>IF(AND(ISNUMBER(HU151),ISNUMBER(HS151)),HU151-HS151,"")</f>
        <v>0</v>
      </c>
      <c r="HU151" s="33">
        <v>0</v>
      </c>
      <c r="HV151" s="34">
        <f>IF(AND(ISNUMBER(HW151),ISNUMBER(HU151)),HW151-HU151,"")</f>
        <v>0</v>
      </c>
      <c r="HW151" s="33">
        <v>0</v>
      </c>
      <c r="HX151" s="34">
        <f>IF(AND(ISNUMBER(HY151),ISNUMBER(HW151)),HY151-HW151,"")</f>
        <v>0</v>
      </c>
      <c r="HY151" s="33">
        <v>0</v>
      </c>
      <c r="HZ151" s="34">
        <f>IF(AND(ISNUMBER(IA151),ISNUMBER(HY151)),IA151-HY151,"")</f>
        <v>0</v>
      </c>
      <c r="IA151" s="33">
        <v>0</v>
      </c>
      <c r="IB151" s="34">
        <f>IF(AND(ISNUMBER(IC151),ISNUMBER(IA151)),IC151-IA151,"")</f>
        <v>0</v>
      </c>
      <c r="IC151" s="33">
        <v>0</v>
      </c>
      <c r="ID151" s="34">
        <f>IF(AND(ISNUMBER(IE151),ISNUMBER(IC151)),IE151-IC151,"")</f>
        <v>0</v>
      </c>
      <c r="IE151" s="33">
        <v>0</v>
      </c>
      <c r="IF151" s="34">
        <f>IF(AND(ISNUMBER(IG151),ISNUMBER(IE151)),IG151-IE151,"")</f>
        <v>0</v>
      </c>
      <c r="IG151" s="33">
        <v>0</v>
      </c>
      <c r="IH151" s="34">
        <f>IF(AND(ISNUMBER(II151),ISNUMBER(IG151)),II151-IG151,"")</f>
        <v>0</v>
      </c>
      <c r="II151" s="33">
        <v>0</v>
      </c>
      <c r="IJ151" s="34">
        <f>IF(AND(ISNUMBER(IK151),ISNUMBER(II151)),IK151-II151,"")</f>
        <v>0</v>
      </c>
      <c r="IK151" s="33">
        <v>0</v>
      </c>
      <c r="IL151" s="34">
        <f>IF(AND(ISNUMBER(IM151),ISNUMBER(IK151)),IM151-IK151,"")</f>
        <v>0</v>
      </c>
      <c r="IM151" s="33">
        <v>0</v>
      </c>
      <c r="IN151" s="34">
        <f>IF(AND(ISNUMBER(IO151),ISNUMBER(IM151)),IO151-IM151,"")</f>
        <v>0</v>
      </c>
      <c r="IO151" s="33">
        <v>0</v>
      </c>
      <c r="IP151" s="34">
        <f>IF(AND(ISNUMBER(IQ151),ISNUMBER(IO151)),IQ151-IO151,"")</f>
        <v>0</v>
      </c>
      <c r="IQ151" s="33">
        <v>0</v>
      </c>
      <c r="IR151" s="34">
        <f>IF(AND(ISNUMBER(IS151),ISNUMBER(IQ151)),IS151-IQ151,"")</f>
        <v>0</v>
      </c>
      <c r="IS151" s="33">
        <v>0</v>
      </c>
      <c r="IT151" s="34">
        <f>IF(AND(ISNUMBER(IU151),ISNUMBER(IS151)),IU151-IS151,"")</f>
        <v>0</v>
      </c>
      <c r="IU151" s="33">
        <v>0</v>
      </c>
      <c r="IV151" s="34">
        <f>IF(AND(ISNUMBER(IW151),ISNUMBER(IU151)),IW151-IU151,"")</f>
        <v>0</v>
      </c>
      <c r="IW151" s="33">
        <v>0</v>
      </c>
      <c r="IX151" s="34">
        <f>IF(AND(ISNUMBER(IY151),ISNUMBER(IW151)),IY151-IW151,"")</f>
        <v>0</v>
      </c>
      <c r="IY151" s="33">
        <v>0</v>
      </c>
      <c r="IZ151" s="34">
        <f>IF(AND(ISNUMBER(JA151),ISNUMBER(IY151)),JA151-IY151,"")</f>
        <v>0</v>
      </c>
      <c r="JA151" s="33">
        <v>0</v>
      </c>
      <c r="JB151" s="34">
        <f>IF(AND(ISNUMBER(JC151),ISNUMBER(JA151)),JC151-JA151,"")</f>
        <v>0</v>
      </c>
      <c r="JC151" s="33">
        <v>0</v>
      </c>
      <c r="JD151" s="34">
        <f>IF(AND(ISNUMBER(JE151),ISNUMBER(JC151)),JE151-JC151,"")</f>
        <v>0</v>
      </c>
      <c r="JE151" s="33">
        <v>0</v>
      </c>
      <c r="JF151" s="34">
        <f>IF(AND(ISNUMBER(JG151),ISNUMBER(JE151)),JG151-JE151,"")</f>
        <v>0</v>
      </c>
      <c r="JG151" s="33">
        <v>0</v>
      </c>
      <c r="JH151" s="34">
        <f>IF(AND(ISNUMBER(JI151),ISNUMBER(JG151)),JI151-JG151,"")</f>
        <v>0</v>
      </c>
      <c r="JI151" s="33">
        <v>0</v>
      </c>
      <c r="JJ151" s="34">
        <f>IF(AND(ISNUMBER(JK151),ISNUMBER(JI151)),JK151-JI151,"")</f>
        <v>0</v>
      </c>
      <c r="JK151" s="33">
        <v>0</v>
      </c>
      <c r="JL151" s="34">
        <f>IF(AND(ISNUMBER(JM151),ISNUMBER(JK151)),JM151-JK151,"")</f>
        <v>0</v>
      </c>
      <c r="JM151" s="33">
        <v>0</v>
      </c>
      <c r="JN151" s="34">
        <f>IF(AND(ISNUMBER(JO151),ISNUMBER(JM151)),JO151-JM151,"")</f>
        <v>0</v>
      </c>
      <c r="JO151" s="33">
        <v>0</v>
      </c>
      <c r="JP151" s="34">
        <f>IF(AND(ISNUMBER(JQ151),ISNUMBER(JO151)),JQ151-JO151,"")</f>
        <v>0</v>
      </c>
      <c r="JQ151" s="33">
        <v>0</v>
      </c>
      <c r="JR151" s="34">
        <f>IF(AND(ISNUMBER(JS151),ISNUMBER(JQ151)),JS151-JQ151,"")</f>
        <v>0</v>
      </c>
      <c r="JS151" s="33">
        <v>0</v>
      </c>
      <c r="JT151" s="34">
        <f>IF(AND(ISNUMBER(JU151),ISNUMBER(JS151)),JU151-JS151,"")</f>
        <v>0</v>
      </c>
      <c r="JU151" s="33">
        <v>0</v>
      </c>
      <c r="JV151" s="34">
        <f>IF(AND(ISNUMBER(JW151),ISNUMBER(JU151)),JW151-JU151,"")</f>
        <v>0</v>
      </c>
      <c r="JW151" s="33">
        <v>0</v>
      </c>
      <c r="JX151" s="34">
        <f>IF(AND(ISNUMBER(JY151),ISNUMBER(JW151)),JY151-JW151,"")</f>
        <v>0</v>
      </c>
      <c r="JY151" s="33"/>
      <c r="JZ151" s="34">
        <f>IF(AND(ISNUMBER(KA151),ISNUMBER(JY151)),KA151-JY151,"")</f>
        <v>0</v>
      </c>
      <c r="KA151" s="33"/>
      <c r="KB151" s="34">
        <f>IF(AND(ISNUMBER(KC151),ISNUMBER(KA151)),KC151-KA151,"")</f>
        <v>0</v>
      </c>
      <c r="KC151" s="33"/>
      <c r="KD151" s="34">
        <f>IF(AND(ISNUMBER(KE151),ISNUMBER(KC151)),KE151-KC151,"")</f>
        <v>0</v>
      </c>
      <c r="KE151" s="33"/>
      <c r="KF151" s="34">
        <f>IF(AND(ISNUMBER(KG151),ISNUMBER(KE151)),KG151-KE151,"")</f>
        <v>0</v>
      </c>
      <c r="KG151" s="33"/>
      <c r="KH151" s="34">
        <f>IF(AND(ISNUMBER(KI151),ISNUMBER(KG151)),KI151-KG151,"")</f>
        <v>0</v>
      </c>
      <c r="KI151" s="33"/>
      <c r="KJ151" s="34">
        <f>IF(AND(ISNUMBER(KK151),ISNUMBER(KI151)),KK151-KI151,"")</f>
        <v>0</v>
      </c>
      <c r="KK151" s="33"/>
      <c r="KL151" s="34">
        <f>IF(AND(ISNUMBER(KM151),ISNUMBER(KK151)),KM151-KK151,"")</f>
        <v>0</v>
      </c>
      <c r="KM151" s="33"/>
      <c r="KN151" s="34">
        <f>IF(AND(ISNUMBER(KO151),ISNUMBER(KM151)),KO151-KM151,"")</f>
        <v>0</v>
      </c>
      <c r="KO151" s="33"/>
      <c r="KP151" s="34">
        <f>IF(AND(ISNUMBER(KQ151),ISNUMBER(KO151)),KQ151-KO151,"")</f>
        <v>0</v>
      </c>
      <c r="KQ151" s="33"/>
      <c r="KR151" s="34">
        <f>IF(AND(ISNUMBER(KS151),ISNUMBER(KQ151)),KS151-KQ151,"")</f>
        <v>0</v>
      </c>
      <c r="KS151" s="33"/>
      <c r="KT151" s="34">
        <f>IF(AND(ISNUMBER(KU151),ISNUMBER(KS151)),KU151-KS151,"")</f>
        <v>0</v>
      </c>
      <c r="KU151" s="33"/>
      <c r="KV151" s="34">
        <f>IF(AND(ISNUMBER(KW151),ISNUMBER(KU151)),KW151-KU151,"")</f>
        <v>0</v>
      </c>
      <c r="KW151" s="33"/>
      <c r="KX151" s="34">
        <f>IF(AND(ISNUMBER(KY151),ISNUMBER(KW151)),KY151-KW151,"")</f>
        <v>0</v>
      </c>
      <c r="KY151" s="33"/>
      <c r="KZ151" s="34">
        <f>IF(AND(ISNUMBER(LA151),ISNUMBER(KY151)),LA151-KY151,"")</f>
        <v>0</v>
      </c>
      <c r="LA151" s="33"/>
      <c r="LB151" s="34">
        <f>IF(AND(ISNUMBER(LC151),ISNUMBER(LA151)),LC151-LA151,"")</f>
        <v>0</v>
      </c>
      <c r="LC151" s="33"/>
      <c r="LD151" s="34">
        <f>IF(AND(ISNUMBER(LE151),ISNUMBER(LC151)),LE151-LC151,"")</f>
        <v>0</v>
      </c>
      <c r="LE151" s="33"/>
      <c r="LF151" s="34">
        <f>IF(AND(ISNUMBER(LG151),ISNUMBER(LE151)),LG151-LE151,"")</f>
        <v>0</v>
      </c>
      <c r="LG151" s="33"/>
    </row>
    <row r="152" spans="1:322">
      <c r="A152" s="36" t="s">
        <v>111</v>
      </c>
      <c r="B152" s="23"/>
      <c r="C152" s="31" t="s">
        <v>957</v>
      </c>
      <c r="E152" s="32" t="s">
        <v>1154</v>
      </c>
      <c r="H152" s="38" t="s">
        <v>1105</v>
      </c>
      <c r="I152" s="33"/>
      <c r="J152" s="34">
        <f>IF(AND(ISNUMBER(K152),ISNUMBER(I152)),K152-I152,"")</f>
        <v>0</v>
      </c>
      <c r="K152" s="33"/>
      <c r="L152" s="34">
        <f>IF(AND(ISNUMBER(M152),ISNUMBER(K152)),M152-K152,"")</f>
        <v>0</v>
      </c>
      <c r="M152" s="33"/>
      <c r="N152" s="34">
        <f>IF(AND(ISNUMBER(O152),ISNUMBER(M152)),O152-M152,"")</f>
        <v>0</v>
      </c>
      <c r="O152" s="33"/>
      <c r="P152" s="34">
        <f>IF(AND(ISNUMBER(Q152),ISNUMBER(O152)),Q152-O152,"")</f>
        <v>0</v>
      </c>
      <c r="Q152" s="33"/>
      <c r="R152" s="34">
        <f>IF(AND(ISNUMBER(S152),ISNUMBER(Q152)),S152-Q152,"")</f>
        <v>0</v>
      </c>
      <c r="S152" s="33"/>
      <c r="T152" s="34">
        <f>IF(AND(ISNUMBER(U152),ISNUMBER(S152)),U152-S152,"")</f>
        <v>0</v>
      </c>
      <c r="U152" s="33"/>
      <c r="V152" s="34">
        <f>IF(AND(ISNUMBER(W152),ISNUMBER(U152)),W152-U152,"")</f>
        <v>0</v>
      </c>
      <c r="W152" s="33"/>
      <c r="X152" s="34">
        <f>IF(AND(ISNUMBER(Y152),ISNUMBER(W152)),Y152-W152,"")</f>
        <v>0</v>
      </c>
      <c r="Y152" s="33"/>
      <c r="Z152" s="34">
        <f>IF(AND(ISNUMBER(AA152),ISNUMBER(Y152)),AA152-Y152,"")</f>
        <v>0</v>
      </c>
      <c r="AA152" s="33"/>
      <c r="AB152" s="34">
        <f>IF(AND(ISNUMBER(AC152),ISNUMBER(AA152)),AC152-AA152,"")</f>
        <v>0</v>
      </c>
      <c r="AC152" s="33"/>
      <c r="AD152" s="34">
        <f>IF(AND(ISNUMBER(AE152),ISNUMBER(AC152)),AE152-AC152,"")</f>
        <v>0</v>
      </c>
      <c r="AE152" s="33"/>
      <c r="AF152" s="34">
        <f>IF(AND(ISNUMBER(AG152),ISNUMBER(AE152)),AG152-AE152,"")</f>
        <v>0</v>
      </c>
      <c r="AG152" s="33"/>
      <c r="AH152" s="34">
        <f>IF(AND(ISNUMBER(AI152),ISNUMBER(AG152)),AI152-AG152,"")</f>
        <v>0</v>
      </c>
      <c r="AI152" s="33"/>
      <c r="AJ152" s="34">
        <f>IF(AND(ISNUMBER(AK152),ISNUMBER(AI152)),AK152-AI152,"")</f>
        <v>0</v>
      </c>
      <c r="AK152" s="33"/>
      <c r="AL152" s="34">
        <f>IF(AND(ISNUMBER(AM152),ISNUMBER(AK152)),AM152-AK152,"")</f>
        <v>0</v>
      </c>
      <c r="AM152" s="33"/>
      <c r="AN152" s="34">
        <f>IF(AND(ISNUMBER(AO152),ISNUMBER(AM152)),AO152-AM152,"")</f>
        <v>0</v>
      </c>
      <c r="AO152" s="33"/>
      <c r="AP152" s="34">
        <f>IF(AND(ISNUMBER(AQ152),ISNUMBER(AO152)),AQ152-AO152,"")</f>
        <v>0</v>
      </c>
      <c r="AQ152" s="33"/>
      <c r="AR152" s="34">
        <f>IF(AND(ISNUMBER(AS152),ISNUMBER(AQ152)),AS152-AQ152,"")</f>
        <v>0</v>
      </c>
      <c r="AS152" s="33"/>
      <c r="AT152" s="34">
        <f>IF(AND(ISNUMBER(AU152),ISNUMBER(AS152)),AU152-AS152,"")</f>
        <v>0</v>
      </c>
      <c r="AU152" s="33"/>
      <c r="AV152" s="34">
        <f>IF(AND(ISNUMBER(AW152),ISNUMBER(AU152)),AW152-AU152,"")</f>
        <v>0</v>
      </c>
      <c r="AW152" s="33"/>
      <c r="AX152" s="34">
        <f>IF(AND(ISNUMBER(AY152),ISNUMBER(AW152)),AY152-AW152,"")</f>
        <v>0</v>
      </c>
      <c r="AY152" s="33"/>
      <c r="AZ152" s="34">
        <f>IF(AND(ISNUMBER(BA152),ISNUMBER(AY152)),BA152-AY152,"")</f>
        <v>0</v>
      </c>
      <c r="BA152" s="33"/>
      <c r="BB152" s="34">
        <f>IF(AND(ISNUMBER(BC152),ISNUMBER(BA152)),BC152-BA152,"")</f>
        <v>0</v>
      </c>
      <c r="BC152" s="33"/>
      <c r="BD152" s="34">
        <f>IF(AND(ISNUMBER(BE152),ISNUMBER(BC152)),BE152-BC152,"")</f>
        <v>0</v>
      </c>
      <c r="BE152" s="33"/>
      <c r="BF152" s="34">
        <f>IF(AND(ISNUMBER(BG152),ISNUMBER(BE152)),BG152-BE152,"")</f>
        <v>0</v>
      </c>
      <c r="BG152" s="33"/>
      <c r="BH152" s="34">
        <f>IF(AND(ISNUMBER(BI152),ISNUMBER(BG152)),BI152-BG152,"")</f>
        <v>0</v>
      </c>
      <c r="BI152" s="33"/>
      <c r="BJ152" s="34">
        <f>IF(AND(ISNUMBER(BK152),ISNUMBER(BI152)),BK152-BI152,"")</f>
        <v>0</v>
      </c>
      <c r="BK152" s="33"/>
      <c r="BL152" s="34">
        <f>IF(AND(ISNUMBER(BM152),ISNUMBER(BK152)),BM152-BK152,"")</f>
        <v>0</v>
      </c>
      <c r="BM152" s="33"/>
      <c r="BN152" s="34">
        <f>IF(AND(ISNUMBER(BO152),ISNUMBER(BM152)),BO152-BM152,"")</f>
        <v>0</v>
      </c>
      <c r="BO152" s="33"/>
      <c r="BP152" s="34">
        <f>IF(AND(ISNUMBER(BQ152),ISNUMBER(BO152)),BQ152-BO152,"")</f>
        <v>0</v>
      </c>
      <c r="BQ152" s="33"/>
      <c r="BR152" s="34">
        <f>IF(AND(ISNUMBER(BS152),ISNUMBER(BQ152)),BS152-BQ152,"")</f>
        <v>0</v>
      </c>
      <c r="BS152" s="33"/>
      <c r="BT152" s="34">
        <f>IF(AND(ISNUMBER(BU152),ISNUMBER(BS152)),BU152-BS152,"")</f>
        <v>0</v>
      </c>
      <c r="BU152" s="33"/>
      <c r="BV152" s="34">
        <f>IF(AND(ISNUMBER(BW152),ISNUMBER(BU152)),BW152-BU152,"")</f>
        <v>0</v>
      </c>
      <c r="BW152" s="33"/>
      <c r="BX152" s="34">
        <f>IF(AND(ISNUMBER(BY152),ISNUMBER(BW152)),BY152-BW152,"")</f>
        <v>0</v>
      </c>
      <c r="BY152" s="33">
        <v>2</v>
      </c>
      <c r="BZ152" s="34">
        <f>IF(AND(ISNUMBER(CA152),ISNUMBER(BY152)),CA152-BY152,"")</f>
        <v>0</v>
      </c>
      <c r="CA152" s="33">
        <v>7</v>
      </c>
      <c r="CB152" s="34">
        <f>IF(AND(ISNUMBER(CC152),ISNUMBER(CA152)),CC152-CA152,"")</f>
        <v>0</v>
      </c>
      <c r="CC152" s="33">
        <v>3</v>
      </c>
      <c r="CD152" s="34">
        <f>IF(AND(ISNUMBER(CE152),ISNUMBER(CC152)),CE152-CC152,"")</f>
        <v>0</v>
      </c>
      <c r="CE152" s="33">
        <v>5</v>
      </c>
      <c r="CF152" s="34">
        <f>IF(AND(ISNUMBER(CG152),ISNUMBER(CE152)),CG152-CE152,"")</f>
        <v>0</v>
      </c>
      <c r="CG152" s="33">
        <v>6</v>
      </c>
      <c r="CH152" s="34">
        <f>IF(AND(ISNUMBER(CI152),ISNUMBER(CG152)),CI152-CG152,"")</f>
        <v>0</v>
      </c>
      <c r="CI152" s="33">
        <v>3</v>
      </c>
      <c r="CJ152" s="34">
        <f>IF(AND(ISNUMBER(CK152),ISNUMBER(CI152)),CK152-CI152,"")</f>
        <v>0</v>
      </c>
      <c r="CK152" s="33">
        <v>5</v>
      </c>
      <c r="CL152" s="34">
        <f>IF(AND(ISNUMBER(CM152),ISNUMBER(CK152)),CM152-CK152,"")</f>
        <v>0</v>
      </c>
      <c r="CM152" s="33">
        <v>20</v>
      </c>
      <c r="CN152" s="34">
        <f>IF(AND(ISNUMBER(CO152),ISNUMBER(CM152)),CO152-CM152,"")</f>
        <v>0</v>
      </c>
      <c r="CO152" s="33">
        <v>20</v>
      </c>
      <c r="CP152" s="34">
        <f>IF(AND(ISNUMBER(CQ152),ISNUMBER(CO152)),CQ152-CO152,"")</f>
        <v>0</v>
      </c>
      <c r="CQ152" s="33">
        <v>0</v>
      </c>
      <c r="CR152" s="34">
        <f>IF(AND(ISNUMBER(CS152),ISNUMBER(CQ152)),CS152-CQ152,"")</f>
        <v>0</v>
      </c>
      <c r="CS152" s="33">
        <v>10</v>
      </c>
      <c r="CT152" s="34">
        <f>IF(AND(ISNUMBER(CU152),ISNUMBER(CS152)),CU152-CS152,"")</f>
        <v>0</v>
      </c>
      <c r="CU152" s="33">
        <v>5</v>
      </c>
      <c r="CV152" s="34">
        <f>IF(AND(ISNUMBER(CW152),ISNUMBER(CU152)),CW152-CU152,"")</f>
        <v>0</v>
      </c>
      <c r="CW152" s="33">
        <v>20</v>
      </c>
      <c r="CX152" s="34">
        <f>IF(AND(ISNUMBER(CY152),ISNUMBER(CW152)),CY152-CW152,"")</f>
        <v>0</v>
      </c>
      <c r="CY152" s="33">
        <v>20</v>
      </c>
      <c r="CZ152" s="34">
        <f>IF(AND(ISNUMBER(DA152),ISNUMBER(CY152)),DA152-CY152,"")</f>
        <v>0</v>
      </c>
      <c r="DA152" s="33"/>
      <c r="DB152" s="34">
        <f>IF(AND(ISNUMBER(DC152),ISNUMBER(DA152)),DC152-DA152,"")</f>
        <v>0</v>
      </c>
      <c r="DC152" s="33"/>
      <c r="DD152" s="34">
        <f>IF(AND(ISNUMBER(DE152),ISNUMBER(DC152)),DE152-DC152,"")</f>
        <v>0</v>
      </c>
      <c r="DE152" s="33"/>
      <c r="DF152" s="34">
        <f>IF(AND(ISNUMBER(DG152),ISNUMBER(DE152)),DG152-DE152,"")</f>
        <v>0</v>
      </c>
      <c r="DG152" s="33"/>
      <c r="DH152" s="34">
        <f>IF(AND(ISNUMBER(DI152),ISNUMBER(DG152)),DI152-DG152,"")</f>
        <v>0</v>
      </c>
      <c r="DI152" s="33"/>
      <c r="DJ152" s="34">
        <f>IF(AND(ISNUMBER(DK152),ISNUMBER(DI152)),DK152-DI152,"")</f>
        <v>0</v>
      </c>
      <c r="DK152" s="33"/>
      <c r="DL152" s="34">
        <f>IF(AND(ISNUMBER(DM152),ISNUMBER(DK152)),DM152-DK152,"")</f>
        <v>0</v>
      </c>
      <c r="DM152" s="33"/>
      <c r="DN152" s="34">
        <f>IF(AND(ISNUMBER(DO152),ISNUMBER(DM152)),DO152-DM152,"")</f>
        <v>0</v>
      </c>
      <c r="DO152" s="33"/>
      <c r="DP152" s="34">
        <f>IF(AND(ISNUMBER(DQ152),ISNUMBER(DO152)),DQ152-DO152,"")</f>
        <v>0</v>
      </c>
      <c r="DQ152" s="33"/>
      <c r="DR152" s="34">
        <f>IF(AND(ISNUMBER(DS152),ISNUMBER(DQ152)),DS152-DQ152,"")</f>
        <v>0</v>
      </c>
      <c r="DS152" s="33"/>
      <c r="DT152" s="34">
        <f>IF(AND(ISNUMBER(DU152),ISNUMBER(DS152)),DU152-DS152,"")</f>
        <v>0</v>
      </c>
      <c r="DU152" s="33"/>
      <c r="DV152" s="34">
        <f>IF(AND(ISNUMBER(DW152),ISNUMBER(DU152)),DW152-DU152,"")</f>
        <v>0</v>
      </c>
      <c r="DW152" s="33"/>
      <c r="DX152" s="34">
        <f>IF(AND(ISNUMBER(DY152),ISNUMBER(DW152)),DY152-DW152,"")</f>
        <v>0</v>
      </c>
      <c r="DY152" s="33"/>
      <c r="DZ152" s="34">
        <f>IF(AND(ISNUMBER(EA152),ISNUMBER(DY152)),EA152-DY152,"")</f>
        <v>0</v>
      </c>
      <c r="EA152" s="33"/>
      <c r="EB152" s="34">
        <f>IF(AND(ISNUMBER(EC152),ISNUMBER(EA152)),EC152-EA152,"")</f>
        <v>0</v>
      </c>
      <c r="EC152" s="33"/>
      <c r="ED152" s="34">
        <f>IF(AND(ISNUMBER(EE152),ISNUMBER(EC152)),EE152-EC152,"")</f>
        <v>0</v>
      </c>
      <c r="EE152" s="33"/>
      <c r="EF152" s="34">
        <f>IF(AND(ISNUMBER(EG152),ISNUMBER(EE152)),EG152-EE152,"")</f>
        <v>0</v>
      </c>
      <c r="EG152" s="33"/>
      <c r="EH152" s="34">
        <f>IF(AND(ISNUMBER(EI152),ISNUMBER(EG152)),EI152-EG152,"")</f>
        <v>0</v>
      </c>
      <c r="EI152" s="33"/>
      <c r="EJ152" s="34">
        <f>IF(AND(ISNUMBER(EK152),ISNUMBER(EI152)),EK152-EI152,"")</f>
        <v>0</v>
      </c>
      <c r="EK152" s="33"/>
      <c r="EL152" s="34">
        <f>IF(AND(ISNUMBER(EM152),ISNUMBER(EK152)),EM152-EK152,"")</f>
        <v>0</v>
      </c>
      <c r="EM152" s="33"/>
      <c r="EN152" s="34">
        <f>IF(AND(ISNUMBER(EO152),ISNUMBER(EM152)),EO152-EM152,"")</f>
        <v>0</v>
      </c>
      <c r="EO152" s="33"/>
      <c r="EP152" s="34">
        <f>IF(AND(ISNUMBER(EQ152),ISNUMBER(EO152)),EQ152-EO152,"")</f>
        <v>0</v>
      </c>
      <c r="EQ152" s="33"/>
      <c r="ER152" s="34">
        <f>IF(AND(ISNUMBER(ES152),ISNUMBER(EQ152)),ES152-EQ152,"")</f>
        <v>0</v>
      </c>
      <c r="ES152" s="33"/>
      <c r="ET152" s="34">
        <f>IF(AND(ISNUMBER(EU152),ISNUMBER(ES152)),EU152-ES152,"")</f>
        <v>0</v>
      </c>
      <c r="EU152" s="33"/>
      <c r="EV152" s="34">
        <f>IF(AND(ISNUMBER(EW152),ISNUMBER(EU152)),EW152-EU152,"")</f>
        <v>0</v>
      </c>
      <c r="EW152" s="33"/>
      <c r="EX152" s="34">
        <f>IF(AND(ISNUMBER(EY152),ISNUMBER(EW152)),EY152-EW152,"")</f>
        <v>0</v>
      </c>
      <c r="EY152" s="33"/>
      <c r="EZ152" s="34">
        <f>IF(AND(ISNUMBER(FA152),ISNUMBER(EY152)),FA152-EY152,"")</f>
        <v>0</v>
      </c>
      <c r="FA152" s="33"/>
      <c r="FB152" s="34">
        <f>IF(AND(ISNUMBER(FC152),ISNUMBER(FA152)),FC152-FA152,"")</f>
        <v>0</v>
      </c>
      <c r="FC152" s="33"/>
      <c r="FD152" s="34">
        <f>IF(AND(ISNUMBER(FE152),ISNUMBER(FC152)),FE152-FC152,"")</f>
        <v>0</v>
      </c>
      <c r="FE152" s="33"/>
      <c r="FF152" s="34">
        <f>IF(AND(ISNUMBER(FG152),ISNUMBER(FE152)),FG152-FE152,"")</f>
        <v>0</v>
      </c>
      <c r="FG152" s="33"/>
      <c r="FH152" s="34">
        <f>IF(AND(ISNUMBER(FI152),ISNUMBER(FG152)),FI152-FG152,"")</f>
        <v>0</v>
      </c>
      <c r="FI152" s="33"/>
      <c r="FJ152" s="34">
        <f>IF(AND(ISNUMBER(FK152),ISNUMBER(FI152)),FK152-FI152,"")</f>
        <v>0</v>
      </c>
      <c r="FK152" s="33"/>
      <c r="FL152" s="34">
        <f>IF(AND(ISNUMBER(FM152),ISNUMBER(FK152)),FM152-FK152,"")</f>
        <v>0</v>
      </c>
      <c r="FM152" s="33"/>
      <c r="FN152" s="34">
        <f>IF(AND(ISNUMBER(FO152),ISNUMBER(FM152)),FO152-FM152,"")</f>
        <v>0</v>
      </c>
      <c r="FO152" s="33"/>
      <c r="FP152" s="34">
        <f>IF(AND(ISNUMBER(FQ152),ISNUMBER(FO152)),FQ152-FO152,"")</f>
        <v>0</v>
      </c>
      <c r="FQ152" s="33"/>
      <c r="FR152" s="34">
        <f>IF(AND(ISNUMBER(FS152),ISNUMBER(FQ152)),FS152-FQ152,"")</f>
        <v>0</v>
      </c>
      <c r="FS152" s="33"/>
      <c r="FT152" s="34">
        <f>IF(AND(ISNUMBER(FU152),ISNUMBER(FS152)),FU152-FS152,"")</f>
        <v>0</v>
      </c>
      <c r="FU152" s="33"/>
      <c r="FV152" s="34">
        <f>IF(AND(ISNUMBER(FW152),ISNUMBER(FU152)),FW152-FU152,"")</f>
        <v>0</v>
      </c>
      <c r="FW152" s="33"/>
      <c r="FX152" s="34">
        <f>IF(AND(ISNUMBER(FY152),ISNUMBER(FW152)),FY152-FW152,"")</f>
        <v>0</v>
      </c>
      <c r="FY152" s="33"/>
      <c r="FZ152" s="34">
        <f>IF(AND(ISNUMBER(GA152),ISNUMBER(FY152)),GA152-FY152,"")</f>
        <v>0</v>
      </c>
      <c r="GA152" s="33"/>
      <c r="GB152" s="34">
        <f>IF(AND(ISNUMBER(GC152),ISNUMBER(GA152)),GC152-GA152,"")</f>
        <v>0</v>
      </c>
      <c r="GC152" s="33"/>
      <c r="GD152" s="34">
        <f>IF(AND(ISNUMBER(GE152),ISNUMBER(GC152)),GE152-GC152,"")</f>
        <v>0</v>
      </c>
      <c r="GE152" s="33"/>
      <c r="GF152" s="34">
        <f>IF(AND(ISNUMBER(GG152),ISNUMBER(GE152)),GG152-GE152,"")</f>
        <v>0</v>
      </c>
      <c r="GG152" s="33"/>
      <c r="GH152" s="34">
        <f>IF(AND(ISNUMBER(GI152),ISNUMBER(GG152)),GI152-GG152,"")</f>
        <v>0</v>
      </c>
      <c r="GI152" s="33"/>
      <c r="GJ152" s="34">
        <f>IF(AND(ISNUMBER(GK152),ISNUMBER(GI152)),GK152-GI152,"")</f>
        <v>0</v>
      </c>
      <c r="GK152" s="33"/>
      <c r="GL152" s="34">
        <f>IF(AND(ISNUMBER(GM152),ISNUMBER(GK152)),GM152-GK152,"")</f>
        <v>0</v>
      </c>
      <c r="GM152" s="33"/>
      <c r="GN152" s="34">
        <f>IF(AND(ISNUMBER(GO152),ISNUMBER(GM152)),GO152-GM152,"")</f>
        <v>0</v>
      </c>
      <c r="GO152" s="33"/>
      <c r="GP152" s="34">
        <f>IF(AND(ISNUMBER(GQ152),ISNUMBER(GO152)),GQ152-GO152,"")</f>
        <v>0</v>
      </c>
      <c r="GQ152" s="33"/>
      <c r="GR152" s="34">
        <f>IF(AND(ISNUMBER(GS152),ISNUMBER(GQ152)),GS152-GQ152,"")</f>
        <v>0</v>
      </c>
      <c r="GS152" s="33"/>
      <c r="GT152" s="34">
        <f>IF(AND(ISNUMBER(GU152),ISNUMBER(GS152)),GU152-GS152,"")</f>
        <v>0</v>
      </c>
      <c r="GU152" s="33"/>
      <c r="GV152" s="34">
        <f>IF(AND(ISNUMBER(GW152),ISNUMBER(GU152)),GW152-GU152,"")</f>
        <v>0</v>
      </c>
      <c r="GW152" s="33"/>
      <c r="GX152" s="34">
        <f>IF(AND(ISNUMBER(GY152),ISNUMBER(GW152)),GY152-GW152,"")</f>
        <v>0</v>
      </c>
      <c r="GY152" s="33"/>
      <c r="GZ152" s="34">
        <f>IF(AND(ISNUMBER(HA152),ISNUMBER(GY152)),HA152-GY152,"")</f>
        <v>0</v>
      </c>
      <c r="HA152" s="33"/>
      <c r="HB152" s="34">
        <f>IF(AND(ISNUMBER(HC152),ISNUMBER(HA152)),HC152-HA152,"")</f>
        <v>0</v>
      </c>
      <c r="HC152" s="33"/>
      <c r="HD152" s="34">
        <f>IF(AND(ISNUMBER(HE152),ISNUMBER(HC152)),HE152-HC152,"")</f>
        <v>0</v>
      </c>
      <c r="HE152" s="33"/>
      <c r="HF152" s="34">
        <f>IF(AND(ISNUMBER(HG152),ISNUMBER(HE152)),HG152-HE152,"")</f>
        <v>0</v>
      </c>
      <c r="HG152" s="33"/>
      <c r="HH152" s="34">
        <f>IF(AND(ISNUMBER(HI152),ISNUMBER(HG152)),HI152-HG152,"")</f>
        <v>0</v>
      </c>
      <c r="HI152" s="33"/>
      <c r="HJ152" s="34">
        <f>IF(AND(ISNUMBER(HK152),ISNUMBER(HI152)),HK152-HI152,"")</f>
        <v>0</v>
      </c>
      <c r="HK152" s="33"/>
      <c r="HL152" s="34">
        <f>IF(AND(ISNUMBER(HM152),ISNUMBER(HK152)),HM152-HK152,"")</f>
        <v>0</v>
      </c>
      <c r="HM152" s="33"/>
      <c r="HN152" s="34">
        <f>IF(AND(ISNUMBER(HO152),ISNUMBER(HM152)),HO152-HM152,"")</f>
        <v>0</v>
      </c>
      <c r="HO152" s="33"/>
      <c r="HP152" s="34">
        <f>IF(AND(ISNUMBER(HQ152),ISNUMBER(HO152)),HQ152-HO152,"")</f>
        <v>0</v>
      </c>
      <c r="HQ152" s="33"/>
      <c r="HR152" s="34">
        <f>IF(AND(ISNUMBER(HS152),ISNUMBER(HQ152)),HS152-HQ152,"")</f>
        <v>0</v>
      </c>
      <c r="HS152" s="33"/>
      <c r="HT152" s="34">
        <f>IF(AND(ISNUMBER(HU152),ISNUMBER(HS152)),HU152-HS152,"")</f>
        <v>0</v>
      </c>
      <c r="HU152" s="33"/>
      <c r="HV152" s="34">
        <f>IF(AND(ISNUMBER(HW152),ISNUMBER(HU152)),HW152-HU152,"")</f>
        <v>0</v>
      </c>
      <c r="HW152" s="33"/>
      <c r="HX152" s="34">
        <f>IF(AND(ISNUMBER(HY152),ISNUMBER(HW152)),HY152-HW152,"")</f>
        <v>0</v>
      </c>
      <c r="HY152" s="33"/>
      <c r="HZ152" s="34">
        <f>IF(AND(ISNUMBER(IA152),ISNUMBER(HY152)),IA152-HY152,"")</f>
        <v>0</v>
      </c>
      <c r="IA152" s="33"/>
      <c r="IB152" s="34">
        <f>IF(AND(ISNUMBER(IC152),ISNUMBER(IA152)),IC152-IA152,"")</f>
        <v>0</v>
      </c>
      <c r="IC152" s="33"/>
      <c r="ID152" s="34">
        <f>IF(AND(ISNUMBER(IE152),ISNUMBER(IC152)),IE152-IC152,"")</f>
        <v>0</v>
      </c>
      <c r="IE152" s="33"/>
      <c r="IF152" s="34">
        <f>IF(AND(ISNUMBER(IG152),ISNUMBER(IE152)),IG152-IE152,"")</f>
        <v>0</v>
      </c>
      <c r="IG152" s="33"/>
      <c r="IH152" s="34">
        <f>IF(AND(ISNUMBER(II152),ISNUMBER(IG152)),II152-IG152,"")</f>
        <v>0</v>
      </c>
      <c r="II152" s="33">
        <v>18</v>
      </c>
      <c r="IJ152" s="34">
        <f>IF(AND(ISNUMBER(IK152),ISNUMBER(II152)),IK152-II152,"")</f>
        <v>0</v>
      </c>
      <c r="IK152" s="33">
        <v>15</v>
      </c>
      <c r="IL152" s="34">
        <f>IF(AND(ISNUMBER(IM152),ISNUMBER(IK152)),IM152-IK152,"")</f>
        <v>0</v>
      </c>
      <c r="IM152" s="33">
        <v>20</v>
      </c>
      <c r="IN152" s="34">
        <f>IF(AND(ISNUMBER(IO152),ISNUMBER(IM152)),IO152-IM152,"")</f>
        <v>0</v>
      </c>
      <c r="IO152" s="33">
        <v>28</v>
      </c>
      <c r="IP152" s="34">
        <f>IF(AND(ISNUMBER(IQ152),ISNUMBER(IO152)),IQ152-IO152,"")</f>
        <v>0</v>
      </c>
      <c r="IQ152" s="33">
        <v>27</v>
      </c>
      <c r="IR152" s="34">
        <f>IF(AND(ISNUMBER(IS152),ISNUMBER(IQ152)),IS152-IQ152,"")</f>
        <v>0</v>
      </c>
      <c r="IS152" s="33">
        <v>36</v>
      </c>
      <c r="IT152" s="34">
        <f>IF(AND(ISNUMBER(IU152),ISNUMBER(IS152)),IU152-IS152,"")</f>
        <v>0</v>
      </c>
      <c r="IU152" s="33">
        <v>10</v>
      </c>
      <c r="IV152" s="34">
        <f>IF(AND(ISNUMBER(IW152),ISNUMBER(IU152)),IW152-IU152,"")</f>
        <v>0</v>
      </c>
      <c r="IW152" s="33">
        <v>23</v>
      </c>
      <c r="IX152" s="34">
        <f>IF(AND(ISNUMBER(IY152),ISNUMBER(IW152)),IY152-IW152,"")</f>
        <v>0</v>
      </c>
      <c r="IY152" s="33">
        <v>25</v>
      </c>
      <c r="IZ152" s="34">
        <f>IF(AND(ISNUMBER(JA152),ISNUMBER(IY152)),JA152-IY152,"")</f>
        <v>0</v>
      </c>
      <c r="JA152" s="33">
        <v>21</v>
      </c>
      <c r="JB152" s="34">
        <f>IF(AND(ISNUMBER(JC152),ISNUMBER(JA152)),JC152-JA152,"")</f>
        <v>0</v>
      </c>
      <c r="JC152" s="33">
        <v>20</v>
      </c>
      <c r="JD152" s="34">
        <f>IF(AND(ISNUMBER(JE152),ISNUMBER(JC152)),JE152-JC152,"")</f>
        <v>0</v>
      </c>
      <c r="JE152" s="33">
        <v>35</v>
      </c>
      <c r="JF152" s="34">
        <f>IF(AND(ISNUMBER(JG152),ISNUMBER(JE152)),JG152-JE152,"")</f>
        <v>0</v>
      </c>
      <c r="JG152" s="33">
        <v>29</v>
      </c>
      <c r="JH152" s="34">
        <f>IF(AND(ISNUMBER(JI152),ISNUMBER(JG152)),JI152-JG152,"")</f>
        <v>0</v>
      </c>
      <c r="JI152" s="33">
        <v>49</v>
      </c>
      <c r="JJ152" s="34">
        <f>IF(AND(ISNUMBER(JK152),ISNUMBER(JI152)),JK152-JI152,"")</f>
        <v>0</v>
      </c>
      <c r="JK152" s="33">
        <v>13</v>
      </c>
      <c r="JL152" s="34">
        <f>IF(AND(ISNUMBER(JM152),ISNUMBER(JK152)),JM152-JK152,"")</f>
        <v>0</v>
      </c>
      <c r="JM152" s="33">
        <v>4</v>
      </c>
      <c r="JN152" s="34">
        <f>IF(AND(ISNUMBER(JO152),ISNUMBER(JM152)),JO152-JM152,"")</f>
        <v>0</v>
      </c>
      <c r="JO152" s="33">
        <v>16</v>
      </c>
      <c r="JP152" s="34">
        <f>IF(AND(ISNUMBER(JQ152),ISNUMBER(JO152)),JQ152-JO152,"")</f>
        <v>0</v>
      </c>
      <c r="JQ152" s="33">
        <v>27</v>
      </c>
      <c r="JR152" s="34">
        <f>IF(AND(ISNUMBER(JS152),ISNUMBER(JQ152)),JS152-JQ152,"")</f>
        <v>0</v>
      </c>
      <c r="JS152" s="33">
        <v>20</v>
      </c>
      <c r="JT152" s="34">
        <f>IF(AND(ISNUMBER(JU152),ISNUMBER(JS152)),JU152-JS152,"")</f>
        <v>0</v>
      </c>
      <c r="JU152" s="33">
        <v>15</v>
      </c>
      <c r="JV152" s="34">
        <f>IF(AND(ISNUMBER(JW152),ISNUMBER(JU152)),JW152-JU152,"")</f>
        <v>0</v>
      </c>
      <c r="JW152" s="33">
        <v>20</v>
      </c>
      <c r="JX152" s="34">
        <f>IF(AND(ISNUMBER(JY152),ISNUMBER(JW152)),JY152-JW152,"")</f>
        <v>0</v>
      </c>
      <c r="JY152" s="33">
        <v>5</v>
      </c>
      <c r="JZ152" s="34">
        <f>IF(AND(ISNUMBER(KA152),ISNUMBER(JY152)),KA152-JY152,"")</f>
        <v>0</v>
      </c>
      <c r="KA152" s="33"/>
      <c r="KB152" s="34">
        <f>IF(AND(ISNUMBER(KC152),ISNUMBER(KA152)),KC152-KA152,"")</f>
        <v>0</v>
      </c>
      <c r="KC152" s="33"/>
      <c r="KD152" s="34">
        <f>IF(AND(ISNUMBER(KE152),ISNUMBER(KC152)),KE152-KC152,"")</f>
        <v>0</v>
      </c>
      <c r="KE152" s="33"/>
      <c r="KF152" s="34">
        <f>IF(AND(ISNUMBER(KG152),ISNUMBER(KE152)),KG152-KE152,"")</f>
        <v>0</v>
      </c>
      <c r="KG152" s="33"/>
      <c r="KH152" s="34">
        <f>IF(AND(ISNUMBER(KI152),ISNUMBER(KG152)),KI152-KG152,"")</f>
        <v>0</v>
      </c>
      <c r="KI152" s="33"/>
      <c r="KJ152" s="34">
        <f>IF(AND(ISNUMBER(KK152),ISNUMBER(KI152)),KK152-KI152,"")</f>
        <v>0</v>
      </c>
      <c r="KK152" s="33"/>
      <c r="KL152" s="34">
        <f>IF(AND(ISNUMBER(KM152),ISNUMBER(KK152)),KM152-KK152,"")</f>
        <v>0</v>
      </c>
      <c r="KM152" s="33"/>
      <c r="KN152" s="34">
        <f>IF(AND(ISNUMBER(KO152),ISNUMBER(KM152)),KO152-KM152,"")</f>
        <v>0</v>
      </c>
      <c r="KO152" s="33"/>
      <c r="KP152" s="34">
        <f>IF(AND(ISNUMBER(KQ152),ISNUMBER(KO152)),KQ152-KO152,"")</f>
        <v>0</v>
      </c>
      <c r="KQ152" s="33"/>
      <c r="KR152" s="34">
        <f>IF(AND(ISNUMBER(KS152),ISNUMBER(KQ152)),KS152-KQ152,"")</f>
        <v>0</v>
      </c>
      <c r="KS152" s="33"/>
      <c r="KT152" s="34">
        <f>IF(AND(ISNUMBER(KU152),ISNUMBER(KS152)),KU152-KS152,"")</f>
        <v>0</v>
      </c>
      <c r="KU152" s="33"/>
      <c r="KV152" s="34">
        <f>IF(AND(ISNUMBER(KW152),ISNUMBER(KU152)),KW152-KU152,"")</f>
        <v>0</v>
      </c>
      <c r="KW152" s="33"/>
      <c r="KX152" s="34">
        <f>IF(AND(ISNUMBER(KY152),ISNUMBER(KW152)),KY152-KW152,"")</f>
        <v>0</v>
      </c>
      <c r="KY152" s="33"/>
      <c r="KZ152" s="34">
        <f>IF(AND(ISNUMBER(LA152),ISNUMBER(KY152)),LA152-KY152,"")</f>
        <v>0</v>
      </c>
      <c r="LA152" s="33"/>
      <c r="LB152" s="34">
        <f>IF(AND(ISNUMBER(LC152),ISNUMBER(LA152)),LC152-LA152,"")</f>
        <v>0</v>
      </c>
      <c r="LC152" s="33"/>
      <c r="LD152" s="34">
        <f>IF(AND(ISNUMBER(LE152),ISNUMBER(LC152)),LE152-LC152,"")</f>
        <v>0</v>
      </c>
      <c r="LE152" s="33"/>
      <c r="LF152" s="34">
        <f>IF(AND(ISNUMBER(LG152),ISNUMBER(LE152)),LG152-LE152,"")</f>
        <v>0</v>
      </c>
      <c r="LG152" s="33"/>
    </row>
    <row r="153" spans="1:322" collapsed="1">
      <c r="A153" s="36" t="s">
        <v>960</v>
      </c>
      <c r="B153" s="23"/>
      <c r="H153" s="38" t="s">
        <v>1105</v>
      </c>
      <c r="I153" s="33"/>
      <c r="J153" s="34">
        <f>IF(AND(ISNUMBER(K153),ISNUMBER(I153)),K153-I153,"")</f>
        <v>0</v>
      </c>
      <c r="K153" s="33"/>
      <c r="L153" s="34">
        <f>IF(AND(ISNUMBER(M153),ISNUMBER(K153)),M153-K153,"")</f>
        <v>0</v>
      </c>
      <c r="M153" s="33"/>
      <c r="N153" s="34">
        <f>IF(AND(ISNUMBER(O153),ISNUMBER(M153)),O153-M153,"")</f>
        <v>0</v>
      </c>
      <c r="O153" s="33"/>
      <c r="P153" s="34">
        <f>IF(AND(ISNUMBER(Q153),ISNUMBER(O153)),Q153-O153,"")</f>
        <v>0</v>
      </c>
      <c r="Q153" s="33"/>
      <c r="R153" s="34">
        <f>IF(AND(ISNUMBER(S153),ISNUMBER(Q153)),S153-Q153,"")</f>
        <v>0</v>
      </c>
      <c r="S153" s="33"/>
      <c r="T153" s="34">
        <f>IF(AND(ISNUMBER(U153),ISNUMBER(S153)),U153-S153,"")</f>
        <v>0</v>
      </c>
      <c r="U153" s="33"/>
      <c r="V153" s="34">
        <f>IF(AND(ISNUMBER(W153),ISNUMBER(U153)),W153-U153,"")</f>
        <v>0</v>
      </c>
      <c r="W153" s="33"/>
      <c r="X153" s="34">
        <f>IF(AND(ISNUMBER(Y153),ISNUMBER(W153)),Y153-W153,"")</f>
        <v>0</v>
      </c>
      <c r="Y153" s="33"/>
      <c r="Z153" s="34">
        <f>IF(AND(ISNUMBER(AA153),ISNUMBER(Y153)),AA153-Y153,"")</f>
        <v>0</v>
      </c>
      <c r="AA153" s="33"/>
      <c r="AB153" s="34">
        <f>IF(AND(ISNUMBER(AC153),ISNUMBER(AA153)),AC153-AA153,"")</f>
        <v>0</v>
      </c>
      <c r="AC153" s="33"/>
      <c r="AD153" s="34">
        <f>IF(AND(ISNUMBER(AE153),ISNUMBER(AC153)),AE153-AC153,"")</f>
        <v>0</v>
      </c>
      <c r="AE153" s="33"/>
      <c r="AF153" s="34">
        <f>IF(AND(ISNUMBER(AG153),ISNUMBER(AE153)),AG153-AE153,"")</f>
        <v>0</v>
      </c>
      <c r="AG153" s="33"/>
      <c r="AH153" s="34">
        <f>IF(AND(ISNUMBER(AI153),ISNUMBER(AG153)),AI153-AG153,"")</f>
        <v>0</v>
      </c>
      <c r="AI153" s="33"/>
      <c r="AJ153" s="34">
        <f>IF(AND(ISNUMBER(AK153),ISNUMBER(AI153)),AK153-AI153,"")</f>
        <v>0</v>
      </c>
      <c r="AK153" s="33"/>
      <c r="AL153" s="34">
        <f>IF(AND(ISNUMBER(AM153),ISNUMBER(AK153)),AM153-AK153,"")</f>
        <v>0</v>
      </c>
      <c r="AM153" s="33"/>
      <c r="AN153" s="34">
        <f>IF(AND(ISNUMBER(AO153),ISNUMBER(AM153)),AO153-AM153,"")</f>
        <v>0</v>
      </c>
      <c r="AO153" s="33"/>
      <c r="AP153" s="34">
        <f>IF(AND(ISNUMBER(AQ153),ISNUMBER(AO153)),AQ153-AO153,"")</f>
        <v>0</v>
      </c>
      <c r="AQ153" s="33"/>
      <c r="AR153" s="34">
        <f>IF(AND(ISNUMBER(AS153),ISNUMBER(AQ153)),AS153-AQ153,"")</f>
        <v>0</v>
      </c>
      <c r="AS153" s="33"/>
      <c r="AT153" s="34">
        <f>IF(AND(ISNUMBER(AU153),ISNUMBER(AS153)),AU153-AS153,"")</f>
        <v>0</v>
      </c>
      <c r="AU153" s="33"/>
      <c r="AV153" s="34">
        <f>IF(AND(ISNUMBER(AW153),ISNUMBER(AU153)),AW153-AU153,"")</f>
        <v>0</v>
      </c>
      <c r="AW153" s="33"/>
      <c r="AX153" s="34">
        <f>IF(AND(ISNUMBER(AY153),ISNUMBER(AW153)),AY153-AW153,"")</f>
        <v>0</v>
      </c>
      <c r="AY153" s="33"/>
      <c r="AZ153" s="34">
        <f>IF(AND(ISNUMBER(BA153),ISNUMBER(AY153)),BA153-AY153,"")</f>
        <v>0</v>
      </c>
      <c r="BA153" s="33"/>
      <c r="BB153" s="34">
        <f>IF(AND(ISNUMBER(BC153),ISNUMBER(BA153)),BC153-BA153,"")</f>
        <v>0</v>
      </c>
      <c r="BC153" s="33"/>
      <c r="BD153" s="34">
        <f>IF(AND(ISNUMBER(BE153),ISNUMBER(BC153)),BE153-BC153,"")</f>
        <v>0</v>
      </c>
      <c r="BE153" s="33"/>
      <c r="BF153" s="34">
        <f>IF(AND(ISNUMBER(BG153),ISNUMBER(BE153)),BG153-BE153,"")</f>
        <v>0</v>
      </c>
      <c r="BG153" s="33"/>
      <c r="BH153" s="34">
        <f>IF(AND(ISNUMBER(BI153),ISNUMBER(BG153)),BI153-BG153,"")</f>
        <v>0</v>
      </c>
      <c r="BI153" s="33"/>
      <c r="BJ153" s="34">
        <f>IF(AND(ISNUMBER(BK153),ISNUMBER(BI153)),BK153-BI153,"")</f>
        <v>0</v>
      </c>
      <c r="BK153" s="33"/>
      <c r="BL153" s="34">
        <f>IF(AND(ISNUMBER(BM153),ISNUMBER(BK153)),BM153-BK153,"")</f>
        <v>0</v>
      </c>
      <c r="BM153" s="33"/>
      <c r="BN153" s="34">
        <f>IF(AND(ISNUMBER(BO153),ISNUMBER(BM153)),BO153-BM153,"")</f>
        <v>0</v>
      </c>
      <c r="BO153" s="33"/>
      <c r="BP153" s="34">
        <f>IF(AND(ISNUMBER(BQ153),ISNUMBER(BO153)),BQ153-BO153,"")</f>
        <v>0</v>
      </c>
      <c r="BQ153" s="33"/>
      <c r="BR153" s="34">
        <f>IF(AND(ISNUMBER(BS153),ISNUMBER(BQ153)),BS153-BQ153,"")</f>
        <v>0</v>
      </c>
      <c r="BS153" s="33"/>
      <c r="BT153" s="34">
        <f>IF(AND(ISNUMBER(BU153),ISNUMBER(BS153)),BU153-BS153,"")</f>
        <v>0</v>
      </c>
      <c r="BU153" s="33"/>
      <c r="BV153" s="34">
        <f>IF(AND(ISNUMBER(BW153),ISNUMBER(BU153)),BW153-BU153,"")</f>
        <v>0</v>
      </c>
      <c r="BW153" s="33"/>
      <c r="BX153" s="34">
        <f>IF(AND(ISNUMBER(BY153),ISNUMBER(BW153)),BY153-BW153,"")</f>
        <v>0</v>
      </c>
      <c r="BY153" s="33">
        <v>3</v>
      </c>
      <c r="BZ153" s="34">
        <f>IF(AND(ISNUMBER(CA153),ISNUMBER(BY153)),CA153-BY153,"")</f>
        <v>0</v>
      </c>
      <c r="CA153" s="33">
        <v>3</v>
      </c>
      <c r="CB153" s="34">
        <f>IF(AND(ISNUMBER(CC153),ISNUMBER(CA153)),CC153-CA153,"")</f>
        <v>0</v>
      </c>
      <c r="CC153" s="33">
        <v>5</v>
      </c>
      <c r="CD153" s="34">
        <f>IF(AND(ISNUMBER(CE153),ISNUMBER(CC153)),CE153-CC153,"")</f>
        <v>0</v>
      </c>
      <c r="CE153" s="33">
        <v>2</v>
      </c>
      <c r="CF153" s="34">
        <f>IF(AND(ISNUMBER(CG153),ISNUMBER(CE153)),CG153-CE153,"")</f>
        <v>0</v>
      </c>
      <c r="CG153" s="33">
        <v>7</v>
      </c>
      <c r="CH153" s="34">
        <f>IF(AND(ISNUMBER(CI153),ISNUMBER(CG153)),CI153-CG153,"")</f>
        <v>0</v>
      </c>
      <c r="CI153" s="33">
        <v>26</v>
      </c>
      <c r="CJ153" s="34">
        <f>IF(AND(ISNUMBER(CK153),ISNUMBER(CI153)),CK153-CI153,"")</f>
        <v>0</v>
      </c>
      <c r="CK153" s="33">
        <v>5</v>
      </c>
      <c r="CL153" s="34">
        <f>IF(AND(ISNUMBER(CM153),ISNUMBER(CK153)),CM153-CK153,"")</f>
        <v>0</v>
      </c>
      <c r="CM153" s="33">
        <v>5</v>
      </c>
      <c r="CN153" s="34">
        <f>IF(AND(ISNUMBER(CO153),ISNUMBER(CM153)),CO153-CM153,"")</f>
        <v>0</v>
      </c>
      <c r="CO153" s="33">
        <v>5</v>
      </c>
      <c r="CP153" s="34">
        <f>IF(AND(ISNUMBER(CQ153),ISNUMBER(CO153)),CQ153-CO153,"")</f>
        <v>0</v>
      </c>
      <c r="CQ153" s="33">
        <v>15</v>
      </c>
      <c r="CR153" s="34">
        <f>IF(AND(ISNUMBER(CS153),ISNUMBER(CQ153)),CS153-CQ153,"")</f>
        <v>0</v>
      </c>
      <c r="CS153" s="33">
        <v>10</v>
      </c>
      <c r="CT153" s="34">
        <f>IF(AND(ISNUMBER(CU153),ISNUMBER(CS153)),CU153-CS153,"")</f>
        <v>0</v>
      </c>
      <c r="CU153" s="33">
        <v>5</v>
      </c>
      <c r="CV153" s="34">
        <f>IF(AND(ISNUMBER(CW153),ISNUMBER(CU153)),CW153-CU153,"")</f>
        <v>0</v>
      </c>
      <c r="CW153" s="33">
        <v>5</v>
      </c>
      <c r="CX153" s="34">
        <f>IF(AND(ISNUMBER(CY153),ISNUMBER(CW153)),CY153-CW153,"")</f>
        <v>0</v>
      </c>
      <c r="CY153" s="33">
        <v>5</v>
      </c>
      <c r="CZ153" s="34">
        <f>IF(AND(ISNUMBER(DA153),ISNUMBER(CY153)),DA153-CY153,"")</f>
        <v>0</v>
      </c>
      <c r="DA153" s="33"/>
      <c r="DB153" s="34">
        <f>IF(AND(ISNUMBER(DC153),ISNUMBER(DA153)),DC153-DA153,"")</f>
        <v>0</v>
      </c>
      <c r="DC153" s="33"/>
      <c r="DD153" s="34">
        <f>IF(AND(ISNUMBER(DE153),ISNUMBER(DC153)),DE153-DC153,"")</f>
        <v>0</v>
      </c>
      <c r="DE153" s="33"/>
      <c r="DF153" s="34">
        <f>IF(AND(ISNUMBER(DG153),ISNUMBER(DE153)),DG153-DE153,"")</f>
        <v>0</v>
      </c>
      <c r="DG153" s="33"/>
      <c r="DH153" s="34">
        <f>IF(AND(ISNUMBER(DI153),ISNUMBER(DG153)),DI153-DG153,"")</f>
        <v>0</v>
      </c>
      <c r="DI153" s="33"/>
      <c r="DJ153" s="34">
        <f>IF(AND(ISNUMBER(DK153),ISNUMBER(DI153)),DK153-DI153,"")</f>
        <v>0</v>
      </c>
      <c r="DK153" s="33"/>
      <c r="DL153" s="34">
        <f>IF(AND(ISNUMBER(DM153),ISNUMBER(DK153)),DM153-DK153,"")</f>
        <v>0</v>
      </c>
      <c r="DM153" s="33"/>
      <c r="DN153" s="34">
        <f>IF(AND(ISNUMBER(DO153),ISNUMBER(DM153)),DO153-DM153,"")</f>
        <v>0</v>
      </c>
      <c r="DO153" s="33"/>
      <c r="DP153" s="34">
        <f>IF(AND(ISNUMBER(DQ153),ISNUMBER(DO153)),DQ153-DO153,"")</f>
        <v>0</v>
      </c>
      <c r="DQ153" s="33"/>
      <c r="DR153" s="34">
        <f>IF(AND(ISNUMBER(DS153),ISNUMBER(DQ153)),DS153-DQ153,"")</f>
        <v>0</v>
      </c>
      <c r="DS153" s="33"/>
      <c r="DT153" s="34">
        <f>IF(AND(ISNUMBER(DU153),ISNUMBER(DS153)),DU153-DS153,"")</f>
        <v>0</v>
      </c>
      <c r="DU153" s="33"/>
      <c r="DV153" s="34">
        <f>IF(AND(ISNUMBER(DW153),ISNUMBER(DU153)),DW153-DU153,"")</f>
        <v>0</v>
      </c>
      <c r="DW153" s="33"/>
      <c r="DX153" s="34">
        <f>IF(AND(ISNUMBER(DY153),ISNUMBER(DW153)),DY153-DW153,"")</f>
        <v>0</v>
      </c>
      <c r="DY153" s="33"/>
      <c r="DZ153" s="34">
        <f>IF(AND(ISNUMBER(EA153),ISNUMBER(DY153)),EA153-DY153,"")</f>
        <v>0</v>
      </c>
      <c r="EA153" s="33"/>
      <c r="EB153" s="34">
        <f>IF(AND(ISNUMBER(EC153),ISNUMBER(EA153)),EC153-EA153,"")</f>
        <v>0</v>
      </c>
      <c r="EC153" s="33"/>
      <c r="ED153" s="34">
        <f>IF(AND(ISNUMBER(EE153),ISNUMBER(EC153)),EE153-EC153,"")</f>
        <v>0</v>
      </c>
      <c r="EE153" s="33"/>
      <c r="EF153" s="34">
        <f>IF(AND(ISNUMBER(EG153),ISNUMBER(EE153)),EG153-EE153,"")</f>
        <v>0</v>
      </c>
      <c r="EG153" s="33"/>
      <c r="EH153" s="34">
        <f>IF(AND(ISNUMBER(EI153),ISNUMBER(EG153)),EI153-EG153,"")</f>
        <v>0</v>
      </c>
      <c r="EI153" s="33"/>
      <c r="EJ153" s="34">
        <f>IF(AND(ISNUMBER(EK153),ISNUMBER(EI153)),EK153-EI153,"")</f>
        <v>0</v>
      </c>
      <c r="EK153" s="33"/>
      <c r="EL153" s="34">
        <f>IF(AND(ISNUMBER(EM153),ISNUMBER(EK153)),EM153-EK153,"")</f>
        <v>0</v>
      </c>
      <c r="EM153" s="33"/>
      <c r="EN153" s="34">
        <f>IF(AND(ISNUMBER(EO153),ISNUMBER(EM153)),EO153-EM153,"")</f>
        <v>0</v>
      </c>
      <c r="EO153" s="33"/>
      <c r="EP153" s="34">
        <f>IF(AND(ISNUMBER(EQ153),ISNUMBER(EO153)),EQ153-EO153,"")</f>
        <v>0</v>
      </c>
      <c r="EQ153" s="33"/>
      <c r="ER153" s="34">
        <f>IF(AND(ISNUMBER(ES153),ISNUMBER(EQ153)),ES153-EQ153,"")</f>
        <v>0</v>
      </c>
      <c r="ES153" s="33"/>
      <c r="ET153" s="34">
        <f>IF(AND(ISNUMBER(EU153),ISNUMBER(ES153)),EU153-ES153,"")</f>
        <v>0</v>
      </c>
      <c r="EU153" s="33"/>
      <c r="EV153" s="34">
        <f>IF(AND(ISNUMBER(EW153),ISNUMBER(EU153)),EW153-EU153,"")</f>
        <v>0</v>
      </c>
      <c r="EW153" s="33"/>
      <c r="EX153" s="34">
        <f>IF(AND(ISNUMBER(EY153),ISNUMBER(EW153)),EY153-EW153,"")</f>
        <v>0</v>
      </c>
      <c r="EY153" s="33"/>
      <c r="EZ153" s="34">
        <f>IF(AND(ISNUMBER(FA153),ISNUMBER(EY153)),FA153-EY153,"")</f>
        <v>0</v>
      </c>
      <c r="FA153" s="33"/>
      <c r="FB153" s="34">
        <f>IF(AND(ISNUMBER(FC153),ISNUMBER(FA153)),FC153-FA153,"")</f>
        <v>0</v>
      </c>
      <c r="FC153" s="33"/>
      <c r="FD153" s="34">
        <f>IF(AND(ISNUMBER(FE153),ISNUMBER(FC153)),FE153-FC153,"")</f>
        <v>0</v>
      </c>
      <c r="FE153" s="33"/>
      <c r="FF153" s="34">
        <f>IF(AND(ISNUMBER(FG153),ISNUMBER(FE153)),FG153-FE153,"")</f>
        <v>0</v>
      </c>
      <c r="FG153" s="33"/>
      <c r="FH153" s="34">
        <f>IF(AND(ISNUMBER(FI153),ISNUMBER(FG153)),FI153-FG153,"")</f>
        <v>0</v>
      </c>
      <c r="FI153" s="33"/>
      <c r="FJ153" s="34">
        <f>IF(AND(ISNUMBER(FK153),ISNUMBER(FI153)),FK153-FI153,"")</f>
        <v>0</v>
      </c>
      <c r="FK153" s="33"/>
      <c r="FL153" s="34">
        <f>IF(AND(ISNUMBER(FM153),ISNUMBER(FK153)),FM153-FK153,"")</f>
        <v>0</v>
      </c>
      <c r="FM153" s="33"/>
      <c r="FN153" s="34">
        <f>IF(AND(ISNUMBER(FO153),ISNUMBER(FM153)),FO153-FM153,"")</f>
        <v>0</v>
      </c>
      <c r="FO153" s="33"/>
      <c r="FP153" s="34">
        <f>IF(AND(ISNUMBER(FQ153),ISNUMBER(FO153)),FQ153-FO153,"")</f>
        <v>0</v>
      </c>
      <c r="FQ153" s="33"/>
      <c r="FR153" s="34">
        <f>IF(AND(ISNUMBER(FS153),ISNUMBER(FQ153)),FS153-FQ153,"")</f>
        <v>0</v>
      </c>
      <c r="FS153" s="33"/>
      <c r="FT153" s="34">
        <f>IF(AND(ISNUMBER(FU153),ISNUMBER(FS153)),FU153-FS153,"")</f>
        <v>0</v>
      </c>
      <c r="FU153" s="33"/>
      <c r="FV153" s="34">
        <f>IF(AND(ISNUMBER(FW153),ISNUMBER(FU153)),FW153-FU153,"")</f>
        <v>0</v>
      </c>
      <c r="FW153" s="33"/>
      <c r="FX153" s="34">
        <f>IF(AND(ISNUMBER(FY153),ISNUMBER(FW153)),FY153-FW153,"")</f>
        <v>0</v>
      </c>
      <c r="FY153" s="33"/>
      <c r="FZ153" s="34">
        <f>IF(AND(ISNUMBER(GA153),ISNUMBER(FY153)),GA153-FY153,"")</f>
        <v>0</v>
      </c>
      <c r="GA153" s="33"/>
      <c r="GB153" s="34">
        <f>IF(AND(ISNUMBER(GC153),ISNUMBER(GA153)),GC153-GA153,"")</f>
        <v>0</v>
      </c>
      <c r="GC153" s="33"/>
      <c r="GD153" s="34">
        <f>IF(AND(ISNUMBER(GE153),ISNUMBER(GC153)),GE153-GC153,"")</f>
        <v>0</v>
      </c>
      <c r="GE153" s="33"/>
      <c r="GF153" s="34">
        <f>IF(AND(ISNUMBER(GG153),ISNUMBER(GE153)),GG153-GE153,"")</f>
        <v>0</v>
      </c>
      <c r="GG153" s="33"/>
      <c r="GH153" s="34">
        <f>IF(AND(ISNUMBER(GI153),ISNUMBER(GG153)),GI153-GG153,"")</f>
        <v>0</v>
      </c>
      <c r="GI153" s="33"/>
      <c r="GJ153" s="34">
        <f>IF(AND(ISNUMBER(GK153),ISNUMBER(GI153)),GK153-GI153,"")</f>
        <v>0</v>
      </c>
      <c r="GK153" s="33"/>
      <c r="GL153" s="34">
        <f>IF(AND(ISNUMBER(GM153),ISNUMBER(GK153)),GM153-GK153,"")</f>
        <v>0</v>
      </c>
      <c r="GM153" s="33"/>
      <c r="GN153" s="34">
        <f>IF(AND(ISNUMBER(GO153),ISNUMBER(GM153)),GO153-GM153,"")</f>
        <v>0</v>
      </c>
      <c r="GO153" s="33"/>
      <c r="GP153" s="34">
        <f>IF(AND(ISNUMBER(GQ153),ISNUMBER(GO153)),GQ153-GO153,"")</f>
        <v>0</v>
      </c>
      <c r="GQ153" s="33"/>
      <c r="GR153" s="34">
        <f>IF(AND(ISNUMBER(GS153),ISNUMBER(GQ153)),GS153-GQ153,"")</f>
        <v>0</v>
      </c>
      <c r="GS153" s="33"/>
      <c r="GT153" s="34">
        <f>IF(AND(ISNUMBER(GU153),ISNUMBER(GS153)),GU153-GS153,"")</f>
        <v>0</v>
      </c>
      <c r="GU153" s="33"/>
      <c r="GV153" s="34">
        <f>IF(AND(ISNUMBER(GW153),ISNUMBER(GU153)),GW153-GU153,"")</f>
        <v>0</v>
      </c>
      <c r="GW153" s="33"/>
      <c r="GX153" s="34">
        <f>IF(AND(ISNUMBER(GY153),ISNUMBER(GW153)),GY153-GW153,"")</f>
        <v>0</v>
      </c>
      <c r="GY153" s="33"/>
      <c r="GZ153" s="34">
        <f>IF(AND(ISNUMBER(HA153),ISNUMBER(GY153)),HA153-GY153,"")</f>
        <v>0</v>
      </c>
      <c r="HA153" s="33"/>
      <c r="HB153" s="34">
        <f>IF(AND(ISNUMBER(HC153),ISNUMBER(HA153)),HC153-HA153,"")</f>
        <v>0</v>
      </c>
      <c r="HC153" s="33"/>
      <c r="HD153" s="34">
        <f>IF(AND(ISNUMBER(HE153),ISNUMBER(HC153)),HE153-HC153,"")</f>
        <v>0</v>
      </c>
      <c r="HE153" s="33"/>
      <c r="HF153" s="34">
        <f>IF(AND(ISNUMBER(HG153),ISNUMBER(HE153)),HG153-HE153,"")</f>
        <v>0</v>
      </c>
      <c r="HG153" s="33"/>
      <c r="HH153" s="34">
        <f>IF(AND(ISNUMBER(HI153),ISNUMBER(HG153)),HI153-HG153,"")</f>
        <v>0</v>
      </c>
      <c r="HI153" s="33"/>
      <c r="HJ153" s="34">
        <f>IF(AND(ISNUMBER(HK153),ISNUMBER(HI153)),HK153-HI153,"")</f>
        <v>0</v>
      </c>
      <c r="HK153" s="33"/>
      <c r="HL153" s="34">
        <f>IF(AND(ISNUMBER(HM153),ISNUMBER(HK153)),HM153-HK153,"")</f>
        <v>0</v>
      </c>
      <c r="HM153" s="33"/>
      <c r="HN153" s="34">
        <f>IF(AND(ISNUMBER(HO153),ISNUMBER(HM153)),HO153-HM153,"")</f>
        <v>0</v>
      </c>
      <c r="HO153" s="33"/>
      <c r="HP153" s="34">
        <f>IF(AND(ISNUMBER(HQ153),ISNUMBER(HO153)),HQ153-HO153,"")</f>
        <v>0</v>
      </c>
      <c r="HQ153" s="33"/>
      <c r="HR153" s="34">
        <f>IF(AND(ISNUMBER(HS153),ISNUMBER(HQ153)),HS153-HQ153,"")</f>
        <v>0</v>
      </c>
      <c r="HS153" s="33"/>
      <c r="HT153" s="34">
        <f>IF(AND(ISNUMBER(HU153),ISNUMBER(HS153)),HU153-HS153,"")</f>
        <v>0</v>
      </c>
      <c r="HU153" s="33"/>
      <c r="HV153" s="34">
        <f>IF(AND(ISNUMBER(HW153),ISNUMBER(HU153)),HW153-HU153,"")</f>
        <v>0</v>
      </c>
      <c r="HW153" s="33"/>
      <c r="HX153" s="34">
        <f>IF(AND(ISNUMBER(HY153),ISNUMBER(HW153)),HY153-HW153,"")</f>
        <v>0</v>
      </c>
      <c r="HY153" s="33"/>
      <c r="HZ153" s="34">
        <f>IF(AND(ISNUMBER(IA153),ISNUMBER(HY153)),IA153-HY153,"")</f>
        <v>0</v>
      </c>
      <c r="IA153" s="33"/>
      <c r="IB153" s="34">
        <f>IF(AND(ISNUMBER(IC153),ISNUMBER(IA153)),IC153-IA153,"")</f>
        <v>0</v>
      </c>
      <c r="IC153" s="33"/>
      <c r="ID153" s="34">
        <f>IF(AND(ISNUMBER(IE153),ISNUMBER(IC153)),IE153-IC153,"")</f>
        <v>0</v>
      </c>
      <c r="IE153" s="33"/>
      <c r="IF153" s="34">
        <f>IF(AND(ISNUMBER(IG153),ISNUMBER(IE153)),IG153-IE153,"")</f>
        <v>0</v>
      </c>
      <c r="IG153" s="33"/>
      <c r="IH153" s="34">
        <f>IF(AND(ISNUMBER(II153),ISNUMBER(IG153)),II153-IG153,"")</f>
        <v>0</v>
      </c>
      <c r="II153" s="33"/>
      <c r="IJ153" s="34">
        <f>IF(AND(ISNUMBER(IK153),ISNUMBER(II153)),IK153-II153,"")</f>
        <v>0</v>
      </c>
      <c r="IK153" s="33"/>
      <c r="IL153" s="34">
        <f>IF(AND(ISNUMBER(IM153),ISNUMBER(IK153)),IM153-IK153,"")</f>
        <v>0</v>
      </c>
      <c r="IM153" s="33"/>
      <c r="IN153" s="34">
        <f>IF(AND(ISNUMBER(IO153),ISNUMBER(IM153)),IO153-IM153,"")</f>
        <v>0</v>
      </c>
      <c r="IO153" s="33"/>
      <c r="IP153" s="34">
        <f>IF(AND(ISNUMBER(IQ153),ISNUMBER(IO153)),IQ153-IO153,"")</f>
        <v>0</v>
      </c>
      <c r="IQ153" s="33"/>
      <c r="IR153" s="34">
        <f>IF(AND(ISNUMBER(IS153),ISNUMBER(IQ153)),IS153-IQ153,"")</f>
        <v>0</v>
      </c>
      <c r="IS153" s="33"/>
      <c r="IT153" s="34">
        <f>IF(AND(ISNUMBER(IU153),ISNUMBER(IS153)),IU153-IS153,"")</f>
        <v>0</v>
      </c>
      <c r="IU153" s="33"/>
      <c r="IV153" s="34">
        <f>IF(AND(ISNUMBER(IW153),ISNUMBER(IU153)),IW153-IU153,"")</f>
        <v>0</v>
      </c>
      <c r="IW153" s="33"/>
      <c r="IX153" s="34">
        <f>IF(AND(ISNUMBER(IY153),ISNUMBER(IW153)),IY153-IW153,"")</f>
        <v>0</v>
      </c>
      <c r="IY153" s="33"/>
      <c r="IZ153" s="34">
        <f>IF(AND(ISNUMBER(JA153),ISNUMBER(IY153)),JA153-IY153,"")</f>
        <v>0</v>
      </c>
      <c r="JA153" s="33"/>
      <c r="JB153" s="34">
        <f>IF(AND(ISNUMBER(JC153),ISNUMBER(JA153)),JC153-JA153,"")</f>
        <v>0</v>
      </c>
      <c r="JC153" s="33"/>
      <c r="JD153" s="34">
        <f>IF(AND(ISNUMBER(JE153),ISNUMBER(JC153)),JE153-JC153,"")</f>
        <v>0</v>
      </c>
      <c r="JE153" s="33"/>
      <c r="JF153" s="34">
        <f>IF(AND(ISNUMBER(JG153),ISNUMBER(JE153)),JG153-JE153,"")</f>
        <v>0</v>
      </c>
      <c r="JG153" s="33"/>
      <c r="JH153" s="34">
        <f>IF(AND(ISNUMBER(JI153),ISNUMBER(JG153)),JI153-JG153,"")</f>
        <v>0</v>
      </c>
      <c r="JI153" s="33"/>
      <c r="JJ153" s="34">
        <f>IF(AND(ISNUMBER(JK153),ISNUMBER(JI153)),JK153-JI153,"")</f>
        <v>0</v>
      </c>
      <c r="JK153" s="33"/>
      <c r="JL153" s="34">
        <f>IF(AND(ISNUMBER(JM153),ISNUMBER(JK153)),JM153-JK153,"")</f>
        <v>0</v>
      </c>
      <c r="JM153" s="33"/>
      <c r="JN153" s="34">
        <f>IF(AND(ISNUMBER(JO153),ISNUMBER(JM153)),JO153-JM153,"")</f>
        <v>0</v>
      </c>
      <c r="JO153" s="33"/>
      <c r="JP153" s="34">
        <f>IF(AND(ISNUMBER(JQ153),ISNUMBER(JO153)),JQ153-JO153,"")</f>
        <v>0</v>
      </c>
      <c r="JQ153" s="33"/>
      <c r="JR153" s="34">
        <f>IF(AND(ISNUMBER(JS153),ISNUMBER(JQ153)),JS153-JQ153,"")</f>
        <v>0</v>
      </c>
      <c r="JS153" s="33"/>
      <c r="JT153" s="34">
        <f>IF(AND(ISNUMBER(JU153),ISNUMBER(JS153)),JU153-JS153,"")</f>
        <v>0</v>
      </c>
      <c r="JU153" s="33"/>
      <c r="JV153" s="34">
        <f>IF(AND(ISNUMBER(JW153),ISNUMBER(JU153)),JW153-JU153,"")</f>
        <v>0</v>
      </c>
      <c r="JW153" s="33"/>
      <c r="JX153" s="34">
        <f>IF(AND(ISNUMBER(JY153),ISNUMBER(JW153)),JY153-JW153,"")</f>
        <v>0</v>
      </c>
      <c r="JY153" s="33"/>
      <c r="JZ153" s="34">
        <f>IF(AND(ISNUMBER(KA153),ISNUMBER(JY153)),KA153-JY153,"")</f>
        <v>0</v>
      </c>
      <c r="KA153" s="33"/>
      <c r="KB153" s="34">
        <f>IF(AND(ISNUMBER(KC153),ISNUMBER(KA153)),KC153-KA153,"")</f>
        <v>0</v>
      </c>
      <c r="KC153" s="33"/>
      <c r="KD153" s="34">
        <f>IF(AND(ISNUMBER(KE153),ISNUMBER(KC153)),KE153-KC153,"")</f>
        <v>0</v>
      </c>
      <c r="KE153" s="33"/>
      <c r="KF153" s="34">
        <f>IF(AND(ISNUMBER(KG153),ISNUMBER(KE153)),KG153-KE153,"")</f>
        <v>0</v>
      </c>
      <c r="KG153" s="33"/>
      <c r="KH153" s="34">
        <f>IF(AND(ISNUMBER(KI153),ISNUMBER(KG153)),KI153-KG153,"")</f>
        <v>0</v>
      </c>
      <c r="KI153" s="33"/>
      <c r="KJ153" s="34">
        <f>IF(AND(ISNUMBER(KK153),ISNUMBER(KI153)),KK153-KI153,"")</f>
        <v>0</v>
      </c>
      <c r="KK153" s="33"/>
      <c r="KL153" s="34">
        <f>IF(AND(ISNUMBER(KM153),ISNUMBER(KK153)),KM153-KK153,"")</f>
        <v>0</v>
      </c>
      <c r="KM153" s="33"/>
      <c r="KN153" s="34">
        <f>IF(AND(ISNUMBER(KO153),ISNUMBER(KM153)),KO153-KM153,"")</f>
        <v>0</v>
      </c>
      <c r="KO153" s="33"/>
      <c r="KP153" s="34">
        <f>IF(AND(ISNUMBER(KQ153),ISNUMBER(KO153)),KQ153-KO153,"")</f>
        <v>0</v>
      </c>
      <c r="KQ153" s="33"/>
      <c r="KR153" s="34">
        <f>IF(AND(ISNUMBER(KS153),ISNUMBER(KQ153)),KS153-KQ153,"")</f>
        <v>0</v>
      </c>
      <c r="KS153" s="33"/>
      <c r="KT153" s="34">
        <f>IF(AND(ISNUMBER(KU153),ISNUMBER(KS153)),KU153-KS153,"")</f>
        <v>0</v>
      </c>
      <c r="KU153" s="33"/>
      <c r="KV153" s="34">
        <f>IF(AND(ISNUMBER(KW153),ISNUMBER(KU153)),KW153-KU153,"")</f>
        <v>0</v>
      </c>
      <c r="KW153" s="33"/>
      <c r="KX153" s="34">
        <f>IF(AND(ISNUMBER(KY153),ISNUMBER(KW153)),KY153-KW153,"")</f>
        <v>0</v>
      </c>
      <c r="KY153" s="33"/>
      <c r="KZ153" s="34">
        <f>IF(AND(ISNUMBER(LA153),ISNUMBER(KY153)),LA153-KY153,"")</f>
        <v>0</v>
      </c>
      <c r="LA153" s="33"/>
      <c r="LB153" s="34">
        <f>IF(AND(ISNUMBER(LC153),ISNUMBER(LA153)),LC153-LA153,"")</f>
        <v>0</v>
      </c>
      <c r="LC153" s="33"/>
      <c r="LD153" s="34">
        <f>IF(AND(ISNUMBER(LE153),ISNUMBER(LC153)),LE153-LC153,"")</f>
        <v>0</v>
      </c>
      <c r="LE153" s="33"/>
      <c r="LF153" s="34">
        <f>IF(AND(ISNUMBER(LG153),ISNUMBER(LE153)),LG153-LE153,"")</f>
        <v>0</v>
      </c>
      <c r="LG153" s="33"/>
    </row>
    <row r="154" spans="1:322" hidden="1" outlineLevel="1">
      <c r="A154" s="36" t="s">
        <v>963</v>
      </c>
      <c r="B154" s="23"/>
      <c r="C154" s="31" t="s">
        <v>961</v>
      </c>
      <c r="E154" s="32" t="s">
        <v>1154</v>
      </c>
      <c r="I154" s="33"/>
      <c r="J154" s="34">
        <f>IF(AND(ISNUMBER(K154),ISNUMBER(I154)),K154-I154,"")</f>
        <v>0</v>
      </c>
      <c r="K154" s="33"/>
      <c r="L154" s="34">
        <f>IF(AND(ISNUMBER(M154),ISNUMBER(K154)),M154-K154,"")</f>
        <v>0</v>
      </c>
      <c r="M154" s="33"/>
      <c r="N154" s="34">
        <f>IF(AND(ISNUMBER(O154),ISNUMBER(M154)),O154-M154,"")</f>
        <v>0</v>
      </c>
      <c r="O154" s="33"/>
      <c r="P154" s="34">
        <f>IF(AND(ISNUMBER(Q154),ISNUMBER(O154)),Q154-O154,"")</f>
        <v>0</v>
      </c>
      <c r="Q154" s="33"/>
      <c r="R154" s="34">
        <f>IF(AND(ISNUMBER(S154),ISNUMBER(Q154)),S154-Q154,"")</f>
        <v>0</v>
      </c>
      <c r="S154" s="33"/>
      <c r="T154" s="34">
        <f>IF(AND(ISNUMBER(U154),ISNUMBER(S154)),U154-S154,"")</f>
        <v>0</v>
      </c>
      <c r="U154" s="33"/>
      <c r="V154" s="34">
        <f>IF(AND(ISNUMBER(W154),ISNUMBER(U154)),W154-U154,"")</f>
        <v>0</v>
      </c>
      <c r="W154" s="33"/>
      <c r="X154" s="34">
        <f>IF(AND(ISNUMBER(Y154),ISNUMBER(W154)),Y154-W154,"")</f>
        <v>0</v>
      </c>
      <c r="Y154" s="33"/>
      <c r="Z154" s="34">
        <f>IF(AND(ISNUMBER(AA154),ISNUMBER(Y154)),AA154-Y154,"")</f>
        <v>0</v>
      </c>
      <c r="AA154" s="33"/>
      <c r="AB154" s="34">
        <f>IF(AND(ISNUMBER(AC154),ISNUMBER(AA154)),AC154-AA154,"")</f>
        <v>0</v>
      </c>
      <c r="AC154" s="33"/>
      <c r="AD154" s="34">
        <f>IF(AND(ISNUMBER(AE154),ISNUMBER(AC154)),AE154-AC154,"")</f>
        <v>0</v>
      </c>
      <c r="AE154" s="33"/>
      <c r="AF154" s="34">
        <f>IF(AND(ISNUMBER(AG154),ISNUMBER(AE154)),AG154-AE154,"")</f>
        <v>0</v>
      </c>
      <c r="AG154" s="33"/>
      <c r="AH154" s="34">
        <f>IF(AND(ISNUMBER(AI154),ISNUMBER(AG154)),AI154-AG154,"")</f>
        <v>0</v>
      </c>
      <c r="AI154" s="33"/>
      <c r="AJ154" s="34">
        <f>IF(AND(ISNUMBER(AK154),ISNUMBER(AI154)),AK154-AI154,"")</f>
        <v>0</v>
      </c>
      <c r="AK154" s="33"/>
      <c r="AL154" s="34">
        <f>IF(AND(ISNUMBER(AM154),ISNUMBER(AK154)),AM154-AK154,"")</f>
        <v>0</v>
      </c>
      <c r="AM154" s="33"/>
      <c r="AN154" s="34">
        <f>IF(AND(ISNUMBER(AO154),ISNUMBER(AM154)),AO154-AM154,"")</f>
        <v>0</v>
      </c>
      <c r="AO154" s="33"/>
      <c r="AP154" s="34">
        <f>IF(AND(ISNUMBER(AQ154),ISNUMBER(AO154)),AQ154-AO154,"")</f>
        <v>0</v>
      </c>
      <c r="AQ154" s="33"/>
      <c r="AR154" s="34">
        <f>IF(AND(ISNUMBER(AS154),ISNUMBER(AQ154)),AS154-AQ154,"")</f>
        <v>0</v>
      </c>
      <c r="AS154" s="33"/>
      <c r="AT154" s="34">
        <f>IF(AND(ISNUMBER(AU154),ISNUMBER(AS154)),AU154-AS154,"")</f>
        <v>0</v>
      </c>
      <c r="AU154" s="33"/>
      <c r="AV154" s="34">
        <f>IF(AND(ISNUMBER(AW154),ISNUMBER(AU154)),AW154-AU154,"")</f>
        <v>0</v>
      </c>
      <c r="AW154" s="33"/>
      <c r="AX154" s="34">
        <f>IF(AND(ISNUMBER(AY154),ISNUMBER(AW154)),AY154-AW154,"")</f>
        <v>0</v>
      </c>
      <c r="AY154" s="33"/>
      <c r="AZ154" s="34">
        <f>IF(AND(ISNUMBER(BA154),ISNUMBER(AY154)),BA154-AY154,"")</f>
        <v>0</v>
      </c>
      <c r="BA154" s="33"/>
      <c r="BB154" s="34">
        <f>IF(AND(ISNUMBER(BC154),ISNUMBER(BA154)),BC154-BA154,"")</f>
        <v>0</v>
      </c>
      <c r="BC154" s="33"/>
      <c r="BD154" s="34">
        <f>IF(AND(ISNUMBER(BE154),ISNUMBER(BC154)),BE154-BC154,"")</f>
        <v>0</v>
      </c>
      <c r="BE154" s="33"/>
      <c r="BF154" s="34">
        <f>IF(AND(ISNUMBER(BG154),ISNUMBER(BE154)),BG154-BE154,"")</f>
        <v>0</v>
      </c>
      <c r="BG154" s="33"/>
      <c r="BH154" s="34">
        <f>IF(AND(ISNUMBER(BI154),ISNUMBER(BG154)),BI154-BG154,"")</f>
        <v>0</v>
      </c>
      <c r="BI154" s="33"/>
      <c r="BJ154" s="34">
        <f>IF(AND(ISNUMBER(BK154),ISNUMBER(BI154)),BK154-BI154,"")</f>
        <v>0</v>
      </c>
      <c r="BK154" s="33"/>
      <c r="BL154" s="34">
        <f>IF(AND(ISNUMBER(BM154),ISNUMBER(BK154)),BM154-BK154,"")</f>
        <v>0</v>
      </c>
      <c r="BM154" s="33"/>
      <c r="BN154" s="34">
        <f>IF(AND(ISNUMBER(BO154),ISNUMBER(BM154)),BO154-BM154,"")</f>
        <v>0</v>
      </c>
      <c r="BO154" s="33"/>
      <c r="BP154" s="34">
        <f>IF(AND(ISNUMBER(BQ154),ISNUMBER(BO154)),BQ154-BO154,"")</f>
        <v>0</v>
      </c>
      <c r="BQ154" s="33"/>
      <c r="BR154" s="34">
        <f>IF(AND(ISNUMBER(BS154),ISNUMBER(BQ154)),BS154-BQ154,"")</f>
        <v>0</v>
      </c>
      <c r="BS154" s="33"/>
      <c r="BT154" s="34">
        <f>IF(AND(ISNUMBER(BU154),ISNUMBER(BS154)),BU154-BS154,"")</f>
        <v>0</v>
      </c>
      <c r="BU154" s="33"/>
      <c r="BV154" s="34">
        <f>IF(AND(ISNUMBER(BW154),ISNUMBER(BU154)),BW154-BU154,"")</f>
        <v>0</v>
      </c>
      <c r="BW154" s="33"/>
      <c r="BX154" s="34">
        <f>IF(AND(ISNUMBER(BY154),ISNUMBER(BW154)),BY154-BW154,"")</f>
        <v>0</v>
      </c>
      <c r="BY154" s="33"/>
      <c r="BZ154" s="34">
        <f>IF(AND(ISNUMBER(CA154),ISNUMBER(BY154)),CA154-BY154,"")</f>
        <v>0</v>
      </c>
      <c r="CA154" s="33"/>
      <c r="CB154" s="34">
        <f>IF(AND(ISNUMBER(CC154),ISNUMBER(CA154)),CC154-CA154,"")</f>
        <v>0</v>
      </c>
      <c r="CC154" s="33"/>
      <c r="CD154" s="34">
        <f>IF(AND(ISNUMBER(CE154),ISNUMBER(CC154)),CE154-CC154,"")</f>
        <v>0</v>
      </c>
      <c r="CE154" s="33"/>
      <c r="CF154" s="34">
        <f>IF(AND(ISNUMBER(CG154),ISNUMBER(CE154)),CG154-CE154,"")</f>
        <v>0</v>
      </c>
      <c r="CG154" s="33"/>
      <c r="CH154" s="34">
        <f>IF(AND(ISNUMBER(CI154),ISNUMBER(CG154)),CI154-CG154,"")</f>
        <v>0</v>
      </c>
      <c r="CI154" s="33"/>
      <c r="CJ154" s="34">
        <f>IF(AND(ISNUMBER(CK154),ISNUMBER(CI154)),CK154-CI154,"")</f>
        <v>0</v>
      </c>
      <c r="CK154" s="33"/>
      <c r="CL154" s="34">
        <f>IF(AND(ISNUMBER(CM154),ISNUMBER(CK154)),CM154-CK154,"")</f>
        <v>0</v>
      </c>
      <c r="CM154" s="33"/>
      <c r="CN154" s="34">
        <f>IF(AND(ISNUMBER(CO154),ISNUMBER(CM154)),CO154-CM154,"")</f>
        <v>0</v>
      </c>
      <c r="CO154" s="33"/>
      <c r="CP154" s="34">
        <f>IF(AND(ISNUMBER(CQ154),ISNUMBER(CO154)),CQ154-CO154,"")</f>
        <v>0</v>
      </c>
      <c r="CQ154" s="33"/>
      <c r="CR154" s="34">
        <f>IF(AND(ISNUMBER(CS154),ISNUMBER(CQ154)),CS154-CQ154,"")</f>
        <v>0</v>
      </c>
      <c r="CS154" s="33"/>
      <c r="CT154" s="34">
        <f>IF(AND(ISNUMBER(CU154),ISNUMBER(CS154)),CU154-CS154,"")</f>
        <v>0</v>
      </c>
      <c r="CU154" s="33"/>
      <c r="CV154" s="34">
        <f>IF(AND(ISNUMBER(CW154),ISNUMBER(CU154)),CW154-CU154,"")</f>
        <v>0</v>
      </c>
      <c r="CW154" s="33"/>
      <c r="CX154" s="34">
        <f>IF(AND(ISNUMBER(CY154),ISNUMBER(CW154)),CY154-CW154,"")</f>
        <v>0</v>
      </c>
      <c r="CY154" s="33"/>
      <c r="CZ154" s="34">
        <f>IF(AND(ISNUMBER(DA154),ISNUMBER(CY154)),DA154-CY154,"")</f>
        <v>0</v>
      </c>
      <c r="DA154" s="33"/>
      <c r="DB154" s="34">
        <f>IF(AND(ISNUMBER(DC154),ISNUMBER(DA154)),DC154-DA154,"")</f>
        <v>0</v>
      </c>
      <c r="DC154" s="33"/>
      <c r="DD154" s="34">
        <f>IF(AND(ISNUMBER(DE154),ISNUMBER(DC154)),DE154-DC154,"")</f>
        <v>0</v>
      </c>
      <c r="DE154" s="33"/>
      <c r="DF154" s="34">
        <f>IF(AND(ISNUMBER(DG154),ISNUMBER(DE154)),DG154-DE154,"")</f>
        <v>0</v>
      </c>
      <c r="DG154" s="33"/>
      <c r="DH154" s="34">
        <f>IF(AND(ISNUMBER(DI154),ISNUMBER(DG154)),DI154-DG154,"")</f>
        <v>0</v>
      </c>
      <c r="DI154" s="33"/>
      <c r="DJ154" s="34">
        <f>IF(AND(ISNUMBER(DK154),ISNUMBER(DI154)),DK154-DI154,"")</f>
        <v>0</v>
      </c>
      <c r="DK154" s="33"/>
      <c r="DL154" s="34">
        <f>IF(AND(ISNUMBER(DM154),ISNUMBER(DK154)),DM154-DK154,"")</f>
        <v>0</v>
      </c>
      <c r="DM154" s="33"/>
      <c r="DN154" s="34">
        <f>IF(AND(ISNUMBER(DO154),ISNUMBER(DM154)),DO154-DM154,"")</f>
        <v>0</v>
      </c>
      <c r="DO154" s="33"/>
      <c r="DP154" s="34">
        <f>IF(AND(ISNUMBER(DQ154),ISNUMBER(DO154)),DQ154-DO154,"")</f>
        <v>0</v>
      </c>
      <c r="DQ154" s="33"/>
      <c r="DR154" s="34">
        <f>IF(AND(ISNUMBER(DS154),ISNUMBER(DQ154)),DS154-DQ154,"")</f>
        <v>0</v>
      </c>
      <c r="DS154" s="33"/>
      <c r="DT154" s="34">
        <f>IF(AND(ISNUMBER(DU154),ISNUMBER(DS154)),DU154-DS154,"")</f>
        <v>0</v>
      </c>
      <c r="DU154" s="33"/>
      <c r="DV154" s="34">
        <f>IF(AND(ISNUMBER(DW154),ISNUMBER(DU154)),DW154-DU154,"")</f>
        <v>0</v>
      </c>
      <c r="DW154" s="33"/>
      <c r="DX154" s="34">
        <f>IF(AND(ISNUMBER(DY154),ISNUMBER(DW154)),DY154-DW154,"")</f>
        <v>0</v>
      </c>
      <c r="DY154" s="33"/>
      <c r="DZ154" s="34">
        <f>IF(AND(ISNUMBER(EA154),ISNUMBER(DY154)),EA154-DY154,"")</f>
        <v>0</v>
      </c>
      <c r="EA154" s="33"/>
      <c r="EB154" s="34">
        <f>IF(AND(ISNUMBER(EC154),ISNUMBER(EA154)),EC154-EA154,"")</f>
        <v>0</v>
      </c>
      <c r="EC154" s="33"/>
      <c r="ED154" s="34">
        <f>IF(AND(ISNUMBER(EE154),ISNUMBER(EC154)),EE154-EC154,"")</f>
        <v>0</v>
      </c>
      <c r="EE154" s="33"/>
      <c r="EF154" s="34">
        <f>IF(AND(ISNUMBER(EG154),ISNUMBER(EE154)),EG154-EE154,"")</f>
        <v>0</v>
      </c>
      <c r="EG154" s="33"/>
      <c r="EH154" s="34">
        <f>IF(AND(ISNUMBER(EI154),ISNUMBER(EG154)),EI154-EG154,"")</f>
        <v>0</v>
      </c>
      <c r="EI154" s="33"/>
      <c r="EJ154" s="34">
        <f>IF(AND(ISNUMBER(EK154),ISNUMBER(EI154)),EK154-EI154,"")</f>
        <v>0</v>
      </c>
      <c r="EK154" s="33"/>
      <c r="EL154" s="34">
        <f>IF(AND(ISNUMBER(EM154),ISNUMBER(EK154)),EM154-EK154,"")</f>
        <v>0</v>
      </c>
      <c r="EM154" s="33"/>
      <c r="EN154" s="34">
        <f>IF(AND(ISNUMBER(EO154),ISNUMBER(EM154)),EO154-EM154,"")</f>
        <v>0</v>
      </c>
      <c r="EO154" s="33"/>
      <c r="EP154" s="34">
        <f>IF(AND(ISNUMBER(EQ154),ISNUMBER(EO154)),EQ154-EO154,"")</f>
        <v>0</v>
      </c>
      <c r="EQ154" s="33"/>
      <c r="ER154" s="34">
        <f>IF(AND(ISNUMBER(ES154),ISNUMBER(EQ154)),ES154-EQ154,"")</f>
        <v>0</v>
      </c>
      <c r="ES154" s="33"/>
      <c r="ET154" s="34">
        <f>IF(AND(ISNUMBER(EU154),ISNUMBER(ES154)),EU154-ES154,"")</f>
        <v>0</v>
      </c>
      <c r="EU154" s="33"/>
      <c r="EV154" s="34">
        <f>IF(AND(ISNUMBER(EW154),ISNUMBER(EU154)),EW154-EU154,"")</f>
        <v>0</v>
      </c>
      <c r="EW154" s="33"/>
      <c r="EX154" s="34">
        <f>IF(AND(ISNUMBER(EY154),ISNUMBER(EW154)),EY154-EW154,"")</f>
        <v>0</v>
      </c>
      <c r="EY154" s="33"/>
      <c r="EZ154" s="34">
        <f>IF(AND(ISNUMBER(FA154),ISNUMBER(EY154)),FA154-EY154,"")</f>
        <v>0</v>
      </c>
      <c r="FA154" s="33"/>
      <c r="FB154" s="34">
        <f>IF(AND(ISNUMBER(FC154),ISNUMBER(FA154)),FC154-FA154,"")</f>
        <v>0</v>
      </c>
      <c r="FC154" s="33"/>
      <c r="FD154" s="34">
        <f>IF(AND(ISNUMBER(FE154),ISNUMBER(FC154)),FE154-FC154,"")</f>
        <v>0</v>
      </c>
      <c r="FE154" s="33"/>
      <c r="FF154" s="34">
        <f>IF(AND(ISNUMBER(FG154),ISNUMBER(FE154)),FG154-FE154,"")</f>
        <v>0</v>
      </c>
      <c r="FG154" s="33"/>
      <c r="FH154" s="34">
        <f>IF(AND(ISNUMBER(FI154),ISNUMBER(FG154)),FI154-FG154,"")</f>
        <v>0</v>
      </c>
      <c r="FI154" s="33"/>
      <c r="FJ154" s="34">
        <f>IF(AND(ISNUMBER(FK154),ISNUMBER(FI154)),FK154-FI154,"")</f>
        <v>0</v>
      </c>
      <c r="FK154" s="33"/>
      <c r="FL154" s="34">
        <f>IF(AND(ISNUMBER(FM154),ISNUMBER(FK154)),FM154-FK154,"")</f>
        <v>0</v>
      </c>
      <c r="FM154" s="33"/>
      <c r="FN154" s="34">
        <f>IF(AND(ISNUMBER(FO154),ISNUMBER(FM154)),FO154-FM154,"")</f>
        <v>0</v>
      </c>
      <c r="FO154" s="33"/>
      <c r="FP154" s="34">
        <f>IF(AND(ISNUMBER(FQ154),ISNUMBER(FO154)),FQ154-FO154,"")</f>
        <v>0</v>
      </c>
      <c r="FQ154" s="33"/>
      <c r="FR154" s="34">
        <f>IF(AND(ISNUMBER(FS154),ISNUMBER(FQ154)),FS154-FQ154,"")</f>
        <v>0</v>
      </c>
      <c r="FS154" s="33"/>
      <c r="FT154" s="34">
        <f>IF(AND(ISNUMBER(FU154),ISNUMBER(FS154)),FU154-FS154,"")</f>
        <v>0</v>
      </c>
      <c r="FU154" s="33"/>
      <c r="FV154" s="34">
        <f>IF(AND(ISNUMBER(FW154),ISNUMBER(FU154)),FW154-FU154,"")</f>
        <v>0</v>
      </c>
      <c r="FW154" s="33"/>
      <c r="FX154" s="34">
        <f>IF(AND(ISNUMBER(FY154),ISNUMBER(FW154)),FY154-FW154,"")</f>
        <v>0</v>
      </c>
      <c r="FY154" s="33"/>
      <c r="FZ154" s="34">
        <f>IF(AND(ISNUMBER(GA154),ISNUMBER(FY154)),GA154-FY154,"")</f>
        <v>0</v>
      </c>
      <c r="GA154" s="33"/>
      <c r="GB154" s="34">
        <f>IF(AND(ISNUMBER(GC154),ISNUMBER(GA154)),GC154-GA154,"")</f>
        <v>0</v>
      </c>
      <c r="GC154" s="33"/>
      <c r="GD154" s="34">
        <f>IF(AND(ISNUMBER(GE154),ISNUMBER(GC154)),GE154-GC154,"")</f>
        <v>0</v>
      </c>
      <c r="GE154" s="33"/>
      <c r="GF154" s="34">
        <f>IF(AND(ISNUMBER(GG154),ISNUMBER(GE154)),GG154-GE154,"")</f>
        <v>0</v>
      </c>
      <c r="GG154" s="33"/>
      <c r="GH154" s="34">
        <f>IF(AND(ISNUMBER(GI154),ISNUMBER(GG154)),GI154-GG154,"")</f>
        <v>0</v>
      </c>
      <c r="GI154" s="33"/>
      <c r="GJ154" s="34">
        <f>IF(AND(ISNUMBER(GK154),ISNUMBER(GI154)),GK154-GI154,"")</f>
        <v>0</v>
      </c>
      <c r="GK154" s="33"/>
      <c r="GL154" s="34">
        <f>IF(AND(ISNUMBER(GM154),ISNUMBER(GK154)),GM154-GK154,"")</f>
        <v>0</v>
      </c>
      <c r="GM154" s="33"/>
      <c r="GN154" s="34">
        <f>IF(AND(ISNUMBER(GO154),ISNUMBER(GM154)),GO154-GM154,"")</f>
        <v>0</v>
      </c>
      <c r="GO154" s="33"/>
      <c r="GP154" s="34">
        <f>IF(AND(ISNUMBER(GQ154),ISNUMBER(GO154)),GQ154-GO154,"")</f>
        <v>0</v>
      </c>
      <c r="GQ154" s="33">
        <v>23</v>
      </c>
      <c r="GR154" s="34">
        <f>IF(AND(ISNUMBER(GS154),ISNUMBER(GQ154)),GS154-GQ154,"")</f>
        <v>0</v>
      </c>
      <c r="GS154" s="33">
        <v>21</v>
      </c>
      <c r="GT154" s="34">
        <f>IF(AND(ISNUMBER(GU154),ISNUMBER(GS154)),GU154-GS154,"")</f>
        <v>0</v>
      </c>
      <c r="GU154" s="33">
        <v>15</v>
      </c>
      <c r="GV154" s="34">
        <f>IF(AND(ISNUMBER(GW154),ISNUMBER(GU154)),GW154-GU154,"")</f>
        <v>0</v>
      </c>
      <c r="GW154" s="33">
        <v>15</v>
      </c>
      <c r="GX154" s="34">
        <f>IF(AND(ISNUMBER(GY154),ISNUMBER(GW154)),GY154-GW154,"")</f>
        <v>0</v>
      </c>
      <c r="GY154" s="33">
        <v>15</v>
      </c>
      <c r="GZ154" s="34">
        <f>IF(AND(ISNUMBER(HA154),ISNUMBER(GY154)),HA154-GY154,"")</f>
        <v>0</v>
      </c>
      <c r="HA154" s="33">
        <v>19</v>
      </c>
      <c r="HB154" s="34">
        <f>IF(AND(ISNUMBER(HC154),ISNUMBER(HA154)),HC154-HA154,"")</f>
        <v>0</v>
      </c>
      <c r="HC154" s="33">
        <v>14</v>
      </c>
      <c r="HD154" s="34">
        <f>IF(AND(ISNUMBER(HE154),ISNUMBER(HC154)),HE154-HC154,"")</f>
        <v>0</v>
      </c>
      <c r="HE154" s="33">
        <v>15</v>
      </c>
      <c r="HF154" s="34">
        <f>IF(AND(ISNUMBER(HG154),ISNUMBER(HE154)),HG154-HE154,"")</f>
        <v>0</v>
      </c>
      <c r="HG154" s="33">
        <v>21</v>
      </c>
      <c r="HH154" s="34">
        <f>IF(AND(ISNUMBER(HI154),ISNUMBER(HG154)),HI154-HG154,"")</f>
        <v>0</v>
      </c>
      <c r="HI154" s="33">
        <v>26</v>
      </c>
      <c r="HJ154" s="34">
        <f>IF(AND(ISNUMBER(HK154),ISNUMBER(HI154)),HK154-HI154,"")</f>
        <v>0</v>
      </c>
      <c r="HK154" s="33">
        <v>21</v>
      </c>
      <c r="HL154" s="34">
        <f>IF(AND(ISNUMBER(HM154),ISNUMBER(HK154)),HM154-HK154,"")</f>
        <v>0</v>
      </c>
      <c r="HM154" s="33">
        <v>19</v>
      </c>
      <c r="HN154" s="34">
        <f>IF(AND(ISNUMBER(HO154),ISNUMBER(HM154)),HO154-HM154,"")</f>
        <v>0</v>
      </c>
      <c r="HO154" s="33">
        <v>20</v>
      </c>
      <c r="HP154" s="34">
        <f>IF(AND(ISNUMBER(HQ154),ISNUMBER(HO154)),HQ154-HO154,"")</f>
        <v>0</v>
      </c>
      <c r="HQ154" s="33">
        <v>20</v>
      </c>
      <c r="HR154" s="34">
        <f>IF(AND(ISNUMBER(HS154),ISNUMBER(HQ154)),HS154-HQ154,"")</f>
        <v>0</v>
      </c>
      <c r="HS154" s="33">
        <v>24</v>
      </c>
      <c r="HT154" s="34">
        <f>IF(AND(ISNUMBER(HU154),ISNUMBER(HS154)),HU154-HS154,"")</f>
        <v>0</v>
      </c>
      <c r="HU154" s="33">
        <v>16</v>
      </c>
      <c r="HV154" s="34">
        <f>IF(AND(ISNUMBER(HW154),ISNUMBER(HU154)),HW154-HU154,"")</f>
        <v>0</v>
      </c>
      <c r="HW154" s="33">
        <v>22</v>
      </c>
      <c r="HX154" s="34">
        <f>IF(AND(ISNUMBER(HY154),ISNUMBER(HW154)),HY154-HW154,"")</f>
        <v>0</v>
      </c>
      <c r="HY154" s="33">
        <v>21</v>
      </c>
      <c r="HZ154" s="34">
        <f>IF(AND(ISNUMBER(IA154),ISNUMBER(HY154)),IA154-HY154,"")</f>
        <v>0</v>
      </c>
      <c r="IA154" s="33">
        <v>24</v>
      </c>
      <c r="IB154" s="34">
        <f>IF(AND(ISNUMBER(IC154),ISNUMBER(IA154)),IC154-IA154,"")</f>
        <v>0</v>
      </c>
      <c r="IC154" s="33">
        <v>20</v>
      </c>
      <c r="ID154" s="34">
        <f>IF(AND(ISNUMBER(IE154),ISNUMBER(IC154)),IE154-IC154,"")</f>
        <v>0</v>
      </c>
      <c r="IE154" s="33">
        <v>22</v>
      </c>
      <c r="IF154" s="34">
        <f>IF(AND(ISNUMBER(IG154),ISNUMBER(IE154)),IG154-IE154,"")</f>
        <v>0</v>
      </c>
      <c r="IG154" s="33">
        <v>16</v>
      </c>
      <c r="IH154" s="34">
        <f>IF(AND(ISNUMBER(II154),ISNUMBER(IG154)),II154-IG154,"")</f>
        <v>0</v>
      </c>
      <c r="II154" s="33">
        <v>17</v>
      </c>
      <c r="IJ154" s="34">
        <f>IF(AND(ISNUMBER(IK154),ISNUMBER(II154)),IK154-II154,"")</f>
        <v>0</v>
      </c>
      <c r="IK154" s="33">
        <v>21</v>
      </c>
      <c r="IL154" s="34">
        <f>IF(AND(ISNUMBER(IM154),ISNUMBER(IK154)),IM154-IK154,"")</f>
        <v>0</v>
      </c>
      <c r="IM154" s="33">
        <v>18</v>
      </c>
      <c r="IN154" s="34">
        <f>IF(AND(ISNUMBER(IO154),ISNUMBER(IM154)),IO154-IM154,"")</f>
        <v>0</v>
      </c>
      <c r="IO154" s="33">
        <v>23</v>
      </c>
      <c r="IP154" s="34">
        <f>IF(AND(ISNUMBER(IQ154),ISNUMBER(IO154)),IQ154-IO154,"")</f>
        <v>0</v>
      </c>
      <c r="IQ154" s="33">
        <v>24</v>
      </c>
      <c r="IR154" s="34">
        <f>IF(AND(ISNUMBER(IS154),ISNUMBER(IQ154)),IS154-IQ154,"")</f>
        <v>0</v>
      </c>
      <c r="IS154" s="33">
        <v>28</v>
      </c>
      <c r="IT154" s="34">
        <f>IF(AND(ISNUMBER(IU154),ISNUMBER(IS154)),IU154-IS154,"")</f>
        <v>0</v>
      </c>
      <c r="IU154" s="33">
        <v>27</v>
      </c>
      <c r="IV154" s="34">
        <f>IF(AND(ISNUMBER(IW154),ISNUMBER(IU154)),IW154-IU154,"")</f>
        <v>0</v>
      </c>
      <c r="IW154" s="33">
        <v>21</v>
      </c>
      <c r="IX154" s="34">
        <f>IF(AND(ISNUMBER(IY154),ISNUMBER(IW154)),IY154-IW154,"")</f>
        <v>0</v>
      </c>
      <c r="IY154" s="33">
        <v>25</v>
      </c>
      <c r="IZ154" s="34">
        <f>IF(AND(ISNUMBER(JA154),ISNUMBER(IY154)),JA154-IY154,"")</f>
        <v>0</v>
      </c>
      <c r="JA154" s="33">
        <v>30</v>
      </c>
      <c r="JB154" s="34">
        <f>IF(AND(ISNUMBER(JC154),ISNUMBER(JA154)),JC154-JA154,"")</f>
        <v>0</v>
      </c>
      <c r="JC154" s="33">
        <v>15</v>
      </c>
      <c r="JD154" s="34">
        <f>IF(AND(ISNUMBER(JE154),ISNUMBER(JC154)),JE154-JC154,"")</f>
        <v>0</v>
      </c>
      <c r="JE154" s="33">
        <v>11</v>
      </c>
      <c r="JF154" s="34">
        <f>IF(AND(ISNUMBER(JG154),ISNUMBER(JE154)),JG154-JE154,"")</f>
        <v>0</v>
      </c>
      <c r="JG154" s="33">
        <v>16</v>
      </c>
      <c r="JH154" s="34">
        <f>IF(AND(ISNUMBER(JI154),ISNUMBER(JG154)),JI154-JG154,"")</f>
        <v>0</v>
      </c>
      <c r="JI154" s="33">
        <v>25</v>
      </c>
      <c r="JJ154" s="34">
        <f>IF(AND(ISNUMBER(JK154),ISNUMBER(JI154)),JK154-JI154,"")</f>
        <v>0</v>
      </c>
      <c r="JK154" s="33">
        <v>25</v>
      </c>
      <c r="JL154" s="34">
        <f>IF(AND(ISNUMBER(JM154),ISNUMBER(JK154)),JM154-JK154,"")</f>
        <v>0</v>
      </c>
      <c r="JM154" s="33">
        <v>18</v>
      </c>
      <c r="JN154" s="34">
        <f>IF(AND(ISNUMBER(JO154),ISNUMBER(JM154)),JO154-JM154,"")</f>
        <v>0</v>
      </c>
      <c r="JO154" s="33">
        <v>16</v>
      </c>
      <c r="JP154" s="34">
        <f>IF(AND(ISNUMBER(JQ154),ISNUMBER(JO154)),JQ154-JO154,"")</f>
        <v>0</v>
      </c>
      <c r="JQ154" s="33">
        <v>15</v>
      </c>
      <c r="JR154" s="34">
        <f>IF(AND(ISNUMBER(JS154),ISNUMBER(JQ154)),JS154-JQ154,"")</f>
        <v>0</v>
      </c>
      <c r="JS154" s="33">
        <v>24</v>
      </c>
      <c r="JT154" s="34">
        <f>IF(AND(ISNUMBER(JU154),ISNUMBER(JS154)),JU154-JS154,"")</f>
        <v>0</v>
      </c>
      <c r="JU154" s="33">
        <v>17</v>
      </c>
      <c r="JV154" s="34">
        <f>IF(AND(ISNUMBER(JW154),ISNUMBER(JU154)),JW154-JU154,"")</f>
        <v>0</v>
      </c>
      <c r="JW154" s="33">
        <v>18</v>
      </c>
      <c r="JX154" s="34">
        <f>IF(AND(ISNUMBER(JY154),ISNUMBER(JW154)),JY154-JW154,"")</f>
        <v>0</v>
      </c>
      <c r="JY154" s="33"/>
      <c r="JZ154" s="34">
        <f>IF(AND(ISNUMBER(KA154),ISNUMBER(JY154)),KA154-JY154,"")</f>
        <v>0</v>
      </c>
      <c r="KA154" s="33"/>
      <c r="KB154" s="34">
        <f>IF(AND(ISNUMBER(KC154),ISNUMBER(KA154)),KC154-KA154,"")</f>
        <v>0</v>
      </c>
      <c r="KC154" s="33"/>
      <c r="KD154" s="34">
        <f>IF(AND(ISNUMBER(KE154),ISNUMBER(KC154)),KE154-KC154,"")</f>
        <v>0</v>
      </c>
      <c r="KE154" s="33"/>
      <c r="KF154" s="34">
        <f>IF(AND(ISNUMBER(KG154),ISNUMBER(KE154)),KG154-KE154,"")</f>
        <v>0</v>
      </c>
      <c r="KG154" s="33"/>
      <c r="KH154" s="34">
        <f>IF(AND(ISNUMBER(KI154),ISNUMBER(KG154)),KI154-KG154,"")</f>
        <v>0</v>
      </c>
      <c r="KI154" s="33"/>
      <c r="KJ154" s="34">
        <f>IF(AND(ISNUMBER(KK154),ISNUMBER(KI154)),KK154-KI154,"")</f>
        <v>0</v>
      </c>
      <c r="KK154" s="33"/>
      <c r="KL154" s="34">
        <f>IF(AND(ISNUMBER(KM154),ISNUMBER(KK154)),KM154-KK154,"")</f>
        <v>0</v>
      </c>
      <c r="KM154" s="33"/>
      <c r="KN154" s="34">
        <f>IF(AND(ISNUMBER(KO154),ISNUMBER(KM154)),KO154-KM154,"")</f>
        <v>0</v>
      </c>
      <c r="KO154" s="33"/>
      <c r="KP154" s="34">
        <f>IF(AND(ISNUMBER(KQ154),ISNUMBER(KO154)),KQ154-KO154,"")</f>
        <v>0</v>
      </c>
      <c r="KQ154" s="33"/>
      <c r="KR154" s="34">
        <f>IF(AND(ISNUMBER(KS154),ISNUMBER(KQ154)),KS154-KQ154,"")</f>
        <v>0</v>
      </c>
      <c r="KS154" s="33"/>
      <c r="KT154" s="34">
        <f>IF(AND(ISNUMBER(KU154),ISNUMBER(KS154)),KU154-KS154,"")</f>
        <v>0</v>
      </c>
      <c r="KU154" s="33"/>
      <c r="KV154" s="34">
        <f>IF(AND(ISNUMBER(KW154),ISNUMBER(KU154)),KW154-KU154,"")</f>
        <v>0</v>
      </c>
      <c r="KW154" s="33"/>
      <c r="KX154" s="34">
        <f>IF(AND(ISNUMBER(KY154),ISNUMBER(KW154)),KY154-KW154,"")</f>
        <v>0</v>
      </c>
      <c r="KY154" s="33"/>
      <c r="KZ154" s="34">
        <f>IF(AND(ISNUMBER(LA154),ISNUMBER(KY154)),LA154-KY154,"")</f>
        <v>0</v>
      </c>
      <c r="LA154" s="33"/>
      <c r="LB154" s="34">
        <f>IF(AND(ISNUMBER(LC154),ISNUMBER(LA154)),LC154-LA154,"")</f>
        <v>0</v>
      </c>
      <c r="LC154" s="33"/>
      <c r="LD154" s="34">
        <f>IF(AND(ISNUMBER(LE154),ISNUMBER(LC154)),LE154-LC154,"")</f>
        <v>0</v>
      </c>
      <c r="LE154" s="33"/>
      <c r="LF154" s="34">
        <f>IF(AND(ISNUMBER(LG154),ISNUMBER(LE154)),LG154-LE154,"")</f>
        <v>0</v>
      </c>
      <c r="LG154" s="33"/>
    </row>
    <row r="155" spans="1:322" hidden="1" outlineLevel="1">
      <c r="A155" s="36" t="s">
        <v>966</v>
      </c>
      <c r="B155" s="23"/>
      <c r="C155" s="31" t="s">
        <v>964</v>
      </c>
      <c r="E155" s="32" t="s">
        <v>1154</v>
      </c>
      <c r="I155" s="33"/>
      <c r="J155" s="34">
        <f>IF(AND(ISNUMBER(K155),ISNUMBER(I155)),K155-I155,"")</f>
        <v>0</v>
      </c>
      <c r="K155" s="33"/>
      <c r="L155" s="34">
        <f>IF(AND(ISNUMBER(M155),ISNUMBER(K155)),M155-K155,"")</f>
        <v>0</v>
      </c>
      <c r="M155" s="33"/>
      <c r="N155" s="34">
        <f>IF(AND(ISNUMBER(O155),ISNUMBER(M155)),O155-M155,"")</f>
        <v>0</v>
      </c>
      <c r="O155" s="33"/>
      <c r="P155" s="34">
        <f>IF(AND(ISNUMBER(Q155),ISNUMBER(O155)),Q155-O155,"")</f>
        <v>0</v>
      </c>
      <c r="Q155" s="33"/>
      <c r="R155" s="34">
        <f>IF(AND(ISNUMBER(S155),ISNUMBER(Q155)),S155-Q155,"")</f>
        <v>0</v>
      </c>
      <c r="S155" s="33"/>
      <c r="T155" s="34">
        <f>IF(AND(ISNUMBER(U155),ISNUMBER(S155)),U155-S155,"")</f>
        <v>0</v>
      </c>
      <c r="U155" s="33"/>
      <c r="V155" s="34">
        <f>IF(AND(ISNUMBER(W155),ISNUMBER(U155)),W155-U155,"")</f>
        <v>0</v>
      </c>
      <c r="W155" s="33"/>
      <c r="X155" s="34">
        <f>IF(AND(ISNUMBER(Y155),ISNUMBER(W155)),Y155-W155,"")</f>
        <v>0</v>
      </c>
      <c r="Y155" s="33"/>
      <c r="Z155" s="34">
        <f>IF(AND(ISNUMBER(AA155),ISNUMBER(Y155)),AA155-Y155,"")</f>
        <v>0</v>
      </c>
      <c r="AA155" s="33"/>
      <c r="AB155" s="34">
        <f>IF(AND(ISNUMBER(AC155),ISNUMBER(AA155)),AC155-AA155,"")</f>
        <v>0</v>
      </c>
      <c r="AC155" s="33"/>
      <c r="AD155" s="34">
        <f>IF(AND(ISNUMBER(AE155),ISNUMBER(AC155)),AE155-AC155,"")</f>
        <v>0</v>
      </c>
      <c r="AE155" s="33"/>
      <c r="AF155" s="34">
        <f>IF(AND(ISNUMBER(AG155),ISNUMBER(AE155)),AG155-AE155,"")</f>
        <v>0</v>
      </c>
      <c r="AG155" s="33"/>
      <c r="AH155" s="34">
        <f>IF(AND(ISNUMBER(AI155),ISNUMBER(AG155)),AI155-AG155,"")</f>
        <v>0</v>
      </c>
      <c r="AI155" s="33"/>
      <c r="AJ155" s="34">
        <f>IF(AND(ISNUMBER(AK155),ISNUMBER(AI155)),AK155-AI155,"")</f>
        <v>0</v>
      </c>
      <c r="AK155" s="33"/>
      <c r="AL155" s="34">
        <f>IF(AND(ISNUMBER(AM155),ISNUMBER(AK155)),AM155-AK155,"")</f>
        <v>0</v>
      </c>
      <c r="AM155" s="33"/>
      <c r="AN155" s="34">
        <f>IF(AND(ISNUMBER(AO155),ISNUMBER(AM155)),AO155-AM155,"")</f>
        <v>0</v>
      </c>
      <c r="AO155" s="33"/>
      <c r="AP155" s="34">
        <f>IF(AND(ISNUMBER(AQ155),ISNUMBER(AO155)),AQ155-AO155,"")</f>
        <v>0</v>
      </c>
      <c r="AQ155" s="33"/>
      <c r="AR155" s="34">
        <f>IF(AND(ISNUMBER(AS155),ISNUMBER(AQ155)),AS155-AQ155,"")</f>
        <v>0</v>
      </c>
      <c r="AS155" s="33"/>
      <c r="AT155" s="34">
        <f>IF(AND(ISNUMBER(AU155),ISNUMBER(AS155)),AU155-AS155,"")</f>
        <v>0</v>
      </c>
      <c r="AU155" s="33"/>
      <c r="AV155" s="34">
        <f>IF(AND(ISNUMBER(AW155),ISNUMBER(AU155)),AW155-AU155,"")</f>
        <v>0</v>
      </c>
      <c r="AW155" s="33"/>
      <c r="AX155" s="34">
        <f>IF(AND(ISNUMBER(AY155),ISNUMBER(AW155)),AY155-AW155,"")</f>
        <v>0</v>
      </c>
      <c r="AY155" s="33"/>
      <c r="AZ155" s="34">
        <f>IF(AND(ISNUMBER(BA155),ISNUMBER(AY155)),BA155-AY155,"")</f>
        <v>0</v>
      </c>
      <c r="BA155" s="33"/>
      <c r="BB155" s="34">
        <f>IF(AND(ISNUMBER(BC155),ISNUMBER(BA155)),BC155-BA155,"")</f>
        <v>0</v>
      </c>
      <c r="BC155" s="33"/>
      <c r="BD155" s="34">
        <f>IF(AND(ISNUMBER(BE155),ISNUMBER(BC155)),BE155-BC155,"")</f>
        <v>0</v>
      </c>
      <c r="BE155" s="33"/>
      <c r="BF155" s="34">
        <f>IF(AND(ISNUMBER(BG155),ISNUMBER(BE155)),BG155-BE155,"")</f>
        <v>0</v>
      </c>
      <c r="BG155" s="33"/>
      <c r="BH155" s="34">
        <f>IF(AND(ISNUMBER(BI155),ISNUMBER(BG155)),BI155-BG155,"")</f>
        <v>0</v>
      </c>
      <c r="BI155" s="33"/>
      <c r="BJ155" s="34">
        <f>IF(AND(ISNUMBER(BK155),ISNUMBER(BI155)),BK155-BI155,"")</f>
        <v>0</v>
      </c>
      <c r="BK155" s="33"/>
      <c r="BL155" s="34">
        <f>IF(AND(ISNUMBER(BM155),ISNUMBER(BK155)),BM155-BK155,"")</f>
        <v>0</v>
      </c>
      <c r="BM155" s="33"/>
      <c r="BN155" s="34">
        <f>IF(AND(ISNUMBER(BO155),ISNUMBER(BM155)),BO155-BM155,"")</f>
        <v>0</v>
      </c>
      <c r="BO155" s="33"/>
      <c r="BP155" s="34">
        <f>IF(AND(ISNUMBER(BQ155),ISNUMBER(BO155)),BQ155-BO155,"")</f>
        <v>0</v>
      </c>
      <c r="BQ155" s="33"/>
      <c r="BR155" s="34">
        <f>IF(AND(ISNUMBER(BS155),ISNUMBER(BQ155)),BS155-BQ155,"")</f>
        <v>0</v>
      </c>
      <c r="BS155" s="33"/>
      <c r="BT155" s="34">
        <f>IF(AND(ISNUMBER(BU155),ISNUMBER(BS155)),BU155-BS155,"")</f>
        <v>0</v>
      </c>
      <c r="BU155" s="33"/>
      <c r="BV155" s="34">
        <f>IF(AND(ISNUMBER(BW155),ISNUMBER(BU155)),BW155-BU155,"")</f>
        <v>0</v>
      </c>
      <c r="BW155" s="33"/>
      <c r="BX155" s="34">
        <f>IF(AND(ISNUMBER(BY155),ISNUMBER(BW155)),BY155-BW155,"")</f>
        <v>0</v>
      </c>
      <c r="BY155" s="33"/>
      <c r="BZ155" s="34">
        <f>IF(AND(ISNUMBER(CA155),ISNUMBER(BY155)),CA155-BY155,"")</f>
        <v>0</v>
      </c>
      <c r="CA155" s="33"/>
      <c r="CB155" s="34">
        <f>IF(AND(ISNUMBER(CC155),ISNUMBER(CA155)),CC155-CA155,"")</f>
        <v>0</v>
      </c>
      <c r="CC155" s="33"/>
      <c r="CD155" s="34">
        <f>IF(AND(ISNUMBER(CE155),ISNUMBER(CC155)),CE155-CC155,"")</f>
        <v>0</v>
      </c>
      <c r="CE155" s="33"/>
      <c r="CF155" s="34">
        <f>IF(AND(ISNUMBER(CG155),ISNUMBER(CE155)),CG155-CE155,"")</f>
        <v>0</v>
      </c>
      <c r="CG155" s="33"/>
      <c r="CH155" s="34">
        <f>IF(AND(ISNUMBER(CI155),ISNUMBER(CG155)),CI155-CG155,"")</f>
        <v>0</v>
      </c>
      <c r="CI155" s="33"/>
      <c r="CJ155" s="34">
        <f>IF(AND(ISNUMBER(CK155),ISNUMBER(CI155)),CK155-CI155,"")</f>
        <v>0</v>
      </c>
      <c r="CK155" s="33"/>
      <c r="CL155" s="34">
        <f>IF(AND(ISNUMBER(CM155),ISNUMBER(CK155)),CM155-CK155,"")</f>
        <v>0</v>
      </c>
      <c r="CM155" s="33"/>
      <c r="CN155" s="34">
        <f>IF(AND(ISNUMBER(CO155),ISNUMBER(CM155)),CO155-CM155,"")</f>
        <v>0</v>
      </c>
      <c r="CO155" s="33"/>
      <c r="CP155" s="34">
        <f>IF(AND(ISNUMBER(CQ155),ISNUMBER(CO155)),CQ155-CO155,"")</f>
        <v>0</v>
      </c>
      <c r="CQ155" s="33"/>
      <c r="CR155" s="34">
        <f>IF(AND(ISNUMBER(CS155),ISNUMBER(CQ155)),CS155-CQ155,"")</f>
        <v>0</v>
      </c>
      <c r="CS155" s="33"/>
      <c r="CT155" s="34">
        <f>IF(AND(ISNUMBER(CU155),ISNUMBER(CS155)),CU155-CS155,"")</f>
        <v>0</v>
      </c>
      <c r="CU155" s="33"/>
      <c r="CV155" s="34">
        <f>IF(AND(ISNUMBER(CW155),ISNUMBER(CU155)),CW155-CU155,"")</f>
        <v>0</v>
      </c>
      <c r="CW155" s="33"/>
      <c r="CX155" s="34">
        <f>IF(AND(ISNUMBER(CY155),ISNUMBER(CW155)),CY155-CW155,"")</f>
        <v>0</v>
      </c>
      <c r="CY155" s="33"/>
      <c r="CZ155" s="34">
        <f>IF(AND(ISNUMBER(DA155),ISNUMBER(CY155)),DA155-CY155,"")</f>
        <v>0</v>
      </c>
      <c r="DA155" s="33"/>
      <c r="DB155" s="34">
        <f>IF(AND(ISNUMBER(DC155),ISNUMBER(DA155)),DC155-DA155,"")</f>
        <v>0</v>
      </c>
      <c r="DC155" s="33"/>
      <c r="DD155" s="34">
        <f>IF(AND(ISNUMBER(DE155),ISNUMBER(DC155)),DE155-DC155,"")</f>
        <v>0</v>
      </c>
      <c r="DE155" s="33"/>
      <c r="DF155" s="34">
        <f>IF(AND(ISNUMBER(DG155),ISNUMBER(DE155)),DG155-DE155,"")</f>
        <v>0</v>
      </c>
      <c r="DG155" s="33"/>
      <c r="DH155" s="34">
        <f>IF(AND(ISNUMBER(DI155),ISNUMBER(DG155)),DI155-DG155,"")</f>
        <v>0</v>
      </c>
      <c r="DI155" s="33"/>
      <c r="DJ155" s="34">
        <f>IF(AND(ISNUMBER(DK155),ISNUMBER(DI155)),DK155-DI155,"")</f>
        <v>0</v>
      </c>
      <c r="DK155" s="33"/>
      <c r="DL155" s="34">
        <f>IF(AND(ISNUMBER(DM155),ISNUMBER(DK155)),DM155-DK155,"")</f>
        <v>0</v>
      </c>
      <c r="DM155" s="33"/>
      <c r="DN155" s="34">
        <f>IF(AND(ISNUMBER(DO155),ISNUMBER(DM155)),DO155-DM155,"")</f>
        <v>0</v>
      </c>
      <c r="DO155" s="33"/>
      <c r="DP155" s="34">
        <f>IF(AND(ISNUMBER(DQ155),ISNUMBER(DO155)),DQ155-DO155,"")</f>
        <v>0</v>
      </c>
      <c r="DQ155" s="33"/>
      <c r="DR155" s="34">
        <f>IF(AND(ISNUMBER(DS155),ISNUMBER(DQ155)),DS155-DQ155,"")</f>
        <v>0</v>
      </c>
      <c r="DS155" s="33"/>
      <c r="DT155" s="34">
        <f>IF(AND(ISNUMBER(DU155),ISNUMBER(DS155)),DU155-DS155,"")</f>
        <v>0</v>
      </c>
      <c r="DU155" s="33"/>
      <c r="DV155" s="34">
        <f>IF(AND(ISNUMBER(DW155),ISNUMBER(DU155)),DW155-DU155,"")</f>
        <v>0</v>
      </c>
      <c r="DW155" s="33"/>
      <c r="DX155" s="34">
        <f>IF(AND(ISNUMBER(DY155),ISNUMBER(DW155)),DY155-DW155,"")</f>
        <v>0</v>
      </c>
      <c r="DY155" s="33"/>
      <c r="DZ155" s="34">
        <f>IF(AND(ISNUMBER(EA155),ISNUMBER(DY155)),EA155-DY155,"")</f>
        <v>0</v>
      </c>
      <c r="EA155" s="33"/>
      <c r="EB155" s="34">
        <f>IF(AND(ISNUMBER(EC155),ISNUMBER(EA155)),EC155-EA155,"")</f>
        <v>0</v>
      </c>
      <c r="EC155" s="33"/>
      <c r="ED155" s="34">
        <f>IF(AND(ISNUMBER(EE155),ISNUMBER(EC155)),EE155-EC155,"")</f>
        <v>0</v>
      </c>
      <c r="EE155" s="33"/>
      <c r="EF155" s="34">
        <f>IF(AND(ISNUMBER(EG155),ISNUMBER(EE155)),EG155-EE155,"")</f>
        <v>0</v>
      </c>
      <c r="EG155" s="33"/>
      <c r="EH155" s="34">
        <f>IF(AND(ISNUMBER(EI155),ISNUMBER(EG155)),EI155-EG155,"")</f>
        <v>0</v>
      </c>
      <c r="EI155" s="33"/>
      <c r="EJ155" s="34">
        <f>IF(AND(ISNUMBER(EK155),ISNUMBER(EI155)),EK155-EI155,"")</f>
        <v>0</v>
      </c>
      <c r="EK155" s="33"/>
      <c r="EL155" s="34">
        <f>IF(AND(ISNUMBER(EM155),ISNUMBER(EK155)),EM155-EK155,"")</f>
        <v>0</v>
      </c>
      <c r="EM155" s="33"/>
      <c r="EN155" s="34">
        <f>IF(AND(ISNUMBER(EO155),ISNUMBER(EM155)),EO155-EM155,"")</f>
        <v>0</v>
      </c>
      <c r="EO155" s="33"/>
      <c r="EP155" s="34">
        <f>IF(AND(ISNUMBER(EQ155),ISNUMBER(EO155)),EQ155-EO155,"")</f>
        <v>0</v>
      </c>
      <c r="EQ155" s="33"/>
      <c r="ER155" s="34">
        <f>IF(AND(ISNUMBER(ES155),ISNUMBER(EQ155)),ES155-EQ155,"")</f>
        <v>0</v>
      </c>
      <c r="ES155" s="33"/>
      <c r="ET155" s="34">
        <f>IF(AND(ISNUMBER(EU155),ISNUMBER(ES155)),EU155-ES155,"")</f>
        <v>0</v>
      </c>
      <c r="EU155" s="33"/>
      <c r="EV155" s="34">
        <f>IF(AND(ISNUMBER(EW155),ISNUMBER(EU155)),EW155-EU155,"")</f>
        <v>0</v>
      </c>
      <c r="EW155" s="33"/>
      <c r="EX155" s="34">
        <f>IF(AND(ISNUMBER(EY155),ISNUMBER(EW155)),EY155-EW155,"")</f>
        <v>0</v>
      </c>
      <c r="EY155" s="33"/>
      <c r="EZ155" s="34">
        <f>IF(AND(ISNUMBER(FA155),ISNUMBER(EY155)),FA155-EY155,"")</f>
        <v>0</v>
      </c>
      <c r="FA155" s="33"/>
      <c r="FB155" s="34">
        <f>IF(AND(ISNUMBER(FC155),ISNUMBER(FA155)),FC155-FA155,"")</f>
        <v>0</v>
      </c>
      <c r="FC155" s="33"/>
      <c r="FD155" s="34">
        <f>IF(AND(ISNUMBER(FE155),ISNUMBER(FC155)),FE155-FC155,"")</f>
        <v>0</v>
      </c>
      <c r="FE155" s="33"/>
      <c r="FF155" s="34">
        <f>IF(AND(ISNUMBER(FG155),ISNUMBER(FE155)),FG155-FE155,"")</f>
        <v>0</v>
      </c>
      <c r="FG155" s="33"/>
      <c r="FH155" s="34">
        <f>IF(AND(ISNUMBER(FI155),ISNUMBER(FG155)),FI155-FG155,"")</f>
        <v>0</v>
      </c>
      <c r="FI155" s="33"/>
      <c r="FJ155" s="34">
        <f>IF(AND(ISNUMBER(FK155),ISNUMBER(FI155)),FK155-FI155,"")</f>
        <v>0</v>
      </c>
      <c r="FK155" s="33"/>
      <c r="FL155" s="34">
        <f>IF(AND(ISNUMBER(FM155),ISNUMBER(FK155)),FM155-FK155,"")</f>
        <v>0</v>
      </c>
      <c r="FM155" s="33"/>
      <c r="FN155" s="34">
        <f>IF(AND(ISNUMBER(FO155),ISNUMBER(FM155)),FO155-FM155,"")</f>
        <v>0</v>
      </c>
      <c r="FO155" s="33"/>
      <c r="FP155" s="34">
        <f>IF(AND(ISNUMBER(FQ155),ISNUMBER(FO155)),FQ155-FO155,"")</f>
        <v>0</v>
      </c>
      <c r="FQ155" s="33"/>
      <c r="FR155" s="34">
        <f>IF(AND(ISNUMBER(FS155),ISNUMBER(FQ155)),FS155-FQ155,"")</f>
        <v>0</v>
      </c>
      <c r="FS155" s="33"/>
      <c r="FT155" s="34">
        <f>IF(AND(ISNUMBER(FU155),ISNUMBER(FS155)),FU155-FS155,"")</f>
        <v>0</v>
      </c>
      <c r="FU155" s="33"/>
      <c r="FV155" s="34">
        <f>IF(AND(ISNUMBER(FW155),ISNUMBER(FU155)),FW155-FU155,"")</f>
        <v>0</v>
      </c>
      <c r="FW155" s="33"/>
      <c r="FX155" s="34">
        <f>IF(AND(ISNUMBER(FY155),ISNUMBER(FW155)),FY155-FW155,"")</f>
        <v>0</v>
      </c>
      <c r="FY155" s="33"/>
      <c r="FZ155" s="34">
        <f>IF(AND(ISNUMBER(GA155),ISNUMBER(FY155)),GA155-FY155,"")</f>
        <v>0</v>
      </c>
      <c r="GA155" s="33"/>
      <c r="GB155" s="34">
        <f>IF(AND(ISNUMBER(GC155),ISNUMBER(GA155)),GC155-GA155,"")</f>
        <v>0</v>
      </c>
      <c r="GC155" s="33"/>
      <c r="GD155" s="34">
        <f>IF(AND(ISNUMBER(GE155),ISNUMBER(GC155)),GE155-GC155,"")</f>
        <v>0</v>
      </c>
      <c r="GE155" s="33"/>
      <c r="GF155" s="34">
        <f>IF(AND(ISNUMBER(GG155),ISNUMBER(GE155)),GG155-GE155,"")</f>
        <v>0</v>
      </c>
      <c r="GG155" s="33"/>
      <c r="GH155" s="34">
        <f>IF(AND(ISNUMBER(GI155),ISNUMBER(GG155)),GI155-GG155,"")</f>
        <v>0</v>
      </c>
      <c r="GI155" s="33"/>
      <c r="GJ155" s="34">
        <f>IF(AND(ISNUMBER(GK155),ISNUMBER(GI155)),GK155-GI155,"")</f>
        <v>0</v>
      </c>
      <c r="GK155" s="33"/>
      <c r="GL155" s="34">
        <f>IF(AND(ISNUMBER(GM155),ISNUMBER(GK155)),GM155-GK155,"")</f>
        <v>0</v>
      </c>
      <c r="GM155" s="33"/>
      <c r="GN155" s="34">
        <f>IF(AND(ISNUMBER(GO155),ISNUMBER(GM155)),GO155-GM155,"")</f>
        <v>0</v>
      </c>
      <c r="GO155" s="33"/>
      <c r="GP155" s="34">
        <f>IF(AND(ISNUMBER(GQ155),ISNUMBER(GO155)),GQ155-GO155,"")</f>
        <v>0</v>
      </c>
      <c r="GQ155" s="33"/>
      <c r="GR155" s="34">
        <f>IF(AND(ISNUMBER(GS155),ISNUMBER(GQ155)),GS155-GQ155,"")</f>
        <v>0</v>
      </c>
      <c r="GS155" s="33"/>
      <c r="GT155" s="34">
        <f>IF(AND(ISNUMBER(GU155),ISNUMBER(GS155)),GU155-GS155,"")</f>
        <v>0</v>
      </c>
      <c r="GU155" s="33"/>
      <c r="GV155" s="34">
        <f>IF(AND(ISNUMBER(GW155),ISNUMBER(GU155)),GW155-GU155,"")</f>
        <v>0</v>
      </c>
      <c r="GW155" s="33"/>
      <c r="GX155" s="34">
        <f>IF(AND(ISNUMBER(GY155),ISNUMBER(GW155)),GY155-GW155,"")</f>
        <v>0</v>
      </c>
      <c r="GY155" s="33"/>
      <c r="GZ155" s="34">
        <f>IF(AND(ISNUMBER(HA155),ISNUMBER(GY155)),HA155-GY155,"")</f>
        <v>0</v>
      </c>
      <c r="HA155" s="33"/>
      <c r="HB155" s="34">
        <f>IF(AND(ISNUMBER(HC155),ISNUMBER(HA155)),HC155-HA155,"")</f>
        <v>0</v>
      </c>
      <c r="HC155" s="33"/>
      <c r="HD155" s="34">
        <f>IF(AND(ISNUMBER(HE155),ISNUMBER(HC155)),HE155-HC155,"")</f>
        <v>0</v>
      </c>
      <c r="HE155" s="33"/>
      <c r="HF155" s="34">
        <f>IF(AND(ISNUMBER(HG155),ISNUMBER(HE155)),HG155-HE155,"")</f>
        <v>0</v>
      </c>
      <c r="HG155" s="33"/>
      <c r="HH155" s="34">
        <f>IF(AND(ISNUMBER(HI155),ISNUMBER(HG155)),HI155-HG155,"")</f>
        <v>0</v>
      </c>
      <c r="HI155" s="33"/>
      <c r="HJ155" s="34">
        <f>IF(AND(ISNUMBER(HK155),ISNUMBER(HI155)),HK155-HI155,"")</f>
        <v>0</v>
      </c>
      <c r="HK155" s="33"/>
      <c r="HL155" s="34">
        <f>IF(AND(ISNUMBER(HM155),ISNUMBER(HK155)),HM155-HK155,"")</f>
        <v>0</v>
      </c>
      <c r="HM155" s="33"/>
      <c r="HN155" s="34">
        <f>IF(AND(ISNUMBER(HO155),ISNUMBER(HM155)),HO155-HM155,"")</f>
        <v>0</v>
      </c>
      <c r="HO155" s="33"/>
      <c r="HP155" s="34">
        <f>IF(AND(ISNUMBER(HQ155),ISNUMBER(HO155)),HQ155-HO155,"")</f>
        <v>0</v>
      </c>
      <c r="HQ155" s="33"/>
      <c r="HR155" s="34">
        <f>IF(AND(ISNUMBER(HS155),ISNUMBER(HQ155)),HS155-HQ155,"")</f>
        <v>0</v>
      </c>
      <c r="HS155" s="33"/>
      <c r="HT155" s="34">
        <f>IF(AND(ISNUMBER(HU155),ISNUMBER(HS155)),HU155-HS155,"")</f>
        <v>0</v>
      </c>
      <c r="HU155" s="33"/>
      <c r="HV155" s="34">
        <f>IF(AND(ISNUMBER(HW155),ISNUMBER(HU155)),HW155-HU155,"")</f>
        <v>0</v>
      </c>
      <c r="HW155" s="33"/>
      <c r="HX155" s="34">
        <f>IF(AND(ISNUMBER(HY155),ISNUMBER(HW155)),HY155-HW155,"")</f>
        <v>0</v>
      </c>
      <c r="HY155" s="33"/>
      <c r="HZ155" s="34">
        <f>IF(AND(ISNUMBER(IA155),ISNUMBER(HY155)),IA155-HY155,"")</f>
        <v>0</v>
      </c>
      <c r="IA155" s="33"/>
      <c r="IB155" s="34">
        <f>IF(AND(ISNUMBER(IC155),ISNUMBER(IA155)),IC155-IA155,"")</f>
        <v>0</v>
      </c>
      <c r="IC155" s="33"/>
      <c r="ID155" s="34">
        <f>IF(AND(ISNUMBER(IE155),ISNUMBER(IC155)),IE155-IC155,"")</f>
        <v>0</v>
      </c>
      <c r="IE155" s="33"/>
      <c r="IF155" s="34">
        <f>IF(AND(ISNUMBER(IG155),ISNUMBER(IE155)),IG155-IE155,"")</f>
        <v>0</v>
      </c>
      <c r="IG155" s="33"/>
      <c r="IH155" s="34">
        <f>IF(AND(ISNUMBER(II155),ISNUMBER(IG155)),II155-IG155,"")</f>
        <v>0</v>
      </c>
      <c r="II155" s="33"/>
      <c r="IJ155" s="34">
        <f>IF(AND(ISNUMBER(IK155),ISNUMBER(II155)),IK155-II155,"")</f>
        <v>0</v>
      </c>
      <c r="IK155" s="33"/>
      <c r="IL155" s="34">
        <f>IF(AND(ISNUMBER(IM155),ISNUMBER(IK155)),IM155-IK155,"")</f>
        <v>0</v>
      </c>
      <c r="IM155" s="33"/>
      <c r="IN155" s="34">
        <f>IF(AND(ISNUMBER(IO155),ISNUMBER(IM155)),IO155-IM155,"")</f>
        <v>0</v>
      </c>
      <c r="IO155" s="33"/>
      <c r="IP155" s="34">
        <f>IF(AND(ISNUMBER(IQ155),ISNUMBER(IO155)),IQ155-IO155,"")</f>
        <v>0</v>
      </c>
      <c r="IQ155" s="33"/>
      <c r="IR155" s="34">
        <f>IF(AND(ISNUMBER(IS155),ISNUMBER(IQ155)),IS155-IQ155,"")</f>
        <v>0</v>
      </c>
      <c r="IS155" s="33"/>
      <c r="IT155" s="34">
        <f>IF(AND(ISNUMBER(IU155),ISNUMBER(IS155)),IU155-IS155,"")</f>
        <v>0</v>
      </c>
      <c r="IU155" s="33"/>
      <c r="IV155" s="34">
        <f>IF(AND(ISNUMBER(IW155),ISNUMBER(IU155)),IW155-IU155,"")</f>
        <v>0</v>
      </c>
      <c r="IW155" s="33"/>
      <c r="IX155" s="34">
        <f>IF(AND(ISNUMBER(IY155),ISNUMBER(IW155)),IY155-IW155,"")</f>
        <v>0</v>
      </c>
      <c r="IY155" s="33"/>
      <c r="IZ155" s="34">
        <f>IF(AND(ISNUMBER(JA155),ISNUMBER(IY155)),JA155-IY155,"")</f>
        <v>0</v>
      </c>
      <c r="JA155" s="33">
        <v>17</v>
      </c>
      <c r="JB155" s="34">
        <f>IF(AND(ISNUMBER(JC155),ISNUMBER(JA155)),JC155-JA155,"")</f>
        <v>0</v>
      </c>
      <c r="JC155" s="33">
        <v>24</v>
      </c>
      <c r="JD155" s="34">
        <f>IF(AND(ISNUMBER(JE155),ISNUMBER(JC155)),JE155-JC155,"")</f>
        <v>0</v>
      </c>
      <c r="JE155" s="33">
        <v>36</v>
      </c>
      <c r="JF155" s="34">
        <f>IF(AND(ISNUMBER(JG155),ISNUMBER(JE155)),JG155-JE155,"")</f>
        <v>0</v>
      </c>
      <c r="JG155" s="33">
        <v>32</v>
      </c>
      <c r="JH155" s="34">
        <f>IF(AND(ISNUMBER(JI155),ISNUMBER(JG155)),JI155-JG155,"")</f>
        <v>0</v>
      </c>
      <c r="JI155" s="33">
        <v>30</v>
      </c>
      <c r="JJ155" s="34">
        <f>IF(AND(ISNUMBER(JK155),ISNUMBER(JI155)),JK155-JI155,"")</f>
        <v>0</v>
      </c>
      <c r="JK155" s="33">
        <v>37</v>
      </c>
      <c r="JL155" s="34">
        <f>IF(AND(ISNUMBER(JM155),ISNUMBER(JK155)),JM155-JK155,"")</f>
        <v>0</v>
      </c>
      <c r="JM155" s="33">
        <v>51</v>
      </c>
      <c r="JN155" s="34">
        <f>IF(AND(ISNUMBER(JO155),ISNUMBER(JM155)),JO155-JM155,"")</f>
        <v>0</v>
      </c>
      <c r="JO155" s="33">
        <v>39</v>
      </c>
      <c r="JP155" s="34">
        <f>IF(AND(ISNUMBER(JQ155),ISNUMBER(JO155)),JQ155-JO155,"")</f>
        <v>0</v>
      </c>
      <c r="JQ155" s="33">
        <v>32</v>
      </c>
      <c r="JR155" s="34">
        <f>IF(AND(ISNUMBER(JS155),ISNUMBER(JQ155)),JS155-JQ155,"")</f>
        <v>0</v>
      </c>
      <c r="JS155" s="33">
        <v>26</v>
      </c>
      <c r="JT155" s="34">
        <f>IF(AND(ISNUMBER(JU155),ISNUMBER(JS155)),JU155-JS155,"")</f>
        <v>0</v>
      </c>
      <c r="JU155" s="33">
        <v>37</v>
      </c>
      <c r="JV155" s="34">
        <f>IF(AND(ISNUMBER(JW155),ISNUMBER(JU155)),JW155-JU155,"")</f>
        <v>0</v>
      </c>
      <c r="JW155" s="33">
        <v>48</v>
      </c>
      <c r="JX155" s="34">
        <f>IF(AND(ISNUMBER(JY155),ISNUMBER(JW155)),JY155-JW155,"")</f>
        <v>0</v>
      </c>
      <c r="JY155" s="33"/>
      <c r="JZ155" s="34">
        <f>IF(AND(ISNUMBER(KA155),ISNUMBER(JY155)),KA155-JY155,"")</f>
        <v>0</v>
      </c>
      <c r="KA155" s="33"/>
      <c r="KB155" s="34">
        <f>IF(AND(ISNUMBER(KC155),ISNUMBER(KA155)),KC155-KA155,"")</f>
        <v>0</v>
      </c>
      <c r="KC155" s="33"/>
      <c r="KD155" s="34">
        <f>IF(AND(ISNUMBER(KE155),ISNUMBER(KC155)),KE155-KC155,"")</f>
        <v>0</v>
      </c>
      <c r="KE155" s="33"/>
      <c r="KF155" s="34">
        <f>IF(AND(ISNUMBER(KG155),ISNUMBER(KE155)),KG155-KE155,"")</f>
        <v>0</v>
      </c>
      <c r="KG155" s="33"/>
      <c r="KH155" s="34">
        <f>IF(AND(ISNUMBER(KI155),ISNUMBER(KG155)),KI155-KG155,"")</f>
        <v>0</v>
      </c>
      <c r="KI155" s="33"/>
      <c r="KJ155" s="34">
        <f>IF(AND(ISNUMBER(KK155),ISNUMBER(KI155)),KK155-KI155,"")</f>
        <v>0</v>
      </c>
      <c r="KK155" s="33"/>
      <c r="KL155" s="34">
        <f>IF(AND(ISNUMBER(KM155),ISNUMBER(KK155)),KM155-KK155,"")</f>
        <v>0</v>
      </c>
      <c r="KM155" s="33"/>
      <c r="KN155" s="34">
        <f>IF(AND(ISNUMBER(KO155),ISNUMBER(KM155)),KO155-KM155,"")</f>
        <v>0</v>
      </c>
      <c r="KO155" s="33"/>
      <c r="KP155" s="34">
        <f>IF(AND(ISNUMBER(KQ155),ISNUMBER(KO155)),KQ155-KO155,"")</f>
        <v>0</v>
      </c>
      <c r="KQ155" s="33"/>
      <c r="KR155" s="34">
        <f>IF(AND(ISNUMBER(KS155),ISNUMBER(KQ155)),KS155-KQ155,"")</f>
        <v>0</v>
      </c>
      <c r="KS155" s="33"/>
      <c r="KT155" s="34">
        <f>IF(AND(ISNUMBER(KU155),ISNUMBER(KS155)),KU155-KS155,"")</f>
        <v>0</v>
      </c>
      <c r="KU155" s="33"/>
      <c r="KV155" s="34">
        <f>IF(AND(ISNUMBER(KW155),ISNUMBER(KU155)),KW155-KU155,"")</f>
        <v>0</v>
      </c>
      <c r="KW155" s="33"/>
      <c r="KX155" s="34">
        <f>IF(AND(ISNUMBER(KY155),ISNUMBER(KW155)),KY155-KW155,"")</f>
        <v>0</v>
      </c>
      <c r="KY155" s="33"/>
      <c r="KZ155" s="34">
        <f>IF(AND(ISNUMBER(LA155),ISNUMBER(KY155)),LA155-KY155,"")</f>
        <v>0</v>
      </c>
      <c r="LA155" s="33"/>
      <c r="LB155" s="34">
        <f>IF(AND(ISNUMBER(LC155),ISNUMBER(LA155)),LC155-LA155,"")</f>
        <v>0</v>
      </c>
      <c r="LC155" s="33"/>
      <c r="LD155" s="34">
        <f>IF(AND(ISNUMBER(LE155),ISNUMBER(LC155)),LE155-LC155,"")</f>
        <v>0</v>
      </c>
      <c r="LE155" s="33"/>
      <c r="LF155" s="34">
        <f>IF(AND(ISNUMBER(LG155),ISNUMBER(LE155)),LG155-LE155,"")</f>
        <v>0</v>
      </c>
      <c r="LG155" s="33"/>
    </row>
    <row r="156" spans="1:322">
      <c r="A156" s="22">
        <v>19</v>
      </c>
      <c r="B156" s="23" t="s">
        <v>1155</v>
      </c>
      <c r="C156" s="43" t="s">
        <v>728</v>
      </c>
      <c r="D156" s="43"/>
      <c r="E156" s="25" t="s">
        <v>1156</v>
      </c>
      <c r="F156" s="26"/>
      <c r="G156" s="26"/>
      <c r="H156" s="26"/>
      <c r="I156" s="27"/>
      <c r="J156" s="28">
        <f>IF(AND(ISNUMBER(K156),ISNUMBER(I156)),K156-I156,"")</f>
        <v>0</v>
      </c>
      <c r="K156" s="27"/>
      <c r="L156" s="28">
        <f>IF(AND(ISNUMBER(M156),ISNUMBER(K156)),M156-K156,"")</f>
        <v>0</v>
      </c>
      <c r="M156" s="27"/>
      <c r="N156" s="28">
        <f>IF(AND(ISNUMBER(O156),ISNUMBER(M156)),O156-M156,"")</f>
        <v>0</v>
      </c>
      <c r="O156" s="27"/>
      <c r="P156" s="28">
        <f>IF(AND(ISNUMBER(Q156),ISNUMBER(O156)),Q156-O156,"")</f>
        <v>0</v>
      </c>
      <c r="Q156" s="27"/>
      <c r="R156" s="28">
        <f>IF(AND(ISNUMBER(S156),ISNUMBER(Q156)),S156-Q156,"")</f>
        <v>0</v>
      </c>
      <c r="S156" s="27"/>
      <c r="T156" s="28">
        <f>IF(AND(ISNUMBER(U156),ISNUMBER(S156)),U156-S156,"")</f>
        <v>0</v>
      </c>
      <c r="U156" s="27"/>
      <c r="V156" s="28">
        <f>IF(AND(ISNUMBER(W156),ISNUMBER(U156)),W156-U156,"")</f>
        <v>0</v>
      </c>
      <c r="W156" s="27"/>
      <c r="X156" s="28">
        <f>IF(AND(ISNUMBER(Y156),ISNUMBER(W156)),Y156-W156,"")</f>
        <v>0</v>
      </c>
      <c r="Y156" s="27"/>
      <c r="Z156" s="28">
        <f>IF(AND(ISNUMBER(AA156),ISNUMBER(Y156)),AA156-Y156,"")</f>
        <v>0</v>
      </c>
      <c r="AA156" s="27"/>
      <c r="AB156" s="28">
        <f>IF(AND(ISNUMBER(AC156),ISNUMBER(AA156)),AC156-AA156,"")</f>
        <v>0</v>
      </c>
      <c r="AC156" s="27"/>
      <c r="AD156" s="28">
        <f>IF(AND(ISNUMBER(AE156),ISNUMBER(AC156)),AE156-AC156,"")</f>
        <v>0</v>
      </c>
      <c r="AE156" s="27"/>
      <c r="AF156" s="28">
        <f>IF(AND(ISNUMBER(AG156),ISNUMBER(AE156)),AG156-AE156,"")</f>
        <v>0</v>
      </c>
      <c r="AG156" s="27"/>
      <c r="AH156" s="28">
        <f>IF(AND(ISNUMBER(AI156),ISNUMBER(AG156)),AI156-AG156,"")</f>
        <v>0</v>
      </c>
      <c r="AI156" s="27"/>
      <c r="AJ156" s="28">
        <f>IF(AND(ISNUMBER(AK156),ISNUMBER(AI156)),AK156-AI156,"")</f>
        <v>0</v>
      </c>
      <c r="AK156" s="27"/>
      <c r="AL156" s="28">
        <f>IF(AND(ISNUMBER(AM156),ISNUMBER(AK156)),AM156-AK156,"")</f>
        <v>0</v>
      </c>
      <c r="AM156" s="27"/>
      <c r="AN156" s="28">
        <f>IF(AND(ISNUMBER(AO156),ISNUMBER(AM156)),AO156-AM156,"")</f>
        <v>0</v>
      </c>
      <c r="AO156" s="27"/>
      <c r="AP156" s="28">
        <f>IF(AND(ISNUMBER(AQ156),ISNUMBER(AO156)),AQ156-AO156,"")</f>
        <v>0</v>
      </c>
      <c r="AQ156" s="27"/>
      <c r="AR156" s="28">
        <f>IF(AND(ISNUMBER(AS156),ISNUMBER(AQ156)),AS156-AQ156,"")</f>
        <v>0</v>
      </c>
      <c r="AS156" s="27"/>
      <c r="AT156" s="28">
        <f>IF(AND(ISNUMBER(AU156),ISNUMBER(AS156)),AU156-AS156,"")</f>
        <v>0</v>
      </c>
      <c r="AU156" s="27"/>
      <c r="AV156" s="28">
        <f>IF(AND(ISNUMBER(AW156),ISNUMBER(AU156)),AW156-AU156,"")</f>
        <v>0</v>
      </c>
      <c r="AW156" s="27"/>
      <c r="AX156" s="28">
        <f>IF(AND(ISNUMBER(AY156),ISNUMBER(AW156)),AY156-AW156,"")</f>
        <v>0</v>
      </c>
      <c r="AY156" s="27"/>
      <c r="AZ156" s="28">
        <f>IF(AND(ISNUMBER(BA156),ISNUMBER(AY156)),BA156-AY156,"")</f>
        <v>0</v>
      </c>
      <c r="BA156" s="27"/>
      <c r="BB156" s="28">
        <f>IF(AND(ISNUMBER(BC156),ISNUMBER(BA156)),BC156-BA156,"")</f>
        <v>0</v>
      </c>
      <c r="BC156" s="27"/>
      <c r="BD156" s="28">
        <f>IF(AND(ISNUMBER(BE156),ISNUMBER(BC156)),BE156-BC156,"")</f>
        <v>0</v>
      </c>
      <c r="BE156" s="27"/>
      <c r="BF156" s="28">
        <f>IF(AND(ISNUMBER(BG156),ISNUMBER(BE156)),BG156-BE156,"")</f>
        <v>0</v>
      </c>
      <c r="BG156" s="27"/>
      <c r="BH156" s="28">
        <f>IF(AND(ISNUMBER(BI156),ISNUMBER(BG156)),BI156-BG156,"")</f>
        <v>0</v>
      </c>
      <c r="BI156" s="27"/>
      <c r="BJ156" s="28">
        <f>IF(AND(ISNUMBER(BK156),ISNUMBER(BI156)),BK156-BI156,"")</f>
        <v>0</v>
      </c>
      <c r="BK156" s="27"/>
      <c r="BL156" s="28">
        <f>IF(AND(ISNUMBER(BM156),ISNUMBER(BK156)),BM156-BK156,"")</f>
        <v>0</v>
      </c>
      <c r="BM156" s="27"/>
      <c r="BN156" s="28">
        <f>IF(AND(ISNUMBER(BO156),ISNUMBER(BM156)),BO156-BM156,"")</f>
        <v>0</v>
      </c>
      <c r="BO156" s="27"/>
      <c r="BP156" s="28">
        <f>IF(AND(ISNUMBER(BQ156),ISNUMBER(BO156)),BQ156-BO156,"")</f>
        <v>0</v>
      </c>
      <c r="BQ156" s="27"/>
      <c r="BR156" s="28">
        <f>IF(AND(ISNUMBER(BS156),ISNUMBER(BQ156)),BS156-BQ156,"")</f>
        <v>0</v>
      </c>
      <c r="BS156" s="27"/>
      <c r="BT156" s="28">
        <f>IF(AND(ISNUMBER(BU156),ISNUMBER(BS156)),BU156-BS156,"")</f>
        <v>0</v>
      </c>
      <c r="BU156" s="27"/>
      <c r="BV156" s="28">
        <f>IF(AND(ISNUMBER(BW156),ISNUMBER(BU156)),BW156-BU156,"")</f>
        <v>0</v>
      </c>
      <c r="BW156" s="27"/>
      <c r="BX156" s="28">
        <f>IF(AND(ISNUMBER(BY156),ISNUMBER(BW156)),BY156-BW156,"")</f>
        <v>0</v>
      </c>
      <c r="BY156" s="27"/>
      <c r="BZ156" s="28">
        <f>IF(AND(ISNUMBER(CA156),ISNUMBER(BY156)),CA156-BY156,"")</f>
        <v>0</v>
      </c>
      <c r="CA156" s="27"/>
      <c r="CB156" s="28">
        <f>IF(AND(ISNUMBER(CC156),ISNUMBER(CA156)),CC156-CA156,"")</f>
        <v>0</v>
      </c>
      <c r="CC156" s="27"/>
      <c r="CD156" s="28">
        <f>IF(AND(ISNUMBER(CE156),ISNUMBER(CC156)),CE156-CC156,"")</f>
        <v>0</v>
      </c>
      <c r="CE156" s="27"/>
      <c r="CF156" s="28">
        <f>IF(AND(ISNUMBER(CG156),ISNUMBER(CE156)),CG156-CE156,"")</f>
        <v>0</v>
      </c>
      <c r="CG156" s="27"/>
      <c r="CH156" s="28">
        <f>IF(AND(ISNUMBER(CI156),ISNUMBER(CG156)),CI156-CG156,"")</f>
        <v>0</v>
      </c>
      <c r="CI156" s="27"/>
      <c r="CJ156" s="28">
        <f>IF(AND(ISNUMBER(CK156),ISNUMBER(CI156)),CK156-CI156,"")</f>
        <v>0</v>
      </c>
      <c r="CK156" s="27"/>
      <c r="CL156" s="28">
        <f>IF(AND(ISNUMBER(CM156),ISNUMBER(CK156)),CM156-CK156,"")</f>
        <v>0</v>
      </c>
      <c r="CM156" s="27"/>
      <c r="CN156" s="28">
        <f>IF(AND(ISNUMBER(CO156),ISNUMBER(CM156)),CO156-CM156,"")</f>
        <v>0</v>
      </c>
      <c r="CO156" s="27"/>
      <c r="CP156" s="28">
        <f>IF(AND(ISNUMBER(CQ156),ISNUMBER(CO156)),CQ156-CO156,"")</f>
        <v>0</v>
      </c>
      <c r="CQ156" s="27"/>
      <c r="CR156" s="28">
        <f>IF(AND(ISNUMBER(CS156),ISNUMBER(CQ156)),CS156-CQ156,"")</f>
        <v>0</v>
      </c>
      <c r="CS156" s="27"/>
      <c r="CT156" s="28">
        <f>IF(AND(ISNUMBER(CU156),ISNUMBER(CS156)),CU156-CS156,"")</f>
        <v>0</v>
      </c>
      <c r="CU156" s="27"/>
      <c r="CV156" s="28">
        <f>IF(AND(ISNUMBER(CW156),ISNUMBER(CU156)),CW156-CU156,"")</f>
        <v>0</v>
      </c>
      <c r="CW156" s="27"/>
      <c r="CX156" s="28">
        <f>IF(AND(ISNUMBER(CY156),ISNUMBER(CW156)),CY156-CW156,"")</f>
        <v>0</v>
      </c>
      <c r="CY156" s="27"/>
      <c r="CZ156" s="28">
        <f>IF(AND(ISNUMBER(DA156),ISNUMBER(CY156)),DA156-CY156,"")</f>
        <v>0</v>
      </c>
      <c r="DA156" s="27"/>
      <c r="DB156" s="28">
        <f>IF(AND(ISNUMBER(DC156),ISNUMBER(DA156)),DC156-DA156,"")</f>
        <v>0</v>
      </c>
      <c r="DC156" s="27"/>
      <c r="DD156" s="28">
        <f>IF(AND(ISNUMBER(DE156),ISNUMBER(DC156)),DE156-DC156,"")</f>
        <v>0</v>
      </c>
      <c r="DE156" s="27"/>
      <c r="DF156" s="28">
        <f>IF(AND(ISNUMBER(DG156),ISNUMBER(DE156)),DG156-DE156,"")</f>
        <v>0</v>
      </c>
      <c r="DG156" s="27"/>
      <c r="DH156" s="28">
        <f>IF(AND(ISNUMBER(DI156),ISNUMBER(DG156)),DI156-DG156,"")</f>
        <v>0</v>
      </c>
      <c r="DI156" s="27"/>
      <c r="DJ156" s="28">
        <f>IF(AND(ISNUMBER(DK156),ISNUMBER(DI156)),DK156-DI156,"")</f>
        <v>0</v>
      </c>
      <c r="DK156" s="27"/>
      <c r="DL156" s="28">
        <f>IF(AND(ISNUMBER(DM156),ISNUMBER(DK156)),DM156-DK156,"")</f>
        <v>0</v>
      </c>
      <c r="DM156" s="27">
        <v>17</v>
      </c>
      <c r="DN156" s="28">
        <f>IF(AND(ISNUMBER(DO156),ISNUMBER(DM156)),DO156-DM156,"")</f>
        <v>0</v>
      </c>
      <c r="DO156" s="27">
        <v>17</v>
      </c>
      <c r="DP156" s="28">
        <f>IF(AND(ISNUMBER(DQ156),ISNUMBER(DO156)),DQ156-DO156,"")</f>
        <v>0</v>
      </c>
      <c r="DQ156" s="27">
        <v>15</v>
      </c>
      <c r="DR156" s="28">
        <f>IF(AND(ISNUMBER(DS156),ISNUMBER(DQ156)),DS156-DQ156,"")</f>
        <v>0</v>
      </c>
      <c r="DS156" s="27">
        <v>15</v>
      </c>
      <c r="DT156" s="28">
        <f>IF(AND(ISNUMBER(DU156),ISNUMBER(DS156)),DU156-DS156,"")</f>
        <v>0</v>
      </c>
      <c r="DU156" s="27">
        <v>15</v>
      </c>
      <c r="DV156" s="28">
        <f>IF(AND(ISNUMBER(DW156),ISNUMBER(DU156)),DW156-DU156,"")</f>
        <v>0</v>
      </c>
      <c r="DW156" s="27">
        <v>15</v>
      </c>
      <c r="DX156" s="28">
        <f>IF(AND(ISNUMBER(DY156),ISNUMBER(DW156)),DY156-DW156,"")</f>
        <v>0</v>
      </c>
      <c r="DY156" s="27">
        <v>15</v>
      </c>
      <c r="DZ156" s="28">
        <f>IF(AND(ISNUMBER(EA156),ISNUMBER(DY156)),EA156-DY156,"")</f>
        <v>0</v>
      </c>
      <c r="EA156" s="27">
        <v>15</v>
      </c>
      <c r="EB156" s="28">
        <f>IF(AND(ISNUMBER(EC156),ISNUMBER(EA156)),EC156-EA156,"")</f>
        <v>0</v>
      </c>
      <c r="EC156" s="27">
        <v>15</v>
      </c>
      <c r="ED156" s="28">
        <f>IF(AND(ISNUMBER(EE156),ISNUMBER(EC156)),EE156-EC156,"")</f>
        <v>0</v>
      </c>
      <c r="EE156" s="27">
        <v>15</v>
      </c>
      <c r="EF156" s="28">
        <f>IF(AND(ISNUMBER(EG156),ISNUMBER(EE156)),EG156-EE156,"")</f>
        <v>0</v>
      </c>
      <c r="EG156" s="27">
        <v>15</v>
      </c>
      <c r="EH156" s="28">
        <f>IF(AND(ISNUMBER(EI156),ISNUMBER(EG156)),EI156-EG156,"")</f>
        <v>0</v>
      </c>
      <c r="EI156" s="27">
        <v>18</v>
      </c>
      <c r="EJ156" s="28">
        <f>IF(AND(ISNUMBER(EK156),ISNUMBER(EI156)),EK156-EI156,"")</f>
        <v>0</v>
      </c>
      <c r="EK156" s="27">
        <v>15</v>
      </c>
      <c r="EL156" s="28">
        <f>IF(AND(ISNUMBER(EM156),ISNUMBER(EK156)),EM156-EK156,"")</f>
        <v>0</v>
      </c>
      <c r="EM156" s="27">
        <v>15</v>
      </c>
      <c r="EN156" s="28">
        <f>IF(AND(ISNUMBER(EO156),ISNUMBER(EM156)),EO156-EM156,"")</f>
        <v>0</v>
      </c>
      <c r="EO156" s="27">
        <v>15</v>
      </c>
      <c r="EP156" s="28">
        <f>IF(AND(ISNUMBER(EQ156),ISNUMBER(EO156)),EQ156-EO156,"")</f>
        <v>0</v>
      </c>
      <c r="EQ156" s="27">
        <v>15</v>
      </c>
      <c r="ER156" s="28">
        <f>IF(AND(ISNUMBER(ES156),ISNUMBER(EQ156)),ES156-EQ156,"")</f>
        <v>0</v>
      </c>
      <c r="ES156" s="27">
        <v>15</v>
      </c>
      <c r="ET156" s="28">
        <f>IF(AND(ISNUMBER(EU156),ISNUMBER(ES156)),EU156-ES156,"")</f>
        <v>0</v>
      </c>
      <c r="EU156" s="27">
        <v>15</v>
      </c>
      <c r="EV156" s="28">
        <f>IF(AND(ISNUMBER(EW156),ISNUMBER(EU156)),EW156-EU156,"")</f>
        <v>0</v>
      </c>
      <c r="EW156" s="27">
        <v>15</v>
      </c>
      <c r="EX156" s="28">
        <f>IF(AND(ISNUMBER(EY156),ISNUMBER(EW156)),EY156-EW156,"")</f>
        <v>0</v>
      </c>
      <c r="EY156" s="27">
        <v>17</v>
      </c>
      <c r="EZ156" s="28">
        <f>IF(AND(ISNUMBER(FA156),ISNUMBER(EY156)),FA156-EY156,"")</f>
        <v>0</v>
      </c>
      <c r="FA156" s="27">
        <v>17</v>
      </c>
      <c r="FB156" s="28">
        <f>IF(AND(ISNUMBER(FC156),ISNUMBER(FA156)),FC156-FA156,"")</f>
        <v>0</v>
      </c>
      <c r="FC156" s="27">
        <v>17</v>
      </c>
      <c r="FD156" s="28">
        <f>IF(AND(ISNUMBER(FE156),ISNUMBER(FC156)),FE156-FC156,"")</f>
        <v>0</v>
      </c>
      <c r="FE156" s="27">
        <v>17</v>
      </c>
      <c r="FF156" s="28">
        <f>IF(AND(ISNUMBER(FG156),ISNUMBER(FE156)),FG156-FE156,"")</f>
        <v>0</v>
      </c>
      <c r="FG156" s="27">
        <v>17</v>
      </c>
      <c r="FH156" s="28">
        <f>IF(AND(ISNUMBER(FI156),ISNUMBER(FG156)),FI156-FG156,"")</f>
        <v>0</v>
      </c>
      <c r="FI156" s="27">
        <v>18</v>
      </c>
      <c r="FJ156" s="28">
        <f>IF(AND(ISNUMBER(FK156),ISNUMBER(FI156)),FK156-FI156,"")</f>
        <v>0</v>
      </c>
      <c r="FK156" s="27">
        <v>18</v>
      </c>
      <c r="FL156" s="28">
        <f>IF(AND(ISNUMBER(FM156),ISNUMBER(FK156)),FM156-FK156,"")</f>
        <v>0</v>
      </c>
      <c r="FM156" s="27">
        <v>18</v>
      </c>
      <c r="FN156" s="28">
        <f>IF(AND(ISNUMBER(FO156),ISNUMBER(FM156)),FO156-FM156,"")</f>
        <v>0</v>
      </c>
      <c r="FO156" s="27">
        <v>16</v>
      </c>
      <c r="FP156" s="28">
        <f>IF(AND(ISNUMBER(FQ156),ISNUMBER(FO156)),FQ156-FO156,"")</f>
        <v>0</v>
      </c>
      <c r="FQ156" s="27">
        <v>14</v>
      </c>
      <c r="FR156" s="28">
        <f>IF(AND(ISNUMBER(FS156),ISNUMBER(FQ156)),FS156-FQ156,"")</f>
        <v>0</v>
      </c>
      <c r="FS156" s="27">
        <v>15</v>
      </c>
      <c r="FT156" s="28">
        <f>IF(AND(ISNUMBER(FU156),ISNUMBER(FS156)),FU156-FS156,"")</f>
        <v>0</v>
      </c>
      <c r="FU156" s="27">
        <v>16</v>
      </c>
      <c r="FV156" s="28">
        <f>IF(AND(ISNUMBER(FW156),ISNUMBER(FU156)),FW156-FU156,"")</f>
        <v>0</v>
      </c>
      <c r="FW156" s="27">
        <v>16</v>
      </c>
      <c r="FX156" s="28">
        <f>IF(AND(ISNUMBER(FY156),ISNUMBER(FW156)),FY156-FW156,"")</f>
        <v>0</v>
      </c>
      <c r="FY156" s="27">
        <v>16</v>
      </c>
      <c r="FZ156" s="28">
        <f>IF(AND(ISNUMBER(GA156),ISNUMBER(FY156)),GA156-FY156,"")</f>
        <v>0</v>
      </c>
      <c r="GA156" s="27">
        <v>14</v>
      </c>
      <c r="GB156" s="28">
        <f>IF(AND(ISNUMBER(GC156),ISNUMBER(GA156)),GC156-GA156,"")</f>
        <v>0</v>
      </c>
      <c r="GC156" s="27">
        <v>13</v>
      </c>
      <c r="GD156" s="28">
        <f>IF(AND(ISNUMBER(GE156),ISNUMBER(GC156)),GE156-GC156,"")</f>
        <v>0</v>
      </c>
      <c r="GE156" s="27">
        <v>13</v>
      </c>
      <c r="GF156" s="28">
        <f>IF(AND(ISNUMBER(GG156),ISNUMBER(GE156)),GG156-GE156,"")</f>
        <v>0</v>
      </c>
      <c r="GG156" s="27">
        <v>13</v>
      </c>
      <c r="GH156" s="28">
        <f>IF(AND(ISNUMBER(GI156),ISNUMBER(GG156)),GI156-GG156,"")</f>
        <v>0</v>
      </c>
      <c r="GI156" s="27">
        <v>13</v>
      </c>
      <c r="GJ156" s="28">
        <f>IF(AND(ISNUMBER(GK156),ISNUMBER(GI156)),GK156-GI156,"")</f>
        <v>0</v>
      </c>
      <c r="GK156" s="27">
        <v>14</v>
      </c>
      <c r="GL156" s="28">
        <f>IF(AND(ISNUMBER(GM156),ISNUMBER(GK156)),GM156-GK156,"")</f>
        <v>0</v>
      </c>
      <c r="GM156" s="27">
        <v>14</v>
      </c>
      <c r="GN156" s="28">
        <f>IF(AND(ISNUMBER(GO156),ISNUMBER(GM156)),GO156-GM156,"")</f>
        <v>0</v>
      </c>
      <c r="GO156" s="27">
        <v>13</v>
      </c>
      <c r="GP156" s="28">
        <f>IF(AND(ISNUMBER(GQ156),ISNUMBER(GO156)),GQ156-GO156,"")</f>
        <v>0</v>
      </c>
      <c r="GQ156" s="27">
        <v>13</v>
      </c>
      <c r="GR156" s="28">
        <f>IF(AND(ISNUMBER(GS156),ISNUMBER(GQ156)),GS156-GQ156,"")</f>
        <v>0</v>
      </c>
      <c r="GS156" s="27">
        <v>12</v>
      </c>
      <c r="GT156" s="28">
        <f>IF(AND(ISNUMBER(GU156),ISNUMBER(GS156)),GU156-GS156,"")</f>
        <v>0</v>
      </c>
      <c r="GU156" s="27">
        <v>12</v>
      </c>
      <c r="GV156" s="28">
        <f>IF(AND(ISNUMBER(GW156),ISNUMBER(GU156)),GW156-GU156,"")</f>
        <v>0</v>
      </c>
      <c r="GW156" s="27">
        <v>11</v>
      </c>
      <c r="GX156" s="28">
        <f>IF(AND(ISNUMBER(GY156),ISNUMBER(GW156)),GY156-GW156,"")</f>
        <v>0</v>
      </c>
      <c r="GY156" s="27">
        <v>13</v>
      </c>
      <c r="GZ156" s="28">
        <f>IF(AND(ISNUMBER(HA156),ISNUMBER(GY156)),HA156-GY156,"")</f>
        <v>0</v>
      </c>
      <c r="HA156" s="27">
        <v>13</v>
      </c>
      <c r="HB156" s="28">
        <f>IF(AND(ISNUMBER(HC156),ISNUMBER(HA156)),HC156-HA156,"")</f>
        <v>0</v>
      </c>
      <c r="HC156" s="27">
        <v>13</v>
      </c>
      <c r="HD156" s="28">
        <f>IF(AND(ISNUMBER(HE156),ISNUMBER(HC156)),HE156-HC156,"")</f>
        <v>0</v>
      </c>
      <c r="HE156" s="27">
        <v>15</v>
      </c>
      <c r="HF156" s="28">
        <f>IF(AND(ISNUMBER(HG156),ISNUMBER(HE156)),HG156-HE156,"")</f>
        <v>0</v>
      </c>
      <c r="HG156" s="27">
        <v>15</v>
      </c>
      <c r="HH156" s="28">
        <f>IF(AND(ISNUMBER(HI156),ISNUMBER(HG156)),HI156-HG156,"")</f>
        <v>0</v>
      </c>
      <c r="HI156" s="27">
        <v>15</v>
      </c>
      <c r="HJ156" s="28">
        <f>IF(AND(ISNUMBER(HK156),ISNUMBER(HI156)),HK156-HI156,"")</f>
        <v>0</v>
      </c>
      <c r="HK156" s="27">
        <v>15</v>
      </c>
      <c r="HL156" s="28">
        <f>IF(AND(ISNUMBER(HM156),ISNUMBER(HK156)),HM156-HK156,"")</f>
        <v>0</v>
      </c>
      <c r="HM156" s="27">
        <v>15</v>
      </c>
      <c r="HN156" s="28">
        <f>IF(AND(ISNUMBER(HO156),ISNUMBER(HM156)),HO156-HM156,"")</f>
        <v>0</v>
      </c>
      <c r="HO156" s="27">
        <v>15</v>
      </c>
      <c r="HP156" s="28">
        <f>IF(AND(ISNUMBER(HQ156),ISNUMBER(HO156)),HQ156-HO156,"")</f>
        <v>0</v>
      </c>
      <c r="HQ156" s="27">
        <v>15</v>
      </c>
      <c r="HR156" s="28">
        <f>IF(AND(ISNUMBER(HS156),ISNUMBER(HQ156)),HS156-HQ156,"")</f>
        <v>0</v>
      </c>
      <c r="HS156" s="27">
        <v>16</v>
      </c>
      <c r="HT156" s="28">
        <f>IF(AND(ISNUMBER(HU156),ISNUMBER(HS156)),HU156-HS156,"")</f>
        <v>0</v>
      </c>
      <c r="HU156" s="27">
        <v>15</v>
      </c>
      <c r="HV156" s="28">
        <f>IF(AND(ISNUMBER(HW156),ISNUMBER(HU156)),HW156-HU156,"")</f>
        <v>0</v>
      </c>
      <c r="HW156" s="27">
        <v>15</v>
      </c>
      <c r="HX156" s="28">
        <f>IF(AND(ISNUMBER(HY156),ISNUMBER(HW156)),HY156-HW156,"")</f>
        <v>0</v>
      </c>
      <c r="HY156" s="27">
        <v>16</v>
      </c>
      <c r="HZ156" s="28">
        <f>IF(AND(ISNUMBER(IA156),ISNUMBER(HY156)),IA156-HY156,"")</f>
        <v>0</v>
      </c>
      <c r="IA156" s="27">
        <v>16</v>
      </c>
      <c r="IB156" s="28">
        <f>IF(AND(ISNUMBER(IC156),ISNUMBER(IA156)),IC156-IA156,"")</f>
        <v>0</v>
      </c>
      <c r="IC156" s="27">
        <v>16</v>
      </c>
      <c r="ID156" s="28">
        <f>IF(AND(ISNUMBER(IE156),ISNUMBER(IC156)),IE156-IC156,"")</f>
        <v>0</v>
      </c>
      <c r="IE156" s="27">
        <v>16</v>
      </c>
      <c r="IF156" s="28">
        <f>IF(AND(ISNUMBER(IG156),ISNUMBER(IE156)),IG156-IE156,"")</f>
        <v>0</v>
      </c>
      <c r="IG156" s="27">
        <v>17</v>
      </c>
      <c r="IH156" s="28">
        <f>IF(AND(ISNUMBER(II156),ISNUMBER(IG156)),II156-IG156,"")</f>
        <v>0</v>
      </c>
      <c r="II156" s="27">
        <v>17</v>
      </c>
      <c r="IJ156" s="28">
        <f>IF(AND(ISNUMBER(IK156),ISNUMBER(II156)),IK156-II156,"")</f>
        <v>0</v>
      </c>
      <c r="IK156" s="27">
        <v>19</v>
      </c>
      <c r="IL156" s="28">
        <f>IF(AND(ISNUMBER(IM156),ISNUMBER(IK156)),IM156-IK156,"")</f>
        <v>0</v>
      </c>
      <c r="IM156" s="27">
        <v>19</v>
      </c>
      <c r="IN156" s="28">
        <f>IF(AND(ISNUMBER(IO156),ISNUMBER(IM156)),IO156-IM156,"")</f>
        <v>0</v>
      </c>
      <c r="IO156" s="27">
        <v>19</v>
      </c>
      <c r="IP156" s="28">
        <f>IF(AND(ISNUMBER(IQ156),ISNUMBER(IO156)),IQ156-IO156,"")</f>
        <v>0</v>
      </c>
      <c r="IQ156" s="27">
        <v>19</v>
      </c>
      <c r="IR156" s="28">
        <f>IF(AND(ISNUMBER(IS156),ISNUMBER(IQ156)),IS156-IQ156,"")</f>
        <v>0</v>
      </c>
      <c r="IS156" s="27">
        <v>19</v>
      </c>
      <c r="IT156" s="28">
        <f>IF(AND(ISNUMBER(IU156),ISNUMBER(IS156)),IU156-IS156,"")</f>
        <v>0</v>
      </c>
      <c r="IU156" s="27">
        <v>21</v>
      </c>
      <c r="IV156" s="28">
        <f>IF(AND(ISNUMBER(IW156),ISNUMBER(IU156)),IW156-IU156,"")</f>
        <v>0</v>
      </c>
      <c r="IW156" s="27">
        <v>22</v>
      </c>
      <c r="IX156" s="28">
        <f>IF(AND(ISNUMBER(IY156),ISNUMBER(IW156)),IY156-IW156,"")</f>
        <v>0</v>
      </c>
      <c r="IY156" s="27">
        <v>23</v>
      </c>
      <c r="IZ156" s="28">
        <f>IF(AND(ISNUMBER(JA156),ISNUMBER(IY156)),JA156-IY156,"")</f>
        <v>0</v>
      </c>
      <c r="JA156" s="27">
        <v>23</v>
      </c>
      <c r="JB156" s="28">
        <f>IF(AND(ISNUMBER(JC156),ISNUMBER(JA156)),JC156-JA156,"")</f>
        <v>0</v>
      </c>
      <c r="JC156" s="27">
        <v>20</v>
      </c>
      <c r="JD156" s="28">
        <f>IF(AND(ISNUMBER(JE156),ISNUMBER(JC156)),JE156-JC156,"")</f>
        <v>0</v>
      </c>
      <c r="JE156" s="27">
        <v>21</v>
      </c>
      <c r="JF156" s="28">
        <f>IF(AND(ISNUMBER(JG156),ISNUMBER(JE156)),JG156-JE156,"")</f>
        <v>0</v>
      </c>
      <c r="JG156" s="27">
        <v>21</v>
      </c>
      <c r="JH156" s="28">
        <f>IF(AND(ISNUMBER(JI156),ISNUMBER(JG156)),JI156-JG156,"")</f>
        <v>0</v>
      </c>
      <c r="JI156" s="27">
        <v>22</v>
      </c>
      <c r="JJ156" s="28">
        <f>IF(AND(ISNUMBER(JK156),ISNUMBER(JI156)),JK156-JI156,"")</f>
        <v>0</v>
      </c>
      <c r="JK156" s="27">
        <v>22</v>
      </c>
      <c r="JL156" s="28">
        <f>IF(AND(ISNUMBER(JM156),ISNUMBER(JK156)),JM156-JK156,"")</f>
        <v>0</v>
      </c>
      <c r="JM156" s="27">
        <v>21</v>
      </c>
      <c r="JN156" s="28">
        <f>IF(AND(ISNUMBER(JO156),ISNUMBER(JM156)),JO156-JM156,"")</f>
        <v>0</v>
      </c>
      <c r="JO156" s="27">
        <v>24</v>
      </c>
      <c r="JP156" s="28">
        <f>IF(AND(ISNUMBER(JQ156),ISNUMBER(JO156)),JQ156-JO156,"")</f>
        <v>0</v>
      </c>
      <c r="JQ156" s="27">
        <v>25</v>
      </c>
      <c r="JR156" s="28">
        <f>IF(AND(ISNUMBER(JS156),ISNUMBER(JQ156)),JS156-JQ156,"")</f>
        <v>0</v>
      </c>
      <c r="JS156" s="27">
        <v>26</v>
      </c>
      <c r="JT156" s="28">
        <f>IF(AND(ISNUMBER(JU156),ISNUMBER(JS156)),JU156-JS156,"")</f>
        <v>0</v>
      </c>
      <c r="JU156" s="27">
        <v>26</v>
      </c>
      <c r="JV156" s="28">
        <f>IF(AND(ISNUMBER(JW156),ISNUMBER(JU156)),JW156-JU156,"")</f>
        <v>0</v>
      </c>
      <c r="JW156" s="27">
        <v>25</v>
      </c>
      <c r="JX156" s="28">
        <f>IF(AND(ISNUMBER(JY156),ISNUMBER(JW156)),JY156-JW156,"")</f>
        <v>0</v>
      </c>
      <c r="JY156" s="27">
        <v>25</v>
      </c>
      <c r="JZ156" s="28">
        <f>IF(AND(ISNUMBER(KA156),ISNUMBER(JY156)),KA156-JY156,"")</f>
        <v>0</v>
      </c>
      <c r="KA156" s="27"/>
      <c r="KB156" s="28">
        <f>IF(AND(ISNUMBER(KC156),ISNUMBER(KA156)),KC156-KA156,"")</f>
        <v>0</v>
      </c>
      <c r="KC156" s="27"/>
      <c r="KD156" s="28">
        <f>IF(AND(ISNUMBER(KE156),ISNUMBER(KC156)),KE156-KC156,"")</f>
        <v>0</v>
      </c>
      <c r="KE156" s="27"/>
      <c r="KF156" s="28">
        <f>IF(AND(ISNUMBER(KG156),ISNUMBER(KE156)),KG156-KE156,"")</f>
        <v>0</v>
      </c>
      <c r="KG156" s="27"/>
      <c r="KH156" s="28">
        <f>IF(AND(ISNUMBER(KI156),ISNUMBER(KG156)),KI156-KG156,"")</f>
        <v>0</v>
      </c>
      <c r="KI156" s="27"/>
      <c r="KJ156" s="28">
        <f>IF(AND(ISNUMBER(KK156),ISNUMBER(KI156)),KK156-KI156,"")</f>
        <v>0</v>
      </c>
      <c r="KK156" s="27"/>
      <c r="KL156" s="28">
        <f>IF(AND(ISNUMBER(KM156),ISNUMBER(KK156)),KM156-KK156,"")</f>
        <v>0</v>
      </c>
      <c r="KM156" s="27"/>
      <c r="KN156" s="28">
        <f>IF(AND(ISNUMBER(KO156),ISNUMBER(KM156)),KO156-KM156,"")</f>
        <v>0</v>
      </c>
      <c r="KO156" s="27"/>
      <c r="KP156" s="28">
        <f>IF(AND(ISNUMBER(KQ156),ISNUMBER(KO156)),KQ156-KO156,"")</f>
        <v>0</v>
      </c>
      <c r="KQ156" s="27"/>
      <c r="KR156" s="28">
        <f>IF(AND(ISNUMBER(KS156),ISNUMBER(KQ156)),KS156-KQ156,"")</f>
        <v>0</v>
      </c>
      <c r="KS156" s="27"/>
      <c r="KT156" s="28">
        <f>IF(AND(ISNUMBER(KU156),ISNUMBER(KS156)),KU156-KS156,"")</f>
        <v>0</v>
      </c>
      <c r="KU156" s="27"/>
      <c r="KV156" s="28">
        <f>IF(AND(ISNUMBER(KW156),ISNUMBER(KU156)),KW156-KU156,"")</f>
        <v>0</v>
      </c>
      <c r="KW156" s="27"/>
      <c r="KX156" s="28">
        <f>IF(AND(ISNUMBER(KY156),ISNUMBER(KW156)),KY156-KW156,"")</f>
        <v>0</v>
      </c>
      <c r="KY156" s="27"/>
      <c r="KZ156" s="28">
        <f>IF(AND(ISNUMBER(LA156),ISNUMBER(KY156)),LA156-KY156,"")</f>
        <v>0</v>
      </c>
      <c r="LA156" s="27"/>
      <c r="LB156" s="28">
        <f>IF(AND(ISNUMBER(LC156),ISNUMBER(LA156)),LC156-LA156,"")</f>
        <v>0</v>
      </c>
      <c r="LC156" s="27"/>
      <c r="LD156" s="28">
        <f>IF(AND(ISNUMBER(LE156),ISNUMBER(LC156)),LE156-LC156,"")</f>
        <v>0</v>
      </c>
      <c r="LE156" s="27"/>
      <c r="LF156" s="28">
        <f>IF(AND(ISNUMBER(LG156),ISNUMBER(LE156)),LG156-LE156,"")</f>
        <v>0</v>
      </c>
      <c r="LG156" s="27"/>
      <c r="LH156" s="30"/>
      <c r="LI156" s="30"/>
      <c r="LJ156" s="30"/>
    </row>
    <row r="157" spans="1:322">
      <c r="A157" s="22">
        <v>20</v>
      </c>
      <c r="B157" s="23" t="s">
        <v>1157</v>
      </c>
      <c r="C157" s="43" t="s">
        <v>728</v>
      </c>
      <c r="D157" s="43"/>
      <c r="E157" s="25" t="s">
        <v>1158</v>
      </c>
      <c r="F157" s="26"/>
      <c r="G157" s="26"/>
      <c r="H157" s="26"/>
      <c r="I157" s="27"/>
      <c r="J157" s="28">
        <f>IF(AND(ISNUMBER(K157),ISNUMBER(I157)),K157-I157,"")</f>
        <v>0</v>
      </c>
      <c r="K157" s="27"/>
      <c r="L157" s="28">
        <f>IF(AND(ISNUMBER(M157),ISNUMBER(K157)),M157-K157,"")</f>
        <v>0</v>
      </c>
      <c r="M157" s="27"/>
      <c r="N157" s="28">
        <f>IF(AND(ISNUMBER(O157),ISNUMBER(M157)),O157-M157,"")</f>
        <v>0</v>
      </c>
      <c r="O157" s="27"/>
      <c r="P157" s="28">
        <f>IF(AND(ISNUMBER(Q157),ISNUMBER(O157)),Q157-O157,"")</f>
        <v>0</v>
      </c>
      <c r="Q157" s="27"/>
      <c r="R157" s="28">
        <f>IF(AND(ISNUMBER(S157),ISNUMBER(Q157)),S157-Q157,"")</f>
        <v>0</v>
      </c>
      <c r="S157" s="27"/>
      <c r="T157" s="28">
        <f>IF(AND(ISNUMBER(U157),ISNUMBER(S157)),U157-S157,"")</f>
        <v>0</v>
      </c>
      <c r="U157" s="27"/>
      <c r="V157" s="28">
        <f>IF(AND(ISNUMBER(W157),ISNUMBER(U157)),W157-U157,"")</f>
        <v>0</v>
      </c>
      <c r="W157" s="27"/>
      <c r="X157" s="28">
        <f>IF(AND(ISNUMBER(Y157),ISNUMBER(W157)),Y157-W157,"")</f>
        <v>0</v>
      </c>
      <c r="Y157" s="27"/>
      <c r="Z157" s="28">
        <f>IF(AND(ISNUMBER(AA157),ISNUMBER(Y157)),AA157-Y157,"")</f>
        <v>0</v>
      </c>
      <c r="AA157" s="27"/>
      <c r="AB157" s="28">
        <f>IF(AND(ISNUMBER(AC157),ISNUMBER(AA157)),AC157-AA157,"")</f>
        <v>0</v>
      </c>
      <c r="AC157" s="27"/>
      <c r="AD157" s="28">
        <f>IF(AND(ISNUMBER(AE157),ISNUMBER(AC157)),AE157-AC157,"")</f>
        <v>0</v>
      </c>
      <c r="AE157" s="27"/>
      <c r="AF157" s="28">
        <f>IF(AND(ISNUMBER(AG157),ISNUMBER(AE157)),AG157-AE157,"")</f>
        <v>0</v>
      </c>
      <c r="AG157" s="27"/>
      <c r="AH157" s="28">
        <f>IF(AND(ISNUMBER(AI157),ISNUMBER(AG157)),AI157-AG157,"")</f>
        <v>0</v>
      </c>
      <c r="AI157" s="27"/>
      <c r="AJ157" s="28">
        <f>IF(AND(ISNUMBER(AK157),ISNUMBER(AI157)),AK157-AI157,"")</f>
        <v>0</v>
      </c>
      <c r="AK157" s="27"/>
      <c r="AL157" s="28">
        <f>IF(AND(ISNUMBER(AM157),ISNUMBER(AK157)),AM157-AK157,"")</f>
        <v>0</v>
      </c>
      <c r="AM157" s="27"/>
      <c r="AN157" s="28">
        <f>IF(AND(ISNUMBER(AO157),ISNUMBER(AM157)),AO157-AM157,"")</f>
        <v>0</v>
      </c>
      <c r="AO157" s="27"/>
      <c r="AP157" s="28">
        <f>IF(AND(ISNUMBER(AQ157),ISNUMBER(AO157)),AQ157-AO157,"")</f>
        <v>0</v>
      </c>
      <c r="AQ157" s="27"/>
      <c r="AR157" s="28">
        <f>IF(AND(ISNUMBER(AS157),ISNUMBER(AQ157)),AS157-AQ157,"")</f>
        <v>0</v>
      </c>
      <c r="AS157" s="27"/>
      <c r="AT157" s="28">
        <f>IF(AND(ISNUMBER(AU157),ISNUMBER(AS157)),AU157-AS157,"")</f>
        <v>0</v>
      </c>
      <c r="AU157" s="27"/>
      <c r="AV157" s="28">
        <f>IF(AND(ISNUMBER(AW157),ISNUMBER(AU157)),AW157-AU157,"")</f>
        <v>0</v>
      </c>
      <c r="AW157" s="27"/>
      <c r="AX157" s="28">
        <f>IF(AND(ISNUMBER(AY157),ISNUMBER(AW157)),AY157-AW157,"")</f>
        <v>0</v>
      </c>
      <c r="AY157" s="27"/>
      <c r="AZ157" s="28">
        <f>IF(AND(ISNUMBER(BA157),ISNUMBER(AY157)),BA157-AY157,"")</f>
        <v>0</v>
      </c>
      <c r="BA157" s="27"/>
      <c r="BB157" s="28">
        <f>IF(AND(ISNUMBER(BC157),ISNUMBER(BA157)),BC157-BA157,"")</f>
        <v>0</v>
      </c>
      <c r="BC157" s="27"/>
      <c r="BD157" s="28">
        <f>IF(AND(ISNUMBER(BE157),ISNUMBER(BC157)),BE157-BC157,"")</f>
        <v>0</v>
      </c>
      <c r="BE157" s="27"/>
      <c r="BF157" s="28">
        <f>IF(AND(ISNUMBER(BG157),ISNUMBER(BE157)),BG157-BE157,"")</f>
        <v>0</v>
      </c>
      <c r="BG157" s="27"/>
      <c r="BH157" s="28">
        <f>IF(AND(ISNUMBER(BI157),ISNUMBER(BG157)),BI157-BG157,"")</f>
        <v>0</v>
      </c>
      <c r="BI157" s="27"/>
      <c r="BJ157" s="28">
        <f>IF(AND(ISNUMBER(BK157),ISNUMBER(BI157)),BK157-BI157,"")</f>
        <v>0</v>
      </c>
      <c r="BK157" s="27"/>
      <c r="BL157" s="28">
        <f>IF(AND(ISNUMBER(BM157),ISNUMBER(BK157)),BM157-BK157,"")</f>
        <v>0</v>
      </c>
      <c r="BM157" s="27"/>
      <c r="BN157" s="28">
        <f>IF(AND(ISNUMBER(BO157),ISNUMBER(BM157)),BO157-BM157,"")</f>
        <v>0</v>
      </c>
      <c r="BO157" s="27"/>
      <c r="BP157" s="28">
        <f>IF(AND(ISNUMBER(BQ157),ISNUMBER(BO157)),BQ157-BO157,"")</f>
        <v>0</v>
      </c>
      <c r="BQ157" s="27"/>
      <c r="BR157" s="28">
        <f>IF(AND(ISNUMBER(BS157),ISNUMBER(BQ157)),BS157-BQ157,"")</f>
        <v>0</v>
      </c>
      <c r="BS157" s="27"/>
      <c r="BT157" s="28">
        <f>IF(AND(ISNUMBER(BU157),ISNUMBER(BS157)),BU157-BS157,"")</f>
        <v>0</v>
      </c>
      <c r="BU157" s="27"/>
      <c r="BV157" s="28">
        <f>IF(AND(ISNUMBER(BW157),ISNUMBER(BU157)),BW157-BU157,"")</f>
        <v>0</v>
      </c>
      <c r="BW157" s="27"/>
      <c r="BX157" s="28">
        <f>IF(AND(ISNUMBER(BY157),ISNUMBER(BW157)),BY157-BW157,"")</f>
        <v>0</v>
      </c>
      <c r="BY157" s="27"/>
      <c r="BZ157" s="28">
        <f>IF(AND(ISNUMBER(CA157),ISNUMBER(BY157)),CA157-BY157,"")</f>
        <v>0</v>
      </c>
      <c r="CA157" s="27"/>
      <c r="CB157" s="28">
        <f>IF(AND(ISNUMBER(CC157),ISNUMBER(CA157)),CC157-CA157,"")</f>
        <v>0</v>
      </c>
      <c r="CC157" s="27"/>
      <c r="CD157" s="28">
        <f>IF(AND(ISNUMBER(CE157),ISNUMBER(CC157)),CE157-CC157,"")</f>
        <v>0</v>
      </c>
      <c r="CE157" s="27"/>
      <c r="CF157" s="28">
        <f>IF(AND(ISNUMBER(CG157),ISNUMBER(CE157)),CG157-CE157,"")</f>
        <v>0</v>
      </c>
      <c r="CG157" s="27"/>
      <c r="CH157" s="28">
        <f>IF(AND(ISNUMBER(CI157),ISNUMBER(CG157)),CI157-CG157,"")</f>
        <v>0</v>
      </c>
      <c r="CI157" s="27"/>
      <c r="CJ157" s="28">
        <f>IF(AND(ISNUMBER(CK157),ISNUMBER(CI157)),CK157-CI157,"")</f>
        <v>0</v>
      </c>
      <c r="CK157" s="27"/>
      <c r="CL157" s="28">
        <f>IF(AND(ISNUMBER(CM157),ISNUMBER(CK157)),CM157-CK157,"")</f>
        <v>0</v>
      </c>
      <c r="CM157" s="27"/>
      <c r="CN157" s="28">
        <f>IF(AND(ISNUMBER(CO157),ISNUMBER(CM157)),CO157-CM157,"")</f>
        <v>0</v>
      </c>
      <c r="CO157" s="27"/>
      <c r="CP157" s="28">
        <f>IF(AND(ISNUMBER(CQ157),ISNUMBER(CO157)),CQ157-CO157,"")</f>
        <v>0</v>
      </c>
      <c r="CQ157" s="27"/>
      <c r="CR157" s="28">
        <f>IF(AND(ISNUMBER(CS157),ISNUMBER(CQ157)),CS157-CQ157,"")</f>
        <v>0</v>
      </c>
      <c r="CS157" s="27"/>
      <c r="CT157" s="28">
        <f>IF(AND(ISNUMBER(CU157),ISNUMBER(CS157)),CU157-CS157,"")</f>
        <v>0</v>
      </c>
      <c r="CU157" s="27"/>
      <c r="CV157" s="28">
        <f>IF(AND(ISNUMBER(CW157),ISNUMBER(CU157)),CW157-CU157,"")</f>
        <v>0</v>
      </c>
      <c r="CW157" s="27"/>
      <c r="CX157" s="28">
        <f>IF(AND(ISNUMBER(CY157),ISNUMBER(CW157)),CY157-CW157,"")</f>
        <v>0</v>
      </c>
      <c r="CY157" s="27"/>
      <c r="CZ157" s="28">
        <f>IF(AND(ISNUMBER(DA157),ISNUMBER(CY157)),DA157-CY157,"")</f>
        <v>0</v>
      </c>
      <c r="DA157" s="27"/>
      <c r="DB157" s="28">
        <f>IF(AND(ISNUMBER(DC157),ISNUMBER(DA157)),DC157-DA157,"")</f>
        <v>0</v>
      </c>
      <c r="DC157" s="27"/>
      <c r="DD157" s="28">
        <f>IF(AND(ISNUMBER(DE157),ISNUMBER(DC157)),DE157-DC157,"")</f>
        <v>0</v>
      </c>
      <c r="DE157" s="27"/>
      <c r="DF157" s="28">
        <f>IF(AND(ISNUMBER(DG157),ISNUMBER(DE157)),DG157-DE157,"")</f>
        <v>0</v>
      </c>
      <c r="DG157" s="27"/>
      <c r="DH157" s="28">
        <f>IF(AND(ISNUMBER(DI157),ISNUMBER(DG157)),DI157-DG157,"")</f>
        <v>0</v>
      </c>
      <c r="DI157" s="27"/>
      <c r="DJ157" s="28">
        <f>IF(AND(ISNUMBER(DK157),ISNUMBER(DI157)),DK157-DI157,"")</f>
        <v>0</v>
      </c>
      <c r="DK157" s="27"/>
      <c r="DL157" s="28">
        <f>IF(AND(ISNUMBER(DM157),ISNUMBER(DK157)),DM157-DK157,"")</f>
        <v>0</v>
      </c>
      <c r="DM157" s="27">
        <v>78</v>
      </c>
      <c r="DN157" s="28">
        <f>IF(AND(ISNUMBER(DO157),ISNUMBER(DM157)),DO157-DM157,"")</f>
        <v>0</v>
      </c>
      <c r="DO157" s="27">
        <v>78</v>
      </c>
      <c r="DP157" s="28">
        <f>IF(AND(ISNUMBER(DQ157),ISNUMBER(DO157)),DQ157-DO157,"")</f>
        <v>0</v>
      </c>
      <c r="DQ157" s="27">
        <v>52</v>
      </c>
      <c r="DR157" s="28">
        <f>IF(AND(ISNUMBER(DS157),ISNUMBER(DQ157)),DS157-DQ157,"")</f>
        <v>0</v>
      </c>
      <c r="DS157" s="27">
        <v>54</v>
      </c>
      <c r="DT157" s="28">
        <f>IF(AND(ISNUMBER(DU157),ISNUMBER(DS157)),DU157-DS157,"")</f>
        <v>0</v>
      </c>
      <c r="DU157" s="27">
        <v>41</v>
      </c>
      <c r="DV157" s="28">
        <f>IF(AND(ISNUMBER(DW157),ISNUMBER(DU157)),DW157-DU157,"")</f>
        <v>0</v>
      </c>
      <c r="DW157" s="27">
        <v>41</v>
      </c>
      <c r="DX157" s="28">
        <f>IF(AND(ISNUMBER(DY157),ISNUMBER(DW157)),DY157-DW157,"")</f>
        <v>0</v>
      </c>
      <c r="DY157" s="27">
        <v>52</v>
      </c>
      <c r="DZ157" s="28">
        <f>IF(AND(ISNUMBER(EA157),ISNUMBER(DY157)),EA157-DY157,"")</f>
        <v>0</v>
      </c>
      <c r="EA157" s="27">
        <v>55</v>
      </c>
      <c r="EB157" s="28">
        <f>IF(AND(ISNUMBER(EC157),ISNUMBER(EA157)),EC157-EA157,"")</f>
        <v>0</v>
      </c>
      <c r="EC157" s="27">
        <v>56</v>
      </c>
      <c r="ED157" s="28">
        <f>IF(AND(ISNUMBER(EE157),ISNUMBER(EC157)),EE157-EC157,"")</f>
        <v>0</v>
      </c>
      <c r="EE157" s="27">
        <v>61</v>
      </c>
      <c r="EF157" s="28">
        <f>IF(AND(ISNUMBER(EG157),ISNUMBER(EE157)),EG157-EE157,"")</f>
        <v>0</v>
      </c>
      <c r="EG157" s="27">
        <v>70</v>
      </c>
      <c r="EH157" s="28">
        <f>IF(AND(ISNUMBER(EI157),ISNUMBER(EG157)),EI157-EG157,"")</f>
        <v>0</v>
      </c>
      <c r="EI157" s="27">
        <v>68</v>
      </c>
      <c r="EJ157" s="28">
        <f>IF(AND(ISNUMBER(EK157),ISNUMBER(EI157)),EK157-EI157,"")</f>
        <v>0</v>
      </c>
      <c r="EK157" s="27">
        <v>71</v>
      </c>
      <c r="EL157" s="28">
        <f>IF(AND(ISNUMBER(EM157),ISNUMBER(EK157)),EM157-EK157,"")</f>
        <v>0</v>
      </c>
      <c r="EM157" s="27">
        <v>55</v>
      </c>
      <c r="EN157" s="28">
        <f>IF(AND(ISNUMBER(EO157),ISNUMBER(EM157)),EO157-EM157,"")</f>
        <v>0</v>
      </c>
      <c r="EO157" s="27">
        <v>52</v>
      </c>
      <c r="EP157" s="28">
        <f>IF(AND(ISNUMBER(EQ157),ISNUMBER(EO157)),EQ157-EO157,"")</f>
        <v>0</v>
      </c>
      <c r="EQ157" s="27">
        <v>52</v>
      </c>
      <c r="ER157" s="28">
        <f>IF(AND(ISNUMBER(ES157),ISNUMBER(EQ157)),ES157-EQ157,"")</f>
        <v>0</v>
      </c>
      <c r="ES157" s="27">
        <v>65</v>
      </c>
      <c r="ET157" s="28">
        <f>IF(AND(ISNUMBER(EU157),ISNUMBER(ES157)),EU157-ES157,"")</f>
        <v>0</v>
      </c>
      <c r="EU157" s="27">
        <v>65</v>
      </c>
      <c r="EV157" s="28">
        <f>IF(AND(ISNUMBER(EW157),ISNUMBER(EU157)),EW157-EU157,"")</f>
        <v>0</v>
      </c>
      <c r="EW157" s="27">
        <v>59</v>
      </c>
      <c r="EX157" s="28">
        <f>IF(AND(ISNUMBER(EY157),ISNUMBER(EW157)),EY157-EW157,"")</f>
        <v>0</v>
      </c>
      <c r="EY157" s="27">
        <v>40</v>
      </c>
      <c r="EZ157" s="28">
        <f>IF(AND(ISNUMBER(FA157),ISNUMBER(EY157)),FA157-EY157,"")</f>
        <v>0</v>
      </c>
      <c r="FA157" s="27">
        <v>45</v>
      </c>
      <c r="FB157" s="28">
        <f>IF(AND(ISNUMBER(FC157),ISNUMBER(FA157)),FC157-FA157,"")</f>
        <v>0</v>
      </c>
      <c r="FC157" s="27">
        <v>53</v>
      </c>
      <c r="FD157" s="28">
        <f>IF(AND(ISNUMBER(FE157),ISNUMBER(FC157)),FE157-FC157,"")</f>
        <v>0</v>
      </c>
      <c r="FE157" s="27">
        <v>55</v>
      </c>
      <c r="FF157" s="28">
        <f>IF(AND(ISNUMBER(FG157),ISNUMBER(FE157)),FG157-FE157,"")</f>
        <v>0</v>
      </c>
      <c r="FG157" s="27">
        <v>53</v>
      </c>
      <c r="FH157" s="28">
        <f>IF(AND(ISNUMBER(FI157),ISNUMBER(FG157)),FI157-FG157,"")</f>
        <v>0</v>
      </c>
      <c r="FI157" s="27">
        <v>61</v>
      </c>
      <c r="FJ157" s="28">
        <f>IF(AND(ISNUMBER(FK157),ISNUMBER(FI157)),FK157-FI157,"")</f>
        <v>0</v>
      </c>
      <c r="FK157" s="27">
        <v>64</v>
      </c>
      <c r="FL157" s="28">
        <f>IF(AND(ISNUMBER(FM157),ISNUMBER(FK157)),FM157-FK157,"")</f>
        <v>0</v>
      </c>
      <c r="FM157" s="27">
        <v>65</v>
      </c>
      <c r="FN157" s="28">
        <f>IF(AND(ISNUMBER(FO157),ISNUMBER(FM157)),FO157-FM157,"")</f>
        <v>0</v>
      </c>
      <c r="FO157" s="27">
        <v>49</v>
      </c>
      <c r="FP157" s="28">
        <f>IF(AND(ISNUMBER(FQ157),ISNUMBER(FO157)),FQ157-FO157,"")</f>
        <v>0</v>
      </c>
      <c r="FQ157" s="27">
        <v>41</v>
      </c>
      <c r="FR157" s="28">
        <f>IF(AND(ISNUMBER(FS157),ISNUMBER(FQ157)),FS157-FQ157,"")</f>
        <v>0</v>
      </c>
      <c r="FS157" s="27">
        <v>41</v>
      </c>
      <c r="FT157" s="28">
        <f>IF(AND(ISNUMBER(FU157),ISNUMBER(FS157)),FU157-FS157,"")</f>
        <v>0</v>
      </c>
      <c r="FU157" s="27">
        <v>48</v>
      </c>
      <c r="FV157" s="28">
        <f>IF(AND(ISNUMBER(FW157),ISNUMBER(FU157)),FW157-FU157,"")</f>
        <v>0</v>
      </c>
      <c r="FW157" s="27">
        <v>53</v>
      </c>
      <c r="FX157" s="28">
        <f>IF(AND(ISNUMBER(FY157),ISNUMBER(FW157)),FY157-FW157,"")</f>
        <v>0</v>
      </c>
      <c r="FY157" s="27">
        <v>63</v>
      </c>
      <c r="FZ157" s="28">
        <f>IF(AND(ISNUMBER(GA157),ISNUMBER(FY157)),GA157-FY157,"")</f>
        <v>0</v>
      </c>
      <c r="GA157" s="27">
        <v>69</v>
      </c>
      <c r="GB157" s="28">
        <f>IF(AND(ISNUMBER(GC157),ISNUMBER(GA157)),GC157-GA157,"")</f>
        <v>0</v>
      </c>
      <c r="GC157" s="27">
        <v>78</v>
      </c>
      <c r="GD157" s="28">
        <f>IF(AND(ISNUMBER(GE157),ISNUMBER(GC157)),GE157-GC157,"")</f>
        <v>0</v>
      </c>
      <c r="GE157" s="27">
        <v>82</v>
      </c>
      <c r="GF157" s="28">
        <f>IF(AND(ISNUMBER(GG157),ISNUMBER(GE157)),GG157-GE157,"")</f>
        <v>0</v>
      </c>
      <c r="GG157" s="27">
        <v>90</v>
      </c>
      <c r="GH157" s="28">
        <f>IF(AND(ISNUMBER(GI157),ISNUMBER(GG157)),GI157-GG157,"")</f>
        <v>0</v>
      </c>
      <c r="GI157" s="27">
        <v>97</v>
      </c>
      <c r="GJ157" s="28">
        <f>IF(AND(ISNUMBER(GK157),ISNUMBER(GI157)),GK157-GI157,"")</f>
        <v>0</v>
      </c>
      <c r="GK157" s="27">
        <v>105</v>
      </c>
      <c r="GL157" s="28">
        <f>IF(AND(ISNUMBER(GM157),ISNUMBER(GK157)),GM157-GK157,"")</f>
        <v>0</v>
      </c>
      <c r="GM157" s="27">
        <v>112</v>
      </c>
      <c r="GN157" s="28">
        <f>IF(AND(ISNUMBER(GO157),ISNUMBER(GM157)),GO157-GM157,"")</f>
        <v>0</v>
      </c>
      <c r="GO157" s="27">
        <v>120</v>
      </c>
      <c r="GP157" s="28">
        <f>IF(AND(ISNUMBER(GQ157),ISNUMBER(GO157)),GQ157-GO157,"")</f>
        <v>0</v>
      </c>
      <c r="GQ157" s="27">
        <v>119</v>
      </c>
      <c r="GR157" s="28">
        <f>IF(AND(ISNUMBER(GS157),ISNUMBER(GQ157)),GS157-GQ157,"")</f>
        <v>0</v>
      </c>
      <c r="GS157" s="27">
        <v>122</v>
      </c>
      <c r="GT157" s="28">
        <f>IF(AND(ISNUMBER(GU157),ISNUMBER(GS157)),GU157-GS157,"")</f>
        <v>0</v>
      </c>
      <c r="GU157" s="27">
        <v>130</v>
      </c>
      <c r="GV157" s="28">
        <f>IF(AND(ISNUMBER(GW157),ISNUMBER(GU157)),GW157-GU157,"")</f>
        <v>0</v>
      </c>
      <c r="GW157" s="27">
        <v>136</v>
      </c>
      <c r="GX157" s="28">
        <f>IF(AND(ISNUMBER(GY157),ISNUMBER(GW157)),GY157-GW157,"")</f>
        <v>0</v>
      </c>
      <c r="GY157" s="27">
        <v>144</v>
      </c>
      <c r="GZ157" s="28">
        <f>IF(AND(ISNUMBER(HA157),ISNUMBER(GY157)),HA157-GY157,"")</f>
        <v>0</v>
      </c>
      <c r="HA157" s="27">
        <v>159</v>
      </c>
      <c r="HB157" s="28">
        <f>IF(AND(ISNUMBER(HC157),ISNUMBER(HA157)),HC157-HA157,"")</f>
        <v>0</v>
      </c>
      <c r="HC157" s="27">
        <v>153</v>
      </c>
      <c r="HD157" s="28">
        <f>IF(AND(ISNUMBER(HE157),ISNUMBER(HC157)),HE157-HC157,"")</f>
        <v>0</v>
      </c>
      <c r="HE157" s="27">
        <v>149</v>
      </c>
      <c r="HF157" s="28">
        <f>IF(AND(ISNUMBER(HG157),ISNUMBER(HE157)),HG157-HE157,"")</f>
        <v>0</v>
      </c>
      <c r="HG157" s="27">
        <v>131</v>
      </c>
      <c r="HH157" s="28">
        <f>IF(AND(ISNUMBER(HI157),ISNUMBER(HG157)),HI157-HG157,"")</f>
        <v>0</v>
      </c>
      <c r="HI157" s="27">
        <v>103</v>
      </c>
      <c r="HJ157" s="28">
        <f>IF(AND(ISNUMBER(HK157),ISNUMBER(HI157)),HK157-HI157,"")</f>
        <v>0</v>
      </c>
      <c r="HK157" s="27">
        <v>94</v>
      </c>
      <c r="HL157" s="28">
        <f>IF(AND(ISNUMBER(HM157),ISNUMBER(HK157)),HM157-HK157,"")</f>
        <v>0</v>
      </c>
      <c r="HM157" s="27">
        <v>81</v>
      </c>
      <c r="HN157" s="28">
        <f>IF(AND(ISNUMBER(HO157),ISNUMBER(HM157)),HO157-HM157,"")</f>
        <v>0</v>
      </c>
      <c r="HO157" s="27">
        <v>89</v>
      </c>
      <c r="HP157" s="28">
        <f>IF(AND(ISNUMBER(HQ157),ISNUMBER(HO157)),HQ157-HO157,"")</f>
        <v>0</v>
      </c>
      <c r="HQ157" s="27">
        <v>90</v>
      </c>
      <c r="HR157" s="28">
        <f>IF(AND(ISNUMBER(HS157),ISNUMBER(HQ157)),HS157-HQ157,"")</f>
        <v>0</v>
      </c>
      <c r="HS157" s="27">
        <v>78</v>
      </c>
      <c r="HT157" s="28">
        <f>IF(AND(ISNUMBER(HU157),ISNUMBER(HS157)),HU157-HS157,"")</f>
        <v>0</v>
      </c>
      <c r="HU157" s="27">
        <v>75</v>
      </c>
      <c r="HV157" s="28">
        <f>IF(AND(ISNUMBER(HW157),ISNUMBER(HU157)),HW157-HU157,"")</f>
        <v>0</v>
      </c>
      <c r="HW157" s="27">
        <v>68</v>
      </c>
      <c r="HX157" s="28">
        <f>IF(AND(ISNUMBER(HY157),ISNUMBER(HW157)),HY157-HW157,"")</f>
        <v>0</v>
      </c>
      <c r="HY157" s="27">
        <v>81</v>
      </c>
      <c r="HZ157" s="28">
        <f>IF(AND(ISNUMBER(IA157),ISNUMBER(HY157)),IA157-HY157,"")</f>
        <v>0</v>
      </c>
      <c r="IA157" s="27">
        <v>78</v>
      </c>
      <c r="IB157" s="28">
        <f>IF(AND(ISNUMBER(IC157),ISNUMBER(IA157)),IC157-IA157,"")</f>
        <v>0</v>
      </c>
      <c r="IC157" s="27">
        <v>62</v>
      </c>
      <c r="ID157" s="28">
        <f>IF(AND(ISNUMBER(IE157),ISNUMBER(IC157)),IE157-IC157,"")</f>
        <v>0</v>
      </c>
      <c r="IE157" s="27">
        <v>62</v>
      </c>
      <c r="IF157" s="28">
        <f>IF(AND(ISNUMBER(IG157),ISNUMBER(IE157)),IG157-IE157,"")</f>
        <v>0</v>
      </c>
      <c r="IG157" s="27">
        <v>68</v>
      </c>
      <c r="IH157" s="28">
        <f>IF(AND(ISNUMBER(II157),ISNUMBER(IG157)),II157-IG157,"")</f>
        <v>0</v>
      </c>
      <c r="II157" s="27">
        <v>71</v>
      </c>
      <c r="IJ157" s="28">
        <f>IF(AND(ISNUMBER(IK157),ISNUMBER(II157)),IK157-II157,"")</f>
        <v>0</v>
      </c>
      <c r="IK157" s="27">
        <v>76</v>
      </c>
      <c r="IL157" s="28">
        <f>IF(AND(ISNUMBER(IM157),ISNUMBER(IK157)),IM157-IK157,"")</f>
        <v>0</v>
      </c>
      <c r="IM157" s="27">
        <v>76</v>
      </c>
      <c r="IN157" s="28">
        <f>IF(AND(ISNUMBER(IO157),ISNUMBER(IM157)),IO157-IM157,"")</f>
        <v>0</v>
      </c>
      <c r="IO157" s="27">
        <v>82</v>
      </c>
      <c r="IP157" s="28">
        <f>IF(AND(ISNUMBER(IQ157),ISNUMBER(IO157)),IQ157-IO157,"")</f>
        <v>0</v>
      </c>
      <c r="IQ157" s="27">
        <v>89</v>
      </c>
      <c r="IR157" s="28">
        <f>IF(AND(ISNUMBER(IS157),ISNUMBER(IQ157)),IS157-IQ157,"")</f>
        <v>0</v>
      </c>
      <c r="IS157" s="27">
        <v>83</v>
      </c>
      <c r="IT157" s="28">
        <f>IF(AND(ISNUMBER(IU157),ISNUMBER(IS157)),IU157-IS157,"")</f>
        <v>0</v>
      </c>
      <c r="IU157" s="27">
        <v>71</v>
      </c>
      <c r="IV157" s="28">
        <f>IF(AND(ISNUMBER(IW157),ISNUMBER(IU157)),IW157-IU157,"")</f>
        <v>0</v>
      </c>
      <c r="IW157" s="27">
        <v>70</v>
      </c>
      <c r="IX157" s="28">
        <f>IF(AND(ISNUMBER(IY157),ISNUMBER(IW157)),IY157-IW157,"")</f>
        <v>0</v>
      </c>
      <c r="IY157" s="27">
        <v>78</v>
      </c>
      <c r="IZ157" s="28">
        <f>IF(AND(ISNUMBER(JA157),ISNUMBER(IY157)),JA157-IY157,"")</f>
        <v>0</v>
      </c>
      <c r="JA157" s="27">
        <v>79</v>
      </c>
      <c r="JB157" s="28">
        <f>IF(AND(ISNUMBER(JC157),ISNUMBER(JA157)),JC157-JA157,"")</f>
        <v>0</v>
      </c>
      <c r="JC157" s="27">
        <v>78</v>
      </c>
      <c r="JD157" s="28">
        <f>IF(AND(ISNUMBER(JE157),ISNUMBER(JC157)),JE157-JC157,"")</f>
        <v>0</v>
      </c>
      <c r="JE157" s="27">
        <v>90</v>
      </c>
      <c r="JF157" s="28">
        <f>IF(AND(ISNUMBER(JG157),ISNUMBER(JE157)),JG157-JE157,"")</f>
        <v>0</v>
      </c>
      <c r="JG157" s="27">
        <v>91</v>
      </c>
      <c r="JH157" s="28">
        <f>IF(AND(ISNUMBER(JI157),ISNUMBER(JG157)),JI157-JG157,"")</f>
        <v>0</v>
      </c>
      <c r="JI157" s="27">
        <v>93</v>
      </c>
      <c r="JJ157" s="28">
        <f>IF(AND(ISNUMBER(JK157),ISNUMBER(JI157)),JK157-JI157,"")</f>
        <v>0</v>
      </c>
      <c r="JK157" s="27">
        <v>88</v>
      </c>
      <c r="JL157" s="28">
        <f>IF(AND(ISNUMBER(JM157),ISNUMBER(JK157)),JM157-JK157,"")</f>
        <v>0</v>
      </c>
      <c r="JM157" s="27">
        <v>80</v>
      </c>
      <c r="JN157" s="28">
        <f>IF(AND(ISNUMBER(JO157),ISNUMBER(JM157)),JO157-JM157,"")</f>
        <v>0</v>
      </c>
      <c r="JO157" s="27">
        <v>78</v>
      </c>
      <c r="JP157" s="28">
        <f>IF(AND(ISNUMBER(JQ157),ISNUMBER(JO157)),JQ157-JO157,"")</f>
        <v>0</v>
      </c>
      <c r="JQ157" s="27">
        <v>79</v>
      </c>
      <c r="JR157" s="28">
        <f>IF(AND(ISNUMBER(JS157),ISNUMBER(JQ157)),JS157-JQ157,"")</f>
        <v>0</v>
      </c>
      <c r="JS157" s="27">
        <v>81</v>
      </c>
      <c r="JT157" s="28">
        <f>IF(AND(ISNUMBER(JU157),ISNUMBER(JS157)),JU157-JS157,"")</f>
        <v>0</v>
      </c>
      <c r="JU157" s="27">
        <v>81</v>
      </c>
      <c r="JV157" s="28">
        <f>IF(AND(ISNUMBER(JW157),ISNUMBER(JU157)),JW157-JU157,"")</f>
        <v>0</v>
      </c>
      <c r="JW157" s="27">
        <v>80</v>
      </c>
      <c r="JX157" s="28">
        <f>IF(AND(ISNUMBER(JY157),ISNUMBER(JW157)),JY157-JW157,"")</f>
        <v>0</v>
      </c>
      <c r="JY157" s="27">
        <v>83</v>
      </c>
      <c r="JZ157" s="28">
        <f>IF(AND(ISNUMBER(KA157),ISNUMBER(JY157)),KA157-JY157,"")</f>
        <v>0</v>
      </c>
      <c r="KA157" s="27"/>
      <c r="KB157" s="28">
        <f>IF(AND(ISNUMBER(KC157),ISNUMBER(KA157)),KC157-KA157,"")</f>
        <v>0</v>
      </c>
      <c r="KC157" s="27"/>
      <c r="KD157" s="28">
        <f>IF(AND(ISNUMBER(KE157),ISNUMBER(KC157)),KE157-KC157,"")</f>
        <v>0</v>
      </c>
      <c r="KE157" s="27"/>
      <c r="KF157" s="28">
        <f>IF(AND(ISNUMBER(KG157),ISNUMBER(KE157)),KG157-KE157,"")</f>
        <v>0</v>
      </c>
      <c r="KG157" s="27"/>
      <c r="KH157" s="28">
        <f>IF(AND(ISNUMBER(KI157),ISNUMBER(KG157)),KI157-KG157,"")</f>
        <v>0</v>
      </c>
      <c r="KI157" s="27"/>
      <c r="KJ157" s="28">
        <f>IF(AND(ISNUMBER(KK157),ISNUMBER(KI157)),KK157-KI157,"")</f>
        <v>0</v>
      </c>
      <c r="KK157" s="27"/>
      <c r="KL157" s="28">
        <f>IF(AND(ISNUMBER(KM157),ISNUMBER(KK157)),KM157-KK157,"")</f>
        <v>0</v>
      </c>
      <c r="KM157" s="27"/>
      <c r="KN157" s="28">
        <f>IF(AND(ISNUMBER(KO157),ISNUMBER(KM157)),KO157-KM157,"")</f>
        <v>0</v>
      </c>
      <c r="KO157" s="27"/>
      <c r="KP157" s="28">
        <f>IF(AND(ISNUMBER(KQ157),ISNUMBER(KO157)),KQ157-KO157,"")</f>
        <v>0</v>
      </c>
      <c r="KQ157" s="27"/>
      <c r="KR157" s="28">
        <f>IF(AND(ISNUMBER(KS157),ISNUMBER(KQ157)),KS157-KQ157,"")</f>
        <v>0</v>
      </c>
      <c r="KS157" s="27"/>
      <c r="KT157" s="28">
        <f>IF(AND(ISNUMBER(KU157),ISNUMBER(KS157)),KU157-KS157,"")</f>
        <v>0</v>
      </c>
      <c r="KU157" s="27"/>
      <c r="KV157" s="28">
        <f>IF(AND(ISNUMBER(KW157),ISNUMBER(KU157)),KW157-KU157,"")</f>
        <v>0</v>
      </c>
      <c r="KW157" s="27"/>
      <c r="KX157" s="28">
        <f>IF(AND(ISNUMBER(KY157),ISNUMBER(KW157)),KY157-KW157,"")</f>
        <v>0</v>
      </c>
      <c r="KY157" s="27"/>
      <c r="KZ157" s="28">
        <f>IF(AND(ISNUMBER(LA157),ISNUMBER(KY157)),LA157-KY157,"")</f>
        <v>0</v>
      </c>
      <c r="LA157" s="27"/>
      <c r="LB157" s="28">
        <f>IF(AND(ISNUMBER(LC157),ISNUMBER(LA157)),LC157-LA157,"")</f>
        <v>0</v>
      </c>
      <c r="LC157" s="27"/>
      <c r="LD157" s="28">
        <f>IF(AND(ISNUMBER(LE157),ISNUMBER(LC157)),LE157-LC157,"")</f>
        <v>0</v>
      </c>
      <c r="LE157" s="27"/>
      <c r="LF157" s="28">
        <f>IF(AND(ISNUMBER(LG157),ISNUMBER(LE157)),LG157-LE157,"")</f>
        <v>0</v>
      </c>
      <c r="LG157" s="27"/>
      <c r="LH157" s="30"/>
      <c r="LI157" s="30"/>
      <c r="LJ157" s="30"/>
    </row>
    <row r="159" spans="1:322" ht="30" customHeight="1">
      <c r="A159" s="44" t="s">
        <v>1159</v>
      </c>
      <c r="B159" s="44" t="s">
        <v>1160</v>
      </c>
      <c r="C159" s="44"/>
      <c r="D159" s="44"/>
      <c r="E159" s="44"/>
      <c r="F159" s="45" t="s">
        <v>1161</v>
      </c>
      <c r="JA159" s="46">
        <v>45870</v>
      </c>
      <c r="JB159" s="20" t="s">
        <v>1077</v>
      </c>
      <c r="JC159" s="46">
        <v>45901</v>
      </c>
      <c r="JD159" s="20" t="s">
        <v>1077</v>
      </c>
      <c r="JE159" s="46">
        <v>45931</v>
      </c>
      <c r="JF159" s="20" t="s">
        <v>1077</v>
      </c>
      <c r="JG159" s="46">
        <v>45962</v>
      </c>
      <c r="JH159" s="20" t="s">
        <v>1077</v>
      </c>
      <c r="JI159" s="46">
        <v>45992</v>
      </c>
      <c r="JJ159" s="20" t="s">
        <v>1077</v>
      </c>
      <c r="JK159" s="46">
        <v>46023</v>
      </c>
      <c r="JL159" s="20" t="s">
        <v>1077</v>
      </c>
      <c r="JM159" s="46">
        <v>46054</v>
      </c>
      <c r="JN159" s="20" t="s">
        <v>1077</v>
      </c>
      <c r="JO159" s="46">
        <v>46082</v>
      </c>
      <c r="JP159" s="20" t="s">
        <v>1077</v>
      </c>
      <c r="JQ159" s="46">
        <v>46113</v>
      </c>
      <c r="JR159" s="20" t="s">
        <v>1077</v>
      </c>
      <c r="JS159" s="46">
        <v>46143</v>
      </c>
      <c r="JT159" s="20" t="s">
        <v>1077</v>
      </c>
      <c r="JU159" s="46">
        <v>46174</v>
      </c>
      <c r="JV159" s="20" t="s">
        <v>1077</v>
      </c>
      <c r="JW159" s="46">
        <v>46204</v>
      </c>
      <c r="JX159" s="20" t="s">
        <v>1077</v>
      </c>
      <c r="JY159" s="46">
        <v>46235</v>
      </c>
      <c r="JZ159" s="20" t="s">
        <v>1077</v>
      </c>
      <c r="KA159" s="46">
        <v>46266</v>
      </c>
      <c r="KB159" s="20" t="s">
        <v>1077</v>
      </c>
      <c r="KC159" s="46">
        <v>46296</v>
      </c>
      <c r="KD159" s="20" t="s">
        <v>1077</v>
      </c>
      <c r="KE159" s="46">
        <v>46327</v>
      </c>
      <c r="KF159" s="20" t="s">
        <v>1077</v>
      </c>
      <c r="KG159" s="46">
        <v>46357</v>
      </c>
      <c r="KH159" s="20" t="s">
        <v>1077</v>
      </c>
      <c r="KI159" s="46">
        <v>46388</v>
      </c>
      <c r="KJ159" s="20" t="s">
        <v>1077</v>
      </c>
      <c r="KK159" s="46">
        <v>46419</v>
      </c>
      <c r="KL159" s="20" t="s">
        <v>1077</v>
      </c>
      <c r="KM159" s="46">
        <v>46447</v>
      </c>
      <c r="KN159" s="20" t="s">
        <v>1077</v>
      </c>
      <c r="KO159" s="46">
        <v>46478</v>
      </c>
      <c r="KP159" s="20" t="s">
        <v>1077</v>
      </c>
      <c r="KQ159" s="46">
        <v>46508</v>
      </c>
      <c r="KR159" s="20" t="s">
        <v>1077</v>
      </c>
      <c r="KS159" s="46">
        <v>46539</v>
      </c>
      <c r="KT159" s="20" t="s">
        <v>1077</v>
      </c>
      <c r="KU159" s="46">
        <v>46569</v>
      </c>
      <c r="KV159" s="20" t="s">
        <v>1077</v>
      </c>
      <c r="KW159" s="46">
        <v>46600</v>
      </c>
      <c r="KX159" s="20" t="s">
        <v>1077</v>
      </c>
      <c r="KY159" s="46">
        <v>46631</v>
      </c>
      <c r="KZ159" s="20" t="s">
        <v>1077</v>
      </c>
      <c r="LA159" s="46">
        <v>46661</v>
      </c>
      <c r="LB159" s="20" t="s">
        <v>1077</v>
      </c>
      <c r="LC159" s="46">
        <v>46692</v>
      </c>
      <c r="LD159" s="20" t="s">
        <v>1077</v>
      </c>
      <c r="LE159" s="46">
        <v>46722</v>
      </c>
      <c r="LF159" s="20" t="s">
        <v>1077</v>
      </c>
      <c r="LG159" s="46">
        <v>46753</v>
      </c>
    </row>
    <row r="160" spans="1:322" ht="12" customHeight="1">
      <c r="JA160" s="21">
        <f>IF(COUNT(JA161:JA163)&gt;0,"Y","X")</f>
        <v>0</v>
      </c>
      <c r="JC160" s="21">
        <f>IF(COUNT(JC161:JC163)&gt;0,"Y","X")</f>
        <v>0</v>
      </c>
      <c r="JE160" s="21">
        <f>IF(COUNT(JE161:JE163)&gt;0,"Y","X")</f>
        <v>0</v>
      </c>
      <c r="JG160" s="21">
        <f>IF(COUNT(JG161:JG163)&gt;0,"Y","X")</f>
        <v>0</v>
      </c>
      <c r="JI160" s="21">
        <f>IF(COUNT(JI161:JI163)&gt;0,"Y","X")</f>
        <v>0</v>
      </c>
      <c r="JK160" s="21">
        <f>IF(COUNT(JK161:JK163)&gt;0,"Y","X")</f>
        <v>0</v>
      </c>
      <c r="JM160" s="21">
        <f>IF(COUNT(JM161:JM163)&gt;0,"Y","X")</f>
        <v>0</v>
      </c>
      <c r="JO160" s="21">
        <f>IF(COUNT(JO161:JO163)&gt;0,"Y","X")</f>
        <v>0</v>
      </c>
      <c r="JQ160" s="21">
        <f>IF(COUNT(JQ161:JQ163)&gt;0,"Y","X")</f>
        <v>0</v>
      </c>
      <c r="JS160" s="21">
        <f>IF(COUNT(JS161:JS163)&gt;0,"Y","X")</f>
        <v>0</v>
      </c>
      <c r="JU160" s="21">
        <f>IF(COUNT(JU161:JU163)&gt;0,"Y","X")</f>
        <v>0</v>
      </c>
      <c r="JW160" s="21">
        <f>IF(COUNT(JW161:JW163)&gt;0,"Y","X")</f>
        <v>0</v>
      </c>
      <c r="JY160" s="21">
        <f>IF(COUNT(JY161:JY163)&gt;0,"Y","X")</f>
        <v>0</v>
      </c>
      <c r="KA160" s="21">
        <f>IF(COUNT(KA161:KA163)&gt;0,"Y","X")</f>
        <v>0</v>
      </c>
      <c r="KC160" s="21">
        <f>IF(COUNT(KC161:KC163)&gt;0,"Y","X")</f>
        <v>0</v>
      </c>
      <c r="KE160" s="21">
        <f>IF(COUNT(KE161:KE163)&gt;0,"Y","X")</f>
        <v>0</v>
      </c>
      <c r="KG160" s="21">
        <f>IF(COUNT(KG161:KG163)&gt;0,"Y","X")</f>
        <v>0</v>
      </c>
      <c r="KI160" s="21">
        <f>IF(COUNT(KI161:KI163)&gt;0,"Y","X")</f>
        <v>0</v>
      </c>
      <c r="KK160" s="21">
        <f>IF(COUNT(KK161:KK163)&gt;0,"Y","X")</f>
        <v>0</v>
      </c>
      <c r="KM160" s="21">
        <f>IF(COUNT(KM161:KM163)&gt;0,"Y","X")</f>
        <v>0</v>
      </c>
      <c r="KO160" s="21">
        <f>IF(COUNT(KO161:KO163)&gt;0,"Y","X")</f>
        <v>0</v>
      </c>
      <c r="KQ160" s="21">
        <f>IF(COUNT(KQ161:KQ163)&gt;0,"Y","X")</f>
        <v>0</v>
      </c>
      <c r="KS160" s="21">
        <f>IF(COUNT(KS161:KS163)&gt;0,"Y","X")</f>
        <v>0</v>
      </c>
      <c r="KU160" s="21">
        <f>IF(COUNT(KU161:KU163)&gt;0,"Y","X")</f>
        <v>0</v>
      </c>
      <c r="KW160" s="21">
        <f>IF(COUNT(KW161:KW163)&gt;0,"Y","X")</f>
        <v>0</v>
      </c>
      <c r="KY160" s="21">
        <f>IF(COUNT(KY161:KY163)&gt;0,"Y","X")</f>
        <v>0</v>
      </c>
      <c r="LA160" s="21">
        <f>IF(COUNT(LA161:LA163)&gt;0,"Y","X")</f>
        <v>0</v>
      </c>
      <c r="LC160" s="21">
        <f>IF(COUNT(LC161:LC163)&gt;0,"Y","X")</f>
        <v>0</v>
      </c>
      <c r="LE160" s="21">
        <f>IF(COUNT(LE161:LE163)&gt;0,"Y","X")</f>
        <v>0</v>
      </c>
      <c r="LG160" s="21">
        <f>IF(COUNT(LG161:LG163)&gt;0,"Y","X")</f>
        <v>0</v>
      </c>
    </row>
    <row r="161" spans="1:319">
      <c r="A161" s="24" t="s">
        <v>975</v>
      </c>
      <c r="B161" s="23" t="s">
        <v>1162</v>
      </c>
      <c r="C161" s="43" t="s">
        <v>1163</v>
      </c>
      <c r="D161" s="43" t="s">
        <v>1164</v>
      </c>
      <c r="E161" s="47" t="s">
        <v>1040</v>
      </c>
      <c r="JA161" s="48"/>
      <c r="JB161" s="28">
        <f>IF(AND(ISNUMBER(JC161),ISNUMBER(JA161)),JC161-JA161,"")</f>
        <v>0</v>
      </c>
      <c r="JC161" s="48"/>
      <c r="JD161" s="28">
        <f>IF(AND(ISNUMBER(JE161),ISNUMBER(JC161)),JE161-JC161,"")</f>
        <v>0</v>
      </c>
      <c r="JE161" s="48"/>
      <c r="JF161" s="28">
        <f>IF(AND(ISNUMBER(JG161),ISNUMBER(JE161)),JG161-JE161,"")</f>
        <v>0</v>
      </c>
      <c r="JG161" s="48"/>
      <c r="JH161" s="28">
        <f>IF(AND(ISNUMBER(JI161),ISNUMBER(JG161)),JI161-JG161,"")</f>
        <v>0</v>
      </c>
      <c r="JI161" s="48"/>
      <c r="JJ161" s="28">
        <f>IF(AND(ISNUMBER(JK161),ISNUMBER(JI161)),JK161-JI161,"")</f>
        <v>0</v>
      </c>
      <c r="JK161" s="48"/>
      <c r="JL161" s="28">
        <f>IF(AND(ISNUMBER(JM161),ISNUMBER(JK161)),JM161-JK161,"")</f>
        <v>0</v>
      </c>
      <c r="JM161" s="48"/>
      <c r="JN161" s="28">
        <f>IF(AND(ISNUMBER(JO161),ISNUMBER(JM161)),JO161-JM161,"")</f>
        <v>0</v>
      </c>
      <c r="JO161" s="48"/>
      <c r="JP161" s="28">
        <f>IF(AND(ISNUMBER(JQ161),ISNUMBER(JO161)),JQ161-JO161,"")</f>
        <v>0</v>
      </c>
      <c r="JQ161" s="48"/>
      <c r="JR161" s="28">
        <f>IF(AND(ISNUMBER(JS161),ISNUMBER(JQ161)),JS161-JQ161,"")</f>
        <v>0</v>
      </c>
      <c r="JS161" s="48"/>
      <c r="JT161" s="28">
        <f>IF(AND(ISNUMBER(JU161),ISNUMBER(JS161)),JU161-JS161,"")</f>
        <v>0</v>
      </c>
      <c r="JU161" s="48"/>
      <c r="JV161" s="28">
        <f>IF(AND(ISNUMBER(JW161),ISNUMBER(JU161)),JW161-JU161,"")</f>
        <v>0</v>
      </c>
      <c r="JW161" s="48"/>
      <c r="JX161" s="28">
        <f>IF(AND(ISNUMBER(JY161),ISNUMBER(JW161)),JY161-JW161,"")</f>
        <v>0</v>
      </c>
      <c r="JY161" s="48"/>
      <c r="JZ161" s="28">
        <f>IF(AND(ISNUMBER(KA161),ISNUMBER(JY161)),KA161-JY161,"")</f>
        <v>0</v>
      </c>
      <c r="KA161" s="48"/>
      <c r="KB161" s="28">
        <f>IF(AND(ISNUMBER(KC161),ISNUMBER(KA161)),KC161-KA161,"")</f>
        <v>0</v>
      </c>
      <c r="KC161" s="48"/>
      <c r="KD161" s="28">
        <f>IF(AND(ISNUMBER(KE161),ISNUMBER(KC161)),KE161-KC161,"")</f>
        <v>0</v>
      </c>
      <c r="KE161" s="48"/>
      <c r="KF161" s="28">
        <f>IF(AND(ISNUMBER(KG161),ISNUMBER(KE161)),KG161-KE161,"")</f>
        <v>0</v>
      </c>
      <c r="KG161" s="48"/>
      <c r="KH161" s="28">
        <f>IF(AND(ISNUMBER(KI161),ISNUMBER(KG161)),KI161-KG161,"")</f>
        <v>0</v>
      </c>
      <c r="KI161" s="48"/>
      <c r="KJ161" s="28">
        <f>IF(AND(ISNUMBER(KK161),ISNUMBER(KI161)),KK161-KI161,"")</f>
        <v>0</v>
      </c>
      <c r="KK161" s="48"/>
      <c r="KL161" s="28">
        <f>IF(AND(ISNUMBER(KM161),ISNUMBER(KK161)),KM161-KK161,"")</f>
        <v>0</v>
      </c>
      <c r="KM161" s="48"/>
      <c r="KN161" s="28">
        <f>IF(AND(ISNUMBER(KO161),ISNUMBER(KM161)),KO161-KM161,"")</f>
        <v>0</v>
      </c>
      <c r="KO161" s="48"/>
      <c r="KP161" s="28">
        <f>IF(AND(ISNUMBER(KQ161),ISNUMBER(KO161)),KQ161-KO161,"")</f>
        <v>0</v>
      </c>
      <c r="KQ161" s="48"/>
      <c r="KR161" s="28">
        <f>IF(AND(ISNUMBER(KS161),ISNUMBER(KQ161)),KS161-KQ161,"")</f>
        <v>0</v>
      </c>
      <c r="KS161" s="48"/>
      <c r="KT161" s="28">
        <f>IF(AND(ISNUMBER(KU161),ISNUMBER(KS161)),KU161-KS161,"")</f>
        <v>0</v>
      </c>
      <c r="KU161" s="48"/>
      <c r="KV161" s="28">
        <f>IF(AND(ISNUMBER(KW161),ISNUMBER(KU161)),KW161-KU161,"")</f>
        <v>0</v>
      </c>
      <c r="KW161" s="48"/>
      <c r="KX161" s="28">
        <f>IF(AND(ISNUMBER(KY161),ISNUMBER(KW161)),KY161-KW161,"")</f>
        <v>0</v>
      </c>
      <c r="KY161" s="48"/>
      <c r="KZ161" s="28">
        <f>IF(AND(ISNUMBER(LA161),ISNUMBER(KY161)),LA161-KY161,"")</f>
        <v>0</v>
      </c>
      <c r="LA161" s="48"/>
      <c r="LB161" s="28">
        <f>IF(AND(ISNUMBER(LC161),ISNUMBER(LA161)),LC161-LA161,"")</f>
        <v>0</v>
      </c>
      <c r="LC161" s="48"/>
      <c r="LD161" s="28">
        <f>IF(AND(ISNUMBER(LE161),ISNUMBER(LC161)),LE161-LC161,"")</f>
        <v>0</v>
      </c>
      <c r="LE161" s="48"/>
      <c r="LF161" s="28">
        <f>IF(AND(ISNUMBER(LG161),ISNUMBER(LE161)),LG161-LE161,"")</f>
        <v>0</v>
      </c>
      <c r="LG161" s="48"/>
    </row>
    <row r="162" spans="1:319">
      <c r="A162" s="37" t="s">
        <v>385</v>
      </c>
      <c r="B162" s="23"/>
      <c r="C162" s="31" t="s">
        <v>1165</v>
      </c>
      <c r="D162" s="31" t="s">
        <v>1164</v>
      </c>
      <c r="E162" s="49" t="s">
        <v>1040</v>
      </c>
      <c r="JA162" s="50">
        <f>[1]Dashboard!$I$4</f>
        <v>290</v>
      </c>
      <c r="JB162" s="34">
        <f>IF(AND(ISNUMBER(JC162),ISNUMBER(JA162)),JC162-JA162,"")</f>
        <v>0</v>
      </c>
      <c r="JC162" s="50">
        <f>[1]Dashboard!$J$4</f>
        <v>290</v>
      </c>
      <c r="JD162" s="34">
        <f>IF(AND(ISNUMBER(JE162),ISNUMBER(JC162)),JE162-JC162,"")</f>
        <v>0</v>
      </c>
      <c r="JE162" s="50">
        <f>[1]Dashboard!$K$4</f>
        <v>280</v>
      </c>
      <c r="JF162" s="34">
        <f>IF(AND(ISNUMBER(JG162),ISNUMBER(JE162)),JG162-JE162,"")</f>
        <v>0</v>
      </c>
      <c r="JG162" s="50">
        <f>[1]Dashboard!$L$4</f>
        <v>280</v>
      </c>
      <c r="JH162" s="34">
        <f>IF(AND(ISNUMBER(JI162),ISNUMBER(JG162)),JI162-JG162,"")</f>
        <v>0</v>
      </c>
      <c r="JI162" s="50">
        <f>[1]Dashboard!$M$4</f>
        <v>270</v>
      </c>
      <c r="JJ162" s="34">
        <f>IF(AND(ISNUMBER(JK162),ISNUMBER(JI162)),JK162-JI162,"")</f>
        <v>0</v>
      </c>
      <c r="JK162" s="50">
        <f>[1]Dashboard!$N$4</f>
        <v>250</v>
      </c>
      <c r="JL162" s="34">
        <f>IF(AND(ISNUMBER(JM162),ISNUMBER(JK162)),JM162-JK162,"")</f>
        <v>0</v>
      </c>
      <c r="JM162" s="50">
        <f>[1]Dashboard!$O$4</f>
        <v>245</v>
      </c>
      <c r="JN162" s="34">
        <f>IF(AND(ISNUMBER(JO162),ISNUMBER(JM162)),JO162-JM162,"")</f>
        <v>0</v>
      </c>
      <c r="JO162" s="50">
        <f>[1]Dashboard!$P$4</f>
        <v>240</v>
      </c>
      <c r="JP162" s="34">
        <f>IF(AND(ISNUMBER(JQ162),ISNUMBER(JO162)),JQ162-JO162,"")</f>
        <v>0</v>
      </c>
      <c r="JQ162" s="50">
        <f>[1]Dashboard!$Q$4</f>
        <v>235</v>
      </c>
      <c r="JR162" s="34">
        <f>IF(AND(ISNUMBER(JS162),ISNUMBER(JQ162)),JS162-JQ162,"")</f>
        <v>0</v>
      </c>
      <c r="JS162" s="50">
        <f>[1]Dashboard!$R$4</f>
        <v>230</v>
      </c>
      <c r="JT162" s="34">
        <f>IF(AND(ISNUMBER(JU162),ISNUMBER(JS162)),JU162-JS162,"")</f>
        <v>0</v>
      </c>
      <c r="JU162" s="50">
        <f>[1]Dashboard!$S$4</f>
        <v>230</v>
      </c>
      <c r="JV162" s="34">
        <f>IF(AND(ISNUMBER(JW162),ISNUMBER(JU162)),JW162-JU162,"")</f>
        <v>0</v>
      </c>
      <c r="JW162" s="50">
        <f>[1]Dashboard!$T$4</f>
        <v>225</v>
      </c>
      <c r="JX162" s="34">
        <f>IF(AND(ISNUMBER(JY162),ISNUMBER(JW162)),JY162-JW162,"")</f>
        <v>0</v>
      </c>
      <c r="JY162" s="50">
        <f>[1]Dashboard!$U$4</f>
        <v>225</v>
      </c>
      <c r="JZ162" s="34">
        <f>IF(AND(ISNUMBER(KA162),ISNUMBER(JY162)),KA162-JY162,"")</f>
        <v>0</v>
      </c>
      <c r="KA162" s="50">
        <f>[1]Dashboard!$V$4</f>
        <v>225</v>
      </c>
      <c r="KB162" s="34">
        <f>IF(AND(ISNUMBER(KC162),ISNUMBER(KA162)),KC162-KA162,"")</f>
        <v>0</v>
      </c>
      <c r="KC162" s="50">
        <f>[1]Dashboard!$W$4</f>
        <v>225</v>
      </c>
      <c r="KD162" s="34">
        <f>IF(AND(ISNUMBER(KE162),ISNUMBER(KC162)),KE162-KC162,"")</f>
        <v>0</v>
      </c>
      <c r="KE162" s="50">
        <f>[1]Dashboard!$X$4</f>
        <v>220</v>
      </c>
      <c r="KF162" s="34">
        <f>IF(AND(ISNUMBER(KG162),ISNUMBER(KE162)),KG162-KE162,"")</f>
        <v>0</v>
      </c>
      <c r="KG162" s="50">
        <f>[1]Dashboard!$Y$4</f>
        <v>200</v>
      </c>
      <c r="KH162" s="34">
        <f>IF(AND(ISNUMBER(KI162),ISNUMBER(KG162)),KI162-KG162,"")</f>
        <v>0</v>
      </c>
      <c r="KI162" s="50">
        <f>[1]Dashboard!$Z$4</f>
        <v>192.52</v>
      </c>
      <c r="KJ162" s="34">
        <f>IF(AND(ISNUMBER(KK162),ISNUMBER(KI162)),KK162-KI162,"")</f>
        <v>0</v>
      </c>
      <c r="KK162" s="51"/>
      <c r="KL162" s="34">
        <f>IF(AND(ISNUMBER(KM162),ISNUMBER(KK162)),KM162-KK162,"")</f>
        <v>0</v>
      </c>
      <c r="KM162" s="51"/>
      <c r="KN162" s="34">
        <f>IF(AND(ISNUMBER(KO162),ISNUMBER(KM162)),KO162-KM162,"")</f>
        <v>0</v>
      </c>
      <c r="KO162" s="51"/>
      <c r="KP162" s="34">
        <f>IF(AND(ISNUMBER(KQ162),ISNUMBER(KO162)),KQ162-KO162,"")</f>
        <v>0</v>
      </c>
      <c r="KQ162" s="51"/>
      <c r="KR162" s="34">
        <f>IF(AND(ISNUMBER(KS162),ISNUMBER(KQ162)),KS162-KQ162,"")</f>
        <v>0</v>
      </c>
      <c r="KS162" s="51"/>
      <c r="KT162" s="34">
        <f>IF(AND(ISNUMBER(KU162),ISNUMBER(KS162)),KU162-KS162,"")</f>
        <v>0</v>
      </c>
      <c r="KU162" s="51"/>
      <c r="KV162" s="34">
        <f>IF(AND(ISNUMBER(KW162),ISNUMBER(KU162)),KW162-KU162,"")</f>
        <v>0</v>
      </c>
      <c r="KW162" s="51"/>
      <c r="KX162" s="34">
        <f>IF(AND(ISNUMBER(KY162),ISNUMBER(KW162)),KY162-KW162,"")</f>
        <v>0</v>
      </c>
      <c r="KY162" s="51"/>
      <c r="KZ162" s="34">
        <f>IF(AND(ISNUMBER(LA162),ISNUMBER(KY162)),LA162-KY162,"")</f>
        <v>0</v>
      </c>
      <c r="LA162" s="51"/>
      <c r="LB162" s="34">
        <f>IF(AND(ISNUMBER(LC162),ISNUMBER(LA162)),LC162-LA162,"")</f>
        <v>0</v>
      </c>
      <c r="LC162" s="51"/>
      <c r="LD162" s="34">
        <f>IF(AND(ISNUMBER(LE162),ISNUMBER(LC162)),LE162-LC162,"")</f>
        <v>0</v>
      </c>
      <c r="LE162" s="51"/>
      <c r="LF162" s="34">
        <f>IF(AND(ISNUMBER(LG162),ISNUMBER(LE162)),LG162-LE162,"")</f>
        <v>0</v>
      </c>
      <c r="LG162" s="50">
        <f>[1]Dashboard!$AA$4</f>
        <v>192.52</v>
      </c>
    </row>
    <row r="163" spans="1:319">
      <c r="A163" s="37" t="s">
        <v>387</v>
      </c>
      <c r="B163" s="23"/>
      <c r="C163" s="31" t="s">
        <v>1166</v>
      </c>
      <c r="D163" s="31" t="s">
        <v>1164</v>
      </c>
      <c r="E163" s="49" t="s">
        <v>1040</v>
      </c>
      <c r="JA163" s="50">
        <f>[1]Dashboard!$I$5</f>
        <v>264.95</v>
      </c>
      <c r="JB163" s="34">
        <f>IF(AND(ISNUMBER(JC163),ISNUMBER(JA163)),JC163-JA163,"")</f>
        <v>0</v>
      </c>
      <c r="JC163" s="50">
        <f>[1]Dashboard!$J$5</f>
        <v>265.01</v>
      </c>
      <c r="JD163" s="34">
        <f>IF(AND(ISNUMBER(JE163),ISNUMBER(JC163)),JE163-JC163,"")</f>
        <v>0</v>
      </c>
      <c r="JE163" s="50">
        <f>[1]Dashboard!$K$5</f>
        <v>261.19</v>
      </c>
      <c r="JF163" s="34">
        <f>IF(AND(ISNUMBER(JG163),ISNUMBER(JE163)),JG163-JE163,"")</f>
        <v>0</v>
      </c>
      <c r="JG163" s="50">
        <f>[1]Dashboard!$L$5</f>
        <v>258.6299999999998</v>
      </c>
      <c r="JH163" s="34">
        <f>IF(AND(ISNUMBER(JI163),ISNUMBER(JG163)),JI163-JG163,"")</f>
        <v>0</v>
      </c>
      <c r="JI163" s="50">
        <f>[1]Dashboard!$M$5</f>
        <v>258.6299999999998</v>
      </c>
      <c r="JJ163" s="34">
        <f>IF(AND(ISNUMBER(JK163),ISNUMBER(JI163)),JK163-JI163,"")</f>
        <v>0</v>
      </c>
      <c r="JK163" s="50">
        <f>[1]Dashboard!$N$5</f>
        <v>248.28999999999994</v>
      </c>
      <c r="JL163" s="34">
        <f>IF(AND(ISNUMBER(JM163),ISNUMBER(JK163)),JM163-JK163,"")</f>
        <v>0</v>
      </c>
      <c r="JM163" s="50">
        <f>[1]Dashboard!$O$5</f>
        <v>248.28999999999994</v>
      </c>
      <c r="JN163" s="34">
        <f>IF(AND(ISNUMBER(JO163),ISNUMBER(JM163)),JO163-JM163,"")</f>
        <v>0</v>
      </c>
      <c r="JO163" s="50">
        <f>[1]Dashboard!$P$5</f>
        <v>248.28999999999994</v>
      </c>
      <c r="JP163" s="34">
        <f>IF(AND(ISNUMBER(JQ163),ISNUMBER(JO163)),JQ163-JO163,"")</f>
        <v>0</v>
      </c>
      <c r="JQ163" s="50">
        <f>[1]Dashboard!$Q$5</f>
        <v>243.9699999999999</v>
      </c>
      <c r="JR163" s="34">
        <f>IF(AND(ISNUMBER(JS163),ISNUMBER(JQ163)),JS163-JQ163,"")</f>
        <v>0</v>
      </c>
      <c r="JS163" s="50">
        <f>[1]Dashboard!$R$5</f>
        <v>242.9699999999999</v>
      </c>
      <c r="JT163" s="34">
        <f>IF(AND(ISNUMBER(JU163),ISNUMBER(JS163)),JU163-JS163,"")</f>
        <v>0</v>
      </c>
      <c r="JU163" s="50">
        <f>[1]Dashboard!$S$5</f>
        <v>241.30999999999992</v>
      </c>
      <c r="JV163" s="34">
        <f>IF(AND(ISNUMBER(JW163),ISNUMBER(JU163)),JW163-JU163,"")</f>
        <v>0</v>
      </c>
      <c r="JW163" s="50">
        <f>[1]Dashboard!$T$5</f>
        <v>226.57999999999993</v>
      </c>
      <c r="JX163" s="34">
        <f>IF(AND(ISNUMBER(JY163),ISNUMBER(JW163)),JY163-JW163,"")</f>
        <v>0</v>
      </c>
      <c r="JY163" s="50">
        <f>[1]Dashboard!$U$5</f>
        <v>225.07999999999993</v>
      </c>
      <c r="JZ163" s="34">
        <f>IF(AND(ISNUMBER(KA163),ISNUMBER(JY163)),KA163-JY163,"")</f>
        <v>0</v>
      </c>
      <c r="KA163" s="50">
        <f>[1]Dashboard!$V$5</f>
        <v>224.01999999999992</v>
      </c>
      <c r="KB163" s="34">
        <f>IF(AND(ISNUMBER(KC163),ISNUMBER(KA163)),KC163-KA163,"")</f>
        <v>0</v>
      </c>
      <c r="KC163" s="50">
        <f>[1]Dashboard!$W$5</f>
        <v>221.22999999999993</v>
      </c>
      <c r="KD163" s="34">
        <f>IF(AND(ISNUMBER(KE163),ISNUMBER(KC163)),KE163-KC163,"")</f>
        <v>0</v>
      </c>
      <c r="KE163" s="50">
        <f>[1]Dashboard!$X$5</f>
        <v>220.80999999999992</v>
      </c>
      <c r="KF163" s="34">
        <f>IF(AND(ISNUMBER(KG163),ISNUMBER(KE163)),KG163-KE163,"")</f>
        <v>0</v>
      </c>
      <c r="KG163" s="50">
        <f>[1]Dashboard!$Y$5</f>
        <v>218.95999999999992</v>
      </c>
      <c r="KH163" s="34">
        <f>IF(AND(ISNUMBER(KI163),ISNUMBER(KG163)),KI163-KG163,"")</f>
        <v>0</v>
      </c>
      <c r="KI163" s="50">
        <f>[1]Dashboard!$Z$5</f>
        <v>205.05999999999995</v>
      </c>
      <c r="KJ163" s="34">
        <f>IF(AND(ISNUMBER(KK163),ISNUMBER(KI163)),KK163-KI163,"")</f>
        <v>0</v>
      </c>
      <c r="KK163" s="51"/>
      <c r="KL163" s="34">
        <f>IF(AND(ISNUMBER(KM163),ISNUMBER(KK163)),KM163-KK163,"")</f>
        <v>0</v>
      </c>
      <c r="KM163" s="51"/>
      <c r="KN163" s="34">
        <f>IF(AND(ISNUMBER(KO163),ISNUMBER(KM163)),KO163-KM163,"")</f>
        <v>0</v>
      </c>
      <c r="KO163" s="51"/>
      <c r="KP163" s="34">
        <f>IF(AND(ISNUMBER(KQ163),ISNUMBER(KO163)),KQ163-KO163,"")</f>
        <v>0</v>
      </c>
      <c r="KQ163" s="51"/>
      <c r="KR163" s="34">
        <f>IF(AND(ISNUMBER(KS163),ISNUMBER(KQ163)),KS163-KQ163,"")</f>
        <v>0</v>
      </c>
      <c r="KS163" s="51"/>
      <c r="KT163" s="34">
        <f>IF(AND(ISNUMBER(KU163),ISNUMBER(KS163)),KU163-KS163,"")</f>
        <v>0</v>
      </c>
      <c r="KU163" s="51"/>
      <c r="KV163" s="34">
        <f>IF(AND(ISNUMBER(KW163),ISNUMBER(KU163)),KW163-KU163,"")</f>
        <v>0</v>
      </c>
      <c r="KW163" s="51"/>
      <c r="KX163" s="34">
        <f>IF(AND(ISNUMBER(KY163),ISNUMBER(KW163)),KY163-KW163,"")</f>
        <v>0</v>
      </c>
      <c r="KY163" s="51"/>
      <c r="KZ163" s="34">
        <f>IF(AND(ISNUMBER(LA163),ISNUMBER(KY163)),LA163-KY163,"")</f>
        <v>0</v>
      </c>
      <c r="LA163" s="51"/>
      <c r="LB163" s="34">
        <f>IF(AND(ISNUMBER(LC163),ISNUMBER(LA163)),LC163-LA163,"")</f>
        <v>0</v>
      </c>
      <c r="LC163" s="51"/>
      <c r="LD163" s="34">
        <f>IF(AND(ISNUMBER(LE163),ISNUMBER(LC163)),LE163-LC163,"")</f>
        <v>0</v>
      </c>
      <c r="LE163" s="51"/>
      <c r="LF163" s="34">
        <f>IF(AND(ISNUMBER(LG163),ISNUMBER(LE163)),LG163-LE163,"")</f>
        <v>0</v>
      </c>
      <c r="LG163" s="50">
        <f>[1]Dashboard!$AA$5</f>
        <v>197.26999999999995</v>
      </c>
    </row>
    <row r="165" spans="1:319" ht="30" customHeight="1">
      <c r="A165" s="44" t="s">
        <v>1159</v>
      </c>
      <c r="B165" s="44" t="s">
        <v>1167</v>
      </c>
      <c r="C165" s="44"/>
      <c r="D165" s="44"/>
      <c r="E165" s="44"/>
      <c r="F165" s="45" t="s">
        <v>1168</v>
      </c>
      <c r="JA165" s="46">
        <v>45870</v>
      </c>
      <c r="JB165" s="20" t="s">
        <v>1077</v>
      </c>
      <c r="JC165" s="46">
        <v>45901</v>
      </c>
      <c r="JD165" s="20" t="s">
        <v>1077</v>
      </c>
      <c r="JE165" s="46">
        <v>45931</v>
      </c>
      <c r="JF165" s="20" t="s">
        <v>1077</v>
      </c>
      <c r="JG165" s="46">
        <v>45962</v>
      </c>
      <c r="JH165" s="20" t="s">
        <v>1077</v>
      </c>
      <c r="JI165" s="46">
        <v>45992</v>
      </c>
      <c r="JJ165" s="20" t="s">
        <v>1077</v>
      </c>
      <c r="JK165" s="46">
        <v>46023</v>
      </c>
      <c r="JL165" s="20" t="s">
        <v>1077</v>
      </c>
      <c r="JM165" s="46">
        <v>46054</v>
      </c>
      <c r="JN165" s="20" t="s">
        <v>1077</v>
      </c>
      <c r="JO165" s="46">
        <v>46082</v>
      </c>
      <c r="JP165" s="20" t="s">
        <v>1077</v>
      </c>
      <c r="JQ165" s="46">
        <v>46113</v>
      </c>
      <c r="JR165" s="20" t="s">
        <v>1077</v>
      </c>
      <c r="JS165" s="46">
        <v>46143</v>
      </c>
      <c r="JT165" s="20" t="s">
        <v>1077</v>
      </c>
      <c r="JU165" s="46">
        <v>46174</v>
      </c>
      <c r="JV165" s="20" t="s">
        <v>1077</v>
      </c>
      <c r="JW165" s="46">
        <v>46204</v>
      </c>
      <c r="JX165" s="20" t="s">
        <v>1077</v>
      </c>
      <c r="JY165" s="46">
        <v>46235</v>
      </c>
      <c r="JZ165" s="20" t="s">
        <v>1077</v>
      </c>
      <c r="KA165" s="46">
        <v>46266</v>
      </c>
      <c r="KB165" s="20" t="s">
        <v>1077</v>
      </c>
      <c r="KC165" s="46">
        <v>46296</v>
      </c>
      <c r="KD165" s="20" t="s">
        <v>1077</v>
      </c>
      <c r="KE165" s="46">
        <v>46327</v>
      </c>
      <c r="KF165" s="20" t="s">
        <v>1077</v>
      </c>
      <c r="KG165" s="46">
        <v>46357</v>
      </c>
      <c r="KH165" s="20" t="s">
        <v>1077</v>
      </c>
      <c r="KI165" s="46">
        <v>46388</v>
      </c>
      <c r="KJ165" s="20" t="s">
        <v>1077</v>
      </c>
      <c r="KK165" s="46">
        <v>46419</v>
      </c>
      <c r="KL165" s="20" t="s">
        <v>1077</v>
      </c>
      <c r="KM165" s="46">
        <v>46447</v>
      </c>
      <c r="KN165" s="20" t="s">
        <v>1077</v>
      </c>
      <c r="KO165" s="46">
        <v>46478</v>
      </c>
      <c r="KP165" s="20" t="s">
        <v>1077</v>
      </c>
      <c r="KQ165" s="46">
        <v>46508</v>
      </c>
      <c r="KR165" s="20" t="s">
        <v>1077</v>
      </c>
      <c r="KS165" s="46">
        <v>46539</v>
      </c>
      <c r="KT165" s="20" t="s">
        <v>1077</v>
      </c>
      <c r="KU165" s="46">
        <v>46569</v>
      </c>
      <c r="KV165" s="20" t="s">
        <v>1077</v>
      </c>
      <c r="KW165" s="46">
        <v>46600</v>
      </c>
      <c r="KX165" s="20" t="s">
        <v>1077</v>
      </c>
      <c r="KY165" s="46">
        <v>46631</v>
      </c>
      <c r="KZ165" s="20" t="s">
        <v>1077</v>
      </c>
      <c r="LA165" s="46">
        <v>46661</v>
      </c>
      <c r="LB165" s="20" t="s">
        <v>1077</v>
      </c>
      <c r="LC165" s="46">
        <v>46692</v>
      </c>
      <c r="LD165" s="20" t="s">
        <v>1077</v>
      </c>
      <c r="LE165" s="46">
        <v>46722</v>
      </c>
      <c r="LF165" s="20" t="s">
        <v>1077</v>
      </c>
      <c r="LG165" s="46">
        <v>46753</v>
      </c>
    </row>
    <row r="166" spans="1:319" ht="12" customHeight="1">
      <c r="JA166" s="21">
        <f>IF(COUNT(JA167:JA171)&gt;0,"Y","X")</f>
        <v>0</v>
      </c>
      <c r="JC166" s="21">
        <f>IF(COUNT(JC167:JC171)&gt;0,"Y","X")</f>
        <v>0</v>
      </c>
      <c r="JE166" s="21">
        <f>IF(COUNT(JE167:JE171)&gt;0,"Y","X")</f>
        <v>0</v>
      </c>
      <c r="JG166" s="21">
        <f>IF(COUNT(JG167:JG171)&gt;0,"Y","X")</f>
        <v>0</v>
      </c>
      <c r="JI166" s="21">
        <f>IF(COUNT(JI167:JI171)&gt;0,"Y","X")</f>
        <v>0</v>
      </c>
      <c r="JK166" s="21">
        <f>IF(COUNT(JK167:JK171)&gt;0,"Y","X")</f>
        <v>0</v>
      </c>
      <c r="JM166" s="21">
        <f>IF(COUNT(JM167:JM171)&gt;0,"Y","X")</f>
        <v>0</v>
      </c>
      <c r="JO166" s="21">
        <f>IF(COUNT(JO167:JO171)&gt;0,"Y","X")</f>
        <v>0</v>
      </c>
      <c r="JQ166" s="21">
        <f>IF(COUNT(JQ167:JQ171)&gt;0,"Y","X")</f>
        <v>0</v>
      </c>
      <c r="JS166" s="21">
        <f>IF(COUNT(JS167:JS171)&gt;0,"Y","X")</f>
        <v>0</v>
      </c>
      <c r="JU166" s="21">
        <f>IF(COUNT(JU167:JU171)&gt;0,"Y","X")</f>
        <v>0</v>
      </c>
      <c r="JW166" s="21">
        <f>IF(COUNT(JW167:JW171)&gt;0,"Y","X")</f>
        <v>0</v>
      </c>
      <c r="JY166" s="21">
        <f>IF(COUNT(JY167:JY171)&gt;0,"Y","X")</f>
        <v>0</v>
      </c>
      <c r="KA166" s="21">
        <f>IF(COUNT(KA167:KA171)&gt;0,"Y","X")</f>
        <v>0</v>
      </c>
      <c r="KC166" s="21">
        <f>IF(COUNT(KC167:KC171)&gt;0,"Y","X")</f>
        <v>0</v>
      </c>
      <c r="KE166" s="21">
        <f>IF(COUNT(KE167:KE171)&gt;0,"Y","X")</f>
        <v>0</v>
      </c>
      <c r="KG166" s="21">
        <f>IF(COUNT(KG167:KG171)&gt;0,"Y","X")</f>
        <v>0</v>
      </c>
      <c r="KI166" s="21">
        <f>IF(COUNT(KI167:KI171)&gt;0,"Y","X")</f>
        <v>0</v>
      </c>
      <c r="KK166" s="21">
        <f>IF(COUNT(KK167:KK171)&gt;0,"Y","X")</f>
        <v>0</v>
      </c>
      <c r="KM166" s="21">
        <f>IF(COUNT(KM167:KM171)&gt;0,"Y","X")</f>
        <v>0</v>
      </c>
      <c r="KO166" s="21">
        <f>IF(COUNT(KO167:KO171)&gt;0,"Y","X")</f>
        <v>0</v>
      </c>
      <c r="KQ166" s="21">
        <f>IF(COUNT(KQ167:KQ171)&gt;0,"Y","X")</f>
        <v>0</v>
      </c>
      <c r="KS166" s="21">
        <f>IF(COUNT(KS167:KS171)&gt;0,"Y","X")</f>
        <v>0</v>
      </c>
      <c r="KU166" s="21">
        <f>IF(COUNT(KU167:KU171)&gt;0,"Y","X")</f>
        <v>0</v>
      </c>
      <c r="KW166" s="21">
        <f>IF(COUNT(KW167:KW171)&gt;0,"Y","X")</f>
        <v>0</v>
      </c>
      <c r="KY166" s="21">
        <f>IF(COUNT(KY167:KY171)&gt;0,"Y","X")</f>
        <v>0</v>
      </c>
      <c r="LA166" s="21">
        <f>IF(COUNT(LA167:LA171)&gt;0,"Y","X")</f>
        <v>0</v>
      </c>
      <c r="LC166" s="21">
        <f>IF(COUNT(LC167:LC171)&gt;0,"Y","X")</f>
        <v>0</v>
      </c>
      <c r="LE166" s="21">
        <f>IF(COUNT(LE167:LE171)&gt;0,"Y","X")</f>
        <v>0</v>
      </c>
      <c r="LG166" s="21">
        <f>IF(COUNT(LG167:LG171)&gt;0,"Y","X")</f>
        <v>0</v>
      </c>
    </row>
    <row r="167" spans="1:319">
      <c r="A167" s="24" t="s">
        <v>373</v>
      </c>
      <c r="B167" s="23" t="s">
        <v>1169</v>
      </c>
      <c r="C167" s="43" t="s">
        <v>1170</v>
      </c>
      <c r="D167" s="43" t="s">
        <v>1171</v>
      </c>
      <c r="E167" s="47" t="s">
        <v>1154</v>
      </c>
      <c r="JA167" s="48"/>
      <c r="JB167" s="28">
        <f>IF(AND(ISNUMBER(JC167),ISNUMBER(JA167)),JC167-JA167,"")</f>
        <v>0</v>
      </c>
      <c r="JC167" s="48">
        <v>67</v>
      </c>
      <c r="JD167" s="28">
        <f>IF(AND(ISNUMBER(JE167),ISNUMBER(JC167)),JE167-JC167,"")</f>
        <v>0</v>
      </c>
      <c r="JE167" s="48">
        <v>25</v>
      </c>
      <c r="JF167" s="28">
        <f>IF(AND(ISNUMBER(JG167),ISNUMBER(JE167)),JG167-JE167,"")</f>
        <v>0</v>
      </c>
      <c r="JG167" s="48">
        <v>44</v>
      </c>
      <c r="JH167" s="28">
        <f>IF(AND(ISNUMBER(JI167),ISNUMBER(JG167)),JI167-JG167,"")</f>
        <v>0</v>
      </c>
      <c r="JI167" s="48">
        <v>14</v>
      </c>
      <c r="JJ167" s="28">
        <f>IF(AND(ISNUMBER(JK167),ISNUMBER(JI167)),JK167-JI167,"")</f>
        <v>0</v>
      </c>
      <c r="JK167" s="48">
        <v>121</v>
      </c>
      <c r="JL167" s="28">
        <f>IF(AND(ISNUMBER(JM167),ISNUMBER(JK167)),JM167-JK167,"")</f>
        <v>0</v>
      </c>
      <c r="JM167" s="48">
        <v>31</v>
      </c>
      <c r="JN167" s="28">
        <f>IF(AND(ISNUMBER(JO167),ISNUMBER(JM167)),JO167-JM167,"")</f>
        <v>0</v>
      </c>
      <c r="JO167" s="48">
        <v>55</v>
      </c>
      <c r="JP167" s="28">
        <f>IF(AND(ISNUMBER(JQ167),ISNUMBER(JO167)),JQ167-JO167,"")</f>
        <v>0</v>
      </c>
      <c r="JQ167" s="48">
        <v>48</v>
      </c>
      <c r="JR167" s="28">
        <f>IF(AND(ISNUMBER(JS167),ISNUMBER(JQ167)),JS167-JQ167,"")</f>
        <v>0</v>
      </c>
      <c r="JS167" s="48">
        <v>75</v>
      </c>
      <c r="JT167" s="28">
        <f>IF(AND(ISNUMBER(JU167),ISNUMBER(JS167)),JU167-JS167,"")</f>
        <v>0</v>
      </c>
      <c r="JU167" s="48">
        <v>55</v>
      </c>
      <c r="JV167" s="28">
        <f>IF(AND(ISNUMBER(JW167),ISNUMBER(JU167)),JW167-JU167,"")</f>
        <v>0</v>
      </c>
      <c r="JW167" s="48">
        <v>104</v>
      </c>
      <c r="JX167" s="28">
        <f>IF(AND(ISNUMBER(JY167),ISNUMBER(JW167)),JY167-JW167,"")</f>
        <v>0</v>
      </c>
      <c r="JY167" s="48">
        <v>124</v>
      </c>
      <c r="JZ167" s="28">
        <f>IF(AND(ISNUMBER(KA167),ISNUMBER(JY167)),KA167-JY167,"")</f>
        <v>0</v>
      </c>
      <c r="KA167" s="48">
        <v>161</v>
      </c>
      <c r="KB167" s="28">
        <f>IF(AND(ISNUMBER(KC167),ISNUMBER(KA167)),KC167-KA167,"")</f>
        <v>0</v>
      </c>
      <c r="KC167" s="48"/>
      <c r="KD167" s="28">
        <f>IF(AND(ISNUMBER(KE167),ISNUMBER(KC167)),KE167-KC167,"")</f>
        <v>0</v>
      </c>
      <c r="KE167" s="48"/>
      <c r="KF167" s="28">
        <f>IF(AND(ISNUMBER(KG167),ISNUMBER(KE167)),KG167-KE167,"")</f>
        <v>0</v>
      </c>
      <c r="KG167" s="48"/>
      <c r="KH167" s="28">
        <f>IF(AND(ISNUMBER(KI167),ISNUMBER(KG167)),KI167-KG167,"")</f>
        <v>0</v>
      </c>
      <c r="KI167" s="48"/>
      <c r="KJ167" s="28">
        <f>IF(AND(ISNUMBER(KK167),ISNUMBER(KI167)),KK167-KI167,"")</f>
        <v>0</v>
      </c>
      <c r="KK167" s="48"/>
      <c r="KL167" s="28">
        <f>IF(AND(ISNUMBER(KM167),ISNUMBER(KK167)),KM167-KK167,"")</f>
        <v>0</v>
      </c>
      <c r="KM167" s="48"/>
      <c r="KN167" s="28">
        <f>IF(AND(ISNUMBER(KO167),ISNUMBER(KM167)),KO167-KM167,"")</f>
        <v>0</v>
      </c>
      <c r="KO167" s="48"/>
      <c r="KP167" s="28">
        <f>IF(AND(ISNUMBER(KQ167),ISNUMBER(KO167)),KQ167-KO167,"")</f>
        <v>0</v>
      </c>
      <c r="KQ167" s="48"/>
      <c r="KR167" s="28">
        <f>IF(AND(ISNUMBER(KS167),ISNUMBER(KQ167)),KS167-KQ167,"")</f>
        <v>0</v>
      </c>
      <c r="KS167" s="48"/>
      <c r="KT167" s="28">
        <f>IF(AND(ISNUMBER(KU167),ISNUMBER(KS167)),KU167-KS167,"")</f>
        <v>0</v>
      </c>
      <c r="KU167" s="48"/>
      <c r="KV167" s="28">
        <f>IF(AND(ISNUMBER(KW167),ISNUMBER(KU167)),KW167-KU167,"")</f>
        <v>0</v>
      </c>
      <c r="KW167" s="48"/>
      <c r="KX167" s="28">
        <f>IF(AND(ISNUMBER(KY167),ISNUMBER(KW167)),KY167-KW167,"")</f>
        <v>0</v>
      </c>
      <c r="KY167" s="48"/>
      <c r="KZ167" s="28">
        <f>IF(AND(ISNUMBER(LA167),ISNUMBER(KY167)),LA167-KY167,"")</f>
        <v>0</v>
      </c>
      <c r="LA167" s="48"/>
      <c r="LB167" s="28">
        <f>IF(AND(ISNUMBER(LC167),ISNUMBER(LA167)),LC167-LA167,"")</f>
        <v>0</v>
      </c>
      <c r="LC167" s="48"/>
      <c r="LD167" s="28">
        <f>IF(AND(ISNUMBER(LE167),ISNUMBER(LC167)),LE167-LC167,"")</f>
        <v>0</v>
      </c>
      <c r="LE167" s="48"/>
      <c r="LF167" s="28">
        <f>IF(AND(ISNUMBER(LG167),ISNUMBER(LE167)),LG167-LE167,"")</f>
        <v>0</v>
      </c>
      <c r="LG167" s="48"/>
    </row>
    <row r="168" spans="1:319">
      <c r="B168" s="23"/>
      <c r="C168" s="31" t="s">
        <v>1172</v>
      </c>
      <c r="D168" s="31" t="s">
        <v>1171</v>
      </c>
      <c r="E168" s="49" t="s">
        <v>1154</v>
      </c>
      <c r="JA168" s="51"/>
      <c r="JB168" s="34">
        <f>IF(AND(ISNUMBER(JC168),ISNUMBER(JA168)),JC168-JA168,"")</f>
        <v>0</v>
      </c>
      <c r="JC168" s="51">
        <v>67</v>
      </c>
      <c r="JD168" s="34">
        <f>IF(AND(ISNUMBER(JE168),ISNUMBER(JC168)),JE168-JC168,"")</f>
        <v>0</v>
      </c>
      <c r="JE168" s="51">
        <v>24</v>
      </c>
      <c r="JF168" s="34">
        <f>IF(AND(ISNUMBER(JG168),ISNUMBER(JE168)),JG168-JE168,"")</f>
        <v>0</v>
      </c>
      <c r="JG168" s="51">
        <v>44</v>
      </c>
      <c r="JH168" s="34">
        <f>IF(AND(ISNUMBER(JI168),ISNUMBER(JG168)),JI168-JG168,"")</f>
        <v>0</v>
      </c>
      <c r="JI168" s="51">
        <v>14</v>
      </c>
      <c r="JJ168" s="34">
        <f>IF(AND(ISNUMBER(JK168),ISNUMBER(JI168)),JK168-JI168,"")</f>
        <v>0</v>
      </c>
      <c r="JK168" s="51">
        <v>120</v>
      </c>
      <c r="JL168" s="34">
        <f>IF(AND(ISNUMBER(JM168),ISNUMBER(JK168)),JM168-JK168,"")</f>
        <v>0</v>
      </c>
      <c r="JM168" s="51">
        <v>31</v>
      </c>
      <c r="JN168" s="34">
        <f>IF(AND(ISNUMBER(JO168),ISNUMBER(JM168)),JO168-JM168,"")</f>
        <v>0</v>
      </c>
      <c r="JO168" s="51">
        <v>54</v>
      </c>
      <c r="JP168" s="34">
        <f>IF(AND(ISNUMBER(JQ168),ISNUMBER(JO168)),JQ168-JO168,"")</f>
        <v>0</v>
      </c>
      <c r="JQ168" s="51">
        <v>48</v>
      </c>
      <c r="JR168" s="34">
        <f>IF(AND(ISNUMBER(JS168),ISNUMBER(JQ168)),JS168-JQ168,"")</f>
        <v>0</v>
      </c>
      <c r="JS168" s="51">
        <v>73</v>
      </c>
      <c r="JT168" s="34">
        <f>IF(AND(ISNUMBER(JU168),ISNUMBER(JS168)),JU168-JS168,"")</f>
        <v>0</v>
      </c>
      <c r="JU168" s="51">
        <v>53</v>
      </c>
      <c r="JV168" s="34">
        <f>IF(AND(ISNUMBER(JW168),ISNUMBER(JU168)),JW168-JU168,"")</f>
        <v>0</v>
      </c>
      <c r="JW168" s="51">
        <v>102</v>
      </c>
      <c r="JX168" s="34">
        <f>IF(AND(ISNUMBER(JY168),ISNUMBER(JW168)),JY168-JW168,"")</f>
        <v>0</v>
      </c>
      <c r="JY168" s="51">
        <v>122</v>
      </c>
      <c r="JZ168" s="34">
        <f>IF(AND(ISNUMBER(KA168),ISNUMBER(JY168)),KA168-JY168,"")</f>
        <v>0</v>
      </c>
      <c r="KA168" s="52">
        <f>KA167-KA171</f>
        <v>151</v>
      </c>
      <c r="KB168" s="34">
        <f>IF(AND(ISNUMBER(KC168),ISNUMBER(KA168)),KC168-KA168,"")</f>
        <v>0</v>
      </c>
      <c r="KC168" s="51"/>
      <c r="KD168" s="34">
        <f>IF(AND(ISNUMBER(KE168),ISNUMBER(KC168)),KE168-KC168,"")</f>
        <v>0</v>
      </c>
      <c r="KE168" s="51"/>
      <c r="KF168" s="34">
        <f>IF(AND(ISNUMBER(KG168),ISNUMBER(KE168)),KG168-KE168,"")</f>
        <v>0</v>
      </c>
      <c r="KG168" s="51"/>
      <c r="KH168" s="34">
        <f>IF(AND(ISNUMBER(KI168),ISNUMBER(KG168)),KI168-KG168,"")</f>
        <v>0</v>
      </c>
      <c r="KI168" s="51"/>
      <c r="KJ168" s="34">
        <f>IF(AND(ISNUMBER(KK168),ISNUMBER(KI168)),KK168-KI168,"")</f>
        <v>0</v>
      </c>
      <c r="KK168" s="51"/>
      <c r="KL168" s="34">
        <f>IF(AND(ISNUMBER(KM168),ISNUMBER(KK168)),KM168-KK168,"")</f>
        <v>0</v>
      </c>
      <c r="KM168" s="51"/>
      <c r="KN168" s="34">
        <f>IF(AND(ISNUMBER(KO168),ISNUMBER(KM168)),KO168-KM168,"")</f>
        <v>0</v>
      </c>
      <c r="KO168" s="51"/>
      <c r="KP168" s="34">
        <f>IF(AND(ISNUMBER(KQ168),ISNUMBER(KO168)),KQ168-KO168,"")</f>
        <v>0</v>
      </c>
      <c r="KQ168" s="51"/>
      <c r="KR168" s="34">
        <f>IF(AND(ISNUMBER(KS168),ISNUMBER(KQ168)),KS168-KQ168,"")</f>
        <v>0</v>
      </c>
      <c r="KS168" s="51"/>
      <c r="KT168" s="34">
        <f>IF(AND(ISNUMBER(KU168),ISNUMBER(KS168)),KU168-KS168,"")</f>
        <v>0</v>
      </c>
      <c r="KU168" s="51"/>
      <c r="KV168" s="34">
        <f>IF(AND(ISNUMBER(KW168),ISNUMBER(KU168)),KW168-KU168,"")</f>
        <v>0</v>
      </c>
      <c r="KW168" s="51"/>
      <c r="KX168" s="34">
        <f>IF(AND(ISNUMBER(KY168),ISNUMBER(KW168)),KY168-KW168,"")</f>
        <v>0</v>
      </c>
      <c r="KY168" s="51"/>
      <c r="KZ168" s="34">
        <f>IF(AND(ISNUMBER(LA168),ISNUMBER(KY168)),LA168-KY168,"")</f>
        <v>0</v>
      </c>
      <c r="LA168" s="51"/>
      <c r="LB168" s="34">
        <f>IF(AND(ISNUMBER(LC168),ISNUMBER(LA168)),LC168-LA168,"")</f>
        <v>0</v>
      </c>
      <c r="LC168" s="51"/>
      <c r="LD168" s="34">
        <f>IF(AND(ISNUMBER(LE168),ISNUMBER(LC168)),LE168-LC168,"")</f>
        <v>0</v>
      </c>
      <c r="LE168" s="51"/>
      <c r="LF168" s="34">
        <f>IF(AND(ISNUMBER(LG168),ISNUMBER(LE168)),LG168-LE168,"")</f>
        <v>0</v>
      </c>
      <c r="LG168" s="51"/>
    </row>
    <row r="169" spans="1:319">
      <c r="A169" s="37" t="s">
        <v>381</v>
      </c>
      <c r="B169" s="23"/>
      <c r="C169" s="31" t="s">
        <v>1173</v>
      </c>
      <c r="D169" s="31" t="s">
        <v>1171</v>
      </c>
      <c r="E169" s="49" t="s">
        <v>1154</v>
      </c>
      <c r="JA169" s="53">
        <f>IF(AND(ISNUMBER(JA167),ISNUMBER(JA168),N(JA167)&lt;&gt;0),JA168/JA167,"")</f>
        <v>0</v>
      </c>
      <c r="JB169" s="54">
        <f>IF(AND(ISNUMBER(JC169),ISNUMBER(JA169)),JC169-JA169,"")</f>
        <v>0</v>
      </c>
      <c r="JC169" s="53">
        <f>IF(AND(ISNUMBER(JC167),ISNUMBER(JC168),N(JC167)&lt;&gt;0),JC168/JC167,"")</f>
        <v>0</v>
      </c>
      <c r="JD169" s="54">
        <f>IF(AND(ISNUMBER(JE169),ISNUMBER(JC169)),JE169-JC169,"")</f>
        <v>0</v>
      </c>
      <c r="JE169" s="53">
        <f>IF(AND(ISNUMBER(JE167),ISNUMBER(JE168),N(JE167)&lt;&gt;0),JE168/JE167,"")</f>
        <v>0</v>
      </c>
      <c r="JF169" s="54">
        <f>IF(AND(ISNUMBER(JG169),ISNUMBER(JE169)),JG169-JE169,"")</f>
        <v>0</v>
      </c>
      <c r="JG169" s="53">
        <f>IF(AND(ISNUMBER(JG167),ISNUMBER(JG168),N(JG167)&lt;&gt;0),JG168/JG167,"")</f>
        <v>0</v>
      </c>
      <c r="JH169" s="54">
        <f>IF(AND(ISNUMBER(JI169),ISNUMBER(JG169)),JI169-JG169,"")</f>
        <v>0</v>
      </c>
      <c r="JI169" s="53">
        <f>IF(AND(ISNUMBER(JI167),ISNUMBER(JI168),N(JI167)&lt;&gt;0),JI168/JI167,"")</f>
        <v>0</v>
      </c>
      <c r="JJ169" s="54">
        <f>IF(AND(ISNUMBER(JK169),ISNUMBER(JI169)),JK169-JI169,"")</f>
        <v>0</v>
      </c>
      <c r="JK169" s="53">
        <f>IF(AND(ISNUMBER(JK167),ISNUMBER(JK168),N(JK167)&lt;&gt;0),JK168/JK167,"")</f>
        <v>0</v>
      </c>
      <c r="JL169" s="54">
        <f>IF(AND(ISNUMBER(JM169),ISNUMBER(JK169)),JM169-JK169,"")</f>
        <v>0</v>
      </c>
      <c r="JM169" s="53">
        <f>IF(AND(ISNUMBER(JM167),ISNUMBER(JM168),N(JM167)&lt;&gt;0),JM168/JM167,"")</f>
        <v>0</v>
      </c>
      <c r="JN169" s="54">
        <f>IF(AND(ISNUMBER(JO169),ISNUMBER(JM169)),JO169-JM169,"")</f>
        <v>0</v>
      </c>
      <c r="JO169" s="53">
        <f>IF(AND(ISNUMBER(JO167),ISNUMBER(JO168),N(JO167)&lt;&gt;0),JO168/JO167,"")</f>
        <v>0</v>
      </c>
      <c r="JP169" s="54">
        <f>IF(AND(ISNUMBER(JQ169),ISNUMBER(JO169)),JQ169-JO169,"")</f>
        <v>0</v>
      </c>
      <c r="JQ169" s="53">
        <f>IF(AND(ISNUMBER(JQ167),ISNUMBER(JQ168),N(JQ167)&lt;&gt;0),JQ168/JQ167,"")</f>
        <v>0</v>
      </c>
      <c r="JR169" s="54">
        <f>IF(AND(ISNUMBER(JS169),ISNUMBER(JQ169)),JS169-JQ169,"")</f>
        <v>0</v>
      </c>
      <c r="JS169" s="53">
        <f>IF(AND(ISNUMBER(JS167),ISNUMBER(JS168),N(JS167)&lt;&gt;0),JS168/JS167,"")</f>
        <v>0</v>
      </c>
      <c r="JT169" s="54">
        <f>IF(AND(ISNUMBER(JU169),ISNUMBER(JS169)),JU169-JS169,"")</f>
        <v>0</v>
      </c>
      <c r="JU169" s="53">
        <f>IF(AND(ISNUMBER(JU167),ISNUMBER(JU168),N(JU167)&lt;&gt;0),JU168/JU167,"")</f>
        <v>0</v>
      </c>
      <c r="JV169" s="54">
        <f>IF(AND(ISNUMBER(JW169),ISNUMBER(JU169)),JW169-JU169,"")</f>
        <v>0</v>
      </c>
      <c r="JW169" s="53">
        <f>IF(AND(ISNUMBER(JW167),ISNUMBER(JW168),N(JW167)&lt;&gt;0),JW168/JW167,"")</f>
        <v>0</v>
      </c>
      <c r="JX169" s="54">
        <f>IF(AND(ISNUMBER(JY169),ISNUMBER(JW169)),JY169-JW169,"")</f>
        <v>0</v>
      </c>
      <c r="JY169" s="53">
        <f>IF(AND(ISNUMBER(JY167),ISNUMBER(JY168),N(JY167)&lt;&gt;0),JY168/JY167,"")</f>
        <v>0</v>
      </c>
      <c r="JZ169" s="54">
        <f>IF(AND(ISNUMBER(KA169),ISNUMBER(JY169)),KA169-JY169,"")</f>
        <v>0</v>
      </c>
      <c r="KA169" s="53">
        <f>IF(AND(ISNUMBER(KA167),ISNUMBER(KA168),N(KA167)&lt;&gt;0),KA168/KA167,"")</f>
        <v>0</v>
      </c>
      <c r="KB169" s="54">
        <f>IF(AND(ISNUMBER(KC169),ISNUMBER(KA169)),KC169-KA169,"")</f>
        <v>0</v>
      </c>
      <c r="KC169" s="53">
        <f>IF(AND(ISNUMBER(KC167),ISNUMBER(KC168),N(KC167)&lt;&gt;0),KC168/KC167,"")</f>
        <v>0</v>
      </c>
      <c r="KD169" s="54">
        <f>IF(AND(ISNUMBER(KE169),ISNUMBER(KC169)),KE169-KC169,"")</f>
        <v>0</v>
      </c>
      <c r="KE169" s="53">
        <f>IF(AND(ISNUMBER(KE167),ISNUMBER(KE168),N(KE167)&lt;&gt;0),KE168/KE167,"")</f>
        <v>0</v>
      </c>
      <c r="KF169" s="54">
        <f>IF(AND(ISNUMBER(KG169),ISNUMBER(KE169)),KG169-KE169,"")</f>
        <v>0</v>
      </c>
      <c r="KG169" s="53">
        <f>IF(AND(ISNUMBER(KG167),ISNUMBER(KG168),N(KG167)&lt;&gt;0),KG168/KG167,"")</f>
        <v>0</v>
      </c>
      <c r="KH169" s="54">
        <f>IF(AND(ISNUMBER(KI169),ISNUMBER(KG169)),KI169-KG169,"")</f>
        <v>0</v>
      </c>
      <c r="KI169" s="53">
        <f>IF(AND(ISNUMBER(KI167),ISNUMBER(KI168),N(KI167)&lt;&gt;0),KI168/KI167,"")</f>
        <v>0</v>
      </c>
      <c r="KJ169" s="54">
        <f>IF(AND(ISNUMBER(KK169),ISNUMBER(KI169)),KK169-KI169,"")</f>
        <v>0</v>
      </c>
      <c r="KK169" s="53">
        <f>IF(AND(ISNUMBER(KK167),ISNUMBER(KK168),N(KK167)&lt;&gt;0),KK168/KK167,"")</f>
        <v>0</v>
      </c>
      <c r="KL169" s="54">
        <f>IF(AND(ISNUMBER(KM169),ISNUMBER(KK169)),KM169-KK169,"")</f>
        <v>0</v>
      </c>
      <c r="KM169" s="53">
        <f>IF(AND(ISNUMBER(KM167),ISNUMBER(KM168),N(KM167)&lt;&gt;0),KM168/KM167,"")</f>
        <v>0</v>
      </c>
      <c r="KN169" s="54">
        <f>IF(AND(ISNUMBER(KO169),ISNUMBER(KM169)),KO169-KM169,"")</f>
        <v>0</v>
      </c>
      <c r="KO169" s="53">
        <f>IF(AND(ISNUMBER(KO167),ISNUMBER(KO168),N(KO167)&lt;&gt;0),KO168/KO167,"")</f>
        <v>0</v>
      </c>
      <c r="KP169" s="54">
        <f>IF(AND(ISNUMBER(KQ169),ISNUMBER(KO169)),KQ169-KO169,"")</f>
        <v>0</v>
      </c>
      <c r="KQ169" s="53">
        <f>IF(AND(ISNUMBER(KQ167),ISNUMBER(KQ168),N(KQ167)&lt;&gt;0),KQ168/KQ167,"")</f>
        <v>0</v>
      </c>
      <c r="KR169" s="54">
        <f>IF(AND(ISNUMBER(KS169),ISNUMBER(KQ169)),KS169-KQ169,"")</f>
        <v>0</v>
      </c>
      <c r="KS169" s="53">
        <f>IF(AND(ISNUMBER(KS167),ISNUMBER(KS168),N(KS167)&lt;&gt;0),KS168/KS167,"")</f>
        <v>0</v>
      </c>
      <c r="KT169" s="54">
        <f>IF(AND(ISNUMBER(KU169),ISNUMBER(KS169)),KU169-KS169,"")</f>
        <v>0</v>
      </c>
      <c r="KU169" s="53">
        <f>IF(AND(ISNUMBER(KU167),ISNUMBER(KU168),N(KU167)&lt;&gt;0),KU168/KU167,"")</f>
        <v>0</v>
      </c>
      <c r="KV169" s="54">
        <f>IF(AND(ISNUMBER(KW169),ISNUMBER(KU169)),KW169-KU169,"")</f>
        <v>0</v>
      </c>
      <c r="KW169" s="53">
        <f>IF(AND(ISNUMBER(KW167),ISNUMBER(KW168),N(KW167)&lt;&gt;0),KW168/KW167,"")</f>
        <v>0</v>
      </c>
      <c r="KX169" s="54">
        <f>IF(AND(ISNUMBER(KY169),ISNUMBER(KW169)),KY169-KW169,"")</f>
        <v>0</v>
      </c>
      <c r="KY169" s="53">
        <f>IF(AND(ISNUMBER(KY167),ISNUMBER(KY168),N(KY167)&lt;&gt;0),KY168/KY167,"")</f>
        <v>0</v>
      </c>
      <c r="KZ169" s="54">
        <f>IF(AND(ISNUMBER(LA169),ISNUMBER(KY169)),LA169-KY169,"")</f>
        <v>0</v>
      </c>
      <c r="LA169" s="53">
        <f>IF(AND(ISNUMBER(LA167),ISNUMBER(LA168),N(LA167)&lt;&gt;0),LA168/LA167,"")</f>
        <v>0</v>
      </c>
      <c r="LB169" s="54">
        <f>IF(AND(ISNUMBER(LC169),ISNUMBER(LA169)),LC169-LA169,"")</f>
        <v>0</v>
      </c>
      <c r="LC169" s="53">
        <f>IF(AND(ISNUMBER(LC167),ISNUMBER(LC168),N(LC167)&lt;&gt;0),LC168/LC167,"")</f>
        <v>0</v>
      </c>
      <c r="LD169" s="54">
        <f>IF(AND(ISNUMBER(LE169),ISNUMBER(LC169)),LE169-LC169,"")</f>
        <v>0</v>
      </c>
      <c r="LE169" s="53">
        <f>IF(AND(ISNUMBER(LE167),ISNUMBER(LE168),N(LE167)&lt;&gt;0),LE168/LE167,"")</f>
        <v>0</v>
      </c>
      <c r="LF169" s="54">
        <f>IF(AND(ISNUMBER(LG169),ISNUMBER(LE169)),LG169-LE169,"")</f>
        <v>0</v>
      </c>
      <c r="LG169" s="53">
        <f>IF(AND(ISNUMBER(LG167),ISNUMBER(LG168),N(LG167)&lt;&gt;0),LG168/LG167,"")</f>
        <v>0</v>
      </c>
    </row>
    <row r="170" spans="1:319">
      <c r="B170" s="23"/>
      <c r="C170" s="31" t="s">
        <v>1174</v>
      </c>
      <c r="D170" s="31" t="s">
        <v>1171</v>
      </c>
      <c r="E170" s="49" t="s">
        <v>1154</v>
      </c>
      <c r="JA170" s="51"/>
      <c r="JB170" s="34">
        <f>IF(AND(ISNUMBER(JC170),ISNUMBER(JA170)),JC170-JA170,"")</f>
        <v>0</v>
      </c>
      <c r="JC170" s="51"/>
      <c r="JD170" s="34">
        <f>IF(AND(ISNUMBER(JE170),ISNUMBER(JC170)),JE170-JC170,"")</f>
        <v>0</v>
      </c>
      <c r="JE170" s="51"/>
      <c r="JF170" s="34">
        <f>IF(AND(ISNUMBER(JG170),ISNUMBER(JE170)),JG170-JE170,"")</f>
        <v>0</v>
      </c>
      <c r="JG170" s="51"/>
      <c r="JH170" s="34">
        <f>IF(AND(ISNUMBER(JI170),ISNUMBER(JG170)),JI170-JG170,"")</f>
        <v>0</v>
      </c>
      <c r="JI170" s="51"/>
      <c r="JJ170" s="34">
        <f>IF(AND(ISNUMBER(JK170),ISNUMBER(JI170)),JK170-JI170,"")</f>
        <v>0</v>
      </c>
      <c r="JK170" s="51">
        <v>0</v>
      </c>
      <c r="JL170" s="34">
        <f>IF(AND(ISNUMBER(JM170),ISNUMBER(JK170)),JM170-JK170,"")</f>
        <v>0</v>
      </c>
      <c r="JM170" s="51">
        <v>0</v>
      </c>
      <c r="JN170" s="34">
        <f>IF(AND(ISNUMBER(JO170),ISNUMBER(JM170)),JO170-JM170,"")</f>
        <v>0</v>
      </c>
      <c r="JO170" s="51">
        <v>0</v>
      </c>
      <c r="JP170" s="34">
        <f>IF(AND(ISNUMBER(JQ170),ISNUMBER(JO170)),JQ170-JO170,"")</f>
        <v>0</v>
      </c>
      <c r="JQ170" s="51">
        <v>0</v>
      </c>
      <c r="JR170" s="34">
        <f>IF(AND(ISNUMBER(JS170),ISNUMBER(JQ170)),JS170-JQ170,"")</f>
        <v>0</v>
      </c>
      <c r="JS170" s="51">
        <v>0</v>
      </c>
      <c r="JT170" s="34">
        <f>IF(AND(ISNUMBER(JU170),ISNUMBER(JS170)),JU170-JS170,"")</f>
        <v>0</v>
      </c>
      <c r="JU170" s="51">
        <v>0</v>
      </c>
      <c r="JV170" s="34">
        <f>IF(AND(ISNUMBER(JW170),ISNUMBER(JU170)),JW170-JU170,"")</f>
        <v>0</v>
      </c>
      <c r="JW170" s="51">
        <v>0</v>
      </c>
      <c r="JX170" s="34">
        <f>IF(AND(ISNUMBER(JY170),ISNUMBER(JW170)),JY170-JW170,"")</f>
        <v>0</v>
      </c>
      <c r="JY170" s="51">
        <v>0</v>
      </c>
      <c r="JZ170" s="34">
        <f>IF(AND(ISNUMBER(KA170),ISNUMBER(JY170)),KA170-JY170,"")</f>
        <v>0</v>
      </c>
      <c r="KA170" s="51">
        <v>0</v>
      </c>
      <c r="KB170" s="34">
        <f>IF(AND(ISNUMBER(KC170),ISNUMBER(KA170)),KC170-KA170,"")</f>
        <v>0</v>
      </c>
      <c r="KC170" s="51"/>
      <c r="KD170" s="34">
        <f>IF(AND(ISNUMBER(KE170),ISNUMBER(KC170)),KE170-KC170,"")</f>
        <v>0</v>
      </c>
      <c r="KE170" s="51"/>
      <c r="KF170" s="34">
        <f>IF(AND(ISNUMBER(KG170),ISNUMBER(KE170)),KG170-KE170,"")</f>
        <v>0</v>
      </c>
      <c r="KG170" s="51"/>
      <c r="KH170" s="34">
        <f>IF(AND(ISNUMBER(KI170),ISNUMBER(KG170)),KI170-KG170,"")</f>
        <v>0</v>
      </c>
      <c r="KI170" s="51"/>
      <c r="KJ170" s="34">
        <f>IF(AND(ISNUMBER(KK170),ISNUMBER(KI170)),KK170-KI170,"")</f>
        <v>0</v>
      </c>
      <c r="KK170" s="51"/>
      <c r="KL170" s="34">
        <f>IF(AND(ISNUMBER(KM170),ISNUMBER(KK170)),KM170-KK170,"")</f>
        <v>0</v>
      </c>
      <c r="KM170" s="51"/>
      <c r="KN170" s="34">
        <f>IF(AND(ISNUMBER(KO170),ISNUMBER(KM170)),KO170-KM170,"")</f>
        <v>0</v>
      </c>
      <c r="KO170" s="51"/>
      <c r="KP170" s="34">
        <f>IF(AND(ISNUMBER(KQ170),ISNUMBER(KO170)),KQ170-KO170,"")</f>
        <v>0</v>
      </c>
      <c r="KQ170" s="51"/>
      <c r="KR170" s="34">
        <f>IF(AND(ISNUMBER(KS170),ISNUMBER(KQ170)),KS170-KQ170,"")</f>
        <v>0</v>
      </c>
      <c r="KS170" s="51"/>
      <c r="KT170" s="34">
        <f>IF(AND(ISNUMBER(KU170),ISNUMBER(KS170)),KU170-KS170,"")</f>
        <v>0</v>
      </c>
      <c r="KU170" s="51"/>
      <c r="KV170" s="34">
        <f>IF(AND(ISNUMBER(KW170),ISNUMBER(KU170)),KW170-KU170,"")</f>
        <v>0</v>
      </c>
      <c r="KW170" s="51"/>
      <c r="KX170" s="34">
        <f>IF(AND(ISNUMBER(KY170),ISNUMBER(KW170)),KY170-KW170,"")</f>
        <v>0</v>
      </c>
      <c r="KY170" s="51"/>
      <c r="KZ170" s="34">
        <f>IF(AND(ISNUMBER(LA170),ISNUMBER(KY170)),LA170-KY170,"")</f>
        <v>0</v>
      </c>
      <c r="LA170" s="51"/>
      <c r="LB170" s="34">
        <f>IF(AND(ISNUMBER(LC170),ISNUMBER(LA170)),LC170-LA170,"")</f>
        <v>0</v>
      </c>
      <c r="LC170" s="51"/>
      <c r="LD170" s="34">
        <f>IF(AND(ISNUMBER(LE170),ISNUMBER(LC170)),LE170-LC170,"")</f>
        <v>0</v>
      </c>
      <c r="LE170" s="51"/>
      <c r="LF170" s="34">
        <f>IF(AND(ISNUMBER(LG170),ISNUMBER(LE170)),LG170-LE170,"")</f>
        <v>0</v>
      </c>
      <c r="LG170" s="51"/>
    </row>
    <row r="171" spans="1:319">
      <c r="B171" s="23"/>
      <c r="C171" s="31" t="s">
        <v>1175</v>
      </c>
      <c r="D171" s="31" t="s">
        <v>1171</v>
      </c>
      <c r="E171" s="49" t="s">
        <v>1154</v>
      </c>
      <c r="JA171" s="51"/>
      <c r="JB171" s="34">
        <f>IF(AND(ISNUMBER(JC171),ISNUMBER(JA171)),JC171-JA171,"")</f>
        <v>0</v>
      </c>
      <c r="JC171" s="51"/>
      <c r="JD171" s="34">
        <f>IF(AND(ISNUMBER(JE171),ISNUMBER(JC171)),JE171-JC171,"")</f>
        <v>0</v>
      </c>
      <c r="JE171" s="51"/>
      <c r="JF171" s="34">
        <f>IF(AND(ISNUMBER(JG171),ISNUMBER(JE171)),JG171-JE171,"")</f>
        <v>0</v>
      </c>
      <c r="JG171" s="51"/>
      <c r="JH171" s="34">
        <f>IF(AND(ISNUMBER(JI171),ISNUMBER(JG171)),JI171-JG171,"")</f>
        <v>0</v>
      </c>
      <c r="JI171" s="51"/>
      <c r="JJ171" s="34">
        <f>IF(AND(ISNUMBER(JK171),ISNUMBER(JI171)),JK171-JI171,"")</f>
        <v>0</v>
      </c>
      <c r="JK171" s="51">
        <v>1</v>
      </c>
      <c r="JL171" s="34">
        <f>IF(AND(ISNUMBER(JM171),ISNUMBER(JK171)),JM171-JK171,"")</f>
        <v>0</v>
      </c>
      <c r="JM171" s="51">
        <v>0</v>
      </c>
      <c r="JN171" s="34">
        <f>IF(AND(ISNUMBER(JO171),ISNUMBER(JM171)),JO171-JM171,"")</f>
        <v>0</v>
      </c>
      <c r="JO171" s="51">
        <v>1</v>
      </c>
      <c r="JP171" s="34">
        <f>IF(AND(ISNUMBER(JQ171),ISNUMBER(JO171)),JQ171-JO171,"")</f>
        <v>0</v>
      </c>
      <c r="JQ171" s="51">
        <v>0</v>
      </c>
      <c r="JR171" s="34">
        <f>IF(AND(ISNUMBER(JS171),ISNUMBER(JQ171)),JS171-JQ171,"")</f>
        <v>0</v>
      </c>
      <c r="JS171" s="51">
        <v>2</v>
      </c>
      <c r="JT171" s="34">
        <f>IF(AND(ISNUMBER(JU171),ISNUMBER(JS171)),JU171-JS171,"")</f>
        <v>0</v>
      </c>
      <c r="JU171" s="51">
        <v>2</v>
      </c>
      <c r="JV171" s="34">
        <f>IF(AND(ISNUMBER(JW171),ISNUMBER(JU171)),JW171-JU171,"")</f>
        <v>0</v>
      </c>
      <c r="JW171" s="51">
        <v>2</v>
      </c>
      <c r="JX171" s="34">
        <f>IF(AND(ISNUMBER(JY171),ISNUMBER(JW171)),JY171-JW171,"")</f>
        <v>0</v>
      </c>
      <c r="JY171" s="51">
        <v>2</v>
      </c>
      <c r="JZ171" s="34">
        <f>IF(AND(ISNUMBER(KA171),ISNUMBER(JY171)),KA171-JY171,"")</f>
        <v>0</v>
      </c>
      <c r="KA171" s="51">
        <v>10</v>
      </c>
      <c r="KB171" s="34">
        <f>IF(AND(ISNUMBER(KC171),ISNUMBER(KA171)),KC171-KA171,"")</f>
        <v>0</v>
      </c>
      <c r="KC171" s="51"/>
      <c r="KD171" s="34">
        <f>IF(AND(ISNUMBER(KE171),ISNUMBER(KC171)),KE171-KC171,"")</f>
        <v>0</v>
      </c>
      <c r="KE171" s="51"/>
      <c r="KF171" s="34">
        <f>IF(AND(ISNUMBER(KG171),ISNUMBER(KE171)),KG171-KE171,"")</f>
        <v>0</v>
      </c>
      <c r="KG171" s="51"/>
      <c r="KH171" s="34">
        <f>IF(AND(ISNUMBER(KI171),ISNUMBER(KG171)),KI171-KG171,"")</f>
        <v>0</v>
      </c>
      <c r="KI171" s="51"/>
      <c r="KJ171" s="34">
        <f>IF(AND(ISNUMBER(KK171),ISNUMBER(KI171)),KK171-KI171,"")</f>
        <v>0</v>
      </c>
      <c r="KK171" s="51"/>
      <c r="KL171" s="34">
        <f>IF(AND(ISNUMBER(KM171),ISNUMBER(KK171)),KM171-KK171,"")</f>
        <v>0</v>
      </c>
      <c r="KM171" s="51"/>
      <c r="KN171" s="34">
        <f>IF(AND(ISNUMBER(KO171),ISNUMBER(KM171)),KO171-KM171,"")</f>
        <v>0</v>
      </c>
      <c r="KO171" s="51"/>
      <c r="KP171" s="34">
        <f>IF(AND(ISNUMBER(KQ171),ISNUMBER(KO171)),KQ171-KO171,"")</f>
        <v>0</v>
      </c>
      <c r="KQ171" s="51"/>
      <c r="KR171" s="34">
        <f>IF(AND(ISNUMBER(KS171),ISNUMBER(KQ171)),KS171-KQ171,"")</f>
        <v>0</v>
      </c>
      <c r="KS171" s="51"/>
      <c r="KT171" s="34">
        <f>IF(AND(ISNUMBER(KU171),ISNUMBER(KS171)),KU171-KS171,"")</f>
        <v>0</v>
      </c>
      <c r="KU171" s="51"/>
      <c r="KV171" s="34">
        <f>IF(AND(ISNUMBER(KW171),ISNUMBER(KU171)),KW171-KU171,"")</f>
        <v>0</v>
      </c>
      <c r="KW171" s="51"/>
      <c r="KX171" s="34">
        <f>IF(AND(ISNUMBER(KY171),ISNUMBER(KW171)),KY171-KW171,"")</f>
        <v>0</v>
      </c>
      <c r="KY171" s="51"/>
      <c r="KZ171" s="34">
        <f>IF(AND(ISNUMBER(LA171),ISNUMBER(KY171)),LA171-KY171,"")</f>
        <v>0</v>
      </c>
      <c r="LA171" s="51"/>
      <c r="LB171" s="34">
        <f>IF(AND(ISNUMBER(LC171),ISNUMBER(LA171)),LC171-LA171,"")</f>
        <v>0</v>
      </c>
      <c r="LC171" s="51"/>
      <c r="LD171" s="34">
        <f>IF(AND(ISNUMBER(LE171),ISNUMBER(LC171)),LE171-LC171,"")</f>
        <v>0</v>
      </c>
      <c r="LE171" s="51"/>
      <c r="LF171" s="34">
        <f>IF(AND(ISNUMBER(LG171),ISNUMBER(LE171)),LG171-LE171,"")</f>
        <v>0</v>
      </c>
      <c r="LG171" s="51"/>
    </row>
  </sheetData>
  <mergeCells count="16">
    <mergeCell ref="B3:B21"/>
    <mergeCell ref="B23:B38"/>
    <mergeCell ref="B39:B46"/>
    <mergeCell ref="B47:B62"/>
    <mergeCell ref="B64:B66"/>
    <mergeCell ref="B67:B90"/>
    <mergeCell ref="B91:B102"/>
    <mergeCell ref="B103:B112"/>
    <mergeCell ref="E103:E111"/>
    <mergeCell ref="B117:B128"/>
    <mergeCell ref="B129:B140"/>
    <mergeCell ref="B150:B155"/>
    <mergeCell ref="B159:E159"/>
    <mergeCell ref="B161:B163"/>
    <mergeCell ref="B165:E165"/>
    <mergeCell ref="B167:B171"/>
  </mergeCells>
  <conditionalFormatting sqref="I1:LG1">
    <cfRule type="expression" dxfId="10" priority="1">
      <formula>AND(ISNUMBER(I$1),I$1=Stichtag)</formula>
    </cfRule>
  </conditionalFormatting>
  <conditionalFormatting sqref="I3:LG157">
    <cfRule type="expression" dxfId="11" priority="2">
      <formula>AND(ISNUMBER(I$1),I$1=Stichtag)</formula>
    </cfRule>
  </conditionalFormatting>
  <conditionalFormatting sqref="JA159:LG159">
    <cfRule type="expression" dxfId="10" priority="3">
      <formula>AND(ISNUMBER(JA$159),JA$159=DATE(YEAR(Berichtstag),MONTH(Berichtstag)-1,1))</formula>
    </cfRule>
  </conditionalFormatting>
  <conditionalFormatting sqref="JA161:LG163">
    <cfRule type="expression" dxfId="11" priority="4">
      <formula>AND(ISNUMBER(JA$159),JA$159=DATE(YEAR(Berichtstag),MONTH(Berichtstag)-1,1))</formula>
    </cfRule>
  </conditionalFormatting>
  <conditionalFormatting sqref="JA165:LG165">
    <cfRule type="expression" dxfId="10" priority="5">
      <formula>AND(ISNUMBER(JA$165),JA$165=DATE(YEAR(Berichtstag),MONTH(Berichtstag)-1,1))</formula>
    </cfRule>
  </conditionalFormatting>
  <conditionalFormatting sqref="JA167:LG171">
    <cfRule type="expression" dxfId="11" priority="6">
      <formula>AND(ISNUMBER(JA$165),JA$165=DATE(YEAR(Berichtstag),MONTH(Berichtstag)-1,1))</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Kommentare">
    <tabColor rgb="FF0F94A7"/>
  </sheetPr>
  <dimension ref="A1:F17"/>
  <sheetViews>
    <sheetView workbookViewId="0">
      <pane ySplit="4" topLeftCell="A5" activePane="bottomLeft" state="frozen"/>
      <selection pane="bottomLeft"/>
    </sheetView>
  </sheetViews>
  <sheetFormatPr defaultRowHeight="15"/>
  <cols>
    <col min="1" max="1" width="8.7109375" customWidth="1"/>
    <col min="2" max="2" width="7.7109375" customWidth="1"/>
    <col min="3" max="3" width="11.7109375" customWidth="1"/>
    <col min="4" max="4" width="34.7109375" customWidth="1"/>
    <col min="5" max="5" width="100.7109375" customWidth="1"/>
    <col min="6" max="6" width="30.7109375" customWidth="1"/>
  </cols>
  <sheetData>
    <row r="1" spans="1:6">
      <c r="A1" s="13" t="s">
        <v>1177</v>
      </c>
    </row>
    <row r="2" spans="1:6">
      <c r="A2" s="8" t="s">
        <v>1178</v>
      </c>
    </row>
    <row r="4" spans="1:6" ht="28" customHeight="1">
      <c r="A4" s="9" t="s">
        <v>1022</v>
      </c>
      <c r="B4" s="9" t="s">
        <v>1179</v>
      </c>
      <c r="C4" s="9" t="s">
        <v>1180</v>
      </c>
      <c r="D4" s="9" t="s">
        <v>1181</v>
      </c>
      <c r="E4" s="9" t="s">
        <v>1182</v>
      </c>
      <c r="F4" s="9" t="s">
        <v>1183</v>
      </c>
    </row>
    <row r="5" spans="1:6" ht="184" customHeight="1">
      <c r="A5" s="55" t="s">
        <v>1028</v>
      </c>
      <c r="B5" s="55">
        <v>1</v>
      </c>
      <c r="C5" s="56" t="s">
        <v>1184</v>
      </c>
      <c r="D5" s="57" t="s">
        <v>1185</v>
      </c>
      <c r="E5" s="58" t="s">
        <v>1186</v>
      </c>
      <c r="F5" s="55" t="s">
        <v>1187</v>
      </c>
    </row>
    <row r="6" spans="1:6" ht="109" customHeight="1">
      <c r="A6" s="55" t="s">
        <v>1028</v>
      </c>
      <c r="B6" s="55">
        <v>2</v>
      </c>
      <c r="C6" s="56" t="s">
        <v>1094</v>
      </c>
      <c r="D6" s="57" t="s">
        <v>1188</v>
      </c>
      <c r="E6" s="58" t="s">
        <v>1189</v>
      </c>
      <c r="F6" s="55" t="s">
        <v>1188</v>
      </c>
    </row>
    <row r="7" spans="1:6" ht="124" customHeight="1">
      <c r="A7" s="55" t="s">
        <v>1028</v>
      </c>
      <c r="B7" s="55">
        <v>3</v>
      </c>
      <c r="C7" s="56" t="s">
        <v>128</v>
      </c>
      <c r="D7" s="57" t="s">
        <v>1153</v>
      </c>
      <c r="E7" s="58" t="s">
        <v>1190</v>
      </c>
      <c r="F7" s="55" t="s">
        <v>1153</v>
      </c>
    </row>
    <row r="8" spans="1:6" ht="19" customHeight="1">
      <c r="A8" s="55" t="s">
        <v>1028</v>
      </c>
      <c r="B8" s="55">
        <v>4</v>
      </c>
      <c r="C8" s="56" t="s">
        <v>1191</v>
      </c>
      <c r="D8" s="57" t="s">
        <v>1192</v>
      </c>
      <c r="E8" s="58" t="s">
        <v>1193</v>
      </c>
      <c r="F8" s="55" t="s">
        <v>1122</v>
      </c>
    </row>
    <row r="9" spans="1:6" ht="19" customHeight="1">
      <c r="A9" s="55" t="s">
        <v>1028</v>
      </c>
      <c r="B9" s="55">
        <v>5</v>
      </c>
      <c r="C9" s="56" t="s">
        <v>129</v>
      </c>
      <c r="D9" s="57" t="s">
        <v>1127</v>
      </c>
      <c r="E9" s="58"/>
      <c r="F9" s="55" t="s">
        <v>1127</v>
      </c>
    </row>
    <row r="10" spans="1:6" ht="94" customHeight="1">
      <c r="A10" s="55" t="s">
        <v>1028</v>
      </c>
      <c r="B10" s="55">
        <v>6</v>
      </c>
      <c r="C10" s="56" t="s">
        <v>1194</v>
      </c>
      <c r="D10" s="57" t="s">
        <v>1155</v>
      </c>
      <c r="E10" s="58" t="s">
        <v>1195</v>
      </c>
      <c r="F10" s="55" t="s">
        <v>1155</v>
      </c>
    </row>
    <row r="11" spans="1:6" ht="49" customHeight="1">
      <c r="A11" s="55" t="s">
        <v>1028</v>
      </c>
      <c r="B11" s="55">
        <v>7</v>
      </c>
      <c r="C11" s="56" t="s">
        <v>1196</v>
      </c>
      <c r="D11" s="57" t="s">
        <v>1157</v>
      </c>
      <c r="E11" s="58" t="s">
        <v>1197</v>
      </c>
      <c r="F11" s="55" t="s">
        <v>1157</v>
      </c>
    </row>
    <row r="12" spans="1:6" ht="19" customHeight="1">
      <c r="A12" s="55" t="s">
        <v>1031</v>
      </c>
      <c r="B12" s="55">
        <v>1</v>
      </c>
      <c r="C12" s="56" t="s">
        <v>1184</v>
      </c>
      <c r="D12" s="57" t="s">
        <v>1103</v>
      </c>
      <c r="E12" s="58" t="s">
        <v>1198</v>
      </c>
      <c r="F12" s="55" t="s">
        <v>1103</v>
      </c>
    </row>
    <row r="13" spans="1:6" ht="19" customHeight="1">
      <c r="A13" s="55" t="s">
        <v>1031</v>
      </c>
      <c r="B13" s="55">
        <v>2</v>
      </c>
      <c r="C13" s="56" t="s">
        <v>1094</v>
      </c>
      <c r="D13" s="57" t="s">
        <v>1144</v>
      </c>
      <c r="E13" s="58" t="s">
        <v>1199</v>
      </c>
      <c r="F13" s="55" t="s">
        <v>1144</v>
      </c>
    </row>
    <row r="14" spans="1:6" ht="19" customHeight="1">
      <c r="A14" s="55" t="s">
        <v>1031</v>
      </c>
      <c r="B14" s="55">
        <v>3</v>
      </c>
      <c r="C14" s="56" t="s">
        <v>128</v>
      </c>
      <c r="D14" s="57" t="s">
        <v>1200</v>
      </c>
      <c r="E14" s="58" t="s">
        <v>1201</v>
      </c>
      <c r="F14" s="55" t="s">
        <v>1202</v>
      </c>
    </row>
    <row r="15" spans="1:6" ht="19" customHeight="1">
      <c r="A15" s="55" t="s">
        <v>1031</v>
      </c>
      <c r="B15" s="55">
        <v>4</v>
      </c>
      <c r="C15" s="56" t="s">
        <v>1203</v>
      </c>
      <c r="D15" s="57" t="s">
        <v>1204</v>
      </c>
      <c r="E15" s="58" t="s">
        <v>1205</v>
      </c>
      <c r="F15" s="55" t="s">
        <v>1204</v>
      </c>
    </row>
    <row r="16" spans="1:6" ht="49" customHeight="1">
      <c r="A16" s="55" t="s">
        <v>1031</v>
      </c>
      <c r="B16" s="55">
        <v>5</v>
      </c>
      <c r="C16" s="56" t="s">
        <v>129</v>
      </c>
      <c r="D16" s="57" t="s">
        <v>1206</v>
      </c>
      <c r="E16" s="58" t="s">
        <v>1207</v>
      </c>
      <c r="F16" s="55" t="s">
        <v>1206</v>
      </c>
    </row>
    <row r="17" spans="1:6" ht="19" customHeight="1">
      <c r="A17" s="55" t="s">
        <v>1031</v>
      </c>
      <c r="B17" s="55">
        <v>6</v>
      </c>
      <c r="C17" s="56" t="s">
        <v>1194</v>
      </c>
      <c r="D17" s="57" t="s">
        <v>1208</v>
      </c>
      <c r="E17" s="58"/>
      <c r="F17" s="55" t="s">
        <v>1208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Zustaendigkeiten">
    <tabColor rgb="FF0F94A7"/>
    <outlinePr summaryBelow="0"/>
  </sheetPr>
  <dimension ref="A1:AO198"/>
  <sheetViews>
    <sheetView showGridLines="0" workbookViewId="0">
      <pane xSplit="3" ySplit="4" topLeftCell="D5" activePane="bottomRight" state="frozen"/>
      <selection pane="topRight" activeCell="D1" sqref="D1"/>
      <selection pane="bottomLeft" activeCell="A5" sqref="A5"/>
      <selection pane="bottomRight"/>
    </sheetView>
  </sheetViews>
  <sheetFormatPr defaultRowHeight="15" outlineLevelRow="2"/>
  <cols>
    <col min="1" max="1" width="6.7109375" customWidth="1"/>
    <col min="2" max="2" width="7.7109375" customWidth="1"/>
    <col min="3" max="3" width="52.7109375" customWidth="1"/>
    <col min="4" max="4" width="22.7109375" customWidth="1"/>
    <col min="5" max="5" width="24.7109375" customWidth="1"/>
    <col min="6" max="6" width="11.28515625" customWidth="1"/>
    <col min="7" max="7" width="13.28515625" customWidth="1"/>
    <col min="8" max="8" width="12.7109375" customWidth="1"/>
    <col min="9" max="38" width="4.28515625" customWidth="1"/>
    <col min="39" max="40" width="40.7109375" hidden="1" customWidth="1"/>
    <col min="41" max="41" width="6.7109375" hidden="1" customWidth="1"/>
  </cols>
  <sheetData>
    <row r="1" spans="1:41">
      <c r="A1" s="13" t="s">
        <v>691</v>
      </c>
    </row>
    <row r="2" spans="1:41">
      <c r="A2" s="8">
        <f>IF(ZuordnungOffen=1,"Bearbeiten aktiv: Klick in ein Personenfeld setzt oder entfernt den Punkt, Klick auf ja/nein schaltet die Pflicht, Klick auf den Zyklus wechselt ihn.  „Fertig · sperren“ schließt die Bearbeitung.","Gesperrt. Zum Ändern „Zuständigkeiten bearbeiten“ klicken.  Die Gliederung (+/− links) klappt Themen auf und zu.")</f>
        <v>0</v>
      </c>
    </row>
    <row r="3" spans="1:41">
      <c r="A3" s="8" t="s">
        <v>692</v>
      </c>
    </row>
    <row r="4" spans="1:41" ht="96" customHeight="1">
      <c r="A4" s="9" t="s">
        <v>693</v>
      </c>
      <c r="B4" s="9" t="s">
        <v>694</v>
      </c>
      <c r="C4" s="9" t="s">
        <v>695</v>
      </c>
      <c r="D4" s="9" t="s">
        <v>696</v>
      </c>
      <c r="E4" s="9" t="s">
        <v>697</v>
      </c>
      <c r="F4" s="9" t="s">
        <v>698</v>
      </c>
      <c r="G4" s="9" t="s">
        <v>699</v>
      </c>
      <c r="H4" s="9" t="s">
        <v>700</v>
      </c>
      <c r="I4" s="59" t="str">
        <f>IF(Konfiguration!$B$28="","",Konfiguration!$B$28)</f>
        <v>Amend</v>
      </c>
      <c r="J4" s="59" t="str">
        <f>IF(Konfiguration!$B$29="","",Konfiguration!$B$29)</f>
        <v>Bauer</v>
      </c>
      <c r="K4" s="59" t="str">
        <f>IF(Konfiguration!$B$30="","",Konfiguration!$B$30)</f>
        <v>Beizerov</v>
      </c>
      <c r="L4" s="59" t="str">
        <f>IF(Konfiguration!$B$31="","",Konfiguration!$B$31)</f>
        <v>Brückner</v>
      </c>
      <c r="M4" s="59" t="str">
        <f>IF(Konfiguration!$B$32="","",Konfiguration!$B$32)</f>
        <v>Buchkremer</v>
      </c>
      <c r="N4" s="59" t="str">
        <f>IF(Konfiguration!$B$33="","",Konfiguration!$B$33)</f>
        <v>Burnik</v>
      </c>
      <c r="O4" s="59" t="str">
        <f>IF(Konfiguration!$B$34="","",Konfiguration!$B$34)</f>
        <v>Förster</v>
      </c>
      <c r="P4" s="59" t="str">
        <f>IF(Konfiguration!$B$35="","",Konfiguration!$B$35)</f>
        <v>Freytag</v>
      </c>
      <c r="Q4" s="59" t="str">
        <f>IF(Konfiguration!$B$36="","",Konfiguration!$B$36)</f>
        <v>Fröhlich</v>
      </c>
      <c r="R4" s="59" t="str">
        <f>IF(Konfiguration!$B$37="","",Konfiguration!$B$37)</f>
        <v>Göddertz</v>
      </c>
      <c r="S4" s="59" t="str">
        <f>IF(Konfiguration!$B$38="","",Konfiguration!$B$38)</f>
        <v>Greß</v>
      </c>
      <c r="T4" s="59" t="str">
        <f>IF(Konfiguration!$B$39="","",Konfiguration!$B$39)</f>
        <v>Gress</v>
      </c>
      <c r="U4" s="59" t="str">
        <f>IF(Konfiguration!$B$40="","",Konfiguration!$B$40)</f>
        <v>Kinnert</v>
      </c>
      <c r="V4" s="59" t="str">
        <f>IF(Konfiguration!$B$41="","",Konfiguration!$B$41)</f>
        <v>Kirsten</v>
      </c>
      <c r="W4" s="59" t="str">
        <f>IF(Konfiguration!$B$42="","",Konfiguration!$B$42)</f>
        <v>Kneissler</v>
      </c>
      <c r="X4" s="59" t="str">
        <f>IF(Konfiguration!$B$43="","",Konfiguration!$B$43)</f>
        <v>Köster</v>
      </c>
      <c r="Y4" s="59" t="str">
        <f>IF(Konfiguration!$B$44="","",Konfiguration!$B$44)</f>
        <v>Kraus</v>
      </c>
      <c r="Z4" s="59" t="str">
        <f>IF(Konfiguration!$B$45="","",Konfiguration!$B$45)</f>
        <v>Kyriakidis</v>
      </c>
      <c r="AA4" s="59" t="str">
        <f>IF(Konfiguration!$B$46="","",Konfiguration!$B$46)</f>
        <v>Lürken</v>
      </c>
      <c r="AB4" s="59" t="str">
        <f>IF(Konfiguration!$B$47="","",Konfiguration!$B$47)</f>
        <v>Mey</v>
      </c>
      <c r="AC4" s="59" t="str">
        <f>IF(Konfiguration!$B$48="","",Konfiguration!$B$48)</f>
        <v>Müßigbrodt</v>
      </c>
      <c r="AD4" s="59" t="str">
        <f>IF(Konfiguration!$B$49="","",Konfiguration!$B$49)</f>
        <v>Richartz</v>
      </c>
      <c r="AE4" s="59" t="str">
        <f>IF(Konfiguration!$B$50="","",Konfiguration!$B$50)</f>
        <v>Schneider</v>
      </c>
      <c r="AF4" s="59" t="str">
        <f>IF(Konfiguration!$B$51="","",Konfiguration!$B$51)</f>
        <v>Streich</v>
      </c>
      <c r="AG4" s="59" t="str">
        <f>IF(Konfiguration!$B$52="","",Konfiguration!$B$52)</f>
        <v>Westrich</v>
      </c>
      <c r="AH4" s="59" t="str">
        <f>IF(Konfiguration!$B$53="","",Konfiguration!$B$53)</f>
        <v>Wielpütz</v>
      </c>
      <c r="AI4" s="59" t="str">
        <f>IF(Konfiguration!$B$54="","",Konfiguration!$B$54)</f>
        <v>Zeitz</v>
      </c>
      <c r="AJ4" s="59">
        <f>IF(Konfiguration!$B$55="","",Konfiguration!$B$55)</f>
        <v/>
      </c>
      <c r="AK4" s="59">
        <f>IF(Konfiguration!$B$56="","",Konfiguration!$B$56)</f>
        <v/>
      </c>
      <c r="AL4" s="59">
        <f>IF(Konfiguration!$B$57="","",Konfiguration!$B$57)</f>
        <v/>
      </c>
      <c r="AM4" s="9" t="s">
        <v>701</v>
      </c>
      <c r="AN4" s="9" t="s">
        <v>702</v>
      </c>
      <c r="AO4" s="9" t="s">
        <v>703</v>
      </c>
    </row>
    <row r="5" spans="1:41" ht="22" customHeight="1" collapsed="1">
      <c r="A5" s="60" t="s">
        <v>704</v>
      </c>
      <c r="B5" s="60"/>
      <c r="C5" s="60"/>
      <c r="D5" s="60"/>
      <c r="E5" s="60"/>
      <c r="F5" s="60"/>
      <c r="G5" s="60"/>
      <c r="H5" s="60"/>
      <c r="I5" s="61"/>
      <c r="J5" s="61"/>
      <c r="K5" s="61"/>
      <c r="L5" s="61"/>
      <c r="M5" s="61"/>
      <c r="N5" s="61"/>
      <c r="O5" s="61"/>
      <c r="P5" s="61"/>
      <c r="Q5" s="61"/>
      <c r="R5" s="61"/>
      <c r="S5" s="61"/>
      <c r="T5" s="61"/>
      <c r="U5" s="61"/>
      <c r="V5" s="61"/>
      <c r="W5" s="61"/>
      <c r="X5" s="61"/>
      <c r="Y5" s="61"/>
      <c r="Z5" s="61"/>
      <c r="AA5" s="61"/>
      <c r="AB5" s="61"/>
      <c r="AC5" s="61"/>
      <c r="AD5" s="61"/>
      <c r="AE5" s="61"/>
      <c r="AF5" s="61"/>
      <c r="AG5" s="61"/>
      <c r="AH5" s="61"/>
      <c r="AI5" s="61"/>
      <c r="AJ5" s="61"/>
      <c r="AK5" s="61"/>
      <c r="AL5" s="61"/>
      <c r="AO5" t="s">
        <v>705</v>
      </c>
    </row>
    <row r="6" spans="1:41" ht="18" hidden="1" customHeight="1" outlineLevel="1">
      <c r="A6" s="62"/>
      <c r="B6" s="62" t="s">
        <v>707</v>
      </c>
      <c r="C6" s="63" t="s">
        <v>708</v>
      </c>
      <c r="D6" s="63"/>
      <c r="E6" s="63"/>
      <c r="F6" s="63"/>
      <c r="G6" s="63"/>
      <c r="H6" s="63"/>
      <c r="I6" s="64"/>
      <c r="J6" s="64"/>
      <c r="K6" s="64"/>
      <c r="L6" s="64"/>
      <c r="M6" s="64"/>
      <c r="N6" s="64"/>
      <c r="O6" s="64"/>
      <c r="P6" s="64"/>
      <c r="Q6" s="64"/>
      <c r="R6" s="64"/>
      <c r="S6" s="64"/>
      <c r="T6" s="64"/>
      <c r="U6" s="64"/>
      <c r="V6" s="64"/>
      <c r="W6" s="64"/>
      <c r="X6" s="64"/>
      <c r="Y6" s="64"/>
      <c r="Z6" s="64"/>
      <c r="AA6" s="64"/>
      <c r="AB6" s="64"/>
      <c r="AC6" s="64"/>
      <c r="AD6" s="64"/>
      <c r="AE6" s="64"/>
      <c r="AF6" s="64"/>
      <c r="AG6" s="64"/>
      <c r="AH6" s="64"/>
      <c r="AI6" s="64"/>
      <c r="AJ6" s="64"/>
      <c r="AK6" s="64"/>
      <c r="AL6" s="64"/>
      <c r="AO6" t="s">
        <v>706</v>
      </c>
    </row>
    <row r="7" spans="1:41" ht="18" hidden="1" customHeight="1" outlineLevel="2">
      <c r="A7" s="65">
        <f>ROW(Rohdaten!$A$4)</f>
        <v>4</v>
      </c>
      <c r="B7" s="66">
        <f>IF(Rohdaten!$A$4="","",Rohdaten!$A$4)</f>
        <v/>
      </c>
      <c r="C7" s="67" t="s">
        <v>710</v>
      </c>
      <c r="D7" s="68" t="str">
        <f>IF(Rohdaten!$E$4="","",Rohdaten!$E$4)</f>
        <v>Förster / Greß</v>
      </c>
      <c r="E7" s="69" t="str">
        <f t="array" ref="E7">_xlfn.TEXTJOIN(" / ",TRUE,IF($I7:$AL7="●",$I$4:$AL$4,""))</f>
        <v>Förster / Greß</v>
      </c>
      <c r="F7" s="70" t="s">
        <v>711</v>
      </c>
      <c r="G7" s="71" t="s">
        <v>712</v>
      </c>
      <c r="H7" s="72" t="str">
        <f>IF($F7="automatisch",IF(ISNA(MATCH(Stichtag,RD_Kopf,0)),"automatisch",IF(SUMPRODUCT((RD_Kopf&gt;=IF($G7="monatlich",DATE(YEAR(KWFreitag),MONTH(KWFreitag),1),IF($G7="quartalsweise",DATE(YEAR(KWFreitag),INT((MONTH(KWFreitag)-1)/3)*3+1,1),Stichtag)))*(RD_Kopf&lt;=Stichtag)*ISNUMBER(Rohdaten!$A$4:$LJ$4))&gt;0,"erledigt","automatisch")),IF($F7&lt;&gt;"ja","nicht berichtet",IF(ISNA(MATCH(Stichtag,RD_Kopf,0)),"keine Spalte",IF(SUMPRODUCT((RD_Kopf&gt;=IF($G7="monatlich",DATE(YEAR(KWFreitag),MONTH(KWFreitag),1),IF($G7="quartalsweise",DATE(YEAR(KWFreitag),INT((MONTH(KWFreitag)-1)/3)*3+1,1),Stichtag)))*(RD_Kopf&lt;=Stichtag)*ISNUMBER(Rohdaten!$A$4:$LJ$4))&gt;0,"erledigt","offen"))))</f>
        <v>nicht berichtet</v>
      </c>
      <c r="I7" s="73"/>
      <c r="J7" s="73"/>
      <c r="K7" s="73"/>
      <c r="L7" s="73"/>
      <c r="M7" s="73"/>
      <c r="N7" s="73"/>
      <c r="O7" s="73" t="s">
        <v>714</v>
      </c>
      <c r="P7" s="73"/>
      <c r="Q7" s="73"/>
      <c r="R7" s="73"/>
      <c r="S7" s="73" t="s">
        <v>714</v>
      </c>
      <c r="T7" s="73"/>
      <c r="U7" s="73"/>
      <c r="V7" s="73"/>
      <c r="W7" s="73"/>
      <c r="X7" s="73"/>
      <c r="Y7" s="73"/>
      <c r="Z7" s="73"/>
      <c r="AA7" s="73"/>
      <c r="AB7" s="73"/>
      <c r="AC7" s="73"/>
      <c r="AD7" s="73"/>
      <c r="AE7" s="73"/>
      <c r="AF7" s="73"/>
      <c r="AG7" s="73"/>
      <c r="AH7" s="73"/>
      <c r="AI7" s="73"/>
      <c r="AJ7" s="73"/>
      <c r="AK7" s="73"/>
      <c r="AL7" s="73"/>
      <c r="AM7" t="s">
        <v>713</v>
      </c>
      <c r="AN7" t="s">
        <v>707</v>
      </c>
      <c r="AO7" t="s">
        <v>709</v>
      </c>
    </row>
    <row r="8" spans="1:41" ht="18" hidden="1" customHeight="1" outlineLevel="2">
      <c r="A8" s="65">
        <f>ROW(Rohdaten!$A$5)</f>
        <v>5</v>
      </c>
      <c r="B8" s="66">
        <f>IF(Rohdaten!$A$5="","",Rohdaten!$A$5)</f>
        <v/>
      </c>
      <c r="C8" s="67" t="s">
        <v>715</v>
      </c>
      <c r="D8" s="68" t="str">
        <f>IF(Rohdaten!$E$5="","",Rohdaten!$E$5)</f>
        <v>Streich</v>
      </c>
      <c r="E8" s="69" t="str">
        <f t="array" ref="E8">_xlfn.TEXTJOIN(" / ",TRUE,IF($I8:$AL8="●",$I$4:$AL$4,""))</f>
        <v>Streich</v>
      </c>
      <c r="F8" s="70" t="s">
        <v>711</v>
      </c>
      <c r="G8" s="71" t="s">
        <v>712</v>
      </c>
      <c r="H8" s="72" t="str">
        <f>IF($F8="automatisch",IF(ISNA(MATCH(Stichtag,RD_Kopf,0)),"automatisch",IF(SUMPRODUCT((RD_Kopf&gt;=IF($G8="monatlich",DATE(YEAR(KWFreitag),MONTH(KWFreitag),1),IF($G8="quartalsweise",DATE(YEAR(KWFreitag),INT((MONTH(KWFreitag)-1)/3)*3+1,1),Stichtag)))*(RD_Kopf&lt;=Stichtag)*ISNUMBER(Rohdaten!$A$5:$LJ$5))&gt;0,"erledigt","automatisch")),IF($F8&lt;&gt;"ja","nicht berichtet",IF(ISNA(MATCH(Stichtag,RD_Kopf,0)),"keine Spalte",IF(SUMPRODUCT((RD_Kopf&gt;=IF($G8="monatlich",DATE(YEAR(KWFreitag),MONTH(KWFreitag),1),IF($G8="quartalsweise",DATE(YEAR(KWFreitag),INT((MONTH(KWFreitag)-1)/3)*3+1,1),Stichtag)))*(RD_Kopf&lt;=Stichtag)*ISNUMBER(Rohdaten!$A$5:$LJ$5))&gt;0,"erledigt","offen"))))</f>
        <v>nicht berichtet</v>
      </c>
      <c r="I8" s="73"/>
      <c r="J8" s="73"/>
      <c r="K8" s="73"/>
      <c r="L8" s="73"/>
      <c r="M8" s="73"/>
      <c r="N8" s="73"/>
      <c r="O8" s="73"/>
      <c r="P8" s="73"/>
      <c r="Q8" s="73"/>
      <c r="R8" s="73"/>
      <c r="S8" s="73"/>
      <c r="T8" s="73"/>
      <c r="U8" s="73"/>
      <c r="V8" s="73"/>
      <c r="W8" s="73"/>
      <c r="X8" s="73"/>
      <c r="Y8" s="73"/>
      <c r="Z8" s="73"/>
      <c r="AA8" s="73"/>
      <c r="AB8" s="73"/>
      <c r="AC8" s="73"/>
      <c r="AD8" s="73"/>
      <c r="AE8" s="73"/>
      <c r="AF8" s="73" t="s">
        <v>714</v>
      </c>
      <c r="AG8" s="73"/>
      <c r="AH8" s="73"/>
      <c r="AI8" s="73"/>
      <c r="AJ8" s="73"/>
      <c r="AK8" s="73"/>
      <c r="AL8" s="73"/>
      <c r="AM8" t="s">
        <v>716</v>
      </c>
      <c r="AN8" t="s">
        <v>707</v>
      </c>
      <c r="AO8" t="s">
        <v>709</v>
      </c>
    </row>
    <row r="9" spans="1:41" ht="18" hidden="1" customHeight="1" outlineLevel="2">
      <c r="A9" s="65">
        <f>ROW(Rohdaten!$A$6)</f>
        <v>6</v>
      </c>
      <c r="B9" s="66">
        <f>IF(Rohdaten!$A$6="","",Rohdaten!$A$6)</f>
        <v/>
      </c>
      <c r="C9" s="67" t="s">
        <v>717</v>
      </c>
      <c r="D9" s="68" t="str">
        <f>IF(Rohdaten!$E$6="","",Rohdaten!$E$6)</f>
        <v>Gress</v>
      </c>
      <c r="E9" s="69" t="str">
        <f t="array" ref="E9">_xlfn.TEXTJOIN(" / ",TRUE,IF($I9:$AL9="●",$I$4:$AL$4,""))</f>
        <v>Gress</v>
      </c>
      <c r="F9" s="70" t="s">
        <v>711</v>
      </c>
      <c r="G9" s="71" t="s">
        <v>712</v>
      </c>
      <c r="H9" s="72" t="str">
        <f>IF($F9="automatisch",IF(ISNA(MATCH(Stichtag,RD_Kopf,0)),"automatisch",IF(SUMPRODUCT((RD_Kopf&gt;=IF($G9="monatlich",DATE(YEAR(KWFreitag),MONTH(KWFreitag),1),IF($G9="quartalsweise",DATE(YEAR(KWFreitag),INT((MONTH(KWFreitag)-1)/3)*3+1,1),Stichtag)))*(RD_Kopf&lt;=Stichtag)*ISNUMBER(Rohdaten!$A$6:$LJ$6))&gt;0,"erledigt","automatisch")),IF($F9&lt;&gt;"ja","nicht berichtet",IF(ISNA(MATCH(Stichtag,RD_Kopf,0)),"keine Spalte",IF(SUMPRODUCT((RD_Kopf&gt;=IF($G9="monatlich",DATE(YEAR(KWFreitag),MONTH(KWFreitag),1),IF($G9="quartalsweise",DATE(YEAR(KWFreitag),INT((MONTH(KWFreitag)-1)/3)*3+1,1),Stichtag)))*(RD_Kopf&lt;=Stichtag)*ISNUMBER(Rohdaten!$A$6:$LJ$6))&gt;0,"erledigt","offen"))))</f>
        <v>nicht berichtet</v>
      </c>
      <c r="I9" s="73"/>
      <c r="J9" s="73"/>
      <c r="K9" s="73"/>
      <c r="L9" s="73"/>
      <c r="M9" s="73"/>
      <c r="N9" s="73"/>
      <c r="O9" s="73"/>
      <c r="P9" s="73"/>
      <c r="Q9" s="73"/>
      <c r="R9" s="73"/>
      <c r="S9" s="73"/>
      <c r="T9" s="73" t="s">
        <v>714</v>
      </c>
      <c r="U9" s="73"/>
      <c r="V9" s="73"/>
      <c r="W9" s="73"/>
      <c r="X9" s="73"/>
      <c r="Y9" s="73"/>
      <c r="Z9" s="73"/>
      <c r="AA9" s="73"/>
      <c r="AB9" s="73"/>
      <c r="AC9" s="73"/>
      <c r="AD9" s="73"/>
      <c r="AE9" s="73"/>
      <c r="AF9" s="73"/>
      <c r="AG9" s="73"/>
      <c r="AH9" s="73"/>
      <c r="AI9" s="73"/>
      <c r="AJ9" s="73"/>
      <c r="AK9" s="73"/>
      <c r="AL9" s="73"/>
      <c r="AM9" t="s">
        <v>718</v>
      </c>
      <c r="AN9" t="s">
        <v>707</v>
      </c>
      <c r="AO9" t="s">
        <v>709</v>
      </c>
    </row>
    <row r="10" spans="1:41" ht="18" hidden="1" customHeight="1" outlineLevel="2">
      <c r="A10" s="65">
        <f>ROW(Rohdaten!$A$7)</f>
        <v>7</v>
      </c>
      <c r="B10" s="66">
        <f>IF(Rohdaten!$A$7="","",Rohdaten!$A$7)</f>
        <v/>
      </c>
      <c r="C10" s="67" t="s">
        <v>719</v>
      </c>
      <c r="D10" s="68" t="str">
        <f>IF(Rohdaten!$E$7="","",Rohdaten!$E$7)</f>
        <v>Schneider</v>
      </c>
      <c r="E10" s="69" t="str">
        <f t="array" ref="E10">_xlfn.TEXTJOIN(" / ",TRUE,IF($I10:$AL10="●",$I$4:$AL$4,""))</f>
        <v>Schneider</v>
      </c>
      <c r="F10" s="70" t="s">
        <v>711</v>
      </c>
      <c r="G10" s="71" t="s">
        <v>712</v>
      </c>
      <c r="H10" s="72" t="str">
        <f>IF($F10="automatisch",IF(ISNA(MATCH(Stichtag,RD_Kopf,0)),"automatisch",IF(SUMPRODUCT((RD_Kopf&gt;=IF($G10="monatlich",DATE(YEAR(KWFreitag),MONTH(KWFreitag),1),IF($G10="quartalsweise",DATE(YEAR(KWFreitag),INT((MONTH(KWFreitag)-1)/3)*3+1,1),Stichtag)))*(RD_Kopf&lt;=Stichtag)*ISNUMBER(Rohdaten!$A$7:$LJ$7))&gt;0,"erledigt","automatisch")),IF($F10&lt;&gt;"ja","nicht berichtet",IF(ISNA(MATCH(Stichtag,RD_Kopf,0)),"keine Spalte",IF(SUMPRODUCT((RD_Kopf&gt;=IF($G10="monatlich",DATE(YEAR(KWFreitag),MONTH(KWFreitag),1),IF($G10="quartalsweise",DATE(YEAR(KWFreitag),INT((MONTH(KWFreitag)-1)/3)*3+1,1),Stichtag)))*(RD_Kopf&lt;=Stichtag)*ISNUMBER(Rohdaten!$A$7:$LJ$7))&gt;0,"erledigt","offen"))))</f>
        <v>nicht berichtet</v>
      </c>
      <c r="I10" s="73"/>
      <c r="J10" s="73"/>
      <c r="K10" s="73"/>
      <c r="L10" s="73"/>
      <c r="M10" s="73"/>
      <c r="N10" s="73"/>
      <c r="O10" s="73"/>
      <c r="P10" s="73"/>
      <c r="Q10" s="73"/>
      <c r="R10" s="73"/>
      <c r="S10" s="73"/>
      <c r="T10" s="73"/>
      <c r="U10" s="73"/>
      <c r="V10" s="73"/>
      <c r="W10" s="73"/>
      <c r="X10" s="73"/>
      <c r="Y10" s="73"/>
      <c r="Z10" s="73"/>
      <c r="AA10" s="73"/>
      <c r="AB10" s="73"/>
      <c r="AC10" s="73"/>
      <c r="AD10" s="73"/>
      <c r="AE10" s="73" t="s">
        <v>714</v>
      </c>
      <c r="AF10" s="73"/>
      <c r="AG10" s="73"/>
      <c r="AH10" s="73"/>
      <c r="AI10" s="73"/>
      <c r="AJ10" s="73"/>
      <c r="AK10" s="73"/>
      <c r="AL10" s="73"/>
      <c r="AM10" t="s">
        <v>720</v>
      </c>
      <c r="AN10" t="s">
        <v>707</v>
      </c>
      <c r="AO10" t="s">
        <v>709</v>
      </c>
    </row>
    <row r="11" spans="1:41" ht="18" hidden="1" customHeight="1" outlineLevel="2">
      <c r="A11" s="65">
        <f>ROW(Rohdaten!$A$8)</f>
        <v>8</v>
      </c>
      <c r="B11" s="66">
        <f>IF(Rohdaten!$A$8="","",Rohdaten!$A$8)</f>
        <v/>
      </c>
      <c r="C11" s="67" t="s">
        <v>721</v>
      </c>
      <c r="D11" s="68" t="str">
        <f>IF(Rohdaten!$E$8="","",Rohdaten!$E$8)</f>
        <v>Lürken</v>
      </c>
      <c r="E11" s="69" t="str">
        <f t="array" ref="E11">_xlfn.TEXTJOIN(" / ",TRUE,IF($I11:$AL11="●",$I$4:$AL$4,""))</f>
        <v>Lürken</v>
      </c>
      <c r="F11" s="70" t="s">
        <v>711</v>
      </c>
      <c r="G11" s="71" t="s">
        <v>712</v>
      </c>
      <c r="H11" s="72" t="str">
        <f>IF($F11="automatisch",IF(ISNA(MATCH(Stichtag,RD_Kopf,0)),"automatisch",IF(SUMPRODUCT((RD_Kopf&gt;=IF($G11="monatlich",DATE(YEAR(KWFreitag),MONTH(KWFreitag),1),IF($G11="quartalsweise",DATE(YEAR(KWFreitag),INT((MONTH(KWFreitag)-1)/3)*3+1,1),Stichtag)))*(RD_Kopf&lt;=Stichtag)*ISNUMBER(Rohdaten!$A$8:$LJ$8))&gt;0,"erledigt","automatisch")),IF($F11&lt;&gt;"ja","nicht berichtet",IF(ISNA(MATCH(Stichtag,RD_Kopf,0)),"keine Spalte",IF(SUMPRODUCT((RD_Kopf&gt;=IF($G11="monatlich",DATE(YEAR(KWFreitag),MONTH(KWFreitag),1),IF($G11="quartalsweise",DATE(YEAR(KWFreitag),INT((MONTH(KWFreitag)-1)/3)*3+1,1),Stichtag)))*(RD_Kopf&lt;=Stichtag)*ISNUMBER(Rohdaten!$A$8:$LJ$8))&gt;0,"erledigt","offen"))))</f>
        <v>nicht berichtet</v>
      </c>
      <c r="I11" s="73"/>
      <c r="J11" s="73"/>
      <c r="K11" s="73"/>
      <c r="L11" s="73"/>
      <c r="M11" s="73"/>
      <c r="N11" s="73"/>
      <c r="O11" s="73"/>
      <c r="P11" s="73"/>
      <c r="Q11" s="73"/>
      <c r="R11" s="73"/>
      <c r="S11" s="73"/>
      <c r="T11" s="73"/>
      <c r="U11" s="73"/>
      <c r="V11" s="73"/>
      <c r="W11" s="73"/>
      <c r="X11" s="73"/>
      <c r="Y11" s="73"/>
      <c r="Z11" s="73"/>
      <c r="AA11" s="73" t="s">
        <v>714</v>
      </c>
      <c r="AB11" s="73"/>
      <c r="AC11" s="73"/>
      <c r="AD11" s="73"/>
      <c r="AE11" s="73"/>
      <c r="AF11" s="73"/>
      <c r="AG11" s="73"/>
      <c r="AH11" s="73"/>
      <c r="AI11" s="73"/>
      <c r="AJ11" s="73"/>
      <c r="AK11" s="73"/>
      <c r="AL11" s="73"/>
      <c r="AM11" t="s">
        <v>722</v>
      </c>
      <c r="AN11" t="s">
        <v>707</v>
      </c>
      <c r="AO11" t="s">
        <v>709</v>
      </c>
    </row>
    <row r="12" spans="1:41" ht="18" hidden="1" customHeight="1" outlineLevel="2">
      <c r="A12" s="65">
        <f>ROW(Rohdaten!$A$9)</f>
        <v>9</v>
      </c>
      <c r="B12" s="66">
        <f>IF(Rohdaten!$A$9="","",Rohdaten!$A$9)</f>
        <v/>
      </c>
      <c r="C12" s="67" t="s">
        <v>723</v>
      </c>
      <c r="D12" s="68" t="str">
        <f>IF(Rohdaten!$E$9="","",Rohdaten!$E$9)</f>
        <v>Kraus</v>
      </c>
      <c r="E12" s="69" t="str">
        <f t="array" ref="E12">_xlfn.TEXTJOIN(" / ",TRUE,IF($I12:$AL12="●",$I$4:$AL$4,""))</f>
        <v>Kraus</v>
      </c>
      <c r="F12" s="70" t="s">
        <v>711</v>
      </c>
      <c r="G12" s="71" t="s">
        <v>712</v>
      </c>
      <c r="H12" s="72" t="str">
        <f>IF($F12="automatisch",IF(ISNA(MATCH(Stichtag,RD_Kopf,0)),"automatisch",IF(SUMPRODUCT((RD_Kopf&gt;=IF($G12="monatlich",DATE(YEAR(KWFreitag),MONTH(KWFreitag),1),IF($G12="quartalsweise",DATE(YEAR(KWFreitag),INT((MONTH(KWFreitag)-1)/3)*3+1,1),Stichtag)))*(RD_Kopf&lt;=Stichtag)*ISNUMBER(Rohdaten!$A$9:$LJ$9))&gt;0,"erledigt","automatisch")),IF($F12&lt;&gt;"ja","nicht berichtet",IF(ISNA(MATCH(Stichtag,RD_Kopf,0)),"keine Spalte",IF(SUMPRODUCT((RD_Kopf&gt;=IF($G12="monatlich",DATE(YEAR(KWFreitag),MONTH(KWFreitag),1),IF($G12="quartalsweise",DATE(YEAR(KWFreitag),INT((MONTH(KWFreitag)-1)/3)*3+1,1),Stichtag)))*(RD_Kopf&lt;=Stichtag)*ISNUMBER(Rohdaten!$A$9:$LJ$9))&gt;0,"erledigt","offen"))))</f>
        <v>nicht berichtet</v>
      </c>
      <c r="I12" s="73"/>
      <c r="J12" s="73"/>
      <c r="K12" s="73"/>
      <c r="L12" s="73"/>
      <c r="M12" s="73"/>
      <c r="N12" s="73"/>
      <c r="O12" s="73"/>
      <c r="P12" s="73"/>
      <c r="Q12" s="73"/>
      <c r="R12" s="73"/>
      <c r="S12" s="73"/>
      <c r="T12" s="73"/>
      <c r="U12" s="73"/>
      <c r="V12" s="73"/>
      <c r="W12" s="73"/>
      <c r="X12" s="73"/>
      <c r="Y12" s="73" t="s">
        <v>714</v>
      </c>
      <c r="Z12" s="73"/>
      <c r="AA12" s="73"/>
      <c r="AB12" s="73"/>
      <c r="AC12" s="73"/>
      <c r="AD12" s="73"/>
      <c r="AE12" s="73"/>
      <c r="AF12" s="73"/>
      <c r="AG12" s="73"/>
      <c r="AH12" s="73"/>
      <c r="AI12" s="73"/>
      <c r="AJ12" s="73"/>
      <c r="AK12" s="73"/>
      <c r="AL12" s="73"/>
      <c r="AM12" t="s">
        <v>724</v>
      </c>
      <c r="AN12" t="s">
        <v>707</v>
      </c>
      <c r="AO12" t="s">
        <v>709</v>
      </c>
    </row>
    <row r="13" spans="1:41" ht="18" hidden="1" customHeight="1" outlineLevel="2">
      <c r="A13" s="65">
        <f>ROW(Rohdaten!$A$10)</f>
        <v>10</v>
      </c>
      <c r="B13" s="66">
        <f>IF(Rohdaten!$A$10="","",Rohdaten!$A$10)</f>
        <v/>
      </c>
      <c r="C13" s="67" t="s">
        <v>725</v>
      </c>
      <c r="D13" s="68" t="str">
        <f>IF(Rohdaten!$E$10="","",Rohdaten!$E$10)</f>
        <v>Westrich</v>
      </c>
      <c r="E13" s="69" t="str">
        <f t="array" ref="E13">_xlfn.TEXTJOIN(" / ",TRUE,IF($I13:$AL13="●",$I$4:$AL$4,""))</f>
        <v>Westrich</v>
      </c>
      <c r="F13" s="70" t="s">
        <v>711</v>
      </c>
      <c r="G13" s="71" t="s">
        <v>712</v>
      </c>
      <c r="H13" s="72" t="str">
        <f>IF($F13="automatisch",IF(ISNA(MATCH(Stichtag,RD_Kopf,0)),"automatisch",IF(SUMPRODUCT((RD_Kopf&gt;=IF($G13="monatlich",DATE(YEAR(KWFreitag),MONTH(KWFreitag),1),IF($G13="quartalsweise",DATE(YEAR(KWFreitag),INT((MONTH(KWFreitag)-1)/3)*3+1,1),Stichtag)))*(RD_Kopf&lt;=Stichtag)*ISNUMBER(Rohdaten!$A$10:$LJ$10))&gt;0,"erledigt","automatisch")),IF($F13&lt;&gt;"ja","nicht berichtet",IF(ISNA(MATCH(Stichtag,RD_Kopf,0)),"keine Spalte",IF(SUMPRODUCT((RD_Kopf&gt;=IF($G13="monatlich",DATE(YEAR(KWFreitag),MONTH(KWFreitag),1),IF($G13="quartalsweise",DATE(YEAR(KWFreitag),INT((MONTH(KWFreitag)-1)/3)*3+1,1),Stichtag)))*(RD_Kopf&lt;=Stichtag)*ISNUMBER(Rohdaten!$A$10:$LJ$10))&gt;0,"erledigt","offen"))))</f>
        <v>nicht berichtet</v>
      </c>
      <c r="I13" s="73"/>
      <c r="J13" s="73"/>
      <c r="K13" s="73"/>
      <c r="L13" s="73"/>
      <c r="M13" s="73"/>
      <c r="N13" s="73"/>
      <c r="O13" s="73"/>
      <c r="P13" s="73"/>
      <c r="Q13" s="73"/>
      <c r="R13" s="73"/>
      <c r="S13" s="73"/>
      <c r="T13" s="73"/>
      <c r="U13" s="73"/>
      <c r="V13" s="73"/>
      <c r="W13" s="73"/>
      <c r="X13" s="73"/>
      <c r="Y13" s="73"/>
      <c r="Z13" s="73"/>
      <c r="AA13" s="73"/>
      <c r="AB13" s="73"/>
      <c r="AC13" s="73"/>
      <c r="AD13" s="73"/>
      <c r="AE13" s="73"/>
      <c r="AF13" s="73"/>
      <c r="AG13" s="73" t="s">
        <v>714</v>
      </c>
      <c r="AH13" s="73"/>
      <c r="AI13" s="73"/>
      <c r="AJ13" s="73"/>
      <c r="AK13" s="73"/>
      <c r="AL13" s="73"/>
      <c r="AM13" t="s">
        <v>726</v>
      </c>
      <c r="AN13" t="s">
        <v>707</v>
      </c>
      <c r="AO13" t="s">
        <v>709</v>
      </c>
    </row>
    <row r="14" spans="1:41" ht="18" hidden="1" customHeight="1" outlineLevel="1">
      <c r="A14" s="62"/>
      <c r="B14" s="62" t="s">
        <v>727</v>
      </c>
      <c r="C14" s="63" t="s">
        <v>728</v>
      </c>
      <c r="D14" s="63"/>
      <c r="E14" s="63"/>
      <c r="F14" s="63"/>
      <c r="G14" s="63"/>
      <c r="H14" s="63"/>
      <c r="I14" s="64"/>
      <c r="J14" s="64"/>
      <c r="K14" s="64"/>
      <c r="L14" s="64"/>
      <c r="M14" s="64"/>
      <c r="N14" s="64"/>
      <c r="O14" s="64"/>
      <c r="P14" s="64"/>
      <c r="Q14" s="64"/>
      <c r="R14" s="64"/>
      <c r="S14" s="64"/>
      <c r="T14" s="64"/>
      <c r="U14" s="64"/>
      <c r="V14" s="64"/>
      <c r="W14" s="64"/>
      <c r="X14" s="64"/>
      <c r="Y14" s="64"/>
      <c r="Z14" s="64"/>
      <c r="AA14" s="64"/>
      <c r="AB14" s="64"/>
      <c r="AC14" s="64"/>
      <c r="AD14" s="64"/>
      <c r="AE14" s="64"/>
      <c r="AF14" s="64"/>
      <c r="AG14" s="64"/>
      <c r="AH14" s="64"/>
      <c r="AI14" s="64"/>
      <c r="AJ14" s="64"/>
      <c r="AK14" s="64"/>
      <c r="AL14" s="64"/>
      <c r="AO14" t="s">
        <v>706</v>
      </c>
    </row>
    <row r="15" spans="1:41" ht="18" hidden="1" customHeight="1" outlineLevel="2">
      <c r="A15" s="65">
        <f>ROW(Rohdaten!$A$15)</f>
        <v>15</v>
      </c>
      <c r="B15" s="66">
        <f>IF(Rohdaten!$A$15="","",Rohdaten!$A$15)</f>
        <v/>
      </c>
      <c r="C15" s="67" t="s">
        <v>710</v>
      </c>
      <c r="D15" s="68" t="str">
        <f>IF(Rohdaten!$E$15="","",Rohdaten!$E$15)</f>
        <v>Förster / Greß</v>
      </c>
      <c r="E15" s="69" t="str">
        <f t="array" ref="E15">_xlfn.TEXTJOIN(" / ",TRUE,IF($I15:$AL15="●",$I$4:$AL$4,""))</f>
        <v>Förster / Greß</v>
      </c>
      <c r="F15" s="70" t="s">
        <v>711</v>
      </c>
      <c r="G15" s="71" t="s">
        <v>712</v>
      </c>
      <c r="H15" s="72" t="str">
        <f>IF($F15="automatisch",IF(ISNA(MATCH(Stichtag,RD_Kopf,0)),"automatisch",IF(SUMPRODUCT((RD_Kopf&gt;=IF($G15="monatlich",DATE(YEAR(KWFreitag),MONTH(KWFreitag),1),IF($G15="quartalsweise",DATE(YEAR(KWFreitag),INT((MONTH(KWFreitag)-1)/3)*3+1,1),Stichtag)))*(RD_Kopf&lt;=Stichtag)*ISNUMBER(Rohdaten!$A$15:$LJ$15))&gt;0,"erledigt","automatisch")),IF($F15&lt;&gt;"ja","nicht berichtet",IF(ISNA(MATCH(Stichtag,RD_Kopf,0)),"keine Spalte",IF(SUMPRODUCT((RD_Kopf&gt;=IF($G15="monatlich",DATE(YEAR(KWFreitag),MONTH(KWFreitag),1),IF($G15="quartalsweise",DATE(YEAR(KWFreitag),INT((MONTH(KWFreitag)-1)/3)*3+1,1),Stichtag)))*(RD_Kopf&lt;=Stichtag)*ISNUMBER(Rohdaten!$A$15:$LJ$15))&gt;0,"erledigt","offen"))))</f>
        <v>nicht berichtet</v>
      </c>
      <c r="I15" s="73"/>
      <c r="J15" s="73"/>
      <c r="K15" s="73"/>
      <c r="L15" s="73"/>
      <c r="M15" s="73"/>
      <c r="N15" s="73"/>
      <c r="O15" s="73" t="s">
        <v>714</v>
      </c>
      <c r="P15" s="73"/>
      <c r="Q15" s="73"/>
      <c r="R15" s="73"/>
      <c r="S15" s="73" t="s">
        <v>714</v>
      </c>
      <c r="T15" s="73"/>
      <c r="U15" s="73"/>
      <c r="V15" s="73"/>
      <c r="W15" s="73"/>
      <c r="X15" s="73"/>
      <c r="Y15" s="73"/>
      <c r="Z15" s="73"/>
      <c r="AA15" s="73"/>
      <c r="AB15" s="73"/>
      <c r="AC15" s="73"/>
      <c r="AD15" s="73"/>
      <c r="AE15" s="73"/>
      <c r="AF15" s="73"/>
      <c r="AG15" s="73"/>
      <c r="AH15" s="73"/>
      <c r="AI15" s="73"/>
      <c r="AJ15" s="73"/>
      <c r="AK15" s="73"/>
      <c r="AL15" s="73"/>
      <c r="AM15" t="s">
        <v>729</v>
      </c>
      <c r="AN15" t="s">
        <v>727</v>
      </c>
      <c r="AO15" t="s">
        <v>709</v>
      </c>
    </row>
    <row r="16" spans="1:41" ht="18" hidden="1" customHeight="1" outlineLevel="2">
      <c r="A16" s="65">
        <f>ROW(Rohdaten!$A$16)</f>
        <v>16</v>
      </c>
      <c r="B16" s="66">
        <f>IF(Rohdaten!$A$16="","",Rohdaten!$A$16)</f>
        <v/>
      </c>
      <c r="C16" s="67" t="s">
        <v>715</v>
      </c>
      <c r="D16" s="68" t="str">
        <f>IF(Rohdaten!$E$16="","",Rohdaten!$E$16)</f>
        <v>Streich</v>
      </c>
      <c r="E16" s="69" t="str">
        <f t="array" ref="E16">_xlfn.TEXTJOIN(" / ",TRUE,IF($I16:$AL16="●",$I$4:$AL$4,""))</f>
        <v>Streich</v>
      </c>
      <c r="F16" s="70" t="s">
        <v>711</v>
      </c>
      <c r="G16" s="71" t="s">
        <v>712</v>
      </c>
      <c r="H16" s="72" t="str">
        <f>IF($F16="automatisch",IF(ISNA(MATCH(Stichtag,RD_Kopf,0)),"automatisch",IF(SUMPRODUCT((RD_Kopf&gt;=IF($G16="monatlich",DATE(YEAR(KWFreitag),MONTH(KWFreitag),1),IF($G16="quartalsweise",DATE(YEAR(KWFreitag),INT((MONTH(KWFreitag)-1)/3)*3+1,1),Stichtag)))*(RD_Kopf&lt;=Stichtag)*ISNUMBER(Rohdaten!$A$16:$LJ$16))&gt;0,"erledigt","automatisch")),IF($F16&lt;&gt;"ja","nicht berichtet",IF(ISNA(MATCH(Stichtag,RD_Kopf,0)),"keine Spalte",IF(SUMPRODUCT((RD_Kopf&gt;=IF($G16="monatlich",DATE(YEAR(KWFreitag),MONTH(KWFreitag),1),IF($G16="quartalsweise",DATE(YEAR(KWFreitag),INT((MONTH(KWFreitag)-1)/3)*3+1,1),Stichtag)))*(RD_Kopf&lt;=Stichtag)*ISNUMBER(Rohdaten!$A$16:$LJ$16))&gt;0,"erledigt","offen"))))</f>
        <v>nicht berichtet</v>
      </c>
      <c r="I16" s="73"/>
      <c r="J16" s="73"/>
      <c r="K16" s="73"/>
      <c r="L16" s="73"/>
      <c r="M16" s="73"/>
      <c r="N16" s="73"/>
      <c r="O16" s="73"/>
      <c r="P16" s="73"/>
      <c r="Q16" s="73"/>
      <c r="R16" s="73"/>
      <c r="S16" s="73"/>
      <c r="T16" s="73"/>
      <c r="U16" s="73"/>
      <c r="V16" s="73"/>
      <c r="W16" s="73"/>
      <c r="X16" s="73"/>
      <c r="Y16" s="73"/>
      <c r="Z16" s="73"/>
      <c r="AA16" s="73"/>
      <c r="AB16" s="73"/>
      <c r="AC16" s="73"/>
      <c r="AD16" s="73"/>
      <c r="AE16" s="73"/>
      <c r="AF16" s="73" t="s">
        <v>714</v>
      </c>
      <c r="AG16" s="73"/>
      <c r="AH16" s="73"/>
      <c r="AI16" s="73"/>
      <c r="AJ16" s="73"/>
      <c r="AK16" s="73"/>
      <c r="AL16" s="73"/>
      <c r="AM16" t="s">
        <v>730</v>
      </c>
      <c r="AN16" t="s">
        <v>727</v>
      </c>
      <c r="AO16" t="s">
        <v>709</v>
      </c>
    </row>
    <row r="17" spans="1:41" ht="18" hidden="1" customHeight="1" outlineLevel="2">
      <c r="A17" s="65">
        <f>ROW(Rohdaten!$A$17)</f>
        <v>17</v>
      </c>
      <c r="B17" s="66">
        <f>IF(Rohdaten!$A$17="","",Rohdaten!$A$17)</f>
        <v/>
      </c>
      <c r="C17" s="67" t="s">
        <v>717</v>
      </c>
      <c r="D17" s="68" t="str">
        <f>IF(Rohdaten!$E$17="","",Rohdaten!$E$17)</f>
        <v>Gress</v>
      </c>
      <c r="E17" s="69" t="str">
        <f t="array" ref="E17">_xlfn.TEXTJOIN(" / ",TRUE,IF($I17:$AL17="●",$I$4:$AL$4,""))</f>
        <v>Gress</v>
      </c>
      <c r="F17" s="70" t="s">
        <v>711</v>
      </c>
      <c r="G17" s="71" t="s">
        <v>712</v>
      </c>
      <c r="H17" s="72" t="str">
        <f>IF($F17="automatisch",IF(ISNA(MATCH(Stichtag,RD_Kopf,0)),"automatisch",IF(SUMPRODUCT((RD_Kopf&gt;=IF($G17="monatlich",DATE(YEAR(KWFreitag),MONTH(KWFreitag),1),IF($G17="quartalsweise",DATE(YEAR(KWFreitag),INT((MONTH(KWFreitag)-1)/3)*3+1,1),Stichtag)))*(RD_Kopf&lt;=Stichtag)*ISNUMBER(Rohdaten!$A$17:$LJ$17))&gt;0,"erledigt","automatisch")),IF($F17&lt;&gt;"ja","nicht berichtet",IF(ISNA(MATCH(Stichtag,RD_Kopf,0)),"keine Spalte",IF(SUMPRODUCT((RD_Kopf&gt;=IF($G17="monatlich",DATE(YEAR(KWFreitag),MONTH(KWFreitag),1),IF($G17="quartalsweise",DATE(YEAR(KWFreitag),INT((MONTH(KWFreitag)-1)/3)*3+1,1),Stichtag)))*(RD_Kopf&lt;=Stichtag)*ISNUMBER(Rohdaten!$A$17:$LJ$17))&gt;0,"erledigt","offen"))))</f>
        <v>nicht berichtet</v>
      </c>
      <c r="I17" s="73"/>
      <c r="J17" s="73"/>
      <c r="K17" s="73"/>
      <c r="L17" s="73"/>
      <c r="M17" s="73"/>
      <c r="N17" s="73"/>
      <c r="O17" s="73"/>
      <c r="P17" s="73"/>
      <c r="Q17" s="73"/>
      <c r="R17" s="73"/>
      <c r="S17" s="73"/>
      <c r="T17" s="73" t="s">
        <v>714</v>
      </c>
      <c r="U17" s="73"/>
      <c r="V17" s="73"/>
      <c r="W17" s="73"/>
      <c r="X17" s="73"/>
      <c r="Y17" s="73"/>
      <c r="Z17" s="73"/>
      <c r="AA17" s="73"/>
      <c r="AB17" s="73"/>
      <c r="AC17" s="73"/>
      <c r="AD17" s="73"/>
      <c r="AE17" s="73"/>
      <c r="AF17" s="73"/>
      <c r="AG17" s="73"/>
      <c r="AH17" s="73"/>
      <c r="AI17" s="73"/>
      <c r="AJ17" s="73"/>
      <c r="AK17" s="73"/>
      <c r="AL17" s="73"/>
      <c r="AM17" t="s">
        <v>731</v>
      </c>
      <c r="AN17" t="s">
        <v>727</v>
      </c>
      <c r="AO17" t="s">
        <v>709</v>
      </c>
    </row>
    <row r="18" spans="1:41" ht="18" hidden="1" customHeight="1" outlineLevel="2">
      <c r="A18" s="65">
        <f>ROW(Rohdaten!$A$18)</f>
        <v>18</v>
      </c>
      <c r="B18" s="66">
        <f>IF(Rohdaten!$A$18="","",Rohdaten!$A$18)</f>
        <v/>
      </c>
      <c r="C18" s="67" t="s">
        <v>719</v>
      </c>
      <c r="D18" s="68" t="str">
        <f>IF(Rohdaten!$E$18="","",Rohdaten!$E$18)</f>
        <v>Schneider</v>
      </c>
      <c r="E18" s="69" t="str">
        <f t="array" ref="E18">_xlfn.TEXTJOIN(" / ",TRUE,IF($I18:$AL18="●",$I$4:$AL$4,""))</f>
        <v>Schneider</v>
      </c>
      <c r="F18" s="70" t="s">
        <v>711</v>
      </c>
      <c r="G18" s="71" t="s">
        <v>712</v>
      </c>
      <c r="H18" s="72" t="str">
        <f>IF($F18="automatisch",IF(ISNA(MATCH(Stichtag,RD_Kopf,0)),"automatisch",IF(SUMPRODUCT((RD_Kopf&gt;=IF($G18="monatlich",DATE(YEAR(KWFreitag),MONTH(KWFreitag),1),IF($G18="quartalsweise",DATE(YEAR(KWFreitag),INT((MONTH(KWFreitag)-1)/3)*3+1,1),Stichtag)))*(RD_Kopf&lt;=Stichtag)*ISNUMBER(Rohdaten!$A$18:$LJ$18))&gt;0,"erledigt","automatisch")),IF($F18&lt;&gt;"ja","nicht berichtet",IF(ISNA(MATCH(Stichtag,RD_Kopf,0)),"keine Spalte",IF(SUMPRODUCT((RD_Kopf&gt;=IF($G18="monatlich",DATE(YEAR(KWFreitag),MONTH(KWFreitag),1),IF($G18="quartalsweise",DATE(YEAR(KWFreitag),INT((MONTH(KWFreitag)-1)/3)*3+1,1),Stichtag)))*(RD_Kopf&lt;=Stichtag)*ISNUMBER(Rohdaten!$A$18:$LJ$18))&gt;0,"erledigt","offen"))))</f>
        <v>nicht berichtet</v>
      </c>
      <c r="I18" s="73"/>
      <c r="J18" s="73"/>
      <c r="K18" s="73"/>
      <c r="L18" s="73"/>
      <c r="M18" s="73"/>
      <c r="N18" s="73"/>
      <c r="O18" s="73"/>
      <c r="P18" s="73"/>
      <c r="Q18" s="73"/>
      <c r="R18" s="73"/>
      <c r="S18" s="73"/>
      <c r="T18" s="73"/>
      <c r="U18" s="73"/>
      <c r="V18" s="73"/>
      <c r="W18" s="73"/>
      <c r="X18" s="73"/>
      <c r="Y18" s="73"/>
      <c r="Z18" s="73"/>
      <c r="AA18" s="73"/>
      <c r="AB18" s="73"/>
      <c r="AC18" s="73"/>
      <c r="AD18" s="73"/>
      <c r="AE18" s="73" t="s">
        <v>714</v>
      </c>
      <c r="AF18" s="73"/>
      <c r="AG18" s="73"/>
      <c r="AH18" s="73"/>
      <c r="AI18" s="73"/>
      <c r="AJ18" s="73"/>
      <c r="AK18" s="73"/>
      <c r="AL18" s="73"/>
      <c r="AM18" t="s">
        <v>732</v>
      </c>
      <c r="AN18" t="s">
        <v>727</v>
      </c>
      <c r="AO18" t="s">
        <v>709</v>
      </c>
    </row>
    <row r="19" spans="1:41" ht="18" hidden="1" customHeight="1" outlineLevel="2">
      <c r="A19" s="65">
        <f>ROW(Rohdaten!$A$19)</f>
        <v>19</v>
      </c>
      <c r="B19" s="66">
        <f>IF(Rohdaten!$A$19="","",Rohdaten!$A$19)</f>
        <v/>
      </c>
      <c r="C19" s="67" t="s">
        <v>721</v>
      </c>
      <c r="D19" s="68" t="str">
        <f>IF(Rohdaten!$E$19="","",Rohdaten!$E$19)</f>
        <v>Lürken</v>
      </c>
      <c r="E19" s="69" t="str">
        <f t="array" ref="E19">_xlfn.TEXTJOIN(" / ",TRUE,IF($I19:$AL19="●",$I$4:$AL$4,""))</f>
        <v>Lürken</v>
      </c>
      <c r="F19" s="70" t="s">
        <v>711</v>
      </c>
      <c r="G19" s="71" t="s">
        <v>712</v>
      </c>
      <c r="H19" s="72" t="str">
        <f>IF($F19="automatisch",IF(ISNA(MATCH(Stichtag,RD_Kopf,0)),"automatisch",IF(SUMPRODUCT((RD_Kopf&gt;=IF($G19="monatlich",DATE(YEAR(KWFreitag),MONTH(KWFreitag),1),IF($G19="quartalsweise",DATE(YEAR(KWFreitag),INT((MONTH(KWFreitag)-1)/3)*3+1,1),Stichtag)))*(RD_Kopf&lt;=Stichtag)*ISNUMBER(Rohdaten!$A$19:$LJ$19))&gt;0,"erledigt","automatisch")),IF($F19&lt;&gt;"ja","nicht berichtet",IF(ISNA(MATCH(Stichtag,RD_Kopf,0)),"keine Spalte",IF(SUMPRODUCT((RD_Kopf&gt;=IF($G19="monatlich",DATE(YEAR(KWFreitag),MONTH(KWFreitag),1),IF($G19="quartalsweise",DATE(YEAR(KWFreitag),INT((MONTH(KWFreitag)-1)/3)*3+1,1),Stichtag)))*(RD_Kopf&lt;=Stichtag)*ISNUMBER(Rohdaten!$A$19:$LJ$19))&gt;0,"erledigt","offen"))))</f>
        <v>nicht berichtet</v>
      </c>
      <c r="I19" s="73"/>
      <c r="J19" s="73"/>
      <c r="K19" s="73"/>
      <c r="L19" s="73"/>
      <c r="M19" s="73"/>
      <c r="N19" s="73"/>
      <c r="O19" s="73"/>
      <c r="P19" s="73"/>
      <c r="Q19" s="73"/>
      <c r="R19" s="73"/>
      <c r="S19" s="73"/>
      <c r="T19" s="73"/>
      <c r="U19" s="73"/>
      <c r="V19" s="73"/>
      <c r="W19" s="73"/>
      <c r="X19" s="73"/>
      <c r="Y19" s="73"/>
      <c r="Z19" s="73"/>
      <c r="AA19" s="73" t="s">
        <v>714</v>
      </c>
      <c r="AB19" s="73"/>
      <c r="AC19" s="73"/>
      <c r="AD19" s="73"/>
      <c r="AE19" s="73"/>
      <c r="AF19" s="73"/>
      <c r="AG19" s="73"/>
      <c r="AH19" s="73"/>
      <c r="AI19" s="73"/>
      <c r="AJ19" s="73"/>
      <c r="AK19" s="73"/>
      <c r="AL19" s="73"/>
      <c r="AM19" t="s">
        <v>733</v>
      </c>
      <c r="AN19" t="s">
        <v>727</v>
      </c>
      <c r="AO19" t="s">
        <v>709</v>
      </c>
    </row>
    <row r="20" spans="1:41" ht="18" hidden="1" customHeight="1" outlineLevel="2">
      <c r="A20" s="65">
        <f>ROW(Rohdaten!$A$20)</f>
        <v>20</v>
      </c>
      <c r="B20" s="66">
        <f>IF(Rohdaten!$A$20="","",Rohdaten!$A$20)</f>
        <v/>
      </c>
      <c r="C20" s="67" t="s">
        <v>723</v>
      </c>
      <c r="D20" s="68" t="str">
        <f>IF(Rohdaten!$E$20="","",Rohdaten!$E$20)</f>
        <v>Kraus</v>
      </c>
      <c r="E20" s="69" t="str">
        <f t="array" ref="E20">_xlfn.TEXTJOIN(" / ",TRUE,IF($I20:$AL20="●",$I$4:$AL$4,""))</f>
        <v>Kraus</v>
      </c>
      <c r="F20" s="70" t="s">
        <v>711</v>
      </c>
      <c r="G20" s="71" t="s">
        <v>712</v>
      </c>
      <c r="H20" s="72" t="str">
        <f>IF($F20="automatisch",IF(ISNA(MATCH(Stichtag,RD_Kopf,0)),"automatisch",IF(SUMPRODUCT((RD_Kopf&gt;=IF($G20="monatlich",DATE(YEAR(KWFreitag),MONTH(KWFreitag),1),IF($G20="quartalsweise",DATE(YEAR(KWFreitag),INT((MONTH(KWFreitag)-1)/3)*3+1,1),Stichtag)))*(RD_Kopf&lt;=Stichtag)*ISNUMBER(Rohdaten!$A$20:$LJ$20))&gt;0,"erledigt","automatisch")),IF($F20&lt;&gt;"ja","nicht berichtet",IF(ISNA(MATCH(Stichtag,RD_Kopf,0)),"keine Spalte",IF(SUMPRODUCT((RD_Kopf&gt;=IF($G20="monatlich",DATE(YEAR(KWFreitag),MONTH(KWFreitag),1),IF($G20="quartalsweise",DATE(YEAR(KWFreitag),INT((MONTH(KWFreitag)-1)/3)*3+1,1),Stichtag)))*(RD_Kopf&lt;=Stichtag)*ISNUMBER(Rohdaten!$A$20:$LJ$20))&gt;0,"erledigt","offen"))))</f>
        <v>nicht berichtet</v>
      </c>
      <c r="I20" s="73"/>
      <c r="J20" s="73"/>
      <c r="K20" s="73"/>
      <c r="L20" s="73"/>
      <c r="M20" s="73"/>
      <c r="N20" s="73"/>
      <c r="O20" s="73"/>
      <c r="P20" s="73"/>
      <c r="Q20" s="73"/>
      <c r="R20" s="73"/>
      <c r="S20" s="73"/>
      <c r="T20" s="73"/>
      <c r="U20" s="73"/>
      <c r="V20" s="73"/>
      <c r="W20" s="73"/>
      <c r="X20" s="73"/>
      <c r="Y20" s="73" t="s">
        <v>714</v>
      </c>
      <c r="Z20" s="73"/>
      <c r="AA20" s="73"/>
      <c r="AB20" s="73"/>
      <c r="AC20" s="73"/>
      <c r="AD20" s="73"/>
      <c r="AE20" s="73"/>
      <c r="AF20" s="73"/>
      <c r="AG20" s="73"/>
      <c r="AH20" s="73"/>
      <c r="AI20" s="73"/>
      <c r="AJ20" s="73"/>
      <c r="AK20" s="73"/>
      <c r="AL20" s="73"/>
      <c r="AM20" t="s">
        <v>734</v>
      </c>
      <c r="AN20" t="s">
        <v>727</v>
      </c>
      <c r="AO20" t="s">
        <v>709</v>
      </c>
    </row>
    <row r="21" spans="1:41" ht="18" hidden="1" customHeight="1" outlineLevel="2">
      <c r="A21" s="65">
        <f>ROW(Rohdaten!$A$21)</f>
        <v>21</v>
      </c>
      <c r="B21" s="66">
        <f>IF(Rohdaten!$A$21="","",Rohdaten!$A$21)</f>
        <v/>
      </c>
      <c r="C21" s="67" t="s">
        <v>725</v>
      </c>
      <c r="D21" s="68" t="str">
        <f>IF(Rohdaten!$E$21="","",Rohdaten!$E$21)</f>
        <v>Westrich</v>
      </c>
      <c r="E21" s="69" t="str">
        <f t="array" ref="E21">_xlfn.TEXTJOIN(" / ",TRUE,IF($I21:$AL21="●",$I$4:$AL$4,""))</f>
        <v>Westrich</v>
      </c>
      <c r="F21" s="70" t="s">
        <v>711</v>
      </c>
      <c r="G21" s="71" t="s">
        <v>712</v>
      </c>
      <c r="H21" s="72" t="str">
        <f>IF($F21="automatisch",IF(ISNA(MATCH(Stichtag,RD_Kopf,0)),"automatisch",IF(SUMPRODUCT((RD_Kopf&gt;=IF($G21="monatlich",DATE(YEAR(KWFreitag),MONTH(KWFreitag),1),IF($G21="quartalsweise",DATE(YEAR(KWFreitag),INT((MONTH(KWFreitag)-1)/3)*3+1,1),Stichtag)))*(RD_Kopf&lt;=Stichtag)*ISNUMBER(Rohdaten!$A$21:$LJ$21))&gt;0,"erledigt","automatisch")),IF($F21&lt;&gt;"ja","nicht berichtet",IF(ISNA(MATCH(Stichtag,RD_Kopf,0)),"keine Spalte",IF(SUMPRODUCT((RD_Kopf&gt;=IF($G21="monatlich",DATE(YEAR(KWFreitag),MONTH(KWFreitag),1),IF($G21="quartalsweise",DATE(YEAR(KWFreitag),INT((MONTH(KWFreitag)-1)/3)*3+1,1),Stichtag)))*(RD_Kopf&lt;=Stichtag)*ISNUMBER(Rohdaten!$A$21:$LJ$21))&gt;0,"erledigt","offen"))))</f>
        <v>nicht berichtet</v>
      </c>
      <c r="I21" s="73"/>
      <c r="J21" s="73"/>
      <c r="K21" s="73"/>
      <c r="L21" s="73"/>
      <c r="M21" s="73"/>
      <c r="N21" s="73"/>
      <c r="O21" s="73"/>
      <c r="P21" s="73"/>
      <c r="Q21" s="73"/>
      <c r="R21" s="73"/>
      <c r="S21" s="73"/>
      <c r="T21" s="73"/>
      <c r="U21" s="73"/>
      <c r="V21" s="73"/>
      <c r="W21" s="73"/>
      <c r="X21" s="73"/>
      <c r="Y21" s="73"/>
      <c r="Z21" s="73"/>
      <c r="AA21" s="73"/>
      <c r="AB21" s="73"/>
      <c r="AC21" s="73"/>
      <c r="AD21" s="73"/>
      <c r="AE21" s="73"/>
      <c r="AF21" s="73"/>
      <c r="AG21" s="73" t="s">
        <v>714</v>
      </c>
      <c r="AH21" s="73"/>
      <c r="AI21" s="73"/>
      <c r="AJ21" s="73"/>
      <c r="AK21" s="73"/>
      <c r="AL21" s="73"/>
      <c r="AM21" t="s">
        <v>735</v>
      </c>
      <c r="AN21" t="s">
        <v>727</v>
      </c>
      <c r="AO21" t="s">
        <v>709</v>
      </c>
    </row>
    <row r="22" spans="1:41" ht="22" customHeight="1" collapsed="1">
      <c r="A22" s="60" t="s">
        <v>736</v>
      </c>
      <c r="B22" s="60"/>
      <c r="C22" s="60"/>
      <c r="D22" s="60"/>
      <c r="E22" s="60"/>
      <c r="F22" s="60"/>
      <c r="G22" s="60"/>
      <c r="H22" s="60"/>
      <c r="I22" s="61"/>
      <c r="J22" s="61"/>
      <c r="K22" s="61"/>
      <c r="L22" s="61"/>
      <c r="M22" s="61"/>
      <c r="N22" s="61"/>
      <c r="O22" s="61"/>
      <c r="P22" s="61"/>
      <c r="Q22" s="61"/>
      <c r="R22" s="61"/>
      <c r="S22" s="61"/>
      <c r="T22" s="61"/>
      <c r="U22" s="61"/>
      <c r="V22" s="61"/>
      <c r="W22" s="61"/>
      <c r="X22" s="61"/>
      <c r="Y22" s="61"/>
      <c r="Z22" s="61"/>
      <c r="AA22" s="61"/>
      <c r="AB22" s="61"/>
      <c r="AC22" s="61"/>
      <c r="AD22" s="61"/>
      <c r="AE22" s="61"/>
      <c r="AF22" s="61"/>
      <c r="AG22" s="61"/>
      <c r="AH22" s="61"/>
      <c r="AI22" s="61"/>
      <c r="AJ22" s="61"/>
      <c r="AK22" s="61"/>
      <c r="AL22" s="61"/>
      <c r="AO22" t="s">
        <v>705</v>
      </c>
    </row>
    <row r="23" spans="1:41" ht="18" hidden="1" customHeight="1" outlineLevel="1">
      <c r="A23" s="62"/>
      <c r="B23" s="62" t="s">
        <v>737</v>
      </c>
      <c r="C23" s="63" t="s">
        <v>708</v>
      </c>
      <c r="D23" s="63"/>
      <c r="E23" s="63"/>
      <c r="F23" s="63"/>
      <c r="G23" s="63"/>
      <c r="H23" s="63"/>
      <c r="I23" s="64"/>
      <c r="J23" s="64"/>
      <c r="K23" s="64"/>
      <c r="L23" s="64"/>
      <c r="M23" s="64"/>
      <c r="N23" s="64"/>
      <c r="O23" s="64"/>
      <c r="P23" s="64"/>
      <c r="Q23" s="64"/>
      <c r="R23" s="64"/>
      <c r="S23" s="64"/>
      <c r="T23" s="64"/>
      <c r="U23" s="64"/>
      <c r="V23" s="64"/>
      <c r="W23" s="64"/>
      <c r="X23" s="64"/>
      <c r="Y23" s="64"/>
      <c r="Z23" s="64"/>
      <c r="AA23" s="64"/>
      <c r="AB23" s="64"/>
      <c r="AC23" s="64"/>
      <c r="AD23" s="64"/>
      <c r="AE23" s="64"/>
      <c r="AF23" s="64"/>
      <c r="AG23" s="64"/>
      <c r="AH23" s="64"/>
      <c r="AI23" s="64"/>
      <c r="AJ23" s="64"/>
      <c r="AK23" s="64"/>
      <c r="AL23" s="64"/>
      <c r="AO23" t="s">
        <v>706</v>
      </c>
    </row>
    <row r="24" spans="1:41" ht="18" hidden="1" customHeight="1" outlineLevel="2">
      <c r="A24" s="65">
        <f>ROW(Rohdaten!$A$24)</f>
        <v>24</v>
      </c>
      <c r="B24" s="66">
        <f>IF(Rohdaten!$A$24="","",Rohdaten!$A$24)</f>
        <v/>
      </c>
      <c r="C24" s="67" t="s">
        <v>710</v>
      </c>
      <c r="D24" s="68" t="str">
        <f>IF(Rohdaten!$E$24="","",Rohdaten!$E$24)</f>
        <v>Förster / Greß</v>
      </c>
      <c r="E24" s="69" t="str">
        <f t="array" ref="E24">_xlfn.TEXTJOIN(" / ",TRUE,IF($I24:$AL24="●",$I$4:$AL$4,""))</f>
        <v>Förster / Greß</v>
      </c>
      <c r="F24" s="70" t="s">
        <v>711</v>
      </c>
      <c r="G24" s="71" t="s">
        <v>712</v>
      </c>
      <c r="H24" s="72" t="str">
        <f>IF($F24="automatisch",IF(ISNA(MATCH(Stichtag,RD_Kopf,0)),"automatisch",IF(SUMPRODUCT((RD_Kopf&gt;=IF($G24="monatlich",DATE(YEAR(KWFreitag),MONTH(KWFreitag),1),IF($G24="quartalsweise",DATE(YEAR(KWFreitag),INT((MONTH(KWFreitag)-1)/3)*3+1,1),Stichtag)))*(RD_Kopf&lt;=Stichtag)*ISNUMBER(Rohdaten!$A$24:$LJ$24))&gt;0,"erledigt","automatisch")),IF($F24&lt;&gt;"ja","nicht berichtet",IF(ISNA(MATCH(Stichtag,RD_Kopf,0)),"keine Spalte",IF(SUMPRODUCT((RD_Kopf&gt;=IF($G24="monatlich",DATE(YEAR(KWFreitag),MONTH(KWFreitag),1),IF($G24="quartalsweise",DATE(YEAR(KWFreitag),INT((MONTH(KWFreitag)-1)/3)*3+1,1),Stichtag)))*(RD_Kopf&lt;=Stichtag)*ISNUMBER(Rohdaten!$A$24:$LJ$24))&gt;0,"erledigt","offen"))))</f>
        <v>nicht berichtet</v>
      </c>
      <c r="I24" s="73"/>
      <c r="J24" s="73"/>
      <c r="K24" s="73"/>
      <c r="L24" s="73"/>
      <c r="M24" s="73"/>
      <c r="N24" s="73"/>
      <c r="O24" s="73" t="s">
        <v>714</v>
      </c>
      <c r="P24" s="73"/>
      <c r="Q24" s="73"/>
      <c r="R24" s="73"/>
      <c r="S24" s="73" t="s">
        <v>714</v>
      </c>
      <c r="T24" s="73"/>
      <c r="U24" s="73"/>
      <c r="V24" s="73"/>
      <c r="W24" s="73"/>
      <c r="X24" s="73"/>
      <c r="Y24" s="73"/>
      <c r="Z24" s="73"/>
      <c r="AA24" s="73"/>
      <c r="AB24" s="73"/>
      <c r="AC24" s="73"/>
      <c r="AD24" s="73"/>
      <c r="AE24" s="73"/>
      <c r="AF24" s="73"/>
      <c r="AG24" s="73"/>
      <c r="AH24" s="73"/>
      <c r="AI24" s="73"/>
      <c r="AJ24" s="73"/>
      <c r="AK24" s="73"/>
      <c r="AL24" s="73"/>
      <c r="AM24" t="s">
        <v>738</v>
      </c>
      <c r="AN24" t="s">
        <v>737</v>
      </c>
      <c r="AO24" t="s">
        <v>709</v>
      </c>
    </row>
    <row r="25" spans="1:41" ht="18" hidden="1" customHeight="1" outlineLevel="2">
      <c r="A25" s="65">
        <f>ROW(Rohdaten!$A$25)</f>
        <v>25</v>
      </c>
      <c r="B25" s="66">
        <f>IF(Rohdaten!$A$25="","",Rohdaten!$A$25)</f>
        <v/>
      </c>
      <c r="C25" s="67" t="s">
        <v>715</v>
      </c>
      <c r="D25" s="68" t="str">
        <f>IF(Rohdaten!$E$25="","",Rohdaten!$E$25)</f>
        <v>Streich</v>
      </c>
      <c r="E25" s="69" t="str">
        <f t="array" ref="E25">_xlfn.TEXTJOIN(" / ",TRUE,IF($I25:$AL25="●",$I$4:$AL$4,""))</f>
        <v>Streich</v>
      </c>
      <c r="F25" s="70" t="s">
        <v>711</v>
      </c>
      <c r="G25" s="71" t="s">
        <v>712</v>
      </c>
      <c r="H25" s="72" t="str">
        <f>IF($F25="automatisch",IF(ISNA(MATCH(Stichtag,RD_Kopf,0)),"automatisch",IF(SUMPRODUCT((RD_Kopf&gt;=IF($G25="monatlich",DATE(YEAR(KWFreitag),MONTH(KWFreitag),1),IF($G25="quartalsweise",DATE(YEAR(KWFreitag),INT((MONTH(KWFreitag)-1)/3)*3+1,1),Stichtag)))*(RD_Kopf&lt;=Stichtag)*ISNUMBER(Rohdaten!$A$25:$LJ$25))&gt;0,"erledigt","automatisch")),IF($F25&lt;&gt;"ja","nicht berichtet",IF(ISNA(MATCH(Stichtag,RD_Kopf,0)),"keine Spalte",IF(SUMPRODUCT((RD_Kopf&gt;=IF($G25="monatlich",DATE(YEAR(KWFreitag),MONTH(KWFreitag),1),IF($G25="quartalsweise",DATE(YEAR(KWFreitag),INT((MONTH(KWFreitag)-1)/3)*3+1,1),Stichtag)))*(RD_Kopf&lt;=Stichtag)*ISNUMBER(Rohdaten!$A$25:$LJ$25))&gt;0,"erledigt","offen"))))</f>
        <v>nicht berichtet</v>
      </c>
      <c r="I25" s="73"/>
      <c r="J25" s="73"/>
      <c r="K25" s="73"/>
      <c r="L25" s="73"/>
      <c r="M25" s="73"/>
      <c r="N25" s="73"/>
      <c r="O25" s="73"/>
      <c r="P25" s="73"/>
      <c r="Q25" s="73"/>
      <c r="R25" s="73"/>
      <c r="S25" s="73"/>
      <c r="T25" s="73"/>
      <c r="U25" s="73"/>
      <c r="V25" s="73"/>
      <c r="W25" s="73"/>
      <c r="X25" s="73"/>
      <c r="Y25" s="73"/>
      <c r="Z25" s="73"/>
      <c r="AA25" s="73"/>
      <c r="AB25" s="73"/>
      <c r="AC25" s="73"/>
      <c r="AD25" s="73"/>
      <c r="AE25" s="73"/>
      <c r="AF25" s="73" t="s">
        <v>714</v>
      </c>
      <c r="AG25" s="73"/>
      <c r="AH25" s="73"/>
      <c r="AI25" s="73"/>
      <c r="AJ25" s="73"/>
      <c r="AK25" s="73"/>
      <c r="AL25" s="73"/>
      <c r="AM25" t="s">
        <v>739</v>
      </c>
      <c r="AN25" t="s">
        <v>737</v>
      </c>
      <c r="AO25" t="s">
        <v>709</v>
      </c>
    </row>
    <row r="26" spans="1:41" ht="18" hidden="1" customHeight="1" outlineLevel="2">
      <c r="A26" s="65">
        <f>ROW(Rohdaten!$A$26)</f>
        <v>26</v>
      </c>
      <c r="B26" s="66">
        <f>IF(Rohdaten!$A$26="","",Rohdaten!$A$26)</f>
        <v/>
      </c>
      <c r="C26" s="67" t="s">
        <v>717</v>
      </c>
      <c r="D26" s="68" t="str">
        <f>IF(Rohdaten!$E$26="","",Rohdaten!$E$26)</f>
        <v>Gress</v>
      </c>
      <c r="E26" s="69" t="str">
        <f t="array" ref="E26">_xlfn.TEXTJOIN(" / ",TRUE,IF($I26:$AL26="●",$I$4:$AL$4,""))</f>
        <v>Gress</v>
      </c>
      <c r="F26" s="70" t="s">
        <v>711</v>
      </c>
      <c r="G26" s="71" t="s">
        <v>712</v>
      </c>
      <c r="H26" s="72" t="str">
        <f>IF($F26="automatisch",IF(ISNA(MATCH(Stichtag,RD_Kopf,0)),"automatisch",IF(SUMPRODUCT((RD_Kopf&gt;=IF($G26="monatlich",DATE(YEAR(KWFreitag),MONTH(KWFreitag),1),IF($G26="quartalsweise",DATE(YEAR(KWFreitag),INT((MONTH(KWFreitag)-1)/3)*3+1,1),Stichtag)))*(RD_Kopf&lt;=Stichtag)*ISNUMBER(Rohdaten!$A$26:$LJ$26))&gt;0,"erledigt","automatisch")),IF($F26&lt;&gt;"ja","nicht berichtet",IF(ISNA(MATCH(Stichtag,RD_Kopf,0)),"keine Spalte",IF(SUMPRODUCT((RD_Kopf&gt;=IF($G26="monatlich",DATE(YEAR(KWFreitag),MONTH(KWFreitag),1),IF($G26="quartalsweise",DATE(YEAR(KWFreitag),INT((MONTH(KWFreitag)-1)/3)*3+1,1),Stichtag)))*(RD_Kopf&lt;=Stichtag)*ISNUMBER(Rohdaten!$A$26:$LJ$26))&gt;0,"erledigt","offen"))))</f>
        <v>nicht berichtet</v>
      </c>
      <c r="I26" s="73"/>
      <c r="J26" s="73"/>
      <c r="K26" s="73"/>
      <c r="L26" s="73"/>
      <c r="M26" s="73"/>
      <c r="N26" s="73"/>
      <c r="O26" s="73"/>
      <c r="P26" s="73"/>
      <c r="Q26" s="73"/>
      <c r="R26" s="73"/>
      <c r="S26" s="73"/>
      <c r="T26" s="73" t="s">
        <v>714</v>
      </c>
      <c r="U26" s="73"/>
      <c r="V26" s="73"/>
      <c r="W26" s="73"/>
      <c r="X26" s="73"/>
      <c r="Y26" s="73"/>
      <c r="Z26" s="73"/>
      <c r="AA26" s="73"/>
      <c r="AB26" s="73"/>
      <c r="AC26" s="73"/>
      <c r="AD26" s="73"/>
      <c r="AE26" s="73"/>
      <c r="AF26" s="73"/>
      <c r="AG26" s="73"/>
      <c r="AH26" s="73"/>
      <c r="AI26" s="73"/>
      <c r="AJ26" s="73"/>
      <c r="AK26" s="73"/>
      <c r="AL26" s="73"/>
      <c r="AM26" t="s">
        <v>740</v>
      </c>
      <c r="AN26" t="s">
        <v>737</v>
      </c>
      <c r="AO26" t="s">
        <v>709</v>
      </c>
    </row>
    <row r="27" spans="1:41" ht="18" hidden="1" customHeight="1" outlineLevel="2">
      <c r="A27" s="65">
        <f>ROW(Rohdaten!$A$27)</f>
        <v>27</v>
      </c>
      <c r="B27" s="66">
        <f>IF(Rohdaten!$A$27="","",Rohdaten!$A$27)</f>
        <v/>
      </c>
      <c r="C27" s="67" t="s">
        <v>719</v>
      </c>
      <c r="D27" s="68" t="str">
        <f>IF(Rohdaten!$E$27="","",Rohdaten!$E$27)</f>
        <v>Schneider</v>
      </c>
      <c r="E27" s="69" t="str">
        <f t="array" ref="E27">_xlfn.TEXTJOIN(" / ",TRUE,IF($I27:$AL27="●",$I$4:$AL$4,""))</f>
        <v>Schneider</v>
      </c>
      <c r="F27" s="70" t="s">
        <v>711</v>
      </c>
      <c r="G27" s="71" t="s">
        <v>712</v>
      </c>
      <c r="H27" s="72" t="str">
        <f>IF($F27="automatisch",IF(ISNA(MATCH(Stichtag,RD_Kopf,0)),"automatisch",IF(SUMPRODUCT((RD_Kopf&gt;=IF($G27="monatlich",DATE(YEAR(KWFreitag),MONTH(KWFreitag),1),IF($G27="quartalsweise",DATE(YEAR(KWFreitag),INT((MONTH(KWFreitag)-1)/3)*3+1,1),Stichtag)))*(RD_Kopf&lt;=Stichtag)*ISNUMBER(Rohdaten!$A$27:$LJ$27))&gt;0,"erledigt","automatisch")),IF($F27&lt;&gt;"ja","nicht berichtet",IF(ISNA(MATCH(Stichtag,RD_Kopf,0)),"keine Spalte",IF(SUMPRODUCT((RD_Kopf&gt;=IF($G27="monatlich",DATE(YEAR(KWFreitag),MONTH(KWFreitag),1),IF($G27="quartalsweise",DATE(YEAR(KWFreitag),INT((MONTH(KWFreitag)-1)/3)*3+1,1),Stichtag)))*(RD_Kopf&lt;=Stichtag)*ISNUMBER(Rohdaten!$A$27:$LJ$27))&gt;0,"erledigt","offen"))))</f>
        <v>nicht berichtet</v>
      </c>
      <c r="I27" s="73"/>
      <c r="J27" s="73"/>
      <c r="K27" s="73"/>
      <c r="L27" s="73"/>
      <c r="M27" s="73"/>
      <c r="N27" s="73"/>
      <c r="O27" s="73"/>
      <c r="P27" s="73"/>
      <c r="Q27" s="73"/>
      <c r="R27" s="73"/>
      <c r="S27" s="73"/>
      <c r="T27" s="73"/>
      <c r="U27" s="73"/>
      <c r="V27" s="73"/>
      <c r="W27" s="73"/>
      <c r="X27" s="73"/>
      <c r="Y27" s="73"/>
      <c r="Z27" s="73"/>
      <c r="AA27" s="73"/>
      <c r="AB27" s="73"/>
      <c r="AC27" s="73"/>
      <c r="AD27" s="73"/>
      <c r="AE27" s="73" t="s">
        <v>714</v>
      </c>
      <c r="AF27" s="73"/>
      <c r="AG27" s="73"/>
      <c r="AH27" s="73"/>
      <c r="AI27" s="73"/>
      <c r="AJ27" s="73"/>
      <c r="AK27" s="73"/>
      <c r="AL27" s="73"/>
      <c r="AM27" t="s">
        <v>741</v>
      </c>
      <c r="AN27" t="s">
        <v>737</v>
      </c>
      <c r="AO27" t="s">
        <v>709</v>
      </c>
    </row>
    <row r="28" spans="1:41" ht="18" hidden="1" customHeight="1" outlineLevel="2">
      <c r="A28" s="65">
        <f>ROW(Rohdaten!$A$28)</f>
        <v>28</v>
      </c>
      <c r="B28" s="66">
        <f>IF(Rohdaten!$A$28="","",Rohdaten!$A$28)</f>
        <v/>
      </c>
      <c r="C28" s="67" t="s">
        <v>721</v>
      </c>
      <c r="D28" s="68" t="str">
        <f>IF(Rohdaten!$E$28="","",Rohdaten!$E$28)</f>
        <v>Lürken</v>
      </c>
      <c r="E28" s="69" t="str">
        <f t="array" ref="E28">_xlfn.TEXTJOIN(" / ",TRUE,IF($I28:$AL28="●",$I$4:$AL$4,""))</f>
        <v>Lürken</v>
      </c>
      <c r="F28" s="70" t="s">
        <v>711</v>
      </c>
      <c r="G28" s="71" t="s">
        <v>712</v>
      </c>
      <c r="H28" s="72" t="str">
        <f>IF($F28="automatisch",IF(ISNA(MATCH(Stichtag,RD_Kopf,0)),"automatisch",IF(SUMPRODUCT((RD_Kopf&gt;=IF($G28="monatlich",DATE(YEAR(KWFreitag),MONTH(KWFreitag),1),IF($G28="quartalsweise",DATE(YEAR(KWFreitag),INT((MONTH(KWFreitag)-1)/3)*3+1,1),Stichtag)))*(RD_Kopf&lt;=Stichtag)*ISNUMBER(Rohdaten!$A$28:$LJ$28))&gt;0,"erledigt","automatisch")),IF($F28&lt;&gt;"ja","nicht berichtet",IF(ISNA(MATCH(Stichtag,RD_Kopf,0)),"keine Spalte",IF(SUMPRODUCT((RD_Kopf&gt;=IF($G28="monatlich",DATE(YEAR(KWFreitag),MONTH(KWFreitag),1),IF($G28="quartalsweise",DATE(YEAR(KWFreitag),INT((MONTH(KWFreitag)-1)/3)*3+1,1),Stichtag)))*(RD_Kopf&lt;=Stichtag)*ISNUMBER(Rohdaten!$A$28:$LJ$28))&gt;0,"erledigt","offen"))))</f>
        <v>nicht berichtet</v>
      </c>
      <c r="I28" s="73"/>
      <c r="J28" s="73"/>
      <c r="K28" s="73"/>
      <c r="L28" s="73"/>
      <c r="M28" s="73"/>
      <c r="N28" s="73"/>
      <c r="O28" s="73"/>
      <c r="P28" s="73"/>
      <c r="Q28" s="73"/>
      <c r="R28" s="73"/>
      <c r="S28" s="73"/>
      <c r="T28" s="73"/>
      <c r="U28" s="73"/>
      <c r="V28" s="73"/>
      <c r="W28" s="73"/>
      <c r="X28" s="73"/>
      <c r="Y28" s="73"/>
      <c r="Z28" s="73"/>
      <c r="AA28" s="73" t="s">
        <v>714</v>
      </c>
      <c r="AB28" s="73"/>
      <c r="AC28" s="73"/>
      <c r="AD28" s="73"/>
      <c r="AE28" s="73"/>
      <c r="AF28" s="73"/>
      <c r="AG28" s="73"/>
      <c r="AH28" s="73"/>
      <c r="AI28" s="73"/>
      <c r="AJ28" s="73"/>
      <c r="AK28" s="73"/>
      <c r="AL28" s="73"/>
      <c r="AM28" t="s">
        <v>742</v>
      </c>
      <c r="AN28" t="s">
        <v>737</v>
      </c>
      <c r="AO28" t="s">
        <v>709</v>
      </c>
    </row>
    <row r="29" spans="1:41" ht="18" hidden="1" customHeight="1" outlineLevel="2">
      <c r="A29" s="65">
        <f>ROW(Rohdaten!$A$29)</f>
        <v>29</v>
      </c>
      <c r="B29" s="66">
        <f>IF(Rohdaten!$A$29="","",Rohdaten!$A$29)</f>
        <v/>
      </c>
      <c r="C29" s="67" t="s">
        <v>723</v>
      </c>
      <c r="D29" s="68" t="str">
        <f>IF(Rohdaten!$E$29="","",Rohdaten!$E$29)</f>
        <v>Kraus</v>
      </c>
      <c r="E29" s="69" t="str">
        <f t="array" ref="E29">_xlfn.TEXTJOIN(" / ",TRUE,IF($I29:$AL29="●",$I$4:$AL$4,""))</f>
        <v>Kraus</v>
      </c>
      <c r="F29" s="70" t="s">
        <v>711</v>
      </c>
      <c r="G29" s="71" t="s">
        <v>712</v>
      </c>
      <c r="H29" s="72" t="str">
        <f>IF($F29="automatisch",IF(ISNA(MATCH(Stichtag,RD_Kopf,0)),"automatisch",IF(SUMPRODUCT((RD_Kopf&gt;=IF($G29="monatlich",DATE(YEAR(KWFreitag),MONTH(KWFreitag),1),IF($G29="quartalsweise",DATE(YEAR(KWFreitag),INT((MONTH(KWFreitag)-1)/3)*3+1,1),Stichtag)))*(RD_Kopf&lt;=Stichtag)*ISNUMBER(Rohdaten!$A$29:$LJ$29))&gt;0,"erledigt","automatisch")),IF($F29&lt;&gt;"ja","nicht berichtet",IF(ISNA(MATCH(Stichtag,RD_Kopf,0)),"keine Spalte",IF(SUMPRODUCT((RD_Kopf&gt;=IF($G29="monatlich",DATE(YEAR(KWFreitag),MONTH(KWFreitag),1),IF($G29="quartalsweise",DATE(YEAR(KWFreitag),INT((MONTH(KWFreitag)-1)/3)*3+1,1),Stichtag)))*(RD_Kopf&lt;=Stichtag)*ISNUMBER(Rohdaten!$A$29:$LJ$29))&gt;0,"erledigt","offen"))))</f>
        <v>nicht berichtet</v>
      </c>
      <c r="I29" s="73"/>
      <c r="J29" s="73"/>
      <c r="K29" s="73"/>
      <c r="L29" s="73"/>
      <c r="M29" s="73"/>
      <c r="N29" s="73"/>
      <c r="O29" s="73"/>
      <c r="P29" s="73"/>
      <c r="Q29" s="73"/>
      <c r="R29" s="73"/>
      <c r="S29" s="73"/>
      <c r="T29" s="73"/>
      <c r="U29" s="73"/>
      <c r="V29" s="73"/>
      <c r="W29" s="73"/>
      <c r="X29" s="73"/>
      <c r="Y29" s="73" t="s">
        <v>714</v>
      </c>
      <c r="Z29" s="73"/>
      <c r="AA29" s="73"/>
      <c r="AB29" s="73"/>
      <c r="AC29" s="73"/>
      <c r="AD29" s="73"/>
      <c r="AE29" s="73"/>
      <c r="AF29" s="73"/>
      <c r="AG29" s="73"/>
      <c r="AH29" s="73"/>
      <c r="AI29" s="73"/>
      <c r="AJ29" s="73"/>
      <c r="AK29" s="73"/>
      <c r="AL29" s="73"/>
      <c r="AM29" t="s">
        <v>743</v>
      </c>
      <c r="AN29" t="s">
        <v>737</v>
      </c>
      <c r="AO29" t="s">
        <v>709</v>
      </c>
    </row>
    <row r="30" spans="1:41" ht="18" hidden="1" customHeight="1" outlineLevel="2">
      <c r="A30" s="65">
        <f>ROW(Rohdaten!$A$30)</f>
        <v>30</v>
      </c>
      <c r="B30" s="66">
        <f>IF(Rohdaten!$A$30="","",Rohdaten!$A$30)</f>
        <v/>
      </c>
      <c r="C30" s="67" t="s">
        <v>725</v>
      </c>
      <c r="D30" s="68" t="str">
        <f>IF(Rohdaten!$E$30="","",Rohdaten!$E$30)</f>
        <v>Westrich</v>
      </c>
      <c r="E30" s="69" t="str">
        <f t="array" ref="E30">_xlfn.TEXTJOIN(" / ",TRUE,IF($I30:$AL30="●",$I$4:$AL$4,""))</f>
        <v>Westrich</v>
      </c>
      <c r="F30" s="70" t="s">
        <v>711</v>
      </c>
      <c r="G30" s="71" t="s">
        <v>712</v>
      </c>
      <c r="H30" s="72" t="str">
        <f>IF($F30="automatisch",IF(ISNA(MATCH(Stichtag,RD_Kopf,0)),"automatisch",IF(SUMPRODUCT((RD_Kopf&gt;=IF($G30="monatlich",DATE(YEAR(KWFreitag),MONTH(KWFreitag),1),IF($G30="quartalsweise",DATE(YEAR(KWFreitag),INT((MONTH(KWFreitag)-1)/3)*3+1,1),Stichtag)))*(RD_Kopf&lt;=Stichtag)*ISNUMBER(Rohdaten!$A$30:$LJ$30))&gt;0,"erledigt","automatisch")),IF($F30&lt;&gt;"ja","nicht berichtet",IF(ISNA(MATCH(Stichtag,RD_Kopf,0)),"keine Spalte",IF(SUMPRODUCT((RD_Kopf&gt;=IF($G30="monatlich",DATE(YEAR(KWFreitag),MONTH(KWFreitag),1),IF($G30="quartalsweise",DATE(YEAR(KWFreitag),INT((MONTH(KWFreitag)-1)/3)*3+1,1),Stichtag)))*(RD_Kopf&lt;=Stichtag)*ISNUMBER(Rohdaten!$A$30:$LJ$30))&gt;0,"erledigt","offen"))))</f>
        <v>nicht berichtet</v>
      </c>
      <c r="I30" s="73"/>
      <c r="J30" s="73"/>
      <c r="K30" s="73"/>
      <c r="L30" s="73"/>
      <c r="M30" s="73"/>
      <c r="N30" s="73"/>
      <c r="O30" s="73"/>
      <c r="P30" s="73"/>
      <c r="Q30" s="73"/>
      <c r="R30" s="73"/>
      <c r="S30" s="73"/>
      <c r="T30" s="73"/>
      <c r="U30" s="73"/>
      <c r="V30" s="73"/>
      <c r="W30" s="73"/>
      <c r="X30" s="73"/>
      <c r="Y30" s="73"/>
      <c r="Z30" s="73"/>
      <c r="AA30" s="73"/>
      <c r="AB30" s="73"/>
      <c r="AC30" s="73"/>
      <c r="AD30" s="73"/>
      <c r="AE30" s="73"/>
      <c r="AF30" s="73"/>
      <c r="AG30" s="73" t="s">
        <v>714</v>
      </c>
      <c r="AH30" s="73"/>
      <c r="AI30" s="73"/>
      <c r="AJ30" s="73"/>
      <c r="AK30" s="73"/>
      <c r="AL30" s="73"/>
      <c r="AM30" t="s">
        <v>744</v>
      </c>
      <c r="AN30" t="s">
        <v>737</v>
      </c>
      <c r="AO30" t="s">
        <v>709</v>
      </c>
    </row>
    <row r="31" spans="1:41" ht="18" hidden="1" customHeight="1" outlineLevel="1">
      <c r="A31" s="62"/>
      <c r="B31" s="62" t="s">
        <v>745</v>
      </c>
      <c r="C31" s="63" t="s">
        <v>728</v>
      </c>
      <c r="D31" s="63"/>
      <c r="E31" s="63"/>
      <c r="F31" s="63"/>
      <c r="G31" s="63"/>
      <c r="H31" s="63"/>
      <c r="I31" s="64"/>
      <c r="J31" s="64"/>
      <c r="K31" s="64"/>
      <c r="L31" s="64"/>
      <c r="M31" s="64"/>
      <c r="N31" s="64"/>
      <c r="O31" s="64"/>
      <c r="P31" s="64"/>
      <c r="Q31" s="64"/>
      <c r="R31" s="64"/>
      <c r="S31" s="64"/>
      <c r="T31" s="64"/>
      <c r="U31" s="64"/>
      <c r="V31" s="64"/>
      <c r="W31" s="64"/>
      <c r="X31" s="64"/>
      <c r="Y31" s="64"/>
      <c r="Z31" s="64"/>
      <c r="AA31" s="64"/>
      <c r="AB31" s="64"/>
      <c r="AC31" s="64"/>
      <c r="AD31" s="64"/>
      <c r="AE31" s="64"/>
      <c r="AF31" s="64"/>
      <c r="AG31" s="64"/>
      <c r="AH31" s="64"/>
      <c r="AI31" s="64"/>
      <c r="AJ31" s="64"/>
      <c r="AK31" s="64"/>
      <c r="AL31" s="64"/>
      <c r="AO31" t="s">
        <v>706</v>
      </c>
    </row>
    <row r="32" spans="1:41" ht="18" hidden="1" customHeight="1" outlineLevel="2">
      <c r="A32" s="65">
        <f>ROW(Rohdaten!$A$32)</f>
        <v>32</v>
      </c>
      <c r="B32" s="66">
        <f>IF(Rohdaten!$A$32="","",Rohdaten!$A$32)</f>
        <v/>
      </c>
      <c r="C32" s="67" t="s">
        <v>710</v>
      </c>
      <c r="D32" s="68" t="str">
        <f>IF(Rohdaten!$E$32="","",Rohdaten!$E$32)</f>
        <v>Förster / Greß</v>
      </c>
      <c r="E32" s="69" t="str">
        <f t="array" ref="E32">_xlfn.TEXTJOIN(" / ",TRUE,IF($I32:$AL32="●",$I$4:$AL$4,""))</f>
        <v>Förster / Greß</v>
      </c>
      <c r="F32" s="70" t="s">
        <v>711</v>
      </c>
      <c r="G32" s="71" t="s">
        <v>712</v>
      </c>
      <c r="H32" s="72" t="str">
        <f>IF($F32="automatisch",IF(ISNA(MATCH(Stichtag,RD_Kopf,0)),"automatisch",IF(SUMPRODUCT((RD_Kopf&gt;=IF($G32="monatlich",DATE(YEAR(KWFreitag),MONTH(KWFreitag),1),IF($G32="quartalsweise",DATE(YEAR(KWFreitag),INT((MONTH(KWFreitag)-1)/3)*3+1,1),Stichtag)))*(RD_Kopf&lt;=Stichtag)*ISNUMBER(Rohdaten!$A$32:$LJ$32))&gt;0,"erledigt","automatisch")),IF($F32&lt;&gt;"ja","nicht berichtet",IF(ISNA(MATCH(Stichtag,RD_Kopf,0)),"keine Spalte",IF(SUMPRODUCT((RD_Kopf&gt;=IF($G32="monatlich",DATE(YEAR(KWFreitag),MONTH(KWFreitag),1),IF($G32="quartalsweise",DATE(YEAR(KWFreitag),INT((MONTH(KWFreitag)-1)/3)*3+1,1),Stichtag)))*(RD_Kopf&lt;=Stichtag)*ISNUMBER(Rohdaten!$A$32:$LJ$32))&gt;0,"erledigt","offen"))))</f>
        <v>nicht berichtet</v>
      </c>
      <c r="I32" s="73"/>
      <c r="J32" s="73"/>
      <c r="K32" s="73"/>
      <c r="L32" s="73"/>
      <c r="M32" s="73"/>
      <c r="N32" s="73"/>
      <c r="O32" s="73" t="s">
        <v>714</v>
      </c>
      <c r="P32" s="73"/>
      <c r="Q32" s="73"/>
      <c r="R32" s="73"/>
      <c r="S32" s="73" t="s">
        <v>714</v>
      </c>
      <c r="T32" s="73"/>
      <c r="U32" s="73"/>
      <c r="V32" s="73"/>
      <c r="W32" s="73"/>
      <c r="X32" s="73"/>
      <c r="Y32" s="73"/>
      <c r="Z32" s="73"/>
      <c r="AA32" s="73"/>
      <c r="AB32" s="73"/>
      <c r="AC32" s="73"/>
      <c r="AD32" s="73"/>
      <c r="AE32" s="73"/>
      <c r="AF32" s="73"/>
      <c r="AG32" s="73"/>
      <c r="AH32" s="73"/>
      <c r="AI32" s="73"/>
      <c r="AJ32" s="73"/>
      <c r="AK32" s="73"/>
      <c r="AL32" s="73"/>
      <c r="AM32" t="s">
        <v>746</v>
      </c>
      <c r="AN32" t="s">
        <v>745</v>
      </c>
      <c r="AO32" t="s">
        <v>709</v>
      </c>
    </row>
    <row r="33" spans="1:41" ht="18" hidden="1" customHeight="1" outlineLevel="2">
      <c r="A33" s="65">
        <f>ROW(Rohdaten!$A$33)</f>
        <v>33</v>
      </c>
      <c r="B33" s="66">
        <f>IF(Rohdaten!$A$33="","",Rohdaten!$A$33)</f>
        <v/>
      </c>
      <c r="C33" s="67" t="s">
        <v>715</v>
      </c>
      <c r="D33" s="68" t="str">
        <f>IF(Rohdaten!$E$33="","",Rohdaten!$E$33)</f>
        <v>Streich</v>
      </c>
      <c r="E33" s="69" t="str">
        <f t="array" ref="E33">_xlfn.TEXTJOIN(" / ",TRUE,IF($I33:$AL33="●",$I$4:$AL$4,""))</f>
        <v>Streich</v>
      </c>
      <c r="F33" s="70" t="s">
        <v>711</v>
      </c>
      <c r="G33" s="71" t="s">
        <v>712</v>
      </c>
      <c r="H33" s="72" t="str">
        <f>IF($F33="automatisch",IF(ISNA(MATCH(Stichtag,RD_Kopf,0)),"automatisch",IF(SUMPRODUCT((RD_Kopf&gt;=IF($G33="monatlich",DATE(YEAR(KWFreitag),MONTH(KWFreitag),1),IF($G33="quartalsweise",DATE(YEAR(KWFreitag),INT((MONTH(KWFreitag)-1)/3)*3+1,1),Stichtag)))*(RD_Kopf&lt;=Stichtag)*ISNUMBER(Rohdaten!$A$33:$LJ$33))&gt;0,"erledigt","automatisch")),IF($F33&lt;&gt;"ja","nicht berichtet",IF(ISNA(MATCH(Stichtag,RD_Kopf,0)),"keine Spalte",IF(SUMPRODUCT((RD_Kopf&gt;=IF($G33="monatlich",DATE(YEAR(KWFreitag),MONTH(KWFreitag),1),IF($G33="quartalsweise",DATE(YEAR(KWFreitag),INT((MONTH(KWFreitag)-1)/3)*3+1,1),Stichtag)))*(RD_Kopf&lt;=Stichtag)*ISNUMBER(Rohdaten!$A$33:$LJ$33))&gt;0,"erledigt","offen"))))</f>
        <v>nicht berichtet</v>
      </c>
      <c r="I33" s="73"/>
      <c r="J33" s="73"/>
      <c r="K33" s="73"/>
      <c r="L33" s="73"/>
      <c r="M33" s="73"/>
      <c r="N33" s="73"/>
      <c r="O33" s="73"/>
      <c r="P33" s="73"/>
      <c r="Q33" s="73"/>
      <c r="R33" s="73"/>
      <c r="S33" s="73"/>
      <c r="T33" s="73"/>
      <c r="U33" s="73"/>
      <c r="V33" s="73"/>
      <c r="W33" s="73"/>
      <c r="X33" s="73"/>
      <c r="Y33" s="73"/>
      <c r="Z33" s="73"/>
      <c r="AA33" s="73"/>
      <c r="AB33" s="73"/>
      <c r="AC33" s="73"/>
      <c r="AD33" s="73"/>
      <c r="AE33" s="73"/>
      <c r="AF33" s="73" t="s">
        <v>714</v>
      </c>
      <c r="AG33" s="73"/>
      <c r="AH33" s="73"/>
      <c r="AI33" s="73"/>
      <c r="AJ33" s="73"/>
      <c r="AK33" s="73"/>
      <c r="AL33" s="73"/>
      <c r="AM33" t="s">
        <v>747</v>
      </c>
      <c r="AN33" t="s">
        <v>745</v>
      </c>
      <c r="AO33" t="s">
        <v>709</v>
      </c>
    </row>
    <row r="34" spans="1:41" ht="18" hidden="1" customHeight="1" outlineLevel="2">
      <c r="A34" s="65">
        <f>ROW(Rohdaten!$A$34)</f>
        <v>34</v>
      </c>
      <c r="B34" s="66">
        <f>IF(Rohdaten!$A$34="","",Rohdaten!$A$34)</f>
        <v/>
      </c>
      <c r="C34" s="67" t="s">
        <v>717</v>
      </c>
      <c r="D34" s="68" t="str">
        <f>IF(Rohdaten!$E$34="","",Rohdaten!$E$34)</f>
        <v>Gress</v>
      </c>
      <c r="E34" s="69" t="str">
        <f t="array" ref="E34">_xlfn.TEXTJOIN(" / ",TRUE,IF($I34:$AL34="●",$I$4:$AL$4,""))</f>
        <v>Gress</v>
      </c>
      <c r="F34" s="70" t="s">
        <v>711</v>
      </c>
      <c r="G34" s="71" t="s">
        <v>712</v>
      </c>
      <c r="H34" s="72" t="str">
        <f>IF($F34="automatisch",IF(ISNA(MATCH(Stichtag,RD_Kopf,0)),"automatisch",IF(SUMPRODUCT((RD_Kopf&gt;=IF($G34="monatlich",DATE(YEAR(KWFreitag),MONTH(KWFreitag),1),IF($G34="quartalsweise",DATE(YEAR(KWFreitag),INT((MONTH(KWFreitag)-1)/3)*3+1,1),Stichtag)))*(RD_Kopf&lt;=Stichtag)*ISNUMBER(Rohdaten!$A$34:$LJ$34))&gt;0,"erledigt","automatisch")),IF($F34&lt;&gt;"ja","nicht berichtet",IF(ISNA(MATCH(Stichtag,RD_Kopf,0)),"keine Spalte",IF(SUMPRODUCT((RD_Kopf&gt;=IF($G34="monatlich",DATE(YEAR(KWFreitag),MONTH(KWFreitag),1),IF($G34="quartalsweise",DATE(YEAR(KWFreitag),INT((MONTH(KWFreitag)-1)/3)*3+1,1),Stichtag)))*(RD_Kopf&lt;=Stichtag)*ISNUMBER(Rohdaten!$A$34:$LJ$34))&gt;0,"erledigt","offen"))))</f>
        <v>nicht berichtet</v>
      </c>
      <c r="I34" s="73"/>
      <c r="J34" s="73"/>
      <c r="K34" s="73"/>
      <c r="L34" s="73"/>
      <c r="M34" s="73"/>
      <c r="N34" s="73"/>
      <c r="O34" s="73"/>
      <c r="P34" s="73"/>
      <c r="Q34" s="73"/>
      <c r="R34" s="73"/>
      <c r="S34" s="73"/>
      <c r="T34" s="73" t="s">
        <v>714</v>
      </c>
      <c r="U34" s="73"/>
      <c r="V34" s="73"/>
      <c r="W34" s="73"/>
      <c r="X34" s="73"/>
      <c r="Y34" s="73"/>
      <c r="Z34" s="73"/>
      <c r="AA34" s="73"/>
      <c r="AB34" s="73"/>
      <c r="AC34" s="73"/>
      <c r="AD34" s="73"/>
      <c r="AE34" s="73"/>
      <c r="AF34" s="73"/>
      <c r="AG34" s="73"/>
      <c r="AH34" s="73"/>
      <c r="AI34" s="73"/>
      <c r="AJ34" s="73"/>
      <c r="AK34" s="73"/>
      <c r="AL34" s="73"/>
      <c r="AM34" t="s">
        <v>748</v>
      </c>
      <c r="AN34" t="s">
        <v>745</v>
      </c>
      <c r="AO34" t="s">
        <v>709</v>
      </c>
    </row>
    <row r="35" spans="1:41" ht="18" hidden="1" customHeight="1" outlineLevel="2">
      <c r="A35" s="65">
        <f>ROW(Rohdaten!$A$35)</f>
        <v>35</v>
      </c>
      <c r="B35" s="66">
        <f>IF(Rohdaten!$A$35="","",Rohdaten!$A$35)</f>
        <v/>
      </c>
      <c r="C35" s="67" t="s">
        <v>719</v>
      </c>
      <c r="D35" s="68" t="str">
        <f>IF(Rohdaten!$E$35="","",Rohdaten!$E$35)</f>
        <v>Schneider</v>
      </c>
      <c r="E35" s="69" t="str">
        <f t="array" ref="E35">_xlfn.TEXTJOIN(" / ",TRUE,IF($I35:$AL35="●",$I$4:$AL$4,""))</f>
        <v>Schneider</v>
      </c>
      <c r="F35" s="70" t="s">
        <v>711</v>
      </c>
      <c r="G35" s="71" t="s">
        <v>712</v>
      </c>
      <c r="H35" s="72" t="str">
        <f>IF($F35="automatisch",IF(ISNA(MATCH(Stichtag,RD_Kopf,0)),"automatisch",IF(SUMPRODUCT((RD_Kopf&gt;=IF($G35="monatlich",DATE(YEAR(KWFreitag),MONTH(KWFreitag),1),IF($G35="quartalsweise",DATE(YEAR(KWFreitag),INT((MONTH(KWFreitag)-1)/3)*3+1,1),Stichtag)))*(RD_Kopf&lt;=Stichtag)*ISNUMBER(Rohdaten!$A$35:$LJ$35))&gt;0,"erledigt","automatisch")),IF($F35&lt;&gt;"ja","nicht berichtet",IF(ISNA(MATCH(Stichtag,RD_Kopf,0)),"keine Spalte",IF(SUMPRODUCT((RD_Kopf&gt;=IF($G35="monatlich",DATE(YEAR(KWFreitag),MONTH(KWFreitag),1),IF($G35="quartalsweise",DATE(YEAR(KWFreitag),INT((MONTH(KWFreitag)-1)/3)*3+1,1),Stichtag)))*(RD_Kopf&lt;=Stichtag)*ISNUMBER(Rohdaten!$A$35:$LJ$35))&gt;0,"erledigt","offen"))))</f>
        <v>nicht berichtet</v>
      </c>
      <c r="I35" s="73"/>
      <c r="J35" s="73"/>
      <c r="K35" s="73"/>
      <c r="L35" s="73"/>
      <c r="M35" s="73"/>
      <c r="N35" s="73"/>
      <c r="O35" s="73"/>
      <c r="P35" s="73"/>
      <c r="Q35" s="73"/>
      <c r="R35" s="73"/>
      <c r="S35" s="73"/>
      <c r="T35" s="73"/>
      <c r="U35" s="73"/>
      <c r="V35" s="73"/>
      <c r="W35" s="73"/>
      <c r="X35" s="73"/>
      <c r="Y35" s="73"/>
      <c r="Z35" s="73"/>
      <c r="AA35" s="73"/>
      <c r="AB35" s="73"/>
      <c r="AC35" s="73"/>
      <c r="AD35" s="73"/>
      <c r="AE35" s="73" t="s">
        <v>714</v>
      </c>
      <c r="AF35" s="73"/>
      <c r="AG35" s="73"/>
      <c r="AH35" s="73"/>
      <c r="AI35" s="73"/>
      <c r="AJ35" s="73"/>
      <c r="AK35" s="73"/>
      <c r="AL35" s="73"/>
      <c r="AM35" t="s">
        <v>749</v>
      </c>
      <c r="AN35" t="s">
        <v>745</v>
      </c>
      <c r="AO35" t="s">
        <v>709</v>
      </c>
    </row>
    <row r="36" spans="1:41" ht="18" hidden="1" customHeight="1" outlineLevel="2">
      <c r="A36" s="65">
        <f>ROW(Rohdaten!$A$36)</f>
        <v>36</v>
      </c>
      <c r="B36" s="66">
        <f>IF(Rohdaten!$A$36="","",Rohdaten!$A$36)</f>
        <v/>
      </c>
      <c r="C36" s="67" t="s">
        <v>721</v>
      </c>
      <c r="D36" s="68" t="str">
        <f>IF(Rohdaten!$E$36="","",Rohdaten!$E$36)</f>
        <v>Lürken</v>
      </c>
      <c r="E36" s="69" t="str">
        <f t="array" ref="E36">_xlfn.TEXTJOIN(" / ",TRUE,IF($I36:$AL36="●",$I$4:$AL$4,""))</f>
        <v>Lürken</v>
      </c>
      <c r="F36" s="70" t="s">
        <v>711</v>
      </c>
      <c r="G36" s="71" t="s">
        <v>712</v>
      </c>
      <c r="H36" s="72" t="str">
        <f>IF($F36="automatisch",IF(ISNA(MATCH(Stichtag,RD_Kopf,0)),"automatisch",IF(SUMPRODUCT((RD_Kopf&gt;=IF($G36="monatlich",DATE(YEAR(KWFreitag),MONTH(KWFreitag),1),IF($G36="quartalsweise",DATE(YEAR(KWFreitag),INT((MONTH(KWFreitag)-1)/3)*3+1,1),Stichtag)))*(RD_Kopf&lt;=Stichtag)*ISNUMBER(Rohdaten!$A$36:$LJ$36))&gt;0,"erledigt","automatisch")),IF($F36&lt;&gt;"ja","nicht berichtet",IF(ISNA(MATCH(Stichtag,RD_Kopf,0)),"keine Spalte",IF(SUMPRODUCT((RD_Kopf&gt;=IF($G36="monatlich",DATE(YEAR(KWFreitag),MONTH(KWFreitag),1),IF($G36="quartalsweise",DATE(YEAR(KWFreitag),INT((MONTH(KWFreitag)-1)/3)*3+1,1),Stichtag)))*(RD_Kopf&lt;=Stichtag)*ISNUMBER(Rohdaten!$A$36:$LJ$36))&gt;0,"erledigt","offen"))))</f>
        <v>nicht berichtet</v>
      </c>
      <c r="I36" s="73"/>
      <c r="J36" s="73"/>
      <c r="K36" s="73"/>
      <c r="L36" s="73"/>
      <c r="M36" s="73"/>
      <c r="N36" s="73"/>
      <c r="O36" s="73"/>
      <c r="P36" s="73"/>
      <c r="Q36" s="73"/>
      <c r="R36" s="73"/>
      <c r="S36" s="73"/>
      <c r="T36" s="73"/>
      <c r="U36" s="73"/>
      <c r="V36" s="73"/>
      <c r="W36" s="73"/>
      <c r="X36" s="73"/>
      <c r="Y36" s="73"/>
      <c r="Z36" s="73"/>
      <c r="AA36" s="73" t="s">
        <v>714</v>
      </c>
      <c r="AB36" s="73"/>
      <c r="AC36" s="73"/>
      <c r="AD36" s="73"/>
      <c r="AE36" s="73"/>
      <c r="AF36" s="73"/>
      <c r="AG36" s="73"/>
      <c r="AH36" s="73"/>
      <c r="AI36" s="73"/>
      <c r="AJ36" s="73"/>
      <c r="AK36" s="73"/>
      <c r="AL36" s="73"/>
      <c r="AM36" t="s">
        <v>750</v>
      </c>
      <c r="AN36" t="s">
        <v>745</v>
      </c>
      <c r="AO36" t="s">
        <v>709</v>
      </c>
    </row>
    <row r="37" spans="1:41" ht="18" hidden="1" customHeight="1" outlineLevel="2">
      <c r="A37" s="65">
        <f>ROW(Rohdaten!$A$37)</f>
        <v>37</v>
      </c>
      <c r="B37" s="66">
        <f>IF(Rohdaten!$A$37="","",Rohdaten!$A$37)</f>
        <v/>
      </c>
      <c r="C37" s="67" t="s">
        <v>723</v>
      </c>
      <c r="D37" s="68" t="str">
        <f>IF(Rohdaten!$E$37="","",Rohdaten!$E$37)</f>
        <v>Kraus</v>
      </c>
      <c r="E37" s="69" t="str">
        <f t="array" ref="E37">_xlfn.TEXTJOIN(" / ",TRUE,IF($I37:$AL37="●",$I$4:$AL$4,""))</f>
        <v>Kraus</v>
      </c>
      <c r="F37" s="70" t="s">
        <v>711</v>
      </c>
      <c r="G37" s="71" t="s">
        <v>712</v>
      </c>
      <c r="H37" s="72" t="str">
        <f>IF($F37="automatisch",IF(ISNA(MATCH(Stichtag,RD_Kopf,0)),"automatisch",IF(SUMPRODUCT((RD_Kopf&gt;=IF($G37="monatlich",DATE(YEAR(KWFreitag),MONTH(KWFreitag),1),IF($G37="quartalsweise",DATE(YEAR(KWFreitag),INT((MONTH(KWFreitag)-1)/3)*3+1,1),Stichtag)))*(RD_Kopf&lt;=Stichtag)*ISNUMBER(Rohdaten!$A$37:$LJ$37))&gt;0,"erledigt","automatisch")),IF($F37&lt;&gt;"ja","nicht berichtet",IF(ISNA(MATCH(Stichtag,RD_Kopf,0)),"keine Spalte",IF(SUMPRODUCT((RD_Kopf&gt;=IF($G37="monatlich",DATE(YEAR(KWFreitag),MONTH(KWFreitag),1),IF($G37="quartalsweise",DATE(YEAR(KWFreitag),INT((MONTH(KWFreitag)-1)/3)*3+1,1),Stichtag)))*(RD_Kopf&lt;=Stichtag)*ISNUMBER(Rohdaten!$A$37:$LJ$37))&gt;0,"erledigt","offen"))))</f>
        <v>nicht berichtet</v>
      </c>
      <c r="I37" s="73"/>
      <c r="J37" s="73"/>
      <c r="K37" s="73"/>
      <c r="L37" s="73"/>
      <c r="M37" s="73"/>
      <c r="N37" s="73"/>
      <c r="O37" s="73"/>
      <c r="P37" s="73"/>
      <c r="Q37" s="73"/>
      <c r="R37" s="73"/>
      <c r="S37" s="73"/>
      <c r="T37" s="73"/>
      <c r="U37" s="73"/>
      <c r="V37" s="73"/>
      <c r="W37" s="73"/>
      <c r="X37" s="73"/>
      <c r="Y37" s="73" t="s">
        <v>714</v>
      </c>
      <c r="Z37" s="73"/>
      <c r="AA37" s="73"/>
      <c r="AB37" s="73"/>
      <c r="AC37" s="73"/>
      <c r="AD37" s="73"/>
      <c r="AE37" s="73"/>
      <c r="AF37" s="73"/>
      <c r="AG37" s="73"/>
      <c r="AH37" s="73"/>
      <c r="AI37" s="73"/>
      <c r="AJ37" s="73"/>
      <c r="AK37" s="73"/>
      <c r="AL37" s="73"/>
      <c r="AM37" t="s">
        <v>751</v>
      </c>
      <c r="AN37" t="s">
        <v>745</v>
      </c>
      <c r="AO37" t="s">
        <v>709</v>
      </c>
    </row>
    <row r="38" spans="1:41" ht="18" hidden="1" customHeight="1" outlineLevel="2">
      <c r="A38" s="65">
        <f>ROW(Rohdaten!$A$38)</f>
        <v>38</v>
      </c>
      <c r="B38" s="66">
        <f>IF(Rohdaten!$A$38="","",Rohdaten!$A$38)</f>
        <v/>
      </c>
      <c r="C38" s="67" t="s">
        <v>725</v>
      </c>
      <c r="D38" s="68" t="str">
        <f>IF(Rohdaten!$E$38="","",Rohdaten!$E$38)</f>
        <v>Westrich</v>
      </c>
      <c r="E38" s="69" t="str">
        <f t="array" ref="E38">_xlfn.TEXTJOIN(" / ",TRUE,IF($I38:$AL38="●",$I$4:$AL$4,""))</f>
        <v>Westrich</v>
      </c>
      <c r="F38" s="70" t="s">
        <v>711</v>
      </c>
      <c r="G38" s="71" t="s">
        <v>712</v>
      </c>
      <c r="H38" s="72" t="str">
        <f>IF($F38="automatisch",IF(ISNA(MATCH(Stichtag,RD_Kopf,0)),"automatisch",IF(SUMPRODUCT((RD_Kopf&gt;=IF($G38="monatlich",DATE(YEAR(KWFreitag),MONTH(KWFreitag),1),IF($G38="quartalsweise",DATE(YEAR(KWFreitag),INT((MONTH(KWFreitag)-1)/3)*3+1,1),Stichtag)))*(RD_Kopf&lt;=Stichtag)*ISNUMBER(Rohdaten!$A$38:$LJ$38))&gt;0,"erledigt","automatisch")),IF($F38&lt;&gt;"ja","nicht berichtet",IF(ISNA(MATCH(Stichtag,RD_Kopf,0)),"keine Spalte",IF(SUMPRODUCT((RD_Kopf&gt;=IF($G38="monatlich",DATE(YEAR(KWFreitag),MONTH(KWFreitag),1),IF($G38="quartalsweise",DATE(YEAR(KWFreitag),INT((MONTH(KWFreitag)-1)/3)*3+1,1),Stichtag)))*(RD_Kopf&lt;=Stichtag)*ISNUMBER(Rohdaten!$A$38:$LJ$38))&gt;0,"erledigt","offen"))))</f>
        <v>nicht berichtet</v>
      </c>
      <c r="I38" s="73"/>
      <c r="J38" s="73"/>
      <c r="K38" s="73"/>
      <c r="L38" s="73"/>
      <c r="M38" s="73"/>
      <c r="N38" s="73"/>
      <c r="O38" s="73"/>
      <c r="P38" s="73"/>
      <c r="Q38" s="73"/>
      <c r="R38" s="73"/>
      <c r="S38" s="73"/>
      <c r="T38" s="73"/>
      <c r="U38" s="73"/>
      <c r="V38" s="73"/>
      <c r="W38" s="73"/>
      <c r="X38" s="73"/>
      <c r="Y38" s="73"/>
      <c r="Z38" s="73"/>
      <c r="AA38" s="73"/>
      <c r="AB38" s="73"/>
      <c r="AC38" s="73"/>
      <c r="AD38" s="73"/>
      <c r="AE38" s="73"/>
      <c r="AF38" s="73"/>
      <c r="AG38" s="73" t="s">
        <v>714</v>
      </c>
      <c r="AH38" s="73"/>
      <c r="AI38" s="73"/>
      <c r="AJ38" s="73"/>
      <c r="AK38" s="73"/>
      <c r="AL38" s="73"/>
      <c r="AM38" t="s">
        <v>752</v>
      </c>
      <c r="AN38" t="s">
        <v>745</v>
      </c>
      <c r="AO38" t="s">
        <v>709</v>
      </c>
    </row>
    <row r="39" spans="1:41" ht="22" customHeight="1" collapsed="1">
      <c r="A39" s="60" t="s">
        <v>753</v>
      </c>
      <c r="B39" s="60"/>
      <c r="C39" s="60"/>
      <c r="D39" s="60"/>
      <c r="E39" s="60"/>
      <c r="F39" s="60"/>
      <c r="G39" s="60"/>
      <c r="H39" s="60"/>
      <c r="I39" s="61"/>
      <c r="J39" s="61"/>
      <c r="K39" s="61"/>
      <c r="L39" s="61"/>
      <c r="M39" s="61"/>
      <c r="N39" s="61"/>
      <c r="O39" s="61"/>
      <c r="P39" s="61"/>
      <c r="Q39" s="61"/>
      <c r="R39" s="61"/>
      <c r="S39" s="61"/>
      <c r="T39" s="61"/>
      <c r="U39" s="61"/>
      <c r="V39" s="61"/>
      <c r="W39" s="61"/>
      <c r="X39" s="61"/>
      <c r="Y39" s="61"/>
      <c r="Z39" s="61"/>
      <c r="AA39" s="61"/>
      <c r="AB39" s="61"/>
      <c r="AC39" s="61"/>
      <c r="AD39" s="61"/>
      <c r="AE39" s="61"/>
      <c r="AF39" s="61"/>
      <c r="AG39" s="61"/>
      <c r="AH39" s="61"/>
      <c r="AI39" s="61"/>
      <c r="AJ39" s="61"/>
      <c r="AK39" s="61"/>
      <c r="AL39" s="61"/>
      <c r="AO39" t="s">
        <v>705</v>
      </c>
    </row>
    <row r="40" spans="1:41" ht="18" hidden="1" customHeight="1" outlineLevel="1">
      <c r="A40" s="62"/>
      <c r="B40" s="62" t="s">
        <v>128</v>
      </c>
      <c r="C40" s="63" t="s">
        <v>728</v>
      </c>
      <c r="D40" s="63"/>
      <c r="E40" s="63"/>
      <c r="F40" s="63"/>
      <c r="G40" s="63"/>
      <c r="H40" s="63"/>
      <c r="I40" s="64"/>
      <c r="J40" s="64"/>
      <c r="K40" s="64"/>
      <c r="L40" s="64"/>
      <c r="M40" s="64"/>
      <c r="N40" s="64"/>
      <c r="O40" s="64"/>
      <c r="P40" s="64"/>
      <c r="Q40" s="64"/>
      <c r="R40" s="64"/>
      <c r="S40" s="64"/>
      <c r="T40" s="64"/>
      <c r="U40" s="64"/>
      <c r="V40" s="64"/>
      <c r="W40" s="64"/>
      <c r="X40" s="64"/>
      <c r="Y40" s="64"/>
      <c r="Z40" s="64"/>
      <c r="AA40" s="64"/>
      <c r="AB40" s="64"/>
      <c r="AC40" s="64"/>
      <c r="AD40" s="64"/>
      <c r="AE40" s="64"/>
      <c r="AF40" s="64"/>
      <c r="AG40" s="64"/>
      <c r="AH40" s="64"/>
      <c r="AI40" s="64"/>
      <c r="AJ40" s="64"/>
      <c r="AK40" s="64"/>
      <c r="AL40" s="64"/>
      <c r="AO40" t="s">
        <v>706</v>
      </c>
    </row>
    <row r="41" spans="1:41" ht="18" hidden="1" customHeight="1" outlineLevel="2">
      <c r="A41" s="65">
        <f>ROW(Rohdaten!$A$40)</f>
        <v>40</v>
      </c>
      <c r="B41" s="66">
        <f>IF(Rohdaten!$A$40="","",Rohdaten!$A$40)</f>
        <v/>
      </c>
      <c r="C41" s="67" t="s">
        <v>710</v>
      </c>
      <c r="D41" s="68" t="str">
        <f>IF(Rohdaten!$E$40="","",Rohdaten!$E$40)</f>
        <v>Förster / Greß</v>
      </c>
      <c r="E41" s="69" t="str">
        <f t="array" ref="E41">_xlfn.TEXTJOIN(" / ",TRUE,IF($I41:$AL41="●",$I$4:$AL$4,""))</f>
        <v>Förster / Greß</v>
      </c>
      <c r="F41" s="70" t="s">
        <v>711</v>
      </c>
      <c r="G41" s="71" t="s">
        <v>712</v>
      </c>
      <c r="H41" s="72" t="str">
        <f>IF($F41="automatisch",IF(ISNA(MATCH(Stichtag,RD_Kopf,0)),"automatisch",IF(SUMPRODUCT((RD_Kopf&gt;=IF($G41="monatlich",DATE(YEAR(KWFreitag),MONTH(KWFreitag),1),IF($G41="quartalsweise",DATE(YEAR(KWFreitag),INT((MONTH(KWFreitag)-1)/3)*3+1,1),Stichtag)))*(RD_Kopf&lt;=Stichtag)*ISNUMBER(Rohdaten!$A$40:$LJ$40))&gt;0,"erledigt","automatisch")),IF($F41&lt;&gt;"ja","nicht berichtet",IF(ISNA(MATCH(Stichtag,RD_Kopf,0)),"keine Spalte",IF(SUMPRODUCT((RD_Kopf&gt;=IF($G41="monatlich",DATE(YEAR(KWFreitag),MONTH(KWFreitag),1),IF($G41="quartalsweise",DATE(YEAR(KWFreitag),INT((MONTH(KWFreitag)-1)/3)*3+1,1),Stichtag)))*(RD_Kopf&lt;=Stichtag)*ISNUMBER(Rohdaten!$A$40:$LJ$40))&gt;0,"erledigt","offen"))))</f>
        <v>nicht berichtet</v>
      </c>
      <c r="I41" s="73"/>
      <c r="J41" s="73"/>
      <c r="K41" s="73"/>
      <c r="L41" s="73"/>
      <c r="M41" s="73"/>
      <c r="N41" s="73"/>
      <c r="O41" s="73" t="s">
        <v>714</v>
      </c>
      <c r="P41" s="73"/>
      <c r="Q41" s="73"/>
      <c r="R41" s="73"/>
      <c r="S41" s="73" t="s">
        <v>714</v>
      </c>
      <c r="T41" s="73"/>
      <c r="U41" s="73"/>
      <c r="V41" s="73"/>
      <c r="W41" s="73"/>
      <c r="X41" s="73"/>
      <c r="Y41" s="73"/>
      <c r="Z41" s="73"/>
      <c r="AA41" s="73"/>
      <c r="AB41" s="73"/>
      <c r="AC41" s="73"/>
      <c r="AD41" s="73"/>
      <c r="AE41" s="73"/>
      <c r="AF41" s="73"/>
      <c r="AG41" s="73"/>
      <c r="AH41" s="73"/>
      <c r="AI41" s="73"/>
      <c r="AJ41" s="73"/>
      <c r="AK41" s="73"/>
      <c r="AL41" s="73"/>
      <c r="AM41" t="s">
        <v>754</v>
      </c>
      <c r="AN41" t="s">
        <v>128</v>
      </c>
      <c r="AO41" t="s">
        <v>709</v>
      </c>
    </row>
    <row r="42" spans="1:41" ht="18" hidden="1" customHeight="1" outlineLevel="2">
      <c r="A42" s="65">
        <f>ROW(Rohdaten!$A$41)</f>
        <v>41</v>
      </c>
      <c r="B42" s="66">
        <f>IF(Rohdaten!$A$41="","",Rohdaten!$A$41)</f>
        <v/>
      </c>
      <c r="C42" s="67" t="s">
        <v>715</v>
      </c>
      <c r="D42" s="68" t="str">
        <f>IF(Rohdaten!$E$41="","",Rohdaten!$E$41)</f>
        <v>Streich</v>
      </c>
      <c r="E42" s="69" t="str">
        <f t="array" ref="E42">_xlfn.TEXTJOIN(" / ",TRUE,IF($I42:$AL42="●",$I$4:$AL$4,""))</f>
        <v>Streich</v>
      </c>
      <c r="F42" s="70" t="s">
        <v>711</v>
      </c>
      <c r="G42" s="71" t="s">
        <v>712</v>
      </c>
      <c r="H42" s="72" t="str">
        <f>IF($F42="automatisch",IF(ISNA(MATCH(Stichtag,RD_Kopf,0)),"automatisch",IF(SUMPRODUCT((RD_Kopf&gt;=IF($G42="monatlich",DATE(YEAR(KWFreitag),MONTH(KWFreitag),1),IF($G42="quartalsweise",DATE(YEAR(KWFreitag),INT((MONTH(KWFreitag)-1)/3)*3+1,1),Stichtag)))*(RD_Kopf&lt;=Stichtag)*ISNUMBER(Rohdaten!$A$41:$LJ$41))&gt;0,"erledigt","automatisch")),IF($F42&lt;&gt;"ja","nicht berichtet",IF(ISNA(MATCH(Stichtag,RD_Kopf,0)),"keine Spalte",IF(SUMPRODUCT((RD_Kopf&gt;=IF($G42="monatlich",DATE(YEAR(KWFreitag),MONTH(KWFreitag),1),IF($G42="quartalsweise",DATE(YEAR(KWFreitag),INT((MONTH(KWFreitag)-1)/3)*3+1,1),Stichtag)))*(RD_Kopf&lt;=Stichtag)*ISNUMBER(Rohdaten!$A$41:$LJ$41))&gt;0,"erledigt","offen"))))</f>
        <v>nicht berichtet</v>
      </c>
      <c r="I42" s="73"/>
      <c r="J42" s="73"/>
      <c r="K42" s="73"/>
      <c r="L42" s="73"/>
      <c r="M42" s="73"/>
      <c r="N42" s="73"/>
      <c r="O42" s="73"/>
      <c r="P42" s="73"/>
      <c r="Q42" s="73"/>
      <c r="R42" s="73"/>
      <c r="S42" s="73"/>
      <c r="T42" s="73"/>
      <c r="U42" s="73"/>
      <c r="V42" s="73"/>
      <c r="W42" s="73"/>
      <c r="X42" s="73"/>
      <c r="Y42" s="73"/>
      <c r="Z42" s="73"/>
      <c r="AA42" s="73"/>
      <c r="AB42" s="73"/>
      <c r="AC42" s="73"/>
      <c r="AD42" s="73"/>
      <c r="AE42" s="73"/>
      <c r="AF42" s="73" t="s">
        <v>714</v>
      </c>
      <c r="AG42" s="73"/>
      <c r="AH42" s="73"/>
      <c r="AI42" s="73"/>
      <c r="AJ42" s="73"/>
      <c r="AK42" s="73"/>
      <c r="AL42" s="73"/>
      <c r="AM42" t="s">
        <v>755</v>
      </c>
      <c r="AN42" t="s">
        <v>128</v>
      </c>
      <c r="AO42" t="s">
        <v>709</v>
      </c>
    </row>
    <row r="43" spans="1:41" ht="18" hidden="1" customHeight="1" outlineLevel="2">
      <c r="A43" s="65">
        <f>ROW(Rohdaten!$A$42)</f>
        <v>42</v>
      </c>
      <c r="B43" s="66">
        <f>IF(Rohdaten!$A$42="","",Rohdaten!$A$42)</f>
        <v/>
      </c>
      <c r="C43" s="67" t="s">
        <v>717</v>
      </c>
      <c r="D43" s="68" t="str">
        <f>IF(Rohdaten!$E$42="","",Rohdaten!$E$42)</f>
        <v>Gress</v>
      </c>
      <c r="E43" s="69" t="str">
        <f t="array" ref="E43">_xlfn.TEXTJOIN(" / ",TRUE,IF($I43:$AL43="●",$I$4:$AL$4,""))</f>
        <v>Gress</v>
      </c>
      <c r="F43" s="70" t="s">
        <v>711</v>
      </c>
      <c r="G43" s="71" t="s">
        <v>712</v>
      </c>
      <c r="H43" s="72" t="str">
        <f>IF($F43="automatisch",IF(ISNA(MATCH(Stichtag,RD_Kopf,0)),"automatisch",IF(SUMPRODUCT((RD_Kopf&gt;=IF($G43="monatlich",DATE(YEAR(KWFreitag),MONTH(KWFreitag),1),IF($G43="quartalsweise",DATE(YEAR(KWFreitag),INT((MONTH(KWFreitag)-1)/3)*3+1,1),Stichtag)))*(RD_Kopf&lt;=Stichtag)*ISNUMBER(Rohdaten!$A$42:$LJ$42))&gt;0,"erledigt","automatisch")),IF($F43&lt;&gt;"ja","nicht berichtet",IF(ISNA(MATCH(Stichtag,RD_Kopf,0)),"keine Spalte",IF(SUMPRODUCT((RD_Kopf&gt;=IF($G43="monatlich",DATE(YEAR(KWFreitag),MONTH(KWFreitag),1),IF($G43="quartalsweise",DATE(YEAR(KWFreitag),INT((MONTH(KWFreitag)-1)/3)*3+1,1),Stichtag)))*(RD_Kopf&lt;=Stichtag)*ISNUMBER(Rohdaten!$A$42:$LJ$42))&gt;0,"erledigt","offen"))))</f>
        <v>nicht berichtet</v>
      </c>
      <c r="I43" s="73"/>
      <c r="J43" s="73"/>
      <c r="K43" s="73"/>
      <c r="L43" s="73"/>
      <c r="M43" s="73"/>
      <c r="N43" s="73"/>
      <c r="O43" s="73"/>
      <c r="P43" s="73"/>
      <c r="Q43" s="73"/>
      <c r="R43" s="73"/>
      <c r="S43" s="73"/>
      <c r="T43" s="73" t="s">
        <v>714</v>
      </c>
      <c r="U43" s="73"/>
      <c r="V43" s="73"/>
      <c r="W43" s="73"/>
      <c r="X43" s="73"/>
      <c r="Y43" s="73"/>
      <c r="Z43" s="73"/>
      <c r="AA43" s="73"/>
      <c r="AB43" s="73"/>
      <c r="AC43" s="73"/>
      <c r="AD43" s="73"/>
      <c r="AE43" s="73"/>
      <c r="AF43" s="73"/>
      <c r="AG43" s="73"/>
      <c r="AH43" s="73"/>
      <c r="AI43" s="73"/>
      <c r="AJ43" s="73"/>
      <c r="AK43" s="73"/>
      <c r="AL43" s="73"/>
      <c r="AM43" t="s">
        <v>756</v>
      </c>
      <c r="AN43" t="s">
        <v>128</v>
      </c>
      <c r="AO43" t="s">
        <v>709</v>
      </c>
    </row>
    <row r="44" spans="1:41" ht="18" hidden="1" customHeight="1" outlineLevel="2">
      <c r="A44" s="65">
        <f>ROW(Rohdaten!$A$43)</f>
        <v>43</v>
      </c>
      <c r="B44" s="66">
        <f>IF(Rohdaten!$A$43="","",Rohdaten!$A$43)</f>
        <v/>
      </c>
      <c r="C44" s="67" t="s">
        <v>719</v>
      </c>
      <c r="D44" s="68" t="str">
        <f>IF(Rohdaten!$E$43="","",Rohdaten!$E$43)</f>
        <v>Schneider</v>
      </c>
      <c r="E44" s="69" t="str">
        <f t="array" ref="E44">_xlfn.TEXTJOIN(" / ",TRUE,IF($I44:$AL44="●",$I$4:$AL$4,""))</f>
        <v>Schneider</v>
      </c>
      <c r="F44" s="70" t="s">
        <v>711</v>
      </c>
      <c r="G44" s="71" t="s">
        <v>712</v>
      </c>
      <c r="H44" s="72" t="str">
        <f>IF($F44="automatisch",IF(ISNA(MATCH(Stichtag,RD_Kopf,0)),"automatisch",IF(SUMPRODUCT((RD_Kopf&gt;=IF($G44="monatlich",DATE(YEAR(KWFreitag),MONTH(KWFreitag),1),IF($G44="quartalsweise",DATE(YEAR(KWFreitag),INT((MONTH(KWFreitag)-1)/3)*3+1,1),Stichtag)))*(RD_Kopf&lt;=Stichtag)*ISNUMBER(Rohdaten!$A$43:$LJ$43))&gt;0,"erledigt","automatisch")),IF($F44&lt;&gt;"ja","nicht berichtet",IF(ISNA(MATCH(Stichtag,RD_Kopf,0)),"keine Spalte",IF(SUMPRODUCT((RD_Kopf&gt;=IF($G44="monatlich",DATE(YEAR(KWFreitag),MONTH(KWFreitag),1),IF($G44="quartalsweise",DATE(YEAR(KWFreitag),INT((MONTH(KWFreitag)-1)/3)*3+1,1),Stichtag)))*(RD_Kopf&lt;=Stichtag)*ISNUMBER(Rohdaten!$A$43:$LJ$43))&gt;0,"erledigt","offen"))))</f>
        <v>nicht berichtet</v>
      </c>
      <c r="I44" s="73"/>
      <c r="J44" s="73"/>
      <c r="K44" s="73"/>
      <c r="L44" s="73"/>
      <c r="M44" s="73"/>
      <c r="N44" s="73"/>
      <c r="O44" s="73"/>
      <c r="P44" s="73"/>
      <c r="Q44" s="73"/>
      <c r="R44" s="73"/>
      <c r="S44" s="73"/>
      <c r="T44" s="73"/>
      <c r="U44" s="73"/>
      <c r="V44" s="73"/>
      <c r="W44" s="73"/>
      <c r="X44" s="73"/>
      <c r="Y44" s="73"/>
      <c r="Z44" s="73"/>
      <c r="AA44" s="73"/>
      <c r="AB44" s="73"/>
      <c r="AC44" s="73"/>
      <c r="AD44" s="73"/>
      <c r="AE44" s="73" t="s">
        <v>714</v>
      </c>
      <c r="AF44" s="73"/>
      <c r="AG44" s="73"/>
      <c r="AH44" s="73"/>
      <c r="AI44" s="73"/>
      <c r="AJ44" s="73"/>
      <c r="AK44" s="73"/>
      <c r="AL44" s="73"/>
      <c r="AM44" t="s">
        <v>757</v>
      </c>
      <c r="AN44" t="s">
        <v>128</v>
      </c>
      <c r="AO44" t="s">
        <v>709</v>
      </c>
    </row>
    <row r="45" spans="1:41" ht="18" hidden="1" customHeight="1" outlineLevel="2">
      <c r="A45" s="65">
        <f>ROW(Rohdaten!$A$44)</f>
        <v>44</v>
      </c>
      <c r="B45" s="66">
        <f>IF(Rohdaten!$A$44="","",Rohdaten!$A$44)</f>
        <v/>
      </c>
      <c r="C45" s="67" t="s">
        <v>721</v>
      </c>
      <c r="D45" s="68" t="str">
        <f>IF(Rohdaten!$E$44="","",Rohdaten!$E$44)</f>
        <v>Lürken</v>
      </c>
      <c r="E45" s="69" t="str">
        <f t="array" ref="E45">_xlfn.TEXTJOIN(" / ",TRUE,IF($I45:$AL45="●",$I$4:$AL$4,""))</f>
        <v>Lürken</v>
      </c>
      <c r="F45" s="70" t="s">
        <v>711</v>
      </c>
      <c r="G45" s="71" t="s">
        <v>712</v>
      </c>
      <c r="H45" s="72" t="str">
        <f>IF($F45="automatisch",IF(ISNA(MATCH(Stichtag,RD_Kopf,0)),"automatisch",IF(SUMPRODUCT((RD_Kopf&gt;=IF($G45="monatlich",DATE(YEAR(KWFreitag),MONTH(KWFreitag),1),IF($G45="quartalsweise",DATE(YEAR(KWFreitag),INT((MONTH(KWFreitag)-1)/3)*3+1,1),Stichtag)))*(RD_Kopf&lt;=Stichtag)*ISNUMBER(Rohdaten!$A$44:$LJ$44))&gt;0,"erledigt","automatisch")),IF($F45&lt;&gt;"ja","nicht berichtet",IF(ISNA(MATCH(Stichtag,RD_Kopf,0)),"keine Spalte",IF(SUMPRODUCT((RD_Kopf&gt;=IF($G45="monatlich",DATE(YEAR(KWFreitag),MONTH(KWFreitag),1),IF($G45="quartalsweise",DATE(YEAR(KWFreitag),INT((MONTH(KWFreitag)-1)/3)*3+1,1),Stichtag)))*(RD_Kopf&lt;=Stichtag)*ISNUMBER(Rohdaten!$A$44:$LJ$44))&gt;0,"erledigt","offen"))))</f>
        <v>nicht berichtet</v>
      </c>
      <c r="I45" s="73"/>
      <c r="J45" s="73"/>
      <c r="K45" s="73"/>
      <c r="L45" s="73"/>
      <c r="M45" s="73"/>
      <c r="N45" s="73"/>
      <c r="O45" s="73"/>
      <c r="P45" s="73"/>
      <c r="Q45" s="73"/>
      <c r="R45" s="73"/>
      <c r="S45" s="73"/>
      <c r="T45" s="73"/>
      <c r="U45" s="73"/>
      <c r="V45" s="73"/>
      <c r="W45" s="73"/>
      <c r="X45" s="73"/>
      <c r="Y45" s="73"/>
      <c r="Z45" s="73"/>
      <c r="AA45" s="73" t="s">
        <v>714</v>
      </c>
      <c r="AB45" s="73"/>
      <c r="AC45" s="73"/>
      <c r="AD45" s="73"/>
      <c r="AE45" s="73"/>
      <c r="AF45" s="73"/>
      <c r="AG45" s="73"/>
      <c r="AH45" s="73"/>
      <c r="AI45" s="73"/>
      <c r="AJ45" s="73"/>
      <c r="AK45" s="73"/>
      <c r="AL45" s="73"/>
      <c r="AM45" t="s">
        <v>758</v>
      </c>
      <c r="AN45" t="s">
        <v>128</v>
      </c>
      <c r="AO45" t="s">
        <v>709</v>
      </c>
    </row>
    <row r="46" spans="1:41" ht="18" hidden="1" customHeight="1" outlineLevel="2">
      <c r="A46" s="65">
        <f>ROW(Rohdaten!$A$45)</f>
        <v>45</v>
      </c>
      <c r="B46" s="66">
        <f>IF(Rohdaten!$A$45="","",Rohdaten!$A$45)</f>
        <v/>
      </c>
      <c r="C46" s="67" t="s">
        <v>723</v>
      </c>
      <c r="D46" s="68" t="str">
        <f>IF(Rohdaten!$E$45="","",Rohdaten!$E$45)</f>
        <v>Kraus</v>
      </c>
      <c r="E46" s="69" t="str">
        <f t="array" ref="E46">_xlfn.TEXTJOIN(" / ",TRUE,IF($I46:$AL46="●",$I$4:$AL$4,""))</f>
        <v>Kraus</v>
      </c>
      <c r="F46" s="70" t="s">
        <v>711</v>
      </c>
      <c r="G46" s="71" t="s">
        <v>712</v>
      </c>
      <c r="H46" s="72" t="str">
        <f>IF($F46="automatisch",IF(ISNA(MATCH(Stichtag,RD_Kopf,0)),"automatisch",IF(SUMPRODUCT((RD_Kopf&gt;=IF($G46="monatlich",DATE(YEAR(KWFreitag),MONTH(KWFreitag),1),IF($G46="quartalsweise",DATE(YEAR(KWFreitag),INT((MONTH(KWFreitag)-1)/3)*3+1,1),Stichtag)))*(RD_Kopf&lt;=Stichtag)*ISNUMBER(Rohdaten!$A$45:$LJ$45))&gt;0,"erledigt","automatisch")),IF($F46&lt;&gt;"ja","nicht berichtet",IF(ISNA(MATCH(Stichtag,RD_Kopf,0)),"keine Spalte",IF(SUMPRODUCT((RD_Kopf&gt;=IF($G46="monatlich",DATE(YEAR(KWFreitag),MONTH(KWFreitag),1),IF($G46="quartalsweise",DATE(YEAR(KWFreitag),INT((MONTH(KWFreitag)-1)/3)*3+1,1),Stichtag)))*(RD_Kopf&lt;=Stichtag)*ISNUMBER(Rohdaten!$A$45:$LJ$45))&gt;0,"erledigt","offen"))))</f>
        <v>nicht berichtet</v>
      </c>
      <c r="I46" s="73"/>
      <c r="J46" s="73"/>
      <c r="K46" s="73"/>
      <c r="L46" s="73"/>
      <c r="M46" s="73"/>
      <c r="N46" s="73"/>
      <c r="O46" s="73"/>
      <c r="P46" s="73"/>
      <c r="Q46" s="73"/>
      <c r="R46" s="73"/>
      <c r="S46" s="73"/>
      <c r="T46" s="73"/>
      <c r="U46" s="73"/>
      <c r="V46" s="73"/>
      <c r="W46" s="73"/>
      <c r="X46" s="73"/>
      <c r="Y46" s="73" t="s">
        <v>714</v>
      </c>
      <c r="Z46" s="73"/>
      <c r="AA46" s="73"/>
      <c r="AB46" s="73"/>
      <c r="AC46" s="73"/>
      <c r="AD46" s="73"/>
      <c r="AE46" s="73"/>
      <c r="AF46" s="73"/>
      <c r="AG46" s="73"/>
      <c r="AH46" s="73"/>
      <c r="AI46" s="73"/>
      <c r="AJ46" s="73"/>
      <c r="AK46" s="73"/>
      <c r="AL46" s="73"/>
      <c r="AM46" t="s">
        <v>759</v>
      </c>
      <c r="AN46" t="s">
        <v>128</v>
      </c>
      <c r="AO46" t="s">
        <v>709</v>
      </c>
    </row>
    <row r="47" spans="1:41" ht="18" hidden="1" customHeight="1" outlineLevel="2">
      <c r="A47" s="65">
        <f>ROW(Rohdaten!$A$46)</f>
        <v>46</v>
      </c>
      <c r="B47" s="66">
        <f>IF(Rohdaten!$A$46="","",Rohdaten!$A$46)</f>
        <v/>
      </c>
      <c r="C47" s="67" t="s">
        <v>725</v>
      </c>
      <c r="D47" s="68" t="str">
        <f>IF(Rohdaten!$E$46="","",Rohdaten!$E$46)</f>
        <v>Westrich</v>
      </c>
      <c r="E47" s="69" t="str">
        <f t="array" ref="E47">_xlfn.TEXTJOIN(" / ",TRUE,IF($I47:$AL47="●",$I$4:$AL$4,""))</f>
        <v>Westrich</v>
      </c>
      <c r="F47" s="70" t="s">
        <v>711</v>
      </c>
      <c r="G47" s="71" t="s">
        <v>712</v>
      </c>
      <c r="H47" s="72" t="str">
        <f>IF($F47="automatisch",IF(ISNA(MATCH(Stichtag,RD_Kopf,0)),"automatisch",IF(SUMPRODUCT((RD_Kopf&gt;=IF($G47="monatlich",DATE(YEAR(KWFreitag),MONTH(KWFreitag),1),IF($G47="quartalsweise",DATE(YEAR(KWFreitag),INT((MONTH(KWFreitag)-1)/3)*3+1,1),Stichtag)))*(RD_Kopf&lt;=Stichtag)*ISNUMBER(Rohdaten!$A$46:$LJ$46))&gt;0,"erledigt","automatisch")),IF($F47&lt;&gt;"ja","nicht berichtet",IF(ISNA(MATCH(Stichtag,RD_Kopf,0)),"keine Spalte",IF(SUMPRODUCT((RD_Kopf&gt;=IF($G47="monatlich",DATE(YEAR(KWFreitag),MONTH(KWFreitag),1),IF($G47="quartalsweise",DATE(YEAR(KWFreitag),INT((MONTH(KWFreitag)-1)/3)*3+1,1),Stichtag)))*(RD_Kopf&lt;=Stichtag)*ISNUMBER(Rohdaten!$A$46:$LJ$46))&gt;0,"erledigt","offen"))))</f>
        <v>nicht berichtet</v>
      </c>
      <c r="I47" s="73"/>
      <c r="J47" s="73"/>
      <c r="K47" s="73"/>
      <c r="L47" s="73"/>
      <c r="M47" s="73"/>
      <c r="N47" s="73"/>
      <c r="O47" s="73"/>
      <c r="P47" s="73"/>
      <c r="Q47" s="73"/>
      <c r="R47" s="73"/>
      <c r="S47" s="73"/>
      <c r="T47" s="73"/>
      <c r="U47" s="73"/>
      <c r="V47" s="73"/>
      <c r="W47" s="73"/>
      <c r="X47" s="73"/>
      <c r="Y47" s="73"/>
      <c r="Z47" s="73"/>
      <c r="AA47" s="73"/>
      <c r="AB47" s="73"/>
      <c r="AC47" s="73"/>
      <c r="AD47" s="73"/>
      <c r="AE47" s="73"/>
      <c r="AF47" s="73"/>
      <c r="AG47" s="73" t="s">
        <v>714</v>
      </c>
      <c r="AH47" s="73"/>
      <c r="AI47" s="73"/>
      <c r="AJ47" s="73"/>
      <c r="AK47" s="73"/>
      <c r="AL47" s="73"/>
      <c r="AM47" t="s">
        <v>760</v>
      </c>
      <c r="AN47" t="s">
        <v>128</v>
      </c>
      <c r="AO47" t="s">
        <v>709</v>
      </c>
    </row>
    <row r="48" spans="1:41" ht="22" customHeight="1" collapsed="1">
      <c r="A48" s="60" t="s">
        <v>761</v>
      </c>
      <c r="B48" s="60"/>
      <c r="C48" s="60"/>
      <c r="D48" s="60"/>
      <c r="E48" s="60"/>
      <c r="F48" s="60"/>
      <c r="G48" s="60"/>
      <c r="H48" s="60"/>
      <c r="I48" s="61"/>
      <c r="J48" s="61"/>
      <c r="K48" s="61"/>
      <c r="L48" s="61"/>
      <c r="M48" s="61"/>
      <c r="N48" s="61"/>
      <c r="O48" s="61"/>
      <c r="P48" s="61"/>
      <c r="Q48" s="61"/>
      <c r="R48" s="61"/>
      <c r="S48" s="61"/>
      <c r="T48" s="61"/>
      <c r="U48" s="61"/>
      <c r="V48" s="61"/>
      <c r="W48" s="61"/>
      <c r="X48" s="61"/>
      <c r="Y48" s="61"/>
      <c r="Z48" s="61"/>
      <c r="AA48" s="61"/>
      <c r="AB48" s="61"/>
      <c r="AC48" s="61"/>
      <c r="AD48" s="61"/>
      <c r="AE48" s="61"/>
      <c r="AF48" s="61"/>
      <c r="AG48" s="61"/>
      <c r="AH48" s="61"/>
      <c r="AI48" s="61"/>
      <c r="AJ48" s="61"/>
      <c r="AK48" s="61"/>
      <c r="AL48" s="61"/>
      <c r="AO48" t="s">
        <v>705</v>
      </c>
    </row>
    <row r="49" spans="1:41" ht="18" hidden="1" customHeight="1" outlineLevel="1">
      <c r="A49" s="62"/>
      <c r="B49" s="62" t="s">
        <v>762</v>
      </c>
      <c r="C49" s="63" t="s">
        <v>708</v>
      </c>
      <c r="D49" s="63"/>
      <c r="E49" s="63"/>
      <c r="F49" s="63"/>
      <c r="G49" s="63"/>
      <c r="H49" s="63"/>
      <c r="I49" s="64"/>
      <c r="J49" s="64"/>
      <c r="K49" s="64"/>
      <c r="L49" s="64"/>
      <c r="M49" s="64"/>
      <c r="N49" s="64"/>
      <c r="O49" s="64"/>
      <c r="P49" s="64"/>
      <c r="Q49" s="64"/>
      <c r="R49" s="64"/>
      <c r="S49" s="64"/>
      <c r="T49" s="64"/>
      <c r="U49" s="64"/>
      <c r="V49" s="64"/>
      <c r="W49" s="64"/>
      <c r="X49" s="64"/>
      <c r="Y49" s="64"/>
      <c r="Z49" s="64"/>
      <c r="AA49" s="64"/>
      <c r="AB49" s="64"/>
      <c r="AC49" s="64"/>
      <c r="AD49" s="64"/>
      <c r="AE49" s="64"/>
      <c r="AF49" s="64"/>
      <c r="AG49" s="64"/>
      <c r="AH49" s="64"/>
      <c r="AI49" s="64"/>
      <c r="AJ49" s="64"/>
      <c r="AK49" s="64"/>
      <c r="AL49" s="64"/>
      <c r="AO49" t="s">
        <v>706</v>
      </c>
    </row>
    <row r="50" spans="1:41" ht="18" hidden="1" customHeight="1" outlineLevel="2">
      <c r="A50" s="65">
        <f>ROW(Rohdaten!$A$48)</f>
        <v>48</v>
      </c>
      <c r="B50" s="66">
        <f>IF(Rohdaten!$A$48="","",Rohdaten!$A$48)</f>
        <v/>
      </c>
      <c r="C50" s="67" t="s">
        <v>710</v>
      </c>
      <c r="D50" s="68" t="str">
        <f>IF(Rohdaten!$E$48="","",Rohdaten!$E$48)</f>
        <v>Förster / Kyriakidis</v>
      </c>
      <c r="E50" s="69" t="str">
        <f t="array" ref="E50">_xlfn.TEXTJOIN(" / ",TRUE,IF($I50:$AL50="●",$I$4:$AL$4,""))</f>
        <v>Förster / Kyriakidis</v>
      </c>
      <c r="F50" s="70" t="s">
        <v>711</v>
      </c>
      <c r="G50" s="71" t="s">
        <v>712</v>
      </c>
      <c r="H50" s="72" t="str">
        <f>IF($F50="automatisch",IF(ISNA(MATCH(Stichtag,RD_Kopf,0)),"automatisch",IF(SUMPRODUCT((RD_Kopf&gt;=IF($G50="monatlich",DATE(YEAR(KWFreitag),MONTH(KWFreitag),1),IF($G50="quartalsweise",DATE(YEAR(KWFreitag),INT((MONTH(KWFreitag)-1)/3)*3+1,1),Stichtag)))*(RD_Kopf&lt;=Stichtag)*ISNUMBER(Rohdaten!$A$48:$LJ$48))&gt;0,"erledigt","automatisch")),IF($F50&lt;&gt;"ja","nicht berichtet",IF(ISNA(MATCH(Stichtag,RD_Kopf,0)),"keine Spalte",IF(SUMPRODUCT((RD_Kopf&gt;=IF($G50="monatlich",DATE(YEAR(KWFreitag),MONTH(KWFreitag),1),IF($G50="quartalsweise",DATE(YEAR(KWFreitag),INT((MONTH(KWFreitag)-1)/3)*3+1,1),Stichtag)))*(RD_Kopf&lt;=Stichtag)*ISNUMBER(Rohdaten!$A$48:$LJ$48))&gt;0,"erledigt","offen"))))</f>
        <v>nicht berichtet</v>
      </c>
      <c r="I50" s="73"/>
      <c r="J50" s="73"/>
      <c r="K50" s="73"/>
      <c r="L50" s="73"/>
      <c r="M50" s="73"/>
      <c r="N50" s="73"/>
      <c r="O50" s="73" t="s">
        <v>714</v>
      </c>
      <c r="P50" s="73"/>
      <c r="Q50" s="73"/>
      <c r="R50" s="73"/>
      <c r="S50" s="73"/>
      <c r="T50" s="73"/>
      <c r="U50" s="73"/>
      <c r="V50" s="73"/>
      <c r="W50" s="73"/>
      <c r="X50" s="73"/>
      <c r="Y50" s="73"/>
      <c r="Z50" s="73" t="s">
        <v>714</v>
      </c>
      <c r="AA50" s="73"/>
      <c r="AB50" s="73"/>
      <c r="AC50" s="73"/>
      <c r="AD50" s="73"/>
      <c r="AE50" s="73"/>
      <c r="AF50" s="73"/>
      <c r="AG50" s="73"/>
      <c r="AH50" s="73"/>
      <c r="AI50" s="73"/>
      <c r="AJ50" s="73"/>
      <c r="AK50" s="73"/>
      <c r="AL50" s="73"/>
      <c r="AM50" t="s">
        <v>763</v>
      </c>
      <c r="AN50" t="s">
        <v>762</v>
      </c>
      <c r="AO50" t="s">
        <v>709</v>
      </c>
    </row>
    <row r="51" spans="1:41" ht="18" hidden="1" customHeight="1" outlineLevel="2">
      <c r="A51" s="65">
        <f>ROW(Rohdaten!$A$49)</f>
        <v>49</v>
      </c>
      <c r="B51" s="66">
        <f>IF(Rohdaten!$A$49="","",Rohdaten!$A$49)</f>
        <v/>
      </c>
      <c r="C51" s="67" t="s">
        <v>715</v>
      </c>
      <c r="D51" s="68" t="str">
        <f>IF(Rohdaten!$E$49="","",Rohdaten!$E$49)</f>
        <v>Streich</v>
      </c>
      <c r="E51" s="69" t="str">
        <f t="array" ref="E51">_xlfn.TEXTJOIN(" / ",TRUE,IF($I51:$AL51="●",$I$4:$AL$4,""))</f>
        <v>Streich</v>
      </c>
      <c r="F51" s="70" t="s">
        <v>711</v>
      </c>
      <c r="G51" s="71" t="s">
        <v>712</v>
      </c>
      <c r="H51" s="72" t="str">
        <f>IF($F51="automatisch",IF(ISNA(MATCH(Stichtag,RD_Kopf,0)),"automatisch",IF(SUMPRODUCT((RD_Kopf&gt;=IF($G51="monatlich",DATE(YEAR(KWFreitag),MONTH(KWFreitag),1),IF($G51="quartalsweise",DATE(YEAR(KWFreitag),INT((MONTH(KWFreitag)-1)/3)*3+1,1),Stichtag)))*(RD_Kopf&lt;=Stichtag)*ISNUMBER(Rohdaten!$A$49:$LJ$49))&gt;0,"erledigt","automatisch")),IF($F51&lt;&gt;"ja","nicht berichtet",IF(ISNA(MATCH(Stichtag,RD_Kopf,0)),"keine Spalte",IF(SUMPRODUCT((RD_Kopf&gt;=IF($G51="monatlich",DATE(YEAR(KWFreitag),MONTH(KWFreitag),1),IF($G51="quartalsweise",DATE(YEAR(KWFreitag),INT((MONTH(KWFreitag)-1)/3)*3+1,1),Stichtag)))*(RD_Kopf&lt;=Stichtag)*ISNUMBER(Rohdaten!$A$49:$LJ$49))&gt;0,"erledigt","offen"))))</f>
        <v>nicht berichtet</v>
      </c>
      <c r="I51" s="73"/>
      <c r="J51" s="73"/>
      <c r="K51" s="73"/>
      <c r="L51" s="73"/>
      <c r="M51" s="73"/>
      <c r="N51" s="73"/>
      <c r="O51" s="73"/>
      <c r="P51" s="73"/>
      <c r="Q51" s="73"/>
      <c r="R51" s="73"/>
      <c r="S51" s="73"/>
      <c r="T51" s="73"/>
      <c r="U51" s="73"/>
      <c r="V51" s="73"/>
      <c r="W51" s="73"/>
      <c r="X51" s="73"/>
      <c r="Y51" s="73"/>
      <c r="Z51" s="73"/>
      <c r="AA51" s="73"/>
      <c r="AB51" s="73"/>
      <c r="AC51" s="73"/>
      <c r="AD51" s="73"/>
      <c r="AE51" s="73"/>
      <c r="AF51" s="73" t="s">
        <v>714</v>
      </c>
      <c r="AG51" s="73"/>
      <c r="AH51" s="73"/>
      <c r="AI51" s="73"/>
      <c r="AJ51" s="73"/>
      <c r="AK51" s="73"/>
      <c r="AL51" s="73"/>
      <c r="AM51" t="s">
        <v>764</v>
      </c>
      <c r="AN51" t="s">
        <v>762</v>
      </c>
      <c r="AO51" t="s">
        <v>709</v>
      </c>
    </row>
    <row r="52" spans="1:41" ht="18" hidden="1" customHeight="1" outlineLevel="2">
      <c r="A52" s="65">
        <f>ROW(Rohdaten!$A$50)</f>
        <v>50</v>
      </c>
      <c r="B52" s="66">
        <f>IF(Rohdaten!$A$50="","",Rohdaten!$A$50)</f>
        <v/>
      </c>
      <c r="C52" s="67" t="s">
        <v>717</v>
      </c>
      <c r="D52" s="68" t="str">
        <f>IF(Rohdaten!$E$50="","",Rohdaten!$E$50)</f>
        <v>Gress</v>
      </c>
      <c r="E52" s="69" t="str">
        <f t="array" ref="E52">_xlfn.TEXTJOIN(" / ",TRUE,IF($I52:$AL52="●",$I$4:$AL$4,""))</f>
        <v>Gress</v>
      </c>
      <c r="F52" s="70" t="s">
        <v>711</v>
      </c>
      <c r="G52" s="71" t="s">
        <v>712</v>
      </c>
      <c r="H52" s="72" t="str">
        <f>IF($F52="automatisch",IF(ISNA(MATCH(Stichtag,RD_Kopf,0)),"automatisch",IF(SUMPRODUCT((RD_Kopf&gt;=IF($G52="monatlich",DATE(YEAR(KWFreitag),MONTH(KWFreitag),1),IF($G52="quartalsweise",DATE(YEAR(KWFreitag),INT((MONTH(KWFreitag)-1)/3)*3+1,1),Stichtag)))*(RD_Kopf&lt;=Stichtag)*ISNUMBER(Rohdaten!$A$50:$LJ$50))&gt;0,"erledigt","automatisch")),IF($F52&lt;&gt;"ja","nicht berichtet",IF(ISNA(MATCH(Stichtag,RD_Kopf,0)),"keine Spalte",IF(SUMPRODUCT((RD_Kopf&gt;=IF($G52="monatlich",DATE(YEAR(KWFreitag),MONTH(KWFreitag),1),IF($G52="quartalsweise",DATE(YEAR(KWFreitag),INT((MONTH(KWFreitag)-1)/3)*3+1,1),Stichtag)))*(RD_Kopf&lt;=Stichtag)*ISNUMBER(Rohdaten!$A$50:$LJ$50))&gt;0,"erledigt","offen"))))</f>
        <v>nicht berichtet</v>
      </c>
      <c r="I52" s="73"/>
      <c r="J52" s="73"/>
      <c r="K52" s="73"/>
      <c r="L52" s="73"/>
      <c r="M52" s="73"/>
      <c r="N52" s="73"/>
      <c r="O52" s="73"/>
      <c r="P52" s="73"/>
      <c r="Q52" s="73"/>
      <c r="R52" s="73"/>
      <c r="S52" s="73"/>
      <c r="T52" s="73" t="s">
        <v>714</v>
      </c>
      <c r="U52" s="73"/>
      <c r="V52" s="73"/>
      <c r="W52" s="73"/>
      <c r="X52" s="73"/>
      <c r="Y52" s="73"/>
      <c r="Z52" s="73"/>
      <c r="AA52" s="73"/>
      <c r="AB52" s="73"/>
      <c r="AC52" s="73"/>
      <c r="AD52" s="73"/>
      <c r="AE52" s="73"/>
      <c r="AF52" s="73"/>
      <c r="AG52" s="73"/>
      <c r="AH52" s="73"/>
      <c r="AI52" s="73"/>
      <c r="AJ52" s="73"/>
      <c r="AK52" s="73"/>
      <c r="AL52" s="73"/>
      <c r="AM52" t="s">
        <v>765</v>
      </c>
      <c r="AN52" t="s">
        <v>762</v>
      </c>
      <c r="AO52" t="s">
        <v>709</v>
      </c>
    </row>
    <row r="53" spans="1:41" ht="18" hidden="1" customHeight="1" outlineLevel="2">
      <c r="A53" s="65">
        <f>ROW(Rohdaten!$A$51)</f>
        <v>51</v>
      </c>
      <c r="B53" s="66">
        <f>IF(Rohdaten!$A$51="","",Rohdaten!$A$51)</f>
        <v/>
      </c>
      <c r="C53" s="67" t="s">
        <v>719</v>
      </c>
      <c r="D53" s="68" t="str">
        <f>IF(Rohdaten!$E$51="","",Rohdaten!$E$51)</f>
        <v>Schneider</v>
      </c>
      <c r="E53" s="69" t="str">
        <f t="array" ref="E53">_xlfn.TEXTJOIN(" / ",TRUE,IF($I53:$AL53="●",$I$4:$AL$4,""))</f>
        <v>Schneider</v>
      </c>
      <c r="F53" s="70" t="s">
        <v>711</v>
      </c>
      <c r="G53" s="71" t="s">
        <v>712</v>
      </c>
      <c r="H53" s="72" t="str">
        <f>IF($F53="automatisch",IF(ISNA(MATCH(Stichtag,RD_Kopf,0)),"automatisch",IF(SUMPRODUCT((RD_Kopf&gt;=IF($G53="monatlich",DATE(YEAR(KWFreitag),MONTH(KWFreitag),1),IF($G53="quartalsweise",DATE(YEAR(KWFreitag),INT((MONTH(KWFreitag)-1)/3)*3+1,1),Stichtag)))*(RD_Kopf&lt;=Stichtag)*ISNUMBER(Rohdaten!$A$51:$LJ$51))&gt;0,"erledigt","automatisch")),IF($F53&lt;&gt;"ja","nicht berichtet",IF(ISNA(MATCH(Stichtag,RD_Kopf,0)),"keine Spalte",IF(SUMPRODUCT((RD_Kopf&gt;=IF($G53="monatlich",DATE(YEAR(KWFreitag),MONTH(KWFreitag),1),IF($G53="quartalsweise",DATE(YEAR(KWFreitag),INT((MONTH(KWFreitag)-1)/3)*3+1,1),Stichtag)))*(RD_Kopf&lt;=Stichtag)*ISNUMBER(Rohdaten!$A$51:$LJ$51))&gt;0,"erledigt","offen"))))</f>
        <v>nicht berichtet</v>
      </c>
      <c r="I53" s="73"/>
      <c r="J53" s="73"/>
      <c r="K53" s="73"/>
      <c r="L53" s="73"/>
      <c r="M53" s="73"/>
      <c r="N53" s="73"/>
      <c r="O53" s="73"/>
      <c r="P53" s="73"/>
      <c r="Q53" s="73"/>
      <c r="R53" s="73"/>
      <c r="S53" s="73"/>
      <c r="T53" s="73"/>
      <c r="U53" s="73"/>
      <c r="V53" s="73"/>
      <c r="W53" s="73"/>
      <c r="X53" s="73"/>
      <c r="Y53" s="73"/>
      <c r="Z53" s="73"/>
      <c r="AA53" s="73"/>
      <c r="AB53" s="73"/>
      <c r="AC53" s="73"/>
      <c r="AD53" s="73"/>
      <c r="AE53" s="73" t="s">
        <v>714</v>
      </c>
      <c r="AF53" s="73"/>
      <c r="AG53" s="73"/>
      <c r="AH53" s="73"/>
      <c r="AI53" s="73"/>
      <c r="AJ53" s="73"/>
      <c r="AK53" s="73"/>
      <c r="AL53" s="73"/>
      <c r="AM53" t="s">
        <v>766</v>
      </c>
      <c r="AN53" t="s">
        <v>762</v>
      </c>
      <c r="AO53" t="s">
        <v>709</v>
      </c>
    </row>
    <row r="54" spans="1:41" ht="18" hidden="1" customHeight="1" outlineLevel="2">
      <c r="A54" s="65">
        <f>ROW(Rohdaten!$A$52)</f>
        <v>52</v>
      </c>
      <c r="B54" s="66">
        <f>IF(Rohdaten!$A$52="","",Rohdaten!$A$52)</f>
        <v/>
      </c>
      <c r="C54" s="67" t="s">
        <v>721</v>
      </c>
      <c r="D54" s="68" t="str">
        <f>IF(Rohdaten!$E$52="","",Rohdaten!$E$52)</f>
        <v>Lürken</v>
      </c>
      <c r="E54" s="69" t="str">
        <f t="array" ref="E54">_xlfn.TEXTJOIN(" / ",TRUE,IF($I54:$AL54="●",$I$4:$AL$4,""))</f>
        <v>Lürken</v>
      </c>
      <c r="F54" s="70" t="s">
        <v>711</v>
      </c>
      <c r="G54" s="71" t="s">
        <v>712</v>
      </c>
      <c r="H54" s="72" t="str">
        <f>IF($F54="automatisch",IF(ISNA(MATCH(Stichtag,RD_Kopf,0)),"automatisch",IF(SUMPRODUCT((RD_Kopf&gt;=IF($G54="monatlich",DATE(YEAR(KWFreitag),MONTH(KWFreitag),1),IF($G54="quartalsweise",DATE(YEAR(KWFreitag),INT((MONTH(KWFreitag)-1)/3)*3+1,1),Stichtag)))*(RD_Kopf&lt;=Stichtag)*ISNUMBER(Rohdaten!$A$52:$LJ$52))&gt;0,"erledigt","automatisch")),IF($F54&lt;&gt;"ja","nicht berichtet",IF(ISNA(MATCH(Stichtag,RD_Kopf,0)),"keine Spalte",IF(SUMPRODUCT((RD_Kopf&gt;=IF($G54="monatlich",DATE(YEAR(KWFreitag),MONTH(KWFreitag),1),IF($G54="quartalsweise",DATE(YEAR(KWFreitag),INT((MONTH(KWFreitag)-1)/3)*3+1,1),Stichtag)))*(RD_Kopf&lt;=Stichtag)*ISNUMBER(Rohdaten!$A$52:$LJ$52))&gt;0,"erledigt","offen"))))</f>
        <v>nicht berichtet</v>
      </c>
      <c r="I54" s="73"/>
      <c r="J54" s="73"/>
      <c r="K54" s="73"/>
      <c r="L54" s="73"/>
      <c r="M54" s="73"/>
      <c r="N54" s="73"/>
      <c r="O54" s="73"/>
      <c r="P54" s="73"/>
      <c r="Q54" s="73"/>
      <c r="R54" s="73"/>
      <c r="S54" s="73"/>
      <c r="T54" s="73"/>
      <c r="U54" s="73"/>
      <c r="V54" s="73"/>
      <c r="W54" s="73"/>
      <c r="X54" s="73"/>
      <c r="Y54" s="73"/>
      <c r="Z54" s="73"/>
      <c r="AA54" s="73" t="s">
        <v>714</v>
      </c>
      <c r="AB54" s="73"/>
      <c r="AC54" s="73"/>
      <c r="AD54" s="73"/>
      <c r="AE54" s="73"/>
      <c r="AF54" s="73"/>
      <c r="AG54" s="73"/>
      <c r="AH54" s="73"/>
      <c r="AI54" s="73"/>
      <c r="AJ54" s="73"/>
      <c r="AK54" s="73"/>
      <c r="AL54" s="73"/>
      <c r="AM54" t="s">
        <v>767</v>
      </c>
      <c r="AN54" t="s">
        <v>762</v>
      </c>
      <c r="AO54" t="s">
        <v>709</v>
      </c>
    </row>
    <row r="55" spans="1:41" ht="18" hidden="1" customHeight="1" outlineLevel="2">
      <c r="A55" s="65">
        <f>ROW(Rohdaten!$A$53)</f>
        <v>53</v>
      </c>
      <c r="B55" s="66">
        <f>IF(Rohdaten!$A$53="","",Rohdaten!$A$53)</f>
        <v/>
      </c>
      <c r="C55" s="67" t="s">
        <v>723</v>
      </c>
      <c r="D55" s="68" t="str">
        <f>IF(Rohdaten!$E$53="","",Rohdaten!$E$53)</f>
        <v>Kraus</v>
      </c>
      <c r="E55" s="69" t="str">
        <f t="array" ref="E55">_xlfn.TEXTJOIN(" / ",TRUE,IF($I55:$AL55="●",$I$4:$AL$4,""))</f>
        <v>Kraus</v>
      </c>
      <c r="F55" s="70" t="s">
        <v>711</v>
      </c>
      <c r="G55" s="71" t="s">
        <v>712</v>
      </c>
      <c r="H55" s="72" t="str">
        <f>IF($F55="automatisch",IF(ISNA(MATCH(Stichtag,RD_Kopf,0)),"automatisch",IF(SUMPRODUCT((RD_Kopf&gt;=IF($G55="monatlich",DATE(YEAR(KWFreitag),MONTH(KWFreitag),1),IF($G55="quartalsweise",DATE(YEAR(KWFreitag),INT((MONTH(KWFreitag)-1)/3)*3+1,1),Stichtag)))*(RD_Kopf&lt;=Stichtag)*ISNUMBER(Rohdaten!$A$53:$LJ$53))&gt;0,"erledigt","automatisch")),IF($F55&lt;&gt;"ja","nicht berichtet",IF(ISNA(MATCH(Stichtag,RD_Kopf,0)),"keine Spalte",IF(SUMPRODUCT((RD_Kopf&gt;=IF($G55="monatlich",DATE(YEAR(KWFreitag),MONTH(KWFreitag),1),IF($G55="quartalsweise",DATE(YEAR(KWFreitag),INT((MONTH(KWFreitag)-1)/3)*3+1,1),Stichtag)))*(RD_Kopf&lt;=Stichtag)*ISNUMBER(Rohdaten!$A$53:$LJ$53))&gt;0,"erledigt","offen"))))</f>
        <v>nicht berichtet</v>
      </c>
      <c r="I55" s="73"/>
      <c r="J55" s="73"/>
      <c r="K55" s="73"/>
      <c r="L55" s="73"/>
      <c r="M55" s="73"/>
      <c r="N55" s="73"/>
      <c r="O55" s="73"/>
      <c r="P55" s="73"/>
      <c r="Q55" s="73"/>
      <c r="R55" s="73"/>
      <c r="S55" s="73"/>
      <c r="T55" s="73"/>
      <c r="U55" s="73"/>
      <c r="V55" s="73"/>
      <c r="W55" s="73"/>
      <c r="X55" s="73"/>
      <c r="Y55" s="73" t="s">
        <v>714</v>
      </c>
      <c r="Z55" s="73"/>
      <c r="AA55" s="73"/>
      <c r="AB55" s="73"/>
      <c r="AC55" s="73"/>
      <c r="AD55" s="73"/>
      <c r="AE55" s="73"/>
      <c r="AF55" s="73"/>
      <c r="AG55" s="73"/>
      <c r="AH55" s="73"/>
      <c r="AI55" s="73"/>
      <c r="AJ55" s="73"/>
      <c r="AK55" s="73"/>
      <c r="AL55" s="73"/>
      <c r="AM55" t="s">
        <v>768</v>
      </c>
      <c r="AN55" t="s">
        <v>762</v>
      </c>
      <c r="AO55" t="s">
        <v>709</v>
      </c>
    </row>
    <row r="56" spans="1:41" ht="18" hidden="1" customHeight="1" outlineLevel="2">
      <c r="A56" s="65">
        <f>ROW(Rohdaten!$A$54)</f>
        <v>54</v>
      </c>
      <c r="B56" s="66">
        <f>IF(Rohdaten!$A$54="","",Rohdaten!$A$54)</f>
        <v/>
      </c>
      <c r="C56" s="67" t="s">
        <v>725</v>
      </c>
      <c r="D56" s="68" t="str">
        <f>IF(Rohdaten!$E$54="","",Rohdaten!$E$54)</f>
        <v>Westrich</v>
      </c>
      <c r="E56" s="69" t="str">
        <f t="array" ref="E56">_xlfn.TEXTJOIN(" / ",TRUE,IF($I56:$AL56="●",$I$4:$AL$4,""))</f>
        <v>Westrich</v>
      </c>
      <c r="F56" s="70" t="s">
        <v>711</v>
      </c>
      <c r="G56" s="71" t="s">
        <v>712</v>
      </c>
      <c r="H56" s="72" t="str">
        <f>IF($F56="automatisch",IF(ISNA(MATCH(Stichtag,RD_Kopf,0)),"automatisch",IF(SUMPRODUCT((RD_Kopf&gt;=IF($G56="monatlich",DATE(YEAR(KWFreitag),MONTH(KWFreitag),1),IF($G56="quartalsweise",DATE(YEAR(KWFreitag),INT((MONTH(KWFreitag)-1)/3)*3+1,1),Stichtag)))*(RD_Kopf&lt;=Stichtag)*ISNUMBER(Rohdaten!$A$54:$LJ$54))&gt;0,"erledigt","automatisch")),IF($F56&lt;&gt;"ja","nicht berichtet",IF(ISNA(MATCH(Stichtag,RD_Kopf,0)),"keine Spalte",IF(SUMPRODUCT((RD_Kopf&gt;=IF($G56="monatlich",DATE(YEAR(KWFreitag),MONTH(KWFreitag),1),IF($G56="quartalsweise",DATE(YEAR(KWFreitag),INT((MONTH(KWFreitag)-1)/3)*3+1,1),Stichtag)))*(RD_Kopf&lt;=Stichtag)*ISNUMBER(Rohdaten!$A$54:$LJ$54))&gt;0,"erledigt","offen"))))</f>
        <v>nicht berichtet</v>
      </c>
      <c r="I56" s="73"/>
      <c r="J56" s="73"/>
      <c r="K56" s="73"/>
      <c r="L56" s="73"/>
      <c r="M56" s="73"/>
      <c r="N56" s="73"/>
      <c r="O56" s="73"/>
      <c r="P56" s="73"/>
      <c r="Q56" s="73"/>
      <c r="R56" s="73"/>
      <c r="S56" s="73"/>
      <c r="T56" s="73"/>
      <c r="U56" s="73"/>
      <c r="V56" s="73"/>
      <c r="W56" s="73"/>
      <c r="X56" s="73"/>
      <c r="Y56" s="73"/>
      <c r="Z56" s="73"/>
      <c r="AA56" s="73"/>
      <c r="AB56" s="73"/>
      <c r="AC56" s="73"/>
      <c r="AD56" s="73"/>
      <c r="AE56" s="73"/>
      <c r="AF56" s="73"/>
      <c r="AG56" s="73" t="s">
        <v>714</v>
      </c>
      <c r="AH56" s="73"/>
      <c r="AI56" s="73"/>
      <c r="AJ56" s="73"/>
      <c r="AK56" s="73"/>
      <c r="AL56" s="73"/>
      <c r="AM56" t="s">
        <v>769</v>
      </c>
      <c r="AN56" t="s">
        <v>762</v>
      </c>
      <c r="AO56" t="s">
        <v>709</v>
      </c>
    </row>
    <row r="57" spans="1:41" ht="18" hidden="1" customHeight="1" outlineLevel="1">
      <c r="A57" s="62"/>
      <c r="B57" s="62" t="s">
        <v>770</v>
      </c>
      <c r="C57" s="63" t="s">
        <v>728</v>
      </c>
      <c r="D57" s="63"/>
      <c r="E57" s="63"/>
      <c r="F57" s="63"/>
      <c r="G57" s="63"/>
      <c r="H57" s="63"/>
      <c r="I57" s="64"/>
      <c r="J57" s="64"/>
      <c r="K57" s="64"/>
      <c r="L57" s="64"/>
      <c r="M57" s="64"/>
      <c r="N57" s="64"/>
      <c r="O57" s="64"/>
      <c r="P57" s="64"/>
      <c r="Q57" s="64"/>
      <c r="R57" s="64"/>
      <c r="S57" s="64"/>
      <c r="T57" s="64"/>
      <c r="U57" s="64"/>
      <c r="V57" s="64"/>
      <c r="W57" s="64"/>
      <c r="X57" s="64"/>
      <c r="Y57" s="64"/>
      <c r="Z57" s="64"/>
      <c r="AA57" s="64"/>
      <c r="AB57" s="64"/>
      <c r="AC57" s="64"/>
      <c r="AD57" s="64"/>
      <c r="AE57" s="64"/>
      <c r="AF57" s="64"/>
      <c r="AG57" s="64"/>
      <c r="AH57" s="64"/>
      <c r="AI57" s="64"/>
      <c r="AJ57" s="64"/>
      <c r="AK57" s="64"/>
      <c r="AL57" s="64"/>
      <c r="AO57" t="s">
        <v>706</v>
      </c>
    </row>
    <row r="58" spans="1:41" ht="18" hidden="1" customHeight="1" outlineLevel="2">
      <c r="A58" s="65">
        <f>ROW(Rohdaten!$A$56)</f>
        <v>56</v>
      </c>
      <c r="B58" s="66">
        <f>IF(Rohdaten!$A$56="","",Rohdaten!$A$56)</f>
        <v/>
      </c>
      <c r="C58" s="67" t="s">
        <v>710</v>
      </c>
      <c r="D58" s="68" t="str">
        <f>IF(Rohdaten!$E$56="","",Rohdaten!$E$56)</f>
        <v>Förster / Greß</v>
      </c>
      <c r="E58" s="69" t="str">
        <f t="array" ref="E58">_xlfn.TEXTJOIN(" / ",TRUE,IF($I58:$AL58="●",$I$4:$AL$4,""))</f>
        <v>Förster / Greß</v>
      </c>
      <c r="F58" s="70" t="s">
        <v>711</v>
      </c>
      <c r="G58" s="71" t="s">
        <v>712</v>
      </c>
      <c r="H58" s="72" t="str">
        <f>IF($F58="automatisch",IF(ISNA(MATCH(Stichtag,RD_Kopf,0)),"automatisch",IF(SUMPRODUCT((RD_Kopf&gt;=IF($G58="monatlich",DATE(YEAR(KWFreitag),MONTH(KWFreitag),1),IF($G58="quartalsweise",DATE(YEAR(KWFreitag),INT((MONTH(KWFreitag)-1)/3)*3+1,1),Stichtag)))*(RD_Kopf&lt;=Stichtag)*ISNUMBER(Rohdaten!$A$56:$LJ$56))&gt;0,"erledigt","automatisch")),IF($F58&lt;&gt;"ja","nicht berichtet",IF(ISNA(MATCH(Stichtag,RD_Kopf,0)),"keine Spalte",IF(SUMPRODUCT((RD_Kopf&gt;=IF($G58="monatlich",DATE(YEAR(KWFreitag),MONTH(KWFreitag),1),IF($G58="quartalsweise",DATE(YEAR(KWFreitag),INT((MONTH(KWFreitag)-1)/3)*3+1,1),Stichtag)))*(RD_Kopf&lt;=Stichtag)*ISNUMBER(Rohdaten!$A$56:$LJ$56))&gt;0,"erledigt","offen"))))</f>
        <v>nicht berichtet</v>
      </c>
      <c r="I58" s="73"/>
      <c r="J58" s="73"/>
      <c r="K58" s="73"/>
      <c r="L58" s="73"/>
      <c r="M58" s="73"/>
      <c r="N58" s="73"/>
      <c r="O58" s="73" t="s">
        <v>714</v>
      </c>
      <c r="P58" s="73"/>
      <c r="Q58" s="73"/>
      <c r="R58" s="73"/>
      <c r="S58" s="73" t="s">
        <v>714</v>
      </c>
      <c r="T58" s="73"/>
      <c r="U58" s="73"/>
      <c r="V58" s="73"/>
      <c r="W58" s="73"/>
      <c r="X58" s="73"/>
      <c r="Y58" s="73"/>
      <c r="Z58" s="73"/>
      <c r="AA58" s="73"/>
      <c r="AB58" s="73"/>
      <c r="AC58" s="73"/>
      <c r="AD58" s="73"/>
      <c r="AE58" s="73"/>
      <c r="AF58" s="73"/>
      <c r="AG58" s="73"/>
      <c r="AH58" s="73"/>
      <c r="AI58" s="73"/>
      <c r="AJ58" s="73"/>
      <c r="AK58" s="73"/>
      <c r="AL58" s="73"/>
      <c r="AM58" t="s">
        <v>771</v>
      </c>
      <c r="AN58" t="s">
        <v>770</v>
      </c>
      <c r="AO58" t="s">
        <v>709</v>
      </c>
    </row>
    <row r="59" spans="1:41" ht="18" hidden="1" customHeight="1" outlineLevel="2">
      <c r="A59" s="65">
        <f>ROW(Rohdaten!$A$57)</f>
        <v>57</v>
      </c>
      <c r="B59" s="66">
        <f>IF(Rohdaten!$A$57="","",Rohdaten!$A$57)</f>
        <v/>
      </c>
      <c r="C59" s="67" t="s">
        <v>715</v>
      </c>
      <c r="D59" s="68" t="str">
        <f>IF(Rohdaten!$E$57="","",Rohdaten!$E$57)</f>
        <v>Streich</v>
      </c>
      <c r="E59" s="69" t="str">
        <f t="array" ref="E59">_xlfn.TEXTJOIN(" / ",TRUE,IF($I59:$AL59="●",$I$4:$AL$4,""))</f>
        <v>Streich</v>
      </c>
      <c r="F59" s="70" t="s">
        <v>711</v>
      </c>
      <c r="G59" s="71" t="s">
        <v>712</v>
      </c>
      <c r="H59" s="72" t="str">
        <f>IF($F59="automatisch",IF(ISNA(MATCH(Stichtag,RD_Kopf,0)),"automatisch",IF(SUMPRODUCT((RD_Kopf&gt;=IF($G59="monatlich",DATE(YEAR(KWFreitag),MONTH(KWFreitag),1),IF($G59="quartalsweise",DATE(YEAR(KWFreitag),INT((MONTH(KWFreitag)-1)/3)*3+1,1),Stichtag)))*(RD_Kopf&lt;=Stichtag)*ISNUMBER(Rohdaten!$A$57:$LJ$57))&gt;0,"erledigt","automatisch")),IF($F59&lt;&gt;"ja","nicht berichtet",IF(ISNA(MATCH(Stichtag,RD_Kopf,0)),"keine Spalte",IF(SUMPRODUCT((RD_Kopf&gt;=IF($G59="monatlich",DATE(YEAR(KWFreitag),MONTH(KWFreitag),1),IF($G59="quartalsweise",DATE(YEAR(KWFreitag),INT((MONTH(KWFreitag)-1)/3)*3+1,1),Stichtag)))*(RD_Kopf&lt;=Stichtag)*ISNUMBER(Rohdaten!$A$57:$LJ$57))&gt;0,"erledigt","offen"))))</f>
        <v>nicht berichtet</v>
      </c>
      <c r="I59" s="73"/>
      <c r="J59" s="73"/>
      <c r="K59" s="73"/>
      <c r="L59" s="73"/>
      <c r="M59" s="73"/>
      <c r="N59" s="73"/>
      <c r="O59" s="73"/>
      <c r="P59" s="73"/>
      <c r="Q59" s="73"/>
      <c r="R59" s="73"/>
      <c r="S59" s="73"/>
      <c r="T59" s="73"/>
      <c r="U59" s="73"/>
      <c r="V59" s="73"/>
      <c r="W59" s="73"/>
      <c r="X59" s="73"/>
      <c r="Y59" s="73"/>
      <c r="Z59" s="73"/>
      <c r="AA59" s="73"/>
      <c r="AB59" s="73"/>
      <c r="AC59" s="73"/>
      <c r="AD59" s="73"/>
      <c r="AE59" s="73"/>
      <c r="AF59" s="73" t="s">
        <v>714</v>
      </c>
      <c r="AG59" s="73"/>
      <c r="AH59" s="73"/>
      <c r="AI59" s="73"/>
      <c r="AJ59" s="73"/>
      <c r="AK59" s="73"/>
      <c r="AL59" s="73"/>
      <c r="AM59" t="s">
        <v>772</v>
      </c>
      <c r="AN59" t="s">
        <v>770</v>
      </c>
      <c r="AO59" t="s">
        <v>709</v>
      </c>
    </row>
    <row r="60" spans="1:41" ht="18" hidden="1" customHeight="1" outlineLevel="2">
      <c r="A60" s="65">
        <f>ROW(Rohdaten!$A$58)</f>
        <v>58</v>
      </c>
      <c r="B60" s="66">
        <f>IF(Rohdaten!$A$58="","",Rohdaten!$A$58)</f>
        <v/>
      </c>
      <c r="C60" s="67" t="s">
        <v>717</v>
      </c>
      <c r="D60" s="68" t="str">
        <f>IF(Rohdaten!$E$58="","",Rohdaten!$E$58)</f>
        <v>Gress</v>
      </c>
      <c r="E60" s="69" t="str">
        <f t="array" ref="E60">_xlfn.TEXTJOIN(" / ",TRUE,IF($I60:$AL60="●",$I$4:$AL$4,""))</f>
        <v>Gress</v>
      </c>
      <c r="F60" s="70" t="s">
        <v>711</v>
      </c>
      <c r="G60" s="71" t="s">
        <v>712</v>
      </c>
      <c r="H60" s="72" t="str">
        <f>IF($F60="automatisch",IF(ISNA(MATCH(Stichtag,RD_Kopf,0)),"automatisch",IF(SUMPRODUCT((RD_Kopf&gt;=IF($G60="monatlich",DATE(YEAR(KWFreitag),MONTH(KWFreitag),1),IF($G60="quartalsweise",DATE(YEAR(KWFreitag),INT((MONTH(KWFreitag)-1)/3)*3+1,1),Stichtag)))*(RD_Kopf&lt;=Stichtag)*ISNUMBER(Rohdaten!$A$58:$LJ$58))&gt;0,"erledigt","automatisch")),IF($F60&lt;&gt;"ja","nicht berichtet",IF(ISNA(MATCH(Stichtag,RD_Kopf,0)),"keine Spalte",IF(SUMPRODUCT((RD_Kopf&gt;=IF($G60="monatlich",DATE(YEAR(KWFreitag),MONTH(KWFreitag),1),IF($G60="quartalsweise",DATE(YEAR(KWFreitag),INT((MONTH(KWFreitag)-1)/3)*3+1,1),Stichtag)))*(RD_Kopf&lt;=Stichtag)*ISNUMBER(Rohdaten!$A$58:$LJ$58))&gt;0,"erledigt","offen"))))</f>
        <v>nicht berichtet</v>
      </c>
      <c r="I60" s="73"/>
      <c r="J60" s="73"/>
      <c r="K60" s="73"/>
      <c r="L60" s="73"/>
      <c r="M60" s="73"/>
      <c r="N60" s="73"/>
      <c r="O60" s="73"/>
      <c r="P60" s="73"/>
      <c r="Q60" s="73"/>
      <c r="R60" s="73"/>
      <c r="S60" s="73"/>
      <c r="T60" s="73" t="s">
        <v>714</v>
      </c>
      <c r="U60" s="73"/>
      <c r="V60" s="73"/>
      <c r="W60" s="73"/>
      <c r="X60" s="73"/>
      <c r="Y60" s="73"/>
      <c r="Z60" s="73"/>
      <c r="AA60" s="73"/>
      <c r="AB60" s="73"/>
      <c r="AC60" s="73"/>
      <c r="AD60" s="73"/>
      <c r="AE60" s="73"/>
      <c r="AF60" s="73"/>
      <c r="AG60" s="73"/>
      <c r="AH60" s="73"/>
      <c r="AI60" s="73"/>
      <c r="AJ60" s="73"/>
      <c r="AK60" s="73"/>
      <c r="AL60" s="73"/>
      <c r="AM60" t="s">
        <v>773</v>
      </c>
      <c r="AN60" t="s">
        <v>770</v>
      </c>
      <c r="AO60" t="s">
        <v>709</v>
      </c>
    </row>
    <row r="61" spans="1:41" ht="18" hidden="1" customHeight="1" outlineLevel="2">
      <c r="A61" s="65">
        <f>ROW(Rohdaten!$A$59)</f>
        <v>59</v>
      </c>
      <c r="B61" s="66">
        <f>IF(Rohdaten!$A$59="","",Rohdaten!$A$59)</f>
        <v/>
      </c>
      <c r="C61" s="67" t="s">
        <v>719</v>
      </c>
      <c r="D61" s="68" t="str">
        <f>IF(Rohdaten!$E$59="","",Rohdaten!$E$59)</f>
        <v>Schneider</v>
      </c>
      <c r="E61" s="69" t="str">
        <f t="array" ref="E61">_xlfn.TEXTJOIN(" / ",TRUE,IF($I61:$AL61="●",$I$4:$AL$4,""))</f>
        <v>Schneider</v>
      </c>
      <c r="F61" s="70" t="s">
        <v>711</v>
      </c>
      <c r="G61" s="71" t="s">
        <v>712</v>
      </c>
      <c r="H61" s="72" t="str">
        <f>IF($F61="automatisch",IF(ISNA(MATCH(Stichtag,RD_Kopf,0)),"automatisch",IF(SUMPRODUCT((RD_Kopf&gt;=IF($G61="monatlich",DATE(YEAR(KWFreitag),MONTH(KWFreitag),1),IF($G61="quartalsweise",DATE(YEAR(KWFreitag),INT((MONTH(KWFreitag)-1)/3)*3+1,1),Stichtag)))*(RD_Kopf&lt;=Stichtag)*ISNUMBER(Rohdaten!$A$59:$LJ$59))&gt;0,"erledigt","automatisch")),IF($F61&lt;&gt;"ja","nicht berichtet",IF(ISNA(MATCH(Stichtag,RD_Kopf,0)),"keine Spalte",IF(SUMPRODUCT((RD_Kopf&gt;=IF($G61="monatlich",DATE(YEAR(KWFreitag),MONTH(KWFreitag),1),IF($G61="quartalsweise",DATE(YEAR(KWFreitag),INT((MONTH(KWFreitag)-1)/3)*3+1,1),Stichtag)))*(RD_Kopf&lt;=Stichtag)*ISNUMBER(Rohdaten!$A$59:$LJ$59))&gt;0,"erledigt","offen"))))</f>
        <v>nicht berichtet</v>
      </c>
      <c r="I61" s="73"/>
      <c r="J61" s="73"/>
      <c r="K61" s="73"/>
      <c r="L61" s="73"/>
      <c r="M61" s="73"/>
      <c r="N61" s="73"/>
      <c r="O61" s="73"/>
      <c r="P61" s="73"/>
      <c r="Q61" s="73"/>
      <c r="R61" s="73"/>
      <c r="S61" s="73"/>
      <c r="T61" s="73"/>
      <c r="U61" s="73"/>
      <c r="V61" s="73"/>
      <c r="W61" s="73"/>
      <c r="X61" s="73"/>
      <c r="Y61" s="73"/>
      <c r="Z61" s="73"/>
      <c r="AA61" s="73"/>
      <c r="AB61" s="73"/>
      <c r="AC61" s="73"/>
      <c r="AD61" s="73"/>
      <c r="AE61" s="73" t="s">
        <v>714</v>
      </c>
      <c r="AF61" s="73"/>
      <c r="AG61" s="73"/>
      <c r="AH61" s="73"/>
      <c r="AI61" s="73"/>
      <c r="AJ61" s="73"/>
      <c r="AK61" s="73"/>
      <c r="AL61" s="73"/>
      <c r="AM61" t="s">
        <v>774</v>
      </c>
      <c r="AN61" t="s">
        <v>770</v>
      </c>
      <c r="AO61" t="s">
        <v>709</v>
      </c>
    </row>
    <row r="62" spans="1:41" ht="18" hidden="1" customHeight="1" outlineLevel="2">
      <c r="A62" s="65">
        <f>ROW(Rohdaten!$A$60)</f>
        <v>60</v>
      </c>
      <c r="B62" s="66">
        <f>IF(Rohdaten!$A$60="","",Rohdaten!$A$60)</f>
        <v/>
      </c>
      <c r="C62" s="67" t="s">
        <v>721</v>
      </c>
      <c r="D62" s="68" t="str">
        <f>IF(Rohdaten!$E$60="","",Rohdaten!$E$60)</f>
        <v>Lürken</v>
      </c>
      <c r="E62" s="69" t="str">
        <f t="array" ref="E62">_xlfn.TEXTJOIN(" / ",TRUE,IF($I62:$AL62="●",$I$4:$AL$4,""))</f>
        <v>Lürken</v>
      </c>
      <c r="F62" s="70" t="s">
        <v>711</v>
      </c>
      <c r="G62" s="71" t="s">
        <v>712</v>
      </c>
      <c r="H62" s="72" t="str">
        <f>IF($F62="automatisch",IF(ISNA(MATCH(Stichtag,RD_Kopf,0)),"automatisch",IF(SUMPRODUCT((RD_Kopf&gt;=IF($G62="monatlich",DATE(YEAR(KWFreitag),MONTH(KWFreitag),1),IF($G62="quartalsweise",DATE(YEAR(KWFreitag),INT((MONTH(KWFreitag)-1)/3)*3+1,1),Stichtag)))*(RD_Kopf&lt;=Stichtag)*ISNUMBER(Rohdaten!$A$60:$LJ$60))&gt;0,"erledigt","automatisch")),IF($F62&lt;&gt;"ja","nicht berichtet",IF(ISNA(MATCH(Stichtag,RD_Kopf,0)),"keine Spalte",IF(SUMPRODUCT((RD_Kopf&gt;=IF($G62="monatlich",DATE(YEAR(KWFreitag),MONTH(KWFreitag),1),IF($G62="quartalsweise",DATE(YEAR(KWFreitag),INT((MONTH(KWFreitag)-1)/3)*3+1,1),Stichtag)))*(RD_Kopf&lt;=Stichtag)*ISNUMBER(Rohdaten!$A$60:$LJ$60))&gt;0,"erledigt","offen"))))</f>
        <v>nicht berichtet</v>
      </c>
      <c r="I62" s="73"/>
      <c r="J62" s="73"/>
      <c r="K62" s="73"/>
      <c r="L62" s="73"/>
      <c r="M62" s="73"/>
      <c r="N62" s="73"/>
      <c r="O62" s="73"/>
      <c r="P62" s="73"/>
      <c r="Q62" s="73"/>
      <c r="R62" s="73"/>
      <c r="S62" s="73"/>
      <c r="T62" s="73"/>
      <c r="U62" s="73"/>
      <c r="V62" s="73"/>
      <c r="W62" s="73"/>
      <c r="X62" s="73"/>
      <c r="Y62" s="73"/>
      <c r="Z62" s="73"/>
      <c r="AA62" s="73" t="s">
        <v>714</v>
      </c>
      <c r="AB62" s="73"/>
      <c r="AC62" s="73"/>
      <c r="AD62" s="73"/>
      <c r="AE62" s="73"/>
      <c r="AF62" s="73"/>
      <c r="AG62" s="73"/>
      <c r="AH62" s="73"/>
      <c r="AI62" s="73"/>
      <c r="AJ62" s="73"/>
      <c r="AK62" s="73"/>
      <c r="AL62" s="73"/>
      <c r="AM62" t="s">
        <v>775</v>
      </c>
      <c r="AN62" t="s">
        <v>770</v>
      </c>
      <c r="AO62" t="s">
        <v>709</v>
      </c>
    </row>
    <row r="63" spans="1:41" ht="18" hidden="1" customHeight="1" outlineLevel="2">
      <c r="A63" s="65">
        <f>ROW(Rohdaten!$A$61)</f>
        <v>61</v>
      </c>
      <c r="B63" s="66">
        <f>IF(Rohdaten!$A$61="","",Rohdaten!$A$61)</f>
        <v/>
      </c>
      <c r="C63" s="67" t="s">
        <v>723</v>
      </c>
      <c r="D63" s="68" t="str">
        <f>IF(Rohdaten!$E$61="","",Rohdaten!$E$61)</f>
        <v>Kraus</v>
      </c>
      <c r="E63" s="69" t="str">
        <f t="array" ref="E63">_xlfn.TEXTJOIN(" / ",TRUE,IF($I63:$AL63="●",$I$4:$AL$4,""))</f>
        <v>Kraus</v>
      </c>
      <c r="F63" s="70" t="s">
        <v>711</v>
      </c>
      <c r="G63" s="71" t="s">
        <v>712</v>
      </c>
      <c r="H63" s="72" t="str">
        <f>IF($F63="automatisch",IF(ISNA(MATCH(Stichtag,RD_Kopf,0)),"automatisch",IF(SUMPRODUCT((RD_Kopf&gt;=IF($G63="monatlich",DATE(YEAR(KWFreitag),MONTH(KWFreitag),1),IF($G63="quartalsweise",DATE(YEAR(KWFreitag),INT((MONTH(KWFreitag)-1)/3)*3+1,1),Stichtag)))*(RD_Kopf&lt;=Stichtag)*ISNUMBER(Rohdaten!$A$61:$LJ$61))&gt;0,"erledigt","automatisch")),IF($F63&lt;&gt;"ja","nicht berichtet",IF(ISNA(MATCH(Stichtag,RD_Kopf,0)),"keine Spalte",IF(SUMPRODUCT((RD_Kopf&gt;=IF($G63="monatlich",DATE(YEAR(KWFreitag),MONTH(KWFreitag),1),IF($G63="quartalsweise",DATE(YEAR(KWFreitag),INT((MONTH(KWFreitag)-1)/3)*3+1,1),Stichtag)))*(RD_Kopf&lt;=Stichtag)*ISNUMBER(Rohdaten!$A$61:$LJ$61))&gt;0,"erledigt","offen"))))</f>
        <v>nicht berichtet</v>
      </c>
      <c r="I63" s="73"/>
      <c r="J63" s="73"/>
      <c r="K63" s="73"/>
      <c r="L63" s="73"/>
      <c r="M63" s="73"/>
      <c r="N63" s="73"/>
      <c r="O63" s="73"/>
      <c r="P63" s="73"/>
      <c r="Q63" s="73"/>
      <c r="R63" s="73"/>
      <c r="S63" s="73"/>
      <c r="T63" s="73"/>
      <c r="U63" s="73"/>
      <c r="V63" s="73"/>
      <c r="W63" s="73"/>
      <c r="X63" s="73"/>
      <c r="Y63" s="73" t="s">
        <v>714</v>
      </c>
      <c r="Z63" s="73"/>
      <c r="AA63" s="73"/>
      <c r="AB63" s="73"/>
      <c r="AC63" s="73"/>
      <c r="AD63" s="73"/>
      <c r="AE63" s="73"/>
      <c r="AF63" s="73"/>
      <c r="AG63" s="73"/>
      <c r="AH63" s="73"/>
      <c r="AI63" s="73"/>
      <c r="AJ63" s="73"/>
      <c r="AK63" s="73"/>
      <c r="AL63" s="73"/>
      <c r="AM63" t="s">
        <v>776</v>
      </c>
      <c r="AN63" t="s">
        <v>770</v>
      </c>
      <c r="AO63" t="s">
        <v>709</v>
      </c>
    </row>
    <row r="64" spans="1:41" ht="18" hidden="1" customHeight="1" outlineLevel="2">
      <c r="A64" s="65">
        <f>ROW(Rohdaten!$A$62)</f>
        <v>62</v>
      </c>
      <c r="B64" s="66">
        <f>IF(Rohdaten!$A$62="","",Rohdaten!$A$62)</f>
        <v/>
      </c>
      <c r="C64" s="67" t="s">
        <v>725</v>
      </c>
      <c r="D64" s="68" t="str">
        <f>IF(Rohdaten!$E$62="","",Rohdaten!$E$62)</f>
        <v>Westrich</v>
      </c>
      <c r="E64" s="69" t="str">
        <f t="array" ref="E64">_xlfn.TEXTJOIN(" / ",TRUE,IF($I64:$AL64="●",$I$4:$AL$4,""))</f>
        <v>Westrich</v>
      </c>
      <c r="F64" s="70" t="s">
        <v>711</v>
      </c>
      <c r="G64" s="71" t="s">
        <v>712</v>
      </c>
      <c r="H64" s="72" t="str">
        <f>IF($F64="automatisch",IF(ISNA(MATCH(Stichtag,RD_Kopf,0)),"automatisch",IF(SUMPRODUCT((RD_Kopf&gt;=IF($G64="monatlich",DATE(YEAR(KWFreitag),MONTH(KWFreitag),1),IF($G64="quartalsweise",DATE(YEAR(KWFreitag),INT((MONTH(KWFreitag)-1)/3)*3+1,1),Stichtag)))*(RD_Kopf&lt;=Stichtag)*ISNUMBER(Rohdaten!$A$62:$LJ$62))&gt;0,"erledigt","automatisch")),IF($F64&lt;&gt;"ja","nicht berichtet",IF(ISNA(MATCH(Stichtag,RD_Kopf,0)),"keine Spalte",IF(SUMPRODUCT((RD_Kopf&gt;=IF($G64="monatlich",DATE(YEAR(KWFreitag),MONTH(KWFreitag),1),IF($G64="quartalsweise",DATE(YEAR(KWFreitag),INT((MONTH(KWFreitag)-1)/3)*3+1,1),Stichtag)))*(RD_Kopf&lt;=Stichtag)*ISNUMBER(Rohdaten!$A$62:$LJ$62))&gt;0,"erledigt","offen"))))</f>
        <v>nicht berichtet</v>
      </c>
      <c r="I64" s="73"/>
      <c r="J64" s="73"/>
      <c r="K64" s="73"/>
      <c r="L64" s="73"/>
      <c r="M64" s="73"/>
      <c r="N64" s="73"/>
      <c r="O64" s="73"/>
      <c r="P64" s="73"/>
      <c r="Q64" s="73"/>
      <c r="R64" s="73"/>
      <c r="S64" s="73"/>
      <c r="T64" s="73"/>
      <c r="U64" s="73"/>
      <c r="V64" s="73"/>
      <c r="W64" s="73"/>
      <c r="X64" s="73"/>
      <c r="Y64" s="73"/>
      <c r="Z64" s="73"/>
      <c r="AA64" s="73"/>
      <c r="AB64" s="73"/>
      <c r="AC64" s="73"/>
      <c r="AD64" s="73"/>
      <c r="AE64" s="73"/>
      <c r="AF64" s="73"/>
      <c r="AG64" s="73" t="s">
        <v>714</v>
      </c>
      <c r="AH64" s="73"/>
      <c r="AI64" s="73"/>
      <c r="AJ64" s="73"/>
      <c r="AK64" s="73"/>
      <c r="AL64" s="73"/>
      <c r="AM64" t="s">
        <v>777</v>
      </c>
      <c r="AN64" t="s">
        <v>770</v>
      </c>
      <c r="AO64" t="s">
        <v>709</v>
      </c>
    </row>
    <row r="65" spans="1:41" ht="22" customHeight="1" collapsed="1">
      <c r="A65" s="60" t="s">
        <v>778</v>
      </c>
      <c r="B65" s="60"/>
      <c r="C65" s="60"/>
      <c r="D65" s="60"/>
      <c r="E65" s="60"/>
      <c r="F65" s="60"/>
      <c r="G65" s="60"/>
      <c r="H65" s="60"/>
      <c r="I65" s="61"/>
      <c r="J65" s="61"/>
      <c r="K65" s="61"/>
      <c r="L65" s="61"/>
      <c r="M65" s="61"/>
      <c r="N65" s="61"/>
      <c r="O65" s="61"/>
      <c r="P65" s="61"/>
      <c r="Q65" s="61"/>
      <c r="R65" s="61"/>
      <c r="S65" s="61"/>
      <c r="T65" s="61"/>
      <c r="U65" s="61"/>
      <c r="V65" s="61"/>
      <c r="W65" s="61"/>
      <c r="X65" s="61"/>
      <c r="Y65" s="61"/>
      <c r="Z65" s="61"/>
      <c r="AA65" s="61"/>
      <c r="AB65" s="61"/>
      <c r="AC65" s="61"/>
      <c r="AD65" s="61"/>
      <c r="AE65" s="61"/>
      <c r="AF65" s="61"/>
      <c r="AG65" s="61"/>
      <c r="AH65" s="61"/>
      <c r="AI65" s="61"/>
      <c r="AJ65" s="61"/>
      <c r="AK65" s="61"/>
      <c r="AL65" s="61"/>
      <c r="AO65" t="s">
        <v>705</v>
      </c>
    </row>
    <row r="66" spans="1:41" ht="18" hidden="1" customHeight="1" outlineLevel="1">
      <c r="A66" s="65">
        <f>ROW(Rohdaten!$A$63)</f>
        <v>63</v>
      </c>
      <c r="B66" s="66">
        <f>IF(Rohdaten!$A$63="","",Rohdaten!$A$63)</f>
        <v>5</v>
      </c>
      <c r="C66" s="74" t="s">
        <v>728</v>
      </c>
      <c r="D66" s="68" t="str">
        <f>IF(Rohdaten!$E$63="","",Rohdaten!$E$63)</f>
        <v>Burnik</v>
      </c>
      <c r="E66" s="69" t="str">
        <f t="array" ref="E66">_xlfn.TEXTJOIN(" / ",TRUE,IF($I66:$AL66="●",$I$4:$AL$4,""))</f>
        <v>Burnik</v>
      </c>
      <c r="F66" s="70" t="s">
        <v>711</v>
      </c>
      <c r="G66" s="71" t="s">
        <v>712</v>
      </c>
      <c r="H66" s="72" t="str">
        <f>IF($F66="automatisch",IF(ISNA(MATCH(Stichtag,RD_Kopf,0)),"automatisch",IF(SUMPRODUCT((RD_Kopf&gt;=IF($G66="monatlich",DATE(YEAR(KWFreitag),MONTH(KWFreitag),1),IF($G66="quartalsweise",DATE(YEAR(KWFreitag),INT((MONTH(KWFreitag)-1)/3)*3+1,1),Stichtag)))*(RD_Kopf&lt;=Stichtag)*ISNUMBER(Rohdaten!$A$63:$LJ$63))&gt;0,"erledigt","automatisch")),IF($F66&lt;&gt;"ja","nicht berichtet",IF(ISNA(MATCH(Stichtag,RD_Kopf,0)),"keine Spalte",IF(SUMPRODUCT((RD_Kopf&gt;=IF($G66="monatlich",DATE(YEAR(KWFreitag),MONTH(KWFreitag),1),IF($G66="quartalsweise",DATE(YEAR(KWFreitag),INT((MONTH(KWFreitag)-1)/3)*3+1,1),Stichtag)))*(RD_Kopf&lt;=Stichtag)*ISNUMBER(Rohdaten!$A$63:$LJ$63))&gt;0,"erledigt","offen"))))</f>
        <v>nicht berichtet</v>
      </c>
      <c r="I66" s="73"/>
      <c r="J66" s="73"/>
      <c r="K66" s="73"/>
      <c r="L66" s="73"/>
      <c r="M66" s="73"/>
      <c r="N66" s="73" t="s">
        <v>714</v>
      </c>
      <c r="O66" s="73"/>
      <c r="P66" s="73"/>
      <c r="Q66" s="73"/>
      <c r="R66" s="73"/>
      <c r="S66" s="73"/>
      <c r="T66" s="73"/>
      <c r="U66" s="73"/>
      <c r="V66" s="73"/>
      <c r="W66" s="73"/>
      <c r="X66" s="73"/>
      <c r="Y66" s="73"/>
      <c r="Z66" s="73"/>
      <c r="AA66" s="73"/>
      <c r="AB66" s="73"/>
      <c r="AC66" s="73"/>
      <c r="AD66" s="73"/>
      <c r="AE66" s="73"/>
      <c r="AF66" s="73"/>
      <c r="AG66" s="73"/>
      <c r="AH66" s="73"/>
      <c r="AI66" s="73"/>
      <c r="AJ66" s="73"/>
      <c r="AK66" s="73"/>
      <c r="AL66" s="73"/>
      <c r="AM66" t="s">
        <v>779</v>
      </c>
      <c r="AN66" t="s">
        <v>129</v>
      </c>
      <c r="AO66" t="s">
        <v>709</v>
      </c>
    </row>
    <row r="67" spans="1:41" ht="22" customHeight="1">
      <c r="A67" s="60" t="s">
        <v>780</v>
      </c>
      <c r="B67" s="60"/>
      <c r="C67" s="60"/>
      <c r="D67" s="60"/>
      <c r="E67" s="60"/>
      <c r="F67" s="60"/>
      <c r="G67" s="60"/>
      <c r="H67" s="60"/>
      <c r="I67" s="61"/>
      <c r="J67" s="61"/>
      <c r="K67" s="61"/>
      <c r="L67" s="61"/>
      <c r="M67" s="61"/>
      <c r="N67" s="61"/>
      <c r="O67" s="61"/>
      <c r="P67" s="61"/>
      <c r="Q67" s="61"/>
      <c r="R67" s="61"/>
      <c r="S67" s="61"/>
      <c r="T67" s="61"/>
      <c r="U67" s="61"/>
      <c r="V67" s="61"/>
      <c r="W67" s="61"/>
      <c r="X67" s="61"/>
      <c r="Y67" s="61"/>
      <c r="Z67" s="61"/>
      <c r="AA67" s="61"/>
      <c r="AB67" s="61"/>
      <c r="AC67" s="61"/>
      <c r="AD67" s="61"/>
      <c r="AE67" s="61"/>
      <c r="AF67" s="61"/>
      <c r="AG67" s="61"/>
      <c r="AH67" s="61"/>
      <c r="AI67" s="61"/>
      <c r="AJ67" s="61"/>
      <c r="AK67" s="61"/>
      <c r="AL67" s="61"/>
      <c r="AO67" t="s">
        <v>705</v>
      </c>
    </row>
    <row r="68" spans="1:41" ht="18" customHeight="1" outlineLevel="1">
      <c r="A68" s="65">
        <f>ROW(Rohdaten!$A$64)</f>
        <v>64</v>
      </c>
      <c r="B68" s="66" t="str">
        <f>IF(Rohdaten!$A$64="","",Rohdaten!$A$64)</f>
        <v>6a</v>
      </c>
      <c r="C68" s="74" t="s">
        <v>728</v>
      </c>
      <c r="D68" s="68" t="str">
        <f>IF(Rohdaten!$E$64="","",Rohdaten!$E$64)</f>
        <v>Isa Kinnert /Olaf Göddertz
COMMAS-REPORT</v>
      </c>
      <c r="E68" s="69" t="str">
        <f t="array" ref="E68">_xlfn.TEXTJOIN(" / ",TRUE,IF($I68:$AL68="●",$I$4:$AL$4,""))</f>
        <v>Göddertz / Kinnert</v>
      </c>
      <c r="F68" s="70" t="s">
        <v>781</v>
      </c>
      <c r="G68" s="71" t="s">
        <v>712</v>
      </c>
      <c r="H68" s="72">
        <f>IF($F68="automatisch",IF(ISNA(MATCH(Stichtag,RD_Kopf,0)),"automatisch",IF(SUMPRODUCT((RD_Kopf&gt;=IF($G68="monatlich",DATE(YEAR(KWFreitag),MONTH(KWFreitag),1),IF($G68="quartalsweise",DATE(YEAR(KWFreitag),INT((MONTH(KWFreitag)-1)/3)*3+1,1),Stichtag)))*(RD_Kopf&lt;=Stichtag)*ISNUMBER(Rohdaten!$A$64:$LJ$64))&gt;0,"erledigt","automatisch")),IF($F68&lt;&gt;"ja","",IF(ISNA(MATCH(Stichtag,RD_Kopf,0)),"keine Spalte",IF(SUMPRODUCT((RD_Kopf&gt;=IF($G68="monatlich",DATE(YEAR(KWFreitag),MONTH(KWFreitag),1),IF($G68="quartalsweise",DATE(YEAR(KWFreitag),INT((MONTH(KWFreitag)-1)/3)*3+1,1),Stichtag)))*(RD_Kopf&lt;=Stichtag)*ISNUMBER(Rohdaten!$A$64:$LJ$64))&gt;0,"erledigt","offen"))))</f>
        <v/>
      </c>
      <c r="I68" s="73"/>
      <c r="J68" s="73"/>
      <c r="K68" s="73"/>
      <c r="L68" s="73"/>
      <c r="M68" s="73"/>
      <c r="N68" s="73"/>
      <c r="O68" s="73"/>
      <c r="P68" s="73"/>
      <c r="Q68" s="73"/>
      <c r="R68" s="73" t="s">
        <v>714</v>
      </c>
      <c r="S68" s="73"/>
      <c r="T68" s="73"/>
      <c r="U68" s="73" t="s">
        <v>714</v>
      </c>
      <c r="V68" s="73"/>
      <c r="W68" s="73"/>
      <c r="X68" s="73"/>
      <c r="Y68" s="73"/>
      <c r="Z68" s="73"/>
      <c r="AA68" s="73"/>
      <c r="AB68" s="73"/>
      <c r="AC68" s="73"/>
      <c r="AD68" s="73"/>
      <c r="AE68" s="73"/>
      <c r="AF68" s="73"/>
      <c r="AG68" s="73"/>
      <c r="AH68" s="73"/>
      <c r="AI68" s="73"/>
      <c r="AJ68" s="73"/>
      <c r="AK68" s="73"/>
      <c r="AL68" s="73"/>
      <c r="AM68" t="s">
        <v>782</v>
      </c>
      <c r="AN68" t="s">
        <v>102</v>
      </c>
      <c r="AO68" t="s">
        <v>709</v>
      </c>
    </row>
    <row r="69" spans="1:41" ht="18" customHeight="1" outlineLevel="1">
      <c r="A69" s="65">
        <f>ROW(Rohdaten!$A$65)</f>
        <v>65</v>
      </c>
      <c r="B69" s="66" t="str">
        <f>IF(Rohdaten!$A$65="","",Rohdaten!$A$65)</f>
        <v>6b</v>
      </c>
      <c r="C69" s="74" t="s">
        <v>783</v>
      </c>
      <c r="D69" s="68">
        <f>IF(Rohdaten!$E$65="","",Rohdaten!$E$65)</f>
        <v/>
      </c>
      <c r="E69" s="69" t="str">
        <f t="array" ref="E69">_xlfn.TEXTJOIN(" / ",TRUE,IF($I69:$AL69="●",$I$4:$AL$4,""))</f>
        <v/>
      </c>
      <c r="F69" s="70" t="s">
        <v>711</v>
      </c>
      <c r="G69" s="71" t="s">
        <v>712</v>
      </c>
      <c r="H69" s="72">
        <f>IF($F69="automatisch",IF(ISNA(MATCH(Stichtag,RD_Kopf,0)),"automatisch",IF(SUMPRODUCT((RD_Kopf&gt;=IF($G69="monatlich",DATE(YEAR(KWFreitag),MONTH(KWFreitag),1),IF($G69="quartalsweise",DATE(YEAR(KWFreitag),INT((MONTH(KWFreitag)-1)/3)*3+1,1),Stichtag)))*(RD_Kopf&lt;=Stichtag)*ISNUMBER(Rohdaten!$A$65:$LJ$65))&gt;0,"erledigt","automatisch")),IF($F69&lt;&gt;"ja","",IF(ISNA(MATCH(Stichtag,RD_Kopf,0)),"keine Spalte",IF(SUMPRODUCT((RD_Kopf&gt;=IF($G69="monatlich",DATE(YEAR(KWFreitag),MONTH(KWFreitag),1),IF($G69="quartalsweise",DATE(YEAR(KWFreitag),INT((MONTH(KWFreitag)-1)/3)*3+1,1),Stichtag)))*(RD_Kopf&lt;=Stichtag)*ISNUMBER(Rohdaten!$A$65:$LJ$65))&gt;0,"erledigt","offen"))))</f>
        <v/>
      </c>
      <c r="I69" s="73"/>
      <c r="J69" s="73"/>
      <c r="K69" s="73"/>
      <c r="L69" s="73"/>
      <c r="M69" s="73"/>
      <c r="N69" s="73"/>
      <c r="O69" s="73"/>
      <c r="P69" s="73"/>
      <c r="Q69" s="73"/>
      <c r="R69" s="73"/>
      <c r="S69" s="73"/>
      <c r="T69" s="73"/>
      <c r="U69" s="73"/>
      <c r="V69" s="73"/>
      <c r="W69" s="73"/>
      <c r="X69" s="73"/>
      <c r="Y69" s="73"/>
      <c r="Z69" s="73"/>
      <c r="AA69" s="73"/>
      <c r="AB69" s="73"/>
      <c r="AC69" s="73"/>
      <c r="AD69" s="73"/>
      <c r="AE69" s="73"/>
      <c r="AF69" s="73"/>
      <c r="AG69" s="73"/>
      <c r="AH69" s="73"/>
      <c r="AI69" s="73"/>
      <c r="AJ69" s="73"/>
      <c r="AK69" s="73"/>
      <c r="AL69" s="73"/>
      <c r="AM69" t="s">
        <v>784</v>
      </c>
      <c r="AN69" t="s">
        <v>785</v>
      </c>
      <c r="AO69" t="s">
        <v>709</v>
      </c>
    </row>
    <row r="70" spans="1:41" ht="18" customHeight="1" outlineLevel="1">
      <c r="A70" s="65">
        <f>ROW(Rohdaten!$A$66)</f>
        <v>66</v>
      </c>
      <c r="B70" s="66" t="str">
        <f>IF(Rohdaten!$A$66="","",Rohdaten!$A$66)</f>
        <v>6c</v>
      </c>
      <c r="C70" s="74" t="s">
        <v>786</v>
      </c>
      <c r="D70" s="68" t="str">
        <f>IF(Rohdaten!$E$66="","",Rohdaten!$E$66)</f>
        <v>Isa Kinnert /Olaf Göddertz
COMMAS-REPORT</v>
      </c>
      <c r="E70" s="69" t="str">
        <f t="array" ref="E70">_xlfn.TEXTJOIN(" / ",TRUE,IF($I70:$AL70="●",$I$4:$AL$4,""))</f>
        <v/>
      </c>
      <c r="F70" s="70" t="s">
        <v>711</v>
      </c>
      <c r="G70" s="71" t="s">
        <v>712</v>
      </c>
      <c r="H70" s="72">
        <f>IF($F70="automatisch",IF(ISNA(MATCH(Stichtag,RD_Kopf,0)),"automatisch",IF(SUMPRODUCT((RD_Kopf&gt;=IF($G70="monatlich",DATE(YEAR(KWFreitag),MONTH(KWFreitag),1),IF($G70="quartalsweise",DATE(YEAR(KWFreitag),INT((MONTH(KWFreitag)-1)/3)*3+1,1),Stichtag)))*(RD_Kopf&lt;=Stichtag)*ISNUMBER(Rohdaten!$A$66:$LJ$66))&gt;0,"erledigt","automatisch")),IF($F70&lt;&gt;"ja","",IF(ISNA(MATCH(Stichtag,RD_Kopf,0)),"keine Spalte",IF(SUMPRODUCT((RD_Kopf&gt;=IF($G70="monatlich",DATE(YEAR(KWFreitag),MONTH(KWFreitag),1),IF($G70="quartalsweise",DATE(YEAR(KWFreitag),INT((MONTH(KWFreitag)-1)/3)*3+1,1),Stichtag)))*(RD_Kopf&lt;=Stichtag)*ISNUMBER(Rohdaten!$A$66:$LJ$66))&gt;0,"erledigt","offen"))))</f>
        <v/>
      </c>
      <c r="I70" s="73"/>
      <c r="J70" s="73"/>
      <c r="K70" s="73"/>
      <c r="L70" s="73"/>
      <c r="M70" s="73"/>
      <c r="N70" s="73"/>
      <c r="O70" s="73"/>
      <c r="P70" s="73"/>
      <c r="Q70" s="73"/>
      <c r="R70" s="73"/>
      <c r="S70" s="73"/>
      <c r="T70" s="73"/>
      <c r="U70" s="73"/>
      <c r="V70" s="73"/>
      <c r="W70" s="73"/>
      <c r="X70" s="73"/>
      <c r="Y70" s="73"/>
      <c r="Z70" s="73"/>
      <c r="AA70" s="73"/>
      <c r="AB70" s="73"/>
      <c r="AC70" s="73"/>
      <c r="AD70" s="73"/>
      <c r="AE70" s="73"/>
      <c r="AF70" s="73"/>
      <c r="AG70" s="73"/>
      <c r="AH70" s="73"/>
      <c r="AI70" s="73"/>
      <c r="AJ70" s="73"/>
      <c r="AK70" s="73"/>
      <c r="AL70" s="73"/>
      <c r="AM70" t="s">
        <v>787</v>
      </c>
      <c r="AN70" t="s">
        <v>788</v>
      </c>
      <c r="AO70" t="s">
        <v>709</v>
      </c>
    </row>
    <row r="71" spans="1:41" ht="22" customHeight="1">
      <c r="A71" s="60" t="s">
        <v>789</v>
      </c>
      <c r="B71" s="60"/>
      <c r="C71" s="60"/>
      <c r="D71" s="60"/>
      <c r="E71" s="60"/>
      <c r="F71" s="60"/>
      <c r="G71" s="60"/>
      <c r="H71" s="60"/>
      <c r="I71" s="61"/>
      <c r="J71" s="61"/>
      <c r="K71" s="61"/>
      <c r="L71" s="61"/>
      <c r="M71" s="61"/>
      <c r="N71" s="61"/>
      <c r="O71" s="61"/>
      <c r="P71" s="61"/>
      <c r="Q71" s="61"/>
      <c r="R71" s="61"/>
      <c r="S71" s="61"/>
      <c r="T71" s="61"/>
      <c r="U71" s="61"/>
      <c r="V71" s="61"/>
      <c r="W71" s="61"/>
      <c r="X71" s="61"/>
      <c r="Y71" s="61"/>
      <c r="Z71" s="61"/>
      <c r="AA71" s="61"/>
      <c r="AB71" s="61"/>
      <c r="AC71" s="61"/>
      <c r="AD71" s="61"/>
      <c r="AE71" s="61"/>
      <c r="AF71" s="61"/>
      <c r="AG71" s="61"/>
      <c r="AH71" s="61"/>
      <c r="AI71" s="61"/>
      <c r="AJ71" s="61"/>
      <c r="AK71" s="61"/>
      <c r="AL71" s="61"/>
      <c r="AO71" t="s">
        <v>705</v>
      </c>
    </row>
    <row r="72" spans="1:41" ht="18" customHeight="1" outlineLevel="1">
      <c r="A72" s="65">
        <f>ROW(Rohdaten!$A$67)</f>
        <v>67</v>
      </c>
      <c r="B72" s="66" t="str">
        <f>IF(Rohdaten!$A$67="","",Rohdaten!$A$67)</f>
        <v>7VA</v>
      </c>
      <c r="C72" s="74" t="s">
        <v>790</v>
      </c>
      <c r="D72" s="68">
        <f>IF(Rohdaten!$E$67="","",Rohdaten!$E$67)</f>
        <v/>
      </c>
      <c r="E72" s="69" t="str">
        <f t="array" ref="E72">_xlfn.TEXTJOIN(" / ",TRUE,IF($I72:$AL72="●",$I$4:$AL$4,""))</f>
        <v/>
      </c>
      <c r="F72" s="70" t="s">
        <v>791</v>
      </c>
      <c r="G72" s="71" t="s">
        <v>712</v>
      </c>
      <c r="H72" s="72">
        <f>IF($F72="automatisch",IF(ISNA(MATCH(Stichtag,RD_Kopf,0)),"automatisch",IF(SUMPRODUCT((RD_Kopf&gt;=IF($G72="monatlich",DATE(YEAR(KWFreitag),MONTH(KWFreitag),1),IF($G72="quartalsweise",DATE(YEAR(KWFreitag),INT((MONTH(KWFreitag)-1)/3)*3+1,1),Stichtag)))*(RD_Kopf&lt;=Stichtag)*ISNUMBER(Rohdaten!$A$67:$LJ$67))&gt;0,"erledigt","automatisch")),IF($F72&lt;&gt;"ja","",IF(ISNA(MATCH(Stichtag,RD_Kopf,0)),"keine Spalte",IF(SUMPRODUCT((RD_Kopf&gt;=IF($G72="monatlich",DATE(YEAR(KWFreitag),MONTH(KWFreitag),1),IF($G72="quartalsweise",DATE(YEAR(KWFreitag),INT((MONTH(KWFreitag)-1)/3)*3+1,1),Stichtag)))*(RD_Kopf&lt;=Stichtag)*ISNUMBER(Rohdaten!$A$67:$LJ$67))&gt;0,"erledigt","offen"))))</f>
        <v/>
      </c>
      <c r="I72" s="73"/>
      <c r="J72" s="73"/>
      <c r="K72" s="73"/>
      <c r="L72" s="73"/>
      <c r="M72" s="73"/>
      <c r="N72" s="73"/>
      <c r="O72" s="73"/>
      <c r="P72" s="73"/>
      <c r="Q72" s="73"/>
      <c r="R72" s="73"/>
      <c r="S72" s="73"/>
      <c r="T72" s="73"/>
      <c r="U72" s="73"/>
      <c r="V72" s="73"/>
      <c r="W72" s="73"/>
      <c r="X72" s="73"/>
      <c r="Y72" s="73"/>
      <c r="Z72" s="73"/>
      <c r="AA72" s="73"/>
      <c r="AB72" s="73"/>
      <c r="AC72" s="73"/>
      <c r="AD72" s="73"/>
      <c r="AE72" s="73"/>
      <c r="AF72" s="73"/>
      <c r="AG72" s="73"/>
      <c r="AH72" s="73"/>
      <c r="AI72" s="73"/>
      <c r="AJ72" s="73"/>
      <c r="AK72" s="73"/>
      <c r="AL72" s="73"/>
      <c r="AM72" t="s">
        <v>792</v>
      </c>
      <c r="AN72" t="s">
        <v>145</v>
      </c>
      <c r="AO72" t="s">
        <v>709</v>
      </c>
    </row>
    <row r="73" spans="1:41" ht="18" customHeight="1" outlineLevel="1">
      <c r="A73" s="62"/>
      <c r="B73" s="62"/>
      <c r="C73" s="63" t="s">
        <v>728</v>
      </c>
      <c r="D73" s="63"/>
      <c r="E73" s="63"/>
      <c r="F73" s="63"/>
      <c r="G73" s="63"/>
      <c r="H73" s="63"/>
      <c r="I73" s="64"/>
      <c r="J73" s="64"/>
      <c r="K73" s="64"/>
      <c r="L73" s="64"/>
      <c r="M73" s="64"/>
      <c r="N73" s="64"/>
      <c r="O73" s="64"/>
      <c r="P73" s="64"/>
      <c r="Q73" s="64"/>
      <c r="R73" s="64"/>
      <c r="S73" s="64"/>
      <c r="T73" s="64"/>
      <c r="U73" s="64"/>
      <c r="V73" s="64"/>
      <c r="W73" s="64"/>
      <c r="X73" s="64"/>
      <c r="Y73" s="64"/>
      <c r="Z73" s="64"/>
      <c r="AA73" s="64"/>
      <c r="AB73" s="64"/>
      <c r="AC73" s="64"/>
      <c r="AD73" s="64"/>
      <c r="AE73" s="64"/>
      <c r="AF73" s="64"/>
      <c r="AG73" s="64"/>
      <c r="AH73" s="64"/>
      <c r="AI73" s="64"/>
      <c r="AJ73" s="64"/>
      <c r="AK73" s="64"/>
      <c r="AL73" s="64"/>
      <c r="AO73" t="s">
        <v>706</v>
      </c>
    </row>
    <row r="74" spans="1:41" ht="18" customHeight="1" outlineLevel="2">
      <c r="A74" s="65">
        <f>ROW(Rohdaten!$A$68)</f>
        <v>68</v>
      </c>
      <c r="B74" s="66" t="str">
        <f>IF(Rohdaten!$A$68="","",Rohdaten!$A$68)</f>
        <v>7VB</v>
      </c>
      <c r="C74" s="67" t="s">
        <v>793</v>
      </c>
      <c r="D74" s="68" t="str">
        <f>IF(Rohdaten!$E$68="","",Rohdaten!$E$68)</f>
        <v>Amend</v>
      </c>
      <c r="E74" s="69" t="str">
        <f t="array" ref="E74">_xlfn.TEXTJOIN(" / ",TRUE,IF($I74:$AL74="●",$I$4:$AL$4,""))</f>
        <v>Amend</v>
      </c>
      <c r="F74" s="70" t="s">
        <v>791</v>
      </c>
      <c r="G74" s="71" t="s">
        <v>712</v>
      </c>
      <c r="H74" s="72">
        <f>IF($F74="automatisch",IF(ISNA(MATCH(Stichtag,RD_Kopf,0)),"automatisch",IF(SUMPRODUCT((RD_Kopf&gt;=IF($G74="monatlich",DATE(YEAR(KWFreitag),MONTH(KWFreitag),1),IF($G74="quartalsweise",DATE(YEAR(KWFreitag),INT((MONTH(KWFreitag)-1)/3)*3+1,1),Stichtag)))*(RD_Kopf&lt;=Stichtag)*ISNUMBER(Rohdaten!$A$68:$LJ$68))&gt;0,"erledigt","automatisch")),IF($F74&lt;&gt;"ja","",IF(ISNA(MATCH(Stichtag,RD_Kopf,0)),"keine Spalte",IF(SUMPRODUCT((RD_Kopf&gt;=IF($G74="monatlich",DATE(YEAR(KWFreitag),MONTH(KWFreitag),1),IF($G74="quartalsweise",DATE(YEAR(KWFreitag),INT((MONTH(KWFreitag)-1)/3)*3+1,1),Stichtag)))*(RD_Kopf&lt;=Stichtag)*ISNUMBER(Rohdaten!$A$68:$LJ$68))&gt;0,"erledigt","offen"))))</f>
        <v/>
      </c>
      <c r="I74" s="73" t="s">
        <v>714</v>
      </c>
      <c r="J74" s="73"/>
      <c r="K74" s="73"/>
      <c r="L74" s="73"/>
      <c r="M74" s="73"/>
      <c r="N74" s="73"/>
      <c r="O74" s="73"/>
      <c r="P74" s="73"/>
      <c r="Q74" s="73"/>
      <c r="R74" s="73"/>
      <c r="S74" s="73"/>
      <c r="T74" s="73"/>
      <c r="U74" s="73"/>
      <c r="V74" s="73"/>
      <c r="W74" s="73"/>
      <c r="X74" s="73"/>
      <c r="Y74" s="73"/>
      <c r="Z74" s="73"/>
      <c r="AA74" s="73"/>
      <c r="AB74" s="73"/>
      <c r="AC74" s="73"/>
      <c r="AD74" s="73"/>
      <c r="AE74" s="73"/>
      <c r="AF74" s="73"/>
      <c r="AG74" s="73"/>
      <c r="AH74" s="73"/>
      <c r="AI74" s="73"/>
      <c r="AJ74" s="73"/>
      <c r="AK74" s="73"/>
      <c r="AL74" s="73"/>
      <c r="AM74" t="s">
        <v>794</v>
      </c>
      <c r="AN74" t="s">
        <v>147</v>
      </c>
      <c r="AO74" t="s">
        <v>709</v>
      </c>
    </row>
    <row r="75" spans="1:41" ht="18" customHeight="1" outlineLevel="2">
      <c r="A75" s="65">
        <f>ROW(Rohdaten!$A$69)</f>
        <v>69</v>
      </c>
      <c r="B75" s="66" t="str">
        <f>IF(Rohdaten!$A$69="","",Rohdaten!$A$69)</f>
        <v>7VC</v>
      </c>
      <c r="C75" s="67" t="s">
        <v>795</v>
      </c>
      <c r="D75" s="68" t="str">
        <f>IF(Rohdaten!$E$69="","",Rohdaten!$E$69)</f>
        <v>Amend</v>
      </c>
      <c r="E75" s="69" t="str">
        <f t="array" ref="E75">_xlfn.TEXTJOIN(" / ",TRUE,IF($I75:$AL75="●",$I$4:$AL$4,""))</f>
        <v>Amend</v>
      </c>
      <c r="F75" s="70" t="s">
        <v>791</v>
      </c>
      <c r="G75" s="71" t="s">
        <v>712</v>
      </c>
      <c r="H75" s="72">
        <f>IF($F75="automatisch",IF(ISNA(MATCH(Stichtag,RD_Kopf,0)),"automatisch",IF(SUMPRODUCT((RD_Kopf&gt;=IF($G75="monatlich",DATE(YEAR(KWFreitag),MONTH(KWFreitag),1),IF($G75="quartalsweise",DATE(YEAR(KWFreitag),INT((MONTH(KWFreitag)-1)/3)*3+1,1),Stichtag)))*(RD_Kopf&lt;=Stichtag)*ISNUMBER(Rohdaten!$A$69:$LJ$69))&gt;0,"erledigt","automatisch")),IF($F75&lt;&gt;"ja","",IF(ISNA(MATCH(Stichtag,RD_Kopf,0)),"keine Spalte",IF(SUMPRODUCT((RD_Kopf&gt;=IF($G75="monatlich",DATE(YEAR(KWFreitag),MONTH(KWFreitag),1),IF($G75="quartalsweise",DATE(YEAR(KWFreitag),INT((MONTH(KWFreitag)-1)/3)*3+1,1),Stichtag)))*(RD_Kopf&lt;=Stichtag)*ISNUMBER(Rohdaten!$A$69:$LJ$69))&gt;0,"erledigt","offen"))))</f>
        <v/>
      </c>
      <c r="I75" s="73" t="s">
        <v>714</v>
      </c>
      <c r="J75" s="73"/>
      <c r="K75" s="73"/>
      <c r="L75" s="73"/>
      <c r="M75" s="73"/>
      <c r="N75" s="73"/>
      <c r="O75" s="73"/>
      <c r="P75" s="73"/>
      <c r="Q75" s="73"/>
      <c r="R75" s="73"/>
      <c r="S75" s="73"/>
      <c r="T75" s="73"/>
      <c r="U75" s="73"/>
      <c r="V75" s="73"/>
      <c r="W75" s="73"/>
      <c r="X75" s="73"/>
      <c r="Y75" s="73"/>
      <c r="Z75" s="73"/>
      <c r="AA75" s="73"/>
      <c r="AB75" s="73"/>
      <c r="AC75" s="73"/>
      <c r="AD75" s="73"/>
      <c r="AE75" s="73"/>
      <c r="AF75" s="73"/>
      <c r="AG75" s="73"/>
      <c r="AH75" s="73"/>
      <c r="AI75" s="73"/>
      <c r="AJ75" s="73"/>
      <c r="AK75" s="73"/>
      <c r="AL75" s="73"/>
      <c r="AM75" t="s">
        <v>796</v>
      </c>
      <c r="AN75" t="s">
        <v>149</v>
      </c>
      <c r="AO75" t="s">
        <v>709</v>
      </c>
    </row>
    <row r="76" spans="1:41" ht="18" customHeight="1" outlineLevel="2">
      <c r="A76" s="65">
        <f>ROW(Rohdaten!$A$70)</f>
        <v>70</v>
      </c>
      <c r="B76" s="66" t="str">
        <f>IF(Rohdaten!$A$70="","",Rohdaten!$A$70)</f>
        <v>7VD</v>
      </c>
      <c r="C76" s="67" t="s">
        <v>797</v>
      </c>
      <c r="D76" s="68" t="str">
        <f>IF(Rohdaten!$E$70="","",Rohdaten!$E$70)</f>
        <v>Amend</v>
      </c>
      <c r="E76" s="69" t="str">
        <f t="array" ref="E76">_xlfn.TEXTJOIN(" / ",TRUE,IF($I76:$AL76="●",$I$4:$AL$4,""))</f>
        <v>Amend</v>
      </c>
      <c r="F76" s="70" t="s">
        <v>791</v>
      </c>
      <c r="G76" s="71" t="s">
        <v>712</v>
      </c>
      <c r="H76" s="72">
        <f>IF($F76="automatisch",IF(ISNA(MATCH(Stichtag,RD_Kopf,0)),"automatisch",IF(SUMPRODUCT((RD_Kopf&gt;=IF($G76="monatlich",DATE(YEAR(KWFreitag),MONTH(KWFreitag),1),IF($G76="quartalsweise",DATE(YEAR(KWFreitag),INT((MONTH(KWFreitag)-1)/3)*3+1,1),Stichtag)))*(RD_Kopf&lt;=Stichtag)*ISNUMBER(Rohdaten!$A$70:$LJ$70))&gt;0,"erledigt","automatisch")),IF($F76&lt;&gt;"ja","",IF(ISNA(MATCH(Stichtag,RD_Kopf,0)),"keine Spalte",IF(SUMPRODUCT((RD_Kopf&gt;=IF($G76="monatlich",DATE(YEAR(KWFreitag),MONTH(KWFreitag),1),IF($G76="quartalsweise",DATE(YEAR(KWFreitag),INT((MONTH(KWFreitag)-1)/3)*3+1,1),Stichtag)))*(RD_Kopf&lt;=Stichtag)*ISNUMBER(Rohdaten!$A$70:$LJ$70))&gt;0,"erledigt","offen"))))</f>
        <v/>
      </c>
      <c r="I76" s="73" t="s">
        <v>714</v>
      </c>
      <c r="J76" s="73"/>
      <c r="K76" s="73"/>
      <c r="L76" s="73"/>
      <c r="M76" s="73"/>
      <c r="N76" s="73"/>
      <c r="O76" s="73"/>
      <c r="P76" s="73"/>
      <c r="Q76" s="73"/>
      <c r="R76" s="73"/>
      <c r="S76" s="73"/>
      <c r="T76" s="73"/>
      <c r="U76" s="73"/>
      <c r="V76" s="73"/>
      <c r="W76" s="73"/>
      <c r="X76" s="73"/>
      <c r="Y76" s="73"/>
      <c r="Z76" s="73"/>
      <c r="AA76" s="73"/>
      <c r="AB76" s="73"/>
      <c r="AC76" s="73"/>
      <c r="AD76" s="73"/>
      <c r="AE76" s="73"/>
      <c r="AF76" s="73"/>
      <c r="AG76" s="73"/>
      <c r="AH76" s="73"/>
      <c r="AI76" s="73"/>
      <c r="AJ76" s="73"/>
      <c r="AK76" s="73"/>
      <c r="AL76" s="73"/>
      <c r="AM76" t="s">
        <v>798</v>
      </c>
      <c r="AN76" t="s">
        <v>151</v>
      </c>
      <c r="AO76" t="s">
        <v>709</v>
      </c>
    </row>
    <row r="77" spans="1:41" ht="18" customHeight="1" outlineLevel="1">
      <c r="A77" s="65">
        <f>ROW(Rohdaten!$A$71)</f>
        <v>71</v>
      </c>
      <c r="B77" s="66" t="str">
        <f>IF(Rohdaten!$A$71="","",Rohdaten!$A$71)</f>
        <v>7VE</v>
      </c>
      <c r="C77" s="74" t="s">
        <v>799</v>
      </c>
      <c r="D77" s="68">
        <f>IF(Rohdaten!$E$71="","",Rohdaten!$E$71)</f>
        <v/>
      </c>
      <c r="E77" s="69" t="str">
        <f t="array" ref="E77">_xlfn.TEXTJOIN(" / ",TRUE,IF($I77:$AL77="●",$I$4:$AL$4,""))</f>
        <v/>
      </c>
      <c r="F77" s="70" t="s">
        <v>791</v>
      </c>
      <c r="G77" s="71" t="s">
        <v>712</v>
      </c>
      <c r="H77" s="72">
        <f>IF($F77="automatisch",IF(ISNA(MATCH(Stichtag,RD_Kopf,0)),"automatisch",IF(SUMPRODUCT((RD_Kopf&gt;=IF($G77="monatlich",DATE(YEAR(KWFreitag),MONTH(KWFreitag),1),IF($G77="quartalsweise",DATE(YEAR(KWFreitag),INT((MONTH(KWFreitag)-1)/3)*3+1,1),Stichtag)))*(RD_Kopf&lt;=Stichtag)*ISNUMBER(Rohdaten!$A$71:$LJ$71))&gt;0,"erledigt","automatisch")),IF($F77&lt;&gt;"ja","",IF(ISNA(MATCH(Stichtag,RD_Kopf,0)),"keine Spalte",IF(SUMPRODUCT((RD_Kopf&gt;=IF($G77="monatlich",DATE(YEAR(KWFreitag),MONTH(KWFreitag),1),IF($G77="quartalsweise",DATE(YEAR(KWFreitag),INT((MONTH(KWFreitag)-1)/3)*3+1,1),Stichtag)))*(RD_Kopf&lt;=Stichtag)*ISNUMBER(Rohdaten!$A$71:$LJ$71))&gt;0,"erledigt","offen"))))</f>
        <v/>
      </c>
      <c r="I77" s="73"/>
      <c r="J77" s="73"/>
      <c r="K77" s="73"/>
      <c r="L77" s="73"/>
      <c r="M77" s="73"/>
      <c r="N77" s="73"/>
      <c r="O77" s="73"/>
      <c r="P77" s="73"/>
      <c r="Q77" s="73"/>
      <c r="R77" s="73"/>
      <c r="S77" s="73"/>
      <c r="T77" s="73"/>
      <c r="U77" s="73"/>
      <c r="V77" s="73"/>
      <c r="W77" s="73"/>
      <c r="X77" s="73"/>
      <c r="Y77" s="73"/>
      <c r="Z77" s="73"/>
      <c r="AA77" s="73"/>
      <c r="AB77" s="73"/>
      <c r="AC77" s="73"/>
      <c r="AD77" s="73"/>
      <c r="AE77" s="73"/>
      <c r="AF77" s="73"/>
      <c r="AG77" s="73"/>
      <c r="AH77" s="73"/>
      <c r="AI77" s="73"/>
      <c r="AJ77" s="73"/>
      <c r="AK77" s="73"/>
      <c r="AL77" s="73"/>
      <c r="AM77" t="s">
        <v>800</v>
      </c>
      <c r="AN77" t="s">
        <v>801</v>
      </c>
      <c r="AO77" t="s">
        <v>709</v>
      </c>
    </row>
    <row r="78" spans="1:41" ht="18" customHeight="1" outlineLevel="1">
      <c r="A78" s="62"/>
      <c r="B78" s="62"/>
      <c r="C78" s="63" t="s">
        <v>783</v>
      </c>
      <c r="D78" s="63"/>
      <c r="E78" s="63"/>
      <c r="F78" s="63"/>
      <c r="G78" s="63"/>
      <c r="H78" s="63"/>
      <c r="I78" s="64"/>
      <c r="J78" s="64"/>
      <c r="K78" s="64"/>
      <c r="L78" s="64"/>
      <c r="M78" s="64"/>
      <c r="N78" s="64"/>
      <c r="O78" s="64"/>
      <c r="P78" s="64"/>
      <c r="Q78" s="64"/>
      <c r="R78" s="64"/>
      <c r="S78" s="64"/>
      <c r="T78" s="64"/>
      <c r="U78" s="64"/>
      <c r="V78" s="64"/>
      <c r="W78" s="64"/>
      <c r="X78" s="64"/>
      <c r="Y78" s="64"/>
      <c r="Z78" s="64"/>
      <c r="AA78" s="64"/>
      <c r="AB78" s="64"/>
      <c r="AC78" s="64"/>
      <c r="AD78" s="64"/>
      <c r="AE78" s="64"/>
      <c r="AF78" s="64"/>
      <c r="AG78" s="64"/>
      <c r="AH78" s="64"/>
      <c r="AI78" s="64"/>
      <c r="AJ78" s="64"/>
      <c r="AK78" s="64"/>
      <c r="AL78" s="64"/>
      <c r="AO78" t="s">
        <v>706</v>
      </c>
    </row>
    <row r="79" spans="1:41" ht="18" customHeight="1" outlineLevel="2">
      <c r="A79" s="65">
        <f>ROW(Rohdaten!$A$72)</f>
        <v>72</v>
      </c>
      <c r="B79" s="66" t="str">
        <f>IF(Rohdaten!$A$72="","",Rohdaten!$A$72)</f>
        <v>7VF</v>
      </c>
      <c r="C79" s="67" t="s">
        <v>793</v>
      </c>
      <c r="D79" s="68" t="str">
        <f>IF(Rohdaten!$E$72="","",Rohdaten!$E$72)</f>
        <v>Amend</v>
      </c>
      <c r="E79" s="69" t="str">
        <f t="array" ref="E79">_xlfn.TEXTJOIN(" / ",TRUE,IF($I79:$AL79="●",$I$4:$AL$4,""))</f>
        <v>Amend</v>
      </c>
      <c r="F79" s="70" t="s">
        <v>791</v>
      </c>
      <c r="G79" s="71" t="s">
        <v>712</v>
      </c>
      <c r="H79" s="72">
        <f>IF($F79="automatisch",IF(ISNA(MATCH(Stichtag,RD_Kopf,0)),"automatisch",IF(SUMPRODUCT((RD_Kopf&gt;=IF($G79="monatlich",DATE(YEAR(KWFreitag),MONTH(KWFreitag),1),IF($G79="quartalsweise",DATE(YEAR(KWFreitag),INT((MONTH(KWFreitag)-1)/3)*3+1,1),Stichtag)))*(RD_Kopf&lt;=Stichtag)*ISNUMBER(Rohdaten!$A$72:$LJ$72))&gt;0,"erledigt","automatisch")),IF($F79&lt;&gt;"ja","",IF(ISNA(MATCH(Stichtag,RD_Kopf,0)),"keine Spalte",IF(SUMPRODUCT((RD_Kopf&gt;=IF($G79="monatlich",DATE(YEAR(KWFreitag),MONTH(KWFreitag),1),IF($G79="quartalsweise",DATE(YEAR(KWFreitag),INT((MONTH(KWFreitag)-1)/3)*3+1,1),Stichtag)))*(RD_Kopf&lt;=Stichtag)*ISNUMBER(Rohdaten!$A$72:$LJ$72))&gt;0,"erledigt","offen"))))</f>
        <v/>
      </c>
      <c r="I79" s="73" t="s">
        <v>714</v>
      </c>
      <c r="J79" s="73"/>
      <c r="K79" s="73"/>
      <c r="L79" s="73"/>
      <c r="M79" s="73"/>
      <c r="N79" s="73"/>
      <c r="O79" s="73"/>
      <c r="P79" s="73"/>
      <c r="Q79" s="73"/>
      <c r="R79" s="73"/>
      <c r="S79" s="73"/>
      <c r="T79" s="73"/>
      <c r="U79" s="73"/>
      <c r="V79" s="73"/>
      <c r="W79" s="73"/>
      <c r="X79" s="73"/>
      <c r="Y79" s="73"/>
      <c r="Z79" s="73"/>
      <c r="AA79" s="73"/>
      <c r="AB79" s="73"/>
      <c r="AC79" s="73"/>
      <c r="AD79" s="73"/>
      <c r="AE79" s="73"/>
      <c r="AF79" s="73"/>
      <c r="AG79" s="73"/>
      <c r="AH79" s="73"/>
      <c r="AI79" s="73"/>
      <c r="AJ79" s="73"/>
      <c r="AK79" s="73"/>
      <c r="AL79" s="73"/>
      <c r="AM79" t="s">
        <v>802</v>
      </c>
      <c r="AN79" t="s">
        <v>153</v>
      </c>
      <c r="AO79" t="s">
        <v>709</v>
      </c>
    </row>
    <row r="80" spans="1:41" ht="18" customHeight="1" outlineLevel="2">
      <c r="A80" s="65">
        <f>ROW(Rohdaten!$A$73)</f>
        <v>73</v>
      </c>
      <c r="B80" s="66" t="str">
        <f>IF(Rohdaten!$A$73="","",Rohdaten!$A$73)</f>
        <v>7VG</v>
      </c>
      <c r="C80" s="67" t="s">
        <v>795</v>
      </c>
      <c r="D80" s="68" t="str">
        <f>IF(Rohdaten!$E$73="","",Rohdaten!$E$73)</f>
        <v>Amend</v>
      </c>
      <c r="E80" s="69" t="str">
        <f t="array" ref="E80">_xlfn.TEXTJOIN(" / ",TRUE,IF($I80:$AL80="●",$I$4:$AL$4,""))</f>
        <v>Amend</v>
      </c>
      <c r="F80" s="70" t="s">
        <v>791</v>
      </c>
      <c r="G80" s="71" t="s">
        <v>712</v>
      </c>
      <c r="H80" s="72">
        <f>IF($F80="automatisch",IF(ISNA(MATCH(Stichtag,RD_Kopf,0)),"automatisch",IF(SUMPRODUCT((RD_Kopf&gt;=IF($G80="monatlich",DATE(YEAR(KWFreitag),MONTH(KWFreitag),1),IF($G80="quartalsweise",DATE(YEAR(KWFreitag),INT((MONTH(KWFreitag)-1)/3)*3+1,1),Stichtag)))*(RD_Kopf&lt;=Stichtag)*ISNUMBER(Rohdaten!$A$73:$LJ$73))&gt;0,"erledigt","automatisch")),IF($F80&lt;&gt;"ja","",IF(ISNA(MATCH(Stichtag,RD_Kopf,0)),"keine Spalte",IF(SUMPRODUCT((RD_Kopf&gt;=IF($G80="monatlich",DATE(YEAR(KWFreitag),MONTH(KWFreitag),1),IF($G80="quartalsweise",DATE(YEAR(KWFreitag),INT((MONTH(KWFreitag)-1)/3)*3+1,1),Stichtag)))*(RD_Kopf&lt;=Stichtag)*ISNUMBER(Rohdaten!$A$73:$LJ$73))&gt;0,"erledigt","offen"))))</f>
        <v/>
      </c>
      <c r="I80" s="73" t="s">
        <v>714</v>
      </c>
      <c r="J80" s="73"/>
      <c r="K80" s="73"/>
      <c r="L80" s="73"/>
      <c r="M80" s="73"/>
      <c r="N80" s="73"/>
      <c r="O80" s="73"/>
      <c r="P80" s="73"/>
      <c r="Q80" s="73"/>
      <c r="R80" s="73"/>
      <c r="S80" s="73"/>
      <c r="T80" s="73"/>
      <c r="U80" s="73"/>
      <c r="V80" s="73"/>
      <c r="W80" s="73"/>
      <c r="X80" s="73"/>
      <c r="Y80" s="73"/>
      <c r="Z80" s="73"/>
      <c r="AA80" s="73"/>
      <c r="AB80" s="73"/>
      <c r="AC80" s="73"/>
      <c r="AD80" s="73"/>
      <c r="AE80" s="73"/>
      <c r="AF80" s="73"/>
      <c r="AG80" s="73"/>
      <c r="AH80" s="73"/>
      <c r="AI80" s="73"/>
      <c r="AJ80" s="73"/>
      <c r="AK80" s="73"/>
      <c r="AL80" s="73"/>
      <c r="AM80" t="s">
        <v>803</v>
      </c>
      <c r="AN80" t="s">
        <v>157</v>
      </c>
      <c r="AO80" t="s">
        <v>709</v>
      </c>
    </row>
    <row r="81" spans="1:41" ht="18" customHeight="1" outlineLevel="2">
      <c r="A81" s="65">
        <f>ROW(Rohdaten!$A$74)</f>
        <v>74</v>
      </c>
      <c r="B81" s="66" t="str">
        <f>IF(Rohdaten!$A$74="","",Rohdaten!$A$74)</f>
        <v>7VH</v>
      </c>
      <c r="C81" s="67" t="s">
        <v>797</v>
      </c>
      <c r="D81" s="68" t="str">
        <f>IF(Rohdaten!$E$74="","",Rohdaten!$E$74)</f>
        <v>Amend</v>
      </c>
      <c r="E81" s="69" t="str">
        <f t="array" ref="E81">_xlfn.TEXTJOIN(" / ",TRUE,IF($I81:$AL81="●",$I$4:$AL$4,""))</f>
        <v>Amend</v>
      </c>
      <c r="F81" s="70" t="s">
        <v>791</v>
      </c>
      <c r="G81" s="71" t="s">
        <v>712</v>
      </c>
      <c r="H81" s="72">
        <f>IF($F81="automatisch",IF(ISNA(MATCH(Stichtag,RD_Kopf,0)),"automatisch",IF(SUMPRODUCT((RD_Kopf&gt;=IF($G81="monatlich",DATE(YEAR(KWFreitag),MONTH(KWFreitag),1),IF($G81="quartalsweise",DATE(YEAR(KWFreitag),INT((MONTH(KWFreitag)-1)/3)*3+1,1),Stichtag)))*(RD_Kopf&lt;=Stichtag)*ISNUMBER(Rohdaten!$A$74:$LJ$74))&gt;0,"erledigt","automatisch")),IF($F81&lt;&gt;"ja","",IF(ISNA(MATCH(Stichtag,RD_Kopf,0)),"keine Spalte",IF(SUMPRODUCT((RD_Kopf&gt;=IF($G81="monatlich",DATE(YEAR(KWFreitag),MONTH(KWFreitag),1),IF($G81="quartalsweise",DATE(YEAR(KWFreitag),INT((MONTH(KWFreitag)-1)/3)*3+1,1),Stichtag)))*(RD_Kopf&lt;=Stichtag)*ISNUMBER(Rohdaten!$A$74:$LJ$74))&gt;0,"erledigt","offen"))))</f>
        <v/>
      </c>
      <c r="I81" s="73" t="s">
        <v>714</v>
      </c>
      <c r="J81" s="73"/>
      <c r="K81" s="73"/>
      <c r="L81" s="73"/>
      <c r="M81" s="73"/>
      <c r="N81" s="73"/>
      <c r="O81" s="73"/>
      <c r="P81" s="73"/>
      <c r="Q81" s="73"/>
      <c r="R81" s="73"/>
      <c r="S81" s="73"/>
      <c r="T81" s="73"/>
      <c r="U81" s="73"/>
      <c r="V81" s="73"/>
      <c r="W81" s="73"/>
      <c r="X81" s="73"/>
      <c r="Y81" s="73"/>
      <c r="Z81" s="73"/>
      <c r="AA81" s="73"/>
      <c r="AB81" s="73"/>
      <c r="AC81" s="73"/>
      <c r="AD81" s="73"/>
      <c r="AE81" s="73"/>
      <c r="AF81" s="73"/>
      <c r="AG81" s="73"/>
      <c r="AH81" s="73"/>
      <c r="AI81" s="73"/>
      <c r="AJ81" s="73"/>
      <c r="AK81" s="73"/>
      <c r="AL81" s="73"/>
      <c r="AM81" t="s">
        <v>804</v>
      </c>
      <c r="AN81" t="s">
        <v>161</v>
      </c>
      <c r="AO81" t="s">
        <v>709</v>
      </c>
    </row>
    <row r="82" spans="1:41" ht="18" customHeight="1" outlineLevel="1">
      <c r="A82" s="65">
        <f>ROW(Rohdaten!$A$75)</f>
        <v>75</v>
      </c>
      <c r="B82" s="66" t="str">
        <f>IF(Rohdaten!$A$75="","",Rohdaten!$A$75)</f>
        <v>7VI</v>
      </c>
      <c r="C82" s="74" t="s">
        <v>805</v>
      </c>
      <c r="D82" s="68">
        <f>IF(Rohdaten!$E$75="","",Rohdaten!$E$75)</f>
        <v/>
      </c>
      <c r="E82" s="69" t="str">
        <f t="array" ref="E82">_xlfn.TEXTJOIN(" / ",TRUE,IF($I82:$AL82="●",$I$4:$AL$4,""))</f>
        <v/>
      </c>
      <c r="F82" s="70" t="s">
        <v>791</v>
      </c>
      <c r="G82" s="71" t="s">
        <v>712</v>
      </c>
      <c r="H82" s="72">
        <f>IF($F82="automatisch",IF(ISNA(MATCH(Stichtag,RD_Kopf,0)),"automatisch",IF(SUMPRODUCT((RD_Kopf&gt;=IF($G82="monatlich",DATE(YEAR(KWFreitag),MONTH(KWFreitag),1),IF($G82="quartalsweise",DATE(YEAR(KWFreitag),INT((MONTH(KWFreitag)-1)/3)*3+1,1),Stichtag)))*(RD_Kopf&lt;=Stichtag)*ISNUMBER(Rohdaten!$A$75:$LJ$75))&gt;0,"erledigt","automatisch")),IF($F82&lt;&gt;"ja","",IF(ISNA(MATCH(Stichtag,RD_Kopf,0)),"keine Spalte",IF(SUMPRODUCT((RD_Kopf&gt;=IF($G82="monatlich",DATE(YEAR(KWFreitag),MONTH(KWFreitag),1),IF($G82="quartalsweise",DATE(YEAR(KWFreitag),INT((MONTH(KWFreitag)-1)/3)*3+1,1),Stichtag)))*(RD_Kopf&lt;=Stichtag)*ISNUMBER(Rohdaten!$A$75:$LJ$75))&gt;0,"erledigt","offen"))))</f>
        <v/>
      </c>
      <c r="I82" s="73"/>
      <c r="J82" s="73"/>
      <c r="K82" s="73"/>
      <c r="L82" s="73"/>
      <c r="M82" s="73"/>
      <c r="N82" s="73"/>
      <c r="O82" s="73"/>
      <c r="P82" s="73"/>
      <c r="Q82" s="73"/>
      <c r="R82" s="73"/>
      <c r="S82" s="73"/>
      <c r="T82" s="73"/>
      <c r="U82" s="73"/>
      <c r="V82" s="73"/>
      <c r="W82" s="73"/>
      <c r="X82" s="73"/>
      <c r="Y82" s="73"/>
      <c r="Z82" s="73"/>
      <c r="AA82" s="73"/>
      <c r="AB82" s="73"/>
      <c r="AC82" s="73"/>
      <c r="AD82" s="73"/>
      <c r="AE82" s="73"/>
      <c r="AF82" s="73"/>
      <c r="AG82" s="73"/>
      <c r="AH82" s="73"/>
      <c r="AI82" s="73"/>
      <c r="AJ82" s="73"/>
      <c r="AK82" s="73"/>
      <c r="AL82" s="73"/>
      <c r="AM82" t="s">
        <v>806</v>
      </c>
      <c r="AN82" t="s">
        <v>807</v>
      </c>
      <c r="AO82" t="s">
        <v>709</v>
      </c>
    </row>
    <row r="83" spans="1:41" ht="18" customHeight="1" outlineLevel="1">
      <c r="A83" s="62"/>
      <c r="B83" s="62"/>
      <c r="C83" s="63" t="s">
        <v>786</v>
      </c>
      <c r="D83" s="63"/>
      <c r="E83" s="63"/>
      <c r="F83" s="63"/>
      <c r="G83" s="63"/>
      <c r="H83" s="63"/>
      <c r="I83" s="64"/>
      <c r="J83" s="64"/>
      <c r="K83" s="64"/>
      <c r="L83" s="64"/>
      <c r="M83" s="64"/>
      <c r="N83" s="64"/>
      <c r="O83" s="64"/>
      <c r="P83" s="64"/>
      <c r="Q83" s="64"/>
      <c r="R83" s="64"/>
      <c r="S83" s="64"/>
      <c r="T83" s="64"/>
      <c r="U83" s="64"/>
      <c r="V83" s="64"/>
      <c r="W83" s="64"/>
      <c r="X83" s="64"/>
      <c r="Y83" s="64"/>
      <c r="Z83" s="64"/>
      <c r="AA83" s="64"/>
      <c r="AB83" s="64"/>
      <c r="AC83" s="64"/>
      <c r="AD83" s="64"/>
      <c r="AE83" s="64"/>
      <c r="AF83" s="64"/>
      <c r="AG83" s="64"/>
      <c r="AH83" s="64"/>
      <c r="AI83" s="64"/>
      <c r="AJ83" s="64"/>
      <c r="AK83" s="64"/>
      <c r="AL83" s="64"/>
      <c r="AO83" t="s">
        <v>706</v>
      </c>
    </row>
    <row r="84" spans="1:41" ht="18" customHeight="1" outlineLevel="2">
      <c r="A84" s="65">
        <f>ROW(Rohdaten!$A$76)</f>
        <v>76</v>
      </c>
      <c r="B84" s="66" t="str">
        <f>IF(Rohdaten!$A$76="","",Rohdaten!$A$76)</f>
        <v>7VJ</v>
      </c>
      <c r="C84" s="67" t="s">
        <v>793</v>
      </c>
      <c r="D84" s="68" t="str">
        <f>IF(Rohdaten!$E$76="","",Rohdaten!$E$76)</f>
        <v>Amend</v>
      </c>
      <c r="E84" s="69" t="str">
        <f t="array" ref="E84">_xlfn.TEXTJOIN(" / ",TRUE,IF($I84:$AL84="●",$I$4:$AL$4,""))</f>
        <v>Amend</v>
      </c>
      <c r="F84" s="70" t="s">
        <v>791</v>
      </c>
      <c r="G84" s="71" t="s">
        <v>712</v>
      </c>
      <c r="H84" s="72">
        <f>IF($F84="automatisch",IF(ISNA(MATCH(Stichtag,RD_Kopf,0)),"automatisch",IF(SUMPRODUCT((RD_Kopf&gt;=IF($G84="monatlich",DATE(YEAR(KWFreitag),MONTH(KWFreitag),1),IF($G84="quartalsweise",DATE(YEAR(KWFreitag),INT((MONTH(KWFreitag)-1)/3)*3+1,1),Stichtag)))*(RD_Kopf&lt;=Stichtag)*ISNUMBER(Rohdaten!$A$76:$LJ$76))&gt;0,"erledigt","automatisch")),IF($F84&lt;&gt;"ja","",IF(ISNA(MATCH(Stichtag,RD_Kopf,0)),"keine Spalte",IF(SUMPRODUCT((RD_Kopf&gt;=IF($G84="monatlich",DATE(YEAR(KWFreitag),MONTH(KWFreitag),1),IF($G84="quartalsweise",DATE(YEAR(KWFreitag),INT((MONTH(KWFreitag)-1)/3)*3+1,1),Stichtag)))*(RD_Kopf&lt;=Stichtag)*ISNUMBER(Rohdaten!$A$76:$LJ$76))&gt;0,"erledigt","offen"))))</f>
        <v/>
      </c>
      <c r="I84" s="73" t="s">
        <v>714</v>
      </c>
      <c r="J84" s="73"/>
      <c r="K84" s="73"/>
      <c r="L84" s="73"/>
      <c r="M84" s="73"/>
      <c r="N84" s="73"/>
      <c r="O84" s="73"/>
      <c r="P84" s="73"/>
      <c r="Q84" s="73"/>
      <c r="R84" s="73"/>
      <c r="S84" s="73"/>
      <c r="T84" s="73"/>
      <c r="U84" s="73"/>
      <c r="V84" s="73"/>
      <c r="W84" s="73"/>
      <c r="X84" s="73"/>
      <c r="Y84" s="73"/>
      <c r="Z84" s="73"/>
      <c r="AA84" s="73"/>
      <c r="AB84" s="73"/>
      <c r="AC84" s="73"/>
      <c r="AD84" s="73"/>
      <c r="AE84" s="73"/>
      <c r="AF84" s="73"/>
      <c r="AG84" s="73"/>
      <c r="AH84" s="73"/>
      <c r="AI84" s="73"/>
      <c r="AJ84" s="73"/>
      <c r="AK84" s="73"/>
      <c r="AL84" s="73"/>
      <c r="AM84" t="s">
        <v>808</v>
      </c>
      <c r="AN84" t="s">
        <v>155</v>
      </c>
      <c r="AO84" t="s">
        <v>709</v>
      </c>
    </row>
    <row r="85" spans="1:41" ht="18" customHeight="1" outlineLevel="2">
      <c r="A85" s="65">
        <f>ROW(Rohdaten!$A$77)</f>
        <v>77</v>
      </c>
      <c r="B85" s="66" t="str">
        <f>IF(Rohdaten!$A$77="","",Rohdaten!$A$77)</f>
        <v>7VK</v>
      </c>
      <c r="C85" s="67" t="s">
        <v>795</v>
      </c>
      <c r="D85" s="68" t="str">
        <f>IF(Rohdaten!$E$77="","",Rohdaten!$E$77)</f>
        <v>Amend</v>
      </c>
      <c r="E85" s="69" t="str">
        <f t="array" ref="E85">_xlfn.TEXTJOIN(" / ",TRUE,IF($I85:$AL85="●",$I$4:$AL$4,""))</f>
        <v>Amend</v>
      </c>
      <c r="F85" s="70" t="s">
        <v>791</v>
      </c>
      <c r="G85" s="71" t="s">
        <v>712</v>
      </c>
      <c r="H85" s="72">
        <f>IF($F85="automatisch",IF(ISNA(MATCH(Stichtag,RD_Kopf,0)),"automatisch",IF(SUMPRODUCT((RD_Kopf&gt;=IF($G85="monatlich",DATE(YEAR(KWFreitag),MONTH(KWFreitag),1),IF($G85="quartalsweise",DATE(YEAR(KWFreitag),INT((MONTH(KWFreitag)-1)/3)*3+1,1),Stichtag)))*(RD_Kopf&lt;=Stichtag)*ISNUMBER(Rohdaten!$A$77:$LJ$77))&gt;0,"erledigt","automatisch")),IF($F85&lt;&gt;"ja","",IF(ISNA(MATCH(Stichtag,RD_Kopf,0)),"keine Spalte",IF(SUMPRODUCT((RD_Kopf&gt;=IF($G85="monatlich",DATE(YEAR(KWFreitag),MONTH(KWFreitag),1),IF($G85="quartalsweise",DATE(YEAR(KWFreitag),INT((MONTH(KWFreitag)-1)/3)*3+1,1),Stichtag)))*(RD_Kopf&lt;=Stichtag)*ISNUMBER(Rohdaten!$A$77:$LJ$77))&gt;0,"erledigt","offen"))))</f>
        <v/>
      </c>
      <c r="I85" s="73" t="s">
        <v>714</v>
      </c>
      <c r="J85" s="73"/>
      <c r="K85" s="73"/>
      <c r="L85" s="73"/>
      <c r="M85" s="73"/>
      <c r="N85" s="73"/>
      <c r="O85" s="73"/>
      <c r="P85" s="73"/>
      <c r="Q85" s="73"/>
      <c r="R85" s="73"/>
      <c r="S85" s="73"/>
      <c r="T85" s="73"/>
      <c r="U85" s="73"/>
      <c r="V85" s="73"/>
      <c r="W85" s="73"/>
      <c r="X85" s="73"/>
      <c r="Y85" s="73"/>
      <c r="Z85" s="73"/>
      <c r="AA85" s="73"/>
      <c r="AB85" s="73"/>
      <c r="AC85" s="73"/>
      <c r="AD85" s="73"/>
      <c r="AE85" s="73"/>
      <c r="AF85" s="73"/>
      <c r="AG85" s="73"/>
      <c r="AH85" s="73"/>
      <c r="AI85" s="73"/>
      <c r="AJ85" s="73"/>
      <c r="AK85" s="73"/>
      <c r="AL85" s="73"/>
      <c r="AM85" t="s">
        <v>809</v>
      </c>
      <c r="AN85" t="s">
        <v>159</v>
      </c>
      <c r="AO85" t="s">
        <v>709</v>
      </c>
    </row>
    <row r="86" spans="1:41" ht="18" customHeight="1" outlineLevel="2">
      <c r="A86" s="65">
        <f>ROW(Rohdaten!$A$78)</f>
        <v>78</v>
      </c>
      <c r="B86" s="66" t="str">
        <f>IF(Rohdaten!$A$78="","",Rohdaten!$A$78)</f>
        <v>7VL</v>
      </c>
      <c r="C86" s="67" t="s">
        <v>797</v>
      </c>
      <c r="D86" s="68" t="str">
        <f>IF(Rohdaten!$E$78="","",Rohdaten!$E$78)</f>
        <v>Amend</v>
      </c>
      <c r="E86" s="69" t="str">
        <f t="array" ref="E86">_xlfn.TEXTJOIN(" / ",TRUE,IF($I86:$AL86="●",$I$4:$AL$4,""))</f>
        <v>Amend</v>
      </c>
      <c r="F86" s="70" t="s">
        <v>791</v>
      </c>
      <c r="G86" s="71" t="s">
        <v>712</v>
      </c>
      <c r="H86" s="72">
        <f>IF($F86="automatisch",IF(ISNA(MATCH(Stichtag,RD_Kopf,0)),"automatisch",IF(SUMPRODUCT((RD_Kopf&gt;=IF($G86="monatlich",DATE(YEAR(KWFreitag),MONTH(KWFreitag),1),IF($G86="quartalsweise",DATE(YEAR(KWFreitag),INT((MONTH(KWFreitag)-1)/3)*3+1,1),Stichtag)))*(RD_Kopf&lt;=Stichtag)*ISNUMBER(Rohdaten!$A$78:$LJ$78))&gt;0,"erledigt","automatisch")),IF($F86&lt;&gt;"ja","",IF(ISNA(MATCH(Stichtag,RD_Kopf,0)),"keine Spalte",IF(SUMPRODUCT((RD_Kopf&gt;=IF($G86="monatlich",DATE(YEAR(KWFreitag),MONTH(KWFreitag),1),IF($G86="quartalsweise",DATE(YEAR(KWFreitag),INT((MONTH(KWFreitag)-1)/3)*3+1,1),Stichtag)))*(RD_Kopf&lt;=Stichtag)*ISNUMBER(Rohdaten!$A$78:$LJ$78))&gt;0,"erledigt","offen"))))</f>
        <v/>
      </c>
      <c r="I86" s="73" t="s">
        <v>714</v>
      </c>
      <c r="J86" s="73"/>
      <c r="K86" s="73"/>
      <c r="L86" s="73"/>
      <c r="M86" s="73"/>
      <c r="N86" s="73"/>
      <c r="O86" s="73"/>
      <c r="P86" s="73"/>
      <c r="Q86" s="73"/>
      <c r="R86" s="73"/>
      <c r="S86" s="73"/>
      <c r="T86" s="73"/>
      <c r="U86" s="73"/>
      <c r="V86" s="73"/>
      <c r="W86" s="73"/>
      <c r="X86" s="73"/>
      <c r="Y86" s="73"/>
      <c r="Z86" s="73"/>
      <c r="AA86" s="73"/>
      <c r="AB86" s="73"/>
      <c r="AC86" s="73"/>
      <c r="AD86" s="73"/>
      <c r="AE86" s="73"/>
      <c r="AF86" s="73"/>
      <c r="AG86" s="73"/>
      <c r="AH86" s="73"/>
      <c r="AI86" s="73"/>
      <c r="AJ86" s="73"/>
      <c r="AK86" s="73"/>
      <c r="AL86" s="73"/>
      <c r="AM86" t="s">
        <v>810</v>
      </c>
      <c r="AN86" t="s">
        <v>163</v>
      </c>
      <c r="AO86" t="s">
        <v>709</v>
      </c>
    </row>
    <row r="87" spans="1:41" ht="18" customHeight="1" outlineLevel="1">
      <c r="A87" s="65">
        <f>ROW(Rohdaten!$A$79)</f>
        <v>79</v>
      </c>
      <c r="B87" s="66" t="str">
        <f>IF(Rohdaten!$A$79="","",Rohdaten!$A$79)</f>
        <v>7OA</v>
      </c>
      <c r="C87" s="74" t="s">
        <v>811</v>
      </c>
      <c r="D87" s="68">
        <f>IF(Rohdaten!$E$79="","",Rohdaten!$E$79)</f>
        <v/>
      </c>
      <c r="E87" s="69" t="str">
        <f t="array" ref="E87">_xlfn.TEXTJOIN(" / ",TRUE,IF($I87:$AL87="●",$I$4:$AL$4,""))</f>
        <v/>
      </c>
      <c r="F87" s="70" t="s">
        <v>791</v>
      </c>
      <c r="G87" s="71" t="s">
        <v>712</v>
      </c>
      <c r="H87" s="72">
        <f>IF($F87="automatisch",IF(ISNA(MATCH(Stichtag,RD_Kopf,0)),"automatisch",IF(SUMPRODUCT((RD_Kopf&gt;=IF($G87="monatlich",DATE(YEAR(KWFreitag),MONTH(KWFreitag),1),IF($G87="quartalsweise",DATE(YEAR(KWFreitag),INT((MONTH(KWFreitag)-1)/3)*3+1,1),Stichtag)))*(RD_Kopf&lt;=Stichtag)*ISNUMBER(Rohdaten!$A$79:$LJ$79))&gt;0,"erledigt","automatisch")),IF($F87&lt;&gt;"ja","",IF(ISNA(MATCH(Stichtag,RD_Kopf,0)),"keine Spalte",IF(SUMPRODUCT((RD_Kopf&gt;=IF($G87="monatlich",DATE(YEAR(KWFreitag),MONTH(KWFreitag),1),IF($G87="quartalsweise",DATE(YEAR(KWFreitag),INT((MONTH(KWFreitag)-1)/3)*3+1,1),Stichtag)))*(RD_Kopf&lt;=Stichtag)*ISNUMBER(Rohdaten!$A$79:$LJ$79))&gt;0,"erledigt","offen"))))</f>
        <v/>
      </c>
      <c r="I87" s="73"/>
      <c r="J87" s="73"/>
      <c r="K87" s="73"/>
      <c r="L87" s="73"/>
      <c r="M87" s="73"/>
      <c r="N87" s="73"/>
      <c r="O87" s="73"/>
      <c r="P87" s="73"/>
      <c r="Q87" s="73"/>
      <c r="R87" s="73"/>
      <c r="S87" s="73"/>
      <c r="T87" s="73"/>
      <c r="U87" s="73"/>
      <c r="V87" s="73"/>
      <c r="W87" s="73"/>
      <c r="X87" s="73"/>
      <c r="Y87" s="73"/>
      <c r="Z87" s="73"/>
      <c r="AA87" s="73"/>
      <c r="AB87" s="73"/>
      <c r="AC87" s="73"/>
      <c r="AD87" s="73"/>
      <c r="AE87" s="73"/>
      <c r="AF87" s="73"/>
      <c r="AG87" s="73"/>
      <c r="AH87" s="73"/>
      <c r="AI87" s="73"/>
      <c r="AJ87" s="73"/>
      <c r="AK87" s="73"/>
      <c r="AL87" s="73"/>
      <c r="AM87" t="s">
        <v>812</v>
      </c>
      <c r="AN87" t="s">
        <v>253</v>
      </c>
      <c r="AO87" t="s">
        <v>709</v>
      </c>
    </row>
    <row r="88" spans="1:41" ht="18" customHeight="1" outlineLevel="1">
      <c r="A88" s="62"/>
      <c r="B88" s="62"/>
      <c r="C88" s="63" t="s">
        <v>813</v>
      </c>
      <c r="D88" s="63"/>
      <c r="E88" s="63"/>
      <c r="F88" s="63"/>
      <c r="G88" s="63"/>
      <c r="H88" s="63"/>
      <c r="I88" s="64"/>
      <c r="J88" s="64"/>
      <c r="K88" s="64"/>
      <c r="L88" s="64"/>
      <c r="M88" s="64"/>
      <c r="N88" s="64"/>
      <c r="O88" s="64"/>
      <c r="P88" s="64"/>
      <c r="Q88" s="64"/>
      <c r="R88" s="64"/>
      <c r="S88" s="64"/>
      <c r="T88" s="64"/>
      <c r="U88" s="64"/>
      <c r="V88" s="64"/>
      <c r="W88" s="64"/>
      <c r="X88" s="64"/>
      <c r="Y88" s="64"/>
      <c r="Z88" s="64"/>
      <c r="AA88" s="64"/>
      <c r="AB88" s="64"/>
      <c r="AC88" s="64"/>
      <c r="AD88" s="64"/>
      <c r="AE88" s="64"/>
      <c r="AF88" s="64"/>
      <c r="AG88" s="64"/>
      <c r="AH88" s="64"/>
      <c r="AI88" s="64"/>
      <c r="AJ88" s="64"/>
      <c r="AK88" s="64"/>
      <c r="AL88" s="64"/>
      <c r="AO88" t="s">
        <v>706</v>
      </c>
    </row>
    <row r="89" spans="1:41" ht="18" customHeight="1" outlineLevel="2">
      <c r="A89" s="65">
        <f>ROW(Rohdaten!$A$80)</f>
        <v>80</v>
      </c>
      <c r="B89" s="66" t="str">
        <f>IF(Rohdaten!$A$80="","",Rohdaten!$A$80)</f>
        <v>7OB</v>
      </c>
      <c r="C89" s="67" t="s">
        <v>814</v>
      </c>
      <c r="D89" s="68" t="str">
        <f>IF(Rohdaten!$E$80="","",Rohdaten!$E$80)</f>
        <v>Amend</v>
      </c>
      <c r="E89" s="69" t="str">
        <f t="array" ref="E89">_xlfn.TEXTJOIN(" / ",TRUE,IF($I89:$AL89="●",$I$4:$AL$4,""))</f>
        <v>Amend</v>
      </c>
      <c r="F89" s="70" t="s">
        <v>791</v>
      </c>
      <c r="G89" s="71" t="s">
        <v>712</v>
      </c>
      <c r="H89" s="72">
        <f>IF($F89="automatisch",IF(ISNA(MATCH(Stichtag,RD_Kopf,0)),"automatisch",IF(SUMPRODUCT((RD_Kopf&gt;=IF($G89="monatlich",DATE(YEAR(KWFreitag),MONTH(KWFreitag),1),IF($G89="quartalsweise",DATE(YEAR(KWFreitag),INT((MONTH(KWFreitag)-1)/3)*3+1,1),Stichtag)))*(RD_Kopf&lt;=Stichtag)*ISNUMBER(Rohdaten!$A$80:$LJ$80))&gt;0,"erledigt","automatisch")),IF($F89&lt;&gt;"ja","",IF(ISNA(MATCH(Stichtag,RD_Kopf,0)),"keine Spalte",IF(SUMPRODUCT((RD_Kopf&gt;=IF($G89="monatlich",DATE(YEAR(KWFreitag),MONTH(KWFreitag),1),IF($G89="quartalsweise",DATE(YEAR(KWFreitag),INT((MONTH(KWFreitag)-1)/3)*3+1,1),Stichtag)))*(RD_Kopf&lt;=Stichtag)*ISNUMBER(Rohdaten!$A$80:$LJ$80))&gt;0,"erledigt","offen"))))</f>
        <v/>
      </c>
      <c r="I89" s="73" t="s">
        <v>714</v>
      </c>
      <c r="J89" s="73"/>
      <c r="K89" s="73"/>
      <c r="L89" s="73"/>
      <c r="M89" s="73"/>
      <c r="N89" s="73"/>
      <c r="O89" s="73"/>
      <c r="P89" s="73"/>
      <c r="Q89" s="73"/>
      <c r="R89" s="73"/>
      <c r="S89" s="73"/>
      <c r="T89" s="73"/>
      <c r="U89" s="73"/>
      <c r="V89" s="73"/>
      <c r="W89" s="73"/>
      <c r="X89" s="73"/>
      <c r="Y89" s="73"/>
      <c r="Z89" s="73"/>
      <c r="AA89" s="73"/>
      <c r="AB89" s="73"/>
      <c r="AC89" s="73"/>
      <c r="AD89" s="73"/>
      <c r="AE89" s="73"/>
      <c r="AF89" s="73"/>
      <c r="AG89" s="73"/>
      <c r="AH89" s="73"/>
      <c r="AI89" s="73"/>
      <c r="AJ89" s="73"/>
      <c r="AK89" s="73"/>
      <c r="AL89" s="73"/>
      <c r="AM89" t="s">
        <v>815</v>
      </c>
      <c r="AN89" t="s">
        <v>255</v>
      </c>
      <c r="AO89" t="s">
        <v>709</v>
      </c>
    </row>
    <row r="90" spans="1:41" ht="18" customHeight="1" outlineLevel="2">
      <c r="A90" s="65">
        <f>ROW(Rohdaten!$A$81)</f>
        <v>81</v>
      </c>
      <c r="B90" s="66" t="str">
        <f>IF(Rohdaten!$A$81="","",Rohdaten!$A$81)</f>
        <v>7OC</v>
      </c>
      <c r="C90" s="67" t="s">
        <v>816</v>
      </c>
      <c r="D90" s="68" t="str">
        <f>IF(Rohdaten!$E$81="","",Rohdaten!$E$81)</f>
        <v>Amend</v>
      </c>
      <c r="E90" s="69" t="str">
        <f t="array" ref="E90">_xlfn.TEXTJOIN(" / ",TRUE,IF($I90:$AL90="●",$I$4:$AL$4,""))</f>
        <v>Amend</v>
      </c>
      <c r="F90" s="70" t="s">
        <v>791</v>
      </c>
      <c r="G90" s="71" t="s">
        <v>712</v>
      </c>
      <c r="H90" s="72">
        <f>IF($F90="automatisch",IF(ISNA(MATCH(Stichtag,RD_Kopf,0)),"automatisch",IF(SUMPRODUCT((RD_Kopf&gt;=IF($G90="monatlich",DATE(YEAR(KWFreitag),MONTH(KWFreitag),1),IF($G90="quartalsweise",DATE(YEAR(KWFreitag),INT((MONTH(KWFreitag)-1)/3)*3+1,1),Stichtag)))*(RD_Kopf&lt;=Stichtag)*ISNUMBER(Rohdaten!$A$81:$LJ$81))&gt;0,"erledigt","automatisch")),IF($F90&lt;&gt;"ja","",IF(ISNA(MATCH(Stichtag,RD_Kopf,0)),"keine Spalte",IF(SUMPRODUCT((RD_Kopf&gt;=IF($G90="monatlich",DATE(YEAR(KWFreitag),MONTH(KWFreitag),1),IF($G90="quartalsweise",DATE(YEAR(KWFreitag),INT((MONTH(KWFreitag)-1)/3)*3+1,1),Stichtag)))*(RD_Kopf&lt;=Stichtag)*ISNUMBER(Rohdaten!$A$81:$LJ$81))&gt;0,"erledigt","offen"))))</f>
        <v/>
      </c>
      <c r="I90" s="73" t="s">
        <v>714</v>
      </c>
      <c r="J90" s="73"/>
      <c r="K90" s="73"/>
      <c r="L90" s="73"/>
      <c r="M90" s="73"/>
      <c r="N90" s="73"/>
      <c r="O90" s="73"/>
      <c r="P90" s="73"/>
      <c r="Q90" s="73"/>
      <c r="R90" s="73"/>
      <c r="S90" s="73"/>
      <c r="T90" s="73"/>
      <c r="U90" s="73"/>
      <c r="V90" s="73"/>
      <c r="W90" s="73"/>
      <c r="X90" s="73"/>
      <c r="Y90" s="73"/>
      <c r="Z90" s="73"/>
      <c r="AA90" s="73"/>
      <c r="AB90" s="73"/>
      <c r="AC90" s="73"/>
      <c r="AD90" s="73"/>
      <c r="AE90" s="73"/>
      <c r="AF90" s="73"/>
      <c r="AG90" s="73"/>
      <c r="AH90" s="73"/>
      <c r="AI90" s="73"/>
      <c r="AJ90" s="73"/>
      <c r="AK90" s="73"/>
      <c r="AL90" s="73"/>
      <c r="AM90" t="s">
        <v>817</v>
      </c>
      <c r="AN90" t="s">
        <v>257</v>
      </c>
      <c r="AO90" t="s">
        <v>709</v>
      </c>
    </row>
    <row r="91" spans="1:41" ht="18" customHeight="1" outlineLevel="2">
      <c r="A91" s="65">
        <f>ROW(Rohdaten!$A$82)</f>
        <v>82</v>
      </c>
      <c r="B91" s="66" t="str">
        <f>IF(Rohdaten!$A$82="","",Rohdaten!$A$82)</f>
        <v>7OD</v>
      </c>
      <c r="C91" s="67" t="s">
        <v>818</v>
      </c>
      <c r="D91" s="68" t="str">
        <f>IF(Rohdaten!$E$82="","",Rohdaten!$E$82)</f>
        <v>Amend</v>
      </c>
      <c r="E91" s="69" t="str">
        <f t="array" ref="E91">_xlfn.TEXTJOIN(" / ",TRUE,IF($I91:$AL91="●",$I$4:$AL$4,""))</f>
        <v>Amend</v>
      </c>
      <c r="F91" s="70" t="s">
        <v>791</v>
      </c>
      <c r="G91" s="71" t="s">
        <v>712</v>
      </c>
      <c r="H91" s="72">
        <f>IF($F91="automatisch",IF(ISNA(MATCH(Stichtag,RD_Kopf,0)),"automatisch",IF(SUMPRODUCT((RD_Kopf&gt;=IF($G91="monatlich",DATE(YEAR(KWFreitag),MONTH(KWFreitag),1),IF($G91="quartalsweise",DATE(YEAR(KWFreitag),INT((MONTH(KWFreitag)-1)/3)*3+1,1),Stichtag)))*(RD_Kopf&lt;=Stichtag)*ISNUMBER(Rohdaten!$A$82:$LJ$82))&gt;0,"erledigt","automatisch")),IF($F91&lt;&gt;"ja","",IF(ISNA(MATCH(Stichtag,RD_Kopf,0)),"keine Spalte",IF(SUMPRODUCT((RD_Kopf&gt;=IF($G91="monatlich",DATE(YEAR(KWFreitag),MONTH(KWFreitag),1),IF($G91="quartalsweise",DATE(YEAR(KWFreitag),INT((MONTH(KWFreitag)-1)/3)*3+1,1),Stichtag)))*(RD_Kopf&lt;=Stichtag)*ISNUMBER(Rohdaten!$A$82:$LJ$82))&gt;0,"erledigt","offen"))))</f>
        <v/>
      </c>
      <c r="I91" s="73" t="s">
        <v>714</v>
      </c>
      <c r="J91" s="73"/>
      <c r="K91" s="73"/>
      <c r="L91" s="73"/>
      <c r="M91" s="73"/>
      <c r="N91" s="73"/>
      <c r="O91" s="73"/>
      <c r="P91" s="73"/>
      <c r="Q91" s="73"/>
      <c r="R91" s="73"/>
      <c r="S91" s="73"/>
      <c r="T91" s="73"/>
      <c r="U91" s="73"/>
      <c r="V91" s="73"/>
      <c r="W91" s="73"/>
      <c r="X91" s="73"/>
      <c r="Y91" s="73"/>
      <c r="Z91" s="73"/>
      <c r="AA91" s="73"/>
      <c r="AB91" s="73"/>
      <c r="AC91" s="73"/>
      <c r="AD91" s="73"/>
      <c r="AE91" s="73"/>
      <c r="AF91" s="73"/>
      <c r="AG91" s="73"/>
      <c r="AH91" s="73"/>
      <c r="AI91" s="73"/>
      <c r="AJ91" s="73"/>
      <c r="AK91" s="73"/>
      <c r="AL91" s="73"/>
      <c r="AM91" t="s">
        <v>819</v>
      </c>
      <c r="AN91" t="s">
        <v>259</v>
      </c>
      <c r="AO91" t="s">
        <v>709</v>
      </c>
    </row>
    <row r="92" spans="1:41" ht="18" customHeight="1" outlineLevel="1">
      <c r="A92" s="65">
        <f>ROW(Rohdaten!$A$83)</f>
        <v>83</v>
      </c>
      <c r="B92" s="66" t="str">
        <f>IF(Rohdaten!$A$83="","",Rohdaten!$A$83)</f>
        <v>7OE</v>
      </c>
      <c r="C92" s="74" t="s">
        <v>820</v>
      </c>
      <c r="D92" s="68">
        <f>IF(Rohdaten!$E$83="","",Rohdaten!$E$83)</f>
        <v/>
      </c>
      <c r="E92" s="69" t="str">
        <f t="array" ref="E92">_xlfn.TEXTJOIN(" / ",TRUE,IF($I92:$AL92="●",$I$4:$AL$4,""))</f>
        <v/>
      </c>
      <c r="F92" s="70" t="s">
        <v>791</v>
      </c>
      <c r="G92" s="71" t="s">
        <v>712</v>
      </c>
      <c r="H92" s="72">
        <f>IF($F92="automatisch",IF(ISNA(MATCH(Stichtag,RD_Kopf,0)),"automatisch",IF(SUMPRODUCT((RD_Kopf&gt;=IF($G92="monatlich",DATE(YEAR(KWFreitag),MONTH(KWFreitag),1),IF($G92="quartalsweise",DATE(YEAR(KWFreitag),INT((MONTH(KWFreitag)-1)/3)*3+1,1),Stichtag)))*(RD_Kopf&lt;=Stichtag)*ISNUMBER(Rohdaten!$A$83:$LJ$83))&gt;0,"erledigt","automatisch")),IF($F92&lt;&gt;"ja","",IF(ISNA(MATCH(Stichtag,RD_Kopf,0)),"keine Spalte",IF(SUMPRODUCT((RD_Kopf&gt;=IF($G92="monatlich",DATE(YEAR(KWFreitag),MONTH(KWFreitag),1),IF($G92="quartalsweise",DATE(YEAR(KWFreitag),INT((MONTH(KWFreitag)-1)/3)*3+1,1),Stichtag)))*(RD_Kopf&lt;=Stichtag)*ISNUMBER(Rohdaten!$A$83:$LJ$83))&gt;0,"erledigt","offen"))))</f>
        <v/>
      </c>
      <c r="I92" s="73"/>
      <c r="J92" s="73"/>
      <c r="K92" s="73"/>
      <c r="L92" s="73"/>
      <c r="M92" s="73"/>
      <c r="N92" s="73"/>
      <c r="O92" s="73"/>
      <c r="P92" s="73"/>
      <c r="Q92" s="73"/>
      <c r="R92" s="73"/>
      <c r="S92" s="73"/>
      <c r="T92" s="73"/>
      <c r="U92" s="73"/>
      <c r="V92" s="73"/>
      <c r="W92" s="73"/>
      <c r="X92" s="73"/>
      <c r="Y92" s="73"/>
      <c r="Z92" s="73"/>
      <c r="AA92" s="73"/>
      <c r="AB92" s="73"/>
      <c r="AC92" s="73"/>
      <c r="AD92" s="73"/>
      <c r="AE92" s="73"/>
      <c r="AF92" s="73"/>
      <c r="AG92" s="73"/>
      <c r="AH92" s="73"/>
      <c r="AI92" s="73"/>
      <c r="AJ92" s="73"/>
      <c r="AK92" s="73"/>
      <c r="AL92" s="73"/>
      <c r="AM92" t="s">
        <v>821</v>
      </c>
      <c r="AN92" t="s">
        <v>822</v>
      </c>
      <c r="AO92" t="s">
        <v>709</v>
      </c>
    </row>
    <row r="93" spans="1:41" ht="18" customHeight="1" outlineLevel="1">
      <c r="A93" s="62"/>
      <c r="B93" s="62"/>
      <c r="C93" s="63" t="s">
        <v>783</v>
      </c>
      <c r="D93" s="63"/>
      <c r="E93" s="63"/>
      <c r="F93" s="63"/>
      <c r="G93" s="63"/>
      <c r="H93" s="63"/>
      <c r="I93" s="64"/>
      <c r="J93" s="64"/>
      <c r="K93" s="64"/>
      <c r="L93" s="64"/>
      <c r="M93" s="64"/>
      <c r="N93" s="64"/>
      <c r="O93" s="64"/>
      <c r="P93" s="64"/>
      <c r="Q93" s="64"/>
      <c r="R93" s="64"/>
      <c r="S93" s="64"/>
      <c r="T93" s="64"/>
      <c r="U93" s="64"/>
      <c r="V93" s="64"/>
      <c r="W93" s="64"/>
      <c r="X93" s="64"/>
      <c r="Y93" s="64"/>
      <c r="Z93" s="64"/>
      <c r="AA93" s="64"/>
      <c r="AB93" s="64"/>
      <c r="AC93" s="64"/>
      <c r="AD93" s="64"/>
      <c r="AE93" s="64"/>
      <c r="AF93" s="64"/>
      <c r="AG93" s="64"/>
      <c r="AH93" s="64"/>
      <c r="AI93" s="64"/>
      <c r="AJ93" s="64"/>
      <c r="AK93" s="64"/>
      <c r="AL93" s="64"/>
      <c r="AO93" t="s">
        <v>706</v>
      </c>
    </row>
    <row r="94" spans="1:41" ht="18" customHeight="1" outlineLevel="2">
      <c r="A94" s="65">
        <f>ROW(Rohdaten!$A$84)</f>
        <v>84</v>
      </c>
      <c r="B94" s="66" t="str">
        <f>IF(Rohdaten!$A$84="","",Rohdaten!$A$84)</f>
        <v>7OF</v>
      </c>
      <c r="C94" s="67" t="s">
        <v>814</v>
      </c>
      <c r="D94" s="68" t="str">
        <f>IF(Rohdaten!$E$84="","",Rohdaten!$E$84)</f>
        <v>Amend</v>
      </c>
      <c r="E94" s="69" t="str">
        <f t="array" ref="E94">_xlfn.TEXTJOIN(" / ",TRUE,IF($I94:$AL94="●",$I$4:$AL$4,""))</f>
        <v>Amend</v>
      </c>
      <c r="F94" s="70" t="s">
        <v>791</v>
      </c>
      <c r="G94" s="71" t="s">
        <v>712</v>
      </c>
      <c r="H94" s="72">
        <f>IF($F94="automatisch",IF(ISNA(MATCH(Stichtag,RD_Kopf,0)),"automatisch",IF(SUMPRODUCT((RD_Kopf&gt;=IF($G94="monatlich",DATE(YEAR(KWFreitag),MONTH(KWFreitag),1),IF($G94="quartalsweise",DATE(YEAR(KWFreitag),INT((MONTH(KWFreitag)-1)/3)*3+1,1),Stichtag)))*(RD_Kopf&lt;=Stichtag)*ISNUMBER(Rohdaten!$A$84:$LJ$84))&gt;0,"erledigt","automatisch")),IF($F94&lt;&gt;"ja","",IF(ISNA(MATCH(Stichtag,RD_Kopf,0)),"keine Spalte",IF(SUMPRODUCT((RD_Kopf&gt;=IF($G94="monatlich",DATE(YEAR(KWFreitag),MONTH(KWFreitag),1),IF($G94="quartalsweise",DATE(YEAR(KWFreitag),INT((MONTH(KWFreitag)-1)/3)*3+1,1),Stichtag)))*(RD_Kopf&lt;=Stichtag)*ISNUMBER(Rohdaten!$A$84:$LJ$84))&gt;0,"erledigt","offen"))))</f>
        <v/>
      </c>
      <c r="I94" s="73" t="s">
        <v>714</v>
      </c>
      <c r="J94" s="73"/>
      <c r="K94" s="73"/>
      <c r="L94" s="73"/>
      <c r="M94" s="73"/>
      <c r="N94" s="73"/>
      <c r="O94" s="73"/>
      <c r="P94" s="73"/>
      <c r="Q94" s="73"/>
      <c r="R94" s="73"/>
      <c r="S94" s="73"/>
      <c r="T94" s="73"/>
      <c r="U94" s="73"/>
      <c r="V94" s="73"/>
      <c r="W94" s="73"/>
      <c r="X94" s="73"/>
      <c r="Y94" s="73"/>
      <c r="Z94" s="73"/>
      <c r="AA94" s="73"/>
      <c r="AB94" s="73"/>
      <c r="AC94" s="73"/>
      <c r="AD94" s="73"/>
      <c r="AE94" s="73"/>
      <c r="AF94" s="73"/>
      <c r="AG94" s="73"/>
      <c r="AH94" s="73"/>
      <c r="AI94" s="73"/>
      <c r="AJ94" s="73"/>
      <c r="AK94" s="73"/>
      <c r="AL94" s="73"/>
      <c r="AM94" t="s">
        <v>823</v>
      </c>
      <c r="AN94" t="s">
        <v>261</v>
      </c>
      <c r="AO94" t="s">
        <v>709</v>
      </c>
    </row>
    <row r="95" spans="1:41" ht="18" customHeight="1" outlineLevel="2">
      <c r="A95" s="65">
        <f>ROW(Rohdaten!$A$85)</f>
        <v>85</v>
      </c>
      <c r="B95" s="66" t="str">
        <f>IF(Rohdaten!$A$85="","",Rohdaten!$A$85)</f>
        <v>7OG</v>
      </c>
      <c r="C95" s="67" t="s">
        <v>816</v>
      </c>
      <c r="D95" s="68" t="str">
        <f>IF(Rohdaten!$E$85="","",Rohdaten!$E$85)</f>
        <v>Amend</v>
      </c>
      <c r="E95" s="69" t="str">
        <f t="array" ref="E95">_xlfn.TEXTJOIN(" / ",TRUE,IF($I95:$AL95="●",$I$4:$AL$4,""))</f>
        <v>Amend</v>
      </c>
      <c r="F95" s="70" t="s">
        <v>791</v>
      </c>
      <c r="G95" s="71" t="s">
        <v>712</v>
      </c>
      <c r="H95" s="72">
        <f>IF($F95="automatisch",IF(ISNA(MATCH(Stichtag,RD_Kopf,0)),"automatisch",IF(SUMPRODUCT((RD_Kopf&gt;=IF($G95="monatlich",DATE(YEAR(KWFreitag),MONTH(KWFreitag),1),IF($G95="quartalsweise",DATE(YEAR(KWFreitag),INT((MONTH(KWFreitag)-1)/3)*3+1,1),Stichtag)))*(RD_Kopf&lt;=Stichtag)*ISNUMBER(Rohdaten!$A$85:$LJ$85))&gt;0,"erledigt","automatisch")),IF($F95&lt;&gt;"ja","",IF(ISNA(MATCH(Stichtag,RD_Kopf,0)),"keine Spalte",IF(SUMPRODUCT((RD_Kopf&gt;=IF($G95="monatlich",DATE(YEAR(KWFreitag),MONTH(KWFreitag),1),IF($G95="quartalsweise",DATE(YEAR(KWFreitag),INT((MONTH(KWFreitag)-1)/3)*3+1,1),Stichtag)))*(RD_Kopf&lt;=Stichtag)*ISNUMBER(Rohdaten!$A$85:$LJ$85))&gt;0,"erledigt","offen"))))</f>
        <v/>
      </c>
      <c r="I95" s="73" t="s">
        <v>714</v>
      </c>
      <c r="J95" s="73"/>
      <c r="K95" s="73"/>
      <c r="L95" s="73"/>
      <c r="M95" s="73"/>
      <c r="N95" s="73"/>
      <c r="O95" s="73"/>
      <c r="P95" s="73"/>
      <c r="Q95" s="73"/>
      <c r="R95" s="73"/>
      <c r="S95" s="73"/>
      <c r="T95" s="73"/>
      <c r="U95" s="73"/>
      <c r="V95" s="73"/>
      <c r="W95" s="73"/>
      <c r="X95" s="73"/>
      <c r="Y95" s="73"/>
      <c r="Z95" s="73"/>
      <c r="AA95" s="73"/>
      <c r="AB95" s="73"/>
      <c r="AC95" s="73"/>
      <c r="AD95" s="73"/>
      <c r="AE95" s="73"/>
      <c r="AF95" s="73"/>
      <c r="AG95" s="73"/>
      <c r="AH95" s="73"/>
      <c r="AI95" s="73"/>
      <c r="AJ95" s="73"/>
      <c r="AK95" s="73"/>
      <c r="AL95" s="73"/>
      <c r="AM95" t="s">
        <v>824</v>
      </c>
      <c r="AN95" t="s">
        <v>265</v>
      </c>
      <c r="AO95" t="s">
        <v>709</v>
      </c>
    </row>
    <row r="96" spans="1:41" ht="18" customHeight="1" outlineLevel="2">
      <c r="A96" s="65">
        <f>ROW(Rohdaten!$A$86)</f>
        <v>86</v>
      </c>
      <c r="B96" s="66" t="str">
        <f>IF(Rohdaten!$A$86="","",Rohdaten!$A$86)</f>
        <v>7OH</v>
      </c>
      <c r="C96" s="67" t="s">
        <v>818</v>
      </c>
      <c r="D96" s="68" t="str">
        <f>IF(Rohdaten!$E$86="","",Rohdaten!$E$86)</f>
        <v>Amend</v>
      </c>
      <c r="E96" s="69" t="str">
        <f t="array" ref="E96">_xlfn.TEXTJOIN(" / ",TRUE,IF($I96:$AL96="●",$I$4:$AL$4,""))</f>
        <v>Amend</v>
      </c>
      <c r="F96" s="70" t="s">
        <v>791</v>
      </c>
      <c r="G96" s="71" t="s">
        <v>712</v>
      </c>
      <c r="H96" s="72">
        <f>IF($F96="automatisch",IF(ISNA(MATCH(Stichtag,RD_Kopf,0)),"automatisch",IF(SUMPRODUCT((RD_Kopf&gt;=IF($G96="monatlich",DATE(YEAR(KWFreitag),MONTH(KWFreitag),1),IF($G96="quartalsweise",DATE(YEAR(KWFreitag),INT((MONTH(KWFreitag)-1)/3)*3+1,1),Stichtag)))*(RD_Kopf&lt;=Stichtag)*ISNUMBER(Rohdaten!$A$86:$LJ$86))&gt;0,"erledigt","automatisch")),IF($F96&lt;&gt;"ja","",IF(ISNA(MATCH(Stichtag,RD_Kopf,0)),"keine Spalte",IF(SUMPRODUCT((RD_Kopf&gt;=IF($G96="monatlich",DATE(YEAR(KWFreitag),MONTH(KWFreitag),1),IF($G96="quartalsweise",DATE(YEAR(KWFreitag),INT((MONTH(KWFreitag)-1)/3)*3+1,1),Stichtag)))*(RD_Kopf&lt;=Stichtag)*ISNUMBER(Rohdaten!$A$86:$LJ$86))&gt;0,"erledigt","offen"))))</f>
        <v/>
      </c>
      <c r="I96" s="73" t="s">
        <v>714</v>
      </c>
      <c r="J96" s="73"/>
      <c r="K96" s="73"/>
      <c r="L96" s="73"/>
      <c r="M96" s="73"/>
      <c r="N96" s="73"/>
      <c r="O96" s="73"/>
      <c r="P96" s="73"/>
      <c r="Q96" s="73"/>
      <c r="R96" s="73"/>
      <c r="S96" s="73"/>
      <c r="T96" s="73"/>
      <c r="U96" s="73"/>
      <c r="V96" s="73"/>
      <c r="W96" s="73"/>
      <c r="X96" s="73"/>
      <c r="Y96" s="73"/>
      <c r="Z96" s="73"/>
      <c r="AA96" s="73"/>
      <c r="AB96" s="73"/>
      <c r="AC96" s="73"/>
      <c r="AD96" s="73"/>
      <c r="AE96" s="73"/>
      <c r="AF96" s="73"/>
      <c r="AG96" s="73"/>
      <c r="AH96" s="73"/>
      <c r="AI96" s="73"/>
      <c r="AJ96" s="73"/>
      <c r="AK96" s="73"/>
      <c r="AL96" s="73"/>
      <c r="AM96" t="s">
        <v>825</v>
      </c>
      <c r="AN96" t="s">
        <v>269</v>
      </c>
      <c r="AO96" t="s">
        <v>709</v>
      </c>
    </row>
    <row r="97" spans="1:41" ht="18" customHeight="1" outlineLevel="1">
      <c r="A97" s="65">
        <f>ROW(Rohdaten!$A$87)</f>
        <v>87</v>
      </c>
      <c r="B97" s="66" t="str">
        <f>IF(Rohdaten!$A$87="","",Rohdaten!$A$87)</f>
        <v>7OI</v>
      </c>
      <c r="C97" s="74" t="s">
        <v>826</v>
      </c>
      <c r="D97" s="68">
        <f>IF(Rohdaten!$E$87="","",Rohdaten!$E$87)</f>
        <v/>
      </c>
      <c r="E97" s="69" t="str">
        <f t="array" ref="E97">_xlfn.TEXTJOIN(" / ",TRUE,IF($I97:$AL97="●",$I$4:$AL$4,""))</f>
        <v/>
      </c>
      <c r="F97" s="70" t="s">
        <v>791</v>
      </c>
      <c r="G97" s="71" t="s">
        <v>712</v>
      </c>
      <c r="H97" s="72">
        <f>IF($F97="automatisch",IF(ISNA(MATCH(Stichtag,RD_Kopf,0)),"automatisch",IF(SUMPRODUCT((RD_Kopf&gt;=IF($G97="monatlich",DATE(YEAR(KWFreitag),MONTH(KWFreitag),1),IF($G97="quartalsweise",DATE(YEAR(KWFreitag),INT((MONTH(KWFreitag)-1)/3)*3+1,1),Stichtag)))*(RD_Kopf&lt;=Stichtag)*ISNUMBER(Rohdaten!$A$87:$LJ$87))&gt;0,"erledigt","automatisch")),IF($F97&lt;&gt;"ja","",IF(ISNA(MATCH(Stichtag,RD_Kopf,0)),"keine Spalte",IF(SUMPRODUCT((RD_Kopf&gt;=IF($G97="monatlich",DATE(YEAR(KWFreitag),MONTH(KWFreitag),1),IF($G97="quartalsweise",DATE(YEAR(KWFreitag),INT((MONTH(KWFreitag)-1)/3)*3+1,1),Stichtag)))*(RD_Kopf&lt;=Stichtag)*ISNUMBER(Rohdaten!$A$87:$LJ$87))&gt;0,"erledigt","offen"))))</f>
        <v/>
      </c>
      <c r="I97" s="73"/>
      <c r="J97" s="73"/>
      <c r="K97" s="73"/>
      <c r="L97" s="73"/>
      <c r="M97" s="73"/>
      <c r="N97" s="73"/>
      <c r="O97" s="73"/>
      <c r="P97" s="73"/>
      <c r="Q97" s="73"/>
      <c r="R97" s="73"/>
      <c r="S97" s="73"/>
      <c r="T97" s="73"/>
      <c r="U97" s="73"/>
      <c r="V97" s="73"/>
      <c r="W97" s="73"/>
      <c r="X97" s="73"/>
      <c r="Y97" s="73"/>
      <c r="Z97" s="73"/>
      <c r="AA97" s="73"/>
      <c r="AB97" s="73"/>
      <c r="AC97" s="73"/>
      <c r="AD97" s="73"/>
      <c r="AE97" s="73"/>
      <c r="AF97" s="73"/>
      <c r="AG97" s="73"/>
      <c r="AH97" s="73"/>
      <c r="AI97" s="73"/>
      <c r="AJ97" s="73"/>
      <c r="AK97" s="73"/>
      <c r="AL97" s="73"/>
      <c r="AM97" t="s">
        <v>827</v>
      </c>
      <c r="AN97" t="s">
        <v>828</v>
      </c>
      <c r="AO97" t="s">
        <v>709</v>
      </c>
    </row>
    <row r="98" spans="1:41" ht="18" customHeight="1" outlineLevel="1">
      <c r="A98" s="62"/>
      <c r="B98" s="62"/>
      <c r="C98" s="63" t="s">
        <v>786</v>
      </c>
      <c r="D98" s="63"/>
      <c r="E98" s="63"/>
      <c r="F98" s="63"/>
      <c r="G98" s="63"/>
      <c r="H98" s="63"/>
      <c r="I98" s="64"/>
      <c r="J98" s="64"/>
      <c r="K98" s="64"/>
      <c r="L98" s="64"/>
      <c r="M98" s="64"/>
      <c r="N98" s="64"/>
      <c r="O98" s="64"/>
      <c r="P98" s="64"/>
      <c r="Q98" s="64"/>
      <c r="R98" s="64"/>
      <c r="S98" s="64"/>
      <c r="T98" s="64"/>
      <c r="U98" s="64"/>
      <c r="V98" s="64"/>
      <c r="W98" s="64"/>
      <c r="X98" s="64"/>
      <c r="Y98" s="64"/>
      <c r="Z98" s="64"/>
      <c r="AA98" s="64"/>
      <c r="AB98" s="64"/>
      <c r="AC98" s="64"/>
      <c r="AD98" s="64"/>
      <c r="AE98" s="64"/>
      <c r="AF98" s="64"/>
      <c r="AG98" s="64"/>
      <c r="AH98" s="64"/>
      <c r="AI98" s="64"/>
      <c r="AJ98" s="64"/>
      <c r="AK98" s="64"/>
      <c r="AL98" s="64"/>
      <c r="AO98" t="s">
        <v>706</v>
      </c>
    </row>
    <row r="99" spans="1:41" ht="18" customHeight="1" outlineLevel="2">
      <c r="A99" s="65">
        <f>ROW(Rohdaten!$A$88)</f>
        <v>88</v>
      </c>
      <c r="B99" s="66" t="str">
        <f>IF(Rohdaten!$A$88="","",Rohdaten!$A$88)</f>
        <v>7OJ</v>
      </c>
      <c r="C99" s="67" t="s">
        <v>814</v>
      </c>
      <c r="D99" s="68" t="str">
        <f>IF(Rohdaten!$E$88="","",Rohdaten!$E$88)</f>
        <v>Amend</v>
      </c>
      <c r="E99" s="69" t="str">
        <f t="array" ref="E99">_xlfn.TEXTJOIN(" / ",TRUE,IF($I99:$AL99="●",$I$4:$AL$4,""))</f>
        <v>Amend</v>
      </c>
      <c r="F99" s="70" t="s">
        <v>791</v>
      </c>
      <c r="G99" s="71" t="s">
        <v>712</v>
      </c>
      <c r="H99" s="72">
        <f>IF($F99="automatisch",IF(ISNA(MATCH(Stichtag,RD_Kopf,0)),"automatisch",IF(SUMPRODUCT((RD_Kopf&gt;=IF($G99="monatlich",DATE(YEAR(KWFreitag),MONTH(KWFreitag),1),IF($G99="quartalsweise",DATE(YEAR(KWFreitag),INT((MONTH(KWFreitag)-1)/3)*3+1,1),Stichtag)))*(RD_Kopf&lt;=Stichtag)*ISNUMBER(Rohdaten!$A$88:$LJ$88))&gt;0,"erledigt","automatisch")),IF($F99&lt;&gt;"ja","",IF(ISNA(MATCH(Stichtag,RD_Kopf,0)),"keine Spalte",IF(SUMPRODUCT((RD_Kopf&gt;=IF($G99="monatlich",DATE(YEAR(KWFreitag),MONTH(KWFreitag),1),IF($G99="quartalsweise",DATE(YEAR(KWFreitag),INT((MONTH(KWFreitag)-1)/3)*3+1,1),Stichtag)))*(RD_Kopf&lt;=Stichtag)*ISNUMBER(Rohdaten!$A$88:$LJ$88))&gt;0,"erledigt","offen"))))</f>
        <v/>
      </c>
      <c r="I99" s="73" t="s">
        <v>714</v>
      </c>
      <c r="J99" s="73"/>
      <c r="K99" s="73"/>
      <c r="L99" s="73"/>
      <c r="M99" s="73"/>
      <c r="N99" s="73"/>
      <c r="O99" s="73"/>
      <c r="P99" s="73"/>
      <c r="Q99" s="73"/>
      <c r="R99" s="73"/>
      <c r="S99" s="73"/>
      <c r="T99" s="73"/>
      <c r="U99" s="73"/>
      <c r="V99" s="73"/>
      <c r="W99" s="73"/>
      <c r="X99" s="73"/>
      <c r="Y99" s="73"/>
      <c r="Z99" s="73"/>
      <c r="AA99" s="73"/>
      <c r="AB99" s="73"/>
      <c r="AC99" s="73"/>
      <c r="AD99" s="73"/>
      <c r="AE99" s="73"/>
      <c r="AF99" s="73"/>
      <c r="AG99" s="73"/>
      <c r="AH99" s="73"/>
      <c r="AI99" s="73"/>
      <c r="AJ99" s="73"/>
      <c r="AK99" s="73"/>
      <c r="AL99" s="73"/>
      <c r="AM99" t="s">
        <v>829</v>
      </c>
      <c r="AN99" t="s">
        <v>263</v>
      </c>
      <c r="AO99" t="s">
        <v>709</v>
      </c>
    </row>
    <row r="100" spans="1:41" ht="18" customHeight="1" outlineLevel="2">
      <c r="A100" s="65">
        <f>ROW(Rohdaten!$A$89)</f>
        <v>89</v>
      </c>
      <c r="B100" s="66" t="str">
        <f>IF(Rohdaten!$A$89="","",Rohdaten!$A$89)</f>
        <v>7OK</v>
      </c>
      <c r="C100" s="67" t="s">
        <v>816</v>
      </c>
      <c r="D100" s="68" t="str">
        <f>IF(Rohdaten!$E$89="","",Rohdaten!$E$89)</f>
        <v>Amend</v>
      </c>
      <c r="E100" s="69" t="str">
        <f t="array" ref="E100">_xlfn.TEXTJOIN(" / ",TRUE,IF($I100:$AL100="●",$I$4:$AL$4,""))</f>
        <v>Amend</v>
      </c>
      <c r="F100" s="70" t="s">
        <v>791</v>
      </c>
      <c r="G100" s="71" t="s">
        <v>712</v>
      </c>
      <c r="H100" s="72">
        <f>IF($F100="automatisch",IF(ISNA(MATCH(Stichtag,RD_Kopf,0)),"automatisch",IF(SUMPRODUCT((RD_Kopf&gt;=IF($G100="monatlich",DATE(YEAR(KWFreitag),MONTH(KWFreitag),1),IF($G100="quartalsweise",DATE(YEAR(KWFreitag),INT((MONTH(KWFreitag)-1)/3)*3+1,1),Stichtag)))*(RD_Kopf&lt;=Stichtag)*ISNUMBER(Rohdaten!$A$89:$LJ$89))&gt;0,"erledigt","automatisch")),IF($F100&lt;&gt;"ja","",IF(ISNA(MATCH(Stichtag,RD_Kopf,0)),"keine Spalte",IF(SUMPRODUCT((RD_Kopf&gt;=IF($G100="monatlich",DATE(YEAR(KWFreitag),MONTH(KWFreitag),1),IF($G100="quartalsweise",DATE(YEAR(KWFreitag),INT((MONTH(KWFreitag)-1)/3)*3+1,1),Stichtag)))*(RD_Kopf&lt;=Stichtag)*ISNUMBER(Rohdaten!$A$89:$LJ$89))&gt;0,"erledigt","offen"))))</f>
        <v/>
      </c>
      <c r="I100" s="73" t="s">
        <v>714</v>
      </c>
      <c r="J100" s="73"/>
      <c r="K100" s="73"/>
      <c r="L100" s="73"/>
      <c r="M100" s="73"/>
      <c r="N100" s="73"/>
      <c r="O100" s="73"/>
      <c r="P100" s="73"/>
      <c r="Q100" s="73"/>
      <c r="R100" s="73"/>
      <c r="S100" s="73"/>
      <c r="T100" s="73"/>
      <c r="U100" s="73"/>
      <c r="V100" s="73"/>
      <c r="W100" s="73"/>
      <c r="X100" s="73"/>
      <c r="Y100" s="73"/>
      <c r="Z100" s="73"/>
      <c r="AA100" s="73"/>
      <c r="AB100" s="73"/>
      <c r="AC100" s="73"/>
      <c r="AD100" s="73"/>
      <c r="AE100" s="73"/>
      <c r="AF100" s="73"/>
      <c r="AG100" s="73"/>
      <c r="AH100" s="73"/>
      <c r="AI100" s="73"/>
      <c r="AJ100" s="73"/>
      <c r="AK100" s="73"/>
      <c r="AL100" s="73"/>
      <c r="AM100" t="s">
        <v>830</v>
      </c>
      <c r="AN100" t="s">
        <v>267</v>
      </c>
      <c r="AO100" t="s">
        <v>709</v>
      </c>
    </row>
    <row r="101" spans="1:41" ht="18" customHeight="1" outlineLevel="2">
      <c r="A101" s="65">
        <f>ROW(Rohdaten!$A$90)</f>
        <v>90</v>
      </c>
      <c r="B101" s="66" t="str">
        <f>IF(Rohdaten!$A$90="","",Rohdaten!$A$90)</f>
        <v>7OL</v>
      </c>
      <c r="C101" s="67" t="s">
        <v>818</v>
      </c>
      <c r="D101" s="68" t="str">
        <f>IF(Rohdaten!$E$90="","",Rohdaten!$E$90)</f>
        <v>Amend</v>
      </c>
      <c r="E101" s="69" t="str">
        <f t="array" ref="E101">_xlfn.TEXTJOIN(" / ",TRUE,IF($I101:$AL101="●",$I$4:$AL$4,""))</f>
        <v>Amend</v>
      </c>
      <c r="F101" s="70" t="s">
        <v>791</v>
      </c>
      <c r="G101" s="71" t="s">
        <v>712</v>
      </c>
      <c r="H101" s="72">
        <f>IF($F101="automatisch",IF(ISNA(MATCH(Stichtag,RD_Kopf,0)),"automatisch",IF(SUMPRODUCT((RD_Kopf&gt;=IF($G101="monatlich",DATE(YEAR(KWFreitag),MONTH(KWFreitag),1),IF($G101="quartalsweise",DATE(YEAR(KWFreitag),INT((MONTH(KWFreitag)-1)/3)*3+1,1),Stichtag)))*(RD_Kopf&lt;=Stichtag)*ISNUMBER(Rohdaten!$A$90:$LJ$90))&gt;0,"erledigt","automatisch")),IF($F101&lt;&gt;"ja","",IF(ISNA(MATCH(Stichtag,RD_Kopf,0)),"keine Spalte",IF(SUMPRODUCT((RD_Kopf&gt;=IF($G101="monatlich",DATE(YEAR(KWFreitag),MONTH(KWFreitag),1),IF($G101="quartalsweise",DATE(YEAR(KWFreitag),INT((MONTH(KWFreitag)-1)/3)*3+1,1),Stichtag)))*(RD_Kopf&lt;=Stichtag)*ISNUMBER(Rohdaten!$A$90:$LJ$90))&gt;0,"erledigt","offen"))))</f>
        <v/>
      </c>
      <c r="I101" s="73" t="s">
        <v>714</v>
      </c>
      <c r="J101" s="73"/>
      <c r="K101" s="73"/>
      <c r="L101" s="73"/>
      <c r="M101" s="73"/>
      <c r="N101" s="73"/>
      <c r="O101" s="73"/>
      <c r="P101" s="73"/>
      <c r="Q101" s="73"/>
      <c r="R101" s="73"/>
      <c r="S101" s="73"/>
      <c r="T101" s="73"/>
      <c r="U101" s="73"/>
      <c r="V101" s="73"/>
      <c r="W101" s="73"/>
      <c r="X101" s="73"/>
      <c r="Y101" s="73"/>
      <c r="Z101" s="73"/>
      <c r="AA101" s="73"/>
      <c r="AB101" s="73"/>
      <c r="AC101" s="73"/>
      <c r="AD101" s="73"/>
      <c r="AE101" s="73"/>
      <c r="AF101" s="73"/>
      <c r="AG101" s="73"/>
      <c r="AH101" s="73"/>
      <c r="AI101" s="73"/>
      <c r="AJ101" s="73"/>
      <c r="AK101" s="73"/>
      <c r="AL101" s="73"/>
      <c r="AM101" t="s">
        <v>831</v>
      </c>
      <c r="AN101" t="s">
        <v>271</v>
      </c>
      <c r="AO101" t="s">
        <v>709</v>
      </c>
    </row>
    <row r="102" spans="1:41" ht="18" customHeight="1" outlineLevel="1">
      <c r="A102" s="62"/>
      <c r="B102" s="62"/>
      <c r="C102" s="63" t="s">
        <v>728</v>
      </c>
      <c r="D102" s="63"/>
      <c r="E102" s="63"/>
      <c r="F102" s="63"/>
      <c r="G102" s="63"/>
      <c r="H102" s="63"/>
      <c r="I102" s="64"/>
      <c r="J102" s="64"/>
      <c r="K102" s="64"/>
      <c r="L102" s="64"/>
      <c r="M102" s="64"/>
      <c r="N102" s="64"/>
      <c r="O102" s="64"/>
      <c r="P102" s="64"/>
      <c r="Q102" s="64"/>
      <c r="R102" s="64"/>
      <c r="S102" s="64"/>
      <c r="T102" s="64"/>
      <c r="U102" s="64"/>
      <c r="V102" s="64"/>
      <c r="W102" s="64"/>
      <c r="X102" s="64"/>
      <c r="Y102" s="64"/>
      <c r="Z102" s="64"/>
      <c r="AA102" s="64"/>
      <c r="AB102" s="64"/>
      <c r="AC102" s="64"/>
      <c r="AD102" s="64"/>
      <c r="AE102" s="64"/>
      <c r="AF102" s="64"/>
      <c r="AG102" s="64"/>
      <c r="AH102" s="64"/>
      <c r="AI102" s="64"/>
      <c r="AJ102" s="64"/>
      <c r="AK102" s="64"/>
      <c r="AL102" s="64"/>
      <c r="AO102" t="s">
        <v>706</v>
      </c>
    </row>
    <row r="103" spans="1:41" ht="18" customHeight="1" outlineLevel="2">
      <c r="A103" s="65">
        <f>ROW(Rohdaten!$A$91)</f>
        <v>91</v>
      </c>
      <c r="B103" s="66" t="str">
        <f>IF(Rohdaten!$A$91="","",Rohdaten!$A$91)</f>
        <v>7a</v>
      </c>
      <c r="C103" s="67" t="s">
        <v>832</v>
      </c>
      <c r="D103" s="68">
        <f>IF(Rohdaten!$E$91="","",Rohdaten!$E$91)</f>
        <v/>
      </c>
      <c r="E103" s="69" t="str">
        <f t="array" ref="E103">_xlfn.TEXTJOIN(" / ",TRUE,IF($I103:$AL103="●",$I$4:$AL$4,""))</f>
        <v/>
      </c>
      <c r="F103" s="70" t="s">
        <v>711</v>
      </c>
      <c r="G103" s="71" t="s">
        <v>712</v>
      </c>
      <c r="H103" s="72">
        <f>IF($F103="automatisch",IF(ISNA(MATCH(Stichtag,RD_Kopf,0)),"automatisch",IF(SUMPRODUCT((RD_Kopf&gt;=IF($G103="monatlich",DATE(YEAR(KWFreitag),MONTH(KWFreitag),1),IF($G103="quartalsweise",DATE(YEAR(KWFreitag),INT((MONTH(KWFreitag)-1)/3)*3+1,1),Stichtag)))*(RD_Kopf&lt;=Stichtag)*ISNUMBER(Rohdaten!$A$91:$LJ$91))&gt;0,"erledigt","automatisch")),IF($F103&lt;&gt;"ja","",IF(ISNA(MATCH(Stichtag,RD_Kopf,0)),"keine Spalte",IF(SUMPRODUCT((RD_Kopf&gt;=IF($G103="monatlich",DATE(YEAR(KWFreitag),MONTH(KWFreitag),1),IF($G103="quartalsweise",DATE(YEAR(KWFreitag),INT((MONTH(KWFreitag)-1)/3)*3+1,1),Stichtag)))*(RD_Kopf&lt;=Stichtag)*ISNUMBER(Rohdaten!$A$91:$LJ$91))&gt;0,"erledigt","offen"))))</f>
        <v/>
      </c>
      <c r="I103" s="73"/>
      <c r="J103" s="73"/>
      <c r="K103" s="73"/>
      <c r="L103" s="73"/>
      <c r="M103" s="73"/>
      <c r="N103" s="73"/>
      <c r="O103" s="73"/>
      <c r="P103" s="73"/>
      <c r="Q103" s="73"/>
      <c r="R103" s="73"/>
      <c r="S103" s="73"/>
      <c r="T103" s="73"/>
      <c r="U103" s="73"/>
      <c r="V103" s="73"/>
      <c r="W103" s="73"/>
      <c r="X103" s="73"/>
      <c r="Y103" s="73"/>
      <c r="Z103" s="73"/>
      <c r="AA103" s="73"/>
      <c r="AB103" s="73"/>
      <c r="AC103" s="73"/>
      <c r="AD103" s="73"/>
      <c r="AE103" s="73"/>
      <c r="AF103" s="73"/>
      <c r="AG103" s="73"/>
      <c r="AH103" s="73"/>
      <c r="AI103" s="73"/>
      <c r="AJ103" s="73"/>
      <c r="AK103" s="73"/>
      <c r="AL103" s="73"/>
      <c r="AM103" t="s">
        <v>833</v>
      </c>
      <c r="AN103" t="s">
        <v>834</v>
      </c>
      <c r="AO103" t="s">
        <v>709</v>
      </c>
    </row>
    <row r="104" spans="1:41" ht="18" customHeight="1" outlineLevel="2">
      <c r="A104" s="65">
        <f>ROW(Rohdaten!$A$92)</f>
        <v>92</v>
      </c>
      <c r="B104" s="66" t="str">
        <f>IF(Rohdaten!$A$92="","",Rohdaten!$A$92)</f>
        <v>7b</v>
      </c>
      <c r="C104" s="67" t="s">
        <v>835</v>
      </c>
      <c r="D104" s="68" t="str">
        <f>IF(Rohdaten!$E$92="","",Rohdaten!$E$92)</f>
        <v>Amend</v>
      </c>
      <c r="E104" s="69" t="str">
        <f t="array" ref="E104">_xlfn.TEXTJOIN(" / ",TRUE,IF($I104:$AL104="●",$I$4:$AL$4,""))</f>
        <v>Amend</v>
      </c>
      <c r="F104" s="70" t="s">
        <v>711</v>
      </c>
      <c r="G104" s="71" t="s">
        <v>712</v>
      </c>
      <c r="H104" s="72" t="str">
        <f>IF($F104="automatisch",IF(ISNA(MATCH(Stichtag,RD_Kopf,0)),"automatisch",IF(SUMPRODUCT((RD_Kopf&gt;=IF($G104="monatlich",DATE(YEAR(KWFreitag),MONTH(KWFreitag),1),IF($G104="quartalsweise",DATE(YEAR(KWFreitag),INT((MONTH(KWFreitag)-1)/3)*3+1,1),Stichtag)))*(RD_Kopf&lt;=Stichtag)*ISNUMBER(Rohdaten!$A$92:$LJ$92))&gt;0,"erledigt","automatisch")),IF($F104&lt;&gt;"ja","nicht berichtet",IF(ISNA(MATCH(Stichtag,RD_Kopf,0)),"keine Spalte",IF(SUMPRODUCT((RD_Kopf&gt;=IF($G104="monatlich",DATE(YEAR(KWFreitag),MONTH(KWFreitag),1),IF($G104="quartalsweise",DATE(YEAR(KWFreitag),INT((MONTH(KWFreitag)-1)/3)*3+1,1),Stichtag)))*(RD_Kopf&lt;=Stichtag)*ISNUMBER(Rohdaten!$A$92:$LJ$92))&gt;0,"erledigt","offen"))))</f>
        <v>nicht berichtet</v>
      </c>
      <c r="I104" s="73" t="s">
        <v>714</v>
      </c>
      <c r="J104" s="73"/>
      <c r="K104" s="73"/>
      <c r="L104" s="73"/>
      <c r="M104" s="73"/>
      <c r="N104" s="73"/>
      <c r="O104" s="73"/>
      <c r="P104" s="73"/>
      <c r="Q104" s="73"/>
      <c r="R104" s="73"/>
      <c r="S104" s="73"/>
      <c r="T104" s="73"/>
      <c r="U104" s="73"/>
      <c r="V104" s="73"/>
      <c r="W104" s="73"/>
      <c r="X104" s="73"/>
      <c r="Y104" s="73"/>
      <c r="Z104" s="73"/>
      <c r="AA104" s="73"/>
      <c r="AB104" s="73"/>
      <c r="AC104" s="73"/>
      <c r="AD104" s="73"/>
      <c r="AE104" s="73"/>
      <c r="AF104" s="73"/>
      <c r="AG104" s="73"/>
      <c r="AH104" s="73"/>
      <c r="AI104" s="73"/>
      <c r="AJ104" s="73"/>
      <c r="AK104" s="73"/>
      <c r="AL104" s="73"/>
      <c r="AM104" t="s">
        <v>836</v>
      </c>
      <c r="AN104" t="s">
        <v>837</v>
      </c>
      <c r="AO104" t="s">
        <v>709</v>
      </c>
    </row>
    <row r="105" spans="1:41" ht="18" customHeight="1" outlineLevel="2">
      <c r="A105" s="65">
        <f>ROW(Rohdaten!$A$93)</f>
        <v>93</v>
      </c>
      <c r="B105" s="66" t="str">
        <f>IF(Rohdaten!$A$93="","",Rohdaten!$A$93)</f>
        <v>7c</v>
      </c>
      <c r="C105" s="67" t="s">
        <v>838</v>
      </c>
      <c r="D105" s="68" t="str">
        <f>IF(Rohdaten!$E$93="","",Rohdaten!$E$93)</f>
        <v>Amend</v>
      </c>
      <c r="E105" s="69" t="str">
        <f t="array" ref="E105">_xlfn.TEXTJOIN(" / ",TRUE,IF($I105:$AL105="●",$I$4:$AL$4,""))</f>
        <v>Amend</v>
      </c>
      <c r="F105" s="70" t="s">
        <v>711</v>
      </c>
      <c r="G105" s="71" t="s">
        <v>712</v>
      </c>
      <c r="H105" s="72" t="str">
        <f>IF($F105="automatisch",IF(ISNA(MATCH(Stichtag,RD_Kopf,0)),"automatisch",IF(SUMPRODUCT((RD_Kopf&gt;=IF($G105="monatlich",DATE(YEAR(KWFreitag),MONTH(KWFreitag),1),IF($G105="quartalsweise",DATE(YEAR(KWFreitag),INT((MONTH(KWFreitag)-1)/3)*3+1,1),Stichtag)))*(RD_Kopf&lt;=Stichtag)*ISNUMBER(Rohdaten!$A$93:$LJ$93))&gt;0,"erledigt","automatisch")),IF($F105&lt;&gt;"ja","nicht berichtet",IF(ISNA(MATCH(Stichtag,RD_Kopf,0)),"keine Spalte",IF(SUMPRODUCT((RD_Kopf&gt;=IF($G105="monatlich",DATE(YEAR(KWFreitag),MONTH(KWFreitag),1),IF($G105="quartalsweise",DATE(YEAR(KWFreitag),INT((MONTH(KWFreitag)-1)/3)*3+1,1),Stichtag)))*(RD_Kopf&lt;=Stichtag)*ISNUMBER(Rohdaten!$A$93:$LJ$93))&gt;0,"erledigt","offen"))))</f>
        <v>nicht berichtet</v>
      </c>
      <c r="I105" s="73" t="s">
        <v>714</v>
      </c>
      <c r="J105" s="73"/>
      <c r="K105" s="73"/>
      <c r="L105" s="73"/>
      <c r="M105" s="73"/>
      <c r="N105" s="73"/>
      <c r="O105" s="73"/>
      <c r="P105" s="73"/>
      <c r="Q105" s="73"/>
      <c r="R105" s="73"/>
      <c r="S105" s="73"/>
      <c r="T105" s="73"/>
      <c r="U105" s="73"/>
      <c r="V105" s="73"/>
      <c r="W105" s="73"/>
      <c r="X105" s="73"/>
      <c r="Y105" s="73"/>
      <c r="Z105" s="73"/>
      <c r="AA105" s="73"/>
      <c r="AB105" s="73"/>
      <c r="AC105" s="73"/>
      <c r="AD105" s="73"/>
      <c r="AE105" s="73"/>
      <c r="AF105" s="73"/>
      <c r="AG105" s="73"/>
      <c r="AH105" s="73"/>
      <c r="AI105" s="73"/>
      <c r="AJ105" s="73"/>
      <c r="AK105" s="73"/>
      <c r="AL105" s="73"/>
      <c r="AM105" t="s">
        <v>839</v>
      </c>
      <c r="AN105" t="s">
        <v>840</v>
      </c>
      <c r="AO105" t="s">
        <v>709</v>
      </c>
    </row>
    <row r="106" spans="1:41" ht="18" customHeight="1" outlineLevel="2">
      <c r="A106" s="65">
        <f>ROW(Rohdaten!$A$94)</f>
        <v>94</v>
      </c>
      <c r="B106" s="66" t="str">
        <f>IF(Rohdaten!$A$94="","",Rohdaten!$A$94)</f>
        <v>7d</v>
      </c>
      <c r="C106" s="67" t="s">
        <v>841</v>
      </c>
      <c r="D106" s="68" t="str">
        <f>IF(Rohdaten!$E$94="","",Rohdaten!$E$94)</f>
        <v>H:\MaklerBUe</v>
      </c>
      <c r="E106" s="69" t="str">
        <f t="array" ref="E106">_xlfn.TEXTJOIN(" / ",TRUE,IF($I106:$AL106="●",$I$4:$AL$4,""))</f>
        <v/>
      </c>
      <c r="F106" s="70" t="s">
        <v>711</v>
      </c>
      <c r="G106" s="71" t="s">
        <v>712</v>
      </c>
      <c r="H106" s="72">
        <f>IF($F106="automatisch",IF(ISNA(MATCH(Stichtag,RD_Kopf,0)),"automatisch",IF(SUMPRODUCT((RD_Kopf&gt;=IF($G106="monatlich",DATE(YEAR(KWFreitag),MONTH(KWFreitag),1),IF($G106="quartalsweise",DATE(YEAR(KWFreitag),INT((MONTH(KWFreitag)-1)/3)*3+1,1),Stichtag)))*(RD_Kopf&lt;=Stichtag)*ISNUMBER(Rohdaten!$A$94:$LJ$94))&gt;0,"erledigt","automatisch")),IF($F106&lt;&gt;"ja","",IF(ISNA(MATCH(Stichtag,RD_Kopf,0)),"keine Spalte",IF(SUMPRODUCT((RD_Kopf&gt;=IF($G106="monatlich",DATE(YEAR(KWFreitag),MONTH(KWFreitag),1),IF($G106="quartalsweise",DATE(YEAR(KWFreitag),INT((MONTH(KWFreitag)-1)/3)*3+1,1),Stichtag)))*(RD_Kopf&lt;=Stichtag)*ISNUMBER(Rohdaten!$A$94:$LJ$94))&gt;0,"erledigt","offen"))))</f>
        <v/>
      </c>
      <c r="I106" s="73"/>
      <c r="J106" s="73"/>
      <c r="K106" s="73"/>
      <c r="L106" s="73"/>
      <c r="M106" s="73"/>
      <c r="N106" s="73"/>
      <c r="O106" s="73"/>
      <c r="P106" s="73"/>
      <c r="Q106" s="73"/>
      <c r="R106" s="73"/>
      <c r="S106" s="73"/>
      <c r="T106" s="73"/>
      <c r="U106" s="73"/>
      <c r="V106" s="73"/>
      <c r="W106" s="73"/>
      <c r="X106" s="73"/>
      <c r="Y106" s="73"/>
      <c r="Z106" s="73"/>
      <c r="AA106" s="73"/>
      <c r="AB106" s="73"/>
      <c r="AC106" s="73"/>
      <c r="AD106" s="73"/>
      <c r="AE106" s="73"/>
      <c r="AF106" s="73"/>
      <c r="AG106" s="73"/>
      <c r="AH106" s="73"/>
      <c r="AI106" s="73"/>
      <c r="AJ106" s="73"/>
      <c r="AK106" s="73"/>
      <c r="AL106" s="73"/>
      <c r="AM106" t="s">
        <v>842</v>
      </c>
      <c r="AN106" t="s">
        <v>843</v>
      </c>
      <c r="AO106" t="s">
        <v>709</v>
      </c>
    </row>
    <row r="107" spans="1:41" ht="18" customHeight="1" outlineLevel="1">
      <c r="A107" s="65">
        <f>ROW(Rohdaten!$A$95)</f>
        <v>95</v>
      </c>
      <c r="B107" s="66" t="str">
        <f>IF(Rohdaten!$A$95="","",Rohdaten!$A$95)</f>
        <v>7e</v>
      </c>
      <c r="C107" s="74" t="s">
        <v>844</v>
      </c>
      <c r="D107" s="68">
        <f>IF(Rohdaten!$E$95="","",Rohdaten!$E$95)</f>
        <v/>
      </c>
      <c r="E107" s="69" t="str">
        <f t="array" ref="E107">_xlfn.TEXTJOIN(" / ",TRUE,IF($I107:$AL107="●",$I$4:$AL$4,""))</f>
        <v/>
      </c>
      <c r="F107" s="70" t="s">
        <v>711</v>
      </c>
      <c r="G107" s="71" t="s">
        <v>712</v>
      </c>
      <c r="H107" s="72">
        <f>IF($F107="automatisch",IF(ISNA(MATCH(Stichtag,RD_Kopf,0)),"automatisch",IF(SUMPRODUCT((RD_Kopf&gt;=IF($G107="monatlich",DATE(YEAR(KWFreitag),MONTH(KWFreitag),1),IF($G107="quartalsweise",DATE(YEAR(KWFreitag),INT((MONTH(KWFreitag)-1)/3)*3+1,1),Stichtag)))*(RD_Kopf&lt;=Stichtag)*ISNUMBER(Rohdaten!$A$95:$LJ$95))&gt;0,"erledigt","automatisch")),IF($F107&lt;&gt;"ja","",IF(ISNA(MATCH(Stichtag,RD_Kopf,0)),"keine Spalte",IF(SUMPRODUCT((RD_Kopf&gt;=IF($G107="monatlich",DATE(YEAR(KWFreitag),MONTH(KWFreitag),1),IF($G107="quartalsweise",DATE(YEAR(KWFreitag),INT((MONTH(KWFreitag)-1)/3)*3+1,1),Stichtag)))*(RD_Kopf&lt;=Stichtag)*ISNUMBER(Rohdaten!$A$95:$LJ$95))&gt;0,"erledigt","offen"))))</f>
        <v/>
      </c>
      <c r="I107" s="73"/>
      <c r="J107" s="73"/>
      <c r="K107" s="73"/>
      <c r="L107" s="73"/>
      <c r="M107" s="73"/>
      <c r="N107" s="73"/>
      <c r="O107" s="73"/>
      <c r="P107" s="73"/>
      <c r="Q107" s="73"/>
      <c r="R107" s="73"/>
      <c r="S107" s="73"/>
      <c r="T107" s="73"/>
      <c r="U107" s="73"/>
      <c r="V107" s="73"/>
      <c r="W107" s="73"/>
      <c r="X107" s="73"/>
      <c r="Y107" s="73"/>
      <c r="Z107" s="73"/>
      <c r="AA107" s="73"/>
      <c r="AB107" s="73"/>
      <c r="AC107" s="73"/>
      <c r="AD107" s="73"/>
      <c r="AE107" s="73"/>
      <c r="AF107" s="73"/>
      <c r="AG107" s="73"/>
      <c r="AH107" s="73"/>
      <c r="AI107" s="73"/>
      <c r="AJ107" s="73"/>
      <c r="AK107" s="73"/>
      <c r="AL107" s="73"/>
      <c r="AM107" t="s">
        <v>845</v>
      </c>
      <c r="AN107" t="s">
        <v>846</v>
      </c>
      <c r="AO107" t="s">
        <v>709</v>
      </c>
    </row>
    <row r="108" spans="1:41" ht="18" customHeight="1" outlineLevel="1">
      <c r="A108" s="62"/>
      <c r="B108" s="62"/>
      <c r="C108" s="63" t="s">
        <v>783</v>
      </c>
      <c r="D108" s="63"/>
      <c r="E108" s="63"/>
      <c r="F108" s="63"/>
      <c r="G108" s="63"/>
      <c r="H108" s="63"/>
      <c r="I108" s="64"/>
      <c r="J108" s="64"/>
      <c r="K108" s="64"/>
      <c r="L108" s="64"/>
      <c r="M108" s="64"/>
      <c r="N108" s="64"/>
      <c r="O108" s="64"/>
      <c r="P108" s="64"/>
      <c r="Q108" s="64"/>
      <c r="R108" s="64"/>
      <c r="S108" s="64"/>
      <c r="T108" s="64"/>
      <c r="U108" s="64"/>
      <c r="V108" s="64"/>
      <c r="W108" s="64"/>
      <c r="X108" s="64"/>
      <c r="Y108" s="64"/>
      <c r="Z108" s="64"/>
      <c r="AA108" s="64"/>
      <c r="AB108" s="64"/>
      <c r="AC108" s="64"/>
      <c r="AD108" s="64"/>
      <c r="AE108" s="64"/>
      <c r="AF108" s="64"/>
      <c r="AG108" s="64"/>
      <c r="AH108" s="64"/>
      <c r="AI108" s="64"/>
      <c r="AJ108" s="64"/>
      <c r="AK108" s="64"/>
      <c r="AL108" s="64"/>
      <c r="AO108" t="s">
        <v>706</v>
      </c>
    </row>
    <row r="109" spans="1:41" ht="18" customHeight="1" outlineLevel="2">
      <c r="A109" s="65">
        <f>ROW(Rohdaten!$A$96)</f>
        <v>96</v>
      </c>
      <c r="B109" s="66">
        <f>IF(Rohdaten!$A$96="","",Rohdaten!$A$96)</f>
        <v/>
      </c>
      <c r="C109" s="67" t="s">
        <v>835</v>
      </c>
      <c r="D109" s="68" t="str">
        <f>IF(Rohdaten!$E$96="","",Rohdaten!$E$96)</f>
        <v>Amend</v>
      </c>
      <c r="E109" s="69" t="str">
        <f t="array" ref="E109">_xlfn.TEXTJOIN(" / ",TRUE,IF($I109:$AL109="●",$I$4:$AL$4,""))</f>
        <v>Amend</v>
      </c>
      <c r="F109" s="70" t="s">
        <v>711</v>
      </c>
      <c r="G109" s="71" t="s">
        <v>712</v>
      </c>
      <c r="H109" s="72" t="str">
        <f>IF($F109="automatisch",IF(ISNA(MATCH(Stichtag,RD_Kopf,0)),"automatisch",IF(SUMPRODUCT((RD_Kopf&gt;=IF($G109="monatlich",DATE(YEAR(KWFreitag),MONTH(KWFreitag),1),IF($G109="quartalsweise",DATE(YEAR(KWFreitag),INT((MONTH(KWFreitag)-1)/3)*3+1,1),Stichtag)))*(RD_Kopf&lt;=Stichtag)*ISNUMBER(Rohdaten!$A$96:$LJ$96))&gt;0,"erledigt","automatisch")),IF($F109&lt;&gt;"ja","nicht berichtet",IF(ISNA(MATCH(Stichtag,RD_Kopf,0)),"keine Spalte",IF(SUMPRODUCT((RD_Kopf&gt;=IF($G109="monatlich",DATE(YEAR(KWFreitag),MONTH(KWFreitag),1),IF($G109="quartalsweise",DATE(YEAR(KWFreitag),INT((MONTH(KWFreitag)-1)/3)*3+1,1),Stichtag)))*(RD_Kopf&lt;=Stichtag)*ISNUMBER(Rohdaten!$A$96:$LJ$96))&gt;0,"erledigt","offen"))))</f>
        <v>nicht berichtet</v>
      </c>
      <c r="I109" s="73" t="s">
        <v>714</v>
      </c>
      <c r="J109" s="73"/>
      <c r="K109" s="73"/>
      <c r="L109" s="73"/>
      <c r="M109" s="73"/>
      <c r="N109" s="73"/>
      <c r="O109" s="73"/>
      <c r="P109" s="73"/>
      <c r="Q109" s="73"/>
      <c r="R109" s="73"/>
      <c r="S109" s="73"/>
      <c r="T109" s="73"/>
      <c r="U109" s="73"/>
      <c r="V109" s="73"/>
      <c r="W109" s="73"/>
      <c r="X109" s="73"/>
      <c r="Y109" s="73"/>
      <c r="Z109" s="73"/>
      <c r="AA109" s="73"/>
      <c r="AB109" s="73"/>
      <c r="AC109" s="73"/>
      <c r="AD109" s="73"/>
      <c r="AE109" s="73"/>
      <c r="AF109" s="73"/>
      <c r="AG109" s="73"/>
      <c r="AH109" s="73"/>
      <c r="AI109" s="73"/>
      <c r="AJ109" s="73"/>
      <c r="AK109" s="73"/>
      <c r="AL109" s="73"/>
      <c r="AM109" t="s">
        <v>847</v>
      </c>
      <c r="AO109" t="s">
        <v>709</v>
      </c>
    </row>
    <row r="110" spans="1:41" ht="18" customHeight="1" outlineLevel="2">
      <c r="A110" s="65">
        <f>ROW(Rohdaten!$A$97)</f>
        <v>97</v>
      </c>
      <c r="B110" s="66">
        <f>IF(Rohdaten!$A$97="","",Rohdaten!$A$97)</f>
        <v/>
      </c>
      <c r="C110" s="67" t="s">
        <v>848</v>
      </c>
      <c r="D110" s="68" t="str">
        <f>IF(Rohdaten!$E$97="","",Rohdaten!$E$97)</f>
        <v>Amend</v>
      </c>
      <c r="E110" s="69" t="str">
        <f t="array" ref="E110">_xlfn.TEXTJOIN(" / ",TRUE,IF($I110:$AL110="●",$I$4:$AL$4,""))</f>
        <v>Amend</v>
      </c>
      <c r="F110" s="70" t="s">
        <v>711</v>
      </c>
      <c r="G110" s="71" t="s">
        <v>712</v>
      </c>
      <c r="H110" s="72" t="str">
        <f>IF($F110="automatisch",IF(ISNA(MATCH(Stichtag,RD_Kopf,0)),"automatisch",IF(SUMPRODUCT((RD_Kopf&gt;=IF($G110="monatlich",DATE(YEAR(KWFreitag),MONTH(KWFreitag),1),IF($G110="quartalsweise",DATE(YEAR(KWFreitag),INT((MONTH(KWFreitag)-1)/3)*3+1,1),Stichtag)))*(RD_Kopf&lt;=Stichtag)*ISNUMBER(Rohdaten!$A$97:$LJ$97))&gt;0,"erledigt","automatisch")),IF($F110&lt;&gt;"ja","nicht berichtet",IF(ISNA(MATCH(Stichtag,RD_Kopf,0)),"keine Spalte",IF(SUMPRODUCT((RD_Kopf&gt;=IF($G110="monatlich",DATE(YEAR(KWFreitag),MONTH(KWFreitag),1),IF($G110="quartalsweise",DATE(YEAR(KWFreitag),INT((MONTH(KWFreitag)-1)/3)*3+1,1),Stichtag)))*(RD_Kopf&lt;=Stichtag)*ISNUMBER(Rohdaten!$A$97:$LJ$97))&gt;0,"erledigt","offen"))))</f>
        <v>nicht berichtet</v>
      </c>
      <c r="I110" s="73" t="s">
        <v>714</v>
      </c>
      <c r="J110" s="73"/>
      <c r="K110" s="73"/>
      <c r="L110" s="73"/>
      <c r="M110" s="73"/>
      <c r="N110" s="73"/>
      <c r="O110" s="73"/>
      <c r="P110" s="73"/>
      <c r="Q110" s="73"/>
      <c r="R110" s="73"/>
      <c r="S110" s="73"/>
      <c r="T110" s="73"/>
      <c r="U110" s="73"/>
      <c r="V110" s="73"/>
      <c r="W110" s="73"/>
      <c r="X110" s="73"/>
      <c r="Y110" s="73"/>
      <c r="Z110" s="73"/>
      <c r="AA110" s="73"/>
      <c r="AB110" s="73"/>
      <c r="AC110" s="73"/>
      <c r="AD110" s="73"/>
      <c r="AE110" s="73"/>
      <c r="AF110" s="73"/>
      <c r="AG110" s="73"/>
      <c r="AH110" s="73"/>
      <c r="AI110" s="73"/>
      <c r="AJ110" s="73"/>
      <c r="AK110" s="73"/>
      <c r="AL110" s="73"/>
      <c r="AM110" t="s">
        <v>849</v>
      </c>
      <c r="AO110" t="s">
        <v>709</v>
      </c>
    </row>
    <row r="111" spans="1:41" ht="18" customHeight="1" outlineLevel="2">
      <c r="A111" s="65">
        <f>ROW(Rohdaten!$A$98)</f>
        <v>98</v>
      </c>
      <c r="B111" s="66">
        <f>IF(Rohdaten!$A$98="","",Rohdaten!$A$98)</f>
        <v/>
      </c>
      <c r="C111" s="67" t="s">
        <v>850</v>
      </c>
      <c r="D111" s="68" t="str">
        <f>IF(Rohdaten!$E$98="","",Rohdaten!$E$98)</f>
        <v>H:\MaklerBUe</v>
      </c>
      <c r="E111" s="69" t="str">
        <f t="array" ref="E111">_xlfn.TEXTJOIN(" / ",TRUE,IF($I111:$AL111="●",$I$4:$AL$4,""))</f>
        <v/>
      </c>
      <c r="F111" s="70" t="s">
        <v>711</v>
      </c>
      <c r="G111" s="71" t="s">
        <v>712</v>
      </c>
      <c r="H111" s="72">
        <f>IF($F111="automatisch",IF(ISNA(MATCH(Stichtag,RD_Kopf,0)),"automatisch",IF(SUMPRODUCT((RD_Kopf&gt;=IF($G111="monatlich",DATE(YEAR(KWFreitag),MONTH(KWFreitag),1),IF($G111="quartalsweise",DATE(YEAR(KWFreitag),INT((MONTH(KWFreitag)-1)/3)*3+1,1),Stichtag)))*(RD_Kopf&lt;=Stichtag)*ISNUMBER(Rohdaten!$A$98:$LJ$98))&gt;0,"erledigt","automatisch")),IF($F111&lt;&gt;"ja","",IF(ISNA(MATCH(Stichtag,RD_Kopf,0)),"keine Spalte",IF(SUMPRODUCT((RD_Kopf&gt;=IF($G111="monatlich",DATE(YEAR(KWFreitag),MONTH(KWFreitag),1),IF($G111="quartalsweise",DATE(YEAR(KWFreitag),INT((MONTH(KWFreitag)-1)/3)*3+1,1),Stichtag)))*(RD_Kopf&lt;=Stichtag)*ISNUMBER(Rohdaten!$A$98:$LJ$98))&gt;0,"erledigt","offen"))))</f>
        <v/>
      </c>
      <c r="I111" s="73"/>
      <c r="J111" s="73"/>
      <c r="K111" s="73"/>
      <c r="L111" s="73"/>
      <c r="M111" s="73"/>
      <c r="N111" s="73"/>
      <c r="O111" s="73"/>
      <c r="P111" s="73"/>
      <c r="Q111" s="73"/>
      <c r="R111" s="73"/>
      <c r="S111" s="73"/>
      <c r="T111" s="73"/>
      <c r="U111" s="73"/>
      <c r="V111" s="73"/>
      <c r="W111" s="73"/>
      <c r="X111" s="73"/>
      <c r="Y111" s="73"/>
      <c r="Z111" s="73"/>
      <c r="AA111" s="73"/>
      <c r="AB111" s="73"/>
      <c r="AC111" s="73"/>
      <c r="AD111" s="73"/>
      <c r="AE111" s="73"/>
      <c r="AF111" s="73"/>
      <c r="AG111" s="73"/>
      <c r="AH111" s="73"/>
      <c r="AI111" s="73"/>
      <c r="AJ111" s="73"/>
      <c r="AK111" s="73"/>
      <c r="AL111" s="73"/>
      <c r="AM111" t="s">
        <v>851</v>
      </c>
      <c r="AO111" t="s">
        <v>709</v>
      </c>
    </row>
    <row r="112" spans="1:41" ht="18" customHeight="1" outlineLevel="1">
      <c r="A112" s="65">
        <f>ROW(Rohdaten!$A$99)</f>
        <v>99</v>
      </c>
      <c r="B112" s="66" t="str">
        <f>IF(Rohdaten!$A$99="","",Rohdaten!$A$99)</f>
        <v>7f</v>
      </c>
      <c r="C112" s="74" t="s">
        <v>852</v>
      </c>
      <c r="D112" s="68">
        <f>IF(Rohdaten!$E$99="","",Rohdaten!$E$99)</f>
        <v/>
      </c>
      <c r="E112" s="69" t="str">
        <f t="array" ref="E112">_xlfn.TEXTJOIN(" / ",TRUE,IF($I112:$AL112="●",$I$4:$AL$4,""))</f>
        <v/>
      </c>
      <c r="F112" s="70" t="s">
        <v>711</v>
      </c>
      <c r="G112" s="71" t="s">
        <v>712</v>
      </c>
      <c r="H112" s="72">
        <f>IF($F112="automatisch",IF(ISNA(MATCH(Stichtag,RD_Kopf,0)),"automatisch",IF(SUMPRODUCT((RD_Kopf&gt;=IF($G112="monatlich",DATE(YEAR(KWFreitag),MONTH(KWFreitag),1),IF($G112="quartalsweise",DATE(YEAR(KWFreitag),INT((MONTH(KWFreitag)-1)/3)*3+1,1),Stichtag)))*(RD_Kopf&lt;=Stichtag)*ISNUMBER(Rohdaten!$A$99:$LJ$99))&gt;0,"erledigt","automatisch")),IF($F112&lt;&gt;"ja","",IF(ISNA(MATCH(Stichtag,RD_Kopf,0)),"keine Spalte",IF(SUMPRODUCT((RD_Kopf&gt;=IF($G112="monatlich",DATE(YEAR(KWFreitag),MONTH(KWFreitag),1),IF($G112="quartalsweise",DATE(YEAR(KWFreitag),INT((MONTH(KWFreitag)-1)/3)*3+1,1),Stichtag)))*(RD_Kopf&lt;=Stichtag)*ISNUMBER(Rohdaten!$A$99:$LJ$99))&gt;0,"erledigt","offen"))))</f>
        <v/>
      </c>
      <c r="I112" s="73"/>
      <c r="J112" s="73"/>
      <c r="K112" s="73"/>
      <c r="L112" s="73"/>
      <c r="M112" s="73"/>
      <c r="N112" s="73"/>
      <c r="O112" s="73"/>
      <c r="P112" s="73"/>
      <c r="Q112" s="73"/>
      <c r="R112" s="73"/>
      <c r="S112" s="73"/>
      <c r="T112" s="73"/>
      <c r="U112" s="73"/>
      <c r="V112" s="73"/>
      <c r="W112" s="73"/>
      <c r="X112" s="73"/>
      <c r="Y112" s="73"/>
      <c r="Z112" s="73"/>
      <c r="AA112" s="73"/>
      <c r="AB112" s="73"/>
      <c r="AC112" s="73"/>
      <c r="AD112" s="73"/>
      <c r="AE112" s="73"/>
      <c r="AF112" s="73"/>
      <c r="AG112" s="73"/>
      <c r="AH112" s="73"/>
      <c r="AI112" s="73"/>
      <c r="AJ112" s="73"/>
      <c r="AK112" s="73"/>
      <c r="AL112" s="73"/>
      <c r="AM112" t="s">
        <v>853</v>
      </c>
      <c r="AN112" t="s">
        <v>854</v>
      </c>
      <c r="AO112" t="s">
        <v>709</v>
      </c>
    </row>
    <row r="113" spans="1:41" ht="18" customHeight="1" outlineLevel="1">
      <c r="A113" s="62"/>
      <c r="B113" s="62"/>
      <c r="C113" s="63" t="s">
        <v>786</v>
      </c>
      <c r="D113" s="63"/>
      <c r="E113" s="63"/>
      <c r="F113" s="63"/>
      <c r="G113" s="63"/>
      <c r="H113" s="63"/>
      <c r="I113" s="64"/>
      <c r="J113" s="64"/>
      <c r="K113" s="64"/>
      <c r="L113" s="64"/>
      <c r="M113" s="64"/>
      <c r="N113" s="64"/>
      <c r="O113" s="64"/>
      <c r="P113" s="64"/>
      <c r="Q113" s="64"/>
      <c r="R113" s="64"/>
      <c r="S113" s="64"/>
      <c r="T113" s="64"/>
      <c r="U113" s="64"/>
      <c r="V113" s="64"/>
      <c r="W113" s="64"/>
      <c r="X113" s="64"/>
      <c r="Y113" s="64"/>
      <c r="Z113" s="64"/>
      <c r="AA113" s="64"/>
      <c r="AB113" s="64"/>
      <c r="AC113" s="64"/>
      <c r="AD113" s="64"/>
      <c r="AE113" s="64"/>
      <c r="AF113" s="64"/>
      <c r="AG113" s="64"/>
      <c r="AH113" s="64"/>
      <c r="AI113" s="64"/>
      <c r="AJ113" s="64"/>
      <c r="AK113" s="64"/>
      <c r="AL113" s="64"/>
      <c r="AO113" t="s">
        <v>706</v>
      </c>
    </row>
    <row r="114" spans="1:41" ht="18" customHeight="1" outlineLevel="2">
      <c r="A114" s="65">
        <f>ROW(Rohdaten!$A$100)</f>
        <v>100</v>
      </c>
      <c r="B114" s="66">
        <f>IF(Rohdaten!$A$100="","",Rohdaten!$A$100)</f>
        <v/>
      </c>
      <c r="C114" s="67" t="s">
        <v>835</v>
      </c>
      <c r="D114" s="68" t="str">
        <f>IF(Rohdaten!$E$100="","",Rohdaten!$E$100)</f>
        <v>Amend</v>
      </c>
      <c r="E114" s="69" t="str">
        <f t="array" ref="E114">_xlfn.TEXTJOIN(" / ",TRUE,IF($I114:$AL114="●",$I$4:$AL$4,""))</f>
        <v>Amend</v>
      </c>
      <c r="F114" s="70" t="s">
        <v>711</v>
      </c>
      <c r="G114" s="71" t="s">
        <v>712</v>
      </c>
      <c r="H114" s="72" t="str">
        <f>IF($F114="automatisch",IF(ISNA(MATCH(Stichtag,RD_Kopf,0)),"automatisch",IF(SUMPRODUCT((RD_Kopf&gt;=IF($G114="monatlich",DATE(YEAR(KWFreitag),MONTH(KWFreitag),1),IF($G114="quartalsweise",DATE(YEAR(KWFreitag),INT((MONTH(KWFreitag)-1)/3)*3+1,1),Stichtag)))*(RD_Kopf&lt;=Stichtag)*ISNUMBER(Rohdaten!$A$100:$LJ$100))&gt;0,"erledigt","automatisch")),IF($F114&lt;&gt;"ja","nicht berichtet",IF(ISNA(MATCH(Stichtag,RD_Kopf,0)),"keine Spalte",IF(SUMPRODUCT((RD_Kopf&gt;=IF($G114="monatlich",DATE(YEAR(KWFreitag),MONTH(KWFreitag),1),IF($G114="quartalsweise",DATE(YEAR(KWFreitag),INT((MONTH(KWFreitag)-1)/3)*3+1,1),Stichtag)))*(RD_Kopf&lt;=Stichtag)*ISNUMBER(Rohdaten!$A$100:$LJ$100))&gt;0,"erledigt","offen"))))</f>
        <v>nicht berichtet</v>
      </c>
      <c r="I114" s="73" t="s">
        <v>714</v>
      </c>
      <c r="J114" s="73"/>
      <c r="K114" s="73"/>
      <c r="L114" s="73"/>
      <c r="M114" s="73"/>
      <c r="N114" s="73"/>
      <c r="O114" s="73"/>
      <c r="P114" s="73"/>
      <c r="Q114" s="73"/>
      <c r="R114" s="73"/>
      <c r="S114" s="73"/>
      <c r="T114" s="73"/>
      <c r="U114" s="73"/>
      <c r="V114" s="73"/>
      <c r="W114" s="73"/>
      <c r="X114" s="73"/>
      <c r="Y114" s="73"/>
      <c r="Z114" s="73"/>
      <c r="AA114" s="73"/>
      <c r="AB114" s="73"/>
      <c r="AC114" s="73"/>
      <c r="AD114" s="73"/>
      <c r="AE114" s="73"/>
      <c r="AF114" s="73"/>
      <c r="AG114" s="73"/>
      <c r="AH114" s="73"/>
      <c r="AI114" s="73"/>
      <c r="AJ114" s="73"/>
      <c r="AK114" s="73"/>
      <c r="AL114" s="73"/>
      <c r="AM114" t="s">
        <v>855</v>
      </c>
      <c r="AO114" t="s">
        <v>709</v>
      </c>
    </row>
    <row r="115" spans="1:41" ht="18" customHeight="1" outlineLevel="2">
      <c r="A115" s="65">
        <f>ROW(Rohdaten!$A$101)</f>
        <v>101</v>
      </c>
      <c r="B115" s="66">
        <f>IF(Rohdaten!$A$101="","",Rohdaten!$A$101)</f>
        <v/>
      </c>
      <c r="C115" s="67" t="s">
        <v>848</v>
      </c>
      <c r="D115" s="68" t="str">
        <f>IF(Rohdaten!$E$101="","",Rohdaten!$E$101)</f>
        <v>Amend</v>
      </c>
      <c r="E115" s="69" t="str">
        <f t="array" ref="E115">_xlfn.TEXTJOIN(" / ",TRUE,IF($I115:$AL115="●",$I$4:$AL$4,""))</f>
        <v>Amend</v>
      </c>
      <c r="F115" s="70" t="s">
        <v>711</v>
      </c>
      <c r="G115" s="71" t="s">
        <v>712</v>
      </c>
      <c r="H115" s="72" t="str">
        <f>IF($F115="automatisch",IF(ISNA(MATCH(Stichtag,RD_Kopf,0)),"automatisch",IF(SUMPRODUCT((RD_Kopf&gt;=IF($G115="monatlich",DATE(YEAR(KWFreitag),MONTH(KWFreitag),1),IF($G115="quartalsweise",DATE(YEAR(KWFreitag),INT((MONTH(KWFreitag)-1)/3)*3+1,1),Stichtag)))*(RD_Kopf&lt;=Stichtag)*ISNUMBER(Rohdaten!$A$101:$LJ$101))&gt;0,"erledigt","automatisch")),IF($F115&lt;&gt;"ja","nicht berichtet",IF(ISNA(MATCH(Stichtag,RD_Kopf,0)),"keine Spalte",IF(SUMPRODUCT((RD_Kopf&gt;=IF($G115="monatlich",DATE(YEAR(KWFreitag),MONTH(KWFreitag),1),IF($G115="quartalsweise",DATE(YEAR(KWFreitag),INT((MONTH(KWFreitag)-1)/3)*3+1,1),Stichtag)))*(RD_Kopf&lt;=Stichtag)*ISNUMBER(Rohdaten!$A$101:$LJ$101))&gt;0,"erledigt","offen"))))</f>
        <v>nicht berichtet</v>
      </c>
      <c r="I115" s="73" t="s">
        <v>714</v>
      </c>
      <c r="J115" s="73"/>
      <c r="K115" s="73"/>
      <c r="L115" s="73"/>
      <c r="M115" s="73"/>
      <c r="N115" s="73"/>
      <c r="O115" s="73"/>
      <c r="P115" s="73"/>
      <c r="Q115" s="73"/>
      <c r="R115" s="73"/>
      <c r="S115" s="73"/>
      <c r="T115" s="73"/>
      <c r="U115" s="73"/>
      <c r="V115" s="73"/>
      <c r="W115" s="73"/>
      <c r="X115" s="73"/>
      <c r="Y115" s="73"/>
      <c r="Z115" s="73"/>
      <c r="AA115" s="73"/>
      <c r="AB115" s="73"/>
      <c r="AC115" s="73"/>
      <c r="AD115" s="73"/>
      <c r="AE115" s="73"/>
      <c r="AF115" s="73"/>
      <c r="AG115" s="73"/>
      <c r="AH115" s="73"/>
      <c r="AI115" s="73"/>
      <c r="AJ115" s="73"/>
      <c r="AK115" s="73"/>
      <c r="AL115" s="73"/>
      <c r="AM115" t="s">
        <v>856</v>
      </c>
      <c r="AO115" t="s">
        <v>709</v>
      </c>
    </row>
    <row r="116" spans="1:41" ht="18" customHeight="1" outlineLevel="2">
      <c r="A116" s="65">
        <f>ROW(Rohdaten!$A$102)</f>
        <v>102</v>
      </c>
      <c r="B116" s="66">
        <f>IF(Rohdaten!$A$102="","",Rohdaten!$A$102)</f>
        <v/>
      </c>
      <c r="C116" s="67" t="s">
        <v>850</v>
      </c>
      <c r="D116" s="68" t="str">
        <f>IF(Rohdaten!$E$102="","",Rohdaten!$E$102)</f>
        <v>H:\MaklerBUe</v>
      </c>
      <c r="E116" s="69" t="str">
        <f t="array" ref="E116">_xlfn.TEXTJOIN(" / ",TRUE,IF($I116:$AL116="●",$I$4:$AL$4,""))</f>
        <v/>
      </c>
      <c r="F116" s="70" t="s">
        <v>711</v>
      </c>
      <c r="G116" s="71" t="s">
        <v>712</v>
      </c>
      <c r="H116" s="72">
        <f>IF($F116="automatisch",IF(ISNA(MATCH(Stichtag,RD_Kopf,0)),"automatisch",IF(SUMPRODUCT((RD_Kopf&gt;=IF($G116="monatlich",DATE(YEAR(KWFreitag),MONTH(KWFreitag),1),IF($G116="quartalsweise",DATE(YEAR(KWFreitag),INT((MONTH(KWFreitag)-1)/3)*3+1,1),Stichtag)))*(RD_Kopf&lt;=Stichtag)*ISNUMBER(Rohdaten!$A$102:$LJ$102))&gt;0,"erledigt","automatisch")),IF($F116&lt;&gt;"ja","",IF(ISNA(MATCH(Stichtag,RD_Kopf,0)),"keine Spalte",IF(SUMPRODUCT((RD_Kopf&gt;=IF($G116="monatlich",DATE(YEAR(KWFreitag),MONTH(KWFreitag),1),IF($G116="quartalsweise",DATE(YEAR(KWFreitag),INT((MONTH(KWFreitag)-1)/3)*3+1,1),Stichtag)))*(RD_Kopf&lt;=Stichtag)*ISNUMBER(Rohdaten!$A$102:$LJ$102))&gt;0,"erledigt","offen"))))</f>
        <v/>
      </c>
      <c r="I116" s="73"/>
      <c r="J116" s="73"/>
      <c r="K116" s="73"/>
      <c r="L116" s="73"/>
      <c r="M116" s="73"/>
      <c r="N116" s="73"/>
      <c r="O116" s="73"/>
      <c r="P116" s="73"/>
      <c r="Q116" s="73"/>
      <c r="R116" s="73"/>
      <c r="S116" s="73"/>
      <c r="T116" s="73"/>
      <c r="U116" s="73"/>
      <c r="V116" s="73"/>
      <c r="W116" s="73"/>
      <c r="X116" s="73"/>
      <c r="Y116" s="73"/>
      <c r="Z116" s="73"/>
      <c r="AA116" s="73"/>
      <c r="AB116" s="73"/>
      <c r="AC116" s="73"/>
      <c r="AD116" s="73"/>
      <c r="AE116" s="73"/>
      <c r="AF116" s="73"/>
      <c r="AG116" s="73"/>
      <c r="AH116" s="73"/>
      <c r="AI116" s="73"/>
      <c r="AJ116" s="73"/>
      <c r="AK116" s="73"/>
      <c r="AL116" s="73"/>
      <c r="AM116" t="s">
        <v>857</v>
      </c>
      <c r="AO116" t="s">
        <v>709</v>
      </c>
    </row>
    <row r="117" spans="1:41" ht="22" customHeight="1">
      <c r="A117" s="60" t="s">
        <v>858</v>
      </c>
      <c r="B117" s="60"/>
      <c r="C117" s="60"/>
      <c r="D117" s="60"/>
      <c r="E117" s="60"/>
      <c r="F117" s="60"/>
      <c r="G117" s="60"/>
      <c r="H117" s="60"/>
      <c r="I117" s="61"/>
      <c r="J117" s="61"/>
      <c r="K117" s="61"/>
      <c r="L117" s="61"/>
      <c r="M117" s="61"/>
      <c r="N117" s="61"/>
      <c r="O117" s="61"/>
      <c r="P117" s="61"/>
      <c r="Q117" s="61"/>
      <c r="R117" s="61"/>
      <c r="S117" s="61"/>
      <c r="T117" s="61"/>
      <c r="U117" s="61"/>
      <c r="V117" s="61"/>
      <c r="W117" s="61"/>
      <c r="X117" s="61"/>
      <c r="Y117" s="61"/>
      <c r="Z117" s="61"/>
      <c r="AA117" s="61"/>
      <c r="AB117" s="61"/>
      <c r="AC117" s="61"/>
      <c r="AD117" s="61"/>
      <c r="AE117" s="61"/>
      <c r="AF117" s="61"/>
      <c r="AG117" s="61"/>
      <c r="AH117" s="61"/>
      <c r="AI117" s="61"/>
      <c r="AJ117" s="61"/>
      <c r="AK117" s="61"/>
      <c r="AL117" s="61"/>
      <c r="AO117" t="s">
        <v>705</v>
      </c>
    </row>
    <row r="118" spans="1:41" ht="18" customHeight="1" outlineLevel="1">
      <c r="A118" s="62"/>
      <c r="B118" s="62"/>
      <c r="C118" s="63" t="s">
        <v>728</v>
      </c>
      <c r="D118" s="63"/>
      <c r="E118" s="63"/>
      <c r="F118" s="63"/>
      <c r="G118" s="63"/>
      <c r="H118" s="63"/>
      <c r="I118" s="64"/>
      <c r="J118" s="64"/>
      <c r="K118" s="64"/>
      <c r="L118" s="64"/>
      <c r="M118" s="64"/>
      <c r="N118" s="64"/>
      <c r="O118" s="64"/>
      <c r="P118" s="64"/>
      <c r="Q118" s="64"/>
      <c r="R118" s="64"/>
      <c r="S118" s="64"/>
      <c r="T118" s="64"/>
      <c r="U118" s="64"/>
      <c r="V118" s="64"/>
      <c r="W118" s="64"/>
      <c r="X118" s="64"/>
      <c r="Y118" s="64"/>
      <c r="Z118" s="64"/>
      <c r="AA118" s="64"/>
      <c r="AB118" s="64"/>
      <c r="AC118" s="64"/>
      <c r="AD118" s="64"/>
      <c r="AE118" s="64"/>
      <c r="AF118" s="64"/>
      <c r="AG118" s="64"/>
      <c r="AH118" s="64"/>
      <c r="AI118" s="64"/>
      <c r="AJ118" s="64"/>
      <c r="AK118" s="64"/>
      <c r="AL118" s="64"/>
      <c r="AO118" t="s">
        <v>706</v>
      </c>
    </row>
    <row r="119" spans="1:41" ht="18" customHeight="1" outlineLevel="2">
      <c r="A119" s="65">
        <f>ROW(Rohdaten!$A$103)</f>
        <v>103</v>
      </c>
      <c r="B119" s="66">
        <f>IF(Rohdaten!$A$103="","",Rohdaten!$A$103)</f>
        <v/>
      </c>
      <c r="C119" s="67" t="s">
        <v>859</v>
      </c>
      <c r="D119" s="68" t="str">
        <f>IF(Rohdaten!$E$103="","",Rohdaten!$E$103)</f>
        <v>Kneissler/ Freytag</v>
      </c>
      <c r="E119" s="69" t="str">
        <f t="array" ref="E119">_xlfn.TEXTJOIN(" / ",TRUE,IF($I119:$AL119="●",$I$4:$AL$4,""))</f>
        <v>Freytag / Kneissler</v>
      </c>
      <c r="F119" s="70" t="s">
        <v>781</v>
      </c>
      <c r="G119" s="71" t="s">
        <v>712</v>
      </c>
      <c r="H119" s="72">
        <f>IF($F119="automatisch",IF(ISNA(MATCH(Stichtag,RD_Kopf,0)),"automatisch",IF(SUMPRODUCT((RD_Kopf&gt;=IF($G119="monatlich",DATE(YEAR(KWFreitag),MONTH(KWFreitag),1),IF($G119="quartalsweise",DATE(YEAR(KWFreitag),INT((MONTH(KWFreitag)-1)/3)*3+1,1),Stichtag)))*(RD_Kopf&lt;=Stichtag)*ISNUMBER(Rohdaten!$A$103:$LJ$103))&gt;0,"erledigt","automatisch")),IF($F119&lt;&gt;"ja","",IF(ISNA(MATCH(Stichtag,RD_Kopf,0)),"keine Spalte",IF(SUMPRODUCT((RD_Kopf&gt;=IF($G119="monatlich",DATE(YEAR(KWFreitag),MONTH(KWFreitag),1),IF($G119="quartalsweise",DATE(YEAR(KWFreitag),INT((MONTH(KWFreitag)-1)/3)*3+1,1),Stichtag)))*(RD_Kopf&lt;=Stichtag)*ISNUMBER(Rohdaten!$A$103:$LJ$103))&gt;0,"erledigt","offen"))))</f>
        <v/>
      </c>
      <c r="I119" s="73"/>
      <c r="J119" s="73"/>
      <c r="K119" s="73"/>
      <c r="L119" s="73"/>
      <c r="M119" s="73"/>
      <c r="N119" s="73"/>
      <c r="O119" s="73"/>
      <c r="P119" s="73" t="s">
        <v>714</v>
      </c>
      <c r="Q119" s="73"/>
      <c r="R119" s="73"/>
      <c r="S119" s="73"/>
      <c r="T119" s="73"/>
      <c r="U119" s="73"/>
      <c r="V119" s="73"/>
      <c r="W119" s="73" t="s">
        <v>714</v>
      </c>
      <c r="X119" s="73"/>
      <c r="Y119" s="73"/>
      <c r="Z119" s="73"/>
      <c r="AA119" s="73"/>
      <c r="AB119" s="73"/>
      <c r="AC119" s="73"/>
      <c r="AD119" s="73"/>
      <c r="AE119" s="73"/>
      <c r="AF119" s="73"/>
      <c r="AG119" s="73"/>
      <c r="AH119" s="73"/>
      <c r="AI119" s="73"/>
      <c r="AJ119" s="73"/>
      <c r="AK119" s="73"/>
      <c r="AL119" s="73"/>
      <c r="AM119" t="s">
        <v>860</v>
      </c>
      <c r="AO119" t="s">
        <v>709</v>
      </c>
    </row>
    <row r="120" spans="1:41" ht="30" customHeight="1" outlineLevel="2">
      <c r="A120" s="65">
        <f>ROW(Rohdaten!$A$104)</f>
        <v>104</v>
      </c>
      <c r="B120" s="66">
        <f>IF(Rohdaten!$A$104="","",Rohdaten!$A$104)</f>
        <v/>
      </c>
      <c r="C120" s="75" t="s">
        <v>861</v>
      </c>
      <c r="D120" s="68" t="str">
        <f>IFERROR(INDEX(Rohdaten!$E$103:$E$104,MATCH("*",Rohdaten!$E$103:$E$104,0)),"")</f>
        <v>Kneissler/ Freytag</v>
      </c>
      <c r="E120" s="69" t="str">
        <f t="array" ref="E120">_xlfn.TEXTJOIN(" / ",TRUE,IF($I120:$AL120="●",$I$4:$AL$4,""))</f>
        <v>Freytag / Kneissler</v>
      </c>
      <c r="F120" s="70" t="s">
        <v>781</v>
      </c>
      <c r="G120" s="71" t="s">
        <v>712</v>
      </c>
      <c r="H120" s="72">
        <f>IF($F120="automatisch",IF(ISNA(MATCH(Stichtag,RD_Kopf,0)),"automatisch",IF(SUMPRODUCT((RD_Kopf&gt;=IF($G120="monatlich",DATE(YEAR(KWFreitag),MONTH(KWFreitag),1),IF($G120="quartalsweise",DATE(YEAR(KWFreitag),INT((MONTH(KWFreitag)-1)/3)*3+1,1),Stichtag)))*(RD_Kopf&lt;=Stichtag)*ISNUMBER(Rohdaten!$A$104:$LJ$104))&gt;0,"erledigt","automatisch")),IF($F120&lt;&gt;"ja","",IF(ISNA(MATCH(Stichtag,RD_Kopf,0)),"keine Spalte",IF(SUMPRODUCT((RD_Kopf&gt;=IF($G120="monatlich",DATE(YEAR(KWFreitag),MONTH(KWFreitag),1),IF($G120="quartalsweise",DATE(YEAR(KWFreitag),INT((MONTH(KWFreitag)-1)/3)*3+1,1),Stichtag)))*(RD_Kopf&lt;=Stichtag)*ISNUMBER(Rohdaten!$A$104:$LJ$104))&gt;0,"erledigt","offen"))))</f>
        <v/>
      </c>
      <c r="I120" s="73"/>
      <c r="J120" s="73"/>
      <c r="K120" s="73"/>
      <c r="L120" s="73"/>
      <c r="M120" s="73"/>
      <c r="N120" s="73"/>
      <c r="O120" s="73"/>
      <c r="P120" s="73" t="s">
        <v>714</v>
      </c>
      <c r="Q120" s="73"/>
      <c r="R120" s="73"/>
      <c r="S120" s="73"/>
      <c r="T120" s="73"/>
      <c r="U120" s="73"/>
      <c r="V120" s="73"/>
      <c r="W120" s="73" t="s">
        <v>714</v>
      </c>
      <c r="X120" s="73"/>
      <c r="Y120" s="73"/>
      <c r="Z120" s="73"/>
      <c r="AA120" s="73"/>
      <c r="AB120" s="73"/>
      <c r="AC120" s="73"/>
      <c r="AD120" s="73"/>
      <c r="AE120" s="73"/>
      <c r="AF120" s="73"/>
      <c r="AG120" s="73"/>
      <c r="AH120" s="73"/>
      <c r="AI120" s="73"/>
      <c r="AJ120" s="73"/>
      <c r="AK120" s="73"/>
      <c r="AL120" s="73"/>
      <c r="AM120" t="s">
        <v>862</v>
      </c>
      <c r="AO120" t="s">
        <v>709</v>
      </c>
    </row>
    <row r="121" spans="1:41" ht="18" customHeight="1" outlineLevel="2">
      <c r="A121" s="65">
        <f>ROW(Rohdaten!$A$105)</f>
        <v>105</v>
      </c>
      <c r="B121" s="66" t="str">
        <f>IF(Rohdaten!$A$105="","",Rohdaten!$A$105)</f>
        <v>8a</v>
      </c>
      <c r="C121" s="67" t="s">
        <v>832</v>
      </c>
      <c r="D121" s="68" t="str">
        <f>IFERROR(INDEX(Rohdaten!$E$103:$E$105,MATCH("*",Rohdaten!$E$103:$E$105,0)),"")</f>
        <v>Kneissler/ Freytag</v>
      </c>
      <c r="E121" s="69" t="str">
        <f t="array" ref="E121">_xlfn.TEXTJOIN(" / ",TRUE,IF($I121:$AL121="●",$I$4:$AL$4,""))</f>
        <v>Freytag / Kneissler</v>
      </c>
      <c r="F121" s="70" t="s">
        <v>711</v>
      </c>
      <c r="G121" s="71" t="s">
        <v>712</v>
      </c>
      <c r="H121" s="72">
        <f>IF($F121="automatisch",IF(ISNA(MATCH(Stichtag,RD_Kopf,0)),"automatisch",IF(SUMPRODUCT((RD_Kopf&gt;=IF($G121="monatlich",DATE(YEAR(KWFreitag),MONTH(KWFreitag),1),IF($G121="quartalsweise",DATE(YEAR(KWFreitag),INT((MONTH(KWFreitag)-1)/3)*3+1,1),Stichtag)))*(RD_Kopf&lt;=Stichtag)*ISNUMBER(Rohdaten!$A$105:$LJ$105))&gt;0,"erledigt","automatisch")),IF($F121&lt;&gt;"ja","",IF(ISNA(MATCH(Stichtag,RD_Kopf,0)),"keine Spalte",IF(SUMPRODUCT((RD_Kopf&gt;=IF($G121="monatlich",DATE(YEAR(KWFreitag),MONTH(KWFreitag),1),IF($G121="quartalsweise",DATE(YEAR(KWFreitag),INT((MONTH(KWFreitag)-1)/3)*3+1,1),Stichtag)))*(RD_Kopf&lt;=Stichtag)*ISNUMBER(Rohdaten!$A$105:$LJ$105))&gt;0,"erledigt","offen"))))</f>
        <v/>
      </c>
      <c r="I121" s="73"/>
      <c r="J121" s="73"/>
      <c r="K121" s="73"/>
      <c r="L121" s="73"/>
      <c r="M121" s="73"/>
      <c r="N121" s="73"/>
      <c r="O121" s="73"/>
      <c r="P121" s="73" t="s">
        <v>714</v>
      </c>
      <c r="Q121" s="73"/>
      <c r="R121" s="73"/>
      <c r="S121" s="73"/>
      <c r="T121" s="73"/>
      <c r="U121" s="73"/>
      <c r="V121" s="73"/>
      <c r="W121" s="73" t="s">
        <v>714</v>
      </c>
      <c r="X121" s="73"/>
      <c r="Y121" s="73"/>
      <c r="Z121" s="73"/>
      <c r="AA121" s="73"/>
      <c r="AB121" s="73"/>
      <c r="AC121" s="73"/>
      <c r="AD121" s="73"/>
      <c r="AE121" s="73"/>
      <c r="AF121" s="73"/>
      <c r="AG121" s="73"/>
      <c r="AH121" s="73"/>
      <c r="AI121" s="73"/>
      <c r="AJ121" s="73"/>
      <c r="AK121" s="73"/>
      <c r="AL121" s="73"/>
      <c r="AM121" t="s">
        <v>863</v>
      </c>
      <c r="AN121" t="s">
        <v>105</v>
      </c>
      <c r="AO121" t="s">
        <v>709</v>
      </c>
    </row>
    <row r="122" spans="1:41" ht="18" customHeight="1" outlineLevel="1">
      <c r="A122" s="62"/>
      <c r="B122" s="62"/>
      <c r="C122" s="63" t="s">
        <v>783</v>
      </c>
      <c r="D122" s="63"/>
      <c r="E122" s="63"/>
      <c r="F122" s="63"/>
      <c r="G122" s="63"/>
      <c r="H122" s="63"/>
      <c r="I122" s="64"/>
      <c r="J122" s="64"/>
      <c r="K122" s="64"/>
      <c r="L122" s="64"/>
      <c r="M122" s="64"/>
      <c r="N122" s="64"/>
      <c r="O122" s="64"/>
      <c r="P122" s="64"/>
      <c r="Q122" s="64"/>
      <c r="R122" s="64"/>
      <c r="S122" s="64"/>
      <c r="T122" s="64"/>
      <c r="U122" s="64"/>
      <c r="V122" s="64"/>
      <c r="W122" s="64"/>
      <c r="X122" s="64"/>
      <c r="Y122" s="64"/>
      <c r="Z122" s="64"/>
      <c r="AA122" s="64"/>
      <c r="AB122" s="64"/>
      <c r="AC122" s="64"/>
      <c r="AD122" s="64"/>
      <c r="AE122" s="64"/>
      <c r="AF122" s="64"/>
      <c r="AG122" s="64"/>
      <c r="AH122" s="64"/>
      <c r="AI122" s="64"/>
      <c r="AJ122" s="64"/>
      <c r="AK122" s="64"/>
      <c r="AL122" s="64"/>
      <c r="AO122" t="s">
        <v>706</v>
      </c>
    </row>
    <row r="123" spans="1:41" ht="18" customHeight="1" outlineLevel="2">
      <c r="A123" s="65">
        <f>ROW(Rohdaten!$A$106)</f>
        <v>106</v>
      </c>
      <c r="B123" s="66">
        <f>IF(Rohdaten!$A$106="","",Rohdaten!$A$106)</f>
        <v/>
      </c>
      <c r="C123" s="67" t="s">
        <v>859</v>
      </c>
      <c r="D123" s="68" t="str">
        <f>IFERROR(INDEX(Rohdaten!$E$103:$E$106,MATCH("*",Rohdaten!$E$103:$E$106,0)),"")</f>
        <v>Kneissler/ Freytag</v>
      </c>
      <c r="E123" s="69" t="str">
        <f t="array" ref="E123">_xlfn.TEXTJOIN(" / ",TRUE,IF($I123:$AL123="●",$I$4:$AL$4,""))</f>
        <v>Freytag / Kneissler</v>
      </c>
      <c r="F123" s="70" t="s">
        <v>781</v>
      </c>
      <c r="G123" s="71" t="s">
        <v>712</v>
      </c>
      <c r="H123" s="72">
        <f>IF($F123="automatisch",IF(ISNA(MATCH(Stichtag,RD_Kopf,0)),"automatisch",IF(SUMPRODUCT((RD_Kopf&gt;=IF($G123="monatlich",DATE(YEAR(KWFreitag),MONTH(KWFreitag),1),IF($G123="quartalsweise",DATE(YEAR(KWFreitag),INT((MONTH(KWFreitag)-1)/3)*3+1,1),Stichtag)))*(RD_Kopf&lt;=Stichtag)*ISNUMBER(Rohdaten!$A$106:$LJ$106))&gt;0,"erledigt","automatisch")),IF($F123&lt;&gt;"ja","",IF(ISNA(MATCH(Stichtag,RD_Kopf,0)),"keine Spalte",IF(SUMPRODUCT((RD_Kopf&gt;=IF($G123="monatlich",DATE(YEAR(KWFreitag),MONTH(KWFreitag),1),IF($G123="quartalsweise",DATE(YEAR(KWFreitag),INT((MONTH(KWFreitag)-1)/3)*3+1,1),Stichtag)))*(RD_Kopf&lt;=Stichtag)*ISNUMBER(Rohdaten!$A$106:$LJ$106))&gt;0,"erledigt","offen"))))</f>
        <v/>
      </c>
      <c r="I123" s="73"/>
      <c r="J123" s="73"/>
      <c r="K123" s="73"/>
      <c r="L123" s="73"/>
      <c r="M123" s="73"/>
      <c r="N123" s="73"/>
      <c r="O123" s="73"/>
      <c r="P123" s="73" t="s">
        <v>714</v>
      </c>
      <c r="Q123" s="73"/>
      <c r="R123" s="73"/>
      <c r="S123" s="73"/>
      <c r="T123" s="73"/>
      <c r="U123" s="73"/>
      <c r="V123" s="73"/>
      <c r="W123" s="73" t="s">
        <v>714</v>
      </c>
      <c r="X123" s="73"/>
      <c r="Y123" s="73"/>
      <c r="Z123" s="73"/>
      <c r="AA123" s="73"/>
      <c r="AB123" s="73"/>
      <c r="AC123" s="73"/>
      <c r="AD123" s="73"/>
      <c r="AE123" s="73"/>
      <c r="AF123" s="73"/>
      <c r="AG123" s="73"/>
      <c r="AH123" s="73"/>
      <c r="AI123" s="73"/>
      <c r="AJ123" s="73"/>
      <c r="AK123" s="73"/>
      <c r="AL123" s="73"/>
      <c r="AM123" t="s">
        <v>864</v>
      </c>
      <c r="AO123" t="s">
        <v>709</v>
      </c>
    </row>
    <row r="124" spans="1:41" ht="30" customHeight="1" outlineLevel="2">
      <c r="A124" s="65">
        <f>ROW(Rohdaten!$A$107)</f>
        <v>107</v>
      </c>
      <c r="B124" s="66">
        <f>IF(Rohdaten!$A$107="","",Rohdaten!$A$107)</f>
        <v/>
      </c>
      <c r="C124" s="75" t="s">
        <v>861</v>
      </c>
      <c r="D124" s="68" t="str">
        <f>IFERROR(INDEX(Rohdaten!$E$103:$E$107,MATCH("*",Rohdaten!$E$103:$E$107,0)),"")</f>
        <v>Kneissler/ Freytag</v>
      </c>
      <c r="E124" s="69" t="str">
        <f t="array" ref="E124">_xlfn.TEXTJOIN(" / ",TRUE,IF($I124:$AL124="●",$I$4:$AL$4,""))</f>
        <v>Freytag / Kneissler</v>
      </c>
      <c r="F124" s="70" t="s">
        <v>781</v>
      </c>
      <c r="G124" s="71" t="s">
        <v>712</v>
      </c>
      <c r="H124" s="72">
        <f>IF($F124="automatisch",IF(ISNA(MATCH(Stichtag,RD_Kopf,0)),"automatisch",IF(SUMPRODUCT((RD_Kopf&gt;=IF($G124="monatlich",DATE(YEAR(KWFreitag),MONTH(KWFreitag),1),IF($G124="quartalsweise",DATE(YEAR(KWFreitag),INT((MONTH(KWFreitag)-1)/3)*3+1,1),Stichtag)))*(RD_Kopf&lt;=Stichtag)*ISNUMBER(Rohdaten!$A$107:$LJ$107))&gt;0,"erledigt","automatisch")),IF($F124&lt;&gt;"ja","",IF(ISNA(MATCH(Stichtag,RD_Kopf,0)),"keine Spalte",IF(SUMPRODUCT((RD_Kopf&gt;=IF($G124="monatlich",DATE(YEAR(KWFreitag),MONTH(KWFreitag),1),IF($G124="quartalsweise",DATE(YEAR(KWFreitag),INT((MONTH(KWFreitag)-1)/3)*3+1,1),Stichtag)))*(RD_Kopf&lt;=Stichtag)*ISNUMBER(Rohdaten!$A$107:$LJ$107))&gt;0,"erledigt","offen"))))</f>
        <v/>
      </c>
      <c r="I124" s="73"/>
      <c r="J124" s="73"/>
      <c r="K124" s="73"/>
      <c r="L124" s="73"/>
      <c r="M124" s="73"/>
      <c r="N124" s="73"/>
      <c r="O124" s="73"/>
      <c r="P124" s="73" t="s">
        <v>714</v>
      </c>
      <c r="Q124" s="73"/>
      <c r="R124" s="73"/>
      <c r="S124" s="73"/>
      <c r="T124" s="73"/>
      <c r="U124" s="73"/>
      <c r="V124" s="73"/>
      <c r="W124" s="73" t="s">
        <v>714</v>
      </c>
      <c r="X124" s="73"/>
      <c r="Y124" s="73"/>
      <c r="Z124" s="73"/>
      <c r="AA124" s="73"/>
      <c r="AB124" s="73"/>
      <c r="AC124" s="73"/>
      <c r="AD124" s="73"/>
      <c r="AE124" s="73"/>
      <c r="AF124" s="73"/>
      <c r="AG124" s="73"/>
      <c r="AH124" s="73"/>
      <c r="AI124" s="73"/>
      <c r="AJ124" s="73"/>
      <c r="AK124" s="73"/>
      <c r="AL124" s="73"/>
      <c r="AM124" t="s">
        <v>865</v>
      </c>
      <c r="AO124" t="s">
        <v>709</v>
      </c>
    </row>
    <row r="125" spans="1:41" ht="18" customHeight="1" outlineLevel="2">
      <c r="A125" s="65">
        <f>ROW(Rohdaten!$A$108)</f>
        <v>108</v>
      </c>
      <c r="B125" s="66" t="str">
        <f>IF(Rohdaten!$A$108="","",Rohdaten!$A$108)</f>
        <v>8b</v>
      </c>
      <c r="C125" s="67" t="s">
        <v>832</v>
      </c>
      <c r="D125" s="68" t="str">
        <f>IFERROR(INDEX(Rohdaten!$E$103:$E$108,MATCH("*",Rohdaten!$E$103:$E$108,0)),"")</f>
        <v>Kneissler/ Freytag</v>
      </c>
      <c r="E125" s="69" t="str">
        <f t="array" ref="E125">_xlfn.TEXTJOIN(" / ",TRUE,IF($I125:$AL125="●",$I$4:$AL$4,""))</f>
        <v>Freytag / Kneissler</v>
      </c>
      <c r="F125" s="70" t="s">
        <v>711</v>
      </c>
      <c r="G125" s="71" t="s">
        <v>712</v>
      </c>
      <c r="H125" s="72">
        <f>IF($F125="automatisch",IF(ISNA(MATCH(Stichtag,RD_Kopf,0)),"automatisch",IF(SUMPRODUCT((RD_Kopf&gt;=IF($G125="monatlich",DATE(YEAR(KWFreitag),MONTH(KWFreitag),1),IF($G125="quartalsweise",DATE(YEAR(KWFreitag),INT((MONTH(KWFreitag)-1)/3)*3+1,1),Stichtag)))*(RD_Kopf&lt;=Stichtag)*ISNUMBER(Rohdaten!$A$108:$LJ$108))&gt;0,"erledigt","automatisch")),IF($F125&lt;&gt;"ja","",IF(ISNA(MATCH(Stichtag,RD_Kopf,0)),"keine Spalte",IF(SUMPRODUCT((RD_Kopf&gt;=IF($G125="monatlich",DATE(YEAR(KWFreitag),MONTH(KWFreitag),1),IF($G125="quartalsweise",DATE(YEAR(KWFreitag),INT((MONTH(KWFreitag)-1)/3)*3+1,1),Stichtag)))*(RD_Kopf&lt;=Stichtag)*ISNUMBER(Rohdaten!$A$108:$LJ$108))&gt;0,"erledigt","offen"))))</f>
        <v/>
      </c>
      <c r="I125" s="73"/>
      <c r="J125" s="73"/>
      <c r="K125" s="73"/>
      <c r="L125" s="73"/>
      <c r="M125" s="73"/>
      <c r="N125" s="73"/>
      <c r="O125" s="73"/>
      <c r="P125" s="73" t="s">
        <v>714</v>
      </c>
      <c r="Q125" s="73"/>
      <c r="R125" s="73"/>
      <c r="S125" s="73"/>
      <c r="T125" s="73"/>
      <c r="U125" s="73"/>
      <c r="V125" s="73"/>
      <c r="W125" s="73" t="s">
        <v>714</v>
      </c>
      <c r="X125" s="73"/>
      <c r="Y125" s="73"/>
      <c r="Z125" s="73"/>
      <c r="AA125" s="73"/>
      <c r="AB125" s="73"/>
      <c r="AC125" s="73"/>
      <c r="AD125" s="73"/>
      <c r="AE125" s="73"/>
      <c r="AF125" s="73"/>
      <c r="AG125" s="73"/>
      <c r="AH125" s="73"/>
      <c r="AI125" s="73"/>
      <c r="AJ125" s="73"/>
      <c r="AK125" s="73"/>
      <c r="AL125" s="73"/>
      <c r="AM125" t="s">
        <v>866</v>
      </c>
      <c r="AN125" t="s">
        <v>106</v>
      </c>
      <c r="AO125" t="s">
        <v>709</v>
      </c>
    </row>
    <row r="126" spans="1:41" ht="18" customHeight="1" outlineLevel="1">
      <c r="A126" s="62"/>
      <c r="B126" s="62"/>
      <c r="C126" s="63" t="s">
        <v>786</v>
      </c>
      <c r="D126" s="63"/>
      <c r="E126" s="63"/>
      <c r="F126" s="63"/>
      <c r="G126" s="63"/>
      <c r="H126" s="63"/>
      <c r="I126" s="64"/>
      <c r="J126" s="64"/>
      <c r="K126" s="64"/>
      <c r="L126" s="64"/>
      <c r="M126" s="64"/>
      <c r="N126" s="64"/>
      <c r="O126" s="64"/>
      <c r="P126" s="64"/>
      <c r="Q126" s="64"/>
      <c r="R126" s="64"/>
      <c r="S126" s="64"/>
      <c r="T126" s="64"/>
      <c r="U126" s="64"/>
      <c r="V126" s="64"/>
      <c r="W126" s="64"/>
      <c r="X126" s="64"/>
      <c r="Y126" s="64"/>
      <c r="Z126" s="64"/>
      <c r="AA126" s="64"/>
      <c r="AB126" s="64"/>
      <c r="AC126" s="64"/>
      <c r="AD126" s="64"/>
      <c r="AE126" s="64"/>
      <c r="AF126" s="64"/>
      <c r="AG126" s="64"/>
      <c r="AH126" s="64"/>
      <c r="AI126" s="64"/>
      <c r="AJ126" s="64"/>
      <c r="AK126" s="64"/>
      <c r="AL126" s="64"/>
      <c r="AO126" t="s">
        <v>706</v>
      </c>
    </row>
    <row r="127" spans="1:41" ht="18" customHeight="1" outlineLevel="2">
      <c r="A127" s="65">
        <f>ROW(Rohdaten!$A$109)</f>
        <v>109</v>
      </c>
      <c r="B127" s="66">
        <f>IF(Rohdaten!$A$109="","",Rohdaten!$A$109)</f>
        <v/>
      </c>
      <c r="C127" s="67" t="s">
        <v>859</v>
      </c>
      <c r="D127" s="68" t="str">
        <f>IFERROR(INDEX(Rohdaten!$E$103:$E$109,MATCH("*",Rohdaten!$E$103:$E$109,0)),"")</f>
        <v>Kneissler/ Freytag</v>
      </c>
      <c r="E127" s="69" t="str">
        <f t="array" ref="E127">_xlfn.TEXTJOIN(" / ",TRUE,IF($I127:$AL127="●",$I$4:$AL$4,""))</f>
        <v>Freytag / Kneissler</v>
      </c>
      <c r="F127" s="70" t="s">
        <v>781</v>
      </c>
      <c r="G127" s="71" t="s">
        <v>712</v>
      </c>
      <c r="H127" s="72">
        <f>IF($F127="automatisch",IF(ISNA(MATCH(Stichtag,RD_Kopf,0)),"automatisch",IF(SUMPRODUCT((RD_Kopf&gt;=IF($G127="monatlich",DATE(YEAR(KWFreitag),MONTH(KWFreitag),1),IF($G127="quartalsweise",DATE(YEAR(KWFreitag),INT((MONTH(KWFreitag)-1)/3)*3+1,1),Stichtag)))*(RD_Kopf&lt;=Stichtag)*ISNUMBER(Rohdaten!$A$109:$LJ$109))&gt;0,"erledigt","automatisch")),IF($F127&lt;&gt;"ja","",IF(ISNA(MATCH(Stichtag,RD_Kopf,0)),"keine Spalte",IF(SUMPRODUCT((RD_Kopf&gt;=IF($G127="monatlich",DATE(YEAR(KWFreitag),MONTH(KWFreitag),1),IF($G127="quartalsweise",DATE(YEAR(KWFreitag),INT((MONTH(KWFreitag)-1)/3)*3+1,1),Stichtag)))*(RD_Kopf&lt;=Stichtag)*ISNUMBER(Rohdaten!$A$109:$LJ$109))&gt;0,"erledigt","offen"))))</f>
        <v/>
      </c>
      <c r="I127" s="73"/>
      <c r="J127" s="73"/>
      <c r="K127" s="73"/>
      <c r="L127" s="73"/>
      <c r="M127" s="73"/>
      <c r="N127" s="73"/>
      <c r="O127" s="73"/>
      <c r="P127" s="73" t="s">
        <v>714</v>
      </c>
      <c r="Q127" s="73"/>
      <c r="R127" s="73"/>
      <c r="S127" s="73"/>
      <c r="T127" s="73"/>
      <c r="U127" s="73"/>
      <c r="V127" s="73"/>
      <c r="W127" s="73" t="s">
        <v>714</v>
      </c>
      <c r="X127" s="73"/>
      <c r="Y127" s="73"/>
      <c r="Z127" s="73"/>
      <c r="AA127" s="73"/>
      <c r="AB127" s="73"/>
      <c r="AC127" s="73"/>
      <c r="AD127" s="73"/>
      <c r="AE127" s="73"/>
      <c r="AF127" s="73"/>
      <c r="AG127" s="73"/>
      <c r="AH127" s="73"/>
      <c r="AI127" s="73"/>
      <c r="AJ127" s="73"/>
      <c r="AK127" s="73"/>
      <c r="AL127" s="73"/>
      <c r="AM127" t="s">
        <v>867</v>
      </c>
      <c r="AO127" t="s">
        <v>709</v>
      </c>
    </row>
    <row r="128" spans="1:41" ht="30" customHeight="1" outlineLevel="2">
      <c r="A128" s="65">
        <f>ROW(Rohdaten!$A$110)</f>
        <v>110</v>
      </c>
      <c r="B128" s="66">
        <f>IF(Rohdaten!$A$110="","",Rohdaten!$A$110)</f>
        <v/>
      </c>
      <c r="C128" s="75" t="s">
        <v>861</v>
      </c>
      <c r="D128" s="68" t="str">
        <f>IFERROR(INDEX(Rohdaten!$E$103:$E$110,MATCH("*",Rohdaten!$E$103:$E$110,0)),"")</f>
        <v>Kneissler/ Freytag</v>
      </c>
      <c r="E128" s="69" t="str">
        <f t="array" ref="E128">_xlfn.TEXTJOIN(" / ",TRUE,IF($I128:$AL128="●",$I$4:$AL$4,""))</f>
        <v>Freytag / Kneissler</v>
      </c>
      <c r="F128" s="70" t="s">
        <v>711</v>
      </c>
      <c r="G128" s="71" t="s">
        <v>712</v>
      </c>
      <c r="H128" s="72">
        <f>IF($F128="automatisch",IF(ISNA(MATCH(Stichtag,RD_Kopf,0)),"automatisch",IF(SUMPRODUCT((RD_Kopf&gt;=IF($G128="monatlich",DATE(YEAR(KWFreitag),MONTH(KWFreitag),1),IF($G128="quartalsweise",DATE(YEAR(KWFreitag),INT((MONTH(KWFreitag)-1)/3)*3+1,1),Stichtag)))*(RD_Kopf&lt;=Stichtag)*ISNUMBER(Rohdaten!$A$110:$LJ$110))&gt;0,"erledigt","automatisch")),IF($F128&lt;&gt;"ja","",IF(ISNA(MATCH(Stichtag,RD_Kopf,0)),"keine Spalte",IF(SUMPRODUCT((RD_Kopf&gt;=IF($G128="monatlich",DATE(YEAR(KWFreitag),MONTH(KWFreitag),1),IF($G128="quartalsweise",DATE(YEAR(KWFreitag),INT((MONTH(KWFreitag)-1)/3)*3+1,1),Stichtag)))*(RD_Kopf&lt;=Stichtag)*ISNUMBER(Rohdaten!$A$110:$LJ$110))&gt;0,"erledigt","offen"))))</f>
        <v/>
      </c>
      <c r="I128" s="73"/>
      <c r="J128" s="73"/>
      <c r="K128" s="73"/>
      <c r="L128" s="73"/>
      <c r="M128" s="73"/>
      <c r="N128" s="73"/>
      <c r="O128" s="73"/>
      <c r="P128" s="73" t="s">
        <v>714</v>
      </c>
      <c r="Q128" s="73"/>
      <c r="R128" s="73"/>
      <c r="S128" s="73"/>
      <c r="T128" s="73"/>
      <c r="U128" s="73"/>
      <c r="V128" s="73"/>
      <c r="W128" s="73" t="s">
        <v>714</v>
      </c>
      <c r="X128" s="73"/>
      <c r="Y128" s="73"/>
      <c r="Z128" s="73"/>
      <c r="AA128" s="73"/>
      <c r="AB128" s="73"/>
      <c r="AC128" s="73"/>
      <c r="AD128" s="73"/>
      <c r="AE128" s="73"/>
      <c r="AF128" s="73"/>
      <c r="AG128" s="73"/>
      <c r="AH128" s="73"/>
      <c r="AI128" s="73"/>
      <c r="AJ128" s="73"/>
      <c r="AK128" s="73"/>
      <c r="AL128" s="73"/>
      <c r="AM128" t="s">
        <v>868</v>
      </c>
      <c r="AO128" t="s">
        <v>709</v>
      </c>
    </row>
    <row r="129" spans="1:41" ht="18" customHeight="1" outlineLevel="2">
      <c r="A129" s="65">
        <f>ROW(Rohdaten!$A$111)</f>
        <v>111</v>
      </c>
      <c r="B129" s="66" t="str">
        <f>IF(Rohdaten!$A$111="","",Rohdaten!$A$111)</f>
        <v>8c</v>
      </c>
      <c r="C129" s="67" t="s">
        <v>832</v>
      </c>
      <c r="D129" s="68" t="str">
        <f>IFERROR(INDEX(Rohdaten!$E$103:$E$111,MATCH("*",Rohdaten!$E$103:$E$111,0)),"")</f>
        <v>Kneissler/ Freytag</v>
      </c>
      <c r="E129" s="69" t="str">
        <f t="array" ref="E129">_xlfn.TEXTJOIN(" / ",TRUE,IF($I129:$AL129="●",$I$4:$AL$4,""))</f>
        <v>Freytag / Kneissler</v>
      </c>
      <c r="F129" s="70" t="s">
        <v>711</v>
      </c>
      <c r="G129" s="71" t="s">
        <v>712</v>
      </c>
      <c r="H129" s="72">
        <f>IF($F129="automatisch",IF(ISNA(MATCH(Stichtag,RD_Kopf,0)),"automatisch",IF(SUMPRODUCT((RD_Kopf&gt;=IF($G129="monatlich",DATE(YEAR(KWFreitag),MONTH(KWFreitag),1),IF($G129="quartalsweise",DATE(YEAR(KWFreitag),INT((MONTH(KWFreitag)-1)/3)*3+1,1),Stichtag)))*(RD_Kopf&lt;=Stichtag)*ISNUMBER(Rohdaten!$A$111:$LJ$111))&gt;0,"erledigt","automatisch")),IF($F129&lt;&gt;"ja","",IF(ISNA(MATCH(Stichtag,RD_Kopf,0)),"keine Spalte",IF(SUMPRODUCT((RD_Kopf&gt;=IF($G129="monatlich",DATE(YEAR(KWFreitag),MONTH(KWFreitag),1),IF($G129="quartalsweise",DATE(YEAR(KWFreitag),INT((MONTH(KWFreitag)-1)/3)*3+1,1),Stichtag)))*(RD_Kopf&lt;=Stichtag)*ISNUMBER(Rohdaten!$A$111:$LJ$111))&gt;0,"erledigt","offen"))))</f>
        <v/>
      </c>
      <c r="I129" s="73"/>
      <c r="J129" s="73"/>
      <c r="K129" s="73"/>
      <c r="L129" s="73"/>
      <c r="M129" s="73"/>
      <c r="N129" s="73"/>
      <c r="O129" s="73"/>
      <c r="P129" s="73" t="s">
        <v>714</v>
      </c>
      <c r="Q129" s="73"/>
      <c r="R129" s="73"/>
      <c r="S129" s="73"/>
      <c r="T129" s="73"/>
      <c r="U129" s="73"/>
      <c r="V129" s="73"/>
      <c r="W129" s="73" t="s">
        <v>714</v>
      </c>
      <c r="X129" s="73"/>
      <c r="Y129" s="73"/>
      <c r="Z129" s="73"/>
      <c r="AA129" s="73"/>
      <c r="AB129" s="73"/>
      <c r="AC129" s="73"/>
      <c r="AD129" s="73"/>
      <c r="AE129" s="73"/>
      <c r="AF129" s="73"/>
      <c r="AG129" s="73"/>
      <c r="AH129" s="73"/>
      <c r="AI129" s="73"/>
      <c r="AJ129" s="73"/>
      <c r="AK129" s="73"/>
      <c r="AL129" s="73"/>
      <c r="AM129" t="s">
        <v>869</v>
      </c>
      <c r="AN129" t="s">
        <v>107</v>
      </c>
      <c r="AO129" t="s">
        <v>709</v>
      </c>
    </row>
    <row r="130" spans="1:41" ht="30" customHeight="1" outlineLevel="1">
      <c r="A130" s="65">
        <f>ROW(Rohdaten!$A$112)</f>
        <v>112</v>
      </c>
      <c r="B130" s="66" t="str">
        <f>IF(Rohdaten!$A$112="","",Rohdaten!$A$112)</f>
        <v>8d</v>
      </c>
      <c r="C130" s="76" t="s">
        <v>870</v>
      </c>
      <c r="D130" s="68" t="str">
        <f>IF(Rohdaten!$E$112="","",Rohdaten!$E$112)</f>
        <v>Kneissler/ Freytag</v>
      </c>
      <c r="E130" s="69" t="str">
        <f t="array" ref="E130">_xlfn.TEXTJOIN(" / ",TRUE,IF($I130:$AL130="●",$I$4:$AL$4,""))</f>
        <v>Freytag / Kneissler</v>
      </c>
      <c r="F130" s="70" t="s">
        <v>711</v>
      </c>
      <c r="G130" s="71" t="s">
        <v>712</v>
      </c>
      <c r="H130" s="72" t="str">
        <f>IF($F130="automatisch",IF(ISNA(MATCH(Stichtag,RD_Kopf,0)),"automatisch",IF(SUMPRODUCT((RD_Kopf&gt;=IF($G130="monatlich",DATE(YEAR(KWFreitag),MONTH(KWFreitag),1),IF($G130="quartalsweise",DATE(YEAR(KWFreitag),INT((MONTH(KWFreitag)-1)/3)*3+1,1),Stichtag)))*(RD_Kopf&lt;=Stichtag)*ISNUMBER(Rohdaten!$A$112:$LJ$112))&gt;0,"erledigt","automatisch")),IF($F130&lt;&gt;"ja","nicht berichtet",IF(ISNA(MATCH(Stichtag,RD_Kopf,0)),"keine Spalte",IF(SUMPRODUCT((RD_Kopf&gt;=IF($G130="monatlich",DATE(YEAR(KWFreitag),MONTH(KWFreitag),1),IF($G130="quartalsweise",DATE(YEAR(KWFreitag),INT((MONTH(KWFreitag)-1)/3)*3+1,1),Stichtag)))*(RD_Kopf&lt;=Stichtag)*ISNUMBER(Rohdaten!$A$112:$LJ$112))&gt;0,"erledigt","offen"))))</f>
        <v>nicht berichtet</v>
      </c>
      <c r="I130" s="73"/>
      <c r="J130" s="73"/>
      <c r="K130" s="73"/>
      <c r="L130" s="73"/>
      <c r="M130" s="73"/>
      <c r="N130" s="73"/>
      <c r="O130" s="73"/>
      <c r="P130" s="73" t="s">
        <v>714</v>
      </c>
      <c r="Q130" s="73"/>
      <c r="R130" s="73"/>
      <c r="S130" s="73"/>
      <c r="T130" s="73"/>
      <c r="U130" s="73"/>
      <c r="V130" s="73"/>
      <c r="W130" s="73" t="s">
        <v>714</v>
      </c>
      <c r="X130" s="73"/>
      <c r="Y130" s="73"/>
      <c r="Z130" s="73"/>
      <c r="AA130" s="73"/>
      <c r="AB130" s="73"/>
      <c r="AC130" s="73"/>
      <c r="AD130" s="73"/>
      <c r="AE130" s="73"/>
      <c r="AF130" s="73"/>
      <c r="AG130" s="73"/>
      <c r="AH130" s="73"/>
      <c r="AI130" s="73"/>
      <c r="AJ130" s="73"/>
      <c r="AK130" s="73"/>
      <c r="AL130" s="73"/>
      <c r="AM130" t="s">
        <v>871</v>
      </c>
      <c r="AN130" t="s">
        <v>872</v>
      </c>
      <c r="AO130" t="s">
        <v>709</v>
      </c>
    </row>
    <row r="131" spans="1:41" ht="22" customHeight="1">
      <c r="A131" s="60" t="s">
        <v>873</v>
      </c>
      <c r="B131" s="60"/>
      <c r="C131" s="60"/>
      <c r="D131" s="60"/>
      <c r="E131" s="60"/>
      <c r="F131" s="60"/>
      <c r="G131" s="60"/>
      <c r="H131" s="60"/>
      <c r="I131" s="61"/>
      <c r="J131" s="61"/>
      <c r="K131" s="61"/>
      <c r="L131" s="61"/>
      <c r="M131" s="61"/>
      <c r="N131" s="61"/>
      <c r="O131" s="61"/>
      <c r="P131" s="61"/>
      <c r="Q131" s="61"/>
      <c r="R131" s="61"/>
      <c r="S131" s="61"/>
      <c r="T131" s="61"/>
      <c r="U131" s="61"/>
      <c r="V131" s="61"/>
      <c r="W131" s="61"/>
      <c r="X131" s="61"/>
      <c r="Y131" s="61"/>
      <c r="Z131" s="61"/>
      <c r="AA131" s="61"/>
      <c r="AB131" s="61"/>
      <c r="AC131" s="61"/>
      <c r="AD131" s="61"/>
      <c r="AE131" s="61"/>
      <c r="AF131" s="61"/>
      <c r="AG131" s="61"/>
      <c r="AH131" s="61"/>
      <c r="AI131" s="61"/>
      <c r="AJ131" s="61"/>
      <c r="AK131" s="61"/>
      <c r="AL131" s="61"/>
      <c r="AO131" t="s">
        <v>705</v>
      </c>
    </row>
    <row r="132" spans="1:41" ht="18" customHeight="1" outlineLevel="1">
      <c r="A132" s="65">
        <f>ROW(Rohdaten!$A$113)</f>
        <v>113</v>
      </c>
      <c r="B132" s="66" t="str">
        <f>IF(Rohdaten!$A$113="","",Rohdaten!$A$113)</f>
        <v>8e</v>
      </c>
      <c r="C132" s="74" t="s">
        <v>728</v>
      </c>
      <c r="D132" s="68" t="str">
        <f>IF(Rohdaten!$E$113="","",Rohdaten!$E$113)</f>
        <v>Freytag / Kneissler</v>
      </c>
      <c r="E132" s="69" t="str">
        <f t="array" ref="E132">_xlfn.TEXTJOIN(" / ",TRUE,IF($I132:$AL132="●",$I$4:$AL$4,""))</f>
        <v>Freytag / Kneissler</v>
      </c>
      <c r="F132" s="70" t="s">
        <v>781</v>
      </c>
      <c r="G132" s="71" t="s">
        <v>712</v>
      </c>
      <c r="H132" s="72">
        <f>IF($F132="automatisch",IF(ISNA(MATCH(Stichtag,RD_Kopf,0)),"automatisch",IF(SUMPRODUCT((RD_Kopf&gt;=IF($G132="monatlich",DATE(YEAR(KWFreitag),MONTH(KWFreitag),1),IF($G132="quartalsweise",DATE(YEAR(KWFreitag),INT((MONTH(KWFreitag)-1)/3)*3+1,1),Stichtag)))*(RD_Kopf&lt;=Stichtag)*ISNUMBER(Rohdaten!$A$113:$LJ$113))&gt;0,"erledigt","automatisch")),IF($F132&lt;&gt;"ja","",IF(ISNA(MATCH(Stichtag,RD_Kopf,0)),"keine Spalte",IF(SUMPRODUCT((RD_Kopf&gt;=IF($G132="monatlich",DATE(YEAR(KWFreitag),MONTH(KWFreitag),1),IF($G132="quartalsweise",DATE(YEAR(KWFreitag),INT((MONTH(KWFreitag)-1)/3)*3+1,1),Stichtag)))*(RD_Kopf&lt;=Stichtag)*ISNUMBER(Rohdaten!$A$113:$LJ$113))&gt;0,"erledigt","offen"))))</f>
        <v/>
      </c>
      <c r="I132" s="73"/>
      <c r="J132" s="73"/>
      <c r="K132" s="73"/>
      <c r="L132" s="73"/>
      <c r="M132" s="73"/>
      <c r="N132" s="73"/>
      <c r="O132" s="73"/>
      <c r="P132" s="73" t="s">
        <v>714</v>
      </c>
      <c r="Q132" s="73"/>
      <c r="R132" s="73"/>
      <c r="S132" s="73"/>
      <c r="T132" s="73"/>
      <c r="U132" s="73"/>
      <c r="V132" s="73"/>
      <c r="W132" s="73" t="s">
        <v>714</v>
      </c>
      <c r="X132" s="73"/>
      <c r="Y132" s="73"/>
      <c r="Z132" s="73"/>
      <c r="AA132" s="73"/>
      <c r="AB132" s="73"/>
      <c r="AC132" s="73"/>
      <c r="AD132" s="73"/>
      <c r="AE132" s="73"/>
      <c r="AF132" s="73"/>
      <c r="AG132" s="73"/>
      <c r="AH132" s="73"/>
      <c r="AI132" s="73"/>
      <c r="AJ132" s="73"/>
      <c r="AK132" s="73"/>
      <c r="AL132" s="73"/>
      <c r="AM132" t="s">
        <v>874</v>
      </c>
      <c r="AN132" t="s">
        <v>108</v>
      </c>
      <c r="AO132" t="s">
        <v>709</v>
      </c>
    </row>
    <row r="133" spans="1:41" ht="22" customHeight="1" collapsed="1">
      <c r="A133" s="60" t="s">
        <v>875</v>
      </c>
      <c r="B133" s="60"/>
      <c r="C133" s="60"/>
      <c r="D133" s="60"/>
      <c r="E133" s="60"/>
      <c r="F133" s="60"/>
      <c r="G133" s="60"/>
      <c r="H133" s="60"/>
      <c r="I133" s="61"/>
      <c r="J133" s="61"/>
      <c r="K133" s="61"/>
      <c r="L133" s="61"/>
      <c r="M133" s="61"/>
      <c r="N133" s="61"/>
      <c r="O133" s="61"/>
      <c r="P133" s="61"/>
      <c r="Q133" s="61"/>
      <c r="R133" s="61"/>
      <c r="S133" s="61"/>
      <c r="T133" s="61"/>
      <c r="U133" s="61"/>
      <c r="V133" s="61"/>
      <c r="W133" s="61"/>
      <c r="X133" s="61"/>
      <c r="Y133" s="61"/>
      <c r="Z133" s="61"/>
      <c r="AA133" s="61"/>
      <c r="AB133" s="61"/>
      <c r="AC133" s="61"/>
      <c r="AD133" s="61"/>
      <c r="AE133" s="61"/>
      <c r="AF133" s="61"/>
      <c r="AG133" s="61"/>
      <c r="AH133" s="61"/>
      <c r="AI133" s="61"/>
      <c r="AJ133" s="61"/>
      <c r="AK133" s="61"/>
      <c r="AL133" s="61"/>
      <c r="AO133" t="s">
        <v>705</v>
      </c>
    </row>
    <row r="134" spans="1:41" ht="18" hidden="1" customHeight="1" outlineLevel="1">
      <c r="A134" s="65">
        <f>ROW(Rohdaten!$A$114)</f>
        <v>114</v>
      </c>
      <c r="B134" s="66">
        <f>IF(Rohdaten!$A$114="","",Rohdaten!$A$114)</f>
        <v>9</v>
      </c>
      <c r="C134" s="74" t="s">
        <v>728</v>
      </c>
      <c r="D134" s="68" t="str">
        <f>IF(Rohdaten!$E$114="","",Rohdaten!$E$114)</f>
        <v>Lürken/Kraus</v>
      </c>
      <c r="E134" s="69" t="str">
        <f t="array" ref="E134">_xlfn.TEXTJOIN(" / ",TRUE,IF($I134:$AL134="●",$I$4:$AL$4,""))</f>
        <v>Kraus / Lürken</v>
      </c>
      <c r="F134" s="70" t="s">
        <v>711</v>
      </c>
      <c r="G134" s="71" t="s">
        <v>712</v>
      </c>
      <c r="H134" s="72" t="str">
        <f>IF($F134="automatisch",IF(ISNA(MATCH(Stichtag,RD_Kopf,0)),"automatisch",IF(SUMPRODUCT((RD_Kopf&gt;=IF($G134="monatlich",DATE(YEAR(KWFreitag),MONTH(KWFreitag),1),IF($G134="quartalsweise",DATE(YEAR(KWFreitag),INT((MONTH(KWFreitag)-1)/3)*3+1,1),Stichtag)))*(RD_Kopf&lt;=Stichtag)*ISNUMBER(Rohdaten!$A$114:$LJ$114))&gt;0,"erledigt","automatisch")),IF($F134&lt;&gt;"ja","nicht berichtet",IF(ISNA(MATCH(Stichtag,RD_Kopf,0)),"keine Spalte",IF(SUMPRODUCT((RD_Kopf&gt;=IF($G134="monatlich",DATE(YEAR(KWFreitag),MONTH(KWFreitag),1),IF($G134="quartalsweise",DATE(YEAR(KWFreitag),INT((MONTH(KWFreitag)-1)/3)*3+1,1),Stichtag)))*(RD_Kopf&lt;=Stichtag)*ISNUMBER(Rohdaten!$A$114:$LJ$114))&gt;0,"erledigt","offen"))))</f>
        <v>nicht berichtet</v>
      </c>
      <c r="I134" s="73"/>
      <c r="J134" s="73"/>
      <c r="K134" s="73"/>
      <c r="L134" s="73"/>
      <c r="M134" s="73"/>
      <c r="N134" s="73"/>
      <c r="O134" s="73"/>
      <c r="P134" s="73"/>
      <c r="Q134" s="73"/>
      <c r="R134" s="73"/>
      <c r="S134" s="73"/>
      <c r="T134" s="73"/>
      <c r="U134" s="73"/>
      <c r="V134" s="73"/>
      <c r="W134" s="73"/>
      <c r="X134" s="73"/>
      <c r="Y134" s="73" t="s">
        <v>714</v>
      </c>
      <c r="Z134" s="73"/>
      <c r="AA134" s="73" t="s">
        <v>714</v>
      </c>
      <c r="AB134" s="73"/>
      <c r="AC134" s="73"/>
      <c r="AD134" s="73"/>
      <c r="AE134" s="73"/>
      <c r="AF134" s="73"/>
      <c r="AG134" s="73"/>
      <c r="AH134" s="73"/>
      <c r="AI134" s="73"/>
      <c r="AJ134" s="73"/>
      <c r="AK134" s="73"/>
      <c r="AL134" s="73"/>
      <c r="AM134" t="s">
        <v>876</v>
      </c>
      <c r="AN134" t="s">
        <v>130</v>
      </c>
      <c r="AO134" t="s">
        <v>709</v>
      </c>
    </row>
    <row r="135" spans="1:41" ht="22" customHeight="1" collapsed="1">
      <c r="A135" s="60" t="s">
        <v>877</v>
      </c>
      <c r="B135" s="60"/>
      <c r="C135" s="60"/>
      <c r="D135" s="60"/>
      <c r="E135" s="60"/>
      <c r="F135" s="60"/>
      <c r="G135" s="60"/>
      <c r="H135" s="60"/>
      <c r="I135" s="61"/>
      <c r="J135" s="61"/>
      <c r="K135" s="61"/>
      <c r="L135" s="61"/>
      <c r="M135" s="61"/>
      <c r="N135" s="61"/>
      <c r="O135" s="61"/>
      <c r="P135" s="61"/>
      <c r="Q135" s="61"/>
      <c r="R135" s="61"/>
      <c r="S135" s="61"/>
      <c r="T135" s="61"/>
      <c r="U135" s="61"/>
      <c r="V135" s="61"/>
      <c r="W135" s="61"/>
      <c r="X135" s="61"/>
      <c r="Y135" s="61"/>
      <c r="Z135" s="61"/>
      <c r="AA135" s="61"/>
      <c r="AB135" s="61"/>
      <c r="AC135" s="61"/>
      <c r="AD135" s="61"/>
      <c r="AE135" s="61"/>
      <c r="AF135" s="61"/>
      <c r="AG135" s="61"/>
      <c r="AH135" s="61"/>
      <c r="AI135" s="61"/>
      <c r="AJ135" s="61"/>
      <c r="AK135" s="61"/>
      <c r="AL135" s="61"/>
      <c r="AO135" t="s">
        <v>705</v>
      </c>
    </row>
    <row r="136" spans="1:41" ht="18" hidden="1" customHeight="1" outlineLevel="1">
      <c r="A136" s="65">
        <f>ROW(Rohdaten!$A$115)</f>
        <v>115</v>
      </c>
      <c r="B136" s="66" t="str">
        <f>IF(Rohdaten!$A$115="","",Rohdaten!$A$115)</f>
        <v>10a</v>
      </c>
      <c r="C136" s="74" t="s">
        <v>728</v>
      </c>
      <c r="D136" s="68" t="str">
        <f>IF(Rohdaten!$E$115="","",Rohdaten!$E$115)</f>
        <v>Mey/ Bauer</v>
      </c>
      <c r="E136" s="69" t="str">
        <f t="array" ref="E136">_xlfn.TEXTJOIN(" / ",TRUE,IF($I136:$AL136="●",$I$4:$AL$4,""))</f>
        <v>Bauer / Mey</v>
      </c>
      <c r="F136" s="70" t="s">
        <v>711</v>
      </c>
      <c r="G136" s="71" t="s">
        <v>712</v>
      </c>
      <c r="H136" s="72" t="str">
        <f>IF($F136="automatisch",IF(ISNA(MATCH(Stichtag,RD_Kopf,0)),"automatisch",IF(SUMPRODUCT((RD_Kopf&gt;=IF($G136="monatlich",DATE(YEAR(KWFreitag),MONTH(KWFreitag),1),IF($G136="quartalsweise",DATE(YEAR(KWFreitag),INT((MONTH(KWFreitag)-1)/3)*3+1,1),Stichtag)))*(RD_Kopf&lt;=Stichtag)*ISNUMBER(Rohdaten!$A$115:$LJ$115))&gt;0,"erledigt","automatisch")),IF($F136&lt;&gt;"ja","nicht berichtet",IF(ISNA(MATCH(Stichtag,RD_Kopf,0)),"keine Spalte",IF(SUMPRODUCT((RD_Kopf&gt;=IF($G136="monatlich",DATE(YEAR(KWFreitag),MONTH(KWFreitag),1),IF($G136="quartalsweise",DATE(YEAR(KWFreitag),INT((MONTH(KWFreitag)-1)/3)*3+1,1),Stichtag)))*(RD_Kopf&lt;=Stichtag)*ISNUMBER(Rohdaten!$A$115:$LJ$115))&gt;0,"erledigt","offen"))))</f>
        <v>nicht berichtet</v>
      </c>
      <c r="I136" s="73"/>
      <c r="J136" s="73" t="s">
        <v>714</v>
      </c>
      <c r="K136" s="73"/>
      <c r="L136" s="73"/>
      <c r="M136" s="73"/>
      <c r="N136" s="73"/>
      <c r="O136" s="73"/>
      <c r="P136" s="73"/>
      <c r="Q136" s="73"/>
      <c r="R136" s="73"/>
      <c r="S136" s="73"/>
      <c r="T136" s="73"/>
      <c r="U136" s="73"/>
      <c r="V136" s="73"/>
      <c r="W136" s="73"/>
      <c r="X136" s="73"/>
      <c r="Y136" s="73"/>
      <c r="Z136" s="73"/>
      <c r="AA136" s="73"/>
      <c r="AB136" s="73" t="s">
        <v>714</v>
      </c>
      <c r="AC136" s="73"/>
      <c r="AD136" s="73"/>
      <c r="AE136" s="73"/>
      <c r="AF136" s="73"/>
      <c r="AG136" s="73"/>
      <c r="AH136" s="73"/>
      <c r="AI136" s="73"/>
      <c r="AJ136" s="73"/>
      <c r="AK136" s="73"/>
      <c r="AL136" s="73"/>
      <c r="AM136" t="s">
        <v>878</v>
      </c>
      <c r="AN136" t="s">
        <v>879</v>
      </c>
      <c r="AO136" t="s">
        <v>709</v>
      </c>
    </row>
    <row r="137" spans="1:41" ht="22" customHeight="1">
      <c r="A137" s="60" t="s">
        <v>880</v>
      </c>
      <c r="B137" s="60"/>
      <c r="C137" s="60"/>
      <c r="D137" s="60"/>
      <c r="E137" s="60"/>
      <c r="F137" s="60"/>
      <c r="G137" s="60"/>
      <c r="H137" s="60"/>
      <c r="I137" s="61"/>
      <c r="J137" s="61"/>
      <c r="K137" s="61"/>
      <c r="L137" s="61"/>
      <c r="M137" s="61"/>
      <c r="N137" s="61"/>
      <c r="O137" s="61"/>
      <c r="P137" s="61"/>
      <c r="Q137" s="61"/>
      <c r="R137" s="61"/>
      <c r="S137" s="61"/>
      <c r="T137" s="61"/>
      <c r="U137" s="61"/>
      <c r="V137" s="61"/>
      <c r="W137" s="61"/>
      <c r="X137" s="61"/>
      <c r="Y137" s="61"/>
      <c r="Z137" s="61"/>
      <c r="AA137" s="61"/>
      <c r="AB137" s="61"/>
      <c r="AC137" s="61"/>
      <c r="AD137" s="61"/>
      <c r="AE137" s="61"/>
      <c r="AF137" s="61"/>
      <c r="AG137" s="61"/>
      <c r="AH137" s="61"/>
      <c r="AI137" s="61"/>
      <c r="AJ137" s="61"/>
      <c r="AK137" s="61"/>
      <c r="AL137" s="61"/>
      <c r="AO137" t="s">
        <v>705</v>
      </c>
    </row>
    <row r="138" spans="1:41" ht="18" customHeight="1" outlineLevel="1">
      <c r="A138" s="65">
        <f>ROW(Rohdaten!$A$116)</f>
        <v>116</v>
      </c>
      <c r="B138" s="66" t="str">
        <f>IF(Rohdaten!$A$116="","",Rohdaten!$A$116)</f>
        <v>10b</v>
      </c>
      <c r="C138" s="74" t="s">
        <v>728</v>
      </c>
      <c r="D138" s="68" t="str">
        <f>IF(Rohdaten!$E$116="","",Rohdaten!$E$116)</f>
        <v>Mey/ Bauer</v>
      </c>
      <c r="E138" s="69" t="str">
        <f t="array" ref="E138">_xlfn.TEXTJOIN(" / ",TRUE,IF($I138:$AL138="●",$I$4:$AL$4,""))</f>
        <v>Bauer / Mey</v>
      </c>
      <c r="F138" s="70" t="s">
        <v>781</v>
      </c>
      <c r="G138" s="71" t="s">
        <v>712</v>
      </c>
      <c r="H138" s="72">
        <f>IF($F138="automatisch",IF(ISNA(MATCH(Stichtag,RD_Kopf,0)),"automatisch",IF(SUMPRODUCT((RD_Kopf&gt;=IF($G138="monatlich",DATE(YEAR(KWFreitag),MONTH(KWFreitag),1),IF($G138="quartalsweise",DATE(YEAR(KWFreitag),INT((MONTH(KWFreitag)-1)/3)*3+1,1),Stichtag)))*(RD_Kopf&lt;=Stichtag)*ISNUMBER(Rohdaten!$A$116:$LJ$116))&gt;0,"erledigt","automatisch")),IF($F138&lt;&gt;"ja","",IF(ISNA(MATCH(Stichtag,RD_Kopf,0)),"keine Spalte",IF(SUMPRODUCT((RD_Kopf&gt;=IF($G138="monatlich",DATE(YEAR(KWFreitag),MONTH(KWFreitag),1),IF($G138="quartalsweise",DATE(YEAR(KWFreitag),INT((MONTH(KWFreitag)-1)/3)*3+1,1),Stichtag)))*(RD_Kopf&lt;=Stichtag)*ISNUMBER(Rohdaten!$A$116:$LJ$116))&gt;0,"erledigt","offen"))))</f>
        <v/>
      </c>
      <c r="I138" s="73"/>
      <c r="J138" s="73" t="s">
        <v>714</v>
      </c>
      <c r="K138" s="73"/>
      <c r="L138" s="73"/>
      <c r="M138" s="73"/>
      <c r="N138" s="73"/>
      <c r="O138" s="73"/>
      <c r="P138" s="73"/>
      <c r="Q138" s="73"/>
      <c r="R138" s="73"/>
      <c r="S138" s="73"/>
      <c r="T138" s="73"/>
      <c r="U138" s="73"/>
      <c r="V138" s="73"/>
      <c r="W138" s="73"/>
      <c r="X138" s="73"/>
      <c r="Y138" s="73"/>
      <c r="Z138" s="73"/>
      <c r="AA138" s="73"/>
      <c r="AB138" s="73" t="s">
        <v>714</v>
      </c>
      <c r="AC138" s="73"/>
      <c r="AD138" s="73"/>
      <c r="AE138" s="73"/>
      <c r="AF138" s="73"/>
      <c r="AG138" s="73"/>
      <c r="AH138" s="73"/>
      <c r="AI138" s="73"/>
      <c r="AJ138" s="73"/>
      <c r="AK138" s="73"/>
      <c r="AL138" s="73"/>
      <c r="AM138" t="s">
        <v>881</v>
      </c>
      <c r="AN138" t="s">
        <v>104</v>
      </c>
      <c r="AO138" t="s">
        <v>709</v>
      </c>
    </row>
    <row r="139" spans="1:41" ht="22" customHeight="1">
      <c r="A139" s="60" t="s">
        <v>882</v>
      </c>
      <c r="B139" s="60"/>
      <c r="C139" s="60"/>
      <c r="D139" s="60"/>
      <c r="E139" s="60"/>
      <c r="F139" s="60"/>
      <c r="G139" s="60"/>
      <c r="H139" s="60"/>
      <c r="I139" s="61"/>
      <c r="J139" s="61"/>
      <c r="K139" s="61"/>
      <c r="L139" s="61"/>
      <c r="M139" s="61"/>
      <c r="N139" s="61"/>
      <c r="O139" s="61"/>
      <c r="P139" s="61"/>
      <c r="Q139" s="61"/>
      <c r="R139" s="61"/>
      <c r="S139" s="61"/>
      <c r="T139" s="61"/>
      <c r="U139" s="61"/>
      <c r="V139" s="61"/>
      <c r="W139" s="61"/>
      <c r="X139" s="61"/>
      <c r="Y139" s="61"/>
      <c r="Z139" s="61"/>
      <c r="AA139" s="61"/>
      <c r="AB139" s="61"/>
      <c r="AC139" s="61"/>
      <c r="AD139" s="61"/>
      <c r="AE139" s="61"/>
      <c r="AF139" s="61"/>
      <c r="AG139" s="61"/>
      <c r="AH139" s="61"/>
      <c r="AI139" s="61"/>
      <c r="AJ139" s="61"/>
      <c r="AK139" s="61"/>
      <c r="AL139" s="61"/>
      <c r="AO139" t="s">
        <v>705</v>
      </c>
    </row>
    <row r="140" spans="1:41" ht="18" customHeight="1" outlineLevel="1">
      <c r="A140" s="65">
        <f>ROW(Rohdaten!$A$117)</f>
        <v>117</v>
      </c>
      <c r="B140" s="66" t="str">
        <f>IF(Rohdaten!$A$117="","",Rohdaten!$A$117)</f>
        <v>11a</v>
      </c>
      <c r="C140" s="74" t="s">
        <v>728</v>
      </c>
      <c r="D140" s="68" t="str">
        <f>IF(Rohdaten!$E$117="","",Rohdaten!$E$117)</f>
        <v>Richartz/ Mey</v>
      </c>
      <c r="E140" s="69" t="str">
        <f t="array" ref="E140">_xlfn.TEXTJOIN(" / ",TRUE,IF($I140:$AL140="●",$I$4:$AL$4,""))</f>
        <v>Mey / Richartz</v>
      </c>
      <c r="F140" s="70" t="s">
        <v>711</v>
      </c>
      <c r="G140" s="71" t="s">
        <v>712</v>
      </c>
      <c r="H140" s="72">
        <f>IF($F140="automatisch",IF(ISNA(MATCH(Stichtag,RD_Kopf,0)),"automatisch",IF(SUMPRODUCT((RD_Kopf&gt;=IF($G140="monatlich",DATE(YEAR(KWFreitag),MONTH(KWFreitag),1),IF($G140="quartalsweise",DATE(YEAR(KWFreitag),INT((MONTH(KWFreitag)-1)/3)*3+1,1),Stichtag)))*(RD_Kopf&lt;=Stichtag)*ISNUMBER(Rohdaten!$A$117:$LJ$117))&gt;0,"erledigt","automatisch")),IF($F140&lt;&gt;"ja","",IF(ISNA(MATCH(Stichtag,RD_Kopf,0)),"keine Spalte",IF(SUMPRODUCT((RD_Kopf&gt;=IF($G140="monatlich",DATE(YEAR(KWFreitag),MONTH(KWFreitag),1),IF($G140="quartalsweise",DATE(YEAR(KWFreitag),INT((MONTH(KWFreitag)-1)/3)*3+1,1),Stichtag)))*(RD_Kopf&lt;=Stichtag)*ISNUMBER(Rohdaten!$A$117:$LJ$117))&gt;0,"erledigt","offen"))))</f>
        <v/>
      </c>
      <c r="I140" s="73"/>
      <c r="J140" s="73"/>
      <c r="K140" s="73"/>
      <c r="L140" s="73"/>
      <c r="M140" s="73"/>
      <c r="N140" s="73"/>
      <c r="O140" s="73"/>
      <c r="P140" s="73"/>
      <c r="Q140" s="73"/>
      <c r="R140" s="73"/>
      <c r="S140" s="73"/>
      <c r="T140" s="73"/>
      <c r="U140" s="73"/>
      <c r="V140" s="73"/>
      <c r="W140" s="73"/>
      <c r="X140" s="73"/>
      <c r="Y140" s="73"/>
      <c r="Z140" s="73"/>
      <c r="AA140" s="73"/>
      <c r="AB140" s="73" t="s">
        <v>714</v>
      </c>
      <c r="AC140" s="73"/>
      <c r="AD140" s="73" t="s">
        <v>714</v>
      </c>
      <c r="AE140" s="73"/>
      <c r="AF140" s="73"/>
      <c r="AG140" s="73"/>
      <c r="AH140" s="73"/>
      <c r="AI140" s="73"/>
      <c r="AJ140" s="73"/>
      <c r="AK140" s="73"/>
      <c r="AL140" s="73"/>
      <c r="AM140" t="s">
        <v>883</v>
      </c>
      <c r="AN140" t="s">
        <v>116</v>
      </c>
      <c r="AO140" t="s">
        <v>709</v>
      </c>
    </row>
    <row r="141" spans="1:41" ht="18" customHeight="1" outlineLevel="1">
      <c r="A141" s="65">
        <f>ROW(Rohdaten!$A$118)</f>
        <v>118</v>
      </c>
      <c r="B141" s="66" t="str">
        <f>IF(Rohdaten!$A$118="","",Rohdaten!$A$118)</f>
        <v>11b</v>
      </c>
      <c r="C141" s="74" t="s">
        <v>884</v>
      </c>
      <c r="D141" s="68" t="str">
        <f>IF(Rohdaten!$E$118="","",Rohdaten!$E$118)</f>
        <v>Richartz/ Mey</v>
      </c>
      <c r="E141" s="69" t="str">
        <f t="array" ref="E141">_xlfn.TEXTJOIN(" / ",TRUE,IF($I141:$AL141="●",$I$4:$AL$4,""))</f>
        <v>Mey / Richartz</v>
      </c>
      <c r="F141" s="70" t="s">
        <v>781</v>
      </c>
      <c r="G141" s="71" t="s">
        <v>712</v>
      </c>
      <c r="H141" s="72">
        <f>IF($F141="automatisch",IF(ISNA(MATCH(Stichtag,RD_Kopf,0)),"automatisch",IF(SUMPRODUCT((RD_Kopf&gt;=IF($G141="monatlich",DATE(YEAR(KWFreitag),MONTH(KWFreitag),1),IF($G141="quartalsweise",DATE(YEAR(KWFreitag),INT((MONTH(KWFreitag)-1)/3)*3+1,1),Stichtag)))*(RD_Kopf&lt;=Stichtag)*ISNUMBER(Rohdaten!$A$118:$LJ$118))&gt;0,"erledigt","automatisch")),IF($F141&lt;&gt;"ja","",IF(ISNA(MATCH(Stichtag,RD_Kopf,0)),"keine Spalte",IF(SUMPRODUCT((RD_Kopf&gt;=IF($G141="monatlich",DATE(YEAR(KWFreitag),MONTH(KWFreitag),1),IF($G141="quartalsweise",DATE(YEAR(KWFreitag),INT((MONTH(KWFreitag)-1)/3)*3+1,1),Stichtag)))*(RD_Kopf&lt;=Stichtag)*ISNUMBER(Rohdaten!$A$118:$LJ$118))&gt;0,"erledigt","offen"))))</f>
        <v/>
      </c>
      <c r="I141" s="73"/>
      <c r="J141" s="73"/>
      <c r="K141" s="73"/>
      <c r="L141" s="73"/>
      <c r="M141" s="73"/>
      <c r="N141" s="73"/>
      <c r="O141" s="73"/>
      <c r="P141" s="73"/>
      <c r="Q141" s="73"/>
      <c r="R141" s="73"/>
      <c r="S141" s="73"/>
      <c r="T141" s="73"/>
      <c r="U141" s="73"/>
      <c r="V141" s="73"/>
      <c r="W141" s="73"/>
      <c r="X141" s="73"/>
      <c r="Y141" s="73"/>
      <c r="Z141" s="73"/>
      <c r="AA141" s="73"/>
      <c r="AB141" s="73" t="s">
        <v>714</v>
      </c>
      <c r="AC141" s="73"/>
      <c r="AD141" s="73" t="s">
        <v>714</v>
      </c>
      <c r="AE141" s="73"/>
      <c r="AF141" s="73"/>
      <c r="AG141" s="73"/>
      <c r="AH141" s="73"/>
      <c r="AI141" s="73"/>
      <c r="AJ141" s="73"/>
      <c r="AK141" s="73"/>
      <c r="AL141" s="73"/>
      <c r="AM141" t="s">
        <v>885</v>
      </c>
      <c r="AN141" t="s">
        <v>117</v>
      </c>
      <c r="AO141" t="s">
        <v>709</v>
      </c>
    </row>
    <row r="142" spans="1:41" ht="18" customHeight="1" outlineLevel="1">
      <c r="A142" s="65">
        <f>ROW(Rohdaten!$A$119)</f>
        <v>119</v>
      </c>
      <c r="B142" s="66" t="str">
        <f>IF(Rohdaten!$A$119="","",Rohdaten!$A$119)</f>
        <v>11c</v>
      </c>
      <c r="C142" s="74" t="s">
        <v>886</v>
      </c>
      <c r="D142" s="68" t="str">
        <f>IF(Rohdaten!$E$119="","",Rohdaten!$E$119)</f>
        <v>Richartz/ Mey</v>
      </c>
      <c r="E142" s="69" t="str">
        <f t="array" ref="E142">_xlfn.TEXTJOIN(" / ",TRUE,IF($I142:$AL142="●",$I$4:$AL$4,""))</f>
        <v>Mey / Richartz</v>
      </c>
      <c r="F142" s="70" t="s">
        <v>781</v>
      </c>
      <c r="G142" s="71" t="s">
        <v>712</v>
      </c>
      <c r="H142" s="72">
        <f>IF($F142="automatisch",IF(ISNA(MATCH(Stichtag,RD_Kopf,0)),"automatisch",IF(SUMPRODUCT((RD_Kopf&gt;=IF($G142="monatlich",DATE(YEAR(KWFreitag),MONTH(KWFreitag),1),IF($G142="quartalsweise",DATE(YEAR(KWFreitag),INT((MONTH(KWFreitag)-1)/3)*3+1,1),Stichtag)))*(RD_Kopf&lt;=Stichtag)*ISNUMBER(Rohdaten!$A$119:$LJ$119))&gt;0,"erledigt","automatisch")),IF($F142&lt;&gt;"ja","",IF(ISNA(MATCH(Stichtag,RD_Kopf,0)),"keine Spalte",IF(SUMPRODUCT((RD_Kopf&gt;=IF($G142="monatlich",DATE(YEAR(KWFreitag),MONTH(KWFreitag),1),IF($G142="quartalsweise",DATE(YEAR(KWFreitag),INT((MONTH(KWFreitag)-1)/3)*3+1,1),Stichtag)))*(RD_Kopf&lt;=Stichtag)*ISNUMBER(Rohdaten!$A$119:$LJ$119))&gt;0,"erledigt","offen"))))</f>
        <v/>
      </c>
      <c r="I142" s="73"/>
      <c r="J142" s="73"/>
      <c r="K142" s="73"/>
      <c r="L142" s="73"/>
      <c r="M142" s="73"/>
      <c r="N142" s="73"/>
      <c r="O142" s="73"/>
      <c r="P142" s="73"/>
      <c r="Q142" s="73"/>
      <c r="R142" s="73"/>
      <c r="S142" s="73"/>
      <c r="T142" s="73"/>
      <c r="U142" s="73"/>
      <c r="V142" s="73"/>
      <c r="W142" s="73"/>
      <c r="X142" s="73"/>
      <c r="Y142" s="73"/>
      <c r="Z142" s="73"/>
      <c r="AA142" s="73"/>
      <c r="AB142" s="73" t="s">
        <v>714</v>
      </c>
      <c r="AC142" s="73"/>
      <c r="AD142" s="73" t="s">
        <v>714</v>
      </c>
      <c r="AE142" s="73"/>
      <c r="AF142" s="73"/>
      <c r="AG142" s="73"/>
      <c r="AH142" s="73"/>
      <c r="AI142" s="73"/>
      <c r="AJ142" s="73"/>
      <c r="AK142" s="73"/>
      <c r="AL142" s="73"/>
      <c r="AM142" t="s">
        <v>887</v>
      </c>
      <c r="AN142" t="s">
        <v>118</v>
      </c>
      <c r="AO142" t="s">
        <v>709</v>
      </c>
    </row>
    <row r="143" spans="1:41" ht="18" customHeight="1" outlineLevel="1">
      <c r="A143" s="65">
        <f>ROW(Rohdaten!$A$120)</f>
        <v>120</v>
      </c>
      <c r="B143" s="66" t="str">
        <f>IF(Rohdaten!$A$120="","",Rohdaten!$A$120)</f>
        <v>11d</v>
      </c>
      <c r="C143" s="74" t="s">
        <v>888</v>
      </c>
      <c r="D143" s="68" t="str">
        <f>IF(Rohdaten!$E$120="","",Rohdaten!$E$120)</f>
        <v>Richartz/ Mey</v>
      </c>
      <c r="E143" s="69" t="str">
        <f t="array" ref="E143">_xlfn.TEXTJOIN(" / ",TRUE,IF($I143:$AL143="●",$I$4:$AL$4,""))</f>
        <v>Mey / Richartz</v>
      </c>
      <c r="F143" s="70" t="s">
        <v>781</v>
      </c>
      <c r="G143" s="71" t="s">
        <v>712</v>
      </c>
      <c r="H143" s="72">
        <f>IF($F143="automatisch",IF(ISNA(MATCH(Stichtag,RD_Kopf,0)),"automatisch",IF(SUMPRODUCT((RD_Kopf&gt;=IF($G143="monatlich",DATE(YEAR(KWFreitag),MONTH(KWFreitag),1),IF($G143="quartalsweise",DATE(YEAR(KWFreitag),INT((MONTH(KWFreitag)-1)/3)*3+1,1),Stichtag)))*(RD_Kopf&lt;=Stichtag)*ISNUMBER(Rohdaten!$A$120:$LJ$120))&gt;0,"erledigt","automatisch")),IF($F143&lt;&gt;"ja","",IF(ISNA(MATCH(Stichtag,RD_Kopf,0)),"keine Spalte",IF(SUMPRODUCT((RD_Kopf&gt;=IF($G143="monatlich",DATE(YEAR(KWFreitag),MONTH(KWFreitag),1),IF($G143="quartalsweise",DATE(YEAR(KWFreitag),INT((MONTH(KWFreitag)-1)/3)*3+1,1),Stichtag)))*(RD_Kopf&lt;=Stichtag)*ISNUMBER(Rohdaten!$A$120:$LJ$120))&gt;0,"erledigt","offen"))))</f>
        <v/>
      </c>
      <c r="I143" s="73"/>
      <c r="J143" s="73"/>
      <c r="K143" s="73"/>
      <c r="L143" s="73"/>
      <c r="M143" s="73"/>
      <c r="N143" s="73"/>
      <c r="O143" s="73"/>
      <c r="P143" s="73"/>
      <c r="Q143" s="73"/>
      <c r="R143" s="73"/>
      <c r="S143" s="73"/>
      <c r="T143" s="73"/>
      <c r="U143" s="73"/>
      <c r="V143" s="73"/>
      <c r="W143" s="73"/>
      <c r="X143" s="73"/>
      <c r="Y143" s="73"/>
      <c r="Z143" s="73"/>
      <c r="AA143" s="73"/>
      <c r="AB143" s="73" t="s">
        <v>714</v>
      </c>
      <c r="AC143" s="73"/>
      <c r="AD143" s="73" t="s">
        <v>714</v>
      </c>
      <c r="AE143" s="73"/>
      <c r="AF143" s="73"/>
      <c r="AG143" s="73"/>
      <c r="AH143" s="73"/>
      <c r="AI143" s="73"/>
      <c r="AJ143" s="73"/>
      <c r="AK143" s="73"/>
      <c r="AL143" s="73"/>
      <c r="AM143" t="s">
        <v>889</v>
      </c>
      <c r="AN143" t="s">
        <v>119</v>
      </c>
      <c r="AO143" t="s">
        <v>709</v>
      </c>
    </row>
    <row r="144" spans="1:41" ht="18" customHeight="1" outlineLevel="1">
      <c r="A144" s="65">
        <f>ROW(Rohdaten!$A$121)</f>
        <v>121</v>
      </c>
      <c r="B144" s="66" t="str">
        <f>IF(Rohdaten!$A$121="","",Rohdaten!$A$121)</f>
        <v>11e</v>
      </c>
      <c r="C144" s="74" t="s">
        <v>783</v>
      </c>
      <c r="D144" s="68" t="str">
        <f>IF(Rohdaten!$E$121="","",Rohdaten!$E$121)</f>
        <v>Richartz/ Mey</v>
      </c>
      <c r="E144" s="69" t="str">
        <f t="array" ref="E144">_xlfn.TEXTJOIN(" / ",TRUE,IF($I144:$AL144="●",$I$4:$AL$4,""))</f>
        <v>Mey / Richartz</v>
      </c>
      <c r="F144" s="70" t="s">
        <v>711</v>
      </c>
      <c r="G144" s="71" t="s">
        <v>712</v>
      </c>
      <c r="H144" s="72">
        <f>IF($F144="automatisch",IF(ISNA(MATCH(Stichtag,RD_Kopf,0)),"automatisch",IF(SUMPRODUCT((RD_Kopf&gt;=IF($G144="monatlich",DATE(YEAR(KWFreitag),MONTH(KWFreitag),1),IF($G144="quartalsweise",DATE(YEAR(KWFreitag),INT((MONTH(KWFreitag)-1)/3)*3+1,1),Stichtag)))*(RD_Kopf&lt;=Stichtag)*ISNUMBER(Rohdaten!$A$121:$LJ$121))&gt;0,"erledigt","automatisch")),IF($F144&lt;&gt;"ja","",IF(ISNA(MATCH(Stichtag,RD_Kopf,0)),"keine Spalte",IF(SUMPRODUCT((RD_Kopf&gt;=IF($G144="monatlich",DATE(YEAR(KWFreitag),MONTH(KWFreitag),1),IF($G144="quartalsweise",DATE(YEAR(KWFreitag),INT((MONTH(KWFreitag)-1)/3)*3+1,1),Stichtag)))*(RD_Kopf&lt;=Stichtag)*ISNUMBER(Rohdaten!$A$121:$LJ$121))&gt;0,"erledigt","offen"))))</f>
        <v/>
      </c>
      <c r="I144" s="73"/>
      <c r="J144" s="73"/>
      <c r="K144" s="73"/>
      <c r="L144" s="73"/>
      <c r="M144" s="73"/>
      <c r="N144" s="73"/>
      <c r="O144" s="73"/>
      <c r="P144" s="73"/>
      <c r="Q144" s="73"/>
      <c r="R144" s="73"/>
      <c r="S144" s="73"/>
      <c r="T144" s="73"/>
      <c r="U144" s="73"/>
      <c r="V144" s="73"/>
      <c r="W144" s="73"/>
      <c r="X144" s="73"/>
      <c r="Y144" s="73"/>
      <c r="Z144" s="73"/>
      <c r="AA144" s="73"/>
      <c r="AB144" s="73" t="s">
        <v>714</v>
      </c>
      <c r="AC144" s="73"/>
      <c r="AD144" s="73" t="s">
        <v>714</v>
      </c>
      <c r="AE144" s="73"/>
      <c r="AF144" s="73"/>
      <c r="AG144" s="73"/>
      <c r="AH144" s="73"/>
      <c r="AI144" s="73"/>
      <c r="AJ144" s="73"/>
      <c r="AK144" s="73"/>
      <c r="AL144" s="73"/>
      <c r="AM144" t="s">
        <v>890</v>
      </c>
      <c r="AN144" t="s">
        <v>120</v>
      </c>
      <c r="AO144" t="s">
        <v>709</v>
      </c>
    </row>
    <row r="145" spans="1:41" ht="18" customHeight="1" outlineLevel="1">
      <c r="A145" s="65">
        <f>ROW(Rohdaten!$A$122)</f>
        <v>122</v>
      </c>
      <c r="B145" s="66">
        <f>IF(Rohdaten!$A$122="","",Rohdaten!$A$122)</f>
        <v/>
      </c>
      <c r="C145" s="74" t="s">
        <v>891</v>
      </c>
      <c r="D145" s="68" t="str">
        <f>IF(Rohdaten!$E$122="","",Rohdaten!$E$122)</f>
        <v>Richartz/ Mey</v>
      </c>
      <c r="E145" s="69" t="str">
        <f t="array" ref="E145">_xlfn.TEXTJOIN(" / ",TRUE,IF($I145:$AL145="●",$I$4:$AL$4,""))</f>
        <v>Mey / Richartz</v>
      </c>
      <c r="F145" s="70" t="s">
        <v>781</v>
      </c>
      <c r="G145" s="71" t="s">
        <v>712</v>
      </c>
      <c r="H145" s="72">
        <f>IF($F145="automatisch",IF(ISNA(MATCH(Stichtag,RD_Kopf,0)),"automatisch",IF(SUMPRODUCT((RD_Kopf&gt;=IF($G145="monatlich",DATE(YEAR(KWFreitag),MONTH(KWFreitag),1),IF($G145="quartalsweise",DATE(YEAR(KWFreitag),INT((MONTH(KWFreitag)-1)/3)*3+1,1),Stichtag)))*(RD_Kopf&lt;=Stichtag)*ISNUMBER(Rohdaten!$A$122:$LJ$122))&gt;0,"erledigt","automatisch")),IF($F145&lt;&gt;"ja","",IF(ISNA(MATCH(Stichtag,RD_Kopf,0)),"keine Spalte",IF(SUMPRODUCT((RD_Kopf&gt;=IF($G145="monatlich",DATE(YEAR(KWFreitag),MONTH(KWFreitag),1),IF($G145="quartalsweise",DATE(YEAR(KWFreitag),INT((MONTH(KWFreitag)-1)/3)*3+1,1),Stichtag)))*(RD_Kopf&lt;=Stichtag)*ISNUMBER(Rohdaten!$A$122:$LJ$122))&gt;0,"erledigt","offen"))))</f>
        <v/>
      </c>
      <c r="I145" s="73"/>
      <c r="J145" s="73"/>
      <c r="K145" s="73"/>
      <c r="L145" s="73"/>
      <c r="M145" s="73"/>
      <c r="N145" s="73"/>
      <c r="O145" s="73"/>
      <c r="P145" s="73"/>
      <c r="Q145" s="73"/>
      <c r="R145" s="73"/>
      <c r="S145" s="73"/>
      <c r="T145" s="73"/>
      <c r="U145" s="73"/>
      <c r="V145" s="73"/>
      <c r="W145" s="73"/>
      <c r="X145" s="73"/>
      <c r="Y145" s="73"/>
      <c r="Z145" s="73"/>
      <c r="AA145" s="73"/>
      <c r="AB145" s="73" t="s">
        <v>714</v>
      </c>
      <c r="AC145" s="73"/>
      <c r="AD145" s="73" t="s">
        <v>714</v>
      </c>
      <c r="AE145" s="73"/>
      <c r="AF145" s="73"/>
      <c r="AG145" s="73"/>
      <c r="AH145" s="73"/>
      <c r="AI145" s="73"/>
      <c r="AJ145" s="73"/>
      <c r="AK145" s="73"/>
      <c r="AL145" s="73"/>
      <c r="AM145" t="s">
        <v>892</v>
      </c>
      <c r="AO145" t="s">
        <v>709</v>
      </c>
    </row>
    <row r="146" spans="1:41" ht="18" customHeight="1" outlineLevel="1">
      <c r="A146" s="65">
        <f>ROW(Rohdaten!$A$123)</f>
        <v>123</v>
      </c>
      <c r="B146" s="66">
        <f>IF(Rohdaten!$A$123="","",Rohdaten!$A$123)</f>
        <v/>
      </c>
      <c r="C146" s="74" t="s">
        <v>893</v>
      </c>
      <c r="D146" s="68" t="str">
        <f>IF(Rohdaten!$E$123="","",Rohdaten!$E$123)</f>
        <v>Richartz/ Mey</v>
      </c>
      <c r="E146" s="69" t="str">
        <f t="array" ref="E146">_xlfn.TEXTJOIN(" / ",TRUE,IF($I146:$AL146="●",$I$4:$AL$4,""))</f>
        <v>Mey / Richartz</v>
      </c>
      <c r="F146" s="70" t="s">
        <v>781</v>
      </c>
      <c r="G146" s="71" t="s">
        <v>712</v>
      </c>
      <c r="H146" s="72">
        <f>IF($F146="automatisch",IF(ISNA(MATCH(Stichtag,RD_Kopf,0)),"automatisch",IF(SUMPRODUCT((RD_Kopf&gt;=IF($G146="monatlich",DATE(YEAR(KWFreitag),MONTH(KWFreitag),1),IF($G146="quartalsweise",DATE(YEAR(KWFreitag),INT((MONTH(KWFreitag)-1)/3)*3+1,1),Stichtag)))*(RD_Kopf&lt;=Stichtag)*ISNUMBER(Rohdaten!$A$123:$LJ$123))&gt;0,"erledigt","automatisch")),IF($F146&lt;&gt;"ja","",IF(ISNA(MATCH(Stichtag,RD_Kopf,0)),"keine Spalte",IF(SUMPRODUCT((RD_Kopf&gt;=IF($G146="monatlich",DATE(YEAR(KWFreitag),MONTH(KWFreitag),1),IF($G146="quartalsweise",DATE(YEAR(KWFreitag),INT((MONTH(KWFreitag)-1)/3)*3+1,1),Stichtag)))*(RD_Kopf&lt;=Stichtag)*ISNUMBER(Rohdaten!$A$123:$LJ$123))&gt;0,"erledigt","offen"))))</f>
        <v/>
      </c>
      <c r="I146" s="73"/>
      <c r="J146" s="73"/>
      <c r="K146" s="73"/>
      <c r="L146" s="73"/>
      <c r="M146" s="73"/>
      <c r="N146" s="73"/>
      <c r="O146" s="73"/>
      <c r="P146" s="73"/>
      <c r="Q146" s="73"/>
      <c r="R146" s="73"/>
      <c r="S146" s="73"/>
      <c r="T146" s="73"/>
      <c r="U146" s="73"/>
      <c r="V146" s="73"/>
      <c r="W146" s="73"/>
      <c r="X146" s="73"/>
      <c r="Y146" s="73"/>
      <c r="Z146" s="73"/>
      <c r="AA146" s="73"/>
      <c r="AB146" s="73" t="s">
        <v>714</v>
      </c>
      <c r="AC146" s="73"/>
      <c r="AD146" s="73" t="s">
        <v>714</v>
      </c>
      <c r="AE146" s="73"/>
      <c r="AF146" s="73"/>
      <c r="AG146" s="73"/>
      <c r="AH146" s="73"/>
      <c r="AI146" s="73"/>
      <c r="AJ146" s="73"/>
      <c r="AK146" s="73"/>
      <c r="AL146" s="73"/>
      <c r="AM146" t="s">
        <v>894</v>
      </c>
      <c r="AO146" t="s">
        <v>709</v>
      </c>
    </row>
    <row r="147" spans="1:41" ht="18" customHeight="1" outlineLevel="1">
      <c r="A147" s="65">
        <f>ROW(Rohdaten!$A$124)</f>
        <v>124</v>
      </c>
      <c r="B147" s="66">
        <f>IF(Rohdaten!$A$124="","",Rohdaten!$A$124)</f>
        <v/>
      </c>
      <c r="C147" s="74" t="s">
        <v>895</v>
      </c>
      <c r="D147" s="68" t="str">
        <f>IF(Rohdaten!$E$124="","",Rohdaten!$E$124)</f>
        <v>Richartz/ Mey</v>
      </c>
      <c r="E147" s="69" t="str">
        <f t="array" ref="E147">_xlfn.TEXTJOIN(" / ",TRUE,IF($I147:$AL147="●",$I$4:$AL$4,""))</f>
        <v>Mey / Richartz</v>
      </c>
      <c r="F147" s="70" t="s">
        <v>781</v>
      </c>
      <c r="G147" s="71" t="s">
        <v>712</v>
      </c>
      <c r="H147" s="72">
        <f>IF($F147="automatisch",IF(ISNA(MATCH(Stichtag,RD_Kopf,0)),"automatisch",IF(SUMPRODUCT((RD_Kopf&gt;=IF($G147="monatlich",DATE(YEAR(KWFreitag),MONTH(KWFreitag),1),IF($G147="quartalsweise",DATE(YEAR(KWFreitag),INT((MONTH(KWFreitag)-1)/3)*3+1,1),Stichtag)))*(RD_Kopf&lt;=Stichtag)*ISNUMBER(Rohdaten!$A$124:$LJ$124))&gt;0,"erledigt","automatisch")),IF($F147&lt;&gt;"ja","",IF(ISNA(MATCH(Stichtag,RD_Kopf,0)),"keine Spalte",IF(SUMPRODUCT((RD_Kopf&gt;=IF($G147="monatlich",DATE(YEAR(KWFreitag),MONTH(KWFreitag),1),IF($G147="quartalsweise",DATE(YEAR(KWFreitag),INT((MONTH(KWFreitag)-1)/3)*3+1,1),Stichtag)))*(RD_Kopf&lt;=Stichtag)*ISNUMBER(Rohdaten!$A$124:$LJ$124))&gt;0,"erledigt","offen"))))</f>
        <v/>
      </c>
      <c r="I147" s="73"/>
      <c r="J147" s="73"/>
      <c r="K147" s="73"/>
      <c r="L147" s="73"/>
      <c r="M147" s="73"/>
      <c r="N147" s="73"/>
      <c r="O147" s="73"/>
      <c r="P147" s="73"/>
      <c r="Q147" s="73"/>
      <c r="R147" s="73"/>
      <c r="S147" s="73"/>
      <c r="T147" s="73"/>
      <c r="U147" s="73"/>
      <c r="V147" s="73"/>
      <c r="W147" s="73"/>
      <c r="X147" s="73"/>
      <c r="Y147" s="73"/>
      <c r="Z147" s="73"/>
      <c r="AA147" s="73"/>
      <c r="AB147" s="73" t="s">
        <v>714</v>
      </c>
      <c r="AC147" s="73"/>
      <c r="AD147" s="73" t="s">
        <v>714</v>
      </c>
      <c r="AE147" s="73"/>
      <c r="AF147" s="73"/>
      <c r="AG147" s="73"/>
      <c r="AH147" s="73"/>
      <c r="AI147" s="73"/>
      <c r="AJ147" s="73"/>
      <c r="AK147" s="73"/>
      <c r="AL147" s="73"/>
      <c r="AM147" t="s">
        <v>896</v>
      </c>
      <c r="AO147" t="s">
        <v>709</v>
      </c>
    </row>
    <row r="148" spans="1:41" ht="18" customHeight="1" outlineLevel="1">
      <c r="A148" s="65">
        <f>ROW(Rohdaten!$A$125)</f>
        <v>125</v>
      </c>
      <c r="B148" s="66" t="str">
        <f>IF(Rohdaten!$A$125="","",Rohdaten!$A$125)</f>
        <v>11f</v>
      </c>
      <c r="C148" s="74" t="s">
        <v>786</v>
      </c>
      <c r="D148" s="68" t="str">
        <f>IF(Rohdaten!$E$125="","",Rohdaten!$E$125)</f>
        <v>Richartz/ Mey</v>
      </c>
      <c r="E148" s="69" t="str">
        <f t="array" ref="E148">_xlfn.TEXTJOIN(" / ",TRUE,IF($I148:$AL148="●",$I$4:$AL$4,""))</f>
        <v>Mey / Richartz</v>
      </c>
      <c r="F148" s="70" t="s">
        <v>711</v>
      </c>
      <c r="G148" s="71" t="s">
        <v>712</v>
      </c>
      <c r="H148" s="72">
        <f>IF($F148="automatisch",IF(ISNA(MATCH(Stichtag,RD_Kopf,0)),"automatisch",IF(SUMPRODUCT((RD_Kopf&gt;=IF($G148="monatlich",DATE(YEAR(KWFreitag),MONTH(KWFreitag),1),IF($G148="quartalsweise",DATE(YEAR(KWFreitag),INT((MONTH(KWFreitag)-1)/3)*3+1,1),Stichtag)))*(RD_Kopf&lt;=Stichtag)*ISNUMBER(Rohdaten!$A$125:$LJ$125))&gt;0,"erledigt","automatisch")),IF($F148&lt;&gt;"ja","",IF(ISNA(MATCH(Stichtag,RD_Kopf,0)),"keine Spalte",IF(SUMPRODUCT((RD_Kopf&gt;=IF($G148="monatlich",DATE(YEAR(KWFreitag),MONTH(KWFreitag),1),IF($G148="quartalsweise",DATE(YEAR(KWFreitag),INT((MONTH(KWFreitag)-1)/3)*3+1,1),Stichtag)))*(RD_Kopf&lt;=Stichtag)*ISNUMBER(Rohdaten!$A$125:$LJ$125))&gt;0,"erledigt","offen"))))</f>
        <v/>
      </c>
      <c r="I148" s="73"/>
      <c r="J148" s="73"/>
      <c r="K148" s="73"/>
      <c r="L148" s="73"/>
      <c r="M148" s="73"/>
      <c r="N148" s="73"/>
      <c r="O148" s="73"/>
      <c r="P148" s="73"/>
      <c r="Q148" s="73"/>
      <c r="R148" s="73"/>
      <c r="S148" s="73"/>
      <c r="T148" s="73"/>
      <c r="U148" s="73"/>
      <c r="V148" s="73"/>
      <c r="W148" s="73"/>
      <c r="X148" s="73"/>
      <c r="Y148" s="73"/>
      <c r="Z148" s="73"/>
      <c r="AA148" s="73"/>
      <c r="AB148" s="73" t="s">
        <v>714</v>
      </c>
      <c r="AC148" s="73"/>
      <c r="AD148" s="73" t="s">
        <v>714</v>
      </c>
      <c r="AE148" s="73"/>
      <c r="AF148" s="73"/>
      <c r="AG148" s="73"/>
      <c r="AH148" s="73"/>
      <c r="AI148" s="73"/>
      <c r="AJ148" s="73"/>
      <c r="AK148" s="73"/>
      <c r="AL148" s="73"/>
      <c r="AM148" t="s">
        <v>897</v>
      </c>
      <c r="AN148" t="s">
        <v>121</v>
      </c>
      <c r="AO148" t="s">
        <v>709</v>
      </c>
    </row>
    <row r="149" spans="1:41" ht="18" customHeight="1" outlineLevel="1">
      <c r="A149" s="65">
        <f>ROW(Rohdaten!$A$126)</f>
        <v>126</v>
      </c>
      <c r="B149" s="66">
        <f>IF(Rohdaten!$A$126="","",Rohdaten!$A$126)</f>
        <v/>
      </c>
      <c r="C149" s="74" t="s">
        <v>898</v>
      </c>
      <c r="D149" s="68" t="str">
        <f>IF(Rohdaten!$E$126="","",Rohdaten!$E$126)</f>
        <v>Richartz/ Mey</v>
      </c>
      <c r="E149" s="69" t="str">
        <f t="array" ref="E149">_xlfn.TEXTJOIN(" / ",TRUE,IF($I149:$AL149="●",$I$4:$AL$4,""))</f>
        <v>Mey / Richartz</v>
      </c>
      <c r="F149" s="70" t="s">
        <v>781</v>
      </c>
      <c r="G149" s="71" t="s">
        <v>712</v>
      </c>
      <c r="H149" s="72">
        <f>IF($F149="automatisch",IF(ISNA(MATCH(Stichtag,RD_Kopf,0)),"automatisch",IF(SUMPRODUCT((RD_Kopf&gt;=IF($G149="monatlich",DATE(YEAR(KWFreitag),MONTH(KWFreitag),1),IF($G149="quartalsweise",DATE(YEAR(KWFreitag),INT((MONTH(KWFreitag)-1)/3)*3+1,1),Stichtag)))*(RD_Kopf&lt;=Stichtag)*ISNUMBER(Rohdaten!$A$126:$LJ$126))&gt;0,"erledigt","automatisch")),IF($F149&lt;&gt;"ja","",IF(ISNA(MATCH(Stichtag,RD_Kopf,0)),"keine Spalte",IF(SUMPRODUCT((RD_Kopf&gt;=IF($G149="monatlich",DATE(YEAR(KWFreitag),MONTH(KWFreitag),1),IF($G149="quartalsweise",DATE(YEAR(KWFreitag),INT((MONTH(KWFreitag)-1)/3)*3+1,1),Stichtag)))*(RD_Kopf&lt;=Stichtag)*ISNUMBER(Rohdaten!$A$126:$LJ$126))&gt;0,"erledigt","offen"))))</f>
        <v/>
      </c>
      <c r="I149" s="73"/>
      <c r="J149" s="73"/>
      <c r="K149" s="73"/>
      <c r="L149" s="73"/>
      <c r="M149" s="73"/>
      <c r="N149" s="73"/>
      <c r="O149" s="73"/>
      <c r="P149" s="73"/>
      <c r="Q149" s="73"/>
      <c r="R149" s="73"/>
      <c r="S149" s="73"/>
      <c r="T149" s="73"/>
      <c r="U149" s="73"/>
      <c r="V149" s="73"/>
      <c r="W149" s="73"/>
      <c r="X149" s="73"/>
      <c r="Y149" s="73"/>
      <c r="Z149" s="73"/>
      <c r="AA149" s="73"/>
      <c r="AB149" s="73" t="s">
        <v>714</v>
      </c>
      <c r="AC149" s="73"/>
      <c r="AD149" s="73" t="s">
        <v>714</v>
      </c>
      <c r="AE149" s="73"/>
      <c r="AF149" s="73"/>
      <c r="AG149" s="73"/>
      <c r="AH149" s="73"/>
      <c r="AI149" s="73"/>
      <c r="AJ149" s="73"/>
      <c r="AK149" s="73"/>
      <c r="AL149" s="73"/>
      <c r="AM149" t="s">
        <v>899</v>
      </c>
      <c r="AO149" t="s">
        <v>709</v>
      </c>
    </row>
    <row r="150" spans="1:41" ht="18" customHeight="1" outlineLevel="1">
      <c r="A150" s="65">
        <f>ROW(Rohdaten!$A$127)</f>
        <v>127</v>
      </c>
      <c r="B150" s="66">
        <f>IF(Rohdaten!$A$127="","",Rohdaten!$A$127)</f>
        <v/>
      </c>
      <c r="C150" s="74" t="s">
        <v>900</v>
      </c>
      <c r="D150" s="68" t="str">
        <f>IF(Rohdaten!$E$127="","",Rohdaten!$E$127)</f>
        <v>Richartz/ Mey</v>
      </c>
      <c r="E150" s="69" t="str">
        <f t="array" ref="E150">_xlfn.TEXTJOIN(" / ",TRUE,IF($I150:$AL150="●",$I$4:$AL$4,""))</f>
        <v>Mey / Richartz</v>
      </c>
      <c r="F150" s="70" t="s">
        <v>781</v>
      </c>
      <c r="G150" s="71" t="s">
        <v>712</v>
      </c>
      <c r="H150" s="72">
        <f>IF($F150="automatisch",IF(ISNA(MATCH(Stichtag,RD_Kopf,0)),"automatisch",IF(SUMPRODUCT((RD_Kopf&gt;=IF($G150="monatlich",DATE(YEAR(KWFreitag),MONTH(KWFreitag),1),IF($G150="quartalsweise",DATE(YEAR(KWFreitag),INT((MONTH(KWFreitag)-1)/3)*3+1,1),Stichtag)))*(RD_Kopf&lt;=Stichtag)*ISNUMBER(Rohdaten!$A$127:$LJ$127))&gt;0,"erledigt","automatisch")),IF($F150&lt;&gt;"ja","",IF(ISNA(MATCH(Stichtag,RD_Kopf,0)),"keine Spalte",IF(SUMPRODUCT((RD_Kopf&gt;=IF($G150="monatlich",DATE(YEAR(KWFreitag),MONTH(KWFreitag),1),IF($G150="quartalsweise",DATE(YEAR(KWFreitag),INT((MONTH(KWFreitag)-1)/3)*3+1,1),Stichtag)))*(RD_Kopf&lt;=Stichtag)*ISNUMBER(Rohdaten!$A$127:$LJ$127))&gt;0,"erledigt","offen"))))</f>
        <v/>
      </c>
      <c r="I150" s="73"/>
      <c r="J150" s="73"/>
      <c r="K150" s="73"/>
      <c r="L150" s="73"/>
      <c r="M150" s="73"/>
      <c r="N150" s="73"/>
      <c r="O150" s="73"/>
      <c r="P150" s="73"/>
      <c r="Q150" s="73"/>
      <c r="R150" s="73"/>
      <c r="S150" s="73"/>
      <c r="T150" s="73"/>
      <c r="U150" s="73"/>
      <c r="V150" s="73"/>
      <c r="W150" s="73"/>
      <c r="X150" s="73"/>
      <c r="Y150" s="73"/>
      <c r="Z150" s="73"/>
      <c r="AA150" s="73"/>
      <c r="AB150" s="73" t="s">
        <v>714</v>
      </c>
      <c r="AC150" s="73"/>
      <c r="AD150" s="73" t="s">
        <v>714</v>
      </c>
      <c r="AE150" s="73"/>
      <c r="AF150" s="73"/>
      <c r="AG150" s="73"/>
      <c r="AH150" s="73"/>
      <c r="AI150" s="73"/>
      <c r="AJ150" s="73"/>
      <c r="AK150" s="73"/>
      <c r="AL150" s="73"/>
      <c r="AM150" t="s">
        <v>901</v>
      </c>
      <c r="AO150" t="s">
        <v>709</v>
      </c>
    </row>
    <row r="151" spans="1:41" ht="18" customHeight="1" outlineLevel="1">
      <c r="A151" s="65">
        <f>ROW(Rohdaten!$A$128)</f>
        <v>128</v>
      </c>
      <c r="B151" s="66">
        <f>IF(Rohdaten!$A$128="","",Rohdaten!$A$128)</f>
        <v/>
      </c>
      <c r="C151" s="74" t="s">
        <v>902</v>
      </c>
      <c r="D151" s="68" t="str">
        <f>IF(Rohdaten!$E$128="","",Rohdaten!$E$128)</f>
        <v>Richartz/ Mey</v>
      </c>
      <c r="E151" s="69" t="str">
        <f t="array" ref="E151">_xlfn.TEXTJOIN(" / ",TRUE,IF($I151:$AL151="●",$I$4:$AL$4,""))</f>
        <v>Mey / Richartz</v>
      </c>
      <c r="F151" s="70" t="s">
        <v>781</v>
      </c>
      <c r="G151" s="71" t="s">
        <v>712</v>
      </c>
      <c r="H151" s="72">
        <f>IF($F151="automatisch",IF(ISNA(MATCH(Stichtag,RD_Kopf,0)),"automatisch",IF(SUMPRODUCT((RD_Kopf&gt;=IF($G151="monatlich",DATE(YEAR(KWFreitag),MONTH(KWFreitag),1),IF($G151="quartalsweise",DATE(YEAR(KWFreitag),INT((MONTH(KWFreitag)-1)/3)*3+1,1),Stichtag)))*(RD_Kopf&lt;=Stichtag)*ISNUMBER(Rohdaten!$A$128:$LJ$128))&gt;0,"erledigt","automatisch")),IF($F151&lt;&gt;"ja","",IF(ISNA(MATCH(Stichtag,RD_Kopf,0)),"keine Spalte",IF(SUMPRODUCT((RD_Kopf&gt;=IF($G151="monatlich",DATE(YEAR(KWFreitag),MONTH(KWFreitag),1),IF($G151="quartalsweise",DATE(YEAR(KWFreitag),INT((MONTH(KWFreitag)-1)/3)*3+1,1),Stichtag)))*(RD_Kopf&lt;=Stichtag)*ISNUMBER(Rohdaten!$A$128:$LJ$128))&gt;0,"erledigt","offen"))))</f>
        <v/>
      </c>
      <c r="I151" s="73"/>
      <c r="J151" s="73"/>
      <c r="K151" s="73"/>
      <c r="L151" s="73"/>
      <c r="M151" s="73"/>
      <c r="N151" s="73"/>
      <c r="O151" s="73"/>
      <c r="P151" s="73"/>
      <c r="Q151" s="73"/>
      <c r="R151" s="73"/>
      <c r="S151" s="73"/>
      <c r="T151" s="73"/>
      <c r="U151" s="73"/>
      <c r="V151" s="73"/>
      <c r="W151" s="73"/>
      <c r="X151" s="73"/>
      <c r="Y151" s="73"/>
      <c r="Z151" s="73"/>
      <c r="AA151" s="73"/>
      <c r="AB151" s="73" t="s">
        <v>714</v>
      </c>
      <c r="AC151" s="73"/>
      <c r="AD151" s="73" t="s">
        <v>714</v>
      </c>
      <c r="AE151" s="73"/>
      <c r="AF151" s="73"/>
      <c r="AG151" s="73"/>
      <c r="AH151" s="73"/>
      <c r="AI151" s="73"/>
      <c r="AJ151" s="73"/>
      <c r="AK151" s="73"/>
      <c r="AL151" s="73"/>
      <c r="AM151" t="s">
        <v>903</v>
      </c>
      <c r="AO151" t="s">
        <v>709</v>
      </c>
    </row>
    <row r="152" spans="1:41" ht="22" customHeight="1">
      <c r="A152" s="60" t="s">
        <v>904</v>
      </c>
      <c r="B152" s="60"/>
      <c r="C152" s="60"/>
      <c r="D152" s="60"/>
      <c r="E152" s="60"/>
      <c r="F152" s="60"/>
      <c r="G152" s="60"/>
      <c r="H152" s="60"/>
      <c r="I152" s="61"/>
      <c r="J152" s="61"/>
      <c r="K152" s="61"/>
      <c r="L152" s="61"/>
      <c r="M152" s="61"/>
      <c r="N152" s="61"/>
      <c r="O152" s="61"/>
      <c r="P152" s="61"/>
      <c r="Q152" s="61"/>
      <c r="R152" s="61"/>
      <c r="S152" s="61"/>
      <c r="T152" s="61"/>
      <c r="U152" s="61"/>
      <c r="V152" s="61"/>
      <c r="W152" s="61"/>
      <c r="X152" s="61"/>
      <c r="Y152" s="61"/>
      <c r="Z152" s="61"/>
      <c r="AA152" s="61"/>
      <c r="AB152" s="61"/>
      <c r="AC152" s="61"/>
      <c r="AD152" s="61"/>
      <c r="AE152" s="61"/>
      <c r="AF152" s="61"/>
      <c r="AG152" s="61"/>
      <c r="AH152" s="61"/>
      <c r="AI152" s="61"/>
      <c r="AJ152" s="61"/>
      <c r="AK152" s="61"/>
      <c r="AL152" s="61"/>
      <c r="AO152" t="s">
        <v>705</v>
      </c>
    </row>
    <row r="153" spans="1:41" ht="18" customHeight="1" outlineLevel="1">
      <c r="A153" s="65">
        <f>ROW(Rohdaten!$A$129)</f>
        <v>129</v>
      </c>
      <c r="B153" s="66" t="str">
        <f>IF(Rohdaten!$A$129="","",Rohdaten!$A$129)</f>
        <v>11g</v>
      </c>
      <c r="C153" s="74" t="s">
        <v>905</v>
      </c>
      <c r="D153" s="68" t="str">
        <f>IF(Rohdaten!$E$129="","",Rohdaten!$E$129)</f>
        <v>Richartz/ Mey</v>
      </c>
      <c r="E153" s="69" t="str">
        <f t="array" ref="E153">_xlfn.TEXTJOIN(" / ",TRUE,IF($I153:$AL153="●",$I$4:$AL$4,""))</f>
        <v>Mey / Richartz</v>
      </c>
      <c r="F153" s="70" t="s">
        <v>711</v>
      </c>
      <c r="G153" s="71" t="s">
        <v>712</v>
      </c>
      <c r="H153" s="72">
        <f>IF($F153="automatisch",IF(ISNA(MATCH(Stichtag,RD_Kopf,0)),"automatisch",IF(SUMPRODUCT((RD_Kopf&gt;=IF($G153="monatlich",DATE(YEAR(KWFreitag),MONTH(KWFreitag),1),IF($G153="quartalsweise",DATE(YEAR(KWFreitag),INT((MONTH(KWFreitag)-1)/3)*3+1,1),Stichtag)))*(RD_Kopf&lt;=Stichtag)*ISNUMBER(Rohdaten!$A$129:$LJ$129))&gt;0,"erledigt","automatisch")),IF($F153&lt;&gt;"ja","",IF(ISNA(MATCH(Stichtag,RD_Kopf,0)),"keine Spalte",IF(SUMPRODUCT((RD_Kopf&gt;=IF($G153="monatlich",DATE(YEAR(KWFreitag),MONTH(KWFreitag),1),IF($G153="quartalsweise",DATE(YEAR(KWFreitag),INT((MONTH(KWFreitag)-1)/3)*3+1,1),Stichtag)))*(RD_Kopf&lt;=Stichtag)*ISNUMBER(Rohdaten!$A$129:$LJ$129))&gt;0,"erledigt","offen"))))</f>
        <v/>
      </c>
      <c r="I153" s="73"/>
      <c r="J153" s="73"/>
      <c r="K153" s="73"/>
      <c r="L153" s="73"/>
      <c r="M153" s="73"/>
      <c r="N153" s="73"/>
      <c r="O153" s="73"/>
      <c r="P153" s="73"/>
      <c r="Q153" s="73"/>
      <c r="R153" s="73"/>
      <c r="S153" s="73"/>
      <c r="T153" s="73"/>
      <c r="U153" s="73"/>
      <c r="V153" s="73"/>
      <c r="W153" s="73"/>
      <c r="X153" s="73"/>
      <c r="Y153" s="73"/>
      <c r="Z153" s="73"/>
      <c r="AA153" s="73"/>
      <c r="AB153" s="73" t="s">
        <v>714</v>
      </c>
      <c r="AC153" s="73"/>
      <c r="AD153" s="73" t="s">
        <v>714</v>
      </c>
      <c r="AE153" s="73"/>
      <c r="AF153" s="73"/>
      <c r="AG153" s="73"/>
      <c r="AH153" s="73"/>
      <c r="AI153" s="73"/>
      <c r="AJ153" s="73"/>
      <c r="AK153" s="73"/>
      <c r="AL153" s="73"/>
      <c r="AM153" t="s">
        <v>906</v>
      </c>
      <c r="AN153" t="s">
        <v>122</v>
      </c>
      <c r="AO153" t="s">
        <v>709</v>
      </c>
    </row>
    <row r="154" spans="1:41" ht="18" customHeight="1" outlineLevel="1">
      <c r="A154" s="65">
        <f>ROW(Rohdaten!$A$130)</f>
        <v>130</v>
      </c>
      <c r="B154" s="66" t="str">
        <f>IF(Rohdaten!$A$130="","",Rohdaten!$A$130)</f>
        <v>11h</v>
      </c>
      <c r="C154" s="74" t="s">
        <v>907</v>
      </c>
      <c r="D154" s="68" t="str">
        <f>IF(Rohdaten!$E$130="","",Rohdaten!$E$130)</f>
        <v>Richartz/ Mey</v>
      </c>
      <c r="E154" s="69" t="str">
        <f t="array" ref="E154">_xlfn.TEXTJOIN(" / ",TRUE,IF($I154:$AL154="●",$I$4:$AL$4,""))</f>
        <v>Mey / Richartz</v>
      </c>
      <c r="F154" s="70" t="s">
        <v>781</v>
      </c>
      <c r="G154" s="71" t="s">
        <v>712</v>
      </c>
      <c r="H154" s="72">
        <f>IF($F154="automatisch",IF(ISNA(MATCH(Stichtag,RD_Kopf,0)),"automatisch",IF(SUMPRODUCT((RD_Kopf&gt;=IF($G154="monatlich",DATE(YEAR(KWFreitag),MONTH(KWFreitag),1),IF($G154="quartalsweise",DATE(YEAR(KWFreitag),INT((MONTH(KWFreitag)-1)/3)*3+1,1),Stichtag)))*(RD_Kopf&lt;=Stichtag)*ISNUMBER(Rohdaten!$A$130:$LJ$130))&gt;0,"erledigt","automatisch")),IF($F154&lt;&gt;"ja","",IF(ISNA(MATCH(Stichtag,RD_Kopf,0)),"keine Spalte",IF(SUMPRODUCT((RD_Kopf&gt;=IF($G154="monatlich",DATE(YEAR(KWFreitag),MONTH(KWFreitag),1),IF($G154="quartalsweise",DATE(YEAR(KWFreitag),INT((MONTH(KWFreitag)-1)/3)*3+1,1),Stichtag)))*(RD_Kopf&lt;=Stichtag)*ISNUMBER(Rohdaten!$A$130:$LJ$130))&gt;0,"erledigt","offen"))))</f>
        <v/>
      </c>
      <c r="I154" s="73"/>
      <c r="J154" s="73"/>
      <c r="K154" s="73"/>
      <c r="L154" s="73"/>
      <c r="M154" s="73"/>
      <c r="N154" s="73"/>
      <c r="O154" s="73"/>
      <c r="P154" s="73"/>
      <c r="Q154" s="73"/>
      <c r="R154" s="73"/>
      <c r="S154" s="73"/>
      <c r="T154" s="73"/>
      <c r="U154" s="73"/>
      <c r="V154" s="73"/>
      <c r="W154" s="73"/>
      <c r="X154" s="73"/>
      <c r="Y154" s="73"/>
      <c r="Z154" s="73"/>
      <c r="AA154" s="73"/>
      <c r="AB154" s="73" t="s">
        <v>714</v>
      </c>
      <c r="AC154" s="73"/>
      <c r="AD154" s="73" t="s">
        <v>714</v>
      </c>
      <c r="AE154" s="73"/>
      <c r="AF154" s="73"/>
      <c r="AG154" s="73"/>
      <c r="AH154" s="73"/>
      <c r="AI154" s="73"/>
      <c r="AJ154" s="73"/>
      <c r="AK154" s="73"/>
      <c r="AL154" s="73"/>
      <c r="AM154" t="s">
        <v>908</v>
      </c>
      <c r="AN154" t="s">
        <v>123</v>
      </c>
      <c r="AO154" t="s">
        <v>709</v>
      </c>
    </row>
    <row r="155" spans="1:41" ht="18" customHeight="1" outlineLevel="1">
      <c r="A155" s="65">
        <f>ROW(Rohdaten!$A$131)</f>
        <v>131</v>
      </c>
      <c r="B155" s="66" t="str">
        <f>IF(Rohdaten!$A$131="","",Rohdaten!$A$131)</f>
        <v>11i</v>
      </c>
      <c r="C155" s="74" t="s">
        <v>909</v>
      </c>
      <c r="D155" s="68" t="str">
        <f>IF(Rohdaten!$E$131="","",Rohdaten!$E$131)</f>
        <v>Richartz/ Mey</v>
      </c>
      <c r="E155" s="69" t="str">
        <f t="array" ref="E155">_xlfn.TEXTJOIN(" / ",TRUE,IF($I155:$AL155="●",$I$4:$AL$4,""))</f>
        <v>Mey / Richartz</v>
      </c>
      <c r="F155" s="70" t="s">
        <v>781</v>
      </c>
      <c r="G155" s="71" t="s">
        <v>712</v>
      </c>
      <c r="H155" s="72">
        <f>IF($F155="automatisch",IF(ISNA(MATCH(Stichtag,RD_Kopf,0)),"automatisch",IF(SUMPRODUCT((RD_Kopf&gt;=IF($G155="monatlich",DATE(YEAR(KWFreitag),MONTH(KWFreitag),1),IF($G155="quartalsweise",DATE(YEAR(KWFreitag),INT((MONTH(KWFreitag)-1)/3)*3+1,1),Stichtag)))*(RD_Kopf&lt;=Stichtag)*ISNUMBER(Rohdaten!$A$131:$LJ$131))&gt;0,"erledigt","automatisch")),IF($F155&lt;&gt;"ja","",IF(ISNA(MATCH(Stichtag,RD_Kopf,0)),"keine Spalte",IF(SUMPRODUCT((RD_Kopf&gt;=IF($G155="monatlich",DATE(YEAR(KWFreitag),MONTH(KWFreitag),1),IF($G155="quartalsweise",DATE(YEAR(KWFreitag),INT((MONTH(KWFreitag)-1)/3)*3+1,1),Stichtag)))*(RD_Kopf&lt;=Stichtag)*ISNUMBER(Rohdaten!$A$131:$LJ$131))&gt;0,"erledigt","offen"))))</f>
        <v/>
      </c>
      <c r="I155" s="73"/>
      <c r="J155" s="73"/>
      <c r="K155" s="73"/>
      <c r="L155" s="73"/>
      <c r="M155" s="73"/>
      <c r="N155" s="73"/>
      <c r="O155" s="73"/>
      <c r="P155" s="73"/>
      <c r="Q155" s="73"/>
      <c r="R155" s="73"/>
      <c r="S155" s="73"/>
      <c r="T155" s="73"/>
      <c r="U155" s="73"/>
      <c r="V155" s="73"/>
      <c r="W155" s="73"/>
      <c r="X155" s="73"/>
      <c r="Y155" s="73"/>
      <c r="Z155" s="73"/>
      <c r="AA155" s="73"/>
      <c r="AB155" s="73" t="s">
        <v>714</v>
      </c>
      <c r="AC155" s="73"/>
      <c r="AD155" s="73" t="s">
        <v>714</v>
      </c>
      <c r="AE155" s="73"/>
      <c r="AF155" s="73"/>
      <c r="AG155" s="73"/>
      <c r="AH155" s="73"/>
      <c r="AI155" s="73"/>
      <c r="AJ155" s="73"/>
      <c r="AK155" s="73"/>
      <c r="AL155" s="73"/>
      <c r="AM155" t="s">
        <v>910</v>
      </c>
      <c r="AN155" t="s">
        <v>124</v>
      </c>
      <c r="AO155" t="s">
        <v>709</v>
      </c>
    </row>
    <row r="156" spans="1:41" ht="18" customHeight="1" outlineLevel="1">
      <c r="A156" s="65">
        <f>ROW(Rohdaten!$A$132)</f>
        <v>132</v>
      </c>
      <c r="B156" s="66" t="str">
        <f>IF(Rohdaten!$A$132="","",Rohdaten!$A$132)</f>
        <v>11j</v>
      </c>
      <c r="C156" s="74" t="s">
        <v>911</v>
      </c>
      <c r="D156" s="68" t="str">
        <f>IF(Rohdaten!$E$132="","",Rohdaten!$E$132)</f>
        <v>Richartz/ Mey</v>
      </c>
      <c r="E156" s="69" t="str">
        <f t="array" ref="E156">_xlfn.TEXTJOIN(" / ",TRUE,IF($I156:$AL156="●",$I$4:$AL$4,""))</f>
        <v>Mey / Richartz</v>
      </c>
      <c r="F156" s="70" t="s">
        <v>781</v>
      </c>
      <c r="G156" s="71" t="s">
        <v>712</v>
      </c>
      <c r="H156" s="72">
        <f>IF($F156="automatisch",IF(ISNA(MATCH(Stichtag,RD_Kopf,0)),"automatisch",IF(SUMPRODUCT((RD_Kopf&gt;=IF($G156="monatlich",DATE(YEAR(KWFreitag),MONTH(KWFreitag),1),IF($G156="quartalsweise",DATE(YEAR(KWFreitag),INT((MONTH(KWFreitag)-1)/3)*3+1,1),Stichtag)))*(RD_Kopf&lt;=Stichtag)*ISNUMBER(Rohdaten!$A$132:$LJ$132))&gt;0,"erledigt","automatisch")),IF($F156&lt;&gt;"ja","",IF(ISNA(MATCH(Stichtag,RD_Kopf,0)),"keine Spalte",IF(SUMPRODUCT((RD_Kopf&gt;=IF($G156="monatlich",DATE(YEAR(KWFreitag),MONTH(KWFreitag),1),IF($G156="quartalsweise",DATE(YEAR(KWFreitag),INT((MONTH(KWFreitag)-1)/3)*3+1,1),Stichtag)))*(RD_Kopf&lt;=Stichtag)*ISNUMBER(Rohdaten!$A$132:$LJ$132))&gt;0,"erledigt","offen"))))</f>
        <v/>
      </c>
      <c r="I156" s="73"/>
      <c r="J156" s="73"/>
      <c r="K156" s="73"/>
      <c r="L156" s="73"/>
      <c r="M156" s="73"/>
      <c r="N156" s="73"/>
      <c r="O156" s="73"/>
      <c r="P156" s="73"/>
      <c r="Q156" s="73"/>
      <c r="R156" s="73"/>
      <c r="S156" s="73"/>
      <c r="T156" s="73"/>
      <c r="U156" s="73"/>
      <c r="V156" s="73"/>
      <c r="W156" s="73"/>
      <c r="X156" s="73"/>
      <c r="Y156" s="73"/>
      <c r="Z156" s="73"/>
      <c r="AA156" s="73"/>
      <c r="AB156" s="73" t="s">
        <v>714</v>
      </c>
      <c r="AC156" s="73"/>
      <c r="AD156" s="73" t="s">
        <v>714</v>
      </c>
      <c r="AE156" s="73"/>
      <c r="AF156" s="73"/>
      <c r="AG156" s="73"/>
      <c r="AH156" s="73"/>
      <c r="AI156" s="73"/>
      <c r="AJ156" s="73"/>
      <c r="AK156" s="73"/>
      <c r="AL156" s="73"/>
      <c r="AM156" t="s">
        <v>912</v>
      </c>
      <c r="AN156" t="s">
        <v>125</v>
      </c>
      <c r="AO156" t="s">
        <v>709</v>
      </c>
    </row>
    <row r="157" spans="1:41" ht="18" customHeight="1" outlineLevel="1">
      <c r="A157" s="65">
        <f>ROW(Rohdaten!$A$133)</f>
        <v>133</v>
      </c>
      <c r="B157" s="66" t="str">
        <f>IF(Rohdaten!$A$133="","",Rohdaten!$A$133)</f>
        <v>11k</v>
      </c>
      <c r="C157" s="74" t="s">
        <v>913</v>
      </c>
      <c r="D157" s="68" t="str">
        <f>IF(Rohdaten!$E$133="","",Rohdaten!$E$133)</f>
        <v>Richartz/ Mey</v>
      </c>
      <c r="E157" s="69" t="str">
        <f t="array" ref="E157">_xlfn.TEXTJOIN(" / ",TRUE,IF($I157:$AL157="●",$I$4:$AL$4,""))</f>
        <v>Mey / Richartz</v>
      </c>
      <c r="F157" s="70" t="s">
        <v>711</v>
      </c>
      <c r="G157" s="71" t="s">
        <v>712</v>
      </c>
      <c r="H157" s="72">
        <f>IF($F157="automatisch",IF(ISNA(MATCH(Stichtag,RD_Kopf,0)),"automatisch",IF(SUMPRODUCT((RD_Kopf&gt;=IF($G157="monatlich",DATE(YEAR(KWFreitag),MONTH(KWFreitag),1),IF($G157="quartalsweise",DATE(YEAR(KWFreitag),INT((MONTH(KWFreitag)-1)/3)*3+1,1),Stichtag)))*(RD_Kopf&lt;=Stichtag)*ISNUMBER(Rohdaten!$A$133:$LJ$133))&gt;0,"erledigt","automatisch")),IF($F157&lt;&gt;"ja","",IF(ISNA(MATCH(Stichtag,RD_Kopf,0)),"keine Spalte",IF(SUMPRODUCT((RD_Kopf&gt;=IF($G157="monatlich",DATE(YEAR(KWFreitag),MONTH(KWFreitag),1),IF($G157="quartalsweise",DATE(YEAR(KWFreitag),INT((MONTH(KWFreitag)-1)/3)*3+1,1),Stichtag)))*(RD_Kopf&lt;=Stichtag)*ISNUMBER(Rohdaten!$A$133:$LJ$133))&gt;0,"erledigt","offen"))))</f>
        <v/>
      </c>
      <c r="I157" s="73"/>
      <c r="J157" s="73"/>
      <c r="K157" s="73"/>
      <c r="L157" s="73"/>
      <c r="M157" s="73"/>
      <c r="N157" s="73"/>
      <c r="O157" s="73"/>
      <c r="P157" s="73"/>
      <c r="Q157" s="73"/>
      <c r="R157" s="73"/>
      <c r="S157" s="73"/>
      <c r="T157" s="73"/>
      <c r="U157" s="73"/>
      <c r="V157" s="73"/>
      <c r="W157" s="73"/>
      <c r="X157" s="73"/>
      <c r="Y157" s="73"/>
      <c r="Z157" s="73"/>
      <c r="AA157" s="73"/>
      <c r="AB157" s="73" t="s">
        <v>714</v>
      </c>
      <c r="AC157" s="73"/>
      <c r="AD157" s="73" t="s">
        <v>714</v>
      </c>
      <c r="AE157" s="73"/>
      <c r="AF157" s="73"/>
      <c r="AG157" s="73"/>
      <c r="AH157" s="73"/>
      <c r="AI157" s="73"/>
      <c r="AJ157" s="73"/>
      <c r="AK157" s="73"/>
      <c r="AL157" s="73"/>
      <c r="AM157" t="s">
        <v>914</v>
      </c>
      <c r="AN157" t="s">
        <v>126</v>
      </c>
      <c r="AO157" t="s">
        <v>709</v>
      </c>
    </row>
    <row r="158" spans="1:41" ht="18" customHeight="1" outlineLevel="1">
      <c r="A158" s="65">
        <f>ROW(Rohdaten!$A$134)</f>
        <v>134</v>
      </c>
      <c r="B158" s="66">
        <f>IF(Rohdaten!$A$134="","",Rohdaten!$A$134)</f>
        <v/>
      </c>
      <c r="C158" s="74" t="s">
        <v>915</v>
      </c>
      <c r="D158" s="68" t="str">
        <f>IF(Rohdaten!$E$134="","",Rohdaten!$E$134)</f>
        <v>Richartz/ Mey</v>
      </c>
      <c r="E158" s="69" t="str">
        <f t="array" ref="E158">_xlfn.TEXTJOIN(" / ",TRUE,IF($I158:$AL158="●",$I$4:$AL$4,""))</f>
        <v>Mey / Richartz</v>
      </c>
      <c r="F158" s="70" t="s">
        <v>781</v>
      </c>
      <c r="G158" s="71" t="s">
        <v>712</v>
      </c>
      <c r="H158" s="72">
        <f>IF($F158="automatisch",IF(ISNA(MATCH(Stichtag,RD_Kopf,0)),"automatisch",IF(SUMPRODUCT((RD_Kopf&gt;=IF($G158="monatlich",DATE(YEAR(KWFreitag),MONTH(KWFreitag),1),IF($G158="quartalsweise",DATE(YEAR(KWFreitag),INT((MONTH(KWFreitag)-1)/3)*3+1,1),Stichtag)))*(RD_Kopf&lt;=Stichtag)*ISNUMBER(Rohdaten!$A$134:$LJ$134))&gt;0,"erledigt","automatisch")),IF($F158&lt;&gt;"ja","",IF(ISNA(MATCH(Stichtag,RD_Kopf,0)),"keine Spalte",IF(SUMPRODUCT((RD_Kopf&gt;=IF($G158="monatlich",DATE(YEAR(KWFreitag),MONTH(KWFreitag),1),IF($G158="quartalsweise",DATE(YEAR(KWFreitag),INT((MONTH(KWFreitag)-1)/3)*3+1,1),Stichtag)))*(RD_Kopf&lt;=Stichtag)*ISNUMBER(Rohdaten!$A$134:$LJ$134))&gt;0,"erledigt","offen"))))</f>
        <v/>
      </c>
      <c r="I158" s="73"/>
      <c r="J158" s="73"/>
      <c r="K158" s="73"/>
      <c r="L158" s="73"/>
      <c r="M158" s="73"/>
      <c r="N158" s="73"/>
      <c r="O158" s="73"/>
      <c r="P158" s="73"/>
      <c r="Q158" s="73"/>
      <c r="R158" s="73"/>
      <c r="S158" s="73"/>
      <c r="T158" s="73"/>
      <c r="U158" s="73"/>
      <c r="V158" s="73"/>
      <c r="W158" s="73"/>
      <c r="X158" s="73"/>
      <c r="Y158" s="73"/>
      <c r="Z158" s="73"/>
      <c r="AA158" s="73"/>
      <c r="AB158" s="73" t="s">
        <v>714</v>
      </c>
      <c r="AC158" s="73"/>
      <c r="AD158" s="73" t="s">
        <v>714</v>
      </c>
      <c r="AE158" s="73"/>
      <c r="AF158" s="73"/>
      <c r="AG158" s="73"/>
      <c r="AH158" s="73"/>
      <c r="AI158" s="73"/>
      <c r="AJ158" s="73"/>
      <c r="AK158" s="73"/>
      <c r="AL158" s="73"/>
      <c r="AM158" t="s">
        <v>916</v>
      </c>
      <c r="AO158" t="s">
        <v>709</v>
      </c>
    </row>
    <row r="159" spans="1:41" ht="18" customHeight="1" outlineLevel="1">
      <c r="A159" s="65">
        <f>ROW(Rohdaten!$A$135)</f>
        <v>135</v>
      </c>
      <c r="B159" s="66">
        <f>IF(Rohdaten!$A$135="","",Rohdaten!$A$135)</f>
        <v/>
      </c>
      <c r="C159" s="74" t="s">
        <v>917</v>
      </c>
      <c r="D159" s="68" t="str">
        <f>IF(Rohdaten!$E$135="","",Rohdaten!$E$135)</f>
        <v>Richartz/ Mey</v>
      </c>
      <c r="E159" s="69" t="str">
        <f t="array" ref="E159">_xlfn.TEXTJOIN(" / ",TRUE,IF($I159:$AL159="●",$I$4:$AL$4,""))</f>
        <v>Mey / Richartz</v>
      </c>
      <c r="F159" s="70" t="s">
        <v>781</v>
      </c>
      <c r="G159" s="71" t="s">
        <v>712</v>
      </c>
      <c r="H159" s="72">
        <f>IF($F159="automatisch",IF(ISNA(MATCH(Stichtag,RD_Kopf,0)),"automatisch",IF(SUMPRODUCT((RD_Kopf&gt;=IF($G159="monatlich",DATE(YEAR(KWFreitag),MONTH(KWFreitag),1),IF($G159="quartalsweise",DATE(YEAR(KWFreitag),INT((MONTH(KWFreitag)-1)/3)*3+1,1),Stichtag)))*(RD_Kopf&lt;=Stichtag)*ISNUMBER(Rohdaten!$A$135:$LJ$135))&gt;0,"erledigt","automatisch")),IF($F159&lt;&gt;"ja","",IF(ISNA(MATCH(Stichtag,RD_Kopf,0)),"keine Spalte",IF(SUMPRODUCT((RD_Kopf&gt;=IF($G159="monatlich",DATE(YEAR(KWFreitag),MONTH(KWFreitag),1),IF($G159="quartalsweise",DATE(YEAR(KWFreitag),INT((MONTH(KWFreitag)-1)/3)*3+1,1),Stichtag)))*(RD_Kopf&lt;=Stichtag)*ISNUMBER(Rohdaten!$A$135:$LJ$135))&gt;0,"erledigt","offen"))))</f>
        <v/>
      </c>
      <c r="I159" s="73"/>
      <c r="J159" s="73"/>
      <c r="K159" s="73"/>
      <c r="L159" s="73"/>
      <c r="M159" s="73"/>
      <c r="N159" s="73"/>
      <c r="O159" s="73"/>
      <c r="P159" s="73"/>
      <c r="Q159" s="73"/>
      <c r="R159" s="73"/>
      <c r="S159" s="73"/>
      <c r="T159" s="73"/>
      <c r="U159" s="73"/>
      <c r="V159" s="73"/>
      <c r="W159" s="73"/>
      <c r="X159" s="73"/>
      <c r="Y159" s="73"/>
      <c r="Z159" s="73"/>
      <c r="AA159" s="73"/>
      <c r="AB159" s="73" t="s">
        <v>714</v>
      </c>
      <c r="AC159" s="73"/>
      <c r="AD159" s="73" t="s">
        <v>714</v>
      </c>
      <c r="AE159" s="73"/>
      <c r="AF159" s="73"/>
      <c r="AG159" s="73"/>
      <c r="AH159" s="73"/>
      <c r="AI159" s="73"/>
      <c r="AJ159" s="73"/>
      <c r="AK159" s="73"/>
      <c r="AL159" s="73"/>
      <c r="AM159" t="s">
        <v>918</v>
      </c>
      <c r="AO159" t="s">
        <v>709</v>
      </c>
    </row>
    <row r="160" spans="1:41" ht="18" customHeight="1" outlineLevel="1">
      <c r="A160" s="65">
        <f>ROW(Rohdaten!$A$136)</f>
        <v>136</v>
      </c>
      <c r="B160" s="66">
        <f>IF(Rohdaten!$A$136="","",Rohdaten!$A$136)</f>
        <v/>
      </c>
      <c r="C160" s="74" t="s">
        <v>919</v>
      </c>
      <c r="D160" s="68" t="str">
        <f>IF(Rohdaten!$E$136="","",Rohdaten!$E$136)</f>
        <v>Richartz/ Mey</v>
      </c>
      <c r="E160" s="69" t="str">
        <f t="array" ref="E160">_xlfn.TEXTJOIN(" / ",TRUE,IF($I160:$AL160="●",$I$4:$AL$4,""))</f>
        <v>Mey / Richartz</v>
      </c>
      <c r="F160" s="70" t="s">
        <v>781</v>
      </c>
      <c r="G160" s="71" t="s">
        <v>712</v>
      </c>
      <c r="H160" s="72">
        <f>IF($F160="automatisch",IF(ISNA(MATCH(Stichtag,RD_Kopf,0)),"automatisch",IF(SUMPRODUCT((RD_Kopf&gt;=IF($G160="monatlich",DATE(YEAR(KWFreitag),MONTH(KWFreitag),1),IF($G160="quartalsweise",DATE(YEAR(KWFreitag),INT((MONTH(KWFreitag)-1)/3)*3+1,1),Stichtag)))*(RD_Kopf&lt;=Stichtag)*ISNUMBER(Rohdaten!$A$136:$LJ$136))&gt;0,"erledigt","automatisch")),IF($F160&lt;&gt;"ja","",IF(ISNA(MATCH(Stichtag,RD_Kopf,0)),"keine Spalte",IF(SUMPRODUCT((RD_Kopf&gt;=IF($G160="monatlich",DATE(YEAR(KWFreitag),MONTH(KWFreitag),1),IF($G160="quartalsweise",DATE(YEAR(KWFreitag),INT((MONTH(KWFreitag)-1)/3)*3+1,1),Stichtag)))*(RD_Kopf&lt;=Stichtag)*ISNUMBER(Rohdaten!$A$136:$LJ$136))&gt;0,"erledigt","offen"))))</f>
        <v/>
      </c>
      <c r="I160" s="73"/>
      <c r="J160" s="73"/>
      <c r="K160" s="73"/>
      <c r="L160" s="73"/>
      <c r="M160" s="73"/>
      <c r="N160" s="73"/>
      <c r="O160" s="73"/>
      <c r="P160" s="73"/>
      <c r="Q160" s="73"/>
      <c r="R160" s="73"/>
      <c r="S160" s="73"/>
      <c r="T160" s="73"/>
      <c r="U160" s="73"/>
      <c r="V160" s="73"/>
      <c r="W160" s="73"/>
      <c r="X160" s="73"/>
      <c r="Y160" s="73"/>
      <c r="Z160" s="73"/>
      <c r="AA160" s="73"/>
      <c r="AB160" s="73" t="s">
        <v>714</v>
      </c>
      <c r="AC160" s="73"/>
      <c r="AD160" s="73" t="s">
        <v>714</v>
      </c>
      <c r="AE160" s="73"/>
      <c r="AF160" s="73"/>
      <c r="AG160" s="73"/>
      <c r="AH160" s="73"/>
      <c r="AI160" s="73"/>
      <c r="AJ160" s="73"/>
      <c r="AK160" s="73"/>
      <c r="AL160" s="73"/>
      <c r="AM160" t="s">
        <v>920</v>
      </c>
      <c r="AO160" t="s">
        <v>709</v>
      </c>
    </row>
    <row r="161" spans="1:41" ht="18" customHeight="1" outlineLevel="1">
      <c r="A161" s="65">
        <f>ROW(Rohdaten!$A$137)</f>
        <v>137</v>
      </c>
      <c r="B161" s="66" t="str">
        <f>IF(Rohdaten!$A$137="","",Rohdaten!$A$137)</f>
        <v>11l</v>
      </c>
      <c r="C161" s="74" t="s">
        <v>921</v>
      </c>
      <c r="D161" s="68" t="str">
        <f>IF(Rohdaten!$E$137="","",Rohdaten!$E$137)</f>
        <v>Richartz/ Mey</v>
      </c>
      <c r="E161" s="69" t="str">
        <f t="array" ref="E161">_xlfn.TEXTJOIN(" / ",TRUE,IF($I161:$AL161="●",$I$4:$AL$4,""))</f>
        <v>Mey / Richartz</v>
      </c>
      <c r="F161" s="70" t="s">
        <v>711</v>
      </c>
      <c r="G161" s="71" t="s">
        <v>712</v>
      </c>
      <c r="H161" s="72">
        <f>IF($F161="automatisch",IF(ISNA(MATCH(Stichtag,RD_Kopf,0)),"automatisch",IF(SUMPRODUCT((RD_Kopf&gt;=IF($G161="monatlich",DATE(YEAR(KWFreitag),MONTH(KWFreitag),1),IF($G161="quartalsweise",DATE(YEAR(KWFreitag),INT((MONTH(KWFreitag)-1)/3)*3+1,1),Stichtag)))*(RD_Kopf&lt;=Stichtag)*ISNUMBER(Rohdaten!$A$137:$LJ$137))&gt;0,"erledigt","automatisch")),IF($F161&lt;&gt;"ja","",IF(ISNA(MATCH(Stichtag,RD_Kopf,0)),"keine Spalte",IF(SUMPRODUCT((RD_Kopf&gt;=IF($G161="monatlich",DATE(YEAR(KWFreitag),MONTH(KWFreitag),1),IF($G161="quartalsweise",DATE(YEAR(KWFreitag),INT((MONTH(KWFreitag)-1)/3)*3+1,1),Stichtag)))*(RD_Kopf&lt;=Stichtag)*ISNUMBER(Rohdaten!$A$137:$LJ$137))&gt;0,"erledigt","offen"))))</f>
        <v/>
      </c>
      <c r="I161" s="73"/>
      <c r="J161" s="73"/>
      <c r="K161" s="73"/>
      <c r="L161" s="73"/>
      <c r="M161" s="73"/>
      <c r="N161" s="73"/>
      <c r="O161" s="73"/>
      <c r="P161" s="73"/>
      <c r="Q161" s="73"/>
      <c r="R161" s="73"/>
      <c r="S161" s="73"/>
      <c r="T161" s="73"/>
      <c r="U161" s="73"/>
      <c r="V161" s="73"/>
      <c r="W161" s="73"/>
      <c r="X161" s="73"/>
      <c r="Y161" s="73"/>
      <c r="Z161" s="73"/>
      <c r="AA161" s="73"/>
      <c r="AB161" s="73" t="s">
        <v>714</v>
      </c>
      <c r="AC161" s="73"/>
      <c r="AD161" s="73" t="s">
        <v>714</v>
      </c>
      <c r="AE161" s="73"/>
      <c r="AF161" s="73"/>
      <c r="AG161" s="73"/>
      <c r="AH161" s="73"/>
      <c r="AI161" s="73"/>
      <c r="AJ161" s="73"/>
      <c r="AK161" s="73"/>
      <c r="AL161" s="73"/>
      <c r="AM161" t="s">
        <v>922</v>
      </c>
      <c r="AN161" t="s">
        <v>127</v>
      </c>
      <c r="AO161" t="s">
        <v>709</v>
      </c>
    </row>
    <row r="162" spans="1:41" ht="18" customHeight="1" outlineLevel="1">
      <c r="A162" s="65">
        <f>ROW(Rohdaten!$A$138)</f>
        <v>138</v>
      </c>
      <c r="B162" s="66">
        <f>IF(Rohdaten!$A$138="","",Rohdaten!$A$138)</f>
        <v/>
      </c>
      <c r="C162" s="74" t="s">
        <v>923</v>
      </c>
      <c r="D162" s="68" t="str">
        <f>IF(Rohdaten!$E$138="","",Rohdaten!$E$138)</f>
        <v>Richartz/ Mey</v>
      </c>
      <c r="E162" s="69" t="str">
        <f t="array" ref="E162">_xlfn.TEXTJOIN(" / ",TRUE,IF($I162:$AL162="●",$I$4:$AL$4,""))</f>
        <v>Mey / Richartz</v>
      </c>
      <c r="F162" s="70" t="s">
        <v>781</v>
      </c>
      <c r="G162" s="71" t="s">
        <v>712</v>
      </c>
      <c r="H162" s="72">
        <f>IF($F162="automatisch",IF(ISNA(MATCH(Stichtag,RD_Kopf,0)),"automatisch",IF(SUMPRODUCT((RD_Kopf&gt;=IF($G162="monatlich",DATE(YEAR(KWFreitag),MONTH(KWFreitag),1),IF($G162="quartalsweise",DATE(YEAR(KWFreitag),INT((MONTH(KWFreitag)-1)/3)*3+1,1),Stichtag)))*(RD_Kopf&lt;=Stichtag)*ISNUMBER(Rohdaten!$A$138:$LJ$138))&gt;0,"erledigt","automatisch")),IF($F162&lt;&gt;"ja","",IF(ISNA(MATCH(Stichtag,RD_Kopf,0)),"keine Spalte",IF(SUMPRODUCT((RD_Kopf&gt;=IF($G162="monatlich",DATE(YEAR(KWFreitag),MONTH(KWFreitag),1),IF($G162="quartalsweise",DATE(YEAR(KWFreitag),INT((MONTH(KWFreitag)-1)/3)*3+1,1),Stichtag)))*(RD_Kopf&lt;=Stichtag)*ISNUMBER(Rohdaten!$A$138:$LJ$138))&gt;0,"erledigt","offen"))))</f>
        <v/>
      </c>
      <c r="I162" s="73"/>
      <c r="J162" s="73"/>
      <c r="K162" s="73"/>
      <c r="L162" s="73"/>
      <c r="M162" s="73"/>
      <c r="N162" s="73"/>
      <c r="O162" s="73"/>
      <c r="P162" s="73"/>
      <c r="Q162" s="73"/>
      <c r="R162" s="73"/>
      <c r="S162" s="73"/>
      <c r="T162" s="73"/>
      <c r="U162" s="73"/>
      <c r="V162" s="73"/>
      <c r="W162" s="73"/>
      <c r="X162" s="73"/>
      <c r="Y162" s="73"/>
      <c r="Z162" s="73"/>
      <c r="AA162" s="73"/>
      <c r="AB162" s="73" t="s">
        <v>714</v>
      </c>
      <c r="AC162" s="73"/>
      <c r="AD162" s="73" t="s">
        <v>714</v>
      </c>
      <c r="AE162" s="73"/>
      <c r="AF162" s="73"/>
      <c r="AG162" s="73"/>
      <c r="AH162" s="73"/>
      <c r="AI162" s="73"/>
      <c r="AJ162" s="73"/>
      <c r="AK162" s="73"/>
      <c r="AL162" s="73"/>
      <c r="AM162" t="s">
        <v>924</v>
      </c>
      <c r="AO162" t="s">
        <v>709</v>
      </c>
    </row>
    <row r="163" spans="1:41" ht="18" customHeight="1" outlineLevel="1">
      <c r="A163" s="65">
        <f>ROW(Rohdaten!$A$139)</f>
        <v>139</v>
      </c>
      <c r="B163" s="66">
        <f>IF(Rohdaten!$A$139="","",Rohdaten!$A$139)</f>
        <v/>
      </c>
      <c r="C163" s="74" t="s">
        <v>925</v>
      </c>
      <c r="D163" s="68" t="str">
        <f>IF(Rohdaten!$E$139="","",Rohdaten!$E$139)</f>
        <v>Richartz/ Mey</v>
      </c>
      <c r="E163" s="69" t="str">
        <f t="array" ref="E163">_xlfn.TEXTJOIN(" / ",TRUE,IF($I163:$AL163="●",$I$4:$AL$4,""))</f>
        <v>Mey / Richartz</v>
      </c>
      <c r="F163" s="70" t="s">
        <v>781</v>
      </c>
      <c r="G163" s="71" t="s">
        <v>712</v>
      </c>
      <c r="H163" s="72">
        <f>IF($F163="automatisch",IF(ISNA(MATCH(Stichtag,RD_Kopf,0)),"automatisch",IF(SUMPRODUCT((RD_Kopf&gt;=IF($G163="monatlich",DATE(YEAR(KWFreitag),MONTH(KWFreitag),1),IF($G163="quartalsweise",DATE(YEAR(KWFreitag),INT((MONTH(KWFreitag)-1)/3)*3+1,1),Stichtag)))*(RD_Kopf&lt;=Stichtag)*ISNUMBER(Rohdaten!$A$139:$LJ$139))&gt;0,"erledigt","automatisch")),IF($F163&lt;&gt;"ja","",IF(ISNA(MATCH(Stichtag,RD_Kopf,0)),"keine Spalte",IF(SUMPRODUCT((RD_Kopf&gt;=IF($G163="monatlich",DATE(YEAR(KWFreitag),MONTH(KWFreitag),1),IF($G163="quartalsweise",DATE(YEAR(KWFreitag),INT((MONTH(KWFreitag)-1)/3)*3+1,1),Stichtag)))*(RD_Kopf&lt;=Stichtag)*ISNUMBER(Rohdaten!$A$139:$LJ$139))&gt;0,"erledigt","offen"))))</f>
        <v/>
      </c>
      <c r="I163" s="73"/>
      <c r="J163" s="73"/>
      <c r="K163" s="73"/>
      <c r="L163" s="73"/>
      <c r="M163" s="73"/>
      <c r="N163" s="73"/>
      <c r="O163" s="73"/>
      <c r="P163" s="73"/>
      <c r="Q163" s="73"/>
      <c r="R163" s="73"/>
      <c r="S163" s="73"/>
      <c r="T163" s="73"/>
      <c r="U163" s="73"/>
      <c r="V163" s="73"/>
      <c r="W163" s="73"/>
      <c r="X163" s="73"/>
      <c r="Y163" s="73"/>
      <c r="Z163" s="73"/>
      <c r="AA163" s="73"/>
      <c r="AB163" s="73" t="s">
        <v>714</v>
      </c>
      <c r="AC163" s="73"/>
      <c r="AD163" s="73" t="s">
        <v>714</v>
      </c>
      <c r="AE163" s="73"/>
      <c r="AF163" s="73"/>
      <c r="AG163" s="73"/>
      <c r="AH163" s="73"/>
      <c r="AI163" s="73"/>
      <c r="AJ163" s="73"/>
      <c r="AK163" s="73"/>
      <c r="AL163" s="73"/>
      <c r="AM163" t="s">
        <v>926</v>
      </c>
      <c r="AO163" t="s">
        <v>709</v>
      </c>
    </row>
    <row r="164" spans="1:41" ht="18" customHeight="1" outlineLevel="1">
      <c r="A164" s="65">
        <f>ROW(Rohdaten!$A$140)</f>
        <v>140</v>
      </c>
      <c r="B164" s="66">
        <f>IF(Rohdaten!$A$140="","",Rohdaten!$A$140)</f>
        <v/>
      </c>
      <c r="C164" s="74" t="s">
        <v>927</v>
      </c>
      <c r="D164" s="68" t="str">
        <f>IF(Rohdaten!$E$140="","",Rohdaten!$E$140)</f>
        <v>Richartz/ Mey</v>
      </c>
      <c r="E164" s="69" t="str">
        <f t="array" ref="E164">_xlfn.TEXTJOIN(" / ",TRUE,IF($I164:$AL164="●",$I$4:$AL$4,""))</f>
        <v>Mey / Richartz</v>
      </c>
      <c r="F164" s="70" t="s">
        <v>781</v>
      </c>
      <c r="G164" s="71" t="s">
        <v>712</v>
      </c>
      <c r="H164" s="72">
        <f>IF($F164="automatisch",IF(ISNA(MATCH(Stichtag,RD_Kopf,0)),"automatisch",IF(SUMPRODUCT((RD_Kopf&gt;=IF($G164="monatlich",DATE(YEAR(KWFreitag),MONTH(KWFreitag),1),IF($G164="quartalsweise",DATE(YEAR(KWFreitag),INT((MONTH(KWFreitag)-1)/3)*3+1,1),Stichtag)))*(RD_Kopf&lt;=Stichtag)*ISNUMBER(Rohdaten!$A$140:$LJ$140))&gt;0,"erledigt","automatisch")),IF($F164&lt;&gt;"ja","",IF(ISNA(MATCH(Stichtag,RD_Kopf,0)),"keine Spalte",IF(SUMPRODUCT((RD_Kopf&gt;=IF($G164="monatlich",DATE(YEAR(KWFreitag),MONTH(KWFreitag),1),IF($G164="quartalsweise",DATE(YEAR(KWFreitag),INT((MONTH(KWFreitag)-1)/3)*3+1,1),Stichtag)))*(RD_Kopf&lt;=Stichtag)*ISNUMBER(Rohdaten!$A$140:$LJ$140))&gt;0,"erledigt","offen"))))</f>
        <v/>
      </c>
      <c r="I164" s="73"/>
      <c r="J164" s="73"/>
      <c r="K164" s="73"/>
      <c r="L164" s="73"/>
      <c r="M164" s="73"/>
      <c r="N164" s="73"/>
      <c r="O164" s="73"/>
      <c r="P164" s="73"/>
      <c r="Q164" s="73"/>
      <c r="R164" s="73"/>
      <c r="S164" s="73"/>
      <c r="T164" s="73"/>
      <c r="U164" s="73"/>
      <c r="V164" s="73"/>
      <c r="W164" s="73"/>
      <c r="X164" s="73"/>
      <c r="Y164" s="73"/>
      <c r="Z164" s="73"/>
      <c r="AA164" s="73"/>
      <c r="AB164" s="73" t="s">
        <v>714</v>
      </c>
      <c r="AC164" s="73"/>
      <c r="AD164" s="73" t="s">
        <v>714</v>
      </c>
      <c r="AE164" s="73"/>
      <c r="AF164" s="73"/>
      <c r="AG164" s="73"/>
      <c r="AH164" s="73"/>
      <c r="AI164" s="73"/>
      <c r="AJ164" s="73"/>
      <c r="AK164" s="73"/>
      <c r="AL164" s="73"/>
      <c r="AM164" t="s">
        <v>928</v>
      </c>
      <c r="AO164" t="s">
        <v>709</v>
      </c>
    </row>
    <row r="165" spans="1:41" ht="22" customHeight="1" collapsed="1">
      <c r="A165" s="60" t="s">
        <v>929</v>
      </c>
      <c r="B165" s="60"/>
      <c r="C165" s="60"/>
      <c r="D165" s="60"/>
      <c r="E165" s="60"/>
      <c r="F165" s="60"/>
      <c r="G165" s="60"/>
      <c r="H165" s="60"/>
      <c r="I165" s="61"/>
      <c r="J165" s="61"/>
      <c r="K165" s="61"/>
      <c r="L165" s="61"/>
      <c r="M165" s="61"/>
      <c r="N165" s="61"/>
      <c r="O165" s="61"/>
      <c r="P165" s="61"/>
      <c r="Q165" s="61"/>
      <c r="R165" s="61"/>
      <c r="S165" s="61"/>
      <c r="T165" s="61"/>
      <c r="U165" s="61"/>
      <c r="V165" s="61"/>
      <c r="W165" s="61"/>
      <c r="X165" s="61"/>
      <c r="Y165" s="61"/>
      <c r="Z165" s="61"/>
      <c r="AA165" s="61"/>
      <c r="AB165" s="61"/>
      <c r="AC165" s="61"/>
      <c r="AD165" s="61"/>
      <c r="AE165" s="61"/>
      <c r="AF165" s="61"/>
      <c r="AG165" s="61"/>
      <c r="AH165" s="61"/>
      <c r="AI165" s="61"/>
      <c r="AJ165" s="61"/>
      <c r="AK165" s="61"/>
      <c r="AL165" s="61"/>
      <c r="AO165" t="s">
        <v>705</v>
      </c>
    </row>
    <row r="166" spans="1:41" ht="18" hidden="1" customHeight="1" outlineLevel="1">
      <c r="A166" s="65">
        <f>ROW(Rohdaten!$A$141)</f>
        <v>141</v>
      </c>
      <c r="B166" s="66">
        <f>IF(Rohdaten!$A$141="","",Rohdaten!$A$141)</f>
        <v>12</v>
      </c>
      <c r="C166" s="74" t="s">
        <v>930</v>
      </c>
      <c r="D166" s="68" t="str">
        <f>IF(Rohdaten!$E$141="","",Rohdaten!$E$141)</f>
        <v>Richartz/ Mey</v>
      </c>
      <c r="E166" s="69" t="str">
        <f t="array" ref="E166">_xlfn.TEXTJOIN(" / ",TRUE,IF($I166:$AL166="●",$I$4:$AL$4,""))</f>
        <v>Buchkremer / Wielpütz</v>
      </c>
      <c r="F166" s="70" t="s">
        <v>711</v>
      </c>
      <c r="G166" s="71" t="s">
        <v>712</v>
      </c>
      <c r="H166" s="72" t="str">
        <f>IF($F166="automatisch",IF(ISNA(MATCH(Stichtag,RD_Kopf,0)),"automatisch",IF(SUMPRODUCT((RD_Kopf&gt;=IF($G166="monatlich",DATE(YEAR(KWFreitag),MONTH(KWFreitag),1),IF($G166="quartalsweise",DATE(YEAR(KWFreitag),INT((MONTH(KWFreitag)-1)/3)*3+1,1),Stichtag)))*(RD_Kopf&lt;=Stichtag)*ISNUMBER(Rohdaten!$A$141:$LJ$141))&gt;0,"erledigt","automatisch")),IF($F166&lt;&gt;"ja","nicht berichtet",IF(ISNA(MATCH(Stichtag,RD_Kopf,0)),"keine Spalte",IF(SUMPRODUCT((RD_Kopf&gt;=IF($G166="monatlich",DATE(YEAR(KWFreitag),MONTH(KWFreitag),1),IF($G166="quartalsweise",DATE(YEAR(KWFreitag),INT((MONTH(KWFreitag)-1)/3)*3+1,1),Stichtag)))*(RD_Kopf&lt;=Stichtag)*ISNUMBER(Rohdaten!$A$141:$LJ$141))&gt;0,"erledigt","offen"))))</f>
        <v>nicht berichtet</v>
      </c>
      <c r="I166" s="73"/>
      <c r="J166" s="73"/>
      <c r="K166" s="73"/>
      <c r="L166" s="73"/>
      <c r="M166" s="73" t="s">
        <v>714</v>
      </c>
      <c r="N166" s="73"/>
      <c r="O166" s="73"/>
      <c r="P166" s="73"/>
      <c r="Q166" s="73"/>
      <c r="R166" s="73"/>
      <c r="S166" s="73"/>
      <c r="T166" s="73"/>
      <c r="U166" s="73"/>
      <c r="V166" s="73"/>
      <c r="W166" s="73"/>
      <c r="X166" s="73"/>
      <c r="Y166" s="73"/>
      <c r="Z166" s="73"/>
      <c r="AA166" s="73"/>
      <c r="AB166" s="73"/>
      <c r="AC166" s="73"/>
      <c r="AD166" s="73"/>
      <c r="AE166" s="73"/>
      <c r="AF166" s="73"/>
      <c r="AG166" s="73"/>
      <c r="AH166" s="73" t="s">
        <v>714</v>
      </c>
      <c r="AI166" s="73"/>
      <c r="AJ166" s="73"/>
      <c r="AK166" s="73"/>
      <c r="AL166" s="73"/>
      <c r="AM166" t="s">
        <v>931</v>
      </c>
      <c r="AN166" t="s">
        <v>932</v>
      </c>
      <c r="AO166" t="s">
        <v>709</v>
      </c>
    </row>
    <row r="167" spans="1:41" ht="22" customHeight="1">
      <c r="A167" s="60" t="s">
        <v>933</v>
      </c>
      <c r="B167" s="60"/>
      <c r="C167" s="60"/>
      <c r="D167" s="60"/>
      <c r="E167" s="60"/>
      <c r="F167" s="60"/>
      <c r="G167" s="60"/>
      <c r="H167" s="60"/>
      <c r="I167" s="61"/>
      <c r="J167" s="61"/>
      <c r="K167" s="61"/>
      <c r="L167" s="61"/>
      <c r="M167" s="61"/>
      <c r="N167" s="61"/>
      <c r="O167" s="61"/>
      <c r="P167" s="61"/>
      <c r="Q167" s="61"/>
      <c r="R167" s="61"/>
      <c r="S167" s="61"/>
      <c r="T167" s="61"/>
      <c r="U167" s="61"/>
      <c r="V167" s="61"/>
      <c r="W167" s="61"/>
      <c r="X167" s="61"/>
      <c r="Y167" s="61"/>
      <c r="Z167" s="61"/>
      <c r="AA167" s="61"/>
      <c r="AB167" s="61"/>
      <c r="AC167" s="61"/>
      <c r="AD167" s="61"/>
      <c r="AE167" s="61"/>
      <c r="AF167" s="61"/>
      <c r="AG167" s="61"/>
      <c r="AH167" s="61"/>
      <c r="AI167" s="61"/>
      <c r="AJ167" s="61"/>
      <c r="AK167" s="61"/>
      <c r="AL167" s="61"/>
      <c r="AO167" t="s">
        <v>705</v>
      </c>
    </row>
    <row r="168" spans="1:41" ht="18" customHeight="1" outlineLevel="1">
      <c r="A168" s="65">
        <f>ROW(Rohdaten!$A$142)</f>
        <v>142</v>
      </c>
      <c r="B168" s="66" t="str">
        <f>IF(Rohdaten!$A$142="","",Rohdaten!$A$142)</f>
        <v>13a</v>
      </c>
      <c r="C168" s="74" t="s">
        <v>934</v>
      </c>
      <c r="D168" s="68" t="str">
        <f>IF(Rohdaten!$E$142="","",Rohdaten!$E$142)</f>
        <v>Richartz/ Mey</v>
      </c>
      <c r="E168" s="69" t="str">
        <f t="array" ref="E168">_xlfn.TEXTJOIN(" / ",TRUE,IF($I168:$AL168="●",$I$4:$AL$4,""))</f>
        <v>Mey / Richartz</v>
      </c>
      <c r="F168" s="70" t="s">
        <v>781</v>
      </c>
      <c r="G168" s="71" t="s">
        <v>712</v>
      </c>
      <c r="H168" s="72">
        <f>IF($F168="automatisch",IF(ISNA(MATCH(Stichtag,RD_Kopf,0)),"automatisch",IF(SUMPRODUCT((RD_Kopf&gt;=IF($G168="monatlich",DATE(YEAR(KWFreitag),MONTH(KWFreitag),1),IF($G168="quartalsweise",DATE(YEAR(KWFreitag),INT((MONTH(KWFreitag)-1)/3)*3+1,1),Stichtag)))*(RD_Kopf&lt;=Stichtag)*ISNUMBER(Rohdaten!$A$142:$LJ$142))&gt;0,"erledigt","automatisch")),IF($F168&lt;&gt;"ja","",IF(ISNA(MATCH(Stichtag,RD_Kopf,0)),"keine Spalte",IF(SUMPRODUCT((RD_Kopf&gt;=IF($G168="monatlich",DATE(YEAR(KWFreitag),MONTH(KWFreitag),1),IF($G168="quartalsweise",DATE(YEAR(KWFreitag),INT((MONTH(KWFreitag)-1)/3)*3+1,1),Stichtag)))*(RD_Kopf&lt;=Stichtag)*ISNUMBER(Rohdaten!$A$142:$LJ$142))&gt;0,"erledigt","offen"))))</f>
        <v/>
      </c>
      <c r="I168" s="73"/>
      <c r="J168" s="73"/>
      <c r="K168" s="73"/>
      <c r="L168" s="73"/>
      <c r="M168" s="73"/>
      <c r="N168" s="73"/>
      <c r="O168" s="73"/>
      <c r="P168" s="73"/>
      <c r="Q168" s="73"/>
      <c r="R168" s="73"/>
      <c r="S168" s="73"/>
      <c r="T168" s="73"/>
      <c r="U168" s="73"/>
      <c r="V168" s="73"/>
      <c r="W168" s="73"/>
      <c r="X168" s="73"/>
      <c r="Y168" s="73"/>
      <c r="Z168" s="73"/>
      <c r="AA168" s="73"/>
      <c r="AB168" s="73" t="s">
        <v>714</v>
      </c>
      <c r="AC168" s="73"/>
      <c r="AD168" s="73" t="s">
        <v>714</v>
      </c>
      <c r="AE168" s="73"/>
      <c r="AF168" s="73"/>
      <c r="AG168" s="73"/>
      <c r="AH168" s="73"/>
      <c r="AI168" s="73"/>
      <c r="AJ168" s="73"/>
      <c r="AK168" s="73"/>
      <c r="AL168" s="73"/>
      <c r="AM168" t="s">
        <v>935</v>
      </c>
      <c r="AN168" t="s">
        <v>112</v>
      </c>
      <c r="AO168" t="s">
        <v>709</v>
      </c>
    </row>
    <row r="169" spans="1:41" ht="18" customHeight="1" outlineLevel="1">
      <c r="A169" s="65">
        <f>ROW(Rohdaten!$A$143)</f>
        <v>143</v>
      </c>
      <c r="B169" s="66" t="str">
        <f>IF(Rohdaten!$A$143="","",Rohdaten!$A$143)</f>
        <v>13b</v>
      </c>
      <c r="C169" s="74" t="s">
        <v>936</v>
      </c>
      <c r="D169" s="68" t="str">
        <f>IF(Rohdaten!$E$143="","",Rohdaten!$E$143)</f>
        <v>Richartz/ Mey</v>
      </c>
      <c r="E169" s="69" t="str">
        <f t="array" ref="E169">_xlfn.TEXTJOIN(" / ",TRUE,IF($I169:$AL169="●",$I$4:$AL$4,""))</f>
        <v>Mey / Richartz</v>
      </c>
      <c r="F169" s="70" t="s">
        <v>781</v>
      </c>
      <c r="G169" s="71" t="s">
        <v>712</v>
      </c>
      <c r="H169" s="72">
        <f>IF($F169="automatisch",IF(ISNA(MATCH(Stichtag,RD_Kopf,0)),"automatisch",IF(SUMPRODUCT((RD_Kopf&gt;=IF($G169="monatlich",DATE(YEAR(KWFreitag),MONTH(KWFreitag),1),IF($G169="quartalsweise",DATE(YEAR(KWFreitag),INT((MONTH(KWFreitag)-1)/3)*3+1,1),Stichtag)))*(RD_Kopf&lt;=Stichtag)*ISNUMBER(Rohdaten!$A$143:$LJ$143))&gt;0,"erledigt","automatisch")),IF($F169&lt;&gt;"ja","",IF(ISNA(MATCH(Stichtag,RD_Kopf,0)),"keine Spalte",IF(SUMPRODUCT((RD_Kopf&gt;=IF($G169="monatlich",DATE(YEAR(KWFreitag),MONTH(KWFreitag),1),IF($G169="quartalsweise",DATE(YEAR(KWFreitag),INT((MONTH(KWFreitag)-1)/3)*3+1,1),Stichtag)))*(RD_Kopf&lt;=Stichtag)*ISNUMBER(Rohdaten!$A$143:$LJ$143))&gt;0,"erledigt","offen"))))</f>
        <v/>
      </c>
      <c r="I169" s="73"/>
      <c r="J169" s="73"/>
      <c r="K169" s="73"/>
      <c r="L169" s="73"/>
      <c r="M169" s="73"/>
      <c r="N169" s="73"/>
      <c r="O169" s="73"/>
      <c r="P169" s="73"/>
      <c r="Q169" s="73"/>
      <c r="R169" s="73"/>
      <c r="S169" s="73"/>
      <c r="T169" s="73"/>
      <c r="U169" s="73"/>
      <c r="V169" s="73"/>
      <c r="W169" s="73"/>
      <c r="X169" s="73"/>
      <c r="Y169" s="73"/>
      <c r="Z169" s="73"/>
      <c r="AA169" s="73"/>
      <c r="AB169" s="73" t="s">
        <v>714</v>
      </c>
      <c r="AC169" s="73"/>
      <c r="AD169" s="73" t="s">
        <v>714</v>
      </c>
      <c r="AE169" s="73"/>
      <c r="AF169" s="73"/>
      <c r="AG169" s="73"/>
      <c r="AH169" s="73"/>
      <c r="AI169" s="73"/>
      <c r="AJ169" s="73"/>
      <c r="AK169" s="73"/>
      <c r="AL169" s="73"/>
      <c r="AM169" t="s">
        <v>937</v>
      </c>
      <c r="AN169" t="s">
        <v>113</v>
      </c>
      <c r="AO169" t="s">
        <v>709</v>
      </c>
    </row>
    <row r="170" spans="1:41" ht="18" customHeight="1" outlineLevel="1">
      <c r="A170" s="65">
        <f>ROW(Rohdaten!$A$144)</f>
        <v>144</v>
      </c>
      <c r="B170" s="66" t="str">
        <f>IF(Rohdaten!$A$144="","",Rohdaten!$A$144)</f>
        <v>13c</v>
      </c>
      <c r="C170" s="74" t="s">
        <v>938</v>
      </c>
      <c r="D170" s="68" t="str">
        <f>IF(Rohdaten!$E$144="","",Rohdaten!$E$144)</f>
        <v>Richartz/ Mey</v>
      </c>
      <c r="E170" s="69" t="str">
        <f t="array" ref="E170">_xlfn.TEXTJOIN(" / ",TRUE,IF($I170:$AL170="●",$I$4:$AL$4,""))</f>
        <v>Mey / Richartz</v>
      </c>
      <c r="F170" s="70" t="s">
        <v>781</v>
      </c>
      <c r="G170" s="71" t="s">
        <v>712</v>
      </c>
      <c r="H170" s="72">
        <f>IF($F170="automatisch",IF(ISNA(MATCH(Stichtag,RD_Kopf,0)),"automatisch",IF(SUMPRODUCT((RD_Kopf&gt;=IF($G170="monatlich",DATE(YEAR(KWFreitag),MONTH(KWFreitag),1),IF($G170="quartalsweise",DATE(YEAR(KWFreitag),INT((MONTH(KWFreitag)-1)/3)*3+1,1),Stichtag)))*(RD_Kopf&lt;=Stichtag)*ISNUMBER(Rohdaten!$A$144:$LJ$144))&gt;0,"erledigt","automatisch")),IF($F170&lt;&gt;"ja","",IF(ISNA(MATCH(Stichtag,RD_Kopf,0)),"keine Spalte",IF(SUMPRODUCT((RD_Kopf&gt;=IF($G170="monatlich",DATE(YEAR(KWFreitag),MONTH(KWFreitag),1),IF($G170="quartalsweise",DATE(YEAR(KWFreitag),INT((MONTH(KWFreitag)-1)/3)*3+1,1),Stichtag)))*(RD_Kopf&lt;=Stichtag)*ISNUMBER(Rohdaten!$A$144:$LJ$144))&gt;0,"erledigt","offen"))))</f>
        <v/>
      </c>
      <c r="I170" s="73"/>
      <c r="J170" s="73"/>
      <c r="K170" s="73"/>
      <c r="L170" s="73"/>
      <c r="M170" s="73"/>
      <c r="N170" s="73"/>
      <c r="O170" s="73"/>
      <c r="P170" s="73"/>
      <c r="Q170" s="73"/>
      <c r="R170" s="73"/>
      <c r="S170" s="73"/>
      <c r="T170" s="73"/>
      <c r="U170" s="73"/>
      <c r="V170" s="73"/>
      <c r="W170" s="73"/>
      <c r="X170" s="73"/>
      <c r="Y170" s="73"/>
      <c r="Z170" s="73"/>
      <c r="AA170" s="73"/>
      <c r="AB170" s="73" t="s">
        <v>714</v>
      </c>
      <c r="AC170" s="73"/>
      <c r="AD170" s="73" t="s">
        <v>714</v>
      </c>
      <c r="AE170" s="73"/>
      <c r="AF170" s="73"/>
      <c r="AG170" s="73"/>
      <c r="AH170" s="73"/>
      <c r="AI170" s="73"/>
      <c r="AJ170" s="73"/>
      <c r="AK170" s="73"/>
      <c r="AL170" s="73"/>
      <c r="AM170" t="s">
        <v>939</v>
      </c>
      <c r="AN170" t="s">
        <v>114</v>
      </c>
      <c r="AO170" t="s">
        <v>709</v>
      </c>
    </row>
    <row r="171" spans="1:41" ht="18" customHeight="1" outlineLevel="1">
      <c r="A171" s="65">
        <f>ROW(Rohdaten!$A$145)</f>
        <v>145</v>
      </c>
      <c r="B171" s="66" t="str">
        <f>IF(Rohdaten!$A$145="","",Rohdaten!$A$145)</f>
        <v>13d</v>
      </c>
      <c r="C171" s="74" t="s">
        <v>940</v>
      </c>
      <c r="D171" s="68" t="str">
        <f>IF(Rohdaten!$E$145="","",Rohdaten!$E$145)</f>
        <v>Richartz/ Mey</v>
      </c>
      <c r="E171" s="69" t="str">
        <f t="array" ref="E171">_xlfn.TEXTJOIN(" / ",TRUE,IF($I171:$AL171="●",$I$4:$AL$4,""))</f>
        <v>Mey / Richartz</v>
      </c>
      <c r="F171" s="70" t="s">
        <v>781</v>
      </c>
      <c r="G171" s="71" t="s">
        <v>712</v>
      </c>
      <c r="H171" s="72">
        <f>IF($F171="automatisch",IF(ISNA(MATCH(Stichtag,RD_Kopf,0)),"automatisch",IF(SUMPRODUCT((RD_Kopf&gt;=IF($G171="monatlich",DATE(YEAR(KWFreitag),MONTH(KWFreitag),1),IF($G171="quartalsweise",DATE(YEAR(KWFreitag),INT((MONTH(KWFreitag)-1)/3)*3+1,1),Stichtag)))*(RD_Kopf&lt;=Stichtag)*ISNUMBER(Rohdaten!$A$145:$LJ$145))&gt;0,"erledigt","automatisch")),IF($F171&lt;&gt;"ja","",IF(ISNA(MATCH(Stichtag,RD_Kopf,0)),"keine Spalte",IF(SUMPRODUCT((RD_Kopf&gt;=IF($G171="monatlich",DATE(YEAR(KWFreitag),MONTH(KWFreitag),1),IF($G171="quartalsweise",DATE(YEAR(KWFreitag),INT((MONTH(KWFreitag)-1)/3)*3+1,1),Stichtag)))*(RD_Kopf&lt;=Stichtag)*ISNUMBER(Rohdaten!$A$145:$LJ$145))&gt;0,"erledigt","offen"))))</f>
        <v/>
      </c>
      <c r="I171" s="73"/>
      <c r="J171" s="73"/>
      <c r="K171" s="73"/>
      <c r="L171" s="73"/>
      <c r="M171" s="73"/>
      <c r="N171" s="73"/>
      <c r="O171" s="73"/>
      <c r="P171" s="73"/>
      <c r="Q171" s="73"/>
      <c r="R171" s="73"/>
      <c r="S171" s="73"/>
      <c r="T171" s="73"/>
      <c r="U171" s="73"/>
      <c r="V171" s="73"/>
      <c r="W171" s="73"/>
      <c r="X171" s="73"/>
      <c r="Y171" s="73"/>
      <c r="Z171" s="73"/>
      <c r="AA171" s="73"/>
      <c r="AB171" s="73" t="s">
        <v>714</v>
      </c>
      <c r="AC171" s="73"/>
      <c r="AD171" s="73" t="s">
        <v>714</v>
      </c>
      <c r="AE171" s="73"/>
      <c r="AF171" s="73"/>
      <c r="AG171" s="73"/>
      <c r="AH171" s="73"/>
      <c r="AI171" s="73"/>
      <c r="AJ171" s="73"/>
      <c r="AK171" s="73"/>
      <c r="AL171" s="73"/>
      <c r="AM171" t="s">
        <v>941</v>
      </c>
      <c r="AN171" t="s">
        <v>115</v>
      </c>
      <c r="AO171" t="s">
        <v>709</v>
      </c>
    </row>
    <row r="172" spans="1:41" ht="22" customHeight="1" collapsed="1">
      <c r="A172" s="60" t="s">
        <v>942</v>
      </c>
      <c r="B172" s="60"/>
      <c r="C172" s="60"/>
      <c r="D172" s="60"/>
      <c r="E172" s="60"/>
      <c r="F172" s="60"/>
      <c r="G172" s="60"/>
      <c r="H172" s="60"/>
      <c r="I172" s="61"/>
      <c r="J172" s="61"/>
      <c r="K172" s="61"/>
      <c r="L172" s="61"/>
      <c r="M172" s="61"/>
      <c r="N172" s="61"/>
      <c r="O172" s="61"/>
      <c r="P172" s="61"/>
      <c r="Q172" s="61"/>
      <c r="R172" s="61"/>
      <c r="S172" s="61"/>
      <c r="T172" s="61"/>
      <c r="U172" s="61"/>
      <c r="V172" s="61"/>
      <c r="W172" s="61"/>
      <c r="X172" s="61"/>
      <c r="Y172" s="61"/>
      <c r="Z172" s="61"/>
      <c r="AA172" s="61"/>
      <c r="AB172" s="61"/>
      <c r="AC172" s="61"/>
      <c r="AD172" s="61"/>
      <c r="AE172" s="61"/>
      <c r="AF172" s="61"/>
      <c r="AG172" s="61"/>
      <c r="AH172" s="61"/>
      <c r="AI172" s="61"/>
      <c r="AJ172" s="61"/>
      <c r="AK172" s="61"/>
      <c r="AL172" s="61"/>
      <c r="AO172" t="s">
        <v>705</v>
      </c>
    </row>
    <row r="173" spans="1:41" ht="18" hidden="1" customHeight="1" outlineLevel="1">
      <c r="A173" s="65">
        <f>ROW(Rohdaten!$A$146)</f>
        <v>146</v>
      </c>
      <c r="B173" s="66">
        <f>IF(Rohdaten!$A$146="","",Rohdaten!$A$146)</f>
        <v>14</v>
      </c>
      <c r="C173" s="74" t="s">
        <v>728</v>
      </c>
      <c r="D173" s="68" t="str">
        <f>IF(Rohdaten!$E$146="","",Rohdaten!$E$146)</f>
        <v>Bauer/ Richartz</v>
      </c>
      <c r="E173" s="69" t="str">
        <f t="array" ref="E173">_xlfn.TEXTJOIN(" / ",TRUE,IF($I173:$AL173="●",$I$4:$AL$4,""))</f>
        <v>Bauer / Richartz</v>
      </c>
      <c r="F173" s="70" t="s">
        <v>711</v>
      </c>
      <c r="G173" s="71" t="s">
        <v>712</v>
      </c>
      <c r="H173" s="72" t="str">
        <f>IF($F173="automatisch",IF(ISNA(MATCH(Stichtag,RD_Kopf,0)),"automatisch",IF(SUMPRODUCT((RD_Kopf&gt;=IF($G173="monatlich",DATE(YEAR(KWFreitag),MONTH(KWFreitag),1),IF($G173="quartalsweise",DATE(YEAR(KWFreitag),INT((MONTH(KWFreitag)-1)/3)*3+1,1),Stichtag)))*(RD_Kopf&lt;=Stichtag)*ISNUMBER(Rohdaten!$A$146:$LJ$146))&gt;0,"erledigt","automatisch")),IF($F173&lt;&gt;"ja","nicht berichtet",IF(ISNA(MATCH(Stichtag,RD_Kopf,0)),"keine Spalte",IF(SUMPRODUCT((RD_Kopf&gt;=IF($G173="monatlich",DATE(YEAR(KWFreitag),MONTH(KWFreitag),1),IF($G173="quartalsweise",DATE(YEAR(KWFreitag),INT((MONTH(KWFreitag)-1)/3)*3+1,1),Stichtag)))*(RD_Kopf&lt;=Stichtag)*ISNUMBER(Rohdaten!$A$146:$LJ$146))&gt;0,"erledigt","offen"))))</f>
        <v>nicht berichtet</v>
      </c>
      <c r="I173" s="73"/>
      <c r="J173" s="73" t="s">
        <v>714</v>
      </c>
      <c r="K173" s="73"/>
      <c r="L173" s="73"/>
      <c r="M173" s="73"/>
      <c r="N173" s="73"/>
      <c r="O173" s="73"/>
      <c r="P173" s="73"/>
      <c r="Q173" s="73"/>
      <c r="R173" s="73"/>
      <c r="S173" s="73"/>
      <c r="T173" s="73"/>
      <c r="U173" s="73"/>
      <c r="V173" s="73"/>
      <c r="W173" s="73"/>
      <c r="X173" s="73"/>
      <c r="Y173" s="73"/>
      <c r="Z173" s="73"/>
      <c r="AA173" s="73"/>
      <c r="AB173" s="73"/>
      <c r="AC173" s="73"/>
      <c r="AD173" s="73" t="s">
        <v>714</v>
      </c>
      <c r="AE173" s="73"/>
      <c r="AF173" s="73"/>
      <c r="AG173" s="73"/>
      <c r="AH173" s="73"/>
      <c r="AI173" s="73"/>
      <c r="AJ173" s="73"/>
      <c r="AK173" s="73"/>
      <c r="AL173" s="73"/>
      <c r="AM173" t="s">
        <v>943</v>
      </c>
      <c r="AN173" t="s">
        <v>944</v>
      </c>
      <c r="AO173" t="s">
        <v>709</v>
      </c>
    </row>
    <row r="174" spans="1:41" ht="22" customHeight="1" collapsed="1">
      <c r="A174" s="60" t="s">
        <v>945</v>
      </c>
      <c r="B174" s="60"/>
      <c r="C174" s="60"/>
      <c r="D174" s="60"/>
      <c r="E174" s="60"/>
      <c r="F174" s="60"/>
      <c r="G174" s="60"/>
      <c r="H174" s="60"/>
      <c r="I174" s="61"/>
      <c r="J174" s="61"/>
      <c r="K174" s="61"/>
      <c r="L174" s="61"/>
      <c r="M174" s="61"/>
      <c r="N174" s="61"/>
      <c r="O174" s="61"/>
      <c r="P174" s="61"/>
      <c r="Q174" s="61"/>
      <c r="R174" s="61"/>
      <c r="S174" s="61"/>
      <c r="T174" s="61"/>
      <c r="U174" s="61"/>
      <c r="V174" s="61"/>
      <c r="W174" s="61"/>
      <c r="X174" s="61"/>
      <c r="Y174" s="61"/>
      <c r="Z174" s="61"/>
      <c r="AA174" s="61"/>
      <c r="AB174" s="61"/>
      <c r="AC174" s="61"/>
      <c r="AD174" s="61"/>
      <c r="AE174" s="61"/>
      <c r="AF174" s="61"/>
      <c r="AG174" s="61"/>
      <c r="AH174" s="61"/>
      <c r="AI174" s="61"/>
      <c r="AJ174" s="61"/>
      <c r="AK174" s="61"/>
      <c r="AL174" s="61"/>
      <c r="AO174" t="s">
        <v>705</v>
      </c>
    </row>
    <row r="175" spans="1:41" ht="18" hidden="1" customHeight="1" outlineLevel="1">
      <c r="A175" s="65">
        <f>ROW(Rohdaten!$A$147)</f>
        <v>147</v>
      </c>
      <c r="B175" s="66">
        <f>IF(Rohdaten!$A$147="","",Rohdaten!$A$147)</f>
        <v>15</v>
      </c>
      <c r="C175" s="74" t="s">
        <v>728</v>
      </c>
      <c r="D175" s="68" t="str">
        <f>IF(Rohdaten!$E$147="","",Rohdaten!$E$147)</f>
        <v>Müßigbrodt</v>
      </c>
      <c r="E175" s="69" t="str">
        <f t="array" ref="E175">_xlfn.TEXTJOIN(" / ",TRUE,IF($I175:$AL175="●",$I$4:$AL$4,""))</f>
        <v>Müßigbrodt</v>
      </c>
      <c r="F175" s="70" t="s">
        <v>711</v>
      </c>
      <c r="G175" s="71" t="s">
        <v>712</v>
      </c>
      <c r="H175" s="72" t="str">
        <f>IF($F175="automatisch",IF(ISNA(MATCH(Stichtag,RD_Kopf,0)),"automatisch",IF(SUMPRODUCT((RD_Kopf&gt;=IF($G175="monatlich",DATE(YEAR(KWFreitag),MONTH(KWFreitag),1),IF($G175="quartalsweise",DATE(YEAR(KWFreitag),INT((MONTH(KWFreitag)-1)/3)*3+1,1),Stichtag)))*(RD_Kopf&lt;=Stichtag)*ISNUMBER(Rohdaten!$A$147:$LJ$147))&gt;0,"erledigt","automatisch")),IF($F175&lt;&gt;"ja","nicht berichtet",IF(ISNA(MATCH(Stichtag,RD_Kopf,0)),"keine Spalte",IF(SUMPRODUCT((RD_Kopf&gt;=IF($G175="monatlich",DATE(YEAR(KWFreitag),MONTH(KWFreitag),1),IF($G175="quartalsweise",DATE(YEAR(KWFreitag),INT((MONTH(KWFreitag)-1)/3)*3+1,1),Stichtag)))*(RD_Kopf&lt;=Stichtag)*ISNUMBER(Rohdaten!$A$147:$LJ$147))&gt;0,"erledigt","offen"))))</f>
        <v>nicht berichtet</v>
      </c>
      <c r="I175" s="73"/>
      <c r="J175" s="73"/>
      <c r="K175" s="73"/>
      <c r="L175" s="73"/>
      <c r="M175" s="73"/>
      <c r="N175" s="73"/>
      <c r="O175" s="73"/>
      <c r="P175" s="73"/>
      <c r="Q175" s="73"/>
      <c r="R175" s="73"/>
      <c r="S175" s="73"/>
      <c r="T175" s="73"/>
      <c r="U175" s="73"/>
      <c r="V175" s="73"/>
      <c r="W175" s="73"/>
      <c r="X175" s="73"/>
      <c r="Y175" s="73"/>
      <c r="Z175" s="73"/>
      <c r="AA175" s="73"/>
      <c r="AB175" s="73"/>
      <c r="AC175" s="73" t="s">
        <v>714</v>
      </c>
      <c r="AD175" s="73"/>
      <c r="AE175" s="73"/>
      <c r="AF175" s="73"/>
      <c r="AG175" s="73"/>
      <c r="AH175" s="73"/>
      <c r="AI175" s="73"/>
      <c r="AJ175" s="73"/>
      <c r="AK175" s="73"/>
      <c r="AL175" s="73"/>
      <c r="AM175" t="s">
        <v>946</v>
      </c>
      <c r="AN175" t="s">
        <v>131</v>
      </c>
      <c r="AO175" t="s">
        <v>709</v>
      </c>
    </row>
    <row r="176" spans="1:41" ht="18" hidden="1" customHeight="1" outlineLevel="1">
      <c r="A176" s="65">
        <f>ROW(Rohdaten!$A$148)</f>
        <v>148</v>
      </c>
      <c r="B176" s="66">
        <f>IF(Rohdaten!$A$148="","",Rohdaten!$A$148)</f>
        <v>16</v>
      </c>
      <c r="C176" s="74" t="s">
        <v>947</v>
      </c>
      <c r="D176" s="68">
        <f>IF(Rohdaten!$E$148="","",Rohdaten!$E$148)</f>
        <v/>
      </c>
      <c r="E176" s="69" t="str">
        <f t="array" ref="E176">_xlfn.TEXTJOIN(" / ",TRUE,IF($I176:$AL176="●",$I$4:$AL$4,""))</f>
        <v/>
      </c>
      <c r="F176" s="70" t="s">
        <v>711</v>
      </c>
      <c r="G176" s="71" t="s">
        <v>712</v>
      </c>
      <c r="H176" s="72">
        <f>IF($F176="automatisch",IF(ISNA(MATCH(Stichtag,RD_Kopf,0)),"automatisch",IF(SUMPRODUCT((RD_Kopf&gt;=IF($G176="monatlich",DATE(YEAR(KWFreitag),MONTH(KWFreitag),1),IF($G176="quartalsweise",DATE(YEAR(KWFreitag),INT((MONTH(KWFreitag)-1)/3)*3+1,1),Stichtag)))*(RD_Kopf&lt;=Stichtag)*ISNUMBER(Rohdaten!$A$148:$LJ$148))&gt;0,"erledigt","automatisch")),IF($F176&lt;&gt;"ja","",IF(ISNA(MATCH(Stichtag,RD_Kopf,0)),"keine Spalte",IF(SUMPRODUCT((RD_Kopf&gt;=IF($G176="monatlich",DATE(YEAR(KWFreitag),MONTH(KWFreitag),1),IF($G176="quartalsweise",DATE(YEAR(KWFreitag),INT((MONTH(KWFreitag)-1)/3)*3+1,1),Stichtag)))*(RD_Kopf&lt;=Stichtag)*ISNUMBER(Rohdaten!$A$148:$LJ$148))&gt;0,"erledigt","offen"))))</f>
        <v/>
      </c>
      <c r="I176" s="73"/>
      <c r="J176" s="73"/>
      <c r="K176" s="73"/>
      <c r="L176" s="73"/>
      <c r="M176" s="73"/>
      <c r="N176" s="73"/>
      <c r="O176" s="73"/>
      <c r="P176" s="73"/>
      <c r="Q176" s="73"/>
      <c r="R176" s="73"/>
      <c r="S176" s="73"/>
      <c r="T176" s="73"/>
      <c r="U176" s="73"/>
      <c r="V176" s="73"/>
      <c r="W176" s="73"/>
      <c r="X176" s="73"/>
      <c r="Y176" s="73"/>
      <c r="Z176" s="73"/>
      <c r="AA176" s="73"/>
      <c r="AB176" s="73"/>
      <c r="AC176" s="73"/>
      <c r="AD176" s="73"/>
      <c r="AE176" s="73"/>
      <c r="AF176" s="73"/>
      <c r="AG176" s="73"/>
      <c r="AH176" s="73"/>
      <c r="AI176" s="73"/>
      <c r="AJ176" s="73"/>
      <c r="AK176" s="73"/>
      <c r="AL176" s="73"/>
      <c r="AM176" t="s">
        <v>948</v>
      </c>
      <c r="AN176" t="s">
        <v>949</v>
      </c>
      <c r="AO176" t="s">
        <v>709</v>
      </c>
    </row>
    <row r="177" spans="1:41" ht="18" hidden="1" customHeight="1" outlineLevel="1">
      <c r="A177" s="65">
        <f>ROW(Rohdaten!$A$149)</f>
        <v>149</v>
      </c>
      <c r="B177" s="66">
        <f>IF(Rohdaten!$A$149="","",Rohdaten!$A$149)</f>
        <v>17</v>
      </c>
      <c r="C177" s="74" t="s">
        <v>947</v>
      </c>
      <c r="D177" s="68">
        <f>IF(Rohdaten!$E$149="","",Rohdaten!$E$149)</f>
        <v/>
      </c>
      <c r="E177" s="69" t="str">
        <f t="array" ref="E177">_xlfn.TEXTJOIN(" / ",TRUE,IF($I177:$AL177="●",$I$4:$AL$4,""))</f>
        <v/>
      </c>
      <c r="F177" s="70" t="s">
        <v>711</v>
      </c>
      <c r="G177" s="71" t="s">
        <v>712</v>
      </c>
      <c r="H177" s="72">
        <f>IF($F177="automatisch",IF(ISNA(MATCH(Stichtag,RD_Kopf,0)),"automatisch",IF(SUMPRODUCT((RD_Kopf&gt;=IF($G177="monatlich",DATE(YEAR(KWFreitag),MONTH(KWFreitag),1),IF($G177="quartalsweise",DATE(YEAR(KWFreitag),INT((MONTH(KWFreitag)-1)/3)*3+1,1),Stichtag)))*(RD_Kopf&lt;=Stichtag)*ISNUMBER(Rohdaten!$A$149:$LJ$149))&gt;0,"erledigt","automatisch")),IF($F177&lt;&gt;"ja","",IF(ISNA(MATCH(Stichtag,RD_Kopf,0)),"keine Spalte",IF(SUMPRODUCT((RD_Kopf&gt;=IF($G177="monatlich",DATE(YEAR(KWFreitag),MONTH(KWFreitag),1),IF($G177="quartalsweise",DATE(YEAR(KWFreitag),INT((MONTH(KWFreitag)-1)/3)*3+1,1),Stichtag)))*(RD_Kopf&lt;=Stichtag)*ISNUMBER(Rohdaten!$A$149:$LJ$149))&gt;0,"erledigt","offen"))))</f>
        <v/>
      </c>
      <c r="I177" s="73"/>
      <c r="J177" s="73"/>
      <c r="K177" s="73"/>
      <c r="L177" s="73"/>
      <c r="M177" s="73"/>
      <c r="N177" s="73"/>
      <c r="O177" s="73"/>
      <c r="P177" s="73"/>
      <c r="Q177" s="73"/>
      <c r="R177" s="73"/>
      <c r="S177" s="73"/>
      <c r="T177" s="73"/>
      <c r="U177" s="73"/>
      <c r="V177" s="73"/>
      <c r="W177" s="73"/>
      <c r="X177" s="73"/>
      <c r="Y177" s="73"/>
      <c r="Z177" s="73"/>
      <c r="AA177" s="73"/>
      <c r="AB177" s="73"/>
      <c r="AC177" s="73"/>
      <c r="AD177" s="73"/>
      <c r="AE177" s="73"/>
      <c r="AF177" s="73"/>
      <c r="AG177" s="73"/>
      <c r="AH177" s="73"/>
      <c r="AI177" s="73"/>
      <c r="AJ177" s="73"/>
      <c r="AK177" s="73"/>
      <c r="AL177" s="73"/>
      <c r="AM177" t="s">
        <v>948</v>
      </c>
      <c r="AN177" t="s">
        <v>950</v>
      </c>
      <c r="AO177" t="s">
        <v>709</v>
      </c>
    </row>
    <row r="178" spans="1:41" ht="22" customHeight="1">
      <c r="A178" s="60" t="s">
        <v>951</v>
      </c>
      <c r="B178" s="60"/>
      <c r="C178" s="60"/>
      <c r="D178" s="60"/>
      <c r="E178" s="60"/>
      <c r="F178" s="60"/>
      <c r="G178" s="60"/>
      <c r="H178" s="60"/>
      <c r="I178" s="61"/>
      <c r="J178" s="61"/>
      <c r="K178" s="61"/>
      <c r="L178" s="61"/>
      <c r="M178" s="61"/>
      <c r="N178" s="61"/>
      <c r="O178" s="61"/>
      <c r="P178" s="61"/>
      <c r="Q178" s="61"/>
      <c r="R178" s="61"/>
      <c r="S178" s="61"/>
      <c r="T178" s="61"/>
      <c r="U178" s="61"/>
      <c r="V178" s="61"/>
      <c r="W178" s="61"/>
      <c r="X178" s="61"/>
      <c r="Y178" s="61"/>
      <c r="Z178" s="61"/>
      <c r="AA178" s="61"/>
      <c r="AB178" s="61"/>
      <c r="AC178" s="61"/>
      <c r="AD178" s="61"/>
      <c r="AE178" s="61"/>
      <c r="AF178" s="61"/>
      <c r="AG178" s="61"/>
      <c r="AH178" s="61"/>
      <c r="AI178" s="61"/>
      <c r="AJ178" s="61"/>
      <c r="AK178" s="61"/>
      <c r="AL178" s="61"/>
      <c r="AO178" t="s">
        <v>705</v>
      </c>
    </row>
    <row r="179" spans="1:41" ht="18" customHeight="1" outlineLevel="1">
      <c r="A179" s="65">
        <f>ROW(Rohdaten!$A$150)</f>
        <v>150</v>
      </c>
      <c r="B179" s="66" t="str">
        <f>IF(Rohdaten!$A$150="","",Rohdaten!$A$150)</f>
        <v>18a</v>
      </c>
      <c r="C179" s="74" t="s">
        <v>952</v>
      </c>
      <c r="D179" s="68" t="str">
        <f>IF(Rohdaten!$E$150="","",Rohdaten!$E$150)</f>
        <v>Mey/ Richartz</v>
      </c>
      <c r="E179" s="69" t="str">
        <f t="array" ref="E179">_xlfn.TEXTJOIN(" / ",TRUE,IF($I179:$AL179="●",$I$4:$AL$4,""))</f>
        <v>Mey / Richartz</v>
      </c>
      <c r="F179" s="70" t="s">
        <v>711</v>
      </c>
      <c r="G179" s="71" t="s">
        <v>712</v>
      </c>
      <c r="H179" s="72" t="str">
        <f>IF($F179="automatisch",IF(ISNA(MATCH(Stichtag,RD_Kopf,0)),"automatisch",IF(SUMPRODUCT((RD_Kopf&gt;=IF($G179="monatlich",DATE(YEAR(KWFreitag),MONTH(KWFreitag),1),IF($G179="quartalsweise",DATE(YEAR(KWFreitag),INT((MONTH(KWFreitag)-1)/3)*3+1,1),Stichtag)))*(RD_Kopf&lt;=Stichtag)*ISNUMBER(Rohdaten!$A$150:$LJ$150))&gt;0,"erledigt","automatisch")),IF($F179&lt;&gt;"ja","nicht berichtet",IF(ISNA(MATCH(Stichtag,RD_Kopf,0)),"keine Spalte",IF(SUMPRODUCT((RD_Kopf&gt;=IF($G179="monatlich",DATE(YEAR(KWFreitag),MONTH(KWFreitag),1),IF($G179="quartalsweise",DATE(YEAR(KWFreitag),INT((MONTH(KWFreitag)-1)/3)*3+1,1),Stichtag)))*(RD_Kopf&lt;=Stichtag)*ISNUMBER(Rohdaten!$A$150:$LJ$150))&gt;0,"erledigt","offen"))))</f>
        <v>nicht berichtet</v>
      </c>
      <c r="I179" s="73"/>
      <c r="J179" s="73"/>
      <c r="K179" s="73"/>
      <c r="L179" s="73"/>
      <c r="M179" s="73"/>
      <c r="N179" s="73"/>
      <c r="O179" s="73"/>
      <c r="P179" s="73"/>
      <c r="Q179" s="73"/>
      <c r="R179" s="73"/>
      <c r="S179" s="73"/>
      <c r="T179" s="73"/>
      <c r="U179" s="73"/>
      <c r="V179" s="73"/>
      <c r="W179" s="73"/>
      <c r="X179" s="73"/>
      <c r="Y179" s="73"/>
      <c r="Z179" s="73"/>
      <c r="AA179" s="73"/>
      <c r="AB179" s="73" t="s">
        <v>714</v>
      </c>
      <c r="AC179" s="73"/>
      <c r="AD179" s="73" t="s">
        <v>714</v>
      </c>
      <c r="AE179" s="73"/>
      <c r="AF179" s="73"/>
      <c r="AG179" s="73"/>
      <c r="AH179" s="73"/>
      <c r="AI179" s="73"/>
      <c r="AJ179" s="73"/>
      <c r="AK179" s="73"/>
      <c r="AL179" s="73"/>
      <c r="AM179" t="s">
        <v>953</v>
      </c>
      <c r="AN179" t="s">
        <v>954</v>
      </c>
      <c r="AO179" t="s">
        <v>709</v>
      </c>
    </row>
    <row r="180" spans="1:41" ht="18" customHeight="1" outlineLevel="1">
      <c r="A180" s="65">
        <f>ROW(Rohdaten!$A$151)</f>
        <v>151</v>
      </c>
      <c r="B180" s="66" t="str">
        <f>IF(Rohdaten!$A$151="","",Rohdaten!$A$151)</f>
        <v>18b</v>
      </c>
      <c r="C180" s="74" t="s">
        <v>728</v>
      </c>
      <c r="D180" s="68" t="str">
        <f>IF(Rohdaten!$E$151="","",Rohdaten!$E$151)</f>
        <v>Mey/ Richartz</v>
      </c>
      <c r="E180" s="69" t="str">
        <f t="array" ref="E180">_xlfn.TEXTJOIN(" / ",TRUE,IF($I180:$AL180="●",$I$4:$AL$4,""))</f>
        <v>Mey / Richartz</v>
      </c>
      <c r="F180" s="70" t="s">
        <v>711</v>
      </c>
      <c r="G180" s="71" t="s">
        <v>712</v>
      </c>
      <c r="H180" s="72" t="str">
        <f>IF($F180="automatisch",IF(ISNA(MATCH(Stichtag,RD_Kopf,0)),"automatisch",IF(SUMPRODUCT((RD_Kopf&gt;=IF($G180="monatlich",DATE(YEAR(KWFreitag),MONTH(KWFreitag),1),IF($G180="quartalsweise",DATE(YEAR(KWFreitag),INT((MONTH(KWFreitag)-1)/3)*3+1,1),Stichtag)))*(RD_Kopf&lt;=Stichtag)*ISNUMBER(Rohdaten!$A$151:$LJ$151))&gt;0,"erledigt","automatisch")),IF($F180&lt;&gt;"ja","nicht berichtet",IF(ISNA(MATCH(Stichtag,RD_Kopf,0)),"keine Spalte",IF(SUMPRODUCT((RD_Kopf&gt;=IF($G180="monatlich",DATE(YEAR(KWFreitag),MONTH(KWFreitag),1),IF($G180="quartalsweise",DATE(YEAR(KWFreitag),INT((MONTH(KWFreitag)-1)/3)*3+1,1),Stichtag)))*(RD_Kopf&lt;=Stichtag)*ISNUMBER(Rohdaten!$A$151:$LJ$151))&gt;0,"erledigt","offen"))))</f>
        <v>nicht berichtet</v>
      </c>
      <c r="I180" s="73"/>
      <c r="J180" s="73"/>
      <c r="K180" s="73"/>
      <c r="L180" s="73"/>
      <c r="M180" s="73"/>
      <c r="N180" s="73"/>
      <c r="O180" s="73"/>
      <c r="P180" s="73"/>
      <c r="Q180" s="73"/>
      <c r="R180" s="73"/>
      <c r="S180" s="73"/>
      <c r="T180" s="73"/>
      <c r="U180" s="73"/>
      <c r="V180" s="73"/>
      <c r="W180" s="73"/>
      <c r="X180" s="73"/>
      <c r="Y180" s="73"/>
      <c r="Z180" s="73"/>
      <c r="AA180" s="73"/>
      <c r="AB180" s="73" t="s">
        <v>714</v>
      </c>
      <c r="AC180" s="73"/>
      <c r="AD180" s="73" t="s">
        <v>714</v>
      </c>
      <c r="AE180" s="73"/>
      <c r="AF180" s="73"/>
      <c r="AG180" s="73"/>
      <c r="AH180" s="73"/>
      <c r="AI180" s="73"/>
      <c r="AJ180" s="73"/>
      <c r="AK180" s="73"/>
      <c r="AL180" s="73"/>
      <c r="AM180" t="s">
        <v>955</v>
      </c>
      <c r="AN180" t="s">
        <v>956</v>
      </c>
      <c r="AO180" t="s">
        <v>709</v>
      </c>
    </row>
    <row r="181" spans="1:41" ht="18" customHeight="1" outlineLevel="1">
      <c r="A181" s="65">
        <f>ROW(Rohdaten!$A$152)</f>
        <v>152</v>
      </c>
      <c r="B181" s="66" t="str">
        <f>IF(Rohdaten!$A$152="","",Rohdaten!$A$152)</f>
        <v>18c</v>
      </c>
      <c r="C181" s="74" t="s">
        <v>957</v>
      </c>
      <c r="D181" s="68" t="str">
        <f>IF(Rohdaten!$E$152="","",Rohdaten!$E$152)</f>
        <v>Mey/ Richartz</v>
      </c>
      <c r="E181" s="69" t="str">
        <f t="array" ref="E181">_xlfn.TEXTJOIN(" / ",TRUE,IF($I181:$AL181="●",$I$4:$AL$4,""))</f>
        <v>Mey / Richartz</v>
      </c>
      <c r="F181" s="70" t="s">
        <v>781</v>
      </c>
      <c r="G181" s="71" t="s">
        <v>712</v>
      </c>
      <c r="H181" s="72">
        <f>IF($F181="automatisch",IF(ISNA(MATCH(Stichtag,RD_Kopf,0)),"automatisch",IF(SUMPRODUCT((RD_Kopf&gt;=IF($G181="monatlich",DATE(YEAR(KWFreitag),MONTH(KWFreitag),1),IF($G181="quartalsweise",DATE(YEAR(KWFreitag),INT((MONTH(KWFreitag)-1)/3)*3+1,1),Stichtag)))*(RD_Kopf&lt;=Stichtag)*ISNUMBER(Rohdaten!$A$152:$LJ$152))&gt;0,"erledigt","automatisch")),IF($F181&lt;&gt;"ja","",IF(ISNA(MATCH(Stichtag,RD_Kopf,0)),"keine Spalte",IF(SUMPRODUCT((RD_Kopf&gt;=IF($G181="monatlich",DATE(YEAR(KWFreitag),MONTH(KWFreitag),1),IF($G181="quartalsweise",DATE(YEAR(KWFreitag),INT((MONTH(KWFreitag)-1)/3)*3+1,1),Stichtag)))*(RD_Kopf&lt;=Stichtag)*ISNUMBER(Rohdaten!$A$152:$LJ$152))&gt;0,"erledigt","offen"))))</f>
        <v/>
      </c>
      <c r="I181" s="73"/>
      <c r="J181" s="73"/>
      <c r="K181" s="73"/>
      <c r="L181" s="73"/>
      <c r="M181" s="73"/>
      <c r="N181" s="73"/>
      <c r="O181" s="73"/>
      <c r="P181" s="73"/>
      <c r="Q181" s="73"/>
      <c r="R181" s="73"/>
      <c r="S181" s="73"/>
      <c r="T181" s="73"/>
      <c r="U181" s="73"/>
      <c r="V181" s="73"/>
      <c r="W181" s="73"/>
      <c r="X181" s="73"/>
      <c r="Y181" s="73"/>
      <c r="Z181" s="73"/>
      <c r="AA181" s="73"/>
      <c r="AB181" s="73" t="s">
        <v>714</v>
      </c>
      <c r="AC181" s="73"/>
      <c r="AD181" s="73" t="s">
        <v>714</v>
      </c>
      <c r="AE181" s="73"/>
      <c r="AF181" s="73"/>
      <c r="AG181" s="73"/>
      <c r="AH181" s="73"/>
      <c r="AI181" s="73"/>
      <c r="AJ181" s="73"/>
      <c r="AK181" s="73"/>
      <c r="AL181" s="73"/>
      <c r="AM181" t="s">
        <v>958</v>
      </c>
      <c r="AN181" t="s">
        <v>111</v>
      </c>
      <c r="AO181" t="s">
        <v>709</v>
      </c>
    </row>
    <row r="182" spans="1:41" ht="18" customHeight="1" outlineLevel="1">
      <c r="A182" s="65">
        <f>ROW(Rohdaten!$A$153)</f>
        <v>153</v>
      </c>
      <c r="B182" s="66" t="str">
        <f>IF(Rohdaten!$A$153="","",Rohdaten!$A$153)</f>
        <v>18d</v>
      </c>
      <c r="C182" s="74" t="s">
        <v>947</v>
      </c>
      <c r="D182" s="68">
        <f>IF(Rohdaten!$E$153="","",Rohdaten!$E$153)</f>
        <v/>
      </c>
      <c r="E182" s="69" t="str">
        <f t="array" ref="E182">_xlfn.TEXTJOIN(" / ",TRUE,IF($I182:$AL182="●",$I$4:$AL$4,""))</f>
        <v/>
      </c>
      <c r="F182" s="70" t="s">
        <v>711</v>
      </c>
      <c r="G182" s="71" t="s">
        <v>712</v>
      </c>
      <c r="H182" s="72">
        <f>IF($F182="automatisch",IF(ISNA(MATCH(Stichtag,RD_Kopf,0)),"automatisch",IF(SUMPRODUCT((RD_Kopf&gt;=IF($G182="monatlich",DATE(YEAR(KWFreitag),MONTH(KWFreitag),1),IF($G182="quartalsweise",DATE(YEAR(KWFreitag),INT((MONTH(KWFreitag)-1)/3)*3+1,1),Stichtag)))*(RD_Kopf&lt;=Stichtag)*ISNUMBER(Rohdaten!$A$153:$LJ$153))&gt;0,"erledigt","automatisch")),IF($F182&lt;&gt;"ja","",IF(ISNA(MATCH(Stichtag,RD_Kopf,0)),"keine Spalte",IF(SUMPRODUCT((RD_Kopf&gt;=IF($G182="monatlich",DATE(YEAR(KWFreitag),MONTH(KWFreitag),1),IF($G182="quartalsweise",DATE(YEAR(KWFreitag),INT((MONTH(KWFreitag)-1)/3)*3+1,1),Stichtag)))*(RD_Kopf&lt;=Stichtag)*ISNUMBER(Rohdaten!$A$153:$LJ$153))&gt;0,"erledigt","offen"))))</f>
        <v/>
      </c>
      <c r="I182" s="73"/>
      <c r="J182" s="73"/>
      <c r="K182" s="73"/>
      <c r="L182" s="73"/>
      <c r="M182" s="73"/>
      <c r="N182" s="73"/>
      <c r="O182" s="73"/>
      <c r="P182" s="73"/>
      <c r="Q182" s="73"/>
      <c r="R182" s="73"/>
      <c r="S182" s="73"/>
      <c r="T182" s="73"/>
      <c r="U182" s="73"/>
      <c r="V182" s="73"/>
      <c r="W182" s="73"/>
      <c r="X182" s="73"/>
      <c r="Y182" s="73"/>
      <c r="Z182" s="73"/>
      <c r="AA182" s="73"/>
      <c r="AB182" s="73"/>
      <c r="AC182" s="73"/>
      <c r="AD182" s="73"/>
      <c r="AE182" s="73"/>
      <c r="AF182" s="73"/>
      <c r="AG182" s="73"/>
      <c r="AH182" s="73"/>
      <c r="AI182" s="73"/>
      <c r="AJ182" s="73"/>
      <c r="AK182" s="73"/>
      <c r="AL182" s="73"/>
      <c r="AM182" t="s">
        <v>959</v>
      </c>
      <c r="AN182" t="s">
        <v>960</v>
      </c>
      <c r="AO182" t="s">
        <v>709</v>
      </c>
    </row>
    <row r="183" spans="1:41" ht="18" customHeight="1" outlineLevel="1">
      <c r="A183" s="65">
        <f>ROW(Rohdaten!$A$154)</f>
        <v>154</v>
      </c>
      <c r="B183" s="66" t="str">
        <f>IF(Rohdaten!$A$154="","",Rohdaten!$A$154)</f>
        <v>18e</v>
      </c>
      <c r="C183" s="74" t="s">
        <v>961</v>
      </c>
      <c r="D183" s="68" t="str">
        <f>IF(Rohdaten!$E$154="","",Rohdaten!$E$154)</f>
        <v>Mey/ Richartz</v>
      </c>
      <c r="E183" s="69" t="str">
        <f t="array" ref="E183">_xlfn.TEXTJOIN(" / ",TRUE,IF($I183:$AL183="●",$I$4:$AL$4,""))</f>
        <v>Mey / Richartz</v>
      </c>
      <c r="F183" s="70" t="s">
        <v>711</v>
      </c>
      <c r="G183" s="71" t="s">
        <v>712</v>
      </c>
      <c r="H183" s="72" t="str">
        <f>IF($F183="automatisch",IF(ISNA(MATCH(Stichtag,RD_Kopf,0)),"automatisch",IF(SUMPRODUCT((RD_Kopf&gt;=IF($G183="monatlich",DATE(YEAR(KWFreitag),MONTH(KWFreitag),1),IF($G183="quartalsweise",DATE(YEAR(KWFreitag),INT((MONTH(KWFreitag)-1)/3)*3+1,1),Stichtag)))*(RD_Kopf&lt;=Stichtag)*ISNUMBER(Rohdaten!$A$154:$LJ$154))&gt;0,"erledigt","automatisch")),IF($F183&lt;&gt;"ja","nicht berichtet",IF(ISNA(MATCH(Stichtag,RD_Kopf,0)),"keine Spalte",IF(SUMPRODUCT((RD_Kopf&gt;=IF($G183="monatlich",DATE(YEAR(KWFreitag),MONTH(KWFreitag),1),IF($G183="quartalsweise",DATE(YEAR(KWFreitag),INT((MONTH(KWFreitag)-1)/3)*3+1,1),Stichtag)))*(RD_Kopf&lt;=Stichtag)*ISNUMBER(Rohdaten!$A$154:$LJ$154))&gt;0,"erledigt","offen"))))</f>
        <v>nicht berichtet</v>
      </c>
      <c r="I183" s="73"/>
      <c r="J183" s="73"/>
      <c r="K183" s="73"/>
      <c r="L183" s="73"/>
      <c r="M183" s="73"/>
      <c r="N183" s="73"/>
      <c r="O183" s="73"/>
      <c r="P183" s="73"/>
      <c r="Q183" s="73"/>
      <c r="R183" s="73"/>
      <c r="S183" s="73"/>
      <c r="T183" s="73"/>
      <c r="U183" s="73"/>
      <c r="V183" s="73"/>
      <c r="W183" s="73"/>
      <c r="X183" s="73"/>
      <c r="Y183" s="73"/>
      <c r="Z183" s="73"/>
      <c r="AA183" s="73"/>
      <c r="AB183" s="73" t="s">
        <v>714</v>
      </c>
      <c r="AC183" s="73"/>
      <c r="AD183" s="73" t="s">
        <v>714</v>
      </c>
      <c r="AE183" s="73"/>
      <c r="AF183" s="73"/>
      <c r="AG183" s="73"/>
      <c r="AH183" s="73"/>
      <c r="AI183" s="73"/>
      <c r="AJ183" s="73"/>
      <c r="AK183" s="73"/>
      <c r="AL183" s="73"/>
      <c r="AM183" t="s">
        <v>962</v>
      </c>
      <c r="AN183" t="s">
        <v>963</v>
      </c>
      <c r="AO183" t="s">
        <v>709</v>
      </c>
    </row>
    <row r="184" spans="1:41" ht="18" customHeight="1" outlineLevel="1">
      <c r="A184" s="65">
        <f>ROW(Rohdaten!$A$155)</f>
        <v>155</v>
      </c>
      <c r="B184" s="66" t="str">
        <f>IF(Rohdaten!$A$155="","",Rohdaten!$A$155)</f>
        <v>18f</v>
      </c>
      <c r="C184" s="74" t="s">
        <v>964</v>
      </c>
      <c r="D184" s="68" t="str">
        <f>IF(Rohdaten!$E$155="","",Rohdaten!$E$155)</f>
        <v>Mey/ Richartz</v>
      </c>
      <c r="E184" s="69" t="str">
        <f t="array" ref="E184">_xlfn.TEXTJOIN(" / ",TRUE,IF($I184:$AL184="●",$I$4:$AL$4,""))</f>
        <v>Mey / Richartz</v>
      </c>
      <c r="F184" s="70" t="s">
        <v>711</v>
      </c>
      <c r="G184" s="71" t="s">
        <v>712</v>
      </c>
      <c r="H184" s="72" t="str">
        <f>IF($F184="automatisch",IF(ISNA(MATCH(Stichtag,RD_Kopf,0)),"automatisch",IF(SUMPRODUCT((RD_Kopf&gt;=IF($G184="monatlich",DATE(YEAR(KWFreitag),MONTH(KWFreitag),1),IF($G184="quartalsweise",DATE(YEAR(KWFreitag),INT((MONTH(KWFreitag)-1)/3)*3+1,1),Stichtag)))*(RD_Kopf&lt;=Stichtag)*ISNUMBER(Rohdaten!$A$155:$LJ$155))&gt;0,"erledigt","automatisch")),IF($F184&lt;&gt;"ja","nicht berichtet",IF(ISNA(MATCH(Stichtag,RD_Kopf,0)),"keine Spalte",IF(SUMPRODUCT((RD_Kopf&gt;=IF($G184="monatlich",DATE(YEAR(KWFreitag),MONTH(KWFreitag),1),IF($G184="quartalsweise",DATE(YEAR(KWFreitag),INT((MONTH(KWFreitag)-1)/3)*3+1,1),Stichtag)))*(RD_Kopf&lt;=Stichtag)*ISNUMBER(Rohdaten!$A$155:$LJ$155))&gt;0,"erledigt","offen"))))</f>
        <v>nicht berichtet</v>
      </c>
      <c r="I184" s="73"/>
      <c r="J184" s="73"/>
      <c r="K184" s="73"/>
      <c r="L184" s="73"/>
      <c r="M184" s="73"/>
      <c r="N184" s="73"/>
      <c r="O184" s="73"/>
      <c r="P184" s="73"/>
      <c r="Q184" s="73"/>
      <c r="R184" s="73"/>
      <c r="S184" s="73"/>
      <c r="T184" s="73"/>
      <c r="U184" s="73"/>
      <c r="V184" s="73"/>
      <c r="W184" s="73"/>
      <c r="X184" s="73"/>
      <c r="Y184" s="73"/>
      <c r="Z184" s="73"/>
      <c r="AA184" s="73"/>
      <c r="AB184" s="73" t="s">
        <v>714</v>
      </c>
      <c r="AC184" s="73"/>
      <c r="AD184" s="73" t="s">
        <v>714</v>
      </c>
      <c r="AE184" s="73"/>
      <c r="AF184" s="73"/>
      <c r="AG184" s="73"/>
      <c r="AH184" s="73"/>
      <c r="AI184" s="73"/>
      <c r="AJ184" s="73"/>
      <c r="AK184" s="73"/>
      <c r="AL184" s="73"/>
      <c r="AM184" t="s">
        <v>965</v>
      </c>
      <c r="AN184" t="s">
        <v>966</v>
      </c>
      <c r="AO184" t="s">
        <v>709</v>
      </c>
    </row>
    <row r="185" spans="1:41" ht="22" customHeight="1">
      <c r="A185" s="60" t="s">
        <v>967</v>
      </c>
      <c r="B185" s="60"/>
      <c r="C185" s="60"/>
      <c r="D185" s="60"/>
      <c r="E185" s="60"/>
      <c r="F185" s="60"/>
      <c r="G185" s="60"/>
      <c r="H185" s="60"/>
      <c r="I185" s="61"/>
      <c r="J185" s="61"/>
      <c r="K185" s="61"/>
      <c r="L185" s="61"/>
      <c r="M185" s="61"/>
      <c r="N185" s="61"/>
      <c r="O185" s="61"/>
      <c r="P185" s="61"/>
      <c r="Q185" s="61"/>
      <c r="R185" s="61"/>
      <c r="S185" s="61"/>
      <c r="T185" s="61"/>
      <c r="U185" s="61"/>
      <c r="V185" s="61"/>
      <c r="W185" s="61"/>
      <c r="X185" s="61"/>
      <c r="Y185" s="61"/>
      <c r="Z185" s="61"/>
      <c r="AA185" s="61"/>
      <c r="AB185" s="61"/>
      <c r="AC185" s="61"/>
      <c r="AD185" s="61"/>
      <c r="AE185" s="61"/>
      <c r="AF185" s="61"/>
      <c r="AG185" s="61"/>
      <c r="AH185" s="61"/>
      <c r="AI185" s="61"/>
      <c r="AJ185" s="61"/>
      <c r="AK185" s="61"/>
      <c r="AL185" s="61"/>
      <c r="AO185" t="s">
        <v>705</v>
      </c>
    </row>
    <row r="186" spans="1:41" ht="18" customHeight="1" outlineLevel="1">
      <c r="A186" s="65">
        <f>ROW(Rohdaten!$A$156)</f>
        <v>156</v>
      </c>
      <c r="B186" s="66">
        <f>IF(Rohdaten!$A$156="","",Rohdaten!$A$156)</f>
        <v>19</v>
      </c>
      <c r="C186" s="74" t="s">
        <v>728</v>
      </c>
      <c r="D186" s="68" t="str">
        <f>IF(Rohdaten!$E$156="","",Rohdaten!$E$156)</f>
        <v>Zeitz/ Köster</v>
      </c>
      <c r="E186" s="69" t="str">
        <f t="array" ref="E186">_xlfn.TEXTJOIN(" / ",TRUE,IF($I186:$AL186="●",$I$4:$AL$4,""))</f>
        <v>Köster / Zeitz</v>
      </c>
      <c r="F186" s="70" t="s">
        <v>781</v>
      </c>
      <c r="G186" s="71" t="s">
        <v>712</v>
      </c>
      <c r="H186" s="72">
        <f>IF($F186="automatisch",IF(ISNA(MATCH(Stichtag,RD_Kopf,0)),"automatisch",IF(SUMPRODUCT((RD_Kopf&gt;=IF($G186="monatlich",DATE(YEAR(KWFreitag),MONTH(KWFreitag),1),IF($G186="quartalsweise",DATE(YEAR(KWFreitag),INT((MONTH(KWFreitag)-1)/3)*3+1,1),Stichtag)))*(RD_Kopf&lt;=Stichtag)*ISNUMBER(Rohdaten!$A$156:$LJ$156))&gt;0,"erledigt","automatisch")),IF($F186&lt;&gt;"ja","",IF(ISNA(MATCH(Stichtag,RD_Kopf,0)),"keine Spalte",IF(SUMPRODUCT((RD_Kopf&gt;=IF($G186="monatlich",DATE(YEAR(KWFreitag),MONTH(KWFreitag),1),IF($G186="quartalsweise",DATE(YEAR(KWFreitag),INT((MONTH(KWFreitag)-1)/3)*3+1,1),Stichtag)))*(RD_Kopf&lt;=Stichtag)*ISNUMBER(Rohdaten!$A$156:$LJ$156))&gt;0,"erledigt","offen"))))</f>
        <v/>
      </c>
      <c r="I186" s="73"/>
      <c r="J186" s="73"/>
      <c r="K186" s="73"/>
      <c r="L186" s="73"/>
      <c r="M186" s="73"/>
      <c r="N186" s="73"/>
      <c r="O186" s="73"/>
      <c r="P186" s="73"/>
      <c r="Q186" s="73"/>
      <c r="R186" s="73"/>
      <c r="S186" s="73"/>
      <c r="T186" s="73"/>
      <c r="U186" s="73"/>
      <c r="V186" s="73"/>
      <c r="W186" s="73"/>
      <c r="X186" s="73" t="s">
        <v>714</v>
      </c>
      <c r="Y186" s="73"/>
      <c r="Z186" s="73"/>
      <c r="AA186" s="73"/>
      <c r="AB186" s="73"/>
      <c r="AC186" s="73"/>
      <c r="AD186" s="73"/>
      <c r="AE186" s="73"/>
      <c r="AF186" s="73"/>
      <c r="AG186" s="73"/>
      <c r="AH186" s="73"/>
      <c r="AI186" s="73" t="s">
        <v>714</v>
      </c>
      <c r="AJ186" s="73"/>
      <c r="AK186" s="73"/>
      <c r="AL186" s="73"/>
      <c r="AM186" t="s">
        <v>968</v>
      </c>
      <c r="AN186" t="s">
        <v>109</v>
      </c>
      <c r="AO186" t="s">
        <v>709</v>
      </c>
    </row>
    <row r="187" spans="1:41" ht="22" customHeight="1">
      <c r="A187" s="60" t="s">
        <v>969</v>
      </c>
      <c r="B187" s="60"/>
      <c r="C187" s="60"/>
      <c r="D187" s="60"/>
      <c r="E187" s="60"/>
      <c r="F187" s="60"/>
      <c r="G187" s="60"/>
      <c r="H187" s="60"/>
      <c r="I187" s="61"/>
      <c r="J187" s="61"/>
      <c r="K187" s="61"/>
      <c r="L187" s="61"/>
      <c r="M187" s="61"/>
      <c r="N187" s="61"/>
      <c r="O187" s="61"/>
      <c r="P187" s="61"/>
      <c r="Q187" s="61"/>
      <c r="R187" s="61"/>
      <c r="S187" s="61"/>
      <c r="T187" s="61"/>
      <c r="U187" s="61"/>
      <c r="V187" s="61"/>
      <c r="W187" s="61"/>
      <c r="X187" s="61"/>
      <c r="Y187" s="61"/>
      <c r="Z187" s="61"/>
      <c r="AA187" s="61"/>
      <c r="AB187" s="61"/>
      <c r="AC187" s="61"/>
      <c r="AD187" s="61"/>
      <c r="AE187" s="61"/>
      <c r="AF187" s="61"/>
      <c r="AG187" s="61"/>
      <c r="AH187" s="61"/>
      <c r="AI187" s="61"/>
      <c r="AJ187" s="61"/>
      <c r="AK187" s="61"/>
      <c r="AL187" s="61"/>
      <c r="AO187" t="s">
        <v>705</v>
      </c>
    </row>
    <row r="188" spans="1:41" ht="18" customHeight="1" outlineLevel="1">
      <c r="A188" s="65">
        <f>ROW(Rohdaten!$A$157)</f>
        <v>157</v>
      </c>
      <c r="B188" s="66">
        <f>IF(Rohdaten!$A$157="","",Rohdaten!$A$157)</f>
        <v>20</v>
      </c>
      <c r="C188" s="74" t="s">
        <v>728</v>
      </c>
      <c r="D188" s="68" t="str">
        <f>IF(Rohdaten!$E$157="","",Rohdaten!$E$157)</f>
        <v>Kneissler/ Kirsten</v>
      </c>
      <c r="E188" s="69" t="str">
        <f t="array" ref="E188">_xlfn.TEXTJOIN(" / ",TRUE,IF($I188:$AL188="●",$I$4:$AL$4,""))</f>
        <v>Kirsten / Kneissler</v>
      </c>
      <c r="F188" s="70" t="s">
        <v>781</v>
      </c>
      <c r="G188" s="71" t="s">
        <v>712</v>
      </c>
      <c r="H188" s="72">
        <f>IF($F188="automatisch",IF(ISNA(MATCH(Stichtag,RD_Kopf,0)),"automatisch",IF(SUMPRODUCT((RD_Kopf&gt;=IF($G188="monatlich",DATE(YEAR(KWFreitag),MONTH(KWFreitag),1),IF($G188="quartalsweise",DATE(YEAR(KWFreitag),INT((MONTH(KWFreitag)-1)/3)*3+1,1),Stichtag)))*(RD_Kopf&lt;=Stichtag)*ISNUMBER(Rohdaten!$A$157:$LJ$157))&gt;0,"erledigt","automatisch")),IF($F188&lt;&gt;"ja","",IF(ISNA(MATCH(Stichtag,RD_Kopf,0)),"keine Spalte",IF(SUMPRODUCT((RD_Kopf&gt;=IF($G188="monatlich",DATE(YEAR(KWFreitag),MONTH(KWFreitag),1),IF($G188="quartalsweise",DATE(YEAR(KWFreitag),INT((MONTH(KWFreitag)-1)/3)*3+1,1),Stichtag)))*(RD_Kopf&lt;=Stichtag)*ISNUMBER(Rohdaten!$A$157:$LJ$157))&gt;0,"erledigt","offen"))))</f>
        <v/>
      </c>
      <c r="I188" s="73"/>
      <c r="J188" s="73"/>
      <c r="K188" s="73"/>
      <c r="L188" s="73"/>
      <c r="M188" s="73"/>
      <c r="N188" s="73"/>
      <c r="O188" s="73"/>
      <c r="P188" s="73"/>
      <c r="Q188" s="73"/>
      <c r="R188" s="73"/>
      <c r="S188" s="73"/>
      <c r="T188" s="73"/>
      <c r="U188" s="73"/>
      <c r="V188" s="73" t="s">
        <v>714</v>
      </c>
      <c r="W188" s="73" t="s">
        <v>714</v>
      </c>
      <c r="X188" s="73"/>
      <c r="Y188" s="73"/>
      <c r="Z188" s="73"/>
      <c r="AA188" s="73"/>
      <c r="AB188" s="73"/>
      <c r="AC188" s="73"/>
      <c r="AD188" s="73"/>
      <c r="AE188" s="73"/>
      <c r="AF188" s="73"/>
      <c r="AG188" s="73"/>
      <c r="AH188" s="73"/>
      <c r="AI188" s="73"/>
      <c r="AJ188" s="73"/>
      <c r="AK188" s="73"/>
      <c r="AL188" s="73"/>
      <c r="AM188" t="s">
        <v>970</v>
      </c>
      <c r="AN188" t="s">
        <v>110</v>
      </c>
      <c r="AO188" t="s">
        <v>709</v>
      </c>
    </row>
    <row r="189" spans="1:41" ht="22" customHeight="1">
      <c r="A189" s="60" t="s">
        <v>971</v>
      </c>
      <c r="B189" s="60"/>
      <c r="C189" s="60"/>
      <c r="D189" s="60"/>
      <c r="E189" s="60"/>
      <c r="F189" s="60"/>
      <c r="G189" s="60"/>
      <c r="H189" s="60"/>
      <c r="I189" s="61"/>
      <c r="J189" s="61"/>
      <c r="K189" s="61"/>
      <c r="L189" s="61"/>
      <c r="M189" s="61"/>
      <c r="N189" s="61"/>
      <c r="O189" s="61"/>
      <c r="P189" s="61"/>
      <c r="Q189" s="61"/>
      <c r="R189" s="61"/>
      <c r="S189" s="61"/>
      <c r="T189" s="61"/>
      <c r="U189" s="61"/>
      <c r="V189" s="61"/>
      <c r="W189" s="61"/>
      <c r="X189" s="61"/>
      <c r="Y189" s="61"/>
      <c r="Z189" s="61"/>
      <c r="AA189" s="61"/>
      <c r="AB189" s="61"/>
      <c r="AC189" s="61"/>
      <c r="AD189" s="61"/>
      <c r="AE189" s="61"/>
      <c r="AF189" s="61"/>
      <c r="AG189" s="61"/>
      <c r="AH189" s="61"/>
      <c r="AI189" s="61"/>
      <c r="AJ189" s="61"/>
      <c r="AK189" s="61"/>
      <c r="AL189" s="61"/>
      <c r="AO189" t="s">
        <v>705</v>
      </c>
    </row>
    <row r="190" spans="1:41" ht="18" customHeight="1" outlineLevel="1">
      <c r="A190" s="65">
        <f>ROW(Rohdaten!$A$161)</f>
        <v>161</v>
      </c>
      <c r="B190" s="66" t="str">
        <f>IF(Rohdaten!$A$161="","",Rohdaten!$A$161)</f>
        <v>21a</v>
      </c>
      <c r="C190" s="74" t="s">
        <v>972</v>
      </c>
      <c r="D190" s="68" t="str">
        <f>IF(Rohdaten!$E$161="","",Rohdaten!$E$161)</f>
        <v>Buchkremer</v>
      </c>
      <c r="E190" s="69" t="str">
        <f t="array" ref="E190">_xlfn.TEXTJOIN(" / ",TRUE,IF($I190:$AL190="●",$I$4:$AL$4,""))</f>
        <v>Buchkremer</v>
      </c>
      <c r="F190" s="70" t="s">
        <v>791</v>
      </c>
      <c r="G190" s="71" t="s">
        <v>973</v>
      </c>
      <c r="H190" s="72">
        <f>IF($F190="automatisch",IF(ISNA(MATCH(IF($G190="quartalsweise",DATE(YEAR(Berichtstag),INT((MONTH(Berichtstag)-1)/3)*3,1),DATE(YEAR(Berichtstag),MONTH(Berichtstag)-1,1)),Rohdaten!$A$159:$LJ$159,0)),"automatisch",IF(ISNUMBER(INDEX(Rohdaten!$A$161:$LJ$161,MATCH(IF($G190="quartalsweise",DATE(YEAR(Berichtstag),INT((MONTH(Berichtstag)-1)/3)*3,1),DATE(YEAR(Berichtstag),MONTH(Berichtstag)-1,1)),Rohdaten!$A$159:$LJ$159,0))),"erledigt","automatisch")),IF($F190&lt;&gt;"ja","",IF(ISNA(MATCH(IF($G190="quartalsweise",DATE(YEAR(Berichtstag),INT((MONTH(Berichtstag)-1)/3)*3,1),DATE(YEAR(Berichtstag),MONTH(Berichtstag)-1,1)),Rohdaten!$A$159:$LJ$159,0)),"keine Spalte",IF(ISNUMBER(INDEX(Rohdaten!$A$161:$LJ$161,MATCH(IF($G190="quartalsweise",DATE(YEAR(Berichtstag),INT((MONTH(Berichtstag)-1)/3)*3,1),DATE(YEAR(Berichtstag),MONTH(Berichtstag)-1,1)),Rohdaten!$A$159:$LJ$159,0))),"erledigt","offen"))))</f>
        <v/>
      </c>
      <c r="I190" s="73"/>
      <c r="J190" s="73"/>
      <c r="K190" s="73"/>
      <c r="L190" s="73"/>
      <c r="M190" s="73" t="s">
        <v>714</v>
      </c>
      <c r="N190" s="73"/>
      <c r="O190" s="73"/>
      <c r="P190" s="73"/>
      <c r="Q190" s="73"/>
      <c r="R190" s="73"/>
      <c r="S190" s="73"/>
      <c r="T190" s="73"/>
      <c r="U190" s="73"/>
      <c r="V190" s="73"/>
      <c r="W190" s="73"/>
      <c r="X190" s="73"/>
      <c r="Y190" s="73"/>
      <c r="Z190" s="73"/>
      <c r="AA190" s="73"/>
      <c r="AB190" s="73"/>
      <c r="AC190" s="73"/>
      <c r="AD190" s="73"/>
      <c r="AE190" s="73"/>
      <c r="AF190" s="73"/>
      <c r="AG190" s="73"/>
      <c r="AH190" s="73"/>
      <c r="AI190" s="73"/>
      <c r="AJ190" s="73"/>
      <c r="AK190" s="73"/>
      <c r="AL190" s="73"/>
      <c r="AM190" t="s">
        <v>974</v>
      </c>
      <c r="AN190" t="s">
        <v>975</v>
      </c>
      <c r="AO190" t="s">
        <v>709</v>
      </c>
    </row>
    <row r="191" spans="1:41" ht="18" customHeight="1" outlineLevel="1">
      <c r="A191" s="65">
        <f>ROW(Rohdaten!$A$162)</f>
        <v>162</v>
      </c>
      <c r="B191" s="66" t="str">
        <f>IF(Rohdaten!$A$162="","",Rohdaten!$A$162)</f>
        <v>21b</v>
      </c>
      <c r="C191" s="74" t="s">
        <v>976</v>
      </c>
      <c r="D191" s="68" t="str">
        <f>IF(Rohdaten!$E$162="","",Rohdaten!$E$162)</f>
        <v>Buchkremer</v>
      </c>
      <c r="E191" s="69" t="str">
        <f t="array" ref="E191">_xlfn.TEXTJOIN(" / ",TRUE,IF($I191:$AL191="●",$I$4:$AL$4,""))</f>
        <v>Buchkremer</v>
      </c>
      <c r="F191" s="70" t="s">
        <v>791</v>
      </c>
      <c r="G191" s="71" t="s">
        <v>973</v>
      </c>
      <c r="H191" s="72">
        <f>IF($F191="automatisch",IF(ISNA(MATCH(IF($G191="quartalsweise",DATE(YEAR(Berichtstag),INT((MONTH(Berichtstag)-1)/3)*3,1),DATE(YEAR(Berichtstag),MONTH(Berichtstag)-1,1)),Rohdaten!$A$159:$LJ$159,0)),"automatisch",IF(ISNUMBER(INDEX(Rohdaten!$A$162:$LJ$162,MATCH(IF($G191="quartalsweise",DATE(YEAR(Berichtstag),INT((MONTH(Berichtstag)-1)/3)*3,1),DATE(YEAR(Berichtstag),MONTH(Berichtstag)-1,1)),Rohdaten!$A$159:$LJ$159,0))),"erledigt","automatisch")),IF($F191&lt;&gt;"ja","",IF(ISNA(MATCH(IF($G191="quartalsweise",DATE(YEAR(Berichtstag),INT((MONTH(Berichtstag)-1)/3)*3,1),DATE(YEAR(Berichtstag),MONTH(Berichtstag)-1,1)),Rohdaten!$A$159:$LJ$159,0)),"keine Spalte",IF(ISNUMBER(INDEX(Rohdaten!$A$162:$LJ$162,MATCH(IF($G191="quartalsweise",DATE(YEAR(Berichtstag),INT((MONTH(Berichtstag)-1)/3)*3,1),DATE(YEAR(Berichtstag),MONTH(Berichtstag)-1,1)),Rohdaten!$A$159:$LJ$159,0))),"erledigt","offen"))))</f>
        <v/>
      </c>
      <c r="I191" s="73"/>
      <c r="J191" s="73"/>
      <c r="K191" s="73"/>
      <c r="L191" s="73"/>
      <c r="M191" s="73" t="s">
        <v>714</v>
      </c>
      <c r="N191" s="73"/>
      <c r="O191" s="73"/>
      <c r="P191" s="73"/>
      <c r="Q191" s="73"/>
      <c r="R191" s="73"/>
      <c r="S191" s="73"/>
      <c r="T191" s="73"/>
      <c r="U191" s="73"/>
      <c r="V191" s="73"/>
      <c r="W191" s="73"/>
      <c r="X191" s="73"/>
      <c r="Y191" s="73"/>
      <c r="Z191" s="73"/>
      <c r="AA191" s="73"/>
      <c r="AB191" s="73"/>
      <c r="AC191" s="73"/>
      <c r="AD191" s="73"/>
      <c r="AE191" s="73"/>
      <c r="AF191" s="73"/>
      <c r="AG191" s="73"/>
      <c r="AH191" s="73"/>
      <c r="AI191" s="73"/>
      <c r="AJ191" s="73"/>
      <c r="AK191" s="73"/>
      <c r="AL191" s="73"/>
      <c r="AM191" t="s">
        <v>977</v>
      </c>
      <c r="AN191" t="s">
        <v>385</v>
      </c>
      <c r="AO191" t="s">
        <v>709</v>
      </c>
    </row>
    <row r="192" spans="1:41" ht="18" customHeight="1" outlineLevel="1">
      <c r="A192" s="65">
        <f>ROW(Rohdaten!$A$163)</f>
        <v>163</v>
      </c>
      <c r="B192" s="66" t="str">
        <f>IF(Rohdaten!$A$163="","",Rohdaten!$A$163)</f>
        <v>21c</v>
      </c>
      <c r="C192" s="74" t="s">
        <v>978</v>
      </c>
      <c r="D192" s="68" t="str">
        <f>IF(Rohdaten!$E$163="","",Rohdaten!$E$163)</f>
        <v>Buchkremer</v>
      </c>
      <c r="E192" s="69" t="str">
        <f t="array" ref="E192">_xlfn.TEXTJOIN(" / ",TRUE,IF($I192:$AL192="●",$I$4:$AL$4,""))</f>
        <v>Buchkremer</v>
      </c>
      <c r="F192" s="70" t="s">
        <v>791</v>
      </c>
      <c r="G192" s="71" t="s">
        <v>973</v>
      </c>
      <c r="H192" s="72">
        <f>IF($F192="automatisch",IF(ISNA(MATCH(IF($G192="quartalsweise",DATE(YEAR(Berichtstag),INT((MONTH(Berichtstag)-1)/3)*3,1),DATE(YEAR(Berichtstag),MONTH(Berichtstag)-1,1)),Rohdaten!$A$159:$LJ$159,0)),"automatisch",IF(ISNUMBER(INDEX(Rohdaten!$A$163:$LJ$163,MATCH(IF($G192="quartalsweise",DATE(YEAR(Berichtstag),INT((MONTH(Berichtstag)-1)/3)*3,1),DATE(YEAR(Berichtstag),MONTH(Berichtstag)-1,1)),Rohdaten!$A$159:$LJ$159,0))),"erledigt","automatisch")),IF($F192&lt;&gt;"ja","",IF(ISNA(MATCH(IF($G192="quartalsweise",DATE(YEAR(Berichtstag),INT((MONTH(Berichtstag)-1)/3)*3,1),DATE(YEAR(Berichtstag),MONTH(Berichtstag)-1,1)),Rohdaten!$A$159:$LJ$159,0)),"keine Spalte",IF(ISNUMBER(INDEX(Rohdaten!$A$163:$LJ$163,MATCH(IF($G192="quartalsweise",DATE(YEAR(Berichtstag),INT((MONTH(Berichtstag)-1)/3)*3,1),DATE(YEAR(Berichtstag),MONTH(Berichtstag)-1,1)),Rohdaten!$A$159:$LJ$159,0))),"erledigt","offen"))))</f>
        <v/>
      </c>
      <c r="I192" s="73"/>
      <c r="J192" s="73"/>
      <c r="K192" s="73"/>
      <c r="L192" s="73"/>
      <c r="M192" s="73" t="s">
        <v>714</v>
      </c>
      <c r="N192" s="73"/>
      <c r="O192" s="73"/>
      <c r="P192" s="73"/>
      <c r="Q192" s="73"/>
      <c r="R192" s="73"/>
      <c r="S192" s="73"/>
      <c r="T192" s="73"/>
      <c r="U192" s="73"/>
      <c r="V192" s="73"/>
      <c r="W192" s="73"/>
      <c r="X192" s="73"/>
      <c r="Y192" s="73"/>
      <c r="Z192" s="73"/>
      <c r="AA192" s="73"/>
      <c r="AB192" s="73"/>
      <c r="AC192" s="73"/>
      <c r="AD192" s="73"/>
      <c r="AE192" s="73"/>
      <c r="AF192" s="73"/>
      <c r="AG192" s="73"/>
      <c r="AH192" s="73"/>
      <c r="AI192" s="73"/>
      <c r="AJ192" s="73"/>
      <c r="AK192" s="73"/>
      <c r="AL192" s="73"/>
      <c r="AM192" t="s">
        <v>979</v>
      </c>
      <c r="AN192" t="s">
        <v>387</v>
      </c>
      <c r="AO192" t="s">
        <v>709</v>
      </c>
    </row>
    <row r="193" spans="1:41" ht="22" customHeight="1">
      <c r="A193" s="60" t="s">
        <v>980</v>
      </c>
      <c r="B193" s="60"/>
      <c r="C193" s="60"/>
      <c r="D193" s="60"/>
      <c r="E193" s="60"/>
      <c r="F193" s="60"/>
      <c r="G193" s="60"/>
      <c r="H193" s="60"/>
      <c r="I193" s="61"/>
      <c r="J193" s="61"/>
      <c r="K193" s="61"/>
      <c r="L193" s="61"/>
      <c r="M193" s="61"/>
      <c r="N193" s="61"/>
      <c r="O193" s="61"/>
      <c r="P193" s="61"/>
      <c r="Q193" s="61"/>
      <c r="R193" s="61"/>
      <c r="S193" s="61"/>
      <c r="T193" s="61"/>
      <c r="U193" s="61"/>
      <c r="V193" s="61"/>
      <c r="W193" s="61"/>
      <c r="X193" s="61"/>
      <c r="Y193" s="61"/>
      <c r="Z193" s="61"/>
      <c r="AA193" s="61"/>
      <c r="AB193" s="61"/>
      <c r="AC193" s="61"/>
      <c r="AD193" s="61"/>
      <c r="AE193" s="61"/>
      <c r="AF193" s="61"/>
      <c r="AG193" s="61"/>
      <c r="AH193" s="61"/>
      <c r="AI193" s="61"/>
      <c r="AJ193" s="61"/>
      <c r="AK193" s="61"/>
      <c r="AL193" s="61"/>
      <c r="AO193" t="s">
        <v>705</v>
      </c>
    </row>
    <row r="194" spans="1:41" ht="18" customHeight="1" outlineLevel="1">
      <c r="A194" s="65">
        <f>ROW(Rohdaten!$A$167)</f>
        <v>167</v>
      </c>
      <c r="B194" s="66" t="str">
        <f>IF(Rohdaten!$A$167="","",Rohdaten!$A$167)</f>
        <v>18D</v>
      </c>
      <c r="C194" s="74" t="s">
        <v>981</v>
      </c>
      <c r="D194" s="68" t="str">
        <f>IF(Rohdaten!$E$167="","",Rohdaten!$E$167)</f>
        <v>Mey/ Richartz</v>
      </c>
      <c r="E194" s="69" t="str">
        <f t="array" ref="E194">_xlfn.TEXTJOIN(" / ",TRUE,IF($I194:$AL194="●",$I$4:$AL$4,""))</f>
        <v>Mey / Richartz</v>
      </c>
      <c r="F194" s="70" t="s">
        <v>781</v>
      </c>
      <c r="G194" s="71" t="s">
        <v>973</v>
      </c>
      <c r="H194" s="72">
        <f>IF($F194="automatisch",IF(ISNA(MATCH(IF($G194="quartalsweise",DATE(YEAR(Berichtstag),INT((MONTH(Berichtstag)-1)/3)*3,1),DATE(YEAR(Berichtstag),MONTH(Berichtstag)-1,1)),Rohdaten!$A$165:$LJ$165,0)),"automatisch",IF(ISNUMBER(INDEX(Rohdaten!$A$167:$LJ$167,MATCH(IF($G194="quartalsweise",DATE(YEAR(Berichtstag),INT((MONTH(Berichtstag)-1)/3)*3,1),DATE(YEAR(Berichtstag),MONTH(Berichtstag)-1,1)),Rohdaten!$A$165:$LJ$165,0))),"erledigt","automatisch")),IF($F194&lt;&gt;"ja","",IF(ISNA(MATCH(IF($G194="quartalsweise",DATE(YEAR(Berichtstag),INT((MONTH(Berichtstag)-1)/3)*3,1),DATE(YEAR(Berichtstag),MONTH(Berichtstag)-1,1)),Rohdaten!$A$165:$LJ$165,0)),"keine Spalte",IF(ISNUMBER(INDEX(Rohdaten!$A$167:$LJ$167,MATCH(IF($G194="quartalsweise",DATE(YEAR(Berichtstag),INT((MONTH(Berichtstag)-1)/3)*3,1),DATE(YEAR(Berichtstag),MONTH(Berichtstag)-1,1)),Rohdaten!$A$165:$LJ$165,0))),"erledigt","offen"))))</f>
        <v/>
      </c>
      <c r="I194" s="73"/>
      <c r="J194" s="73"/>
      <c r="K194" s="73"/>
      <c r="L194" s="73"/>
      <c r="M194" s="73"/>
      <c r="N194" s="73"/>
      <c r="O194" s="73"/>
      <c r="P194" s="73"/>
      <c r="Q194" s="73"/>
      <c r="R194" s="73"/>
      <c r="S194" s="73"/>
      <c r="T194" s="73"/>
      <c r="U194" s="73"/>
      <c r="V194" s="73"/>
      <c r="W194" s="73"/>
      <c r="X194" s="73"/>
      <c r="Y194" s="73"/>
      <c r="Z194" s="73"/>
      <c r="AA194" s="73"/>
      <c r="AB194" s="73" t="s">
        <v>714</v>
      </c>
      <c r="AC194" s="73"/>
      <c r="AD194" s="73" t="s">
        <v>714</v>
      </c>
      <c r="AE194" s="73"/>
      <c r="AF194" s="73"/>
      <c r="AG194" s="73"/>
      <c r="AH194" s="73"/>
      <c r="AI194" s="73"/>
      <c r="AJ194" s="73"/>
      <c r="AK194" s="73"/>
      <c r="AL194" s="73"/>
      <c r="AM194" t="s">
        <v>982</v>
      </c>
      <c r="AN194" t="s">
        <v>373</v>
      </c>
      <c r="AO194" t="s">
        <v>709</v>
      </c>
    </row>
    <row r="195" spans="1:41" ht="18" customHeight="1" outlineLevel="1">
      <c r="A195" s="65">
        <f>ROW(Rohdaten!$A$168)</f>
        <v>168</v>
      </c>
      <c r="B195" s="66">
        <f>IF(Rohdaten!$A$168="","",Rohdaten!$A$168)</f>
        <v/>
      </c>
      <c r="C195" s="74" t="s">
        <v>983</v>
      </c>
      <c r="D195" s="68" t="str">
        <f>IF(Rohdaten!$E$168="","",Rohdaten!$E$168)</f>
        <v>Mey/ Richartz</v>
      </c>
      <c r="E195" s="69" t="str">
        <f t="array" ref="E195">_xlfn.TEXTJOIN(" / ",TRUE,IF($I195:$AL195="●",$I$4:$AL$4,""))</f>
        <v>Mey / Richartz</v>
      </c>
      <c r="F195" s="70" t="s">
        <v>781</v>
      </c>
      <c r="G195" s="71" t="s">
        <v>973</v>
      </c>
      <c r="H195" s="72">
        <f>IF($F195="automatisch",IF(ISNA(MATCH(IF($G195="quartalsweise",DATE(YEAR(Berichtstag),INT((MONTH(Berichtstag)-1)/3)*3,1),DATE(YEAR(Berichtstag),MONTH(Berichtstag)-1,1)),Rohdaten!$A$165:$LJ$165,0)),"automatisch",IF(ISNUMBER(INDEX(Rohdaten!$A$168:$LJ$168,MATCH(IF($G195="quartalsweise",DATE(YEAR(Berichtstag),INT((MONTH(Berichtstag)-1)/3)*3,1),DATE(YEAR(Berichtstag),MONTH(Berichtstag)-1,1)),Rohdaten!$A$165:$LJ$165,0))),"erledigt","automatisch")),IF($F195&lt;&gt;"ja","",IF(ISNA(MATCH(IF($G195="quartalsweise",DATE(YEAR(Berichtstag),INT((MONTH(Berichtstag)-1)/3)*3,1),DATE(YEAR(Berichtstag),MONTH(Berichtstag)-1,1)),Rohdaten!$A$165:$LJ$165,0)),"keine Spalte",IF(ISNUMBER(INDEX(Rohdaten!$A$168:$LJ$168,MATCH(IF($G195="quartalsweise",DATE(YEAR(Berichtstag),INT((MONTH(Berichtstag)-1)/3)*3,1),DATE(YEAR(Berichtstag),MONTH(Berichtstag)-1,1)),Rohdaten!$A$165:$LJ$165,0))),"erledigt","offen"))))</f>
        <v/>
      </c>
      <c r="I195" s="73"/>
      <c r="J195" s="73"/>
      <c r="K195" s="73"/>
      <c r="L195" s="73"/>
      <c r="M195" s="73"/>
      <c r="N195" s="73"/>
      <c r="O195" s="73"/>
      <c r="P195" s="73"/>
      <c r="Q195" s="73"/>
      <c r="R195" s="73"/>
      <c r="S195" s="73"/>
      <c r="T195" s="73"/>
      <c r="U195" s="73"/>
      <c r="V195" s="73"/>
      <c r="W195" s="73"/>
      <c r="X195" s="73"/>
      <c r="Y195" s="73"/>
      <c r="Z195" s="73"/>
      <c r="AA195" s="73"/>
      <c r="AB195" s="73" t="s">
        <v>714</v>
      </c>
      <c r="AC195" s="73"/>
      <c r="AD195" s="73" t="s">
        <v>714</v>
      </c>
      <c r="AE195" s="73"/>
      <c r="AF195" s="73"/>
      <c r="AG195" s="73"/>
      <c r="AH195" s="73"/>
      <c r="AI195" s="73"/>
      <c r="AJ195" s="73"/>
      <c r="AK195" s="73"/>
      <c r="AL195" s="73"/>
      <c r="AM195" t="s">
        <v>984</v>
      </c>
      <c r="AO195" t="s">
        <v>709</v>
      </c>
    </row>
    <row r="196" spans="1:41" ht="18" customHeight="1" outlineLevel="1">
      <c r="A196" s="65">
        <f>ROW(Rohdaten!$A$169)</f>
        <v>169</v>
      </c>
      <c r="B196" s="66" t="str">
        <f>IF(Rohdaten!$A$169="","",Rohdaten!$A$169)</f>
        <v>18E</v>
      </c>
      <c r="C196" s="74" t="s">
        <v>985</v>
      </c>
      <c r="D196" s="68" t="str">
        <f>IF(Rohdaten!$E$169="","",Rohdaten!$E$169)</f>
        <v>Mey/ Richartz</v>
      </c>
      <c r="E196" s="69" t="str">
        <f t="array" ref="E196">_xlfn.TEXTJOIN(" / ",TRUE,IF($I196:$AL196="●",$I$4:$AL$4,""))</f>
        <v>Mey / Richartz</v>
      </c>
      <c r="F196" s="70" t="s">
        <v>711</v>
      </c>
      <c r="G196" s="71" t="s">
        <v>973</v>
      </c>
      <c r="H196" s="72">
        <f>IF($F196="automatisch",IF(ISNA(MATCH(IF($G196="quartalsweise",DATE(YEAR(Berichtstag),INT((MONTH(Berichtstag)-1)/3)*3,1),DATE(YEAR(Berichtstag),MONTH(Berichtstag)-1,1)),Rohdaten!$A$165:$LJ$165,0)),"automatisch",IF(ISNUMBER(INDEX(Rohdaten!$A$169:$LJ$169,MATCH(IF($G196="quartalsweise",DATE(YEAR(Berichtstag),INT((MONTH(Berichtstag)-1)/3)*3,1),DATE(YEAR(Berichtstag),MONTH(Berichtstag)-1,1)),Rohdaten!$A$165:$LJ$165,0))),"erledigt","automatisch")),IF($F196&lt;&gt;"ja","",IF(ISNA(MATCH(IF($G196="quartalsweise",DATE(YEAR(Berichtstag),INT((MONTH(Berichtstag)-1)/3)*3,1),DATE(YEAR(Berichtstag),MONTH(Berichtstag)-1,1)),Rohdaten!$A$165:$LJ$165,0)),"keine Spalte",IF(ISNUMBER(INDEX(Rohdaten!$A$169:$LJ$169,MATCH(IF($G196="quartalsweise",DATE(YEAR(Berichtstag),INT((MONTH(Berichtstag)-1)/3)*3,1),DATE(YEAR(Berichtstag),MONTH(Berichtstag)-1,1)),Rohdaten!$A$165:$LJ$165,0))),"erledigt","offen"))))</f>
        <v/>
      </c>
      <c r="I196" s="73"/>
      <c r="J196" s="73"/>
      <c r="K196" s="73"/>
      <c r="L196" s="73"/>
      <c r="M196" s="73"/>
      <c r="N196" s="73"/>
      <c r="O196" s="73"/>
      <c r="P196" s="73"/>
      <c r="Q196" s="73"/>
      <c r="R196" s="73"/>
      <c r="S196" s="73"/>
      <c r="T196" s="73"/>
      <c r="U196" s="73"/>
      <c r="V196" s="73"/>
      <c r="W196" s="73"/>
      <c r="X196" s="73"/>
      <c r="Y196" s="73"/>
      <c r="Z196" s="73"/>
      <c r="AA196" s="73"/>
      <c r="AB196" s="73" t="s">
        <v>714</v>
      </c>
      <c r="AC196" s="73"/>
      <c r="AD196" s="73" t="s">
        <v>714</v>
      </c>
      <c r="AE196" s="73"/>
      <c r="AF196" s="73"/>
      <c r="AG196" s="73"/>
      <c r="AH196" s="73"/>
      <c r="AI196" s="73"/>
      <c r="AJ196" s="73"/>
      <c r="AK196" s="73"/>
      <c r="AL196" s="73"/>
      <c r="AM196" t="s">
        <v>986</v>
      </c>
      <c r="AN196" t="s">
        <v>381</v>
      </c>
      <c r="AO196" t="s">
        <v>709</v>
      </c>
    </row>
    <row r="197" spans="1:41" ht="18" customHeight="1" outlineLevel="1">
      <c r="A197" s="65">
        <f>ROW(Rohdaten!$A$170)</f>
        <v>170</v>
      </c>
      <c r="B197" s="66">
        <f>IF(Rohdaten!$A$170="","",Rohdaten!$A$170)</f>
        <v/>
      </c>
      <c r="C197" s="74" t="s">
        <v>987</v>
      </c>
      <c r="D197" s="68" t="str">
        <f>IF(Rohdaten!$E$170="","",Rohdaten!$E$170)</f>
        <v>Mey/ Richartz</v>
      </c>
      <c r="E197" s="69" t="str">
        <f t="array" ref="E197">_xlfn.TEXTJOIN(" / ",TRUE,IF($I197:$AL197="●",$I$4:$AL$4,""))</f>
        <v>Mey / Richartz</v>
      </c>
      <c r="F197" s="70" t="s">
        <v>711</v>
      </c>
      <c r="G197" s="71" t="s">
        <v>973</v>
      </c>
      <c r="H197" s="72" t="str">
        <f>IF($F197="automatisch",IF(ISNA(MATCH(IF($G197="quartalsweise",DATE(YEAR(Berichtstag),INT((MONTH(Berichtstag)-1)/3)*3,1),DATE(YEAR(Berichtstag),MONTH(Berichtstag)-1,1)),Rohdaten!$A$165:$LJ$165,0)),"automatisch",IF(ISNUMBER(INDEX(Rohdaten!$A$170:$LJ$170,MATCH(IF($G197="quartalsweise",DATE(YEAR(Berichtstag),INT((MONTH(Berichtstag)-1)/3)*3,1),DATE(YEAR(Berichtstag),MONTH(Berichtstag)-1,1)),Rohdaten!$A$165:$LJ$165,0))),"erledigt","automatisch")),IF($F197&lt;&gt;"ja","nicht berichtet",IF(ISNA(MATCH(IF($G197="quartalsweise",DATE(YEAR(Berichtstag),INT((MONTH(Berichtstag)-1)/3)*3,1),DATE(YEAR(Berichtstag),MONTH(Berichtstag)-1,1)),Rohdaten!$A$165:$LJ$165,0)),"keine Spalte",IF(ISNUMBER(INDEX(Rohdaten!$A$170:$LJ$170,MATCH(IF($G197="quartalsweise",DATE(YEAR(Berichtstag),INT((MONTH(Berichtstag)-1)/3)*3,1),DATE(YEAR(Berichtstag),MONTH(Berichtstag)-1,1)),Rohdaten!$A$165:$LJ$165,0))),"erledigt","offen"))))</f>
        <v>nicht berichtet</v>
      </c>
      <c r="I197" s="73"/>
      <c r="J197" s="73"/>
      <c r="K197" s="73"/>
      <c r="L197" s="73"/>
      <c r="M197" s="73"/>
      <c r="N197" s="73"/>
      <c r="O197" s="73"/>
      <c r="P197" s="73"/>
      <c r="Q197" s="73"/>
      <c r="R197" s="73"/>
      <c r="S197" s="73"/>
      <c r="T197" s="73"/>
      <c r="U197" s="73"/>
      <c r="V197" s="73"/>
      <c r="W197" s="73"/>
      <c r="X197" s="73"/>
      <c r="Y197" s="73"/>
      <c r="Z197" s="73"/>
      <c r="AA197" s="73"/>
      <c r="AB197" s="73" t="s">
        <v>714</v>
      </c>
      <c r="AC197" s="73"/>
      <c r="AD197" s="73" t="s">
        <v>714</v>
      </c>
      <c r="AE197" s="73"/>
      <c r="AF197" s="73"/>
      <c r="AG197" s="73"/>
      <c r="AH197" s="73"/>
      <c r="AI197" s="73"/>
      <c r="AJ197" s="73"/>
      <c r="AK197" s="73"/>
      <c r="AL197" s="73"/>
      <c r="AM197" t="s">
        <v>988</v>
      </c>
      <c r="AO197" t="s">
        <v>709</v>
      </c>
    </row>
    <row r="198" spans="1:41" ht="18" customHeight="1" outlineLevel="1">
      <c r="A198" s="65">
        <f>ROW(Rohdaten!$A$171)</f>
        <v>171</v>
      </c>
      <c r="B198" s="66">
        <f>IF(Rohdaten!$A$171="","",Rohdaten!$A$171)</f>
        <v/>
      </c>
      <c r="C198" s="74" t="s">
        <v>989</v>
      </c>
      <c r="D198" s="68" t="str">
        <f>IF(Rohdaten!$E$171="","",Rohdaten!$E$171)</f>
        <v>Mey/ Richartz</v>
      </c>
      <c r="E198" s="69" t="str">
        <f t="array" ref="E198">_xlfn.TEXTJOIN(" / ",TRUE,IF($I198:$AL198="●",$I$4:$AL$4,""))</f>
        <v>Mey / Richartz</v>
      </c>
      <c r="F198" s="70" t="s">
        <v>711</v>
      </c>
      <c r="G198" s="71" t="s">
        <v>973</v>
      </c>
      <c r="H198" s="72" t="str">
        <f>IF($F198="automatisch",IF(ISNA(MATCH(IF($G198="quartalsweise",DATE(YEAR(Berichtstag),INT((MONTH(Berichtstag)-1)/3)*3,1),DATE(YEAR(Berichtstag),MONTH(Berichtstag)-1,1)),Rohdaten!$A$165:$LJ$165,0)),"automatisch",IF(ISNUMBER(INDEX(Rohdaten!$A$171:$LJ$171,MATCH(IF($G198="quartalsweise",DATE(YEAR(Berichtstag),INT((MONTH(Berichtstag)-1)/3)*3,1),DATE(YEAR(Berichtstag),MONTH(Berichtstag)-1,1)),Rohdaten!$A$165:$LJ$165,0))),"erledigt","automatisch")),IF($F198&lt;&gt;"ja","nicht berichtet",IF(ISNA(MATCH(IF($G198="quartalsweise",DATE(YEAR(Berichtstag),INT((MONTH(Berichtstag)-1)/3)*3,1),DATE(YEAR(Berichtstag),MONTH(Berichtstag)-1,1)),Rohdaten!$A$165:$LJ$165,0)),"keine Spalte",IF(ISNUMBER(INDEX(Rohdaten!$A$171:$LJ$171,MATCH(IF($G198="quartalsweise",DATE(YEAR(Berichtstag),INT((MONTH(Berichtstag)-1)/3)*3,1),DATE(YEAR(Berichtstag),MONTH(Berichtstag)-1,1)),Rohdaten!$A$165:$LJ$165,0))),"erledigt","offen"))))</f>
        <v>nicht berichtet</v>
      </c>
      <c r="I198" s="73"/>
      <c r="J198" s="73"/>
      <c r="K198" s="73"/>
      <c r="L198" s="73"/>
      <c r="M198" s="73"/>
      <c r="N198" s="73"/>
      <c r="O198" s="73"/>
      <c r="P198" s="73"/>
      <c r="Q198" s="73"/>
      <c r="R198" s="73"/>
      <c r="S198" s="73"/>
      <c r="T198" s="73"/>
      <c r="U198" s="73"/>
      <c r="V198" s="73"/>
      <c r="W198" s="73"/>
      <c r="X198" s="73"/>
      <c r="Y198" s="73"/>
      <c r="Z198" s="73"/>
      <c r="AA198" s="73"/>
      <c r="AB198" s="73" t="s">
        <v>714</v>
      </c>
      <c r="AC198" s="73"/>
      <c r="AD198" s="73" t="s">
        <v>714</v>
      </c>
      <c r="AE198" s="73"/>
      <c r="AF198" s="73"/>
      <c r="AG198" s="73"/>
      <c r="AH198" s="73"/>
      <c r="AI198" s="73"/>
      <c r="AJ198" s="73"/>
      <c r="AK198" s="73"/>
      <c r="AL198" s="73"/>
      <c r="AM198" t="s">
        <v>990</v>
      </c>
      <c r="AO198" t="s">
        <v>709</v>
      </c>
    </row>
  </sheetData>
  <sheetProtection sheet="1" scenarios="1" formatColumns="0" formatRows="0"/>
  <mergeCells count="42">
    <mergeCell ref="A5:H5"/>
    <mergeCell ref="C6:H6"/>
    <mergeCell ref="C14:H14"/>
    <mergeCell ref="A22:H22"/>
    <mergeCell ref="C23:H23"/>
    <mergeCell ref="C31:H31"/>
    <mergeCell ref="A39:H39"/>
    <mergeCell ref="C40:H40"/>
    <mergeCell ref="A48:H48"/>
    <mergeCell ref="C49:H49"/>
    <mergeCell ref="C57:H57"/>
    <mergeCell ref="A65:H65"/>
    <mergeCell ref="A67:H67"/>
    <mergeCell ref="A71:H71"/>
    <mergeCell ref="C73:H73"/>
    <mergeCell ref="C78:H78"/>
    <mergeCell ref="C83:H83"/>
    <mergeCell ref="C88:H88"/>
    <mergeCell ref="C93:H93"/>
    <mergeCell ref="C98:H98"/>
    <mergeCell ref="C102:H102"/>
    <mergeCell ref="C108:H108"/>
    <mergeCell ref="C113:H113"/>
    <mergeCell ref="A117:H117"/>
    <mergeCell ref="C118:H118"/>
    <mergeCell ref="C122:H122"/>
    <mergeCell ref="C126:H126"/>
    <mergeCell ref="A131:H131"/>
    <mergeCell ref="A133:H133"/>
    <mergeCell ref="A135:H135"/>
    <mergeCell ref="A137:H137"/>
    <mergeCell ref="A139:H139"/>
    <mergeCell ref="A152:H152"/>
    <mergeCell ref="A165:H165"/>
    <mergeCell ref="A167:H167"/>
    <mergeCell ref="A172:H172"/>
    <mergeCell ref="A174:H174"/>
    <mergeCell ref="A178:H178"/>
    <mergeCell ref="A185:H185"/>
    <mergeCell ref="A187:H187"/>
    <mergeCell ref="A189:H189"/>
    <mergeCell ref="A193:H193"/>
  </mergeCells>
  <conditionalFormatting sqref="F5:F199">
    <cfRule type="cellIs" dxfId="2" priority="3" operator="equal">
      <formula>"ja"</formula>
    </cfRule>
    <cfRule type="cellIs" dxfId="3" priority="4" operator="equal">
      <formula>"nein"</formula>
    </cfRule>
    <cfRule type="cellIs" dxfId="5" priority="6" operator="equal">
      <formula>"automatisch"</formula>
    </cfRule>
  </conditionalFormatting>
  <conditionalFormatting sqref="F5:G199">
    <cfRule type="expression" dxfId="9" priority="11">
      <formula>AND(ZuordnungOffen=1,$A5&lt;&gt;"")</formula>
    </cfRule>
  </conditionalFormatting>
  <conditionalFormatting sqref="H5:H199">
    <cfRule type="cellIs" dxfId="0" priority="1" operator="equal">
      <formula>"offen"</formula>
    </cfRule>
    <cfRule type="cellIs" dxfId="1" priority="2" operator="equal">
      <formula>"erledigt"</formula>
    </cfRule>
    <cfRule type="cellIs" dxfId="4" priority="5" operator="equal">
      <formula>"nicht berichtet"</formula>
    </cfRule>
    <cfRule type="cellIs" dxfId="5" priority="7" operator="equal">
      <formula>"automatisch"</formula>
    </cfRule>
  </conditionalFormatting>
  <conditionalFormatting sqref="I5:AL199">
    <cfRule type="cellIs" dxfId="6" priority="8" operator="equal">
      <formula>"●"</formula>
    </cfRule>
    <cfRule type="expression" dxfId="7" priority="9">
      <formula>AND(ZuordnungOffen=1,$A5&lt;&gt;"",I$4&lt;&gt;"")</formula>
    </cfRule>
    <cfRule type="expression" dxfId="8" priority="10">
      <formula>AND($A5&lt;&gt;"",I$4="")</formula>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sheetPr codeName="Konfiguration">
    <tabColor rgb="FF0F94A7"/>
  </sheetPr>
  <dimension ref="A1:I64"/>
  <sheetViews>
    <sheetView workbookViewId="0"/>
  </sheetViews>
  <sheetFormatPr defaultRowHeight="15"/>
  <cols>
    <col min="1" max="1" width="2.7109375" customWidth="1"/>
    <col min="2" max="2" width="38.7109375" customWidth="1"/>
    <col min="3" max="3" width="44.7109375" customWidth="1"/>
    <col min="4" max="4" width="3.7109375" customWidth="1"/>
    <col min="5" max="5" width="30.7109375" customWidth="1"/>
    <col min="6" max="6" width="26.7109375" customWidth="1"/>
    <col min="8" max="9" width="12.7109375" customWidth="1"/>
  </cols>
  <sheetData>
    <row r="1" spans="1:9">
      <c r="A1" s="13" t="s">
        <v>991</v>
      </c>
    </row>
    <row r="2" spans="1:9">
      <c r="A2" s="8" t="s">
        <v>992</v>
      </c>
    </row>
    <row r="3" spans="1:9">
      <c r="B3" s="4" t="s">
        <v>993</v>
      </c>
      <c r="H3" s="8" t="s">
        <v>995</v>
      </c>
    </row>
    <row r="4" spans="1:9">
      <c r="B4" s="11" t="s">
        <v>994</v>
      </c>
      <c r="C4" s="16">
        <f>IF($I$4&gt;=TODAY(),$I$4,IF($I$5&gt;=TODAY(),$I$5,$I$6))</f>
        <v>0</v>
      </c>
      <c r="E4" s="11" t="s">
        <v>996</v>
      </c>
      <c r="F4" s="56" t="s">
        <v>997</v>
      </c>
      <c r="H4" s="8">
        <f>MOD(IFERROR(MATCH($F$4,{"Montag","Dienstag","Mittwoch","Donnerstag","Freitag"},0),1)-5,7)</f>
        <v>0</v>
      </c>
      <c r="I4" s="16">
        <f>WORKDAY(($H$5-7)+IF(($H$5-7)+$H$4&gt;=N($F$7),$H$4,0)-1,1,FeiertageBT)</f>
        <v>0</v>
      </c>
    </row>
    <row r="5" spans="1:9">
      <c r="B5" s="11" t="s">
        <v>1002</v>
      </c>
      <c r="C5" s="77"/>
      <c r="E5" s="11" t="s">
        <v>998</v>
      </c>
      <c r="F5" s="56" t="s">
        <v>999</v>
      </c>
      <c r="H5" s="16">
        <f>TODAY()-MOD(WEEKDAY(TODAY(),2)-5,7)</f>
        <v>0</v>
      </c>
      <c r="I5" s="16">
        <f>WORKDAY(($H$5)+IF(($H$5)+$H$4&gt;=N($F$7),$H$4,0)-1,1,FeiertageBT)</f>
        <v>0</v>
      </c>
    </row>
    <row r="6" spans="1:9">
      <c r="B6" s="11" t="s">
        <v>1003</v>
      </c>
      <c r="C6" s="6">
        <f>IF(C5&lt;&gt;"",C5,C4)</f>
        <v>0</v>
      </c>
      <c r="E6" s="11" t="s">
        <v>1000</v>
      </c>
      <c r="F6" s="16">
        <f>Stichtag</f>
        <v>0</v>
      </c>
      <c r="H6" s="16">
        <f>IF($I$4&gt;=TODAY(),$H$5-7,IF($I$5&gt;=TODAY(),$H$5,$H$5+7))</f>
        <v>0</v>
      </c>
      <c r="I6" s="16">
        <f>WORKDAY(($H$5+7)+IF(($H$5+7)+$H$4&gt;=N($F$7),$H$4,0)-1,1,FeiertageBT)</f>
        <v>0</v>
      </c>
    </row>
    <row r="7" spans="1:9">
      <c r="E7" s="11" t="s">
        <v>1001</v>
      </c>
      <c r="F7" s="77">
        <v>46314</v>
      </c>
      <c r="H7" s="16">
        <f>IF(N($C$5)=0,"",$C$5-MOD(WEEKDAY($C$5,2)+2,7)-7*(($C$5-MOD(WEEKDAY($C$5,2)+2,7)+IF($C$5-MOD(WEEKDAY($C$5,2)+2,7)+$H$4&gt;=N($F$7),$H$4,0))&gt;$C$5))</f>
        <v>0</v>
      </c>
    </row>
    <row r="8" spans="1:9">
      <c r="B8" s="4" t="s">
        <v>1004</v>
      </c>
      <c r="E8" s="4" t="s">
        <v>1006</v>
      </c>
    </row>
    <row r="9" spans="1:9">
      <c r="B9" s="11" t="s">
        <v>1005</v>
      </c>
      <c r="C9" s="78">
        <v>500</v>
      </c>
      <c r="E9" s="11" t="s">
        <v>1007</v>
      </c>
      <c r="F9" s="78">
        <v>5500</v>
      </c>
      <c r="G9" s="55">
        <f>IF(N(F9)&gt;0,"SLA "&amp;FIXED(F9/1000,1),"SLA: kein Wert")</f>
        <v>0</v>
      </c>
    </row>
    <row r="10" spans="1:9">
      <c r="B10" s="11" t="s">
        <v>1010</v>
      </c>
      <c r="C10" s="55" t="s">
        <v>1011</v>
      </c>
      <c r="E10" s="11" t="s">
        <v>1008</v>
      </c>
      <c r="F10" s="78"/>
    </row>
    <row r="11" spans="1:9">
      <c r="B11" s="4" t="s">
        <v>1012</v>
      </c>
      <c r="E11" s="11" t="s">
        <v>1009</v>
      </c>
      <c r="F11" s="17">
        <f>IF(N(F10)&gt;0,F10,IFERROR(ROUND(F9*_xlfn.AGGREGATE(1,6,Dashboard_Daten!$U$139:$AD$139),-2),""))</f>
        <v>0</v>
      </c>
      <c r="G11" s="55">
        <f>IF(N(F11)&gt;0,IF(N(F10)&gt;0,"SLA "&amp;FIXED(F11/1000,1),"SLA "&amp;FIXED(F11/1000,1)&amp;" (Faktor "&amp;FIXED(_xlfn.AGGREGATE(1,6,Dashboard_Daten!$U$139:$AD$139),2)&amp;") TBC"),"SLA OPAG: noch kein Vorschlag")</f>
        <v>0</v>
      </c>
    </row>
    <row r="12" spans="1:9">
      <c r="B12" s="11" t="s">
        <v>1013</v>
      </c>
      <c r="C12" s="57"/>
    </row>
    <row r="13" spans="1:9">
      <c r="B13" s="11" t="s">
        <v>1014</v>
      </c>
      <c r="C13" s="57"/>
    </row>
    <row r="14" spans="1:9">
      <c r="B14" s="4" t="s">
        <v>1015</v>
      </c>
    </row>
    <row r="15" spans="1:9">
      <c r="B15" s="11" t="s">
        <v>1016</v>
      </c>
      <c r="C15" s="57" t="s">
        <v>1017</v>
      </c>
    </row>
    <row r="16" spans="1:9">
      <c r="B16" s="11" t="s">
        <v>1018</v>
      </c>
      <c r="C16" s="57" t="s">
        <v>1019</v>
      </c>
    </row>
    <row r="17" spans="2:7">
      <c r="B17" s="11" t="s">
        <v>1020</v>
      </c>
      <c r="C17" s="55">
        <f>"Stand  "&amp;TEXT(DAY(Berichtstag),"00")&amp;"."&amp;TEXT(MONTH(Berichtstag),"00")&amp;"."&amp;YEAR(Berichtstag)</f>
        <v>0</v>
      </c>
    </row>
    <row r="19" spans="2:7">
      <c r="B19" s="4" t="s">
        <v>1021</v>
      </c>
    </row>
    <row r="20" spans="2:7">
      <c r="B20" s="9" t="s">
        <v>1022</v>
      </c>
      <c r="C20" s="9" t="s">
        <v>1023</v>
      </c>
      <c r="E20" s="9" t="s">
        <v>1024</v>
      </c>
      <c r="F20" s="9" t="s">
        <v>1025</v>
      </c>
    </row>
    <row r="21" spans="2:7">
      <c r="B21" s="55" t="s">
        <v>1026</v>
      </c>
      <c r="C21" s="55" t="s">
        <v>1027</v>
      </c>
      <c r="E21" s="57"/>
      <c r="F21" s="56" t="s">
        <v>781</v>
      </c>
      <c r="G21" s="3">
        <f>E21&amp;IF(E21="","","  ·  ")&amp;"STAND "&amp;TEXT(DAY(Berichtstag),"00")&amp;"."&amp;TEXT(MONTH(Berichtstag),"00")&amp;"."&amp;YEAR(Berichtstag)</f>
        <v>0</v>
      </c>
    </row>
    <row r="22" spans="2:7">
      <c r="B22" s="55" t="s">
        <v>1028</v>
      </c>
      <c r="C22" s="57" t="s">
        <v>1029</v>
      </c>
      <c r="E22" s="57" t="s">
        <v>1030</v>
      </c>
      <c r="F22" s="56" t="s">
        <v>781</v>
      </c>
      <c r="G22" s="3">
        <f>E22&amp;IF(E22="","","  ·  ")&amp;"STAND "&amp;TEXT(DAY(Berichtstag),"00")&amp;"."&amp;TEXT(MONTH(Berichtstag),"00")&amp;"."&amp;YEAR(Berichtstag)</f>
        <v>0</v>
      </c>
    </row>
    <row r="23" spans="2:7">
      <c r="B23" s="55" t="s">
        <v>1031</v>
      </c>
      <c r="C23" s="57" t="s">
        <v>1032</v>
      </c>
      <c r="E23" s="57" t="s">
        <v>1030</v>
      </c>
      <c r="F23" s="56" t="s">
        <v>781</v>
      </c>
      <c r="G23" s="3">
        <f>E23&amp;IF(E23="","","  ·  ")&amp;"STAND "&amp;TEXT(DAY(Berichtstag),"00")&amp;"."&amp;TEXT(MONTH(Berichtstag),"00")&amp;"."&amp;YEAR(Berichtstag)</f>
        <v>0</v>
      </c>
    </row>
    <row r="25" spans="2:7">
      <c r="B25" s="11" t="s">
        <v>1033</v>
      </c>
      <c r="C25" s="55">
        <f>"Wochenwerte: je Kachel die letzten KW mit Daten, höchstens bis KW "&amp;_xlfn.ISOWEEKNUM(KWFreitag)&amp;" (Berichtstag "&amp;TEXT(DAY(Berichtstag),"00")&amp;"."&amp;TEXT(MONTH(Berichtstag),"00")&amp;"."&amp;YEAR(Berichtstag)&amp;")  ·  Monatswerte bis "&amp;CHOOSE(MONTH(Dashboard_Daten!$AO$4),"Januar","Februar","März","April","Mai","Juni","Juli","August","September","Oktober","November","Dezember")&amp;" "&amp;YEAR(Dashboard_Daten!$AO$4)&amp;"  ·  MAK bis "&amp;CHOOSE(MONTH(Berichtstag),"Januar","Februar","März","April","Mai","Juni","Juli","August","September","Oktober","November","Dezember")&amp;" "&amp;YEAR(Berichtstag)&amp;" und Plan Jan "&amp;RIGHT(YEAR(Berichtstag)+1,2)&amp;"/"&amp;RIGHT(YEAR(Berichtstag)+2,2)</f>
        <v>0</v>
      </c>
    </row>
    <row r="26" spans="2:7">
      <c r="B26" s="4" t="s">
        <v>1034</v>
      </c>
    </row>
    <row r="27" spans="2:7">
      <c r="B27" s="8" t="s">
        <v>1035</v>
      </c>
    </row>
    <row r="28" spans="2:7">
      <c r="B28" s="57" t="s">
        <v>1036</v>
      </c>
    </row>
    <row r="29" spans="2:7">
      <c r="B29" s="57" t="s">
        <v>1037</v>
      </c>
    </row>
    <row r="30" spans="2:7">
      <c r="B30" s="57" t="s">
        <v>1038</v>
      </c>
    </row>
    <row r="31" spans="2:7">
      <c r="B31" s="57" t="s">
        <v>1039</v>
      </c>
    </row>
    <row r="32" spans="2:7">
      <c r="B32" s="57" t="s">
        <v>1040</v>
      </c>
    </row>
    <row r="33" spans="2:2">
      <c r="B33" s="57" t="s">
        <v>1041</v>
      </c>
    </row>
    <row r="34" spans="2:2">
      <c r="B34" s="57" t="s">
        <v>1042</v>
      </c>
    </row>
    <row r="35" spans="2:2">
      <c r="B35" s="57" t="s">
        <v>1043</v>
      </c>
    </row>
    <row r="36" spans="2:2">
      <c r="B36" s="57" t="s">
        <v>1044</v>
      </c>
    </row>
    <row r="37" spans="2:2">
      <c r="B37" s="57" t="s">
        <v>1045</v>
      </c>
    </row>
    <row r="38" spans="2:2">
      <c r="B38" s="57" t="s">
        <v>1046</v>
      </c>
    </row>
    <row r="39" spans="2:2">
      <c r="B39" s="57" t="s">
        <v>1047</v>
      </c>
    </row>
    <row r="40" spans="2:2">
      <c r="B40" s="57" t="s">
        <v>1048</v>
      </c>
    </row>
    <row r="41" spans="2:2">
      <c r="B41" s="57" t="s">
        <v>1049</v>
      </c>
    </row>
    <row r="42" spans="2:2">
      <c r="B42" s="57" t="s">
        <v>1050</v>
      </c>
    </row>
    <row r="43" spans="2:2">
      <c r="B43" s="57" t="s">
        <v>1051</v>
      </c>
    </row>
    <row r="44" spans="2:2">
      <c r="B44" s="57" t="s">
        <v>1052</v>
      </c>
    </row>
    <row r="45" spans="2:2">
      <c r="B45" s="57" t="s">
        <v>1053</v>
      </c>
    </row>
    <row r="46" spans="2:2">
      <c r="B46" s="57" t="s">
        <v>1054</v>
      </c>
    </row>
    <row r="47" spans="2:2">
      <c r="B47" s="57" t="s">
        <v>1055</v>
      </c>
    </row>
    <row r="48" spans="2:2">
      <c r="B48" s="57" t="s">
        <v>1056</v>
      </c>
    </row>
    <row r="49" spans="2:3">
      <c r="B49" s="57" t="s">
        <v>1057</v>
      </c>
    </row>
    <row r="50" spans="2:3">
      <c r="B50" s="57" t="s">
        <v>1058</v>
      </c>
    </row>
    <row r="51" spans="2:3">
      <c r="B51" s="57" t="s">
        <v>1059</v>
      </c>
    </row>
    <row r="52" spans="2:3">
      <c r="B52" s="57" t="s">
        <v>1060</v>
      </c>
    </row>
    <row r="53" spans="2:3">
      <c r="B53" s="57" t="s">
        <v>1061</v>
      </c>
    </row>
    <row r="54" spans="2:3">
      <c r="B54" s="57" t="s">
        <v>1062</v>
      </c>
    </row>
    <row r="55" spans="2:3">
      <c r="B55" s="57"/>
    </row>
    <row r="56" spans="2:3">
      <c r="B56" s="57"/>
    </row>
    <row r="57" spans="2:3">
      <c r="B57" s="57"/>
    </row>
    <row r="59" spans="2:3">
      <c r="B59" s="11" t="s">
        <v>1063</v>
      </c>
      <c r="C59" s="55">
        <v>0</v>
      </c>
    </row>
    <row r="61" spans="2:3">
      <c r="B61" s="4" t="s">
        <v>1064</v>
      </c>
    </row>
    <row r="62" spans="2:3">
      <c r="B62" s="11" t="s">
        <v>1065</v>
      </c>
      <c r="C62" s="57" t="s">
        <v>1066</v>
      </c>
    </row>
    <row r="63" spans="2:3">
      <c r="B63" s="11" t="s">
        <v>1067</v>
      </c>
      <c r="C63" s="55"/>
    </row>
    <row r="64" spans="2:3">
      <c r="B64" s="8" t="s">
        <v>1068</v>
      </c>
    </row>
  </sheetData>
  <dataValidations count="3">
    <dataValidation type="list" allowBlank="1" showInputMessage="1" showErrorMessage="1" sqref="F4">
      <formula1>"Montag,Dienstag,Mittwoch,Donnerstag,Freitag"</formula1>
    </dataValidation>
    <dataValidation type="list" allowBlank="1" showInputMessage="1" showErrorMessage="1" sqref="F5">
      <formula1>"K,D,M,HH,B,MA"</formula1>
    </dataValidation>
    <dataValidation type="list" allowBlank="1" showInputMessage="1" showErrorMessage="1" sqref="F21:F23">
      <formula1>"ja,nein"</formula1>
    </dataValidation>
  </dataValidations>
  <hyperlinks>
    <hyperlink ref="C10" r:id="rId1"/>
    <hyperlink ref="C62" r:id="rId2"/>
  </hyperlinks>
  <pageMargins left="0.7" right="0.7" top="0.75" bottom="0.75" header="0.3" footer="0.3"/>
</worksheet>
</file>

<file path=xl/worksheets/sheet10.xml><?xml version="1.0" encoding="utf-8"?>
<worksheet xmlns="http://schemas.openxmlformats.org/spreadsheetml/2006/main" xmlns:r="http://schemas.openxmlformats.org/officeDocument/2006/relationships">
  <sheetPr codeName="BUE_Serviceparameter">
    <tabColor rgb="FF9AA3AD"/>
  </sheetPr>
  <dimension ref="B1:L12"/>
  <sheetViews>
    <sheetView showGridLines="0" workbookViewId="0"/>
  </sheetViews>
  <sheetFormatPr defaultRowHeight="15"/>
  <cols>
    <col min="1" max="1" width="2.7109375" customWidth="1"/>
    <col min="2" max="2" width="34.7109375" customWidth="1"/>
    <col min="3" max="6" width="12.7109375" customWidth="1"/>
    <col min="7" max="7" width="3.7109375" customWidth="1"/>
    <col min="8" max="8" width="34.7109375" customWidth="1"/>
    <col min="9" max="12" width="12.7109375" customWidth="1"/>
  </cols>
  <sheetData>
    <row r="1" spans="2:12">
      <c r="B1" s="13" t="s">
        <v>1242</v>
      </c>
    </row>
    <row r="2" spans="2:12">
      <c r="B2" s="2">
        <f>"Werte aus Rohdaten (Zeilen 7VA bis 7OL) · KW "&amp;_xlfn.ISOWEEKNUM(KWFreitag)&amp;" (Stand "&amp;TEXT(DAY(Stichtag),"00")&amp;"."&amp;TEXT(MONTH(Stichtag),"00")&amp;".) · Berichtstag "&amp;TEXT(DAY(Berichtstag),"00")&amp;"."&amp;TEXT(MONTH(Berichtstag),"00")&amp;"."&amp;YEAR(Berichtstag)</f>
        <v>0</v>
      </c>
    </row>
    <row r="4" spans="2:12">
      <c r="B4" s="4" t="s">
        <v>1243</v>
      </c>
      <c r="H4" s="4" t="s">
        <v>1250</v>
      </c>
    </row>
    <row r="5" spans="2:12">
      <c r="B5" s="9" t="s">
        <v>695</v>
      </c>
      <c r="C5" s="10" t="s">
        <v>832</v>
      </c>
      <c r="D5" s="10" t="s">
        <v>1244</v>
      </c>
      <c r="E5" s="10" t="s">
        <v>1245</v>
      </c>
      <c r="F5" s="10" t="s">
        <v>1246</v>
      </c>
      <c r="H5" s="9" t="s">
        <v>695</v>
      </c>
      <c r="I5" s="10" t="s">
        <v>832</v>
      </c>
      <c r="J5" s="10" t="s">
        <v>1244</v>
      </c>
      <c r="K5" s="10" t="s">
        <v>1245</v>
      </c>
      <c r="L5" s="10" t="s">
        <v>1246</v>
      </c>
    </row>
    <row r="6" spans="2:12">
      <c r="B6" s="55" t="s">
        <v>1247</v>
      </c>
      <c r="C6" s="17">
        <f>IFERROR(IF(ISNUMBER(INDEX(Rohdaten!$A$67:$LJ$67,MATCH(Stichtag,RD_Kopf,0))),INDEX(Rohdaten!$A$67:$LJ$67,MATCH(Stichtag,RD_Kopf,0)),"–"),"–")</f>
        <v>0</v>
      </c>
      <c r="D6" s="17">
        <f>IFERROR(IF(ISNUMBER(INDEX(Rohdaten!$A$68:$LJ$68,MATCH(Stichtag,RD_Kopf,0))),INDEX(Rohdaten!$A$68:$LJ$68,MATCH(Stichtag,RD_Kopf,0)),"–"),"–")</f>
        <v>0</v>
      </c>
      <c r="E6" s="17">
        <f>IFERROR(IF(ISNUMBER(INDEX(Rohdaten!$A$69:$LJ$69,MATCH(Stichtag,RD_Kopf,0))),INDEX(Rohdaten!$A$69:$LJ$69,MATCH(Stichtag,RD_Kopf,0)),"–"),"–")</f>
        <v>0</v>
      </c>
      <c r="F6" s="17">
        <f>IFERROR(IF(ISNUMBER(INDEX(Rohdaten!$A$70:$LJ$70,MATCH(Stichtag,RD_Kopf,0))),INDEX(Rohdaten!$A$70:$LJ$70,MATCH(Stichtag,RD_Kopf,0)),"–"),"–")</f>
        <v>0</v>
      </c>
      <c r="H6" s="55" t="s">
        <v>1247</v>
      </c>
      <c r="I6" s="17">
        <f>IFERROR(IF(ISNUMBER(INDEX(Rohdaten!$A$79:$LJ$79,MATCH(Stichtag,RD_Kopf,0))),INDEX(Rohdaten!$A$79:$LJ$79,MATCH(Stichtag,RD_Kopf,0)),"–"),"–")</f>
        <v>0</v>
      </c>
      <c r="J6" s="17">
        <f>IFERROR(IF(ISNUMBER(INDEX(Rohdaten!$A$80:$LJ$80,MATCH(Stichtag,RD_Kopf,0))),INDEX(Rohdaten!$A$80:$LJ$80,MATCH(Stichtag,RD_Kopf,0)),"–"),"–")</f>
        <v>0</v>
      </c>
      <c r="K6" s="17">
        <f>IFERROR(IF(ISNUMBER(INDEX(Rohdaten!$A$81:$LJ$81,MATCH(Stichtag,RD_Kopf,0))),INDEX(Rohdaten!$A$81:$LJ$81,MATCH(Stichtag,RD_Kopf,0)),"–"),"–")</f>
        <v>0</v>
      </c>
      <c r="L6" s="17">
        <f>IFERROR(IF(ISNUMBER(INDEX(Rohdaten!$A$82:$LJ$82,MATCH(Stichtag,RD_Kopf,0))),INDEX(Rohdaten!$A$82:$LJ$82,MATCH(Stichtag,RD_Kopf,0)),"–"),"–")</f>
        <v>0</v>
      </c>
    </row>
    <row r="7" spans="2:12">
      <c r="B7" s="55" t="s">
        <v>1248</v>
      </c>
      <c r="C7" s="17">
        <f>IFERROR(IF(ISNUMBER(INDEX(Rohdaten!$A$71:$LJ$71,MATCH(Stichtag,RD_Kopf,0))),INDEX(Rohdaten!$A$71:$LJ$71,MATCH(Stichtag,RD_Kopf,0)),"–"),"–")</f>
        <v>0</v>
      </c>
      <c r="D7" s="17">
        <f>IFERROR(IF(ISNUMBER(INDEX(Rohdaten!$A$72:$LJ$72,MATCH(Stichtag,RD_Kopf,0))),INDEX(Rohdaten!$A$72:$LJ$72,MATCH(Stichtag,RD_Kopf,0)),"–"),"–")</f>
        <v>0</v>
      </c>
      <c r="E7" s="17">
        <f>IFERROR(IF(ISNUMBER(INDEX(Rohdaten!$A$73:$LJ$73,MATCH(Stichtag,RD_Kopf,0))),INDEX(Rohdaten!$A$73:$LJ$73,MATCH(Stichtag,RD_Kopf,0)),"–"),"–")</f>
        <v>0</v>
      </c>
      <c r="F7" s="17">
        <f>IFERROR(IF(ISNUMBER(INDEX(Rohdaten!$A$74:$LJ$74,MATCH(Stichtag,RD_Kopf,0))),INDEX(Rohdaten!$A$74:$LJ$74,MATCH(Stichtag,RD_Kopf,0)),"–"),"–")</f>
        <v>0</v>
      </c>
      <c r="H7" s="55" t="s">
        <v>1248</v>
      </c>
      <c r="I7" s="17">
        <f>IFERROR(IF(ISNUMBER(INDEX(Rohdaten!$A$83:$LJ$83,MATCH(Stichtag,RD_Kopf,0))),INDEX(Rohdaten!$A$83:$LJ$83,MATCH(Stichtag,RD_Kopf,0)),"–"),"–")</f>
        <v>0</v>
      </c>
      <c r="J7" s="17">
        <f>IFERROR(IF(ISNUMBER(INDEX(Rohdaten!$A$84:$LJ$84,MATCH(Stichtag,RD_Kopf,0))),INDEX(Rohdaten!$A$84:$LJ$84,MATCH(Stichtag,RD_Kopf,0)),"–"),"–")</f>
        <v>0</v>
      </c>
      <c r="K7" s="17">
        <f>IFERROR(IF(ISNUMBER(INDEX(Rohdaten!$A$85:$LJ$85,MATCH(Stichtag,RD_Kopf,0))),INDEX(Rohdaten!$A$85:$LJ$85,MATCH(Stichtag,RD_Kopf,0)),"–"),"–")</f>
        <v>0</v>
      </c>
      <c r="L7" s="17">
        <f>IFERROR(IF(ISNUMBER(INDEX(Rohdaten!$A$86:$LJ$86,MATCH(Stichtag,RD_Kopf,0))),INDEX(Rohdaten!$A$86:$LJ$86,MATCH(Stichtag,RD_Kopf,0)),"–"),"–")</f>
        <v>0</v>
      </c>
    </row>
    <row r="8" spans="2:12">
      <c r="B8" s="55" t="s">
        <v>786</v>
      </c>
      <c r="C8" s="17">
        <f>IFERROR(IF(ISNUMBER(INDEX(Rohdaten!$A$75:$LJ$75,MATCH(Stichtag,RD_Kopf,0))),INDEX(Rohdaten!$A$75:$LJ$75,MATCH(Stichtag,RD_Kopf,0)),"–"),"–")</f>
        <v>0</v>
      </c>
      <c r="D8" s="17">
        <f>IFERROR(IF(ISNUMBER(INDEX(Rohdaten!$A$76:$LJ$76,MATCH(Stichtag,RD_Kopf,0))),INDEX(Rohdaten!$A$76:$LJ$76,MATCH(Stichtag,RD_Kopf,0)),"–"),"–")</f>
        <v>0</v>
      </c>
      <c r="E8" s="17">
        <f>IFERROR(IF(ISNUMBER(INDEX(Rohdaten!$A$77:$LJ$77,MATCH(Stichtag,RD_Kopf,0))),INDEX(Rohdaten!$A$77:$LJ$77,MATCH(Stichtag,RD_Kopf,0)),"–"),"–")</f>
        <v>0</v>
      </c>
      <c r="F8" s="17">
        <f>IFERROR(IF(ISNUMBER(INDEX(Rohdaten!$A$78:$LJ$78,MATCH(Stichtag,RD_Kopf,0))),INDEX(Rohdaten!$A$78:$LJ$78,MATCH(Stichtag,RD_Kopf,0)),"–"),"–")</f>
        <v>0</v>
      </c>
      <c r="H8" s="55" t="s">
        <v>786</v>
      </c>
      <c r="I8" s="17">
        <f>IFERROR(IF(ISNUMBER(INDEX(Rohdaten!$A$87:$LJ$87,MATCH(Stichtag,RD_Kopf,0))),INDEX(Rohdaten!$A$87:$LJ$87,MATCH(Stichtag,RD_Kopf,0)),"–"),"–")</f>
        <v>0</v>
      </c>
      <c r="J8" s="17">
        <f>IFERROR(IF(ISNUMBER(INDEX(Rohdaten!$A$88:$LJ$88,MATCH(Stichtag,RD_Kopf,0))),INDEX(Rohdaten!$A$88:$LJ$88,MATCH(Stichtag,RD_Kopf,0)),"–"),"–")</f>
        <v>0</v>
      </c>
      <c r="K8" s="17">
        <f>IFERROR(IF(ISNUMBER(INDEX(Rohdaten!$A$89:$LJ$89,MATCH(Stichtag,RD_Kopf,0))),INDEX(Rohdaten!$A$89:$LJ$89,MATCH(Stichtag,RD_Kopf,0)),"–"),"–")</f>
        <v>0</v>
      </c>
      <c r="L8" s="17">
        <f>IFERROR(IF(ISNUMBER(INDEX(Rohdaten!$A$90:$LJ$90,MATCH(Stichtag,RD_Kopf,0))),INDEX(Rohdaten!$A$90:$LJ$90,MATCH(Stichtag,RD_Kopf,0)),"–"),"–")</f>
        <v>0</v>
      </c>
    </row>
    <row r="10" spans="2:12">
      <c r="B10" s="55" t="s">
        <v>1249</v>
      </c>
      <c r="C10" s="18">
        <f>IFERROR(C6-IFERROR(IF(ISNUMBER(INDEX(Rohdaten!$A$67:$LJ$67,MATCH(VorStichtag,RD_Kopf,0))),INDEX(Rohdaten!$A$67:$LJ$67,MATCH(VorStichtag,RD_Kopf,0)),"–"),"–"),"–")</f>
        <v>0</v>
      </c>
      <c r="H10" s="55" t="s">
        <v>1249</v>
      </c>
      <c r="I10" s="18">
        <f>IFERROR(I6-IFERROR(IF(ISNUMBER(INDEX(Rohdaten!$A$79:$LJ$79,MATCH(VorStichtag,RD_Kopf,0))),INDEX(Rohdaten!$A$79:$LJ$79,MATCH(VorStichtag,RD_Kopf,0)),"–"),"–"),"–")</f>
        <v>0</v>
      </c>
    </row>
    <row r="12" spans="2:12">
      <c r="B12" s="8" t="s">
        <v>1251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sheetPr codeName="Dashboard_Daten">
    <tabColor rgb="FF9AA3AD"/>
  </sheetPr>
  <dimension ref="A1:DI313"/>
  <sheetViews>
    <sheetView workbookViewId="0">
      <pane xSplit="3" ySplit="6" topLeftCell="D7" activePane="bottomRight" state="frozen"/>
      <selection pane="topRight" activeCell="D1" sqref="D1"/>
      <selection pane="bottomLeft" activeCell="A7" sqref="A7"/>
      <selection pane="bottomRight"/>
    </sheetView>
  </sheetViews>
  <sheetFormatPr defaultRowHeight="15"/>
  <cols>
    <col min="1" max="1" width="14.7109375" customWidth="1"/>
    <col min="2" max="2" width="34.7109375" customWidth="1"/>
    <col min="3" max="3" width="16.7109375" customWidth="1"/>
    <col min="4" max="30" width="10.7109375" customWidth="1"/>
    <col min="31" max="31" width="2.7109375" customWidth="1"/>
    <col min="32" max="41" width="10.7109375" customWidth="1"/>
    <col min="42" max="42" width="2.7109375" customWidth="1"/>
    <col min="43" max="68" width="8.7109375" customWidth="1"/>
    <col min="69" max="69" width="2.7109375" customWidth="1"/>
    <col min="70" max="95" width="8.7109375" customWidth="1"/>
    <col min="96" max="96" width="2.7109375" customWidth="1"/>
    <col min="97" max="100" width="11.7109375" customWidth="1"/>
    <col min="102" max="114" width="14.7109375" customWidth="1"/>
  </cols>
  <sheetData>
    <row r="1" spans="1:110">
      <c r="A1" s="13" t="s">
        <v>0</v>
      </c>
    </row>
    <row r="2" spans="1:110">
      <c r="A2" s="8" t="s">
        <v>1</v>
      </c>
      <c r="CX2" s="3" t="s">
        <v>1351</v>
      </c>
      <c r="CY2" s="3" t="s">
        <v>1352</v>
      </c>
      <c r="CZ2" s="3" t="s">
        <v>1353</v>
      </c>
      <c r="DA2" s="3" t="s">
        <v>1354</v>
      </c>
      <c r="DB2" s="3" t="s">
        <v>1355</v>
      </c>
      <c r="DC2" s="3" t="s">
        <v>1356</v>
      </c>
      <c r="DD2" s="3" t="s">
        <v>1357</v>
      </c>
      <c r="DE2" s="3" t="s">
        <v>1358</v>
      </c>
      <c r="DF2" s="3" t="s">
        <v>1359</v>
      </c>
    </row>
    <row r="3" spans="1:110">
      <c r="A3" s="9" t="s">
        <v>4</v>
      </c>
      <c r="B3" s="5">
        <v>10</v>
      </c>
      <c r="C3" s="3" t="s">
        <v>101</v>
      </c>
      <c r="D3" s="55">
        <f>""&amp;_xlfn.ISOWEEKNUM(D4-MOD(WEEKDAY(D4,2)+2,7))</f>
        <v>0</v>
      </c>
      <c r="E3" s="55">
        <f>""&amp;_xlfn.ISOWEEKNUM(E4-MOD(WEEKDAY(E4,2)+2,7))</f>
        <v>0</v>
      </c>
      <c r="F3" s="55">
        <f>""&amp;_xlfn.ISOWEEKNUM(F4-MOD(WEEKDAY(F4,2)+2,7))</f>
        <v>0</v>
      </c>
      <c r="G3" s="55">
        <f>""&amp;_xlfn.ISOWEEKNUM(G4-MOD(WEEKDAY(G4,2)+2,7))</f>
        <v>0</v>
      </c>
      <c r="H3" s="55">
        <f>""&amp;_xlfn.ISOWEEKNUM(H4-MOD(WEEKDAY(H4,2)+2,7))</f>
        <v>0</v>
      </c>
      <c r="I3" s="55">
        <f>""&amp;_xlfn.ISOWEEKNUM(I4-MOD(WEEKDAY(I4,2)+2,7))</f>
        <v>0</v>
      </c>
      <c r="J3" s="55">
        <f>""&amp;_xlfn.ISOWEEKNUM(J4-MOD(WEEKDAY(J4,2)+2,7))</f>
        <v>0</v>
      </c>
      <c r="K3" s="55">
        <f>""&amp;_xlfn.ISOWEEKNUM(K4-MOD(WEEKDAY(K4,2)+2,7))</f>
        <v>0</v>
      </c>
      <c r="L3" s="55">
        <f>""&amp;_xlfn.ISOWEEKNUM(L4-MOD(WEEKDAY(L4,2)+2,7))</f>
        <v>0</v>
      </c>
      <c r="M3" s="55">
        <f>""&amp;_xlfn.ISOWEEKNUM(M4-MOD(WEEKDAY(M4,2)+2,7))</f>
        <v>0</v>
      </c>
      <c r="N3" s="55">
        <f>""&amp;_xlfn.ISOWEEKNUM(N4-MOD(WEEKDAY(N4,2)+2,7))</f>
        <v>0</v>
      </c>
      <c r="O3" s="55">
        <f>""&amp;_xlfn.ISOWEEKNUM(O4-MOD(WEEKDAY(O4,2)+2,7))</f>
        <v>0</v>
      </c>
      <c r="P3" s="55">
        <f>""&amp;_xlfn.ISOWEEKNUM(P4-MOD(WEEKDAY(P4,2)+2,7))</f>
        <v>0</v>
      </c>
      <c r="Q3" s="55">
        <f>""&amp;_xlfn.ISOWEEKNUM(Q4-MOD(WEEKDAY(Q4,2)+2,7))</f>
        <v>0</v>
      </c>
      <c r="R3" s="55">
        <f>""&amp;_xlfn.ISOWEEKNUM(R4-MOD(WEEKDAY(R4,2)+2,7))</f>
        <v>0</v>
      </c>
      <c r="S3" s="55">
        <f>""&amp;_xlfn.ISOWEEKNUM(S4-MOD(WEEKDAY(S4,2)+2,7))</f>
        <v>0</v>
      </c>
      <c r="T3" s="55">
        <f>""&amp;_xlfn.ISOWEEKNUM(T4-MOD(WEEKDAY(T4,2)+2,7))</f>
        <v>0</v>
      </c>
      <c r="U3" s="55">
        <f>""&amp;_xlfn.ISOWEEKNUM(U4-MOD(WEEKDAY(U4,2)+2,7))</f>
        <v>0</v>
      </c>
      <c r="V3" s="55">
        <f>""&amp;_xlfn.ISOWEEKNUM(V4-MOD(WEEKDAY(V4,2)+2,7))</f>
        <v>0</v>
      </c>
      <c r="W3" s="55">
        <f>""&amp;_xlfn.ISOWEEKNUM(W4-MOD(WEEKDAY(W4,2)+2,7))</f>
        <v>0</v>
      </c>
      <c r="X3" s="55">
        <f>""&amp;_xlfn.ISOWEEKNUM(X4-MOD(WEEKDAY(X4,2)+2,7))</f>
        <v>0</v>
      </c>
      <c r="Y3" s="55">
        <f>""&amp;_xlfn.ISOWEEKNUM(Y4-MOD(WEEKDAY(Y4,2)+2,7))</f>
        <v>0</v>
      </c>
      <c r="Z3" s="55">
        <f>""&amp;_xlfn.ISOWEEKNUM(Z4-MOD(WEEKDAY(Z4,2)+2,7))</f>
        <v>0</v>
      </c>
      <c r="AA3" s="55">
        <f>""&amp;_xlfn.ISOWEEKNUM(AA4-MOD(WEEKDAY(AA4,2)+2,7))</f>
        <v>0</v>
      </c>
      <c r="AB3" s="55">
        <f>""&amp;_xlfn.ISOWEEKNUM(AB4-MOD(WEEKDAY(AB4,2)+2,7))</f>
        <v>0</v>
      </c>
      <c r="AC3" s="55">
        <f>""&amp;_xlfn.ISOWEEKNUM(AC4-MOD(WEEKDAY(AC4,2)+2,7))</f>
        <v>0</v>
      </c>
      <c r="AD3" s="55">
        <f>""&amp;_xlfn.ISOWEEKNUM(AD4-MOD(WEEKDAY(AD4,2)+2,7))</f>
        <v>0</v>
      </c>
      <c r="CX3" s="5">
        <v>70</v>
      </c>
      <c r="CY3" s="5">
        <v>95</v>
      </c>
      <c r="CZ3" s="5">
        <v>41</v>
      </c>
      <c r="DA3" s="5">
        <v>43</v>
      </c>
      <c r="DB3" s="5">
        <v>4</v>
      </c>
      <c r="DC3" s="5">
        <v>26</v>
      </c>
      <c r="DD3" s="5">
        <v>10</v>
      </c>
      <c r="DE3" s="5">
        <v>97</v>
      </c>
      <c r="DF3" s="5">
        <v>4</v>
      </c>
    </row>
    <row r="4" spans="1:110">
      <c r="A4" s="9" t="s">
        <v>2</v>
      </c>
      <c r="D4" s="16">
        <f>_xlfn.MAXIFS(RD_Kopf,RD_Kopf,"&lt;"&amp;E4)</f>
        <v>0</v>
      </c>
      <c r="E4" s="16">
        <f>_xlfn.MAXIFS(RD_Kopf,RD_Kopf,"&lt;"&amp;F4)</f>
        <v>0</v>
      </c>
      <c r="F4" s="16">
        <f>_xlfn.MAXIFS(RD_Kopf,RD_Kopf,"&lt;"&amp;G4)</f>
        <v>0</v>
      </c>
      <c r="G4" s="16">
        <f>_xlfn.MAXIFS(RD_Kopf,RD_Kopf,"&lt;"&amp;H4)</f>
        <v>0</v>
      </c>
      <c r="H4" s="16">
        <f>_xlfn.MAXIFS(RD_Kopf,RD_Kopf,"&lt;"&amp;I4)</f>
        <v>0</v>
      </c>
      <c r="I4" s="16">
        <f>_xlfn.MAXIFS(RD_Kopf,RD_Kopf,"&lt;"&amp;J4)</f>
        <v>0</v>
      </c>
      <c r="J4" s="16">
        <f>_xlfn.MAXIFS(RD_Kopf,RD_Kopf,"&lt;"&amp;K4)</f>
        <v>0</v>
      </c>
      <c r="K4" s="16">
        <f>_xlfn.MAXIFS(RD_Kopf,RD_Kopf,"&lt;"&amp;L4)</f>
        <v>0</v>
      </c>
      <c r="L4" s="16">
        <f>_xlfn.MAXIFS(RD_Kopf,RD_Kopf,"&lt;"&amp;M4)</f>
        <v>0</v>
      </c>
      <c r="M4" s="16">
        <f>_xlfn.MAXIFS(RD_Kopf,RD_Kopf,"&lt;"&amp;N4)</f>
        <v>0</v>
      </c>
      <c r="N4" s="16">
        <f>_xlfn.MAXIFS(RD_Kopf,RD_Kopf,"&lt;"&amp;O4)</f>
        <v>0</v>
      </c>
      <c r="O4" s="16">
        <f>_xlfn.MAXIFS(RD_Kopf,RD_Kopf,"&lt;"&amp;P4)</f>
        <v>0</v>
      </c>
      <c r="P4" s="16">
        <f>_xlfn.MAXIFS(RD_Kopf,RD_Kopf,"&lt;"&amp;Q4)</f>
        <v>0</v>
      </c>
      <c r="Q4" s="16">
        <f>_xlfn.MAXIFS(RD_Kopf,RD_Kopf,"&lt;"&amp;R4)</f>
        <v>0</v>
      </c>
      <c r="R4" s="16">
        <f>_xlfn.MAXIFS(RD_Kopf,RD_Kopf,"&lt;"&amp;S4)</f>
        <v>0</v>
      </c>
      <c r="S4" s="16">
        <f>_xlfn.MAXIFS(RD_Kopf,RD_Kopf,"&lt;"&amp;T4)</f>
        <v>0</v>
      </c>
      <c r="T4" s="16">
        <f>_xlfn.MAXIFS(RD_Kopf,RD_Kopf,"&lt;"&amp;U4)</f>
        <v>0</v>
      </c>
      <c r="U4" s="16">
        <f>_xlfn.MAXIFS(RD_Kopf,RD_Kopf,"&lt;"&amp;V4)</f>
        <v>0</v>
      </c>
      <c r="V4" s="16">
        <f>_xlfn.MAXIFS(RD_Kopf,RD_Kopf,"&lt;"&amp;W4)</f>
        <v>0</v>
      </c>
      <c r="W4" s="16">
        <f>_xlfn.MAXIFS(RD_Kopf,RD_Kopf,"&lt;"&amp;X4)</f>
        <v>0</v>
      </c>
      <c r="X4" s="16">
        <f>_xlfn.MAXIFS(RD_Kopf,RD_Kopf,"&lt;"&amp;Y4)</f>
        <v>0</v>
      </c>
      <c r="Y4" s="16">
        <f>_xlfn.MAXIFS(RD_Kopf,RD_Kopf,"&lt;"&amp;Z4)</f>
        <v>0</v>
      </c>
      <c r="Z4" s="16">
        <f>_xlfn.MAXIFS(RD_Kopf,RD_Kopf,"&lt;"&amp;AA4)</f>
        <v>0</v>
      </c>
      <c r="AA4" s="16">
        <f>_xlfn.MAXIFS(RD_Kopf,RD_Kopf,"&lt;"&amp;AB4)</f>
        <v>0</v>
      </c>
      <c r="AB4" s="16">
        <f>_xlfn.MAXIFS(RD_Kopf,RD_Kopf,"&lt;"&amp;AC4)</f>
        <v>0</v>
      </c>
      <c r="AC4" s="16">
        <f>_xlfn.MAXIFS(RD_Kopf,RD_Kopf,"&lt;"&amp;AD4)</f>
        <v>0</v>
      </c>
      <c r="AD4" s="16">
        <f>Stichtag</f>
        <v>0</v>
      </c>
      <c r="AF4" s="16">
        <f>DATE(YEAR(AG4),MONTH(AG4)-1,1)</f>
        <v>0</v>
      </c>
      <c r="AG4" s="16">
        <f>DATE(YEAR(AH4),MONTH(AH4)-1,1)</f>
        <v>0</v>
      </c>
      <c r="AH4" s="16">
        <f>DATE(YEAR(AI4),MONTH(AI4)-1,1)</f>
        <v>0</v>
      </c>
      <c r="AI4" s="16">
        <f>DATE(YEAR(AJ4),MONTH(AJ4)-1,1)</f>
        <v>0</v>
      </c>
      <c r="AJ4" s="16">
        <f>DATE(YEAR(AK4),MONTH(AK4)-1,1)</f>
        <v>0</v>
      </c>
      <c r="AK4" s="16">
        <f>DATE(YEAR(AL4),MONTH(AL4)-1,1)</f>
        <v>0</v>
      </c>
      <c r="AL4" s="16">
        <f>DATE(YEAR(AM4),MONTH(AM4)-1,1)</f>
        <v>0</v>
      </c>
      <c r="AM4" s="16">
        <f>DATE(YEAR(AN4),MONTH(AN4)-1,1)</f>
        <v>0</v>
      </c>
      <c r="AN4" s="16">
        <f>DATE(YEAR(AO4),MONTH(AO4)-1,1)</f>
        <v>0</v>
      </c>
      <c r="AO4" s="16">
        <f>DATE(YEAR(Berichtstag),MONTH(Berichtstag)-1,1)</f>
        <v>0</v>
      </c>
      <c r="CS4" s="16">
        <f>DATE(YEAR(Berichtstag),MONTH(Berichtstag)-1,1)</f>
        <v>0</v>
      </c>
      <c r="CT4" s="16">
        <f>DATE(YEAR(Berichtstag),MONTH(Berichtstag),1)</f>
        <v>0</v>
      </c>
      <c r="CU4" s="16">
        <f>DATE(YEAR(Berichtstag)+1,1,1)</f>
        <v>0</v>
      </c>
      <c r="CV4" s="16">
        <f>DATE(YEAR(Berichtstag)+2,1,1)</f>
        <v>0</v>
      </c>
    </row>
    <row r="5" spans="1:110">
      <c r="A5" s="9" t="s">
        <v>3</v>
      </c>
      <c r="D5" s="55">
        <f>"KW "&amp;_xlfn.ISOWEEKNUM(D4-MOD(WEEKDAY(D4,2)+2,7))</f>
        <v>0</v>
      </c>
      <c r="E5" s="55">
        <f>"KW "&amp;_xlfn.ISOWEEKNUM(E4-MOD(WEEKDAY(E4,2)+2,7))</f>
        <v>0</v>
      </c>
      <c r="F5" s="55">
        <f>"KW "&amp;_xlfn.ISOWEEKNUM(F4-MOD(WEEKDAY(F4,2)+2,7))</f>
        <v>0</v>
      </c>
      <c r="G5" s="55">
        <f>"KW "&amp;_xlfn.ISOWEEKNUM(G4-MOD(WEEKDAY(G4,2)+2,7))</f>
        <v>0</v>
      </c>
      <c r="H5" s="55">
        <f>"KW "&amp;_xlfn.ISOWEEKNUM(H4-MOD(WEEKDAY(H4,2)+2,7))</f>
        <v>0</v>
      </c>
      <c r="I5" s="55">
        <f>"KW "&amp;_xlfn.ISOWEEKNUM(I4-MOD(WEEKDAY(I4,2)+2,7))</f>
        <v>0</v>
      </c>
      <c r="J5" s="55">
        <f>"KW "&amp;_xlfn.ISOWEEKNUM(J4-MOD(WEEKDAY(J4,2)+2,7))</f>
        <v>0</v>
      </c>
      <c r="K5" s="55">
        <f>"KW "&amp;_xlfn.ISOWEEKNUM(K4-MOD(WEEKDAY(K4,2)+2,7))</f>
        <v>0</v>
      </c>
      <c r="L5" s="55">
        <f>"KW "&amp;_xlfn.ISOWEEKNUM(L4-MOD(WEEKDAY(L4,2)+2,7))</f>
        <v>0</v>
      </c>
      <c r="M5" s="55">
        <f>"KW "&amp;_xlfn.ISOWEEKNUM(M4-MOD(WEEKDAY(M4,2)+2,7))</f>
        <v>0</v>
      </c>
      <c r="N5" s="55">
        <f>"KW "&amp;_xlfn.ISOWEEKNUM(N4-MOD(WEEKDAY(N4,2)+2,7))</f>
        <v>0</v>
      </c>
      <c r="O5" s="55">
        <f>"KW "&amp;_xlfn.ISOWEEKNUM(O4-MOD(WEEKDAY(O4,2)+2,7))</f>
        <v>0</v>
      </c>
      <c r="P5" s="55">
        <f>"KW "&amp;_xlfn.ISOWEEKNUM(P4-MOD(WEEKDAY(P4,2)+2,7))</f>
        <v>0</v>
      </c>
      <c r="Q5" s="55">
        <f>"KW "&amp;_xlfn.ISOWEEKNUM(Q4-MOD(WEEKDAY(Q4,2)+2,7))</f>
        <v>0</v>
      </c>
      <c r="R5" s="55">
        <f>"KW "&amp;_xlfn.ISOWEEKNUM(R4-MOD(WEEKDAY(R4,2)+2,7))</f>
        <v>0</v>
      </c>
      <c r="S5" s="55">
        <f>"KW "&amp;_xlfn.ISOWEEKNUM(S4-MOD(WEEKDAY(S4,2)+2,7))</f>
        <v>0</v>
      </c>
      <c r="T5" s="55">
        <f>"KW "&amp;_xlfn.ISOWEEKNUM(T4-MOD(WEEKDAY(T4,2)+2,7))</f>
        <v>0</v>
      </c>
      <c r="U5" s="55">
        <f>"KW "&amp;_xlfn.ISOWEEKNUM(U4-MOD(WEEKDAY(U4,2)+2,7))</f>
        <v>0</v>
      </c>
      <c r="V5" s="55">
        <f>"KW "&amp;_xlfn.ISOWEEKNUM(V4-MOD(WEEKDAY(V4,2)+2,7))</f>
        <v>0</v>
      </c>
      <c r="W5" s="55">
        <f>"KW "&amp;_xlfn.ISOWEEKNUM(W4-MOD(WEEKDAY(W4,2)+2,7))</f>
        <v>0</v>
      </c>
      <c r="X5" s="55">
        <f>"KW "&amp;_xlfn.ISOWEEKNUM(X4-MOD(WEEKDAY(X4,2)+2,7))</f>
        <v>0</v>
      </c>
      <c r="Y5" s="55">
        <f>"KW "&amp;_xlfn.ISOWEEKNUM(Y4-MOD(WEEKDAY(Y4,2)+2,7))</f>
        <v>0</v>
      </c>
      <c r="Z5" s="55">
        <f>"KW "&amp;_xlfn.ISOWEEKNUM(Z4-MOD(WEEKDAY(Z4,2)+2,7))</f>
        <v>0</v>
      </c>
      <c r="AA5" s="55">
        <f>"KW "&amp;_xlfn.ISOWEEKNUM(AA4-MOD(WEEKDAY(AA4,2)+2,7))</f>
        <v>0</v>
      </c>
      <c r="AB5" s="55">
        <f>"KW "&amp;_xlfn.ISOWEEKNUM(AB4-MOD(WEEKDAY(AB4,2)+2,7))</f>
        <v>0</v>
      </c>
      <c r="AC5" s="55">
        <f>"KW "&amp;_xlfn.ISOWEEKNUM(AC4-MOD(WEEKDAY(AC4,2)+2,7))</f>
        <v>0</v>
      </c>
      <c r="AD5" s="55">
        <f>"KW "&amp;_xlfn.ISOWEEKNUM(AD4-MOD(WEEKDAY(AD4,2)+2,7))</f>
        <v>0</v>
      </c>
      <c r="AF5" s="55">
        <f>CHOOSE(MONTH(AF4),"Jan","Feb","Mär","Apr","Mai","Jun","Jul","Aug","Sep","Okt","Nov","Dez")&amp;" "&amp;RIGHT(YEAR(AF4),2)</f>
        <v>0</v>
      </c>
      <c r="AG5" s="55">
        <f>CHOOSE(MONTH(AG4),"Jan","Feb","Mär","Apr","Mai","Jun","Jul","Aug","Sep","Okt","Nov","Dez")&amp;" "&amp;RIGHT(YEAR(AG4),2)</f>
        <v>0</v>
      </c>
      <c r="AH5" s="55">
        <f>CHOOSE(MONTH(AH4),"Jan","Feb","Mär","Apr","Mai","Jun","Jul","Aug","Sep","Okt","Nov","Dez")&amp;" "&amp;RIGHT(YEAR(AH4),2)</f>
        <v>0</v>
      </c>
      <c r="AI5" s="55">
        <f>CHOOSE(MONTH(AI4),"Jan","Feb","Mär","Apr","Mai","Jun","Jul","Aug","Sep","Okt","Nov","Dez")&amp;" "&amp;RIGHT(YEAR(AI4),2)</f>
        <v>0</v>
      </c>
      <c r="AJ5" s="55">
        <f>CHOOSE(MONTH(AJ4),"Jan","Feb","Mär","Apr","Mai","Jun","Jul","Aug","Sep","Okt","Nov","Dez")&amp;" "&amp;RIGHT(YEAR(AJ4),2)</f>
        <v>0</v>
      </c>
      <c r="AK5" s="55">
        <f>CHOOSE(MONTH(AK4),"Jan","Feb","Mär","Apr","Mai","Jun","Jul","Aug","Sep","Okt","Nov","Dez")&amp;" "&amp;RIGHT(YEAR(AK4),2)</f>
        <v>0</v>
      </c>
      <c r="AL5" s="55">
        <f>CHOOSE(MONTH(AL4),"Jan","Feb","Mär","Apr","Mai","Jun","Jul","Aug","Sep","Okt","Nov","Dez")&amp;" "&amp;RIGHT(YEAR(AL4),2)</f>
        <v>0</v>
      </c>
      <c r="AM5" s="55">
        <f>CHOOSE(MONTH(AM4),"Jan","Feb","Mär","Apr","Mai","Jun","Jul","Aug","Sep","Okt","Nov","Dez")&amp;" "&amp;RIGHT(YEAR(AM4),2)</f>
        <v>0</v>
      </c>
      <c r="AN5" s="55">
        <f>CHOOSE(MONTH(AN4),"Jan","Feb","Mär","Apr","Mai","Jun","Jul","Aug","Sep","Okt","Nov","Dez")&amp;" "&amp;RIGHT(YEAR(AN4),2)</f>
        <v>0</v>
      </c>
      <c r="AO5" s="55">
        <f>CHOOSE(MONTH(AO4),"Jan","Feb","Mär","Apr","Mai","Jun","Jul","Aug","Sep","Okt","Nov","Dez")&amp;" "&amp;RIGHT(YEAR(AO4),2)</f>
        <v>0</v>
      </c>
      <c r="CS5" s="55">
        <f>CHOOSE(MONTH(CS4),"Jan","Feb","Mär","Apr","Mai","Jun","Jul","Aug","Sep","Okt","Nov","Dez")&amp;" "&amp;RIGHT(YEAR(CS4),2)</f>
        <v>0</v>
      </c>
      <c r="CT5" s="55">
        <f>CHOOSE(MONTH(CT4),"Jan","Feb","Mär","Apr","Mai","Jun","Jul","Aug","Sep","Okt","Nov","Dez")&amp;" "&amp;RIGHT(YEAR(CT4),2)</f>
        <v>0</v>
      </c>
      <c r="CU5" s="55">
        <f>CHOOSE(MONTH(CU4),"Jan","Feb","Mär","Apr","Mai","Jun","Jul","Aug","Sep","Okt","Nov","Dez")&amp;" "&amp;RIGHT(YEAR(CU4),2)&amp;" (Plan)"</f>
        <v>0</v>
      </c>
      <c r="CV5" s="55">
        <f>CHOOSE(MONTH(CV4),"Jan","Feb","Mär","Apr","Mai","Jun","Jul","Aug","Sep","Okt","Nov","Dez")&amp;" "&amp;RIGHT(YEAR(CV4),2)&amp;" (Plan)"</f>
        <v>0</v>
      </c>
    </row>
    <row r="6" spans="1:110">
      <c r="A6" s="9" t="s">
        <v>5</v>
      </c>
      <c r="B6" s="9" t="s">
        <v>6</v>
      </c>
      <c r="C6" s="9" t="s">
        <v>7</v>
      </c>
      <c r="D6" s="10" t="s">
        <v>8</v>
      </c>
      <c r="E6" s="10" t="s">
        <v>9</v>
      </c>
      <c r="F6" s="10" t="s">
        <v>10</v>
      </c>
      <c r="G6" s="10" t="s">
        <v>11</v>
      </c>
      <c r="H6" s="10" t="s">
        <v>12</v>
      </c>
      <c r="I6" s="10" t="s">
        <v>13</v>
      </c>
      <c r="J6" s="10" t="s">
        <v>14</v>
      </c>
      <c r="K6" s="10" t="s">
        <v>15</v>
      </c>
      <c r="L6" s="10" t="s">
        <v>16</v>
      </c>
      <c r="M6" s="10" t="s">
        <v>17</v>
      </c>
      <c r="N6" s="10" t="s">
        <v>18</v>
      </c>
      <c r="O6" s="10" t="s">
        <v>19</v>
      </c>
      <c r="P6" s="10" t="s">
        <v>20</v>
      </c>
      <c r="Q6" s="10" t="s">
        <v>21</v>
      </c>
      <c r="R6" s="10" t="s">
        <v>22</v>
      </c>
      <c r="S6" s="10" t="s">
        <v>23</v>
      </c>
      <c r="T6" s="10" t="s">
        <v>24</v>
      </c>
      <c r="U6" s="10" t="s">
        <v>25</v>
      </c>
      <c r="V6" s="10" t="s">
        <v>26</v>
      </c>
      <c r="W6" s="10" t="s">
        <v>27</v>
      </c>
      <c r="X6" s="10" t="s">
        <v>28</v>
      </c>
      <c r="Y6" s="10" t="s">
        <v>29</v>
      </c>
      <c r="Z6" s="10" t="s">
        <v>30</v>
      </c>
      <c r="AA6" s="10" t="s">
        <v>31</v>
      </c>
      <c r="AB6" s="10" t="s">
        <v>32</v>
      </c>
      <c r="AC6" s="10" t="s">
        <v>33</v>
      </c>
      <c r="AD6" s="10" t="s">
        <v>34</v>
      </c>
      <c r="AF6" s="10" t="s">
        <v>35</v>
      </c>
      <c r="AG6" s="10" t="s">
        <v>36</v>
      </c>
      <c r="AH6" s="10" t="s">
        <v>37</v>
      </c>
      <c r="AI6" s="10" t="s">
        <v>38</v>
      </c>
      <c r="AJ6" s="10" t="s">
        <v>39</v>
      </c>
      <c r="AK6" s="10" t="s">
        <v>40</v>
      </c>
      <c r="AL6" s="10" t="s">
        <v>41</v>
      </c>
      <c r="AM6" s="10" t="s">
        <v>42</v>
      </c>
      <c r="AN6" s="10" t="s">
        <v>43</v>
      </c>
      <c r="AO6" s="10" t="s">
        <v>44</v>
      </c>
      <c r="AQ6" s="10" t="s">
        <v>45</v>
      </c>
      <c r="AR6" s="10" t="s">
        <v>46</v>
      </c>
      <c r="AS6" s="10" t="s">
        <v>47</v>
      </c>
      <c r="AT6" s="10" t="s">
        <v>48</v>
      </c>
      <c r="AU6" s="10" t="s">
        <v>49</v>
      </c>
      <c r="AV6" s="10" t="s">
        <v>50</v>
      </c>
      <c r="AW6" s="10" t="s">
        <v>51</v>
      </c>
      <c r="AX6" s="10" t="s">
        <v>52</v>
      </c>
      <c r="AY6" s="10" t="s">
        <v>53</v>
      </c>
      <c r="AZ6" s="10" t="s">
        <v>54</v>
      </c>
      <c r="BA6" s="10" t="s">
        <v>55</v>
      </c>
      <c r="BB6" s="10" t="s">
        <v>56</v>
      </c>
      <c r="BC6" s="10" t="s">
        <v>57</v>
      </c>
      <c r="BD6" s="10" t="s">
        <v>58</v>
      </c>
      <c r="BE6" s="10" t="s">
        <v>59</v>
      </c>
      <c r="BF6" s="10" t="s">
        <v>60</v>
      </c>
      <c r="BG6" s="10" t="s">
        <v>61</v>
      </c>
      <c r="BH6" s="10" t="s">
        <v>62</v>
      </c>
      <c r="BI6" s="10" t="s">
        <v>63</v>
      </c>
      <c r="BJ6" s="10" t="s">
        <v>64</v>
      </c>
      <c r="BK6" s="10" t="s">
        <v>65</v>
      </c>
      <c r="BL6" s="10" t="s">
        <v>66</v>
      </c>
      <c r="BM6" s="10" t="s">
        <v>67</v>
      </c>
      <c r="BN6" s="10" t="s">
        <v>68</v>
      </c>
      <c r="BO6" s="10" t="s">
        <v>69</v>
      </c>
      <c r="BP6" s="10" t="s">
        <v>70</v>
      </c>
      <c r="BR6" s="10" t="s">
        <v>71</v>
      </c>
      <c r="BS6" s="10" t="s">
        <v>72</v>
      </c>
      <c r="BT6" s="10" t="s">
        <v>73</v>
      </c>
      <c r="BU6" s="10" t="s">
        <v>74</v>
      </c>
      <c r="BV6" s="10" t="s">
        <v>75</v>
      </c>
      <c r="BW6" s="10" t="s">
        <v>76</v>
      </c>
      <c r="BX6" s="10" t="s">
        <v>77</v>
      </c>
      <c r="BY6" s="10" t="s">
        <v>78</v>
      </c>
      <c r="BZ6" s="10" t="s">
        <v>79</v>
      </c>
      <c r="CA6" s="10" t="s">
        <v>80</v>
      </c>
      <c r="CB6" s="10" t="s">
        <v>81</v>
      </c>
      <c r="CC6" s="10" t="s">
        <v>82</v>
      </c>
      <c r="CD6" s="10" t="s">
        <v>83</v>
      </c>
      <c r="CE6" s="10" t="s">
        <v>84</v>
      </c>
      <c r="CF6" s="10" t="s">
        <v>85</v>
      </c>
      <c r="CG6" s="10" t="s">
        <v>86</v>
      </c>
      <c r="CH6" s="10" t="s">
        <v>87</v>
      </c>
      <c r="CI6" s="10" t="s">
        <v>88</v>
      </c>
      <c r="CJ6" s="10" t="s">
        <v>89</v>
      </c>
      <c r="CK6" s="10" t="s">
        <v>90</v>
      </c>
      <c r="CL6" s="10" t="s">
        <v>91</v>
      </c>
      <c r="CM6" s="10" t="s">
        <v>92</v>
      </c>
      <c r="CN6" s="10" t="s">
        <v>93</v>
      </c>
      <c r="CO6" s="10" t="s">
        <v>94</v>
      </c>
      <c r="CP6" s="10" t="s">
        <v>95</v>
      </c>
      <c r="CQ6" s="10" t="s">
        <v>96</v>
      </c>
      <c r="CS6" s="10" t="s">
        <v>97</v>
      </c>
      <c r="CT6" s="10" t="s">
        <v>98</v>
      </c>
      <c r="CU6" s="10" t="s">
        <v>99</v>
      </c>
      <c r="CV6" s="10" t="s">
        <v>100</v>
      </c>
      <c r="CW6" s="9"/>
      <c r="CX6" s="9" t="s">
        <v>1360</v>
      </c>
      <c r="CY6" s="9" t="s">
        <v>1179</v>
      </c>
      <c r="CZ6" s="9" t="s">
        <v>1016</v>
      </c>
      <c r="DA6" s="9" t="s">
        <v>1361</v>
      </c>
      <c r="DB6" s="9" t="s">
        <v>1362</v>
      </c>
      <c r="DC6" s="9" t="s">
        <v>1363</v>
      </c>
    </row>
    <row r="7" spans="1:110">
      <c r="A7" s="11" t="s">
        <v>102</v>
      </c>
      <c r="B7" s="11" t="s">
        <v>102</v>
      </c>
      <c r="C7" s="3" t="str">
        <f>"Rohdaten Z. "&amp;ROW(Rohdaten!$A$64)</f>
        <v>Rohdaten Z. 64</v>
      </c>
      <c r="D7" s="5">
        <f>IFERROR(IF(ISNUMBER(INDEX(Rohdaten!$A$64:$LJ$64,MATCH(D$4,RD_Kopf,0))),INDEX(Rohdaten!$A$64:$LJ$64,MATCH(D$4,RD_Kopf,0)),NA()),NA())</f>
        <v>0</v>
      </c>
      <c r="E7" s="5">
        <f>IFERROR(IF(ISNUMBER(INDEX(Rohdaten!$A$64:$LJ$64,MATCH(E$4,RD_Kopf,0))),INDEX(Rohdaten!$A$64:$LJ$64,MATCH(E$4,RD_Kopf,0)),NA()),NA())</f>
        <v>0</v>
      </c>
      <c r="F7" s="5">
        <f>IFERROR(IF(ISNUMBER(INDEX(Rohdaten!$A$64:$LJ$64,MATCH(F$4,RD_Kopf,0))),INDEX(Rohdaten!$A$64:$LJ$64,MATCH(F$4,RD_Kopf,0)),NA()),NA())</f>
        <v>0</v>
      </c>
      <c r="G7" s="5">
        <f>IFERROR(IF(ISNUMBER(INDEX(Rohdaten!$A$64:$LJ$64,MATCH(G$4,RD_Kopf,0))),INDEX(Rohdaten!$A$64:$LJ$64,MATCH(G$4,RD_Kopf,0)),NA()),NA())</f>
        <v>0</v>
      </c>
      <c r="H7" s="5">
        <f>IFERROR(IF(ISNUMBER(INDEX(Rohdaten!$A$64:$LJ$64,MATCH(H$4,RD_Kopf,0))),INDEX(Rohdaten!$A$64:$LJ$64,MATCH(H$4,RD_Kopf,0)),NA()),NA())</f>
        <v>0</v>
      </c>
      <c r="I7" s="5">
        <f>IFERROR(IF(ISNUMBER(INDEX(Rohdaten!$A$64:$LJ$64,MATCH(I$4,RD_Kopf,0))),INDEX(Rohdaten!$A$64:$LJ$64,MATCH(I$4,RD_Kopf,0)),NA()),NA())</f>
        <v>0</v>
      </c>
      <c r="J7" s="5">
        <f>IFERROR(IF(ISNUMBER(INDEX(Rohdaten!$A$64:$LJ$64,MATCH(J$4,RD_Kopf,0))),INDEX(Rohdaten!$A$64:$LJ$64,MATCH(J$4,RD_Kopf,0)),NA()),NA())</f>
        <v>0</v>
      </c>
      <c r="K7" s="5">
        <f>IFERROR(IF(ISNUMBER(INDEX(Rohdaten!$A$64:$LJ$64,MATCH(K$4,RD_Kopf,0))),INDEX(Rohdaten!$A$64:$LJ$64,MATCH(K$4,RD_Kopf,0)),NA()),NA())</f>
        <v>0</v>
      </c>
      <c r="L7" s="5">
        <f>IFERROR(IF(ISNUMBER(INDEX(Rohdaten!$A$64:$LJ$64,MATCH(L$4,RD_Kopf,0))),INDEX(Rohdaten!$A$64:$LJ$64,MATCH(L$4,RD_Kopf,0)),NA()),NA())</f>
        <v>0</v>
      </c>
      <c r="M7" s="5">
        <f>IFERROR(IF(ISNUMBER(INDEX(Rohdaten!$A$64:$LJ$64,MATCH(M$4,RD_Kopf,0))),INDEX(Rohdaten!$A$64:$LJ$64,MATCH(M$4,RD_Kopf,0)),NA()),NA())</f>
        <v>0</v>
      </c>
      <c r="N7" s="5">
        <f>IFERROR(IF(ISNUMBER(INDEX(Rohdaten!$A$64:$LJ$64,MATCH(N$4,RD_Kopf,0))),INDEX(Rohdaten!$A$64:$LJ$64,MATCH(N$4,RD_Kopf,0)),NA()),NA())</f>
        <v>0</v>
      </c>
      <c r="O7" s="5">
        <f>IFERROR(IF(ISNUMBER(INDEX(Rohdaten!$A$64:$LJ$64,MATCH(O$4,RD_Kopf,0))),INDEX(Rohdaten!$A$64:$LJ$64,MATCH(O$4,RD_Kopf,0)),NA()),NA())</f>
        <v>0</v>
      </c>
      <c r="P7" s="5">
        <f>IFERROR(IF(ISNUMBER(INDEX(Rohdaten!$A$64:$LJ$64,MATCH(P$4,RD_Kopf,0))),INDEX(Rohdaten!$A$64:$LJ$64,MATCH(P$4,RD_Kopf,0)),NA()),NA())</f>
        <v>0</v>
      </c>
      <c r="Q7" s="5">
        <f>IFERROR(IF(ISNUMBER(INDEX(Rohdaten!$A$64:$LJ$64,MATCH(Q$4,RD_Kopf,0))),INDEX(Rohdaten!$A$64:$LJ$64,MATCH(Q$4,RD_Kopf,0)),NA()),NA())</f>
        <v>0</v>
      </c>
      <c r="R7" s="5">
        <f>IFERROR(IF(ISNUMBER(INDEX(Rohdaten!$A$64:$LJ$64,MATCH(R$4,RD_Kopf,0))),INDEX(Rohdaten!$A$64:$LJ$64,MATCH(R$4,RD_Kopf,0)),NA()),NA())</f>
        <v>0</v>
      </c>
      <c r="S7" s="5">
        <f>IFERROR(IF(ISNUMBER(INDEX(Rohdaten!$A$64:$LJ$64,MATCH(S$4,RD_Kopf,0))),INDEX(Rohdaten!$A$64:$LJ$64,MATCH(S$4,RD_Kopf,0)),NA()),NA())</f>
        <v>0</v>
      </c>
      <c r="T7" s="5">
        <f>IFERROR(IF(ISNUMBER(INDEX(Rohdaten!$A$64:$LJ$64,MATCH(T$4,RD_Kopf,0))),INDEX(Rohdaten!$A$64:$LJ$64,MATCH(T$4,RD_Kopf,0)),NA()),NA())</f>
        <v>0</v>
      </c>
      <c r="U7" s="5">
        <f>IFERROR(IF(ISNUMBER(INDEX(Rohdaten!$A$64:$LJ$64,MATCH(U$4,RD_Kopf,0))),INDEX(Rohdaten!$A$64:$LJ$64,MATCH(U$4,RD_Kopf,0)),NA()),NA())</f>
        <v>0</v>
      </c>
      <c r="V7" s="5">
        <f>IFERROR(IF(ISNUMBER(INDEX(Rohdaten!$A$64:$LJ$64,MATCH(V$4,RD_Kopf,0))),INDEX(Rohdaten!$A$64:$LJ$64,MATCH(V$4,RD_Kopf,0)),NA()),NA())</f>
        <v>0</v>
      </c>
      <c r="W7" s="5">
        <f>IFERROR(IF(ISNUMBER(INDEX(Rohdaten!$A$64:$LJ$64,MATCH(W$4,RD_Kopf,0))),INDEX(Rohdaten!$A$64:$LJ$64,MATCH(W$4,RD_Kopf,0)),NA()),NA())</f>
        <v>0</v>
      </c>
      <c r="X7" s="5">
        <f>IFERROR(IF(ISNUMBER(INDEX(Rohdaten!$A$64:$LJ$64,MATCH(X$4,RD_Kopf,0))),INDEX(Rohdaten!$A$64:$LJ$64,MATCH(X$4,RD_Kopf,0)),NA()),NA())</f>
        <v>0</v>
      </c>
      <c r="Y7" s="5">
        <f>IFERROR(IF(ISNUMBER(INDEX(Rohdaten!$A$64:$LJ$64,MATCH(Y$4,RD_Kopf,0))),INDEX(Rohdaten!$A$64:$LJ$64,MATCH(Y$4,RD_Kopf,0)),NA()),NA())</f>
        <v>0</v>
      </c>
      <c r="Z7" s="5">
        <f>IFERROR(IF(ISNUMBER(INDEX(Rohdaten!$A$64:$LJ$64,MATCH(Z$4,RD_Kopf,0))),INDEX(Rohdaten!$A$64:$LJ$64,MATCH(Z$4,RD_Kopf,0)),NA()),NA())</f>
        <v>0</v>
      </c>
      <c r="AA7" s="5">
        <f>IFERROR(IF(ISNUMBER(INDEX(Rohdaten!$A$64:$LJ$64,MATCH(AA$4,RD_Kopf,0))),INDEX(Rohdaten!$A$64:$LJ$64,MATCH(AA$4,RD_Kopf,0)),NA()),NA())</f>
        <v>0</v>
      </c>
      <c r="AB7" s="5">
        <f>IFERROR(IF(ISNUMBER(INDEX(Rohdaten!$A$64:$LJ$64,MATCH(AB$4,RD_Kopf,0))),INDEX(Rohdaten!$A$64:$LJ$64,MATCH(AB$4,RD_Kopf,0)),NA()),NA())</f>
        <v>0</v>
      </c>
      <c r="AC7" s="5">
        <f>IFERROR(IF(ISNUMBER(INDEX(Rohdaten!$A$64:$LJ$64,MATCH(AC$4,RD_Kopf,0))),INDEX(Rohdaten!$A$64:$LJ$64,MATCH(AC$4,RD_Kopf,0)),NA()),NA())</f>
        <v>0</v>
      </c>
      <c r="AD7" s="5">
        <f>IFERROR(IF(ISNUMBER(INDEX(Rohdaten!$A$64:$LJ$64,MATCH(AD$4,RD_Kopf,0))),INDEX(Rohdaten!$A$64:$LJ$64,MATCH(AD$4,RD_Kopf,0)),NA()),NA())</f>
        <v>0</v>
      </c>
      <c r="CX7" s="11" t="s">
        <v>1028</v>
      </c>
      <c r="CY7" s="5">
        <v>1</v>
      </c>
      <c r="CZ7" s="11" t="s">
        <v>1187</v>
      </c>
      <c r="DA7" s="11" t="s">
        <v>1364</v>
      </c>
      <c r="DB7" s="11" t="s">
        <v>1365</v>
      </c>
      <c r="DC7" s="11" t="s">
        <v>1366</v>
      </c>
      <c r="DD7" s="11" t="s">
        <v>1367</v>
      </c>
      <c r="DE7" s="11" t="s">
        <v>1368</v>
      </c>
      <c r="DF7" s="11" t="s">
        <v>1369</v>
      </c>
    </row>
    <row r="8" spans="1:110">
      <c r="A8" s="11" t="s">
        <v>104</v>
      </c>
      <c r="B8" s="11" t="s">
        <v>104</v>
      </c>
      <c r="C8" s="3" t="str">
        <f>"Rohdaten Z. "&amp;ROW(Rohdaten!$A$116)</f>
        <v>Rohdaten Z. 116</v>
      </c>
      <c r="D8" s="5">
        <f>IFERROR(IF(ISNUMBER(INDEX(Rohdaten!$A$116:$LJ$116,MATCH(D$4,RD_Kopf,0))),INDEX(Rohdaten!$A$116:$LJ$116,MATCH(D$4,RD_Kopf,0)),NA()),NA())</f>
        <v>0</v>
      </c>
      <c r="E8" s="5">
        <f>IFERROR(IF(ISNUMBER(INDEX(Rohdaten!$A$116:$LJ$116,MATCH(E$4,RD_Kopf,0))),INDEX(Rohdaten!$A$116:$LJ$116,MATCH(E$4,RD_Kopf,0)),NA()),NA())</f>
        <v>0</v>
      </c>
      <c r="F8" s="5">
        <f>IFERROR(IF(ISNUMBER(INDEX(Rohdaten!$A$116:$LJ$116,MATCH(F$4,RD_Kopf,0))),INDEX(Rohdaten!$A$116:$LJ$116,MATCH(F$4,RD_Kopf,0)),NA()),NA())</f>
        <v>0</v>
      </c>
      <c r="G8" s="5">
        <f>IFERROR(IF(ISNUMBER(INDEX(Rohdaten!$A$116:$LJ$116,MATCH(G$4,RD_Kopf,0))),INDEX(Rohdaten!$A$116:$LJ$116,MATCH(G$4,RD_Kopf,0)),NA()),NA())</f>
        <v>0</v>
      </c>
      <c r="H8" s="5">
        <f>IFERROR(IF(ISNUMBER(INDEX(Rohdaten!$A$116:$LJ$116,MATCH(H$4,RD_Kopf,0))),INDEX(Rohdaten!$A$116:$LJ$116,MATCH(H$4,RD_Kopf,0)),NA()),NA())</f>
        <v>0</v>
      </c>
      <c r="I8" s="5">
        <f>IFERROR(IF(ISNUMBER(INDEX(Rohdaten!$A$116:$LJ$116,MATCH(I$4,RD_Kopf,0))),INDEX(Rohdaten!$A$116:$LJ$116,MATCH(I$4,RD_Kopf,0)),NA()),NA())</f>
        <v>0</v>
      </c>
      <c r="J8" s="5">
        <f>IFERROR(IF(ISNUMBER(INDEX(Rohdaten!$A$116:$LJ$116,MATCH(J$4,RD_Kopf,0))),INDEX(Rohdaten!$A$116:$LJ$116,MATCH(J$4,RD_Kopf,0)),NA()),NA())</f>
        <v>0</v>
      </c>
      <c r="K8" s="5">
        <f>IFERROR(IF(ISNUMBER(INDEX(Rohdaten!$A$116:$LJ$116,MATCH(K$4,RD_Kopf,0))),INDEX(Rohdaten!$A$116:$LJ$116,MATCH(K$4,RD_Kopf,0)),NA()),NA())</f>
        <v>0</v>
      </c>
      <c r="L8" s="5">
        <f>IFERROR(IF(ISNUMBER(INDEX(Rohdaten!$A$116:$LJ$116,MATCH(L$4,RD_Kopf,0))),INDEX(Rohdaten!$A$116:$LJ$116,MATCH(L$4,RD_Kopf,0)),NA()),NA())</f>
        <v>0</v>
      </c>
      <c r="M8" s="5">
        <f>IFERROR(IF(ISNUMBER(INDEX(Rohdaten!$A$116:$LJ$116,MATCH(M$4,RD_Kopf,0))),INDEX(Rohdaten!$A$116:$LJ$116,MATCH(M$4,RD_Kopf,0)),NA()),NA())</f>
        <v>0</v>
      </c>
      <c r="N8" s="5">
        <f>IFERROR(IF(ISNUMBER(INDEX(Rohdaten!$A$116:$LJ$116,MATCH(N$4,RD_Kopf,0))),INDEX(Rohdaten!$A$116:$LJ$116,MATCH(N$4,RD_Kopf,0)),NA()),NA())</f>
        <v>0</v>
      </c>
      <c r="O8" s="5">
        <f>IFERROR(IF(ISNUMBER(INDEX(Rohdaten!$A$116:$LJ$116,MATCH(O$4,RD_Kopf,0))),INDEX(Rohdaten!$A$116:$LJ$116,MATCH(O$4,RD_Kopf,0)),NA()),NA())</f>
        <v>0</v>
      </c>
      <c r="P8" s="5">
        <f>IFERROR(IF(ISNUMBER(INDEX(Rohdaten!$A$116:$LJ$116,MATCH(P$4,RD_Kopf,0))),INDEX(Rohdaten!$A$116:$LJ$116,MATCH(P$4,RD_Kopf,0)),NA()),NA())</f>
        <v>0</v>
      </c>
      <c r="Q8" s="5">
        <f>IFERROR(IF(ISNUMBER(INDEX(Rohdaten!$A$116:$LJ$116,MATCH(Q$4,RD_Kopf,0))),INDEX(Rohdaten!$A$116:$LJ$116,MATCH(Q$4,RD_Kopf,0)),NA()),NA())</f>
        <v>0</v>
      </c>
      <c r="R8" s="5">
        <f>IFERROR(IF(ISNUMBER(INDEX(Rohdaten!$A$116:$LJ$116,MATCH(R$4,RD_Kopf,0))),INDEX(Rohdaten!$A$116:$LJ$116,MATCH(R$4,RD_Kopf,0)),NA()),NA())</f>
        <v>0</v>
      </c>
      <c r="S8" s="5">
        <f>IFERROR(IF(ISNUMBER(INDEX(Rohdaten!$A$116:$LJ$116,MATCH(S$4,RD_Kopf,0))),INDEX(Rohdaten!$A$116:$LJ$116,MATCH(S$4,RD_Kopf,0)),NA()),NA())</f>
        <v>0</v>
      </c>
      <c r="T8" s="5">
        <f>IFERROR(IF(ISNUMBER(INDEX(Rohdaten!$A$116:$LJ$116,MATCH(T$4,RD_Kopf,0))),INDEX(Rohdaten!$A$116:$LJ$116,MATCH(T$4,RD_Kopf,0)),NA()),NA())</f>
        <v>0</v>
      </c>
      <c r="U8" s="5">
        <f>IFERROR(IF(ISNUMBER(INDEX(Rohdaten!$A$116:$LJ$116,MATCH(U$4,RD_Kopf,0))),INDEX(Rohdaten!$A$116:$LJ$116,MATCH(U$4,RD_Kopf,0)),NA()),NA())</f>
        <v>0</v>
      </c>
      <c r="V8" s="5">
        <f>IFERROR(IF(ISNUMBER(INDEX(Rohdaten!$A$116:$LJ$116,MATCH(V$4,RD_Kopf,0))),INDEX(Rohdaten!$A$116:$LJ$116,MATCH(V$4,RD_Kopf,0)),NA()),NA())</f>
        <v>0</v>
      </c>
      <c r="W8" s="5">
        <f>IFERROR(IF(ISNUMBER(INDEX(Rohdaten!$A$116:$LJ$116,MATCH(W$4,RD_Kopf,0))),INDEX(Rohdaten!$A$116:$LJ$116,MATCH(W$4,RD_Kopf,0)),NA()),NA())</f>
        <v>0</v>
      </c>
      <c r="X8" s="5">
        <f>IFERROR(IF(ISNUMBER(INDEX(Rohdaten!$A$116:$LJ$116,MATCH(X$4,RD_Kopf,0))),INDEX(Rohdaten!$A$116:$LJ$116,MATCH(X$4,RD_Kopf,0)),NA()),NA())</f>
        <v>0</v>
      </c>
      <c r="Y8" s="5">
        <f>IFERROR(IF(ISNUMBER(INDEX(Rohdaten!$A$116:$LJ$116,MATCH(Y$4,RD_Kopf,0))),INDEX(Rohdaten!$A$116:$LJ$116,MATCH(Y$4,RD_Kopf,0)),NA()),NA())</f>
        <v>0</v>
      </c>
      <c r="Z8" s="5">
        <f>IFERROR(IF(ISNUMBER(INDEX(Rohdaten!$A$116:$LJ$116,MATCH(Z$4,RD_Kopf,0))),INDEX(Rohdaten!$A$116:$LJ$116,MATCH(Z$4,RD_Kopf,0)),NA()),NA())</f>
        <v>0</v>
      </c>
      <c r="AA8" s="5">
        <f>IFERROR(IF(ISNUMBER(INDEX(Rohdaten!$A$116:$LJ$116,MATCH(AA$4,RD_Kopf,0))),INDEX(Rohdaten!$A$116:$LJ$116,MATCH(AA$4,RD_Kopf,0)),NA()),NA())</f>
        <v>0</v>
      </c>
      <c r="AB8" s="5">
        <f>IFERROR(IF(ISNUMBER(INDEX(Rohdaten!$A$116:$LJ$116,MATCH(AB$4,RD_Kopf,0))),INDEX(Rohdaten!$A$116:$LJ$116,MATCH(AB$4,RD_Kopf,0)),NA()),NA())</f>
        <v>0</v>
      </c>
      <c r="AC8" s="5">
        <f>IFERROR(IF(ISNUMBER(INDEX(Rohdaten!$A$116:$LJ$116,MATCH(AC$4,RD_Kopf,0))),INDEX(Rohdaten!$A$116:$LJ$116,MATCH(AC$4,RD_Kopf,0)),NA()),NA())</f>
        <v>0</v>
      </c>
      <c r="AD8" s="5">
        <f>IFERROR(IF(ISNUMBER(INDEX(Rohdaten!$A$116:$LJ$116,MATCH(AD$4,RD_Kopf,0))),INDEX(Rohdaten!$A$116:$LJ$116,MATCH(AD$4,RD_Kopf,0)),NA()),NA())</f>
        <v>0</v>
      </c>
      <c r="CX8" s="11" t="s">
        <v>1028</v>
      </c>
      <c r="CY8" s="5">
        <v>2</v>
      </c>
      <c r="CZ8" s="11" t="s">
        <v>1188</v>
      </c>
      <c r="DA8" s="11" t="s">
        <v>1370</v>
      </c>
      <c r="DB8" s="11" t="s">
        <v>1371</v>
      </c>
      <c r="DC8" s="11" t="s">
        <v>1372</v>
      </c>
      <c r="DD8" s="11" t="s">
        <v>1373</v>
      </c>
      <c r="DE8" s="11" t="s">
        <v>1374</v>
      </c>
      <c r="DF8" s="11" t="s">
        <v>1375</v>
      </c>
    </row>
    <row r="9" spans="1:110">
      <c r="A9" s="11" t="s">
        <v>105</v>
      </c>
      <c r="B9" s="11" t="s">
        <v>105</v>
      </c>
      <c r="C9" s="3" t="str">
        <f>"Rohdaten Z. "&amp;ROW(Rohdaten!$A$105)</f>
        <v>Rohdaten Z. 105</v>
      </c>
      <c r="D9" s="5">
        <f>IFERROR(IF(ISNUMBER(INDEX(Rohdaten!$A$105:$LJ$105,MATCH(D$4,RD_Kopf,0))),INDEX(Rohdaten!$A$105:$LJ$105,MATCH(D$4,RD_Kopf,0)),NA()),NA())</f>
        <v>0</v>
      </c>
      <c r="E9" s="5">
        <f>IFERROR(IF(ISNUMBER(INDEX(Rohdaten!$A$105:$LJ$105,MATCH(E$4,RD_Kopf,0))),INDEX(Rohdaten!$A$105:$LJ$105,MATCH(E$4,RD_Kopf,0)),NA()),NA())</f>
        <v>0</v>
      </c>
      <c r="F9" s="5">
        <f>IFERROR(IF(ISNUMBER(INDEX(Rohdaten!$A$105:$LJ$105,MATCH(F$4,RD_Kopf,0))),INDEX(Rohdaten!$A$105:$LJ$105,MATCH(F$4,RD_Kopf,0)),NA()),NA())</f>
        <v>0</v>
      </c>
      <c r="G9" s="5">
        <f>IFERROR(IF(ISNUMBER(INDEX(Rohdaten!$A$105:$LJ$105,MATCH(G$4,RD_Kopf,0))),INDEX(Rohdaten!$A$105:$LJ$105,MATCH(G$4,RD_Kopf,0)),NA()),NA())</f>
        <v>0</v>
      </c>
      <c r="H9" s="5">
        <f>IFERROR(IF(ISNUMBER(INDEX(Rohdaten!$A$105:$LJ$105,MATCH(H$4,RD_Kopf,0))),INDEX(Rohdaten!$A$105:$LJ$105,MATCH(H$4,RD_Kopf,0)),NA()),NA())</f>
        <v>0</v>
      </c>
      <c r="I9" s="5">
        <f>IFERROR(IF(ISNUMBER(INDEX(Rohdaten!$A$105:$LJ$105,MATCH(I$4,RD_Kopf,0))),INDEX(Rohdaten!$A$105:$LJ$105,MATCH(I$4,RD_Kopf,0)),NA()),NA())</f>
        <v>0</v>
      </c>
      <c r="J9" s="5">
        <f>IFERROR(IF(ISNUMBER(INDEX(Rohdaten!$A$105:$LJ$105,MATCH(J$4,RD_Kopf,0))),INDEX(Rohdaten!$A$105:$LJ$105,MATCH(J$4,RD_Kopf,0)),NA()),NA())</f>
        <v>0</v>
      </c>
      <c r="K9" s="5">
        <f>IFERROR(IF(ISNUMBER(INDEX(Rohdaten!$A$105:$LJ$105,MATCH(K$4,RD_Kopf,0))),INDEX(Rohdaten!$A$105:$LJ$105,MATCH(K$4,RD_Kopf,0)),NA()),NA())</f>
        <v>0</v>
      </c>
      <c r="L9" s="5">
        <f>IFERROR(IF(ISNUMBER(INDEX(Rohdaten!$A$105:$LJ$105,MATCH(L$4,RD_Kopf,0))),INDEX(Rohdaten!$A$105:$LJ$105,MATCH(L$4,RD_Kopf,0)),NA()),NA())</f>
        <v>0</v>
      </c>
      <c r="M9" s="5">
        <f>IFERROR(IF(ISNUMBER(INDEX(Rohdaten!$A$105:$LJ$105,MATCH(M$4,RD_Kopf,0))),INDEX(Rohdaten!$A$105:$LJ$105,MATCH(M$4,RD_Kopf,0)),NA()),NA())</f>
        <v>0</v>
      </c>
      <c r="N9" s="5">
        <f>IFERROR(IF(ISNUMBER(INDEX(Rohdaten!$A$105:$LJ$105,MATCH(N$4,RD_Kopf,0))),INDEX(Rohdaten!$A$105:$LJ$105,MATCH(N$4,RD_Kopf,0)),NA()),NA())</f>
        <v>0</v>
      </c>
      <c r="O9" s="5">
        <f>IFERROR(IF(ISNUMBER(INDEX(Rohdaten!$A$105:$LJ$105,MATCH(O$4,RD_Kopf,0))),INDEX(Rohdaten!$A$105:$LJ$105,MATCH(O$4,RD_Kopf,0)),NA()),NA())</f>
        <v>0</v>
      </c>
      <c r="P9" s="5">
        <f>IFERROR(IF(ISNUMBER(INDEX(Rohdaten!$A$105:$LJ$105,MATCH(P$4,RD_Kopf,0))),INDEX(Rohdaten!$A$105:$LJ$105,MATCH(P$4,RD_Kopf,0)),NA()),NA())</f>
        <v>0</v>
      </c>
      <c r="Q9" s="5">
        <f>IFERROR(IF(ISNUMBER(INDEX(Rohdaten!$A$105:$LJ$105,MATCH(Q$4,RD_Kopf,0))),INDEX(Rohdaten!$A$105:$LJ$105,MATCH(Q$4,RD_Kopf,0)),NA()),NA())</f>
        <v>0</v>
      </c>
      <c r="R9" s="5">
        <f>IFERROR(IF(ISNUMBER(INDEX(Rohdaten!$A$105:$LJ$105,MATCH(R$4,RD_Kopf,0))),INDEX(Rohdaten!$A$105:$LJ$105,MATCH(R$4,RD_Kopf,0)),NA()),NA())</f>
        <v>0</v>
      </c>
      <c r="S9" s="5">
        <f>IFERROR(IF(ISNUMBER(INDEX(Rohdaten!$A$105:$LJ$105,MATCH(S$4,RD_Kopf,0))),INDEX(Rohdaten!$A$105:$LJ$105,MATCH(S$4,RD_Kopf,0)),NA()),NA())</f>
        <v>0</v>
      </c>
      <c r="T9" s="5">
        <f>IFERROR(IF(ISNUMBER(INDEX(Rohdaten!$A$105:$LJ$105,MATCH(T$4,RD_Kopf,0))),INDEX(Rohdaten!$A$105:$LJ$105,MATCH(T$4,RD_Kopf,0)),NA()),NA())</f>
        <v>0</v>
      </c>
      <c r="U9" s="5">
        <f>IFERROR(IF(ISNUMBER(INDEX(Rohdaten!$A$105:$LJ$105,MATCH(U$4,RD_Kopf,0))),INDEX(Rohdaten!$A$105:$LJ$105,MATCH(U$4,RD_Kopf,0)),NA()),NA())</f>
        <v>0</v>
      </c>
      <c r="V9" s="5">
        <f>IFERROR(IF(ISNUMBER(INDEX(Rohdaten!$A$105:$LJ$105,MATCH(V$4,RD_Kopf,0))),INDEX(Rohdaten!$A$105:$LJ$105,MATCH(V$4,RD_Kopf,0)),NA()),NA())</f>
        <v>0</v>
      </c>
      <c r="W9" s="5">
        <f>IFERROR(IF(ISNUMBER(INDEX(Rohdaten!$A$105:$LJ$105,MATCH(W$4,RD_Kopf,0))),INDEX(Rohdaten!$A$105:$LJ$105,MATCH(W$4,RD_Kopf,0)),NA()),NA())</f>
        <v>0</v>
      </c>
      <c r="X9" s="5">
        <f>IFERROR(IF(ISNUMBER(INDEX(Rohdaten!$A$105:$LJ$105,MATCH(X$4,RD_Kopf,0))),INDEX(Rohdaten!$A$105:$LJ$105,MATCH(X$4,RD_Kopf,0)),NA()),NA())</f>
        <v>0</v>
      </c>
      <c r="Y9" s="5">
        <f>IFERROR(IF(ISNUMBER(INDEX(Rohdaten!$A$105:$LJ$105,MATCH(Y$4,RD_Kopf,0))),INDEX(Rohdaten!$A$105:$LJ$105,MATCH(Y$4,RD_Kopf,0)),NA()),NA())</f>
        <v>0</v>
      </c>
      <c r="Z9" s="5">
        <f>IFERROR(IF(ISNUMBER(INDEX(Rohdaten!$A$105:$LJ$105,MATCH(Z$4,RD_Kopf,0))),INDEX(Rohdaten!$A$105:$LJ$105,MATCH(Z$4,RD_Kopf,0)),NA()),NA())</f>
        <v>0</v>
      </c>
      <c r="AA9" s="5">
        <f>IFERROR(IF(ISNUMBER(INDEX(Rohdaten!$A$105:$LJ$105,MATCH(AA$4,RD_Kopf,0))),INDEX(Rohdaten!$A$105:$LJ$105,MATCH(AA$4,RD_Kopf,0)),NA()),NA())</f>
        <v>0</v>
      </c>
      <c r="AB9" s="5">
        <f>IFERROR(IF(ISNUMBER(INDEX(Rohdaten!$A$105:$LJ$105,MATCH(AB$4,RD_Kopf,0))),INDEX(Rohdaten!$A$105:$LJ$105,MATCH(AB$4,RD_Kopf,0)),NA()),NA())</f>
        <v>0</v>
      </c>
      <c r="AC9" s="5">
        <f>IFERROR(IF(ISNUMBER(INDEX(Rohdaten!$A$105:$LJ$105,MATCH(AC$4,RD_Kopf,0))),INDEX(Rohdaten!$A$105:$LJ$105,MATCH(AC$4,RD_Kopf,0)),NA()),NA())</f>
        <v>0</v>
      </c>
      <c r="AD9" s="5">
        <f>IFERROR(IF(ISNUMBER(INDEX(Rohdaten!$A$105:$LJ$105,MATCH(AD$4,RD_Kopf,0))),INDEX(Rohdaten!$A$105:$LJ$105,MATCH(AD$4,RD_Kopf,0)),NA()),NA())</f>
        <v>0</v>
      </c>
      <c r="CX9" s="11" t="s">
        <v>1028</v>
      </c>
      <c r="CY9" s="5">
        <v>3</v>
      </c>
      <c r="CZ9" s="11" t="s">
        <v>1153</v>
      </c>
      <c r="DA9" s="11" t="s">
        <v>1376</v>
      </c>
      <c r="DB9" s="11"/>
      <c r="DC9" s="11" t="s">
        <v>1377</v>
      </c>
      <c r="DD9" s="11" t="s">
        <v>1378</v>
      </c>
      <c r="DE9" s="11" t="s">
        <v>1379</v>
      </c>
    </row>
    <row r="10" spans="1:110">
      <c r="A10" s="11" t="s">
        <v>106</v>
      </c>
      <c r="B10" s="11" t="s">
        <v>106</v>
      </c>
      <c r="C10" s="3" t="str">
        <f>"Rohdaten Z. "&amp;ROW(Rohdaten!$A$108)</f>
        <v>Rohdaten Z. 108</v>
      </c>
      <c r="D10" s="5">
        <f>IFERROR(IF(ISNUMBER(INDEX(Rohdaten!$A$108:$LJ$108,MATCH(D$4,RD_Kopf,0))),INDEX(Rohdaten!$A$108:$LJ$108,MATCH(D$4,RD_Kopf,0)),NA()),NA())</f>
        <v>0</v>
      </c>
      <c r="E10" s="5">
        <f>IFERROR(IF(ISNUMBER(INDEX(Rohdaten!$A$108:$LJ$108,MATCH(E$4,RD_Kopf,0))),INDEX(Rohdaten!$A$108:$LJ$108,MATCH(E$4,RD_Kopf,0)),NA()),NA())</f>
        <v>0</v>
      </c>
      <c r="F10" s="5">
        <f>IFERROR(IF(ISNUMBER(INDEX(Rohdaten!$A$108:$LJ$108,MATCH(F$4,RD_Kopf,0))),INDEX(Rohdaten!$A$108:$LJ$108,MATCH(F$4,RD_Kopf,0)),NA()),NA())</f>
        <v>0</v>
      </c>
      <c r="G10" s="5">
        <f>IFERROR(IF(ISNUMBER(INDEX(Rohdaten!$A$108:$LJ$108,MATCH(G$4,RD_Kopf,0))),INDEX(Rohdaten!$A$108:$LJ$108,MATCH(G$4,RD_Kopf,0)),NA()),NA())</f>
        <v>0</v>
      </c>
      <c r="H10" s="5">
        <f>IFERROR(IF(ISNUMBER(INDEX(Rohdaten!$A$108:$LJ$108,MATCH(H$4,RD_Kopf,0))),INDEX(Rohdaten!$A$108:$LJ$108,MATCH(H$4,RD_Kopf,0)),NA()),NA())</f>
        <v>0</v>
      </c>
      <c r="I10" s="5">
        <f>IFERROR(IF(ISNUMBER(INDEX(Rohdaten!$A$108:$LJ$108,MATCH(I$4,RD_Kopf,0))),INDEX(Rohdaten!$A$108:$LJ$108,MATCH(I$4,RD_Kopf,0)),NA()),NA())</f>
        <v>0</v>
      </c>
      <c r="J10" s="5">
        <f>IFERROR(IF(ISNUMBER(INDEX(Rohdaten!$A$108:$LJ$108,MATCH(J$4,RD_Kopf,0))),INDEX(Rohdaten!$A$108:$LJ$108,MATCH(J$4,RD_Kopf,0)),NA()),NA())</f>
        <v>0</v>
      </c>
      <c r="K10" s="5">
        <f>IFERROR(IF(ISNUMBER(INDEX(Rohdaten!$A$108:$LJ$108,MATCH(K$4,RD_Kopf,0))),INDEX(Rohdaten!$A$108:$LJ$108,MATCH(K$4,RD_Kopf,0)),NA()),NA())</f>
        <v>0</v>
      </c>
      <c r="L10" s="5">
        <f>IFERROR(IF(ISNUMBER(INDEX(Rohdaten!$A$108:$LJ$108,MATCH(L$4,RD_Kopf,0))),INDEX(Rohdaten!$A$108:$LJ$108,MATCH(L$4,RD_Kopf,0)),NA()),NA())</f>
        <v>0</v>
      </c>
      <c r="M10" s="5">
        <f>IFERROR(IF(ISNUMBER(INDEX(Rohdaten!$A$108:$LJ$108,MATCH(M$4,RD_Kopf,0))),INDEX(Rohdaten!$A$108:$LJ$108,MATCH(M$4,RD_Kopf,0)),NA()),NA())</f>
        <v>0</v>
      </c>
      <c r="N10" s="5">
        <f>IFERROR(IF(ISNUMBER(INDEX(Rohdaten!$A$108:$LJ$108,MATCH(N$4,RD_Kopf,0))),INDEX(Rohdaten!$A$108:$LJ$108,MATCH(N$4,RD_Kopf,0)),NA()),NA())</f>
        <v>0</v>
      </c>
      <c r="O10" s="5">
        <f>IFERROR(IF(ISNUMBER(INDEX(Rohdaten!$A$108:$LJ$108,MATCH(O$4,RD_Kopf,0))),INDEX(Rohdaten!$A$108:$LJ$108,MATCH(O$4,RD_Kopf,0)),NA()),NA())</f>
        <v>0</v>
      </c>
      <c r="P10" s="5">
        <f>IFERROR(IF(ISNUMBER(INDEX(Rohdaten!$A$108:$LJ$108,MATCH(P$4,RD_Kopf,0))),INDEX(Rohdaten!$A$108:$LJ$108,MATCH(P$4,RD_Kopf,0)),NA()),NA())</f>
        <v>0</v>
      </c>
      <c r="Q10" s="5">
        <f>IFERROR(IF(ISNUMBER(INDEX(Rohdaten!$A$108:$LJ$108,MATCH(Q$4,RD_Kopf,0))),INDEX(Rohdaten!$A$108:$LJ$108,MATCH(Q$4,RD_Kopf,0)),NA()),NA())</f>
        <v>0</v>
      </c>
      <c r="R10" s="5">
        <f>IFERROR(IF(ISNUMBER(INDEX(Rohdaten!$A$108:$LJ$108,MATCH(R$4,RD_Kopf,0))),INDEX(Rohdaten!$A$108:$LJ$108,MATCH(R$4,RD_Kopf,0)),NA()),NA())</f>
        <v>0</v>
      </c>
      <c r="S10" s="5">
        <f>IFERROR(IF(ISNUMBER(INDEX(Rohdaten!$A$108:$LJ$108,MATCH(S$4,RD_Kopf,0))),INDEX(Rohdaten!$A$108:$LJ$108,MATCH(S$4,RD_Kopf,0)),NA()),NA())</f>
        <v>0</v>
      </c>
      <c r="T10" s="5">
        <f>IFERROR(IF(ISNUMBER(INDEX(Rohdaten!$A$108:$LJ$108,MATCH(T$4,RD_Kopf,0))),INDEX(Rohdaten!$A$108:$LJ$108,MATCH(T$4,RD_Kopf,0)),NA()),NA())</f>
        <v>0</v>
      </c>
      <c r="U10" s="5">
        <f>IFERROR(IF(ISNUMBER(INDEX(Rohdaten!$A$108:$LJ$108,MATCH(U$4,RD_Kopf,0))),INDEX(Rohdaten!$A$108:$LJ$108,MATCH(U$4,RD_Kopf,0)),NA()),NA())</f>
        <v>0</v>
      </c>
      <c r="V10" s="5">
        <f>IFERROR(IF(ISNUMBER(INDEX(Rohdaten!$A$108:$LJ$108,MATCH(V$4,RD_Kopf,0))),INDEX(Rohdaten!$A$108:$LJ$108,MATCH(V$4,RD_Kopf,0)),NA()),NA())</f>
        <v>0</v>
      </c>
      <c r="W10" s="5">
        <f>IFERROR(IF(ISNUMBER(INDEX(Rohdaten!$A$108:$LJ$108,MATCH(W$4,RD_Kopf,0))),INDEX(Rohdaten!$A$108:$LJ$108,MATCH(W$4,RD_Kopf,0)),NA()),NA())</f>
        <v>0</v>
      </c>
      <c r="X10" s="5">
        <f>IFERROR(IF(ISNUMBER(INDEX(Rohdaten!$A$108:$LJ$108,MATCH(X$4,RD_Kopf,0))),INDEX(Rohdaten!$A$108:$LJ$108,MATCH(X$4,RD_Kopf,0)),NA()),NA())</f>
        <v>0</v>
      </c>
      <c r="Y10" s="5">
        <f>IFERROR(IF(ISNUMBER(INDEX(Rohdaten!$A$108:$LJ$108,MATCH(Y$4,RD_Kopf,0))),INDEX(Rohdaten!$A$108:$LJ$108,MATCH(Y$4,RD_Kopf,0)),NA()),NA())</f>
        <v>0</v>
      </c>
      <c r="Z10" s="5">
        <f>IFERROR(IF(ISNUMBER(INDEX(Rohdaten!$A$108:$LJ$108,MATCH(Z$4,RD_Kopf,0))),INDEX(Rohdaten!$A$108:$LJ$108,MATCH(Z$4,RD_Kopf,0)),NA()),NA())</f>
        <v>0</v>
      </c>
      <c r="AA10" s="5">
        <f>IFERROR(IF(ISNUMBER(INDEX(Rohdaten!$A$108:$LJ$108,MATCH(AA$4,RD_Kopf,0))),INDEX(Rohdaten!$A$108:$LJ$108,MATCH(AA$4,RD_Kopf,0)),NA()),NA())</f>
        <v>0</v>
      </c>
      <c r="AB10" s="5">
        <f>IFERROR(IF(ISNUMBER(INDEX(Rohdaten!$A$108:$LJ$108,MATCH(AB$4,RD_Kopf,0))),INDEX(Rohdaten!$A$108:$LJ$108,MATCH(AB$4,RD_Kopf,0)),NA()),NA())</f>
        <v>0</v>
      </c>
      <c r="AC10" s="5">
        <f>IFERROR(IF(ISNUMBER(INDEX(Rohdaten!$A$108:$LJ$108,MATCH(AC$4,RD_Kopf,0))),INDEX(Rohdaten!$A$108:$LJ$108,MATCH(AC$4,RD_Kopf,0)),NA()),NA())</f>
        <v>0</v>
      </c>
      <c r="AD10" s="5">
        <f>IFERROR(IF(ISNUMBER(INDEX(Rohdaten!$A$108:$LJ$108,MATCH(AD$4,RD_Kopf,0))),INDEX(Rohdaten!$A$108:$LJ$108,MATCH(AD$4,RD_Kopf,0)),NA()),NA())</f>
        <v>0</v>
      </c>
      <c r="CX10" s="11" t="s">
        <v>1028</v>
      </c>
      <c r="CY10" s="5">
        <v>4</v>
      </c>
      <c r="CZ10" s="11" t="s">
        <v>1122</v>
      </c>
      <c r="DA10" s="11" t="s">
        <v>1380</v>
      </c>
      <c r="DB10" s="11" t="s">
        <v>1381</v>
      </c>
      <c r="DC10" s="11" t="s">
        <v>1382</v>
      </c>
      <c r="DD10" s="11" t="s">
        <v>1383</v>
      </c>
      <c r="DE10" s="11" t="s">
        <v>1384</v>
      </c>
      <c r="DF10" s="11" t="s">
        <v>1385</v>
      </c>
    </row>
    <row r="11" spans="1:110">
      <c r="A11" s="11" t="s">
        <v>107</v>
      </c>
      <c r="B11" s="11" t="s">
        <v>107</v>
      </c>
      <c r="C11" s="3" t="str">
        <f>"Rohdaten Z. "&amp;ROW(Rohdaten!$A$111)</f>
        <v>Rohdaten Z. 111</v>
      </c>
      <c r="D11" s="5">
        <f>IFERROR(IF(ISNUMBER(INDEX(Rohdaten!$A$111:$LJ$111,MATCH(D$4,RD_Kopf,0))),INDEX(Rohdaten!$A$111:$LJ$111,MATCH(D$4,RD_Kopf,0)),NA()),NA())</f>
        <v>0</v>
      </c>
      <c r="E11" s="5">
        <f>IFERROR(IF(ISNUMBER(INDEX(Rohdaten!$A$111:$LJ$111,MATCH(E$4,RD_Kopf,0))),INDEX(Rohdaten!$A$111:$LJ$111,MATCH(E$4,RD_Kopf,0)),NA()),NA())</f>
        <v>0</v>
      </c>
      <c r="F11" s="5">
        <f>IFERROR(IF(ISNUMBER(INDEX(Rohdaten!$A$111:$LJ$111,MATCH(F$4,RD_Kopf,0))),INDEX(Rohdaten!$A$111:$LJ$111,MATCH(F$4,RD_Kopf,0)),NA()),NA())</f>
        <v>0</v>
      </c>
      <c r="G11" s="5">
        <f>IFERROR(IF(ISNUMBER(INDEX(Rohdaten!$A$111:$LJ$111,MATCH(G$4,RD_Kopf,0))),INDEX(Rohdaten!$A$111:$LJ$111,MATCH(G$4,RD_Kopf,0)),NA()),NA())</f>
        <v>0</v>
      </c>
      <c r="H11" s="5">
        <f>IFERROR(IF(ISNUMBER(INDEX(Rohdaten!$A$111:$LJ$111,MATCH(H$4,RD_Kopf,0))),INDEX(Rohdaten!$A$111:$LJ$111,MATCH(H$4,RD_Kopf,0)),NA()),NA())</f>
        <v>0</v>
      </c>
      <c r="I11" s="5">
        <f>IFERROR(IF(ISNUMBER(INDEX(Rohdaten!$A$111:$LJ$111,MATCH(I$4,RD_Kopf,0))),INDEX(Rohdaten!$A$111:$LJ$111,MATCH(I$4,RD_Kopf,0)),NA()),NA())</f>
        <v>0</v>
      </c>
      <c r="J11" s="5">
        <f>IFERROR(IF(ISNUMBER(INDEX(Rohdaten!$A$111:$LJ$111,MATCH(J$4,RD_Kopf,0))),INDEX(Rohdaten!$A$111:$LJ$111,MATCH(J$4,RD_Kopf,0)),NA()),NA())</f>
        <v>0</v>
      </c>
      <c r="K11" s="5">
        <f>IFERROR(IF(ISNUMBER(INDEX(Rohdaten!$A$111:$LJ$111,MATCH(K$4,RD_Kopf,0))),INDEX(Rohdaten!$A$111:$LJ$111,MATCH(K$4,RD_Kopf,0)),NA()),NA())</f>
        <v>0</v>
      </c>
      <c r="L11" s="5">
        <f>IFERROR(IF(ISNUMBER(INDEX(Rohdaten!$A$111:$LJ$111,MATCH(L$4,RD_Kopf,0))),INDEX(Rohdaten!$A$111:$LJ$111,MATCH(L$4,RD_Kopf,0)),NA()),NA())</f>
        <v>0</v>
      </c>
      <c r="M11" s="5">
        <f>IFERROR(IF(ISNUMBER(INDEX(Rohdaten!$A$111:$LJ$111,MATCH(M$4,RD_Kopf,0))),INDEX(Rohdaten!$A$111:$LJ$111,MATCH(M$4,RD_Kopf,0)),NA()),NA())</f>
        <v>0</v>
      </c>
      <c r="N11" s="5">
        <f>IFERROR(IF(ISNUMBER(INDEX(Rohdaten!$A$111:$LJ$111,MATCH(N$4,RD_Kopf,0))),INDEX(Rohdaten!$A$111:$LJ$111,MATCH(N$4,RD_Kopf,0)),NA()),NA())</f>
        <v>0</v>
      </c>
      <c r="O11" s="5">
        <f>IFERROR(IF(ISNUMBER(INDEX(Rohdaten!$A$111:$LJ$111,MATCH(O$4,RD_Kopf,0))),INDEX(Rohdaten!$A$111:$LJ$111,MATCH(O$4,RD_Kopf,0)),NA()),NA())</f>
        <v>0</v>
      </c>
      <c r="P11" s="5">
        <f>IFERROR(IF(ISNUMBER(INDEX(Rohdaten!$A$111:$LJ$111,MATCH(P$4,RD_Kopf,0))),INDEX(Rohdaten!$A$111:$LJ$111,MATCH(P$4,RD_Kopf,0)),NA()),NA())</f>
        <v>0</v>
      </c>
      <c r="Q11" s="5">
        <f>IFERROR(IF(ISNUMBER(INDEX(Rohdaten!$A$111:$LJ$111,MATCH(Q$4,RD_Kopf,0))),INDEX(Rohdaten!$A$111:$LJ$111,MATCH(Q$4,RD_Kopf,0)),NA()),NA())</f>
        <v>0</v>
      </c>
      <c r="R11" s="5">
        <f>IFERROR(IF(ISNUMBER(INDEX(Rohdaten!$A$111:$LJ$111,MATCH(R$4,RD_Kopf,0))),INDEX(Rohdaten!$A$111:$LJ$111,MATCH(R$4,RD_Kopf,0)),NA()),NA())</f>
        <v>0</v>
      </c>
      <c r="S11" s="5">
        <f>IFERROR(IF(ISNUMBER(INDEX(Rohdaten!$A$111:$LJ$111,MATCH(S$4,RD_Kopf,0))),INDEX(Rohdaten!$A$111:$LJ$111,MATCH(S$4,RD_Kopf,0)),NA()),NA())</f>
        <v>0</v>
      </c>
      <c r="T11" s="5">
        <f>IFERROR(IF(ISNUMBER(INDEX(Rohdaten!$A$111:$LJ$111,MATCH(T$4,RD_Kopf,0))),INDEX(Rohdaten!$A$111:$LJ$111,MATCH(T$4,RD_Kopf,0)),NA()),NA())</f>
        <v>0</v>
      </c>
      <c r="U11" s="5">
        <f>IFERROR(IF(ISNUMBER(INDEX(Rohdaten!$A$111:$LJ$111,MATCH(U$4,RD_Kopf,0))),INDEX(Rohdaten!$A$111:$LJ$111,MATCH(U$4,RD_Kopf,0)),NA()),NA())</f>
        <v>0</v>
      </c>
      <c r="V11" s="5">
        <f>IFERROR(IF(ISNUMBER(INDEX(Rohdaten!$A$111:$LJ$111,MATCH(V$4,RD_Kopf,0))),INDEX(Rohdaten!$A$111:$LJ$111,MATCH(V$4,RD_Kopf,0)),NA()),NA())</f>
        <v>0</v>
      </c>
      <c r="W11" s="5">
        <f>IFERROR(IF(ISNUMBER(INDEX(Rohdaten!$A$111:$LJ$111,MATCH(W$4,RD_Kopf,0))),INDEX(Rohdaten!$A$111:$LJ$111,MATCH(W$4,RD_Kopf,0)),NA()),NA())</f>
        <v>0</v>
      </c>
      <c r="X11" s="5">
        <f>IFERROR(IF(ISNUMBER(INDEX(Rohdaten!$A$111:$LJ$111,MATCH(X$4,RD_Kopf,0))),INDEX(Rohdaten!$A$111:$LJ$111,MATCH(X$4,RD_Kopf,0)),NA()),NA())</f>
        <v>0</v>
      </c>
      <c r="Y11" s="5">
        <f>IFERROR(IF(ISNUMBER(INDEX(Rohdaten!$A$111:$LJ$111,MATCH(Y$4,RD_Kopf,0))),INDEX(Rohdaten!$A$111:$LJ$111,MATCH(Y$4,RD_Kopf,0)),NA()),NA())</f>
        <v>0</v>
      </c>
      <c r="Z11" s="5">
        <f>IFERROR(IF(ISNUMBER(INDEX(Rohdaten!$A$111:$LJ$111,MATCH(Z$4,RD_Kopf,0))),INDEX(Rohdaten!$A$111:$LJ$111,MATCH(Z$4,RD_Kopf,0)),NA()),NA())</f>
        <v>0</v>
      </c>
      <c r="AA11" s="5">
        <f>IFERROR(IF(ISNUMBER(INDEX(Rohdaten!$A$111:$LJ$111,MATCH(AA$4,RD_Kopf,0))),INDEX(Rohdaten!$A$111:$LJ$111,MATCH(AA$4,RD_Kopf,0)),NA()),NA())</f>
        <v>0</v>
      </c>
      <c r="AB11" s="5">
        <f>IFERROR(IF(ISNUMBER(INDEX(Rohdaten!$A$111:$LJ$111,MATCH(AB$4,RD_Kopf,0))),INDEX(Rohdaten!$A$111:$LJ$111,MATCH(AB$4,RD_Kopf,0)),NA()),NA())</f>
        <v>0</v>
      </c>
      <c r="AC11" s="5">
        <f>IFERROR(IF(ISNUMBER(INDEX(Rohdaten!$A$111:$LJ$111,MATCH(AC$4,RD_Kopf,0))),INDEX(Rohdaten!$A$111:$LJ$111,MATCH(AC$4,RD_Kopf,0)),NA()),NA())</f>
        <v>0</v>
      </c>
      <c r="AD11" s="5">
        <f>IFERROR(IF(ISNUMBER(INDEX(Rohdaten!$A$111:$LJ$111,MATCH(AD$4,RD_Kopf,0))),INDEX(Rohdaten!$A$111:$LJ$111,MATCH(AD$4,RD_Kopf,0)),NA()),NA())</f>
        <v>0</v>
      </c>
      <c r="CX11" s="11" t="s">
        <v>1028</v>
      </c>
      <c r="CY11" s="5">
        <v>5</v>
      </c>
      <c r="CZ11" s="11" t="s">
        <v>1127</v>
      </c>
      <c r="DA11" s="11" t="s">
        <v>1386</v>
      </c>
      <c r="DB11" s="11" t="s">
        <v>1387</v>
      </c>
      <c r="DC11" s="11" t="s">
        <v>1388</v>
      </c>
    </row>
    <row r="12" spans="1:110">
      <c r="A12" s="11" t="s">
        <v>108</v>
      </c>
      <c r="B12" s="11" t="s">
        <v>108</v>
      </c>
      <c r="C12" s="3" t="str">
        <f>"Rohdaten Z. "&amp;ROW(Rohdaten!$A$113)</f>
        <v>Rohdaten Z. 113</v>
      </c>
      <c r="D12" s="5">
        <f>IFERROR(IF(ISNUMBER(INDEX(Rohdaten!$A$113:$LJ$113,MATCH(D$4,RD_Kopf,0))),INDEX(Rohdaten!$A$113:$LJ$113,MATCH(D$4,RD_Kopf,0)),NA()),NA())</f>
        <v>0</v>
      </c>
      <c r="E12" s="5">
        <f>IFERROR(IF(ISNUMBER(INDEX(Rohdaten!$A$113:$LJ$113,MATCH(E$4,RD_Kopf,0))),INDEX(Rohdaten!$A$113:$LJ$113,MATCH(E$4,RD_Kopf,0)),NA()),NA())</f>
        <v>0</v>
      </c>
      <c r="F12" s="5">
        <f>IFERROR(IF(ISNUMBER(INDEX(Rohdaten!$A$113:$LJ$113,MATCH(F$4,RD_Kopf,0))),INDEX(Rohdaten!$A$113:$LJ$113,MATCH(F$4,RD_Kopf,0)),NA()),NA())</f>
        <v>0</v>
      </c>
      <c r="G12" s="5">
        <f>IFERROR(IF(ISNUMBER(INDEX(Rohdaten!$A$113:$LJ$113,MATCH(G$4,RD_Kopf,0))),INDEX(Rohdaten!$A$113:$LJ$113,MATCH(G$4,RD_Kopf,0)),NA()),NA())</f>
        <v>0</v>
      </c>
      <c r="H12" s="5">
        <f>IFERROR(IF(ISNUMBER(INDEX(Rohdaten!$A$113:$LJ$113,MATCH(H$4,RD_Kopf,0))),INDEX(Rohdaten!$A$113:$LJ$113,MATCH(H$4,RD_Kopf,0)),NA()),NA())</f>
        <v>0</v>
      </c>
      <c r="I12" s="5">
        <f>IFERROR(IF(ISNUMBER(INDEX(Rohdaten!$A$113:$LJ$113,MATCH(I$4,RD_Kopf,0))),INDEX(Rohdaten!$A$113:$LJ$113,MATCH(I$4,RD_Kopf,0)),NA()),NA())</f>
        <v>0</v>
      </c>
      <c r="J12" s="5">
        <f>IFERROR(IF(ISNUMBER(INDEX(Rohdaten!$A$113:$LJ$113,MATCH(J$4,RD_Kopf,0))),INDEX(Rohdaten!$A$113:$LJ$113,MATCH(J$4,RD_Kopf,0)),NA()),NA())</f>
        <v>0</v>
      </c>
      <c r="K12" s="5">
        <f>IFERROR(IF(ISNUMBER(INDEX(Rohdaten!$A$113:$LJ$113,MATCH(K$4,RD_Kopf,0))),INDEX(Rohdaten!$A$113:$LJ$113,MATCH(K$4,RD_Kopf,0)),NA()),NA())</f>
        <v>0</v>
      </c>
      <c r="L12" s="5">
        <f>IFERROR(IF(ISNUMBER(INDEX(Rohdaten!$A$113:$LJ$113,MATCH(L$4,RD_Kopf,0))),INDEX(Rohdaten!$A$113:$LJ$113,MATCH(L$4,RD_Kopf,0)),NA()),NA())</f>
        <v>0</v>
      </c>
      <c r="M12" s="5">
        <f>IFERROR(IF(ISNUMBER(INDEX(Rohdaten!$A$113:$LJ$113,MATCH(M$4,RD_Kopf,0))),INDEX(Rohdaten!$A$113:$LJ$113,MATCH(M$4,RD_Kopf,0)),NA()),NA())</f>
        <v>0</v>
      </c>
      <c r="N12" s="5">
        <f>IFERROR(IF(ISNUMBER(INDEX(Rohdaten!$A$113:$LJ$113,MATCH(N$4,RD_Kopf,0))),INDEX(Rohdaten!$A$113:$LJ$113,MATCH(N$4,RD_Kopf,0)),NA()),NA())</f>
        <v>0</v>
      </c>
      <c r="O12" s="5">
        <f>IFERROR(IF(ISNUMBER(INDEX(Rohdaten!$A$113:$LJ$113,MATCH(O$4,RD_Kopf,0))),INDEX(Rohdaten!$A$113:$LJ$113,MATCH(O$4,RD_Kopf,0)),NA()),NA())</f>
        <v>0</v>
      </c>
      <c r="P12" s="5">
        <f>IFERROR(IF(ISNUMBER(INDEX(Rohdaten!$A$113:$LJ$113,MATCH(P$4,RD_Kopf,0))),INDEX(Rohdaten!$A$113:$LJ$113,MATCH(P$4,RD_Kopf,0)),NA()),NA())</f>
        <v>0</v>
      </c>
      <c r="Q12" s="5">
        <f>IFERROR(IF(ISNUMBER(INDEX(Rohdaten!$A$113:$LJ$113,MATCH(Q$4,RD_Kopf,0))),INDEX(Rohdaten!$A$113:$LJ$113,MATCH(Q$4,RD_Kopf,0)),NA()),NA())</f>
        <v>0</v>
      </c>
      <c r="R12" s="5">
        <f>IFERROR(IF(ISNUMBER(INDEX(Rohdaten!$A$113:$LJ$113,MATCH(R$4,RD_Kopf,0))),INDEX(Rohdaten!$A$113:$LJ$113,MATCH(R$4,RD_Kopf,0)),NA()),NA())</f>
        <v>0</v>
      </c>
      <c r="S12" s="5">
        <f>IFERROR(IF(ISNUMBER(INDEX(Rohdaten!$A$113:$LJ$113,MATCH(S$4,RD_Kopf,0))),INDEX(Rohdaten!$A$113:$LJ$113,MATCH(S$4,RD_Kopf,0)),NA()),NA())</f>
        <v>0</v>
      </c>
      <c r="T12" s="5">
        <f>IFERROR(IF(ISNUMBER(INDEX(Rohdaten!$A$113:$LJ$113,MATCH(T$4,RD_Kopf,0))),INDEX(Rohdaten!$A$113:$LJ$113,MATCH(T$4,RD_Kopf,0)),NA()),NA())</f>
        <v>0</v>
      </c>
      <c r="U12" s="5">
        <f>IFERROR(IF(ISNUMBER(INDEX(Rohdaten!$A$113:$LJ$113,MATCH(U$4,RD_Kopf,0))),INDEX(Rohdaten!$A$113:$LJ$113,MATCH(U$4,RD_Kopf,0)),NA()),NA())</f>
        <v>0</v>
      </c>
      <c r="V12" s="5">
        <f>IFERROR(IF(ISNUMBER(INDEX(Rohdaten!$A$113:$LJ$113,MATCH(V$4,RD_Kopf,0))),INDEX(Rohdaten!$A$113:$LJ$113,MATCH(V$4,RD_Kopf,0)),NA()),NA())</f>
        <v>0</v>
      </c>
      <c r="W12" s="5">
        <f>IFERROR(IF(ISNUMBER(INDEX(Rohdaten!$A$113:$LJ$113,MATCH(W$4,RD_Kopf,0))),INDEX(Rohdaten!$A$113:$LJ$113,MATCH(W$4,RD_Kopf,0)),NA()),NA())</f>
        <v>0</v>
      </c>
      <c r="X12" s="5">
        <f>IFERROR(IF(ISNUMBER(INDEX(Rohdaten!$A$113:$LJ$113,MATCH(X$4,RD_Kopf,0))),INDEX(Rohdaten!$A$113:$LJ$113,MATCH(X$4,RD_Kopf,0)),NA()),NA())</f>
        <v>0</v>
      </c>
      <c r="Y12" s="5">
        <f>IFERROR(IF(ISNUMBER(INDEX(Rohdaten!$A$113:$LJ$113,MATCH(Y$4,RD_Kopf,0))),INDEX(Rohdaten!$A$113:$LJ$113,MATCH(Y$4,RD_Kopf,0)),NA()),NA())</f>
        <v>0</v>
      </c>
      <c r="Z12" s="5">
        <f>IFERROR(IF(ISNUMBER(INDEX(Rohdaten!$A$113:$LJ$113,MATCH(Z$4,RD_Kopf,0))),INDEX(Rohdaten!$A$113:$LJ$113,MATCH(Z$4,RD_Kopf,0)),NA()),NA())</f>
        <v>0</v>
      </c>
      <c r="AA12" s="5">
        <f>IFERROR(IF(ISNUMBER(INDEX(Rohdaten!$A$113:$LJ$113,MATCH(AA$4,RD_Kopf,0))),INDEX(Rohdaten!$A$113:$LJ$113,MATCH(AA$4,RD_Kopf,0)),NA()),NA())</f>
        <v>0</v>
      </c>
      <c r="AB12" s="5">
        <f>IFERROR(IF(ISNUMBER(INDEX(Rohdaten!$A$113:$LJ$113,MATCH(AB$4,RD_Kopf,0))),INDEX(Rohdaten!$A$113:$LJ$113,MATCH(AB$4,RD_Kopf,0)),NA()),NA())</f>
        <v>0</v>
      </c>
      <c r="AC12" s="5">
        <f>IFERROR(IF(ISNUMBER(INDEX(Rohdaten!$A$113:$LJ$113,MATCH(AC$4,RD_Kopf,0))),INDEX(Rohdaten!$A$113:$LJ$113,MATCH(AC$4,RD_Kopf,0)),NA()),NA())</f>
        <v>0</v>
      </c>
      <c r="AD12" s="5">
        <f>IFERROR(IF(ISNUMBER(INDEX(Rohdaten!$A$113:$LJ$113,MATCH(AD$4,RD_Kopf,0))),INDEX(Rohdaten!$A$113:$LJ$113,MATCH(AD$4,RD_Kopf,0)),NA()),NA())</f>
        <v>0</v>
      </c>
      <c r="CX12" s="11" t="s">
        <v>1028</v>
      </c>
      <c r="CY12" s="5">
        <v>6</v>
      </c>
      <c r="CZ12" s="11" t="s">
        <v>1155</v>
      </c>
      <c r="DA12" s="11" t="s">
        <v>1389</v>
      </c>
      <c r="DB12" s="11"/>
      <c r="DC12" s="11" t="s">
        <v>1390</v>
      </c>
    </row>
    <row r="13" spans="1:110">
      <c r="A13" s="11" t="s">
        <v>109</v>
      </c>
      <c r="B13" s="11" t="s">
        <v>109</v>
      </c>
      <c r="C13" s="3" t="str">
        <f>"Rohdaten Z. "&amp;ROW(Rohdaten!$A$156)</f>
        <v>Rohdaten Z. 156</v>
      </c>
      <c r="D13" s="5">
        <f>IFERROR(IF(ISNUMBER(INDEX(Rohdaten!$A$156:$LJ$156,MATCH(D$4,RD_Kopf,0))),INDEX(Rohdaten!$A$156:$LJ$156,MATCH(D$4,RD_Kopf,0)),NA()),NA())</f>
        <v>0</v>
      </c>
      <c r="E13" s="5">
        <f>IFERROR(IF(ISNUMBER(INDEX(Rohdaten!$A$156:$LJ$156,MATCH(E$4,RD_Kopf,0))),INDEX(Rohdaten!$A$156:$LJ$156,MATCH(E$4,RD_Kopf,0)),NA()),NA())</f>
        <v>0</v>
      </c>
      <c r="F13" s="5">
        <f>IFERROR(IF(ISNUMBER(INDEX(Rohdaten!$A$156:$LJ$156,MATCH(F$4,RD_Kopf,0))),INDEX(Rohdaten!$A$156:$LJ$156,MATCH(F$4,RD_Kopf,0)),NA()),NA())</f>
        <v>0</v>
      </c>
      <c r="G13" s="5">
        <f>IFERROR(IF(ISNUMBER(INDEX(Rohdaten!$A$156:$LJ$156,MATCH(G$4,RD_Kopf,0))),INDEX(Rohdaten!$A$156:$LJ$156,MATCH(G$4,RD_Kopf,0)),NA()),NA())</f>
        <v>0</v>
      </c>
      <c r="H13" s="5">
        <f>IFERROR(IF(ISNUMBER(INDEX(Rohdaten!$A$156:$LJ$156,MATCH(H$4,RD_Kopf,0))),INDEX(Rohdaten!$A$156:$LJ$156,MATCH(H$4,RD_Kopf,0)),NA()),NA())</f>
        <v>0</v>
      </c>
      <c r="I13" s="5">
        <f>IFERROR(IF(ISNUMBER(INDEX(Rohdaten!$A$156:$LJ$156,MATCH(I$4,RD_Kopf,0))),INDEX(Rohdaten!$A$156:$LJ$156,MATCH(I$4,RD_Kopf,0)),NA()),NA())</f>
        <v>0</v>
      </c>
      <c r="J13" s="5">
        <f>IFERROR(IF(ISNUMBER(INDEX(Rohdaten!$A$156:$LJ$156,MATCH(J$4,RD_Kopf,0))),INDEX(Rohdaten!$A$156:$LJ$156,MATCH(J$4,RD_Kopf,0)),NA()),NA())</f>
        <v>0</v>
      </c>
      <c r="K13" s="5">
        <f>IFERROR(IF(ISNUMBER(INDEX(Rohdaten!$A$156:$LJ$156,MATCH(K$4,RD_Kopf,0))),INDEX(Rohdaten!$A$156:$LJ$156,MATCH(K$4,RD_Kopf,0)),NA()),NA())</f>
        <v>0</v>
      </c>
      <c r="L13" s="5">
        <f>IFERROR(IF(ISNUMBER(INDEX(Rohdaten!$A$156:$LJ$156,MATCH(L$4,RD_Kopf,0))),INDEX(Rohdaten!$A$156:$LJ$156,MATCH(L$4,RD_Kopf,0)),NA()),NA())</f>
        <v>0</v>
      </c>
      <c r="M13" s="5">
        <f>IFERROR(IF(ISNUMBER(INDEX(Rohdaten!$A$156:$LJ$156,MATCH(M$4,RD_Kopf,0))),INDEX(Rohdaten!$A$156:$LJ$156,MATCH(M$4,RD_Kopf,0)),NA()),NA())</f>
        <v>0</v>
      </c>
      <c r="N13" s="5">
        <f>IFERROR(IF(ISNUMBER(INDEX(Rohdaten!$A$156:$LJ$156,MATCH(N$4,RD_Kopf,0))),INDEX(Rohdaten!$A$156:$LJ$156,MATCH(N$4,RD_Kopf,0)),NA()),NA())</f>
        <v>0</v>
      </c>
      <c r="O13" s="5">
        <f>IFERROR(IF(ISNUMBER(INDEX(Rohdaten!$A$156:$LJ$156,MATCH(O$4,RD_Kopf,0))),INDEX(Rohdaten!$A$156:$LJ$156,MATCH(O$4,RD_Kopf,0)),NA()),NA())</f>
        <v>0</v>
      </c>
      <c r="P13" s="5">
        <f>IFERROR(IF(ISNUMBER(INDEX(Rohdaten!$A$156:$LJ$156,MATCH(P$4,RD_Kopf,0))),INDEX(Rohdaten!$A$156:$LJ$156,MATCH(P$4,RD_Kopf,0)),NA()),NA())</f>
        <v>0</v>
      </c>
      <c r="Q13" s="5">
        <f>IFERROR(IF(ISNUMBER(INDEX(Rohdaten!$A$156:$LJ$156,MATCH(Q$4,RD_Kopf,0))),INDEX(Rohdaten!$A$156:$LJ$156,MATCH(Q$4,RD_Kopf,0)),NA()),NA())</f>
        <v>0</v>
      </c>
      <c r="R13" s="5">
        <f>IFERROR(IF(ISNUMBER(INDEX(Rohdaten!$A$156:$LJ$156,MATCH(R$4,RD_Kopf,0))),INDEX(Rohdaten!$A$156:$LJ$156,MATCH(R$4,RD_Kopf,0)),NA()),NA())</f>
        <v>0</v>
      </c>
      <c r="S13" s="5">
        <f>IFERROR(IF(ISNUMBER(INDEX(Rohdaten!$A$156:$LJ$156,MATCH(S$4,RD_Kopf,0))),INDEX(Rohdaten!$A$156:$LJ$156,MATCH(S$4,RD_Kopf,0)),NA()),NA())</f>
        <v>0</v>
      </c>
      <c r="T13" s="5">
        <f>IFERROR(IF(ISNUMBER(INDEX(Rohdaten!$A$156:$LJ$156,MATCH(T$4,RD_Kopf,0))),INDEX(Rohdaten!$A$156:$LJ$156,MATCH(T$4,RD_Kopf,0)),NA()),NA())</f>
        <v>0</v>
      </c>
      <c r="U13" s="5">
        <f>IFERROR(IF(ISNUMBER(INDEX(Rohdaten!$A$156:$LJ$156,MATCH(U$4,RD_Kopf,0))),INDEX(Rohdaten!$A$156:$LJ$156,MATCH(U$4,RD_Kopf,0)),NA()),NA())</f>
        <v>0</v>
      </c>
      <c r="V13" s="5">
        <f>IFERROR(IF(ISNUMBER(INDEX(Rohdaten!$A$156:$LJ$156,MATCH(V$4,RD_Kopf,0))),INDEX(Rohdaten!$A$156:$LJ$156,MATCH(V$4,RD_Kopf,0)),NA()),NA())</f>
        <v>0</v>
      </c>
      <c r="W13" s="5">
        <f>IFERROR(IF(ISNUMBER(INDEX(Rohdaten!$A$156:$LJ$156,MATCH(W$4,RD_Kopf,0))),INDEX(Rohdaten!$A$156:$LJ$156,MATCH(W$4,RD_Kopf,0)),NA()),NA())</f>
        <v>0</v>
      </c>
      <c r="X13" s="5">
        <f>IFERROR(IF(ISNUMBER(INDEX(Rohdaten!$A$156:$LJ$156,MATCH(X$4,RD_Kopf,0))),INDEX(Rohdaten!$A$156:$LJ$156,MATCH(X$4,RD_Kopf,0)),NA()),NA())</f>
        <v>0</v>
      </c>
      <c r="Y13" s="5">
        <f>IFERROR(IF(ISNUMBER(INDEX(Rohdaten!$A$156:$LJ$156,MATCH(Y$4,RD_Kopf,0))),INDEX(Rohdaten!$A$156:$LJ$156,MATCH(Y$4,RD_Kopf,0)),NA()),NA())</f>
        <v>0</v>
      </c>
      <c r="Z13" s="5">
        <f>IFERROR(IF(ISNUMBER(INDEX(Rohdaten!$A$156:$LJ$156,MATCH(Z$4,RD_Kopf,0))),INDEX(Rohdaten!$A$156:$LJ$156,MATCH(Z$4,RD_Kopf,0)),NA()),NA())</f>
        <v>0</v>
      </c>
      <c r="AA13" s="5">
        <f>IFERROR(IF(ISNUMBER(INDEX(Rohdaten!$A$156:$LJ$156,MATCH(AA$4,RD_Kopf,0))),INDEX(Rohdaten!$A$156:$LJ$156,MATCH(AA$4,RD_Kopf,0)),NA()),NA())</f>
        <v>0</v>
      </c>
      <c r="AB13" s="5">
        <f>IFERROR(IF(ISNUMBER(INDEX(Rohdaten!$A$156:$LJ$156,MATCH(AB$4,RD_Kopf,0))),INDEX(Rohdaten!$A$156:$LJ$156,MATCH(AB$4,RD_Kopf,0)),NA()),NA())</f>
        <v>0</v>
      </c>
      <c r="AC13" s="5">
        <f>IFERROR(IF(ISNUMBER(INDEX(Rohdaten!$A$156:$LJ$156,MATCH(AC$4,RD_Kopf,0))),INDEX(Rohdaten!$A$156:$LJ$156,MATCH(AC$4,RD_Kopf,0)),NA()),NA())</f>
        <v>0</v>
      </c>
      <c r="AD13" s="5">
        <f>IFERROR(IF(ISNUMBER(INDEX(Rohdaten!$A$156:$LJ$156,MATCH(AD$4,RD_Kopf,0))),INDEX(Rohdaten!$A$156:$LJ$156,MATCH(AD$4,RD_Kopf,0)),NA()),NA())</f>
        <v>0</v>
      </c>
      <c r="CX13" s="11" t="s">
        <v>1028</v>
      </c>
      <c r="CY13" s="5">
        <v>7</v>
      </c>
      <c r="CZ13" s="11" t="s">
        <v>1157</v>
      </c>
      <c r="DA13" s="11" t="s">
        <v>1391</v>
      </c>
      <c r="DB13" s="11"/>
      <c r="DC13" s="11" t="s">
        <v>1392</v>
      </c>
    </row>
    <row r="14" spans="1:110">
      <c r="A14" s="11" t="s">
        <v>110</v>
      </c>
      <c r="B14" s="11" t="s">
        <v>110</v>
      </c>
      <c r="C14" s="3" t="str">
        <f>"Rohdaten Z. "&amp;ROW(Rohdaten!$A$157)</f>
        <v>Rohdaten Z. 157</v>
      </c>
      <c r="D14" s="5">
        <f>IFERROR(IF(ISNUMBER(INDEX(Rohdaten!$A$157:$LJ$157,MATCH(D$4,RD_Kopf,0))),INDEX(Rohdaten!$A$157:$LJ$157,MATCH(D$4,RD_Kopf,0)),NA()),NA())</f>
        <v>0</v>
      </c>
      <c r="E14" s="5">
        <f>IFERROR(IF(ISNUMBER(INDEX(Rohdaten!$A$157:$LJ$157,MATCH(E$4,RD_Kopf,0))),INDEX(Rohdaten!$A$157:$LJ$157,MATCH(E$4,RD_Kopf,0)),NA()),NA())</f>
        <v>0</v>
      </c>
      <c r="F14" s="5">
        <f>IFERROR(IF(ISNUMBER(INDEX(Rohdaten!$A$157:$LJ$157,MATCH(F$4,RD_Kopf,0))),INDEX(Rohdaten!$A$157:$LJ$157,MATCH(F$4,RD_Kopf,0)),NA()),NA())</f>
        <v>0</v>
      </c>
      <c r="G14" s="5">
        <f>IFERROR(IF(ISNUMBER(INDEX(Rohdaten!$A$157:$LJ$157,MATCH(G$4,RD_Kopf,0))),INDEX(Rohdaten!$A$157:$LJ$157,MATCH(G$4,RD_Kopf,0)),NA()),NA())</f>
        <v>0</v>
      </c>
      <c r="H14" s="5">
        <f>IFERROR(IF(ISNUMBER(INDEX(Rohdaten!$A$157:$LJ$157,MATCH(H$4,RD_Kopf,0))),INDEX(Rohdaten!$A$157:$LJ$157,MATCH(H$4,RD_Kopf,0)),NA()),NA())</f>
        <v>0</v>
      </c>
      <c r="I14" s="5">
        <f>IFERROR(IF(ISNUMBER(INDEX(Rohdaten!$A$157:$LJ$157,MATCH(I$4,RD_Kopf,0))),INDEX(Rohdaten!$A$157:$LJ$157,MATCH(I$4,RD_Kopf,0)),NA()),NA())</f>
        <v>0</v>
      </c>
      <c r="J14" s="5">
        <f>IFERROR(IF(ISNUMBER(INDEX(Rohdaten!$A$157:$LJ$157,MATCH(J$4,RD_Kopf,0))),INDEX(Rohdaten!$A$157:$LJ$157,MATCH(J$4,RD_Kopf,0)),NA()),NA())</f>
        <v>0</v>
      </c>
      <c r="K14" s="5">
        <f>IFERROR(IF(ISNUMBER(INDEX(Rohdaten!$A$157:$LJ$157,MATCH(K$4,RD_Kopf,0))),INDEX(Rohdaten!$A$157:$LJ$157,MATCH(K$4,RD_Kopf,0)),NA()),NA())</f>
        <v>0</v>
      </c>
      <c r="L14" s="5">
        <f>IFERROR(IF(ISNUMBER(INDEX(Rohdaten!$A$157:$LJ$157,MATCH(L$4,RD_Kopf,0))),INDEX(Rohdaten!$A$157:$LJ$157,MATCH(L$4,RD_Kopf,0)),NA()),NA())</f>
        <v>0</v>
      </c>
      <c r="M14" s="5">
        <f>IFERROR(IF(ISNUMBER(INDEX(Rohdaten!$A$157:$LJ$157,MATCH(M$4,RD_Kopf,0))),INDEX(Rohdaten!$A$157:$LJ$157,MATCH(M$4,RD_Kopf,0)),NA()),NA())</f>
        <v>0</v>
      </c>
      <c r="N14" s="5">
        <f>IFERROR(IF(ISNUMBER(INDEX(Rohdaten!$A$157:$LJ$157,MATCH(N$4,RD_Kopf,0))),INDEX(Rohdaten!$A$157:$LJ$157,MATCH(N$4,RD_Kopf,0)),NA()),NA())</f>
        <v>0</v>
      </c>
      <c r="O14" s="5">
        <f>IFERROR(IF(ISNUMBER(INDEX(Rohdaten!$A$157:$LJ$157,MATCH(O$4,RD_Kopf,0))),INDEX(Rohdaten!$A$157:$LJ$157,MATCH(O$4,RD_Kopf,0)),NA()),NA())</f>
        <v>0</v>
      </c>
      <c r="P14" s="5">
        <f>IFERROR(IF(ISNUMBER(INDEX(Rohdaten!$A$157:$LJ$157,MATCH(P$4,RD_Kopf,0))),INDEX(Rohdaten!$A$157:$LJ$157,MATCH(P$4,RD_Kopf,0)),NA()),NA())</f>
        <v>0</v>
      </c>
      <c r="Q14" s="5">
        <f>IFERROR(IF(ISNUMBER(INDEX(Rohdaten!$A$157:$LJ$157,MATCH(Q$4,RD_Kopf,0))),INDEX(Rohdaten!$A$157:$LJ$157,MATCH(Q$4,RD_Kopf,0)),NA()),NA())</f>
        <v>0</v>
      </c>
      <c r="R14" s="5">
        <f>IFERROR(IF(ISNUMBER(INDEX(Rohdaten!$A$157:$LJ$157,MATCH(R$4,RD_Kopf,0))),INDEX(Rohdaten!$A$157:$LJ$157,MATCH(R$4,RD_Kopf,0)),NA()),NA())</f>
        <v>0</v>
      </c>
      <c r="S14" s="5">
        <f>IFERROR(IF(ISNUMBER(INDEX(Rohdaten!$A$157:$LJ$157,MATCH(S$4,RD_Kopf,0))),INDEX(Rohdaten!$A$157:$LJ$157,MATCH(S$4,RD_Kopf,0)),NA()),NA())</f>
        <v>0</v>
      </c>
      <c r="T14" s="5">
        <f>IFERROR(IF(ISNUMBER(INDEX(Rohdaten!$A$157:$LJ$157,MATCH(T$4,RD_Kopf,0))),INDEX(Rohdaten!$A$157:$LJ$157,MATCH(T$4,RD_Kopf,0)),NA()),NA())</f>
        <v>0</v>
      </c>
      <c r="U14" s="5">
        <f>IFERROR(IF(ISNUMBER(INDEX(Rohdaten!$A$157:$LJ$157,MATCH(U$4,RD_Kopf,0))),INDEX(Rohdaten!$A$157:$LJ$157,MATCH(U$4,RD_Kopf,0)),NA()),NA())</f>
        <v>0</v>
      </c>
      <c r="V14" s="5">
        <f>IFERROR(IF(ISNUMBER(INDEX(Rohdaten!$A$157:$LJ$157,MATCH(V$4,RD_Kopf,0))),INDEX(Rohdaten!$A$157:$LJ$157,MATCH(V$4,RD_Kopf,0)),NA()),NA())</f>
        <v>0</v>
      </c>
      <c r="W14" s="5">
        <f>IFERROR(IF(ISNUMBER(INDEX(Rohdaten!$A$157:$LJ$157,MATCH(W$4,RD_Kopf,0))),INDEX(Rohdaten!$A$157:$LJ$157,MATCH(W$4,RD_Kopf,0)),NA()),NA())</f>
        <v>0</v>
      </c>
      <c r="X14" s="5">
        <f>IFERROR(IF(ISNUMBER(INDEX(Rohdaten!$A$157:$LJ$157,MATCH(X$4,RD_Kopf,0))),INDEX(Rohdaten!$A$157:$LJ$157,MATCH(X$4,RD_Kopf,0)),NA()),NA())</f>
        <v>0</v>
      </c>
      <c r="Y14" s="5">
        <f>IFERROR(IF(ISNUMBER(INDEX(Rohdaten!$A$157:$LJ$157,MATCH(Y$4,RD_Kopf,0))),INDEX(Rohdaten!$A$157:$LJ$157,MATCH(Y$4,RD_Kopf,0)),NA()),NA())</f>
        <v>0</v>
      </c>
      <c r="Z14" s="5">
        <f>IFERROR(IF(ISNUMBER(INDEX(Rohdaten!$A$157:$LJ$157,MATCH(Z$4,RD_Kopf,0))),INDEX(Rohdaten!$A$157:$LJ$157,MATCH(Z$4,RD_Kopf,0)),NA()),NA())</f>
        <v>0</v>
      </c>
      <c r="AA14" s="5">
        <f>IFERROR(IF(ISNUMBER(INDEX(Rohdaten!$A$157:$LJ$157,MATCH(AA$4,RD_Kopf,0))),INDEX(Rohdaten!$A$157:$LJ$157,MATCH(AA$4,RD_Kopf,0)),NA()),NA())</f>
        <v>0</v>
      </c>
      <c r="AB14" s="5">
        <f>IFERROR(IF(ISNUMBER(INDEX(Rohdaten!$A$157:$LJ$157,MATCH(AB$4,RD_Kopf,0))),INDEX(Rohdaten!$A$157:$LJ$157,MATCH(AB$4,RD_Kopf,0)),NA()),NA())</f>
        <v>0</v>
      </c>
      <c r="AC14" s="5">
        <f>IFERROR(IF(ISNUMBER(INDEX(Rohdaten!$A$157:$LJ$157,MATCH(AC$4,RD_Kopf,0))),INDEX(Rohdaten!$A$157:$LJ$157,MATCH(AC$4,RD_Kopf,0)),NA()),NA())</f>
        <v>0</v>
      </c>
      <c r="AD14" s="5">
        <f>IFERROR(IF(ISNUMBER(INDEX(Rohdaten!$A$157:$LJ$157,MATCH(AD$4,RD_Kopf,0))),INDEX(Rohdaten!$A$157:$LJ$157,MATCH(AD$4,RD_Kopf,0)),NA()),NA())</f>
        <v>0</v>
      </c>
      <c r="CX14" s="11" t="s">
        <v>1031</v>
      </c>
      <c r="CY14" s="5">
        <v>1</v>
      </c>
      <c r="CZ14" s="11" t="s">
        <v>1103</v>
      </c>
      <c r="DA14" s="11" t="s">
        <v>1393</v>
      </c>
      <c r="DB14" s="11"/>
      <c r="DC14" s="11" t="s">
        <v>1394</v>
      </c>
    </row>
    <row r="15" spans="1:110">
      <c r="A15" s="11" t="s">
        <v>111</v>
      </c>
      <c r="B15" s="11" t="s">
        <v>111</v>
      </c>
      <c r="C15" s="3" t="str">
        <f>"Rohdaten Z. "&amp;ROW(Rohdaten!$A$152)</f>
        <v>Rohdaten Z. 152</v>
      </c>
      <c r="D15" s="5">
        <f>IFERROR(IF(ISNUMBER(INDEX(Rohdaten!$A$152:$LJ$152,MATCH(D$4,RD_Kopf,0))),INDEX(Rohdaten!$A$152:$LJ$152,MATCH(D$4,RD_Kopf,0)),NA()),NA())</f>
        <v>0</v>
      </c>
      <c r="E15" s="5">
        <f>IFERROR(IF(ISNUMBER(INDEX(Rohdaten!$A$152:$LJ$152,MATCH(E$4,RD_Kopf,0))),INDEX(Rohdaten!$A$152:$LJ$152,MATCH(E$4,RD_Kopf,0)),NA()),NA())</f>
        <v>0</v>
      </c>
      <c r="F15" s="5">
        <f>IFERROR(IF(ISNUMBER(INDEX(Rohdaten!$A$152:$LJ$152,MATCH(F$4,RD_Kopf,0))),INDEX(Rohdaten!$A$152:$LJ$152,MATCH(F$4,RD_Kopf,0)),NA()),NA())</f>
        <v>0</v>
      </c>
      <c r="G15" s="5">
        <f>IFERROR(IF(ISNUMBER(INDEX(Rohdaten!$A$152:$LJ$152,MATCH(G$4,RD_Kopf,0))),INDEX(Rohdaten!$A$152:$LJ$152,MATCH(G$4,RD_Kopf,0)),NA()),NA())</f>
        <v>0</v>
      </c>
      <c r="H15" s="5">
        <f>IFERROR(IF(ISNUMBER(INDEX(Rohdaten!$A$152:$LJ$152,MATCH(H$4,RD_Kopf,0))),INDEX(Rohdaten!$A$152:$LJ$152,MATCH(H$4,RD_Kopf,0)),NA()),NA())</f>
        <v>0</v>
      </c>
      <c r="I15" s="5">
        <f>IFERROR(IF(ISNUMBER(INDEX(Rohdaten!$A$152:$LJ$152,MATCH(I$4,RD_Kopf,0))),INDEX(Rohdaten!$A$152:$LJ$152,MATCH(I$4,RD_Kopf,0)),NA()),NA())</f>
        <v>0</v>
      </c>
      <c r="J15" s="5">
        <f>IFERROR(IF(ISNUMBER(INDEX(Rohdaten!$A$152:$LJ$152,MATCH(J$4,RD_Kopf,0))),INDEX(Rohdaten!$A$152:$LJ$152,MATCH(J$4,RD_Kopf,0)),NA()),NA())</f>
        <v>0</v>
      </c>
      <c r="K15" s="5">
        <f>IFERROR(IF(ISNUMBER(INDEX(Rohdaten!$A$152:$LJ$152,MATCH(K$4,RD_Kopf,0))),INDEX(Rohdaten!$A$152:$LJ$152,MATCH(K$4,RD_Kopf,0)),NA()),NA())</f>
        <v>0</v>
      </c>
      <c r="L15" s="5">
        <f>IFERROR(IF(ISNUMBER(INDEX(Rohdaten!$A$152:$LJ$152,MATCH(L$4,RD_Kopf,0))),INDEX(Rohdaten!$A$152:$LJ$152,MATCH(L$4,RD_Kopf,0)),NA()),NA())</f>
        <v>0</v>
      </c>
      <c r="M15" s="5">
        <f>IFERROR(IF(ISNUMBER(INDEX(Rohdaten!$A$152:$LJ$152,MATCH(M$4,RD_Kopf,0))),INDEX(Rohdaten!$A$152:$LJ$152,MATCH(M$4,RD_Kopf,0)),NA()),NA())</f>
        <v>0</v>
      </c>
      <c r="N15" s="5">
        <f>IFERROR(IF(ISNUMBER(INDEX(Rohdaten!$A$152:$LJ$152,MATCH(N$4,RD_Kopf,0))),INDEX(Rohdaten!$A$152:$LJ$152,MATCH(N$4,RD_Kopf,0)),NA()),NA())</f>
        <v>0</v>
      </c>
      <c r="O15" s="5">
        <f>IFERROR(IF(ISNUMBER(INDEX(Rohdaten!$A$152:$LJ$152,MATCH(O$4,RD_Kopf,0))),INDEX(Rohdaten!$A$152:$LJ$152,MATCH(O$4,RD_Kopf,0)),NA()),NA())</f>
        <v>0</v>
      </c>
      <c r="P15" s="5">
        <f>IFERROR(IF(ISNUMBER(INDEX(Rohdaten!$A$152:$LJ$152,MATCH(P$4,RD_Kopf,0))),INDEX(Rohdaten!$A$152:$LJ$152,MATCH(P$4,RD_Kopf,0)),NA()),NA())</f>
        <v>0</v>
      </c>
      <c r="Q15" s="5">
        <f>IFERROR(IF(ISNUMBER(INDEX(Rohdaten!$A$152:$LJ$152,MATCH(Q$4,RD_Kopf,0))),INDEX(Rohdaten!$A$152:$LJ$152,MATCH(Q$4,RD_Kopf,0)),NA()),NA())</f>
        <v>0</v>
      </c>
      <c r="R15" s="5">
        <f>IFERROR(IF(ISNUMBER(INDEX(Rohdaten!$A$152:$LJ$152,MATCH(R$4,RD_Kopf,0))),INDEX(Rohdaten!$A$152:$LJ$152,MATCH(R$4,RD_Kopf,0)),NA()),NA())</f>
        <v>0</v>
      </c>
      <c r="S15" s="5">
        <f>IFERROR(IF(ISNUMBER(INDEX(Rohdaten!$A$152:$LJ$152,MATCH(S$4,RD_Kopf,0))),INDEX(Rohdaten!$A$152:$LJ$152,MATCH(S$4,RD_Kopf,0)),NA()),NA())</f>
        <v>0</v>
      </c>
      <c r="T15" s="5">
        <f>IFERROR(IF(ISNUMBER(INDEX(Rohdaten!$A$152:$LJ$152,MATCH(T$4,RD_Kopf,0))),INDEX(Rohdaten!$A$152:$LJ$152,MATCH(T$4,RD_Kopf,0)),NA()),NA())</f>
        <v>0</v>
      </c>
      <c r="U15" s="5">
        <f>IFERROR(IF(ISNUMBER(INDEX(Rohdaten!$A$152:$LJ$152,MATCH(U$4,RD_Kopf,0))),INDEX(Rohdaten!$A$152:$LJ$152,MATCH(U$4,RD_Kopf,0)),NA()),NA())</f>
        <v>0</v>
      </c>
      <c r="V15" s="5">
        <f>IFERROR(IF(ISNUMBER(INDEX(Rohdaten!$A$152:$LJ$152,MATCH(V$4,RD_Kopf,0))),INDEX(Rohdaten!$A$152:$LJ$152,MATCH(V$4,RD_Kopf,0)),NA()),NA())</f>
        <v>0</v>
      </c>
      <c r="W15" s="5">
        <f>IFERROR(IF(ISNUMBER(INDEX(Rohdaten!$A$152:$LJ$152,MATCH(W$4,RD_Kopf,0))),INDEX(Rohdaten!$A$152:$LJ$152,MATCH(W$4,RD_Kopf,0)),NA()),NA())</f>
        <v>0</v>
      </c>
      <c r="X15" s="5">
        <f>IFERROR(IF(ISNUMBER(INDEX(Rohdaten!$A$152:$LJ$152,MATCH(X$4,RD_Kopf,0))),INDEX(Rohdaten!$A$152:$LJ$152,MATCH(X$4,RD_Kopf,0)),NA()),NA())</f>
        <v>0</v>
      </c>
      <c r="Y15" s="5">
        <f>IFERROR(IF(ISNUMBER(INDEX(Rohdaten!$A$152:$LJ$152,MATCH(Y$4,RD_Kopf,0))),INDEX(Rohdaten!$A$152:$LJ$152,MATCH(Y$4,RD_Kopf,0)),NA()),NA())</f>
        <v>0</v>
      </c>
      <c r="Z15" s="5">
        <f>IFERROR(IF(ISNUMBER(INDEX(Rohdaten!$A$152:$LJ$152,MATCH(Z$4,RD_Kopf,0))),INDEX(Rohdaten!$A$152:$LJ$152,MATCH(Z$4,RD_Kopf,0)),NA()),NA())</f>
        <v>0</v>
      </c>
      <c r="AA15" s="5">
        <f>IFERROR(IF(ISNUMBER(INDEX(Rohdaten!$A$152:$LJ$152,MATCH(AA$4,RD_Kopf,0))),INDEX(Rohdaten!$A$152:$LJ$152,MATCH(AA$4,RD_Kopf,0)),NA()),NA())</f>
        <v>0</v>
      </c>
      <c r="AB15" s="5">
        <f>IFERROR(IF(ISNUMBER(INDEX(Rohdaten!$A$152:$LJ$152,MATCH(AB$4,RD_Kopf,0))),INDEX(Rohdaten!$A$152:$LJ$152,MATCH(AB$4,RD_Kopf,0)),NA()),NA())</f>
        <v>0</v>
      </c>
      <c r="AC15" s="5">
        <f>IFERROR(IF(ISNUMBER(INDEX(Rohdaten!$A$152:$LJ$152,MATCH(AC$4,RD_Kopf,0))),INDEX(Rohdaten!$A$152:$LJ$152,MATCH(AC$4,RD_Kopf,0)),NA()),NA())</f>
        <v>0</v>
      </c>
      <c r="AD15" s="5">
        <f>IFERROR(IF(ISNUMBER(INDEX(Rohdaten!$A$152:$LJ$152,MATCH(AD$4,RD_Kopf,0))),INDEX(Rohdaten!$A$152:$LJ$152,MATCH(AD$4,RD_Kopf,0)),NA()),NA())</f>
        <v>0</v>
      </c>
      <c r="CX15" s="11" t="s">
        <v>1031</v>
      </c>
      <c r="CY15" s="5">
        <v>2</v>
      </c>
      <c r="CZ15" s="11" t="s">
        <v>1144</v>
      </c>
      <c r="DA15" s="11" t="s">
        <v>1395</v>
      </c>
      <c r="DB15" s="11"/>
      <c r="DC15" s="11" t="s">
        <v>1396</v>
      </c>
      <c r="DD15" s="11" t="s">
        <v>1397</v>
      </c>
      <c r="DE15" s="11" t="s">
        <v>1398</v>
      </c>
      <c r="DF15" s="11" t="s">
        <v>1399</v>
      </c>
    </row>
    <row r="16" spans="1:110">
      <c r="A16" s="11" t="s">
        <v>112</v>
      </c>
      <c r="B16" s="11" t="s">
        <v>112</v>
      </c>
      <c r="C16" s="3" t="str">
        <f>"Rohdaten Z. "&amp;ROW(Rohdaten!$A$142)</f>
        <v>Rohdaten Z. 142</v>
      </c>
      <c r="D16" s="5">
        <f>IFERROR(IF(ISNUMBER(INDEX(Rohdaten!$A$142:$LJ$142,MATCH(D$4,RD_Kopf,0))),INDEX(Rohdaten!$A$142:$LJ$142,MATCH(D$4,RD_Kopf,0)),NA()),NA())</f>
        <v>0</v>
      </c>
      <c r="E16" s="5">
        <f>IFERROR(IF(ISNUMBER(INDEX(Rohdaten!$A$142:$LJ$142,MATCH(E$4,RD_Kopf,0))),INDEX(Rohdaten!$A$142:$LJ$142,MATCH(E$4,RD_Kopf,0)),NA()),NA())</f>
        <v>0</v>
      </c>
      <c r="F16" s="5">
        <f>IFERROR(IF(ISNUMBER(INDEX(Rohdaten!$A$142:$LJ$142,MATCH(F$4,RD_Kopf,0))),INDEX(Rohdaten!$A$142:$LJ$142,MATCH(F$4,RD_Kopf,0)),NA()),NA())</f>
        <v>0</v>
      </c>
      <c r="G16" s="5">
        <f>IFERROR(IF(ISNUMBER(INDEX(Rohdaten!$A$142:$LJ$142,MATCH(G$4,RD_Kopf,0))),INDEX(Rohdaten!$A$142:$LJ$142,MATCH(G$4,RD_Kopf,0)),NA()),NA())</f>
        <v>0</v>
      </c>
      <c r="H16" s="5">
        <f>IFERROR(IF(ISNUMBER(INDEX(Rohdaten!$A$142:$LJ$142,MATCH(H$4,RD_Kopf,0))),INDEX(Rohdaten!$A$142:$LJ$142,MATCH(H$4,RD_Kopf,0)),NA()),NA())</f>
        <v>0</v>
      </c>
      <c r="I16" s="5">
        <f>IFERROR(IF(ISNUMBER(INDEX(Rohdaten!$A$142:$LJ$142,MATCH(I$4,RD_Kopf,0))),INDEX(Rohdaten!$A$142:$LJ$142,MATCH(I$4,RD_Kopf,0)),NA()),NA())</f>
        <v>0</v>
      </c>
      <c r="J16" s="5">
        <f>IFERROR(IF(ISNUMBER(INDEX(Rohdaten!$A$142:$LJ$142,MATCH(J$4,RD_Kopf,0))),INDEX(Rohdaten!$A$142:$LJ$142,MATCH(J$4,RD_Kopf,0)),NA()),NA())</f>
        <v>0</v>
      </c>
      <c r="K16" s="5">
        <f>IFERROR(IF(ISNUMBER(INDEX(Rohdaten!$A$142:$LJ$142,MATCH(K$4,RD_Kopf,0))),INDEX(Rohdaten!$A$142:$LJ$142,MATCH(K$4,RD_Kopf,0)),NA()),NA())</f>
        <v>0</v>
      </c>
      <c r="L16" s="5">
        <f>IFERROR(IF(ISNUMBER(INDEX(Rohdaten!$A$142:$LJ$142,MATCH(L$4,RD_Kopf,0))),INDEX(Rohdaten!$A$142:$LJ$142,MATCH(L$4,RD_Kopf,0)),NA()),NA())</f>
        <v>0</v>
      </c>
      <c r="M16" s="5">
        <f>IFERROR(IF(ISNUMBER(INDEX(Rohdaten!$A$142:$LJ$142,MATCH(M$4,RD_Kopf,0))),INDEX(Rohdaten!$A$142:$LJ$142,MATCH(M$4,RD_Kopf,0)),NA()),NA())</f>
        <v>0</v>
      </c>
      <c r="N16" s="5">
        <f>IFERROR(IF(ISNUMBER(INDEX(Rohdaten!$A$142:$LJ$142,MATCH(N$4,RD_Kopf,0))),INDEX(Rohdaten!$A$142:$LJ$142,MATCH(N$4,RD_Kopf,0)),NA()),NA())</f>
        <v>0</v>
      </c>
      <c r="O16" s="5">
        <f>IFERROR(IF(ISNUMBER(INDEX(Rohdaten!$A$142:$LJ$142,MATCH(O$4,RD_Kopf,0))),INDEX(Rohdaten!$A$142:$LJ$142,MATCH(O$4,RD_Kopf,0)),NA()),NA())</f>
        <v>0</v>
      </c>
      <c r="P16" s="5">
        <f>IFERROR(IF(ISNUMBER(INDEX(Rohdaten!$A$142:$LJ$142,MATCH(P$4,RD_Kopf,0))),INDEX(Rohdaten!$A$142:$LJ$142,MATCH(P$4,RD_Kopf,0)),NA()),NA())</f>
        <v>0</v>
      </c>
      <c r="Q16" s="5">
        <f>IFERROR(IF(ISNUMBER(INDEX(Rohdaten!$A$142:$LJ$142,MATCH(Q$4,RD_Kopf,0))),INDEX(Rohdaten!$A$142:$LJ$142,MATCH(Q$4,RD_Kopf,0)),NA()),NA())</f>
        <v>0</v>
      </c>
      <c r="R16" s="5">
        <f>IFERROR(IF(ISNUMBER(INDEX(Rohdaten!$A$142:$LJ$142,MATCH(R$4,RD_Kopf,0))),INDEX(Rohdaten!$A$142:$LJ$142,MATCH(R$4,RD_Kopf,0)),NA()),NA())</f>
        <v>0</v>
      </c>
      <c r="S16" s="5">
        <f>IFERROR(IF(ISNUMBER(INDEX(Rohdaten!$A$142:$LJ$142,MATCH(S$4,RD_Kopf,0))),INDEX(Rohdaten!$A$142:$LJ$142,MATCH(S$4,RD_Kopf,0)),NA()),NA())</f>
        <v>0</v>
      </c>
      <c r="T16" s="5">
        <f>IFERROR(IF(ISNUMBER(INDEX(Rohdaten!$A$142:$LJ$142,MATCH(T$4,RD_Kopf,0))),INDEX(Rohdaten!$A$142:$LJ$142,MATCH(T$4,RD_Kopf,0)),NA()),NA())</f>
        <v>0</v>
      </c>
      <c r="U16" s="5">
        <f>IFERROR(IF(ISNUMBER(INDEX(Rohdaten!$A$142:$LJ$142,MATCH(U$4,RD_Kopf,0))),INDEX(Rohdaten!$A$142:$LJ$142,MATCH(U$4,RD_Kopf,0)),NA()),NA())</f>
        <v>0</v>
      </c>
      <c r="V16" s="5">
        <f>IFERROR(IF(ISNUMBER(INDEX(Rohdaten!$A$142:$LJ$142,MATCH(V$4,RD_Kopf,0))),INDEX(Rohdaten!$A$142:$LJ$142,MATCH(V$4,RD_Kopf,0)),NA()),NA())</f>
        <v>0</v>
      </c>
      <c r="W16" s="5">
        <f>IFERROR(IF(ISNUMBER(INDEX(Rohdaten!$A$142:$LJ$142,MATCH(W$4,RD_Kopf,0))),INDEX(Rohdaten!$A$142:$LJ$142,MATCH(W$4,RD_Kopf,0)),NA()),NA())</f>
        <v>0</v>
      </c>
      <c r="X16" s="5">
        <f>IFERROR(IF(ISNUMBER(INDEX(Rohdaten!$A$142:$LJ$142,MATCH(X$4,RD_Kopf,0))),INDEX(Rohdaten!$A$142:$LJ$142,MATCH(X$4,RD_Kopf,0)),NA()),NA())</f>
        <v>0</v>
      </c>
      <c r="Y16" s="5">
        <f>IFERROR(IF(ISNUMBER(INDEX(Rohdaten!$A$142:$LJ$142,MATCH(Y$4,RD_Kopf,0))),INDEX(Rohdaten!$A$142:$LJ$142,MATCH(Y$4,RD_Kopf,0)),NA()),NA())</f>
        <v>0</v>
      </c>
      <c r="Z16" s="5">
        <f>IFERROR(IF(ISNUMBER(INDEX(Rohdaten!$A$142:$LJ$142,MATCH(Z$4,RD_Kopf,0))),INDEX(Rohdaten!$A$142:$LJ$142,MATCH(Z$4,RD_Kopf,0)),NA()),NA())</f>
        <v>0</v>
      </c>
      <c r="AA16" s="5">
        <f>IFERROR(IF(ISNUMBER(INDEX(Rohdaten!$A$142:$LJ$142,MATCH(AA$4,RD_Kopf,0))),INDEX(Rohdaten!$A$142:$LJ$142,MATCH(AA$4,RD_Kopf,0)),NA()),NA())</f>
        <v>0</v>
      </c>
      <c r="AB16" s="5">
        <f>IFERROR(IF(ISNUMBER(INDEX(Rohdaten!$A$142:$LJ$142,MATCH(AB$4,RD_Kopf,0))),INDEX(Rohdaten!$A$142:$LJ$142,MATCH(AB$4,RD_Kopf,0)),NA()),NA())</f>
        <v>0</v>
      </c>
      <c r="AC16" s="5">
        <f>IFERROR(IF(ISNUMBER(INDEX(Rohdaten!$A$142:$LJ$142,MATCH(AC$4,RD_Kopf,0))),INDEX(Rohdaten!$A$142:$LJ$142,MATCH(AC$4,RD_Kopf,0)),NA()),NA())</f>
        <v>0</v>
      </c>
      <c r="AD16" s="5">
        <f>IFERROR(IF(ISNUMBER(INDEX(Rohdaten!$A$142:$LJ$142,MATCH(AD$4,RD_Kopf,0))),INDEX(Rohdaten!$A$142:$LJ$142,MATCH(AD$4,RD_Kopf,0)),NA()),NA())</f>
        <v>0</v>
      </c>
      <c r="CX16" s="11" t="s">
        <v>1031</v>
      </c>
      <c r="CY16" s="5">
        <v>3</v>
      </c>
      <c r="CZ16" s="11" t="s">
        <v>1202</v>
      </c>
      <c r="DA16" s="11" t="s">
        <v>1400</v>
      </c>
      <c r="DB16" s="11"/>
      <c r="DC16" s="11" t="s">
        <v>1401</v>
      </c>
    </row>
    <row r="17" spans="1:113">
      <c r="A17" s="11" t="s">
        <v>113</v>
      </c>
      <c r="B17" s="11" t="s">
        <v>113</v>
      </c>
      <c r="C17" s="3" t="str">
        <f>"Rohdaten Z. "&amp;ROW(Rohdaten!$A$143)</f>
        <v>Rohdaten Z. 143</v>
      </c>
      <c r="D17" s="5">
        <f>IFERROR(IF(ISNUMBER(INDEX(Rohdaten!$A$143:$LJ$143,MATCH(D$4,RD_Kopf,0))),INDEX(Rohdaten!$A$143:$LJ$143,MATCH(D$4,RD_Kopf,0)),NA()),NA())</f>
        <v>0</v>
      </c>
      <c r="E17" s="5">
        <f>IFERROR(IF(ISNUMBER(INDEX(Rohdaten!$A$143:$LJ$143,MATCH(E$4,RD_Kopf,0))),INDEX(Rohdaten!$A$143:$LJ$143,MATCH(E$4,RD_Kopf,0)),NA()),NA())</f>
        <v>0</v>
      </c>
      <c r="F17" s="5">
        <f>IFERROR(IF(ISNUMBER(INDEX(Rohdaten!$A$143:$LJ$143,MATCH(F$4,RD_Kopf,0))),INDEX(Rohdaten!$A$143:$LJ$143,MATCH(F$4,RD_Kopf,0)),NA()),NA())</f>
        <v>0</v>
      </c>
      <c r="G17" s="5">
        <f>IFERROR(IF(ISNUMBER(INDEX(Rohdaten!$A$143:$LJ$143,MATCH(G$4,RD_Kopf,0))),INDEX(Rohdaten!$A$143:$LJ$143,MATCH(G$4,RD_Kopf,0)),NA()),NA())</f>
        <v>0</v>
      </c>
      <c r="H17" s="5">
        <f>IFERROR(IF(ISNUMBER(INDEX(Rohdaten!$A$143:$LJ$143,MATCH(H$4,RD_Kopf,0))),INDEX(Rohdaten!$A$143:$LJ$143,MATCH(H$4,RD_Kopf,0)),NA()),NA())</f>
        <v>0</v>
      </c>
      <c r="I17" s="5">
        <f>IFERROR(IF(ISNUMBER(INDEX(Rohdaten!$A$143:$LJ$143,MATCH(I$4,RD_Kopf,0))),INDEX(Rohdaten!$A$143:$LJ$143,MATCH(I$4,RD_Kopf,0)),NA()),NA())</f>
        <v>0</v>
      </c>
      <c r="J17" s="5">
        <f>IFERROR(IF(ISNUMBER(INDEX(Rohdaten!$A$143:$LJ$143,MATCH(J$4,RD_Kopf,0))),INDEX(Rohdaten!$A$143:$LJ$143,MATCH(J$4,RD_Kopf,0)),NA()),NA())</f>
        <v>0</v>
      </c>
      <c r="K17" s="5">
        <f>IFERROR(IF(ISNUMBER(INDEX(Rohdaten!$A$143:$LJ$143,MATCH(K$4,RD_Kopf,0))),INDEX(Rohdaten!$A$143:$LJ$143,MATCH(K$4,RD_Kopf,0)),NA()),NA())</f>
        <v>0</v>
      </c>
      <c r="L17" s="5">
        <f>IFERROR(IF(ISNUMBER(INDEX(Rohdaten!$A$143:$LJ$143,MATCH(L$4,RD_Kopf,0))),INDEX(Rohdaten!$A$143:$LJ$143,MATCH(L$4,RD_Kopf,0)),NA()),NA())</f>
        <v>0</v>
      </c>
      <c r="M17" s="5">
        <f>IFERROR(IF(ISNUMBER(INDEX(Rohdaten!$A$143:$LJ$143,MATCH(M$4,RD_Kopf,0))),INDEX(Rohdaten!$A$143:$LJ$143,MATCH(M$4,RD_Kopf,0)),NA()),NA())</f>
        <v>0</v>
      </c>
      <c r="N17" s="5">
        <f>IFERROR(IF(ISNUMBER(INDEX(Rohdaten!$A$143:$LJ$143,MATCH(N$4,RD_Kopf,0))),INDEX(Rohdaten!$A$143:$LJ$143,MATCH(N$4,RD_Kopf,0)),NA()),NA())</f>
        <v>0</v>
      </c>
      <c r="O17" s="5">
        <f>IFERROR(IF(ISNUMBER(INDEX(Rohdaten!$A$143:$LJ$143,MATCH(O$4,RD_Kopf,0))),INDEX(Rohdaten!$A$143:$LJ$143,MATCH(O$4,RD_Kopf,0)),NA()),NA())</f>
        <v>0</v>
      </c>
      <c r="P17" s="5">
        <f>IFERROR(IF(ISNUMBER(INDEX(Rohdaten!$A$143:$LJ$143,MATCH(P$4,RD_Kopf,0))),INDEX(Rohdaten!$A$143:$LJ$143,MATCH(P$4,RD_Kopf,0)),NA()),NA())</f>
        <v>0</v>
      </c>
      <c r="Q17" s="5">
        <f>IFERROR(IF(ISNUMBER(INDEX(Rohdaten!$A$143:$LJ$143,MATCH(Q$4,RD_Kopf,0))),INDEX(Rohdaten!$A$143:$LJ$143,MATCH(Q$4,RD_Kopf,0)),NA()),NA())</f>
        <v>0</v>
      </c>
      <c r="R17" s="5">
        <f>IFERROR(IF(ISNUMBER(INDEX(Rohdaten!$A$143:$LJ$143,MATCH(R$4,RD_Kopf,0))),INDEX(Rohdaten!$A$143:$LJ$143,MATCH(R$4,RD_Kopf,0)),NA()),NA())</f>
        <v>0</v>
      </c>
      <c r="S17" s="5">
        <f>IFERROR(IF(ISNUMBER(INDEX(Rohdaten!$A$143:$LJ$143,MATCH(S$4,RD_Kopf,0))),INDEX(Rohdaten!$A$143:$LJ$143,MATCH(S$4,RD_Kopf,0)),NA()),NA())</f>
        <v>0</v>
      </c>
      <c r="T17" s="5">
        <f>IFERROR(IF(ISNUMBER(INDEX(Rohdaten!$A$143:$LJ$143,MATCH(T$4,RD_Kopf,0))),INDEX(Rohdaten!$A$143:$LJ$143,MATCH(T$4,RD_Kopf,0)),NA()),NA())</f>
        <v>0</v>
      </c>
      <c r="U17" s="5">
        <f>IFERROR(IF(ISNUMBER(INDEX(Rohdaten!$A$143:$LJ$143,MATCH(U$4,RD_Kopf,0))),INDEX(Rohdaten!$A$143:$LJ$143,MATCH(U$4,RD_Kopf,0)),NA()),NA())</f>
        <v>0</v>
      </c>
      <c r="V17" s="5">
        <f>IFERROR(IF(ISNUMBER(INDEX(Rohdaten!$A$143:$LJ$143,MATCH(V$4,RD_Kopf,0))),INDEX(Rohdaten!$A$143:$LJ$143,MATCH(V$4,RD_Kopf,0)),NA()),NA())</f>
        <v>0</v>
      </c>
      <c r="W17" s="5">
        <f>IFERROR(IF(ISNUMBER(INDEX(Rohdaten!$A$143:$LJ$143,MATCH(W$4,RD_Kopf,0))),INDEX(Rohdaten!$A$143:$LJ$143,MATCH(W$4,RD_Kopf,0)),NA()),NA())</f>
        <v>0</v>
      </c>
      <c r="X17" s="5">
        <f>IFERROR(IF(ISNUMBER(INDEX(Rohdaten!$A$143:$LJ$143,MATCH(X$4,RD_Kopf,0))),INDEX(Rohdaten!$A$143:$LJ$143,MATCH(X$4,RD_Kopf,0)),NA()),NA())</f>
        <v>0</v>
      </c>
      <c r="Y17" s="5">
        <f>IFERROR(IF(ISNUMBER(INDEX(Rohdaten!$A$143:$LJ$143,MATCH(Y$4,RD_Kopf,0))),INDEX(Rohdaten!$A$143:$LJ$143,MATCH(Y$4,RD_Kopf,0)),NA()),NA())</f>
        <v>0</v>
      </c>
      <c r="Z17" s="5">
        <f>IFERROR(IF(ISNUMBER(INDEX(Rohdaten!$A$143:$LJ$143,MATCH(Z$4,RD_Kopf,0))),INDEX(Rohdaten!$A$143:$LJ$143,MATCH(Z$4,RD_Kopf,0)),NA()),NA())</f>
        <v>0</v>
      </c>
      <c r="AA17" s="5">
        <f>IFERROR(IF(ISNUMBER(INDEX(Rohdaten!$A$143:$LJ$143,MATCH(AA$4,RD_Kopf,0))),INDEX(Rohdaten!$A$143:$LJ$143,MATCH(AA$4,RD_Kopf,0)),NA()),NA())</f>
        <v>0</v>
      </c>
      <c r="AB17" s="5">
        <f>IFERROR(IF(ISNUMBER(INDEX(Rohdaten!$A$143:$LJ$143,MATCH(AB$4,RD_Kopf,0))),INDEX(Rohdaten!$A$143:$LJ$143,MATCH(AB$4,RD_Kopf,0)),NA()),NA())</f>
        <v>0</v>
      </c>
      <c r="AC17" s="5">
        <f>IFERROR(IF(ISNUMBER(INDEX(Rohdaten!$A$143:$LJ$143,MATCH(AC$4,RD_Kopf,0))),INDEX(Rohdaten!$A$143:$LJ$143,MATCH(AC$4,RD_Kopf,0)),NA()),NA())</f>
        <v>0</v>
      </c>
      <c r="AD17" s="5">
        <f>IFERROR(IF(ISNUMBER(INDEX(Rohdaten!$A$143:$LJ$143,MATCH(AD$4,RD_Kopf,0))),INDEX(Rohdaten!$A$143:$LJ$143,MATCH(AD$4,RD_Kopf,0)),NA()),NA())</f>
        <v>0</v>
      </c>
      <c r="CX17" s="11" t="s">
        <v>1031</v>
      </c>
      <c r="CY17" s="5">
        <v>4</v>
      </c>
      <c r="CZ17" s="11" t="s">
        <v>1204</v>
      </c>
      <c r="DA17" s="11" t="s">
        <v>1402</v>
      </c>
      <c r="DB17" s="11" t="s">
        <v>1403</v>
      </c>
      <c r="DC17" s="11" t="s">
        <v>1404</v>
      </c>
      <c r="DD17" s="11" t="s">
        <v>1405</v>
      </c>
      <c r="DE17" s="11" t="s">
        <v>1406</v>
      </c>
      <c r="DF17" s="11" t="s">
        <v>1407</v>
      </c>
      <c r="DG17" s="11" t="s">
        <v>1408</v>
      </c>
      <c r="DH17" s="11" t="s">
        <v>1409</v>
      </c>
      <c r="DI17" s="11" t="s">
        <v>1410</v>
      </c>
    </row>
    <row r="18" spans="1:113">
      <c r="A18" s="11" t="s">
        <v>114</v>
      </c>
      <c r="B18" s="11" t="s">
        <v>114</v>
      </c>
      <c r="C18" s="3" t="str">
        <f>"Rohdaten Z. "&amp;ROW(Rohdaten!$A$144)</f>
        <v>Rohdaten Z. 144</v>
      </c>
      <c r="D18" s="5">
        <f>IFERROR(IF(ISNUMBER(INDEX(Rohdaten!$A$144:$LJ$144,MATCH(D$4,RD_Kopf,0))),INDEX(Rohdaten!$A$144:$LJ$144,MATCH(D$4,RD_Kopf,0)),NA()),NA())</f>
        <v>0</v>
      </c>
      <c r="E18" s="5">
        <f>IFERROR(IF(ISNUMBER(INDEX(Rohdaten!$A$144:$LJ$144,MATCH(E$4,RD_Kopf,0))),INDEX(Rohdaten!$A$144:$LJ$144,MATCH(E$4,RD_Kopf,0)),NA()),NA())</f>
        <v>0</v>
      </c>
      <c r="F18" s="5">
        <f>IFERROR(IF(ISNUMBER(INDEX(Rohdaten!$A$144:$LJ$144,MATCH(F$4,RD_Kopf,0))),INDEX(Rohdaten!$A$144:$LJ$144,MATCH(F$4,RD_Kopf,0)),NA()),NA())</f>
        <v>0</v>
      </c>
      <c r="G18" s="5">
        <f>IFERROR(IF(ISNUMBER(INDEX(Rohdaten!$A$144:$LJ$144,MATCH(G$4,RD_Kopf,0))),INDEX(Rohdaten!$A$144:$LJ$144,MATCH(G$4,RD_Kopf,0)),NA()),NA())</f>
        <v>0</v>
      </c>
      <c r="H18" s="5">
        <f>IFERROR(IF(ISNUMBER(INDEX(Rohdaten!$A$144:$LJ$144,MATCH(H$4,RD_Kopf,0))),INDEX(Rohdaten!$A$144:$LJ$144,MATCH(H$4,RD_Kopf,0)),NA()),NA())</f>
        <v>0</v>
      </c>
      <c r="I18" s="5">
        <f>IFERROR(IF(ISNUMBER(INDEX(Rohdaten!$A$144:$LJ$144,MATCH(I$4,RD_Kopf,0))),INDEX(Rohdaten!$A$144:$LJ$144,MATCH(I$4,RD_Kopf,0)),NA()),NA())</f>
        <v>0</v>
      </c>
      <c r="J18" s="5">
        <f>IFERROR(IF(ISNUMBER(INDEX(Rohdaten!$A$144:$LJ$144,MATCH(J$4,RD_Kopf,0))),INDEX(Rohdaten!$A$144:$LJ$144,MATCH(J$4,RD_Kopf,0)),NA()),NA())</f>
        <v>0</v>
      </c>
      <c r="K18" s="5">
        <f>IFERROR(IF(ISNUMBER(INDEX(Rohdaten!$A$144:$LJ$144,MATCH(K$4,RD_Kopf,0))),INDEX(Rohdaten!$A$144:$LJ$144,MATCH(K$4,RD_Kopf,0)),NA()),NA())</f>
        <v>0</v>
      </c>
      <c r="L18" s="5">
        <f>IFERROR(IF(ISNUMBER(INDEX(Rohdaten!$A$144:$LJ$144,MATCH(L$4,RD_Kopf,0))),INDEX(Rohdaten!$A$144:$LJ$144,MATCH(L$4,RD_Kopf,0)),NA()),NA())</f>
        <v>0</v>
      </c>
      <c r="M18" s="5">
        <f>IFERROR(IF(ISNUMBER(INDEX(Rohdaten!$A$144:$LJ$144,MATCH(M$4,RD_Kopf,0))),INDEX(Rohdaten!$A$144:$LJ$144,MATCH(M$4,RD_Kopf,0)),NA()),NA())</f>
        <v>0</v>
      </c>
      <c r="N18" s="5">
        <f>IFERROR(IF(ISNUMBER(INDEX(Rohdaten!$A$144:$LJ$144,MATCH(N$4,RD_Kopf,0))),INDEX(Rohdaten!$A$144:$LJ$144,MATCH(N$4,RD_Kopf,0)),NA()),NA())</f>
        <v>0</v>
      </c>
      <c r="O18" s="5">
        <f>IFERROR(IF(ISNUMBER(INDEX(Rohdaten!$A$144:$LJ$144,MATCH(O$4,RD_Kopf,0))),INDEX(Rohdaten!$A$144:$LJ$144,MATCH(O$4,RD_Kopf,0)),NA()),NA())</f>
        <v>0</v>
      </c>
      <c r="P18" s="5">
        <f>IFERROR(IF(ISNUMBER(INDEX(Rohdaten!$A$144:$LJ$144,MATCH(P$4,RD_Kopf,0))),INDEX(Rohdaten!$A$144:$LJ$144,MATCH(P$4,RD_Kopf,0)),NA()),NA())</f>
        <v>0</v>
      </c>
      <c r="Q18" s="5">
        <f>IFERROR(IF(ISNUMBER(INDEX(Rohdaten!$A$144:$LJ$144,MATCH(Q$4,RD_Kopf,0))),INDEX(Rohdaten!$A$144:$LJ$144,MATCH(Q$4,RD_Kopf,0)),NA()),NA())</f>
        <v>0</v>
      </c>
      <c r="R18" s="5">
        <f>IFERROR(IF(ISNUMBER(INDEX(Rohdaten!$A$144:$LJ$144,MATCH(R$4,RD_Kopf,0))),INDEX(Rohdaten!$A$144:$LJ$144,MATCH(R$4,RD_Kopf,0)),NA()),NA())</f>
        <v>0</v>
      </c>
      <c r="S18" s="5">
        <f>IFERROR(IF(ISNUMBER(INDEX(Rohdaten!$A$144:$LJ$144,MATCH(S$4,RD_Kopf,0))),INDEX(Rohdaten!$A$144:$LJ$144,MATCH(S$4,RD_Kopf,0)),NA()),NA())</f>
        <v>0</v>
      </c>
      <c r="T18" s="5">
        <f>IFERROR(IF(ISNUMBER(INDEX(Rohdaten!$A$144:$LJ$144,MATCH(T$4,RD_Kopf,0))),INDEX(Rohdaten!$A$144:$LJ$144,MATCH(T$4,RD_Kopf,0)),NA()),NA())</f>
        <v>0</v>
      </c>
      <c r="U18" s="5">
        <f>IFERROR(IF(ISNUMBER(INDEX(Rohdaten!$A$144:$LJ$144,MATCH(U$4,RD_Kopf,0))),INDEX(Rohdaten!$A$144:$LJ$144,MATCH(U$4,RD_Kopf,0)),NA()),NA())</f>
        <v>0</v>
      </c>
      <c r="V18" s="5">
        <f>IFERROR(IF(ISNUMBER(INDEX(Rohdaten!$A$144:$LJ$144,MATCH(V$4,RD_Kopf,0))),INDEX(Rohdaten!$A$144:$LJ$144,MATCH(V$4,RD_Kopf,0)),NA()),NA())</f>
        <v>0</v>
      </c>
      <c r="W18" s="5">
        <f>IFERROR(IF(ISNUMBER(INDEX(Rohdaten!$A$144:$LJ$144,MATCH(W$4,RD_Kopf,0))),INDEX(Rohdaten!$A$144:$LJ$144,MATCH(W$4,RD_Kopf,0)),NA()),NA())</f>
        <v>0</v>
      </c>
      <c r="X18" s="5">
        <f>IFERROR(IF(ISNUMBER(INDEX(Rohdaten!$A$144:$LJ$144,MATCH(X$4,RD_Kopf,0))),INDEX(Rohdaten!$A$144:$LJ$144,MATCH(X$4,RD_Kopf,0)),NA()),NA())</f>
        <v>0</v>
      </c>
      <c r="Y18" s="5">
        <f>IFERROR(IF(ISNUMBER(INDEX(Rohdaten!$A$144:$LJ$144,MATCH(Y$4,RD_Kopf,0))),INDEX(Rohdaten!$A$144:$LJ$144,MATCH(Y$4,RD_Kopf,0)),NA()),NA())</f>
        <v>0</v>
      </c>
      <c r="Z18" s="5">
        <f>IFERROR(IF(ISNUMBER(INDEX(Rohdaten!$A$144:$LJ$144,MATCH(Z$4,RD_Kopf,0))),INDEX(Rohdaten!$A$144:$LJ$144,MATCH(Z$4,RD_Kopf,0)),NA()),NA())</f>
        <v>0</v>
      </c>
      <c r="AA18" s="5">
        <f>IFERROR(IF(ISNUMBER(INDEX(Rohdaten!$A$144:$LJ$144,MATCH(AA$4,RD_Kopf,0))),INDEX(Rohdaten!$A$144:$LJ$144,MATCH(AA$4,RD_Kopf,0)),NA()),NA())</f>
        <v>0</v>
      </c>
      <c r="AB18" s="5">
        <f>IFERROR(IF(ISNUMBER(INDEX(Rohdaten!$A$144:$LJ$144,MATCH(AB$4,RD_Kopf,0))),INDEX(Rohdaten!$A$144:$LJ$144,MATCH(AB$4,RD_Kopf,0)),NA()),NA())</f>
        <v>0</v>
      </c>
      <c r="AC18" s="5">
        <f>IFERROR(IF(ISNUMBER(INDEX(Rohdaten!$A$144:$LJ$144,MATCH(AC$4,RD_Kopf,0))),INDEX(Rohdaten!$A$144:$LJ$144,MATCH(AC$4,RD_Kopf,0)),NA()),NA())</f>
        <v>0</v>
      </c>
      <c r="AD18" s="5">
        <f>IFERROR(IF(ISNUMBER(INDEX(Rohdaten!$A$144:$LJ$144,MATCH(AD$4,RD_Kopf,0))),INDEX(Rohdaten!$A$144:$LJ$144,MATCH(AD$4,RD_Kopf,0)),NA()),NA())</f>
        <v>0</v>
      </c>
      <c r="CX18" s="11" t="s">
        <v>1031</v>
      </c>
      <c r="CY18" s="5">
        <v>5</v>
      </c>
      <c r="CZ18" s="11" t="s">
        <v>1206</v>
      </c>
      <c r="DA18" s="11" t="s">
        <v>1411</v>
      </c>
      <c r="DB18" s="11" t="s">
        <v>1412</v>
      </c>
      <c r="DC18" s="11" t="s">
        <v>1413</v>
      </c>
      <c r="DD18" s="11" t="s">
        <v>1414</v>
      </c>
      <c r="DE18" s="11" t="s">
        <v>1415</v>
      </c>
      <c r="DF18" s="11" t="s">
        <v>1416</v>
      </c>
      <c r="DG18" s="11" t="s">
        <v>1417</v>
      </c>
      <c r="DH18" s="11" t="s">
        <v>1418</v>
      </c>
      <c r="DI18" s="11" t="s">
        <v>1419</v>
      </c>
    </row>
    <row r="19" spans="1:113">
      <c r="A19" s="11" t="s">
        <v>115</v>
      </c>
      <c r="B19" s="11" t="s">
        <v>115</v>
      </c>
      <c r="C19" s="3" t="str">
        <f>"Rohdaten Z. "&amp;ROW(Rohdaten!$A$145)</f>
        <v>Rohdaten Z. 145</v>
      </c>
      <c r="D19" s="5">
        <f>IFERROR(IF(ISNUMBER(INDEX(Rohdaten!$A$145:$LJ$145,MATCH(D$4,RD_Kopf,0))),INDEX(Rohdaten!$A$145:$LJ$145,MATCH(D$4,RD_Kopf,0)),NA()),NA())</f>
        <v>0</v>
      </c>
      <c r="E19" s="5">
        <f>IFERROR(IF(ISNUMBER(INDEX(Rohdaten!$A$145:$LJ$145,MATCH(E$4,RD_Kopf,0))),INDEX(Rohdaten!$A$145:$LJ$145,MATCH(E$4,RD_Kopf,0)),NA()),NA())</f>
        <v>0</v>
      </c>
      <c r="F19" s="5">
        <f>IFERROR(IF(ISNUMBER(INDEX(Rohdaten!$A$145:$LJ$145,MATCH(F$4,RD_Kopf,0))),INDEX(Rohdaten!$A$145:$LJ$145,MATCH(F$4,RD_Kopf,0)),NA()),NA())</f>
        <v>0</v>
      </c>
      <c r="G19" s="5">
        <f>IFERROR(IF(ISNUMBER(INDEX(Rohdaten!$A$145:$LJ$145,MATCH(G$4,RD_Kopf,0))),INDEX(Rohdaten!$A$145:$LJ$145,MATCH(G$4,RD_Kopf,0)),NA()),NA())</f>
        <v>0</v>
      </c>
      <c r="H19" s="5">
        <f>IFERROR(IF(ISNUMBER(INDEX(Rohdaten!$A$145:$LJ$145,MATCH(H$4,RD_Kopf,0))),INDEX(Rohdaten!$A$145:$LJ$145,MATCH(H$4,RD_Kopf,0)),NA()),NA())</f>
        <v>0</v>
      </c>
      <c r="I19" s="5">
        <f>IFERROR(IF(ISNUMBER(INDEX(Rohdaten!$A$145:$LJ$145,MATCH(I$4,RD_Kopf,0))),INDEX(Rohdaten!$A$145:$LJ$145,MATCH(I$4,RD_Kopf,0)),NA()),NA())</f>
        <v>0</v>
      </c>
      <c r="J19" s="5">
        <f>IFERROR(IF(ISNUMBER(INDEX(Rohdaten!$A$145:$LJ$145,MATCH(J$4,RD_Kopf,0))),INDEX(Rohdaten!$A$145:$LJ$145,MATCH(J$4,RD_Kopf,0)),NA()),NA())</f>
        <v>0</v>
      </c>
      <c r="K19" s="5">
        <f>IFERROR(IF(ISNUMBER(INDEX(Rohdaten!$A$145:$LJ$145,MATCH(K$4,RD_Kopf,0))),INDEX(Rohdaten!$A$145:$LJ$145,MATCH(K$4,RD_Kopf,0)),NA()),NA())</f>
        <v>0</v>
      </c>
      <c r="L19" s="5">
        <f>IFERROR(IF(ISNUMBER(INDEX(Rohdaten!$A$145:$LJ$145,MATCH(L$4,RD_Kopf,0))),INDEX(Rohdaten!$A$145:$LJ$145,MATCH(L$4,RD_Kopf,0)),NA()),NA())</f>
        <v>0</v>
      </c>
      <c r="M19" s="5">
        <f>IFERROR(IF(ISNUMBER(INDEX(Rohdaten!$A$145:$LJ$145,MATCH(M$4,RD_Kopf,0))),INDEX(Rohdaten!$A$145:$LJ$145,MATCH(M$4,RD_Kopf,0)),NA()),NA())</f>
        <v>0</v>
      </c>
      <c r="N19" s="5">
        <f>IFERROR(IF(ISNUMBER(INDEX(Rohdaten!$A$145:$LJ$145,MATCH(N$4,RD_Kopf,0))),INDEX(Rohdaten!$A$145:$LJ$145,MATCH(N$4,RD_Kopf,0)),NA()),NA())</f>
        <v>0</v>
      </c>
      <c r="O19" s="5">
        <f>IFERROR(IF(ISNUMBER(INDEX(Rohdaten!$A$145:$LJ$145,MATCH(O$4,RD_Kopf,0))),INDEX(Rohdaten!$A$145:$LJ$145,MATCH(O$4,RD_Kopf,0)),NA()),NA())</f>
        <v>0</v>
      </c>
      <c r="P19" s="5">
        <f>IFERROR(IF(ISNUMBER(INDEX(Rohdaten!$A$145:$LJ$145,MATCH(P$4,RD_Kopf,0))),INDEX(Rohdaten!$A$145:$LJ$145,MATCH(P$4,RD_Kopf,0)),NA()),NA())</f>
        <v>0</v>
      </c>
      <c r="Q19" s="5">
        <f>IFERROR(IF(ISNUMBER(INDEX(Rohdaten!$A$145:$LJ$145,MATCH(Q$4,RD_Kopf,0))),INDEX(Rohdaten!$A$145:$LJ$145,MATCH(Q$4,RD_Kopf,0)),NA()),NA())</f>
        <v>0</v>
      </c>
      <c r="R19" s="5">
        <f>IFERROR(IF(ISNUMBER(INDEX(Rohdaten!$A$145:$LJ$145,MATCH(R$4,RD_Kopf,0))),INDEX(Rohdaten!$A$145:$LJ$145,MATCH(R$4,RD_Kopf,0)),NA()),NA())</f>
        <v>0</v>
      </c>
      <c r="S19" s="5">
        <f>IFERROR(IF(ISNUMBER(INDEX(Rohdaten!$A$145:$LJ$145,MATCH(S$4,RD_Kopf,0))),INDEX(Rohdaten!$A$145:$LJ$145,MATCH(S$4,RD_Kopf,0)),NA()),NA())</f>
        <v>0</v>
      </c>
      <c r="T19" s="5">
        <f>IFERROR(IF(ISNUMBER(INDEX(Rohdaten!$A$145:$LJ$145,MATCH(T$4,RD_Kopf,0))),INDEX(Rohdaten!$A$145:$LJ$145,MATCH(T$4,RD_Kopf,0)),NA()),NA())</f>
        <v>0</v>
      </c>
      <c r="U19" s="5">
        <f>IFERROR(IF(ISNUMBER(INDEX(Rohdaten!$A$145:$LJ$145,MATCH(U$4,RD_Kopf,0))),INDEX(Rohdaten!$A$145:$LJ$145,MATCH(U$4,RD_Kopf,0)),NA()),NA())</f>
        <v>0</v>
      </c>
      <c r="V19" s="5">
        <f>IFERROR(IF(ISNUMBER(INDEX(Rohdaten!$A$145:$LJ$145,MATCH(V$4,RD_Kopf,0))),INDEX(Rohdaten!$A$145:$LJ$145,MATCH(V$4,RD_Kopf,0)),NA()),NA())</f>
        <v>0</v>
      </c>
      <c r="W19" s="5">
        <f>IFERROR(IF(ISNUMBER(INDEX(Rohdaten!$A$145:$LJ$145,MATCH(W$4,RD_Kopf,0))),INDEX(Rohdaten!$A$145:$LJ$145,MATCH(W$4,RD_Kopf,0)),NA()),NA())</f>
        <v>0</v>
      </c>
      <c r="X19" s="5">
        <f>IFERROR(IF(ISNUMBER(INDEX(Rohdaten!$A$145:$LJ$145,MATCH(X$4,RD_Kopf,0))),INDEX(Rohdaten!$A$145:$LJ$145,MATCH(X$4,RD_Kopf,0)),NA()),NA())</f>
        <v>0</v>
      </c>
      <c r="Y19" s="5">
        <f>IFERROR(IF(ISNUMBER(INDEX(Rohdaten!$A$145:$LJ$145,MATCH(Y$4,RD_Kopf,0))),INDEX(Rohdaten!$A$145:$LJ$145,MATCH(Y$4,RD_Kopf,0)),NA()),NA())</f>
        <v>0</v>
      </c>
      <c r="Z19" s="5">
        <f>IFERROR(IF(ISNUMBER(INDEX(Rohdaten!$A$145:$LJ$145,MATCH(Z$4,RD_Kopf,0))),INDEX(Rohdaten!$A$145:$LJ$145,MATCH(Z$4,RD_Kopf,0)),NA()),NA())</f>
        <v>0</v>
      </c>
      <c r="AA19" s="5">
        <f>IFERROR(IF(ISNUMBER(INDEX(Rohdaten!$A$145:$LJ$145,MATCH(AA$4,RD_Kopf,0))),INDEX(Rohdaten!$A$145:$LJ$145,MATCH(AA$4,RD_Kopf,0)),NA()),NA())</f>
        <v>0</v>
      </c>
      <c r="AB19" s="5">
        <f>IFERROR(IF(ISNUMBER(INDEX(Rohdaten!$A$145:$LJ$145,MATCH(AB$4,RD_Kopf,0))),INDEX(Rohdaten!$A$145:$LJ$145,MATCH(AB$4,RD_Kopf,0)),NA()),NA())</f>
        <v>0</v>
      </c>
      <c r="AC19" s="5">
        <f>IFERROR(IF(ISNUMBER(INDEX(Rohdaten!$A$145:$LJ$145,MATCH(AC$4,RD_Kopf,0))),INDEX(Rohdaten!$A$145:$LJ$145,MATCH(AC$4,RD_Kopf,0)),NA()),NA())</f>
        <v>0</v>
      </c>
      <c r="AD19" s="5">
        <f>IFERROR(IF(ISNUMBER(INDEX(Rohdaten!$A$145:$LJ$145,MATCH(AD$4,RD_Kopf,0))),INDEX(Rohdaten!$A$145:$LJ$145,MATCH(AD$4,RD_Kopf,0)),NA()),NA())</f>
        <v>0</v>
      </c>
      <c r="CX19" s="11" t="s">
        <v>1031</v>
      </c>
      <c r="CY19" s="5">
        <v>6</v>
      </c>
      <c r="CZ19" s="11" t="s">
        <v>1208</v>
      </c>
      <c r="DA19" s="11" t="s">
        <v>1420</v>
      </c>
      <c r="DB19" s="11"/>
      <c r="DC19" s="11" t="s">
        <v>1421</v>
      </c>
      <c r="DD19" s="11" t="s">
        <v>1422</v>
      </c>
    </row>
    <row r="20" spans="1:113">
      <c r="A20" s="11" t="s">
        <v>116</v>
      </c>
      <c r="B20" s="11" t="s">
        <v>116</v>
      </c>
      <c r="C20" s="3" t="str">
        <f>"Rohdaten Z. "&amp;ROW(Rohdaten!$A$117)</f>
        <v>Rohdaten Z. 117</v>
      </c>
      <c r="D20" s="5">
        <f>IFERROR(IF(ISNUMBER(INDEX(Rohdaten!$A$117:$LJ$117,MATCH(D$4,RD_Kopf,0))),INDEX(Rohdaten!$A$117:$LJ$117,MATCH(D$4,RD_Kopf,0)),NA()),NA())</f>
        <v>0</v>
      </c>
      <c r="E20" s="5">
        <f>IFERROR(IF(ISNUMBER(INDEX(Rohdaten!$A$117:$LJ$117,MATCH(E$4,RD_Kopf,0))),INDEX(Rohdaten!$A$117:$LJ$117,MATCH(E$4,RD_Kopf,0)),NA()),NA())</f>
        <v>0</v>
      </c>
      <c r="F20" s="5">
        <f>IFERROR(IF(ISNUMBER(INDEX(Rohdaten!$A$117:$LJ$117,MATCH(F$4,RD_Kopf,0))),INDEX(Rohdaten!$A$117:$LJ$117,MATCH(F$4,RD_Kopf,0)),NA()),NA())</f>
        <v>0</v>
      </c>
      <c r="G20" s="5">
        <f>IFERROR(IF(ISNUMBER(INDEX(Rohdaten!$A$117:$LJ$117,MATCH(G$4,RD_Kopf,0))),INDEX(Rohdaten!$A$117:$LJ$117,MATCH(G$4,RD_Kopf,0)),NA()),NA())</f>
        <v>0</v>
      </c>
      <c r="H20" s="5">
        <f>IFERROR(IF(ISNUMBER(INDEX(Rohdaten!$A$117:$LJ$117,MATCH(H$4,RD_Kopf,0))),INDEX(Rohdaten!$A$117:$LJ$117,MATCH(H$4,RD_Kopf,0)),NA()),NA())</f>
        <v>0</v>
      </c>
      <c r="I20" s="5">
        <f>IFERROR(IF(ISNUMBER(INDEX(Rohdaten!$A$117:$LJ$117,MATCH(I$4,RD_Kopf,0))),INDEX(Rohdaten!$A$117:$LJ$117,MATCH(I$4,RD_Kopf,0)),NA()),NA())</f>
        <v>0</v>
      </c>
      <c r="J20" s="5">
        <f>IFERROR(IF(ISNUMBER(INDEX(Rohdaten!$A$117:$LJ$117,MATCH(J$4,RD_Kopf,0))),INDEX(Rohdaten!$A$117:$LJ$117,MATCH(J$4,RD_Kopf,0)),NA()),NA())</f>
        <v>0</v>
      </c>
      <c r="K20" s="5">
        <f>IFERROR(IF(ISNUMBER(INDEX(Rohdaten!$A$117:$LJ$117,MATCH(K$4,RD_Kopf,0))),INDEX(Rohdaten!$A$117:$LJ$117,MATCH(K$4,RD_Kopf,0)),NA()),NA())</f>
        <v>0</v>
      </c>
      <c r="L20" s="5">
        <f>IFERROR(IF(ISNUMBER(INDEX(Rohdaten!$A$117:$LJ$117,MATCH(L$4,RD_Kopf,0))),INDEX(Rohdaten!$A$117:$LJ$117,MATCH(L$4,RD_Kopf,0)),NA()),NA())</f>
        <v>0</v>
      </c>
      <c r="M20" s="5">
        <f>IFERROR(IF(ISNUMBER(INDEX(Rohdaten!$A$117:$LJ$117,MATCH(M$4,RD_Kopf,0))),INDEX(Rohdaten!$A$117:$LJ$117,MATCH(M$4,RD_Kopf,0)),NA()),NA())</f>
        <v>0</v>
      </c>
      <c r="N20" s="5">
        <f>IFERROR(IF(ISNUMBER(INDEX(Rohdaten!$A$117:$LJ$117,MATCH(N$4,RD_Kopf,0))),INDEX(Rohdaten!$A$117:$LJ$117,MATCH(N$4,RD_Kopf,0)),NA()),NA())</f>
        <v>0</v>
      </c>
      <c r="O20" s="5">
        <f>IFERROR(IF(ISNUMBER(INDEX(Rohdaten!$A$117:$LJ$117,MATCH(O$4,RD_Kopf,0))),INDEX(Rohdaten!$A$117:$LJ$117,MATCH(O$4,RD_Kopf,0)),NA()),NA())</f>
        <v>0</v>
      </c>
      <c r="P20" s="5">
        <f>IFERROR(IF(ISNUMBER(INDEX(Rohdaten!$A$117:$LJ$117,MATCH(P$4,RD_Kopf,0))),INDEX(Rohdaten!$A$117:$LJ$117,MATCH(P$4,RD_Kopf,0)),NA()),NA())</f>
        <v>0</v>
      </c>
      <c r="Q20" s="5">
        <f>IFERROR(IF(ISNUMBER(INDEX(Rohdaten!$A$117:$LJ$117,MATCH(Q$4,RD_Kopf,0))),INDEX(Rohdaten!$A$117:$LJ$117,MATCH(Q$4,RD_Kopf,0)),NA()),NA())</f>
        <v>0</v>
      </c>
      <c r="R20" s="5">
        <f>IFERROR(IF(ISNUMBER(INDEX(Rohdaten!$A$117:$LJ$117,MATCH(R$4,RD_Kopf,0))),INDEX(Rohdaten!$A$117:$LJ$117,MATCH(R$4,RD_Kopf,0)),NA()),NA())</f>
        <v>0</v>
      </c>
      <c r="S20" s="5">
        <f>IFERROR(IF(ISNUMBER(INDEX(Rohdaten!$A$117:$LJ$117,MATCH(S$4,RD_Kopf,0))),INDEX(Rohdaten!$A$117:$LJ$117,MATCH(S$4,RD_Kopf,0)),NA()),NA())</f>
        <v>0</v>
      </c>
      <c r="T20" s="5">
        <f>IFERROR(IF(ISNUMBER(INDEX(Rohdaten!$A$117:$LJ$117,MATCH(T$4,RD_Kopf,0))),INDEX(Rohdaten!$A$117:$LJ$117,MATCH(T$4,RD_Kopf,0)),NA()),NA())</f>
        <v>0</v>
      </c>
      <c r="U20" s="5">
        <f>IFERROR(IF(ISNUMBER(INDEX(Rohdaten!$A$117:$LJ$117,MATCH(U$4,RD_Kopf,0))),INDEX(Rohdaten!$A$117:$LJ$117,MATCH(U$4,RD_Kopf,0)),NA()),NA())</f>
        <v>0</v>
      </c>
      <c r="V20" s="5">
        <f>IFERROR(IF(ISNUMBER(INDEX(Rohdaten!$A$117:$LJ$117,MATCH(V$4,RD_Kopf,0))),INDEX(Rohdaten!$A$117:$LJ$117,MATCH(V$4,RD_Kopf,0)),NA()),NA())</f>
        <v>0</v>
      </c>
      <c r="W20" s="5">
        <f>IFERROR(IF(ISNUMBER(INDEX(Rohdaten!$A$117:$LJ$117,MATCH(W$4,RD_Kopf,0))),INDEX(Rohdaten!$A$117:$LJ$117,MATCH(W$4,RD_Kopf,0)),NA()),NA())</f>
        <v>0</v>
      </c>
      <c r="X20" s="5">
        <f>IFERROR(IF(ISNUMBER(INDEX(Rohdaten!$A$117:$LJ$117,MATCH(X$4,RD_Kopf,0))),INDEX(Rohdaten!$A$117:$LJ$117,MATCH(X$4,RD_Kopf,0)),NA()),NA())</f>
        <v>0</v>
      </c>
      <c r="Y20" s="5">
        <f>IFERROR(IF(ISNUMBER(INDEX(Rohdaten!$A$117:$LJ$117,MATCH(Y$4,RD_Kopf,0))),INDEX(Rohdaten!$A$117:$LJ$117,MATCH(Y$4,RD_Kopf,0)),NA()),NA())</f>
        <v>0</v>
      </c>
      <c r="Z20" s="5">
        <f>IFERROR(IF(ISNUMBER(INDEX(Rohdaten!$A$117:$LJ$117,MATCH(Z$4,RD_Kopf,0))),INDEX(Rohdaten!$A$117:$LJ$117,MATCH(Z$4,RD_Kopf,0)),NA()),NA())</f>
        <v>0</v>
      </c>
      <c r="AA20" s="5">
        <f>IFERROR(IF(ISNUMBER(INDEX(Rohdaten!$A$117:$LJ$117,MATCH(AA$4,RD_Kopf,0))),INDEX(Rohdaten!$A$117:$LJ$117,MATCH(AA$4,RD_Kopf,0)),NA()),NA())</f>
        <v>0</v>
      </c>
      <c r="AB20" s="5">
        <f>IFERROR(IF(ISNUMBER(INDEX(Rohdaten!$A$117:$LJ$117,MATCH(AB$4,RD_Kopf,0))),INDEX(Rohdaten!$A$117:$LJ$117,MATCH(AB$4,RD_Kopf,0)),NA()),NA())</f>
        <v>0</v>
      </c>
      <c r="AC20" s="5">
        <f>IFERROR(IF(ISNUMBER(INDEX(Rohdaten!$A$117:$LJ$117,MATCH(AC$4,RD_Kopf,0))),INDEX(Rohdaten!$A$117:$LJ$117,MATCH(AC$4,RD_Kopf,0)),NA()),NA())</f>
        <v>0</v>
      </c>
      <c r="AD20" s="5">
        <f>IFERROR(IF(ISNUMBER(INDEX(Rohdaten!$A$117:$LJ$117,MATCH(AD$4,RD_Kopf,0))),INDEX(Rohdaten!$A$117:$LJ$117,MATCH(AD$4,RD_Kopf,0)),NA()),NA())</f>
        <v>0</v>
      </c>
    </row>
    <row r="21" spans="1:113">
      <c r="A21" s="11" t="s">
        <v>117</v>
      </c>
      <c r="B21" s="11" t="s">
        <v>117</v>
      </c>
      <c r="C21" s="3" t="str">
        <f>"Rohdaten Z. "&amp;ROW(Rohdaten!$A$118)</f>
        <v>Rohdaten Z. 118</v>
      </c>
      <c r="D21" s="5">
        <f>IFERROR(IF(ISNUMBER(INDEX(Rohdaten!$A$118:$LJ$118,MATCH(D$4,RD_Kopf,0))),INDEX(Rohdaten!$A$118:$LJ$118,MATCH(D$4,RD_Kopf,0)),NA()),NA())</f>
        <v>0</v>
      </c>
      <c r="E21" s="5">
        <f>IFERROR(IF(ISNUMBER(INDEX(Rohdaten!$A$118:$LJ$118,MATCH(E$4,RD_Kopf,0))),INDEX(Rohdaten!$A$118:$LJ$118,MATCH(E$4,RD_Kopf,0)),NA()),NA())</f>
        <v>0</v>
      </c>
      <c r="F21" s="5">
        <f>IFERROR(IF(ISNUMBER(INDEX(Rohdaten!$A$118:$LJ$118,MATCH(F$4,RD_Kopf,0))),INDEX(Rohdaten!$A$118:$LJ$118,MATCH(F$4,RD_Kopf,0)),NA()),NA())</f>
        <v>0</v>
      </c>
      <c r="G21" s="5">
        <f>IFERROR(IF(ISNUMBER(INDEX(Rohdaten!$A$118:$LJ$118,MATCH(G$4,RD_Kopf,0))),INDEX(Rohdaten!$A$118:$LJ$118,MATCH(G$4,RD_Kopf,0)),NA()),NA())</f>
        <v>0</v>
      </c>
      <c r="H21" s="5">
        <f>IFERROR(IF(ISNUMBER(INDEX(Rohdaten!$A$118:$LJ$118,MATCH(H$4,RD_Kopf,0))),INDEX(Rohdaten!$A$118:$LJ$118,MATCH(H$4,RD_Kopf,0)),NA()),NA())</f>
        <v>0</v>
      </c>
      <c r="I21" s="5">
        <f>IFERROR(IF(ISNUMBER(INDEX(Rohdaten!$A$118:$LJ$118,MATCH(I$4,RD_Kopf,0))),INDEX(Rohdaten!$A$118:$LJ$118,MATCH(I$4,RD_Kopf,0)),NA()),NA())</f>
        <v>0</v>
      </c>
      <c r="J21" s="5">
        <f>IFERROR(IF(ISNUMBER(INDEX(Rohdaten!$A$118:$LJ$118,MATCH(J$4,RD_Kopf,0))),INDEX(Rohdaten!$A$118:$LJ$118,MATCH(J$4,RD_Kopf,0)),NA()),NA())</f>
        <v>0</v>
      </c>
      <c r="K21" s="5">
        <f>IFERROR(IF(ISNUMBER(INDEX(Rohdaten!$A$118:$LJ$118,MATCH(K$4,RD_Kopf,0))),INDEX(Rohdaten!$A$118:$LJ$118,MATCH(K$4,RD_Kopf,0)),NA()),NA())</f>
        <v>0</v>
      </c>
      <c r="L21" s="5">
        <f>IFERROR(IF(ISNUMBER(INDEX(Rohdaten!$A$118:$LJ$118,MATCH(L$4,RD_Kopf,0))),INDEX(Rohdaten!$A$118:$LJ$118,MATCH(L$4,RD_Kopf,0)),NA()),NA())</f>
        <v>0</v>
      </c>
      <c r="M21" s="5">
        <f>IFERROR(IF(ISNUMBER(INDEX(Rohdaten!$A$118:$LJ$118,MATCH(M$4,RD_Kopf,0))),INDEX(Rohdaten!$A$118:$LJ$118,MATCH(M$4,RD_Kopf,0)),NA()),NA())</f>
        <v>0</v>
      </c>
      <c r="N21" s="5">
        <f>IFERROR(IF(ISNUMBER(INDEX(Rohdaten!$A$118:$LJ$118,MATCH(N$4,RD_Kopf,0))),INDEX(Rohdaten!$A$118:$LJ$118,MATCH(N$4,RD_Kopf,0)),NA()),NA())</f>
        <v>0</v>
      </c>
      <c r="O21" s="5">
        <f>IFERROR(IF(ISNUMBER(INDEX(Rohdaten!$A$118:$LJ$118,MATCH(O$4,RD_Kopf,0))),INDEX(Rohdaten!$A$118:$LJ$118,MATCH(O$4,RD_Kopf,0)),NA()),NA())</f>
        <v>0</v>
      </c>
      <c r="P21" s="5">
        <f>IFERROR(IF(ISNUMBER(INDEX(Rohdaten!$A$118:$LJ$118,MATCH(P$4,RD_Kopf,0))),INDEX(Rohdaten!$A$118:$LJ$118,MATCH(P$4,RD_Kopf,0)),NA()),NA())</f>
        <v>0</v>
      </c>
      <c r="Q21" s="5">
        <f>IFERROR(IF(ISNUMBER(INDEX(Rohdaten!$A$118:$LJ$118,MATCH(Q$4,RD_Kopf,0))),INDEX(Rohdaten!$A$118:$LJ$118,MATCH(Q$4,RD_Kopf,0)),NA()),NA())</f>
        <v>0</v>
      </c>
      <c r="R21" s="5">
        <f>IFERROR(IF(ISNUMBER(INDEX(Rohdaten!$A$118:$LJ$118,MATCH(R$4,RD_Kopf,0))),INDEX(Rohdaten!$A$118:$LJ$118,MATCH(R$4,RD_Kopf,0)),NA()),NA())</f>
        <v>0</v>
      </c>
      <c r="S21" s="5">
        <f>IFERROR(IF(ISNUMBER(INDEX(Rohdaten!$A$118:$LJ$118,MATCH(S$4,RD_Kopf,0))),INDEX(Rohdaten!$A$118:$LJ$118,MATCH(S$4,RD_Kopf,0)),NA()),NA())</f>
        <v>0</v>
      </c>
      <c r="T21" s="5">
        <f>IFERROR(IF(ISNUMBER(INDEX(Rohdaten!$A$118:$LJ$118,MATCH(T$4,RD_Kopf,0))),INDEX(Rohdaten!$A$118:$LJ$118,MATCH(T$4,RD_Kopf,0)),NA()),NA())</f>
        <v>0</v>
      </c>
      <c r="U21" s="5">
        <f>IFERROR(IF(ISNUMBER(INDEX(Rohdaten!$A$118:$LJ$118,MATCH(U$4,RD_Kopf,0))),INDEX(Rohdaten!$A$118:$LJ$118,MATCH(U$4,RD_Kopf,0)),NA()),NA())</f>
        <v>0</v>
      </c>
      <c r="V21" s="5">
        <f>IFERROR(IF(ISNUMBER(INDEX(Rohdaten!$A$118:$LJ$118,MATCH(V$4,RD_Kopf,0))),INDEX(Rohdaten!$A$118:$LJ$118,MATCH(V$4,RD_Kopf,0)),NA()),NA())</f>
        <v>0</v>
      </c>
      <c r="W21" s="5">
        <f>IFERROR(IF(ISNUMBER(INDEX(Rohdaten!$A$118:$LJ$118,MATCH(W$4,RD_Kopf,0))),INDEX(Rohdaten!$A$118:$LJ$118,MATCH(W$4,RD_Kopf,0)),NA()),NA())</f>
        <v>0</v>
      </c>
      <c r="X21" s="5">
        <f>IFERROR(IF(ISNUMBER(INDEX(Rohdaten!$A$118:$LJ$118,MATCH(X$4,RD_Kopf,0))),INDEX(Rohdaten!$A$118:$LJ$118,MATCH(X$4,RD_Kopf,0)),NA()),NA())</f>
        <v>0</v>
      </c>
      <c r="Y21" s="5">
        <f>IFERROR(IF(ISNUMBER(INDEX(Rohdaten!$A$118:$LJ$118,MATCH(Y$4,RD_Kopf,0))),INDEX(Rohdaten!$A$118:$LJ$118,MATCH(Y$4,RD_Kopf,0)),NA()),NA())</f>
        <v>0</v>
      </c>
      <c r="Z21" s="5">
        <f>IFERROR(IF(ISNUMBER(INDEX(Rohdaten!$A$118:$LJ$118,MATCH(Z$4,RD_Kopf,0))),INDEX(Rohdaten!$A$118:$LJ$118,MATCH(Z$4,RD_Kopf,0)),NA()),NA())</f>
        <v>0</v>
      </c>
      <c r="AA21" s="5">
        <f>IFERROR(IF(ISNUMBER(INDEX(Rohdaten!$A$118:$LJ$118,MATCH(AA$4,RD_Kopf,0))),INDEX(Rohdaten!$A$118:$LJ$118,MATCH(AA$4,RD_Kopf,0)),NA()),NA())</f>
        <v>0</v>
      </c>
      <c r="AB21" s="5">
        <f>IFERROR(IF(ISNUMBER(INDEX(Rohdaten!$A$118:$LJ$118,MATCH(AB$4,RD_Kopf,0))),INDEX(Rohdaten!$A$118:$LJ$118,MATCH(AB$4,RD_Kopf,0)),NA()),NA())</f>
        <v>0</v>
      </c>
      <c r="AC21" s="5">
        <f>IFERROR(IF(ISNUMBER(INDEX(Rohdaten!$A$118:$LJ$118,MATCH(AC$4,RD_Kopf,0))),INDEX(Rohdaten!$A$118:$LJ$118,MATCH(AC$4,RD_Kopf,0)),NA()),NA())</f>
        <v>0</v>
      </c>
      <c r="AD21" s="5">
        <f>IFERROR(IF(ISNUMBER(INDEX(Rohdaten!$A$118:$LJ$118,MATCH(AD$4,RD_Kopf,0))),INDEX(Rohdaten!$A$118:$LJ$118,MATCH(AD$4,RD_Kopf,0)),NA()),NA())</f>
        <v>0</v>
      </c>
    </row>
    <row r="22" spans="1:113">
      <c r="A22" s="11" t="s">
        <v>118</v>
      </c>
      <c r="B22" s="11" t="s">
        <v>118</v>
      </c>
      <c r="C22" s="3" t="str">
        <f>"Rohdaten Z. "&amp;ROW(Rohdaten!$A$119)</f>
        <v>Rohdaten Z. 119</v>
      </c>
      <c r="D22" s="5">
        <f>IFERROR(IF(ISNUMBER(INDEX(Rohdaten!$A$119:$LJ$119,MATCH(D$4,RD_Kopf,0))),INDEX(Rohdaten!$A$119:$LJ$119,MATCH(D$4,RD_Kopf,0)),NA()),NA())</f>
        <v>0</v>
      </c>
      <c r="E22" s="5">
        <f>IFERROR(IF(ISNUMBER(INDEX(Rohdaten!$A$119:$LJ$119,MATCH(E$4,RD_Kopf,0))),INDEX(Rohdaten!$A$119:$LJ$119,MATCH(E$4,RD_Kopf,0)),NA()),NA())</f>
        <v>0</v>
      </c>
      <c r="F22" s="5">
        <f>IFERROR(IF(ISNUMBER(INDEX(Rohdaten!$A$119:$LJ$119,MATCH(F$4,RD_Kopf,0))),INDEX(Rohdaten!$A$119:$LJ$119,MATCH(F$4,RD_Kopf,0)),NA()),NA())</f>
        <v>0</v>
      </c>
      <c r="G22" s="5">
        <f>IFERROR(IF(ISNUMBER(INDEX(Rohdaten!$A$119:$LJ$119,MATCH(G$4,RD_Kopf,0))),INDEX(Rohdaten!$A$119:$LJ$119,MATCH(G$4,RD_Kopf,0)),NA()),NA())</f>
        <v>0</v>
      </c>
      <c r="H22" s="5">
        <f>IFERROR(IF(ISNUMBER(INDEX(Rohdaten!$A$119:$LJ$119,MATCH(H$4,RD_Kopf,0))),INDEX(Rohdaten!$A$119:$LJ$119,MATCH(H$4,RD_Kopf,0)),NA()),NA())</f>
        <v>0</v>
      </c>
      <c r="I22" s="5">
        <f>IFERROR(IF(ISNUMBER(INDEX(Rohdaten!$A$119:$LJ$119,MATCH(I$4,RD_Kopf,0))),INDEX(Rohdaten!$A$119:$LJ$119,MATCH(I$4,RD_Kopf,0)),NA()),NA())</f>
        <v>0</v>
      </c>
      <c r="J22" s="5">
        <f>IFERROR(IF(ISNUMBER(INDEX(Rohdaten!$A$119:$LJ$119,MATCH(J$4,RD_Kopf,0))),INDEX(Rohdaten!$A$119:$LJ$119,MATCH(J$4,RD_Kopf,0)),NA()),NA())</f>
        <v>0</v>
      </c>
      <c r="K22" s="5">
        <f>IFERROR(IF(ISNUMBER(INDEX(Rohdaten!$A$119:$LJ$119,MATCH(K$4,RD_Kopf,0))),INDEX(Rohdaten!$A$119:$LJ$119,MATCH(K$4,RD_Kopf,0)),NA()),NA())</f>
        <v>0</v>
      </c>
      <c r="L22" s="5">
        <f>IFERROR(IF(ISNUMBER(INDEX(Rohdaten!$A$119:$LJ$119,MATCH(L$4,RD_Kopf,0))),INDEX(Rohdaten!$A$119:$LJ$119,MATCH(L$4,RD_Kopf,0)),NA()),NA())</f>
        <v>0</v>
      </c>
      <c r="M22" s="5">
        <f>IFERROR(IF(ISNUMBER(INDEX(Rohdaten!$A$119:$LJ$119,MATCH(M$4,RD_Kopf,0))),INDEX(Rohdaten!$A$119:$LJ$119,MATCH(M$4,RD_Kopf,0)),NA()),NA())</f>
        <v>0</v>
      </c>
      <c r="N22" s="5">
        <f>IFERROR(IF(ISNUMBER(INDEX(Rohdaten!$A$119:$LJ$119,MATCH(N$4,RD_Kopf,0))),INDEX(Rohdaten!$A$119:$LJ$119,MATCH(N$4,RD_Kopf,0)),NA()),NA())</f>
        <v>0</v>
      </c>
      <c r="O22" s="5">
        <f>IFERROR(IF(ISNUMBER(INDEX(Rohdaten!$A$119:$LJ$119,MATCH(O$4,RD_Kopf,0))),INDEX(Rohdaten!$A$119:$LJ$119,MATCH(O$4,RD_Kopf,0)),NA()),NA())</f>
        <v>0</v>
      </c>
      <c r="P22" s="5">
        <f>IFERROR(IF(ISNUMBER(INDEX(Rohdaten!$A$119:$LJ$119,MATCH(P$4,RD_Kopf,0))),INDEX(Rohdaten!$A$119:$LJ$119,MATCH(P$4,RD_Kopf,0)),NA()),NA())</f>
        <v>0</v>
      </c>
      <c r="Q22" s="5">
        <f>IFERROR(IF(ISNUMBER(INDEX(Rohdaten!$A$119:$LJ$119,MATCH(Q$4,RD_Kopf,0))),INDEX(Rohdaten!$A$119:$LJ$119,MATCH(Q$4,RD_Kopf,0)),NA()),NA())</f>
        <v>0</v>
      </c>
      <c r="R22" s="5">
        <f>IFERROR(IF(ISNUMBER(INDEX(Rohdaten!$A$119:$LJ$119,MATCH(R$4,RD_Kopf,0))),INDEX(Rohdaten!$A$119:$LJ$119,MATCH(R$4,RD_Kopf,0)),NA()),NA())</f>
        <v>0</v>
      </c>
      <c r="S22" s="5">
        <f>IFERROR(IF(ISNUMBER(INDEX(Rohdaten!$A$119:$LJ$119,MATCH(S$4,RD_Kopf,0))),INDEX(Rohdaten!$A$119:$LJ$119,MATCH(S$4,RD_Kopf,0)),NA()),NA())</f>
        <v>0</v>
      </c>
      <c r="T22" s="5">
        <f>IFERROR(IF(ISNUMBER(INDEX(Rohdaten!$A$119:$LJ$119,MATCH(T$4,RD_Kopf,0))),INDEX(Rohdaten!$A$119:$LJ$119,MATCH(T$4,RD_Kopf,0)),NA()),NA())</f>
        <v>0</v>
      </c>
      <c r="U22" s="5">
        <f>IFERROR(IF(ISNUMBER(INDEX(Rohdaten!$A$119:$LJ$119,MATCH(U$4,RD_Kopf,0))),INDEX(Rohdaten!$A$119:$LJ$119,MATCH(U$4,RD_Kopf,0)),NA()),NA())</f>
        <v>0</v>
      </c>
      <c r="V22" s="5">
        <f>IFERROR(IF(ISNUMBER(INDEX(Rohdaten!$A$119:$LJ$119,MATCH(V$4,RD_Kopf,0))),INDEX(Rohdaten!$A$119:$LJ$119,MATCH(V$4,RD_Kopf,0)),NA()),NA())</f>
        <v>0</v>
      </c>
      <c r="W22" s="5">
        <f>IFERROR(IF(ISNUMBER(INDEX(Rohdaten!$A$119:$LJ$119,MATCH(W$4,RD_Kopf,0))),INDEX(Rohdaten!$A$119:$LJ$119,MATCH(W$4,RD_Kopf,0)),NA()),NA())</f>
        <v>0</v>
      </c>
      <c r="X22" s="5">
        <f>IFERROR(IF(ISNUMBER(INDEX(Rohdaten!$A$119:$LJ$119,MATCH(X$4,RD_Kopf,0))),INDEX(Rohdaten!$A$119:$LJ$119,MATCH(X$4,RD_Kopf,0)),NA()),NA())</f>
        <v>0</v>
      </c>
      <c r="Y22" s="5">
        <f>IFERROR(IF(ISNUMBER(INDEX(Rohdaten!$A$119:$LJ$119,MATCH(Y$4,RD_Kopf,0))),INDEX(Rohdaten!$A$119:$LJ$119,MATCH(Y$4,RD_Kopf,0)),NA()),NA())</f>
        <v>0</v>
      </c>
      <c r="Z22" s="5">
        <f>IFERROR(IF(ISNUMBER(INDEX(Rohdaten!$A$119:$LJ$119,MATCH(Z$4,RD_Kopf,0))),INDEX(Rohdaten!$A$119:$LJ$119,MATCH(Z$4,RD_Kopf,0)),NA()),NA())</f>
        <v>0</v>
      </c>
      <c r="AA22" s="5">
        <f>IFERROR(IF(ISNUMBER(INDEX(Rohdaten!$A$119:$LJ$119,MATCH(AA$4,RD_Kopf,0))),INDEX(Rohdaten!$A$119:$LJ$119,MATCH(AA$4,RD_Kopf,0)),NA()),NA())</f>
        <v>0</v>
      </c>
      <c r="AB22" s="5">
        <f>IFERROR(IF(ISNUMBER(INDEX(Rohdaten!$A$119:$LJ$119,MATCH(AB$4,RD_Kopf,0))),INDEX(Rohdaten!$A$119:$LJ$119,MATCH(AB$4,RD_Kopf,0)),NA()),NA())</f>
        <v>0</v>
      </c>
      <c r="AC22" s="5">
        <f>IFERROR(IF(ISNUMBER(INDEX(Rohdaten!$A$119:$LJ$119,MATCH(AC$4,RD_Kopf,0))),INDEX(Rohdaten!$A$119:$LJ$119,MATCH(AC$4,RD_Kopf,0)),NA()),NA())</f>
        <v>0</v>
      </c>
      <c r="AD22" s="5">
        <f>IFERROR(IF(ISNUMBER(INDEX(Rohdaten!$A$119:$LJ$119,MATCH(AD$4,RD_Kopf,0))),INDEX(Rohdaten!$A$119:$LJ$119,MATCH(AD$4,RD_Kopf,0)),NA()),NA())</f>
        <v>0</v>
      </c>
    </row>
    <row r="23" spans="1:113">
      <c r="A23" s="11" t="s">
        <v>119</v>
      </c>
      <c r="B23" s="11" t="s">
        <v>119</v>
      </c>
      <c r="C23" s="3" t="str">
        <f>"Rohdaten Z. "&amp;ROW(Rohdaten!$A$120)</f>
        <v>Rohdaten Z. 120</v>
      </c>
      <c r="D23" s="5">
        <f>IFERROR(IF(ISNUMBER(INDEX(Rohdaten!$A$120:$LJ$120,MATCH(D$4,RD_Kopf,0))),INDEX(Rohdaten!$A$120:$LJ$120,MATCH(D$4,RD_Kopf,0)),NA()),NA())</f>
        <v>0</v>
      </c>
      <c r="E23" s="5">
        <f>IFERROR(IF(ISNUMBER(INDEX(Rohdaten!$A$120:$LJ$120,MATCH(E$4,RD_Kopf,0))),INDEX(Rohdaten!$A$120:$LJ$120,MATCH(E$4,RD_Kopf,0)),NA()),NA())</f>
        <v>0</v>
      </c>
      <c r="F23" s="5">
        <f>IFERROR(IF(ISNUMBER(INDEX(Rohdaten!$A$120:$LJ$120,MATCH(F$4,RD_Kopf,0))),INDEX(Rohdaten!$A$120:$LJ$120,MATCH(F$4,RD_Kopf,0)),NA()),NA())</f>
        <v>0</v>
      </c>
      <c r="G23" s="5">
        <f>IFERROR(IF(ISNUMBER(INDEX(Rohdaten!$A$120:$LJ$120,MATCH(G$4,RD_Kopf,0))),INDEX(Rohdaten!$A$120:$LJ$120,MATCH(G$4,RD_Kopf,0)),NA()),NA())</f>
        <v>0</v>
      </c>
      <c r="H23" s="5">
        <f>IFERROR(IF(ISNUMBER(INDEX(Rohdaten!$A$120:$LJ$120,MATCH(H$4,RD_Kopf,0))),INDEX(Rohdaten!$A$120:$LJ$120,MATCH(H$4,RD_Kopf,0)),NA()),NA())</f>
        <v>0</v>
      </c>
      <c r="I23" s="5">
        <f>IFERROR(IF(ISNUMBER(INDEX(Rohdaten!$A$120:$LJ$120,MATCH(I$4,RD_Kopf,0))),INDEX(Rohdaten!$A$120:$LJ$120,MATCH(I$4,RD_Kopf,0)),NA()),NA())</f>
        <v>0</v>
      </c>
      <c r="J23" s="5">
        <f>IFERROR(IF(ISNUMBER(INDEX(Rohdaten!$A$120:$LJ$120,MATCH(J$4,RD_Kopf,0))),INDEX(Rohdaten!$A$120:$LJ$120,MATCH(J$4,RD_Kopf,0)),NA()),NA())</f>
        <v>0</v>
      </c>
      <c r="K23" s="5">
        <f>IFERROR(IF(ISNUMBER(INDEX(Rohdaten!$A$120:$LJ$120,MATCH(K$4,RD_Kopf,0))),INDEX(Rohdaten!$A$120:$LJ$120,MATCH(K$4,RD_Kopf,0)),NA()),NA())</f>
        <v>0</v>
      </c>
      <c r="L23" s="5">
        <f>IFERROR(IF(ISNUMBER(INDEX(Rohdaten!$A$120:$LJ$120,MATCH(L$4,RD_Kopf,0))),INDEX(Rohdaten!$A$120:$LJ$120,MATCH(L$4,RD_Kopf,0)),NA()),NA())</f>
        <v>0</v>
      </c>
      <c r="M23" s="5">
        <f>IFERROR(IF(ISNUMBER(INDEX(Rohdaten!$A$120:$LJ$120,MATCH(M$4,RD_Kopf,0))),INDEX(Rohdaten!$A$120:$LJ$120,MATCH(M$4,RD_Kopf,0)),NA()),NA())</f>
        <v>0</v>
      </c>
      <c r="N23" s="5">
        <f>IFERROR(IF(ISNUMBER(INDEX(Rohdaten!$A$120:$LJ$120,MATCH(N$4,RD_Kopf,0))),INDEX(Rohdaten!$A$120:$LJ$120,MATCH(N$4,RD_Kopf,0)),NA()),NA())</f>
        <v>0</v>
      </c>
      <c r="O23" s="5">
        <f>IFERROR(IF(ISNUMBER(INDEX(Rohdaten!$A$120:$LJ$120,MATCH(O$4,RD_Kopf,0))),INDEX(Rohdaten!$A$120:$LJ$120,MATCH(O$4,RD_Kopf,0)),NA()),NA())</f>
        <v>0</v>
      </c>
      <c r="P23" s="5">
        <f>IFERROR(IF(ISNUMBER(INDEX(Rohdaten!$A$120:$LJ$120,MATCH(P$4,RD_Kopf,0))),INDEX(Rohdaten!$A$120:$LJ$120,MATCH(P$4,RD_Kopf,0)),NA()),NA())</f>
        <v>0</v>
      </c>
      <c r="Q23" s="5">
        <f>IFERROR(IF(ISNUMBER(INDEX(Rohdaten!$A$120:$LJ$120,MATCH(Q$4,RD_Kopf,0))),INDEX(Rohdaten!$A$120:$LJ$120,MATCH(Q$4,RD_Kopf,0)),NA()),NA())</f>
        <v>0</v>
      </c>
      <c r="R23" s="5">
        <f>IFERROR(IF(ISNUMBER(INDEX(Rohdaten!$A$120:$LJ$120,MATCH(R$4,RD_Kopf,0))),INDEX(Rohdaten!$A$120:$LJ$120,MATCH(R$4,RD_Kopf,0)),NA()),NA())</f>
        <v>0</v>
      </c>
      <c r="S23" s="5">
        <f>IFERROR(IF(ISNUMBER(INDEX(Rohdaten!$A$120:$LJ$120,MATCH(S$4,RD_Kopf,0))),INDEX(Rohdaten!$A$120:$LJ$120,MATCH(S$4,RD_Kopf,0)),NA()),NA())</f>
        <v>0</v>
      </c>
      <c r="T23" s="5">
        <f>IFERROR(IF(ISNUMBER(INDEX(Rohdaten!$A$120:$LJ$120,MATCH(T$4,RD_Kopf,0))),INDEX(Rohdaten!$A$120:$LJ$120,MATCH(T$4,RD_Kopf,0)),NA()),NA())</f>
        <v>0</v>
      </c>
      <c r="U23" s="5">
        <f>IFERROR(IF(ISNUMBER(INDEX(Rohdaten!$A$120:$LJ$120,MATCH(U$4,RD_Kopf,0))),INDEX(Rohdaten!$A$120:$LJ$120,MATCH(U$4,RD_Kopf,0)),NA()),NA())</f>
        <v>0</v>
      </c>
      <c r="V23" s="5">
        <f>IFERROR(IF(ISNUMBER(INDEX(Rohdaten!$A$120:$LJ$120,MATCH(V$4,RD_Kopf,0))),INDEX(Rohdaten!$A$120:$LJ$120,MATCH(V$4,RD_Kopf,0)),NA()),NA())</f>
        <v>0</v>
      </c>
      <c r="W23" s="5">
        <f>IFERROR(IF(ISNUMBER(INDEX(Rohdaten!$A$120:$LJ$120,MATCH(W$4,RD_Kopf,0))),INDEX(Rohdaten!$A$120:$LJ$120,MATCH(W$4,RD_Kopf,0)),NA()),NA())</f>
        <v>0</v>
      </c>
      <c r="X23" s="5">
        <f>IFERROR(IF(ISNUMBER(INDEX(Rohdaten!$A$120:$LJ$120,MATCH(X$4,RD_Kopf,0))),INDEX(Rohdaten!$A$120:$LJ$120,MATCH(X$4,RD_Kopf,0)),NA()),NA())</f>
        <v>0</v>
      </c>
      <c r="Y23" s="5">
        <f>IFERROR(IF(ISNUMBER(INDEX(Rohdaten!$A$120:$LJ$120,MATCH(Y$4,RD_Kopf,0))),INDEX(Rohdaten!$A$120:$LJ$120,MATCH(Y$4,RD_Kopf,0)),NA()),NA())</f>
        <v>0</v>
      </c>
      <c r="Z23" s="5">
        <f>IFERROR(IF(ISNUMBER(INDEX(Rohdaten!$A$120:$LJ$120,MATCH(Z$4,RD_Kopf,0))),INDEX(Rohdaten!$A$120:$LJ$120,MATCH(Z$4,RD_Kopf,0)),NA()),NA())</f>
        <v>0</v>
      </c>
      <c r="AA23" s="5">
        <f>IFERROR(IF(ISNUMBER(INDEX(Rohdaten!$A$120:$LJ$120,MATCH(AA$4,RD_Kopf,0))),INDEX(Rohdaten!$A$120:$LJ$120,MATCH(AA$4,RD_Kopf,0)),NA()),NA())</f>
        <v>0</v>
      </c>
      <c r="AB23" s="5">
        <f>IFERROR(IF(ISNUMBER(INDEX(Rohdaten!$A$120:$LJ$120,MATCH(AB$4,RD_Kopf,0))),INDEX(Rohdaten!$A$120:$LJ$120,MATCH(AB$4,RD_Kopf,0)),NA()),NA())</f>
        <v>0</v>
      </c>
      <c r="AC23" s="5">
        <f>IFERROR(IF(ISNUMBER(INDEX(Rohdaten!$A$120:$LJ$120,MATCH(AC$4,RD_Kopf,0))),INDEX(Rohdaten!$A$120:$LJ$120,MATCH(AC$4,RD_Kopf,0)),NA()),NA())</f>
        <v>0</v>
      </c>
      <c r="AD23" s="5">
        <f>IFERROR(IF(ISNUMBER(INDEX(Rohdaten!$A$120:$LJ$120,MATCH(AD$4,RD_Kopf,0))),INDEX(Rohdaten!$A$120:$LJ$120,MATCH(AD$4,RD_Kopf,0)),NA()),NA())</f>
        <v>0</v>
      </c>
    </row>
    <row r="24" spans="1:113">
      <c r="A24" s="11" t="s">
        <v>120</v>
      </c>
      <c r="B24" s="11" t="s">
        <v>120</v>
      </c>
      <c r="C24" s="3" t="str">
        <f>"Rohdaten Z. "&amp;ROW(Rohdaten!$A$121)</f>
        <v>Rohdaten Z. 121</v>
      </c>
      <c r="D24" s="5">
        <f>IFERROR(IF(ISNUMBER(INDEX(Rohdaten!$A$121:$LJ$121,MATCH(D$4,RD_Kopf,0))),INDEX(Rohdaten!$A$121:$LJ$121,MATCH(D$4,RD_Kopf,0)),NA()),NA())</f>
        <v>0</v>
      </c>
      <c r="E24" s="5">
        <f>IFERROR(IF(ISNUMBER(INDEX(Rohdaten!$A$121:$LJ$121,MATCH(E$4,RD_Kopf,0))),INDEX(Rohdaten!$A$121:$LJ$121,MATCH(E$4,RD_Kopf,0)),NA()),NA())</f>
        <v>0</v>
      </c>
      <c r="F24" s="5">
        <f>IFERROR(IF(ISNUMBER(INDEX(Rohdaten!$A$121:$LJ$121,MATCH(F$4,RD_Kopf,0))),INDEX(Rohdaten!$A$121:$LJ$121,MATCH(F$4,RD_Kopf,0)),NA()),NA())</f>
        <v>0</v>
      </c>
      <c r="G24" s="5">
        <f>IFERROR(IF(ISNUMBER(INDEX(Rohdaten!$A$121:$LJ$121,MATCH(G$4,RD_Kopf,0))),INDEX(Rohdaten!$A$121:$LJ$121,MATCH(G$4,RD_Kopf,0)),NA()),NA())</f>
        <v>0</v>
      </c>
      <c r="H24" s="5">
        <f>IFERROR(IF(ISNUMBER(INDEX(Rohdaten!$A$121:$LJ$121,MATCH(H$4,RD_Kopf,0))),INDEX(Rohdaten!$A$121:$LJ$121,MATCH(H$4,RD_Kopf,0)),NA()),NA())</f>
        <v>0</v>
      </c>
      <c r="I24" s="5">
        <f>IFERROR(IF(ISNUMBER(INDEX(Rohdaten!$A$121:$LJ$121,MATCH(I$4,RD_Kopf,0))),INDEX(Rohdaten!$A$121:$LJ$121,MATCH(I$4,RD_Kopf,0)),NA()),NA())</f>
        <v>0</v>
      </c>
      <c r="J24" s="5">
        <f>IFERROR(IF(ISNUMBER(INDEX(Rohdaten!$A$121:$LJ$121,MATCH(J$4,RD_Kopf,0))),INDEX(Rohdaten!$A$121:$LJ$121,MATCH(J$4,RD_Kopf,0)),NA()),NA())</f>
        <v>0</v>
      </c>
      <c r="K24" s="5">
        <f>IFERROR(IF(ISNUMBER(INDEX(Rohdaten!$A$121:$LJ$121,MATCH(K$4,RD_Kopf,0))),INDEX(Rohdaten!$A$121:$LJ$121,MATCH(K$4,RD_Kopf,0)),NA()),NA())</f>
        <v>0</v>
      </c>
      <c r="L24" s="5">
        <f>IFERROR(IF(ISNUMBER(INDEX(Rohdaten!$A$121:$LJ$121,MATCH(L$4,RD_Kopf,0))),INDEX(Rohdaten!$A$121:$LJ$121,MATCH(L$4,RD_Kopf,0)),NA()),NA())</f>
        <v>0</v>
      </c>
      <c r="M24" s="5">
        <f>IFERROR(IF(ISNUMBER(INDEX(Rohdaten!$A$121:$LJ$121,MATCH(M$4,RD_Kopf,0))),INDEX(Rohdaten!$A$121:$LJ$121,MATCH(M$4,RD_Kopf,0)),NA()),NA())</f>
        <v>0</v>
      </c>
      <c r="N24" s="5">
        <f>IFERROR(IF(ISNUMBER(INDEX(Rohdaten!$A$121:$LJ$121,MATCH(N$4,RD_Kopf,0))),INDEX(Rohdaten!$A$121:$LJ$121,MATCH(N$4,RD_Kopf,0)),NA()),NA())</f>
        <v>0</v>
      </c>
      <c r="O24" s="5">
        <f>IFERROR(IF(ISNUMBER(INDEX(Rohdaten!$A$121:$LJ$121,MATCH(O$4,RD_Kopf,0))),INDEX(Rohdaten!$A$121:$LJ$121,MATCH(O$4,RD_Kopf,0)),NA()),NA())</f>
        <v>0</v>
      </c>
      <c r="P24" s="5">
        <f>IFERROR(IF(ISNUMBER(INDEX(Rohdaten!$A$121:$LJ$121,MATCH(P$4,RD_Kopf,0))),INDEX(Rohdaten!$A$121:$LJ$121,MATCH(P$4,RD_Kopf,0)),NA()),NA())</f>
        <v>0</v>
      </c>
      <c r="Q24" s="5">
        <f>IFERROR(IF(ISNUMBER(INDEX(Rohdaten!$A$121:$LJ$121,MATCH(Q$4,RD_Kopf,0))),INDEX(Rohdaten!$A$121:$LJ$121,MATCH(Q$4,RD_Kopf,0)),NA()),NA())</f>
        <v>0</v>
      </c>
      <c r="R24" s="5">
        <f>IFERROR(IF(ISNUMBER(INDEX(Rohdaten!$A$121:$LJ$121,MATCH(R$4,RD_Kopf,0))),INDEX(Rohdaten!$A$121:$LJ$121,MATCH(R$4,RD_Kopf,0)),NA()),NA())</f>
        <v>0</v>
      </c>
      <c r="S24" s="5">
        <f>IFERROR(IF(ISNUMBER(INDEX(Rohdaten!$A$121:$LJ$121,MATCH(S$4,RD_Kopf,0))),INDEX(Rohdaten!$A$121:$LJ$121,MATCH(S$4,RD_Kopf,0)),NA()),NA())</f>
        <v>0</v>
      </c>
      <c r="T24" s="5">
        <f>IFERROR(IF(ISNUMBER(INDEX(Rohdaten!$A$121:$LJ$121,MATCH(T$4,RD_Kopf,0))),INDEX(Rohdaten!$A$121:$LJ$121,MATCH(T$4,RD_Kopf,0)),NA()),NA())</f>
        <v>0</v>
      </c>
      <c r="U24" s="5">
        <f>IFERROR(IF(ISNUMBER(INDEX(Rohdaten!$A$121:$LJ$121,MATCH(U$4,RD_Kopf,0))),INDEX(Rohdaten!$A$121:$LJ$121,MATCH(U$4,RD_Kopf,0)),NA()),NA())</f>
        <v>0</v>
      </c>
      <c r="V24" s="5">
        <f>IFERROR(IF(ISNUMBER(INDEX(Rohdaten!$A$121:$LJ$121,MATCH(V$4,RD_Kopf,0))),INDEX(Rohdaten!$A$121:$LJ$121,MATCH(V$4,RD_Kopf,0)),NA()),NA())</f>
        <v>0</v>
      </c>
      <c r="W24" s="5">
        <f>IFERROR(IF(ISNUMBER(INDEX(Rohdaten!$A$121:$LJ$121,MATCH(W$4,RD_Kopf,0))),INDEX(Rohdaten!$A$121:$LJ$121,MATCH(W$4,RD_Kopf,0)),NA()),NA())</f>
        <v>0</v>
      </c>
      <c r="X24" s="5">
        <f>IFERROR(IF(ISNUMBER(INDEX(Rohdaten!$A$121:$LJ$121,MATCH(X$4,RD_Kopf,0))),INDEX(Rohdaten!$A$121:$LJ$121,MATCH(X$4,RD_Kopf,0)),NA()),NA())</f>
        <v>0</v>
      </c>
      <c r="Y24" s="5">
        <f>IFERROR(IF(ISNUMBER(INDEX(Rohdaten!$A$121:$LJ$121,MATCH(Y$4,RD_Kopf,0))),INDEX(Rohdaten!$A$121:$LJ$121,MATCH(Y$4,RD_Kopf,0)),NA()),NA())</f>
        <v>0</v>
      </c>
      <c r="Z24" s="5">
        <f>IFERROR(IF(ISNUMBER(INDEX(Rohdaten!$A$121:$LJ$121,MATCH(Z$4,RD_Kopf,0))),INDEX(Rohdaten!$A$121:$LJ$121,MATCH(Z$4,RD_Kopf,0)),NA()),NA())</f>
        <v>0</v>
      </c>
      <c r="AA24" s="5">
        <f>IFERROR(IF(ISNUMBER(INDEX(Rohdaten!$A$121:$LJ$121,MATCH(AA$4,RD_Kopf,0))),INDEX(Rohdaten!$A$121:$LJ$121,MATCH(AA$4,RD_Kopf,0)),NA()),NA())</f>
        <v>0</v>
      </c>
      <c r="AB24" s="5">
        <f>IFERROR(IF(ISNUMBER(INDEX(Rohdaten!$A$121:$LJ$121,MATCH(AB$4,RD_Kopf,0))),INDEX(Rohdaten!$A$121:$LJ$121,MATCH(AB$4,RD_Kopf,0)),NA()),NA())</f>
        <v>0</v>
      </c>
      <c r="AC24" s="5">
        <f>IFERROR(IF(ISNUMBER(INDEX(Rohdaten!$A$121:$LJ$121,MATCH(AC$4,RD_Kopf,0))),INDEX(Rohdaten!$A$121:$LJ$121,MATCH(AC$4,RD_Kopf,0)),NA()),NA())</f>
        <v>0</v>
      </c>
      <c r="AD24" s="5">
        <f>IFERROR(IF(ISNUMBER(INDEX(Rohdaten!$A$121:$LJ$121,MATCH(AD$4,RD_Kopf,0))),INDEX(Rohdaten!$A$121:$LJ$121,MATCH(AD$4,RD_Kopf,0)),NA()),NA())</f>
        <v>0</v>
      </c>
    </row>
    <row r="25" spans="1:113">
      <c r="A25" s="11" t="s">
        <v>121</v>
      </c>
      <c r="B25" s="11" t="s">
        <v>121</v>
      </c>
      <c r="C25" s="3" t="str">
        <f>"Rohdaten Z. "&amp;ROW(Rohdaten!$A$125)</f>
        <v>Rohdaten Z. 125</v>
      </c>
      <c r="D25" s="5">
        <f>IFERROR(IF(ISNUMBER(INDEX(Rohdaten!$A$125:$LJ$125,MATCH(D$4,RD_Kopf,0))),INDEX(Rohdaten!$A$125:$LJ$125,MATCH(D$4,RD_Kopf,0)),NA()),NA())</f>
        <v>0</v>
      </c>
      <c r="E25" s="5">
        <f>IFERROR(IF(ISNUMBER(INDEX(Rohdaten!$A$125:$LJ$125,MATCH(E$4,RD_Kopf,0))),INDEX(Rohdaten!$A$125:$LJ$125,MATCH(E$4,RD_Kopf,0)),NA()),NA())</f>
        <v>0</v>
      </c>
      <c r="F25" s="5">
        <f>IFERROR(IF(ISNUMBER(INDEX(Rohdaten!$A$125:$LJ$125,MATCH(F$4,RD_Kopf,0))),INDEX(Rohdaten!$A$125:$LJ$125,MATCH(F$4,RD_Kopf,0)),NA()),NA())</f>
        <v>0</v>
      </c>
      <c r="G25" s="5">
        <f>IFERROR(IF(ISNUMBER(INDEX(Rohdaten!$A$125:$LJ$125,MATCH(G$4,RD_Kopf,0))),INDEX(Rohdaten!$A$125:$LJ$125,MATCH(G$4,RD_Kopf,0)),NA()),NA())</f>
        <v>0</v>
      </c>
      <c r="H25" s="5">
        <f>IFERROR(IF(ISNUMBER(INDEX(Rohdaten!$A$125:$LJ$125,MATCH(H$4,RD_Kopf,0))),INDEX(Rohdaten!$A$125:$LJ$125,MATCH(H$4,RD_Kopf,0)),NA()),NA())</f>
        <v>0</v>
      </c>
      <c r="I25" s="5">
        <f>IFERROR(IF(ISNUMBER(INDEX(Rohdaten!$A$125:$LJ$125,MATCH(I$4,RD_Kopf,0))),INDEX(Rohdaten!$A$125:$LJ$125,MATCH(I$4,RD_Kopf,0)),NA()),NA())</f>
        <v>0</v>
      </c>
      <c r="J25" s="5">
        <f>IFERROR(IF(ISNUMBER(INDEX(Rohdaten!$A$125:$LJ$125,MATCH(J$4,RD_Kopf,0))),INDEX(Rohdaten!$A$125:$LJ$125,MATCH(J$4,RD_Kopf,0)),NA()),NA())</f>
        <v>0</v>
      </c>
      <c r="K25" s="5">
        <f>IFERROR(IF(ISNUMBER(INDEX(Rohdaten!$A$125:$LJ$125,MATCH(K$4,RD_Kopf,0))),INDEX(Rohdaten!$A$125:$LJ$125,MATCH(K$4,RD_Kopf,0)),NA()),NA())</f>
        <v>0</v>
      </c>
      <c r="L25" s="5">
        <f>IFERROR(IF(ISNUMBER(INDEX(Rohdaten!$A$125:$LJ$125,MATCH(L$4,RD_Kopf,0))),INDEX(Rohdaten!$A$125:$LJ$125,MATCH(L$4,RD_Kopf,0)),NA()),NA())</f>
        <v>0</v>
      </c>
      <c r="M25" s="5">
        <f>IFERROR(IF(ISNUMBER(INDEX(Rohdaten!$A$125:$LJ$125,MATCH(M$4,RD_Kopf,0))),INDEX(Rohdaten!$A$125:$LJ$125,MATCH(M$4,RD_Kopf,0)),NA()),NA())</f>
        <v>0</v>
      </c>
      <c r="N25" s="5">
        <f>IFERROR(IF(ISNUMBER(INDEX(Rohdaten!$A$125:$LJ$125,MATCH(N$4,RD_Kopf,0))),INDEX(Rohdaten!$A$125:$LJ$125,MATCH(N$4,RD_Kopf,0)),NA()),NA())</f>
        <v>0</v>
      </c>
      <c r="O25" s="5">
        <f>IFERROR(IF(ISNUMBER(INDEX(Rohdaten!$A$125:$LJ$125,MATCH(O$4,RD_Kopf,0))),INDEX(Rohdaten!$A$125:$LJ$125,MATCH(O$4,RD_Kopf,0)),NA()),NA())</f>
        <v>0</v>
      </c>
      <c r="P25" s="5">
        <f>IFERROR(IF(ISNUMBER(INDEX(Rohdaten!$A$125:$LJ$125,MATCH(P$4,RD_Kopf,0))),INDEX(Rohdaten!$A$125:$LJ$125,MATCH(P$4,RD_Kopf,0)),NA()),NA())</f>
        <v>0</v>
      </c>
      <c r="Q25" s="5">
        <f>IFERROR(IF(ISNUMBER(INDEX(Rohdaten!$A$125:$LJ$125,MATCH(Q$4,RD_Kopf,0))),INDEX(Rohdaten!$A$125:$LJ$125,MATCH(Q$4,RD_Kopf,0)),NA()),NA())</f>
        <v>0</v>
      </c>
      <c r="R25" s="5">
        <f>IFERROR(IF(ISNUMBER(INDEX(Rohdaten!$A$125:$LJ$125,MATCH(R$4,RD_Kopf,0))),INDEX(Rohdaten!$A$125:$LJ$125,MATCH(R$4,RD_Kopf,0)),NA()),NA())</f>
        <v>0</v>
      </c>
      <c r="S25" s="5">
        <f>IFERROR(IF(ISNUMBER(INDEX(Rohdaten!$A$125:$LJ$125,MATCH(S$4,RD_Kopf,0))),INDEX(Rohdaten!$A$125:$LJ$125,MATCH(S$4,RD_Kopf,0)),NA()),NA())</f>
        <v>0</v>
      </c>
      <c r="T25" s="5">
        <f>IFERROR(IF(ISNUMBER(INDEX(Rohdaten!$A$125:$LJ$125,MATCH(T$4,RD_Kopf,0))),INDEX(Rohdaten!$A$125:$LJ$125,MATCH(T$4,RD_Kopf,0)),NA()),NA())</f>
        <v>0</v>
      </c>
      <c r="U25" s="5">
        <f>IFERROR(IF(ISNUMBER(INDEX(Rohdaten!$A$125:$LJ$125,MATCH(U$4,RD_Kopf,0))),INDEX(Rohdaten!$A$125:$LJ$125,MATCH(U$4,RD_Kopf,0)),NA()),NA())</f>
        <v>0</v>
      </c>
      <c r="V25" s="5">
        <f>IFERROR(IF(ISNUMBER(INDEX(Rohdaten!$A$125:$LJ$125,MATCH(V$4,RD_Kopf,0))),INDEX(Rohdaten!$A$125:$LJ$125,MATCH(V$4,RD_Kopf,0)),NA()),NA())</f>
        <v>0</v>
      </c>
      <c r="W25" s="5">
        <f>IFERROR(IF(ISNUMBER(INDEX(Rohdaten!$A$125:$LJ$125,MATCH(W$4,RD_Kopf,0))),INDEX(Rohdaten!$A$125:$LJ$125,MATCH(W$4,RD_Kopf,0)),NA()),NA())</f>
        <v>0</v>
      </c>
      <c r="X25" s="5">
        <f>IFERROR(IF(ISNUMBER(INDEX(Rohdaten!$A$125:$LJ$125,MATCH(X$4,RD_Kopf,0))),INDEX(Rohdaten!$A$125:$LJ$125,MATCH(X$4,RD_Kopf,0)),NA()),NA())</f>
        <v>0</v>
      </c>
      <c r="Y25" s="5">
        <f>IFERROR(IF(ISNUMBER(INDEX(Rohdaten!$A$125:$LJ$125,MATCH(Y$4,RD_Kopf,0))),INDEX(Rohdaten!$A$125:$LJ$125,MATCH(Y$4,RD_Kopf,0)),NA()),NA())</f>
        <v>0</v>
      </c>
      <c r="Z25" s="5">
        <f>IFERROR(IF(ISNUMBER(INDEX(Rohdaten!$A$125:$LJ$125,MATCH(Z$4,RD_Kopf,0))),INDEX(Rohdaten!$A$125:$LJ$125,MATCH(Z$4,RD_Kopf,0)),NA()),NA())</f>
        <v>0</v>
      </c>
      <c r="AA25" s="5">
        <f>IFERROR(IF(ISNUMBER(INDEX(Rohdaten!$A$125:$LJ$125,MATCH(AA$4,RD_Kopf,0))),INDEX(Rohdaten!$A$125:$LJ$125,MATCH(AA$4,RD_Kopf,0)),NA()),NA())</f>
        <v>0</v>
      </c>
      <c r="AB25" s="5">
        <f>IFERROR(IF(ISNUMBER(INDEX(Rohdaten!$A$125:$LJ$125,MATCH(AB$4,RD_Kopf,0))),INDEX(Rohdaten!$A$125:$LJ$125,MATCH(AB$4,RD_Kopf,0)),NA()),NA())</f>
        <v>0</v>
      </c>
      <c r="AC25" s="5">
        <f>IFERROR(IF(ISNUMBER(INDEX(Rohdaten!$A$125:$LJ$125,MATCH(AC$4,RD_Kopf,0))),INDEX(Rohdaten!$A$125:$LJ$125,MATCH(AC$4,RD_Kopf,0)),NA()),NA())</f>
        <v>0</v>
      </c>
      <c r="AD25" s="5">
        <f>IFERROR(IF(ISNUMBER(INDEX(Rohdaten!$A$125:$LJ$125,MATCH(AD$4,RD_Kopf,0))),INDEX(Rohdaten!$A$125:$LJ$125,MATCH(AD$4,RD_Kopf,0)),NA()),NA())</f>
        <v>0</v>
      </c>
    </row>
    <row r="26" spans="1:113">
      <c r="A26" s="11" t="s">
        <v>122</v>
      </c>
      <c r="B26" s="11" t="s">
        <v>122</v>
      </c>
      <c r="C26" s="3" t="str">
        <f>"Rohdaten Z. "&amp;ROW(Rohdaten!$A$129)</f>
        <v>Rohdaten Z. 129</v>
      </c>
      <c r="D26" s="5">
        <f>IFERROR(IF(ISNUMBER(INDEX(Rohdaten!$A$129:$LJ$129,MATCH(D$4,RD_Kopf,0))),INDEX(Rohdaten!$A$129:$LJ$129,MATCH(D$4,RD_Kopf,0)),NA()),NA())</f>
        <v>0</v>
      </c>
      <c r="E26" s="5">
        <f>IFERROR(IF(ISNUMBER(INDEX(Rohdaten!$A$129:$LJ$129,MATCH(E$4,RD_Kopf,0))),INDEX(Rohdaten!$A$129:$LJ$129,MATCH(E$4,RD_Kopf,0)),NA()),NA())</f>
        <v>0</v>
      </c>
      <c r="F26" s="5">
        <f>IFERROR(IF(ISNUMBER(INDEX(Rohdaten!$A$129:$LJ$129,MATCH(F$4,RD_Kopf,0))),INDEX(Rohdaten!$A$129:$LJ$129,MATCH(F$4,RD_Kopf,0)),NA()),NA())</f>
        <v>0</v>
      </c>
      <c r="G26" s="5">
        <f>IFERROR(IF(ISNUMBER(INDEX(Rohdaten!$A$129:$LJ$129,MATCH(G$4,RD_Kopf,0))),INDEX(Rohdaten!$A$129:$LJ$129,MATCH(G$4,RD_Kopf,0)),NA()),NA())</f>
        <v>0</v>
      </c>
      <c r="H26" s="5">
        <f>IFERROR(IF(ISNUMBER(INDEX(Rohdaten!$A$129:$LJ$129,MATCH(H$4,RD_Kopf,0))),INDEX(Rohdaten!$A$129:$LJ$129,MATCH(H$4,RD_Kopf,0)),NA()),NA())</f>
        <v>0</v>
      </c>
      <c r="I26" s="5">
        <f>IFERROR(IF(ISNUMBER(INDEX(Rohdaten!$A$129:$LJ$129,MATCH(I$4,RD_Kopf,0))),INDEX(Rohdaten!$A$129:$LJ$129,MATCH(I$4,RD_Kopf,0)),NA()),NA())</f>
        <v>0</v>
      </c>
      <c r="J26" s="5">
        <f>IFERROR(IF(ISNUMBER(INDEX(Rohdaten!$A$129:$LJ$129,MATCH(J$4,RD_Kopf,0))),INDEX(Rohdaten!$A$129:$LJ$129,MATCH(J$4,RD_Kopf,0)),NA()),NA())</f>
        <v>0</v>
      </c>
      <c r="K26" s="5">
        <f>IFERROR(IF(ISNUMBER(INDEX(Rohdaten!$A$129:$LJ$129,MATCH(K$4,RD_Kopf,0))),INDEX(Rohdaten!$A$129:$LJ$129,MATCH(K$4,RD_Kopf,0)),NA()),NA())</f>
        <v>0</v>
      </c>
      <c r="L26" s="5">
        <f>IFERROR(IF(ISNUMBER(INDEX(Rohdaten!$A$129:$LJ$129,MATCH(L$4,RD_Kopf,0))),INDEX(Rohdaten!$A$129:$LJ$129,MATCH(L$4,RD_Kopf,0)),NA()),NA())</f>
        <v>0</v>
      </c>
      <c r="M26" s="5">
        <f>IFERROR(IF(ISNUMBER(INDEX(Rohdaten!$A$129:$LJ$129,MATCH(M$4,RD_Kopf,0))),INDEX(Rohdaten!$A$129:$LJ$129,MATCH(M$4,RD_Kopf,0)),NA()),NA())</f>
        <v>0</v>
      </c>
      <c r="N26" s="5">
        <f>IFERROR(IF(ISNUMBER(INDEX(Rohdaten!$A$129:$LJ$129,MATCH(N$4,RD_Kopf,0))),INDEX(Rohdaten!$A$129:$LJ$129,MATCH(N$4,RD_Kopf,0)),NA()),NA())</f>
        <v>0</v>
      </c>
      <c r="O26" s="5">
        <f>IFERROR(IF(ISNUMBER(INDEX(Rohdaten!$A$129:$LJ$129,MATCH(O$4,RD_Kopf,0))),INDEX(Rohdaten!$A$129:$LJ$129,MATCH(O$4,RD_Kopf,0)),NA()),NA())</f>
        <v>0</v>
      </c>
      <c r="P26" s="5">
        <f>IFERROR(IF(ISNUMBER(INDEX(Rohdaten!$A$129:$LJ$129,MATCH(P$4,RD_Kopf,0))),INDEX(Rohdaten!$A$129:$LJ$129,MATCH(P$4,RD_Kopf,0)),NA()),NA())</f>
        <v>0</v>
      </c>
      <c r="Q26" s="5">
        <f>IFERROR(IF(ISNUMBER(INDEX(Rohdaten!$A$129:$LJ$129,MATCH(Q$4,RD_Kopf,0))),INDEX(Rohdaten!$A$129:$LJ$129,MATCH(Q$4,RD_Kopf,0)),NA()),NA())</f>
        <v>0</v>
      </c>
      <c r="R26" s="5">
        <f>IFERROR(IF(ISNUMBER(INDEX(Rohdaten!$A$129:$LJ$129,MATCH(R$4,RD_Kopf,0))),INDEX(Rohdaten!$A$129:$LJ$129,MATCH(R$4,RD_Kopf,0)),NA()),NA())</f>
        <v>0</v>
      </c>
      <c r="S26" s="5">
        <f>IFERROR(IF(ISNUMBER(INDEX(Rohdaten!$A$129:$LJ$129,MATCH(S$4,RD_Kopf,0))),INDEX(Rohdaten!$A$129:$LJ$129,MATCH(S$4,RD_Kopf,0)),NA()),NA())</f>
        <v>0</v>
      </c>
      <c r="T26" s="5">
        <f>IFERROR(IF(ISNUMBER(INDEX(Rohdaten!$A$129:$LJ$129,MATCH(T$4,RD_Kopf,0))),INDEX(Rohdaten!$A$129:$LJ$129,MATCH(T$4,RD_Kopf,0)),NA()),NA())</f>
        <v>0</v>
      </c>
      <c r="U26" s="5">
        <f>IFERROR(IF(ISNUMBER(INDEX(Rohdaten!$A$129:$LJ$129,MATCH(U$4,RD_Kopf,0))),INDEX(Rohdaten!$A$129:$LJ$129,MATCH(U$4,RD_Kopf,0)),NA()),NA())</f>
        <v>0</v>
      </c>
      <c r="V26" s="5">
        <f>IFERROR(IF(ISNUMBER(INDEX(Rohdaten!$A$129:$LJ$129,MATCH(V$4,RD_Kopf,0))),INDEX(Rohdaten!$A$129:$LJ$129,MATCH(V$4,RD_Kopf,0)),NA()),NA())</f>
        <v>0</v>
      </c>
      <c r="W26" s="5">
        <f>IFERROR(IF(ISNUMBER(INDEX(Rohdaten!$A$129:$LJ$129,MATCH(W$4,RD_Kopf,0))),INDEX(Rohdaten!$A$129:$LJ$129,MATCH(W$4,RD_Kopf,0)),NA()),NA())</f>
        <v>0</v>
      </c>
      <c r="X26" s="5">
        <f>IFERROR(IF(ISNUMBER(INDEX(Rohdaten!$A$129:$LJ$129,MATCH(X$4,RD_Kopf,0))),INDEX(Rohdaten!$A$129:$LJ$129,MATCH(X$4,RD_Kopf,0)),NA()),NA())</f>
        <v>0</v>
      </c>
      <c r="Y26" s="5">
        <f>IFERROR(IF(ISNUMBER(INDEX(Rohdaten!$A$129:$LJ$129,MATCH(Y$4,RD_Kopf,0))),INDEX(Rohdaten!$A$129:$LJ$129,MATCH(Y$4,RD_Kopf,0)),NA()),NA())</f>
        <v>0</v>
      </c>
      <c r="Z26" s="5">
        <f>IFERROR(IF(ISNUMBER(INDEX(Rohdaten!$A$129:$LJ$129,MATCH(Z$4,RD_Kopf,0))),INDEX(Rohdaten!$A$129:$LJ$129,MATCH(Z$4,RD_Kopf,0)),NA()),NA())</f>
        <v>0</v>
      </c>
      <c r="AA26" s="5">
        <f>IFERROR(IF(ISNUMBER(INDEX(Rohdaten!$A$129:$LJ$129,MATCH(AA$4,RD_Kopf,0))),INDEX(Rohdaten!$A$129:$LJ$129,MATCH(AA$4,RD_Kopf,0)),NA()),NA())</f>
        <v>0</v>
      </c>
      <c r="AB26" s="5">
        <f>IFERROR(IF(ISNUMBER(INDEX(Rohdaten!$A$129:$LJ$129,MATCH(AB$4,RD_Kopf,0))),INDEX(Rohdaten!$A$129:$LJ$129,MATCH(AB$4,RD_Kopf,0)),NA()),NA())</f>
        <v>0</v>
      </c>
      <c r="AC26" s="5">
        <f>IFERROR(IF(ISNUMBER(INDEX(Rohdaten!$A$129:$LJ$129,MATCH(AC$4,RD_Kopf,0))),INDEX(Rohdaten!$A$129:$LJ$129,MATCH(AC$4,RD_Kopf,0)),NA()),NA())</f>
        <v>0</v>
      </c>
      <c r="AD26" s="5">
        <f>IFERROR(IF(ISNUMBER(INDEX(Rohdaten!$A$129:$LJ$129,MATCH(AD$4,RD_Kopf,0))),INDEX(Rohdaten!$A$129:$LJ$129,MATCH(AD$4,RD_Kopf,0)),NA()),NA())</f>
        <v>0</v>
      </c>
    </row>
    <row r="27" spans="1:113">
      <c r="A27" s="11" t="s">
        <v>123</v>
      </c>
      <c r="B27" s="11" t="s">
        <v>123</v>
      </c>
      <c r="C27" s="3" t="str">
        <f>"Rohdaten Z. "&amp;ROW(Rohdaten!$A$130)</f>
        <v>Rohdaten Z. 130</v>
      </c>
      <c r="D27" s="5">
        <f>IFERROR(IF(ISNUMBER(INDEX(Rohdaten!$A$130:$LJ$130,MATCH(D$4,RD_Kopf,0))),INDEX(Rohdaten!$A$130:$LJ$130,MATCH(D$4,RD_Kopf,0)),NA()),NA())</f>
        <v>0</v>
      </c>
      <c r="E27" s="5">
        <f>IFERROR(IF(ISNUMBER(INDEX(Rohdaten!$A$130:$LJ$130,MATCH(E$4,RD_Kopf,0))),INDEX(Rohdaten!$A$130:$LJ$130,MATCH(E$4,RD_Kopf,0)),NA()),NA())</f>
        <v>0</v>
      </c>
      <c r="F27" s="5">
        <f>IFERROR(IF(ISNUMBER(INDEX(Rohdaten!$A$130:$LJ$130,MATCH(F$4,RD_Kopf,0))),INDEX(Rohdaten!$A$130:$LJ$130,MATCH(F$4,RD_Kopf,0)),NA()),NA())</f>
        <v>0</v>
      </c>
      <c r="G27" s="5">
        <f>IFERROR(IF(ISNUMBER(INDEX(Rohdaten!$A$130:$LJ$130,MATCH(G$4,RD_Kopf,0))),INDEX(Rohdaten!$A$130:$LJ$130,MATCH(G$4,RD_Kopf,0)),NA()),NA())</f>
        <v>0</v>
      </c>
      <c r="H27" s="5">
        <f>IFERROR(IF(ISNUMBER(INDEX(Rohdaten!$A$130:$LJ$130,MATCH(H$4,RD_Kopf,0))),INDEX(Rohdaten!$A$130:$LJ$130,MATCH(H$4,RD_Kopf,0)),NA()),NA())</f>
        <v>0</v>
      </c>
      <c r="I27" s="5">
        <f>IFERROR(IF(ISNUMBER(INDEX(Rohdaten!$A$130:$LJ$130,MATCH(I$4,RD_Kopf,0))),INDEX(Rohdaten!$A$130:$LJ$130,MATCH(I$4,RD_Kopf,0)),NA()),NA())</f>
        <v>0</v>
      </c>
      <c r="J27" s="5">
        <f>IFERROR(IF(ISNUMBER(INDEX(Rohdaten!$A$130:$LJ$130,MATCH(J$4,RD_Kopf,0))),INDEX(Rohdaten!$A$130:$LJ$130,MATCH(J$4,RD_Kopf,0)),NA()),NA())</f>
        <v>0</v>
      </c>
      <c r="K27" s="5">
        <f>IFERROR(IF(ISNUMBER(INDEX(Rohdaten!$A$130:$LJ$130,MATCH(K$4,RD_Kopf,0))),INDEX(Rohdaten!$A$130:$LJ$130,MATCH(K$4,RD_Kopf,0)),NA()),NA())</f>
        <v>0</v>
      </c>
      <c r="L27" s="5">
        <f>IFERROR(IF(ISNUMBER(INDEX(Rohdaten!$A$130:$LJ$130,MATCH(L$4,RD_Kopf,0))),INDEX(Rohdaten!$A$130:$LJ$130,MATCH(L$4,RD_Kopf,0)),NA()),NA())</f>
        <v>0</v>
      </c>
      <c r="M27" s="5">
        <f>IFERROR(IF(ISNUMBER(INDEX(Rohdaten!$A$130:$LJ$130,MATCH(M$4,RD_Kopf,0))),INDEX(Rohdaten!$A$130:$LJ$130,MATCH(M$4,RD_Kopf,0)),NA()),NA())</f>
        <v>0</v>
      </c>
      <c r="N27" s="5">
        <f>IFERROR(IF(ISNUMBER(INDEX(Rohdaten!$A$130:$LJ$130,MATCH(N$4,RD_Kopf,0))),INDEX(Rohdaten!$A$130:$LJ$130,MATCH(N$4,RD_Kopf,0)),NA()),NA())</f>
        <v>0</v>
      </c>
      <c r="O27" s="5">
        <f>IFERROR(IF(ISNUMBER(INDEX(Rohdaten!$A$130:$LJ$130,MATCH(O$4,RD_Kopf,0))),INDEX(Rohdaten!$A$130:$LJ$130,MATCH(O$4,RD_Kopf,0)),NA()),NA())</f>
        <v>0</v>
      </c>
      <c r="P27" s="5">
        <f>IFERROR(IF(ISNUMBER(INDEX(Rohdaten!$A$130:$LJ$130,MATCH(P$4,RD_Kopf,0))),INDEX(Rohdaten!$A$130:$LJ$130,MATCH(P$4,RD_Kopf,0)),NA()),NA())</f>
        <v>0</v>
      </c>
      <c r="Q27" s="5">
        <f>IFERROR(IF(ISNUMBER(INDEX(Rohdaten!$A$130:$LJ$130,MATCH(Q$4,RD_Kopf,0))),INDEX(Rohdaten!$A$130:$LJ$130,MATCH(Q$4,RD_Kopf,0)),NA()),NA())</f>
        <v>0</v>
      </c>
      <c r="R27" s="5">
        <f>IFERROR(IF(ISNUMBER(INDEX(Rohdaten!$A$130:$LJ$130,MATCH(R$4,RD_Kopf,0))),INDEX(Rohdaten!$A$130:$LJ$130,MATCH(R$4,RD_Kopf,0)),NA()),NA())</f>
        <v>0</v>
      </c>
      <c r="S27" s="5">
        <f>IFERROR(IF(ISNUMBER(INDEX(Rohdaten!$A$130:$LJ$130,MATCH(S$4,RD_Kopf,0))),INDEX(Rohdaten!$A$130:$LJ$130,MATCH(S$4,RD_Kopf,0)),NA()),NA())</f>
        <v>0</v>
      </c>
      <c r="T27" s="5">
        <f>IFERROR(IF(ISNUMBER(INDEX(Rohdaten!$A$130:$LJ$130,MATCH(T$4,RD_Kopf,0))),INDEX(Rohdaten!$A$130:$LJ$130,MATCH(T$4,RD_Kopf,0)),NA()),NA())</f>
        <v>0</v>
      </c>
      <c r="U27" s="5">
        <f>IFERROR(IF(ISNUMBER(INDEX(Rohdaten!$A$130:$LJ$130,MATCH(U$4,RD_Kopf,0))),INDEX(Rohdaten!$A$130:$LJ$130,MATCH(U$4,RD_Kopf,0)),NA()),NA())</f>
        <v>0</v>
      </c>
      <c r="V27" s="5">
        <f>IFERROR(IF(ISNUMBER(INDEX(Rohdaten!$A$130:$LJ$130,MATCH(V$4,RD_Kopf,0))),INDEX(Rohdaten!$A$130:$LJ$130,MATCH(V$4,RD_Kopf,0)),NA()),NA())</f>
        <v>0</v>
      </c>
      <c r="W27" s="5">
        <f>IFERROR(IF(ISNUMBER(INDEX(Rohdaten!$A$130:$LJ$130,MATCH(W$4,RD_Kopf,0))),INDEX(Rohdaten!$A$130:$LJ$130,MATCH(W$4,RD_Kopf,0)),NA()),NA())</f>
        <v>0</v>
      </c>
      <c r="X27" s="5">
        <f>IFERROR(IF(ISNUMBER(INDEX(Rohdaten!$A$130:$LJ$130,MATCH(X$4,RD_Kopf,0))),INDEX(Rohdaten!$A$130:$LJ$130,MATCH(X$4,RD_Kopf,0)),NA()),NA())</f>
        <v>0</v>
      </c>
      <c r="Y27" s="5">
        <f>IFERROR(IF(ISNUMBER(INDEX(Rohdaten!$A$130:$LJ$130,MATCH(Y$4,RD_Kopf,0))),INDEX(Rohdaten!$A$130:$LJ$130,MATCH(Y$4,RD_Kopf,0)),NA()),NA())</f>
        <v>0</v>
      </c>
      <c r="Z27" s="5">
        <f>IFERROR(IF(ISNUMBER(INDEX(Rohdaten!$A$130:$LJ$130,MATCH(Z$4,RD_Kopf,0))),INDEX(Rohdaten!$A$130:$LJ$130,MATCH(Z$4,RD_Kopf,0)),NA()),NA())</f>
        <v>0</v>
      </c>
      <c r="AA27" s="5">
        <f>IFERROR(IF(ISNUMBER(INDEX(Rohdaten!$A$130:$LJ$130,MATCH(AA$4,RD_Kopf,0))),INDEX(Rohdaten!$A$130:$LJ$130,MATCH(AA$4,RD_Kopf,0)),NA()),NA())</f>
        <v>0</v>
      </c>
      <c r="AB27" s="5">
        <f>IFERROR(IF(ISNUMBER(INDEX(Rohdaten!$A$130:$LJ$130,MATCH(AB$4,RD_Kopf,0))),INDEX(Rohdaten!$A$130:$LJ$130,MATCH(AB$4,RD_Kopf,0)),NA()),NA())</f>
        <v>0</v>
      </c>
      <c r="AC27" s="5">
        <f>IFERROR(IF(ISNUMBER(INDEX(Rohdaten!$A$130:$LJ$130,MATCH(AC$4,RD_Kopf,0))),INDEX(Rohdaten!$A$130:$LJ$130,MATCH(AC$4,RD_Kopf,0)),NA()),NA())</f>
        <v>0</v>
      </c>
      <c r="AD27" s="5">
        <f>IFERROR(IF(ISNUMBER(INDEX(Rohdaten!$A$130:$LJ$130,MATCH(AD$4,RD_Kopf,0))),INDEX(Rohdaten!$A$130:$LJ$130,MATCH(AD$4,RD_Kopf,0)),NA()),NA())</f>
        <v>0</v>
      </c>
    </row>
    <row r="28" spans="1:113">
      <c r="A28" s="11" t="s">
        <v>124</v>
      </c>
      <c r="B28" s="11" t="s">
        <v>124</v>
      </c>
      <c r="C28" s="3" t="str">
        <f>"Rohdaten Z. "&amp;ROW(Rohdaten!$A$131)</f>
        <v>Rohdaten Z. 131</v>
      </c>
      <c r="D28" s="5">
        <f>IFERROR(IF(ISNUMBER(INDEX(Rohdaten!$A$131:$LJ$131,MATCH(D$4,RD_Kopf,0))),INDEX(Rohdaten!$A$131:$LJ$131,MATCH(D$4,RD_Kopf,0)),NA()),NA())</f>
        <v>0</v>
      </c>
      <c r="E28" s="5">
        <f>IFERROR(IF(ISNUMBER(INDEX(Rohdaten!$A$131:$LJ$131,MATCH(E$4,RD_Kopf,0))),INDEX(Rohdaten!$A$131:$LJ$131,MATCH(E$4,RD_Kopf,0)),NA()),NA())</f>
        <v>0</v>
      </c>
      <c r="F28" s="5">
        <f>IFERROR(IF(ISNUMBER(INDEX(Rohdaten!$A$131:$LJ$131,MATCH(F$4,RD_Kopf,0))),INDEX(Rohdaten!$A$131:$LJ$131,MATCH(F$4,RD_Kopf,0)),NA()),NA())</f>
        <v>0</v>
      </c>
      <c r="G28" s="5">
        <f>IFERROR(IF(ISNUMBER(INDEX(Rohdaten!$A$131:$LJ$131,MATCH(G$4,RD_Kopf,0))),INDEX(Rohdaten!$A$131:$LJ$131,MATCH(G$4,RD_Kopf,0)),NA()),NA())</f>
        <v>0</v>
      </c>
      <c r="H28" s="5">
        <f>IFERROR(IF(ISNUMBER(INDEX(Rohdaten!$A$131:$LJ$131,MATCH(H$4,RD_Kopf,0))),INDEX(Rohdaten!$A$131:$LJ$131,MATCH(H$4,RD_Kopf,0)),NA()),NA())</f>
        <v>0</v>
      </c>
      <c r="I28" s="5">
        <f>IFERROR(IF(ISNUMBER(INDEX(Rohdaten!$A$131:$LJ$131,MATCH(I$4,RD_Kopf,0))),INDEX(Rohdaten!$A$131:$LJ$131,MATCH(I$4,RD_Kopf,0)),NA()),NA())</f>
        <v>0</v>
      </c>
      <c r="J28" s="5">
        <f>IFERROR(IF(ISNUMBER(INDEX(Rohdaten!$A$131:$LJ$131,MATCH(J$4,RD_Kopf,0))),INDEX(Rohdaten!$A$131:$LJ$131,MATCH(J$4,RD_Kopf,0)),NA()),NA())</f>
        <v>0</v>
      </c>
      <c r="K28" s="5">
        <f>IFERROR(IF(ISNUMBER(INDEX(Rohdaten!$A$131:$LJ$131,MATCH(K$4,RD_Kopf,0))),INDEX(Rohdaten!$A$131:$LJ$131,MATCH(K$4,RD_Kopf,0)),NA()),NA())</f>
        <v>0</v>
      </c>
      <c r="L28" s="5">
        <f>IFERROR(IF(ISNUMBER(INDEX(Rohdaten!$A$131:$LJ$131,MATCH(L$4,RD_Kopf,0))),INDEX(Rohdaten!$A$131:$LJ$131,MATCH(L$4,RD_Kopf,0)),NA()),NA())</f>
        <v>0</v>
      </c>
      <c r="M28" s="5">
        <f>IFERROR(IF(ISNUMBER(INDEX(Rohdaten!$A$131:$LJ$131,MATCH(M$4,RD_Kopf,0))),INDEX(Rohdaten!$A$131:$LJ$131,MATCH(M$4,RD_Kopf,0)),NA()),NA())</f>
        <v>0</v>
      </c>
      <c r="N28" s="5">
        <f>IFERROR(IF(ISNUMBER(INDEX(Rohdaten!$A$131:$LJ$131,MATCH(N$4,RD_Kopf,0))),INDEX(Rohdaten!$A$131:$LJ$131,MATCH(N$4,RD_Kopf,0)),NA()),NA())</f>
        <v>0</v>
      </c>
      <c r="O28" s="5">
        <f>IFERROR(IF(ISNUMBER(INDEX(Rohdaten!$A$131:$LJ$131,MATCH(O$4,RD_Kopf,0))),INDEX(Rohdaten!$A$131:$LJ$131,MATCH(O$4,RD_Kopf,0)),NA()),NA())</f>
        <v>0</v>
      </c>
      <c r="P28" s="5">
        <f>IFERROR(IF(ISNUMBER(INDEX(Rohdaten!$A$131:$LJ$131,MATCH(P$4,RD_Kopf,0))),INDEX(Rohdaten!$A$131:$LJ$131,MATCH(P$4,RD_Kopf,0)),NA()),NA())</f>
        <v>0</v>
      </c>
      <c r="Q28" s="5">
        <f>IFERROR(IF(ISNUMBER(INDEX(Rohdaten!$A$131:$LJ$131,MATCH(Q$4,RD_Kopf,0))),INDEX(Rohdaten!$A$131:$LJ$131,MATCH(Q$4,RD_Kopf,0)),NA()),NA())</f>
        <v>0</v>
      </c>
      <c r="R28" s="5">
        <f>IFERROR(IF(ISNUMBER(INDEX(Rohdaten!$A$131:$LJ$131,MATCH(R$4,RD_Kopf,0))),INDEX(Rohdaten!$A$131:$LJ$131,MATCH(R$4,RD_Kopf,0)),NA()),NA())</f>
        <v>0</v>
      </c>
      <c r="S28" s="5">
        <f>IFERROR(IF(ISNUMBER(INDEX(Rohdaten!$A$131:$LJ$131,MATCH(S$4,RD_Kopf,0))),INDEX(Rohdaten!$A$131:$LJ$131,MATCH(S$4,RD_Kopf,0)),NA()),NA())</f>
        <v>0</v>
      </c>
      <c r="T28" s="5">
        <f>IFERROR(IF(ISNUMBER(INDEX(Rohdaten!$A$131:$LJ$131,MATCH(T$4,RD_Kopf,0))),INDEX(Rohdaten!$A$131:$LJ$131,MATCH(T$4,RD_Kopf,0)),NA()),NA())</f>
        <v>0</v>
      </c>
      <c r="U28" s="5">
        <f>IFERROR(IF(ISNUMBER(INDEX(Rohdaten!$A$131:$LJ$131,MATCH(U$4,RD_Kopf,0))),INDEX(Rohdaten!$A$131:$LJ$131,MATCH(U$4,RD_Kopf,0)),NA()),NA())</f>
        <v>0</v>
      </c>
      <c r="V28" s="5">
        <f>IFERROR(IF(ISNUMBER(INDEX(Rohdaten!$A$131:$LJ$131,MATCH(V$4,RD_Kopf,0))),INDEX(Rohdaten!$A$131:$LJ$131,MATCH(V$4,RD_Kopf,0)),NA()),NA())</f>
        <v>0</v>
      </c>
      <c r="W28" s="5">
        <f>IFERROR(IF(ISNUMBER(INDEX(Rohdaten!$A$131:$LJ$131,MATCH(W$4,RD_Kopf,0))),INDEX(Rohdaten!$A$131:$LJ$131,MATCH(W$4,RD_Kopf,0)),NA()),NA())</f>
        <v>0</v>
      </c>
      <c r="X28" s="5">
        <f>IFERROR(IF(ISNUMBER(INDEX(Rohdaten!$A$131:$LJ$131,MATCH(X$4,RD_Kopf,0))),INDEX(Rohdaten!$A$131:$LJ$131,MATCH(X$4,RD_Kopf,0)),NA()),NA())</f>
        <v>0</v>
      </c>
      <c r="Y28" s="5">
        <f>IFERROR(IF(ISNUMBER(INDEX(Rohdaten!$A$131:$LJ$131,MATCH(Y$4,RD_Kopf,0))),INDEX(Rohdaten!$A$131:$LJ$131,MATCH(Y$4,RD_Kopf,0)),NA()),NA())</f>
        <v>0</v>
      </c>
      <c r="Z28" s="5">
        <f>IFERROR(IF(ISNUMBER(INDEX(Rohdaten!$A$131:$LJ$131,MATCH(Z$4,RD_Kopf,0))),INDEX(Rohdaten!$A$131:$LJ$131,MATCH(Z$4,RD_Kopf,0)),NA()),NA())</f>
        <v>0</v>
      </c>
      <c r="AA28" s="5">
        <f>IFERROR(IF(ISNUMBER(INDEX(Rohdaten!$A$131:$LJ$131,MATCH(AA$4,RD_Kopf,0))),INDEX(Rohdaten!$A$131:$LJ$131,MATCH(AA$4,RD_Kopf,0)),NA()),NA())</f>
        <v>0</v>
      </c>
      <c r="AB28" s="5">
        <f>IFERROR(IF(ISNUMBER(INDEX(Rohdaten!$A$131:$LJ$131,MATCH(AB$4,RD_Kopf,0))),INDEX(Rohdaten!$A$131:$LJ$131,MATCH(AB$4,RD_Kopf,0)),NA()),NA())</f>
        <v>0</v>
      </c>
      <c r="AC28" s="5">
        <f>IFERROR(IF(ISNUMBER(INDEX(Rohdaten!$A$131:$LJ$131,MATCH(AC$4,RD_Kopf,0))),INDEX(Rohdaten!$A$131:$LJ$131,MATCH(AC$4,RD_Kopf,0)),NA()),NA())</f>
        <v>0</v>
      </c>
      <c r="AD28" s="5">
        <f>IFERROR(IF(ISNUMBER(INDEX(Rohdaten!$A$131:$LJ$131,MATCH(AD$4,RD_Kopf,0))),INDEX(Rohdaten!$A$131:$LJ$131,MATCH(AD$4,RD_Kopf,0)),NA()),NA())</f>
        <v>0</v>
      </c>
    </row>
    <row r="29" spans="1:113">
      <c r="A29" s="11" t="s">
        <v>125</v>
      </c>
      <c r="B29" s="11" t="s">
        <v>125</v>
      </c>
      <c r="C29" s="3" t="str">
        <f>"Rohdaten Z. "&amp;ROW(Rohdaten!$A$132)</f>
        <v>Rohdaten Z. 132</v>
      </c>
      <c r="D29" s="5">
        <f>IFERROR(IF(ISNUMBER(INDEX(Rohdaten!$A$132:$LJ$132,MATCH(D$4,RD_Kopf,0))),INDEX(Rohdaten!$A$132:$LJ$132,MATCH(D$4,RD_Kopf,0)),NA()),NA())</f>
        <v>0</v>
      </c>
      <c r="E29" s="5">
        <f>IFERROR(IF(ISNUMBER(INDEX(Rohdaten!$A$132:$LJ$132,MATCH(E$4,RD_Kopf,0))),INDEX(Rohdaten!$A$132:$LJ$132,MATCH(E$4,RD_Kopf,0)),NA()),NA())</f>
        <v>0</v>
      </c>
      <c r="F29" s="5">
        <f>IFERROR(IF(ISNUMBER(INDEX(Rohdaten!$A$132:$LJ$132,MATCH(F$4,RD_Kopf,0))),INDEX(Rohdaten!$A$132:$LJ$132,MATCH(F$4,RD_Kopf,0)),NA()),NA())</f>
        <v>0</v>
      </c>
      <c r="G29" s="5">
        <f>IFERROR(IF(ISNUMBER(INDEX(Rohdaten!$A$132:$LJ$132,MATCH(G$4,RD_Kopf,0))),INDEX(Rohdaten!$A$132:$LJ$132,MATCH(G$4,RD_Kopf,0)),NA()),NA())</f>
        <v>0</v>
      </c>
      <c r="H29" s="5">
        <f>IFERROR(IF(ISNUMBER(INDEX(Rohdaten!$A$132:$LJ$132,MATCH(H$4,RD_Kopf,0))),INDEX(Rohdaten!$A$132:$LJ$132,MATCH(H$4,RD_Kopf,0)),NA()),NA())</f>
        <v>0</v>
      </c>
      <c r="I29" s="5">
        <f>IFERROR(IF(ISNUMBER(INDEX(Rohdaten!$A$132:$LJ$132,MATCH(I$4,RD_Kopf,0))),INDEX(Rohdaten!$A$132:$LJ$132,MATCH(I$4,RD_Kopf,0)),NA()),NA())</f>
        <v>0</v>
      </c>
      <c r="J29" s="5">
        <f>IFERROR(IF(ISNUMBER(INDEX(Rohdaten!$A$132:$LJ$132,MATCH(J$4,RD_Kopf,0))),INDEX(Rohdaten!$A$132:$LJ$132,MATCH(J$4,RD_Kopf,0)),NA()),NA())</f>
        <v>0</v>
      </c>
      <c r="K29" s="5">
        <f>IFERROR(IF(ISNUMBER(INDEX(Rohdaten!$A$132:$LJ$132,MATCH(K$4,RD_Kopf,0))),INDEX(Rohdaten!$A$132:$LJ$132,MATCH(K$4,RD_Kopf,0)),NA()),NA())</f>
        <v>0</v>
      </c>
      <c r="L29" s="5">
        <f>IFERROR(IF(ISNUMBER(INDEX(Rohdaten!$A$132:$LJ$132,MATCH(L$4,RD_Kopf,0))),INDEX(Rohdaten!$A$132:$LJ$132,MATCH(L$4,RD_Kopf,0)),NA()),NA())</f>
        <v>0</v>
      </c>
      <c r="M29" s="5">
        <f>IFERROR(IF(ISNUMBER(INDEX(Rohdaten!$A$132:$LJ$132,MATCH(M$4,RD_Kopf,0))),INDEX(Rohdaten!$A$132:$LJ$132,MATCH(M$4,RD_Kopf,0)),NA()),NA())</f>
        <v>0</v>
      </c>
      <c r="N29" s="5">
        <f>IFERROR(IF(ISNUMBER(INDEX(Rohdaten!$A$132:$LJ$132,MATCH(N$4,RD_Kopf,0))),INDEX(Rohdaten!$A$132:$LJ$132,MATCH(N$4,RD_Kopf,0)),NA()),NA())</f>
        <v>0</v>
      </c>
      <c r="O29" s="5">
        <f>IFERROR(IF(ISNUMBER(INDEX(Rohdaten!$A$132:$LJ$132,MATCH(O$4,RD_Kopf,0))),INDEX(Rohdaten!$A$132:$LJ$132,MATCH(O$4,RD_Kopf,0)),NA()),NA())</f>
        <v>0</v>
      </c>
      <c r="P29" s="5">
        <f>IFERROR(IF(ISNUMBER(INDEX(Rohdaten!$A$132:$LJ$132,MATCH(P$4,RD_Kopf,0))),INDEX(Rohdaten!$A$132:$LJ$132,MATCH(P$4,RD_Kopf,0)),NA()),NA())</f>
        <v>0</v>
      </c>
      <c r="Q29" s="5">
        <f>IFERROR(IF(ISNUMBER(INDEX(Rohdaten!$A$132:$LJ$132,MATCH(Q$4,RD_Kopf,0))),INDEX(Rohdaten!$A$132:$LJ$132,MATCH(Q$4,RD_Kopf,0)),NA()),NA())</f>
        <v>0</v>
      </c>
      <c r="R29" s="5">
        <f>IFERROR(IF(ISNUMBER(INDEX(Rohdaten!$A$132:$LJ$132,MATCH(R$4,RD_Kopf,0))),INDEX(Rohdaten!$A$132:$LJ$132,MATCH(R$4,RD_Kopf,0)),NA()),NA())</f>
        <v>0</v>
      </c>
      <c r="S29" s="5">
        <f>IFERROR(IF(ISNUMBER(INDEX(Rohdaten!$A$132:$LJ$132,MATCH(S$4,RD_Kopf,0))),INDEX(Rohdaten!$A$132:$LJ$132,MATCH(S$4,RD_Kopf,0)),NA()),NA())</f>
        <v>0</v>
      </c>
      <c r="T29" s="5">
        <f>IFERROR(IF(ISNUMBER(INDEX(Rohdaten!$A$132:$LJ$132,MATCH(T$4,RD_Kopf,0))),INDEX(Rohdaten!$A$132:$LJ$132,MATCH(T$4,RD_Kopf,0)),NA()),NA())</f>
        <v>0</v>
      </c>
      <c r="U29" s="5">
        <f>IFERROR(IF(ISNUMBER(INDEX(Rohdaten!$A$132:$LJ$132,MATCH(U$4,RD_Kopf,0))),INDEX(Rohdaten!$A$132:$LJ$132,MATCH(U$4,RD_Kopf,0)),NA()),NA())</f>
        <v>0</v>
      </c>
      <c r="V29" s="5">
        <f>IFERROR(IF(ISNUMBER(INDEX(Rohdaten!$A$132:$LJ$132,MATCH(V$4,RD_Kopf,0))),INDEX(Rohdaten!$A$132:$LJ$132,MATCH(V$4,RD_Kopf,0)),NA()),NA())</f>
        <v>0</v>
      </c>
      <c r="W29" s="5">
        <f>IFERROR(IF(ISNUMBER(INDEX(Rohdaten!$A$132:$LJ$132,MATCH(W$4,RD_Kopf,0))),INDEX(Rohdaten!$A$132:$LJ$132,MATCH(W$4,RD_Kopf,0)),NA()),NA())</f>
        <v>0</v>
      </c>
      <c r="X29" s="5">
        <f>IFERROR(IF(ISNUMBER(INDEX(Rohdaten!$A$132:$LJ$132,MATCH(X$4,RD_Kopf,0))),INDEX(Rohdaten!$A$132:$LJ$132,MATCH(X$4,RD_Kopf,0)),NA()),NA())</f>
        <v>0</v>
      </c>
      <c r="Y29" s="5">
        <f>IFERROR(IF(ISNUMBER(INDEX(Rohdaten!$A$132:$LJ$132,MATCH(Y$4,RD_Kopf,0))),INDEX(Rohdaten!$A$132:$LJ$132,MATCH(Y$4,RD_Kopf,0)),NA()),NA())</f>
        <v>0</v>
      </c>
      <c r="Z29" s="5">
        <f>IFERROR(IF(ISNUMBER(INDEX(Rohdaten!$A$132:$LJ$132,MATCH(Z$4,RD_Kopf,0))),INDEX(Rohdaten!$A$132:$LJ$132,MATCH(Z$4,RD_Kopf,0)),NA()),NA())</f>
        <v>0</v>
      </c>
      <c r="AA29" s="5">
        <f>IFERROR(IF(ISNUMBER(INDEX(Rohdaten!$A$132:$LJ$132,MATCH(AA$4,RD_Kopf,0))),INDEX(Rohdaten!$A$132:$LJ$132,MATCH(AA$4,RD_Kopf,0)),NA()),NA())</f>
        <v>0</v>
      </c>
      <c r="AB29" s="5">
        <f>IFERROR(IF(ISNUMBER(INDEX(Rohdaten!$A$132:$LJ$132,MATCH(AB$4,RD_Kopf,0))),INDEX(Rohdaten!$A$132:$LJ$132,MATCH(AB$4,RD_Kopf,0)),NA()),NA())</f>
        <v>0</v>
      </c>
      <c r="AC29" s="5">
        <f>IFERROR(IF(ISNUMBER(INDEX(Rohdaten!$A$132:$LJ$132,MATCH(AC$4,RD_Kopf,0))),INDEX(Rohdaten!$A$132:$LJ$132,MATCH(AC$4,RD_Kopf,0)),NA()),NA())</f>
        <v>0</v>
      </c>
      <c r="AD29" s="5">
        <f>IFERROR(IF(ISNUMBER(INDEX(Rohdaten!$A$132:$LJ$132,MATCH(AD$4,RD_Kopf,0))),INDEX(Rohdaten!$A$132:$LJ$132,MATCH(AD$4,RD_Kopf,0)),NA()),NA())</f>
        <v>0</v>
      </c>
    </row>
    <row r="30" spans="1:113">
      <c r="A30" s="11" t="s">
        <v>126</v>
      </c>
      <c r="B30" s="11" t="s">
        <v>126</v>
      </c>
      <c r="C30" s="3" t="str">
        <f>"Rohdaten Z. "&amp;ROW(Rohdaten!$A$133)</f>
        <v>Rohdaten Z. 133</v>
      </c>
      <c r="D30" s="5">
        <f>IFERROR(IF(ISNUMBER(INDEX(Rohdaten!$A$133:$LJ$133,MATCH(D$4,RD_Kopf,0))),INDEX(Rohdaten!$A$133:$LJ$133,MATCH(D$4,RD_Kopf,0)),NA()),NA())</f>
        <v>0</v>
      </c>
      <c r="E30" s="5">
        <f>IFERROR(IF(ISNUMBER(INDEX(Rohdaten!$A$133:$LJ$133,MATCH(E$4,RD_Kopf,0))),INDEX(Rohdaten!$A$133:$LJ$133,MATCH(E$4,RD_Kopf,0)),NA()),NA())</f>
        <v>0</v>
      </c>
      <c r="F30" s="5">
        <f>IFERROR(IF(ISNUMBER(INDEX(Rohdaten!$A$133:$LJ$133,MATCH(F$4,RD_Kopf,0))),INDEX(Rohdaten!$A$133:$LJ$133,MATCH(F$4,RD_Kopf,0)),NA()),NA())</f>
        <v>0</v>
      </c>
      <c r="G30" s="5">
        <f>IFERROR(IF(ISNUMBER(INDEX(Rohdaten!$A$133:$LJ$133,MATCH(G$4,RD_Kopf,0))),INDEX(Rohdaten!$A$133:$LJ$133,MATCH(G$4,RD_Kopf,0)),NA()),NA())</f>
        <v>0</v>
      </c>
      <c r="H30" s="5">
        <f>IFERROR(IF(ISNUMBER(INDEX(Rohdaten!$A$133:$LJ$133,MATCH(H$4,RD_Kopf,0))),INDEX(Rohdaten!$A$133:$LJ$133,MATCH(H$4,RD_Kopf,0)),NA()),NA())</f>
        <v>0</v>
      </c>
      <c r="I30" s="5">
        <f>IFERROR(IF(ISNUMBER(INDEX(Rohdaten!$A$133:$LJ$133,MATCH(I$4,RD_Kopf,0))),INDEX(Rohdaten!$A$133:$LJ$133,MATCH(I$4,RD_Kopf,0)),NA()),NA())</f>
        <v>0</v>
      </c>
      <c r="J30" s="5">
        <f>IFERROR(IF(ISNUMBER(INDEX(Rohdaten!$A$133:$LJ$133,MATCH(J$4,RD_Kopf,0))),INDEX(Rohdaten!$A$133:$LJ$133,MATCH(J$4,RD_Kopf,0)),NA()),NA())</f>
        <v>0</v>
      </c>
      <c r="K30" s="5">
        <f>IFERROR(IF(ISNUMBER(INDEX(Rohdaten!$A$133:$LJ$133,MATCH(K$4,RD_Kopf,0))),INDEX(Rohdaten!$A$133:$LJ$133,MATCH(K$4,RD_Kopf,0)),NA()),NA())</f>
        <v>0</v>
      </c>
      <c r="L30" s="5">
        <f>IFERROR(IF(ISNUMBER(INDEX(Rohdaten!$A$133:$LJ$133,MATCH(L$4,RD_Kopf,0))),INDEX(Rohdaten!$A$133:$LJ$133,MATCH(L$4,RD_Kopf,0)),NA()),NA())</f>
        <v>0</v>
      </c>
      <c r="M30" s="5">
        <f>IFERROR(IF(ISNUMBER(INDEX(Rohdaten!$A$133:$LJ$133,MATCH(M$4,RD_Kopf,0))),INDEX(Rohdaten!$A$133:$LJ$133,MATCH(M$4,RD_Kopf,0)),NA()),NA())</f>
        <v>0</v>
      </c>
      <c r="N30" s="5">
        <f>IFERROR(IF(ISNUMBER(INDEX(Rohdaten!$A$133:$LJ$133,MATCH(N$4,RD_Kopf,0))),INDEX(Rohdaten!$A$133:$LJ$133,MATCH(N$4,RD_Kopf,0)),NA()),NA())</f>
        <v>0</v>
      </c>
      <c r="O30" s="5">
        <f>IFERROR(IF(ISNUMBER(INDEX(Rohdaten!$A$133:$LJ$133,MATCH(O$4,RD_Kopf,0))),INDEX(Rohdaten!$A$133:$LJ$133,MATCH(O$4,RD_Kopf,0)),NA()),NA())</f>
        <v>0</v>
      </c>
      <c r="P30" s="5">
        <f>IFERROR(IF(ISNUMBER(INDEX(Rohdaten!$A$133:$LJ$133,MATCH(P$4,RD_Kopf,0))),INDEX(Rohdaten!$A$133:$LJ$133,MATCH(P$4,RD_Kopf,0)),NA()),NA())</f>
        <v>0</v>
      </c>
      <c r="Q30" s="5">
        <f>IFERROR(IF(ISNUMBER(INDEX(Rohdaten!$A$133:$LJ$133,MATCH(Q$4,RD_Kopf,0))),INDEX(Rohdaten!$A$133:$LJ$133,MATCH(Q$4,RD_Kopf,0)),NA()),NA())</f>
        <v>0</v>
      </c>
      <c r="R30" s="5">
        <f>IFERROR(IF(ISNUMBER(INDEX(Rohdaten!$A$133:$LJ$133,MATCH(R$4,RD_Kopf,0))),INDEX(Rohdaten!$A$133:$LJ$133,MATCH(R$4,RD_Kopf,0)),NA()),NA())</f>
        <v>0</v>
      </c>
      <c r="S30" s="5">
        <f>IFERROR(IF(ISNUMBER(INDEX(Rohdaten!$A$133:$LJ$133,MATCH(S$4,RD_Kopf,0))),INDEX(Rohdaten!$A$133:$LJ$133,MATCH(S$4,RD_Kopf,0)),NA()),NA())</f>
        <v>0</v>
      </c>
      <c r="T30" s="5">
        <f>IFERROR(IF(ISNUMBER(INDEX(Rohdaten!$A$133:$LJ$133,MATCH(T$4,RD_Kopf,0))),INDEX(Rohdaten!$A$133:$LJ$133,MATCH(T$4,RD_Kopf,0)),NA()),NA())</f>
        <v>0</v>
      </c>
      <c r="U30" s="5">
        <f>IFERROR(IF(ISNUMBER(INDEX(Rohdaten!$A$133:$LJ$133,MATCH(U$4,RD_Kopf,0))),INDEX(Rohdaten!$A$133:$LJ$133,MATCH(U$4,RD_Kopf,0)),NA()),NA())</f>
        <v>0</v>
      </c>
      <c r="V30" s="5">
        <f>IFERROR(IF(ISNUMBER(INDEX(Rohdaten!$A$133:$LJ$133,MATCH(V$4,RD_Kopf,0))),INDEX(Rohdaten!$A$133:$LJ$133,MATCH(V$4,RD_Kopf,0)),NA()),NA())</f>
        <v>0</v>
      </c>
      <c r="W30" s="5">
        <f>IFERROR(IF(ISNUMBER(INDEX(Rohdaten!$A$133:$LJ$133,MATCH(W$4,RD_Kopf,0))),INDEX(Rohdaten!$A$133:$LJ$133,MATCH(W$4,RD_Kopf,0)),NA()),NA())</f>
        <v>0</v>
      </c>
      <c r="X30" s="5">
        <f>IFERROR(IF(ISNUMBER(INDEX(Rohdaten!$A$133:$LJ$133,MATCH(X$4,RD_Kopf,0))),INDEX(Rohdaten!$A$133:$LJ$133,MATCH(X$4,RD_Kopf,0)),NA()),NA())</f>
        <v>0</v>
      </c>
      <c r="Y30" s="5">
        <f>IFERROR(IF(ISNUMBER(INDEX(Rohdaten!$A$133:$LJ$133,MATCH(Y$4,RD_Kopf,0))),INDEX(Rohdaten!$A$133:$LJ$133,MATCH(Y$4,RD_Kopf,0)),NA()),NA())</f>
        <v>0</v>
      </c>
      <c r="Z30" s="5">
        <f>IFERROR(IF(ISNUMBER(INDEX(Rohdaten!$A$133:$LJ$133,MATCH(Z$4,RD_Kopf,0))),INDEX(Rohdaten!$A$133:$LJ$133,MATCH(Z$4,RD_Kopf,0)),NA()),NA())</f>
        <v>0</v>
      </c>
      <c r="AA30" s="5">
        <f>IFERROR(IF(ISNUMBER(INDEX(Rohdaten!$A$133:$LJ$133,MATCH(AA$4,RD_Kopf,0))),INDEX(Rohdaten!$A$133:$LJ$133,MATCH(AA$4,RD_Kopf,0)),NA()),NA())</f>
        <v>0</v>
      </c>
      <c r="AB30" s="5">
        <f>IFERROR(IF(ISNUMBER(INDEX(Rohdaten!$A$133:$LJ$133,MATCH(AB$4,RD_Kopf,0))),INDEX(Rohdaten!$A$133:$LJ$133,MATCH(AB$4,RD_Kopf,0)),NA()),NA())</f>
        <v>0</v>
      </c>
      <c r="AC30" s="5">
        <f>IFERROR(IF(ISNUMBER(INDEX(Rohdaten!$A$133:$LJ$133,MATCH(AC$4,RD_Kopf,0))),INDEX(Rohdaten!$A$133:$LJ$133,MATCH(AC$4,RD_Kopf,0)),NA()),NA())</f>
        <v>0</v>
      </c>
      <c r="AD30" s="5">
        <f>IFERROR(IF(ISNUMBER(INDEX(Rohdaten!$A$133:$LJ$133,MATCH(AD$4,RD_Kopf,0))),INDEX(Rohdaten!$A$133:$LJ$133,MATCH(AD$4,RD_Kopf,0)),NA()),NA())</f>
        <v>0</v>
      </c>
    </row>
    <row r="31" spans="1:113">
      <c r="A31" s="11" t="s">
        <v>127</v>
      </c>
      <c r="B31" s="11" t="s">
        <v>127</v>
      </c>
      <c r="C31" s="3" t="str">
        <f>"Rohdaten Z. "&amp;ROW(Rohdaten!$A$137)</f>
        <v>Rohdaten Z. 137</v>
      </c>
      <c r="D31" s="5">
        <f>IFERROR(IF(ISNUMBER(INDEX(Rohdaten!$A$137:$LJ$137,MATCH(D$4,RD_Kopf,0))),INDEX(Rohdaten!$A$137:$LJ$137,MATCH(D$4,RD_Kopf,0)),NA()),NA())</f>
        <v>0</v>
      </c>
      <c r="E31" s="5">
        <f>IFERROR(IF(ISNUMBER(INDEX(Rohdaten!$A$137:$LJ$137,MATCH(E$4,RD_Kopf,0))),INDEX(Rohdaten!$A$137:$LJ$137,MATCH(E$4,RD_Kopf,0)),NA()),NA())</f>
        <v>0</v>
      </c>
      <c r="F31" s="5">
        <f>IFERROR(IF(ISNUMBER(INDEX(Rohdaten!$A$137:$LJ$137,MATCH(F$4,RD_Kopf,0))),INDEX(Rohdaten!$A$137:$LJ$137,MATCH(F$4,RD_Kopf,0)),NA()),NA())</f>
        <v>0</v>
      </c>
      <c r="G31" s="5">
        <f>IFERROR(IF(ISNUMBER(INDEX(Rohdaten!$A$137:$LJ$137,MATCH(G$4,RD_Kopf,0))),INDEX(Rohdaten!$A$137:$LJ$137,MATCH(G$4,RD_Kopf,0)),NA()),NA())</f>
        <v>0</v>
      </c>
      <c r="H31" s="5">
        <f>IFERROR(IF(ISNUMBER(INDEX(Rohdaten!$A$137:$LJ$137,MATCH(H$4,RD_Kopf,0))),INDEX(Rohdaten!$A$137:$LJ$137,MATCH(H$4,RD_Kopf,0)),NA()),NA())</f>
        <v>0</v>
      </c>
      <c r="I31" s="5">
        <f>IFERROR(IF(ISNUMBER(INDEX(Rohdaten!$A$137:$LJ$137,MATCH(I$4,RD_Kopf,0))),INDEX(Rohdaten!$A$137:$LJ$137,MATCH(I$4,RD_Kopf,0)),NA()),NA())</f>
        <v>0</v>
      </c>
      <c r="J31" s="5">
        <f>IFERROR(IF(ISNUMBER(INDEX(Rohdaten!$A$137:$LJ$137,MATCH(J$4,RD_Kopf,0))),INDEX(Rohdaten!$A$137:$LJ$137,MATCH(J$4,RD_Kopf,0)),NA()),NA())</f>
        <v>0</v>
      </c>
      <c r="K31" s="5">
        <f>IFERROR(IF(ISNUMBER(INDEX(Rohdaten!$A$137:$LJ$137,MATCH(K$4,RD_Kopf,0))),INDEX(Rohdaten!$A$137:$LJ$137,MATCH(K$4,RD_Kopf,0)),NA()),NA())</f>
        <v>0</v>
      </c>
      <c r="L31" s="5">
        <f>IFERROR(IF(ISNUMBER(INDEX(Rohdaten!$A$137:$LJ$137,MATCH(L$4,RD_Kopf,0))),INDEX(Rohdaten!$A$137:$LJ$137,MATCH(L$4,RD_Kopf,0)),NA()),NA())</f>
        <v>0</v>
      </c>
      <c r="M31" s="5">
        <f>IFERROR(IF(ISNUMBER(INDEX(Rohdaten!$A$137:$LJ$137,MATCH(M$4,RD_Kopf,0))),INDEX(Rohdaten!$A$137:$LJ$137,MATCH(M$4,RD_Kopf,0)),NA()),NA())</f>
        <v>0</v>
      </c>
      <c r="N31" s="5">
        <f>IFERROR(IF(ISNUMBER(INDEX(Rohdaten!$A$137:$LJ$137,MATCH(N$4,RD_Kopf,0))),INDEX(Rohdaten!$A$137:$LJ$137,MATCH(N$4,RD_Kopf,0)),NA()),NA())</f>
        <v>0</v>
      </c>
      <c r="O31" s="5">
        <f>IFERROR(IF(ISNUMBER(INDEX(Rohdaten!$A$137:$LJ$137,MATCH(O$4,RD_Kopf,0))),INDEX(Rohdaten!$A$137:$LJ$137,MATCH(O$4,RD_Kopf,0)),NA()),NA())</f>
        <v>0</v>
      </c>
      <c r="P31" s="5">
        <f>IFERROR(IF(ISNUMBER(INDEX(Rohdaten!$A$137:$LJ$137,MATCH(P$4,RD_Kopf,0))),INDEX(Rohdaten!$A$137:$LJ$137,MATCH(P$4,RD_Kopf,0)),NA()),NA())</f>
        <v>0</v>
      </c>
      <c r="Q31" s="5">
        <f>IFERROR(IF(ISNUMBER(INDEX(Rohdaten!$A$137:$LJ$137,MATCH(Q$4,RD_Kopf,0))),INDEX(Rohdaten!$A$137:$LJ$137,MATCH(Q$4,RD_Kopf,0)),NA()),NA())</f>
        <v>0</v>
      </c>
      <c r="R31" s="5">
        <f>IFERROR(IF(ISNUMBER(INDEX(Rohdaten!$A$137:$LJ$137,MATCH(R$4,RD_Kopf,0))),INDEX(Rohdaten!$A$137:$LJ$137,MATCH(R$4,RD_Kopf,0)),NA()),NA())</f>
        <v>0</v>
      </c>
      <c r="S31" s="5">
        <f>IFERROR(IF(ISNUMBER(INDEX(Rohdaten!$A$137:$LJ$137,MATCH(S$4,RD_Kopf,0))),INDEX(Rohdaten!$A$137:$LJ$137,MATCH(S$4,RD_Kopf,0)),NA()),NA())</f>
        <v>0</v>
      </c>
      <c r="T31" s="5">
        <f>IFERROR(IF(ISNUMBER(INDEX(Rohdaten!$A$137:$LJ$137,MATCH(T$4,RD_Kopf,0))),INDEX(Rohdaten!$A$137:$LJ$137,MATCH(T$4,RD_Kopf,0)),NA()),NA())</f>
        <v>0</v>
      </c>
      <c r="U31" s="5">
        <f>IFERROR(IF(ISNUMBER(INDEX(Rohdaten!$A$137:$LJ$137,MATCH(U$4,RD_Kopf,0))),INDEX(Rohdaten!$A$137:$LJ$137,MATCH(U$4,RD_Kopf,0)),NA()),NA())</f>
        <v>0</v>
      </c>
      <c r="V31" s="5">
        <f>IFERROR(IF(ISNUMBER(INDEX(Rohdaten!$A$137:$LJ$137,MATCH(V$4,RD_Kopf,0))),INDEX(Rohdaten!$A$137:$LJ$137,MATCH(V$4,RD_Kopf,0)),NA()),NA())</f>
        <v>0</v>
      </c>
      <c r="W31" s="5">
        <f>IFERROR(IF(ISNUMBER(INDEX(Rohdaten!$A$137:$LJ$137,MATCH(W$4,RD_Kopf,0))),INDEX(Rohdaten!$A$137:$LJ$137,MATCH(W$4,RD_Kopf,0)),NA()),NA())</f>
        <v>0</v>
      </c>
      <c r="X31" s="5">
        <f>IFERROR(IF(ISNUMBER(INDEX(Rohdaten!$A$137:$LJ$137,MATCH(X$4,RD_Kopf,0))),INDEX(Rohdaten!$A$137:$LJ$137,MATCH(X$4,RD_Kopf,0)),NA()),NA())</f>
        <v>0</v>
      </c>
      <c r="Y31" s="5">
        <f>IFERROR(IF(ISNUMBER(INDEX(Rohdaten!$A$137:$LJ$137,MATCH(Y$4,RD_Kopf,0))),INDEX(Rohdaten!$A$137:$LJ$137,MATCH(Y$4,RD_Kopf,0)),NA()),NA())</f>
        <v>0</v>
      </c>
      <c r="Z31" s="5">
        <f>IFERROR(IF(ISNUMBER(INDEX(Rohdaten!$A$137:$LJ$137,MATCH(Z$4,RD_Kopf,0))),INDEX(Rohdaten!$A$137:$LJ$137,MATCH(Z$4,RD_Kopf,0)),NA()),NA())</f>
        <v>0</v>
      </c>
      <c r="AA31" s="5">
        <f>IFERROR(IF(ISNUMBER(INDEX(Rohdaten!$A$137:$LJ$137,MATCH(AA$4,RD_Kopf,0))),INDEX(Rohdaten!$A$137:$LJ$137,MATCH(AA$4,RD_Kopf,0)),NA()),NA())</f>
        <v>0</v>
      </c>
      <c r="AB31" s="5">
        <f>IFERROR(IF(ISNUMBER(INDEX(Rohdaten!$A$137:$LJ$137,MATCH(AB$4,RD_Kopf,0))),INDEX(Rohdaten!$A$137:$LJ$137,MATCH(AB$4,RD_Kopf,0)),NA()),NA())</f>
        <v>0</v>
      </c>
      <c r="AC31" s="5">
        <f>IFERROR(IF(ISNUMBER(INDEX(Rohdaten!$A$137:$LJ$137,MATCH(AC$4,RD_Kopf,0))),INDEX(Rohdaten!$A$137:$LJ$137,MATCH(AC$4,RD_Kopf,0)),NA()),NA())</f>
        <v>0</v>
      </c>
      <c r="AD31" s="5">
        <f>IFERROR(IF(ISNUMBER(INDEX(Rohdaten!$A$137:$LJ$137,MATCH(AD$4,RD_Kopf,0))),INDEX(Rohdaten!$A$137:$LJ$137,MATCH(AD$4,RD_Kopf,0)),NA()),NA())</f>
        <v>0</v>
      </c>
    </row>
    <row r="32" spans="1:113">
      <c r="A32" s="11" t="s">
        <v>128</v>
      </c>
      <c r="B32" s="11" t="s">
        <v>128</v>
      </c>
      <c r="C32" s="3" t="str">
        <f>"Rohdaten Z. "&amp;ROW(Rohdaten!$A$39)</f>
        <v>Rohdaten Z. 39</v>
      </c>
      <c r="D32" s="5">
        <f>IFERROR(IF(ISNUMBER(INDEX(Rohdaten!$A$39:$LJ$39,MATCH(D$4,RD_Kopf,0))),INDEX(Rohdaten!$A$39:$LJ$39,MATCH(D$4,RD_Kopf,0)),NA()),NA())</f>
        <v>0</v>
      </c>
      <c r="E32" s="5">
        <f>IFERROR(IF(ISNUMBER(INDEX(Rohdaten!$A$39:$LJ$39,MATCH(E$4,RD_Kopf,0))),INDEX(Rohdaten!$A$39:$LJ$39,MATCH(E$4,RD_Kopf,0)),NA()),NA())</f>
        <v>0</v>
      </c>
      <c r="F32" s="5">
        <f>IFERROR(IF(ISNUMBER(INDEX(Rohdaten!$A$39:$LJ$39,MATCH(F$4,RD_Kopf,0))),INDEX(Rohdaten!$A$39:$LJ$39,MATCH(F$4,RD_Kopf,0)),NA()),NA())</f>
        <v>0</v>
      </c>
      <c r="G32" s="5">
        <f>IFERROR(IF(ISNUMBER(INDEX(Rohdaten!$A$39:$LJ$39,MATCH(G$4,RD_Kopf,0))),INDEX(Rohdaten!$A$39:$LJ$39,MATCH(G$4,RD_Kopf,0)),NA()),NA())</f>
        <v>0</v>
      </c>
      <c r="H32" s="5">
        <f>IFERROR(IF(ISNUMBER(INDEX(Rohdaten!$A$39:$LJ$39,MATCH(H$4,RD_Kopf,0))),INDEX(Rohdaten!$A$39:$LJ$39,MATCH(H$4,RD_Kopf,0)),NA()),NA())</f>
        <v>0</v>
      </c>
      <c r="I32" s="5">
        <f>IFERROR(IF(ISNUMBER(INDEX(Rohdaten!$A$39:$LJ$39,MATCH(I$4,RD_Kopf,0))),INDEX(Rohdaten!$A$39:$LJ$39,MATCH(I$4,RD_Kopf,0)),NA()),NA())</f>
        <v>0</v>
      </c>
      <c r="J32" s="5">
        <f>IFERROR(IF(ISNUMBER(INDEX(Rohdaten!$A$39:$LJ$39,MATCH(J$4,RD_Kopf,0))),INDEX(Rohdaten!$A$39:$LJ$39,MATCH(J$4,RD_Kopf,0)),NA()),NA())</f>
        <v>0</v>
      </c>
      <c r="K32" s="5">
        <f>IFERROR(IF(ISNUMBER(INDEX(Rohdaten!$A$39:$LJ$39,MATCH(K$4,RD_Kopf,0))),INDEX(Rohdaten!$A$39:$LJ$39,MATCH(K$4,RD_Kopf,0)),NA()),NA())</f>
        <v>0</v>
      </c>
      <c r="L32" s="5">
        <f>IFERROR(IF(ISNUMBER(INDEX(Rohdaten!$A$39:$LJ$39,MATCH(L$4,RD_Kopf,0))),INDEX(Rohdaten!$A$39:$LJ$39,MATCH(L$4,RD_Kopf,0)),NA()),NA())</f>
        <v>0</v>
      </c>
      <c r="M32" s="5">
        <f>IFERROR(IF(ISNUMBER(INDEX(Rohdaten!$A$39:$LJ$39,MATCH(M$4,RD_Kopf,0))),INDEX(Rohdaten!$A$39:$LJ$39,MATCH(M$4,RD_Kopf,0)),NA()),NA())</f>
        <v>0</v>
      </c>
      <c r="N32" s="5">
        <f>IFERROR(IF(ISNUMBER(INDEX(Rohdaten!$A$39:$LJ$39,MATCH(N$4,RD_Kopf,0))),INDEX(Rohdaten!$A$39:$LJ$39,MATCH(N$4,RD_Kopf,0)),NA()),NA())</f>
        <v>0</v>
      </c>
      <c r="O32" s="5">
        <f>IFERROR(IF(ISNUMBER(INDEX(Rohdaten!$A$39:$LJ$39,MATCH(O$4,RD_Kopf,0))),INDEX(Rohdaten!$A$39:$LJ$39,MATCH(O$4,RD_Kopf,0)),NA()),NA())</f>
        <v>0</v>
      </c>
      <c r="P32" s="5">
        <f>IFERROR(IF(ISNUMBER(INDEX(Rohdaten!$A$39:$LJ$39,MATCH(P$4,RD_Kopf,0))),INDEX(Rohdaten!$A$39:$LJ$39,MATCH(P$4,RD_Kopf,0)),NA()),NA())</f>
        <v>0</v>
      </c>
      <c r="Q32" s="5">
        <f>IFERROR(IF(ISNUMBER(INDEX(Rohdaten!$A$39:$LJ$39,MATCH(Q$4,RD_Kopf,0))),INDEX(Rohdaten!$A$39:$LJ$39,MATCH(Q$4,RD_Kopf,0)),NA()),NA())</f>
        <v>0</v>
      </c>
      <c r="R32" s="5">
        <f>IFERROR(IF(ISNUMBER(INDEX(Rohdaten!$A$39:$LJ$39,MATCH(R$4,RD_Kopf,0))),INDEX(Rohdaten!$A$39:$LJ$39,MATCH(R$4,RD_Kopf,0)),NA()),NA())</f>
        <v>0</v>
      </c>
      <c r="S32" s="5">
        <f>IFERROR(IF(ISNUMBER(INDEX(Rohdaten!$A$39:$LJ$39,MATCH(S$4,RD_Kopf,0))),INDEX(Rohdaten!$A$39:$LJ$39,MATCH(S$4,RD_Kopf,0)),NA()),NA())</f>
        <v>0</v>
      </c>
      <c r="T32" s="5">
        <f>IFERROR(IF(ISNUMBER(INDEX(Rohdaten!$A$39:$LJ$39,MATCH(T$4,RD_Kopf,0))),INDEX(Rohdaten!$A$39:$LJ$39,MATCH(T$4,RD_Kopf,0)),NA()),NA())</f>
        <v>0</v>
      </c>
      <c r="U32" s="5">
        <f>IFERROR(IF(ISNUMBER(INDEX(Rohdaten!$A$39:$LJ$39,MATCH(U$4,RD_Kopf,0))),INDEX(Rohdaten!$A$39:$LJ$39,MATCH(U$4,RD_Kopf,0)),NA()),NA())</f>
        <v>0</v>
      </c>
      <c r="V32" s="5">
        <f>IFERROR(IF(ISNUMBER(INDEX(Rohdaten!$A$39:$LJ$39,MATCH(V$4,RD_Kopf,0))),INDEX(Rohdaten!$A$39:$LJ$39,MATCH(V$4,RD_Kopf,0)),NA()),NA())</f>
        <v>0</v>
      </c>
      <c r="W32" s="5">
        <f>IFERROR(IF(ISNUMBER(INDEX(Rohdaten!$A$39:$LJ$39,MATCH(W$4,RD_Kopf,0))),INDEX(Rohdaten!$A$39:$LJ$39,MATCH(W$4,RD_Kopf,0)),NA()),NA())</f>
        <v>0</v>
      </c>
      <c r="X32" s="5">
        <f>IFERROR(IF(ISNUMBER(INDEX(Rohdaten!$A$39:$LJ$39,MATCH(X$4,RD_Kopf,0))),INDEX(Rohdaten!$A$39:$LJ$39,MATCH(X$4,RD_Kopf,0)),NA()),NA())</f>
        <v>0</v>
      </c>
      <c r="Y32" s="5">
        <f>IFERROR(IF(ISNUMBER(INDEX(Rohdaten!$A$39:$LJ$39,MATCH(Y$4,RD_Kopf,0))),INDEX(Rohdaten!$A$39:$LJ$39,MATCH(Y$4,RD_Kopf,0)),NA()),NA())</f>
        <v>0</v>
      </c>
      <c r="Z32" s="5">
        <f>IFERROR(IF(ISNUMBER(INDEX(Rohdaten!$A$39:$LJ$39,MATCH(Z$4,RD_Kopf,0))),INDEX(Rohdaten!$A$39:$LJ$39,MATCH(Z$4,RD_Kopf,0)),NA()),NA())</f>
        <v>0</v>
      </c>
      <c r="AA32" s="5">
        <f>IFERROR(IF(ISNUMBER(INDEX(Rohdaten!$A$39:$LJ$39,MATCH(AA$4,RD_Kopf,0))),INDEX(Rohdaten!$A$39:$LJ$39,MATCH(AA$4,RD_Kopf,0)),NA()),NA())</f>
        <v>0</v>
      </c>
      <c r="AB32" s="5">
        <f>IFERROR(IF(ISNUMBER(INDEX(Rohdaten!$A$39:$LJ$39,MATCH(AB$4,RD_Kopf,0))),INDEX(Rohdaten!$A$39:$LJ$39,MATCH(AB$4,RD_Kopf,0)),NA()),NA())</f>
        <v>0</v>
      </c>
      <c r="AC32" s="5">
        <f>IFERROR(IF(ISNUMBER(INDEX(Rohdaten!$A$39:$LJ$39,MATCH(AC$4,RD_Kopf,0))),INDEX(Rohdaten!$A$39:$LJ$39,MATCH(AC$4,RD_Kopf,0)),NA()),NA())</f>
        <v>0</v>
      </c>
      <c r="AD32" s="5">
        <f>IFERROR(IF(ISNUMBER(INDEX(Rohdaten!$A$39:$LJ$39,MATCH(AD$4,RD_Kopf,0))),INDEX(Rohdaten!$A$39:$LJ$39,MATCH(AD$4,RD_Kopf,0)),NA()),NA())</f>
        <v>0</v>
      </c>
    </row>
    <row r="33" spans="1:68">
      <c r="A33" s="11" t="s">
        <v>129</v>
      </c>
      <c r="B33" s="11" t="s">
        <v>129</v>
      </c>
      <c r="C33" s="3" t="str">
        <f>"Rohdaten Z. "&amp;ROW(Rohdaten!$A$63)</f>
        <v>Rohdaten Z. 63</v>
      </c>
      <c r="D33" s="5">
        <f>IFERROR(IF(ISNUMBER(INDEX(Rohdaten!$A$63:$LJ$63,MATCH(D$4,RD_Kopf,0))),INDEX(Rohdaten!$A$63:$LJ$63,MATCH(D$4,RD_Kopf,0)),NA()),NA())</f>
        <v>0</v>
      </c>
      <c r="E33" s="5">
        <f>IFERROR(IF(ISNUMBER(INDEX(Rohdaten!$A$63:$LJ$63,MATCH(E$4,RD_Kopf,0))),INDEX(Rohdaten!$A$63:$LJ$63,MATCH(E$4,RD_Kopf,0)),NA()),NA())</f>
        <v>0</v>
      </c>
      <c r="F33" s="5">
        <f>IFERROR(IF(ISNUMBER(INDEX(Rohdaten!$A$63:$LJ$63,MATCH(F$4,RD_Kopf,0))),INDEX(Rohdaten!$A$63:$LJ$63,MATCH(F$4,RD_Kopf,0)),NA()),NA())</f>
        <v>0</v>
      </c>
      <c r="G33" s="5">
        <f>IFERROR(IF(ISNUMBER(INDEX(Rohdaten!$A$63:$LJ$63,MATCH(G$4,RD_Kopf,0))),INDEX(Rohdaten!$A$63:$LJ$63,MATCH(G$4,RD_Kopf,0)),NA()),NA())</f>
        <v>0</v>
      </c>
      <c r="H33" s="5">
        <f>IFERROR(IF(ISNUMBER(INDEX(Rohdaten!$A$63:$LJ$63,MATCH(H$4,RD_Kopf,0))),INDEX(Rohdaten!$A$63:$LJ$63,MATCH(H$4,RD_Kopf,0)),NA()),NA())</f>
        <v>0</v>
      </c>
      <c r="I33" s="5">
        <f>IFERROR(IF(ISNUMBER(INDEX(Rohdaten!$A$63:$LJ$63,MATCH(I$4,RD_Kopf,0))),INDEX(Rohdaten!$A$63:$LJ$63,MATCH(I$4,RD_Kopf,0)),NA()),NA())</f>
        <v>0</v>
      </c>
      <c r="J33" s="5">
        <f>IFERROR(IF(ISNUMBER(INDEX(Rohdaten!$A$63:$LJ$63,MATCH(J$4,RD_Kopf,0))),INDEX(Rohdaten!$A$63:$LJ$63,MATCH(J$4,RD_Kopf,0)),NA()),NA())</f>
        <v>0</v>
      </c>
      <c r="K33" s="5">
        <f>IFERROR(IF(ISNUMBER(INDEX(Rohdaten!$A$63:$LJ$63,MATCH(K$4,RD_Kopf,0))),INDEX(Rohdaten!$A$63:$LJ$63,MATCH(K$4,RD_Kopf,0)),NA()),NA())</f>
        <v>0</v>
      </c>
      <c r="L33" s="5">
        <f>IFERROR(IF(ISNUMBER(INDEX(Rohdaten!$A$63:$LJ$63,MATCH(L$4,RD_Kopf,0))),INDEX(Rohdaten!$A$63:$LJ$63,MATCH(L$4,RD_Kopf,0)),NA()),NA())</f>
        <v>0</v>
      </c>
      <c r="M33" s="5">
        <f>IFERROR(IF(ISNUMBER(INDEX(Rohdaten!$A$63:$LJ$63,MATCH(M$4,RD_Kopf,0))),INDEX(Rohdaten!$A$63:$LJ$63,MATCH(M$4,RD_Kopf,0)),NA()),NA())</f>
        <v>0</v>
      </c>
      <c r="N33" s="5">
        <f>IFERROR(IF(ISNUMBER(INDEX(Rohdaten!$A$63:$LJ$63,MATCH(N$4,RD_Kopf,0))),INDEX(Rohdaten!$A$63:$LJ$63,MATCH(N$4,RD_Kopf,0)),NA()),NA())</f>
        <v>0</v>
      </c>
      <c r="O33" s="5">
        <f>IFERROR(IF(ISNUMBER(INDEX(Rohdaten!$A$63:$LJ$63,MATCH(O$4,RD_Kopf,0))),INDEX(Rohdaten!$A$63:$LJ$63,MATCH(O$4,RD_Kopf,0)),NA()),NA())</f>
        <v>0</v>
      </c>
      <c r="P33" s="5">
        <f>IFERROR(IF(ISNUMBER(INDEX(Rohdaten!$A$63:$LJ$63,MATCH(P$4,RD_Kopf,0))),INDEX(Rohdaten!$A$63:$LJ$63,MATCH(P$4,RD_Kopf,0)),NA()),NA())</f>
        <v>0</v>
      </c>
      <c r="Q33" s="5">
        <f>IFERROR(IF(ISNUMBER(INDEX(Rohdaten!$A$63:$LJ$63,MATCH(Q$4,RD_Kopf,0))),INDEX(Rohdaten!$A$63:$LJ$63,MATCH(Q$4,RD_Kopf,0)),NA()),NA())</f>
        <v>0</v>
      </c>
      <c r="R33" s="5">
        <f>IFERROR(IF(ISNUMBER(INDEX(Rohdaten!$A$63:$LJ$63,MATCH(R$4,RD_Kopf,0))),INDEX(Rohdaten!$A$63:$LJ$63,MATCH(R$4,RD_Kopf,0)),NA()),NA())</f>
        <v>0</v>
      </c>
      <c r="S33" s="5">
        <f>IFERROR(IF(ISNUMBER(INDEX(Rohdaten!$A$63:$LJ$63,MATCH(S$4,RD_Kopf,0))),INDEX(Rohdaten!$A$63:$LJ$63,MATCH(S$4,RD_Kopf,0)),NA()),NA())</f>
        <v>0</v>
      </c>
      <c r="T33" s="5">
        <f>IFERROR(IF(ISNUMBER(INDEX(Rohdaten!$A$63:$LJ$63,MATCH(T$4,RD_Kopf,0))),INDEX(Rohdaten!$A$63:$LJ$63,MATCH(T$4,RD_Kopf,0)),NA()),NA())</f>
        <v>0</v>
      </c>
      <c r="U33" s="5">
        <f>IFERROR(IF(ISNUMBER(INDEX(Rohdaten!$A$63:$LJ$63,MATCH(U$4,RD_Kopf,0))),INDEX(Rohdaten!$A$63:$LJ$63,MATCH(U$4,RD_Kopf,0)),NA()),NA())</f>
        <v>0</v>
      </c>
      <c r="V33" s="5">
        <f>IFERROR(IF(ISNUMBER(INDEX(Rohdaten!$A$63:$LJ$63,MATCH(V$4,RD_Kopf,0))),INDEX(Rohdaten!$A$63:$LJ$63,MATCH(V$4,RD_Kopf,0)),NA()),NA())</f>
        <v>0</v>
      </c>
      <c r="W33" s="5">
        <f>IFERROR(IF(ISNUMBER(INDEX(Rohdaten!$A$63:$LJ$63,MATCH(W$4,RD_Kopf,0))),INDEX(Rohdaten!$A$63:$LJ$63,MATCH(W$4,RD_Kopf,0)),NA()),NA())</f>
        <v>0</v>
      </c>
      <c r="X33" s="5">
        <f>IFERROR(IF(ISNUMBER(INDEX(Rohdaten!$A$63:$LJ$63,MATCH(X$4,RD_Kopf,0))),INDEX(Rohdaten!$A$63:$LJ$63,MATCH(X$4,RD_Kopf,0)),NA()),NA())</f>
        <v>0</v>
      </c>
      <c r="Y33" s="5">
        <f>IFERROR(IF(ISNUMBER(INDEX(Rohdaten!$A$63:$LJ$63,MATCH(Y$4,RD_Kopf,0))),INDEX(Rohdaten!$A$63:$LJ$63,MATCH(Y$4,RD_Kopf,0)),NA()),NA())</f>
        <v>0</v>
      </c>
      <c r="Z33" s="5">
        <f>IFERROR(IF(ISNUMBER(INDEX(Rohdaten!$A$63:$LJ$63,MATCH(Z$4,RD_Kopf,0))),INDEX(Rohdaten!$A$63:$LJ$63,MATCH(Z$4,RD_Kopf,0)),NA()),NA())</f>
        <v>0</v>
      </c>
      <c r="AA33" s="5">
        <f>IFERROR(IF(ISNUMBER(INDEX(Rohdaten!$A$63:$LJ$63,MATCH(AA$4,RD_Kopf,0))),INDEX(Rohdaten!$A$63:$LJ$63,MATCH(AA$4,RD_Kopf,0)),NA()),NA())</f>
        <v>0</v>
      </c>
      <c r="AB33" s="5">
        <f>IFERROR(IF(ISNUMBER(INDEX(Rohdaten!$A$63:$LJ$63,MATCH(AB$4,RD_Kopf,0))),INDEX(Rohdaten!$A$63:$LJ$63,MATCH(AB$4,RD_Kopf,0)),NA()),NA())</f>
        <v>0</v>
      </c>
      <c r="AC33" s="5">
        <f>IFERROR(IF(ISNUMBER(INDEX(Rohdaten!$A$63:$LJ$63,MATCH(AC$4,RD_Kopf,0))),INDEX(Rohdaten!$A$63:$LJ$63,MATCH(AC$4,RD_Kopf,0)),NA()),NA())</f>
        <v>0</v>
      </c>
      <c r="AD33" s="5">
        <f>IFERROR(IF(ISNUMBER(INDEX(Rohdaten!$A$63:$LJ$63,MATCH(AD$4,RD_Kopf,0))),INDEX(Rohdaten!$A$63:$LJ$63,MATCH(AD$4,RD_Kopf,0)),NA()),NA())</f>
        <v>0</v>
      </c>
    </row>
    <row r="34" spans="1:68">
      <c r="A34" s="11" t="s">
        <v>130</v>
      </c>
      <c r="B34" s="11" t="s">
        <v>130</v>
      </c>
      <c r="C34" s="3" t="str">
        <f>"Rohdaten Z. "&amp;ROW(Rohdaten!$A$114)</f>
        <v>Rohdaten Z. 114</v>
      </c>
      <c r="D34" s="5">
        <f>IFERROR(IF(ISNUMBER(INDEX(Rohdaten!$A$114:$LJ$114,MATCH(D$4,RD_Kopf,0))),INDEX(Rohdaten!$A$114:$LJ$114,MATCH(D$4,RD_Kopf,0)),NA()),NA())</f>
        <v>0</v>
      </c>
      <c r="E34" s="5">
        <f>IFERROR(IF(ISNUMBER(INDEX(Rohdaten!$A$114:$LJ$114,MATCH(E$4,RD_Kopf,0))),INDEX(Rohdaten!$A$114:$LJ$114,MATCH(E$4,RD_Kopf,0)),NA()),NA())</f>
        <v>0</v>
      </c>
      <c r="F34" s="5">
        <f>IFERROR(IF(ISNUMBER(INDEX(Rohdaten!$A$114:$LJ$114,MATCH(F$4,RD_Kopf,0))),INDEX(Rohdaten!$A$114:$LJ$114,MATCH(F$4,RD_Kopf,0)),NA()),NA())</f>
        <v>0</v>
      </c>
      <c r="G34" s="5">
        <f>IFERROR(IF(ISNUMBER(INDEX(Rohdaten!$A$114:$LJ$114,MATCH(G$4,RD_Kopf,0))),INDEX(Rohdaten!$A$114:$LJ$114,MATCH(G$4,RD_Kopf,0)),NA()),NA())</f>
        <v>0</v>
      </c>
      <c r="H34" s="5">
        <f>IFERROR(IF(ISNUMBER(INDEX(Rohdaten!$A$114:$LJ$114,MATCH(H$4,RD_Kopf,0))),INDEX(Rohdaten!$A$114:$LJ$114,MATCH(H$4,RD_Kopf,0)),NA()),NA())</f>
        <v>0</v>
      </c>
      <c r="I34" s="5">
        <f>IFERROR(IF(ISNUMBER(INDEX(Rohdaten!$A$114:$LJ$114,MATCH(I$4,RD_Kopf,0))),INDEX(Rohdaten!$A$114:$LJ$114,MATCH(I$4,RD_Kopf,0)),NA()),NA())</f>
        <v>0</v>
      </c>
      <c r="J34" s="5">
        <f>IFERROR(IF(ISNUMBER(INDEX(Rohdaten!$A$114:$LJ$114,MATCH(J$4,RD_Kopf,0))),INDEX(Rohdaten!$A$114:$LJ$114,MATCH(J$4,RD_Kopf,0)),NA()),NA())</f>
        <v>0</v>
      </c>
      <c r="K34" s="5">
        <f>IFERROR(IF(ISNUMBER(INDEX(Rohdaten!$A$114:$LJ$114,MATCH(K$4,RD_Kopf,0))),INDEX(Rohdaten!$A$114:$LJ$114,MATCH(K$4,RD_Kopf,0)),NA()),NA())</f>
        <v>0</v>
      </c>
      <c r="L34" s="5">
        <f>IFERROR(IF(ISNUMBER(INDEX(Rohdaten!$A$114:$LJ$114,MATCH(L$4,RD_Kopf,0))),INDEX(Rohdaten!$A$114:$LJ$114,MATCH(L$4,RD_Kopf,0)),NA()),NA())</f>
        <v>0</v>
      </c>
      <c r="M34" s="5">
        <f>IFERROR(IF(ISNUMBER(INDEX(Rohdaten!$A$114:$LJ$114,MATCH(M$4,RD_Kopf,0))),INDEX(Rohdaten!$A$114:$LJ$114,MATCH(M$4,RD_Kopf,0)),NA()),NA())</f>
        <v>0</v>
      </c>
      <c r="N34" s="5">
        <f>IFERROR(IF(ISNUMBER(INDEX(Rohdaten!$A$114:$LJ$114,MATCH(N$4,RD_Kopf,0))),INDEX(Rohdaten!$A$114:$LJ$114,MATCH(N$4,RD_Kopf,0)),NA()),NA())</f>
        <v>0</v>
      </c>
      <c r="O34" s="5">
        <f>IFERROR(IF(ISNUMBER(INDEX(Rohdaten!$A$114:$LJ$114,MATCH(O$4,RD_Kopf,0))),INDEX(Rohdaten!$A$114:$LJ$114,MATCH(O$4,RD_Kopf,0)),NA()),NA())</f>
        <v>0</v>
      </c>
      <c r="P34" s="5">
        <f>IFERROR(IF(ISNUMBER(INDEX(Rohdaten!$A$114:$LJ$114,MATCH(P$4,RD_Kopf,0))),INDEX(Rohdaten!$A$114:$LJ$114,MATCH(P$4,RD_Kopf,0)),NA()),NA())</f>
        <v>0</v>
      </c>
      <c r="Q34" s="5">
        <f>IFERROR(IF(ISNUMBER(INDEX(Rohdaten!$A$114:$LJ$114,MATCH(Q$4,RD_Kopf,0))),INDEX(Rohdaten!$A$114:$LJ$114,MATCH(Q$4,RD_Kopf,0)),NA()),NA())</f>
        <v>0</v>
      </c>
      <c r="R34" s="5">
        <f>IFERROR(IF(ISNUMBER(INDEX(Rohdaten!$A$114:$LJ$114,MATCH(R$4,RD_Kopf,0))),INDEX(Rohdaten!$A$114:$LJ$114,MATCH(R$4,RD_Kopf,0)),NA()),NA())</f>
        <v>0</v>
      </c>
      <c r="S34" s="5">
        <f>IFERROR(IF(ISNUMBER(INDEX(Rohdaten!$A$114:$LJ$114,MATCH(S$4,RD_Kopf,0))),INDEX(Rohdaten!$A$114:$LJ$114,MATCH(S$4,RD_Kopf,0)),NA()),NA())</f>
        <v>0</v>
      </c>
      <c r="T34" s="5">
        <f>IFERROR(IF(ISNUMBER(INDEX(Rohdaten!$A$114:$LJ$114,MATCH(T$4,RD_Kopf,0))),INDEX(Rohdaten!$A$114:$LJ$114,MATCH(T$4,RD_Kopf,0)),NA()),NA())</f>
        <v>0</v>
      </c>
      <c r="U34" s="5">
        <f>IFERROR(IF(ISNUMBER(INDEX(Rohdaten!$A$114:$LJ$114,MATCH(U$4,RD_Kopf,0))),INDEX(Rohdaten!$A$114:$LJ$114,MATCH(U$4,RD_Kopf,0)),NA()),NA())</f>
        <v>0</v>
      </c>
      <c r="V34" s="5">
        <f>IFERROR(IF(ISNUMBER(INDEX(Rohdaten!$A$114:$LJ$114,MATCH(V$4,RD_Kopf,0))),INDEX(Rohdaten!$A$114:$LJ$114,MATCH(V$4,RD_Kopf,0)),NA()),NA())</f>
        <v>0</v>
      </c>
      <c r="W34" s="5">
        <f>IFERROR(IF(ISNUMBER(INDEX(Rohdaten!$A$114:$LJ$114,MATCH(W$4,RD_Kopf,0))),INDEX(Rohdaten!$A$114:$LJ$114,MATCH(W$4,RD_Kopf,0)),NA()),NA())</f>
        <v>0</v>
      </c>
      <c r="X34" s="5">
        <f>IFERROR(IF(ISNUMBER(INDEX(Rohdaten!$A$114:$LJ$114,MATCH(X$4,RD_Kopf,0))),INDEX(Rohdaten!$A$114:$LJ$114,MATCH(X$4,RD_Kopf,0)),NA()),NA())</f>
        <v>0</v>
      </c>
      <c r="Y34" s="5">
        <f>IFERROR(IF(ISNUMBER(INDEX(Rohdaten!$A$114:$LJ$114,MATCH(Y$4,RD_Kopf,0))),INDEX(Rohdaten!$A$114:$LJ$114,MATCH(Y$4,RD_Kopf,0)),NA()),NA())</f>
        <v>0</v>
      </c>
      <c r="Z34" s="5">
        <f>IFERROR(IF(ISNUMBER(INDEX(Rohdaten!$A$114:$LJ$114,MATCH(Z$4,RD_Kopf,0))),INDEX(Rohdaten!$A$114:$LJ$114,MATCH(Z$4,RD_Kopf,0)),NA()),NA())</f>
        <v>0</v>
      </c>
      <c r="AA34" s="5">
        <f>IFERROR(IF(ISNUMBER(INDEX(Rohdaten!$A$114:$LJ$114,MATCH(AA$4,RD_Kopf,0))),INDEX(Rohdaten!$A$114:$LJ$114,MATCH(AA$4,RD_Kopf,0)),NA()),NA())</f>
        <v>0</v>
      </c>
      <c r="AB34" s="5">
        <f>IFERROR(IF(ISNUMBER(INDEX(Rohdaten!$A$114:$LJ$114,MATCH(AB$4,RD_Kopf,0))),INDEX(Rohdaten!$A$114:$LJ$114,MATCH(AB$4,RD_Kopf,0)),NA()),NA())</f>
        <v>0</v>
      </c>
      <c r="AC34" s="5">
        <f>IFERROR(IF(ISNUMBER(INDEX(Rohdaten!$A$114:$LJ$114,MATCH(AC$4,RD_Kopf,0))),INDEX(Rohdaten!$A$114:$LJ$114,MATCH(AC$4,RD_Kopf,0)),NA()),NA())</f>
        <v>0</v>
      </c>
      <c r="AD34" s="5">
        <f>IFERROR(IF(ISNUMBER(INDEX(Rohdaten!$A$114:$LJ$114,MATCH(AD$4,RD_Kopf,0))),INDEX(Rohdaten!$A$114:$LJ$114,MATCH(AD$4,RD_Kopf,0)),NA()),NA())</f>
        <v>0</v>
      </c>
    </row>
    <row r="35" spans="1:68">
      <c r="A35" s="11" t="s">
        <v>131</v>
      </c>
      <c r="B35" s="11" t="s">
        <v>131</v>
      </c>
      <c r="C35" s="3" t="str">
        <f>"Rohdaten Z. "&amp;ROW(Rohdaten!$A$147)</f>
        <v>Rohdaten Z. 147</v>
      </c>
      <c r="D35" s="5">
        <f>IFERROR(IF(ISNUMBER(INDEX(Rohdaten!$A$147:$LJ$147,MATCH(D$4,RD_Kopf,0))),INDEX(Rohdaten!$A$147:$LJ$147,MATCH(D$4,RD_Kopf,0)),NA()),NA())</f>
        <v>0</v>
      </c>
      <c r="E35" s="5">
        <f>IFERROR(IF(ISNUMBER(INDEX(Rohdaten!$A$147:$LJ$147,MATCH(E$4,RD_Kopf,0))),INDEX(Rohdaten!$A$147:$LJ$147,MATCH(E$4,RD_Kopf,0)),NA()),NA())</f>
        <v>0</v>
      </c>
      <c r="F35" s="5">
        <f>IFERROR(IF(ISNUMBER(INDEX(Rohdaten!$A$147:$LJ$147,MATCH(F$4,RD_Kopf,0))),INDEX(Rohdaten!$A$147:$LJ$147,MATCH(F$4,RD_Kopf,0)),NA()),NA())</f>
        <v>0</v>
      </c>
      <c r="G35" s="5">
        <f>IFERROR(IF(ISNUMBER(INDEX(Rohdaten!$A$147:$LJ$147,MATCH(G$4,RD_Kopf,0))),INDEX(Rohdaten!$A$147:$LJ$147,MATCH(G$4,RD_Kopf,0)),NA()),NA())</f>
        <v>0</v>
      </c>
      <c r="H35" s="5">
        <f>IFERROR(IF(ISNUMBER(INDEX(Rohdaten!$A$147:$LJ$147,MATCH(H$4,RD_Kopf,0))),INDEX(Rohdaten!$A$147:$LJ$147,MATCH(H$4,RD_Kopf,0)),NA()),NA())</f>
        <v>0</v>
      </c>
      <c r="I35" s="5">
        <f>IFERROR(IF(ISNUMBER(INDEX(Rohdaten!$A$147:$LJ$147,MATCH(I$4,RD_Kopf,0))),INDEX(Rohdaten!$A$147:$LJ$147,MATCH(I$4,RD_Kopf,0)),NA()),NA())</f>
        <v>0</v>
      </c>
      <c r="J35" s="5">
        <f>IFERROR(IF(ISNUMBER(INDEX(Rohdaten!$A$147:$LJ$147,MATCH(J$4,RD_Kopf,0))),INDEX(Rohdaten!$A$147:$LJ$147,MATCH(J$4,RD_Kopf,0)),NA()),NA())</f>
        <v>0</v>
      </c>
      <c r="K35" s="5">
        <f>IFERROR(IF(ISNUMBER(INDEX(Rohdaten!$A$147:$LJ$147,MATCH(K$4,RD_Kopf,0))),INDEX(Rohdaten!$A$147:$LJ$147,MATCH(K$4,RD_Kopf,0)),NA()),NA())</f>
        <v>0</v>
      </c>
      <c r="L35" s="5">
        <f>IFERROR(IF(ISNUMBER(INDEX(Rohdaten!$A$147:$LJ$147,MATCH(L$4,RD_Kopf,0))),INDEX(Rohdaten!$A$147:$LJ$147,MATCH(L$4,RD_Kopf,0)),NA()),NA())</f>
        <v>0</v>
      </c>
      <c r="M35" s="5">
        <f>IFERROR(IF(ISNUMBER(INDEX(Rohdaten!$A$147:$LJ$147,MATCH(M$4,RD_Kopf,0))),INDEX(Rohdaten!$A$147:$LJ$147,MATCH(M$4,RD_Kopf,0)),NA()),NA())</f>
        <v>0</v>
      </c>
      <c r="N35" s="5">
        <f>IFERROR(IF(ISNUMBER(INDEX(Rohdaten!$A$147:$LJ$147,MATCH(N$4,RD_Kopf,0))),INDEX(Rohdaten!$A$147:$LJ$147,MATCH(N$4,RD_Kopf,0)),NA()),NA())</f>
        <v>0</v>
      </c>
      <c r="O35" s="5">
        <f>IFERROR(IF(ISNUMBER(INDEX(Rohdaten!$A$147:$LJ$147,MATCH(O$4,RD_Kopf,0))),INDEX(Rohdaten!$A$147:$LJ$147,MATCH(O$4,RD_Kopf,0)),NA()),NA())</f>
        <v>0</v>
      </c>
      <c r="P35" s="5">
        <f>IFERROR(IF(ISNUMBER(INDEX(Rohdaten!$A$147:$LJ$147,MATCH(P$4,RD_Kopf,0))),INDEX(Rohdaten!$A$147:$LJ$147,MATCH(P$4,RD_Kopf,0)),NA()),NA())</f>
        <v>0</v>
      </c>
      <c r="Q35" s="5">
        <f>IFERROR(IF(ISNUMBER(INDEX(Rohdaten!$A$147:$LJ$147,MATCH(Q$4,RD_Kopf,0))),INDEX(Rohdaten!$A$147:$LJ$147,MATCH(Q$4,RD_Kopf,0)),NA()),NA())</f>
        <v>0</v>
      </c>
      <c r="R35" s="5">
        <f>IFERROR(IF(ISNUMBER(INDEX(Rohdaten!$A$147:$LJ$147,MATCH(R$4,RD_Kopf,0))),INDEX(Rohdaten!$A$147:$LJ$147,MATCH(R$4,RD_Kopf,0)),NA()),NA())</f>
        <v>0</v>
      </c>
      <c r="S35" s="5">
        <f>IFERROR(IF(ISNUMBER(INDEX(Rohdaten!$A$147:$LJ$147,MATCH(S$4,RD_Kopf,0))),INDEX(Rohdaten!$A$147:$LJ$147,MATCH(S$4,RD_Kopf,0)),NA()),NA())</f>
        <v>0</v>
      </c>
      <c r="T35" s="5">
        <f>IFERROR(IF(ISNUMBER(INDEX(Rohdaten!$A$147:$LJ$147,MATCH(T$4,RD_Kopf,0))),INDEX(Rohdaten!$A$147:$LJ$147,MATCH(T$4,RD_Kopf,0)),NA()),NA())</f>
        <v>0</v>
      </c>
      <c r="U35" s="5">
        <f>IFERROR(IF(ISNUMBER(INDEX(Rohdaten!$A$147:$LJ$147,MATCH(U$4,RD_Kopf,0))),INDEX(Rohdaten!$A$147:$LJ$147,MATCH(U$4,RD_Kopf,0)),NA()),NA())</f>
        <v>0</v>
      </c>
      <c r="V35" s="5">
        <f>IFERROR(IF(ISNUMBER(INDEX(Rohdaten!$A$147:$LJ$147,MATCH(V$4,RD_Kopf,0))),INDEX(Rohdaten!$A$147:$LJ$147,MATCH(V$4,RD_Kopf,0)),NA()),NA())</f>
        <v>0</v>
      </c>
      <c r="W35" s="5">
        <f>IFERROR(IF(ISNUMBER(INDEX(Rohdaten!$A$147:$LJ$147,MATCH(W$4,RD_Kopf,0))),INDEX(Rohdaten!$A$147:$LJ$147,MATCH(W$4,RD_Kopf,0)),NA()),NA())</f>
        <v>0</v>
      </c>
      <c r="X35" s="5">
        <f>IFERROR(IF(ISNUMBER(INDEX(Rohdaten!$A$147:$LJ$147,MATCH(X$4,RD_Kopf,0))),INDEX(Rohdaten!$A$147:$LJ$147,MATCH(X$4,RD_Kopf,0)),NA()),NA())</f>
        <v>0</v>
      </c>
      <c r="Y35" s="5">
        <f>IFERROR(IF(ISNUMBER(INDEX(Rohdaten!$A$147:$LJ$147,MATCH(Y$4,RD_Kopf,0))),INDEX(Rohdaten!$A$147:$LJ$147,MATCH(Y$4,RD_Kopf,0)),NA()),NA())</f>
        <v>0</v>
      </c>
      <c r="Z35" s="5">
        <f>IFERROR(IF(ISNUMBER(INDEX(Rohdaten!$A$147:$LJ$147,MATCH(Z$4,RD_Kopf,0))),INDEX(Rohdaten!$A$147:$LJ$147,MATCH(Z$4,RD_Kopf,0)),NA()),NA())</f>
        <v>0</v>
      </c>
      <c r="AA35" s="5">
        <f>IFERROR(IF(ISNUMBER(INDEX(Rohdaten!$A$147:$LJ$147,MATCH(AA$4,RD_Kopf,0))),INDEX(Rohdaten!$A$147:$LJ$147,MATCH(AA$4,RD_Kopf,0)),NA()),NA())</f>
        <v>0</v>
      </c>
      <c r="AB35" s="5">
        <f>IFERROR(IF(ISNUMBER(INDEX(Rohdaten!$A$147:$LJ$147,MATCH(AB$4,RD_Kopf,0))),INDEX(Rohdaten!$A$147:$LJ$147,MATCH(AB$4,RD_Kopf,0)),NA()),NA())</f>
        <v>0</v>
      </c>
      <c r="AC35" s="5">
        <f>IFERROR(IF(ISNUMBER(INDEX(Rohdaten!$A$147:$LJ$147,MATCH(AC$4,RD_Kopf,0))),INDEX(Rohdaten!$A$147:$LJ$147,MATCH(AC$4,RD_Kopf,0)),NA()),NA())</f>
        <v>0</v>
      </c>
      <c r="AD35" s="5">
        <f>IFERROR(IF(ISNUMBER(INDEX(Rohdaten!$A$147:$LJ$147,MATCH(AD$4,RD_Kopf,0))),INDEX(Rohdaten!$A$147:$LJ$147,MATCH(AD$4,RD_Kopf,0)),NA()),NA())</f>
        <v>0</v>
      </c>
    </row>
    <row r="36" spans="1:68">
      <c r="A36" s="11" t="s">
        <v>132</v>
      </c>
      <c r="B36" s="11" t="s">
        <v>133</v>
      </c>
      <c r="C36" s="3" t="s">
        <v>134</v>
      </c>
      <c r="D36" s="5">
        <v>10</v>
      </c>
    </row>
    <row r="37" spans="1:68">
      <c r="A37" s="11" t="s">
        <v>135</v>
      </c>
      <c r="B37" s="11" t="s">
        <v>136</v>
      </c>
      <c r="C37" s="3" t="s">
        <v>137</v>
      </c>
      <c r="D37" s="5">
        <f>IF(MAX($D$38:$AD$38)=0,27,MAX($D$38:$AD$38))</f>
        <v>0</v>
      </c>
    </row>
    <row r="38" spans="1:68">
      <c r="A38" s="11" t="s">
        <v>138</v>
      </c>
      <c r="B38" s="11" t="s">
        <v>139</v>
      </c>
      <c r="C38" s="3" t="s">
        <v>137</v>
      </c>
      <c r="D38" s="5">
        <f>IF(OR(ISNUMBER(D56),ISNUMBER(D54),ISNUMBER(D55)),1,0)</f>
        <v>0</v>
      </c>
      <c r="E38" s="5">
        <f>IF(OR(ISNUMBER(E56),ISNUMBER(E54),ISNUMBER(E55)),2,0)</f>
        <v>0</v>
      </c>
      <c r="F38" s="5">
        <f>IF(OR(ISNUMBER(F56),ISNUMBER(F54),ISNUMBER(F55)),3,0)</f>
        <v>0</v>
      </c>
      <c r="G38" s="5">
        <f>IF(OR(ISNUMBER(G56),ISNUMBER(G54),ISNUMBER(G55)),4,0)</f>
        <v>0</v>
      </c>
      <c r="H38" s="5">
        <f>IF(OR(ISNUMBER(H56),ISNUMBER(H54),ISNUMBER(H55)),5,0)</f>
        <v>0</v>
      </c>
      <c r="I38" s="5">
        <f>IF(OR(ISNUMBER(I56),ISNUMBER(I54),ISNUMBER(I55)),6,0)</f>
        <v>0</v>
      </c>
      <c r="J38" s="5">
        <f>IF(OR(ISNUMBER(J56),ISNUMBER(J54),ISNUMBER(J55)),7,0)</f>
        <v>0</v>
      </c>
      <c r="K38" s="5">
        <f>IF(OR(ISNUMBER(K56),ISNUMBER(K54),ISNUMBER(K55)),8,0)</f>
        <v>0</v>
      </c>
      <c r="L38" s="5">
        <f>IF(OR(ISNUMBER(L56),ISNUMBER(L54),ISNUMBER(L55)),9,0)</f>
        <v>0</v>
      </c>
      <c r="M38" s="5">
        <f>IF(OR(ISNUMBER(M56),ISNUMBER(M54),ISNUMBER(M55)),10,0)</f>
        <v>0</v>
      </c>
      <c r="N38" s="5">
        <f>IF(OR(ISNUMBER(N56),ISNUMBER(N54),ISNUMBER(N55)),11,0)</f>
        <v>0</v>
      </c>
      <c r="O38" s="5">
        <f>IF(OR(ISNUMBER(O56),ISNUMBER(O54),ISNUMBER(O55)),12,0)</f>
        <v>0</v>
      </c>
      <c r="P38" s="5">
        <f>IF(OR(ISNUMBER(P56),ISNUMBER(P54),ISNUMBER(P55)),13,0)</f>
        <v>0</v>
      </c>
      <c r="Q38" s="5">
        <f>IF(OR(ISNUMBER(Q56),ISNUMBER(Q54),ISNUMBER(Q55)),14,0)</f>
        <v>0</v>
      </c>
      <c r="R38" s="5">
        <f>IF(OR(ISNUMBER(R56),ISNUMBER(R54),ISNUMBER(R55)),15,0)</f>
        <v>0</v>
      </c>
      <c r="S38" s="5">
        <f>IF(OR(ISNUMBER(S56),ISNUMBER(S54),ISNUMBER(S55)),16,0)</f>
        <v>0</v>
      </c>
      <c r="T38" s="5">
        <f>IF(OR(ISNUMBER(T56),ISNUMBER(T54),ISNUMBER(T55)),17,0)</f>
        <v>0</v>
      </c>
      <c r="U38" s="5">
        <f>IF(OR(ISNUMBER(U56),ISNUMBER(U54),ISNUMBER(U55)),18,0)</f>
        <v>0</v>
      </c>
      <c r="V38" s="5">
        <f>IF(OR(ISNUMBER(V56),ISNUMBER(V54),ISNUMBER(V55)),19,0)</f>
        <v>0</v>
      </c>
      <c r="W38" s="5">
        <f>IF(OR(ISNUMBER(W56),ISNUMBER(W54),ISNUMBER(W55)),20,0)</f>
        <v>0</v>
      </c>
      <c r="X38" s="5">
        <f>IF(OR(ISNUMBER(X56),ISNUMBER(X54),ISNUMBER(X55)),21,0)</f>
        <v>0</v>
      </c>
      <c r="Y38" s="5">
        <f>IF(OR(ISNUMBER(Y56),ISNUMBER(Y54),ISNUMBER(Y55)),22,0)</f>
        <v>0</v>
      </c>
      <c r="Z38" s="5">
        <f>IF(OR(ISNUMBER(Z56),ISNUMBER(Z54),ISNUMBER(Z55)),23,0)</f>
        <v>0</v>
      </c>
      <c r="AA38" s="5">
        <f>IF(OR(ISNUMBER(AA56),ISNUMBER(AA54),ISNUMBER(AA55)),24,0)</f>
        <v>0</v>
      </c>
      <c r="AB38" s="5">
        <f>IF(OR(ISNUMBER(AB56),ISNUMBER(AB54),ISNUMBER(AB55)),25,0)</f>
        <v>0</v>
      </c>
      <c r="AC38" s="5">
        <f>IF(OR(ISNUMBER(AC56),ISNUMBER(AC54),ISNUMBER(AC55)),26,0)</f>
        <v>0</v>
      </c>
      <c r="AD38" s="5">
        <f>IF(OR(ISNUMBER(AD56),ISNUMBER(AD54),ISNUMBER(AD55)),27,0)</f>
        <v>0</v>
      </c>
    </row>
    <row r="39" spans="1:68">
      <c r="A39" s="11" t="s">
        <v>140</v>
      </c>
      <c r="B39" s="11" t="s">
        <v>141</v>
      </c>
      <c r="C39" s="3" t="s">
        <v>137</v>
      </c>
      <c r="AQ39" s="5">
        <f>IF(AND(0&lt;$D$36,($D$37-$D$36+1)&gt;=1),($D$37-$D$36+1),0)</f>
        <v>0</v>
      </c>
      <c r="AR39" s="5">
        <f>IF(AND(1&lt;$D$36,($D$37-$D$36+2)&gt;=1),($D$37-$D$36+2),0)</f>
        <v>0</v>
      </c>
      <c r="AS39" s="5">
        <f>IF(AND(2&lt;$D$36,($D$37-$D$36+3)&gt;=1),($D$37-$D$36+3),0)</f>
        <v>0</v>
      </c>
      <c r="AT39" s="5">
        <f>IF(AND(3&lt;$D$36,($D$37-$D$36+4)&gt;=1),($D$37-$D$36+4),0)</f>
        <v>0</v>
      </c>
      <c r="AU39" s="5">
        <f>IF(AND(4&lt;$D$36,($D$37-$D$36+5)&gt;=1),($D$37-$D$36+5),0)</f>
        <v>0</v>
      </c>
      <c r="AV39" s="5">
        <f>IF(AND(5&lt;$D$36,($D$37-$D$36+6)&gt;=1),($D$37-$D$36+6),0)</f>
        <v>0</v>
      </c>
      <c r="AW39" s="5">
        <f>IF(AND(6&lt;$D$36,($D$37-$D$36+7)&gt;=1),($D$37-$D$36+7),0)</f>
        <v>0</v>
      </c>
      <c r="AX39" s="5">
        <f>IF(AND(7&lt;$D$36,($D$37-$D$36+8)&gt;=1),($D$37-$D$36+8),0)</f>
        <v>0</v>
      </c>
      <c r="AY39" s="5">
        <f>IF(AND(8&lt;$D$36,($D$37-$D$36+9)&gt;=1),($D$37-$D$36+9),0)</f>
        <v>0</v>
      </c>
      <c r="AZ39" s="5">
        <f>IF(AND(9&lt;$D$36,($D$37-$D$36+10)&gt;=1),($D$37-$D$36+10),0)</f>
        <v>0</v>
      </c>
      <c r="BA39" s="5">
        <f>IF(AND(10&lt;$D$36,($D$37-$D$36+11)&gt;=1),($D$37-$D$36+11),0)</f>
        <v>0</v>
      </c>
      <c r="BB39" s="5">
        <f>IF(AND(11&lt;$D$36,($D$37-$D$36+12)&gt;=1),($D$37-$D$36+12),0)</f>
        <v>0</v>
      </c>
      <c r="BC39" s="5">
        <f>IF(AND(12&lt;$D$36,($D$37-$D$36+13)&gt;=1),($D$37-$D$36+13),0)</f>
        <v>0</v>
      </c>
      <c r="BD39" s="5">
        <f>IF(AND(13&lt;$D$36,($D$37-$D$36+14)&gt;=1),($D$37-$D$36+14),0)</f>
        <v>0</v>
      </c>
      <c r="BE39" s="5">
        <f>IF(AND(14&lt;$D$36,($D$37-$D$36+15)&gt;=1),($D$37-$D$36+15),0)</f>
        <v>0</v>
      </c>
      <c r="BF39" s="5">
        <f>IF(AND(15&lt;$D$36,($D$37-$D$36+16)&gt;=1),($D$37-$D$36+16),0)</f>
        <v>0</v>
      </c>
      <c r="BG39" s="5">
        <f>IF(AND(16&lt;$D$36,($D$37-$D$36+17)&gt;=1),($D$37-$D$36+17),0)</f>
        <v>0</v>
      </c>
      <c r="BH39" s="5">
        <f>IF(AND(17&lt;$D$36,($D$37-$D$36+18)&gt;=1),($D$37-$D$36+18),0)</f>
        <v>0</v>
      </c>
      <c r="BI39" s="5">
        <f>IF(AND(18&lt;$D$36,($D$37-$D$36+19)&gt;=1),($D$37-$D$36+19),0)</f>
        <v>0</v>
      </c>
      <c r="BJ39" s="5">
        <f>IF(AND(19&lt;$D$36,($D$37-$D$36+20)&gt;=1),($D$37-$D$36+20),0)</f>
        <v>0</v>
      </c>
      <c r="BK39" s="5">
        <f>IF(AND(20&lt;$D$36,($D$37-$D$36+21)&gt;=1),($D$37-$D$36+21),0)</f>
        <v>0</v>
      </c>
      <c r="BL39" s="5">
        <f>IF(AND(21&lt;$D$36,($D$37-$D$36+22)&gt;=1),($D$37-$D$36+22),0)</f>
        <v>0</v>
      </c>
      <c r="BM39" s="5">
        <f>IF(AND(22&lt;$D$36,($D$37-$D$36+23)&gt;=1),($D$37-$D$36+23),0)</f>
        <v>0</v>
      </c>
      <c r="BN39" s="5">
        <f>IF(AND(23&lt;$D$36,($D$37-$D$36+24)&gt;=1),($D$37-$D$36+24),0)</f>
        <v>0</v>
      </c>
      <c r="BO39" s="5">
        <f>IF(AND(24&lt;$D$36,($D$37-$D$36+25)&gt;=1),($D$37-$D$36+25),0)</f>
        <v>0</v>
      </c>
      <c r="BP39" s="5">
        <f>IF(AND(25&lt;$D$36,($D$37-$D$36+26)&gt;=1),($D$37-$D$36+26),0)</f>
        <v>0</v>
      </c>
    </row>
    <row r="40" spans="1:68">
      <c r="A40" s="11" t="s">
        <v>142</v>
      </c>
      <c r="B40" s="11" t="s">
        <v>143</v>
      </c>
      <c r="C40" s="3" t="s">
        <v>144</v>
      </c>
      <c r="AQ40" s="11">
        <f>IF(AQ$39=0,"",""&amp;_xlfn.ISOWEEKNUM(INDEX($D$4:$AD$4,AQ$39)-MOD(WEEKDAY(INDEX($D$4:$AD$4,AQ$39),2)+2,7)))</f>
        <v>0</v>
      </c>
      <c r="AR40" s="11">
        <f>IF(AR$39=0,"",""&amp;_xlfn.ISOWEEKNUM(INDEX($D$4:$AD$4,AR$39)-MOD(WEEKDAY(INDEX($D$4:$AD$4,AR$39),2)+2,7)))</f>
        <v>0</v>
      </c>
      <c r="AS40" s="11">
        <f>IF(AS$39=0,"",""&amp;_xlfn.ISOWEEKNUM(INDEX($D$4:$AD$4,AS$39)-MOD(WEEKDAY(INDEX($D$4:$AD$4,AS$39),2)+2,7)))</f>
        <v>0</v>
      </c>
      <c r="AT40" s="11">
        <f>IF(AT$39=0,"",""&amp;_xlfn.ISOWEEKNUM(INDEX($D$4:$AD$4,AT$39)-MOD(WEEKDAY(INDEX($D$4:$AD$4,AT$39),2)+2,7)))</f>
        <v>0</v>
      </c>
      <c r="AU40" s="11">
        <f>IF(AU$39=0,"",""&amp;_xlfn.ISOWEEKNUM(INDEX($D$4:$AD$4,AU$39)-MOD(WEEKDAY(INDEX($D$4:$AD$4,AU$39),2)+2,7)))</f>
        <v>0</v>
      </c>
      <c r="AV40" s="11">
        <f>IF(AV$39=0,"",""&amp;_xlfn.ISOWEEKNUM(INDEX($D$4:$AD$4,AV$39)-MOD(WEEKDAY(INDEX($D$4:$AD$4,AV$39),2)+2,7)))</f>
        <v>0</v>
      </c>
      <c r="AW40" s="11">
        <f>IF(AW$39=0,"",""&amp;_xlfn.ISOWEEKNUM(INDEX($D$4:$AD$4,AW$39)-MOD(WEEKDAY(INDEX($D$4:$AD$4,AW$39),2)+2,7)))</f>
        <v>0</v>
      </c>
      <c r="AX40" s="11">
        <f>IF(AX$39=0,"",""&amp;_xlfn.ISOWEEKNUM(INDEX($D$4:$AD$4,AX$39)-MOD(WEEKDAY(INDEX($D$4:$AD$4,AX$39),2)+2,7)))</f>
        <v>0</v>
      </c>
      <c r="AY40" s="11">
        <f>IF(AY$39=0,"",""&amp;_xlfn.ISOWEEKNUM(INDEX($D$4:$AD$4,AY$39)-MOD(WEEKDAY(INDEX($D$4:$AD$4,AY$39),2)+2,7)))</f>
        <v>0</v>
      </c>
      <c r="AZ40" s="11">
        <f>IF(AZ$39=0,"",""&amp;_xlfn.ISOWEEKNUM(INDEX($D$4:$AD$4,AZ$39)-MOD(WEEKDAY(INDEX($D$4:$AD$4,AZ$39),2)+2,7)))</f>
        <v>0</v>
      </c>
      <c r="BA40" s="11">
        <f>IF(BA$39=0,"",""&amp;_xlfn.ISOWEEKNUM(INDEX($D$4:$AD$4,BA$39)-MOD(WEEKDAY(INDEX($D$4:$AD$4,BA$39),2)+2,7)))</f>
        <v>0</v>
      </c>
      <c r="BB40" s="11">
        <f>IF(BB$39=0,"",""&amp;_xlfn.ISOWEEKNUM(INDEX($D$4:$AD$4,BB$39)-MOD(WEEKDAY(INDEX($D$4:$AD$4,BB$39),2)+2,7)))</f>
        <v>0</v>
      </c>
      <c r="BC40" s="11">
        <f>IF(BC$39=0,"",""&amp;_xlfn.ISOWEEKNUM(INDEX($D$4:$AD$4,BC$39)-MOD(WEEKDAY(INDEX($D$4:$AD$4,BC$39),2)+2,7)))</f>
        <v>0</v>
      </c>
      <c r="BD40" s="11">
        <f>IF(BD$39=0,"",""&amp;_xlfn.ISOWEEKNUM(INDEX($D$4:$AD$4,BD$39)-MOD(WEEKDAY(INDEX($D$4:$AD$4,BD$39),2)+2,7)))</f>
        <v>0</v>
      </c>
      <c r="BE40" s="11">
        <f>IF(BE$39=0,"",""&amp;_xlfn.ISOWEEKNUM(INDEX($D$4:$AD$4,BE$39)-MOD(WEEKDAY(INDEX($D$4:$AD$4,BE$39),2)+2,7)))</f>
        <v>0</v>
      </c>
      <c r="BF40" s="11">
        <f>IF(BF$39=0,"",""&amp;_xlfn.ISOWEEKNUM(INDEX($D$4:$AD$4,BF$39)-MOD(WEEKDAY(INDEX($D$4:$AD$4,BF$39),2)+2,7)))</f>
        <v>0</v>
      </c>
      <c r="BG40" s="11">
        <f>IF(BG$39=0,"",""&amp;_xlfn.ISOWEEKNUM(INDEX($D$4:$AD$4,BG$39)-MOD(WEEKDAY(INDEX($D$4:$AD$4,BG$39),2)+2,7)))</f>
        <v>0</v>
      </c>
      <c r="BH40" s="11">
        <f>IF(BH$39=0,"",""&amp;_xlfn.ISOWEEKNUM(INDEX($D$4:$AD$4,BH$39)-MOD(WEEKDAY(INDEX($D$4:$AD$4,BH$39),2)+2,7)))</f>
        <v>0</v>
      </c>
      <c r="BI40" s="11">
        <f>IF(BI$39=0,"",""&amp;_xlfn.ISOWEEKNUM(INDEX($D$4:$AD$4,BI$39)-MOD(WEEKDAY(INDEX($D$4:$AD$4,BI$39),2)+2,7)))</f>
        <v>0</v>
      </c>
      <c r="BJ40" s="11">
        <f>IF(BJ$39=0,"",""&amp;_xlfn.ISOWEEKNUM(INDEX($D$4:$AD$4,BJ$39)-MOD(WEEKDAY(INDEX($D$4:$AD$4,BJ$39),2)+2,7)))</f>
        <v>0</v>
      </c>
      <c r="BK40" s="11">
        <f>IF(BK$39=0,"",""&amp;_xlfn.ISOWEEKNUM(INDEX($D$4:$AD$4,BK$39)-MOD(WEEKDAY(INDEX($D$4:$AD$4,BK$39),2)+2,7)))</f>
        <v>0</v>
      </c>
      <c r="BL40" s="11">
        <f>IF(BL$39=0,"",""&amp;_xlfn.ISOWEEKNUM(INDEX($D$4:$AD$4,BL$39)-MOD(WEEKDAY(INDEX($D$4:$AD$4,BL$39),2)+2,7)))</f>
        <v>0</v>
      </c>
      <c r="BM40" s="11">
        <f>IF(BM$39=0,"",""&amp;_xlfn.ISOWEEKNUM(INDEX($D$4:$AD$4,BM$39)-MOD(WEEKDAY(INDEX($D$4:$AD$4,BM$39),2)+2,7)))</f>
        <v>0</v>
      </c>
      <c r="BN40" s="11">
        <f>IF(BN$39=0,"",""&amp;_xlfn.ISOWEEKNUM(INDEX($D$4:$AD$4,BN$39)-MOD(WEEKDAY(INDEX($D$4:$AD$4,BN$39),2)+2,7)))</f>
        <v>0</v>
      </c>
      <c r="BO40" s="11">
        <f>IF(BO$39=0,"",""&amp;_xlfn.ISOWEEKNUM(INDEX($D$4:$AD$4,BO$39)-MOD(WEEKDAY(INDEX($D$4:$AD$4,BO$39),2)+2,7)))</f>
        <v>0</v>
      </c>
      <c r="BP40" s="11">
        <f>IF(BP$39=0,"",""&amp;_xlfn.ISOWEEKNUM(INDEX($D$4:$AD$4,BP$39)-MOD(WEEKDAY(INDEX($D$4:$AD$4,BP$39),2)+2,7)))</f>
        <v>0</v>
      </c>
    </row>
    <row r="41" spans="1:68">
      <c r="A41" s="11" t="s">
        <v>145</v>
      </c>
      <c r="B41" s="11" t="s">
        <v>146</v>
      </c>
      <c r="C41" s="3" t="str">
        <f>"Rohdaten Z. "&amp;ROW(Rohdaten!$A$67)</f>
        <v>Rohdaten Z. 67</v>
      </c>
      <c r="D41" s="5">
        <f>IFERROR(IF(ISNUMBER(INDEX(Rohdaten!$A$67:$LJ$67,MATCH(D$4,RD_Kopf,0))),INDEX(Rohdaten!$A$67:$LJ$67,MATCH(D$4,RD_Kopf,0)),NA()),NA())</f>
        <v>0</v>
      </c>
      <c r="E41" s="5">
        <f>IFERROR(IF(ISNUMBER(INDEX(Rohdaten!$A$67:$LJ$67,MATCH(E$4,RD_Kopf,0))),INDEX(Rohdaten!$A$67:$LJ$67,MATCH(E$4,RD_Kopf,0)),NA()),NA())</f>
        <v>0</v>
      </c>
      <c r="F41" s="5">
        <f>IFERROR(IF(ISNUMBER(INDEX(Rohdaten!$A$67:$LJ$67,MATCH(F$4,RD_Kopf,0))),INDEX(Rohdaten!$A$67:$LJ$67,MATCH(F$4,RD_Kopf,0)),NA()),NA())</f>
        <v>0</v>
      </c>
      <c r="G41" s="5">
        <f>IFERROR(IF(ISNUMBER(INDEX(Rohdaten!$A$67:$LJ$67,MATCH(G$4,RD_Kopf,0))),INDEX(Rohdaten!$A$67:$LJ$67,MATCH(G$4,RD_Kopf,0)),NA()),NA())</f>
        <v>0</v>
      </c>
      <c r="H41" s="5">
        <f>IFERROR(IF(ISNUMBER(INDEX(Rohdaten!$A$67:$LJ$67,MATCH(H$4,RD_Kopf,0))),INDEX(Rohdaten!$A$67:$LJ$67,MATCH(H$4,RD_Kopf,0)),NA()),NA())</f>
        <v>0</v>
      </c>
      <c r="I41" s="5">
        <f>IFERROR(IF(ISNUMBER(INDEX(Rohdaten!$A$67:$LJ$67,MATCH(I$4,RD_Kopf,0))),INDEX(Rohdaten!$A$67:$LJ$67,MATCH(I$4,RD_Kopf,0)),NA()),NA())</f>
        <v>0</v>
      </c>
      <c r="J41" s="5">
        <f>IFERROR(IF(ISNUMBER(INDEX(Rohdaten!$A$67:$LJ$67,MATCH(J$4,RD_Kopf,0))),INDEX(Rohdaten!$A$67:$LJ$67,MATCH(J$4,RD_Kopf,0)),NA()),NA())</f>
        <v>0</v>
      </c>
      <c r="K41" s="5">
        <f>IFERROR(IF(ISNUMBER(INDEX(Rohdaten!$A$67:$LJ$67,MATCH(K$4,RD_Kopf,0))),INDEX(Rohdaten!$A$67:$LJ$67,MATCH(K$4,RD_Kopf,0)),NA()),NA())</f>
        <v>0</v>
      </c>
      <c r="L41" s="5">
        <f>IFERROR(IF(ISNUMBER(INDEX(Rohdaten!$A$67:$LJ$67,MATCH(L$4,RD_Kopf,0))),INDEX(Rohdaten!$A$67:$LJ$67,MATCH(L$4,RD_Kopf,0)),NA()),NA())</f>
        <v>0</v>
      </c>
      <c r="M41" s="5">
        <f>IFERROR(IF(ISNUMBER(INDEX(Rohdaten!$A$67:$LJ$67,MATCH(M$4,RD_Kopf,0))),INDEX(Rohdaten!$A$67:$LJ$67,MATCH(M$4,RD_Kopf,0)),NA()),NA())</f>
        <v>0</v>
      </c>
      <c r="N41" s="5">
        <f>IFERROR(IF(ISNUMBER(INDEX(Rohdaten!$A$67:$LJ$67,MATCH(N$4,RD_Kopf,0))),INDEX(Rohdaten!$A$67:$LJ$67,MATCH(N$4,RD_Kopf,0)),NA()),NA())</f>
        <v>0</v>
      </c>
      <c r="O41" s="5">
        <f>IFERROR(IF(ISNUMBER(INDEX(Rohdaten!$A$67:$LJ$67,MATCH(O$4,RD_Kopf,0))),INDEX(Rohdaten!$A$67:$LJ$67,MATCH(O$4,RD_Kopf,0)),NA()),NA())</f>
        <v>0</v>
      </c>
      <c r="P41" s="5">
        <f>IFERROR(IF(ISNUMBER(INDEX(Rohdaten!$A$67:$LJ$67,MATCH(P$4,RD_Kopf,0))),INDEX(Rohdaten!$A$67:$LJ$67,MATCH(P$4,RD_Kopf,0)),NA()),NA())</f>
        <v>0</v>
      </c>
      <c r="Q41" s="5">
        <f>IFERROR(IF(ISNUMBER(INDEX(Rohdaten!$A$67:$LJ$67,MATCH(Q$4,RD_Kopf,0))),INDEX(Rohdaten!$A$67:$LJ$67,MATCH(Q$4,RD_Kopf,0)),NA()),NA())</f>
        <v>0</v>
      </c>
      <c r="R41" s="5">
        <f>IFERROR(IF(ISNUMBER(INDEX(Rohdaten!$A$67:$LJ$67,MATCH(R$4,RD_Kopf,0))),INDEX(Rohdaten!$A$67:$LJ$67,MATCH(R$4,RD_Kopf,0)),NA()),NA())</f>
        <v>0</v>
      </c>
      <c r="S41" s="5">
        <f>IFERROR(IF(ISNUMBER(INDEX(Rohdaten!$A$67:$LJ$67,MATCH(S$4,RD_Kopf,0))),INDEX(Rohdaten!$A$67:$LJ$67,MATCH(S$4,RD_Kopf,0)),NA()),NA())</f>
        <v>0</v>
      </c>
      <c r="T41" s="5">
        <f>IFERROR(IF(ISNUMBER(INDEX(Rohdaten!$A$67:$LJ$67,MATCH(T$4,RD_Kopf,0))),INDEX(Rohdaten!$A$67:$LJ$67,MATCH(T$4,RD_Kopf,0)),NA()),NA())</f>
        <v>0</v>
      </c>
      <c r="U41" s="5">
        <f>IFERROR(IF(ISNUMBER(INDEX(Rohdaten!$A$67:$LJ$67,MATCH(U$4,RD_Kopf,0))),INDEX(Rohdaten!$A$67:$LJ$67,MATCH(U$4,RD_Kopf,0)),NA()),NA())</f>
        <v>0</v>
      </c>
      <c r="V41" s="5">
        <f>IFERROR(IF(ISNUMBER(INDEX(Rohdaten!$A$67:$LJ$67,MATCH(V$4,RD_Kopf,0))),INDEX(Rohdaten!$A$67:$LJ$67,MATCH(V$4,RD_Kopf,0)),NA()),NA())</f>
        <v>0</v>
      </c>
      <c r="W41" s="5">
        <f>IFERROR(IF(ISNUMBER(INDEX(Rohdaten!$A$67:$LJ$67,MATCH(W$4,RD_Kopf,0))),INDEX(Rohdaten!$A$67:$LJ$67,MATCH(W$4,RD_Kopf,0)),NA()),NA())</f>
        <v>0</v>
      </c>
      <c r="X41" s="5">
        <f>IFERROR(IF(ISNUMBER(INDEX(Rohdaten!$A$67:$LJ$67,MATCH(X$4,RD_Kopf,0))),INDEX(Rohdaten!$A$67:$LJ$67,MATCH(X$4,RD_Kopf,0)),NA()),NA())</f>
        <v>0</v>
      </c>
      <c r="Y41" s="5">
        <f>IFERROR(IF(ISNUMBER(INDEX(Rohdaten!$A$67:$LJ$67,MATCH(Y$4,RD_Kopf,0))),INDEX(Rohdaten!$A$67:$LJ$67,MATCH(Y$4,RD_Kopf,0)),NA()),NA())</f>
        <v>0</v>
      </c>
      <c r="Z41" s="5">
        <f>IFERROR(IF(ISNUMBER(INDEX(Rohdaten!$A$67:$LJ$67,MATCH(Z$4,RD_Kopf,0))),INDEX(Rohdaten!$A$67:$LJ$67,MATCH(Z$4,RD_Kopf,0)),NA()),NA())</f>
        <v>0</v>
      </c>
      <c r="AA41" s="5">
        <f>IFERROR(IF(ISNUMBER(INDEX(Rohdaten!$A$67:$LJ$67,MATCH(AA$4,RD_Kopf,0))),INDEX(Rohdaten!$A$67:$LJ$67,MATCH(AA$4,RD_Kopf,0)),NA()),NA())</f>
        <v>0</v>
      </c>
      <c r="AB41" s="5">
        <f>IFERROR(IF(ISNUMBER(INDEX(Rohdaten!$A$67:$LJ$67,MATCH(AB$4,RD_Kopf,0))),INDEX(Rohdaten!$A$67:$LJ$67,MATCH(AB$4,RD_Kopf,0)),NA()),NA())</f>
        <v>0</v>
      </c>
      <c r="AC41" s="5">
        <f>IFERROR(IF(ISNUMBER(INDEX(Rohdaten!$A$67:$LJ$67,MATCH(AC$4,RD_Kopf,0))),INDEX(Rohdaten!$A$67:$LJ$67,MATCH(AC$4,RD_Kopf,0)),NA()),NA())</f>
        <v>0</v>
      </c>
      <c r="AD41" s="5">
        <f>IFERROR(IF(ISNUMBER(INDEX(Rohdaten!$A$67:$LJ$67,MATCH(AD$4,RD_Kopf,0))),INDEX(Rohdaten!$A$67:$LJ$67,MATCH(AD$4,RD_Kopf,0)),NA()),NA())</f>
        <v>0</v>
      </c>
    </row>
    <row r="42" spans="1:68">
      <c r="A42" s="11" t="s">
        <v>147</v>
      </c>
      <c r="B42" s="11" t="s">
        <v>148</v>
      </c>
      <c r="C42" s="3" t="str">
        <f>"Rohdaten Z. "&amp;ROW(Rohdaten!$A$68)</f>
        <v>Rohdaten Z. 68</v>
      </c>
      <c r="D42" s="5">
        <f>IFERROR(IF(ISNUMBER(INDEX(Rohdaten!$A$68:$LJ$68,MATCH(D$4,RD_Kopf,0))),INDEX(Rohdaten!$A$68:$LJ$68,MATCH(D$4,RD_Kopf,0)),NA()),NA())</f>
        <v>0</v>
      </c>
      <c r="E42" s="5">
        <f>IFERROR(IF(ISNUMBER(INDEX(Rohdaten!$A$68:$LJ$68,MATCH(E$4,RD_Kopf,0))),INDEX(Rohdaten!$A$68:$LJ$68,MATCH(E$4,RD_Kopf,0)),NA()),NA())</f>
        <v>0</v>
      </c>
      <c r="F42" s="5">
        <f>IFERROR(IF(ISNUMBER(INDEX(Rohdaten!$A$68:$LJ$68,MATCH(F$4,RD_Kopf,0))),INDEX(Rohdaten!$A$68:$LJ$68,MATCH(F$4,RD_Kopf,0)),NA()),NA())</f>
        <v>0</v>
      </c>
      <c r="G42" s="5">
        <f>IFERROR(IF(ISNUMBER(INDEX(Rohdaten!$A$68:$LJ$68,MATCH(G$4,RD_Kopf,0))),INDEX(Rohdaten!$A$68:$LJ$68,MATCH(G$4,RD_Kopf,0)),NA()),NA())</f>
        <v>0</v>
      </c>
      <c r="H42" s="5">
        <f>IFERROR(IF(ISNUMBER(INDEX(Rohdaten!$A$68:$LJ$68,MATCH(H$4,RD_Kopf,0))),INDEX(Rohdaten!$A$68:$LJ$68,MATCH(H$4,RD_Kopf,0)),NA()),NA())</f>
        <v>0</v>
      </c>
      <c r="I42" s="5">
        <f>IFERROR(IF(ISNUMBER(INDEX(Rohdaten!$A$68:$LJ$68,MATCH(I$4,RD_Kopf,0))),INDEX(Rohdaten!$A$68:$LJ$68,MATCH(I$4,RD_Kopf,0)),NA()),NA())</f>
        <v>0</v>
      </c>
      <c r="J42" s="5">
        <f>IFERROR(IF(ISNUMBER(INDEX(Rohdaten!$A$68:$LJ$68,MATCH(J$4,RD_Kopf,0))),INDEX(Rohdaten!$A$68:$LJ$68,MATCH(J$4,RD_Kopf,0)),NA()),NA())</f>
        <v>0</v>
      </c>
      <c r="K42" s="5">
        <f>IFERROR(IF(ISNUMBER(INDEX(Rohdaten!$A$68:$LJ$68,MATCH(K$4,RD_Kopf,0))),INDEX(Rohdaten!$A$68:$LJ$68,MATCH(K$4,RD_Kopf,0)),NA()),NA())</f>
        <v>0</v>
      </c>
      <c r="L42" s="5">
        <f>IFERROR(IF(ISNUMBER(INDEX(Rohdaten!$A$68:$LJ$68,MATCH(L$4,RD_Kopf,0))),INDEX(Rohdaten!$A$68:$LJ$68,MATCH(L$4,RD_Kopf,0)),NA()),NA())</f>
        <v>0</v>
      </c>
      <c r="M42" s="5">
        <f>IFERROR(IF(ISNUMBER(INDEX(Rohdaten!$A$68:$LJ$68,MATCH(M$4,RD_Kopf,0))),INDEX(Rohdaten!$A$68:$LJ$68,MATCH(M$4,RD_Kopf,0)),NA()),NA())</f>
        <v>0</v>
      </c>
      <c r="N42" s="5">
        <f>IFERROR(IF(ISNUMBER(INDEX(Rohdaten!$A$68:$LJ$68,MATCH(N$4,RD_Kopf,0))),INDEX(Rohdaten!$A$68:$LJ$68,MATCH(N$4,RD_Kopf,0)),NA()),NA())</f>
        <v>0</v>
      </c>
      <c r="O42" s="5">
        <f>IFERROR(IF(ISNUMBER(INDEX(Rohdaten!$A$68:$LJ$68,MATCH(O$4,RD_Kopf,0))),INDEX(Rohdaten!$A$68:$LJ$68,MATCH(O$4,RD_Kopf,0)),NA()),NA())</f>
        <v>0</v>
      </c>
      <c r="P42" s="5">
        <f>IFERROR(IF(ISNUMBER(INDEX(Rohdaten!$A$68:$LJ$68,MATCH(P$4,RD_Kopf,0))),INDEX(Rohdaten!$A$68:$LJ$68,MATCH(P$4,RD_Kopf,0)),NA()),NA())</f>
        <v>0</v>
      </c>
      <c r="Q42" s="5">
        <f>IFERROR(IF(ISNUMBER(INDEX(Rohdaten!$A$68:$LJ$68,MATCH(Q$4,RD_Kopf,0))),INDEX(Rohdaten!$A$68:$LJ$68,MATCH(Q$4,RD_Kopf,0)),NA()),NA())</f>
        <v>0</v>
      </c>
      <c r="R42" s="5">
        <f>IFERROR(IF(ISNUMBER(INDEX(Rohdaten!$A$68:$LJ$68,MATCH(R$4,RD_Kopf,0))),INDEX(Rohdaten!$A$68:$LJ$68,MATCH(R$4,RD_Kopf,0)),NA()),NA())</f>
        <v>0</v>
      </c>
      <c r="S42" s="5">
        <f>IFERROR(IF(ISNUMBER(INDEX(Rohdaten!$A$68:$LJ$68,MATCH(S$4,RD_Kopf,0))),INDEX(Rohdaten!$A$68:$LJ$68,MATCH(S$4,RD_Kopf,0)),NA()),NA())</f>
        <v>0</v>
      </c>
      <c r="T42" s="5">
        <f>IFERROR(IF(ISNUMBER(INDEX(Rohdaten!$A$68:$LJ$68,MATCH(T$4,RD_Kopf,0))),INDEX(Rohdaten!$A$68:$LJ$68,MATCH(T$4,RD_Kopf,0)),NA()),NA())</f>
        <v>0</v>
      </c>
      <c r="U42" s="5">
        <f>IFERROR(IF(ISNUMBER(INDEX(Rohdaten!$A$68:$LJ$68,MATCH(U$4,RD_Kopf,0))),INDEX(Rohdaten!$A$68:$LJ$68,MATCH(U$4,RD_Kopf,0)),NA()),NA())</f>
        <v>0</v>
      </c>
      <c r="V42" s="5">
        <f>IFERROR(IF(ISNUMBER(INDEX(Rohdaten!$A$68:$LJ$68,MATCH(V$4,RD_Kopf,0))),INDEX(Rohdaten!$A$68:$LJ$68,MATCH(V$4,RD_Kopf,0)),NA()),NA())</f>
        <v>0</v>
      </c>
      <c r="W42" s="5">
        <f>IFERROR(IF(ISNUMBER(INDEX(Rohdaten!$A$68:$LJ$68,MATCH(W$4,RD_Kopf,0))),INDEX(Rohdaten!$A$68:$LJ$68,MATCH(W$4,RD_Kopf,0)),NA()),NA())</f>
        <v>0</v>
      </c>
      <c r="X42" s="5">
        <f>IFERROR(IF(ISNUMBER(INDEX(Rohdaten!$A$68:$LJ$68,MATCH(X$4,RD_Kopf,0))),INDEX(Rohdaten!$A$68:$LJ$68,MATCH(X$4,RD_Kopf,0)),NA()),NA())</f>
        <v>0</v>
      </c>
      <c r="Y42" s="5">
        <f>IFERROR(IF(ISNUMBER(INDEX(Rohdaten!$A$68:$LJ$68,MATCH(Y$4,RD_Kopf,0))),INDEX(Rohdaten!$A$68:$LJ$68,MATCH(Y$4,RD_Kopf,0)),NA()),NA())</f>
        <v>0</v>
      </c>
      <c r="Z42" s="5">
        <f>IFERROR(IF(ISNUMBER(INDEX(Rohdaten!$A$68:$LJ$68,MATCH(Z$4,RD_Kopf,0))),INDEX(Rohdaten!$A$68:$LJ$68,MATCH(Z$4,RD_Kopf,0)),NA()),NA())</f>
        <v>0</v>
      </c>
      <c r="AA42" s="5">
        <f>IFERROR(IF(ISNUMBER(INDEX(Rohdaten!$A$68:$LJ$68,MATCH(AA$4,RD_Kopf,0))),INDEX(Rohdaten!$A$68:$LJ$68,MATCH(AA$4,RD_Kopf,0)),NA()),NA())</f>
        <v>0</v>
      </c>
      <c r="AB42" s="5">
        <f>IFERROR(IF(ISNUMBER(INDEX(Rohdaten!$A$68:$LJ$68,MATCH(AB$4,RD_Kopf,0))),INDEX(Rohdaten!$A$68:$LJ$68,MATCH(AB$4,RD_Kopf,0)),NA()),NA())</f>
        <v>0</v>
      </c>
      <c r="AC42" s="5">
        <f>IFERROR(IF(ISNUMBER(INDEX(Rohdaten!$A$68:$LJ$68,MATCH(AC$4,RD_Kopf,0))),INDEX(Rohdaten!$A$68:$LJ$68,MATCH(AC$4,RD_Kopf,0)),NA()),NA())</f>
        <v>0</v>
      </c>
      <c r="AD42" s="5">
        <f>IFERROR(IF(ISNUMBER(INDEX(Rohdaten!$A$68:$LJ$68,MATCH(AD$4,RD_Kopf,0))),INDEX(Rohdaten!$A$68:$LJ$68,MATCH(AD$4,RD_Kopf,0)),NA()),NA())</f>
        <v>0</v>
      </c>
    </row>
    <row r="43" spans="1:68">
      <c r="A43" s="11" t="s">
        <v>149</v>
      </c>
      <c r="B43" s="11" t="s">
        <v>150</v>
      </c>
      <c r="C43" s="3" t="str">
        <f>"Rohdaten Z. "&amp;ROW(Rohdaten!$A$69)</f>
        <v>Rohdaten Z. 69</v>
      </c>
      <c r="D43" s="5">
        <f>IFERROR(IF(ISNUMBER(INDEX(Rohdaten!$A$69:$LJ$69,MATCH(D$4,RD_Kopf,0))),INDEX(Rohdaten!$A$69:$LJ$69,MATCH(D$4,RD_Kopf,0)),NA()),NA())</f>
        <v>0</v>
      </c>
      <c r="E43" s="5">
        <f>IFERROR(IF(ISNUMBER(INDEX(Rohdaten!$A$69:$LJ$69,MATCH(E$4,RD_Kopf,0))),INDEX(Rohdaten!$A$69:$LJ$69,MATCH(E$4,RD_Kopf,0)),NA()),NA())</f>
        <v>0</v>
      </c>
      <c r="F43" s="5">
        <f>IFERROR(IF(ISNUMBER(INDEX(Rohdaten!$A$69:$LJ$69,MATCH(F$4,RD_Kopf,0))),INDEX(Rohdaten!$A$69:$LJ$69,MATCH(F$4,RD_Kopf,0)),NA()),NA())</f>
        <v>0</v>
      </c>
      <c r="G43" s="5">
        <f>IFERROR(IF(ISNUMBER(INDEX(Rohdaten!$A$69:$LJ$69,MATCH(G$4,RD_Kopf,0))),INDEX(Rohdaten!$A$69:$LJ$69,MATCH(G$4,RD_Kopf,0)),NA()),NA())</f>
        <v>0</v>
      </c>
      <c r="H43" s="5">
        <f>IFERROR(IF(ISNUMBER(INDEX(Rohdaten!$A$69:$LJ$69,MATCH(H$4,RD_Kopf,0))),INDEX(Rohdaten!$A$69:$LJ$69,MATCH(H$4,RD_Kopf,0)),NA()),NA())</f>
        <v>0</v>
      </c>
      <c r="I43" s="5">
        <f>IFERROR(IF(ISNUMBER(INDEX(Rohdaten!$A$69:$LJ$69,MATCH(I$4,RD_Kopf,0))),INDEX(Rohdaten!$A$69:$LJ$69,MATCH(I$4,RD_Kopf,0)),NA()),NA())</f>
        <v>0</v>
      </c>
      <c r="J43" s="5">
        <f>IFERROR(IF(ISNUMBER(INDEX(Rohdaten!$A$69:$LJ$69,MATCH(J$4,RD_Kopf,0))),INDEX(Rohdaten!$A$69:$LJ$69,MATCH(J$4,RD_Kopf,0)),NA()),NA())</f>
        <v>0</v>
      </c>
      <c r="K43" s="5">
        <f>IFERROR(IF(ISNUMBER(INDEX(Rohdaten!$A$69:$LJ$69,MATCH(K$4,RD_Kopf,0))),INDEX(Rohdaten!$A$69:$LJ$69,MATCH(K$4,RD_Kopf,0)),NA()),NA())</f>
        <v>0</v>
      </c>
      <c r="L43" s="5">
        <f>IFERROR(IF(ISNUMBER(INDEX(Rohdaten!$A$69:$LJ$69,MATCH(L$4,RD_Kopf,0))),INDEX(Rohdaten!$A$69:$LJ$69,MATCH(L$4,RD_Kopf,0)),NA()),NA())</f>
        <v>0</v>
      </c>
      <c r="M43" s="5">
        <f>IFERROR(IF(ISNUMBER(INDEX(Rohdaten!$A$69:$LJ$69,MATCH(M$4,RD_Kopf,0))),INDEX(Rohdaten!$A$69:$LJ$69,MATCH(M$4,RD_Kopf,0)),NA()),NA())</f>
        <v>0</v>
      </c>
      <c r="N43" s="5">
        <f>IFERROR(IF(ISNUMBER(INDEX(Rohdaten!$A$69:$LJ$69,MATCH(N$4,RD_Kopf,0))),INDEX(Rohdaten!$A$69:$LJ$69,MATCH(N$4,RD_Kopf,0)),NA()),NA())</f>
        <v>0</v>
      </c>
      <c r="O43" s="5">
        <f>IFERROR(IF(ISNUMBER(INDEX(Rohdaten!$A$69:$LJ$69,MATCH(O$4,RD_Kopf,0))),INDEX(Rohdaten!$A$69:$LJ$69,MATCH(O$4,RD_Kopf,0)),NA()),NA())</f>
        <v>0</v>
      </c>
      <c r="P43" s="5">
        <f>IFERROR(IF(ISNUMBER(INDEX(Rohdaten!$A$69:$LJ$69,MATCH(P$4,RD_Kopf,0))),INDEX(Rohdaten!$A$69:$LJ$69,MATCH(P$4,RD_Kopf,0)),NA()),NA())</f>
        <v>0</v>
      </c>
      <c r="Q43" s="5">
        <f>IFERROR(IF(ISNUMBER(INDEX(Rohdaten!$A$69:$LJ$69,MATCH(Q$4,RD_Kopf,0))),INDEX(Rohdaten!$A$69:$LJ$69,MATCH(Q$4,RD_Kopf,0)),NA()),NA())</f>
        <v>0</v>
      </c>
      <c r="R43" s="5">
        <f>IFERROR(IF(ISNUMBER(INDEX(Rohdaten!$A$69:$LJ$69,MATCH(R$4,RD_Kopf,0))),INDEX(Rohdaten!$A$69:$LJ$69,MATCH(R$4,RD_Kopf,0)),NA()),NA())</f>
        <v>0</v>
      </c>
      <c r="S43" s="5">
        <f>IFERROR(IF(ISNUMBER(INDEX(Rohdaten!$A$69:$LJ$69,MATCH(S$4,RD_Kopf,0))),INDEX(Rohdaten!$A$69:$LJ$69,MATCH(S$4,RD_Kopf,0)),NA()),NA())</f>
        <v>0</v>
      </c>
      <c r="T43" s="5">
        <f>IFERROR(IF(ISNUMBER(INDEX(Rohdaten!$A$69:$LJ$69,MATCH(T$4,RD_Kopf,0))),INDEX(Rohdaten!$A$69:$LJ$69,MATCH(T$4,RD_Kopf,0)),NA()),NA())</f>
        <v>0</v>
      </c>
      <c r="U43" s="5">
        <f>IFERROR(IF(ISNUMBER(INDEX(Rohdaten!$A$69:$LJ$69,MATCH(U$4,RD_Kopf,0))),INDEX(Rohdaten!$A$69:$LJ$69,MATCH(U$4,RD_Kopf,0)),NA()),NA())</f>
        <v>0</v>
      </c>
      <c r="V43" s="5">
        <f>IFERROR(IF(ISNUMBER(INDEX(Rohdaten!$A$69:$LJ$69,MATCH(V$4,RD_Kopf,0))),INDEX(Rohdaten!$A$69:$LJ$69,MATCH(V$4,RD_Kopf,0)),NA()),NA())</f>
        <v>0</v>
      </c>
      <c r="W43" s="5">
        <f>IFERROR(IF(ISNUMBER(INDEX(Rohdaten!$A$69:$LJ$69,MATCH(W$4,RD_Kopf,0))),INDEX(Rohdaten!$A$69:$LJ$69,MATCH(W$4,RD_Kopf,0)),NA()),NA())</f>
        <v>0</v>
      </c>
      <c r="X43" s="5">
        <f>IFERROR(IF(ISNUMBER(INDEX(Rohdaten!$A$69:$LJ$69,MATCH(X$4,RD_Kopf,0))),INDEX(Rohdaten!$A$69:$LJ$69,MATCH(X$4,RD_Kopf,0)),NA()),NA())</f>
        <v>0</v>
      </c>
      <c r="Y43" s="5">
        <f>IFERROR(IF(ISNUMBER(INDEX(Rohdaten!$A$69:$LJ$69,MATCH(Y$4,RD_Kopf,0))),INDEX(Rohdaten!$A$69:$LJ$69,MATCH(Y$4,RD_Kopf,0)),NA()),NA())</f>
        <v>0</v>
      </c>
      <c r="Z43" s="5">
        <f>IFERROR(IF(ISNUMBER(INDEX(Rohdaten!$A$69:$LJ$69,MATCH(Z$4,RD_Kopf,0))),INDEX(Rohdaten!$A$69:$LJ$69,MATCH(Z$4,RD_Kopf,0)),NA()),NA())</f>
        <v>0</v>
      </c>
      <c r="AA43" s="5">
        <f>IFERROR(IF(ISNUMBER(INDEX(Rohdaten!$A$69:$LJ$69,MATCH(AA$4,RD_Kopf,0))),INDEX(Rohdaten!$A$69:$LJ$69,MATCH(AA$4,RD_Kopf,0)),NA()),NA())</f>
        <v>0</v>
      </c>
      <c r="AB43" s="5">
        <f>IFERROR(IF(ISNUMBER(INDEX(Rohdaten!$A$69:$LJ$69,MATCH(AB$4,RD_Kopf,0))),INDEX(Rohdaten!$A$69:$LJ$69,MATCH(AB$4,RD_Kopf,0)),NA()),NA())</f>
        <v>0</v>
      </c>
      <c r="AC43" s="5">
        <f>IFERROR(IF(ISNUMBER(INDEX(Rohdaten!$A$69:$LJ$69,MATCH(AC$4,RD_Kopf,0))),INDEX(Rohdaten!$A$69:$LJ$69,MATCH(AC$4,RD_Kopf,0)),NA()),NA())</f>
        <v>0</v>
      </c>
      <c r="AD43" s="5">
        <f>IFERROR(IF(ISNUMBER(INDEX(Rohdaten!$A$69:$LJ$69,MATCH(AD$4,RD_Kopf,0))),INDEX(Rohdaten!$A$69:$LJ$69,MATCH(AD$4,RD_Kopf,0)),NA()),NA())</f>
        <v>0</v>
      </c>
    </row>
    <row r="44" spans="1:68">
      <c r="A44" s="11" t="s">
        <v>151</v>
      </c>
      <c r="B44" s="11" t="s">
        <v>152</v>
      </c>
      <c r="C44" s="3" t="str">
        <f>"Rohdaten Z. "&amp;ROW(Rohdaten!$A$70)</f>
        <v>Rohdaten Z. 70</v>
      </c>
      <c r="D44" s="5">
        <f>IFERROR(IF(ISNUMBER(INDEX(Rohdaten!$A$70:$LJ$70,MATCH(D$4,RD_Kopf,0))),INDEX(Rohdaten!$A$70:$LJ$70,MATCH(D$4,RD_Kopf,0)),NA()),NA())</f>
        <v>0</v>
      </c>
      <c r="E44" s="5">
        <f>IFERROR(IF(ISNUMBER(INDEX(Rohdaten!$A$70:$LJ$70,MATCH(E$4,RD_Kopf,0))),INDEX(Rohdaten!$A$70:$LJ$70,MATCH(E$4,RD_Kopf,0)),NA()),NA())</f>
        <v>0</v>
      </c>
      <c r="F44" s="5">
        <f>IFERROR(IF(ISNUMBER(INDEX(Rohdaten!$A$70:$LJ$70,MATCH(F$4,RD_Kopf,0))),INDEX(Rohdaten!$A$70:$LJ$70,MATCH(F$4,RD_Kopf,0)),NA()),NA())</f>
        <v>0</v>
      </c>
      <c r="G44" s="5">
        <f>IFERROR(IF(ISNUMBER(INDEX(Rohdaten!$A$70:$LJ$70,MATCH(G$4,RD_Kopf,0))),INDEX(Rohdaten!$A$70:$LJ$70,MATCH(G$4,RD_Kopf,0)),NA()),NA())</f>
        <v>0</v>
      </c>
      <c r="H44" s="5">
        <f>IFERROR(IF(ISNUMBER(INDEX(Rohdaten!$A$70:$LJ$70,MATCH(H$4,RD_Kopf,0))),INDEX(Rohdaten!$A$70:$LJ$70,MATCH(H$4,RD_Kopf,0)),NA()),NA())</f>
        <v>0</v>
      </c>
      <c r="I44" s="5">
        <f>IFERROR(IF(ISNUMBER(INDEX(Rohdaten!$A$70:$LJ$70,MATCH(I$4,RD_Kopf,0))),INDEX(Rohdaten!$A$70:$LJ$70,MATCH(I$4,RD_Kopf,0)),NA()),NA())</f>
        <v>0</v>
      </c>
      <c r="J44" s="5">
        <f>IFERROR(IF(ISNUMBER(INDEX(Rohdaten!$A$70:$LJ$70,MATCH(J$4,RD_Kopf,0))),INDEX(Rohdaten!$A$70:$LJ$70,MATCH(J$4,RD_Kopf,0)),NA()),NA())</f>
        <v>0</v>
      </c>
      <c r="K44" s="5">
        <f>IFERROR(IF(ISNUMBER(INDEX(Rohdaten!$A$70:$LJ$70,MATCH(K$4,RD_Kopf,0))),INDEX(Rohdaten!$A$70:$LJ$70,MATCH(K$4,RD_Kopf,0)),NA()),NA())</f>
        <v>0</v>
      </c>
      <c r="L44" s="5">
        <f>IFERROR(IF(ISNUMBER(INDEX(Rohdaten!$A$70:$LJ$70,MATCH(L$4,RD_Kopf,0))),INDEX(Rohdaten!$A$70:$LJ$70,MATCH(L$4,RD_Kopf,0)),NA()),NA())</f>
        <v>0</v>
      </c>
      <c r="M44" s="5">
        <f>IFERROR(IF(ISNUMBER(INDEX(Rohdaten!$A$70:$LJ$70,MATCH(M$4,RD_Kopf,0))),INDEX(Rohdaten!$A$70:$LJ$70,MATCH(M$4,RD_Kopf,0)),NA()),NA())</f>
        <v>0</v>
      </c>
      <c r="N44" s="5">
        <f>IFERROR(IF(ISNUMBER(INDEX(Rohdaten!$A$70:$LJ$70,MATCH(N$4,RD_Kopf,0))),INDEX(Rohdaten!$A$70:$LJ$70,MATCH(N$4,RD_Kopf,0)),NA()),NA())</f>
        <v>0</v>
      </c>
      <c r="O44" s="5">
        <f>IFERROR(IF(ISNUMBER(INDEX(Rohdaten!$A$70:$LJ$70,MATCH(O$4,RD_Kopf,0))),INDEX(Rohdaten!$A$70:$LJ$70,MATCH(O$4,RD_Kopf,0)),NA()),NA())</f>
        <v>0</v>
      </c>
      <c r="P44" s="5">
        <f>IFERROR(IF(ISNUMBER(INDEX(Rohdaten!$A$70:$LJ$70,MATCH(P$4,RD_Kopf,0))),INDEX(Rohdaten!$A$70:$LJ$70,MATCH(P$4,RD_Kopf,0)),NA()),NA())</f>
        <v>0</v>
      </c>
      <c r="Q44" s="5">
        <f>IFERROR(IF(ISNUMBER(INDEX(Rohdaten!$A$70:$LJ$70,MATCH(Q$4,RD_Kopf,0))),INDEX(Rohdaten!$A$70:$LJ$70,MATCH(Q$4,RD_Kopf,0)),NA()),NA())</f>
        <v>0</v>
      </c>
      <c r="R44" s="5">
        <f>IFERROR(IF(ISNUMBER(INDEX(Rohdaten!$A$70:$LJ$70,MATCH(R$4,RD_Kopf,0))),INDEX(Rohdaten!$A$70:$LJ$70,MATCH(R$4,RD_Kopf,0)),NA()),NA())</f>
        <v>0</v>
      </c>
      <c r="S44" s="5">
        <f>IFERROR(IF(ISNUMBER(INDEX(Rohdaten!$A$70:$LJ$70,MATCH(S$4,RD_Kopf,0))),INDEX(Rohdaten!$A$70:$LJ$70,MATCH(S$4,RD_Kopf,0)),NA()),NA())</f>
        <v>0</v>
      </c>
      <c r="T44" s="5">
        <f>IFERROR(IF(ISNUMBER(INDEX(Rohdaten!$A$70:$LJ$70,MATCH(T$4,RD_Kopf,0))),INDEX(Rohdaten!$A$70:$LJ$70,MATCH(T$4,RD_Kopf,0)),NA()),NA())</f>
        <v>0</v>
      </c>
      <c r="U44" s="5">
        <f>IFERROR(IF(ISNUMBER(INDEX(Rohdaten!$A$70:$LJ$70,MATCH(U$4,RD_Kopf,0))),INDEX(Rohdaten!$A$70:$LJ$70,MATCH(U$4,RD_Kopf,0)),NA()),NA())</f>
        <v>0</v>
      </c>
      <c r="V44" s="5">
        <f>IFERROR(IF(ISNUMBER(INDEX(Rohdaten!$A$70:$LJ$70,MATCH(V$4,RD_Kopf,0))),INDEX(Rohdaten!$A$70:$LJ$70,MATCH(V$4,RD_Kopf,0)),NA()),NA())</f>
        <v>0</v>
      </c>
      <c r="W44" s="5">
        <f>IFERROR(IF(ISNUMBER(INDEX(Rohdaten!$A$70:$LJ$70,MATCH(W$4,RD_Kopf,0))),INDEX(Rohdaten!$A$70:$LJ$70,MATCH(W$4,RD_Kopf,0)),NA()),NA())</f>
        <v>0</v>
      </c>
      <c r="X44" s="5">
        <f>IFERROR(IF(ISNUMBER(INDEX(Rohdaten!$A$70:$LJ$70,MATCH(X$4,RD_Kopf,0))),INDEX(Rohdaten!$A$70:$LJ$70,MATCH(X$4,RD_Kopf,0)),NA()),NA())</f>
        <v>0</v>
      </c>
      <c r="Y44" s="5">
        <f>IFERROR(IF(ISNUMBER(INDEX(Rohdaten!$A$70:$LJ$70,MATCH(Y$4,RD_Kopf,0))),INDEX(Rohdaten!$A$70:$LJ$70,MATCH(Y$4,RD_Kopf,0)),NA()),NA())</f>
        <v>0</v>
      </c>
      <c r="Z44" s="5">
        <f>IFERROR(IF(ISNUMBER(INDEX(Rohdaten!$A$70:$LJ$70,MATCH(Z$4,RD_Kopf,0))),INDEX(Rohdaten!$A$70:$LJ$70,MATCH(Z$4,RD_Kopf,0)),NA()),NA())</f>
        <v>0</v>
      </c>
      <c r="AA44" s="5">
        <f>IFERROR(IF(ISNUMBER(INDEX(Rohdaten!$A$70:$LJ$70,MATCH(AA$4,RD_Kopf,0))),INDEX(Rohdaten!$A$70:$LJ$70,MATCH(AA$4,RD_Kopf,0)),NA()),NA())</f>
        <v>0</v>
      </c>
      <c r="AB44" s="5">
        <f>IFERROR(IF(ISNUMBER(INDEX(Rohdaten!$A$70:$LJ$70,MATCH(AB$4,RD_Kopf,0))),INDEX(Rohdaten!$A$70:$LJ$70,MATCH(AB$4,RD_Kopf,0)),NA()),NA())</f>
        <v>0</v>
      </c>
      <c r="AC44" s="5">
        <f>IFERROR(IF(ISNUMBER(INDEX(Rohdaten!$A$70:$LJ$70,MATCH(AC$4,RD_Kopf,0))),INDEX(Rohdaten!$A$70:$LJ$70,MATCH(AC$4,RD_Kopf,0)),NA()),NA())</f>
        <v>0</v>
      </c>
      <c r="AD44" s="5">
        <f>IFERROR(IF(ISNUMBER(INDEX(Rohdaten!$A$70:$LJ$70,MATCH(AD$4,RD_Kopf,0))),INDEX(Rohdaten!$A$70:$LJ$70,MATCH(AD$4,RD_Kopf,0)),NA()),NA())</f>
        <v>0</v>
      </c>
    </row>
    <row r="45" spans="1:68">
      <c r="A45" s="11" t="s">
        <v>153</v>
      </c>
      <c r="B45" s="11" t="s">
        <v>154</v>
      </c>
      <c r="C45" s="3" t="str">
        <f>"Rohdaten Z. "&amp;ROW(Rohdaten!$A$72)</f>
        <v>Rohdaten Z. 72</v>
      </c>
      <c r="D45" s="5">
        <f>IFERROR(IF(ISNUMBER(INDEX(Rohdaten!$A$72:$LJ$72,MATCH(D$4,RD_Kopf,0))),INDEX(Rohdaten!$A$72:$LJ$72,MATCH(D$4,RD_Kopf,0)),NA()),NA())</f>
        <v>0</v>
      </c>
      <c r="E45" s="5">
        <f>IFERROR(IF(ISNUMBER(INDEX(Rohdaten!$A$72:$LJ$72,MATCH(E$4,RD_Kopf,0))),INDEX(Rohdaten!$A$72:$LJ$72,MATCH(E$4,RD_Kopf,0)),NA()),NA())</f>
        <v>0</v>
      </c>
      <c r="F45" s="5">
        <f>IFERROR(IF(ISNUMBER(INDEX(Rohdaten!$A$72:$LJ$72,MATCH(F$4,RD_Kopf,0))),INDEX(Rohdaten!$A$72:$LJ$72,MATCH(F$4,RD_Kopf,0)),NA()),NA())</f>
        <v>0</v>
      </c>
      <c r="G45" s="5">
        <f>IFERROR(IF(ISNUMBER(INDEX(Rohdaten!$A$72:$LJ$72,MATCH(G$4,RD_Kopf,0))),INDEX(Rohdaten!$A$72:$LJ$72,MATCH(G$4,RD_Kopf,0)),NA()),NA())</f>
        <v>0</v>
      </c>
      <c r="H45" s="5">
        <f>IFERROR(IF(ISNUMBER(INDEX(Rohdaten!$A$72:$LJ$72,MATCH(H$4,RD_Kopf,0))),INDEX(Rohdaten!$A$72:$LJ$72,MATCH(H$4,RD_Kopf,0)),NA()),NA())</f>
        <v>0</v>
      </c>
      <c r="I45" s="5">
        <f>IFERROR(IF(ISNUMBER(INDEX(Rohdaten!$A$72:$LJ$72,MATCH(I$4,RD_Kopf,0))),INDEX(Rohdaten!$A$72:$LJ$72,MATCH(I$4,RD_Kopf,0)),NA()),NA())</f>
        <v>0</v>
      </c>
      <c r="J45" s="5">
        <f>IFERROR(IF(ISNUMBER(INDEX(Rohdaten!$A$72:$LJ$72,MATCH(J$4,RD_Kopf,0))),INDEX(Rohdaten!$A$72:$LJ$72,MATCH(J$4,RD_Kopf,0)),NA()),NA())</f>
        <v>0</v>
      </c>
      <c r="K45" s="5">
        <f>IFERROR(IF(ISNUMBER(INDEX(Rohdaten!$A$72:$LJ$72,MATCH(K$4,RD_Kopf,0))),INDEX(Rohdaten!$A$72:$LJ$72,MATCH(K$4,RD_Kopf,0)),NA()),NA())</f>
        <v>0</v>
      </c>
      <c r="L45" s="5">
        <f>IFERROR(IF(ISNUMBER(INDEX(Rohdaten!$A$72:$LJ$72,MATCH(L$4,RD_Kopf,0))),INDEX(Rohdaten!$A$72:$LJ$72,MATCH(L$4,RD_Kopf,0)),NA()),NA())</f>
        <v>0</v>
      </c>
      <c r="M45" s="5">
        <f>IFERROR(IF(ISNUMBER(INDEX(Rohdaten!$A$72:$LJ$72,MATCH(M$4,RD_Kopf,0))),INDEX(Rohdaten!$A$72:$LJ$72,MATCH(M$4,RD_Kopf,0)),NA()),NA())</f>
        <v>0</v>
      </c>
      <c r="N45" s="5">
        <f>IFERROR(IF(ISNUMBER(INDEX(Rohdaten!$A$72:$LJ$72,MATCH(N$4,RD_Kopf,0))),INDEX(Rohdaten!$A$72:$LJ$72,MATCH(N$4,RD_Kopf,0)),NA()),NA())</f>
        <v>0</v>
      </c>
      <c r="O45" s="5">
        <f>IFERROR(IF(ISNUMBER(INDEX(Rohdaten!$A$72:$LJ$72,MATCH(O$4,RD_Kopf,0))),INDEX(Rohdaten!$A$72:$LJ$72,MATCH(O$4,RD_Kopf,0)),NA()),NA())</f>
        <v>0</v>
      </c>
      <c r="P45" s="5">
        <f>IFERROR(IF(ISNUMBER(INDEX(Rohdaten!$A$72:$LJ$72,MATCH(P$4,RD_Kopf,0))),INDEX(Rohdaten!$A$72:$LJ$72,MATCH(P$4,RD_Kopf,0)),NA()),NA())</f>
        <v>0</v>
      </c>
      <c r="Q45" s="5">
        <f>IFERROR(IF(ISNUMBER(INDEX(Rohdaten!$A$72:$LJ$72,MATCH(Q$4,RD_Kopf,0))),INDEX(Rohdaten!$A$72:$LJ$72,MATCH(Q$4,RD_Kopf,0)),NA()),NA())</f>
        <v>0</v>
      </c>
      <c r="R45" s="5">
        <f>IFERROR(IF(ISNUMBER(INDEX(Rohdaten!$A$72:$LJ$72,MATCH(R$4,RD_Kopf,0))),INDEX(Rohdaten!$A$72:$LJ$72,MATCH(R$4,RD_Kopf,0)),NA()),NA())</f>
        <v>0</v>
      </c>
      <c r="S45" s="5">
        <f>IFERROR(IF(ISNUMBER(INDEX(Rohdaten!$A$72:$LJ$72,MATCH(S$4,RD_Kopf,0))),INDEX(Rohdaten!$A$72:$LJ$72,MATCH(S$4,RD_Kopf,0)),NA()),NA())</f>
        <v>0</v>
      </c>
      <c r="T45" s="5">
        <f>IFERROR(IF(ISNUMBER(INDEX(Rohdaten!$A$72:$LJ$72,MATCH(T$4,RD_Kopf,0))),INDEX(Rohdaten!$A$72:$LJ$72,MATCH(T$4,RD_Kopf,0)),NA()),NA())</f>
        <v>0</v>
      </c>
      <c r="U45" s="5">
        <f>IFERROR(IF(ISNUMBER(INDEX(Rohdaten!$A$72:$LJ$72,MATCH(U$4,RD_Kopf,0))),INDEX(Rohdaten!$A$72:$LJ$72,MATCH(U$4,RD_Kopf,0)),NA()),NA())</f>
        <v>0</v>
      </c>
      <c r="V45" s="5">
        <f>IFERROR(IF(ISNUMBER(INDEX(Rohdaten!$A$72:$LJ$72,MATCH(V$4,RD_Kopf,0))),INDEX(Rohdaten!$A$72:$LJ$72,MATCH(V$4,RD_Kopf,0)),NA()),NA())</f>
        <v>0</v>
      </c>
      <c r="W45" s="5">
        <f>IFERROR(IF(ISNUMBER(INDEX(Rohdaten!$A$72:$LJ$72,MATCH(W$4,RD_Kopf,0))),INDEX(Rohdaten!$A$72:$LJ$72,MATCH(W$4,RD_Kopf,0)),NA()),NA())</f>
        <v>0</v>
      </c>
      <c r="X45" s="5">
        <f>IFERROR(IF(ISNUMBER(INDEX(Rohdaten!$A$72:$LJ$72,MATCH(X$4,RD_Kopf,0))),INDEX(Rohdaten!$A$72:$LJ$72,MATCH(X$4,RD_Kopf,0)),NA()),NA())</f>
        <v>0</v>
      </c>
      <c r="Y45" s="5">
        <f>IFERROR(IF(ISNUMBER(INDEX(Rohdaten!$A$72:$LJ$72,MATCH(Y$4,RD_Kopf,0))),INDEX(Rohdaten!$A$72:$LJ$72,MATCH(Y$4,RD_Kopf,0)),NA()),NA())</f>
        <v>0</v>
      </c>
      <c r="Z45" s="5">
        <f>IFERROR(IF(ISNUMBER(INDEX(Rohdaten!$A$72:$LJ$72,MATCH(Z$4,RD_Kopf,0))),INDEX(Rohdaten!$A$72:$LJ$72,MATCH(Z$4,RD_Kopf,0)),NA()),NA())</f>
        <v>0</v>
      </c>
      <c r="AA45" s="5">
        <f>IFERROR(IF(ISNUMBER(INDEX(Rohdaten!$A$72:$LJ$72,MATCH(AA$4,RD_Kopf,0))),INDEX(Rohdaten!$A$72:$LJ$72,MATCH(AA$4,RD_Kopf,0)),NA()),NA())</f>
        <v>0</v>
      </c>
      <c r="AB45" s="5">
        <f>IFERROR(IF(ISNUMBER(INDEX(Rohdaten!$A$72:$LJ$72,MATCH(AB$4,RD_Kopf,0))),INDEX(Rohdaten!$A$72:$LJ$72,MATCH(AB$4,RD_Kopf,0)),NA()),NA())</f>
        <v>0</v>
      </c>
      <c r="AC45" s="5">
        <f>IFERROR(IF(ISNUMBER(INDEX(Rohdaten!$A$72:$LJ$72,MATCH(AC$4,RD_Kopf,0))),INDEX(Rohdaten!$A$72:$LJ$72,MATCH(AC$4,RD_Kopf,0)),NA()),NA())</f>
        <v>0</v>
      </c>
      <c r="AD45" s="5">
        <f>IFERROR(IF(ISNUMBER(INDEX(Rohdaten!$A$72:$LJ$72,MATCH(AD$4,RD_Kopf,0))),INDEX(Rohdaten!$A$72:$LJ$72,MATCH(AD$4,RD_Kopf,0)),NA()),NA())</f>
        <v>0</v>
      </c>
    </row>
    <row r="46" spans="1:68">
      <c r="A46" s="11" t="s">
        <v>155</v>
      </c>
      <c r="B46" s="11" t="s">
        <v>156</v>
      </c>
      <c r="C46" s="3" t="str">
        <f>"Rohdaten Z. "&amp;ROW(Rohdaten!$A$76)</f>
        <v>Rohdaten Z. 76</v>
      </c>
      <c r="D46" s="5">
        <f>IFERROR(IF(ISNUMBER(INDEX(Rohdaten!$A$76:$LJ$76,MATCH(D$4,RD_Kopf,0))),INDEX(Rohdaten!$A$76:$LJ$76,MATCH(D$4,RD_Kopf,0)),NA()),NA())</f>
        <v>0</v>
      </c>
      <c r="E46" s="5">
        <f>IFERROR(IF(ISNUMBER(INDEX(Rohdaten!$A$76:$LJ$76,MATCH(E$4,RD_Kopf,0))),INDEX(Rohdaten!$A$76:$LJ$76,MATCH(E$4,RD_Kopf,0)),NA()),NA())</f>
        <v>0</v>
      </c>
      <c r="F46" s="5">
        <f>IFERROR(IF(ISNUMBER(INDEX(Rohdaten!$A$76:$LJ$76,MATCH(F$4,RD_Kopf,0))),INDEX(Rohdaten!$A$76:$LJ$76,MATCH(F$4,RD_Kopf,0)),NA()),NA())</f>
        <v>0</v>
      </c>
      <c r="G46" s="5">
        <f>IFERROR(IF(ISNUMBER(INDEX(Rohdaten!$A$76:$LJ$76,MATCH(G$4,RD_Kopf,0))),INDEX(Rohdaten!$A$76:$LJ$76,MATCH(G$4,RD_Kopf,0)),NA()),NA())</f>
        <v>0</v>
      </c>
      <c r="H46" s="5">
        <f>IFERROR(IF(ISNUMBER(INDEX(Rohdaten!$A$76:$LJ$76,MATCH(H$4,RD_Kopf,0))),INDEX(Rohdaten!$A$76:$LJ$76,MATCH(H$4,RD_Kopf,0)),NA()),NA())</f>
        <v>0</v>
      </c>
      <c r="I46" s="5">
        <f>IFERROR(IF(ISNUMBER(INDEX(Rohdaten!$A$76:$LJ$76,MATCH(I$4,RD_Kopf,0))),INDEX(Rohdaten!$A$76:$LJ$76,MATCH(I$4,RD_Kopf,0)),NA()),NA())</f>
        <v>0</v>
      </c>
      <c r="J46" s="5">
        <f>IFERROR(IF(ISNUMBER(INDEX(Rohdaten!$A$76:$LJ$76,MATCH(J$4,RD_Kopf,0))),INDEX(Rohdaten!$A$76:$LJ$76,MATCH(J$4,RD_Kopf,0)),NA()),NA())</f>
        <v>0</v>
      </c>
      <c r="K46" s="5">
        <f>IFERROR(IF(ISNUMBER(INDEX(Rohdaten!$A$76:$LJ$76,MATCH(K$4,RD_Kopf,0))),INDEX(Rohdaten!$A$76:$LJ$76,MATCH(K$4,RD_Kopf,0)),NA()),NA())</f>
        <v>0</v>
      </c>
      <c r="L46" s="5">
        <f>IFERROR(IF(ISNUMBER(INDEX(Rohdaten!$A$76:$LJ$76,MATCH(L$4,RD_Kopf,0))),INDEX(Rohdaten!$A$76:$LJ$76,MATCH(L$4,RD_Kopf,0)),NA()),NA())</f>
        <v>0</v>
      </c>
      <c r="M46" s="5">
        <f>IFERROR(IF(ISNUMBER(INDEX(Rohdaten!$A$76:$LJ$76,MATCH(M$4,RD_Kopf,0))),INDEX(Rohdaten!$A$76:$LJ$76,MATCH(M$4,RD_Kopf,0)),NA()),NA())</f>
        <v>0</v>
      </c>
      <c r="N46" s="5">
        <f>IFERROR(IF(ISNUMBER(INDEX(Rohdaten!$A$76:$LJ$76,MATCH(N$4,RD_Kopf,0))),INDEX(Rohdaten!$A$76:$LJ$76,MATCH(N$4,RD_Kopf,0)),NA()),NA())</f>
        <v>0</v>
      </c>
      <c r="O46" s="5">
        <f>IFERROR(IF(ISNUMBER(INDEX(Rohdaten!$A$76:$LJ$76,MATCH(O$4,RD_Kopf,0))),INDEX(Rohdaten!$A$76:$LJ$76,MATCH(O$4,RD_Kopf,0)),NA()),NA())</f>
        <v>0</v>
      </c>
      <c r="P46" s="5">
        <f>IFERROR(IF(ISNUMBER(INDEX(Rohdaten!$A$76:$LJ$76,MATCH(P$4,RD_Kopf,0))),INDEX(Rohdaten!$A$76:$LJ$76,MATCH(P$4,RD_Kopf,0)),NA()),NA())</f>
        <v>0</v>
      </c>
      <c r="Q46" s="5">
        <f>IFERROR(IF(ISNUMBER(INDEX(Rohdaten!$A$76:$LJ$76,MATCH(Q$4,RD_Kopf,0))),INDEX(Rohdaten!$A$76:$LJ$76,MATCH(Q$4,RD_Kopf,0)),NA()),NA())</f>
        <v>0</v>
      </c>
      <c r="R46" s="5">
        <f>IFERROR(IF(ISNUMBER(INDEX(Rohdaten!$A$76:$LJ$76,MATCH(R$4,RD_Kopf,0))),INDEX(Rohdaten!$A$76:$LJ$76,MATCH(R$4,RD_Kopf,0)),NA()),NA())</f>
        <v>0</v>
      </c>
      <c r="S46" s="5">
        <f>IFERROR(IF(ISNUMBER(INDEX(Rohdaten!$A$76:$LJ$76,MATCH(S$4,RD_Kopf,0))),INDEX(Rohdaten!$A$76:$LJ$76,MATCH(S$4,RD_Kopf,0)),NA()),NA())</f>
        <v>0</v>
      </c>
      <c r="T46" s="5">
        <f>IFERROR(IF(ISNUMBER(INDEX(Rohdaten!$A$76:$LJ$76,MATCH(T$4,RD_Kopf,0))),INDEX(Rohdaten!$A$76:$LJ$76,MATCH(T$4,RD_Kopf,0)),NA()),NA())</f>
        <v>0</v>
      </c>
      <c r="U46" s="5">
        <f>IFERROR(IF(ISNUMBER(INDEX(Rohdaten!$A$76:$LJ$76,MATCH(U$4,RD_Kopf,0))),INDEX(Rohdaten!$A$76:$LJ$76,MATCH(U$4,RD_Kopf,0)),NA()),NA())</f>
        <v>0</v>
      </c>
      <c r="V46" s="5">
        <f>IFERROR(IF(ISNUMBER(INDEX(Rohdaten!$A$76:$LJ$76,MATCH(V$4,RD_Kopf,0))),INDEX(Rohdaten!$A$76:$LJ$76,MATCH(V$4,RD_Kopf,0)),NA()),NA())</f>
        <v>0</v>
      </c>
      <c r="W46" s="5">
        <f>IFERROR(IF(ISNUMBER(INDEX(Rohdaten!$A$76:$LJ$76,MATCH(W$4,RD_Kopf,0))),INDEX(Rohdaten!$A$76:$LJ$76,MATCH(W$4,RD_Kopf,0)),NA()),NA())</f>
        <v>0</v>
      </c>
      <c r="X46" s="5">
        <f>IFERROR(IF(ISNUMBER(INDEX(Rohdaten!$A$76:$LJ$76,MATCH(X$4,RD_Kopf,0))),INDEX(Rohdaten!$A$76:$LJ$76,MATCH(X$4,RD_Kopf,0)),NA()),NA())</f>
        <v>0</v>
      </c>
      <c r="Y46" s="5">
        <f>IFERROR(IF(ISNUMBER(INDEX(Rohdaten!$A$76:$LJ$76,MATCH(Y$4,RD_Kopf,0))),INDEX(Rohdaten!$A$76:$LJ$76,MATCH(Y$4,RD_Kopf,0)),NA()),NA())</f>
        <v>0</v>
      </c>
      <c r="Z46" s="5">
        <f>IFERROR(IF(ISNUMBER(INDEX(Rohdaten!$A$76:$LJ$76,MATCH(Z$4,RD_Kopf,0))),INDEX(Rohdaten!$A$76:$LJ$76,MATCH(Z$4,RD_Kopf,0)),NA()),NA())</f>
        <v>0</v>
      </c>
      <c r="AA46" s="5">
        <f>IFERROR(IF(ISNUMBER(INDEX(Rohdaten!$A$76:$LJ$76,MATCH(AA$4,RD_Kopf,0))),INDEX(Rohdaten!$A$76:$LJ$76,MATCH(AA$4,RD_Kopf,0)),NA()),NA())</f>
        <v>0</v>
      </c>
      <c r="AB46" s="5">
        <f>IFERROR(IF(ISNUMBER(INDEX(Rohdaten!$A$76:$LJ$76,MATCH(AB$4,RD_Kopf,0))),INDEX(Rohdaten!$A$76:$LJ$76,MATCH(AB$4,RD_Kopf,0)),NA()),NA())</f>
        <v>0</v>
      </c>
      <c r="AC46" s="5">
        <f>IFERROR(IF(ISNUMBER(INDEX(Rohdaten!$A$76:$LJ$76,MATCH(AC$4,RD_Kopf,0))),INDEX(Rohdaten!$A$76:$LJ$76,MATCH(AC$4,RD_Kopf,0)),NA()),NA())</f>
        <v>0</v>
      </c>
      <c r="AD46" s="5">
        <f>IFERROR(IF(ISNUMBER(INDEX(Rohdaten!$A$76:$LJ$76,MATCH(AD$4,RD_Kopf,0))),INDEX(Rohdaten!$A$76:$LJ$76,MATCH(AD$4,RD_Kopf,0)),NA()),NA())</f>
        <v>0</v>
      </c>
    </row>
    <row r="47" spans="1:68">
      <c r="A47" s="11" t="s">
        <v>157</v>
      </c>
      <c r="B47" s="11" t="s">
        <v>158</v>
      </c>
      <c r="C47" s="3" t="str">
        <f>"Rohdaten Z. "&amp;ROW(Rohdaten!$A$73)</f>
        <v>Rohdaten Z. 73</v>
      </c>
      <c r="D47" s="5">
        <f>IFERROR(IF(ISNUMBER(INDEX(Rohdaten!$A$73:$LJ$73,MATCH(D$4,RD_Kopf,0))),INDEX(Rohdaten!$A$73:$LJ$73,MATCH(D$4,RD_Kopf,0)),NA()),NA())</f>
        <v>0</v>
      </c>
      <c r="E47" s="5">
        <f>IFERROR(IF(ISNUMBER(INDEX(Rohdaten!$A$73:$LJ$73,MATCH(E$4,RD_Kopf,0))),INDEX(Rohdaten!$A$73:$LJ$73,MATCH(E$4,RD_Kopf,0)),NA()),NA())</f>
        <v>0</v>
      </c>
      <c r="F47" s="5">
        <f>IFERROR(IF(ISNUMBER(INDEX(Rohdaten!$A$73:$LJ$73,MATCH(F$4,RD_Kopf,0))),INDEX(Rohdaten!$A$73:$LJ$73,MATCH(F$4,RD_Kopf,0)),NA()),NA())</f>
        <v>0</v>
      </c>
      <c r="G47" s="5">
        <f>IFERROR(IF(ISNUMBER(INDEX(Rohdaten!$A$73:$LJ$73,MATCH(G$4,RD_Kopf,0))),INDEX(Rohdaten!$A$73:$LJ$73,MATCH(G$4,RD_Kopf,0)),NA()),NA())</f>
        <v>0</v>
      </c>
      <c r="H47" s="5">
        <f>IFERROR(IF(ISNUMBER(INDEX(Rohdaten!$A$73:$LJ$73,MATCH(H$4,RD_Kopf,0))),INDEX(Rohdaten!$A$73:$LJ$73,MATCH(H$4,RD_Kopf,0)),NA()),NA())</f>
        <v>0</v>
      </c>
      <c r="I47" s="5">
        <f>IFERROR(IF(ISNUMBER(INDEX(Rohdaten!$A$73:$LJ$73,MATCH(I$4,RD_Kopf,0))),INDEX(Rohdaten!$A$73:$LJ$73,MATCH(I$4,RD_Kopf,0)),NA()),NA())</f>
        <v>0</v>
      </c>
      <c r="J47" s="5">
        <f>IFERROR(IF(ISNUMBER(INDEX(Rohdaten!$A$73:$LJ$73,MATCH(J$4,RD_Kopf,0))),INDEX(Rohdaten!$A$73:$LJ$73,MATCH(J$4,RD_Kopf,0)),NA()),NA())</f>
        <v>0</v>
      </c>
      <c r="K47" s="5">
        <f>IFERROR(IF(ISNUMBER(INDEX(Rohdaten!$A$73:$LJ$73,MATCH(K$4,RD_Kopf,0))),INDEX(Rohdaten!$A$73:$LJ$73,MATCH(K$4,RD_Kopf,0)),NA()),NA())</f>
        <v>0</v>
      </c>
      <c r="L47" s="5">
        <f>IFERROR(IF(ISNUMBER(INDEX(Rohdaten!$A$73:$LJ$73,MATCH(L$4,RD_Kopf,0))),INDEX(Rohdaten!$A$73:$LJ$73,MATCH(L$4,RD_Kopf,0)),NA()),NA())</f>
        <v>0</v>
      </c>
      <c r="M47" s="5">
        <f>IFERROR(IF(ISNUMBER(INDEX(Rohdaten!$A$73:$LJ$73,MATCH(M$4,RD_Kopf,0))),INDEX(Rohdaten!$A$73:$LJ$73,MATCH(M$4,RD_Kopf,0)),NA()),NA())</f>
        <v>0</v>
      </c>
      <c r="N47" s="5">
        <f>IFERROR(IF(ISNUMBER(INDEX(Rohdaten!$A$73:$LJ$73,MATCH(N$4,RD_Kopf,0))),INDEX(Rohdaten!$A$73:$LJ$73,MATCH(N$4,RD_Kopf,0)),NA()),NA())</f>
        <v>0</v>
      </c>
      <c r="O47" s="5">
        <f>IFERROR(IF(ISNUMBER(INDEX(Rohdaten!$A$73:$LJ$73,MATCH(O$4,RD_Kopf,0))),INDEX(Rohdaten!$A$73:$LJ$73,MATCH(O$4,RD_Kopf,0)),NA()),NA())</f>
        <v>0</v>
      </c>
      <c r="P47" s="5">
        <f>IFERROR(IF(ISNUMBER(INDEX(Rohdaten!$A$73:$LJ$73,MATCH(P$4,RD_Kopf,0))),INDEX(Rohdaten!$A$73:$LJ$73,MATCH(P$4,RD_Kopf,0)),NA()),NA())</f>
        <v>0</v>
      </c>
      <c r="Q47" s="5">
        <f>IFERROR(IF(ISNUMBER(INDEX(Rohdaten!$A$73:$LJ$73,MATCH(Q$4,RD_Kopf,0))),INDEX(Rohdaten!$A$73:$LJ$73,MATCH(Q$4,RD_Kopf,0)),NA()),NA())</f>
        <v>0</v>
      </c>
      <c r="R47" s="5">
        <f>IFERROR(IF(ISNUMBER(INDEX(Rohdaten!$A$73:$LJ$73,MATCH(R$4,RD_Kopf,0))),INDEX(Rohdaten!$A$73:$LJ$73,MATCH(R$4,RD_Kopf,0)),NA()),NA())</f>
        <v>0</v>
      </c>
      <c r="S47" s="5">
        <f>IFERROR(IF(ISNUMBER(INDEX(Rohdaten!$A$73:$LJ$73,MATCH(S$4,RD_Kopf,0))),INDEX(Rohdaten!$A$73:$LJ$73,MATCH(S$4,RD_Kopf,0)),NA()),NA())</f>
        <v>0</v>
      </c>
      <c r="T47" s="5">
        <f>IFERROR(IF(ISNUMBER(INDEX(Rohdaten!$A$73:$LJ$73,MATCH(T$4,RD_Kopf,0))),INDEX(Rohdaten!$A$73:$LJ$73,MATCH(T$4,RD_Kopf,0)),NA()),NA())</f>
        <v>0</v>
      </c>
      <c r="U47" s="5">
        <f>IFERROR(IF(ISNUMBER(INDEX(Rohdaten!$A$73:$LJ$73,MATCH(U$4,RD_Kopf,0))),INDEX(Rohdaten!$A$73:$LJ$73,MATCH(U$4,RD_Kopf,0)),NA()),NA())</f>
        <v>0</v>
      </c>
      <c r="V47" s="5">
        <f>IFERROR(IF(ISNUMBER(INDEX(Rohdaten!$A$73:$LJ$73,MATCH(V$4,RD_Kopf,0))),INDEX(Rohdaten!$A$73:$LJ$73,MATCH(V$4,RD_Kopf,0)),NA()),NA())</f>
        <v>0</v>
      </c>
      <c r="W47" s="5">
        <f>IFERROR(IF(ISNUMBER(INDEX(Rohdaten!$A$73:$LJ$73,MATCH(W$4,RD_Kopf,0))),INDEX(Rohdaten!$A$73:$LJ$73,MATCH(W$4,RD_Kopf,0)),NA()),NA())</f>
        <v>0</v>
      </c>
      <c r="X47" s="5">
        <f>IFERROR(IF(ISNUMBER(INDEX(Rohdaten!$A$73:$LJ$73,MATCH(X$4,RD_Kopf,0))),INDEX(Rohdaten!$A$73:$LJ$73,MATCH(X$4,RD_Kopf,0)),NA()),NA())</f>
        <v>0</v>
      </c>
      <c r="Y47" s="5">
        <f>IFERROR(IF(ISNUMBER(INDEX(Rohdaten!$A$73:$LJ$73,MATCH(Y$4,RD_Kopf,0))),INDEX(Rohdaten!$A$73:$LJ$73,MATCH(Y$4,RD_Kopf,0)),NA()),NA())</f>
        <v>0</v>
      </c>
      <c r="Z47" s="5">
        <f>IFERROR(IF(ISNUMBER(INDEX(Rohdaten!$A$73:$LJ$73,MATCH(Z$4,RD_Kopf,0))),INDEX(Rohdaten!$A$73:$LJ$73,MATCH(Z$4,RD_Kopf,0)),NA()),NA())</f>
        <v>0</v>
      </c>
      <c r="AA47" s="5">
        <f>IFERROR(IF(ISNUMBER(INDEX(Rohdaten!$A$73:$LJ$73,MATCH(AA$4,RD_Kopf,0))),INDEX(Rohdaten!$A$73:$LJ$73,MATCH(AA$4,RD_Kopf,0)),NA()),NA())</f>
        <v>0</v>
      </c>
      <c r="AB47" s="5">
        <f>IFERROR(IF(ISNUMBER(INDEX(Rohdaten!$A$73:$LJ$73,MATCH(AB$4,RD_Kopf,0))),INDEX(Rohdaten!$A$73:$LJ$73,MATCH(AB$4,RD_Kopf,0)),NA()),NA())</f>
        <v>0</v>
      </c>
      <c r="AC47" s="5">
        <f>IFERROR(IF(ISNUMBER(INDEX(Rohdaten!$A$73:$LJ$73,MATCH(AC$4,RD_Kopf,0))),INDEX(Rohdaten!$A$73:$LJ$73,MATCH(AC$4,RD_Kopf,0)),NA()),NA())</f>
        <v>0</v>
      </c>
      <c r="AD47" s="5">
        <f>IFERROR(IF(ISNUMBER(INDEX(Rohdaten!$A$73:$LJ$73,MATCH(AD$4,RD_Kopf,0))),INDEX(Rohdaten!$A$73:$LJ$73,MATCH(AD$4,RD_Kopf,0)),NA()),NA())</f>
        <v>0</v>
      </c>
    </row>
    <row r="48" spans="1:68">
      <c r="A48" s="11" t="s">
        <v>159</v>
      </c>
      <c r="B48" s="11" t="s">
        <v>160</v>
      </c>
      <c r="C48" s="3" t="str">
        <f>"Rohdaten Z. "&amp;ROW(Rohdaten!$A$77)</f>
        <v>Rohdaten Z. 77</v>
      </c>
      <c r="D48" s="5">
        <f>IFERROR(IF(ISNUMBER(INDEX(Rohdaten!$A$77:$LJ$77,MATCH(D$4,RD_Kopf,0))),INDEX(Rohdaten!$A$77:$LJ$77,MATCH(D$4,RD_Kopf,0)),NA()),NA())</f>
        <v>0</v>
      </c>
      <c r="E48" s="5">
        <f>IFERROR(IF(ISNUMBER(INDEX(Rohdaten!$A$77:$LJ$77,MATCH(E$4,RD_Kopf,0))),INDEX(Rohdaten!$A$77:$LJ$77,MATCH(E$4,RD_Kopf,0)),NA()),NA())</f>
        <v>0</v>
      </c>
      <c r="F48" s="5">
        <f>IFERROR(IF(ISNUMBER(INDEX(Rohdaten!$A$77:$LJ$77,MATCH(F$4,RD_Kopf,0))),INDEX(Rohdaten!$A$77:$LJ$77,MATCH(F$4,RD_Kopf,0)),NA()),NA())</f>
        <v>0</v>
      </c>
      <c r="G48" s="5">
        <f>IFERROR(IF(ISNUMBER(INDEX(Rohdaten!$A$77:$LJ$77,MATCH(G$4,RD_Kopf,0))),INDEX(Rohdaten!$A$77:$LJ$77,MATCH(G$4,RD_Kopf,0)),NA()),NA())</f>
        <v>0</v>
      </c>
      <c r="H48" s="5">
        <f>IFERROR(IF(ISNUMBER(INDEX(Rohdaten!$A$77:$LJ$77,MATCH(H$4,RD_Kopf,0))),INDEX(Rohdaten!$A$77:$LJ$77,MATCH(H$4,RD_Kopf,0)),NA()),NA())</f>
        <v>0</v>
      </c>
      <c r="I48" s="5">
        <f>IFERROR(IF(ISNUMBER(INDEX(Rohdaten!$A$77:$LJ$77,MATCH(I$4,RD_Kopf,0))),INDEX(Rohdaten!$A$77:$LJ$77,MATCH(I$4,RD_Kopf,0)),NA()),NA())</f>
        <v>0</v>
      </c>
      <c r="J48" s="5">
        <f>IFERROR(IF(ISNUMBER(INDEX(Rohdaten!$A$77:$LJ$77,MATCH(J$4,RD_Kopf,0))),INDEX(Rohdaten!$A$77:$LJ$77,MATCH(J$4,RD_Kopf,0)),NA()),NA())</f>
        <v>0</v>
      </c>
      <c r="K48" s="5">
        <f>IFERROR(IF(ISNUMBER(INDEX(Rohdaten!$A$77:$LJ$77,MATCH(K$4,RD_Kopf,0))),INDEX(Rohdaten!$A$77:$LJ$77,MATCH(K$4,RD_Kopf,0)),NA()),NA())</f>
        <v>0</v>
      </c>
      <c r="L48" s="5">
        <f>IFERROR(IF(ISNUMBER(INDEX(Rohdaten!$A$77:$LJ$77,MATCH(L$4,RD_Kopf,0))),INDEX(Rohdaten!$A$77:$LJ$77,MATCH(L$4,RD_Kopf,0)),NA()),NA())</f>
        <v>0</v>
      </c>
      <c r="M48" s="5">
        <f>IFERROR(IF(ISNUMBER(INDEX(Rohdaten!$A$77:$LJ$77,MATCH(M$4,RD_Kopf,0))),INDEX(Rohdaten!$A$77:$LJ$77,MATCH(M$4,RD_Kopf,0)),NA()),NA())</f>
        <v>0</v>
      </c>
      <c r="N48" s="5">
        <f>IFERROR(IF(ISNUMBER(INDEX(Rohdaten!$A$77:$LJ$77,MATCH(N$4,RD_Kopf,0))),INDEX(Rohdaten!$A$77:$LJ$77,MATCH(N$4,RD_Kopf,0)),NA()),NA())</f>
        <v>0</v>
      </c>
      <c r="O48" s="5">
        <f>IFERROR(IF(ISNUMBER(INDEX(Rohdaten!$A$77:$LJ$77,MATCH(O$4,RD_Kopf,0))),INDEX(Rohdaten!$A$77:$LJ$77,MATCH(O$4,RD_Kopf,0)),NA()),NA())</f>
        <v>0</v>
      </c>
      <c r="P48" s="5">
        <f>IFERROR(IF(ISNUMBER(INDEX(Rohdaten!$A$77:$LJ$77,MATCH(P$4,RD_Kopf,0))),INDEX(Rohdaten!$A$77:$LJ$77,MATCH(P$4,RD_Kopf,0)),NA()),NA())</f>
        <v>0</v>
      </c>
      <c r="Q48" s="5">
        <f>IFERROR(IF(ISNUMBER(INDEX(Rohdaten!$A$77:$LJ$77,MATCH(Q$4,RD_Kopf,0))),INDEX(Rohdaten!$A$77:$LJ$77,MATCH(Q$4,RD_Kopf,0)),NA()),NA())</f>
        <v>0</v>
      </c>
      <c r="R48" s="5">
        <f>IFERROR(IF(ISNUMBER(INDEX(Rohdaten!$A$77:$LJ$77,MATCH(R$4,RD_Kopf,0))),INDEX(Rohdaten!$A$77:$LJ$77,MATCH(R$4,RD_Kopf,0)),NA()),NA())</f>
        <v>0</v>
      </c>
      <c r="S48" s="5">
        <f>IFERROR(IF(ISNUMBER(INDEX(Rohdaten!$A$77:$LJ$77,MATCH(S$4,RD_Kopf,0))),INDEX(Rohdaten!$A$77:$LJ$77,MATCH(S$4,RD_Kopf,0)),NA()),NA())</f>
        <v>0</v>
      </c>
      <c r="T48" s="5">
        <f>IFERROR(IF(ISNUMBER(INDEX(Rohdaten!$A$77:$LJ$77,MATCH(T$4,RD_Kopf,0))),INDEX(Rohdaten!$A$77:$LJ$77,MATCH(T$4,RD_Kopf,0)),NA()),NA())</f>
        <v>0</v>
      </c>
      <c r="U48" s="5">
        <f>IFERROR(IF(ISNUMBER(INDEX(Rohdaten!$A$77:$LJ$77,MATCH(U$4,RD_Kopf,0))),INDEX(Rohdaten!$A$77:$LJ$77,MATCH(U$4,RD_Kopf,0)),NA()),NA())</f>
        <v>0</v>
      </c>
      <c r="V48" s="5">
        <f>IFERROR(IF(ISNUMBER(INDEX(Rohdaten!$A$77:$LJ$77,MATCH(V$4,RD_Kopf,0))),INDEX(Rohdaten!$A$77:$LJ$77,MATCH(V$4,RD_Kopf,0)),NA()),NA())</f>
        <v>0</v>
      </c>
      <c r="W48" s="5">
        <f>IFERROR(IF(ISNUMBER(INDEX(Rohdaten!$A$77:$LJ$77,MATCH(W$4,RD_Kopf,0))),INDEX(Rohdaten!$A$77:$LJ$77,MATCH(W$4,RD_Kopf,0)),NA()),NA())</f>
        <v>0</v>
      </c>
      <c r="X48" s="5">
        <f>IFERROR(IF(ISNUMBER(INDEX(Rohdaten!$A$77:$LJ$77,MATCH(X$4,RD_Kopf,0))),INDEX(Rohdaten!$A$77:$LJ$77,MATCH(X$4,RD_Kopf,0)),NA()),NA())</f>
        <v>0</v>
      </c>
      <c r="Y48" s="5">
        <f>IFERROR(IF(ISNUMBER(INDEX(Rohdaten!$A$77:$LJ$77,MATCH(Y$4,RD_Kopf,0))),INDEX(Rohdaten!$A$77:$LJ$77,MATCH(Y$4,RD_Kopf,0)),NA()),NA())</f>
        <v>0</v>
      </c>
      <c r="Z48" s="5">
        <f>IFERROR(IF(ISNUMBER(INDEX(Rohdaten!$A$77:$LJ$77,MATCH(Z$4,RD_Kopf,0))),INDEX(Rohdaten!$A$77:$LJ$77,MATCH(Z$4,RD_Kopf,0)),NA()),NA())</f>
        <v>0</v>
      </c>
      <c r="AA48" s="5">
        <f>IFERROR(IF(ISNUMBER(INDEX(Rohdaten!$A$77:$LJ$77,MATCH(AA$4,RD_Kopf,0))),INDEX(Rohdaten!$A$77:$LJ$77,MATCH(AA$4,RD_Kopf,0)),NA()),NA())</f>
        <v>0</v>
      </c>
      <c r="AB48" s="5">
        <f>IFERROR(IF(ISNUMBER(INDEX(Rohdaten!$A$77:$LJ$77,MATCH(AB$4,RD_Kopf,0))),INDEX(Rohdaten!$A$77:$LJ$77,MATCH(AB$4,RD_Kopf,0)),NA()),NA())</f>
        <v>0</v>
      </c>
      <c r="AC48" s="5">
        <f>IFERROR(IF(ISNUMBER(INDEX(Rohdaten!$A$77:$LJ$77,MATCH(AC$4,RD_Kopf,0))),INDEX(Rohdaten!$A$77:$LJ$77,MATCH(AC$4,RD_Kopf,0)),NA()),NA())</f>
        <v>0</v>
      </c>
      <c r="AD48" s="5">
        <f>IFERROR(IF(ISNUMBER(INDEX(Rohdaten!$A$77:$LJ$77,MATCH(AD$4,RD_Kopf,0))),INDEX(Rohdaten!$A$77:$LJ$77,MATCH(AD$4,RD_Kopf,0)),NA()),NA())</f>
        <v>0</v>
      </c>
    </row>
    <row r="49" spans="1:68">
      <c r="A49" s="11" t="s">
        <v>161</v>
      </c>
      <c r="B49" s="11" t="s">
        <v>162</v>
      </c>
      <c r="C49" s="3" t="str">
        <f>"Rohdaten Z. "&amp;ROW(Rohdaten!$A$74)</f>
        <v>Rohdaten Z. 74</v>
      </c>
      <c r="D49" s="5">
        <f>IFERROR(IF(ISNUMBER(INDEX(Rohdaten!$A$74:$LJ$74,MATCH(D$4,RD_Kopf,0))),INDEX(Rohdaten!$A$74:$LJ$74,MATCH(D$4,RD_Kopf,0)),NA()),NA())</f>
        <v>0</v>
      </c>
      <c r="E49" s="5">
        <f>IFERROR(IF(ISNUMBER(INDEX(Rohdaten!$A$74:$LJ$74,MATCH(E$4,RD_Kopf,0))),INDEX(Rohdaten!$A$74:$LJ$74,MATCH(E$4,RD_Kopf,0)),NA()),NA())</f>
        <v>0</v>
      </c>
      <c r="F49" s="5">
        <f>IFERROR(IF(ISNUMBER(INDEX(Rohdaten!$A$74:$LJ$74,MATCH(F$4,RD_Kopf,0))),INDEX(Rohdaten!$A$74:$LJ$74,MATCH(F$4,RD_Kopf,0)),NA()),NA())</f>
        <v>0</v>
      </c>
      <c r="G49" s="5">
        <f>IFERROR(IF(ISNUMBER(INDEX(Rohdaten!$A$74:$LJ$74,MATCH(G$4,RD_Kopf,0))),INDEX(Rohdaten!$A$74:$LJ$74,MATCH(G$4,RD_Kopf,0)),NA()),NA())</f>
        <v>0</v>
      </c>
      <c r="H49" s="5">
        <f>IFERROR(IF(ISNUMBER(INDEX(Rohdaten!$A$74:$LJ$74,MATCH(H$4,RD_Kopf,0))),INDEX(Rohdaten!$A$74:$LJ$74,MATCH(H$4,RD_Kopf,0)),NA()),NA())</f>
        <v>0</v>
      </c>
      <c r="I49" s="5">
        <f>IFERROR(IF(ISNUMBER(INDEX(Rohdaten!$A$74:$LJ$74,MATCH(I$4,RD_Kopf,0))),INDEX(Rohdaten!$A$74:$LJ$74,MATCH(I$4,RD_Kopf,0)),NA()),NA())</f>
        <v>0</v>
      </c>
      <c r="J49" s="5">
        <f>IFERROR(IF(ISNUMBER(INDEX(Rohdaten!$A$74:$LJ$74,MATCH(J$4,RD_Kopf,0))),INDEX(Rohdaten!$A$74:$LJ$74,MATCH(J$4,RD_Kopf,0)),NA()),NA())</f>
        <v>0</v>
      </c>
      <c r="K49" s="5">
        <f>IFERROR(IF(ISNUMBER(INDEX(Rohdaten!$A$74:$LJ$74,MATCH(K$4,RD_Kopf,0))),INDEX(Rohdaten!$A$74:$LJ$74,MATCH(K$4,RD_Kopf,0)),NA()),NA())</f>
        <v>0</v>
      </c>
      <c r="L49" s="5">
        <f>IFERROR(IF(ISNUMBER(INDEX(Rohdaten!$A$74:$LJ$74,MATCH(L$4,RD_Kopf,0))),INDEX(Rohdaten!$A$74:$LJ$74,MATCH(L$4,RD_Kopf,0)),NA()),NA())</f>
        <v>0</v>
      </c>
      <c r="M49" s="5">
        <f>IFERROR(IF(ISNUMBER(INDEX(Rohdaten!$A$74:$LJ$74,MATCH(M$4,RD_Kopf,0))),INDEX(Rohdaten!$A$74:$LJ$74,MATCH(M$4,RD_Kopf,0)),NA()),NA())</f>
        <v>0</v>
      </c>
      <c r="N49" s="5">
        <f>IFERROR(IF(ISNUMBER(INDEX(Rohdaten!$A$74:$LJ$74,MATCH(N$4,RD_Kopf,0))),INDEX(Rohdaten!$A$74:$LJ$74,MATCH(N$4,RD_Kopf,0)),NA()),NA())</f>
        <v>0</v>
      </c>
      <c r="O49" s="5">
        <f>IFERROR(IF(ISNUMBER(INDEX(Rohdaten!$A$74:$LJ$74,MATCH(O$4,RD_Kopf,0))),INDEX(Rohdaten!$A$74:$LJ$74,MATCH(O$4,RD_Kopf,0)),NA()),NA())</f>
        <v>0</v>
      </c>
      <c r="P49" s="5">
        <f>IFERROR(IF(ISNUMBER(INDEX(Rohdaten!$A$74:$LJ$74,MATCH(P$4,RD_Kopf,0))),INDEX(Rohdaten!$A$74:$LJ$74,MATCH(P$4,RD_Kopf,0)),NA()),NA())</f>
        <v>0</v>
      </c>
      <c r="Q49" s="5">
        <f>IFERROR(IF(ISNUMBER(INDEX(Rohdaten!$A$74:$LJ$74,MATCH(Q$4,RD_Kopf,0))),INDEX(Rohdaten!$A$74:$LJ$74,MATCH(Q$4,RD_Kopf,0)),NA()),NA())</f>
        <v>0</v>
      </c>
      <c r="R49" s="5">
        <f>IFERROR(IF(ISNUMBER(INDEX(Rohdaten!$A$74:$LJ$74,MATCH(R$4,RD_Kopf,0))),INDEX(Rohdaten!$A$74:$LJ$74,MATCH(R$4,RD_Kopf,0)),NA()),NA())</f>
        <v>0</v>
      </c>
      <c r="S49" s="5">
        <f>IFERROR(IF(ISNUMBER(INDEX(Rohdaten!$A$74:$LJ$74,MATCH(S$4,RD_Kopf,0))),INDEX(Rohdaten!$A$74:$LJ$74,MATCH(S$4,RD_Kopf,0)),NA()),NA())</f>
        <v>0</v>
      </c>
      <c r="T49" s="5">
        <f>IFERROR(IF(ISNUMBER(INDEX(Rohdaten!$A$74:$LJ$74,MATCH(T$4,RD_Kopf,0))),INDEX(Rohdaten!$A$74:$LJ$74,MATCH(T$4,RD_Kopf,0)),NA()),NA())</f>
        <v>0</v>
      </c>
      <c r="U49" s="5">
        <f>IFERROR(IF(ISNUMBER(INDEX(Rohdaten!$A$74:$LJ$74,MATCH(U$4,RD_Kopf,0))),INDEX(Rohdaten!$A$74:$LJ$74,MATCH(U$4,RD_Kopf,0)),NA()),NA())</f>
        <v>0</v>
      </c>
      <c r="V49" s="5">
        <f>IFERROR(IF(ISNUMBER(INDEX(Rohdaten!$A$74:$LJ$74,MATCH(V$4,RD_Kopf,0))),INDEX(Rohdaten!$A$74:$LJ$74,MATCH(V$4,RD_Kopf,0)),NA()),NA())</f>
        <v>0</v>
      </c>
      <c r="W49" s="5">
        <f>IFERROR(IF(ISNUMBER(INDEX(Rohdaten!$A$74:$LJ$74,MATCH(W$4,RD_Kopf,0))),INDEX(Rohdaten!$A$74:$LJ$74,MATCH(W$4,RD_Kopf,0)),NA()),NA())</f>
        <v>0</v>
      </c>
      <c r="X49" s="5">
        <f>IFERROR(IF(ISNUMBER(INDEX(Rohdaten!$A$74:$LJ$74,MATCH(X$4,RD_Kopf,0))),INDEX(Rohdaten!$A$74:$LJ$74,MATCH(X$4,RD_Kopf,0)),NA()),NA())</f>
        <v>0</v>
      </c>
      <c r="Y49" s="5">
        <f>IFERROR(IF(ISNUMBER(INDEX(Rohdaten!$A$74:$LJ$74,MATCH(Y$4,RD_Kopf,0))),INDEX(Rohdaten!$A$74:$LJ$74,MATCH(Y$4,RD_Kopf,0)),NA()),NA())</f>
        <v>0</v>
      </c>
      <c r="Z49" s="5">
        <f>IFERROR(IF(ISNUMBER(INDEX(Rohdaten!$A$74:$LJ$74,MATCH(Z$4,RD_Kopf,0))),INDEX(Rohdaten!$A$74:$LJ$74,MATCH(Z$4,RD_Kopf,0)),NA()),NA())</f>
        <v>0</v>
      </c>
      <c r="AA49" s="5">
        <f>IFERROR(IF(ISNUMBER(INDEX(Rohdaten!$A$74:$LJ$74,MATCH(AA$4,RD_Kopf,0))),INDEX(Rohdaten!$A$74:$LJ$74,MATCH(AA$4,RD_Kopf,0)),NA()),NA())</f>
        <v>0</v>
      </c>
      <c r="AB49" s="5">
        <f>IFERROR(IF(ISNUMBER(INDEX(Rohdaten!$A$74:$LJ$74,MATCH(AB$4,RD_Kopf,0))),INDEX(Rohdaten!$A$74:$LJ$74,MATCH(AB$4,RD_Kopf,0)),NA()),NA())</f>
        <v>0</v>
      </c>
      <c r="AC49" s="5">
        <f>IFERROR(IF(ISNUMBER(INDEX(Rohdaten!$A$74:$LJ$74,MATCH(AC$4,RD_Kopf,0))),INDEX(Rohdaten!$A$74:$LJ$74,MATCH(AC$4,RD_Kopf,0)),NA()),NA())</f>
        <v>0</v>
      </c>
      <c r="AD49" s="5">
        <f>IFERROR(IF(ISNUMBER(INDEX(Rohdaten!$A$74:$LJ$74,MATCH(AD$4,RD_Kopf,0))),INDEX(Rohdaten!$A$74:$LJ$74,MATCH(AD$4,RD_Kopf,0)),NA()),NA())</f>
        <v>0</v>
      </c>
    </row>
    <row r="50" spans="1:68">
      <c r="A50" s="11" t="s">
        <v>163</v>
      </c>
      <c r="B50" s="11" t="s">
        <v>164</v>
      </c>
      <c r="C50" s="3" t="str">
        <f>"Rohdaten Z. "&amp;ROW(Rohdaten!$A$78)</f>
        <v>Rohdaten Z. 78</v>
      </c>
      <c r="D50" s="5">
        <f>IFERROR(IF(ISNUMBER(INDEX(Rohdaten!$A$78:$LJ$78,MATCH(D$4,RD_Kopf,0))),INDEX(Rohdaten!$A$78:$LJ$78,MATCH(D$4,RD_Kopf,0)),NA()),NA())</f>
        <v>0</v>
      </c>
      <c r="E50" s="5">
        <f>IFERROR(IF(ISNUMBER(INDEX(Rohdaten!$A$78:$LJ$78,MATCH(E$4,RD_Kopf,0))),INDEX(Rohdaten!$A$78:$LJ$78,MATCH(E$4,RD_Kopf,0)),NA()),NA())</f>
        <v>0</v>
      </c>
      <c r="F50" s="5">
        <f>IFERROR(IF(ISNUMBER(INDEX(Rohdaten!$A$78:$LJ$78,MATCH(F$4,RD_Kopf,0))),INDEX(Rohdaten!$A$78:$LJ$78,MATCH(F$4,RD_Kopf,0)),NA()),NA())</f>
        <v>0</v>
      </c>
      <c r="G50" s="5">
        <f>IFERROR(IF(ISNUMBER(INDEX(Rohdaten!$A$78:$LJ$78,MATCH(G$4,RD_Kopf,0))),INDEX(Rohdaten!$A$78:$LJ$78,MATCH(G$4,RD_Kopf,0)),NA()),NA())</f>
        <v>0</v>
      </c>
      <c r="H50" s="5">
        <f>IFERROR(IF(ISNUMBER(INDEX(Rohdaten!$A$78:$LJ$78,MATCH(H$4,RD_Kopf,0))),INDEX(Rohdaten!$A$78:$LJ$78,MATCH(H$4,RD_Kopf,0)),NA()),NA())</f>
        <v>0</v>
      </c>
      <c r="I50" s="5">
        <f>IFERROR(IF(ISNUMBER(INDEX(Rohdaten!$A$78:$LJ$78,MATCH(I$4,RD_Kopf,0))),INDEX(Rohdaten!$A$78:$LJ$78,MATCH(I$4,RD_Kopf,0)),NA()),NA())</f>
        <v>0</v>
      </c>
      <c r="J50" s="5">
        <f>IFERROR(IF(ISNUMBER(INDEX(Rohdaten!$A$78:$LJ$78,MATCH(J$4,RD_Kopf,0))),INDEX(Rohdaten!$A$78:$LJ$78,MATCH(J$4,RD_Kopf,0)),NA()),NA())</f>
        <v>0</v>
      </c>
      <c r="K50" s="5">
        <f>IFERROR(IF(ISNUMBER(INDEX(Rohdaten!$A$78:$LJ$78,MATCH(K$4,RD_Kopf,0))),INDEX(Rohdaten!$A$78:$LJ$78,MATCH(K$4,RD_Kopf,0)),NA()),NA())</f>
        <v>0</v>
      </c>
      <c r="L50" s="5">
        <f>IFERROR(IF(ISNUMBER(INDEX(Rohdaten!$A$78:$LJ$78,MATCH(L$4,RD_Kopf,0))),INDEX(Rohdaten!$A$78:$LJ$78,MATCH(L$4,RD_Kopf,0)),NA()),NA())</f>
        <v>0</v>
      </c>
      <c r="M50" s="5">
        <f>IFERROR(IF(ISNUMBER(INDEX(Rohdaten!$A$78:$LJ$78,MATCH(M$4,RD_Kopf,0))),INDEX(Rohdaten!$A$78:$LJ$78,MATCH(M$4,RD_Kopf,0)),NA()),NA())</f>
        <v>0</v>
      </c>
      <c r="N50" s="5">
        <f>IFERROR(IF(ISNUMBER(INDEX(Rohdaten!$A$78:$LJ$78,MATCH(N$4,RD_Kopf,0))),INDEX(Rohdaten!$A$78:$LJ$78,MATCH(N$4,RD_Kopf,0)),NA()),NA())</f>
        <v>0</v>
      </c>
      <c r="O50" s="5">
        <f>IFERROR(IF(ISNUMBER(INDEX(Rohdaten!$A$78:$LJ$78,MATCH(O$4,RD_Kopf,0))),INDEX(Rohdaten!$A$78:$LJ$78,MATCH(O$4,RD_Kopf,0)),NA()),NA())</f>
        <v>0</v>
      </c>
      <c r="P50" s="5">
        <f>IFERROR(IF(ISNUMBER(INDEX(Rohdaten!$A$78:$LJ$78,MATCH(P$4,RD_Kopf,0))),INDEX(Rohdaten!$A$78:$LJ$78,MATCH(P$4,RD_Kopf,0)),NA()),NA())</f>
        <v>0</v>
      </c>
      <c r="Q50" s="5">
        <f>IFERROR(IF(ISNUMBER(INDEX(Rohdaten!$A$78:$LJ$78,MATCH(Q$4,RD_Kopf,0))),INDEX(Rohdaten!$A$78:$LJ$78,MATCH(Q$4,RD_Kopf,0)),NA()),NA())</f>
        <v>0</v>
      </c>
      <c r="R50" s="5">
        <f>IFERROR(IF(ISNUMBER(INDEX(Rohdaten!$A$78:$LJ$78,MATCH(R$4,RD_Kopf,0))),INDEX(Rohdaten!$A$78:$LJ$78,MATCH(R$4,RD_Kopf,0)),NA()),NA())</f>
        <v>0</v>
      </c>
      <c r="S50" s="5">
        <f>IFERROR(IF(ISNUMBER(INDEX(Rohdaten!$A$78:$LJ$78,MATCH(S$4,RD_Kopf,0))),INDEX(Rohdaten!$A$78:$LJ$78,MATCH(S$4,RD_Kopf,0)),NA()),NA())</f>
        <v>0</v>
      </c>
      <c r="T50" s="5">
        <f>IFERROR(IF(ISNUMBER(INDEX(Rohdaten!$A$78:$LJ$78,MATCH(T$4,RD_Kopf,0))),INDEX(Rohdaten!$A$78:$LJ$78,MATCH(T$4,RD_Kopf,0)),NA()),NA())</f>
        <v>0</v>
      </c>
      <c r="U50" s="5">
        <f>IFERROR(IF(ISNUMBER(INDEX(Rohdaten!$A$78:$LJ$78,MATCH(U$4,RD_Kopf,0))),INDEX(Rohdaten!$A$78:$LJ$78,MATCH(U$4,RD_Kopf,0)),NA()),NA())</f>
        <v>0</v>
      </c>
      <c r="V50" s="5">
        <f>IFERROR(IF(ISNUMBER(INDEX(Rohdaten!$A$78:$LJ$78,MATCH(V$4,RD_Kopf,0))),INDEX(Rohdaten!$A$78:$LJ$78,MATCH(V$4,RD_Kopf,0)),NA()),NA())</f>
        <v>0</v>
      </c>
      <c r="W50" s="5">
        <f>IFERROR(IF(ISNUMBER(INDEX(Rohdaten!$A$78:$LJ$78,MATCH(W$4,RD_Kopf,0))),INDEX(Rohdaten!$A$78:$LJ$78,MATCH(W$4,RD_Kopf,0)),NA()),NA())</f>
        <v>0</v>
      </c>
      <c r="X50" s="5">
        <f>IFERROR(IF(ISNUMBER(INDEX(Rohdaten!$A$78:$LJ$78,MATCH(X$4,RD_Kopf,0))),INDEX(Rohdaten!$A$78:$LJ$78,MATCH(X$4,RD_Kopf,0)),NA()),NA())</f>
        <v>0</v>
      </c>
      <c r="Y50" s="5">
        <f>IFERROR(IF(ISNUMBER(INDEX(Rohdaten!$A$78:$LJ$78,MATCH(Y$4,RD_Kopf,0))),INDEX(Rohdaten!$A$78:$LJ$78,MATCH(Y$4,RD_Kopf,0)),NA()),NA())</f>
        <v>0</v>
      </c>
      <c r="Z50" s="5">
        <f>IFERROR(IF(ISNUMBER(INDEX(Rohdaten!$A$78:$LJ$78,MATCH(Z$4,RD_Kopf,0))),INDEX(Rohdaten!$A$78:$LJ$78,MATCH(Z$4,RD_Kopf,0)),NA()),NA())</f>
        <v>0</v>
      </c>
      <c r="AA50" s="5">
        <f>IFERROR(IF(ISNUMBER(INDEX(Rohdaten!$A$78:$LJ$78,MATCH(AA$4,RD_Kopf,0))),INDEX(Rohdaten!$A$78:$LJ$78,MATCH(AA$4,RD_Kopf,0)),NA()),NA())</f>
        <v>0</v>
      </c>
      <c r="AB50" s="5">
        <f>IFERROR(IF(ISNUMBER(INDEX(Rohdaten!$A$78:$LJ$78,MATCH(AB$4,RD_Kopf,0))),INDEX(Rohdaten!$A$78:$LJ$78,MATCH(AB$4,RD_Kopf,0)),NA()),NA())</f>
        <v>0</v>
      </c>
      <c r="AC50" s="5">
        <f>IFERROR(IF(ISNUMBER(INDEX(Rohdaten!$A$78:$LJ$78,MATCH(AC$4,RD_Kopf,0))),INDEX(Rohdaten!$A$78:$LJ$78,MATCH(AC$4,RD_Kopf,0)),NA()),NA())</f>
        <v>0</v>
      </c>
      <c r="AD50" s="5">
        <f>IFERROR(IF(ISNUMBER(INDEX(Rohdaten!$A$78:$LJ$78,MATCH(AD$4,RD_Kopf,0))),INDEX(Rohdaten!$A$78:$LJ$78,MATCH(AD$4,RD_Kopf,0)),NA()),NA())</f>
        <v>0</v>
      </c>
    </row>
    <row r="51" spans="1:68">
      <c r="A51" s="11" t="s">
        <v>165</v>
      </c>
      <c r="B51" s="11" t="s">
        <v>166</v>
      </c>
      <c r="C51" s="3" t="str">
        <f>"Rohdaten Z. "&amp;ROW(Rohdaten!$A$91)</f>
        <v>Rohdaten Z. 91</v>
      </c>
      <c r="D51" s="5">
        <f>IFERROR(IF(ISNUMBER(INDEX(Rohdaten!$A$91:$LJ$91,MATCH(D$4,RD_Kopf,0))),INDEX(Rohdaten!$A$91:$LJ$91,MATCH(D$4,RD_Kopf,0)),NA()),NA())</f>
        <v>0</v>
      </c>
      <c r="E51" s="5">
        <f>IFERROR(IF(ISNUMBER(INDEX(Rohdaten!$A$91:$LJ$91,MATCH(E$4,RD_Kopf,0))),INDEX(Rohdaten!$A$91:$LJ$91,MATCH(E$4,RD_Kopf,0)),NA()),NA())</f>
        <v>0</v>
      </c>
      <c r="F51" s="5">
        <f>IFERROR(IF(ISNUMBER(INDEX(Rohdaten!$A$91:$LJ$91,MATCH(F$4,RD_Kopf,0))),INDEX(Rohdaten!$A$91:$LJ$91,MATCH(F$4,RD_Kopf,0)),NA()),NA())</f>
        <v>0</v>
      </c>
      <c r="G51" s="5">
        <f>IFERROR(IF(ISNUMBER(INDEX(Rohdaten!$A$91:$LJ$91,MATCH(G$4,RD_Kopf,0))),INDEX(Rohdaten!$A$91:$LJ$91,MATCH(G$4,RD_Kopf,0)),NA()),NA())</f>
        <v>0</v>
      </c>
      <c r="H51" s="5">
        <f>IFERROR(IF(ISNUMBER(INDEX(Rohdaten!$A$91:$LJ$91,MATCH(H$4,RD_Kopf,0))),INDEX(Rohdaten!$A$91:$LJ$91,MATCH(H$4,RD_Kopf,0)),NA()),NA())</f>
        <v>0</v>
      </c>
      <c r="I51" s="5">
        <f>IFERROR(IF(ISNUMBER(INDEX(Rohdaten!$A$91:$LJ$91,MATCH(I$4,RD_Kopf,0))),INDEX(Rohdaten!$A$91:$LJ$91,MATCH(I$4,RD_Kopf,0)),NA()),NA())</f>
        <v>0</v>
      </c>
      <c r="J51" s="5">
        <f>IFERROR(IF(ISNUMBER(INDEX(Rohdaten!$A$91:$LJ$91,MATCH(J$4,RD_Kopf,0))),INDEX(Rohdaten!$A$91:$LJ$91,MATCH(J$4,RD_Kopf,0)),NA()),NA())</f>
        <v>0</v>
      </c>
      <c r="K51" s="5">
        <f>IFERROR(IF(ISNUMBER(INDEX(Rohdaten!$A$91:$LJ$91,MATCH(K$4,RD_Kopf,0))),INDEX(Rohdaten!$A$91:$LJ$91,MATCH(K$4,RD_Kopf,0)),NA()),NA())</f>
        <v>0</v>
      </c>
      <c r="L51" s="5">
        <f>IFERROR(IF(ISNUMBER(INDEX(Rohdaten!$A$91:$LJ$91,MATCH(L$4,RD_Kopf,0))),INDEX(Rohdaten!$A$91:$LJ$91,MATCH(L$4,RD_Kopf,0)),NA()),NA())</f>
        <v>0</v>
      </c>
      <c r="M51" s="5">
        <f>IFERROR(IF(ISNUMBER(INDEX(Rohdaten!$A$91:$LJ$91,MATCH(M$4,RD_Kopf,0))),INDEX(Rohdaten!$A$91:$LJ$91,MATCH(M$4,RD_Kopf,0)),NA()),NA())</f>
        <v>0</v>
      </c>
      <c r="N51" s="5">
        <f>IFERROR(IF(ISNUMBER(INDEX(Rohdaten!$A$91:$LJ$91,MATCH(N$4,RD_Kopf,0))),INDEX(Rohdaten!$A$91:$LJ$91,MATCH(N$4,RD_Kopf,0)),NA()),NA())</f>
        <v>0</v>
      </c>
      <c r="O51" s="5">
        <f>IFERROR(IF(ISNUMBER(INDEX(Rohdaten!$A$91:$LJ$91,MATCH(O$4,RD_Kopf,0))),INDEX(Rohdaten!$A$91:$LJ$91,MATCH(O$4,RD_Kopf,0)),NA()),NA())</f>
        <v>0</v>
      </c>
      <c r="P51" s="5">
        <f>IFERROR(IF(ISNUMBER(INDEX(Rohdaten!$A$91:$LJ$91,MATCH(P$4,RD_Kopf,0))),INDEX(Rohdaten!$A$91:$LJ$91,MATCH(P$4,RD_Kopf,0)),NA()),NA())</f>
        <v>0</v>
      </c>
      <c r="Q51" s="5">
        <f>IFERROR(IF(ISNUMBER(INDEX(Rohdaten!$A$91:$LJ$91,MATCH(Q$4,RD_Kopf,0))),INDEX(Rohdaten!$A$91:$LJ$91,MATCH(Q$4,RD_Kopf,0)),NA()),NA())</f>
        <v>0</v>
      </c>
      <c r="R51" s="5">
        <f>IFERROR(IF(ISNUMBER(INDEX(Rohdaten!$A$91:$LJ$91,MATCH(R$4,RD_Kopf,0))),INDEX(Rohdaten!$A$91:$LJ$91,MATCH(R$4,RD_Kopf,0)),NA()),NA())</f>
        <v>0</v>
      </c>
      <c r="S51" s="5">
        <f>IFERROR(IF(ISNUMBER(INDEX(Rohdaten!$A$91:$LJ$91,MATCH(S$4,RD_Kopf,0))),INDEX(Rohdaten!$A$91:$LJ$91,MATCH(S$4,RD_Kopf,0)),NA()),NA())</f>
        <v>0</v>
      </c>
      <c r="T51" s="5">
        <f>IFERROR(IF(ISNUMBER(INDEX(Rohdaten!$A$91:$LJ$91,MATCH(T$4,RD_Kopf,0))),INDEX(Rohdaten!$A$91:$LJ$91,MATCH(T$4,RD_Kopf,0)),NA()),NA())</f>
        <v>0</v>
      </c>
      <c r="U51" s="5">
        <f>IFERROR(IF(ISNUMBER(INDEX(Rohdaten!$A$91:$LJ$91,MATCH(U$4,RD_Kopf,0))),INDEX(Rohdaten!$A$91:$LJ$91,MATCH(U$4,RD_Kopf,0)),NA()),NA())</f>
        <v>0</v>
      </c>
      <c r="V51" s="5">
        <f>IFERROR(IF(ISNUMBER(INDEX(Rohdaten!$A$91:$LJ$91,MATCH(V$4,RD_Kopf,0))),INDEX(Rohdaten!$A$91:$LJ$91,MATCH(V$4,RD_Kopf,0)),NA()),NA())</f>
        <v>0</v>
      </c>
      <c r="W51" s="5">
        <f>IFERROR(IF(ISNUMBER(INDEX(Rohdaten!$A$91:$LJ$91,MATCH(W$4,RD_Kopf,0))),INDEX(Rohdaten!$A$91:$LJ$91,MATCH(W$4,RD_Kopf,0)),NA()),NA())</f>
        <v>0</v>
      </c>
      <c r="X51" s="5">
        <f>IFERROR(IF(ISNUMBER(INDEX(Rohdaten!$A$91:$LJ$91,MATCH(X$4,RD_Kopf,0))),INDEX(Rohdaten!$A$91:$LJ$91,MATCH(X$4,RD_Kopf,0)),NA()),NA())</f>
        <v>0</v>
      </c>
      <c r="Y51" s="5">
        <f>IFERROR(IF(ISNUMBER(INDEX(Rohdaten!$A$91:$LJ$91,MATCH(Y$4,RD_Kopf,0))),INDEX(Rohdaten!$A$91:$LJ$91,MATCH(Y$4,RD_Kopf,0)),NA()),NA())</f>
        <v>0</v>
      </c>
      <c r="Z51" s="5">
        <f>IFERROR(IF(ISNUMBER(INDEX(Rohdaten!$A$91:$LJ$91,MATCH(Z$4,RD_Kopf,0))),INDEX(Rohdaten!$A$91:$LJ$91,MATCH(Z$4,RD_Kopf,0)),NA()),NA())</f>
        <v>0</v>
      </c>
      <c r="AA51" s="5">
        <f>IFERROR(IF(ISNUMBER(INDEX(Rohdaten!$A$91:$LJ$91,MATCH(AA$4,RD_Kopf,0))),INDEX(Rohdaten!$A$91:$LJ$91,MATCH(AA$4,RD_Kopf,0)),NA()),NA())</f>
        <v>0</v>
      </c>
      <c r="AB51" s="5">
        <f>IFERROR(IF(ISNUMBER(INDEX(Rohdaten!$A$91:$LJ$91,MATCH(AB$4,RD_Kopf,0))),INDEX(Rohdaten!$A$91:$LJ$91,MATCH(AB$4,RD_Kopf,0)),NA()),NA())</f>
        <v>0</v>
      </c>
      <c r="AC51" s="5">
        <f>IFERROR(IF(ISNUMBER(INDEX(Rohdaten!$A$91:$LJ$91,MATCH(AC$4,RD_Kopf,0))),INDEX(Rohdaten!$A$91:$LJ$91,MATCH(AC$4,RD_Kopf,0)),NA()),NA())</f>
        <v>0</v>
      </c>
      <c r="AD51" s="5">
        <f>IFERROR(IF(ISNUMBER(INDEX(Rohdaten!$A$91:$LJ$91,MATCH(AD$4,RD_Kopf,0))),INDEX(Rohdaten!$A$91:$LJ$91,MATCH(AD$4,RD_Kopf,0)),NA()),NA())</f>
        <v>0</v>
      </c>
    </row>
    <row r="52" spans="1:68">
      <c r="A52" s="11" t="s">
        <v>167</v>
      </c>
      <c r="B52" s="11" t="s">
        <v>168</v>
      </c>
      <c r="C52" s="3" t="str">
        <f>"Rohdaten Z. "&amp;ROW(Rohdaten!$A$95)</f>
        <v>Rohdaten Z. 95</v>
      </c>
      <c r="D52" s="5">
        <f>IFERROR(IF(ISNUMBER(INDEX(Rohdaten!$A$95:$LJ$95,MATCH(D$4,RD_Kopf,0))),INDEX(Rohdaten!$A$95:$LJ$95,MATCH(D$4,RD_Kopf,0)),NA()),NA())</f>
        <v>0</v>
      </c>
      <c r="E52" s="5">
        <f>IFERROR(IF(ISNUMBER(INDEX(Rohdaten!$A$95:$LJ$95,MATCH(E$4,RD_Kopf,0))),INDEX(Rohdaten!$A$95:$LJ$95,MATCH(E$4,RD_Kopf,0)),NA()),NA())</f>
        <v>0</v>
      </c>
      <c r="F52" s="5">
        <f>IFERROR(IF(ISNUMBER(INDEX(Rohdaten!$A$95:$LJ$95,MATCH(F$4,RD_Kopf,0))),INDEX(Rohdaten!$A$95:$LJ$95,MATCH(F$4,RD_Kopf,0)),NA()),NA())</f>
        <v>0</v>
      </c>
      <c r="G52" s="5">
        <f>IFERROR(IF(ISNUMBER(INDEX(Rohdaten!$A$95:$LJ$95,MATCH(G$4,RD_Kopf,0))),INDEX(Rohdaten!$A$95:$LJ$95,MATCH(G$4,RD_Kopf,0)),NA()),NA())</f>
        <v>0</v>
      </c>
      <c r="H52" s="5">
        <f>IFERROR(IF(ISNUMBER(INDEX(Rohdaten!$A$95:$LJ$95,MATCH(H$4,RD_Kopf,0))),INDEX(Rohdaten!$A$95:$LJ$95,MATCH(H$4,RD_Kopf,0)),NA()),NA())</f>
        <v>0</v>
      </c>
      <c r="I52" s="5">
        <f>IFERROR(IF(ISNUMBER(INDEX(Rohdaten!$A$95:$LJ$95,MATCH(I$4,RD_Kopf,0))),INDEX(Rohdaten!$A$95:$LJ$95,MATCH(I$4,RD_Kopf,0)),NA()),NA())</f>
        <v>0</v>
      </c>
      <c r="J52" s="5">
        <f>IFERROR(IF(ISNUMBER(INDEX(Rohdaten!$A$95:$LJ$95,MATCH(J$4,RD_Kopf,0))),INDEX(Rohdaten!$A$95:$LJ$95,MATCH(J$4,RD_Kopf,0)),NA()),NA())</f>
        <v>0</v>
      </c>
      <c r="K52" s="5">
        <f>IFERROR(IF(ISNUMBER(INDEX(Rohdaten!$A$95:$LJ$95,MATCH(K$4,RD_Kopf,0))),INDEX(Rohdaten!$A$95:$LJ$95,MATCH(K$4,RD_Kopf,0)),NA()),NA())</f>
        <v>0</v>
      </c>
      <c r="L52" s="5">
        <f>IFERROR(IF(ISNUMBER(INDEX(Rohdaten!$A$95:$LJ$95,MATCH(L$4,RD_Kopf,0))),INDEX(Rohdaten!$A$95:$LJ$95,MATCH(L$4,RD_Kopf,0)),NA()),NA())</f>
        <v>0</v>
      </c>
      <c r="M52" s="5">
        <f>IFERROR(IF(ISNUMBER(INDEX(Rohdaten!$A$95:$LJ$95,MATCH(M$4,RD_Kopf,0))),INDEX(Rohdaten!$A$95:$LJ$95,MATCH(M$4,RD_Kopf,0)),NA()),NA())</f>
        <v>0</v>
      </c>
      <c r="N52" s="5">
        <f>IFERROR(IF(ISNUMBER(INDEX(Rohdaten!$A$95:$LJ$95,MATCH(N$4,RD_Kopf,0))),INDEX(Rohdaten!$A$95:$LJ$95,MATCH(N$4,RD_Kopf,0)),NA()),NA())</f>
        <v>0</v>
      </c>
      <c r="O52" s="5">
        <f>IFERROR(IF(ISNUMBER(INDEX(Rohdaten!$A$95:$LJ$95,MATCH(O$4,RD_Kopf,0))),INDEX(Rohdaten!$A$95:$LJ$95,MATCH(O$4,RD_Kopf,0)),NA()),NA())</f>
        <v>0</v>
      </c>
      <c r="P52" s="5">
        <f>IFERROR(IF(ISNUMBER(INDEX(Rohdaten!$A$95:$LJ$95,MATCH(P$4,RD_Kopf,0))),INDEX(Rohdaten!$A$95:$LJ$95,MATCH(P$4,RD_Kopf,0)),NA()),NA())</f>
        <v>0</v>
      </c>
      <c r="Q52" s="5">
        <f>IFERROR(IF(ISNUMBER(INDEX(Rohdaten!$A$95:$LJ$95,MATCH(Q$4,RD_Kopf,0))),INDEX(Rohdaten!$A$95:$LJ$95,MATCH(Q$4,RD_Kopf,0)),NA()),NA())</f>
        <v>0</v>
      </c>
      <c r="R52" s="5">
        <f>IFERROR(IF(ISNUMBER(INDEX(Rohdaten!$A$95:$LJ$95,MATCH(R$4,RD_Kopf,0))),INDEX(Rohdaten!$A$95:$LJ$95,MATCH(R$4,RD_Kopf,0)),NA()),NA())</f>
        <v>0</v>
      </c>
      <c r="S52" s="5">
        <f>IFERROR(IF(ISNUMBER(INDEX(Rohdaten!$A$95:$LJ$95,MATCH(S$4,RD_Kopf,0))),INDEX(Rohdaten!$A$95:$LJ$95,MATCH(S$4,RD_Kopf,0)),NA()),NA())</f>
        <v>0</v>
      </c>
      <c r="T52" s="5">
        <f>IFERROR(IF(ISNUMBER(INDEX(Rohdaten!$A$95:$LJ$95,MATCH(T$4,RD_Kopf,0))),INDEX(Rohdaten!$A$95:$LJ$95,MATCH(T$4,RD_Kopf,0)),NA()),NA())</f>
        <v>0</v>
      </c>
      <c r="U52" s="5">
        <f>IFERROR(IF(ISNUMBER(INDEX(Rohdaten!$A$95:$LJ$95,MATCH(U$4,RD_Kopf,0))),INDEX(Rohdaten!$A$95:$LJ$95,MATCH(U$4,RD_Kopf,0)),NA()),NA())</f>
        <v>0</v>
      </c>
      <c r="V52" s="5">
        <f>IFERROR(IF(ISNUMBER(INDEX(Rohdaten!$A$95:$LJ$95,MATCH(V$4,RD_Kopf,0))),INDEX(Rohdaten!$A$95:$LJ$95,MATCH(V$4,RD_Kopf,0)),NA()),NA())</f>
        <v>0</v>
      </c>
      <c r="W52" s="5">
        <f>IFERROR(IF(ISNUMBER(INDEX(Rohdaten!$A$95:$LJ$95,MATCH(W$4,RD_Kopf,0))),INDEX(Rohdaten!$A$95:$LJ$95,MATCH(W$4,RD_Kopf,0)),NA()),NA())</f>
        <v>0</v>
      </c>
      <c r="X52" s="5">
        <f>IFERROR(IF(ISNUMBER(INDEX(Rohdaten!$A$95:$LJ$95,MATCH(X$4,RD_Kopf,0))),INDEX(Rohdaten!$A$95:$LJ$95,MATCH(X$4,RD_Kopf,0)),NA()),NA())</f>
        <v>0</v>
      </c>
      <c r="Y52" s="5">
        <f>IFERROR(IF(ISNUMBER(INDEX(Rohdaten!$A$95:$LJ$95,MATCH(Y$4,RD_Kopf,0))),INDEX(Rohdaten!$A$95:$LJ$95,MATCH(Y$4,RD_Kopf,0)),NA()),NA())</f>
        <v>0</v>
      </c>
      <c r="Z52" s="5">
        <f>IFERROR(IF(ISNUMBER(INDEX(Rohdaten!$A$95:$LJ$95,MATCH(Z$4,RD_Kopf,0))),INDEX(Rohdaten!$A$95:$LJ$95,MATCH(Z$4,RD_Kopf,0)),NA()),NA())</f>
        <v>0</v>
      </c>
      <c r="AA52" s="5">
        <f>IFERROR(IF(ISNUMBER(INDEX(Rohdaten!$A$95:$LJ$95,MATCH(AA$4,RD_Kopf,0))),INDEX(Rohdaten!$A$95:$LJ$95,MATCH(AA$4,RD_Kopf,0)),NA()),NA())</f>
        <v>0</v>
      </c>
      <c r="AB52" s="5">
        <f>IFERROR(IF(ISNUMBER(INDEX(Rohdaten!$A$95:$LJ$95,MATCH(AB$4,RD_Kopf,0))),INDEX(Rohdaten!$A$95:$LJ$95,MATCH(AB$4,RD_Kopf,0)),NA()),NA())</f>
        <v>0</v>
      </c>
      <c r="AC52" s="5">
        <f>IFERROR(IF(ISNUMBER(INDEX(Rohdaten!$A$95:$LJ$95,MATCH(AC$4,RD_Kopf,0))),INDEX(Rohdaten!$A$95:$LJ$95,MATCH(AC$4,RD_Kopf,0)),NA()),NA())</f>
        <v>0</v>
      </c>
      <c r="AD52" s="5">
        <f>IFERROR(IF(ISNUMBER(INDEX(Rohdaten!$A$95:$LJ$95,MATCH(AD$4,RD_Kopf,0))),INDEX(Rohdaten!$A$95:$LJ$95,MATCH(AD$4,RD_Kopf,0)),NA()),NA())</f>
        <v>0</v>
      </c>
    </row>
    <row r="53" spans="1:68">
      <c r="A53" s="11" t="s">
        <v>169</v>
      </c>
      <c r="B53" s="11" t="s">
        <v>170</v>
      </c>
      <c r="C53" s="3" t="str">
        <f>"Rohdaten Z. "&amp;ROW(Rohdaten!$A$99)</f>
        <v>Rohdaten Z. 99</v>
      </c>
      <c r="D53" s="5">
        <f>IFERROR(IF(ISNUMBER(INDEX(Rohdaten!$A$99:$LJ$99,MATCH(D$4,RD_Kopf,0))),INDEX(Rohdaten!$A$99:$LJ$99,MATCH(D$4,RD_Kopf,0)),NA()),NA())</f>
        <v>0</v>
      </c>
      <c r="E53" s="5">
        <f>IFERROR(IF(ISNUMBER(INDEX(Rohdaten!$A$99:$LJ$99,MATCH(E$4,RD_Kopf,0))),INDEX(Rohdaten!$A$99:$LJ$99,MATCH(E$4,RD_Kopf,0)),NA()),NA())</f>
        <v>0</v>
      </c>
      <c r="F53" s="5">
        <f>IFERROR(IF(ISNUMBER(INDEX(Rohdaten!$A$99:$LJ$99,MATCH(F$4,RD_Kopf,0))),INDEX(Rohdaten!$A$99:$LJ$99,MATCH(F$4,RD_Kopf,0)),NA()),NA())</f>
        <v>0</v>
      </c>
      <c r="G53" s="5">
        <f>IFERROR(IF(ISNUMBER(INDEX(Rohdaten!$A$99:$LJ$99,MATCH(G$4,RD_Kopf,0))),INDEX(Rohdaten!$A$99:$LJ$99,MATCH(G$4,RD_Kopf,0)),NA()),NA())</f>
        <v>0</v>
      </c>
      <c r="H53" s="5">
        <f>IFERROR(IF(ISNUMBER(INDEX(Rohdaten!$A$99:$LJ$99,MATCH(H$4,RD_Kopf,0))),INDEX(Rohdaten!$A$99:$LJ$99,MATCH(H$4,RD_Kopf,0)),NA()),NA())</f>
        <v>0</v>
      </c>
      <c r="I53" s="5">
        <f>IFERROR(IF(ISNUMBER(INDEX(Rohdaten!$A$99:$LJ$99,MATCH(I$4,RD_Kopf,0))),INDEX(Rohdaten!$A$99:$LJ$99,MATCH(I$4,RD_Kopf,0)),NA()),NA())</f>
        <v>0</v>
      </c>
      <c r="J53" s="5">
        <f>IFERROR(IF(ISNUMBER(INDEX(Rohdaten!$A$99:$LJ$99,MATCH(J$4,RD_Kopf,0))),INDEX(Rohdaten!$A$99:$LJ$99,MATCH(J$4,RD_Kopf,0)),NA()),NA())</f>
        <v>0</v>
      </c>
      <c r="K53" s="5">
        <f>IFERROR(IF(ISNUMBER(INDEX(Rohdaten!$A$99:$LJ$99,MATCH(K$4,RD_Kopf,0))),INDEX(Rohdaten!$A$99:$LJ$99,MATCH(K$4,RD_Kopf,0)),NA()),NA())</f>
        <v>0</v>
      </c>
      <c r="L53" s="5">
        <f>IFERROR(IF(ISNUMBER(INDEX(Rohdaten!$A$99:$LJ$99,MATCH(L$4,RD_Kopf,0))),INDEX(Rohdaten!$A$99:$LJ$99,MATCH(L$4,RD_Kopf,0)),NA()),NA())</f>
        <v>0</v>
      </c>
      <c r="M53" s="5">
        <f>IFERROR(IF(ISNUMBER(INDEX(Rohdaten!$A$99:$LJ$99,MATCH(M$4,RD_Kopf,0))),INDEX(Rohdaten!$A$99:$LJ$99,MATCH(M$4,RD_Kopf,0)),NA()),NA())</f>
        <v>0</v>
      </c>
      <c r="N53" s="5">
        <f>IFERROR(IF(ISNUMBER(INDEX(Rohdaten!$A$99:$LJ$99,MATCH(N$4,RD_Kopf,0))),INDEX(Rohdaten!$A$99:$LJ$99,MATCH(N$4,RD_Kopf,0)),NA()),NA())</f>
        <v>0</v>
      </c>
      <c r="O53" s="5">
        <f>IFERROR(IF(ISNUMBER(INDEX(Rohdaten!$A$99:$LJ$99,MATCH(O$4,RD_Kopf,0))),INDEX(Rohdaten!$A$99:$LJ$99,MATCH(O$4,RD_Kopf,0)),NA()),NA())</f>
        <v>0</v>
      </c>
      <c r="P53" s="5">
        <f>IFERROR(IF(ISNUMBER(INDEX(Rohdaten!$A$99:$LJ$99,MATCH(P$4,RD_Kopf,0))),INDEX(Rohdaten!$A$99:$LJ$99,MATCH(P$4,RD_Kopf,0)),NA()),NA())</f>
        <v>0</v>
      </c>
      <c r="Q53" s="5">
        <f>IFERROR(IF(ISNUMBER(INDEX(Rohdaten!$A$99:$LJ$99,MATCH(Q$4,RD_Kopf,0))),INDEX(Rohdaten!$A$99:$LJ$99,MATCH(Q$4,RD_Kopf,0)),NA()),NA())</f>
        <v>0</v>
      </c>
      <c r="R53" s="5">
        <f>IFERROR(IF(ISNUMBER(INDEX(Rohdaten!$A$99:$LJ$99,MATCH(R$4,RD_Kopf,0))),INDEX(Rohdaten!$A$99:$LJ$99,MATCH(R$4,RD_Kopf,0)),NA()),NA())</f>
        <v>0</v>
      </c>
      <c r="S53" s="5">
        <f>IFERROR(IF(ISNUMBER(INDEX(Rohdaten!$A$99:$LJ$99,MATCH(S$4,RD_Kopf,0))),INDEX(Rohdaten!$A$99:$LJ$99,MATCH(S$4,RD_Kopf,0)),NA()),NA())</f>
        <v>0</v>
      </c>
      <c r="T53" s="5">
        <f>IFERROR(IF(ISNUMBER(INDEX(Rohdaten!$A$99:$LJ$99,MATCH(T$4,RD_Kopf,0))),INDEX(Rohdaten!$A$99:$LJ$99,MATCH(T$4,RD_Kopf,0)),NA()),NA())</f>
        <v>0</v>
      </c>
      <c r="U53" s="5">
        <f>IFERROR(IF(ISNUMBER(INDEX(Rohdaten!$A$99:$LJ$99,MATCH(U$4,RD_Kopf,0))),INDEX(Rohdaten!$A$99:$LJ$99,MATCH(U$4,RD_Kopf,0)),NA()),NA())</f>
        <v>0</v>
      </c>
      <c r="V53" s="5">
        <f>IFERROR(IF(ISNUMBER(INDEX(Rohdaten!$A$99:$LJ$99,MATCH(V$4,RD_Kopf,0))),INDEX(Rohdaten!$A$99:$LJ$99,MATCH(V$4,RD_Kopf,0)),NA()),NA())</f>
        <v>0</v>
      </c>
      <c r="W53" s="5">
        <f>IFERROR(IF(ISNUMBER(INDEX(Rohdaten!$A$99:$LJ$99,MATCH(W$4,RD_Kopf,0))),INDEX(Rohdaten!$A$99:$LJ$99,MATCH(W$4,RD_Kopf,0)),NA()),NA())</f>
        <v>0</v>
      </c>
      <c r="X53" s="5">
        <f>IFERROR(IF(ISNUMBER(INDEX(Rohdaten!$A$99:$LJ$99,MATCH(X$4,RD_Kopf,0))),INDEX(Rohdaten!$A$99:$LJ$99,MATCH(X$4,RD_Kopf,0)),NA()),NA())</f>
        <v>0</v>
      </c>
      <c r="Y53" s="5">
        <f>IFERROR(IF(ISNUMBER(INDEX(Rohdaten!$A$99:$LJ$99,MATCH(Y$4,RD_Kopf,0))),INDEX(Rohdaten!$A$99:$LJ$99,MATCH(Y$4,RD_Kopf,0)),NA()),NA())</f>
        <v>0</v>
      </c>
      <c r="Z53" s="5">
        <f>IFERROR(IF(ISNUMBER(INDEX(Rohdaten!$A$99:$LJ$99,MATCH(Z$4,RD_Kopf,0))),INDEX(Rohdaten!$A$99:$LJ$99,MATCH(Z$4,RD_Kopf,0)),NA()),NA())</f>
        <v>0</v>
      </c>
      <c r="AA53" s="5">
        <f>IFERROR(IF(ISNUMBER(INDEX(Rohdaten!$A$99:$LJ$99,MATCH(AA$4,RD_Kopf,0))),INDEX(Rohdaten!$A$99:$LJ$99,MATCH(AA$4,RD_Kopf,0)),NA()),NA())</f>
        <v>0</v>
      </c>
      <c r="AB53" s="5">
        <f>IFERROR(IF(ISNUMBER(INDEX(Rohdaten!$A$99:$LJ$99,MATCH(AB$4,RD_Kopf,0))),INDEX(Rohdaten!$A$99:$LJ$99,MATCH(AB$4,RD_Kopf,0)),NA()),NA())</f>
        <v>0</v>
      </c>
      <c r="AC53" s="5">
        <f>IFERROR(IF(ISNUMBER(INDEX(Rohdaten!$A$99:$LJ$99,MATCH(AC$4,RD_Kopf,0))),INDEX(Rohdaten!$A$99:$LJ$99,MATCH(AC$4,RD_Kopf,0)),NA()),NA())</f>
        <v>0</v>
      </c>
      <c r="AD53" s="5">
        <f>IFERROR(IF(ISNUMBER(INDEX(Rohdaten!$A$99:$LJ$99,MATCH(AD$4,RD_Kopf,0))),INDEX(Rohdaten!$A$99:$LJ$99,MATCH(AD$4,RD_Kopf,0)),NA()),NA())</f>
        <v>0</v>
      </c>
    </row>
    <row r="54" spans="1:68">
      <c r="A54" s="11" t="s">
        <v>171</v>
      </c>
      <c r="B54" s="11" t="s">
        <v>172</v>
      </c>
      <c r="C54" s="3" t="s">
        <v>137</v>
      </c>
      <c r="D54" s="5">
        <f>IF(COUNT(D45,D47,D49)=0,IF(ISNUMBER(D52),D52,NA()),SUM(D45,D47,D49))</f>
        <v>0</v>
      </c>
      <c r="E54" s="5">
        <f>IF(COUNT(E45,E47,E49)=0,IF(ISNUMBER(E52),E52,NA()),SUM(E45,E47,E49))</f>
        <v>0</v>
      </c>
      <c r="F54" s="5">
        <f>IF(COUNT(F45,F47,F49)=0,IF(ISNUMBER(F52),F52,NA()),SUM(F45,F47,F49))</f>
        <v>0</v>
      </c>
      <c r="G54" s="5">
        <f>IF(COUNT(G45,G47,G49)=0,IF(ISNUMBER(G52),G52,NA()),SUM(G45,G47,G49))</f>
        <v>0</v>
      </c>
      <c r="H54" s="5">
        <f>IF(COUNT(H45,H47,H49)=0,IF(ISNUMBER(H52),H52,NA()),SUM(H45,H47,H49))</f>
        <v>0</v>
      </c>
      <c r="I54" s="5">
        <f>IF(COUNT(I45,I47,I49)=0,IF(ISNUMBER(I52),I52,NA()),SUM(I45,I47,I49))</f>
        <v>0</v>
      </c>
      <c r="J54" s="5">
        <f>IF(COUNT(J45,J47,J49)=0,IF(ISNUMBER(J52),J52,NA()),SUM(J45,J47,J49))</f>
        <v>0</v>
      </c>
      <c r="K54" s="5">
        <f>IF(COUNT(K45,K47,K49)=0,IF(ISNUMBER(K52),K52,NA()),SUM(K45,K47,K49))</f>
        <v>0</v>
      </c>
      <c r="L54" s="5">
        <f>IF(COUNT(L45,L47,L49)=0,IF(ISNUMBER(L52),L52,NA()),SUM(L45,L47,L49))</f>
        <v>0</v>
      </c>
      <c r="M54" s="5">
        <f>IF(COUNT(M45,M47,M49)=0,IF(ISNUMBER(M52),M52,NA()),SUM(M45,M47,M49))</f>
        <v>0</v>
      </c>
      <c r="N54" s="5">
        <f>IF(COUNT(N45,N47,N49)=0,IF(ISNUMBER(N52),N52,NA()),SUM(N45,N47,N49))</f>
        <v>0</v>
      </c>
      <c r="O54" s="5">
        <f>IF(COUNT(O45,O47,O49)=0,IF(ISNUMBER(O52),O52,NA()),SUM(O45,O47,O49))</f>
        <v>0</v>
      </c>
      <c r="P54" s="5">
        <f>IF(COUNT(P45,P47,P49)=0,IF(ISNUMBER(P52),P52,NA()),SUM(P45,P47,P49))</f>
        <v>0</v>
      </c>
      <c r="Q54" s="5">
        <f>IF(COUNT(Q45,Q47,Q49)=0,IF(ISNUMBER(Q52),Q52,NA()),SUM(Q45,Q47,Q49))</f>
        <v>0</v>
      </c>
      <c r="R54" s="5">
        <f>IF(COUNT(R45,R47,R49)=0,IF(ISNUMBER(R52),R52,NA()),SUM(R45,R47,R49))</f>
        <v>0</v>
      </c>
      <c r="S54" s="5">
        <f>IF(COUNT(S45,S47,S49)=0,IF(ISNUMBER(S52),S52,NA()),SUM(S45,S47,S49))</f>
        <v>0</v>
      </c>
      <c r="T54" s="5">
        <f>IF(COUNT(T45,T47,T49)=0,IF(ISNUMBER(T52),T52,NA()),SUM(T45,T47,T49))</f>
        <v>0</v>
      </c>
      <c r="U54" s="5">
        <f>IF(COUNT(U45,U47,U49)=0,IF(ISNUMBER(U52),U52,NA()),SUM(U45,U47,U49))</f>
        <v>0</v>
      </c>
      <c r="V54" s="5">
        <f>IF(COUNT(V45,V47,V49)=0,IF(ISNUMBER(V52),V52,NA()),SUM(V45,V47,V49))</f>
        <v>0</v>
      </c>
      <c r="W54" s="5">
        <f>IF(COUNT(W45,W47,W49)=0,IF(ISNUMBER(W52),W52,NA()),SUM(W45,W47,W49))</f>
        <v>0</v>
      </c>
      <c r="X54" s="5">
        <f>IF(COUNT(X45,X47,X49)=0,IF(ISNUMBER(X52),X52,NA()),SUM(X45,X47,X49))</f>
        <v>0</v>
      </c>
      <c r="Y54" s="5">
        <f>IF(COUNT(Y45,Y47,Y49)=0,IF(ISNUMBER(Y52),Y52,NA()),SUM(Y45,Y47,Y49))</f>
        <v>0</v>
      </c>
      <c r="Z54" s="5">
        <f>IF(COUNT(Z45,Z47,Z49)=0,IF(ISNUMBER(Z52),Z52,NA()),SUM(Z45,Z47,Z49))</f>
        <v>0</v>
      </c>
      <c r="AA54" s="5">
        <f>IF(COUNT(AA45,AA47,AA49)=0,IF(ISNUMBER(AA52),AA52,NA()),SUM(AA45,AA47,AA49))</f>
        <v>0</v>
      </c>
      <c r="AB54" s="5">
        <f>IF(COUNT(AB45,AB47,AB49)=0,IF(ISNUMBER(AB52),AB52,NA()),SUM(AB45,AB47,AB49))</f>
        <v>0</v>
      </c>
      <c r="AC54" s="5">
        <f>IF(COUNT(AC45,AC47,AC49)=0,IF(ISNUMBER(AC52),AC52,NA()),SUM(AC45,AC47,AC49))</f>
        <v>0</v>
      </c>
      <c r="AD54" s="5">
        <f>IF(COUNT(AD45,AD47,AD49)=0,IF(ISNUMBER(AD52),AD52,NA()),SUM(AD45,AD47,AD49))</f>
        <v>0</v>
      </c>
    </row>
    <row r="55" spans="1:68">
      <c r="A55" s="11" t="s">
        <v>173</v>
      </c>
      <c r="B55" s="11" t="s">
        <v>174</v>
      </c>
      <c r="C55" s="3" t="s">
        <v>137</v>
      </c>
      <c r="D55" s="5">
        <f>IF(COUNT(D46,D48,D50)=0,IF(ISNUMBER(D53),D53,NA()),SUM(D46,D48,D50))</f>
        <v>0</v>
      </c>
      <c r="E55" s="5">
        <f>IF(COUNT(E46,E48,E50)=0,IF(ISNUMBER(E53),E53,NA()),SUM(E46,E48,E50))</f>
        <v>0</v>
      </c>
      <c r="F55" s="5">
        <f>IF(COUNT(F46,F48,F50)=0,IF(ISNUMBER(F53),F53,NA()),SUM(F46,F48,F50))</f>
        <v>0</v>
      </c>
      <c r="G55" s="5">
        <f>IF(COUNT(G46,G48,G50)=0,IF(ISNUMBER(G53),G53,NA()),SUM(G46,G48,G50))</f>
        <v>0</v>
      </c>
      <c r="H55" s="5">
        <f>IF(COUNT(H46,H48,H50)=0,IF(ISNUMBER(H53),H53,NA()),SUM(H46,H48,H50))</f>
        <v>0</v>
      </c>
      <c r="I55" s="5">
        <f>IF(COUNT(I46,I48,I50)=0,IF(ISNUMBER(I53),I53,NA()),SUM(I46,I48,I50))</f>
        <v>0</v>
      </c>
      <c r="J55" s="5">
        <f>IF(COUNT(J46,J48,J50)=0,IF(ISNUMBER(J53),J53,NA()),SUM(J46,J48,J50))</f>
        <v>0</v>
      </c>
      <c r="K55" s="5">
        <f>IF(COUNT(K46,K48,K50)=0,IF(ISNUMBER(K53),K53,NA()),SUM(K46,K48,K50))</f>
        <v>0</v>
      </c>
      <c r="L55" s="5">
        <f>IF(COUNT(L46,L48,L50)=0,IF(ISNUMBER(L53),L53,NA()),SUM(L46,L48,L50))</f>
        <v>0</v>
      </c>
      <c r="M55" s="5">
        <f>IF(COUNT(M46,M48,M50)=0,IF(ISNUMBER(M53),M53,NA()),SUM(M46,M48,M50))</f>
        <v>0</v>
      </c>
      <c r="N55" s="5">
        <f>IF(COUNT(N46,N48,N50)=0,IF(ISNUMBER(N53),N53,NA()),SUM(N46,N48,N50))</f>
        <v>0</v>
      </c>
      <c r="O55" s="5">
        <f>IF(COUNT(O46,O48,O50)=0,IF(ISNUMBER(O53),O53,NA()),SUM(O46,O48,O50))</f>
        <v>0</v>
      </c>
      <c r="P55" s="5">
        <f>IF(COUNT(P46,P48,P50)=0,IF(ISNUMBER(P53),P53,NA()),SUM(P46,P48,P50))</f>
        <v>0</v>
      </c>
      <c r="Q55" s="5">
        <f>IF(COUNT(Q46,Q48,Q50)=0,IF(ISNUMBER(Q53),Q53,NA()),SUM(Q46,Q48,Q50))</f>
        <v>0</v>
      </c>
      <c r="R55" s="5">
        <f>IF(COUNT(R46,R48,R50)=0,IF(ISNUMBER(R53),R53,NA()),SUM(R46,R48,R50))</f>
        <v>0</v>
      </c>
      <c r="S55" s="5">
        <f>IF(COUNT(S46,S48,S50)=0,IF(ISNUMBER(S53),S53,NA()),SUM(S46,S48,S50))</f>
        <v>0</v>
      </c>
      <c r="T55" s="5">
        <f>IF(COUNT(T46,T48,T50)=0,IF(ISNUMBER(T53),T53,NA()),SUM(T46,T48,T50))</f>
        <v>0</v>
      </c>
      <c r="U55" s="5">
        <f>IF(COUNT(U46,U48,U50)=0,IF(ISNUMBER(U53),U53,NA()),SUM(U46,U48,U50))</f>
        <v>0</v>
      </c>
      <c r="V55" s="5">
        <f>IF(COUNT(V46,V48,V50)=0,IF(ISNUMBER(V53),V53,NA()),SUM(V46,V48,V50))</f>
        <v>0</v>
      </c>
      <c r="W55" s="5">
        <f>IF(COUNT(W46,W48,W50)=0,IF(ISNUMBER(W53),W53,NA()),SUM(W46,W48,W50))</f>
        <v>0</v>
      </c>
      <c r="X55" s="5">
        <f>IF(COUNT(X46,X48,X50)=0,IF(ISNUMBER(X53),X53,NA()),SUM(X46,X48,X50))</f>
        <v>0</v>
      </c>
      <c r="Y55" s="5">
        <f>IF(COUNT(Y46,Y48,Y50)=0,IF(ISNUMBER(Y53),Y53,NA()),SUM(Y46,Y48,Y50))</f>
        <v>0</v>
      </c>
      <c r="Z55" s="5">
        <f>IF(COUNT(Z46,Z48,Z50)=0,IF(ISNUMBER(Z53),Z53,NA()),SUM(Z46,Z48,Z50))</f>
        <v>0</v>
      </c>
      <c r="AA55" s="5">
        <f>IF(COUNT(AA46,AA48,AA50)=0,IF(ISNUMBER(AA53),AA53,NA()),SUM(AA46,AA48,AA50))</f>
        <v>0</v>
      </c>
      <c r="AB55" s="5">
        <f>IF(COUNT(AB46,AB48,AB50)=0,IF(ISNUMBER(AB53),AB53,NA()),SUM(AB46,AB48,AB50))</f>
        <v>0</v>
      </c>
      <c r="AC55" s="5">
        <f>IF(COUNT(AC46,AC48,AC50)=0,IF(ISNUMBER(AC53),AC53,NA()),SUM(AC46,AC48,AC50))</f>
        <v>0</v>
      </c>
      <c r="AD55" s="5">
        <f>IF(COUNT(AD46,AD48,AD50)=0,IF(ISNUMBER(AD53),AD53,NA()),SUM(AD46,AD48,AD50))</f>
        <v>0</v>
      </c>
    </row>
    <row r="56" spans="1:68">
      <c r="A56" s="11" t="s">
        <v>175</v>
      </c>
      <c r="B56" s="11" t="s">
        <v>176</v>
      </c>
      <c r="C56" s="3" t="s">
        <v>137</v>
      </c>
      <c r="D56" s="5">
        <f>IF(COUNT(D42,D43,D44)=0,IF(ISNUMBER(D51),D51,NA()),SUM(D42,D43,D44))</f>
        <v>0</v>
      </c>
      <c r="E56" s="5">
        <f>IF(COUNT(E42,E43,E44)=0,IF(ISNUMBER(E51),E51,NA()),SUM(E42,E43,E44))</f>
        <v>0</v>
      </c>
      <c r="F56" s="5">
        <f>IF(COUNT(F42,F43,F44)=0,IF(ISNUMBER(F51),F51,NA()),SUM(F42,F43,F44))</f>
        <v>0</v>
      </c>
      <c r="G56" s="5">
        <f>IF(COUNT(G42,G43,G44)=0,IF(ISNUMBER(G51),G51,NA()),SUM(G42,G43,G44))</f>
        <v>0</v>
      </c>
      <c r="H56" s="5">
        <f>IF(COUNT(H42,H43,H44)=0,IF(ISNUMBER(H51),H51,NA()),SUM(H42,H43,H44))</f>
        <v>0</v>
      </c>
      <c r="I56" s="5">
        <f>IF(COUNT(I42,I43,I44)=0,IF(ISNUMBER(I51),I51,NA()),SUM(I42,I43,I44))</f>
        <v>0</v>
      </c>
      <c r="J56" s="5">
        <f>IF(COUNT(J42,J43,J44)=0,IF(ISNUMBER(J51),J51,NA()),SUM(J42,J43,J44))</f>
        <v>0</v>
      </c>
      <c r="K56" s="5">
        <f>IF(COUNT(K42,K43,K44)=0,IF(ISNUMBER(K51),K51,NA()),SUM(K42,K43,K44))</f>
        <v>0</v>
      </c>
      <c r="L56" s="5">
        <f>IF(COUNT(L42,L43,L44)=0,IF(ISNUMBER(L51),L51,NA()),SUM(L42,L43,L44))</f>
        <v>0</v>
      </c>
      <c r="M56" s="5">
        <f>IF(COUNT(M42,M43,M44)=0,IF(ISNUMBER(M51),M51,NA()),SUM(M42,M43,M44))</f>
        <v>0</v>
      </c>
      <c r="N56" s="5">
        <f>IF(COUNT(N42,N43,N44)=0,IF(ISNUMBER(N51),N51,NA()),SUM(N42,N43,N44))</f>
        <v>0</v>
      </c>
      <c r="O56" s="5">
        <f>IF(COUNT(O42,O43,O44)=0,IF(ISNUMBER(O51),O51,NA()),SUM(O42,O43,O44))</f>
        <v>0</v>
      </c>
      <c r="P56" s="5">
        <f>IF(COUNT(P42,P43,P44)=0,IF(ISNUMBER(P51),P51,NA()),SUM(P42,P43,P44))</f>
        <v>0</v>
      </c>
      <c r="Q56" s="5">
        <f>IF(COUNT(Q42,Q43,Q44)=0,IF(ISNUMBER(Q51),Q51,NA()),SUM(Q42,Q43,Q44))</f>
        <v>0</v>
      </c>
      <c r="R56" s="5">
        <f>IF(COUNT(R42,R43,R44)=0,IF(ISNUMBER(R51),R51,NA()),SUM(R42,R43,R44))</f>
        <v>0</v>
      </c>
      <c r="S56" s="5">
        <f>IF(COUNT(S42,S43,S44)=0,IF(ISNUMBER(S51),S51,NA()),SUM(S42,S43,S44))</f>
        <v>0</v>
      </c>
      <c r="T56" s="5">
        <f>IF(COUNT(T42,T43,T44)=0,IF(ISNUMBER(T51),T51,NA()),SUM(T42,T43,T44))</f>
        <v>0</v>
      </c>
      <c r="U56" s="5">
        <f>IF(COUNT(U42,U43,U44)=0,IF(ISNUMBER(U51),U51,NA()),SUM(U42,U43,U44))</f>
        <v>0</v>
      </c>
      <c r="V56" s="5">
        <f>IF(COUNT(V42,V43,V44)=0,IF(ISNUMBER(V51),V51,NA()),SUM(V42,V43,V44))</f>
        <v>0</v>
      </c>
      <c r="W56" s="5">
        <f>IF(COUNT(W42,W43,W44)=0,IF(ISNUMBER(W51),W51,NA()),SUM(W42,W43,W44))</f>
        <v>0</v>
      </c>
      <c r="X56" s="5">
        <f>IF(COUNT(X42,X43,X44)=0,IF(ISNUMBER(X51),X51,NA()),SUM(X42,X43,X44))</f>
        <v>0</v>
      </c>
      <c r="Y56" s="5">
        <f>IF(COUNT(Y42,Y43,Y44)=0,IF(ISNUMBER(Y51),Y51,NA()),SUM(Y42,Y43,Y44))</f>
        <v>0</v>
      </c>
      <c r="Z56" s="5">
        <f>IF(COUNT(Z42,Z43,Z44)=0,IF(ISNUMBER(Z51),Z51,NA()),SUM(Z42,Z43,Z44))</f>
        <v>0</v>
      </c>
      <c r="AA56" s="5">
        <f>IF(COUNT(AA42,AA43,AA44)=0,IF(ISNUMBER(AA51),AA51,NA()),SUM(AA42,AA43,AA44))</f>
        <v>0</v>
      </c>
      <c r="AB56" s="5">
        <f>IF(COUNT(AB42,AB43,AB44)=0,IF(ISNUMBER(AB51),AB51,NA()),SUM(AB42,AB43,AB44))</f>
        <v>0</v>
      </c>
      <c r="AC56" s="5">
        <f>IF(COUNT(AC42,AC43,AC44)=0,IF(ISNUMBER(AC51),AC51,NA()),SUM(AC42,AC43,AC44))</f>
        <v>0</v>
      </c>
      <c r="AD56" s="5">
        <f>IF(COUNT(AD42,AD43,AD44)=0,IF(ISNUMBER(AD51),AD51,NA()),SUM(AD42,AD43,AD44))</f>
        <v>0</v>
      </c>
    </row>
    <row r="57" spans="1:68">
      <c r="A57" s="11" t="s">
        <v>177</v>
      </c>
      <c r="B57" s="11" t="s">
        <v>178</v>
      </c>
      <c r="C57" s="3" t="s">
        <v>137</v>
      </c>
      <c r="D57" s="5">
        <f>IF(AND(COUNT(D42,D43,D44)=0,ISNUMBER(D51)),D51,NA())</f>
        <v>0</v>
      </c>
      <c r="E57" s="5">
        <f>IF(AND(COUNT(E42,E43,E44)=0,ISNUMBER(E51)),E51,NA())</f>
        <v>0</v>
      </c>
      <c r="F57" s="5">
        <f>IF(AND(COUNT(F42,F43,F44)=0,ISNUMBER(F51)),F51,NA())</f>
        <v>0</v>
      </c>
      <c r="G57" s="5">
        <f>IF(AND(COUNT(G42,G43,G44)=0,ISNUMBER(G51)),G51,NA())</f>
        <v>0</v>
      </c>
      <c r="H57" s="5">
        <f>IF(AND(COUNT(H42,H43,H44)=0,ISNUMBER(H51)),H51,NA())</f>
        <v>0</v>
      </c>
      <c r="I57" s="5">
        <f>IF(AND(COUNT(I42,I43,I44)=0,ISNUMBER(I51)),I51,NA())</f>
        <v>0</v>
      </c>
      <c r="J57" s="5">
        <f>IF(AND(COUNT(J42,J43,J44)=0,ISNUMBER(J51)),J51,NA())</f>
        <v>0</v>
      </c>
      <c r="K57" s="5">
        <f>IF(AND(COUNT(K42,K43,K44)=0,ISNUMBER(K51)),K51,NA())</f>
        <v>0</v>
      </c>
      <c r="L57" s="5">
        <f>IF(AND(COUNT(L42,L43,L44)=0,ISNUMBER(L51)),L51,NA())</f>
        <v>0</v>
      </c>
      <c r="M57" s="5">
        <f>IF(AND(COUNT(M42,M43,M44)=0,ISNUMBER(M51)),M51,NA())</f>
        <v>0</v>
      </c>
      <c r="N57" s="5">
        <f>IF(AND(COUNT(N42,N43,N44)=0,ISNUMBER(N51)),N51,NA())</f>
        <v>0</v>
      </c>
      <c r="O57" s="5">
        <f>IF(AND(COUNT(O42,O43,O44)=0,ISNUMBER(O51)),O51,NA())</f>
        <v>0</v>
      </c>
      <c r="P57" s="5">
        <f>IF(AND(COUNT(P42,P43,P44)=0,ISNUMBER(P51)),P51,NA())</f>
        <v>0</v>
      </c>
      <c r="Q57" s="5">
        <f>IF(AND(COUNT(Q42,Q43,Q44)=0,ISNUMBER(Q51)),Q51,NA())</f>
        <v>0</v>
      </c>
      <c r="R57" s="5">
        <f>IF(AND(COUNT(R42,R43,R44)=0,ISNUMBER(R51)),R51,NA())</f>
        <v>0</v>
      </c>
      <c r="S57" s="5">
        <f>IF(AND(COUNT(S42,S43,S44)=0,ISNUMBER(S51)),S51,NA())</f>
        <v>0</v>
      </c>
      <c r="T57" s="5">
        <f>IF(AND(COUNT(T42,T43,T44)=0,ISNUMBER(T51)),T51,NA())</f>
        <v>0</v>
      </c>
      <c r="U57" s="5">
        <f>IF(AND(COUNT(U42,U43,U44)=0,ISNUMBER(U51)),U51,NA())</f>
        <v>0</v>
      </c>
      <c r="V57" s="5">
        <f>IF(AND(COUNT(V42,V43,V44)=0,ISNUMBER(V51)),V51,NA())</f>
        <v>0</v>
      </c>
      <c r="W57" s="5">
        <f>IF(AND(COUNT(W42,W43,W44)=0,ISNUMBER(W51)),W51,NA())</f>
        <v>0</v>
      </c>
      <c r="X57" s="5">
        <f>IF(AND(COUNT(X42,X43,X44)=0,ISNUMBER(X51)),X51,NA())</f>
        <v>0</v>
      </c>
      <c r="Y57" s="5">
        <f>IF(AND(COUNT(Y42,Y43,Y44)=0,ISNUMBER(Y51)),Y51,NA())</f>
        <v>0</v>
      </c>
      <c r="Z57" s="5">
        <f>IF(AND(COUNT(Z42,Z43,Z44)=0,ISNUMBER(Z51)),Z51,NA())</f>
        <v>0</v>
      </c>
      <c r="AA57" s="5">
        <f>IF(AND(COUNT(AA42,AA43,AA44)=0,ISNUMBER(AA51)),AA51,NA())</f>
        <v>0</v>
      </c>
      <c r="AB57" s="5">
        <f>IF(AND(COUNT(AB42,AB43,AB44)=0,ISNUMBER(AB51)),AB51,NA())</f>
        <v>0</v>
      </c>
      <c r="AC57" s="5">
        <f>IF(AND(COUNT(AC42,AC43,AC44)=0,ISNUMBER(AC51)),AC51,NA())</f>
        <v>0</v>
      </c>
      <c r="AD57" s="5">
        <f>IF(AND(COUNT(AD42,AD43,AD44)=0,ISNUMBER(AD51)),AD51,NA())</f>
        <v>0</v>
      </c>
    </row>
    <row r="58" spans="1:68">
      <c r="A58" s="11" t="s">
        <v>179</v>
      </c>
      <c r="B58" s="11" t="s">
        <v>180</v>
      </c>
      <c r="C58" s="3" t="s">
        <v>137</v>
      </c>
      <c r="D58" s="5">
        <f>IF(AND(ISNUMBER(D54),ISNUMBER(D55)),D54-D55,NA())</f>
        <v>0</v>
      </c>
      <c r="E58" s="5">
        <f>IF(AND(ISNUMBER(E54),ISNUMBER(E55)),E54-E55,NA())</f>
        <v>0</v>
      </c>
      <c r="F58" s="5">
        <f>IF(AND(ISNUMBER(F54),ISNUMBER(F55)),F54-F55,NA())</f>
        <v>0</v>
      </c>
      <c r="G58" s="5">
        <f>IF(AND(ISNUMBER(G54),ISNUMBER(G55)),G54-G55,NA())</f>
        <v>0</v>
      </c>
      <c r="H58" s="5">
        <f>IF(AND(ISNUMBER(H54),ISNUMBER(H55)),H54-H55,NA())</f>
        <v>0</v>
      </c>
      <c r="I58" s="5">
        <f>IF(AND(ISNUMBER(I54),ISNUMBER(I55)),I54-I55,NA())</f>
        <v>0</v>
      </c>
      <c r="J58" s="5">
        <f>IF(AND(ISNUMBER(J54),ISNUMBER(J55)),J54-J55,NA())</f>
        <v>0</v>
      </c>
      <c r="K58" s="5">
        <f>IF(AND(ISNUMBER(K54),ISNUMBER(K55)),K54-K55,NA())</f>
        <v>0</v>
      </c>
      <c r="L58" s="5">
        <f>IF(AND(ISNUMBER(L54),ISNUMBER(L55)),L54-L55,NA())</f>
        <v>0</v>
      </c>
      <c r="M58" s="5">
        <f>IF(AND(ISNUMBER(M54),ISNUMBER(M55)),M54-M55,NA())</f>
        <v>0</v>
      </c>
      <c r="N58" s="5">
        <f>IF(AND(ISNUMBER(N54),ISNUMBER(N55)),N54-N55,NA())</f>
        <v>0</v>
      </c>
      <c r="O58" s="5">
        <f>IF(AND(ISNUMBER(O54),ISNUMBER(O55)),O54-O55,NA())</f>
        <v>0</v>
      </c>
      <c r="P58" s="5">
        <f>IF(AND(ISNUMBER(P54),ISNUMBER(P55)),P54-P55,NA())</f>
        <v>0</v>
      </c>
      <c r="Q58" s="5">
        <f>IF(AND(ISNUMBER(Q54),ISNUMBER(Q55)),Q54-Q55,NA())</f>
        <v>0</v>
      </c>
      <c r="R58" s="5">
        <f>IF(AND(ISNUMBER(R54),ISNUMBER(R55)),R54-R55,NA())</f>
        <v>0</v>
      </c>
      <c r="S58" s="5">
        <f>IF(AND(ISNUMBER(S54),ISNUMBER(S55)),S54-S55,NA())</f>
        <v>0</v>
      </c>
      <c r="T58" s="5">
        <f>IF(AND(ISNUMBER(T54),ISNUMBER(T55)),T54-T55,NA())</f>
        <v>0</v>
      </c>
      <c r="U58" s="5">
        <f>IF(AND(ISNUMBER(U54),ISNUMBER(U55)),U54-U55,NA())</f>
        <v>0</v>
      </c>
      <c r="V58" s="5">
        <f>IF(AND(ISNUMBER(V54),ISNUMBER(V55)),V54-V55,NA())</f>
        <v>0</v>
      </c>
      <c r="W58" s="5">
        <f>IF(AND(ISNUMBER(W54),ISNUMBER(W55)),W54-W55,NA())</f>
        <v>0</v>
      </c>
      <c r="X58" s="5">
        <f>IF(AND(ISNUMBER(X54),ISNUMBER(X55)),X54-X55,NA())</f>
        <v>0</v>
      </c>
      <c r="Y58" s="5">
        <f>IF(AND(ISNUMBER(Y54),ISNUMBER(Y55)),Y54-Y55,NA())</f>
        <v>0</v>
      </c>
      <c r="Z58" s="5">
        <f>IF(AND(ISNUMBER(Z54),ISNUMBER(Z55)),Z54-Z55,NA())</f>
        <v>0</v>
      </c>
      <c r="AA58" s="5">
        <f>IF(AND(ISNUMBER(AA54),ISNUMBER(AA55)),AA54-AA55,NA())</f>
        <v>0</v>
      </c>
      <c r="AB58" s="5">
        <f>IF(AND(ISNUMBER(AB54),ISNUMBER(AB55)),AB54-AB55,NA())</f>
        <v>0</v>
      </c>
      <c r="AC58" s="5">
        <f>IF(AND(ISNUMBER(AC54),ISNUMBER(AC55)),AC54-AC55,NA())</f>
        <v>0</v>
      </c>
      <c r="AD58" s="5">
        <f>IF(AND(ISNUMBER(AD54),ISNUMBER(AD55)),AD54-AD55,NA())</f>
        <v>0</v>
      </c>
    </row>
    <row r="59" spans="1:68">
      <c r="A59" s="11" t="s">
        <v>181</v>
      </c>
      <c r="B59" s="11" t="s">
        <v>182</v>
      </c>
      <c r="C59" s="3" t="s">
        <v>144</v>
      </c>
      <c r="AQ59" s="5">
        <f>IF(AQ$39=0,NA(),MAX(1,_xlfn.AGGREGATE(4,6,INDEX($D$56:$AD$56,MAX(1,$D$37+1-$D$36)):INDEX($D$56:$AD$56,$D$37)),N(Konfiguration!$F$9)))</f>
        <v>0</v>
      </c>
      <c r="AR59" s="5">
        <f>IF(AR$39=0,NA(),MAX(1,_xlfn.AGGREGATE(4,6,INDEX($D$56:$AD$56,MAX(1,$D$37+1-$D$36)):INDEX($D$56:$AD$56,$D$37)),N(Konfiguration!$F$9)))</f>
        <v>0</v>
      </c>
      <c r="AS59" s="5">
        <f>IF(AS$39=0,NA(),MAX(1,_xlfn.AGGREGATE(4,6,INDEX($D$56:$AD$56,MAX(1,$D$37+1-$D$36)):INDEX($D$56:$AD$56,$D$37)),N(Konfiguration!$F$9)))</f>
        <v>0</v>
      </c>
      <c r="AT59" s="5">
        <f>IF(AT$39=0,NA(),MAX(1,_xlfn.AGGREGATE(4,6,INDEX($D$56:$AD$56,MAX(1,$D$37+1-$D$36)):INDEX($D$56:$AD$56,$D$37)),N(Konfiguration!$F$9)))</f>
        <v>0</v>
      </c>
      <c r="AU59" s="5">
        <f>IF(AU$39=0,NA(),MAX(1,_xlfn.AGGREGATE(4,6,INDEX($D$56:$AD$56,MAX(1,$D$37+1-$D$36)):INDEX($D$56:$AD$56,$D$37)),N(Konfiguration!$F$9)))</f>
        <v>0</v>
      </c>
      <c r="AV59" s="5">
        <f>IF(AV$39=0,NA(),MAX(1,_xlfn.AGGREGATE(4,6,INDEX($D$56:$AD$56,MAX(1,$D$37+1-$D$36)):INDEX($D$56:$AD$56,$D$37)),N(Konfiguration!$F$9)))</f>
        <v>0</v>
      </c>
      <c r="AW59" s="5">
        <f>IF(AW$39=0,NA(),MAX(1,_xlfn.AGGREGATE(4,6,INDEX($D$56:$AD$56,MAX(1,$D$37+1-$D$36)):INDEX($D$56:$AD$56,$D$37)),N(Konfiguration!$F$9)))</f>
        <v>0</v>
      </c>
      <c r="AX59" s="5">
        <f>IF(AX$39=0,NA(),MAX(1,_xlfn.AGGREGATE(4,6,INDEX($D$56:$AD$56,MAX(1,$D$37+1-$D$36)):INDEX($D$56:$AD$56,$D$37)),N(Konfiguration!$F$9)))</f>
        <v>0</v>
      </c>
      <c r="AY59" s="5">
        <f>IF(AY$39=0,NA(),MAX(1,_xlfn.AGGREGATE(4,6,INDEX($D$56:$AD$56,MAX(1,$D$37+1-$D$36)):INDEX($D$56:$AD$56,$D$37)),N(Konfiguration!$F$9)))</f>
        <v>0</v>
      </c>
      <c r="AZ59" s="5">
        <f>IF(AZ$39=0,NA(),MAX(1,_xlfn.AGGREGATE(4,6,INDEX($D$56:$AD$56,MAX(1,$D$37+1-$D$36)):INDEX($D$56:$AD$56,$D$37)),N(Konfiguration!$F$9)))</f>
        <v>0</v>
      </c>
      <c r="BA59" s="5">
        <f>IF(BA$39=0,NA(),MAX(1,_xlfn.AGGREGATE(4,6,INDEX($D$56:$AD$56,MAX(1,$D$37+1-$D$36)):INDEX($D$56:$AD$56,$D$37)),N(Konfiguration!$F$9)))</f>
        <v>0</v>
      </c>
      <c r="BB59" s="5">
        <f>IF(BB$39=0,NA(),MAX(1,_xlfn.AGGREGATE(4,6,INDEX($D$56:$AD$56,MAX(1,$D$37+1-$D$36)):INDEX($D$56:$AD$56,$D$37)),N(Konfiguration!$F$9)))</f>
        <v>0</v>
      </c>
      <c r="BC59" s="5">
        <f>IF(BC$39=0,NA(),MAX(1,_xlfn.AGGREGATE(4,6,INDEX($D$56:$AD$56,MAX(1,$D$37+1-$D$36)):INDEX($D$56:$AD$56,$D$37)),N(Konfiguration!$F$9)))</f>
        <v>0</v>
      </c>
      <c r="BD59" s="5">
        <f>IF(BD$39=0,NA(),MAX(1,_xlfn.AGGREGATE(4,6,INDEX($D$56:$AD$56,MAX(1,$D$37+1-$D$36)):INDEX($D$56:$AD$56,$D$37)),N(Konfiguration!$F$9)))</f>
        <v>0</v>
      </c>
      <c r="BE59" s="5">
        <f>IF(BE$39=0,NA(),MAX(1,_xlfn.AGGREGATE(4,6,INDEX($D$56:$AD$56,MAX(1,$D$37+1-$D$36)):INDEX($D$56:$AD$56,$D$37)),N(Konfiguration!$F$9)))</f>
        <v>0</v>
      </c>
      <c r="BF59" s="5">
        <f>IF(BF$39=0,NA(),MAX(1,_xlfn.AGGREGATE(4,6,INDEX($D$56:$AD$56,MAX(1,$D$37+1-$D$36)):INDEX($D$56:$AD$56,$D$37)),N(Konfiguration!$F$9)))</f>
        <v>0</v>
      </c>
      <c r="BG59" s="5">
        <f>IF(BG$39=0,NA(),MAX(1,_xlfn.AGGREGATE(4,6,INDEX($D$56:$AD$56,MAX(1,$D$37+1-$D$36)):INDEX($D$56:$AD$56,$D$37)),N(Konfiguration!$F$9)))</f>
        <v>0</v>
      </c>
      <c r="BH59" s="5">
        <f>IF(BH$39=0,NA(),MAX(1,_xlfn.AGGREGATE(4,6,INDEX($D$56:$AD$56,MAX(1,$D$37+1-$D$36)):INDEX($D$56:$AD$56,$D$37)),N(Konfiguration!$F$9)))</f>
        <v>0</v>
      </c>
      <c r="BI59" s="5">
        <f>IF(BI$39=0,NA(),MAX(1,_xlfn.AGGREGATE(4,6,INDEX($D$56:$AD$56,MAX(1,$D$37+1-$D$36)):INDEX($D$56:$AD$56,$D$37)),N(Konfiguration!$F$9)))</f>
        <v>0</v>
      </c>
      <c r="BJ59" s="5">
        <f>IF(BJ$39=0,NA(),MAX(1,_xlfn.AGGREGATE(4,6,INDEX($D$56:$AD$56,MAX(1,$D$37+1-$D$36)):INDEX($D$56:$AD$56,$D$37)),N(Konfiguration!$F$9)))</f>
        <v>0</v>
      </c>
      <c r="BK59" s="5">
        <f>IF(BK$39=0,NA(),MAX(1,_xlfn.AGGREGATE(4,6,INDEX($D$56:$AD$56,MAX(1,$D$37+1-$D$36)):INDEX($D$56:$AD$56,$D$37)),N(Konfiguration!$F$9)))</f>
        <v>0</v>
      </c>
      <c r="BL59" s="5">
        <f>IF(BL$39=0,NA(),MAX(1,_xlfn.AGGREGATE(4,6,INDEX($D$56:$AD$56,MAX(1,$D$37+1-$D$36)):INDEX($D$56:$AD$56,$D$37)),N(Konfiguration!$F$9)))</f>
        <v>0</v>
      </c>
      <c r="BM59" s="5">
        <f>IF(BM$39=0,NA(),MAX(1,_xlfn.AGGREGATE(4,6,INDEX($D$56:$AD$56,MAX(1,$D$37+1-$D$36)):INDEX($D$56:$AD$56,$D$37)),N(Konfiguration!$F$9)))</f>
        <v>0</v>
      </c>
      <c r="BN59" s="5">
        <f>IF(BN$39=0,NA(),MAX(1,_xlfn.AGGREGATE(4,6,INDEX($D$56:$AD$56,MAX(1,$D$37+1-$D$36)):INDEX($D$56:$AD$56,$D$37)),N(Konfiguration!$F$9)))</f>
        <v>0</v>
      </c>
      <c r="BO59" s="5">
        <f>IF(BO$39=0,NA(),MAX(1,_xlfn.AGGREGATE(4,6,INDEX($D$56:$AD$56,MAX(1,$D$37+1-$D$36)):INDEX($D$56:$AD$56,$D$37)),N(Konfiguration!$F$9)))</f>
        <v>0</v>
      </c>
      <c r="BP59" s="5">
        <f>IF(BP$39=0,NA(),MAX(1,_xlfn.AGGREGATE(4,6,INDEX($D$56:$AD$56,MAX(1,$D$37+1-$D$36)):INDEX($D$56:$AD$56,$D$37)),N(Konfiguration!$F$9)))</f>
        <v>0</v>
      </c>
    </row>
    <row r="60" spans="1:68">
      <c r="A60" s="11" t="s">
        <v>183</v>
      </c>
      <c r="B60" s="11" t="s">
        <v>184</v>
      </c>
      <c r="C60" s="3" t="s">
        <v>144</v>
      </c>
      <c r="AQ60" s="5">
        <f>IF(AQ$39=0,NA(),IF(ISNUMBER(INDEX($D$43:$AD$43,AQ$39)),INDEX($D$43:$AD$43,AQ$39)/AQ59,NA()))</f>
        <v>0</v>
      </c>
      <c r="AR60" s="5">
        <f>IF(AR$39=0,NA(),IF(ISNUMBER(INDEX($D$43:$AD$43,AR$39)),INDEX($D$43:$AD$43,AR$39)/AR59,NA()))</f>
        <v>0</v>
      </c>
      <c r="AS60" s="5">
        <f>IF(AS$39=0,NA(),IF(ISNUMBER(INDEX($D$43:$AD$43,AS$39)),INDEX($D$43:$AD$43,AS$39)/AS59,NA()))</f>
        <v>0</v>
      </c>
      <c r="AT60" s="5">
        <f>IF(AT$39=0,NA(),IF(ISNUMBER(INDEX($D$43:$AD$43,AT$39)),INDEX($D$43:$AD$43,AT$39)/AT59,NA()))</f>
        <v>0</v>
      </c>
      <c r="AU60" s="5">
        <f>IF(AU$39=0,NA(),IF(ISNUMBER(INDEX($D$43:$AD$43,AU$39)),INDEX($D$43:$AD$43,AU$39)/AU59,NA()))</f>
        <v>0</v>
      </c>
      <c r="AV60" s="5">
        <f>IF(AV$39=0,NA(),IF(ISNUMBER(INDEX($D$43:$AD$43,AV$39)),INDEX($D$43:$AD$43,AV$39)/AV59,NA()))</f>
        <v>0</v>
      </c>
      <c r="AW60" s="5">
        <f>IF(AW$39=0,NA(),IF(ISNUMBER(INDEX($D$43:$AD$43,AW$39)),INDEX($D$43:$AD$43,AW$39)/AW59,NA()))</f>
        <v>0</v>
      </c>
      <c r="AX60" s="5">
        <f>IF(AX$39=0,NA(),IF(ISNUMBER(INDEX($D$43:$AD$43,AX$39)),INDEX($D$43:$AD$43,AX$39)/AX59,NA()))</f>
        <v>0</v>
      </c>
      <c r="AY60" s="5">
        <f>IF(AY$39=0,NA(),IF(ISNUMBER(INDEX($D$43:$AD$43,AY$39)),INDEX($D$43:$AD$43,AY$39)/AY59,NA()))</f>
        <v>0</v>
      </c>
      <c r="AZ60" s="5">
        <f>IF(AZ$39=0,NA(),IF(ISNUMBER(INDEX($D$43:$AD$43,AZ$39)),INDEX($D$43:$AD$43,AZ$39)/AZ59,NA()))</f>
        <v>0</v>
      </c>
      <c r="BA60" s="5">
        <f>IF(BA$39=0,NA(),IF(ISNUMBER(INDEX($D$43:$AD$43,BA$39)),INDEX($D$43:$AD$43,BA$39)/BA59,NA()))</f>
        <v>0</v>
      </c>
      <c r="BB60" s="5">
        <f>IF(BB$39=0,NA(),IF(ISNUMBER(INDEX($D$43:$AD$43,BB$39)),INDEX($D$43:$AD$43,BB$39)/BB59,NA()))</f>
        <v>0</v>
      </c>
      <c r="BC60" s="5">
        <f>IF(BC$39=0,NA(),IF(ISNUMBER(INDEX($D$43:$AD$43,BC$39)),INDEX($D$43:$AD$43,BC$39)/BC59,NA()))</f>
        <v>0</v>
      </c>
      <c r="BD60" s="5">
        <f>IF(BD$39=0,NA(),IF(ISNUMBER(INDEX($D$43:$AD$43,BD$39)),INDEX($D$43:$AD$43,BD$39)/BD59,NA()))</f>
        <v>0</v>
      </c>
      <c r="BE60" s="5">
        <f>IF(BE$39=0,NA(),IF(ISNUMBER(INDEX($D$43:$AD$43,BE$39)),INDEX($D$43:$AD$43,BE$39)/BE59,NA()))</f>
        <v>0</v>
      </c>
      <c r="BF60" s="5">
        <f>IF(BF$39=0,NA(),IF(ISNUMBER(INDEX($D$43:$AD$43,BF$39)),INDEX($D$43:$AD$43,BF$39)/BF59,NA()))</f>
        <v>0</v>
      </c>
      <c r="BG60" s="5">
        <f>IF(BG$39=0,NA(),IF(ISNUMBER(INDEX($D$43:$AD$43,BG$39)),INDEX($D$43:$AD$43,BG$39)/BG59,NA()))</f>
        <v>0</v>
      </c>
      <c r="BH60" s="5">
        <f>IF(BH$39=0,NA(),IF(ISNUMBER(INDEX($D$43:$AD$43,BH$39)),INDEX($D$43:$AD$43,BH$39)/BH59,NA()))</f>
        <v>0</v>
      </c>
      <c r="BI60" s="5">
        <f>IF(BI$39=0,NA(),IF(ISNUMBER(INDEX($D$43:$AD$43,BI$39)),INDEX($D$43:$AD$43,BI$39)/BI59,NA()))</f>
        <v>0</v>
      </c>
      <c r="BJ60" s="5">
        <f>IF(BJ$39=0,NA(),IF(ISNUMBER(INDEX($D$43:$AD$43,BJ$39)),INDEX($D$43:$AD$43,BJ$39)/BJ59,NA()))</f>
        <v>0</v>
      </c>
      <c r="BK60" s="5">
        <f>IF(BK$39=0,NA(),IF(ISNUMBER(INDEX($D$43:$AD$43,BK$39)),INDEX($D$43:$AD$43,BK$39)/BK59,NA()))</f>
        <v>0</v>
      </c>
      <c r="BL60" s="5">
        <f>IF(BL$39=0,NA(),IF(ISNUMBER(INDEX($D$43:$AD$43,BL$39)),INDEX($D$43:$AD$43,BL$39)/BL59,NA()))</f>
        <v>0</v>
      </c>
      <c r="BM60" s="5">
        <f>IF(BM$39=0,NA(),IF(ISNUMBER(INDEX($D$43:$AD$43,BM$39)),INDEX($D$43:$AD$43,BM$39)/BM59,NA()))</f>
        <v>0</v>
      </c>
      <c r="BN60" s="5">
        <f>IF(BN$39=0,NA(),IF(ISNUMBER(INDEX($D$43:$AD$43,BN$39)),INDEX($D$43:$AD$43,BN$39)/BN59,NA()))</f>
        <v>0</v>
      </c>
      <c r="BO60" s="5">
        <f>IF(BO$39=0,NA(),IF(ISNUMBER(INDEX($D$43:$AD$43,BO$39)),INDEX($D$43:$AD$43,BO$39)/BO59,NA()))</f>
        <v>0</v>
      </c>
      <c r="BP60" s="5">
        <f>IF(BP$39=0,NA(),IF(ISNUMBER(INDEX($D$43:$AD$43,BP$39)),INDEX($D$43:$AD$43,BP$39)/BP59,NA()))</f>
        <v>0</v>
      </c>
    </row>
    <row r="61" spans="1:68">
      <c r="A61" s="11" t="s">
        <v>185</v>
      </c>
      <c r="B61" s="11" t="s">
        <v>186</v>
      </c>
      <c r="C61" s="3" t="s">
        <v>144</v>
      </c>
      <c r="AQ61" s="5">
        <f>IF(AQ$39=0,NA(),IF(ISNUMBER(INDEX($D$42:$AD$42,AQ$39)),INDEX($D$42:$AD$42,AQ$39)/AQ59,NA()))</f>
        <v>0</v>
      </c>
      <c r="AR61" s="5">
        <f>IF(AR$39=0,NA(),IF(ISNUMBER(INDEX($D$42:$AD$42,AR$39)),INDEX($D$42:$AD$42,AR$39)/AR59,NA()))</f>
        <v>0</v>
      </c>
      <c r="AS61" s="5">
        <f>IF(AS$39=0,NA(),IF(ISNUMBER(INDEX($D$42:$AD$42,AS$39)),INDEX($D$42:$AD$42,AS$39)/AS59,NA()))</f>
        <v>0</v>
      </c>
      <c r="AT61" s="5">
        <f>IF(AT$39=0,NA(),IF(ISNUMBER(INDEX($D$42:$AD$42,AT$39)),INDEX($D$42:$AD$42,AT$39)/AT59,NA()))</f>
        <v>0</v>
      </c>
      <c r="AU61" s="5">
        <f>IF(AU$39=0,NA(),IF(ISNUMBER(INDEX($D$42:$AD$42,AU$39)),INDEX($D$42:$AD$42,AU$39)/AU59,NA()))</f>
        <v>0</v>
      </c>
      <c r="AV61" s="5">
        <f>IF(AV$39=0,NA(),IF(ISNUMBER(INDEX($D$42:$AD$42,AV$39)),INDEX($D$42:$AD$42,AV$39)/AV59,NA()))</f>
        <v>0</v>
      </c>
      <c r="AW61" s="5">
        <f>IF(AW$39=0,NA(),IF(ISNUMBER(INDEX($D$42:$AD$42,AW$39)),INDEX($D$42:$AD$42,AW$39)/AW59,NA()))</f>
        <v>0</v>
      </c>
      <c r="AX61" s="5">
        <f>IF(AX$39=0,NA(),IF(ISNUMBER(INDEX($D$42:$AD$42,AX$39)),INDEX($D$42:$AD$42,AX$39)/AX59,NA()))</f>
        <v>0</v>
      </c>
      <c r="AY61" s="5">
        <f>IF(AY$39=0,NA(),IF(ISNUMBER(INDEX($D$42:$AD$42,AY$39)),INDEX($D$42:$AD$42,AY$39)/AY59,NA()))</f>
        <v>0</v>
      </c>
      <c r="AZ61" s="5">
        <f>IF(AZ$39=0,NA(),IF(ISNUMBER(INDEX($D$42:$AD$42,AZ$39)),INDEX($D$42:$AD$42,AZ$39)/AZ59,NA()))</f>
        <v>0</v>
      </c>
      <c r="BA61" s="5">
        <f>IF(BA$39=0,NA(),IF(ISNUMBER(INDEX($D$42:$AD$42,BA$39)),INDEX($D$42:$AD$42,BA$39)/BA59,NA()))</f>
        <v>0</v>
      </c>
      <c r="BB61" s="5">
        <f>IF(BB$39=0,NA(),IF(ISNUMBER(INDEX($D$42:$AD$42,BB$39)),INDEX($D$42:$AD$42,BB$39)/BB59,NA()))</f>
        <v>0</v>
      </c>
      <c r="BC61" s="5">
        <f>IF(BC$39=0,NA(),IF(ISNUMBER(INDEX($D$42:$AD$42,BC$39)),INDEX($D$42:$AD$42,BC$39)/BC59,NA()))</f>
        <v>0</v>
      </c>
      <c r="BD61" s="5">
        <f>IF(BD$39=0,NA(),IF(ISNUMBER(INDEX($D$42:$AD$42,BD$39)),INDEX($D$42:$AD$42,BD$39)/BD59,NA()))</f>
        <v>0</v>
      </c>
      <c r="BE61" s="5">
        <f>IF(BE$39=0,NA(),IF(ISNUMBER(INDEX($D$42:$AD$42,BE$39)),INDEX($D$42:$AD$42,BE$39)/BE59,NA()))</f>
        <v>0</v>
      </c>
      <c r="BF61" s="5">
        <f>IF(BF$39=0,NA(),IF(ISNUMBER(INDEX($D$42:$AD$42,BF$39)),INDEX($D$42:$AD$42,BF$39)/BF59,NA()))</f>
        <v>0</v>
      </c>
      <c r="BG61" s="5">
        <f>IF(BG$39=0,NA(),IF(ISNUMBER(INDEX($D$42:$AD$42,BG$39)),INDEX($D$42:$AD$42,BG$39)/BG59,NA()))</f>
        <v>0</v>
      </c>
      <c r="BH61" s="5">
        <f>IF(BH$39=0,NA(),IF(ISNUMBER(INDEX($D$42:$AD$42,BH$39)),INDEX($D$42:$AD$42,BH$39)/BH59,NA()))</f>
        <v>0</v>
      </c>
      <c r="BI61" s="5">
        <f>IF(BI$39=0,NA(),IF(ISNUMBER(INDEX($D$42:$AD$42,BI$39)),INDEX($D$42:$AD$42,BI$39)/BI59,NA()))</f>
        <v>0</v>
      </c>
      <c r="BJ61" s="5">
        <f>IF(BJ$39=0,NA(),IF(ISNUMBER(INDEX($D$42:$AD$42,BJ$39)),INDEX($D$42:$AD$42,BJ$39)/BJ59,NA()))</f>
        <v>0</v>
      </c>
      <c r="BK61" s="5">
        <f>IF(BK$39=0,NA(),IF(ISNUMBER(INDEX($D$42:$AD$42,BK$39)),INDEX($D$42:$AD$42,BK$39)/BK59,NA()))</f>
        <v>0</v>
      </c>
      <c r="BL61" s="5">
        <f>IF(BL$39=0,NA(),IF(ISNUMBER(INDEX($D$42:$AD$42,BL$39)),INDEX($D$42:$AD$42,BL$39)/BL59,NA()))</f>
        <v>0</v>
      </c>
      <c r="BM61" s="5">
        <f>IF(BM$39=0,NA(),IF(ISNUMBER(INDEX($D$42:$AD$42,BM$39)),INDEX($D$42:$AD$42,BM$39)/BM59,NA()))</f>
        <v>0</v>
      </c>
      <c r="BN61" s="5">
        <f>IF(BN$39=0,NA(),IF(ISNUMBER(INDEX($D$42:$AD$42,BN$39)),INDEX($D$42:$AD$42,BN$39)/BN59,NA()))</f>
        <v>0</v>
      </c>
      <c r="BO61" s="5">
        <f>IF(BO$39=0,NA(),IF(ISNUMBER(INDEX($D$42:$AD$42,BO$39)),INDEX($D$42:$AD$42,BO$39)/BO59,NA()))</f>
        <v>0</v>
      </c>
      <c r="BP61" s="5">
        <f>IF(BP$39=0,NA(),IF(ISNUMBER(INDEX($D$42:$AD$42,BP$39)),INDEX($D$42:$AD$42,BP$39)/BP59,NA()))</f>
        <v>0</v>
      </c>
    </row>
    <row r="62" spans="1:68">
      <c r="A62" s="11" t="s">
        <v>187</v>
      </c>
      <c r="B62" s="11" t="s">
        <v>188</v>
      </c>
      <c r="C62" s="3" t="s">
        <v>144</v>
      </c>
      <c r="AQ62" s="5">
        <f>IF(AQ$39=0,NA(),IF(ISNUMBER(INDEX($D$44:$AD$44,AQ$39)),INDEX($D$44:$AD$44,AQ$39)/AQ59,NA()))</f>
        <v>0</v>
      </c>
      <c r="AR62" s="5">
        <f>IF(AR$39=0,NA(),IF(ISNUMBER(INDEX($D$44:$AD$44,AR$39)),INDEX($D$44:$AD$44,AR$39)/AR59,NA()))</f>
        <v>0</v>
      </c>
      <c r="AS62" s="5">
        <f>IF(AS$39=0,NA(),IF(ISNUMBER(INDEX($D$44:$AD$44,AS$39)),INDEX($D$44:$AD$44,AS$39)/AS59,NA()))</f>
        <v>0</v>
      </c>
      <c r="AT62" s="5">
        <f>IF(AT$39=0,NA(),IF(ISNUMBER(INDEX($D$44:$AD$44,AT$39)),INDEX($D$44:$AD$44,AT$39)/AT59,NA()))</f>
        <v>0</v>
      </c>
      <c r="AU62" s="5">
        <f>IF(AU$39=0,NA(),IF(ISNUMBER(INDEX($D$44:$AD$44,AU$39)),INDEX($D$44:$AD$44,AU$39)/AU59,NA()))</f>
        <v>0</v>
      </c>
      <c r="AV62" s="5">
        <f>IF(AV$39=0,NA(),IF(ISNUMBER(INDEX($D$44:$AD$44,AV$39)),INDEX($D$44:$AD$44,AV$39)/AV59,NA()))</f>
        <v>0</v>
      </c>
      <c r="AW62" s="5">
        <f>IF(AW$39=0,NA(),IF(ISNUMBER(INDEX($D$44:$AD$44,AW$39)),INDEX($D$44:$AD$44,AW$39)/AW59,NA()))</f>
        <v>0</v>
      </c>
      <c r="AX62" s="5">
        <f>IF(AX$39=0,NA(),IF(ISNUMBER(INDEX($D$44:$AD$44,AX$39)),INDEX($D$44:$AD$44,AX$39)/AX59,NA()))</f>
        <v>0</v>
      </c>
      <c r="AY62" s="5">
        <f>IF(AY$39=0,NA(),IF(ISNUMBER(INDEX($D$44:$AD$44,AY$39)),INDEX($D$44:$AD$44,AY$39)/AY59,NA()))</f>
        <v>0</v>
      </c>
      <c r="AZ62" s="5">
        <f>IF(AZ$39=0,NA(),IF(ISNUMBER(INDEX($D$44:$AD$44,AZ$39)),INDEX($D$44:$AD$44,AZ$39)/AZ59,NA()))</f>
        <v>0</v>
      </c>
      <c r="BA62" s="5">
        <f>IF(BA$39=0,NA(),IF(ISNUMBER(INDEX($D$44:$AD$44,BA$39)),INDEX($D$44:$AD$44,BA$39)/BA59,NA()))</f>
        <v>0</v>
      </c>
      <c r="BB62" s="5">
        <f>IF(BB$39=0,NA(),IF(ISNUMBER(INDEX($D$44:$AD$44,BB$39)),INDEX($D$44:$AD$44,BB$39)/BB59,NA()))</f>
        <v>0</v>
      </c>
      <c r="BC62" s="5">
        <f>IF(BC$39=0,NA(),IF(ISNUMBER(INDEX($D$44:$AD$44,BC$39)),INDEX($D$44:$AD$44,BC$39)/BC59,NA()))</f>
        <v>0</v>
      </c>
      <c r="BD62" s="5">
        <f>IF(BD$39=0,NA(),IF(ISNUMBER(INDEX($D$44:$AD$44,BD$39)),INDEX($D$44:$AD$44,BD$39)/BD59,NA()))</f>
        <v>0</v>
      </c>
      <c r="BE62" s="5">
        <f>IF(BE$39=0,NA(),IF(ISNUMBER(INDEX($D$44:$AD$44,BE$39)),INDEX($D$44:$AD$44,BE$39)/BE59,NA()))</f>
        <v>0</v>
      </c>
      <c r="BF62" s="5">
        <f>IF(BF$39=0,NA(),IF(ISNUMBER(INDEX($D$44:$AD$44,BF$39)),INDEX($D$44:$AD$44,BF$39)/BF59,NA()))</f>
        <v>0</v>
      </c>
      <c r="BG62" s="5">
        <f>IF(BG$39=0,NA(),IF(ISNUMBER(INDEX($D$44:$AD$44,BG$39)),INDEX($D$44:$AD$44,BG$39)/BG59,NA()))</f>
        <v>0</v>
      </c>
      <c r="BH62" s="5">
        <f>IF(BH$39=0,NA(),IF(ISNUMBER(INDEX($D$44:$AD$44,BH$39)),INDEX($D$44:$AD$44,BH$39)/BH59,NA()))</f>
        <v>0</v>
      </c>
      <c r="BI62" s="5">
        <f>IF(BI$39=0,NA(),IF(ISNUMBER(INDEX($D$44:$AD$44,BI$39)),INDEX($D$44:$AD$44,BI$39)/BI59,NA()))</f>
        <v>0</v>
      </c>
      <c r="BJ62" s="5">
        <f>IF(BJ$39=0,NA(),IF(ISNUMBER(INDEX($D$44:$AD$44,BJ$39)),INDEX($D$44:$AD$44,BJ$39)/BJ59,NA()))</f>
        <v>0</v>
      </c>
      <c r="BK62" s="5">
        <f>IF(BK$39=0,NA(),IF(ISNUMBER(INDEX($D$44:$AD$44,BK$39)),INDEX($D$44:$AD$44,BK$39)/BK59,NA()))</f>
        <v>0</v>
      </c>
      <c r="BL62" s="5">
        <f>IF(BL$39=0,NA(),IF(ISNUMBER(INDEX($D$44:$AD$44,BL$39)),INDEX($D$44:$AD$44,BL$39)/BL59,NA()))</f>
        <v>0</v>
      </c>
      <c r="BM62" s="5">
        <f>IF(BM$39=0,NA(),IF(ISNUMBER(INDEX($D$44:$AD$44,BM$39)),INDEX($D$44:$AD$44,BM$39)/BM59,NA()))</f>
        <v>0</v>
      </c>
      <c r="BN62" s="5">
        <f>IF(BN$39=0,NA(),IF(ISNUMBER(INDEX($D$44:$AD$44,BN$39)),INDEX($D$44:$AD$44,BN$39)/BN59,NA()))</f>
        <v>0</v>
      </c>
      <c r="BO62" s="5">
        <f>IF(BO$39=0,NA(),IF(ISNUMBER(INDEX($D$44:$AD$44,BO$39)),INDEX($D$44:$AD$44,BO$39)/BO59,NA()))</f>
        <v>0</v>
      </c>
      <c r="BP62" s="5">
        <f>IF(BP$39=0,NA(),IF(ISNUMBER(INDEX($D$44:$AD$44,BP$39)),INDEX($D$44:$AD$44,BP$39)/BP59,NA()))</f>
        <v>0</v>
      </c>
    </row>
    <row r="63" spans="1:68">
      <c r="A63" s="11" t="s">
        <v>189</v>
      </c>
      <c r="B63" s="11" t="s">
        <v>190</v>
      </c>
      <c r="C63" s="3" t="s">
        <v>144</v>
      </c>
      <c r="AQ63" s="5">
        <f>IF(AQ$39=0,NA(),IF(ISNUMBER(INDEX($D$57:$AD$57,AQ$39)),INDEX($D$57:$AD$57,AQ$39)/AQ59,NA()))</f>
        <v>0</v>
      </c>
      <c r="AR63" s="5">
        <f>IF(AR$39=0,NA(),IF(ISNUMBER(INDEX($D$57:$AD$57,AR$39)),INDEX($D$57:$AD$57,AR$39)/AR59,NA()))</f>
        <v>0</v>
      </c>
      <c r="AS63" s="5">
        <f>IF(AS$39=0,NA(),IF(ISNUMBER(INDEX($D$57:$AD$57,AS$39)),INDEX($D$57:$AD$57,AS$39)/AS59,NA()))</f>
        <v>0</v>
      </c>
      <c r="AT63" s="5">
        <f>IF(AT$39=0,NA(),IF(ISNUMBER(INDEX($D$57:$AD$57,AT$39)),INDEX($D$57:$AD$57,AT$39)/AT59,NA()))</f>
        <v>0</v>
      </c>
      <c r="AU63" s="5">
        <f>IF(AU$39=0,NA(),IF(ISNUMBER(INDEX($D$57:$AD$57,AU$39)),INDEX($D$57:$AD$57,AU$39)/AU59,NA()))</f>
        <v>0</v>
      </c>
      <c r="AV63" s="5">
        <f>IF(AV$39=0,NA(),IF(ISNUMBER(INDEX($D$57:$AD$57,AV$39)),INDEX($D$57:$AD$57,AV$39)/AV59,NA()))</f>
        <v>0</v>
      </c>
      <c r="AW63" s="5">
        <f>IF(AW$39=0,NA(),IF(ISNUMBER(INDEX($D$57:$AD$57,AW$39)),INDEX($D$57:$AD$57,AW$39)/AW59,NA()))</f>
        <v>0</v>
      </c>
      <c r="AX63" s="5">
        <f>IF(AX$39=0,NA(),IF(ISNUMBER(INDEX($D$57:$AD$57,AX$39)),INDEX($D$57:$AD$57,AX$39)/AX59,NA()))</f>
        <v>0</v>
      </c>
      <c r="AY63" s="5">
        <f>IF(AY$39=0,NA(),IF(ISNUMBER(INDEX($D$57:$AD$57,AY$39)),INDEX($D$57:$AD$57,AY$39)/AY59,NA()))</f>
        <v>0</v>
      </c>
      <c r="AZ63" s="5">
        <f>IF(AZ$39=0,NA(),IF(ISNUMBER(INDEX($D$57:$AD$57,AZ$39)),INDEX($D$57:$AD$57,AZ$39)/AZ59,NA()))</f>
        <v>0</v>
      </c>
      <c r="BA63" s="5">
        <f>IF(BA$39=0,NA(),IF(ISNUMBER(INDEX($D$57:$AD$57,BA$39)),INDEX($D$57:$AD$57,BA$39)/BA59,NA()))</f>
        <v>0</v>
      </c>
      <c r="BB63" s="5">
        <f>IF(BB$39=0,NA(),IF(ISNUMBER(INDEX($D$57:$AD$57,BB$39)),INDEX($D$57:$AD$57,BB$39)/BB59,NA()))</f>
        <v>0</v>
      </c>
      <c r="BC63" s="5">
        <f>IF(BC$39=0,NA(),IF(ISNUMBER(INDEX($D$57:$AD$57,BC$39)),INDEX($D$57:$AD$57,BC$39)/BC59,NA()))</f>
        <v>0</v>
      </c>
      <c r="BD63" s="5">
        <f>IF(BD$39=0,NA(),IF(ISNUMBER(INDEX($D$57:$AD$57,BD$39)),INDEX($D$57:$AD$57,BD$39)/BD59,NA()))</f>
        <v>0</v>
      </c>
      <c r="BE63" s="5">
        <f>IF(BE$39=0,NA(),IF(ISNUMBER(INDEX($D$57:$AD$57,BE$39)),INDEX($D$57:$AD$57,BE$39)/BE59,NA()))</f>
        <v>0</v>
      </c>
      <c r="BF63" s="5">
        <f>IF(BF$39=0,NA(),IF(ISNUMBER(INDEX($D$57:$AD$57,BF$39)),INDEX($D$57:$AD$57,BF$39)/BF59,NA()))</f>
        <v>0</v>
      </c>
      <c r="BG63" s="5">
        <f>IF(BG$39=0,NA(),IF(ISNUMBER(INDEX($D$57:$AD$57,BG$39)),INDEX($D$57:$AD$57,BG$39)/BG59,NA()))</f>
        <v>0</v>
      </c>
      <c r="BH63" s="5">
        <f>IF(BH$39=0,NA(),IF(ISNUMBER(INDEX($D$57:$AD$57,BH$39)),INDEX($D$57:$AD$57,BH$39)/BH59,NA()))</f>
        <v>0</v>
      </c>
      <c r="BI63" s="5">
        <f>IF(BI$39=0,NA(),IF(ISNUMBER(INDEX($D$57:$AD$57,BI$39)),INDEX($D$57:$AD$57,BI$39)/BI59,NA()))</f>
        <v>0</v>
      </c>
      <c r="BJ63" s="5">
        <f>IF(BJ$39=0,NA(),IF(ISNUMBER(INDEX($D$57:$AD$57,BJ$39)),INDEX($D$57:$AD$57,BJ$39)/BJ59,NA()))</f>
        <v>0</v>
      </c>
      <c r="BK63" s="5">
        <f>IF(BK$39=0,NA(),IF(ISNUMBER(INDEX($D$57:$AD$57,BK$39)),INDEX($D$57:$AD$57,BK$39)/BK59,NA()))</f>
        <v>0</v>
      </c>
      <c r="BL63" s="5">
        <f>IF(BL$39=0,NA(),IF(ISNUMBER(INDEX($D$57:$AD$57,BL$39)),INDEX($D$57:$AD$57,BL$39)/BL59,NA()))</f>
        <v>0</v>
      </c>
      <c r="BM63" s="5">
        <f>IF(BM$39=0,NA(),IF(ISNUMBER(INDEX($D$57:$AD$57,BM$39)),INDEX($D$57:$AD$57,BM$39)/BM59,NA()))</f>
        <v>0</v>
      </c>
      <c r="BN63" s="5">
        <f>IF(BN$39=0,NA(),IF(ISNUMBER(INDEX($D$57:$AD$57,BN$39)),INDEX($D$57:$AD$57,BN$39)/BN59,NA()))</f>
        <v>0</v>
      </c>
      <c r="BO63" s="5">
        <f>IF(BO$39=0,NA(),IF(ISNUMBER(INDEX($D$57:$AD$57,BO$39)),INDEX($D$57:$AD$57,BO$39)/BO59,NA()))</f>
        <v>0</v>
      </c>
      <c r="BP63" s="5">
        <f>IF(BP$39=0,NA(),IF(ISNUMBER(INDEX($D$57:$AD$57,BP$39)),INDEX($D$57:$AD$57,BP$39)/BP59,NA()))</f>
        <v>0</v>
      </c>
    </row>
    <row r="64" spans="1:68">
      <c r="A64" s="11" t="s">
        <v>191</v>
      </c>
      <c r="B64" s="11" t="s">
        <v>192</v>
      </c>
      <c r="C64" s="3" t="s">
        <v>144</v>
      </c>
      <c r="AQ64" s="5">
        <f>IF(AQ$39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AR64" s="5">
        <f>IF(AR$39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AS64" s="5">
        <f>IF(AS$39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AT64" s="5">
        <f>IF(AT$39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AU64" s="5">
        <f>IF(AU$39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AV64" s="5">
        <f>IF(AV$39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AW64" s="5">
        <f>IF(AW$39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AX64" s="5">
        <f>IF(AX$39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AY64" s="5">
        <f>IF(AY$39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AZ64" s="5">
        <f>IF(AZ$39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A64" s="5">
        <f>IF(BA$39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B64" s="5">
        <f>IF(BB$39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C64" s="5">
        <f>IF(BC$39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D64" s="5">
        <f>IF(BD$39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E64" s="5">
        <f>IF(BE$39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F64" s="5">
        <f>IF(BF$39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G64" s="5">
        <f>IF(BG$39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H64" s="5">
        <f>IF(BH$39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I64" s="5">
        <f>IF(BI$39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J64" s="5">
        <f>IF(BJ$39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K64" s="5">
        <f>IF(BK$39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L64" s="5">
        <f>IF(BL$39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M64" s="5">
        <f>IF(BM$39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N64" s="5">
        <f>IF(BN$39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O64" s="5">
        <f>IF(BO$39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P64" s="5">
        <f>IF(BP$39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row>
    <row r="65" spans="1:68">
      <c r="A65" s="11" t="s">
        <v>193</v>
      </c>
      <c r="B65" s="11" t="s">
        <v>194</v>
      </c>
      <c r="C65" s="3" t="s">
        <v>144</v>
      </c>
      <c r="AQ65" s="11">
        <f>IF(AQ$39=0,"",IF(ISNUMBER(INDEX($D$43:$AD$43,AQ$39)),FIXED(INDEX($D$43:$AD$43,AQ$39)/1000,1),""))</f>
        <v>0</v>
      </c>
      <c r="AR65" s="11">
        <f>IF(AR$39=0,"",IF(ISNUMBER(INDEX($D$43:$AD$43,AR$39)),FIXED(INDEX($D$43:$AD$43,AR$39)/1000,1),""))</f>
        <v>0</v>
      </c>
      <c r="AS65" s="11">
        <f>IF(AS$39=0,"",IF(ISNUMBER(INDEX($D$43:$AD$43,AS$39)),FIXED(INDEX($D$43:$AD$43,AS$39)/1000,1),""))</f>
        <v>0</v>
      </c>
      <c r="AT65" s="11">
        <f>IF(AT$39=0,"",IF(ISNUMBER(INDEX($D$43:$AD$43,AT$39)),FIXED(INDEX($D$43:$AD$43,AT$39)/1000,1),""))</f>
        <v>0</v>
      </c>
      <c r="AU65" s="11">
        <f>IF(AU$39=0,"",IF(ISNUMBER(INDEX($D$43:$AD$43,AU$39)),FIXED(INDEX($D$43:$AD$43,AU$39)/1000,1),""))</f>
        <v>0</v>
      </c>
      <c r="AV65" s="11">
        <f>IF(AV$39=0,"",IF(ISNUMBER(INDEX($D$43:$AD$43,AV$39)),FIXED(INDEX($D$43:$AD$43,AV$39)/1000,1),""))</f>
        <v>0</v>
      </c>
      <c r="AW65" s="11">
        <f>IF(AW$39=0,"",IF(ISNUMBER(INDEX($D$43:$AD$43,AW$39)),FIXED(INDEX($D$43:$AD$43,AW$39)/1000,1),""))</f>
        <v>0</v>
      </c>
      <c r="AX65" s="11">
        <f>IF(AX$39=0,"",IF(ISNUMBER(INDEX($D$43:$AD$43,AX$39)),FIXED(INDEX($D$43:$AD$43,AX$39)/1000,1),""))</f>
        <v>0</v>
      </c>
      <c r="AY65" s="11">
        <f>IF(AY$39=0,"",IF(ISNUMBER(INDEX($D$43:$AD$43,AY$39)),FIXED(INDEX($D$43:$AD$43,AY$39)/1000,1),""))</f>
        <v>0</v>
      </c>
      <c r="AZ65" s="11">
        <f>IF(AZ$39=0,"",IF(ISNUMBER(INDEX($D$43:$AD$43,AZ$39)),FIXED(INDEX($D$43:$AD$43,AZ$39)/1000,1),""))</f>
        <v>0</v>
      </c>
      <c r="BA65" s="11">
        <f>IF(BA$39=0,"",IF(ISNUMBER(INDEX($D$43:$AD$43,BA$39)),FIXED(INDEX($D$43:$AD$43,BA$39)/1000,1),""))</f>
        <v>0</v>
      </c>
      <c r="BB65" s="11">
        <f>IF(BB$39=0,"",IF(ISNUMBER(INDEX($D$43:$AD$43,BB$39)),FIXED(INDEX($D$43:$AD$43,BB$39)/1000,1),""))</f>
        <v>0</v>
      </c>
      <c r="BC65" s="11">
        <f>IF(BC$39=0,"",IF(ISNUMBER(INDEX($D$43:$AD$43,BC$39)),FIXED(INDEX($D$43:$AD$43,BC$39)/1000,1),""))</f>
        <v>0</v>
      </c>
      <c r="BD65" s="11">
        <f>IF(BD$39=0,"",IF(ISNUMBER(INDEX($D$43:$AD$43,BD$39)),FIXED(INDEX($D$43:$AD$43,BD$39)/1000,1),""))</f>
        <v>0</v>
      </c>
      <c r="BE65" s="11">
        <f>IF(BE$39=0,"",IF(ISNUMBER(INDEX($D$43:$AD$43,BE$39)),FIXED(INDEX($D$43:$AD$43,BE$39)/1000,1),""))</f>
        <v>0</v>
      </c>
      <c r="BF65" s="11">
        <f>IF(BF$39=0,"",IF(ISNUMBER(INDEX($D$43:$AD$43,BF$39)),FIXED(INDEX($D$43:$AD$43,BF$39)/1000,1),""))</f>
        <v>0</v>
      </c>
      <c r="BG65" s="11">
        <f>IF(BG$39=0,"",IF(ISNUMBER(INDEX($D$43:$AD$43,BG$39)),FIXED(INDEX($D$43:$AD$43,BG$39)/1000,1),""))</f>
        <v>0</v>
      </c>
      <c r="BH65" s="11">
        <f>IF(BH$39=0,"",IF(ISNUMBER(INDEX($D$43:$AD$43,BH$39)),FIXED(INDEX($D$43:$AD$43,BH$39)/1000,1),""))</f>
        <v>0</v>
      </c>
      <c r="BI65" s="11">
        <f>IF(BI$39=0,"",IF(ISNUMBER(INDEX($D$43:$AD$43,BI$39)),FIXED(INDEX($D$43:$AD$43,BI$39)/1000,1),""))</f>
        <v>0</v>
      </c>
      <c r="BJ65" s="11">
        <f>IF(BJ$39=0,"",IF(ISNUMBER(INDEX($D$43:$AD$43,BJ$39)),FIXED(INDEX($D$43:$AD$43,BJ$39)/1000,1),""))</f>
        <v>0</v>
      </c>
      <c r="BK65" s="11">
        <f>IF(BK$39=0,"",IF(ISNUMBER(INDEX($D$43:$AD$43,BK$39)),FIXED(INDEX($D$43:$AD$43,BK$39)/1000,1),""))</f>
        <v>0</v>
      </c>
      <c r="BL65" s="11">
        <f>IF(BL$39=0,"",IF(ISNUMBER(INDEX($D$43:$AD$43,BL$39)),FIXED(INDEX($D$43:$AD$43,BL$39)/1000,1),""))</f>
        <v>0</v>
      </c>
      <c r="BM65" s="11">
        <f>IF(BM$39=0,"",IF(ISNUMBER(INDEX($D$43:$AD$43,BM$39)),FIXED(INDEX($D$43:$AD$43,BM$39)/1000,1),""))</f>
        <v>0</v>
      </c>
      <c r="BN65" s="11">
        <f>IF(BN$39=0,"",IF(ISNUMBER(INDEX($D$43:$AD$43,BN$39)),FIXED(INDEX($D$43:$AD$43,BN$39)/1000,1),""))</f>
        <v>0</v>
      </c>
      <c r="BO65" s="11">
        <f>IF(BO$39=0,"",IF(ISNUMBER(INDEX($D$43:$AD$43,BO$39)),FIXED(INDEX($D$43:$AD$43,BO$39)/1000,1),""))</f>
        <v>0</v>
      </c>
      <c r="BP65" s="11">
        <f>IF(BP$39=0,"",IF(ISNUMBER(INDEX($D$43:$AD$43,BP$39)),FIXED(INDEX($D$43:$AD$43,BP$39)/1000,1),""))</f>
        <v>0</v>
      </c>
    </row>
    <row r="66" spans="1:68">
      <c r="A66" s="11" t="s">
        <v>195</v>
      </c>
      <c r="B66" s="11" t="s">
        <v>196</v>
      </c>
      <c r="C66" s="3" t="s">
        <v>144</v>
      </c>
      <c r="AQ66" s="5">
        <f>IF(AQ$39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AR66" s="5">
        <f>IF(AR$39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AS66" s="5">
        <f>IF(AS$39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AT66" s="5">
        <f>IF(AT$39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AU66" s="5">
        <f>IF(AU$39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AV66" s="5">
        <f>IF(AV$39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AW66" s="5">
        <f>IF(AW$39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AX66" s="5">
        <f>IF(AX$39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AY66" s="5">
        <f>IF(AY$39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AZ66" s="5">
        <f>IF(AZ$39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A66" s="5">
        <f>IF(BA$39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B66" s="5">
        <f>IF(BB$39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C66" s="5">
        <f>IF(BC$39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D66" s="5">
        <f>IF(BD$39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E66" s="5">
        <f>IF(BE$39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F66" s="5">
        <f>IF(BF$39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G66" s="5">
        <f>IF(BG$39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H66" s="5">
        <f>IF(BH$39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I66" s="5">
        <f>IF(BI$39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J66" s="5">
        <f>IF(BJ$39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K66" s="5">
        <f>IF(BK$39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L66" s="5">
        <f>IF(BL$39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M66" s="5">
        <f>IF(BM$39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N66" s="5">
        <f>IF(BN$39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O66" s="5">
        <f>IF(BO$39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P66" s="5">
        <f>IF(BP$39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row>
    <row r="67" spans="1:68">
      <c r="A67" s="11" t="s">
        <v>197</v>
      </c>
      <c r="B67" s="11" t="s">
        <v>198</v>
      </c>
      <c r="C67" s="3" t="s">
        <v>144</v>
      </c>
      <c r="AQ67" s="11">
        <f>IF(AQ$39=0,"",IF(ISNUMBER(INDEX($D$42:$AD$42,AQ$39)),FIXED(INDEX($D$42:$AD$42,AQ$39)/1000,1),""))</f>
        <v>0</v>
      </c>
      <c r="AR67" s="11">
        <f>IF(AR$39=0,"",IF(ISNUMBER(INDEX($D$42:$AD$42,AR$39)),FIXED(INDEX($D$42:$AD$42,AR$39)/1000,1),""))</f>
        <v>0</v>
      </c>
      <c r="AS67" s="11">
        <f>IF(AS$39=0,"",IF(ISNUMBER(INDEX($D$42:$AD$42,AS$39)),FIXED(INDEX($D$42:$AD$42,AS$39)/1000,1),""))</f>
        <v>0</v>
      </c>
      <c r="AT67" s="11">
        <f>IF(AT$39=0,"",IF(ISNUMBER(INDEX($D$42:$AD$42,AT$39)),FIXED(INDEX($D$42:$AD$42,AT$39)/1000,1),""))</f>
        <v>0</v>
      </c>
      <c r="AU67" s="11">
        <f>IF(AU$39=0,"",IF(ISNUMBER(INDEX($D$42:$AD$42,AU$39)),FIXED(INDEX($D$42:$AD$42,AU$39)/1000,1),""))</f>
        <v>0</v>
      </c>
      <c r="AV67" s="11">
        <f>IF(AV$39=0,"",IF(ISNUMBER(INDEX($D$42:$AD$42,AV$39)),FIXED(INDEX($D$42:$AD$42,AV$39)/1000,1),""))</f>
        <v>0</v>
      </c>
      <c r="AW67" s="11">
        <f>IF(AW$39=0,"",IF(ISNUMBER(INDEX($D$42:$AD$42,AW$39)),FIXED(INDEX($D$42:$AD$42,AW$39)/1000,1),""))</f>
        <v>0</v>
      </c>
      <c r="AX67" s="11">
        <f>IF(AX$39=0,"",IF(ISNUMBER(INDEX($D$42:$AD$42,AX$39)),FIXED(INDEX($D$42:$AD$42,AX$39)/1000,1),""))</f>
        <v>0</v>
      </c>
      <c r="AY67" s="11">
        <f>IF(AY$39=0,"",IF(ISNUMBER(INDEX($D$42:$AD$42,AY$39)),FIXED(INDEX($D$42:$AD$42,AY$39)/1000,1),""))</f>
        <v>0</v>
      </c>
      <c r="AZ67" s="11">
        <f>IF(AZ$39=0,"",IF(ISNUMBER(INDEX($D$42:$AD$42,AZ$39)),FIXED(INDEX($D$42:$AD$42,AZ$39)/1000,1),""))</f>
        <v>0</v>
      </c>
      <c r="BA67" s="11">
        <f>IF(BA$39=0,"",IF(ISNUMBER(INDEX($D$42:$AD$42,BA$39)),FIXED(INDEX($D$42:$AD$42,BA$39)/1000,1),""))</f>
        <v>0</v>
      </c>
      <c r="BB67" s="11">
        <f>IF(BB$39=0,"",IF(ISNUMBER(INDEX($D$42:$AD$42,BB$39)),FIXED(INDEX($D$42:$AD$42,BB$39)/1000,1),""))</f>
        <v>0</v>
      </c>
      <c r="BC67" s="11">
        <f>IF(BC$39=0,"",IF(ISNUMBER(INDEX($D$42:$AD$42,BC$39)),FIXED(INDEX($D$42:$AD$42,BC$39)/1000,1),""))</f>
        <v>0</v>
      </c>
      <c r="BD67" s="11">
        <f>IF(BD$39=0,"",IF(ISNUMBER(INDEX($D$42:$AD$42,BD$39)),FIXED(INDEX($D$42:$AD$42,BD$39)/1000,1),""))</f>
        <v>0</v>
      </c>
      <c r="BE67" s="11">
        <f>IF(BE$39=0,"",IF(ISNUMBER(INDEX($D$42:$AD$42,BE$39)),FIXED(INDEX($D$42:$AD$42,BE$39)/1000,1),""))</f>
        <v>0</v>
      </c>
      <c r="BF67" s="11">
        <f>IF(BF$39=0,"",IF(ISNUMBER(INDEX($D$42:$AD$42,BF$39)),FIXED(INDEX($D$42:$AD$42,BF$39)/1000,1),""))</f>
        <v>0</v>
      </c>
      <c r="BG67" s="11">
        <f>IF(BG$39=0,"",IF(ISNUMBER(INDEX($D$42:$AD$42,BG$39)),FIXED(INDEX($D$42:$AD$42,BG$39)/1000,1),""))</f>
        <v>0</v>
      </c>
      <c r="BH67" s="11">
        <f>IF(BH$39=0,"",IF(ISNUMBER(INDEX($D$42:$AD$42,BH$39)),FIXED(INDEX($D$42:$AD$42,BH$39)/1000,1),""))</f>
        <v>0</v>
      </c>
      <c r="BI67" s="11">
        <f>IF(BI$39=0,"",IF(ISNUMBER(INDEX($D$42:$AD$42,BI$39)),FIXED(INDEX($D$42:$AD$42,BI$39)/1000,1),""))</f>
        <v>0</v>
      </c>
      <c r="BJ67" s="11">
        <f>IF(BJ$39=0,"",IF(ISNUMBER(INDEX($D$42:$AD$42,BJ$39)),FIXED(INDEX($D$42:$AD$42,BJ$39)/1000,1),""))</f>
        <v>0</v>
      </c>
      <c r="BK67" s="11">
        <f>IF(BK$39=0,"",IF(ISNUMBER(INDEX($D$42:$AD$42,BK$39)),FIXED(INDEX($D$42:$AD$42,BK$39)/1000,1),""))</f>
        <v>0</v>
      </c>
      <c r="BL67" s="11">
        <f>IF(BL$39=0,"",IF(ISNUMBER(INDEX($D$42:$AD$42,BL$39)),FIXED(INDEX($D$42:$AD$42,BL$39)/1000,1),""))</f>
        <v>0</v>
      </c>
      <c r="BM67" s="11">
        <f>IF(BM$39=0,"",IF(ISNUMBER(INDEX($D$42:$AD$42,BM$39)),FIXED(INDEX($D$42:$AD$42,BM$39)/1000,1),""))</f>
        <v>0</v>
      </c>
      <c r="BN67" s="11">
        <f>IF(BN$39=0,"",IF(ISNUMBER(INDEX($D$42:$AD$42,BN$39)),FIXED(INDEX($D$42:$AD$42,BN$39)/1000,1),""))</f>
        <v>0</v>
      </c>
      <c r="BO67" s="11">
        <f>IF(BO$39=0,"",IF(ISNUMBER(INDEX($D$42:$AD$42,BO$39)),FIXED(INDEX($D$42:$AD$42,BO$39)/1000,1),""))</f>
        <v>0</v>
      </c>
      <c r="BP67" s="11">
        <f>IF(BP$39=0,"",IF(ISNUMBER(INDEX($D$42:$AD$42,BP$39)),FIXED(INDEX($D$42:$AD$42,BP$39)/1000,1),""))</f>
        <v>0</v>
      </c>
    </row>
    <row r="68" spans="1:68">
      <c r="A68" s="11" t="s">
        <v>199</v>
      </c>
      <c r="B68" s="11" t="s">
        <v>200</v>
      </c>
      <c r="C68" s="3" t="s">
        <v>144</v>
      </c>
      <c r="AQ68" s="5">
        <f>IF(AQ$39=0,NA(),(_xlfn.AGGREGATE(9,6,INDEX($D$44:$AD$44,MAX(1,$D$37+1-$D$36)):INDEX($D$44:$AD$44,$D$37))&gt;_xlfn.AGGREGATE(9,6,INDEX($D$42:$AD$42,MAX(1,$D$37+1-$D$36)):INDEX($D$42:$AD$42,$D$37)))+(_xlfn.AGGREGATE(9,6,INDEX($D$44:$AD$44,MAX(1,$D$37+1-$D$36)):INDEX($D$44:$AD$44,$D$37))&gt;_xlfn.AGGREGATE(9,6,INDEX($D$43:$AD$43,MAX(1,$D$37+1-$D$36)):INDEX($D$43:$AD$43,$D$37))))</f>
        <v>0</v>
      </c>
      <c r="AR68" s="5">
        <f>IF(AR$39=0,NA(),(_xlfn.AGGREGATE(9,6,INDEX($D$44:$AD$44,MAX(1,$D$37+1-$D$36)):INDEX($D$44:$AD$44,$D$37))&gt;_xlfn.AGGREGATE(9,6,INDEX($D$42:$AD$42,MAX(1,$D$37+1-$D$36)):INDEX($D$42:$AD$42,$D$37)))+(_xlfn.AGGREGATE(9,6,INDEX($D$44:$AD$44,MAX(1,$D$37+1-$D$36)):INDEX($D$44:$AD$44,$D$37))&gt;_xlfn.AGGREGATE(9,6,INDEX($D$43:$AD$43,MAX(1,$D$37+1-$D$36)):INDEX($D$43:$AD$43,$D$37))))</f>
        <v>0</v>
      </c>
      <c r="AS68" s="5">
        <f>IF(AS$39=0,NA(),(_xlfn.AGGREGATE(9,6,INDEX($D$44:$AD$44,MAX(1,$D$37+1-$D$36)):INDEX($D$44:$AD$44,$D$37))&gt;_xlfn.AGGREGATE(9,6,INDEX($D$42:$AD$42,MAX(1,$D$37+1-$D$36)):INDEX($D$42:$AD$42,$D$37)))+(_xlfn.AGGREGATE(9,6,INDEX($D$44:$AD$44,MAX(1,$D$37+1-$D$36)):INDEX($D$44:$AD$44,$D$37))&gt;_xlfn.AGGREGATE(9,6,INDEX($D$43:$AD$43,MAX(1,$D$37+1-$D$36)):INDEX($D$43:$AD$43,$D$37))))</f>
        <v>0</v>
      </c>
      <c r="AT68" s="5">
        <f>IF(AT$39=0,NA(),(_xlfn.AGGREGATE(9,6,INDEX($D$44:$AD$44,MAX(1,$D$37+1-$D$36)):INDEX($D$44:$AD$44,$D$37))&gt;_xlfn.AGGREGATE(9,6,INDEX($D$42:$AD$42,MAX(1,$D$37+1-$D$36)):INDEX($D$42:$AD$42,$D$37)))+(_xlfn.AGGREGATE(9,6,INDEX($D$44:$AD$44,MAX(1,$D$37+1-$D$36)):INDEX($D$44:$AD$44,$D$37))&gt;_xlfn.AGGREGATE(9,6,INDEX($D$43:$AD$43,MAX(1,$D$37+1-$D$36)):INDEX($D$43:$AD$43,$D$37))))</f>
        <v>0</v>
      </c>
      <c r="AU68" s="5">
        <f>IF(AU$39=0,NA(),(_xlfn.AGGREGATE(9,6,INDEX($D$44:$AD$44,MAX(1,$D$37+1-$D$36)):INDEX($D$44:$AD$44,$D$37))&gt;_xlfn.AGGREGATE(9,6,INDEX($D$42:$AD$42,MAX(1,$D$37+1-$D$36)):INDEX($D$42:$AD$42,$D$37)))+(_xlfn.AGGREGATE(9,6,INDEX($D$44:$AD$44,MAX(1,$D$37+1-$D$36)):INDEX($D$44:$AD$44,$D$37))&gt;_xlfn.AGGREGATE(9,6,INDEX($D$43:$AD$43,MAX(1,$D$37+1-$D$36)):INDEX($D$43:$AD$43,$D$37))))</f>
        <v>0</v>
      </c>
      <c r="AV68" s="5">
        <f>IF(AV$39=0,NA(),(_xlfn.AGGREGATE(9,6,INDEX($D$44:$AD$44,MAX(1,$D$37+1-$D$36)):INDEX($D$44:$AD$44,$D$37))&gt;_xlfn.AGGREGATE(9,6,INDEX($D$42:$AD$42,MAX(1,$D$37+1-$D$36)):INDEX($D$42:$AD$42,$D$37)))+(_xlfn.AGGREGATE(9,6,INDEX($D$44:$AD$44,MAX(1,$D$37+1-$D$36)):INDEX($D$44:$AD$44,$D$37))&gt;_xlfn.AGGREGATE(9,6,INDEX($D$43:$AD$43,MAX(1,$D$37+1-$D$36)):INDEX($D$43:$AD$43,$D$37))))</f>
        <v>0</v>
      </c>
      <c r="AW68" s="5">
        <f>IF(AW$39=0,NA(),(_xlfn.AGGREGATE(9,6,INDEX($D$44:$AD$44,MAX(1,$D$37+1-$D$36)):INDEX($D$44:$AD$44,$D$37))&gt;_xlfn.AGGREGATE(9,6,INDEX($D$42:$AD$42,MAX(1,$D$37+1-$D$36)):INDEX($D$42:$AD$42,$D$37)))+(_xlfn.AGGREGATE(9,6,INDEX($D$44:$AD$44,MAX(1,$D$37+1-$D$36)):INDEX($D$44:$AD$44,$D$37))&gt;_xlfn.AGGREGATE(9,6,INDEX($D$43:$AD$43,MAX(1,$D$37+1-$D$36)):INDEX($D$43:$AD$43,$D$37))))</f>
        <v>0</v>
      </c>
      <c r="AX68" s="5">
        <f>IF(AX$39=0,NA(),(_xlfn.AGGREGATE(9,6,INDEX($D$44:$AD$44,MAX(1,$D$37+1-$D$36)):INDEX($D$44:$AD$44,$D$37))&gt;_xlfn.AGGREGATE(9,6,INDEX($D$42:$AD$42,MAX(1,$D$37+1-$D$36)):INDEX($D$42:$AD$42,$D$37)))+(_xlfn.AGGREGATE(9,6,INDEX($D$44:$AD$44,MAX(1,$D$37+1-$D$36)):INDEX($D$44:$AD$44,$D$37))&gt;_xlfn.AGGREGATE(9,6,INDEX($D$43:$AD$43,MAX(1,$D$37+1-$D$36)):INDEX($D$43:$AD$43,$D$37))))</f>
        <v>0</v>
      </c>
      <c r="AY68" s="5">
        <f>IF(AY$39=0,NA(),(_xlfn.AGGREGATE(9,6,INDEX($D$44:$AD$44,MAX(1,$D$37+1-$D$36)):INDEX($D$44:$AD$44,$D$37))&gt;_xlfn.AGGREGATE(9,6,INDEX($D$42:$AD$42,MAX(1,$D$37+1-$D$36)):INDEX($D$42:$AD$42,$D$37)))+(_xlfn.AGGREGATE(9,6,INDEX($D$44:$AD$44,MAX(1,$D$37+1-$D$36)):INDEX($D$44:$AD$44,$D$37))&gt;_xlfn.AGGREGATE(9,6,INDEX($D$43:$AD$43,MAX(1,$D$37+1-$D$36)):INDEX($D$43:$AD$43,$D$37))))</f>
        <v>0</v>
      </c>
      <c r="AZ68" s="5">
        <f>IF(AZ$39=0,NA(),(_xlfn.AGGREGATE(9,6,INDEX($D$44:$AD$44,MAX(1,$D$37+1-$D$36)):INDEX($D$44:$AD$44,$D$37))&gt;_xlfn.AGGREGATE(9,6,INDEX($D$42:$AD$42,MAX(1,$D$37+1-$D$36)):INDEX($D$42:$AD$42,$D$37)))+(_xlfn.AGGREGATE(9,6,INDEX($D$44:$AD$44,MAX(1,$D$37+1-$D$36)):INDEX($D$44:$AD$44,$D$37))&gt;_xlfn.AGGREGATE(9,6,INDEX($D$43:$AD$43,MAX(1,$D$37+1-$D$36)):INDEX($D$43:$AD$43,$D$37))))</f>
        <v>0</v>
      </c>
      <c r="BA68" s="5">
        <f>IF(BA$39=0,NA(),(_xlfn.AGGREGATE(9,6,INDEX($D$44:$AD$44,MAX(1,$D$37+1-$D$36)):INDEX($D$44:$AD$44,$D$37))&gt;_xlfn.AGGREGATE(9,6,INDEX($D$42:$AD$42,MAX(1,$D$37+1-$D$36)):INDEX($D$42:$AD$42,$D$37)))+(_xlfn.AGGREGATE(9,6,INDEX($D$44:$AD$44,MAX(1,$D$37+1-$D$36)):INDEX($D$44:$AD$44,$D$37))&gt;_xlfn.AGGREGATE(9,6,INDEX($D$43:$AD$43,MAX(1,$D$37+1-$D$36)):INDEX($D$43:$AD$43,$D$37))))</f>
        <v>0</v>
      </c>
      <c r="BB68" s="5">
        <f>IF(BB$39=0,NA(),(_xlfn.AGGREGATE(9,6,INDEX($D$44:$AD$44,MAX(1,$D$37+1-$D$36)):INDEX($D$44:$AD$44,$D$37))&gt;_xlfn.AGGREGATE(9,6,INDEX($D$42:$AD$42,MAX(1,$D$37+1-$D$36)):INDEX($D$42:$AD$42,$D$37)))+(_xlfn.AGGREGATE(9,6,INDEX($D$44:$AD$44,MAX(1,$D$37+1-$D$36)):INDEX($D$44:$AD$44,$D$37))&gt;_xlfn.AGGREGATE(9,6,INDEX($D$43:$AD$43,MAX(1,$D$37+1-$D$36)):INDEX($D$43:$AD$43,$D$37))))</f>
        <v>0</v>
      </c>
      <c r="BC68" s="5">
        <f>IF(BC$39=0,NA(),(_xlfn.AGGREGATE(9,6,INDEX($D$44:$AD$44,MAX(1,$D$37+1-$D$36)):INDEX($D$44:$AD$44,$D$37))&gt;_xlfn.AGGREGATE(9,6,INDEX($D$42:$AD$42,MAX(1,$D$37+1-$D$36)):INDEX($D$42:$AD$42,$D$37)))+(_xlfn.AGGREGATE(9,6,INDEX($D$44:$AD$44,MAX(1,$D$37+1-$D$36)):INDEX($D$44:$AD$44,$D$37))&gt;_xlfn.AGGREGATE(9,6,INDEX($D$43:$AD$43,MAX(1,$D$37+1-$D$36)):INDEX($D$43:$AD$43,$D$37))))</f>
        <v>0</v>
      </c>
      <c r="BD68" s="5">
        <f>IF(BD$39=0,NA(),(_xlfn.AGGREGATE(9,6,INDEX($D$44:$AD$44,MAX(1,$D$37+1-$D$36)):INDEX($D$44:$AD$44,$D$37))&gt;_xlfn.AGGREGATE(9,6,INDEX($D$42:$AD$42,MAX(1,$D$37+1-$D$36)):INDEX($D$42:$AD$42,$D$37)))+(_xlfn.AGGREGATE(9,6,INDEX($D$44:$AD$44,MAX(1,$D$37+1-$D$36)):INDEX($D$44:$AD$44,$D$37))&gt;_xlfn.AGGREGATE(9,6,INDEX($D$43:$AD$43,MAX(1,$D$37+1-$D$36)):INDEX($D$43:$AD$43,$D$37))))</f>
        <v>0</v>
      </c>
      <c r="BE68" s="5">
        <f>IF(BE$39=0,NA(),(_xlfn.AGGREGATE(9,6,INDEX($D$44:$AD$44,MAX(1,$D$37+1-$D$36)):INDEX($D$44:$AD$44,$D$37))&gt;_xlfn.AGGREGATE(9,6,INDEX($D$42:$AD$42,MAX(1,$D$37+1-$D$36)):INDEX($D$42:$AD$42,$D$37)))+(_xlfn.AGGREGATE(9,6,INDEX($D$44:$AD$44,MAX(1,$D$37+1-$D$36)):INDEX($D$44:$AD$44,$D$37))&gt;_xlfn.AGGREGATE(9,6,INDEX($D$43:$AD$43,MAX(1,$D$37+1-$D$36)):INDEX($D$43:$AD$43,$D$37))))</f>
        <v>0</v>
      </c>
      <c r="BF68" s="5">
        <f>IF(BF$39=0,NA(),(_xlfn.AGGREGATE(9,6,INDEX($D$44:$AD$44,MAX(1,$D$37+1-$D$36)):INDEX($D$44:$AD$44,$D$37))&gt;_xlfn.AGGREGATE(9,6,INDEX($D$42:$AD$42,MAX(1,$D$37+1-$D$36)):INDEX($D$42:$AD$42,$D$37)))+(_xlfn.AGGREGATE(9,6,INDEX($D$44:$AD$44,MAX(1,$D$37+1-$D$36)):INDEX($D$44:$AD$44,$D$37))&gt;_xlfn.AGGREGATE(9,6,INDEX($D$43:$AD$43,MAX(1,$D$37+1-$D$36)):INDEX($D$43:$AD$43,$D$37))))</f>
        <v>0</v>
      </c>
      <c r="BG68" s="5">
        <f>IF(BG$39=0,NA(),(_xlfn.AGGREGATE(9,6,INDEX($D$44:$AD$44,MAX(1,$D$37+1-$D$36)):INDEX($D$44:$AD$44,$D$37))&gt;_xlfn.AGGREGATE(9,6,INDEX($D$42:$AD$42,MAX(1,$D$37+1-$D$36)):INDEX($D$42:$AD$42,$D$37)))+(_xlfn.AGGREGATE(9,6,INDEX($D$44:$AD$44,MAX(1,$D$37+1-$D$36)):INDEX($D$44:$AD$44,$D$37))&gt;_xlfn.AGGREGATE(9,6,INDEX($D$43:$AD$43,MAX(1,$D$37+1-$D$36)):INDEX($D$43:$AD$43,$D$37))))</f>
        <v>0</v>
      </c>
      <c r="BH68" s="5">
        <f>IF(BH$39=0,NA(),(_xlfn.AGGREGATE(9,6,INDEX($D$44:$AD$44,MAX(1,$D$37+1-$D$36)):INDEX($D$44:$AD$44,$D$37))&gt;_xlfn.AGGREGATE(9,6,INDEX($D$42:$AD$42,MAX(1,$D$37+1-$D$36)):INDEX($D$42:$AD$42,$D$37)))+(_xlfn.AGGREGATE(9,6,INDEX($D$44:$AD$44,MAX(1,$D$37+1-$D$36)):INDEX($D$44:$AD$44,$D$37))&gt;_xlfn.AGGREGATE(9,6,INDEX($D$43:$AD$43,MAX(1,$D$37+1-$D$36)):INDEX($D$43:$AD$43,$D$37))))</f>
        <v>0</v>
      </c>
      <c r="BI68" s="5">
        <f>IF(BI$39=0,NA(),(_xlfn.AGGREGATE(9,6,INDEX($D$44:$AD$44,MAX(1,$D$37+1-$D$36)):INDEX($D$44:$AD$44,$D$37))&gt;_xlfn.AGGREGATE(9,6,INDEX($D$42:$AD$42,MAX(1,$D$37+1-$D$36)):INDEX($D$42:$AD$42,$D$37)))+(_xlfn.AGGREGATE(9,6,INDEX($D$44:$AD$44,MAX(1,$D$37+1-$D$36)):INDEX($D$44:$AD$44,$D$37))&gt;_xlfn.AGGREGATE(9,6,INDEX($D$43:$AD$43,MAX(1,$D$37+1-$D$36)):INDEX($D$43:$AD$43,$D$37))))</f>
        <v>0</v>
      </c>
      <c r="BJ68" s="5">
        <f>IF(BJ$39=0,NA(),(_xlfn.AGGREGATE(9,6,INDEX($D$44:$AD$44,MAX(1,$D$37+1-$D$36)):INDEX($D$44:$AD$44,$D$37))&gt;_xlfn.AGGREGATE(9,6,INDEX($D$42:$AD$42,MAX(1,$D$37+1-$D$36)):INDEX($D$42:$AD$42,$D$37)))+(_xlfn.AGGREGATE(9,6,INDEX($D$44:$AD$44,MAX(1,$D$37+1-$D$36)):INDEX($D$44:$AD$44,$D$37))&gt;_xlfn.AGGREGATE(9,6,INDEX($D$43:$AD$43,MAX(1,$D$37+1-$D$36)):INDEX($D$43:$AD$43,$D$37))))</f>
        <v>0</v>
      </c>
      <c r="BK68" s="5">
        <f>IF(BK$39=0,NA(),(_xlfn.AGGREGATE(9,6,INDEX($D$44:$AD$44,MAX(1,$D$37+1-$D$36)):INDEX($D$44:$AD$44,$D$37))&gt;_xlfn.AGGREGATE(9,6,INDEX($D$42:$AD$42,MAX(1,$D$37+1-$D$36)):INDEX($D$42:$AD$42,$D$37)))+(_xlfn.AGGREGATE(9,6,INDEX($D$44:$AD$44,MAX(1,$D$37+1-$D$36)):INDEX($D$44:$AD$44,$D$37))&gt;_xlfn.AGGREGATE(9,6,INDEX($D$43:$AD$43,MAX(1,$D$37+1-$D$36)):INDEX($D$43:$AD$43,$D$37))))</f>
        <v>0</v>
      </c>
      <c r="BL68" s="5">
        <f>IF(BL$39=0,NA(),(_xlfn.AGGREGATE(9,6,INDEX($D$44:$AD$44,MAX(1,$D$37+1-$D$36)):INDEX($D$44:$AD$44,$D$37))&gt;_xlfn.AGGREGATE(9,6,INDEX($D$42:$AD$42,MAX(1,$D$37+1-$D$36)):INDEX($D$42:$AD$42,$D$37)))+(_xlfn.AGGREGATE(9,6,INDEX($D$44:$AD$44,MAX(1,$D$37+1-$D$36)):INDEX($D$44:$AD$44,$D$37))&gt;_xlfn.AGGREGATE(9,6,INDEX($D$43:$AD$43,MAX(1,$D$37+1-$D$36)):INDEX($D$43:$AD$43,$D$37))))</f>
        <v>0</v>
      </c>
      <c r="BM68" s="5">
        <f>IF(BM$39=0,NA(),(_xlfn.AGGREGATE(9,6,INDEX($D$44:$AD$44,MAX(1,$D$37+1-$D$36)):INDEX($D$44:$AD$44,$D$37))&gt;_xlfn.AGGREGATE(9,6,INDEX($D$42:$AD$42,MAX(1,$D$37+1-$D$36)):INDEX($D$42:$AD$42,$D$37)))+(_xlfn.AGGREGATE(9,6,INDEX($D$44:$AD$44,MAX(1,$D$37+1-$D$36)):INDEX($D$44:$AD$44,$D$37))&gt;_xlfn.AGGREGATE(9,6,INDEX($D$43:$AD$43,MAX(1,$D$37+1-$D$36)):INDEX($D$43:$AD$43,$D$37))))</f>
        <v>0</v>
      </c>
      <c r="BN68" s="5">
        <f>IF(BN$39=0,NA(),(_xlfn.AGGREGATE(9,6,INDEX($D$44:$AD$44,MAX(1,$D$37+1-$D$36)):INDEX($D$44:$AD$44,$D$37))&gt;_xlfn.AGGREGATE(9,6,INDEX($D$42:$AD$42,MAX(1,$D$37+1-$D$36)):INDEX($D$42:$AD$42,$D$37)))+(_xlfn.AGGREGATE(9,6,INDEX($D$44:$AD$44,MAX(1,$D$37+1-$D$36)):INDEX($D$44:$AD$44,$D$37))&gt;_xlfn.AGGREGATE(9,6,INDEX($D$43:$AD$43,MAX(1,$D$37+1-$D$36)):INDEX($D$43:$AD$43,$D$37))))</f>
        <v>0</v>
      </c>
      <c r="BO68" s="5">
        <f>IF(BO$39=0,NA(),(_xlfn.AGGREGATE(9,6,INDEX($D$44:$AD$44,MAX(1,$D$37+1-$D$36)):INDEX($D$44:$AD$44,$D$37))&gt;_xlfn.AGGREGATE(9,6,INDEX($D$42:$AD$42,MAX(1,$D$37+1-$D$36)):INDEX($D$42:$AD$42,$D$37)))+(_xlfn.AGGREGATE(9,6,INDEX($D$44:$AD$44,MAX(1,$D$37+1-$D$36)):INDEX($D$44:$AD$44,$D$37))&gt;_xlfn.AGGREGATE(9,6,INDEX($D$43:$AD$43,MAX(1,$D$37+1-$D$36)):INDEX($D$43:$AD$43,$D$37))))</f>
        <v>0</v>
      </c>
      <c r="BP68" s="5">
        <f>IF(BP$39=0,NA(),(_xlfn.AGGREGATE(9,6,INDEX($D$44:$AD$44,MAX(1,$D$37+1-$D$36)):INDEX($D$44:$AD$44,$D$37))&gt;_xlfn.AGGREGATE(9,6,INDEX($D$42:$AD$42,MAX(1,$D$37+1-$D$36)):INDEX($D$42:$AD$42,$D$37)))+(_xlfn.AGGREGATE(9,6,INDEX($D$44:$AD$44,MAX(1,$D$37+1-$D$36)):INDEX($D$44:$AD$44,$D$37))&gt;_xlfn.AGGREGATE(9,6,INDEX($D$43:$AD$43,MAX(1,$D$37+1-$D$36)):INDEX($D$43:$AD$43,$D$37))))</f>
        <v>0</v>
      </c>
    </row>
    <row r="69" spans="1:68">
      <c r="A69" s="11" t="s">
        <v>201</v>
      </c>
      <c r="B69" s="11" t="s">
        <v>202</v>
      </c>
      <c r="C69" s="3" t="s">
        <v>144</v>
      </c>
      <c r="AQ69" s="11">
        <f>IF(AQ$39=0,"",IF(ISNUMBER(INDEX($D$44:$AD$44,AQ$39)),FIXED(INDEX($D$44:$AD$44,AQ$39)/1000,1),""))</f>
        <v>0</v>
      </c>
      <c r="AR69" s="11">
        <f>IF(AR$39=0,"",IF(ISNUMBER(INDEX($D$44:$AD$44,AR$39)),FIXED(INDEX($D$44:$AD$44,AR$39)/1000,1),""))</f>
        <v>0</v>
      </c>
      <c r="AS69" s="11">
        <f>IF(AS$39=0,"",IF(ISNUMBER(INDEX($D$44:$AD$44,AS$39)),FIXED(INDEX($D$44:$AD$44,AS$39)/1000,1),""))</f>
        <v>0</v>
      </c>
      <c r="AT69" s="11">
        <f>IF(AT$39=0,"",IF(ISNUMBER(INDEX($D$44:$AD$44,AT$39)),FIXED(INDEX($D$44:$AD$44,AT$39)/1000,1),""))</f>
        <v>0</v>
      </c>
      <c r="AU69" s="11">
        <f>IF(AU$39=0,"",IF(ISNUMBER(INDEX($D$44:$AD$44,AU$39)),FIXED(INDEX($D$44:$AD$44,AU$39)/1000,1),""))</f>
        <v>0</v>
      </c>
      <c r="AV69" s="11">
        <f>IF(AV$39=0,"",IF(ISNUMBER(INDEX($D$44:$AD$44,AV$39)),FIXED(INDEX($D$44:$AD$44,AV$39)/1000,1),""))</f>
        <v>0</v>
      </c>
      <c r="AW69" s="11">
        <f>IF(AW$39=0,"",IF(ISNUMBER(INDEX($D$44:$AD$44,AW$39)),FIXED(INDEX($D$44:$AD$44,AW$39)/1000,1),""))</f>
        <v>0</v>
      </c>
      <c r="AX69" s="11">
        <f>IF(AX$39=0,"",IF(ISNUMBER(INDEX($D$44:$AD$44,AX$39)),FIXED(INDEX($D$44:$AD$44,AX$39)/1000,1),""))</f>
        <v>0</v>
      </c>
      <c r="AY69" s="11">
        <f>IF(AY$39=0,"",IF(ISNUMBER(INDEX($D$44:$AD$44,AY$39)),FIXED(INDEX($D$44:$AD$44,AY$39)/1000,1),""))</f>
        <v>0</v>
      </c>
      <c r="AZ69" s="11">
        <f>IF(AZ$39=0,"",IF(ISNUMBER(INDEX($D$44:$AD$44,AZ$39)),FIXED(INDEX($D$44:$AD$44,AZ$39)/1000,1),""))</f>
        <v>0</v>
      </c>
      <c r="BA69" s="11">
        <f>IF(BA$39=0,"",IF(ISNUMBER(INDEX($D$44:$AD$44,BA$39)),FIXED(INDEX($D$44:$AD$44,BA$39)/1000,1),""))</f>
        <v>0</v>
      </c>
      <c r="BB69" s="11">
        <f>IF(BB$39=0,"",IF(ISNUMBER(INDEX($D$44:$AD$44,BB$39)),FIXED(INDEX($D$44:$AD$44,BB$39)/1000,1),""))</f>
        <v>0</v>
      </c>
      <c r="BC69" s="11">
        <f>IF(BC$39=0,"",IF(ISNUMBER(INDEX($D$44:$AD$44,BC$39)),FIXED(INDEX($D$44:$AD$44,BC$39)/1000,1),""))</f>
        <v>0</v>
      </c>
      <c r="BD69" s="11">
        <f>IF(BD$39=0,"",IF(ISNUMBER(INDEX($D$44:$AD$44,BD$39)),FIXED(INDEX($D$44:$AD$44,BD$39)/1000,1),""))</f>
        <v>0</v>
      </c>
      <c r="BE69" s="11">
        <f>IF(BE$39=0,"",IF(ISNUMBER(INDEX($D$44:$AD$44,BE$39)),FIXED(INDEX($D$44:$AD$44,BE$39)/1000,1),""))</f>
        <v>0</v>
      </c>
      <c r="BF69" s="11">
        <f>IF(BF$39=0,"",IF(ISNUMBER(INDEX($D$44:$AD$44,BF$39)),FIXED(INDEX($D$44:$AD$44,BF$39)/1000,1),""))</f>
        <v>0</v>
      </c>
      <c r="BG69" s="11">
        <f>IF(BG$39=0,"",IF(ISNUMBER(INDEX($D$44:$AD$44,BG$39)),FIXED(INDEX($D$44:$AD$44,BG$39)/1000,1),""))</f>
        <v>0</v>
      </c>
      <c r="BH69" s="11">
        <f>IF(BH$39=0,"",IF(ISNUMBER(INDEX($D$44:$AD$44,BH$39)),FIXED(INDEX($D$44:$AD$44,BH$39)/1000,1),""))</f>
        <v>0</v>
      </c>
      <c r="BI69" s="11">
        <f>IF(BI$39=0,"",IF(ISNUMBER(INDEX($D$44:$AD$44,BI$39)),FIXED(INDEX($D$44:$AD$44,BI$39)/1000,1),""))</f>
        <v>0</v>
      </c>
      <c r="BJ69" s="11">
        <f>IF(BJ$39=0,"",IF(ISNUMBER(INDEX($D$44:$AD$44,BJ$39)),FIXED(INDEX($D$44:$AD$44,BJ$39)/1000,1),""))</f>
        <v>0</v>
      </c>
      <c r="BK69" s="11">
        <f>IF(BK$39=0,"",IF(ISNUMBER(INDEX($D$44:$AD$44,BK$39)),FIXED(INDEX($D$44:$AD$44,BK$39)/1000,1),""))</f>
        <v>0</v>
      </c>
      <c r="BL69" s="11">
        <f>IF(BL$39=0,"",IF(ISNUMBER(INDEX($D$44:$AD$44,BL$39)),FIXED(INDEX($D$44:$AD$44,BL$39)/1000,1),""))</f>
        <v>0</v>
      </c>
      <c r="BM69" s="11">
        <f>IF(BM$39=0,"",IF(ISNUMBER(INDEX($D$44:$AD$44,BM$39)),FIXED(INDEX($D$44:$AD$44,BM$39)/1000,1),""))</f>
        <v>0</v>
      </c>
      <c r="BN69" s="11">
        <f>IF(BN$39=0,"",IF(ISNUMBER(INDEX($D$44:$AD$44,BN$39)),FIXED(INDEX($D$44:$AD$44,BN$39)/1000,1),""))</f>
        <v>0</v>
      </c>
      <c r="BO69" s="11">
        <f>IF(BO$39=0,"",IF(ISNUMBER(INDEX($D$44:$AD$44,BO$39)),FIXED(INDEX($D$44:$AD$44,BO$39)/1000,1),""))</f>
        <v>0</v>
      </c>
      <c r="BP69" s="11">
        <f>IF(BP$39=0,"",IF(ISNUMBER(INDEX($D$44:$AD$44,BP$39)),FIXED(INDEX($D$44:$AD$44,BP$39)/1000,1),""))</f>
        <v>0</v>
      </c>
    </row>
    <row r="70" spans="1:68">
      <c r="A70" s="11" t="s">
        <v>203</v>
      </c>
      <c r="B70" s="11" t="s">
        <v>204</v>
      </c>
      <c r="C70" s="3" t="s">
        <v>144</v>
      </c>
      <c r="AQ70" s="5">
        <f>IF(AQ$39=0,NA(),IF(ISNUMBER(INDEX($D$43:$AD$43,AQ$39)),(IF(AQ66&gt;AQ64,N(INDEX($D$42:$AD$42,AQ$39)),0)+IF(AQ68&gt;AQ64,N(INDEX($D$44:$AD$44,AQ$39)),0)+INDEX($D$43:$AD$43,AQ$39)/2)/AQ59,NA()))</f>
        <v>0</v>
      </c>
      <c r="AR70" s="5">
        <f>IF(AR$39=0,NA(),IF(ISNUMBER(INDEX($D$43:$AD$43,AR$39)),(IF(AR66&gt;AR64,N(INDEX($D$42:$AD$42,AR$39)),0)+IF(AR68&gt;AR64,N(INDEX($D$44:$AD$44,AR$39)),0)+INDEX($D$43:$AD$43,AR$39)/2)/AR59,NA()))</f>
        <v>0</v>
      </c>
      <c r="AS70" s="5">
        <f>IF(AS$39=0,NA(),IF(ISNUMBER(INDEX($D$43:$AD$43,AS$39)),(IF(AS66&gt;AS64,N(INDEX($D$42:$AD$42,AS$39)),0)+IF(AS68&gt;AS64,N(INDEX($D$44:$AD$44,AS$39)),0)+INDEX($D$43:$AD$43,AS$39)/2)/AS59,NA()))</f>
        <v>0</v>
      </c>
      <c r="AT70" s="5">
        <f>IF(AT$39=0,NA(),IF(ISNUMBER(INDEX($D$43:$AD$43,AT$39)),(IF(AT66&gt;AT64,N(INDEX($D$42:$AD$42,AT$39)),0)+IF(AT68&gt;AT64,N(INDEX($D$44:$AD$44,AT$39)),0)+INDEX($D$43:$AD$43,AT$39)/2)/AT59,NA()))</f>
        <v>0</v>
      </c>
      <c r="AU70" s="5">
        <f>IF(AU$39=0,NA(),IF(ISNUMBER(INDEX($D$43:$AD$43,AU$39)),(IF(AU66&gt;AU64,N(INDEX($D$42:$AD$42,AU$39)),0)+IF(AU68&gt;AU64,N(INDEX($D$44:$AD$44,AU$39)),0)+INDEX($D$43:$AD$43,AU$39)/2)/AU59,NA()))</f>
        <v>0</v>
      </c>
      <c r="AV70" s="5">
        <f>IF(AV$39=0,NA(),IF(ISNUMBER(INDEX($D$43:$AD$43,AV$39)),(IF(AV66&gt;AV64,N(INDEX($D$42:$AD$42,AV$39)),0)+IF(AV68&gt;AV64,N(INDEX($D$44:$AD$44,AV$39)),0)+INDEX($D$43:$AD$43,AV$39)/2)/AV59,NA()))</f>
        <v>0</v>
      </c>
      <c r="AW70" s="5">
        <f>IF(AW$39=0,NA(),IF(ISNUMBER(INDEX($D$43:$AD$43,AW$39)),(IF(AW66&gt;AW64,N(INDEX($D$42:$AD$42,AW$39)),0)+IF(AW68&gt;AW64,N(INDEX($D$44:$AD$44,AW$39)),0)+INDEX($D$43:$AD$43,AW$39)/2)/AW59,NA()))</f>
        <v>0</v>
      </c>
      <c r="AX70" s="5">
        <f>IF(AX$39=0,NA(),IF(ISNUMBER(INDEX($D$43:$AD$43,AX$39)),(IF(AX66&gt;AX64,N(INDEX($D$42:$AD$42,AX$39)),0)+IF(AX68&gt;AX64,N(INDEX($D$44:$AD$44,AX$39)),0)+INDEX($D$43:$AD$43,AX$39)/2)/AX59,NA()))</f>
        <v>0</v>
      </c>
      <c r="AY70" s="5">
        <f>IF(AY$39=0,NA(),IF(ISNUMBER(INDEX($D$43:$AD$43,AY$39)),(IF(AY66&gt;AY64,N(INDEX($D$42:$AD$42,AY$39)),0)+IF(AY68&gt;AY64,N(INDEX($D$44:$AD$44,AY$39)),0)+INDEX($D$43:$AD$43,AY$39)/2)/AY59,NA()))</f>
        <v>0</v>
      </c>
      <c r="AZ70" s="5">
        <f>IF(AZ$39=0,NA(),IF(ISNUMBER(INDEX($D$43:$AD$43,AZ$39)),(IF(AZ66&gt;AZ64,N(INDEX($D$42:$AD$42,AZ$39)),0)+IF(AZ68&gt;AZ64,N(INDEX($D$44:$AD$44,AZ$39)),0)+INDEX($D$43:$AD$43,AZ$39)/2)/AZ59,NA()))</f>
        <v>0</v>
      </c>
      <c r="BA70" s="5">
        <f>IF(BA$39=0,NA(),IF(ISNUMBER(INDEX($D$43:$AD$43,BA$39)),(IF(BA66&gt;BA64,N(INDEX($D$42:$AD$42,BA$39)),0)+IF(BA68&gt;BA64,N(INDEX($D$44:$AD$44,BA$39)),0)+INDEX($D$43:$AD$43,BA$39)/2)/BA59,NA()))</f>
        <v>0</v>
      </c>
      <c r="BB70" s="5">
        <f>IF(BB$39=0,NA(),IF(ISNUMBER(INDEX($D$43:$AD$43,BB$39)),(IF(BB66&gt;BB64,N(INDEX($D$42:$AD$42,BB$39)),0)+IF(BB68&gt;BB64,N(INDEX($D$44:$AD$44,BB$39)),0)+INDEX($D$43:$AD$43,BB$39)/2)/BB59,NA()))</f>
        <v>0</v>
      </c>
      <c r="BC70" s="5">
        <f>IF(BC$39=0,NA(),IF(ISNUMBER(INDEX($D$43:$AD$43,BC$39)),(IF(BC66&gt;BC64,N(INDEX($D$42:$AD$42,BC$39)),0)+IF(BC68&gt;BC64,N(INDEX($D$44:$AD$44,BC$39)),0)+INDEX($D$43:$AD$43,BC$39)/2)/BC59,NA()))</f>
        <v>0</v>
      </c>
      <c r="BD70" s="5">
        <f>IF(BD$39=0,NA(),IF(ISNUMBER(INDEX($D$43:$AD$43,BD$39)),(IF(BD66&gt;BD64,N(INDEX($D$42:$AD$42,BD$39)),0)+IF(BD68&gt;BD64,N(INDEX($D$44:$AD$44,BD$39)),0)+INDEX($D$43:$AD$43,BD$39)/2)/BD59,NA()))</f>
        <v>0</v>
      </c>
      <c r="BE70" s="5">
        <f>IF(BE$39=0,NA(),IF(ISNUMBER(INDEX($D$43:$AD$43,BE$39)),(IF(BE66&gt;BE64,N(INDEX($D$42:$AD$42,BE$39)),0)+IF(BE68&gt;BE64,N(INDEX($D$44:$AD$44,BE$39)),0)+INDEX($D$43:$AD$43,BE$39)/2)/BE59,NA()))</f>
        <v>0</v>
      </c>
      <c r="BF70" s="5">
        <f>IF(BF$39=0,NA(),IF(ISNUMBER(INDEX($D$43:$AD$43,BF$39)),(IF(BF66&gt;BF64,N(INDEX($D$42:$AD$42,BF$39)),0)+IF(BF68&gt;BF64,N(INDEX($D$44:$AD$44,BF$39)),0)+INDEX($D$43:$AD$43,BF$39)/2)/BF59,NA()))</f>
        <v>0</v>
      </c>
      <c r="BG70" s="5">
        <f>IF(BG$39=0,NA(),IF(ISNUMBER(INDEX($D$43:$AD$43,BG$39)),(IF(BG66&gt;BG64,N(INDEX($D$42:$AD$42,BG$39)),0)+IF(BG68&gt;BG64,N(INDEX($D$44:$AD$44,BG$39)),0)+INDEX($D$43:$AD$43,BG$39)/2)/BG59,NA()))</f>
        <v>0</v>
      </c>
      <c r="BH70" s="5">
        <f>IF(BH$39=0,NA(),IF(ISNUMBER(INDEX($D$43:$AD$43,BH$39)),(IF(BH66&gt;BH64,N(INDEX($D$42:$AD$42,BH$39)),0)+IF(BH68&gt;BH64,N(INDEX($D$44:$AD$44,BH$39)),0)+INDEX($D$43:$AD$43,BH$39)/2)/BH59,NA()))</f>
        <v>0</v>
      </c>
      <c r="BI70" s="5">
        <f>IF(BI$39=0,NA(),IF(ISNUMBER(INDEX($D$43:$AD$43,BI$39)),(IF(BI66&gt;BI64,N(INDEX($D$42:$AD$42,BI$39)),0)+IF(BI68&gt;BI64,N(INDEX($D$44:$AD$44,BI$39)),0)+INDEX($D$43:$AD$43,BI$39)/2)/BI59,NA()))</f>
        <v>0</v>
      </c>
      <c r="BJ70" s="5">
        <f>IF(BJ$39=0,NA(),IF(ISNUMBER(INDEX($D$43:$AD$43,BJ$39)),(IF(BJ66&gt;BJ64,N(INDEX($D$42:$AD$42,BJ$39)),0)+IF(BJ68&gt;BJ64,N(INDEX($D$44:$AD$44,BJ$39)),0)+INDEX($D$43:$AD$43,BJ$39)/2)/BJ59,NA()))</f>
        <v>0</v>
      </c>
      <c r="BK70" s="5">
        <f>IF(BK$39=0,NA(),IF(ISNUMBER(INDEX($D$43:$AD$43,BK$39)),(IF(BK66&gt;BK64,N(INDEX($D$42:$AD$42,BK$39)),0)+IF(BK68&gt;BK64,N(INDEX($D$44:$AD$44,BK$39)),0)+INDEX($D$43:$AD$43,BK$39)/2)/BK59,NA()))</f>
        <v>0</v>
      </c>
      <c r="BL70" s="5">
        <f>IF(BL$39=0,NA(),IF(ISNUMBER(INDEX($D$43:$AD$43,BL$39)),(IF(BL66&gt;BL64,N(INDEX($D$42:$AD$42,BL$39)),0)+IF(BL68&gt;BL64,N(INDEX($D$44:$AD$44,BL$39)),0)+INDEX($D$43:$AD$43,BL$39)/2)/BL59,NA()))</f>
        <v>0</v>
      </c>
      <c r="BM70" s="5">
        <f>IF(BM$39=0,NA(),IF(ISNUMBER(INDEX($D$43:$AD$43,BM$39)),(IF(BM66&gt;BM64,N(INDEX($D$42:$AD$42,BM$39)),0)+IF(BM68&gt;BM64,N(INDEX($D$44:$AD$44,BM$39)),0)+INDEX($D$43:$AD$43,BM$39)/2)/BM59,NA()))</f>
        <v>0</v>
      </c>
      <c r="BN70" s="5">
        <f>IF(BN$39=0,NA(),IF(ISNUMBER(INDEX($D$43:$AD$43,BN$39)),(IF(BN66&gt;BN64,N(INDEX($D$42:$AD$42,BN$39)),0)+IF(BN68&gt;BN64,N(INDEX($D$44:$AD$44,BN$39)),0)+INDEX($D$43:$AD$43,BN$39)/2)/BN59,NA()))</f>
        <v>0</v>
      </c>
      <c r="BO70" s="5">
        <f>IF(BO$39=0,NA(),IF(ISNUMBER(INDEX($D$43:$AD$43,BO$39)),(IF(BO66&gt;BO64,N(INDEX($D$42:$AD$42,BO$39)),0)+IF(BO68&gt;BO64,N(INDEX($D$44:$AD$44,BO$39)),0)+INDEX($D$43:$AD$43,BO$39)/2)/BO59,NA()))</f>
        <v>0</v>
      </c>
      <c r="BP70" s="5">
        <f>IF(BP$39=0,NA(),IF(ISNUMBER(INDEX($D$43:$AD$43,BP$39)),(IF(BP66&gt;BP64,N(INDEX($D$42:$AD$42,BP$39)),0)+IF(BP68&gt;BP64,N(INDEX($D$44:$AD$44,BP$39)),0)+INDEX($D$43:$AD$43,BP$39)/2)/BP59,NA()))</f>
        <v>0</v>
      </c>
    </row>
    <row r="71" spans="1:68">
      <c r="A71" s="11" t="s">
        <v>205</v>
      </c>
      <c r="B71" s="11" t="s">
        <v>206</v>
      </c>
      <c r="C71" s="3" t="s">
        <v>144</v>
      </c>
      <c r="AQ71" s="5">
        <f>IF(AQ$39=0,NA(),IF(ISNUMBER(INDEX($D$42:$AD$42,AQ$39)),(IF(AQ64&gt;AQ66,N(INDEX($D$43:$AD$43,AQ$39)),0)+IF(AQ68&gt;AQ66,N(INDEX($D$44:$AD$44,AQ$39)),0)+INDEX($D$42:$AD$42,AQ$39)/2)/AQ59,NA()))</f>
        <v>0</v>
      </c>
      <c r="AR71" s="5">
        <f>IF(AR$39=0,NA(),IF(ISNUMBER(INDEX($D$42:$AD$42,AR$39)),(IF(AR64&gt;AR66,N(INDEX($D$43:$AD$43,AR$39)),0)+IF(AR68&gt;AR66,N(INDEX($D$44:$AD$44,AR$39)),0)+INDEX($D$42:$AD$42,AR$39)/2)/AR59,NA()))</f>
        <v>0</v>
      </c>
      <c r="AS71" s="5">
        <f>IF(AS$39=0,NA(),IF(ISNUMBER(INDEX($D$42:$AD$42,AS$39)),(IF(AS64&gt;AS66,N(INDEX($D$43:$AD$43,AS$39)),0)+IF(AS68&gt;AS66,N(INDEX($D$44:$AD$44,AS$39)),0)+INDEX($D$42:$AD$42,AS$39)/2)/AS59,NA()))</f>
        <v>0</v>
      </c>
      <c r="AT71" s="5">
        <f>IF(AT$39=0,NA(),IF(ISNUMBER(INDEX($D$42:$AD$42,AT$39)),(IF(AT64&gt;AT66,N(INDEX($D$43:$AD$43,AT$39)),0)+IF(AT68&gt;AT66,N(INDEX($D$44:$AD$44,AT$39)),0)+INDEX($D$42:$AD$42,AT$39)/2)/AT59,NA()))</f>
        <v>0</v>
      </c>
      <c r="AU71" s="5">
        <f>IF(AU$39=0,NA(),IF(ISNUMBER(INDEX($D$42:$AD$42,AU$39)),(IF(AU64&gt;AU66,N(INDEX($D$43:$AD$43,AU$39)),0)+IF(AU68&gt;AU66,N(INDEX($D$44:$AD$44,AU$39)),0)+INDEX($D$42:$AD$42,AU$39)/2)/AU59,NA()))</f>
        <v>0</v>
      </c>
      <c r="AV71" s="5">
        <f>IF(AV$39=0,NA(),IF(ISNUMBER(INDEX($D$42:$AD$42,AV$39)),(IF(AV64&gt;AV66,N(INDEX($D$43:$AD$43,AV$39)),0)+IF(AV68&gt;AV66,N(INDEX($D$44:$AD$44,AV$39)),0)+INDEX($D$42:$AD$42,AV$39)/2)/AV59,NA()))</f>
        <v>0</v>
      </c>
      <c r="AW71" s="5">
        <f>IF(AW$39=0,NA(),IF(ISNUMBER(INDEX($D$42:$AD$42,AW$39)),(IF(AW64&gt;AW66,N(INDEX($D$43:$AD$43,AW$39)),0)+IF(AW68&gt;AW66,N(INDEX($D$44:$AD$44,AW$39)),0)+INDEX($D$42:$AD$42,AW$39)/2)/AW59,NA()))</f>
        <v>0</v>
      </c>
      <c r="AX71" s="5">
        <f>IF(AX$39=0,NA(),IF(ISNUMBER(INDEX($D$42:$AD$42,AX$39)),(IF(AX64&gt;AX66,N(INDEX($D$43:$AD$43,AX$39)),0)+IF(AX68&gt;AX66,N(INDEX($D$44:$AD$44,AX$39)),0)+INDEX($D$42:$AD$42,AX$39)/2)/AX59,NA()))</f>
        <v>0</v>
      </c>
      <c r="AY71" s="5">
        <f>IF(AY$39=0,NA(),IF(ISNUMBER(INDEX($D$42:$AD$42,AY$39)),(IF(AY64&gt;AY66,N(INDEX($D$43:$AD$43,AY$39)),0)+IF(AY68&gt;AY66,N(INDEX($D$44:$AD$44,AY$39)),0)+INDEX($D$42:$AD$42,AY$39)/2)/AY59,NA()))</f>
        <v>0</v>
      </c>
      <c r="AZ71" s="5">
        <f>IF(AZ$39=0,NA(),IF(ISNUMBER(INDEX($D$42:$AD$42,AZ$39)),(IF(AZ64&gt;AZ66,N(INDEX($D$43:$AD$43,AZ$39)),0)+IF(AZ68&gt;AZ66,N(INDEX($D$44:$AD$44,AZ$39)),0)+INDEX($D$42:$AD$42,AZ$39)/2)/AZ59,NA()))</f>
        <v>0</v>
      </c>
      <c r="BA71" s="5">
        <f>IF(BA$39=0,NA(),IF(ISNUMBER(INDEX($D$42:$AD$42,BA$39)),(IF(BA64&gt;BA66,N(INDEX($D$43:$AD$43,BA$39)),0)+IF(BA68&gt;BA66,N(INDEX($D$44:$AD$44,BA$39)),0)+INDEX($D$42:$AD$42,BA$39)/2)/BA59,NA()))</f>
        <v>0</v>
      </c>
      <c r="BB71" s="5">
        <f>IF(BB$39=0,NA(),IF(ISNUMBER(INDEX($D$42:$AD$42,BB$39)),(IF(BB64&gt;BB66,N(INDEX($D$43:$AD$43,BB$39)),0)+IF(BB68&gt;BB66,N(INDEX($D$44:$AD$44,BB$39)),0)+INDEX($D$42:$AD$42,BB$39)/2)/BB59,NA()))</f>
        <v>0</v>
      </c>
      <c r="BC71" s="5">
        <f>IF(BC$39=0,NA(),IF(ISNUMBER(INDEX($D$42:$AD$42,BC$39)),(IF(BC64&gt;BC66,N(INDEX($D$43:$AD$43,BC$39)),0)+IF(BC68&gt;BC66,N(INDEX($D$44:$AD$44,BC$39)),0)+INDEX($D$42:$AD$42,BC$39)/2)/BC59,NA()))</f>
        <v>0</v>
      </c>
      <c r="BD71" s="5">
        <f>IF(BD$39=0,NA(),IF(ISNUMBER(INDEX($D$42:$AD$42,BD$39)),(IF(BD64&gt;BD66,N(INDEX($D$43:$AD$43,BD$39)),0)+IF(BD68&gt;BD66,N(INDEX($D$44:$AD$44,BD$39)),0)+INDEX($D$42:$AD$42,BD$39)/2)/BD59,NA()))</f>
        <v>0</v>
      </c>
      <c r="BE71" s="5">
        <f>IF(BE$39=0,NA(),IF(ISNUMBER(INDEX($D$42:$AD$42,BE$39)),(IF(BE64&gt;BE66,N(INDEX($D$43:$AD$43,BE$39)),0)+IF(BE68&gt;BE66,N(INDEX($D$44:$AD$44,BE$39)),0)+INDEX($D$42:$AD$42,BE$39)/2)/BE59,NA()))</f>
        <v>0</v>
      </c>
      <c r="BF71" s="5">
        <f>IF(BF$39=0,NA(),IF(ISNUMBER(INDEX($D$42:$AD$42,BF$39)),(IF(BF64&gt;BF66,N(INDEX($D$43:$AD$43,BF$39)),0)+IF(BF68&gt;BF66,N(INDEX($D$44:$AD$44,BF$39)),0)+INDEX($D$42:$AD$42,BF$39)/2)/BF59,NA()))</f>
        <v>0</v>
      </c>
      <c r="BG71" s="5">
        <f>IF(BG$39=0,NA(),IF(ISNUMBER(INDEX($D$42:$AD$42,BG$39)),(IF(BG64&gt;BG66,N(INDEX($D$43:$AD$43,BG$39)),0)+IF(BG68&gt;BG66,N(INDEX($D$44:$AD$44,BG$39)),0)+INDEX($D$42:$AD$42,BG$39)/2)/BG59,NA()))</f>
        <v>0</v>
      </c>
      <c r="BH71" s="5">
        <f>IF(BH$39=0,NA(),IF(ISNUMBER(INDEX($D$42:$AD$42,BH$39)),(IF(BH64&gt;BH66,N(INDEX($D$43:$AD$43,BH$39)),0)+IF(BH68&gt;BH66,N(INDEX($D$44:$AD$44,BH$39)),0)+INDEX($D$42:$AD$42,BH$39)/2)/BH59,NA()))</f>
        <v>0</v>
      </c>
      <c r="BI71" s="5">
        <f>IF(BI$39=0,NA(),IF(ISNUMBER(INDEX($D$42:$AD$42,BI$39)),(IF(BI64&gt;BI66,N(INDEX($D$43:$AD$43,BI$39)),0)+IF(BI68&gt;BI66,N(INDEX($D$44:$AD$44,BI$39)),0)+INDEX($D$42:$AD$42,BI$39)/2)/BI59,NA()))</f>
        <v>0</v>
      </c>
      <c r="BJ71" s="5">
        <f>IF(BJ$39=0,NA(),IF(ISNUMBER(INDEX($D$42:$AD$42,BJ$39)),(IF(BJ64&gt;BJ66,N(INDEX($D$43:$AD$43,BJ$39)),0)+IF(BJ68&gt;BJ66,N(INDEX($D$44:$AD$44,BJ$39)),0)+INDEX($D$42:$AD$42,BJ$39)/2)/BJ59,NA()))</f>
        <v>0</v>
      </c>
      <c r="BK71" s="5">
        <f>IF(BK$39=0,NA(),IF(ISNUMBER(INDEX($D$42:$AD$42,BK$39)),(IF(BK64&gt;BK66,N(INDEX($D$43:$AD$43,BK$39)),0)+IF(BK68&gt;BK66,N(INDEX($D$44:$AD$44,BK$39)),0)+INDEX($D$42:$AD$42,BK$39)/2)/BK59,NA()))</f>
        <v>0</v>
      </c>
      <c r="BL71" s="5">
        <f>IF(BL$39=0,NA(),IF(ISNUMBER(INDEX($D$42:$AD$42,BL$39)),(IF(BL64&gt;BL66,N(INDEX($D$43:$AD$43,BL$39)),0)+IF(BL68&gt;BL66,N(INDEX($D$44:$AD$44,BL$39)),0)+INDEX($D$42:$AD$42,BL$39)/2)/BL59,NA()))</f>
        <v>0</v>
      </c>
      <c r="BM71" s="5">
        <f>IF(BM$39=0,NA(),IF(ISNUMBER(INDEX($D$42:$AD$42,BM$39)),(IF(BM64&gt;BM66,N(INDEX($D$43:$AD$43,BM$39)),0)+IF(BM68&gt;BM66,N(INDEX($D$44:$AD$44,BM$39)),0)+INDEX($D$42:$AD$42,BM$39)/2)/BM59,NA()))</f>
        <v>0</v>
      </c>
      <c r="BN71" s="5">
        <f>IF(BN$39=0,NA(),IF(ISNUMBER(INDEX($D$42:$AD$42,BN$39)),(IF(BN64&gt;BN66,N(INDEX($D$43:$AD$43,BN$39)),0)+IF(BN68&gt;BN66,N(INDEX($D$44:$AD$44,BN$39)),0)+INDEX($D$42:$AD$42,BN$39)/2)/BN59,NA()))</f>
        <v>0</v>
      </c>
      <c r="BO71" s="5">
        <f>IF(BO$39=0,NA(),IF(ISNUMBER(INDEX($D$42:$AD$42,BO$39)),(IF(BO64&gt;BO66,N(INDEX($D$43:$AD$43,BO$39)),0)+IF(BO68&gt;BO66,N(INDEX($D$44:$AD$44,BO$39)),0)+INDEX($D$42:$AD$42,BO$39)/2)/BO59,NA()))</f>
        <v>0</v>
      </c>
      <c r="BP71" s="5">
        <f>IF(BP$39=0,NA(),IF(ISNUMBER(INDEX($D$42:$AD$42,BP$39)),(IF(BP64&gt;BP66,N(INDEX($D$43:$AD$43,BP$39)),0)+IF(BP68&gt;BP66,N(INDEX($D$44:$AD$44,BP$39)),0)+INDEX($D$42:$AD$42,BP$39)/2)/BP59,NA()))</f>
        <v>0</v>
      </c>
    </row>
    <row r="72" spans="1:68">
      <c r="A72" s="11" t="s">
        <v>207</v>
      </c>
      <c r="B72" s="11" t="s">
        <v>208</v>
      </c>
      <c r="C72" s="3" t="s">
        <v>144</v>
      </c>
      <c r="AQ72" s="5">
        <f>IF(AQ$39=0,NA(),IF(ISNUMBER(INDEX($D$44:$AD$44,AQ$39)),(IF(AQ66&gt;AQ68,N(INDEX($D$42:$AD$42,AQ$39)),0)+IF(AQ64&gt;AQ68,N(INDEX($D$43:$AD$43,AQ$39)),0)+INDEX($D$44:$AD$44,AQ$39)/2)/AQ59,NA()))</f>
        <v>0</v>
      </c>
      <c r="AR72" s="5">
        <f>IF(AR$39=0,NA(),IF(ISNUMBER(INDEX($D$44:$AD$44,AR$39)),(IF(AR66&gt;AR68,N(INDEX($D$42:$AD$42,AR$39)),0)+IF(AR64&gt;AR68,N(INDEX($D$43:$AD$43,AR$39)),0)+INDEX($D$44:$AD$44,AR$39)/2)/AR59,NA()))</f>
        <v>0</v>
      </c>
      <c r="AS72" s="5">
        <f>IF(AS$39=0,NA(),IF(ISNUMBER(INDEX($D$44:$AD$44,AS$39)),(IF(AS66&gt;AS68,N(INDEX($D$42:$AD$42,AS$39)),0)+IF(AS64&gt;AS68,N(INDEX($D$43:$AD$43,AS$39)),0)+INDEX($D$44:$AD$44,AS$39)/2)/AS59,NA()))</f>
        <v>0</v>
      </c>
      <c r="AT72" s="5">
        <f>IF(AT$39=0,NA(),IF(ISNUMBER(INDEX($D$44:$AD$44,AT$39)),(IF(AT66&gt;AT68,N(INDEX($D$42:$AD$42,AT$39)),0)+IF(AT64&gt;AT68,N(INDEX($D$43:$AD$43,AT$39)),0)+INDEX($D$44:$AD$44,AT$39)/2)/AT59,NA()))</f>
        <v>0</v>
      </c>
      <c r="AU72" s="5">
        <f>IF(AU$39=0,NA(),IF(ISNUMBER(INDEX($D$44:$AD$44,AU$39)),(IF(AU66&gt;AU68,N(INDEX($D$42:$AD$42,AU$39)),0)+IF(AU64&gt;AU68,N(INDEX($D$43:$AD$43,AU$39)),0)+INDEX($D$44:$AD$44,AU$39)/2)/AU59,NA()))</f>
        <v>0</v>
      </c>
      <c r="AV72" s="5">
        <f>IF(AV$39=0,NA(),IF(ISNUMBER(INDEX($D$44:$AD$44,AV$39)),(IF(AV66&gt;AV68,N(INDEX($D$42:$AD$42,AV$39)),0)+IF(AV64&gt;AV68,N(INDEX($D$43:$AD$43,AV$39)),0)+INDEX($D$44:$AD$44,AV$39)/2)/AV59,NA()))</f>
        <v>0</v>
      </c>
      <c r="AW72" s="5">
        <f>IF(AW$39=0,NA(),IF(ISNUMBER(INDEX($D$44:$AD$44,AW$39)),(IF(AW66&gt;AW68,N(INDEX($D$42:$AD$42,AW$39)),0)+IF(AW64&gt;AW68,N(INDEX($D$43:$AD$43,AW$39)),0)+INDEX($D$44:$AD$44,AW$39)/2)/AW59,NA()))</f>
        <v>0</v>
      </c>
      <c r="AX72" s="5">
        <f>IF(AX$39=0,NA(),IF(ISNUMBER(INDEX($D$44:$AD$44,AX$39)),(IF(AX66&gt;AX68,N(INDEX($D$42:$AD$42,AX$39)),0)+IF(AX64&gt;AX68,N(INDEX($D$43:$AD$43,AX$39)),0)+INDEX($D$44:$AD$44,AX$39)/2)/AX59,NA()))</f>
        <v>0</v>
      </c>
      <c r="AY72" s="5">
        <f>IF(AY$39=0,NA(),IF(ISNUMBER(INDEX($D$44:$AD$44,AY$39)),(IF(AY66&gt;AY68,N(INDEX($D$42:$AD$42,AY$39)),0)+IF(AY64&gt;AY68,N(INDEX($D$43:$AD$43,AY$39)),0)+INDEX($D$44:$AD$44,AY$39)/2)/AY59,NA()))</f>
        <v>0</v>
      </c>
      <c r="AZ72" s="5">
        <f>IF(AZ$39=0,NA(),IF(ISNUMBER(INDEX($D$44:$AD$44,AZ$39)),(IF(AZ66&gt;AZ68,N(INDEX($D$42:$AD$42,AZ$39)),0)+IF(AZ64&gt;AZ68,N(INDEX($D$43:$AD$43,AZ$39)),0)+INDEX($D$44:$AD$44,AZ$39)/2)/AZ59,NA()))</f>
        <v>0</v>
      </c>
      <c r="BA72" s="5">
        <f>IF(BA$39=0,NA(),IF(ISNUMBER(INDEX($D$44:$AD$44,BA$39)),(IF(BA66&gt;BA68,N(INDEX($D$42:$AD$42,BA$39)),0)+IF(BA64&gt;BA68,N(INDEX($D$43:$AD$43,BA$39)),0)+INDEX($D$44:$AD$44,BA$39)/2)/BA59,NA()))</f>
        <v>0</v>
      </c>
      <c r="BB72" s="5">
        <f>IF(BB$39=0,NA(),IF(ISNUMBER(INDEX($D$44:$AD$44,BB$39)),(IF(BB66&gt;BB68,N(INDEX($D$42:$AD$42,BB$39)),0)+IF(BB64&gt;BB68,N(INDEX($D$43:$AD$43,BB$39)),0)+INDEX($D$44:$AD$44,BB$39)/2)/BB59,NA()))</f>
        <v>0</v>
      </c>
      <c r="BC72" s="5">
        <f>IF(BC$39=0,NA(),IF(ISNUMBER(INDEX($D$44:$AD$44,BC$39)),(IF(BC66&gt;BC68,N(INDEX($D$42:$AD$42,BC$39)),0)+IF(BC64&gt;BC68,N(INDEX($D$43:$AD$43,BC$39)),0)+INDEX($D$44:$AD$44,BC$39)/2)/BC59,NA()))</f>
        <v>0</v>
      </c>
      <c r="BD72" s="5">
        <f>IF(BD$39=0,NA(),IF(ISNUMBER(INDEX($D$44:$AD$44,BD$39)),(IF(BD66&gt;BD68,N(INDEX($D$42:$AD$42,BD$39)),0)+IF(BD64&gt;BD68,N(INDEX($D$43:$AD$43,BD$39)),0)+INDEX($D$44:$AD$44,BD$39)/2)/BD59,NA()))</f>
        <v>0</v>
      </c>
      <c r="BE72" s="5">
        <f>IF(BE$39=0,NA(),IF(ISNUMBER(INDEX($D$44:$AD$44,BE$39)),(IF(BE66&gt;BE68,N(INDEX($D$42:$AD$42,BE$39)),0)+IF(BE64&gt;BE68,N(INDEX($D$43:$AD$43,BE$39)),0)+INDEX($D$44:$AD$44,BE$39)/2)/BE59,NA()))</f>
        <v>0</v>
      </c>
      <c r="BF72" s="5">
        <f>IF(BF$39=0,NA(),IF(ISNUMBER(INDEX($D$44:$AD$44,BF$39)),(IF(BF66&gt;BF68,N(INDEX($D$42:$AD$42,BF$39)),0)+IF(BF64&gt;BF68,N(INDEX($D$43:$AD$43,BF$39)),0)+INDEX($D$44:$AD$44,BF$39)/2)/BF59,NA()))</f>
        <v>0</v>
      </c>
      <c r="BG72" s="5">
        <f>IF(BG$39=0,NA(),IF(ISNUMBER(INDEX($D$44:$AD$44,BG$39)),(IF(BG66&gt;BG68,N(INDEX($D$42:$AD$42,BG$39)),0)+IF(BG64&gt;BG68,N(INDEX($D$43:$AD$43,BG$39)),0)+INDEX($D$44:$AD$44,BG$39)/2)/BG59,NA()))</f>
        <v>0</v>
      </c>
      <c r="BH72" s="5">
        <f>IF(BH$39=0,NA(),IF(ISNUMBER(INDEX($D$44:$AD$44,BH$39)),(IF(BH66&gt;BH68,N(INDEX($D$42:$AD$42,BH$39)),0)+IF(BH64&gt;BH68,N(INDEX($D$43:$AD$43,BH$39)),0)+INDEX($D$44:$AD$44,BH$39)/2)/BH59,NA()))</f>
        <v>0</v>
      </c>
      <c r="BI72" s="5">
        <f>IF(BI$39=0,NA(),IF(ISNUMBER(INDEX($D$44:$AD$44,BI$39)),(IF(BI66&gt;BI68,N(INDEX($D$42:$AD$42,BI$39)),0)+IF(BI64&gt;BI68,N(INDEX($D$43:$AD$43,BI$39)),0)+INDEX($D$44:$AD$44,BI$39)/2)/BI59,NA()))</f>
        <v>0</v>
      </c>
      <c r="BJ72" s="5">
        <f>IF(BJ$39=0,NA(),IF(ISNUMBER(INDEX($D$44:$AD$44,BJ$39)),(IF(BJ66&gt;BJ68,N(INDEX($D$42:$AD$42,BJ$39)),0)+IF(BJ64&gt;BJ68,N(INDEX($D$43:$AD$43,BJ$39)),0)+INDEX($D$44:$AD$44,BJ$39)/2)/BJ59,NA()))</f>
        <v>0</v>
      </c>
      <c r="BK72" s="5">
        <f>IF(BK$39=0,NA(),IF(ISNUMBER(INDEX($D$44:$AD$44,BK$39)),(IF(BK66&gt;BK68,N(INDEX($D$42:$AD$42,BK$39)),0)+IF(BK64&gt;BK68,N(INDEX($D$43:$AD$43,BK$39)),0)+INDEX($D$44:$AD$44,BK$39)/2)/BK59,NA()))</f>
        <v>0</v>
      </c>
      <c r="BL72" s="5">
        <f>IF(BL$39=0,NA(),IF(ISNUMBER(INDEX($D$44:$AD$44,BL$39)),(IF(BL66&gt;BL68,N(INDEX($D$42:$AD$42,BL$39)),0)+IF(BL64&gt;BL68,N(INDEX($D$43:$AD$43,BL$39)),0)+INDEX($D$44:$AD$44,BL$39)/2)/BL59,NA()))</f>
        <v>0</v>
      </c>
      <c r="BM72" s="5">
        <f>IF(BM$39=0,NA(),IF(ISNUMBER(INDEX($D$44:$AD$44,BM$39)),(IF(BM66&gt;BM68,N(INDEX($D$42:$AD$42,BM$39)),0)+IF(BM64&gt;BM68,N(INDEX($D$43:$AD$43,BM$39)),0)+INDEX($D$44:$AD$44,BM$39)/2)/BM59,NA()))</f>
        <v>0</v>
      </c>
      <c r="BN72" s="5">
        <f>IF(BN$39=0,NA(),IF(ISNUMBER(INDEX($D$44:$AD$44,BN$39)),(IF(BN66&gt;BN68,N(INDEX($D$42:$AD$42,BN$39)),0)+IF(BN64&gt;BN68,N(INDEX($D$43:$AD$43,BN$39)),0)+INDEX($D$44:$AD$44,BN$39)/2)/BN59,NA()))</f>
        <v>0</v>
      </c>
      <c r="BO72" s="5">
        <f>IF(BO$39=0,NA(),IF(ISNUMBER(INDEX($D$44:$AD$44,BO$39)),(IF(BO66&gt;BO68,N(INDEX($D$42:$AD$42,BO$39)),0)+IF(BO64&gt;BO68,N(INDEX($D$43:$AD$43,BO$39)),0)+INDEX($D$44:$AD$44,BO$39)/2)/BO59,NA()))</f>
        <v>0</v>
      </c>
      <c r="BP72" s="5">
        <f>IF(BP$39=0,NA(),IF(ISNUMBER(INDEX($D$44:$AD$44,BP$39)),(IF(BP66&gt;BP68,N(INDEX($D$42:$AD$42,BP$39)),0)+IF(BP64&gt;BP68,N(INDEX($D$43:$AD$43,BP$39)),0)+INDEX($D$44:$AD$44,BP$39)/2)/BP59,NA()))</f>
        <v>0</v>
      </c>
    </row>
    <row r="73" spans="1:68">
      <c r="A73" s="11" t="s">
        <v>209</v>
      </c>
      <c r="B73" s="11" t="s">
        <v>210</v>
      </c>
      <c r="C73" s="3" t="s">
        <v>144</v>
      </c>
      <c r="AQ73" s="5">
        <f>IF(AQ$39=0,NA(),IF(ISNUMBER(INDEX($D$43:$AD$43,AQ$39)),MAX(MIN(AQ70,IFERROR(INDEX($D$56:$AD$56,AQ$39)/AQ59,1)-0.08721-AQ64*0.17442,IF(AQ66&lt;AQ64,IFERROR(AQ71,9)-(AQ64-AQ66)*0.17442,9),IF(AQ68&lt;AQ64,IFERROR(AQ72,9)-(AQ64-AQ68)*0.17442,9)),0.08721+(2-AQ64)*0.17442),NA()))</f>
        <v>0</v>
      </c>
      <c r="AR73" s="5">
        <f>IF(AR$39=0,NA(),IF(ISNUMBER(INDEX($D$43:$AD$43,AR$39)),MAX(MIN(AR70,IFERROR(INDEX($D$56:$AD$56,AR$39)/AR59,1)-0.08721-AR64*0.17442,IF(AR66&lt;AR64,IFERROR(AR71,9)-(AR64-AR66)*0.17442,9),IF(AR68&lt;AR64,IFERROR(AR72,9)-(AR64-AR68)*0.17442,9)),0.08721+(2-AR64)*0.17442),NA()))</f>
        <v>0</v>
      </c>
      <c r="AS73" s="5">
        <f>IF(AS$39=0,NA(),IF(ISNUMBER(INDEX($D$43:$AD$43,AS$39)),MAX(MIN(AS70,IFERROR(INDEX($D$56:$AD$56,AS$39)/AS59,1)-0.08721-AS64*0.17442,IF(AS66&lt;AS64,IFERROR(AS71,9)-(AS64-AS66)*0.17442,9),IF(AS68&lt;AS64,IFERROR(AS72,9)-(AS64-AS68)*0.17442,9)),0.08721+(2-AS64)*0.17442),NA()))</f>
        <v>0</v>
      </c>
      <c r="AT73" s="5">
        <f>IF(AT$39=0,NA(),IF(ISNUMBER(INDEX($D$43:$AD$43,AT$39)),MAX(MIN(AT70,IFERROR(INDEX($D$56:$AD$56,AT$39)/AT59,1)-0.08721-AT64*0.17442,IF(AT66&lt;AT64,IFERROR(AT71,9)-(AT64-AT66)*0.17442,9),IF(AT68&lt;AT64,IFERROR(AT72,9)-(AT64-AT68)*0.17442,9)),0.08721+(2-AT64)*0.17442),NA()))</f>
        <v>0</v>
      </c>
      <c r="AU73" s="5">
        <f>IF(AU$39=0,NA(),IF(ISNUMBER(INDEX($D$43:$AD$43,AU$39)),MAX(MIN(AU70,IFERROR(INDEX($D$56:$AD$56,AU$39)/AU59,1)-0.08721-AU64*0.17442,IF(AU66&lt;AU64,IFERROR(AU71,9)-(AU64-AU66)*0.17442,9),IF(AU68&lt;AU64,IFERROR(AU72,9)-(AU64-AU68)*0.17442,9)),0.08721+(2-AU64)*0.17442),NA()))</f>
        <v>0</v>
      </c>
      <c r="AV73" s="5">
        <f>IF(AV$39=0,NA(),IF(ISNUMBER(INDEX($D$43:$AD$43,AV$39)),MAX(MIN(AV70,IFERROR(INDEX($D$56:$AD$56,AV$39)/AV59,1)-0.08721-AV64*0.17442,IF(AV66&lt;AV64,IFERROR(AV71,9)-(AV64-AV66)*0.17442,9),IF(AV68&lt;AV64,IFERROR(AV72,9)-(AV64-AV68)*0.17442,9)),0.08721+(2-AV64)*0.17442),NA()))</f>
        <v>0</v>
      </c>
      <c r="AW73" s="5">
        <f>IF(AW$39=0,NA(),IF(ISNUMBER(INDEX($D$43:$AD$43,AW$39)),MAX(MIN(AW70,IFERROR(INDEX($D$56:$AD$56,AW$39)/AW59,1)-0.08721-AW64*0.17442,IF(AW66&lt;AW64,IFERROR(AW71,9)-(AW64-AW66)*0.17442,9),IF(AW68&lt;AW64,IFERROR(AW72,9)-(AW64-AW68)*0.17442,9)),0.08721+(2-AW64)*0.17442),NA()))</f>
        <v>0</v>
      </c>
      <c r="AX73" s="5">
        <f>IF(AX$39=0,NA(),IF(ISNUMBER(INDEX($D$43:$AD$43,AX$39)),MAX(MIN(AX70,IFERROR(INDEX($D$56:$AD$56,AX$39)/AX59,1)-0.08721-AX64*0.17442,IF(AX66&lt;AX64,IFERROR(AX71,9)-(AX64-AX66)*0.17442,9),IF(AX68&lt;AX64,IFERROR(AX72,9)-(AX64-AX68)*0.17442,9)),0.08721+(2-AX64)*0.17442),NA()))</f>
        <v>0</v>
      </c>
      <c r="AY73" s="5">
        <f>IF(AY$39=0,NA(),IF(ISNUMBER(INDEX($D$43:$AD$43,AY$39)),MAX(MIN(AY70,IFERROR(INDEX($D$56:$AD$56,AY$39)/AY59,1)-0.08721-AY64*0.17442,IF(AY66&lt;AY64,IFERROR(AY71,9)-(AY64-AY66)*0.17442,9),IF(AY68&lt;AY64,IFERROR(AY72,9)-(AY64-AY68)*0.17442,9)),0.08721+(2-AY64)*0.17442),NA()))</f>
        <v>0</v>
      </c>
      <c r="AZ73" s="5">
        <f>IF(AZ$39=0,NA(),IF(ISNUMBER(INDEX($D$43:$AD$43,AZ$39)),MAX(MIN(AZ70,IFERROR(INDEX($D$56:$AD$56,AZ$39)/AZ59,1)-0.08721-AZ64*0.17442,IF(AZ66&lt;AZ64,IFERROR(AZ71,9)-(AZ64-AZ66)*0.17442,9),IF(AZ68&lt;AZ64,IFERROR(AZ72,9)-(AZ64-AZ68)*0.17442,9)),0.08721+(2-AZ64)*0.17442),NA()))</f>
        <v>0</v>
      </c>
      <c r="BA73" s="5">
        <f>IF(BA$39=0,NA(),IF(ISNUMBER(INDEX($D$43:$AD$43,BA$39)),MAX(MIN(BA70,IFERROR(INDEX($D$56:$AD$56,BA$39)/BA59,1)-0.08721-BA64*0.17442,IF(BA66&lt;BA64,IFERROR(BA71,9)-(BA64-BA66)*0.17442,9),IF(BA68&lt;BA64,IFERROR(BA72,9)-(BA64-BA68)*0.17442,9)),0.08721+(2-BA64)*0.17442),NA()))</f>
        <v>0</v>
      </c>
      <c r="BB73" s="5">
        <f>IF(BB$39=0,NA(),IF(ISNUMBER(INDEX($D$43:$AD$43,BB$39)),MAX(MIN(BB70,IFERROR(INDEX($D$56:$AD$56,BB$39)/BB59,1)-0.08721-BB64*0.17442,IF(BB66&lt;BB64,IFERROR(BB71,9)-(BB64-BB66)*0.17442,9),IF(BB68&lt;BB64,IFERROR(BB72,9)-(BB64-BB68)*0.17442,9)),0.08721+(2-BB64)*0.17442),NA()))</f>
        <v>0</v>
      </c>
      <c r="BC73" s="5">
        <f>IF(BC$39=0,NA(),IF(ISNUMBER(INDEX($D$43:$AD$43,BC$39)),MAX(MIN(BC70,IFERROR(INDEX($D$56:$AD$56,BC$39)/BC59,1)-0.08721-BC64*0.17442,IF(BC66&lt;BC64,IFERROR(BC71,9)-(BC64-BC66)*0.17442,9),IF(BC68&lt;BC64,IFERROR(BC72,9)-(BC64-BC68)*0.17442,9)),0.08721+(2-BC64)*0.17442),NA()))</f>
        <v>0</v>
      </c>
      <c r="BD73" s="5">
        <f>IF(BD$39=0,NA(),IF(ISNUMBER(INDEX($D$43:$AD$43,BD$39)),MAX(MIN(BD70,IFERROR(INDEX($D$56:$AD$56,BD$39)/BD59,1)-0.08721-BD64*0.17442,IF(BD66&lt;BD64,IFERROR(BD71,9)-(BD64-BD66)*0.17442,9),IF(BD68&lt;BD64,IFERROR(BD72,9)-(BD64-BD68)*0.17442,9)),0.08721+(2-BD64)*0.17442),NA()))</f>
        <v>0</v>
      </c>
      <c r="BE73" s="5">
        <f>IF(BE$39=0,NA(),IF(ISNUMBER(INDEX($D$43:$AD$43,BE$39)),MAX(MIN(BE70,IFERROR(INDEX($D$56:$AD$56,BE$39)/BE59,1)-0.08721-BE64*0.17442,IF(BE66&lt;BE64,IFERROR(BE71,9)-(BE64-BE66)*0.17442,9),IF(BE68&lt;BE64,IFERROR(BE72,9)-(BE64-BE68)*0.17442,9)),0.08721+(2-BE64)*0.17442),NA()))</f>
        <v>0</v>
      </c>
      <c r="BF73" s="5">
        <f>IF(BF$39=0,NA(),IF(ISNUMBER(INDEX($D$43:$AD$43,BF$39)),MAX(MIN(BF70,IFERROR(INDEX($D$56:$AD$56,BF$39)/BF59,1)-0.08721-BF64*0.17442,IF(BF66&lt;BF64,IFERROR(BF71,9)-(BF64-BF66)*0.17442,9),IF(BF68&lt;BF64,IFERROR(BF72,9)-(BF64-BF68)*0.17442,9)),0.08721+(2-BF64)*0.17442),NA()))</f>
        <v>0</v>
      </c>
      <c r="BG73" s="5">
        <f>IF(BG$39=0,NA(),IF(ISNUMBER(INDEX($D$43:$AD$43,BG$39)),MAX(MIN(BG70,IFERROR(INDEX($D$56:$AD$56,BG$39)/BG59,1)-0.08721-BG64*0.17442,IF(BG66&lt;BG64,IFERROR(BG71,9)-(BG64-BG66)*0.17442,9),IF(BG68&lt;BG64,IFERROR(BG72,9)-(BG64-BG68)*0.17442,9)),0.08721+(2-BG64)*0.17442),NA()))</f>
        <v>0</v>
      </c>
      <c r="BH73" s="5">
        <f>IF(BH$39=0,NA(),IF(ISNUMBER(INDEX($D$43:$AD$43,BH$39)),MAX(MIN(BH70,IFERROR(INDEX($D$56:$AD$56,BH$39)/BH59,1)-0.08721-BH64*0.17442,IF(BH66&lt;BH64,IFERROR(BH71,9)-(BH64-BH66)*0.17442,9),IF(BH68&lt;BH64,IFERROR(BH72,9)-(BH64-BH68)*0.17442,9)),0.08721+(2-BH64)*0.17442),NA()))</f>
        <v>0</v>
      </c>
      <c r="BI73" s="5">
        <f>IF(BI$39=0,NA(),IF(ISNUMBER(INDEX($D$43:$AD$43,BI$39)),MAX(MIN(BI70,IFERROR(INDEX($D$56:$AD$56,BI$39)/BI59,1)-0.08721-BI64*0.17442,IF(BI66&lt;BI64,IFERROR(BI71,9)-(BI64-BI66)*0.17442,9),IF(BI68&lt;BI64,IFERROR(BI72,9)-(BI64-BI68)*0.17442,9)),0.08721+(2-BI64)*0.17442),NA()))</f>
        <v>0</v>
      </c>
      <c r="BJ73" s="5">
        <f>IF(BJ$39=0,NA(),IF(ISNUMBER(INDEX($D$43:$AD$43,BJ$39)),MAX(MIN(BJ70,IFERROR(INDEX($D$56:$AD$56,BJ$39)/BJ59,1)-0.08721-BJ64*0.17442,IF(BJ66&lt;BJ64,IFERROR(BJ71,9)-(BJ64-BJ66)*0.17442,9),IF(BJ68&lt;BJ64,IFERROR(BJ72,9)-(BJ64-BJ68)*0.17442,9)),0.08721+(2-BJ64)*0.17442),NA()))</f>
        <v>0</v>
      </c>
      <c r="BK73" s="5">
        <f>IF(BK$39=0,NA(),IF(ISNUMBER(INDEX($D$43:$AD$43,BK$39)),MAX(MIN(BK70,IFERROR(INDEX($D$56:$AD$56,BK$39)/BK59,1)-0.08721-BK64*0.17442,IF(BK66&lt;BK64,IFERROR(BK71,9)-(BK64-BK66)*0.17442,9),IF(BK68&lt;BK64,IFERROR(BK72,9)-(BK64-BK68)*0.17442,9)),0.08721+(2-BK64)*0.17442),NA()))</f>
        <v>0</v>
      </c>
      <c r="BL73" s="5">
        <f>IF(BL$39=0,NA(),IF(ISNUMBER(INDEX($D$43:$AD$43,BL$39)),MAX(MIN(BL70,IFERROR(INDEX($D$56:$AD$56,BL$39)/BL59,1)-0.08721-BL64*0.17442,IF(BL66&lt;BL64,IFERROR(BL71,9)-(BL64-BL66)*0.17442,9),IF(BL68&lt;BL64,IFERROR(BL72,9)-(BL64-BL68)*0.17442,9)),0.08721+(2-BL64)*0.17442),NA()))</f>
        <v>0</v>
      </c>
      <c r="BM73" s="5">
        <f>IF(BM$39=0,NA(),IF(ISNUMBER(INDEX($D$43:$AD$43,BM$39)),MAX(MIN(BM70,IFERROR(INDEX($D$56:$AD$56,BM$39)/BM59,1)-0.08721-BM64*0.17442,IF(BM66&lt;BM64,IFERROR(BM71,9)-(BM64-BM66)*0.17442,9),IF(BM68&lt;BM64,IFERROR(BM72,9)-(BM64-BM68)*0.17442,9)),0.08721+(2-BM64)*0.17442),NA()))</f>
        <v>0</v>
      </c>
      <c r="BN73" s="5">
        <f>IF(BN$39=0,NA(),IF(ISNUMBER(INDEX($D$43:$AD$43,BN$39)),MAX(MIN(BN70,IFERROR(INDEX($D$56:$AD$56,BN$39)/BN59,1)-0.08721-BN64*0.17442,IF(BN66&lt;BN64,IFERROR(BN71,9)-(BN64-BN66)*0.17442,9),IF(BN68&lt;BN64,IFERROR(BN72,9)-(BN64-BN68)*0.17442,9)),0.08721+(2-BN64)*0.17442),NA()))</f>
        <v>0</v>
      </c>
      <c r="BO73" s="5">
        <f>IF(BO$39=0,NA(),IF(ISNUMBER(INDEX($D$43:$AD$43,BO$39)),MAX(MIN(BO70,IFERROR(INDEX($D$56:$AD$56,BO$39)/BO59,1)-0.08721-BO64*0.17442,IF(BO66&lt;BO64,IFERROR(BO71,9)-(BO64-BO66)*0.17442,9),IF(BO68&lt;BO64,IFERROR(BO72,9)-(BO64-BO68)*0.17442,9)),0.08721+(2-BO64)*0.17442),NA()))</f>
        <v>0</v>
      </c>
      <c r="BP73" s="5">
        <f>IF(BP$39=0,NA(),IF(ISNUMBER(INDEX($D$43:$AD$43,BP$39)),MAX(MIN(BP70,IFERROR(INDEX($D$56:$AD$56,BP$39)/BP59,1)-0.08721-BP64*0.17442,IF(BP66&lt;BP64,IFERROR(BP71,9)-(BP64-BP66)*0.17442,9),IF(BP68&lt;BP64,IFERROR(BP72,9)-(BP64-BP68)*0.17442,9)),0.08721+(2-BP64)*0.17442),NA()))</f>
        <v>0</v>
      </c>
    </row>
    <row r="74" spans="1:68">
      <c r="A74" s="11" t="s">
        <v>211</v>
      </c>
      <c r="B74" s="11" t="s">
        <v>212</v>
      </c>
      <c r="C74" s="3" t="s">
        <v>144</v>
      </c>
      <c r="AQ74" s="5">
        <f>IF(AQ$39=0,NA(),IF(ISNUMBER(INDEX($D$42:$AD$42,AQ$39)),MAX(MIN(AQ71,IFERROR(INDEX($D$56:$AD$56,AQ$39)/AQ59,1)-0.08721-AQ66*0.17442,IF(AQ64&lt;AQ66,IFERROR(AQ70,9)-(AQ66-AQ64)*0.17442,9),IF(AQ68&lt;AQ66,IFERROR(AQ72,9)-(AQ66-AQ68)*0.17442,9)),0.08721+(2-AQ66)*0.17442),NA()))</f>
        <v>0</v>
      </c>
      <c r="AR74" s="5">
        <f>IF(AR$39=0,NA(),IF(ISNUMBER(INDEX($D$42:$AD$42,AR$39)),MAX(MIN(AR71,IFERROR(INDEX($D$56:$AD$56,AR$39)/AR59,1)-0.08721-AR66*0.17442,IF(AR64&lt;AR66,IFERROR(AR70,9)-(AR66-AR64)*0.17442,9),IF(AR68&lt;AR66,IFERROR(AR72,9)-(AR66-AR68)*0.17442,9)),0.08721+(2-AR66)*0.17442),NA()))</f>
        <v>0</v>
      </c>
      <c r="AS74" s="5">
        <f>IF(AS$39=0,NA(),IF(ISNUMBER(INDEX($D$42:$AD$42,AS$39)),MAX(MIN(AS71,IFERROR(INDEX($D$56:$AD$56,AS$39)/AS59,1)-0.08721-AS66*0.17442,IF(AS64&lt;AS66,IFERROR(AS70,9)-(AS66-AS64)*0.17442,9),IF(AS68&lt;AS66,IFERROR(AS72,9)-(AS66-AS68)*0.17442,9)),0.08721+(2-AS66)*0.17442),NA()))</f>
        <v>0</v>
      </c>
      <c r="AT74" s="5">
        <f>IF(AT$39=0,NA(),IF(ISNUMBER(INDEX($D$42:$AD$42,AT$39)),MAX(MIN(AT71,IFERROR(INDEX($D$56:$AD$56,AT$39)/AT59,1)-0.08721-AT66*0.17442,IF(AT64&lt;AT66,IFERROR(AT70,9)-(AT66-AT64)*0.17442,9),IF(AT68&lt;AT66,IFERROR(AT72,9)-(AT66-AT68)*0.17442,9)),0.08721+(2-AT66)*0.17442),NA()))</f>
        <v>0</v>
      </c>
      <c r="AU74" s="5">
        <f>IF(AU$39=0,NA(),IF(ISNUMBER(INDEX($D$42:$AD$42,AU$39)),MAX(MIN(AU71,IFERROR(INDEX($D$56:$AD$56,AU$39)/AU59,1)-0.08721-AU66*0.17442,IF(AU64&lt;AU66,IFERROR(AU70,9)-(AU66-AU64)*0.17442,9),IF(AU68&lt;AU66,IFERROR(AU72,9)-(AU66-AU68)*0.17442,9)),0.08721+(2-AU66)*0.17442),NA()))</f>
        <v>0</v>
      </c>
      <c r="AV74" s="5">
        <f>IF(AV$39=0,NA(),IF(ISNUMBER(INDEX($D$42:$AD$42,AV$39)),MAX(MIN(AV71,IFERROR(INDEX($D$56:$AD$56,AV$39)/AV59,1)-0.08721-AV66*0.17442,IF(AV64&lt;AV66,IFERROR(AV70,9)-(AV66-AV64)*0.17442,9),IF(AV68&lt;AV66,IFERROR(AV72,9)-(AV66-AV68)*0.17442,9)),0.08721+(2-AV66)*0.17442),NA()))</f>
        <v>0</v>
      </c>
      <c r="AW74" s="5">
        <f>IF(AW$39=0,NA(),IF(ISNUMBER(INDEX($D$42:$AD$42,AW$39)),MAX(MIN(AW71,IFERROR(INDEX($D$56:$AD$56,AW$39)/AW59,1)-0.08721-AW66*0.17442,IF(AW64&lt;AW66,IFERROR(AW70,9)-(AW66-AW64)*0.17442,9),IF(AW68&lt;AW66,IFERROR(AW72,9)-(AW66-AW68)*0.17442,9)),0.08721+(2-AW66)*0.17442),NA()))</f>
        <v>0</v>
      </c>
      <c r="AX74" s="5">
        <f>IF(AX$39=0,NA(),IF(ISNUMBER(INDEX($D$42:$AD$42,AX$39)),MAX(MIN(AX71,IFERROR(INDEX($D$56:$AD$56,AX$39)/AX59,1)-0.08721-AX66*0.17442,IF(AX64&lt;AX66,IFERROR(AX70,9)-(AX66-AX64)*0.17442,9),IF(AX68&lt;AX66,IFERROR(AX72,9)-(AX66-AX68)*0.17442,9)),0.08721+(2-AX66)*0.17442),NA()))</f>
        <v>0</v>
      </c>
      <c r="AY74" s="5">
        <f>IF(AY$39=0,NA(),IF(ISNUMBER(INDEX($D$42:$AD$42,AY$39)),MAX(MIN(AY71,IFERROR(INDEX($D$56:$AD$56,AY$39)/AY59,1)-0.08721-AY66*0.17442,IF(AY64&lt;AY66,IFERROR(AY70,9)-(AY66-AY64)*0.17442,9),IF(AY68&lt;AY66,IFERROR(AY72,9)-(AY66-AY68)*0.17442,9)),0.08721+(2-AY66)*0.17442),NA()))</f>
        <v>0</v>
      </c>
      <c r="AZ74" s="5">
        <f>IF(AZ$39=0,NA(),IF(ISNUMBER(INDEX($D$42:$AD$42,AZ$39)),MAX(MIN(AZ71,IFERROR(INDEX($D$56:$AD$56,AZ$39)/AZ59,1)-0.08721-AZ66*0.17442,IF(AZ64&lt;AZ66,IFERROR(AZ70,9)-(AZ66-AZ64)*0.17442,9),IF(AZ68&lt;AZ66,IFERROR(AZ72,9)-(AZ66-AZ68)*0.17442,9)),0.08721+(2-AZ66)*0.17442),NA()))</f>
        <v>0</v>
      </c>
      <c r="BA74" s="5">
        <f>IF(BA$39=0,NA(),IF(ISNUMBER(INDEX($D$42:$AD$42,BA$39)),MAX(MIN(BA71,IFERROR(INDEX($D$56:$AD$56,BA$39)/BA59,1)-0.08721-BA66*0.17442,IF(BA64&lt;BA66,IFERROR(BA70,9)-(BA66-BA64)*0.17442,9),IF(BA68&lt;BA66,IFERROR(BA72,9)-(BA66-BA68)*0.17442,9)),0.08721+(2-BA66)*0.17442),NA()))</f>
        <v>0</v>
      </c>
      <c r="BB74" s="5">
        <f>IF(BB$39=0,NA(),IF(ISNUMBER(INDEX($D$42:$AD$42,BB$39)),MAX(MIN(BB71,IFERROR(INDEX($D$56:$AD$56,BB$39)/BB59,1)-0.08721-BB66*0.17442,IF(BB64&lt;BB66,IFERROR(BB70,9)-(BB66-BB64)*0.17442,9),IF(BB68&lt;BB66,IFERROR(BB72,9)-(BB66-BB68)*0.17442,9)),0.08721+(2-BB66)*0.17442),NA()))</f>
        <v>0</v>
      </c>
      <c r="BC74" s="5">
        <f>IF(BC$39=0,NA(),IF(ISNUMBER(INDEX($D$42:$AD$42,BC$39)),MAX(MIN(BC71,IFERROR(INDEX($D$56:$AD$56,BC$39)/BC59,1)-0.08721-BC66*0.17442,IF(BC64&lt;BC66,IFERROR(BC70,9)-(BC66-BC64)*0.17442,9),IF(BC68&lt;BC66,IFERROR(BC72,9)-(BC66-BC68)*0.17442,9)),0.08721+(2-BC66)*0.17442),NA()))</f>
        <v>0</v>
      </c>
      <c r="BD74" s="5">
        <f>IF(BD$39=0,NA(),IF(ISNUMBER(INDEX($D$42:$AD$42,BD$39)),MAX(MIN(BD71,IFERROR(INDEX($D$56:$AD$56,BD$39)/BD59,1)-0.08721-BD66*0.17442,IF(BD64&lt;BD66,IFERROR(BD70,9)-(BD66-BD64)*0.17442,9),IF(BD68&lt;BD66,IFERROR(BD72,9)-(BD66-BD68)*0.17442,9)),0.08721+(2-BD66)*0.17442),NA()))</f>
        <v>0</v>
      </c>
      <c r="BE74" s="5">
        <f>IF(BE$39=0,NA(),IF(ISNUMBER(INDEX($D$42:$AD$42,BE$39)),MAX(MIN(BE71,IFERROR(INDEX($D$56:$AD$56,BE$39)/BE59,1)-0.08721-BE66*0.17442,IF(BE64&lt;BE66,IFERROR(BE70,9)-(BE66-BE64)*0.17442,9),IF(BE68&lt;BE66,IFERROR(BE72,9)-(BE66-BE68)*0.17442,9)),0.08721+(2-BE66)*0.17442),NA()))</f>
        <v>0</v>
      </c>
      <c r="BF74" s="5">
        <f>IF(BF$39=0,NA(),IF(ISNUMBER(INDEX($D$42:$AD$42,BF$39)),MAX(MIN(BF71,IFERROR(INDEX($D$56:$AD$56,BF$39)/BF59,1)-0.08721-BF66*0.17442,IF(BF64&lt;BF66,IFERROR(BF70,9)-(BF66-BF64)*0.17442,9),IF(BF68&lt;BF66,IFERROR(BF72,9)-(BF66-BF68)*0.17442,9)),0.08721+(2-BF66)*0.17442),NA()))</f>
        <v>0</v>
      </c>
      <c r="BG74" s="5">
        <f>IF(BG$39=0,NA(),IF(ISNUMBER(INDEX($D$42:$AD$42,BG$39)),MAX(MIN(BG71,IFERROR(INDEX($D$56:$AD$56,BG$39)/BG59,1)-0.08721-BG66*0.17442,IF(BG64&lt;BG66,IFERROR(BG70,9)-(BG66-BG64)*0.17442,9),IF(BG68&lt;BG66,IFERROR(BG72,9)-(BG66-BG68)*0.17442,9)),0.08721+(2-BG66)*0.17442),NA()))</f>
        <v>0</v>
      </c>
      <c r="BH74" s="5">
        <f>IF(BH$39=0,NA(),IF(ISNUMBER(INDEX($D$42:$AD$42,BH$39)),MAX(MIN(BH71,IFERROR(INDEX($D$56:$AD$56,BH$39)/BH59,1)-0.08721-BH66*0.17442,IF(BH64&lt;BH66,IFERROR(BH70,9)-(BH66-BH64)*0.17442,9),IF(BH68&lt;BH66,IFERROR(BH72,9)-(BH66-BH68)*0.17442,9)),0.08721+(2-BH66)*0.17442),NA()))</f>
        <v>0</v>
      </c>
      <c r="BI74" s="5">
        <f>IF(BI$39=0,NA(),IF(ISNUMBER(INDEX($D$42:$AD$42,BI$39)),MAX(MIN(BI71,IFERROR(INDEX($D$56:$AD$56,BI$39)/BI59,1)-0.08721-BI66*0.17442,IF(BI64&lt;BI66,IFERROR(BI70,9)-(BI66-BI64)*0.17442,9),IF(BI68&lt;BI66,IFERROR(BI72,9)-(BI66-BI68)*0.17442,9)),0.08721+(2-BI66)*0.17442),NA()))</f>
        <v>0</v>
      </c>
      <c r="BJ74" s="5">
        <f>IF(BJ$39=0,NA(),IF(ISNUMBER(INDEX($D$42:$AD$42,BJ$39)),MAX(MIN(BJ71,IFERROR(INDEX($D$56:$AD$56,BJ$39)/BJ59,1)-0.08721-BJ66*0.17442,IF(BJ64&lt;BJ66,IFERROR(BJ70,9)-(BJ66-BJ64)*0.17442,9),IF(BJ68&lt;BJ66,IFERROR(BJ72,9)-(BJ66-BJ68)*0.17442,9)),0.08721+(2-BJ66)*0.17442),NA()))</f>
        <v>0</v>
      </c>
      <c r="BK74" s="5">
        <f>IF(BK$39=0,NA(),IF(ISNUMBER(INDEX($D$42:$AD$42,BK$39)),MAX(MIN(BK71,IFERROR(INDEX($D$56:$AD$56,BK$39)/BK59,1)-0.08721-BK66*0.17442,IF(BK64&lt;BK66,IFERROR(BK70,9)-(BK66-BK64)*0.17442,9),IF(BK68&lt;BK66,IFERROR(BK72,9)-(BK66-BK68)*0.17442,9)),0.08721+(2-BK66)*0.17442),NA()))</f>
        <v>0</v>
      </c>
      <c r="BL74" s="5">
        <f>IF(BL$39=0,NA(),IF(ISNUMBER(INDEX($D$42:$AD$42,BL$39)),MAX(MIN(BL71,IFERROR(INDEX($D$56:$AD$56,BL$39)/BL59,1)-0.08721-BL66*0.17442,IF(BL64&lt;BL66,IFERROR(BL70,9)-(BL66-BL64)*0.17442,9),IF(BL68&lt;BL66,IFERROR(BL72,9)-(BL66-BL68)*0.17442,9)),0.08721+(2-BL66)*0.17442),NA()))</f>
        <v>0</v>
      </c>
      <c r="BM74" s="5">
        <f>IF(BM$39=0,NA(),IF(ISNUMBER(INDEX($D$42:$AD$42,BM$39)),MAX(MIN(BM71,IFERROR(INDEX($D$56:$AD$56,BM$39)/BM59,1)-0.08721-BM66*0.17442,IF(BM64&lt;BM66,IFERROR(BM70,9)-(BM66-BM64)*0.17442,9),IF(BM68&lt;BM66,IFERROR(BM72,9)-(BM66-BM68)*0.17442,9)),0.08721+(2-BM66)*0.17442),NA()))</f>
        <v>0</v>
      </c>
      <c r="BN74" s="5">
        <f>IF(BN$39=0,NA(),IF(ISNUMBER(INDEX($D$42:$AD$42,BN$39)),MAX(MIN(BN71,IFERROR(INDEX($D$56:$AD$56,BN$39)/BN59,1)-0.08721-BN66*0.17442,IF(BN64&lt;BN66,IFERROR(BN70,9)-(BN66-BN64)*0.17442,9),IF(BN68&lt;BN66,IFERROR(BN72,9)-(BN66-BN68)*0.17442,9)),0.08721+(2-BN66)*0.17442),NA()))</f>
        <v>0</v>
      </c>
      <c r="BO74" s="5">
        <f>IF(BO$39=0,NA(),IF(ISNUMBER(INDEX($D$42:$AD$42,BO$39)),MAX(MIN(BO71,IFERROR(INDEX($D$56:$AD$56,BO$39)/BO59,1)-0.08721-BO66*0.17442,IF(BO64&lt;BO66,IFERROR(BO70,9)-(BO66-BO64)*0.17442,9),IF(BO68&lt;BO66,IFERROR(BO72,9)-(BO66-BO68)*0.17442,9)),0.08721+(2-BO66)*0.17442),NA()))</f>
        <v>0</v>
      </c>
      <c r="BP74" s="5">
        <f>IF(BP$39=0,NA(),IF(ISNUMBER(INDEX($D$42:$AD$42,BP$39)),MAX(MIN(BP71,IFERROR(INDEX($D$56:$AD$56,BP$39)/BP59,1)-0.08721-BP66*0.17442,IF(BP64&lt;BP66,IFERROR(BP70,9)-(BP66-BP64)*0.17442,9),IF(BP68&lt;BP66,IFERROR(BP72,9)-(BP66-BP68)*0.17442,9)),0.08721+(2-BP66)*0.17442),NA()))</f>
        <v>0</v>
      </c>
    </row>
    <row r="75" spans="1:68">
      <c r="A75" s="11" t="s">
        <v>213</v>
      </c>
      <c r="B75" s="11" t="s">
        <v>214</v>
      </c>
      <c r="C75" s="3" t="s">
        <v>144</v>
      </c>
      <c r="AQ75" s="5">
        <f>IF(AQ$39=0,NA(),IF(ISNUMBER(INDEX($D$44:$AD$44,AQ$39)),MAX(MIN(AQ72,IFERROR(INDEX($D$56:$AD$56,AQ$39)/AQ59,1)-0.08721-AQ68*0.17442,IF(AQ66&lt;AQ68,IFERROR(AQ71,9)-(AQ68-AQ66)*0.17442,9),IF(AQ64&lt;AQ68,IFERROR(AQ70,9)-(AQ68-AQ64)*0.17442,9)),0.08721+(2-AQ68)*0.17442),NA()))</f>
        <v>0</v>
      </c>
      <c r="AR75" s="5">
        <f>IF(AR$39=0,NA(),IF(ISNUMBER(INDEX($D$44:$AD$44,AR$39)),MAX(MIN(AR72,IFERROR(INDEX($D$56:$AD$56,AR$39)/AR59,1)-0.08721-AR68*0.17442,IF(AR66&lt;AR68,IFERROR(AR71,9)-(AR68-AR66)*0.17442,9),IF(AR64&lt;AR68,IFERROR(AR70,9)-(AR68-AR64)*0.17442,9)),0.08721+(2-AR68)*0.17442),NA()))</f>
        <v>0</v>
      </c>
      <c r="AS75" s="5">
        <f>IF(AS$39=0,NA(),IF(ISNUMBER(INDEX($D$44:$AD$44,AS$39)),MAX(MIN(AS72,IFERROR(INDEX($D$56:$AD$56,AS$39)/AS59,1)-0.08721-AS68*0.17442,IF(AS66&lt;AS68,IFERROR(AS71,9)-(AS68-AS66)*0.17442,9),IF(AS64&lt;AS68,IFERROR(AS70,9)-(AS68-AS64)*0.17442,9)),0.08721+(2-AS68)*0.17442),NA()))</f>
        <v>0</v>
      </c>
      <c r="AT75" s="5">
        <f>IF(AT$39=0,NA(),IF(ISNUMBER(INDEX($D$44:$AD$44,AT$39)),MAX(MIN(AT72,IFERROR(INDEX($D$56:$AD$56,AT$39)/AT59,1)-0.08721-AT68*0.17442,IF(AT66&lt;AT68,IFERROR(AT71,9)-(AT68-AT66)*0.17442,9),IF(AT64&lt;AT68,IFERROR(AT70,9)-(AT68-AT64)*0.17442,9)),0.08721+(2-AT68)*0.17442),NA()))</f>
        <v>0</v>
      </c>
      <c r="AU75" s="5">
        <f>IF(AU$39=0,NA(),IF(ISNUMBER(INDEX($D$44:$AD$44,AU$39)),MAX(MIN(AU72,IFERROR(INDEX($D$56:$AD$56,AU$39)/AU59,1)-0.08721-AU68*0.17442,IF(AU66&lt;AU68,IFERROR(AU71,9)-(AU68-AU66)*0.17442,9),IF(AU64&lt;AU68,IFERROR(AU70,9)-(AU68-AU64)*0.17442,9)),0.08721+(2-AU68)*0.17442),NA()))</f>
        <v>0</v>
      </c>
      <c r="AV75" s="5">
        <f>IF(AV$39=0,NA(),IF(ISNUMBER(INDEX($D$44:$AD$44,AV$39)),MAX(MIN(AV72,IFERROR(INDEX($D$56:$AD$56,AV$39)/AV59,1)-0.08721-AV68*0.17442,IF(AV66&lt;AV68,IFERROR(AV71,9)-(AV68-AV66)*0.17442,9),IF(AV64&lt;AV68,IFERROR(AV70,9)-(AV68-AV64)*0.17442,9)),0.08721+(2-AV68)*0.17442),NA()))</f>
        <v>0</v>
      </c>
      <c r="AW75" s="5">
        <f>IF(AW$39=0,NA(),IF(ISNUMBER(INDEX($D$44:$AD$44,AW$39)),MAX(MIN(AW72,IFERROR(INDEX($D$56:$AD$56,AW$39)/AW59,1)-0.08721-AW68*0.17442,IF(AW66&lt;AW68,IFERROR(AW71,9)-(AW68-AW66)*0.17442,9),IF(AW64&lt;AW68,IFERROR(AW70,9)-(AW68-AW64)*0.17442,9)),0.08721+(2-AW68)*0.17442),NA()))</f>
        <v>0</v>
      </c>
      <c r="AX75" s="5">
        <f>IF(AX$39=0,NA(),IF(ISNUMBER(INDEX($D$44:$AD$44,AX$39)),MAX(MIN(AX72,IFERROR(INDEX($D$56:$AD$56,AX$39)/AX59,1)-0.08721-AX68*0.17442,IF(AX66&lt;AX68,IFERROR(AX71,9)-(AX68-AX66)*0.17442,9),IF(AX64&lt;AX68,IFERROR(AX70,9)-(AX68-AX64)*0.17442,9)),0.08721+(2-AX68)*0.17442),NA()))</f>
        <v>0</v>
      </c>
      <c r="AY75" s="5">
        <f>IF(AY$39=0,NA(),IF(ISNUMBER(INDEX($D$44:$AD$44,AY$39)),MAX(MIN(AY72,IFERROR(INDEX($D$56:$AD$56,AY$39)/AY59,1)-0.08721-AY68*0.17442,IF(AY66&lt;AY68,IFERROR(AY71,9)-(AY68-AY66)*0.17442,9),IF(AY64&lt;AY68,IFERROR(AY70,9)-(AY68-AY64)*0.17442,9)),0.08721+(2-AY68)*0.17442),NA()))</f>
        <v>0</v>
      </c>
      <c r="AZ75" s="5">
        <f>IF(AZ$39=0,NA(),IF(ISNUMBER(INDEX($D$44:$AD$44,AZ$39)),MAX(MIN(AZ72,IFERROR(INDEX($D$56:$AD$56,AZ$39)/AZ59,1)-0.08721-AZ68*0.17442,IF(AZ66&lt;AZ68,IFERROR(AZ71,9)-(AZ68-AZ66)*0.17442,9),IF(AZ64&lt;AZ68,IFERROR(AZ70,9)-(AZ68-AZ64)*0.17442,9)),0.08721+(2-AZ68)*0.17442),NA()))</f>
        <v>0</v>
      </c>
      <c r="BA75" s="5">
        <f>IF(BA$39=0,NA(),IF(ISNUMBER(INDEX($D$44:$AD$44,BA$39)),MAX(MIN(BA72,IFERROR(INDEX($D$56:$AD$56,BA$39)/BA59,1)-0.08721-BA68*0.17442,IF(BA66&lt;BA68,IFERROR(BA71,9)-(BA68-BA66)*0.17442,9),IF(BA64&lt;BA68,IFERROR(BA70,9)-(BA68-BA64)*0.17442,9)),0.08721+(2-BA68)*0.17442),NA()))</f>
        <v>0</v>
      </c>
      <c r="BB75" s="5">
        <f>IF(BB$39=0,NA(),IF(ISNUMBER(INDEX($D$44:$AD$44,BB$39)),MAX(MIN(BB72,IFERROR(INDEX($D$56:$AD$56,BB$39)/BB59,1)-0.08721-BB68*0.17442,IF(BB66&lt;BB68,IFERROR(BB71,9)-(BB68-BB66)*0.17442,9),IF(BB64&lt;BB68,IFERROR(BB70,9)-(BB68-BB64)*0.17442,9)),0.08721+(2-BB68)*0.17442),NA()))</f>
        <v>0</v>
      </c>
      <c r="BC75" s="5">
        <f>IF(BC$39=0,NA(),IF(ISNUMBER(INDEX($D$44:$AD$44,BC$39)),MAX(MIN(BC72,IFERROR(INDEX($D$56:$AD$56,BC$39)/BC59,1)-0.08721-BC68*0.17442,IF(BC66&lt;BC68,IFERROR(BC71,9)-(BC68-BC66)*0.17442,9),IF(BC64&lt;BC68,IFERROR(BC70,9)-(BC68-BC64)*0.17442,9)),0.08721+(2-BC68)*0.17442),NA()))</f>
        <v>0</v>
      </c>
      <c r="BD75" s="5">
        <f>IF(BD$39=0,NA(),IF(ISNUMBER(INDEX($D$44:$AD$44,BD$39)),MAX(MIN(BD72,IFERROR(INDEX($D$56:$AD$56,BD$39)/BD59,1)-0.08721-BD68*0.17442,IF(BD66&lt;BD68,IFERROR(BD71,9)-(BD68-BD66)*0.17442,9),IF(BD64&lt;BD68,IFERROR(BD70,9)-(BD68-BD64)*0.17442,9)),0.08721+(2-BD68)*0.17442),NA()))</f>
        <v>0</v>
      </c>
      <c r="BE75" s="5">
        <f>IF(BE$39=0,NA(),IF(ISNUMBER(INDEX($D$44:$AD$44,BE$39)),MAX(MIN(BE72,IFERROR(INDEX($D$56:$AD$56,BE$39)/BE59,1)-0.08721-BE68*0.17442,IF(BE66&lt;BE68,IFERROR(BE71,9)-(BE68-BE66)*0.17442,9),IF(BE64&lt;BE68,IFERROR(BE70,9)-(BE68-BE64)*0.17442,9)),0.08721+(2-BE68)*0.17442),NA()))</f>
        <v>0</v>
      </c>
      <c r="BF75" s="5">
        <f>IF(BF$39=0,NA(),IF(ISNUMBER(INDEX($D$44:$AD$44,BF$39)),MAX(MIN(BF72,IFERROR(INDEX($D$56:$AD$56,BF$39)/BF59,1)-0.08721-BF68*0.17442,IF(BF66&lt;BF68,IFERROR(BF71,9)-(BF68-BF66)*0.17442,9),IF(BF64&lt;BF68,IFERROR(BF70,9)-(BF68-BF64)*0.17442,9)),0.08721+(2-BF68)*0.17442),NA()))</f>
        <v>0</v>
      </c>
      <c r="BG75" s="5">
        <f>IF(BG$39=0,NA(),IF(ISNUMBER(INDEX($D$44:$AD$44,BG$39)),MAX(MIN(BG72,IFERROR(INDEX($D$56:$AD$56,BG$39)/BG59,1)-0.08721-BG68*0.17442,IF(BG66&lt;BG68,IFERROR(BG71,9)-(BG68-BG66)*0.17442,9),IF(BG64&lt;BG68,IFERROR(BG70,9)-(BG68-BG64)*0.17442,9)),0.08721+(2-BG68)*0.17442),NA()))</f>
        <v>0</v>
      </c>
      <c r="BH75" s="5">
        <f>IF(BH$39=0,NA(),IF(ISNUMBER(INDEX($D$44:$AD$44,BH$39)),MAX(MIN(BH72,IFERROR(INDEX($D$56:$AD$56,BH$39)/BH59,1)-0.08721-BH68*0.17442,IF(BH66&lt;BH68,IFERROR(BH71,9)-(BH68-BH66)*0.17442,9),IF(BH64&lt;BH68,IFERROR(BH70,9)-(BH68-BH64)*0.17442,9)),0.08721+(2-BH68)*0.17442),NA()))</f>
        <v>0</v>
      </c>
      <c r="BI75" s="5">
        <f>IF(BI$39=0,NA(),IF(ISNUMBER(INDEX($D$44:$AD$44,BI$39)),MAX(MIN(BI72,IFERROR(INDEX($D$56:$AD$56,BI$39)/BI59,1)-0.08721-BI68*0.17442,IF(BI66&lt;BI68,IFERROR(BI71,9)-(BI68-BI66)*0.17442,9),IF(BI64&lt;BI68,IFERROR(BI70,9)-(BI68-BI64)*0.17442,9)),0.08721+(2-BI68)*0.17442),NA()))</f>
        <v>0</v>
      </c>
      <c r="BJ75" s="5">
        <f>IF(BJ$39=0,NA(),IF(ISNUMBER(INDEX($D$44:$AD$44,BJ$39)),MAX(MIN(BJ72,IFERROR(INDEX($D$56:$AD$56,BJ$39)/BJ59,1)-0.08721-BJ68*0.17442,IF(BJ66&lt;BJ68,IFERROR(BJ71,9)-(BJ68-BJ66)*0.17442,9),IF(BJ64&lt;BJ68,IFERROR(BJ70,9)-(BJ68-BJ64)*0.17442,9)),0.08721+(2-BJ68)*0.17442),NA()))</f>
        <v>0</v>
      </c>
      <c r="BK75" s="5">
        <f>IF(BK$39=0,NA(),IF(ISNUMBER(INDEX($D$44:$AD$44,BK$39)),MAX(MIN(BK72,IFERROR(INDEX($D$56:$AD$56,BK$39)/BK59,1)-0.08721-BK68*0.17442,IF(BK66&lt;BK68,IFERROR(BK71,9)-(BK68-BK66)*0.17442,9),IF(BK64&lt;BK68,IFERROR(BK70,9)-(BK68-BK64)*0.17442,9)),0.08721+(2-BK68)*0.17442),NA()))</f>
        <v>0</v>
      </c>
      <c r="BL75" s="5">
        <f>IF(BL$39=0,NA(),IF(ISNUMBER(INDEX($D$44:$AD$44,BL$39)),MAX(MIN(BL72,IFERROR(INDEX($D$56:$AD$56,BL$39)/BL59,1)-0.08721-BL68*0.17442,IF(BL66&lt;BL68,IFERROR(BL71,9)-(BL68-BL66)*0.17442,9),IF(BL64&lt;BL68,IFERROR(BL70,9)-(BL68-BL64)*0.17442,9)),0.08721+(2-BL68)*0.17442),NA()))</f>
        <v>0</v>
      </c>
      <c r="BM75" s="5">
        <f>IF(BM$39=0,NA(),IF(ISNUMBER(INDEX($D$44:$AD$44,BM$39)),MAX(MIN(BM72,IFERROR(INDEX($D$56:$AD$56,BM$39)/BM59,1)-0.08721-BM68*0.17442,IF(BM66&lt;BM68,IFERROR(BM71,9)-(BM68-BM66)*0.17442,9),IF(BM64&lt;BM68,IFERROR(BM70,9)-(BM68-BM64)*0.17442,9)),0.08721+(2-BM68)*0.17442),NA()))</f>
        <v>0</v>
      </c>
      <c r="BN75" s="5">
        <f>IF(BN$39=0,NA(),IF(ISNUMBER(INDEX($D$44:$AD$44,BN$39)),MAX(MIN(BN72,IFERROR(INDEX($D$56:$AD$56,BN$39)/BN59,1)-0.08721-BN68*0.17442,IF(BN66&lt;BN68,IFERROR(BN71,9)-(BN68-BN66)*0.17442,9),IF(BN64&lt;BN68,IFERROR(BN70,9)-(BN68-BN64)*0.17442,9)),0.08721+(2-BN68)*0.17442),NA()))</f>
        <v>0</v>
      </c>
      <c r="BO75" s="5">
        <f>IF(BO$39=0,NA(),IF(ISNUMBER(INDEX($D$44:$AD$44,BO$39)),MAX(MIN(BO72,IFERROR(INDEX($D$56:$AD$56,BO$39)/BO59,1)-0.08721-BO68*0.17442,IF(BO66&lt;BO68,IFERROR(BO71,9)-(BO68-BO66)*0.17442,9),IF(BO64&lt;BO68,IFERROR(BO70,9)-(BO68-BO64)*0.17442,9)),0.08721+(2-BO68)*0.17442),NA()))</f>
        <v>0</v>
      </c>
      <c r="BP75" s="5">
        <f>IF(BP$39=0,NA(),IF(ISNUMBER(INDEX($D$44:$AD$44,BP$39)),MAX(MIN(BP72,IFERROR(INDEX($D$56:$AD$56,BP$39)/BP59,1)-0.08721-BP68*0.17442,IF(BP66&lt;BP68,IFERROR(BP71,9)-(BP68-BP66)*0.17442,9),IF(BP64&lt;BP68,IFERROR(BP70,9)-(BP68-BP64)*0.17442,9)),0.08721+(2-BP68)*0.17442),NA()))</f>
        <v>0</v>
      </c>
    </row>
    <row r="76" spans="1:68">
      <c r="A76" s="11" t="s">
        <v>215</v>
      </c>
      <c r="B76" s="11" t="s">
        <v>216</v>
      </c>
      <c r="C76" s="3" t="s">
        <v>144</v>
      </c>
      <c r="AQ76" s="5">
        <f>IF(AQ$39=0,NA(),IF(ISNUMBER(INDEX($D$56:$AD$56,AQ$39)),MAX(INDEX($D$56:$AD$56,AQ$39)/AQ59,IFERROR(_xlfn.AGGREGATE(4,6,AQ74,AQ73,AQ75),0)+0.08721),NA()))</f>
        <v>0</v>
      </c>
      <c r="AR76" s="5">
        <f>IF(AR$39=0,NA(),IF(ISNUMBER(INDEX($D$56:$AD$56,AR$39)),MAX(INDEX($D$56:$AD$56,AR$39)/AR59,IFERROR(_xlfn.AGGREGATE(4,6,AR74,AR73,AR75),0)+0.08721),NA()))</f>
        <v>0</v>
      </c>
      <c r="AS76" s="5">
        <f>IF(AS$39=0,NA(),IF(ISNUMBER(INDEX($D$56:$AD$56,AS$39)),MAX(INDEX($D$56:$AD$56,AS$39)/AS59,IFERROR(_xlfn.AGGREGATE(4,6,AS74,AS73,AS75),0)+0.08721),NA()))</f>
        <v>0</v>
      </c>
      <c r="AT76" s="5">
        <f>IF(AT$39=0,NA(),IF(ISNUMBER(INDEX($D$56:$AD$56,AT$39)),MAX(INDEX($D$56:$AD$56,AT$39)/AT59,IFERROR(_xlfn.AGGREGATE(4,6,AT74,AT73,AT75),0)+0.08721),NA()))</f>
        <v>0</v>
      </c>
      <c r="AU76" s="5">
        <f>IF(AU$39=0,NA(),IF(ISNUMBER(INDEX($D$56:$AD$56,AU$39)),MAX(INDEX($D$56:$AD$56,AU$39)/AU59,IFERROR(_xlfn.AGGREGATE(4,6,AU74,AU73,AU75),0)+0.08721),NA()))</f>
        <v>0</v>
      </c>
      <c r="AV76" s="5">
        <f>IF(AV$39=0,NA(),IF(ISNUMBER(INDEX($D$56:$AD$56,AV$39)),MAX(INDEX($D$56:$AD$56,AV$39)/AV59,IFERROR(_xlfn.AGGREGATE(4,6,AV74,AV73,AV75),0)+0.08721),NA()))</f>
        <v>0</v>
      </c>
      <c r="AW76" s="5">
        <f>IF(AW$39=0,NA(),IF(ISNUMBER(INDEX($D$56:$AD$56,AW$39)),MAX(INDEX($D$56:$AD$56,AW$39)/AW59,IFERROR(_xlfn.AGGREGATE(4,6,AW74,AW73,AW75),0)+0.08721),NA()))</f>
        <v>0</v>
      </c>
      <c r="AX76" s="5">
        <f>IF(AX$39=0,NA(),IF(ISNUMBER(INDEX($D$56:$AD$56,AX$39)),MAX(INDEX($D$56:$AD$56,AX$39)/AX59,IFERROR(_xlfn.AGGREGATE(4,6,AX74,AX73,AX75),0)+0.08721),NA()))</f>
        <v>0</v>
      </c>
      <c r="AY76" s="5">
        <f>IF(AY$39=0,NA(),IF(ISNUMBER(INDEX($D$56:$AD$56,AY$39)),MAX(INDEX($D$56:$AD$56,AY$39)/AY59,IFERROR(_xlfn.AGGREGATE(4,6,AY74,AY73,AY75),0)+0.08721),NA()))</f>
        <v>0</v>
      </c>
      <c r="AZ76" s="5">
        <f>IF(AZ$39=0,NA(),IF(ISNUMBER(INDEX($D$56:$AD$56,AZ$39)),MAX(INDEX($D$56:$AD$56,AZ$39)/AZ59,IFERROR(_xlfn.AGGREGATE(4,6,AZ74,AZ73,AZ75),0)+0.08721),NA()))</f>
        <v>0</v>
      </c>
      <c r="BA76" s="5">
        <f>IF(BA$39=0,NA(),IF(ISNUMBER(INDEX($D$56:$AD$56,BA$39)),MAX(INDEX($D$56:$AD$56,BA$39)/BA59,IFERROR(_xlfn.AGGREGATE(4,6,BA74,BA73,BA75),0)+0.08721),NA()))</f>
        <v>0</v>
      </c>
      <c r="BB76" s="5">
        <f>IF(BB$39=0,NA(),IF(ISNUMBER(INDEX($D$56:$AD$56,BB$39)),MAX(INDEX($D$56:$AD$56,BB$39)/BB59,IFERROR(_xlfn.AGGREGATE(4,6,BB74,BB73,BB75),0)+0.08721),NA()))</f>
        <v>0</v>
      </c>
      <c r="BC76" s="5">
        <f>IF(BC$39=0,NA(),IF(ISNUMBER(INDEX($D$56:$AD$56,BC$39)),MAX(INDEX($D$56:$AD$56,BC$39)/BC59,IFERROR(_xlfn.AGGREGATE(4,6,BC74,BC73,BC75),0)+0.08721),NA()))</f>
        <v>0</v>
      </c>
      <c r="BD76" s="5">
        <f>IF(BD$39=0,NA(),IF(ISNUMBER(INDEX($D$56:$AD$56,BD$39)),MAX(INDEX($D$56:$AD$56,BD$39)/BD59,IFERROR(_xlfn.AGGREGATE(4,6,BD74,BD73,BD75),0)+0.08721),NA()))</f>
        <v>0</v>
      </c>
      <c r="BE76" s="5">
        <f>IF(BE$39=0,NA(),IF(ISNUMBER(INDEX($D$56:$AD$56,BE$39)),MAX(INDEX($D$56:$AD$56,BE$39)/BE59,IFERROR(_xlfn.AGGREGATE(4,6,BE74,BE73,BE75),0)+0.08721),NA()))</f>
        <v>0</v>
      </c>
      <c r="BF76" s="5">
        <f>IF(BF$39=0,NA(),IF(ISNUMBER(INDEX($D$56:$AD$56,BF$39)),MAX(INDEX($D$56:$AD$56,BF$39)/BF59,IFERROR(_xlfn.AGGREGATE(4,6,BF74,BF73,BF75),0)+0.08721),NA()))</f>
        <v>0</v>
      </c>
      <c r="BG76" s="5">
        <f>IF(BG$39=0,NA(),IF(ISNUMBER(INDEX($D$56:$AD$56,BG$39)),MAX(INDEX($D$56:$AD$56,BG$39)/BG59,IFERROR(_xlfn.AGGREGATE(4,6,BG74,BG73,BG75),0)+0.08721),NA()))</f>
        <v>0</v>
      </c>
      <c r="BH76" s="5">
        <f>IF(BH$39=0,NA(),IF(ISNUMBER(INDEX($D$56:$AD$56,BH$39)),MAX(INDEX($D$56:$AD$56,BH$39)/BH59,IFERROR(_xlfn.AGGREGATE(4,6,BH74,BH73,BH75),0)+0.08721),NA()))</f>
        <v>0</v>
      </c>
      <c r="BI76" s="5">
        <f>IF(BI$39=0,NA(),IF(ISNUMBER(INDEX($D$56:$AD$56,BI$39)),MAX(INDEX($D$56:$AD$56,BI$39)/BI59,IFERROR(_xlfn.AGGREGATE(4,6,BI74,BI73,BI75),0)+0.08721),NA()))</f>
        <v>0</v>
      </c>
      <c r="BJ76" s="5">
        <f>IF(BJ$39=0,NA(),IF(ISNUMBER(INDEX($D$56:$AD$56,BJ$39)),MAX(INDEX($D$56:$AD$56,BJ$39)/BJ59,IFERROR(_xlfn.AGGREGATE(4,6,BJ74,BJ73,BJ75),0)+0.08721),NA()))</f>
        <v>0</v>
      </c>
      <c r="BK76" s="5">
        <f>IF(BK$39=0,NA(),IF(ISNUMBER(INDEX($D$56:$AD$56,BK$39)),MAX(INDEX($D$56:$AD$56,BK$39)/BK59,IFERROR(_xlfn.AGGREGATE(4,6,BK74,BK73,BK75),0)+0.08721),NA()))</f>
        <v>0</v>
      </c>
      <c r="BL76" s="5">
        <f>IF(BL$39=0,NA(),IF(ISNUMBER(INDEX($D$56:$AD$56,BL$39)),MAX(INDEX($D$56:$AD$56,BL$39)/BL59,IFERROR(_xlfn.AGGREGATE(4,6,BL74,BL73,BL75),0)+0.08721),NA()))</f>
        <v>0</v>
      </c>
      <c r="BM76" s="5">
        <f>IF(BM$39=0,NA(),IF(ISNUMBER(INDEX($D$56:$AD$56,BM$39)),MAX(INDEX($D$56:$AD$56,BM$39)/BM59,IFERROR(_xlfn.AGGREGATE(4,6,BM74,BM73,BM75),0)+0.08721),NA()))</f>
        <v>0</v>
      </c>
      <c r="BN76" s="5">
        <f>IF(BN$39=0,NA(),IF(ISNUMBER(INDEX($D$56:$AD$56,BN$39)),MAX(INDEX($D$56:$AD$56,BN$39)/BN59,IFERROR(_xlfn.AGGREGATE(4,6,BN74,BN73,BN75),0)+0.08721),NA()))</f>
        <v>0</v>
      </c>
      <c r="BO76" s="5">
        <f>IF(BO$39=0,NA(),IF(ISNUMBER(INDEX($D$56:$AD$56,BO$39)),MAX(INDEX($D$56:$AD$56,BO$39)/BO59,IFERROR(_xlfn.AGGREGATE(4,6,BO74,BO73,BO75),0)+0.08721),NA()))</f>
        <v>0</v>
      </c>
      <c r="BP76" s="5">
        <f>IF(BP$39=0,NA(),IF(ISNUMBER(INDEX($D$56:$AD$56,BP$39)),MAX(INDEX($D$56:$AD$56,BP$39)/BP59,IFERROR(_xlfn.AGGREGATE(4,6,BP74,BP73,BP75),0)+0.08721),NA()))</f>
        <v>0</v>
      </c>
    </row>
    <row r="77" spans="1:68">
      <c r="A77" s="11" t="s">
        <v>217</v>
      </c>
      <c r="B77" s="11" t="s">
        <v>218</v>
      </c>
      <c r="C77" s="3" t="s">
        <v>144</v>
      </c>
      <c r="AQ77" s="11">
        <f>IF(AQ$39=0,"",IF(ISNUMBER(INDEX($D$56:$AD$56,AQ$39)),FIXED(INDEX($D$56:$AD$56,AQ$39)/1000,1),""))</f>
        <v>0</v>
      </c>
      <c r="AR77" s="11">
        <f>IF(AR$39=0,"",IF(ISNUMBER(INDEX($D$56:$AD$56,AR$39)),FIXED(INDEX($D$56:$AD$56,AR$39)/1000,1),""))</f>
        <v>0</v>
      </c>
      <c r="AS77" s="11">
        <f>IF(AS$39=0,"",IF(ISNUMBER(INDEX($D$56:$AD$56,AS$39)),FIXED(INDEX($D$56:$AD$56,AS$39)/1000,1),""))</f>
        <v>0</v>
      </c>
      <c r="AT77" s="11">
        <f>IF(AT$39=0,"",IF(ISNUMBER(INDEX($D$56:$AD$56,AT$39)),FIXED(INDEX($D$56:$AD$56,AT$39)/1000,1),""))</f>
        <v>0</v>
      </c>
      <c r="AU77" s="11">
        <f>IF(AU$39=0,"",IF(ISNUMBER(INDEX($D$56:$AD$56,AU$39)),FIXED(INDEX($D$56:$AD$56,AU$39)/1000,1),""))</f>
        <v>0</v>
      </c>
      <c r="AV77" s="11">
        <f>IF(AV$39=0,"",IF(ISNUMBER(INDEX($D$56:$AD$56,AV$39)),FIXED(INDEX($D$56:$AD$56,AV$39)/1000,1),""))</f>
        <v>0</v>
      </c>
      <c r="AW77" s="11">
        <f>IF(AW$39=0,"",IF(ISNUMBER(INDEX($D$56:$AD$56,AW$39)),FIXED(INDEX($D$56:$AD$56,AW$39)/1000,1),""))</f>
        <v>0</v>
      </c>
      <c r="AX77" s="11">
        <f>IF(AX$39=0,"",IF(ISNUMBER(INDEX($D$56:$AD$56,AX$39)),FIXED(INDEX($D$56:$AD$56,AX$39)/1000,1),""))</f>
        <v>0</v>
      </c>
      <c r="AY77" s="11">
        <f>IF(AY$39=0,"",IF(ISNUMBER(INDEX($D$56:$AD$56,AY$39)),FIXED(INDEX($D$56:$AD$56,AY$39)/1000,1),""))</f>
        <v>0</v>
      </c>
      <c r="AZ77" s="11">
        <f>IF(AZ$39=0,"",IF(ISNUMBER(INDEX($D$56:$AD$56,AZ$39)),FIXED(INDEX($D$56:$AD$56,AZ$39)/1000,1),""))</f>
        <v>0</v>
      </c>
      <c r="BA77" s="11">
        <f>IF(BA$39=0,"",IF(ISNUMBER(INDEX($D$56:$AD$56,BA$39)),FIXED(INDEX($D$56:$AD$56,BA$39)/1000,1),""))</f>
        <v>0</v>
      </c>
      <c r="BB77" s="11">
        <f>IF(BB$39=0,"",IF(ISNUMBER(INDEX($D$56:$AD$56,BB$39)),FIXED(INDEX($D$56:$AD$56,BB$39)/1000,1),""))</f>
        <v>0</v>
      </c>
      <c r="BC77" s="11">
        <f>IF(BC$39=0,"",IF(ISNUMBER(INDEX($D$56:$AD$56,BC$39)),FIXED(INDEX($D$56:$AD$56,BC$39)/1000,1),""))</f>
        <v>0</v>
      </c>
      <c r="BD77" s="11">
        <f>IF(BD$39=0,"",IF(ISNUMBER(INDEX($D$56:$AD$56,BD$39)),FIXED(INDEX($D$56:$AD$56,BD$39)/1000,1),""))</f>
        <v>0</v>
      </c>
      <c r="BE77" s="11">
        <f>IF(BE$39=0,"",IF(ISNUMBER(INDEX($D$56:$AD$56,BE$39)),FIXED(INDEX($D$56:$AD$56,BE$39)/1000,1),""))</f>
        <v>0</v>
      </c>
      <c r="BF77" s="11">
        <f>IF(BF$39=0,"",IF(ISNUMBER(INDEX($D$56:$AD$56,BF$39)),FIXED(INDEX($D$56:$AD$56,BF$39)/1000,1),""))</f>
        <v>0</v>
      </c>
      <c r="BG77" s="11">
        <f>IF(BG$39=0,"",IF(ISNUMBER(INDEX($D$56:$AD$56,BG$39)),FIXED(INDEX($D$56:$AD$56,BG$39)/1000,1),""))</f>
        <v>0</v>
      </c>
      <c r="BH77" s="11">
        <f>IF(BH$39=0,"",IF(ISNUMBER(INDEX($D$56:$AD$56,BH$39)),FIXED(INDEX($D$56:$AD$56,BH$39)/1000,1),""))</f>
        <v>0</v>
      </c>
      <c r="BI77" s="11">
        <f>IF(BI$39=0,"",IF(ISNUMBER(INDEX($D$56:$AD$56,BI$39)),FIXED(INDEX($D$56:$AD$56,BI$39)/1000,1),""))</f>
        <v>0</v>
      </c>
      <c r="BJ77" s="11">
        <f>IF(BJ$39=0,"",IF(ISNUMBER(INDEX($D$56:$AD$56,BJ$39)),FIXED(INDEX($D$56:$AD$56,BJ$39)/1000,1),""))</f>
        <v>0</v>
      </c>
      <c r="BK77" s="11">
        <f>IF(BK$39=0,"",IF(ISNUMBER(INDEX($D$56:$AD$56,BK$39)),FIXED(INDEX($D$56:$AD$56,BK$39)/1000,1),""))</f>
        <v>0</v>
      </c>
      <c r="BL77" s="11">
        <f>IF(BL$39=0,"",IF(ISNUMBER(INDEX($D$56:$AD$56,BL$39)),FIXED(INDEX($D$56:$AD$56,BL$39)/1000,1),""))</f>
        <v>0</v>
      </c>
      <c r="BM77" s="11">
        <f>IF(BM$39=0,"",IF(ISNUMBER(INDEX($D$56:$AD$56,BM$39)),FIXED(INDEX($D$56:$AD$56,BM$39)/1000,1),""))</f>
        <v>0</v>
      </c>
      <c r="BN77" s="11">
        <f>IF(BN$39=0,"",IF(ISNUMBER(INDEX($D$56:$AD$56,BN$39)),FIXED(INDEX($D$56:$AD$56,BN$39)/1000,1),""))</f>
        <v>0</v>
      </c>
      <c r="BO77" s="11">
        <f>IF(BO$39=0,"",IF(ISNUMBER(INDEX($D$56:$AD$56,BO$39)),FIXED(INDEX($D$56:$AD$56,BO$39)/1000,1),""))</f>
        <v>0</v>
      </c>
      <c r="BP77" s="11">
        <f>IF(BP$39=0,"",IF(ISNUMBER(INDEX($D$56:$AD$56,BP$39)),FIXED(INDEX($D$56:$AD$56,BP$39)/1000,1),""))</f>
        <v>0</v>
      </c>
    </row>
    <row r="78" spans="1:68">
      <c r="A78" s="11" t="s">
        <v>219</v>
      </c>
      <c r="B78" s="11" t="s">
        <v>220</v>
      </c>
      <c r="C78" s="3" t="s">
        <v>144</v>
      </c>
      <c r="AQ78" s="5">
        <f>IF(AQ$39=0,NA(),IF(N(Konfiguration!$F$9)&gt;0,N(Konfiguration!$F$9)/AQ59,NA()))</f>
        <v>0</v>
      </c>
      <c r="AR78" s="5">
        <f>IF(AR$39=0,NA(),IF(N(Konfiguration!$F$9)&gt;0,N(Konfiguration!$F$9)/AR59,NA()))</f>
        <v>0</v>
      </c>
      <c r="AS78" s="5">
        <f>IF(AS$39=0,NA(),IF(N(Konfiguration!$F$9)&gt;0,N(Konfiguration!$F$9)/AS59,NA()))</f>
        <v>0</v>
      </c>
      <c r="AT78" s="5">
        <f>IF(AT$39=0,NA(),IF(N(Konfiguration!$F$9)&gt;0,N(Konfiguration!$F$9)/AT59,NA()))</f>
        <v>0</v>
      </c>
      <c r="AU78" s="5">
        <f>IF(AU$39=0,NA(),IF(N(Konfiguration!$F$9)&gt;0,N(Konfiguration!$F$9)/AU59,NA()))</f>
        <v>0</v>
      </c>
      <c r="AV78" s="5">
        <f>IF(AV$39=0,NA(),IF(N(Konfiguration!$F$9)&gt;0,N(Konfiguration!$F$9)/AV59,NA()))</f>
        <v>0</v>
      </c>
      <c r="AW78" s="5">
        <f>IF(AW$39=0,NA(),IF(N(Konfiguration!$F$9)&gt;0,N(Konfiguration!$F$9)/AW59,NA()))</f>
        <v>0</v>
      </c>
      <c r="AX78" s="5">
        <f>IF(AX$39=0,NA(),IF(N(Konfiguration!$F$9)&gt;0,N(Konfiguration!$F$9)/AX59,NA()))</f>
        <v>0</v>
      </c>
      <c r="AY78" s="5">
        <f>IF(AY$39=0,NA(),IF(N(Konfiguration!$F$9)&gt;0,N(Konfiguration!$F$9)/AY59,NA()))</f>
        <v>0</v>
      </c>
      <c r="AZ78" s="5">
        <f>IF(AZ$39=0,NA(),IF(N(Konfiguration!$F$9)&gt;0,N(Konfiguration!$F$9)/AZ59,NA()))</f>
        <v>0</v>
      </c>
      <c r="BA78" s="5">
        <f>IF(BA$39=0,NA(),IF(N(Konfiguration!$F$9)&gt;0,N(Konfiguration!$F$9)/BA59,NA()))</f>
        <v>0</v>
      </c>
      <c r="BB78" s="5">
        <f>IF(BB$39=0,NA(),IF(N(Konfiguration!$F$9)&gt;0,N(Konfiguration!$F$9)/BB59,NA()))</f>
        <v>0</v>
      </c>
      <c r="BC78" s="5">
        <f>IF(BC$39=0,NA(),IF(N(Konfiguration!$F$9)&gt;0,N(Konfiguration!$F$9)/BC59,NA()))</f>
        <v>0</v>
      </c>
      <c r="BD78" s="5">
        <f>IF(BD$39=0,NA(),IF(N(Konfiguration!$F$9)&gt;0,N(Konfiguration!$F$9)/BD59,NA()))</f>
        <v>0</v>
      </c>
      <c r="BE78" s="5">
        <f>IF(BE$39=0,NA(),IF(N(Konfiguration!$F$9)&gt;0,N(Konfiguration!$F$9)/BE59,NA()))</f>
        <v>0</v>
      </c>
      <c r="BF78" s="5">
        <f>IF(BF$39=0,NA(),IF(N(Konfiguration!$F$9)&gt;0,N(Konfiguration!$F$9)/BF59,NA()))</f>
        <v>0</v>
      </c>
      <c r="BG78" s="5">
        <f>IF(BG$39=0,NA(),IF(N(Konfiguration!$F$9)&gt;0,N(Konfiguration!$F$9)/BG59,NA()))</f>
        <v>0</v>
      </c>
      <c r="BH78" s="5">
        <f>IF(BH$39=0,NA(),IF(N(Konfiguration!$F$9)&gt;0,N(Konfiguration!$F$9)/BH59,NA()))</f>
        <v>0</v>
      </c>
      <c r="BI78" s="5">
        <f>IF(BI$39=0,NA(),IF(N(Konfiguration!$F$9)&gt;0,N(Konfiguration!$F$9)/BI59,NA()))</f>
        <v>0</v>
      </c>
      <c r="BJ78" s="5">
        <f>IF(BJ$39=0,NA(),IF(N(Konfiguration!$F$9)&gt;0,N(Konfiguration!$F$9)/BJ59,NA()))</f>
        <v>0</v>
      </c>
      <c r="BK78" s="5">
        <f>IF(BK$39=0,NA(),IF(N(Konfiguration!$F$9)&gt;0,N(Konfiguration!$F$9)/BK59,NA()))</f>
        <v>0</v>
      </c>
      <c r="BL78" s="5">
        <f>IF(BL$39=0,NA(),IF(N(Konfiguration!$F$9)&gt;0,N(Konfiguration!$F$9)/BL59,NA()))</f>
        <v>0</v>
      </c>
      <c r="BM78" s="5">
        <f>IF(BM$39=0,NA(),IF(N(Konfiguration!$F$9)&gt;0,N(Konfiguration!$F$9)/BM59,NA()))</f>
        <v>0</v>
      </c>
      <c r="BN78" s="5">
        <f>IF(BN$39=0,NA(),IF(N(Konfiguration!$F$9)&gt;0,N(Konfiguration!$F$9)/BN59,NA()))</f>
        <v>0</v>
      </c>
      <c r="BO78" s="5">
        <f>IF(BO$39=0,NA(),IF(N(Konfiguration!$F$9)&gt;0,N(Konfiguration!$F$9)/BO59,NA()))</f>
        <v>0</v>
      </c>
      <c r="BP78" s="5">
        <f>IF(BP$39=0,NA(),IF(N(Konfiguration!$F$9)&gt;0,N(Konfiguration!$F$9)/BP59,NA()))</f>
        <v>0</v>
      </c>
    </row>
    <row r="79" spans="1:68">
      <c r="A79" s="11" t="s">
        <v>221</v>
      </c>
      <c r="B79" s="11" t="s">
        <v>222</v>
      </c>
      <c r="C79" s="3" t="s">
        <v>144</v>
      </c>
      <c r="AQ79" s="5">
        <f>IF(AQ$39=0,NA(),MAX(1,_xlfn.AGGREGATE(4,6,INDEX($D$54:$AD$54,MAX(1,$D$37+1-$D$36)):INDEX($D$54:$AD$54,$D$37)),_xlfn.AGGREGATE(4,6,INDEX($D$55:$AD$55,MAX(1,$D$37+1-$D$36)):INDEX($D$55:$AD$55,$D$37))))</f>
        <v>0</v>
      </c>
      <c r="AR79" s="5">
        <f>IF(AR$39=0,NA(),MAX(1,_xlfn.AGGREGATE(4,6,INDEX($D$54:$AD$54,MAX(1,$D$37+1-$D$36)):INDEX($D$54:$AD$54,$D$37)),_xlfn.AGGREGATE(4,6,INDEX($D$55:$AD$55,MAX(1,$D$37+1-$D$36)):INDEX($D$55:$AD$55,$D$37))))</f>
        <v>0</v>
      </c>
      <c r="AS79" s="5">
        <f>IF(AS$39=0,NA(),MAX(1,_xlfn.AGGREGATE(4,6,INDEX($D$54:$AD$54,MAX(1,$D$37+1-$D$36)):INDEX($D$54:$AD$54,$D$37)),_xlfn.AGGREGATE(4,6,INDEX($D$55:$AD$55,MAX(1,$D$37+1-$D$36)):INDEX($D$55:$AD$55,$D$37))))</f>
        <v>0</v>
      </c>
      <c r="AT79" s="5">
        <f>IF(AT$39=0,NA(),MAX(1,_xlfn.AGGREGATE(4,6,INDEX($D$54:$AD$54,MAX(1,$D$37+1-$D$36)):INDEX($D$54:$AD$54,$D$37)),_xlfn.AGGREGATE(4,6,INDEX($D$55:$AD$55,MAX(1,$D$37+1-$D$36)):INDEX($D$55:$AD$55,$D$37))))</f>
        <v>0</v>
      </c>
      <c r="AU79" s="5">
        <f>IF(AU$39=0,NA(),MAX(1,_xlfn.AGGREGATE(4,6,INDEX($D$54:$AD$54,MAX(1,$D$37+1-$D$36)):INDEX($D$54:$AD$54,$D$37)),_xlfn.AGGREGATE(4,6,INDEX($D$55:$AD$55,MAX(1,$D$37+1-$D$36)):INDEX($D$55:$AD$55,$D$37))))</f>
        <v>0</v>
      </c>
      <c r="AV79" s="5">
        <f>IF(AV$39=0,NA(),MAX(1,_xlfn.AGGREGATE(4,6,INDEX($D$54:$AD$54,MAX(1,$D$37+1-$D$36)):INDEX($D$54:$AD$54,$D$37)),_xlfn.AGGREGATE(4,6,INDEX($D$55:$AD$55,MAX(1,$D$37+1-$D$36)):INDEX($D$55:$AD$55,$D$37))))</f>
        <v>0</v>
      </c>
      <c r="AW79" s="5">
        <f>IF(AW$39=0,NA(),MAX(1,_xlfn.AGGREGATE(4,6,INDEX($D$54:$AD$54,MAX(1,$D$37+1-$D$36)):INDEX($D$54:$AD$54,$D$37)),_xlfn.AGGREGATE(4,6,INDEX($D$55:$AD$55,MAX(1,$D$37+1-$D$36)):INDEX($D$55:$AD$55,$D$37))))</f>
        <v>0</v>
      </c>
      <c r="AX79" s="5">
        <f>IF(AX$39=0,NA(),MAX(1,_xlfn.AGGREGATE(4,6,INDEX($D$54:$AD$54,MAX(1,$D$37+1-$D$36)):INDEX($D$54:$AD$54,$D$37)),_xlfn.AGGREGATE(4,6,INDEX($D$55:$AD$55,MAX(1,$D$37+1-$D$36)):INDEX($D$55:$AD$55,$D$37))))</f>
        <v>0</v>
      </c>
      <c r="AY79" s="5">
        <f>IF(AY$39=0,NA(),MAX(1,_xlfn.AGGREGATE(4,6,INDEX($D$54:$AD$54,MAX(1,$D$37+1-$D$36)):INDEX($D$54:$AD$54,$D$37)),_xlfn.AGGREGATE(4,6,INDEX($D$55:$AD$55,MAX(1,$D$37+1-$D$36)):INDEX($D$55:$AD$55,$D$37))))</f>
        <v>0</v>
      </c>
      <c r="AZ79" s="5">
        <f>IF(AZ$39=0,NA(),MAX(1,_xlfn.AGGREGATE(4,6,INDEX($D$54:$AD$54,MAX(1,$D$37+1-$D$36)):INDEX($D$54:$AD$54,$D$37)),_xlfn.AGGREGATE(4,6,INDEX($D$55:$AD$55,MAX(1,$D$37+1-$D$36)):INDEX($D$55:$AD$55,$D$37))))</f>
        <v>0</v>
      </c>
      <c r="BA79" s="5">
        <f>IF(BA$39=0,NA(),MAX(1,_xlfn.AGGREGATE(4,6,INDEX($D$54:$AD$54,MAX(1,$D$37+1-$D$36)):INDEX($D$54:$AD$54,$D$37)),_xlfn.AGGREGATE(4,6,INDEX($D$55:$AD$55,MAX(1,$D$37+1-$D$36)):INDEX($D$55:$AD$55,$D$37))))</f>
        <v>0</v>
      </c>
      <c r="BB79" s="5">
        <f>IF(BB$39=0,NA(),MAX(1,_xlfn.AGGREGATE(4,6,INDEX($D$54:$AD$54,MAX(1,$D$37+1-$D$36)):INDEX($D$54:$AD$54,$D$37)),_xlfn.AGGREGATE(4,6,INDEX($D$55:$AD$55,MAX(1,$D$37+1-$D$36)):INDEX($D$55:$AD$55,$D$37))))</f>
        <v>0</v>
      </c>
      <c r="BC79" s="5">
        <f>IF(BC$39=0,NA(),MAX(1,_xlfn.AGGREGATE(4,6,INDEX($D$54:$AD$54,MAX(1,$D$37+1-$D$36)):INDEX($D$54:$AD$54,$D$37)),_xlfn.AGGREGATE(4,6,INDEX($D$55:$AD$55,MAX(1,$D$37+1-$D$36)):INDEX($D$55:$AD$55,$D$37))))</f>
        <v>0</v>
      </c>
      <c r="BD79" s="5">
        <f>IF(BD$39=0,NA(),MAX(1,_xlfn.AGGREGATE(4,6,INDEX($D$54:$AD$54,MAX(1,$D$37+1-$D$36)):INDEX($D$54:$AD$54,$D$37)),_xlfn.AGGREGATE(4,6,INDEX($D$55:$AD$55,MAX(1,$D$37+1-$D$36)):INDEX($D$55:$AD$55,$D$37))))</f>
        <v>0</v>
      </c>
      <c r="BE79" s="5">
        <f>IF(BE$39=0,NA(),MAX(1,_xlfn.AGGREGATE(4,6,INDEX($D$54:$AD$54,MAX(1,$D$37+1-$D$36)):INDEX($D$54:$AD$54,$D$37)),_xlfn.AGGREGATE(4,6,INDEX($D$55:$AD$55,MAX(1,$D$37+1-$D$36)):INDEX($D$55:$AD$55,$D$37))))</f>
        <v>0</v>
      </c>
      <c r="BF79" s="5">
        <f>IF(BF$39=0,NA(),MAX(1,_xlfn.AGGREGATE(4,6,INDEX($D$54:$AD$54,MAX(1,$D$37+1-$D$36)):INDEX($D$54:$AD$54,$D$37)),_xlfn.AGGREGATE(4,6,INDEX($D$55:$AD$55,MAX(1,$D$37+1-$D$36)):INDEX($D$55:$AD$55,$D$37))))</f>
        <v>0</v>
      </c>
      <c r="BG79" s="5">
        <f>IF(BG$39=0,NA(),MAX(1,_xlfn.AGGREGATE(4,6,INDEX($D$54:$AD$54,MAX(1,$D$37+1-$D$36)):INDEX($D$54:$AD$54,$D$37)),_xlfn.AGGREGATE(4,6,INDEX($D$55:$AD$55,MAX(1,$D$37+1-$D$36)):INDEX($D$55:$AD$55,$D$37))))</f>
        <v>0</v>
      </c>
      <c r="BH79" s="5">
        <f>IF(BH$39=0,NA(),MAX(1,_xlfn.AGGREGATE(4,6,INDEX($D$54:$AD$54,MAX(1,$D$37+1-$D$36)):INDEX($D$54:$AD$54,$D$37)),_xlfn.AGGREGATE(4,6,INDEX($D$55:$AD$55,MAX(1,$D$37+1-$D$36)):INDEX($D$55:$AD$55,$D$37))))</f>
        <v>0</v>
      </c>
      <c r="BI79" s="5">
        <f>IF(BI$39=0,NA(),MAX(1,_xlfn.AGGREGATE(4,6,INDEX($D$54:$AD$54,MAX(1,$D$37+1-$D$36)):INDEX($D$54:$AD$54,$D$37)),_xlfn.AGGREGATE(4,6,INDEX($D$55:$AD$55,MAX(1,$D$37+1-$D$36)):INDEX($D$55:$AD$55,$D$37))))</f>
        <v>0</v>
      </c>
      <c r="BJ79" s="5">
        <f>IF(BJ$39=0,NA(),MAX(1,_xlfn.AGGREGATE(4,6,INDEX($D$54:$AD$54,MAX(1,$D$37+1-$D$36)):INDEX($D$54:$AD$54,$D$37)),_xlfn.AGGREGATE(4,6,INDEX($D$55:$AD$55,MAX(1,$D$37+1-$D$36)):INDEX($D$55:$AD$55,$D$37))))</f>
        <v>0</v>
      </c>
      <c r="BK79" s="5">
        <f>IF(BK$39=0,NA(),MAX(1,_xlfn.AGGREGATE(4,6,INDEX($D$54:$AD$54,MAX(1,$D$37+1-$D$36)):INDEX($D$54:$AD$54,$D$37)),_xlfn.AGGREGATE(4,6,INDEX($D$55:$AD$55,MAX(1,$D$37+1-$D$36)):INDEX($D$55:$AD$55,$D$37))))</f>
        <v>0</v>
      </c>
      <c r="BL79" s="5">
        <f>IF(BL$39=0,NA(),MAX(1,_xlfn.AGGREGATE(4,6,INDEX($D$54:$AD$54,MAX(1,$D$37+1-$D$36)):INDEX($D$54:$AD$54,$D$37)),_xlfn.AGGREGATE(4,6,INDEX($D$55:$AD$55,MAX(1,$D$37+1-$D$36)):INDEX($D$55:$AD$55,$D$37))))</f>
        <v>0</v>
      </c>
      <c r="BM79" s="5">
        <f>IF(BM$39=0,NA(),MAX(1,_xlfn.AGGREGATE(4,6,INDEX($D$54:$AD$54,MAX(1,$D$37+1-$D$36)):INDEX($D$54:$AD$54,$D$37)),_xlfn.AGGREGATE(4,6,INDEX($D$55:$AD$55,MAX(1,$D$37+1-$D$36)):INDEX($D$55:$AD$55,$D$37))))</f>
        <v>0</v>
      </c>
      <c r="BN79" s="5">
        <f>IF(BN$39=0,NA(),MAX(1,_xlfn.AGGREGATE(4,6,INDEX($D$54:$AD$54,MAX(1,$D$37+1-$D$36)):INDEX($D$54:$AD$54,$D$37)),_xlfn.AGGREGATE(4,6,INDEX($D$55:$AD$55,MAX(1,$D$37+1-$D$36)):INDEX($D$55:$AD$55,$D$37))))</f>
        <v>0</v>
      </c>
      <c r="BO79" s="5">
        <f>IF(BO$39=0,NA(),MAX(1,_xlfn.AGGREGATE(4,6,INDEX($D$54:$AD$54,MAX(1,$D$37+1-$D$36)):INDEX($D$54:$AD$54,$D$37)),_xlfn.AGGREGATE(4,6,INDEX($D$55:$AD$55,MAX(1,$D$37+1-$D$36)):INDEX($D$55:$AD$55,$D$37))))</f>
        <v>0</v>
      </c>
      <c r="BP79" s="5">
        <f>IF(BP$39=0,NA(),MAX(1,_xlfn.AGGREGATE(4,6,INDEX($D$54:$AD$54,MAX(1,$D$37+1-$D$36)):INDEX($D$54:$AD$54,$D$37)),_xlfn.AGGREGATE(4,6,INDEX($D$55:$AD$55,MAX(1,$D$37+1-$D$36)):INDEX($D$55:$AD$55,$D$37))))</f>
        <v>0</v>
      </c>
    </row>
    <row r="80" spans="1:68">
      <c r="A80" s="11" t="s">
        <v>223</v>
      </c>
      <c r="B80" s="11" t="s">
        <v>224</v>
      </c>
      <c r="C80" s="3" t="s">
        <v>144</v>
      </c>
      <c r="AQ80" s="5">
        <f>IF(AQ$39=0,NA(),IF(ISNUMBER(INDEX($D$54:$AD$54,AQ$39)),INDEX($D$54:$AD$54,AQ$39)/AQ79,NA()))</f>
        <v>0</v>
      </c>
      <c r="AR80" s="5">
        <f>IF(AR$39=0,NA(),IF(ISNUMBER(INDEX($D$54:$AD$54,AR$39)),INDEX($D$54:$AD$54,AR$39)/AR79,NA()))</f>
        <v>0</v>
      </c>
      <c r="AS80" s="5">
        <f>IF(AS$39=0,NA(),IF(ISNUMBER(INDEX($D$54:$AD$54,AS$39)),INDEX($D$54:$AD$54,AS$39)/AS79,NA()))</f>
        <v>0</v>
      </c>
      <c r="AT80" s="5">
        <f>IF(AT$39=0,NA(),IF(ISNUMBER(INDEX($D$54:$AD$54,AT$39)),INDEX($D$54:$AD$54,AT$39)/AT79,NA()))</f>
        <v>0</v>
      </c>
      <c r="AU80" s="5">
        <f>IF(AU$39=0,NA(),IF(ISNUMBER(INDEX($D$54:$AD$54,AU$39)),INDEX($D$54:$AD$54,AU$39)/AU79,NA()))</f>
        <v>0</v>
      </c>
      <c r="AV80" s="5">
        <f>IF(AV$39=0,NA(),IF(ISNUMBER(INDEX($D$54:$AD$54,AV$39)),INDEX($D$54:$AD$54,AV$39)/AV79,NA()))</f>
        <v>0</v>
      </c>
      <c r="AW80" s="5">
        <f>IF(AW$39=0,NA(),IF(ISNUMBER(INDEX($D$54:$AD$54,AW$39)),INDEX($D$54:$AD$54,AW$39)/AW79,NA()))</f>
        <v>0</v>
      </c>
      <c r="AX80" s="5">
        <f>IF(AX$39=0,NA(),IF(ISNUMBER(INDEX($D$54:$AD$54,AX$39)),INDEX($D$54:$AD$54,AX$39)/AX79,NA()))</f>
        <v>0</v>
      </c>
      <c r="AY80" s="5">
        <f>IF(AY$39=0,NA(),IF(ISNUMBER(INDEX($D$54:$AD$54,AY$39)),INDEX($D$54:$AD$54,AY$39)/AY79,NA()))</f>
        <v>0</v>
      </c>
      <c r="AZ80" s="5">
        <f>IF(AZ$39=0,NA(),IF(ISNUMBER(INDEX($D$54:$AD$54,AZ$39)),INDEX($D$54:$AD$54,AZ$39)/AZ79,NA()))</f>
        <v>0</v>
      </c>
      <c r="BA80" s="5">
        <f>IF(BA$39=0,NA(),IF(ISNUMBER(INDEX($D$54:$AD$54,BA$39)),INDEX($D$54:$AD$54,BA$39)/BA79,NA()))</f>
        <v>0</v>
      </c>
      <c r="BB80" s="5">
        <f>IF(BB$39=0,NA(),IF(ISNUMBER(INDEX($D$54:$AD$54,BB$39)),INDEX($D$54:$AD$54,BB$39)/BB79,NA()))</f>
        <v>0</v>
      </c>
      <c r="BC80" s="5">
        <f>IF(BC$39=0,NA(),IF(ISNUMBER(INDEX($D$54:$AD$54,BC$39)),INDEX($D$54:$AD$54,BC$39)/BC79,NA()))</f>
        <v>0</v>
      </c>
      <c r="BD80" s="5">
        <f>IF(BD$39=0,NA(),IF(ISNUMBER(INDEX($D$54:$AD$54,BD$39)),INDEX($D$54:$AD$54,BD$39)/BD79,NA()))</f>
        <v>0</v>
      </c>
      <c r="BE80" s="5">
        <f>IF(BE$39=0,NA(),IF(ISNUMBER(INDEX($D$54:$AD$54,BE$39)),INDEX($D$54:$AD$54,BE$39)/BE79,NA()))</f>
        <v>0</v>
      </c>
      <c r="BF80" s="5">
        <f>IF(BF$39=0,NA(),IF(ISNUMBER(INDEX($D$54:$AD$54,BF$39)),INDEX($D$54:$AD$54,BF$39)/BF79,NA()))</f>
        <v>0</v>
      </c>
      <c r="BG80" s="5">
        <f>IF(BG$39=0,NA(),IF(ISNUMBER(INDEX($D$54:$AD$54,BG$39)),INDEX($D$54:$AD$54,BG$39)/BG79,NA()))</f>
        <v>0</v>
      </c>
      <c r="BH80" s="5">
        <f>IF(BH$39=0,NA(),IF(ISNUMBER(INDEX($D$54:$AD$54,BH$39)),INDEX($D$54:$AD$54,BH$39)/BH79,NA()))</f>
        <v>0</v>
      </c>
      <c r="BI80" s="5">
        <f>IF(BI$39=0,NA(),IF(ISNUMBER(INDEX($D$54:$AD$54,BI$39)),INDEX($D$54:$AD$54,BI$39)/BI79,NA()))</f>
        <v>0</v>
      </c>
      <c r="BJ80" s="5">
        <f>IF(BJ$39=0,NA(),IF(ISNUMBER(INDEX($D$54:$AD$54,BJ$39)),INDEX($D$54:$AD$54,BJ$39)/BJ79,NA()))</f>
        <v>0</v>
      </c>
      <c r="BK80" s="5">
        <f>IF(BK$39=0,NA(),IF(ISNUMBER(INDEX($D$54:$AD$54,BK$39)),INDEX($D$54:$AD$54,BK$39)/BK79,NA()))</f>
        <v>0</v>
      </c>
      <c r="BL80" s="5">
        <f>IF(BL$39=0,NA(),IF(ISNUMBER(INDEX($D$54:$AD$54,BL$39)),INDEX($D$54:$AD$54,BL$39)/BL79,NA()))</f>
        <v>0</v>
      </c>
      <c r="BM80" s="5">
        <f>IF(BM$39=0,NA(),IF(ISNUMBER(INDEX($D$54:$AD$54,BM$39)),INDEX($D$54:$AD$54,BM$39)/BM79,NA()))</f>
        <v>0</v>
      </c>
      <c r="BN80" s="5">
        <f>IF(BN$39=0,NA(),IF(ISNUMBER(INDEX($D$54:$AD$54,BN$39)),INDEX($D$54:$AD$54,BN$39)/BN79,NA()))</f>
        <v>0</v>
      </c>
      <c r="BO80" s="5">
        <f>IF(BO$39=0,NA(),IF(ISNUMBER(INDEX($D$54:$AD$54,BO$39)),INDEX($D$54:$AD$54,BO$39)/BO79,NA()))</f>
        <v>0</v>
      </c>
      <c r="BP80" s="5">
        <f>IF(BP$39=0,NA(),IF(ISNUMBER(INDEX($D$54:$AD$54,BP$39)),INDEX($D$54:$AD$54,BP$39)/BP79,NA()))</f>
        <v>0</v>
      </c>
    </row>
    <row r="81" spans="1:68">
      <c r="A81" s="11" t="s">
        <v>225</v>
      </c>
      <c r="B81" s="11" t="s">
        <v>226</v>
      </c>
      <c r="C81" s="3" t="s">
        <v>144</v>
      </c>
      <c r="AQ81" s="11">
        <f>IF(AQ$39=0,"",IF(ISNUMBER(INDEX($D$54:$AD$54,AQ$39)),FIXED(INDEX($D$54:$AD$54,AQ$39)/1000,1)&amp;REPT(_xlfn.UNICHAR(160),3),""))</f>
        <v>0</v>
      </c>
      <c r="AR81" s="11">
        <f>IF(AR$39=0,"",IF(ISNUMBER(INDEX($D$54:$AD$54,AR$39)),FIXED(INDEX($D$54:$AD$54,AR$39)/1000,1)&amp;REPT(_xlfn.UNICHAR(160),3),""))</f>
        <v>0</v>
      </c>
      <c r="AS81" s="11">
        <f>IF(AS$39=0,"",IF(ISNUMBER(INDEX($D$54:$AD$54,AS$39)),FIXED(INDEX($D$54:$AD$54,AS$39)/1000,1)&amp;REPT(_xlfn.UNICHAR(160),3),""))</f>
        <v>0</v>
      </c>
      <c r="AT81" s="11">
        <f>IF(AT$39=0,"",IF(ISNUMBER(INDEX($D$54:$AD$54,AT$39)),FIXED(INDEX($D$54:$AD$54,AT$39)/1000,1)&amp;REPT(_xlfn.UNICHAR(160),3),""))</f>
        <v>0</v>
      </c>
      <c r="AU81" s="11">
        <f>IF(AU$39=0,"",IF(ISNUMBER(INDEX($D$54:$AD$54,AU$39)),FIXED(INDEX($D$54:$AD$54,AU$39)/1000,1)&amp;REPT(_xlfn.UNICHAR(160),3),""))</f>
        <v>0</v>
      </c>
      <c r="AV81" s="11">
        <f>IF(AV$39=0,"",IF(ISNUMBER(INDEX($D$54:$AD$54,AV$39)),FIXED(INDEX($D$54:$AD$54,AV$39)/1000,1)&amp;REPT(_xlfn.UNICHAR(160),3),""))</f>
        <v>0</v>
      </c>
      <c r="AW81" s="11">
        <f>IF(AW$39=0,"",IF(ISNUMBER(INDEX($D$54:$AD$54,AW$39)),FIXED(INDEX($D$54:$AD$54,AW$39)/1000,1)&amp;REPT(_xlfn.UNICHAR(160),3),""))</f>
        <v>0</v>
      </c>
      <c r="AX81" s="11">
        <f>IF(AX$39=0,"",IF(ISNUMBER(INDEX($D$54:$AD$54,AX$39)),FIXED(INDEX($D$54:$AD$54,AX$39)/1000,1)&amp;REPT(_xlfn.UNICHAR(160),3),""))</f>
        <v>0</v>
      </c>
      <c r="AY81" s="11">
        <f>IF(AY$39=0,"",IF(ISNUMBER(INDEX($D$54:$AD$54,AY$39)),FIXED(INDEX($D$54:$AD$54,AY$39)/1000,1)&amp;REPT(_xlfn.UNICHAR(160),3),""))</f>
        <v>0</v>
      </c>
      <c r="AZ81" s="11">
        <f>IF(AZ$39=0,"",IF(ISNUMBER(INDEX($D$54:$AD$54,AZ$39)),FIXED(INDEX($D$54:$AD$54,AZ$39)/1000,1)&amp;REPT(_xlfn.UNICHAR(160),3),""))</f>
        <v>0</v>
      </c>
      <c r="BA81" s="11">
        <f>IF(BA$39=0,"",IF(ISNUMBER(INDEX($D$54:$AD$54,BA$39)),FIXED(INDEX($D$54:$AD$54,BA$39)/1000,1)&amp;REPT(_xlfn.UNICHAR(160),3),""))</f>
        <v>0</v>
      </c>
      <c r="BB81" s="11">
        <f>IF(BB$39=0,"",IF(ISNUMBER(INDEX($D$54:$AD$54,BB$39)),FIXED(INDEX($D$54:$AD$54,BB$39)/1000,1)&amp;REPT(_xlfn.UNICHAR(160),3),""))</f>
        <v>0</v>
      </c>
      <c r="BC81" s="11">
        <f>IF(BC$39=0,"",IF(ISNUMBER(INDEX($D$54:$AD$54,BC$39)),FIXED(INDEX($D$54:$AD$54,BC$39)/1000,1)&amp;REPT(_xlfn.UNICHAR(160),3),""))</f>
        <v>0</v>
      </c>
      <c r="BD81" s="11">
        <f>IF(BD$39=0,"",IF(ISNUMBER(INDEX($D$54:$AD$54,BD$39)),FIXED(INDEX($D$54:$AD$54,BD$39)/1000,1)&amp;REPT(_xlfn.UNICHAR(160),3),""))</f>
        <v>0</v>
      </c>
      <c r="BE81" s="11">
        <f>IF(BE$39=0,"",IF(ISNUMBER(INDEX($D$54:$AD$54,BE$39)),FIXED(INDEX($D$54:$AD$54,BE$39)/1000,1)&amp;REPT(_xlfn.UNICHAR(160),3),""))</f>
        <v>0</v>
      </c>
      <c r="BF81" s="11">
        <f>IF(BF$39=0,"",IF(ISNUMBER(INDEX($D$54:$AD$54,BF$39)),FIXED(INDEX($D$54:$AD$54,BF$39)/1000,1)&amp;REPT(_xlfn.UNICHAR(160),3),""))</f>
        <v>0</v>
      </c>
      <c r="BG81" s="11">
        <f>IF(BG$39=0,"",IF(ISNUMBER(INDEX($D$54:$AD$54,BG$39)),FIXED(INDEX($D$54:$AD$54,BG$39)/1000,1)&amp;REPT(_xlfn.UNICHAR(160),3),""))</f>
        <v>0</v>
      </c>
      <c r="BH81" s="11">
        <f>IF(BH$39=0,"",IF(ISNUMBER(INDEX($D$54:$AD$54,BH$39)),FIXED(INDEX($D$54:$AD$54,BH$39)/1000,1)&amp;REPT(_xlfn.UNICHAR(160),3),""))</f>
        <v>0</v>
      </c>
      <c r="BI81" s="11">
        <f>IF(BI$39=0,"",IF(ISNUMBER(INDEX($D$54:$AD$54,BI$39)),FIXED(INDEX($D$54:$AD$54,BI$39)/1000,1)&amp;REPT(_xlfn.UNICHAR(160),3),""))</f>
        <v>0</v>
      </c>
      <c r="BJ81" s="11">
        <f>IF(BJ$39=0,"",IF(ISNUMBER(INDEX($D$54:$AD$54,BJ$39)),FIXED(INDEX($D$54:$AD$54,BJ$39)/1000,1)&amp;REPT(_xlfn.UNICHAR(160),3),""))</f>
        <v>0</v>
      </c>
      <c r="BK81" s="11">
        <f>IF(BK$39=0,"",IF(ISNUMBER(INDEX($D$54:$AD$54,BK$39)),FIXED(INDEX($D$54:$AD$54,BK$39)/1000,1)&amp;REPT(_xlfn.UNICHAR(160),3),""))</f>
        <v>0</v>
      </c>
      <c r="BL81" s="11">
        <f>IF(BL$39=0,"",IF(ISNUMBER(INDEX($D$54:$AD$54,BL$39)),FIXED(INDEX($D$54:$AD$54,BL$39)/1000,1)&amp;REPT(_xlfn.UNICHAR(160),3),""))</f>
        <v>0</v>
      </c>
      <c r="BM81" s="11">
        <f>IF(BM$39=0,"",IF(ISNUMBER(INDEX($D$54:$AD$54,BM$39)),FIXED(INDEX($D$54:$AD$54,BM$39)/1000,1)&amp;REPT(_xlfn.UNICHAR(160),3),""))</f>
        <v>0</v>
      </c>
      <c r="BN81" s="11">
        <f>IF(BN$39=0,"",IF(ISNUMBER(INDEX($D$54:$AD$54,BN$39)),FIXED(INDEX($D$54:$AD$54,BN$39)/1000,1)&amp;REPT(_xlfn.UNICHAR(160),3),""))</f>
        <v>0</v>
      </c>
      <c r="BO81" s="11">
        <f>IF(BO$39=0,"",IF(ISNUMBER(INDEX($D$54:$AD$54,BO$39)),FIXED(INDEX($D$54:$AD$54,BO$39)/1000,1)&amp;REPT(_xlfn.UNICHAR(160),3),""))</f>
        <v>0</v>
      </c>
      <c r="BP81" s="11">
        <f>IF(BP$39=0,"",IF(ISNUMBER(INDEX($D$54:$AD$54,BP$39)),FIXED(INDEX($D$54:$AD$54,BP$39)/1000,1)&amp;REPT(_xlfn.UNICHAR(160),3),""))</f>
        <v>0</v>
      </c>
    </row>
    <row r="82" spans="1:68">
      <c r="A82" s="11" t="s">
        <v>227</v>
      </c>
      <c r="B82" s="11" t="s">
        <v>228</v>
      </c>
      <c r="C82" s="3" t="s">
        <v>144</v>
      </c>
      <c r="AQ82" s="5">
        <f>IF(AQ$39=0,NA(),IF(ISNUMBER(INDEX($D$55:$AD$55,AQ$39)),INDEX($D$55:$AD$55,AQ$39)/AQ79,NA()))</f>
        <v>0</v>
      </c>
      <c r="AR82" s="5">
        <f>IF(AR$39=0,NA(),IF(ISNUMBER(INDEX($D$55:$AD$55,AR$39)),INDEX($D$55:$AD$55,AR$39)/AR79,NA()))</f>
        <v>0</v>
      </c>
      <c r="AS82" s="5">
        <f>IF(AS$39=0,NA(),IF(ISNUMBER(INDEX($D$55:$AD$55,AS$39)),INDEX($D$55:$AD$55,AS$39)/AS79,NA()))</f>
        <v>0</v>
      </c>
      <c r="AT82" s="5">
        <f>IF(AT$39=0,NA(),IF(ISNUMBER(INDEX($D$55:$AD$55,AT$39)),INDEX($D$55:$AD$55,AT$39)/AT79,NA()))</f>
        <v>0</v>
      </c>
      <c r="AU82" s="5">
        <f>IF(AU$39=0,NA(),IF(ISNUMBER(INDEX($D$55:$AD$55,AU$39)),INDEX($D$55:$AD$55,AU$39)/AU79,NA()))</f>
        <v>0</v>
      </c>
      <c r="AV82" s="5">
        <f>IF(AV$39=0,NA(),IF(ISNUMBER(INDEX($D$55:$AD$55,AV$39)),INDEX($D$55:$AD$55,AV$39)/AV79,NA()))</f>
        <v>0</v>
      </c>
      <c r="AW82" s="5">
        <f>IF(AW$39=0,NA(),IF(ISNUMBER(INDEX($D$55:$AD$55,AW$39)),INDEX($D$55:$AD$55,AW$39)/AW79,NA()))</f>
        <v>0</v>
      </c>
      <c r="AX82" s="5">
        <f>IF(AX$39=0,NA(),IF(ISNUMBER(INDEX($D$55:$AD$55,AX$39)),INDEX($D$55:$AD$55,AX$39)/AX79,NA()))</f>
        <v>0</v>
      </c>
      <c r="AY82" s="5">
        <f>IF(AY$39=0,NA(),IF(ISNUMBER(INDEX($D$55:$AD$55,AY$39)),INDEX($D$55:$AD$55,AY$39)/AY79,NA()))</f>
        <v>0</v>
      </c>
      <c r="AZ82" s="5">
        <f>IF(AZ$39=0,NA(),IF(ISNUMBER(INDEX($D$55:$AD$55,AZ$39)),INDEX($D$55:$AD$55,AZ$39)/AZ79,NA()))</f>
        <v>0</v>
      </c>
      <c r="BA82" s="5">
        <f>IF(BA$39=0,NA(),IF(ISNUMBER(INDEX($D$55:$AD$55,BA$39)),INDEX($D$55:$AD$55,BA$39)/BA79,NA()))</f>
        <v>0</v>
      </c>
      <c r="BB82" s="5">
        <f>IF(BB$39=0,NA(),IF(ISNUMBER(INDEX($D$55:$AD$55,BB$39)),INDEX($D$55:$AD$55,BB$39)/BB79,NA()))</f>
        <v>0</v>
      </c>
      <c r="BC82" s="5">
        <f>IF(BC$39=0,NA(),IF(ISNUMBER(INDEX($D$55:$AD$55,BC$39)),INDEX($D$55:$AD$55,BC$39)/BC79,NA()))</f>
        <v>0</v>
      </c>
      <c r="BD82" s="5">
        <f>IF(BD$39=0,NA(),IF(ISNUMBER(INDEX($D$55:$AD$55,BD$39)),INDEX($D$55:$AD$55,BD$39)/BD79,NA()))</f>
        <v>0</v>
      </c>
      <c r="BE82" s="5">
        <f>IF(BE$39=0,NA(),IF(ISNUMBER(INDEX($D$55:$AD$55,BE$39)),INDEX($D$55:$AD$55,BE$39)/BE79,NA()))</f>
        <v>0</v>
      </c>
      <c r="BF82" s="5">
        <f>IF(BF$39=0,NA(),IF(ISNUMBER(INDEX($D$55:$AD$55,BF$39)),INDEX($D$55:$AD$55,BF$39)/BF79,NA()))</f>
        <v>0</v>
      </c>
      <c r="BG82" s="5">
        <f>IF(BG$39=0,NA(),IF(ISNUMBER(INDEX($D$55:$AD$55,BG$39)),INDEX($D$55:$AD$55,BG$39)/BG79,NA()))</f>
        <v>0</v>
      </c>
      <c r="BH82" s="5">
        <f>IF(BH$39=0,NA(),IF(ISNUMBER(INDEX($D$55:$AD$55,BH$39)),INDEX($D$55:$AD$55,BH$39)/BH79,NA()))</f>
        <v>0</v>
      </c>
      <c r="BI82" s="5">
        <f>IF(BI$39=0,NA(),IF(ISNUMBER(INDEX($D$55:$AD$55,BI$39)),INDEX($D$55:$AD$55,BI$39)/BI79,NA()))</f>
        <v>0</v>
      </c>
      <c r="BJ82" s="5">
        <f>IF(BJ$39=0,NA(),IF(ISNUMBER(INDEX($D$55:$AD$55,BJ$39)),INDEX($D$55:$AD$55,BJ$39)/BJ79,NA()))</f>
        <v>0</v>
      </c>
      <c r="BK82" s="5">
        <f>IF(BK$39=0,NA(),IF(ISNUMBER(INDEX($D$55:$AD$55,BK$39)),INDEX($D$55:$AD$55,BK$39)/BK79,NA()))</f>
        <v>0</v>
      </c>
      <c r="BL82" s="5">
        <f>IF(BL$39=0,NA(),IF(ISNUMBER(INDEX($D$55:$AD$55,BL$39)),INDEX($D$55:$AD$55,BL$39)/BL79,NA()))</f>
        <v>0</v>
      </c>
      <c r="BM82" s="5">
        <f>IF(BM$39=0,NA(),IF(ISNUMBER(INDEX($D$55:$AD$55,BM$39)),INDEX($D$55:$AD$55,BM$39)/BM79,NA()))</f>
        <v>0</v>
      </c>
      <c r="BN82" s="5">
        <f>IF(BN$39=0,NA(),IF(ISNUMBER(INDEX($D$55:$AD$55,BN$39)),INDEX($D$55:$AD$55,BN$39)/BN79,NA()))</f>
        <v>0</v>
      </c>
      <c r="BO82" s="5">
        <f>IF(BO$39=0,NA(),IF(ISNUMBER(INDEX($D$55:$AD$55,BO$39)),INDEX($D$55:$AD$55,BO$39)/BO79,NA()))</f>
        <v>0</v>
      </c>
      <c r="BP82" s="5">
        <f>IF(BP$39=0,NA(),IF(ISNUMBER(INDEX($D$55:$AD$55,BP$39)),INDEX($D$55:$AD$55,BP$39)/BP79,NA()))</f>
        <v>0</v>
      </c>
    </row>
    <row r="83" spans="1:68">
      <c r="A83" s="11" t="s">
        <v>229</v>
      </c>
      <c r="B83" s="11" t="s">
        <v>230</v>
      </c>
      <c r="C83" s="3" t="s">
        <v>144</v>
      </c>
      <c r="AQ83" s="11">
        <f>IF(AQ$39=0,"",IF(ISNUMBER(INDEX($D$55:$AD$55,AQ$39)),REPT(_xlfn.UNICHAR(160),3)&amp;FIXED(INDEX($D$55:$AD$55,AQ$39)/1000,1),""))</f>
        <v>0</v>
      </c>
      <c r="AR83" s="11">
        <f>IF(AR$39=0,"",IF(ISNUMBER(INDEX($D$55:$AD$55,AR$39)),REPT(_xlfn.UNICHAR(160),3)&amp;FIXED(INDEX($D$55:$AD$55,AR$39)/1000,1),""))</f>
        <v>0</v>
      </c>
      <c r="AS83" s="11">
        <f>IF(AS$39=0,"",IF(ISNUMBER(INDEX($D$55:$AD$55,AS$39)),REPT(_xlfn.UNICHAR(160),3)&amp;FIXED(INDEX($D$55:$AD$55,AS$39)/1000,1),""))</f>
        <v>0</v>
      </c>
      <c r="AT83" s="11">
        <f>IF(AT$39=0,"",IF(ISNUMBER(INDEX($D$55:$AD$55,AT$39)),REPT(_xlfn.UNICHAR(160),3)&amp;FIXED(INDEX($D$55:$AD$55,AT$39)/1000,1),""))</f>
        <v>0</v>
      </c>
      <c r="AU83" s="11">
        <f>IF(AU$39=0,"",IF(ISNUMBER(INDEX($D$55:$AD$55,AU$39)),REPT(_xlfn.UNICHAR(160),3)&amp;FIXED(INDEX($D$55:$AD$55,AU$39)/1000,1),""))</f>
        <v>0</v>
      </c>
      <c r="AV83" s="11">
        <f>IF(AV$39=0,"",IF(ISNUMBER(INDEX($D$55:$AD$55,AV$39)),REPT(_xlfn.UNICHAR(160),3)&amp;FIXED(INDEX($D$55:$AD$55,AV$39)/1000,1),""))</f>
        <v>0</v>
      </c>
      <c r="AW83" s="11">
        <f>IF(AW$39=0,"",IF(ISNUMBER(INDEX($D$55:$AD$55,AW$39)),REPT(_xlfn.UNICHAR(160),3)&amp;FIXED(INDEX($D$55:$AD$55,AW$39)/1000,1),""))</f>
        <v>0</v>
      </c>
      <c r="AX83" s="11">
        <f>IF(AX$39=0,"",IF(ISNUMBER(INDEX($D$55:$AD$55,AX$39)),REPT(_xlfn.UNICHAR(160),3)&amp;FIXED(INDEX($D$55:$AD$55,AX$39)/1000,1),""))</f>
        <v>0</v>
      </c>
      <c r="AY83" s="11">
        <f>IF(AY$39=0,"",IF(ISNUMBER(INDEX($D$55:$AD$55,AY$39)),REPT(_xlfn.UNICHAR(160),3)&amp;FIXED(INDEX($D$55:$AD$55,AY$39)/1000,1),""))</f>
        <v>0</v>
      </c>
      <c r="AZ83" s="11">
        <f>IF(AZ$39=0,"",IF(ISNUMBER(INDEX($D$55:$AD$55,AZ$39)),REPT(_xlfn.UNICHAR(160),3)&amp;FIXED(INDEX($D$55:$AD$55,AZ$39)/1000,1),""))</f>
        <v>0</v>
      </c>
      <c r="BA83" s="11">
        <f>IF(BA$39=0,"",IF(ISNUMBER(INDEX($D$55:$AD$55,BA$39)),REPT(_xlfn.UNICHAR(160),3)&amp;FIXED(INDEX($D$55:$AD$55,BA$39)/1000,1),""))</f>
        <v>0</v>
      </c>
      <c r="BB83" s="11">
        <f>IF(BB$39=0,"",IF(ISNUMBER(INDEX($D$55:$AD$55,BB$39)),REPT(_xlfn.UNICHAR(160),3)&amp;FIXED(INDEX($D$55:$AD$55,BB$39)/1000,1),""))</f>
        <v>0</v>
      </c>
      <c r="BC83" s="11">
        <f>IF(BC$39=0,"",IF(ISNUMBER(INDEX($D$55:$AD$55,BC$39)),REPT(_xlfn.UNICHAR(160),3)&amp;FIXED(INDEX($D$55:$AD$55,BC$39)/1000,1),""))</f>
        <v>0</v>
      </c>
      <c r="BD83" s="11">
        <f>IF(BD$39=0,"",IF(ISNUMBER(INDEX($D$55:$AD$55,BD$39)),REPT(_xlfn.UNICHAR(160),3)&amp;FIXED(INDEX($D$55:$AD$55,BD$39)/1000,1),""))</f>
        <v>0</v>
      </c>
      <c r="BE83" s="11">
        <f>IF(BE$39=0,"",IF(ISNUMBER(INDEX($D$55:$AD$55,BE$39)),REPT(_xlfn.UNICHAR(160),3)&amp;FIXED(INDEX($D$55:$AD$55,BE$39)/1000,1),""))</f>
        <v>0</v>
      </c>
      <c r="BF83" s="11">
        <f>IF(BF$39=0,"",IF(ISNUMBER(INDEX($D$55:$AD$55,BF$39)),REPT(_xlfn.UNICHAR(160),3)&amp;FIXED(INDEX($D$55:$AD$55,BF$39)/1000,1),""))</f>
        <v>0</v>
      </c>
      <c r="BG83" s="11">
        <f>IF(BG$39=0,"",IF(ISNUMBER(INDEX($D$55:$AD$55,BG$39)),REPT(_xlfn.UNICHAR(160),3)&amp;FIXED(INDEX($D$55:$AD$55,BG$39)/1000,1),""))</f>
        <v>0</v>
      </c>
      <c r="BH83" s="11">
        <f>IF(BH$39=0,"",IF(ISNUMBER(INDEX($D$55:$AD$55,BH$39)),REPT(_xlfn.UNICHAR(160),3)&amp;FIXED(INDEX($D$55:$AD$55,BH$39)/1000,1),""))</f>
        <v>0</v>
      </c>
      <c r="BI83" s="11">
        <f>IF(BI$39=0,"",IF(ISNUMBER(INDEX($D$55:$AD$55,BI$39)),REPT(_xlfn.UNICHAR(160),3)&amp;FIXED(INDEX($D$55:$AD$55,BI$39)/1000,1),""))</f>
        <v>0</v>
      </c>
      <c r="BJ83" s="11">
        <f>IF(BJ$39=0,"",IF(ISNUMBER(INDEX($D$55:$AD$55,BJ$39)),REPT(_xlfn.UNICHAR(160),3)&amp;FIXED(INDEX($D$55:$AD$55,BJ$39)/1000,1),""))</f>
        <v>0</v>
      </c>
      <c r="BK83" s="11">
        <f>IF(BK$39=0,"",IF(ISNUMBER(INDEX($D$55:$AD$55,BK$39)),REPT(_xlfn.UNICHAR(160),3)&amp;FIXED(INDEX($D$55:$AD$55,BK$39)/1000,1),""))</f>
        <v>0</v>
      </c>
      <c r="BL83" s="11">
        <f>IF(BL$39=0,"",IF(ISNUMBER(INDEX($D$55:$AD$55,BL$39)),REPT(_xlfn.UNICHAR(160),3)&amp;FIXED(INDEX($D$55:$AD$55,BL$39)/1000,1),""))</f>
        <v>0</v>
      </c>
      <c r="BM83" s="11">
        <f>IF(BM$39=0,"",IF(ISNUMBER(INDEX($D$55:$AD$55,BM$39)),REPT(_xlfn.UNICHAR(160),3)&amp;FIXED(INDEX($D$55:$AD$55,BM$39)/1000,1),""))</f>
        <v>0</v>
      </c>
      <c r="BN83" s="11">
        <f>IF(BN$39=0,"",IF(ISNUMBER(INDEX($D$55:$AD$55,BN$39)),REPT(_xlfn.UNICHAR(160),3)&amp;FIXED(INDEX($D$55:$AD$55,BN$39)/1000,1),""))</f>
        <v>0</v>
      </c>
      <c r="BO83" s="11">
        <f>IF(BO$39=0,"",IF(ISNUMBER(INDEX($D$55:$AD$55,BO$39)),REPT(_xlfn.UNICHAR(160),3)&amp;FIXED(INDEX($D$55:$AD$55,BO$39)/1000,1),""))</f>
        <v>0</v>
      </c>
      <c r="BP83" s="11">
        <f>IF(BP$39=0,"",IF(ISNUMBER(INDEX($D$55:$AD$55,BP$39)),REPT(_xlfn.UNICHAR(160),3)&amp;FIXED(INDEX($D$55:$AD$55,BP$39)/1000,1),""))</f>
        <v>0</v>
      </c>
    </row>
    <row r="84" spans="1:68">
      <c r="A84" s="11" t="s">
        <v>231</v>
      </c>
      <c r="B84" s="11" t="s">
        <v>232</v>
      </c>
      <c r="C84" s="3" t="s">
        <v>144</v>
      </c>
      <c r="AQ84" s="5">
        <f>IF(AQ$39=0,NA(),IF(ISNUMBER(INDEX($D$54:$AD$54,AQ$39)),IF(AND(AQ80&gt;=IFERROR(AQ82,-9),AQ80-IFERROR(AQ82,-9)&lt;0.28261),AQ82+0.28261,AQ80),NA()))</f>
        <v>0</v>
      </c>
      <c r="AR84" s="5">
        <f>IF(AR$39=0,NA(),IF(ISNUMBER(INDEX($D$54:$AD$54,AR$39)),IF(AND(AR80&gt;=IFERROR(AR82,-9),AR80-IFERROR(AR82,-9)&lt;0.28261),AR82+0.28261,AR80),NA()))</f>
        <v>0</v>
      </c>
      <c r="AS84" s="5">
        <f>IF(AS$39=0,NA(),IF(ISNUMBER(INDEX($D$54:$AD$54,AS$39)),IF(AND(AS80&gt;=IFERROR(AS82,-9),AS80-IFERROR(AS82,-9)&lt;0.28261),AS82+0.28261,AS80),NA()))</f>
        <v>0</v>
      </c>
      <c r="AT84" s="5">
        <f>IF(AT$39=0,NA(),IF(ISNUMBER(INDEX($D$54:$AD$54,AT$39)),IF(AND(AT80&gt;=IFERROR(AT82,-9),AT80-IFERROR(AT82,-9)&lt;0.28261),AT82+0.28261,AT80),NA()))</f>
        <v>0</v>
      </c>
      <c r="AU84" s="5">
        <f>IF(AU$39=0,NA(),IF(ISNUMBER(INDEX($D$54:$AD$54,AU$39)),IF(AND(AU80&gt;=IFERROR(AU82,-9),AU80-IFERROR(AU82,-9)&lt;0.28261),AU82+0.28261,AU80),NA()))</f>
        <v>0</v>
      </c>
      <c r="AV84" s="5">
        <f>IF(AV$39=0,NA(),IF(ISNUMBER(INDEX($D$54:$AD$54,AV$39)),IF(AND(AV80&gt;=IFERROR(AV82,-9),AV80-IFERROR(AV82,-9)&lt;0.28261),AV82+0.28261,AV80),NA()))</f>
        <v>0</v>
      </c>
      <c r="AW84" s="5">
        <f>IF(AW$39=0,NA(),IF(ISNUMBER(INDEX($D$54:$AD$54,AW$39)),IF(AND(AW80&gt;=IFERROR(AW82,-9),AW80-IFERROR(AW82,-9)&lt;0.28261),AW82+0.28261,AW80),NA()))</f>
        <v>0</v>
      </c>
      <c r="AX84" s="5">
        <f>IF(AX$39=0,NA(),IF(ISNUMBER(INDEX($D$54:$AD$54,AX$39)),IF(AND(AX80&gt;=IFERROR(AX82,-9),AX80-IFERROR(AX82,-9)&lt;0.28261),AX82+0.28261,AX80),NA()))</f>
        <v>0</v>
      </c>
      <c r="AY84" s="5">
        <f>IF(AY$39=0,NA(),IF(ISNUMBER(INDEX($D$54:$AD$54,AY$39)),IF(AND(AY80&gt;=IFERROR(AY82,-9),AY80-IFERROR(AY82,-9)&lt;0.28261),AY82+0.28261,AY80),NA()))</f>
        <v>0</v>
      </c>
      <c r="AZ84" s="5">
        <f>IF(AZ$39=0,NA(),IF(ISNUMBER(INDEX($D$54:$AD$54,AZ$39)),IF(AND(AZ80&gt;=IFERROR(AZ82,-9),AZ80-IFERROR(AZ82,-9)&lt;0.28261),AZ82+0.28261,AZ80),NA()))</f>
        <v>0</v>
      </c>
      <c r="BA84" s="5">
        <f>IF(BA$39=0,NA(),IF(ISNUMBER(INDEX($D$54:$AD$54,BA$39)),IF(AND(BA80&gt;=IFERROR(BA82,-9),BA80-IFERROR(BA82,-9)&lt;0.28261),BA82+0.28261,BA80),NA()))</f>
        <v>0</v>
      </c>
      <c r="BB84" s="5">
        <f>IF(BB$39=0,NA(),IF(ISNUMBER(INDEX($D$54:$AD$54,BB$39)),IF(AND(BB80&gt;=IFERROR(BB82,-9),BB80-IFERROR(BB82,-9)&lt;0.28261),BB82+0.28261,BB80),NA()))</f>
        <v>0</v>
      </c>
      <c r="BC84" s="5">
        <f>IF(BC$39=0,NA(),IF(ISNUMBER(INDEX($D$54:$AD$54,BC$39)),IF(AND(BC80&gt;=IFERROR(BC82,-9),BC80-IFERROR(BC82,-9)&lt;0.28261),BC82+0.28261,BC80),NA()))</f>
        <v>0</v>
      </c>
      <c r="BD84" s="5">
        <f>IF(BD$39=0,NA(),IF(ISNUMBER(INDEX($D$54:$AD$54,BD$39)),IF(AND(BD80&gt;=IFERROR(BD82,-9),BD80-IFERROR(BD82,-9)&lt;0.28261),BD82+0.28261,BD80),NA()))</f>
        <v>0</v>
      </c>
      <c r="BE84" s="5">
        <f>IF(BE$39=0,NA(),IF(ISNUMBER(INDEX($D$54:$AD$54,BE$39)),IF(AND(BE80&gt;=IFERROR(BE82,-9),BE80-IFERROR(BE82,-9)&lt;0.28261),BE82+0.28261,BE80),NA()))</f>
        <v>0</v>
      </c>
      <c r="BF84" s="5">
        <f>IF(BF$39=0,NA(),IF(ISNUMBER(INDEX($D$54:$AD$54,BF$39)),IF(AND(BF80&gt;=IFERROR(BF82,-9),BF80-IFERROR(BF82,-9)&lt;0.28261),BF82+0.28261,BF80),NA()))</f>
        <v>0</v>
      </c>
      <c r="BG84" s="5">
        <f>IF(BG$39=0,NA(),IF(ISNUMBER(INDEX($D$54:$AD$54,BG$39)),IF(AND(BG80&gt;=IFERROR(BG82,-9),BG80-IFERROR(BG82,-9)&lt;0.28261),BG82+0.28261,BG80),NA()))</f>
        <v>0</v>
      </c>
      <c r="BH84" s="5">
        <f>IF(BH$39=0,NA(),IF(ISNUMBER(INDEX($D$54:$AD$54,BH$39)),IF(AND(BH80&gt;=IFERROR(BH82,-9),BH80-IFERROR(BH82,-9)&lt;0.28261),BH82+0.28261,BH80),NA()))</f>
        <v>0</v>
      </c>
      <c r="BI84" s="5">
        <f>IF(BI$39=0,NA(),IF(ISNUMBER(INDEX($D$54:$AD$54,BI$39)),IF(AND(BI80&gt;=IFERROR(BI82,-9),BI80-IFERROR(BI82,-9)&lt;0.28261),BI82+0.28261,BI80),NA()))</f>
        <v>0</v>
      </c>
      <c r="BJ84" s="5">
        <f>IF(BJ$39=0,NA(),IF(ISNUMBER(INDEX($D$54:$AD$54,BJ$39)),IF(AND(BJ80&gt;=IFERROR(BJ82,-9),BJ80-IFERROR(BJ82,-9)&lt;0.28261),BJ82+0.28261,BJ80),NA()))</f>
        <v>0</v>
      </c>
      <c r="BK84" s="5">
        <f>IF(BK$39=0,NA(),IF(ISNUMBER(INDEX($D$54:$AD$54,BK$39)),IF(AND(BK80&gt;=IFERROR(BK82,-9),BK80-IFERROR(BK82,-9)&lt;0.28261),BK82+0.28261,BK80),NA()))</f>
        <v>0</v>
      </c>
      <c r="BL84" s="5">
        <f>IF(BL$39=0,NA(),IF(ISNUMBER(INDEX($D$54:$AD$54,BL$39)),IF(AND(BL80&gt;=IFERROR(BL82,-9),BL80-IFERROR(BL82,-9)&lt;0.28261),BL82+0.28261,BL80),NA()))</f>
        <v>0</v>
      </c>
      <c r="BM84" s="5">
        <f>IF(BM$39=0,NA(),IF(ISNUMBER(INDEX($D$54:$AD$54,BM$39)),IF(AND(BM80&gt;=IFERROR(BM82,-9),BM80-IFERROR(BM82,-9)&lt;0.28261),BM82+0.28261,BM80),NA()))</f>
        <v>0</v>
      </c>
      <c r="BN84" s="5">
        <f>IF(BN$39=0,NA(),IF(ISNUMBER(INDEX($D$54:$AD$54,BN$39)),IF(AND(BN80&gt;=IFERROR(BN82,-9),BN80-IFERROR(BN82,-9)&lt;0.28261),BN82+0.28261,BN80),NA()))</f>
        <v>0</v>
      </c>
      <c r="BO84" s="5">
        <f>IF(BO$39=0,NA(),IF(ISNUMBER(INDEX($D$54:$AD$54,BO$39)),IF(AND(BO80&gt;=IFERROR(BO82,-9),BO80-IFERROR(BO82,-9)&lt;0.28261),BO82+0.28261,BO80),NA()))</f>
        <v>0</v>
      </c>
      <c r="BP84" s="5">
        <f>IF(BP$39=0,NA(),IF(ISNUMBER(INDEX($D$54:$AD$54,BP$39)),IF(AND(BP80&gt;=IFERROR(BP82,-9),BP80-IFERROR(BP82,-9)&lt;0.28261),BP82+0.28261,BP80),NA()))</f>
        <v>0</v>
      </c>
    </row>
    <row r="85" spans="1:68">
      <c r="A85" s="11" t="s">
        <v>233</v>
      </c>
      <c r="B85" s="11" t="s">
        <v>234</v>
      </c>
      <c r="C85" s="3" t="s">
        <v>144</v>
      </c>
      <c r="AQ85" s="5">
        <f>IF(AQ$39=0,NA(),IF(ISNUMBER(INDEX($D$55:$AD$55,AQ$39)),IF(AND(AQ82&gt;IFERROR(AQ80,-9),AQ82-IFERROR(AQ80,-9)&lt;0.28261),AQ80+0.28261,AQ82),NA()))</f>
        <v>0</v>
      </c>
      <c r="AR85" s="5">
        <f>IF(AR$39=0,NA(),IF(ISNUMBER(INDEX($D$55:$AD$55,AR$39)),IF(AND(AR82&gt;IFERROR(AR80,-9),AR82-IFERROR(AR80,-9)&lt;0.28261),AR80+0.28261,AR82),NA()))</f>
        <v>0</v>
      </c>
      <c r="AS85" s="5">
        <f>IF(AS$39=0,NA(),IF(ISNUMBER(INDEX($D$55:$AD$55,AS$39)),IF(AND(AS82&gt;IFERROR(AS80,-9),AS82-IFERROR(AS80,-9)&lt;0.28261),AS80+0.28261,AS82),NA()))</f>
        <v>0</v>
      </c>
      <c r="AT85" s="5">
        <f>IF(AT$39=0,NA(),IF(ISNUMBER(INDEX($D$55:$AD$55,AT$39)),IF(AND(AT82&gt;IFERROR(AT80,-9),AT82-IFERROR(AT80,-9)&lt;0.28261),AT80+0.28261,AT82),NA()))</f>
        <v>0</v>
      </c>
      <c r="AU85" s="5">
        <f>IF(AU$39=0,NA(),IF(ISNUMBER(INDEX($D$55:$AD$55,AU$39)),IF(AND(AU82&gt;IFERROR(AU80,-9),AU82-IFERROR(AU80,-9)&lt;0.28261),AU80+0.28261,AU82),NA()))</f>
        <v>0</v>
      </c>
      <c r="AV85" s="5">
        <f>IF(AV$39=0,NA(),IF(ISNUMBER(INDEX($D$55:$AD$55,AV$39)),IF(AND(AV82&gt;IFERROR(AV80,-9),AV82-IFERROR(AV80,-9)&lt;0.28261),AV80+0.28261,AV82),NA()))</f>
        <v>0</v>
      </c>
      <c r="AW85" s="5">
        <f>IF(AW$39=0,NA(),IF(ISNUMBER(INDEX($D$55:$AD$55,AW$39)),IF(AND(AW82&gt;IFERROR(AW80,-9),AW82-IFERROR(AW80,-9)&lt;0.28261),AW80+0.28261,AW82),NA()))</f>
        <v>0</v>
      </c>
      <c r="AX85" s="5">
        <f>IF(AX$39=0,NA(),IF(ISNUMBER(INDEX($D$55:$AD$55,AX$39)),IF(AND(AX82&gt;IFERROR(AX80,-9),AX82-IFERROR(AX80,-9)&lt;0.28261),AX80+0.28261,AX82),NA()))</f>
        <v>0</v>
      </c>
      <c r="AY85" s="5">
        <f>IF(AY$39=0,NA(),IF(ISNUMBER(INDEX($D$55:$AD$55,AY$39)),IF(AND(AY82&gt;IFERROR(AY80,-9),AY82-IFERROR(AY80,-9)&lt;0.28261),AY80+0.28261,AY82),NA()))</f>
        <v>0</v>
      </c>
      <c r="AZ85" s="5">
        <f>IF(AZ$39=0,NA(),IF(ISNUMBER(INDEX($D$55:$AD$55,AZ$39)),IF(AND(AZ82&gt;IFERROR(AZ80,-9),AZ82-IFERROR(AZ80,-9)&lt;0.28261),AZ80+0.28261,AZ82),NA()))</f>
        <v>0</v>
      </c>
      <c r="BA85" s="5">
        <f>IF(BA$39=0,NA(),IF(ISNUMBER(INDEX($D$55:$AD$55,BA$39)),IF(AND(BA82&gt;IFERROR(BA80,-9),BA82-IFERROR(BA80,-9)&lt;0.28261),BA80+0.28261,BA82),NA()))</f>
        <v>0</v>
      </c>
      <c r="BB85" s="5">
        <f>IF(BB$39=0,NA(),IF(ISNUMBER(INDEX($D$55:$AD$55,BB$39)),IF(AND(BB82&gt;IFERROR(BB80,-9),BB82-IFERROR(BB80,-9)&lt;0.28261),BB80+0.28261,BB82),NA()))</f>
        <v>0</v>
      </c>
      <c r="BC85" s="5">
        <f>IF(BC$39=0,NA(),IF(ISNUMBER(INDEX($D$55:$AD$55,BC$39)),IF(AND(BC82&gt;IFERROR(BC80,-9),BC82-IFERROR(BC80,-9)&lt;0.28261),BC80+0.28261,BC82),NA()))</f>
        <v>0</v>
      </c>
      <c r="BD85" s="5">
        <f>IF(BD$39=0,NA(),IF(ISNUMBER(INDEX($D$55:$AD$55,BD$39)),IF(AND(BD82&gt;IFERROR(BD80,-9),BD82-IFERROR(BD80,-9)&lt;0.28261),BD80+0.28261,BD82),NA()))</f>
        <v>0</v>
      </c>
      <c r="BE85" s="5">
        <f>IF(BE$39=0,NA(),IF(ISNUMBER(INDEX($D$55:$AD$55,BE$39)),IF(AND(BE82&gt;IFERROR(BE80,-9),BE82-IFERROR(BE80,-9)&lt;0.28261),BE80+0.28261,BE82),NA()))</f>
        <v>0</v>
      </c>
      <c r="BF85" s="5">
        <f>IF(BF$39=0,NA(),IF(ISNUMBER(INDEX($D$55:$AD$55,BF$39)),IF(AND(BF82&gt;IFERROR(BF80,-9),BF82-IFERROR(BF80,-9)&lt;0.28261),BF80+0.28261,BF82),NA()))</f>
        <v>0</v>
      </c>
      <c r="BG85" s="5">
        <f>IF(BG$39=0,NA(),IF(ISNUMBER(INDEX($D$55:$AD$55,BG$39)),IF(AND(BG82&gt;IFERROR(BG80,-9),BG82-IFERROR(BG80,-9)&lt;0.28261),BG80+0.28261,BG82),NA()))</f>
        <v>0</v>
      </c>
      <c r="BH85" s="5">
        <f>IF(BH$39=0,NA(),IF(ISNUMBER(INDEX($D$55:$AD$55,BH$39)),IF(AND(BH82&gt;IFERROR(BH80,-9),BH82-IFERROR(BH80,-9)&lt;0.28261),BH80+0.28261,BH82),NA()))</f>
        <v>0</v>
      </c>
      <c r="BI85" s="5">
        <f>IF(BI$39=0,NA(),IF(ISNUMBER(INDEX($D$55:$AD$55,BI$39)),IF(AND(BI82&gt;IFERROR(BI80,-9),BI82-IFERROR(BI80,-9)&lt;0.28261),BI80+0.28261,BI82),NA()))</f>
        <v>0</v>
      </c>
      <c r="BJ85" s="5">
        <f>IF(BJ$39=0,NA(),IF(ISNUMBER(INDEX($D$55:$AD$55,BJ$39)),IF(AND(BJ82&gt;IFERROR(BJ80,-9),BJ82-IFERROR(BJ80,-9)&lt;0.28261),BJ80+0.28261,BJ82),NA()))</f>
        <v>0</v>
      </c>
      <c r="BK85" s="5">
        <f>IF(BK$39=0,NA(),IF(ISNUMBER(INDEX($D$55:$AD$55,BK$39)),IF(AND(BK82&gt;IFERROR(BK80,-9),BK82-IFERROR(BK80,-9)&lt;0.28261),BK80+0.28261,BK82),NA()))</f>
        <v>0</v>
      </c>
      <c r="BL85" s="5">
        <f>IF(BL$39=0,NA(),IF(ISNUMBER(INDEX($D$55:$AD$55,BL$39)),IF(AND(BL82&gt;IFERROR(BL80,-9),BL82-IFERROR(BL80,-9)&lt;0.28261),BL80+0.28261,BL82),NA()))</f>
        <v>0</v>
      </c>
      <c r="BM85" s="5">
        <f>IF(BM$39=0,NA(),IF(ISNUMBER(INDEX($D$55:$AD$55,BM$39)),IF(AND(BM82&gt;IFERROR(BM80,-9),BM82-IFERROR(BM80,-9)&lt;0.28261),BM80+0.28261,BM82),NA()))</f>
        <v>0</v>
      </c>
      <c r="BN85" s="5">
        <f>IF(BN$39=0,NA(),IF(ISNUMBER(INDEX($D$55:$AD$55,BN$39)),IF(AND(BN82&gt;IFERROR(BN80,-9),BN82-IFERROR(BN80,-9)&lt;0.28261),BN80+0.28261,BN82),NA()))</f>
        <v>0</v>
      </c>
      <c r="BO85" s="5">
        <f>IF(BO$39=0,NA(),IF(ISNUMBER(INDEX($D$55:$AD$55,BO$39)),IF(AND(BO82&gt;IFERROR(BO80,-9),BO82-IFERROR(BO80,-9)&lt;0.28261),BO80+0.28261,BO82),NA()))</f>
        <v>0</v>
      </c>
      <c r="BP85" s="5">
        <f>IF(BP$39=0,NA(),IF(ISNUMBER(INDEX($D$55:$AD$55,BP$39)),IF(AND(BP82&gt;IFERROR(BP80,-9),BP82-IFERROR(BP80,-9)&lt;0.28261),BP80+0.28261,BP82),NA()))</f>
        <v>0</v>
      </c>
    </row>
    <row r="86" spans="1:68">
      <c r="A86" s="11" t="s">
        <v>235</v>
      </c>
      <c r="B86" s="11" t="s">
        <v>236</v>
      </c>
      <c r="C86" s="3" t="s">
        <v>144</v>
      </c>
      <c r="AQ86" s="5">
        <f>IF(AQ$39=0,NA(),IF(ISNUMBER(INDEX($D$58:$AD$58,AQ$39)),IF(ROUND(INDEX($D$58:$AD$58,AQ$39)/1000,1)&gt;0,0.5,NA()),NA()))</f>
        <v>0</v>
      </c>
      <c r="AR86" s="5">
        <f>IF(AR$39=0,NA(),IF(ISNUMBER(INDEX($D$58:$AD$58,AR$39)),IF(ROUND(INDEX($D$58:$AD$58,AR$39)/1000,1)&gt;0,0.5,NA()),NA()))</f>
        <v>0</v>
      </c>
      <c r="AS86" s="5">
        <f>IF(AS$39=0,NA(),IF(ISNUMBER(INDEX($D$58:$AD$58,AS$39)),IF(ROUND(INDEX($D$58:$AD$58,AS$39)/1000,1)&gt;0,0.5,NA()),NA()))</f>
        <v>0</v>
      </c>
      <c r="AT86" s="5">
        <f>IF(AT$39=0,NA(),IF(ISNUMBER(INDEX($D$58:$AD$58,AT$39)),IF(ROUND(INDEX($D$58:$AD$58,AT$39)/1000,1)&gt;0,0.5,NA()),NA()))</f>
        <v>0</v>
      </c>
      <c r="AU86" s="5">
        <f>IF(AU$39=0,NA(),IF(ISNUMBER(INDEX($D$58:$AD$58,AU$39)),IF(ROUND(INDEX($D$58:$AD$58,AU$39)/1000,1)&gt;0,0.5,NA()),NA()))</f>
        <v>0</v>
      </c>
      <c r="AV86" s="5">
        <f>IF(AV$39=0,NA(),IF(ISNUMBER(INDEX($D$58:$AD$58,AV$39)),IF(ROUND(INDEX($D$58:$AD$58,AV$39)/1000,1)&gt;0,0.5,NA()),NA()))</f>
        <v>0</v>
      </c>
      <c r="AW86" s="5">
        <f>IF(AW$39=0,NA(),IF(ISNUMBER(INDEX($D$58:$AD$58,AW$39)),IF(ROUND(INDEX($D$58:$AD$58,AW$39)/1000,1)&gt;0,0.5,NA()),NA()))</f>
        <v>0</v>
      </c>
      <c r="AX86" s="5">
        <f>IF(AX$39=0,NA(),IF(ISNUMBER(INDEX($D$58:$AD$58,AX$39)),IF(ROUND(INDEX($D$58:$AD$58,AX$39)/1000,1)&gt;0,0.5,NA()),NA()))</f>
        <v>0</v>
      </c>
      <c r="AY86" s="5">
        <f>IF(AY$39=0,NA(),IF(ISNUMBER(INDEX($D$58:$AD$58,AY$39)),IF(ROUND(INDEX($D$58:$AD$58,AY$39)/1000,1)&gt;0,0.5,NA()),NA()))</f>
        <v>0</v>
      </c>
      <c r="AZ86" s="5">
        <f>IF(AZ$39=0,NA(),IF(ISNUMBER(INDEX($D$58:$AD$58,AZ$39)),IF(ROUND(INDEX($D$58:$AD$58,AZ$39)/1000,1)&gt;0,0.5,NA()),NA()))</f>
        <v>0</v>
      </c>
      <c r="BA86" s="5">
        <f>IF(BA$39=0,NA(),IF(ISNUMBER(INDEX($D$58:$AD$58,BA$39)),IF(ROUND(INDEX($D$58:$AD$58,BA$39)/1000,1)&gt;0,0.5,NA()),NA()))</f>
        <v>0</v>
      </c>
      <c r="BB86" s="5">
        <f>IF(BB$39=0,NA(),IF(ISNUMBER(INDEX($D$58:$AD$58,BB$39)),IF(ROUND(INDEX($D$58:$AD$58,BB$39)/1000,1)&gt;0,0.5,NA()),NA()))</f>
        <v>0</v>
      </c>
      <c r="BC86" s="5">
        <f>IF(BC$39=0,NA(),IF(ISNUMBER(INDEX($D$58:$AD$58,BC$39)),IF(ROUND(INDEX($D$58:$AD$58,BC$39)/1000,1)&gt;0,0.5,NA()),NA()))</f>
        <v>0</v>
      </c>
      <c r="BD86" s="5">
        <f>IF(BD$39=0,NA(),IF(ISNUMBER(INDEX($D$58:$AD$58,BD$39)),IF(ROUND(INDEX($D$58:$AD$58,BD$39)/1000,1)&gt;0,0.5,NA()),NA()))</f>
        <v>0</v>
      </c>
      <c r="BE86" s="5">
        <f>IF(BE$39=0,NA(),IF(ISNUMBER(INDEX($D$58:$AD$58,BE$39)),IF(ROUND(INDEX($D$58:$AD$58,BE$39)/1000,1)&gt;0,0.5,NA()),NA()))</f>
        <v>0</v>
      </c>
      <c r="BF86" s="5">
        <f>IF(BF$39=0,NA(),IF(ISNUMBER(INDEX($D$58:$AD$58,BF$39)),IF(ROUND(INDEX($D$58:$AD$58,BF$39)/1000,1)&gt;0,0.5,NA()),NA()))</f>
        <v>0</v>
      </c>
      <c r="BG86" s="5">
        <f>IF(BG$39=0,NA(),IF(ISNUMBER(INDEX($D$58:$AD$58,BG$39)),IF(ROUND(INDEX($D$58:$AD$58,BG$39)/1000,1)&gt;0,0.5,NA()),NA()))</f>
        <v>0</v>
      </c>
      <c r="BH86" s="5">
        <f>IF(BH$39=0,NA(),IF(ISNUMBER(INDEX($D$58:$AD$58,BH$39)),IF(ROUND(INDEX($D$58:$AD$58,BH$39)/1000,1)&gt;0,0.5,NA()),NA()))</f>
        <v>0</v>
      </c>
      <c r="BI86" s="5">
        <f>IF(BI$39=0,NA(),IF(ISNUMBER(INDEX($D$58:$AD$58,BI$39)),IF(ROUND(INDEX($D$58:$AD$58,BI$39)/1000,1)&gt;0,0.5,NA()),NA()))</f>
        <v>0</v>
      </c>
      <c r="BJ86" s="5">
        <f>IF(BJ$39=0,NA(),IF(ISNUMBER(INDEX($D$58:$AD$58,BJ$39)),IF(ROUND(INDEX($D$58:$AD$58,BJ$39)/1000,1)&gt;0,0.5,NA()),NA()))</f>
        <v>0</v>
      </c>
      <c r="BK86" s="5">
        <f>IF(BK$39=0,NA(),IF(ISNUMBER(INDEX($D$58:$AD$58,BK$39)),IF(ROUND(INDEX($D$58:$AD$58,BK$39)/1000,1)&gt;0,0.5,NA()),NA()))</f>
        <v>0</v>
      </c>
      <c r="BL86" s="5">
        <f>IF(BL$39=0,NA(),IF(ISNUMBER(INDEX($D$58:$AD$58,BL$39)),IF(ROUND(INDEX($D$58:$AD$58,BL$39)/1000,1)&gt;0,0.5,NA()),NA()))</f>
        <v>0</v>
      </c>
      <c r="BM86" s="5">
        <f>IF(BM$39=0,NA(),IF(ISNUMBER(INDEX($D$58:$AD$58,BM$39)),IF(ROUND(INDEX($D$58:$AD$58,BM$39)/1000,1)&gt;0,0.5,NA()),NA()))</f>
        <v>0</v>
      </c>
      <c r="BN86" s="5">
        <f>IF(BN$39=0,NA(),IF(ISNUMBER(INDEX($D$58:$AD$58,BN$39)),IF(ROUND(INDEX($D$58:$AD$58,BN$39)/1000,1)&gt;0,0.5,NA()),NA()))</f>
        <v>0</v>
      </c>
      <c r="BO86" s="5">
        <f>IF(BO$39=0,NA(),IF(ISNUMBER(INDEX($D$58:$AD$58,BO$39)),IF(ROUND(INDEX($D$58:$AD$58,BO$39)/1000,1)&gt;0,0.5,NA()),NA()))</f>
        <v>0</v>
      </c>
      <c r="BP86" s="5">
        <f>IF(BP$39=0,NA(),IF(ISNUMBER(INDEX($D$58:$AD$58,BP$39)),IF(ROUND(INDEX($D$58:$AD$58,BP$39)/1000,1)&gt;0,0.5,NA()),NA()))</f>
        <v>0</v>
      </c>
    </row>
    <row r="87" spans="1:68">
      <c r="A87" s="11" t="s">
        <v>237</v>
      </c>
      <c r="B87" s="11" t="s">
        <v>238</v>
      </c>
      <c r="C87" s="3" t="s">
        <v>144</v>
      </c>
      <c r="AQ87" s="5">
        <f>IF(AQ$39=0,NA(),IF(ISNUMBER(INDEX($D$58:$AD$58,AQ$39)),IF(ROUND(INDEX($D$58:$AD$58,AQ$39)/1000,1)&lt;0,0.5,NA()),NA()))</f>
        <v>0</v>
      </c>
      <c r="AR87" s="5">
        <f>IF(AR$39=0,NA(),IF(ISNUMBER(INDEX($D$58:$AD$58,AR$39)),IF(ROUND(INDEX($D$58:$AD$58,AR$39)/1000,1)&lt;0,0.5,NA()),NA()))</f>
        <v>0</v>
      </c>
      <c r="AS87" s="5">
        <f>IF(AS$39=0,NA(),IF(ISNUMBER(INDEX($D$58:$AD$58,AS$39)),IF(ROUND(INDEX($D$58:$AD$58,AS$39)/1000,1)&lt;0,0.5,NA()),NA()))</f>
        <v>0</v>
      </c>
      <c r="AT87" s="5">
        <f>IF(AT$39=0,NA(),IF(ISNUMBER(INDEX($D$58:$AD$58,AT$39)),IF(ROUND(INDEX($D$58:$AD$58,AT$39)/1000,1)&lt;0,0.5,NA()),NA()))</f>
        <v>0</v>
      </c>
      <c r="AU87" s="5">
        <f>IF(AU$39=0,NA(),IF(ISNUMBER(INDEX($D$58:$AD$58,AU$39)),IF(ROUND(INDEX($D$58:$AD$58,AU$39)/1000,1)&lt;0,0.5,NA()),NA()))</f>
        <v>0</v>
      </c>
      <c r="AV87" s="5">
        <f>IF(AV$39=0,NA(),IF(ISNUMBER(INDEX($D$58:$AD$58,AV$39)),IF(ROUND(INDEX($D$58:$AD$58,AV$39)/1000,1)&lt;0,0.5,NA()),NA()))</f>
        <v>0</v>
      </c>
      <c r="AW87" s="5">
        <f>IF(AW$39=0,NA(),IF(ISNUMBER(INDEX($D$58:$AD$58,AW$39)),IF(ROUND(INDEX($D$58:$AD$58,AW$39)/1000,1)&lt;0,0.5,NA()),NA()))</f>
        <v>0</v>
      </c>
      <c r="AX87" s="5">
        <f>IF(AX$39=0,NA(),IF(ISNUMBER(INDEX($D$58:$AD$58,AX$39)),IF(ROUND(INDEX($D$58:$AD$58,AX$39)/1000,1)&lt;0,0.5,NA()),NA()))</f>
        <v>0</v>
      </c>
      <c r="AY87" s="5">
        <f>IF(AY$39=0,NA(),IF(ISNUMBER(INDEX($D$58:$AD$58,AY$39)),IF(ROUND(INDEX($D$58:$AD$58,AY$39)/1000,1)&lt;0,0.5,NA()),NA()))</f>
        <v>0</v>
      </c>
      <c r="AZ87" s="5">
        <f>IF(AZ$39=0,NA(),IF(ISNUMBER(INDEX($D$58:$AD$58,AZ$39)),IF(ROUND(INDEX($D$58:$AD$58,AZ$39)/1000,1)&lt;0,0.5,NA()),NA()))</f>
        <v>0</v>
      </c>
      <c r="BA87" s="5">
        <f>IF(BA$39=0,NA(),IF(ISNUMBER(INDEX($D$58:$AD$58,BA$39)),IF(ROUND(INDEX($D$58:$AD$58,BA$39)/1000,1)&lt;0,0.5,NA()),NA()))</f>
        <v>0</v>
      </c>
      <c r="BB87" s="5">
        <f>IF(BB$39=0,NA(),IF(ISNUMBER(INDEX($D$58:$AD$58,BB$39)),IF(ROUND(INDEX($D$58:$AD$58,BB$39)/1000,1)&lt;0,0.5,NA()),NA()))</f>
        <v>0</v>
      </c>
      <c r="BC87" s="5">
        <f>IF(BC$39=0,NA(),IF(ISNUMBER(INDEX($D$58:$AD$58,BC$39)),IF(ROUND(INDEX($D$58:$AD$58,BC$39)/1000,1)&lt;0,0.5,NA()),NA()))</f>
        <v>0</v>
      </c>
      <c r="BD87" s="5">
        <f>IF(BD$39=0,NA(),IF(ISNUMBER(INDEX($D$58:$AD$58,BD$39)),IF(ROUND(INDEX($D$58:$AD$58,BD$39)/1000,1)&lt;0,0.5,NA()),NA()))</f>
        <v>0</v>
      </c>
      <c r="BE87" s="5">
        <f>IF(BE$39=0,NA(),IF(ISNUMBER(INDEX($D$58:$AD$58,BE$39)),IF(ROUND(INDEX($D$58:$AD$58,BE$39)/1000,1)&lt;0,0.5,NA()),NA()))</f>
        <v>0</v>
      </c>
      <c r="BF87" s="5">
        <f>IF(BF$39=0,NA(),IF(ISNUMBER(INDEX($D$58:$AD$58,BF$39)),IF(ROUND(INDEX($D$58:$AD$58,BF$39)/1000,1)&lt;0,0.5,NA()),NA()))</f>
        <v>0</v>
      </c>
      <c r="BG87" s="5">
        <f>IF(BG$39=0,NA(),IF(ISNUMBER(INDEX($D$58:$AD$58,BG$39)),IF(ROUND(INDEX($D$58:$AD$58,BG$39)/1000,1)&lt;0,0.5,NA()),NA()))</f>
        <v>0</v>
      </c>
      <c r="BH87" s="5">
        <f>IF(BH$39=0,NA(),IF(ISNUMBER(INDEX($D$58:$AD$58,BH$39)),IF(ROUND(INDEX($D$58:$AD$58,BH$39)/1000,1)&lt;0,0.5,NA()),NA()))</f>
        <v>0</v>
      </c>
      <c r="BI87" s="5">
        <f>IF(BI$39=0,NA(),IF(ISNUMBER(INDEX($D$58:$AD$58,BI$39)),IF(ROUND(INDEX($D$58:$AD$58,BI$39)/1000,1)&lt;0,0.5,NA()),NA()))</f>
        <v>0</v>
      </c>
      <c r="BJ87" s="5">
        <f>IF(BJ$39=0,NA(),IF(ISNUMBER(INDEX($D$58:$AD$58,BJ$39)),IF(ROUND(INDEX($D$58:$AD$58,BJ$39)/1000,1)&lt;0,0.5,NA()),NA()))</f>
        <v>0</v>
      </c>
      <c r="BK87" s="5">
        <f>IF(BK$39=0,NA(),IF(ISNUMBER(INDEX($D$58:$AD$58,BK$39)),IF(ROUND(INDEX($D$58:$AD$58,BK$39)/1000,1)&lt;0,0.5,NA()),NA()))</f>
        <v>0</v>
      </c>
      <c r="BL87" s="5">
        <f>IF(BL$39=0,NA(),IF(ISNUMBER(INDEX($D$58:$AD$58,BL$39)),IF(ROUND(INDEX($D$58:$AD$58,BL$39)/1000,1)&lt;0,0.5,NA()),NA()))</f>
        <v>0</v>
      </c>
      <c r="BM87" s="5">
        <f>IF(BM$39=0,NA(),IF(ISNUMBER(INDEX($D$58:$AD$58,BM$39)),IF(ROUND(INDEX($D$58:$AD$58,BM$39)/1000,1)&lt;0,0.5,NA()),NA()))</f>
        <v>0</v>
      </c>
      <c r="BN87" s="5">
        <f>IF(BN$39=0,NA(),IF(ISNUMBER(INDEX($D$58:$AD$58,BN$39)),IF(ROUND(INDEX($D$58:$AD$58,BN$39)/1000,1)&lt;0,0.5,NA()),NA()))</f>
        <v>0</v>
      </c>
      <c r="BO87" s="5">
        <f>IF(BO$39=0,NA(),IF(ISNUMBER(INDEX($D$58:$AD$58,BO$39)),IF(ROUND(INDEX($D$58:$AD$58,BO$39)/1000,1)&lt;0,0.5,NA()),NA()))</f>
        <v>0</v>
      </c>
      <c r="BP87" s="5">
        <f>IF(BP$39=0,NA(),IF(ISNUMBER(INDEX($D$58:$AD$58,BP$39)),IF(ROUND(INDEX($D$58:$AD$58,BP$39)/1000,1)&lt;0,0.5,NA()),NA()))</f>
        <v>0</v>
      </c>
    </row>
    <row r="88" spans="1:68">
      <c r="A88" s="11" t="s">
        <v>239</v>
      </c>
      <c r="B88" s="11" t="s">
        <v>240</v>
      </c>
      <c r="C88" s="3" t="s">
        <v>144</v>
      </c>
      <c r="AQ88" s="5">
        <f>IF(AQ$39=0,NA(),IF(ISNUMBER(INDEX($D$58:$AD$58,AQ$39)),IF(ROUND(INDEX($D$58:$AD$58,AQ$39)/1000,1)=0,0.5,NA()),NA()))</f>
        <v>0</v>
      </c>
      <c r="AR88" s="5">
        <f>IF(AR$39=0,NA(),IF(ISNUMBER(INDEX($D$58:$AD$58,AR$39)),IF(ROUND(INDEX($D$58:$AD$58,AR$39)/1000,1)=0,0.5,NA()),NA()))</f>
        <v>0</v>
      </c>
      <c r="AS88" s="5">
        <f>IF(AS$39=0,NA(),IF(ISNUMBER(INDEX($D$58:$AD$58,AS$39)),IF(ROUND(INDEX($D$58:$AD$58,AS$39)/1000,1)=0,0.5,NA()),NA()))</f>
        <v>0</v>
      </c>
      <c r="AT88" s="5">
        <f>IF(AT$39=0,NA(),IF(ISNUMBER(INDEX($D$58:$AD$58,AT$39)),IF(ROUND(INDEX($D$58:$AD$58,AT$39)/1000,1)=0,0.5,NA()),NA()))</f>
        <v>0</v>
      </c>
      <c r="AU88" s="5">
        <f>IF(AU$39=0,NA(),IF(ISNUMBER(INDEX($D$58:$AD$58,AU$39)),IF(ROUND(INDEX($D$58:$AD$58,AU$39)/1000,1)=0,0.5,NA()),NA()))</f>
        <v>0</v>
      </c>
      <c r="AV88" s="5">
        <f>IF(AV$39=0,NA(),IF(ISNUMBER(INDEX($D$58:$AD$58,AV$39)),IF(ROUND(INDEX($D$58:$AD$58,AV$39)/1000,1)=0,0.5,NA()),NA()))</f>
        <v>0</v>
      </c>
      <c r="AW88" s="5">
        <f>IF(AW$39=0,NA(),IF(ISNUMBER(INDEX($D$58:$AD$58,AW$39)),IF(ROUND(INDEX($D$58:$AD$58,AW$39)/1000,1)=0,0.5,NA()),NA()))</f>
        <v>0</v>
      </c>
      <c r="AX88" s="5">
        <f>IF(AX$39=0,NA(),IF(ISNUMBER(INDEX($D$58:$AD$58,AX$39)),IF(ROUND(INDEX($D$58:$AD$58,AX$39)/1000,1)=0,0.5,NA()),NA()))</f>
        <v>0</v>
      </c>
      <c r="AY88" s="5">
        <f>IF(AY$39=0,NA(),IF(ISNUMBER(INDEX($D$58:$AD$58,AY$39)),IF(ROUND(INDEX($D$58:$AD$58,AY$39)/1000,1)=0,0.5,NA()),NA()))</f>
        <v>0</v>
      </c>
      <c r="AZ88" s="5">
        <f>IF(AZ$39=0,NA(),IF(ISNUMBER(INDEX($D$58:$AD$58,AZ$39)),IF(ROUND(INDEX($D$58:$AD$58,AZ$39)/1000,1)=0,0.5,NA()),NA()))</f>
        <v>0</v>
      </c>
      <c r="BA88" s="5">
        <f>IF(BA$39=0,NA(),IF(ISNUMBER(INDEX($D$58:$AD$58,BA$39)),IF(ROUND(INDEX($D$58:$AD$58,BA$39)/1000,1)=0,0.5,NA()),NA()))</f>
        <v>0</v>
      </c>
      <c r="BB88" s="5">
        <f>IF(BB$39=0,NA(),IF(ISNUMBER(INDEX($D$58:$AD$58,BB$39)),IF(ROUND(INDEX($D$58:$AD$58,BB$39)/1000,1)=0,0.5,NA()),NA()))</f>
        <v>0</v>
      </c>
      <c r="BC88" s="5">
        <f>IF(BC$39=0,NA(),IF(ISNUMBER(INDEX($D$58:$AD$58,BC$39)),IF(ROUND(INDEX($D$58:$AD$58,BC$39)/1000,1)=0,0.5,NA()),NA()))</f>
        <v>0</v>
      </c>
      <c r="BD88" s="5">
        <f>IF(BD$39=0,NA(),IF(ISNUMBER(INDEX($D$58:$AD$58,BD$39)),IF(ROUND(INDEX($D$58:$AD$58,BD$39)/1000,1)=0,0.5,NA()),NA()))</f>
        <v>0</v>
      </c>
      <c r="BE88" s="5">
        <f>IF(BE$39=0,NA(),IF(ISNUMBER(INDEX($D$58:$AD$58,BE$39)),IF(ROUND(INDEX($D$58:$AD$58,BE$39)/1000,1)=0,0.5,NA()),NA()))</f>
        <v>0</v>
      </c>
      <c r="BF88" s="5">
        <f>IF(BF$39=0,NA(),IF(ISNUMBER(INDEX($D$58:$AD$58,BF$39)),IF(ROUND(INDEX($D$58:$AD$58,BF$39)/1000,1)=0,0.5,NA()),NA()))</f>
        <v>0</v>
      </c>
      <c r="BG88" s="5">
        <f>IF(BG$39=0,NA(),IF(ISNUMBER(INDEX($D$58:$AD$58,BG$39)),IF(ROUND(INDEX($D$58:$AD$58,BG$39)/1000,1)=0,0.5,NA()),NA()))</f>
        <v>0</v>
      </c>
      <c r="BH88" s="5">
        <f>IF(BH$39=0,NA(),IF(ISNUMBER(INDEX($D$58:$AD$58,BH$39)),IF(ROUND(INDEX($D$58:$AD$58,BH$39)/1000,1)=0,0.5,NA()),NA()))</f>
        <v>0</v>
      </c>
      <c r="BI88" s="5">
        <f>IF(BI$39=0,NA(),IF(ISNUMBER(INDEX($D$58:$AD$58,BI$39)),IF(ROUND(INDEX($D$58:$AD$58,BI$39)/1000,1)=0,0.5,NA()),NA()))</f>
        <v>0</v>
      </c>
      <c r="BJ88" s="5">
        <f>IF(BJ$39=0,NA(),IF(ISNUMBER(INDEX($D$58:$AD$58,BJ$39)),IF(ROUND(INDEX($D$58:$AD$58,BJ$39)/1000,1)=0,0.5,NA()),NA()))</f>
        <v>0</v>
      </c>
      <c r="BK88" s="5">
        <f>IF(BK$39=0,NA(),IF(ISNUMBER(INDEX($D$58:$AD$58,BK$39)),IF(ROUND(INDEX($D$58:$AD$58,BK$39)/1000,1)=0,0.5,NA()),NA()))</f>
        <v>0</v>
      </c>
      <c r="BL88" s="5">
        <f>IF(BL$39=0,NA(),IF(ISNUMBER(INDEX($D$58:$AD$58,BL$39)),IF(ROUND(INDEX($D$58:$AD$58,BL$39)/1000,1)=0,0.5,NA()),NA()))</f>
        <v>0</v>
      </c>
      <c r="BM88" s="5">
        <f>IF(BM$39=0,NA(),IF(ISNUMBER(INDEX($D$58:$AD$58,BM$39)),IF(ROUND(INDEX($D$58:$AD$58,BM$39)/1000,1)=0,0.5,NA()),NA()))</f>
        <v>0</v>
      </c>
      <c r="BN88" s="5">
        <f>IF(BN$39=0,NA(),IF(ISNUMBER(INDEX($D$58:$AD$58,BN$39)),IF(ROUND(INDEX($D$58:$AD$58,BN$39)/1000,1)=0,0.5,NA()),NA()))</f>
        <v>0</v>
      </c>
      <c r="BO88" s="5">
        <f>IF(BO$39=0,NA(),IF(ISNUMBER(INDEX($D$58:$AD$58,BO$39)),IF(ROUND(INDEX($D$58:$AD$58,BO$39)/1000,1)=0,0.5,NA()),NA()))</f>
        <v>0</v>
      </c>
      <c r="BP88" s="5">
        <f>IF(BP$39=0,NA(),IF(ISNUMBER(INDEX($D$58:$AD$58,BP$39)),IF(ROUND(INDEX($D$58:$AD$58,BP$39)/1000,1)=0,0.5,NA()),NA()))</f>
        <v>0</v>
      </c>
    </row>
    <row r="89" spans="1:68">
      <c r="A89" s="11" t="s">
        <v>241</v>
      </c>
      <c r="B89" s="11" t="s">
        <v>242</v>
      </c>
      <c r="C89" s="3" t="s">
        <v>144</v>
      </c>
      <c r="AQ89" s="11">
        <f>IF(AQ$39=0,"",IF(ISNUMBER(INDEX($D$58:$AD$58,AQ$39)),IF(ROUND(INDEX($D$58:$AD$58,AQ$39)/1000,1)&gt;0,"+"&amp;FIXED(ROUND(INDEX($D$58:$AD$58,AQ$39)/1000,1),1),IF(ROUND(INDEX($D$58:$AD$58,AQ$39)/1000,1)&lt;0,"−"&amp;FIXED(-ROUND(INDEX($D$58:$AD$58,AQ$39)/1000,1),1),"±0")),""))</f>
        <v>0</v>
      </c>
      <c r="AR89" s="11">
        <f>IF(AR$39=0,"",IF(ISNUMBER(INDEX($D$58:$AD$58,AR$39)),IF(ROUND(INDEX($D$58:$AD$58,AR$39)/1000,1)&gt;0,"+"&amp;FIXED(ROUND(INDEX($D$58:$AD$58,AR$39)/1000,1),1),IF(ROUND(INDEX($D$58:$AD$58,AR$39)/1000,1)&lt;0,"−"&amp;FIXED(-ROUND(INDEX($D$58:$AD$58,AR$39)/1000,1),1),"±0")),""))</f>
        <v>0</v>
      </c>
      <c r="AS89" s="11">
        <f>IF(AS$39=0,"",IF(ISNUMBER(INDEX($D$58:$AD$58,AS$39)),IF(ROUND(INDEX($D$58:$AD$58,AS$39)/1000,1)&gt;0,"+"&amp;FIXED(ROUND(INDEX($D$58:$AD$58,AS$39)/1000,1),1),IF(ROUND(INDEX($D$58:$AD$58,AS$39)/1000,1)&lt;0,"−"&amp;FIXED(-ROUND(INDEX($D$58:$AD$58,AS$39)/1000,1),1),"±0")),""))</f>
        <v>0</v>
      </c>
      <c r="AT89" s="11">
        <f>IF(AT$39=0,"",IF(ISNUMBER(INDEX($D$58:$AD$58,AT$39)),IF(ROUND(INDEX($D$58:$AD$58,AT$39)/1000,1)&gt;0,"+"&amp;FIXED(ROUND(INDEX($D$58:$AD$58,AT$39)/1000,1),1),IF(ROUND(INDEX($D$58:$AD$58,AT$39)/1000,1)&lt;0,"−"&amp;FIXED(-ROUND(INDEX($D$58:$AD$58,AT$39)/1000,1),1),"±0")),""))</f>
        <v>0</v>
      </c>
      <c r="AU89" s="11">
        <f>IF(AU$39=0,"",IF(ISNUMBER(INDEX($D$58:$AD$58,AU$39)),IF(ROUND(INDEX($D$58:$AD$58,AU$39)/1000,1)&gt;0,"+"&amp;FIXED(ROUND(INDEX($D$58:$AD$58,AU$39)/1000,1),1),IF(ROUND(INDEX($D$58:$AD$58,AU$39)/1000,1)&lt;0,"−"&amp;FIXED(-ROUND(INDEX($D$58:$AD$58,AU$39)/1000,1),1),"±0")),""))</f>
        <v>0</v>
      </c>
      <c r="AV89" s="11">
        <f>IF(AV$39=0,"",IF(ISNUMBER(INDEX($D$58:$AD$58,AV$39)),IF(ROUND(INDEX($D$58:$AD$58,AV$39)/1000,1)&gt;0,"+"&amp;FIXED(ROUND(INDEX($D$58:$AD$58,AV$39)/1000,1),1),IF(ROUND(INDEX($D$58:$AD$58,AV$39)/1000,1)&lt;0,"−"&amp;FIXED(-ROUND(INDEX($D$58:$AD$58,AV$39)/1000,1),1),"±0")),""))</f>
        <v>0</v>
      </c>
      <c r="AW89" s="11">
        <f>IF(AW$39=0,"",IF(ISNUMBER(INDEX($D$58:$AD$58,AW$39)),IF(ROUND(INDEX($D$58:$AD$58,AW$39)/1000,1)&gt;0,"+"&amp;FIXED(ROUND(INDEX($D$58:$AD$58,AW$39)/1000,1),1),IF(ROUND(INDEX($D$58:$AD$58,AW$39)/1000,1)&lt;0,"−"&amp;FIXED(-ROUND(INDEX($D$58:$AD$58,AW$39)/1000,1),1),"±0")),""))</f>
        <v>0</v>
      </c>
      <c r="AX89" s="11">
        <f>IF(AX$39=0,"",IF(ISNUMBER(INDEX($D$58:$AD$58,AX$39)),IF(ROUND(INDEX($D$58:$AD$58,AX$39)/1000,1)&gt;0,"+"&amp;FIXED(ROUND(INDEX($D$58:$AD$58,AX$39)/1000,1),1),IF(ROUND(INDEX($D$58:$AD$58,AX$39)/1000,1)&lt;0,"−"&amp;FIXED(-ROUND(INDEX($D$58:$AD$58,AX$39)/1000,1),1),"±0")),""))</f>
        <v>0</v>
      </c>
      <c r="AY89" s="11">
        <f>IF(AY$39=0,"",IF(ISNUMBER(INDEX($D$58:$AD$58,AY$39)),IF(ROUND(INDEX($D$58:$AD$58,AY$39)/1000,1)&gt;0,"+"&amp;FIXED(ROUND(INDEX($D$58:$AD$58,AY$39)/1000,1),1),IF(ROUND(INDEX($D$58:$AD$58,AY$39)/1000,1)&lt;0,"−"&amp;FIXED(-ROUND(INDEX($D$58:$AD$58,AY$39)/1000,1),1),"±0")),""))</f>
        <v>0</v>
      </c>
      <c r="AZ89" s="11">
        <f>IF(AZ$39=0,"",IF(ISNUMBER(INDEX($D$58:$AD$58,AZ$39)),IF(ROUND(INDEX($D$58:$AD$58,AZ$39)/1000,1)&gt;0,"+"&amp;FIXED(ROUND(INDEX($D$58:$AD$58,AZ$39)/1000,1),1),IF(ROUND(INDEX($D$58:$AD$58,AZ$39)/1000,1)&lt;0,"−"&amp;FIXED(-ROUND(INDEX($D$58:$AD$58,AZ$39)/1000,1),1),"±0")),""))</f>
        <v>0</v>
      </c>
      <c r="BA89" s="11">
        <f>IF(BA$39=0,"",IF(ISNUMBER(INDEX($D$58:$AD$58,BA$39)),IF(ROUND(INDEX($D$58:$AD$58,BA$39)/1000,1)&gt;0,"+"&amp;FIXED(ROUND(INDEX($D$58:$AD$58,BA$39)/1000,1),1),IF(ROUND(INDEX($D$58:$AD$58,BA$39)/1000,1)&lt;0,"−"&amp;FIXED(-ROUND(INDEX($D$58:$AD$58,BA$39)/1000,1),1),"±0")),""))</f>
        <v>0</v>
      </c>
      <c r="BB89" s="11">
        <f>IF(BB$39=0,"",IF(ISNUMBER(INDEX($D$58:$AD$58,BB$39)),IF(ROUND(INDEX($D$58:$AD$58,BB$39)/1000,1)&gt;0,"+"&amp;FIXED(ROUND(INDEX($D$58:$AD$58,BB$39)/1000,1),1),IF(ROUND(INDEX($D$58:$AD$58,BB$39)/1000,1)&lt;0,"−"&amp;FIXED(-ROUND(INDEX($D$58:$AD$58,BB$39)/1000,1),1),"±0")),""))</f>
        <v>0</v>
      </c>
      <c r="BC89" s="11">
        <f>IF(BC$39=0,"",IF(ISNUMBER(INDEX($D$58:$AD$58,BC$39)),IF(ROUND(INDEX($D$58:$AD$58,BC$39)/1000,1)&gt;0,"+"&amp;FIXED(ROUND(INDEX($D$58:$AD$58,BC$39)/1000,1),1),IF(ROUND(INDEX($D$58:$AD$58,BC$39)/1000,1)&lt;0,"−"&amp;FIXED(-ROUND(INDEX($D$58:$AD$58,BC$39)/1000,1),1),"±0")),""))</f>
        <v>0</v>
      </c>
      <c r="BD89" s="11">
        <f>IF(BD$39=0,"",IF(ISNUMBER(INDEX($D$58:$AD$58,BD$39)),IF(ROUND(INDEX($D$58:$AD$58,BD$39)/1000,1)&gt;0,"+"&amp;FIXED(ROUND(INDEX($D$58:$AD$58,BD$39)/1000,1),1),IF(ROUND(INDEX($D$58:$AD$58,BD$39)/1000,1)&lt;0,"−"&amp;FIXED(-ROUND(INDEX($D$58:$AD$58,BD$39)/1000,1),1),"±0")),""))</f>
        <v>0</v>
      </c>
      <c r="BE89" s="11">
        <f>IF(BE$39=0,"",IF(ISNUMBER(INDEX($D$58:$AD$58,BE$39)),IF(ROUND(INDEX($D$58:$AD$58,BE$39)/1000,1)&gt;0,"+"&amp;FIXED(ROUND(INDEX($D$58:$AD$58,BE$39)/1000,1),1),IF(ROUND(INDEX($D$58:$AD$58,BE$39)/1000,1)&lt;0,"−"&amp;FIXED(-ROUND(INDEX($D$58:$AD$58,BE$39)/1000,1),1),"±0")),""))</f>
        <v>0</v>
      </c>
      <c r="BF89" s="11">
        <f>IF(BF$39=0,"",IF(ISNUMBER(INDEX($D$58:$AD$58,BF$39)),IF(ROUND(INDEX($D$58:$AD$58,BF$39)/1000,1)&gt;0,"+"&amp;FIXED(ROUND(INDEX($D$58:$AD$58,BF$39)/1000,1),1),IF(ROUND(INDEX($D$58:$AD$58,BF$39)/1000,1)&lt;0,"−"&amp;FIXED(-ROUND(INDEX($D$58:$AD$58,BF$39)/1000,1),1),"±0")),""))</f>
        <v>0</v>
      </c>
      <c r="BG89" s="11">
        <f>IF(BG$39=0,"",IF(ISNUMBER(INDEX($D$58:$AD$58,BG$39)),IF(ROUND(INDEX($D$58:$AD$58,BG$39)/1000,1)&gt;0,"+"&amp;FIXED(ROUND(INDEX($D$58:$AD$58,BG$39)/1000,1),1),IF(ROUND(INDEX($D$58:$AD$58,BG$39)/1000,1)&lt;0,"−"&amp;FIXED(-ROUND(INDEX($D$58:$AD$58,BG$39)/1000,1),1),"±0")),""))</f>
        <v>0</v>
      </c>
      <c r="BH89" s="11">
        <f>IF(BH$39=0,"",IF(ISNUMBER(INDEX($D$58:$AD$58,BH$39)),IF(ROUND(INDEX($D$58:$AD$58,BH$39)/1000,1)&gt;0,"+"&amp;FIXED(ROUND(INDEX($D$58:$AD$58,BH$39)/1000,1),1),IF(ROUND(INDEX($D$58:$AD$58,BH$39)/1000,1)&lt;0,"−"&amp;FIXED(-ROUND(INDEX($D$58:$AD$58,BH$39)/1000,1),1),"±0")),""))</f>
        <v>0</v>
      </c>
      <c r="BI89" s="11">
        <f>IF(BI$39=0,"",IF(ISNUMBER(INDEX($D$58:$AD$58,BI$39)),IF(ROUND(INDEX($D$58:$AD$58,BI$39)/1000,1)&gt;0,"+"&amp;FIXED(ROUND(INDEX($D$58:$AD$58,BI$39)/1000,1),1),IF(ROUND(INDEX($D$58:$AD$58,BI$39)/1000,1)&lt;0,"−"&amp;FIXED(-ROUND(INDEX($D$58:$AD$58,BI$39)/1000,1),1),"±0")),""))</f>
        <v>0</v>
      </c>
      <c r="BJ89" s="11">
        <f>IF(BJ$39=0,"",IF(ISNUMBER(INDEX($D$58:$AD$58,BJ$39)),IF(ROUND(INDEX($D$58:$AD$58,BJ$39)/1000,1)&gt;0,"+"&amp;FIXED(ROUND(INDEX($D$58:$AD$58,BJ$39)/1000,1),1),IF(ROUND(INDEX($D$58:$AD$58,BJ$39)/1000,1)&lt;0,"−"&amp;FIXED(-ROUND(INDEX($D$58:$AD$58,BJ$39)/1000,1),1),"±0")),""))</f>
        <v>0</v>
      </c>
      <c r="BK89" s="11">
        <f>IF(BK$39=0,"",IF(ISNUMBER(INDEX($D$58:$AD$58,BK$39)),IF(ROUND(INDEX($D$58:$AD$58,BK$39)/1000,1)&gt;0,"+"&amp;FIXED(ROUND(INDEX($D$58:$AD$58,BK$39)/1000,1),1),IF(ROUND(INDEX($D$58:$AD$58,BK$39)/1000,1)&lt;0,"−"&amp;FIXED(-ROUND(INDEX($D$58:$AD$58,BK$39)/1000,1),1),"±0")),""))</f>
        <v>0</v>
      </c>
      <c r="BL89" s="11">
        <f>IF(BL$39=0,"",IF(ISNUMBER(INDEX($D$58:$AD$58,BL$39)),IF(ROUND(INDEX($D$58:$AD$58,BL$39)/1000,1)&gt;0,"+"&amp;FIXED(ROUND(INDEX($D$58:$AD$58,BL$39)/1000,1),1),IF(ROUND(INDEX($D$58:$AD$58,BL$39)/1000,1)&lt;0,"−"&amp;FIXED(-ROUND(INDEX($D$58:$AD$58,BL$39)/1000,1),1),"±0")),""))</f>
        <v>0</v>
      </c>
      <c r="BM89" s="11">
        <f>IF(BM$39=0,"",IF(ISNUMBER(INDEX($D$58:$AD$58,BM$39)),IF(ROUND(INDEX($D$58:$AD$58,BM$39)/1000,1)&gt;0,"+"&amp;FIXED(ROUND(INDEX($D$58:$AD$58,BM$39)/1000,1),1),IF(ROUND(INDEX($D$58:$AD$58,BM$39)/1000,1)&lt;0,"−"&amp;FIXED(-ROUND(INDEX($D$58:$AD$58,BM$39)/1000,1),1),"±0")),""))</f>
        <v>0</v>
      </c>
      <c r="BN89" s="11">
        <f>IF(BN$39=0,"",IF(ISNUMBER(INDEX($D$58:$AD$58,BN$39)),IF(ROUND(INDEX($D$58:$AD$58,BN$39)/1000,1)&gt;0,"+"&amp;FIXED(ROUND(INDEX($D$58:$AD$58,BN$39)/1000,1),1),IF(ROUND(INDEX($D$58:$AD$58,BN$39)/1000,1)&lt;0,"−"&amp;FIXED(-ROUND(INDEX($D$58:$AD$58,BN$39)/1000,1),1),"±0")),""))</f>
        <v>0</v>
      </c>
      <c r="BO89" s="11">
        <f>IF(BO$39=0,"",IF(ISNUMBER(INDEX($D$58:$AD$58,BO$39)),IF(ROUND(INDEX($D$58:$AD$58,BO$39)/1000,1)&gt;0,"+"&amp;FIXED(ROUND(INDEX($D$58:$AD$58,BO$39)/1000,1),1),IF(ROUND(INDEX($D$58:$AD$58,BO$39)/1000,1)&lt;0,"−"&amp;FIXED(-ROUND(INDEX($D$58:$AD$58,BO$39)/1000,1),1),"±0")),""))</f>
        <v>0</v>
      </c>
      <c r="BP89" s="11">
        <f>IF(BP$39=0,"",IF(ISNUMBER(INDEX($D$58:$AD$58,BP$39)),IF(ROUND(INDEX($D$58:$AD$58,BP$39)/1000,1)&gt;0,"+"&amp;FIXED(ROUND(INDEX($D$58:$AD$58,BP$39)/1000,1),1),IF(ROUND(INDEX($D$58:$AD$58,BP$39)/1000,1)&lt;0,"−"&amp;FIXED(-ROUND(INDEX($D$58:$AD$58,BP$39)/1000,1),1),"±0")),""))</f>
        <v>0</v>
      </c>
    </row>
    <row r="90" spans="1:68">
      <c r="A90" s="11" t="s">
        <v>243</v>
      </c>
      <c r="B90" s="11" t="s">
        <v>244</v>
      </c>
      <c r="C90" s="3" t="s">
        <v>134</v>
      </c>
      <c r="D90" s="5">
        <v>10</v>
      </c>
    </row>
    <row r="91" spans="1:68">
      <c r="A91" s="11" t="s">
        <v>245</v>
      </c>
      <c r="B91" s="11" t="s">
        <v>246</v>
      </c>
      <c r="C91" s="3" t="s">
        <v>137</v>
      </c>
      <c r="D91" s="5">
        <f>IF(MAX($D$92:$AD$92)=0,27,MAX($D$92:$AD$92))</f>
        <v>0</v>
      </c>
    </row>
    <row r="92" spans="1:68">
      <c r="A92" s="11" t="s">
        <v>247</v>
      </c>
      <c r="B92" s="11" t="s">
        <v>248</v>
      </c>
      <c r="C92" s="3" t="s">
        <v>137</v>
      </c>
      <c r="D92" s="5">
        <f>IF(OR(ISNUMBER(D107),ISNUMBER(D105),ISNUMBER(D106)),1,0)</f>
        <v>0</v>
      </c>
      <c r="E92" s="5">
        <f>IF(OR(ISNUMBER(E107),ISNUMBER(E105),ISNUMBER(E106)),2,0)</f>
        <v>0</v>
      </c>
      <c r="F92" s="5">
        <f>IF(OR(ISNUMBER(F107),ISNUMBER(F105),ISNUMBER(F106)),3,0)</f>
        <v>0</v>
      </c>
      <c r="G92" s="5">
        <f>IF(OR(ISNUMBER(G107),ISNUMBER(G105),ISNUMBER(G106)),4,0)</f>
        <v>0</v>
      </c>
      <c r="H92" s="5">
        <f>IF(OR(ISNUMBER(H107),ISNUMBER(H105),ISNUMBER(H106)),5,0)</f>
        <v>0</v>
      </c>
      <c r="I92" s="5">
        <f>IF(OR(ISNUMBER(I107),ISNUMBER(I105),ISNUMBER(I106)),6,0)</f>
        <v>0</v>
      </c>
      <c r="J92" s="5">
        <f>IF(OR(ISNUMBER(J107),ISNUMBER(J105),ISNUMBER(J106)),7,0)</f>
        <v>0</v>
      </c>
      <c r="K92" s="5">
        <f>IF(OR(ISNUMBER(K107),ISNUMBER(K105),ISNUMBER(K106)),8,0)</f>
        <v>0</v>
      </c>
      <c r="L92" s="5">
        <f>IF(OR(ISNUMBER(L107),ISNUMBER(L105),ISNUMBER(L106)),9,0)</f>
        <v>0</v>
      </c>
      <c r="M92" s="5">
        <f>IF(OR(ISNUMBER(M107),ISNUMBER(M105),ISNUMBER(M106)),10,0)</f>
        <v>0</v>
      </c>
      <c r="N92" s="5">
        <f>IF(OR(ISNUMBER(N107),ISNUMBER(N105),ISNUMBER(N106)),11,0)</f>
        <v>0</v>
      </c>
      <c r="O92" s="5">
        <f>IF(OR(ISNUMBER(O107),ISNUMBER(O105),ISNUMBER(O106)),12,0)</f>
        <v>0</v>
      </c>
      <c r="P92" s="5">
        <f>IF(OR(ISNUMBER(P107),ISNUMBER(P105),ISNUMBER(P106)),13,0)</f>
        <v>0</v>
      </c>
      <c r="Q92" s="5">
        <f>IF(OR(ISNUMBER(Q107),ISNUMBER(Q105),ISNUMBER(Q106)),14,0)</f>
        <v>0</v>
      </c>
      <c r="R92" s="5">
        <f>IF(OR(ISNUMBER(R107),ISNUMBER(R105),ISNUMBER(R106)),15,0)</f>
        <v>0</v>
      </c>
      <c r="S92" s="5">
        <f>IF(OR(ISNUMBER(S107),ISNUMBER(S105),ISNUMBER(S106)),16,0)</f>
        <v>0</v>
      </c>
      <c r="T92" s="5">
        <f>IF(OR(ISNUMBER(T107),ISNUMBER(T105),ISNUMBER(T106)),17,0)</f>
        <v>0</v>
      </c>
      <c r="U92" s="5">
        <f>IF(OR(ISNUMBER(U107),ISNUMBER(U105),ISNUMBER(U106)),18,0)</f>
        <v>0</v>
      </c>
      <c r="V92" s="5">
        <f>IF(OR(ISNUMBER(V107),ISNUMBER(V105),ISNUMBER(V106)),19,0)</f>
        <v>0</v>
      </c>
      <c r="W92" s="5">
        <f>IF(OR(ISNUMBER(W107),ISNUMBER(W105),ISNUMBER(W106)),20,0)</f>
        <v>0</v>
      </c>
      <c r="X92" s="5">
        <f>IF(OR(ISNUMBER(X107),ISNUMBER(X105),ISNUMBER(X106)),21,0)</f>
        <v>0</v>
      </c>
      <c r="Y92" s="5">
        <f>IF(OR(ISNUMBER(Y107),ISNUMBER(Y105),ISNUMBER(Y106)),22,0)</f>
        <v>0</v>
      </c>
      <c r="Z92" s="5">
        <f>IF(OR(ISNUMBER(Z107),ISNUMBER(Z105),ISNUMBER(Z106)),23,0)</f>
        <v>0</v>
      </c>
      <c r="AA92" s="5">
        <f>IF(OR(ISNUMBER(AA107),ISNUMBER(AA105),ISNUMBER(AA106)),24,0)</f>
        <v>0</v>
      </c>
      <c r="AB92" s="5">
        <f>IF(OR(ISNUMBER(AB107),ISNUMBER(AB105),ISNUMBER(AB106)),25,0)</f>
        <v>0</v>
      </c>
      <c r="AC92" s="5">
        <f>IF(OR(ISNUMBER(AC107),ISNUMBER(AC105),ISNUMBER(AC106)),26,0)</f>
        <v>0</v>
      </c>
      <c r="AD92" s="5">
        <f>IF(OR(ISNUMBER(AD107),ISNUMBER(AD105),ISNUMBER(AD106)),27,0)</f>
        <v>0</v>
      </c>
    </row>
    <row r="93" spans="1:68">
      <c r="A93" s="11" t="s">
        <v>249</v>
      </c>
      <c r="B93" s="11" t="s">
        <v>250</v>
      </c>
      <c r="C93" s="3" t="s">
        <v>137</v>
      </c>
      <c r="AQ93" s="5">
        <f>IF(AND(0&lt;$D$90,($D$91-$D$90+1)&gt;=1),($D$91-$D$90+1),0)</f>
        <v>0</v>
      </c>
      <c r="AR93" s="5">
        <f>IF(AND(1&lt;$D$90,($D$91-$D$90+2)&gt;=1),($D$91-$D$90+2),0)</f>
        <v>0</v>
      </c>
      <c r="AS93" s="5">
        <f>IF(AND(2&lt;$D$90,($D$91-$D$90+3)&gt;=1),($D$91-$D$90+3),0)</f>
        <v>0</v>
      </c>
      <c r="AT93" s="5">
        <f>IF(AND(3&lt;$D$90,($D$91-$D$90+4)&gt;=1),($D$91-$D$90+4),0)</f>
        <v>0</v>
      </c>
      <c r="AU93" s="5">
        <f>IF(AND(4&lt;$D$90,($D$91-$D$90+5)&gt;=1),($D$91-$D$90+5),0)</f>
        <v>0</v>
      </c>
      <c r="AV93" s="5">
        <f>IF(AND(5&lt;$D$90,($D$91-$D$90+6)&gt;=1),($D$91-$D$90+6),0)</f>
        <v>0</v>
      </c>
      <c r="AW93" s="5">
        <f>IF(AND(6&lt;$D$90,($D$91-$D$90+7)&gt;=1),($D$91-$D$90+7),0)</f>
        <v>0</v>
      </c>
      <c r="AX93" s="5">
        <f>IF(AND(7&lt;$D$90,($D$91-$D$90+8)&gt;=1),($D$91-$D$90+8),0)</f>
        <v>0</v>
      </c>
      <c r="AY93" s="5">
        <f>IF(AND(8&lt;$D$90,($D$91-$D$90+9)&gt;=1),($D$91-$D$90+9),0)</f>
        <v>0</v>
      </c>
      <c r="AZ93" s="5">
        <f>IF(AND(9&lt;$D$90,($D$91-$D$90+10)&gt;=1),($D$91-$D$90+10),0)</f>
        <v>0</v>
      </c>
      <c r="BA93" s="5">
        <f>IF(AND(10&lt;$D$90,($D$91-$D$90+11)&gt;=1),($D$91-$D$90+11),0)</f>
        <v>0</v>
      </c>
      <c r="BB93" s="5">
        <f>IF(AND(11&lt;$D$90,($D$91-$D$90+12)&gt;=1),($D$91-$D$90+12),0)</f>
        <v>0</v>
      </c>
      <c r="BC93" s="5">
        <f>IF(AND(12&lt;$D$90,($D$91-$D$90+13)&gt;=1),($D$91-$D$90+13),0)</f>
        <v>0</v>
      </c>
      <c r="BD93" s="5">
        <f>IF(AND(13&lt;$D$90,($D$91-$D$90+14)&gt;=1),($D$91-$D$90+14),0)</f>
        <v>0</v>
      </c>
      <c r="BE93" s="5">
        <f>IF(AND(14&lt;$D$90,($D$91-$D$90+15)&gt;=1),($D$91-$D$90+15),0)</f>
        <v>0</v>
      </c>
      <c r="BF93" s="5">
        <f>IF(AND(15&lt;$D$90,($D$91-$D$90+16)&gt;=1),($D$91-$D$90+16),0)</f>
        <v>0</v>
      </c>
      <c r="BG93" s="5">
        <f>IF(AND(16&lt;$D$90,($D$91-$D$90+17)&gt;=1),($D$91-$D$90+17),0)</f>
        <v>0</v>
      </c>
      <c r="BH93" s="5">
        <f>IF(AND(17&lt;$D$90,($D$91-$D$90+18)&gt;=1),($D$91-$D$90+18),0)</f>
        <v>0</v>
      </c>
      <c r="BI93" s="5">
        <f>IF(AND(18&lt;$D$90,($D$91-$D$90+19)&gt;=1),($D$91-$D$90+19),0)</f>
        <v>0</v>
      </c>
      <c r="BJ93" s="5">
        <f>IF(AND(19&lt;$D$90,($D$91-$D$90+20)&gt;=1),($D$91-$D$90+20),0)</f>
        <v>0</v>
      </c>
      <c r="BK93" s="5">
        <f>IF(AND(20&lt;$D$90,($D$91-$D$90+21)&gt;=1),($D$91-$D$90+21),0)</f>
        <v>0</v>
      </c>
      <c r="BL93" s="5">
        <f>IF(AND(21&lt;$D$90,($D$91-$D$90+22)&gt;=1),($D$91-$D$90+22),0)</f>
        <v>0</v>
      </c>
      <c r="BM93" s="5">
        <f>IF(AND(22&lt;$D$90,($D$91-$D$90+23)&gt;=1),($D$91-$D$90+23),0)</f>
        <v>0</v>
      </c>
      <c r="BN93" s="5">
        <f>IF(AND(23&lt;$D$90,($D$91-$D$90+24)&gt;=1),($D$91-$D$90+24),0)</f>
        <v>0</v>
      </c>
      <c r="BO93" s="5">
        <f>IF(AND(24&lt;$D$90,($D$91-$D$90+25)&gt;=1),($D$91-$D$90+25),0)</f>
        <v>0</v>
      </c>
      <c r="BP93" s="5">
        <f>IF(AND(25&lt;$D$90,($D$91-$D$90+26)&gt;=1),($D$91-$D$90+26),0)</f>
        <v>0</v>
      </c>
    </row>
    <row r="94" spans="1:68">
      <c r="A94" s="11" t="s">
        <v>251</v>
      </c>
      <c r="B94" s="11" t="s">
        <v>252</v>
      </c>
      <c r="C94" s="3" t="s">
        <v>144</v>
      </c>
      <c r="AQ94" s="11">
        <f>IF(AQ$93=0,"",""&amp;_xlfn.ISOWEEKNUM(INDEX($D$4:$AD$4,AQ$93)-MOD(WEEKDAY(INDEX($D$4:$AD$4,AQ$93),2)+2,7)))</f>
        <v>0</v>
      </c>
      <c r="AR94" s="11">
        <f>IF(AR$93=0,"",""&amp;_xlfn.ISOWEEKNUM(INDEX($D$4:$AD$4,AR$93)-MOD(WEEKDAY(INDEX($D$4:$AD$4,AR$93),2)+2,7)))</f>
        <v>0</v>
      </c>
      <c r="AS94" s="11">
        <f>IF(AS$93=0,"",""&amp;_xlfn.ISOWEEKNUM(INDEX($D$4:$AD$4,AS$93)-MOD(WEEKDAY(INDEX($D$4:$AD$4,AS$93),2)+2,7)))</f>
        <v>0</v>
      </c>
      <c r="AT94" s="11">
        <f>IF(AT$93=0,"",""&amp;_xlfn.ISOWEEKNUM(INDEX($D$4:$AD$4,AT$93)-MOD(WEEKDAY(INDEX($D$4:$AD$4,AT$93),2)+2,7)))</f>
        <v>0</v>
      </c>
      <c r="AU94" s="11">
        <f>IF(AU$93=0,"",""&amp;_xlfn.ISOWEEKNUM(INDEX($D$4:$AD$4,AU$93)-MOD(WEEKDAY(INDEX($D$4:$AD$4,AU$93),2)+2,7)))</f>
        <v>0</v>
      </c>
      <c r="AV94" s="11">
        <f>IF(AV$93=0,"",""&amp;_xlfn.ISOWEEKNUM(INDEX($D$4:$AD$4,AV$93)-MOD(WEEKDAY(INDEX($D$4:$AD$4,AV$93),2)+2,7)))</f>
        <v>0</v>
      </c>
      <c r="AW94" s="11">
        <f>IF(AW$93=0,"",""&amp;_xlfn.ISOWEEKNUM(INDEX($D$4:$AD$4,AW$93)-MOD(WEEKDAY(INDEX($D$4:$AD$4,AW$93),2)+2,7)))</f>
        <v>0</v>
      </c>
      <c r="AX94" s="11">
        <f>IF(AX$93=0,"",""&amp;_xlfn.ISOWEEKNUM(INDEX($D$4:$AD$4,AX$93)-MOD(WEEKDAY(INDEX($D$4:$AD$4,AX$93),2)+2,7)))</f>
        <v>0</v>
      </c>
      <c r="AY94" s="11">
        <f>IF(AY$93=0,"",""&amp;_xlfn.ISOWEEKNUM(INDEX($D$4:$AD$4,AY$93)-MOD(WEEKDAY(INDEX($D$4:$AD$4,AY$93),2)+2,7)))</f>
        <v>0</v>
      </c>
      <c r="AZ94" s="11">
        <f>IF(AZ$93=0,"",""&amp;_xlfn.ISOWEEKNUM(INDEX($D$4:$AD$4,AZ$93)-MOD(WEEKDAY(INDEX($D$4:$AD$4,AZ$93),2)+2,7)))</f>
        <v>0</v>
      </c>
      <c r="BA94" s="11">
        <f>IF(BA$93=0,"",""&amp;_xlfn.ISOWEEKNUM(INDEX($D$4:$AD$4,BA$93)-MOD(WEEKDAY(INDEX($D$4:$AD$4,BA$93),2)+2,7)))</f>
        <v>0</v>
      </c>
      <c r="BB94" s="11">
        <f>IF(BB$93=0,"",""&amp;_xlfn.ISOWEEKNUM(INDEX($D$4:$AD$4,BB$93)-MOD(WEEKDAY(INDEX($D$4:$AD$4,BB$93),2)+2,7)))</f>
        <v>0</v>
      </c>
      <c r="BC94" s="11">
        <f>IF(BC$93=0,"",""&amp;_xlfn.ISOWEEKNUM(INDEX($D$4:$AD$4,BC$93)-MOD(WEEKDAY(INDEX($D$4:$AD$4,BC$93),2)+2,7)))</f>
        <v>0</v>
      </c>
      <c r="BD94" s="11">
        <f>IF(BD$93=0,"",""&amp;_xlfn.ISOWEEKNUM(INDEX($D$4:$AD$4,BD$93)-MOD(WEEKDAY(INDEX($D$4:$AD$4,BD$93),2)+2,7)))</f>
        <v>0</v>
      </c>
      <c r="BE94" s="11">
        <f>IF(BE$93=0,"",""&amp;_xlfn.ISOWEEKNUM(INDEX($D$4:$AD$4,BE$93)-MOD(WEEKDAY(INDEX($D$4:$AD$4,BE$93),2)+2,7)))</f>
        <v>0</v>
      </c>
      <c r="BF94" s="11">
        <f>IF(BF$93=0,"",""&amp;_xlfn.ISOWEEKNUM(INDEX($D$4:$AD$4,BF$93)-MOD(WEEKDAY(INDEX($D$4:$AD$4,BF$93),2)+2,7)))</f>
        <v>0</v>
      </c>
      <c r="BG94" s="11">
        <f>IF(BG$93=0,"",""&amp;_xlfn.ISOWEEKNUM(INDEX($D$4:$AD$4,BG$93)-MOD(WEEKDAY(INDEX($D$4:$AD$4,BG$93),2)+2,7)))</f>
        <v>0</v>
      </c>
      <c r="BH94" s="11">
        <f>IF(BH$93=0,"",""&amp;_xlfn.ISOWEEKNUM(INDEX($D$4:$AD$4,BH$93)-MOD(WEEKDAY(INDEX($D$4:$AD$4,BH$93),2)+2,7)))</f>
        <v>0</v>
      </c>
      <c r="BI94" s="11">
        <f>IF(BI$93=0,"",""&amp;_xlfn.ISOWEEKNUM(INDEX($D$4:$AD$4,BI$93)-MOD(WEEKDAY(INDEX($D$4:$AD$4,BI$93),2)+2,7)))</f>
        <v>0</v>
      </c>
      <c r="BJ94" s="11">
        <f>IF(BJ$93=0,"",""&amp;_xlfn.ISOWEEKNUM(INDEX($D$4:$AD$4,BJ$93)-MOD(WEEKDAY(INDEX($D$4:$AD$4,BJ$93),2)+2,7)))</f>
        <v>0</v>
      </c>
      <c r="BK94" s="11">
        <f>IF(BK$93=0,"",""&amp;_xlfn.ISOWEEKNUM(INDEX($D$4:$AD$4,BK$93)-MOD(WEEKDAY(INDEX($D$4:$AD$4,BK$93),2)+2,7)))</f>
        <v>0</v>
      </c>
      <c r="BL94" s="11">
        <f>IF(BL$93=0,"",""&amp;_xlfn.ISOWEEKNUM(INDEX($D$4:$AD$4,BL$93)-MOD(WEEKDAY(INDEX($D$4:$AD$4,BL$93),2)+2,7)))</f>
        <v>0</v>
      </c>
      <c r="BM94" s="11">
        <f>IF(BM$93=0,"",""&amp;_xlfn.ISOWEEKNUM(INDEX($D$4:$AD$4,BM$93)-MOD(WEEKDAY(INDEX($D$4:$AD$4,BM$93),2)+2,7)))</f>
        <v>0</v>
      </c>
      <c r="BN94" s="11">
        <f>IF(BN$93=0,"",""&amp;_xlfn.ISOWEEKNUM(INDEX($D$4:$AD$4,BN$93)-MOD(WEEKDAY(INDEX($D$4:$AD$4,BN$93),2)+2,7)))</f>
        <v>0</v>
      </c>
      <c r="BO94" s="11">
        <f>IF(BO$93=0,"",""&amp;_xlfn.ISOWEEKNUM(INDEX($D$4:$AD$4,BO$93)-MOD(WEEKDAY(INDEX($D$4:$AD$4,BO$93),2)+2,7)))</f>
        <v>0</v>
      </c>
      <c r="BP94" s="11">
        <f>IF(BP$93=0,"",""&amp;_xlfn.ISOWEEKNUM(INDEX($D$4:$AD$4,BP$93)-MOD(WEEKDAY(INDEX($D$4:$AD$4,BP$93),2)+2,7)))</f>
        <v>0</v>
      </c>
    </row>
    <row r="95" spans="1:68">
      <c r="A95" s="11" t="s">
        <v>253</v>
      </c>
      <c r="B95" s="11" t="s">
        <v>254</v>
      </c>
      <c r="C95" s="3" t="str">
        <f>"Rohdaten Z. "&amp;ROW(Rohdaten!$A$79)</f>
        <v>Rohdaten Z. 79</v>
      </c>
      <c r="D95" s="5">
        <f>IFERROR(IF(ISNUMBER(INDEX(Rohdaten!$A$79:$LJ$79,MATCH(D$4,RD_Kopf,0))),INDEX(Rohdaten!$A$79:$LJ$79,MATCH(D$4,RD_Kopf,0)),NA()),NA())</f>
        <v>0</v>
      </c>
      <c r="E95" s="5">
        <f>IFERROR(IF(ISNUMBER(INDEX(Rohdaten!$A$79:$LJ$79,MATCH(E$4,RD_Kopf,0))),INDEX(Rohdaten!$A$79:$LJ$79,MATCH(E$4,RD_Kopf,0)),NA()),NA())</f>
        <v>0</v>
      </c>
      <c r="F95" s="5">
        <f>IFERROR(IF(ISNUMBER(INDEX(Rohdaten!$A$79:$LJ$79,MATCH(F$4,RD_Kopf,0))),INDEX(Rohdaten!$A$79:$LJ$79,MATCH(F$4,RD_Kopf,0)),NA()),NA())</f>
        <v>0</v>
      </c>
      <c r="G95" s="5">
        <f>IFERROR(IF(ISNUMBER(INDEX(Rohdaten!$A$79:$LJ$79,MATCH(G$4,RD_Kopf,0))),INDEX(Rohdaten!$A$79:$LJ$79,MATCH(G$4,RD_Kopf,0)),NA()),NA())</f>
        <v>0</v>
      </c>
      <c r="H95" s="5">
        <f>IFERROR(IF(ISNUMBER(INDEX(Rohdaten!$A$79:$LJ$79,MATCH(H$4,RD_Kopf,0))),INDEX(Rohdaten!$A$79:$LJ$79,MATCH(H$4,RD_Kopf,0)),NA()),NA())</f>
        <v>0</v>
      </c>
      <c r="I95" s="5">
        <f>IFERROR(IF(ISNUMBER(INDEX(Rohdaten!$A$79:$LJ$79,MATCH(I$4,RD_Kopf,0))),INDEX(Rohdaten!$A$79:$LJ$79,MATCH(I$4,RD_Kopf,0)),NA()),NA())</f>
        <v>0</v>
      </c>
      <c r="J95" s="5">
        <f>IFERROR(IF(ISNUMBER(INDEX(Rohdaten!$A$79:$LJ$79,MATCH(J$4,RD_Kopf,0))),INDEX(Rohdaten!$A$79:$LJ$79,MATCH(J$4,RD_Kopf,0)),NA()),NA())</f>
        <v>0</v>
      </c>
      <c r="K95" s="5">
        <f>IFERROR(IF(ISNUMBER(INDEX(Rohdaten!$A$79:$LJ$79,MATCH(K$4,RD_Kopf,0))),INDEX(Rohdaten!$A$79:$LJ$79,MATCH(K$4,RD_Kopf,0)),NA()),NA())</f>
        <v>0</v>
      </c>
      <c r="L95" s="5">
        <f>IFERROR(IF(ISNUMBER(INDEX(Rohdaten!$A$79:$LJ$79,MATCH(L$4,RD_Kopf,0))),INDEX(Rohdaten!$A$79:$LJ$79,MATCH(L$4,RD_Kopf,0)),NA()),NA())</f>
        <v>0</v>
      </c>
      <c r="M95" s="5">
        <f>IFERROR(IF(ISNUMBER(INDEX(Rohdaten!$A$79:$LJ$79,MATCH(M$4,RD_Kopf,0))),INDEX(Rohdaten!$A$79:$LJ$79,MATCH(M$4,RD_Kopf,0)),NA()),NA())</f>
        <v>0</v>
      </c>
      <c r="N95" s="5">
        <f>IFERROR(IF(ISNUMBER(INDEX(Rohdaten!$A$79:$LJ$79,MATCH(N$4,RD_Kopf,0))),INDEX(Rohdaten!$A$79:$LJ$79,MATCH(N$4,RD_Kopf,0)),NA()),NA())</f>
        <v>0</v>
      </c>
      <c r="O95" s="5">
        <f>IFERROR(IF(ISNUMBER(INDEX(Rohdaten!$A$79:$LJ$79,MATCH(O$4,RD_Kopf,0))),INDEX(Rohdaten!$A$79:$LJ$79,MATCH(O$4,RD_Kopf,0)),NA()),NA())</f>
        <v>0</v>
      </c>
      <c r="P95" s="5">
        <f>IFERROR(IF(ISNUMBER(INDEX(Rohdaten!$A$79:$LJ$79,MATCH(P$4,RD_Kopf,0))),INDEX(Rohdaten!$A$79:$LJ$79,MATCH(P$4,RD_Kopf,0)),NA()),NA())</f>
        <v>0</v>
      </c>
      <c r="Q95" s="5">
        <f>IFERROR(IF(ISNUMBER(INDEX(Rohdaten!$A$79:$LJ$79,MATCH(Q$4,RD_Kopf,0))),INDEX(Rohdaten!$A$79:$LJ$79,MATCH(Q$4,RD_Kopf,0)),NA()),NA())</f>
        <v>0</v>
      </c>
      <c r="R95" s="5">
        <f>IFERROR(IF(ISNUMBER(INDEX(Rohdaten!$A$79:$LJ$79,MATCH(R$4,RD_Kopf,0))),INDEX(Rohdaten!$A$79:$LJ$79,MATCH(R$4,RD_Kopf,0)),NA()),NA())</f>
        <v>0</v>
      </c>
      <c r="S95" s="5">
        <f>IFERROR(IF(ISNUMBER(INDEX(Rohdaten!$A$79:$LJ$79,MATCH(S$4,RD_Kopf,0))),INDEX(Rohdaten!$A$79:$LJ$79,MATCH(S$4,RD_Kopf,0)),NA()),NA())</f>
        <v>0</v>
      </c>
      <c r="T95" s="5">
        <f>IFERROR(IF(ISNUMBER(INDEX(Rohdaten!$A$79:$LJ$79,MATCH(T$4,RD_Kopf,0))),INDEX(Rohdaten!$A$79:$LJ$79,MATCH(T$4,RD_Kopf,0)),NA()),NA())</f>
        <v>0</v>
      </c>
      <c r="U95" s="5">
        <f>IFERROR(IF(ISNUMBER(INDEX(Rohdaten!$A$79:$LJ$79,MATCH(U$4,RD_Kopf,0))),INDEX(Rohdaten!$A$79:$LJ$79,MATCH(U$4,RD_Kopf,0)),NA()),NA())</f>
        <v>0</v>
      </c>
      <c r="V95" s="5">
        <f>IFERROR(IF(ISNUMBER(INDEX(Rohdaten!$A$79:$LJ$79,MATCH(V$4,RD_Kopf,0))),INDEX(Rohdaten!$A$79:$LJ$79,MATCH(V$4,RD_Kopf,0)),NA()),NA())</f>
        <v>0</v>
      </c>
      <c r="W95" s="5">
        <f>IFERROR(IF(ISNUMBER(INDEX(Rohdaten!$A$79:$LJ$79,MATCH(W$4,RD_Kopf,0))),INDEX(Rohdaten!$A$79:$LJ$79,MATCH(W$4,RD_Kopf,0)),NA()),NA())</f>
        <v>0</v>
      </c>
      <c r="X95" s="5">
        <f>IFERROR(IF(ISNUMBER(INDEX(Rohdaten!$A$79:$LJ$79,MATCH(X$4,RD_Kopf,0))),INDEX(Rohdaten!$A$79:$LJ$79,MATCH(X$4,RD_Kopf,0)),NA()),NA())</f>
        <v>0</v>
      </c>
      <c r="Y95" s="5">
        <f>IFERROR(IF(ISNUMBER(INDEX(Rohdaten!$A$79:$LJ$79,MATCH(Y$4,RD_Kopf,0))),INDEX(Rohdaten!$A$79:$LJ$79,MATCH(Y$4,RD_Kopf,0)),NA()),NA())</f>
        <v>0</v>
      </c>
      <c r="Z95" s="5">
        <f>IFERROR(IF(ISNUMBER(INDEX(Rohdaten!$A$79:$LJ$79,MATCH(Z$4,RD_Kopf,0))),INDEX(Rohdaten!$A$79:$LJ$79,MATCH(Z$4,RD_Kopf,0)),NA()),NA())</f>
        <v>0</v>
      </c>
      <c r="AA95" s="5">
        <f>IFERROR(IF(ISNUMBER(INDEX(Rohdaten!$A$79:$LJ$79,MATCH(AA$4,RD_Kopf,0))),INDEX(Rohdaten!$A$79:$LJ$79,MATCH(AA$4,RD_Kopf,0)),NA()),NA())</f>
        <v>0</v>
      </c>
      <c r="AB95" s="5">
        <f>IFERROR(IF(ISNUMBER(INDEX(Rohdaten!$A$79:$LJ$79,MATCH(AB$4,RD_Kopf,0))),INDEX(Rohdaten!$A$79:$LJ$79,MATCH(AB$4,RD_Kopf,0)),NA()),NA())</f>
        <v>0</v>
      </c>
      <c r="AC95" s="5">
        <f>IFERROR(IF(ISNUMBER(INDEX(Rohdaten!$A$79:$LJ$79,MATCH(AC$4,RD_Kopf,0))),INDEX(Rohdaten!$A$79:$LJ$79,MATCH(AC$4,RD_Kopf,0)),NA()),NA())</f>
        <v>0</v>
      </c>
      <c r="AD95" s="5">
        <f>IFERROR(IF(ISNUMBER(INDEX(Rohdaten!$A$79:$LJ$79,MATCH(AD$4,RD_Kopf,0))),INDEX(Rohdaten!$A$79:$LJ$79,MATCH(AD$4,RD_Kopf,0)),NA()),NA())</f>
        <v>0</v>
      </c>
    </row>
    <row r="96" spans="1:68">
      <c r="A96" s="11" t="s">
        <v>255</v>
      </c>
      <c r="B96" s="11" t="s">
        <v>256</v>
      </c>
      <c r="C96" s="3" t="str">
        <f>"Rohdaten Z. "&amp;ROW(Rohdaten!$A$80)</f>
        <v>Rohdaten Z. 80</v>
      </c>
      <c r="D96" s="5">
        <f>IFERROR(IF(ISNUMBER(INDEX(Rohdaten!$A$80:$LJ$80,MATCH(D$4,RD_Kopf,0))),INDEX(Rohdaten!$A$80:$LJ$80,MATCH(D$4,RD_Kopf,0)),NA()),NA())</f>
        <v>0</v>
      </c>
      <c r="E96" s="5">
        <f>IFERROR(IF(ISNUMBER(INDEX(Rohdaten!$A$80:$LJ$80,MATCH(E$4,RD_Kopf,0))),INDEX(Rohdaten!$A$80:$LJ$80,MATCH(E$4,RD_Kopf,0)),NA()),NA())</f>
        <v>0</v>
      </c>
      <c r="F96" s="5">
        <f>IFERROR(IF(ISNUMBER(INDEX(Rohdaten!$A$80:$LJ$80,MATCH(F$4,RD_Kopf,0))),INDEX(Rohdaten!$A$80:$LJ$80,MATCH(F$4,RD_Kopf,0)),NA()),NA())</f>
        <v>0</v>
      </c>
      <c r="G96" s="5">
        <f>IFERROR(IF(ISNUMBER(INDEX(Rohdaten!$A$80:$LJ$80,MATCH(G$4,RD_Kopf,0))),INDEX(Rohdaten!$A$80:$LJ$80,MATCH(G$4,RD_Kopf,0)),NA()),NA())</f>
        <v>0</v>
      </c>
      <c r="H96" s="5">
        <f>IFERROR(IF(ISNUMBER(INDEX(Rohdaten!$A$80:$LJ$80,MATCH(H$4,RD_Kopf,0))),INDEX(Rohdaten!$A$80:$LJ$80,MATCH(H$4,RD_Kopf,0)),NA()),NA())</f>
        <v>0</v>
      </c>
      <c r="I96" s="5">
        <f>IFERROR(IF(ISNUMBER(INDEX(Rohdaten!$A$80:$LJ$80,MATCH(I$4,RD_Kopf,0))),INDEX(Rohdaten!$A$80:$LJ$80,MATCH(I$4,RD_Kopf,0)),NA()),NA())</f>
        <v>0</v>
      </c>
      <c r="J96" s="5">
        <f>IFERROR(IF(ISNUMBER(INDEX(Rohdaten!$A$80:$LJ$80,MATCH(J$4,RD_Kopf,0))),INDEX(Rohdaten!$A$80:$LJ$80,MATCH(J$4,RD_Kopf,0)),NA()),NA())</f>
        <v>0</v>
      </c>
      <c r="K96" s="5">
        <f>IFERROR(IF(ISNUMBER(INDEX(Rohdaten!$A$80:$LJ$80,MATCH(K$4,RD_Kopf,0))),INDEX(Rohdaten!$A$80:$LJ$80,MATCH(K$4,RD_Kopf,0)),NA()),NA())</f>
        <v>0</v>
      </c>
      <c r="L96" s="5">
        <f>IFERROR(IF(ISNUMBER(INDEX(Rohdaten!$A$80:$LJ$80,MATCH(L$4,RD_Kopf,0))),INDEX(Rohdaten!$A$80:$LJ$80,MATCH(L$4,RD_Kopf,0)),NA()),NA())</f>
        <v>0</v>
      </c>
      <c r="M96" s="5">
        <f>IFERROR(IF(ISNUMBER(INDEX(Rohdaten!$A$80:$LJ$80,MATCH(M$4,RD_Kopf,0))),INDEX(Rohdaten!$A$80:$LJ$80,MATCH(M$4,RD_Kopf,0)),NA()),NA())</f>
        <v>0</v>
      </c>
      <c r="N96" s="5">
        <f>IFERROR(IF(ISNUMBER(INDEX(Rohdaten!$A$80:$LJ$80,MATCH(N$4,RD_Kopf,0))),INDEX(Rohdaten!$A$80:$LJ$80,MATCH(N$4,RD_Kopf,0)),NA()),NA())</f>
        <v>0</v>
      </c>
      <c r="O96" s="5">
        <f>IFERROR(IF(ISNUMBER(INDEX(Rohdaten!$A$80:$LJ$80,MATCH(O$4,RD_Kopf,0))),INDEX(Rohdaten!$A$80:$LJ$80,MATCH(O$4,RD_Kopf,0)),NA()),NA())</f>
        <v>0</v>
      </c>
      <c r="P96" s="5">
        <f>IFERROR(IF(ISNUMBER(INDEX(Rohdaten!$A$80:$LJ$80,MATCH(P$4,RD_Kopf,0))),INDEX(Rohdaten!$A$80:$LJ$80,MATCH(P$4,RD_Kopf,0)),NA()),NA())</f>
        <v>0</v>
      </c>
      <c r="Q96" s="5">
        <f>IFERROR(IF(ISNUMBER(INDEX(Rohdaten!$A$80:$LJ$80,MATCH(Q$4,RD_Kopf,0))),INDEX(Rohdaten!$A$80:$LJ$80,MATCH(Q$4,RD_Kopf,0)),NA()),NA())</f>
        <v>0</v>
      </c>
      <c r="R96" s="5">
        <f>IFERROR(IF(ISNUMBER(INDEX(Rohdaten!$A$80:$LJ$80,MATCH(R$4,RD_Kopf,0))),INDEX(Rohdaten!$A$80:$LJ$80,MATCH(R$4,RD_Kopf,0)),NA()),NA())</f>
        <v>0</v>
      </c>
      <c r="S96" s="5">
        <f>IFERROR(IF(ISNUMBER(INDEX(Rohdaten!$A$80:$LJ$80,MATCH(S$4,RD_Kopf,0))),INDEX(Rohdaten!$A$80:$LJ$80,MATCH(S$4,RD_Kopf,0)),NA()),NA())</f>
        <v>0</v>
      </c>
      <c r="T96" s="5">
        <f>IFERROR(IF(ISNUMBER(INDEX(Rohdaten!$A$80:$LJ$80,MATCH(T$4,RD_Kopf,0))),INDEX(Rohdaten!$A$80:$LJ$80,MATCH(T$4,RD_Kopf,0)),NA()),NA())</f>
        <v>0</v>
      </c>
      <c r="U96" s="5">
        <f>IFERROR(IF(ISNUMBER(INDEX(Rohdaten!$A$80:$LJ$80,MATCH(U$4,RD_Kopf,0))),INDEX(Rohdaten!$A$80:$LJ$80,MATCH(U$4,RD_Kopf,0)),NA()),NA())</f>
        <v>0</v>
      </c>
      <c r="V96" s="5">
        <f>IFERROR(IF(ISNUMBER(INDEX(Rohdaten!$A$80:$LJ$80,MATCH(V$4,RD_Kopf,0))),INDEX(Rohdaten!$A$80:$LJ$80,MATCH(V$4,RD_Kopf,0)),NA()),NA())</f>
        <v>0</v>
      </c>
      <c r="W96" s="5">
        <f>IFERROR(IF(ISNUMBER(INDEX(Rohdaten!$A$80:$LJ$80,MATCH(W$4,RD_Kopf,0))),INDEX(Rohdaten!$A$80:$LJ$80,MATCH(W$4,RD_Kopf,0)),NA()),NA())</f>
        <v>0</v>
      </c>
      <c r="X96" s="5">
        <f>IFERROR(IF(ISNUMBER(INDEX(Rohdaten!$A$80:$LJ$80,MATCH(X$4,RD_Kopf,0))),INDEX(Rohdaten!$A$80:$LJ$80,MATCH(X$4,RD_Kopf,0)),NA()),NA())</f>
        <v>0</v>
      </c>
      <c r="Y96" s="5">
        <f>IFERROR(IF(ISNUMBER(INDEX(Rohdaten!$A$80:$LJ$80,MATCH(Y$4,RD_Kopf,0))),INDEX(Rohdaten!$A$80:$LJ$80,MATCH(Y$4,RD_Kopf,0)),NA()),NA())</f>
        <v>0</v>
      </c>
      <c r="Z96" s="5">
        <f>IFERROR(IF(ISNUMBER(INDEX(Rohdaten!$A$80:$LJ$80,MATCH(Z$4,RD_Kopf,0))),INDEX(Rohdaten!$A$80:$LJ$80,MATCH(Z$4,RD_Kopf,0)),NA()),NA())</f>
        <v>0</v>
      </c>
      <c r="AA96" s="5">
        <f>IFERROR(IF(ISNUMBER(INDEX(Rohdaten!$A$80:$LJ$80,MATCH(AA$4,RD_Kopf,0))),INDEX(Rohdaten!$A$80:$LJ$80,MATCH(AA$4,RD_Kopf,0)),NA()),NA())</f>
        <v>0</v>
      </c>
      <c r="AB96" s="5">
        <f>IFERROR(IF(ISNUMBER(INDEX(Rohdaten!$A$80:$LJ$80,MATCH(AB$4,RD_Kopf,0))),INDEX(Rohdaten!$A$80:$LJ$80,MATCH(AB$4,RD_Kopf,0)),NA()),NA())</f>
        <v>0</v>
      </c>
      <c r="AC96" s="5">
        <f>IFERROR(IF(ISNUMBER(INDEX(Rohdaten!$A$80:$LJ$80,MATCH(AC$4,RD_Kopf,0))),INDEX(Rohdaten!$A$80:$LJ$80,MATCH(AC$4,RD_Kopf,0)),NA()),NA())</f>
        <v>0</v>
      </c>
      <c r="AD96" s="5">
        <f>IFERROR(IF(ISNUMBER(INDEX(Rohdaten!$A$80:$LJ$80,MATCH(AD$4,RD_Kopf,0))),INDEX(Rohdaten!$A$80:$LJ$80,MATCH(AD$4,RD_Kopf,0)),NA()),NA())</f>
        <v>0</v>
      </c>
    </row>
    <row r="97" spans="1:68">
      <c r="A97" s="11" t="s">
        <v>257</v>
      </c>
      <c r="B97" s="11" t="s">
        <v>258</v>
      </c>
      <c r="C97" s="3" t="str">
        <f>"Rohdaten Z. "&amp;ROW(Rohdaten!$A$81)</f>
        <v>Rohdaten Z. 81</v>
      </c>
      <c r="D97" s="5">
        <f>IFERROR(IF(ISNUMBER(INDEX(Rohdaten!$A$81:$LJ$81,MATCH(D$4,RD_Kopf,0))),INDEX(Rohdaten!$A$81:$LJ$81,MATCH(D$4,RD_Kopf,0)),NA()),NA())</f>
        <v>0</v>
      </c>
      <c r="E97" s="5">
        <f>IFERROR(IF(ISNUMBER(INDEX(Rohdaten!$A$81:$LJ$81,MATCH(E$4,RD_Kopf,0))),INDEX(Rohdaten!$A$81:$LJ$81,MATCH(E$4,RD_Kopf,0)),NA()),NA())</f>
        <v>0</v>
      </c>
      <c r="F97" s="5">
        <f>IFERROR(IF(ISNUMBER(INDEX(Rohdaten!$A$81:$LJ$81,MATCH(F$4,RD_Kopf,0))),INDEX(Rohdaten!$A$81:$LJ$81,MATCH(F$4,RD_Kopf,0)),NA()),NA())</f>
        <v>0</v>
      </c>
      <c r="G97" s="5">
        <f>IFERROR(IF(ISNUMBER(INDEX(Rohdaten!$A$81:$LJ$81,MATCH(G$4,RD_Kopf,0))),INDEX(Rohdaten!$A$81:$LJ$81,MATCH(G$4,RD_Kopf,0)),NA()),NA())</f>
        <v>0</v>
      </c>
      <c r="H97" s="5">
        <f>IFERROR(IF(ISNUMBER(INDEX(Rohdaten!$A$81:$LJ$81,MATCH(H$4,RD_Kopf,0))),INDEX(Rohdaten!$A$81:$LJ$81,MATCH(H$4,RD_Kopf,0)),NA()),NA())</f>
        <v>0</v>
      </c>
      <c r="I97" s="5">
        <f>IFERROR(IF(ISNUMBER(INDEX(Rohdaten!$A$81:$LJ$81,MATCH(I$4,RD_Kopf,0))),INDEX(Rohdaten!$A$81:$LJ$81,MATCH(I$4,RD_Kopf,0)),NA()),NA())</f>
        <v>0</v>
      </c>
      <c r="J97" s="5">
        <f>IFERROR(IF(ISNUMBER(INDEX(Rohdaten!$A$81:$LJ$81,MATCH(J$4,RD_Kopf,0))),INDEX(Rohdaten!$A$81:$LJ$81,MATCH(J$4,RD_Kopf,0)),NA()),NA())</f>
        <v>0</v>
      </c>
      <c r="K97" s="5">
        <f>IFERROR(IF(ISNUMBER(INDEX(Rohdaten!$A$81:$LJ$81,MATCH(K$4,RD_Kopf,0))),INDEX(Rohdaten!$A$81:$LJ$81,MATCH(K$4,RD_Kopf,0)),NA()),NA())</f>
        <v>0</v>
      </c>
      <c r="L97" s="5">
        <f>IFERROR(IF(ISNUMBER(INDEX(Rohdaten!$A$81:$LJ$81,MATCH(L$4,RD_Kopf,0))),INDEX(Rohdaten!$A$81:$LJ$81,MATCH(L$4,RD_Kopf,0)),NA()),NA())</f>
        <v>0</v>
      </c>
      <c r="M97" s="5">
        <f>IFERROR(IF(ISNUMBER(INDEX(Rohdaten!$A$81:$LJ$81,MATCH(M$4,RD_Kopf,0))),INDEX(Rohdaten!$A$81:$LJ$81,MATCH(M$4,RD_Kopf,0)),NA()),NA())</f>
        <v>0</v>
      </c>
      <c r="N97" s="5">
        <f>IFERROR(IF(ISNUMBER(INDEX(Rohdaten!$A$81:$LJ$81,MATCH(N$4,RD_Kopf,0))),INDEX(Rohdaten!$A$81:$LJ$81,MATCH(N$4,RD_Kopf,0)),NA()),NA())</f>
        <v>0</v>
      </c>
      <c r="O97" s="5">
        <f>IFERROR(IF(ISNUMBER(INDEX(Rohdaten!$A$81:$LJ$81,MATCH(O$4,RD_Kopf,0))),INDEX(Rohdaten!$A$81:$LJ$81,MATCH(O$4,RD_Kopf,0)),NA()),NA())</f>
        <v>0</v>
      </c>
      <c r="P97" s="5">
        <f>IFERROR(IF(ISNUMBER(INDEX(Rohdaten!$A$81:$LJ$81,MATCH(P$4,RD_Kopf,0))),INDEX(Rohdaten!$A$81:$LJ$81,MATCH(P$4,RD_Kopf,0)),NA()),NA())</f>
        <v>0</v>
      </c>
      <c r="Q97" s="5">
        <f>IFERROR(IF(ISNUMBER(INDEX(Rohdaten!$A$81:$LJ$81,MATCH(Q$4,RD_Kopf,0))),INDEX(Rohdaten!$A$81:$LJ$81,MATCH(Q$4,RD_Kopf,0)),NA()),NA())</f>
        <v>0</v>
      </c>
      <c r="R97" s="5">
        <f>IFERROR(IF(ISNUMBER(INDEX(Rohdaten!$A$81:$LJ$81,MATCH(R$4,RD_Kopf,0))),INDEX(Rohdaten!$A$81:$LJ$81,MATCH(R$4,RD_Kopf,0)),NA()),NA())</f>
        <v>0</v>
      </c>
      <c r="S97" s="5">
        <f>IFERROR(IF(ISNUMBER(INDEX(Rohdaten!$A$81:$LJ$81,MATCH(S$4,RD_Kopf,0))),INDEX(Rohdaten!$A$81:$LJ$81,MATCH(S$4,RD_Kopf,0)),NA()),NA())</f>
        <v>0</v>
      </c>
      <c r="T97" s="5">
        <f>IFERROR(IF(ISNUMBER(INDEX(Rohdaten!$A$81:$LJ$81,MATCH(T$4,RD_Kopf,0))),INDEX(Rohdaten!$A$81:$LJ$81,MATCH(T$4,RD_Kopf,0)),NA()),NA())</f>
        <v>0</v>
      </c>
      <c r="U97" s="5">
        <f>IFERROR(IF(ISNUMBER(INDEX(Rohdaten!$A$81:$LJ$81,MATCH(U$4,RD_Kopf,0))),INDEX(Rohdaten!$A$81:$LJ$81,MATCH(U$4,RD_Kopf,0)),NA()),NA())</f>
        <v>0</v>
      </c>
      <c r="V97" s="5">
        <f>IFERROR(IF(ISNUMBER(INDEX(Rohdaten!$A$81:$LJ$81,MATCH(V$4,RD_Kopf,0))),INDEX(Rohdaten!$A$81:$LJ$81,MATCH(V$4,RD_Kopf,0)),NA()),NA())</f>
        <v>0</v>
      </c>
      <c r="W97" s="5">
        <f>IFERROR(IF(ISNUMBER(INDEX(Rohdaten!$A$81:$LJ$81,MATCH(W$4,RD_Kopf,0))),INDEX(Rohdaten!$A$81:$LJ$81,MATCH(W$4,RD_Kopf,0)),NA()),NA())</f>
        <v>0</v>
      </c>
      <c r="X97" s="5">
        <f>IFERROR(IF(ISNUMBER(INDEX(Rohdaten!$A$81:$LJ$81,MATCH(X$4,RD_Kopf,0))),INDEX(Rohdaten!$A$81:$LJ$81,MATCH(X$4,RD_Kopf,0)),NA()),NA())</f>
        <v>0</v>
      </c>
      <c r="Y97" s="5">
        <f>IFERROR(IF(ISNUMBER(INDEX(Rohdaten!$A$81:$LJ$81,MATCH(Y$4,RD_Kopf,0))),INDEX(Rohdaten!$A$81:$LJ$81,MATCH(Y$4,RD_Kopf,0)),NA()),NA())</f>
        <v>0</v>
      </c>
      <c r="Z97" s="5">
        <f>IFERROR(IF(ISNUMBER(INDEX(Rohdaten!$A$81:$LJ$81,MATCH(Z$4,RD_Kopf,0))),INDEX(Rohdaten!$A$81:$LJ$81,MATCH(Z$4,RD_Kopf,0)),NA()),NA())</f>
        <v>0</v>
      </c>
      <c r="AA97" s="5">
        <f>IFERROR(IF(ISNUMBER(INDEX(Rohdaten!$A$81:$LJ$81,MATCH(AA$4,RD_Kopf,0))),INDEX(Rohdaten!$A$81:$LJ$81,MATCH(AA$4,RD_Kopf,0)),NA()),NA())</f>
        <v>0</v>
      </c>
      <c r="AB97" s="5">
        <f>IFERROR(IF(ISNUMBER(INDEX(Rohdaten!$A$81:$LJ$81,MATCH(AB$4,RD_Kopf,0))),INDEX(Rohdaten!$A$81:$LJ$81,MATCH(AB$4,RD_Kopf,0)),NA()),NA())</f>
        <v>0</v>
      </c>
      <c r="AC97" s="5">
        <f>IFERROR(IF(ISNUMBER(INDEX(Rohdaten!$A$81:$LJ$81,MATCH(AC$4,RD_Kopf,0))),INDEX(Rohdaten!$A$81:$LJ$81,MATCH(AC$4,RD_Kopf,0)),NA()),NA())</f>
        <v>0</v>
      </c>
      <c r="AD97" s="5">
        <f>IFERROR(IF(ISNUMBER(INDEX(Rohdaten!$A$81:$LJ$81,MATCH(AD$4,RD_Kopf,0))),INDEX(Rohdaten!$A$81:$LJ$81,MATCH(AD$4,RD_Kopf,0)),NA()),NA())</f>
        <v>0</v>
      </c>
    </row>
    <row r="98" spans="1:68">
      <c r="A98" s="11" t="s">
        <v>259</v>
      </c>
      <c r="B98" s="11" t="s">
        <v>260</v>
      </c>
      <c r="C98" s="3" t="str">
        <f>"Rohdaten Z. "&amp;ROW(Rohdaten!$A$82)</f>
        <v>Rohdaten Z. 82</v>
      </c>
      <c r="D98" s="5">
        <f>IFERROR(IF(ISNUMBER(INDEX(Rohdaten!$A$82:$LJ$82,MATCH(D$4,RD_Kopf,0))),INDEX(Rohdaten!$A$82:$LJ$82,MATCH(D$4,RD_Kopf,0)),NA()),NA())</f>
        <v>0</v>
      </c>
      <c r="E98" s="5">
        <f>IFERROR(IF(ISNUMBER(INDEX(Rohdaten!$A$82:$LJ$82,MATCH(E$4,RD_Kopf,0))),INDEX(Rohdaten!$A$82:$LJ$82,MATCH(E$4,RD_Kopf,0)),NA()),NA())</f>
        <v>0</v>
      </c>
      <c r="F98" s="5">
        <f>IFERROR(IF(ISNUMBER(INDEX(Rohdaten!$A$82:$LJ$82,MATCH(F$4,RD_Kopf,0))),INDEX(Rohdaten!$A$82:$LJ$82,MATCH(F$4,RD_Kopf,0)),NA()),NA())</f>
        <v>0</v>
      </c>
      <c r="G98" s="5">
        <f>IFERROR(IF(ISNUMBER(INDEX(Rohdaten!$A$82:$LJ$82,MATCH(G$4,RD_Kopf,0))),INDEX(Rohdaten!$A$82:$LJ$82,MATCH(G$4,RD_Kopf,0)),NA()),NA())</f>
        <v>0</v>
      </c>
      <c r="H98" s="5">
        <f>IFERROR(IF(ISNUMBER(INDEX(Rohdaten!$A$82:$LJ$82,MATCH(H$4,RD_Kopf,0))),INDEX(Rohdaten!$A$82:$LJ$82,MATCH(H$4,RD_Kopf,0)),NA()),NA())</f>
        <v>0</v>
      </c>
      <c r="I98" s="5">
        <f>IFERROR(IF(ISNUMBER(INDEX(Rohdaten!$A$82:$LJ$82,MATCH(I$4,RD_Kopf,0))),INDEX(Rohdaten!$A$82:$LJ$82,MATCH(I$4,RD_Kopf,0)),NA()),NA())</f>
        <v>0</v>
      </c>
      <c r="J98" s="5">
        <f>IFERROR(IF(ISNUMBER(INDEX(Rohdaten!$A$82:$LJ$82,MATCH(J$4,RD_Kopf,0))),INDEX(Rohdaten!$A$82:$LJ$82,MATCH(J$4,RD_Kopf,0)),NA()),NA())</f>
        <v>0</v>
      </c>
      <c r="K98" s="5">
        <f>IFERROR(IF(ISNUMBER(INDEX(Rohdaten!$A$82:$LJ$82,MATCH(K$4,RD_Kopf,0))),INDEX(Rohdaten!$A$82:$LJ$82,MATCH(K$4,RD_Kopf,0)),NA()),NA())</f>
        <v>0</v>
      </c>
      <c r="L98" s="5">
        <f>IFERROR(IF(ISNUMBER(INDEX(Rohdaten!$A$82:$LJ$82,MATCH(L$4,RD_Kopf,0))),INDEX(Rohdaten!$A$82:$LJ$82,MATCH(L$4,RD_Kopf,0)),NA()),NA())</f>
        <v>0</v>
      </c>
      <c r="M98" s="5">
        <f>IFERROR(IF(ISNUMBER(INDEX(Rohdaten!$A$82:$LJ$82,MATCH(M$4,RD_Kopf,0))),INDEX(Rohdaten!$A$82:$LJ$82,MATCH(M$4,RD_Kopf,0)),NA()),NA())</f>
        <v>0</v>
      </c>
      <c r="N98" s="5">
        <f>IFERROR(IF(ISNUMBER(INDEX(Rohdaten!$A$82:$LJ$82,MATCH(N$4,RD_Kopf,0))),INDEX(Rohdaten!$A$82:$LJ$82,MATCH(N$4,RD_Kopf,0)),NA()),NA())</f>
        <v>0</v>
      </c>
      <c r="O98" s="5">
        <f>IFERROR(IF(ISNUMBER(INDEX(Rohdaten!$A$82:$LJ$82,MATCH(O$4,RD_Kopf,0))),INDEX(Rohdaten!$A$82:$LJ$82,MATCH(O$4,RD_Kopf,0)),NA()),NA())</f>
        <v>0</v>
      </c>
      <c r="P98" s="5">
        <f>IFERROR(IF(ISNUMBER(INDEX(Rohdaten!$A$82:$LJ$82,MATCH(P$4,RD_Kopf,0))),INDEX(Rohdaten!$A$82:$LJ$82,MATCH(P$4,RD_Kopf,0)),NA()),NA())</f>
        <v>0</v>
      </c>
      <c r="Q98" s="5">
        <f>IFERROR(IF(ISNUMBER(INDEX(Rohdaten!$A$82:$LJ$82,MATCH(Q$4,RD_Kopf,0))),INDEX(Rohdaten!$A$82:$LJ$82,MATCH(Q$4,RD_Kopf,0)),NA()),NA())</f>
        <v>0</v>
      </c>
      <c r="R98" s="5">
        <f>IFERROR(IF(ISNUMBER(INDEX(Rohdaten!$A$82:$LJ$82,MATCH(R$4,RD_Kopf,0))),INDEX(Rohdaten!$A$82:$LJ$82,MATCH(R$4,RD_Kopf,0)),NA()),NA())</f>
        <v>0</v>
      </c>
      <c r="S98" s="5">
        <f>IFERROR(IF(ISNUMBER(INDEX(Rohdaten!$A$82:$LJ$82,MATCH(S$4,RD_Kopf,0))),INDEX(Rohdaten!$A$82:$LJ$82,MATCH(S$4,RD_Kopf,0)),NA()),NA())</f>
        <v>0</v>
      </c>
      <c r="T98" s="5">
        <f>IFERROR(IF(ISNUMBER(INDEX(Rohdaten!$A$82:$LJ$82,MATCH(T$4,RD_Kopf,0))),INDEX(Rohdaten!$A$82:$LJ$82,MATCH(T$4,RD_Kopf,0)),NA()),NA())</f>
        <v>0</v>
      </c>
      <c r="U98" s="5">
        <f>IFERROR(IF(ISNUMBER(INDEX(Rohdaten!$A$82:$LJ$82,MATCH(U$4,RD_Kopf,0))),INDEX(Rohdaten!$A$82:$LJ$82,MATCH(U$4,RD_Kopf,0)),NA()),NA())</f>
        <v>0</v>
      </c>
      <c r="V98" s="5">
        <f>IFERROR(IF(ISNUMBER(INDEX(Rohdaten!$A$82:$LJ$82,MATCH(V$4,RD_Kopf,0))),INDEX(Rohdaten!$A$82:$LJ$82,MATCH(V$4,RD_Kopf,0)),NA()),NA())</f>
        <v>0</v>
      </c>
      <c r="W98" s="5">
        <f>IFERROR(IF(ISNUMBER(INDEX(Rohdaten!$A$82:$LJ$82,MATCH(W$4,RD_Kopf,0))),INDEX(Rohdaten!$A$82:$LJ$82,MATCH(W$4,RD_Kopf,0)),NA()),NA())</f>
        <v>0</v>
      </c>
      <c r="X98" s="5">
        <f>IFERROR(IF(ISNUMBER(INDEX(Rohdaten!$A$82:$LJ$82,MATCH(X$4,RD_Kopf,0))),INDEX(Rohdaten!$A$82:$LJ$82,MATCH(X$4,RD_Kopf,0)),NA()),NA())</f>
        <v>0</v>
      </c>
      <c r="Y98" s="5">
        <f>IFERROR(IF(ISNUMBER(INDEX(Rohdaten!$A$82:$LJ$82,MATCH(Y$4,RD_Kopf,0))),INDEX(Rohdaten!$A$82:$LJ$82,MATCH(Y$4,RD_Kopf,0)),NA()),NA())</f>
        <v>0</v>
      </c>
      <c r="Z98" s="5">
        <f>IFERROR(IF(ISNUMBER(INDEX(Rohdaten!$A$82:$LJ$82,MATCH(Z$4,RD_Kopf,0))),INDEX(Rohdaten!$A$82:$LJ$82,MATCH(Z$4,RD_Kopf,0)),NA()),NA())</f>
        <v>0</v>
      </c>
      <c r="AA98" s="5">
        <f>IFERROR(IF(ISNUMBER(INDEX(Rohdaten!$A$82:$LJ$82,MATCH(AA$4,RD_Kopf,0))),INDEX(Rohdaten!$A$82:$LJ$82,MATCH(AA$4,RD_Kopf,0)),NA()),NA())</f>
        <v>0</v>
      </c>
      <c r="AB98" s="5">
        <f>IFERROR(IF(ISNUMBER(INDEX(Rohdaten!$A$82:$LJ$82,MATCH(AB$4,RD_Kopf,0))),INDEX(Rohdaten!$A$82:$LJ$82,MATCH(AB$4,RD_Kopf,0)),NA()),NA())</f>
        <v>0</v>
      </c>
      <c r="AC98" s="5">
        <f>IFERROR(IF(ISNUMBER(INDEX(Rohdaten!$A$82:$LJ$82,MATCH(AC$4,RD_Kopf,0))),INDEX(Rohdaten!$A$82:$LJ$82,MATCH(AC$4,RD_Kopf,0)),NA()),NA())</f>
        <v>0</v>
      </c>
      <c r="AD98" s="5">
        <f>IFERROR(IF(ISNUMBER(INDEX(Rohdaten!$A$82:$LJ$82,MATCH(AD$4,RD_Kopf,0))),INDEX(Rohdaten!$A$82:$LJ$82,MATCH(AD$4,RD_Kopf,0)),NA()),NA())</f>
        <v>0</v>
      </c>
    </row>
    <row r="99" spans="1:68">
      <c r="A99" s="11" t="s">
        <v>261</v>
      </c>
      <c r="B99" s="11" t="s">
        <v>262</v>
      </c>
      <c r="C99" s="3" t="str">
        <f>"Rohdaten Z. "&amp;ROW(Rohdaten!$A$84)</f>
        <v>Rohdaten Z. 84</v>
      </c>
      <c r="D99" s="5">
        <f>IFERROR(IF(ISNUMBER(INDEX(Rohdaten!$A$84:$LJ$84,MATCH(D$4,RD_Kopf,0))),INDEX(Rohdaten!$A$84:$LJ$84,MATCH(D$4,RD_Kopf,0)),NA()),NA())</f>
        <v>0</v>
      </c>
      <c r="E99" s="5">
        <f>IFERROR(IF(ISNUMBER(INDEX(Rohdaten!$A$84:$LJ$84,MATCH(E$4,RD_Kopf,0))),INDEX(Rohdaten!$A$84:$LJ$84,MATCH(E$4,RD_Kopf,0)),NA()),NA())</f>
        <v>0</v>
      </c>
      <c r="F99" s="5">
        <f>IFERROR(IF(ISNUMBER(INDEX(Rohdaten!$A$84:$LJ$84,MATCH(F$4,RD_Kopf,0))),INDEX(Rohdaten!$A$84:$LJ$84,MATCH(F$4,RD_Kopf,0)),NA()),NA())</f>
        <v>0</v>
      </c>
      <c r="G99" s="5">
        <f>IFERROR(IF(ISNUMBER(INDEX(Rohdaten!$A$84:$LJ$84,MATCH(G$4,RD_Kopf,0))),INDEX(Rohdaten!$A$84:$LJ$84,MATCH(G$4,RD_Kopf,0)),NA()),NA())</f>
        <v>0</v>
      </c>
      <c r="H99" s="5">
        <f>IFERROR(IF(ISNUMBER(INDEX(Rohdaten!$A$84:$LJ$84,MATCH(H$4,RD_Kopf,0))),INDEX(Rohdaten!$A$84:$LJ$84,MATCH(H$4,RD_Kopf,0)),NA()),NA())</f>
        <v>0</v>
      </c>
      <c r="I99" s="5">
        <f>IFERROR(IF(ISNUMBER(INDEX(Rohdaten!$A$84:$LJ$84,MATCH(I$4,RD_Kopf,0))),INDEX(Rohdaten!$A$84:$LJ$84,MATCH(I$4,RD_Kopf,0)),NA()),NA())</f>
        <v>0</v>
      </c>
      <c r="J99" s="5">
        <f>IFERROR(IF(ISNUMBER(INDEX(Rohdaten!$A$84:$LJ$84,MATCH(J$4,RD_Kopf,0))),INDEX(Rohdaten!$A$84:$LJ$84,MATCH(J$4,RD_Kopf,0)),NA()),NA())</f>
        <v>0</v>
      </c>
      <c r="K99" s="5">
        <f>IFERROR(IF(ISNUMBER(INDEX(Rohdaten!$A$84:$LJ$84,MATCH(K$4,RD_Kopf,0))),INDEX(Rohdaten!$A$84:$LJ$84,MATCH(K$4,RD_Kopf,0)),NA()),NA())</f>
        <v>0</v>
      </c>
      <c r="L99" s="5">
        <f>IFERROR(IF(ISNUMBER(INDEX(Rohdaten!$A$84:$LJ$84,MATCH(L$4,RD_Kopf,0))),INDEX(Rohdaten!$A$84:$LJ$84,MATCH(L$4,RD_Kopf,0)),NA()),NA())</f>
        <v>0</v>
      </c>
      <c r="M99" s="5">
        <f>IFERROR(IF(ISNUMBER(INDEX(Rohdaten!$A$84:$LJ$84,MATCH(M$4,RD_Kopf,0))),INDEX(Rohdaten!$A$84:$LJ$84,MATCH(M$4,RD_Kopf,0)),NA()),NA())</f>
        <v>0</v>
      </c>
      <c r="N99" s="5">
        <f>IFERROR(IF(ISNUMBER(INDEX(Rohdaten!$A$84:$LJ$84,MATCH(N$4,RD_Kopf,0))),INDEX(Rohdaten!$A$84:$LJ$84,MATCH(N$4,RD_Kopf,0)),NA()),NA())</f>
        <v>0</v>
      </c>
      <c r="O99" s="5">
        <f>IFERROR(IF(ISNUMBER(INDEX(Rohdaten!$A$84:$LJ$84,MATCH(O$4,RD_Kopf,0))),INDEX(Rohdaten!$A$84:$LJ$84,MATCH(O$4,RD_Kopf,0)),NA()),NA())</f>
        <v>0</v>
      </c>
      <c r="P99" s="5">
        <f>IFERROR(IF(ISNUMBER(INDEX(Rohdaten!$A$84:$LJ$84,MATCH(P$4,RD_Kopf,0))),INDEX(Rohdaten!$A$84:$LJ$84,MATCH(P$4,RD_Kopf,0)),NA()),NA())</f>
        <v>0</v>
      </c>
      <c r="Q99" s="5">
        <f>IFERROR(IF(ISNUMBER(INDEX(Rohdaten!$A$84:$LJ$84,MATCH(Q$4,RD_Kopf,0))),INDEX(Rohdaten!$A$84:$LJ$84,MATCH(Q$4,RD_Kopf,0)),NA()),NA())</f>
        <v>0</v>
      </c>
      <c r="R99" s="5">
        <f>IFERROR(IF(ISNUMBER(INDEX(Rohdaten!$A$84:$LJ$84,MATCH(R$4,RD_Kopf,0))),INDEX(Rohdaten!$A$84:$LJ$84,MATCH(R$4,RD_Kopf,0)),NA()),NA())</f>
        <v>0</v>
      </c>
      <c r="S99" s="5">
        <f>IFERROR(IF(ISNUMBER(INDEX(Rohdaten!$A$84:$LJ$84,MATCH(S$4,RD_Kopf,0))),INDEX(Rohdaten!$A$84:$LJ$84,MATCH(S$4,RD_Kopf,0)),NA()),NA())</f>
        <v>0</v>
      </c>
      <c r="T99" s="5">
        <f>IFERROR(IF(ISNUMBER(INDEX(Rohdaten!$A$84:$LJ$84,MATCH(T$4,RD_Kopf,0))),INDEX(Rohdaten!$A$84:$LJ$84,MATCH(T$4,RD_Kopf,0)),NA()),NA())</f>
        <v>0</v>
      </c>
      <c r="U99" s="5">
        <f>IFERROR(IF(ISNUMBER(INDEX(Rohdaten!$A$84:$LJ$84,MATCH(U$4,RD_Kopf,0))),INDEX(Rohdaten!$A$84:$LJ$84,MATCH(U$4,RD_Kopf,0)),NA()),NA())</f>
        <v>0</v>
      </c>
      <c r="V99" s="5">
        <f>IFERROR(IF(ISNUMBER(INDEX(Rohdaten!$A$84:$LJ$84,MATCH(V$4,RD_Kopf,0))),INDEX(Rohdaten!$A$84:$LJ$84,MATCH(V$4,RD_Kopf,0)),NA()),NA())</f>
        <v>0</v>
      </c>
      <c r="W99" s="5">
        <f>IFERROR(IF(ISNUMBER(INDEX(Rohdaten!$A$84:$LJ$84,MATCH(W$4,RD_Kopf,0))),INDEX(Rohdaten!$A$84:$LJ$84,MATCH(W$4,RD_Kopf,0)),NA()),NA())</f>
        <v>0</v>
      </c>
      <c r="X99" s="5">
        <f>IFERROR(IF(ISNUMBER(INDEX(Rohdaten!$A$84:$LJ$84,MATCH(X$4,RD_Kopf,0))),INDEX(Rohdaten!$A$84:$LJ$84,MATCH(X$4,RD_Kopf,0)),NA()),NA())</f>
        <v>0</v>
      </c>
      <c r="Y99" s="5">
        <f>IFERROR(IF(ISNUMBER(INDEX(Rohdaten!$A$84:$LJ$84,MATCH(Y$4,RD_Kopf,0))),INDEX(Rohdaten!$A$84:$LJ$84,MATCH(Y$4,RD_Kopf,0)),NA()),NA())</f>
        <v>0</v>
      </c>
      <c r="Z99" s="5">
        <f>IFERROR(IF(ISNUMBER(INDEX(Rohdaten!$A$84:$LJ$84,MATCH(Z$4,RD_Kopf,0))),INDEX(Rohdaten!$A$84:$LJ$84,MATCH(Z$4,RD_Kopf,0)),NA()),NA())</f>
        <v>0</v>
      </c>
      <c r="AA99" s="5">
        <f>IFERROR(IF(ISNUMBER(INDEX(Rohdaten!$A$84:$LJ$84,MATCH(AA$4,RD_Kopf,0))),INDEX(Rohdaten!$A$84:$LJ$84,MATCH(AA$4,RD_Kopf,0)),NA()),NA())</f>
        <v>0</v>
      </c>
      <c r="AB99" s="5">
        <f>IFERROR(IF(ISNUMBER(INDEX(Rohdaten!$A$84:$LJ$84,MATCH(AB$4,RD_Kopf,0))),INDEX(Rohdaten!$A$84:$LJ$84,MATCH(AB$4,RD_Kopf,0)),NA()),NA())</f>
        <v>0</v>
      </c>
      <c r="AC99" s="5">
        <f>IFERROR(IF(ISNUMBER(INDEX(Rohdaten!$A$84:$LJ$84,MATCH(AC$4,RD_Kopf,0))),INDEX(Rohdaten!$A$84:$LJ$84,MATCH(AC$4,RD_Kopf,0)),NA()),NA())</f>
        <v>0</v>
      </c>
      <c r="AD99" s="5">
        <f>IFERROR(IF(ISNUMBER(INDEX(Rohdaten!$A$84:$LJ$84,MATCH(AD$4,RD_Kopf,0))),INDEX(Rohdaten!$A$84:$LJ$84,MATCH(AD$4,RD_Kopf,0)),NA()),NA())</f>
        <v>0</v>
      </c>
    </row>
    <row r="100" spans="1:68">
      <c r="A100" s="11" t="s">
        <v>263</v>
      </c>
      <c r="B100" s="11" t="s">
        <v>264</v>
      </c>
      <c r="C100" s="3" t="str">
        <f>"Rohdaten Z. "&amp;ROW(Rohdaten!$A$88)</f>
        <v>Rohdaten Z. 88</v>
      </c>
      <c r="D100" s="5">
        <f>IFERROR(IF(ISNUMBER(INDEX(Rohdaten!$A$88:$LJ$88,MATCH(D$4,RD_Kopf,0))),INDEX(Rohdaten!$A$88:$LJ$88,MATCH(D$4,RD_Kopf,0)),NA()),NA())</f>
        <v>0</v>
      </c>
      <c r="E100" s="5">
        <f>IFERROR(IF(ISNUMBER(INDEX(Rohdaten!$A$88:$LJ$88,MATCH(E$4,RD_Kopf,0))),INDEX(Rohdaten!$A$88:$LJ$88,MATCH(E$4,RD_Kopf,0)),NA()),NA())</f>
        <v>0</v>
      </c>
      <c r="F100" s="5">
        <f>IFERROR(IF(ISNUMBER(INDEX(Rohdaten!$A$88:$LJ$88,MATCH(F$4,RD_Kopf,0))),INDEX(Rohdaten!$A$88:$LJ$88,MATCH(F$4,RD_Kopf,0)),NA()),NA())</f>
        <v>0</v>
      </c>
      <c r="G100" s="5">
        <f>IFERROR(IF(ISNUMBER(INDEX(Rohdaten!$A$88:$LJ$88,MATCH(G$4,RD_Kopf,0))),INDEX(Rohdaten!$A$88:$LJ$88,MATCH(G$4,RD_Kopf,0)),NA()),NA())</f>
        <v>0</v>
      </c>
      <c r="H100" s="5">
        <f>IFERROR(IF(ISNUMBER(INDEX(Rohdaten!$A$88:$LJ$88,MATCH(H$4,RD_Kopf,0))),INDEX(Rohdaten!$A$88:$LJ$88,MATCH(H$4,RD_Kopf,0)),NA()),NA())</f>
        <v>0</v>
      </c>
      <c r="I100" s="5">
        <f>IFERROR(IF(ISNUMBER(INDEX(Rohdaten!$A$88:$LJ$88,MATCH(I$4,RD_Kopf,0))),INDEX(Rohdaten!$A$88:$LJ$88,MATCH(I$4,RD_Kopf,0)),NA()),NA())</f>
        <v>0</v>
      </c>
      <c r="J100" s="5">
        <f>IFERROR(IF(ISNUMBER(INDEX(Rohdaten!$A$88:$LJ$88,MATCH(J$4,RD_Kopf,0))),INDEX(Rohdaten!$A$88:$LJ$88,MATCH(J$4,RD_Kopf,0)),NA()),NA())</f>
        <v>0</v>
      </c>
      <c r="K100" s="5">
        <f>IFERROR(IF(ISNUMBER(INDEX(Rohdaten!$A$88:$LJ$88,MATCH(K$4,RD_Kopf,0))),INDEX(Rohdaten!$A$88:$LJ$88,MATCH(K$4,RD_Kopf,0)),NA()),NA())</f>
        <v>0</v>
      </c>
      <c r="L100" s="5">
        <f>IFERROR(IF(ISNUMBER(INDEX(Rohdaten!$A$88:$LJ$88,MATCH(L$4,RD_Kopf,0))),INDEX(Rohdaten!$A$88:$LJ$88,MATCH(L$4,RD_Kopf,0)),NA()),NA())</f>
        <v>0</v>
      </c>
      <c r="M100" s="5">
        <f>IFERROR(IF(ISNUMBER(INDEX(Rohdaten!$A$88:$LJ$88,MATCH(M$4,RD_Kopf,0))),INDEX(Rohdaten!$A$88:$LJ$88,MATCH(M$4,RD_Kopf,0)),NA()),NA())</f>
        <v>0</v>
      </c>
      <c r="N100" s="5">
        <f>IFERROR(IF(ISNUMBER(INDEX(Rohdaten!$A$88:$LJ$88,MATCH(N$4,RD_Kopf,0))),INDEX(Rohdaten!$A$88:$LJ$88,MATCH(N$4,RD_Kopf,0)),NA()),NA())</f>
        <v>0</v>
      </c>
      <c r="O100" s="5">
        <f>IFERROR(IF(ISNUMBER(INDEX(Rohdaten!$A$88:$LJ$88,MATCH(O$4,RD_Kopf,0))),INDEX(Rohdaten!$A$88:$LJ$88,MATCH(O$4,RD_Kopf,0)),NA()),NA())</f>
        <v>0</v>
      </c>
      <c r="P100" s="5">
        <f>IFERROR(IF(ISNUMBER(INDEX(Rohdaten!$A$88:$LJ$88,MATCH(P$4,RD_Kopf,0))),INDEX(Rohdaten!$A$88:$LJ$88,MATCH(P$4,RD_Kopf,0)),NA()),NA())</f>
        <v>0</v>
      </c>
      <c r="Q100" s="5">
        <f>IFERROR(IF(ISNUMBER(INDEX(Rohdaten!$A$88:$LJ$88,MATCH(Q$4,RD_Kopf,0))),INDEX(Rohdaten!$A$88:$LJ$88,MATCH(Q$4,RD_Kopf,0)),NA()),NA())</f>
        <v>0</v>
      </c>
      <c r="R100" s="5">
        <f>IFERROR(IF(ISNUMBER(INDEX(Rohdaten!$A$88:$LJ$88,MATCH(R$4,RD_Kopf,0))),INDEX(Rohdaten!$A$88:$LJ$88,MATCH(R$4,RD_Kopf,0)),NA()),NA())</f>
        <v>0</v>
      </c>
      <c r="S100" s="5">
        <f>IFERROR(IF(ISNUMBER(INDEX(Rohdaten!$A$88:$LJ$88,MATCH(S$4,RD_Kopf,0))),INDEX(Rohdaten!$A$88:$LJ$88,MATCH(S$4,RD_Kopf,0)),NA()),NA())</f>
        <v>0</v>
      </c>
      <c r="T100" s="5">
        <f>IFERROR(IF(ISNUMBER(INDEX(Rohdaten!$A$88:$LJ$88,MATCH(T$4,RD_Kopf,0))),INDEX(Rohdaten!$A$88:$LJ$88,MATCH(T$4,RD_Kopf,0)),NA()),NA())</f>
        <v>0</v>
      </c>
      <c r="U100" s="5">
        <f>IFERROR(IF(ISNUMBER(INDEX(Rohdaten!$A$88:$LJ$88,MATCH(U$4,RD_Kopf,0))),INDEX(Rohdaten!$A$88:$LJ$88,MATCH(U$4,RD_Kopf,0)),NA()),NA())</f>
        <v>0</v>
      </c>
      <c r="V100" s="5">
        <f>IFERROR(IF(ISNUMBER(INDEX(Rohdaten!$A$88:$LJ$88,MATCH(V$4,RD_Kopf,0))),INDEX(Rohdaten!$A$88:$LJ$88,MATCH(V$4,RD_Kopf,0)),NA()),NA())</f>
        <v>0</v>
      </c>
      <c r="W100" s="5">
        <f>IFERROR(IF(ISNUMBER(INDEX(Rohdaten!$A$88:$LJ$88,MATCH(W$4,RD_Kopf,0))),INDEX(Rohdaten!$A$88:$LJ$88,MATCH(W$4,RD_Kopf,0)),NA()),NA())</f>
        <v>0</v>
      </c>
      <c r="X100" s="5">
        <f>IFERROR(IF(ISNUMBER(INDEX(Rohdaten!$A$88:$LJ$88,MATCH(X$4,RD_Kopf,0))),INDEX(Rohdaten!$A$88:$LJ$88,MATCH(X$4,RD_Kopf,0)),NA()),NA())</f>
        <v>0</v>
      </c>
      <c r="Y100" s="5">
        <f>IFERROR(IF(ISNUMBER(INDEX(Rohdaten!$A$88:$LJ$88,MATCH(Y$4,RD_Kopf,0))),INDEX(Rohdaten!$A$88:$LJ$88,MATCH(Y$4,RD_Kopf,0)),NA()),NA())</f>
        <v>0</v>
      </c>
      <c r="Z100" s="5">
        <f>IFERROR(IF(ISNUMBER(INDEX(Rohdaten!$A$88:$LJ$88,MATCH(Z$4,RD_Kopf,0))),INDEX(Rohdaten!$A$88:$LJ$88,MATCH(Z$4,RD_Kopf,0)),NA()),NA())</f>
        <v>0</v>
      </c>
      <c r="AA100" s="5">
        <f>IFERROR(IF(ISNUMBER(INDEX(Rohdaten!$A$88:$LJ$88,MATCH(AA$4,RD_Kopf,0))),INDEX(Rohdaten!$A$88:$LJ$88,MATCH(AA$4,RD_Kopf,0)),NA()),NA())</f>
        <v>0</v>
      </c>
      <c r="AB100" s="5">
        <f>IFERROR(IF(ISNUMBER(INDEX(Rohdaten!$A$88:$LJ$88,MATCH(AB$4,RD_Kopf,0))),INDEX(Rohdaten!$A$88:$LJ$88,MATCH(AB$4,RD_Kopf,0)),NA()),NA())</f>
        <v>0</v>
      </c>
      <c r="AC100" s="5">
        <f>IFERROR(IF(ISNUMBER(INDEX(Rohdaten!$A$88:$LJ$88,MATCH(AC$4,RD_Kopf,0))),INDEX(Rohdaten!$A$88:$LJ$88,MATCH(AC$4,RD_Kopf,0)),NA()),NA())</f>
        <v>0</v>
      </c>
      <c r="AD100" s="5">
        <f>IFERROR(IF(ISNUMBER(INDEX(Rohdaten!$A$88:$LJ$88,MATCH(AD$4,RD_Kopf,0))),INDEX(Rohdaten!$A$88:$LJ$88,MATCH(AD$4,RD_Kopf,0)),NA()),NA())</f>
        <v>0</v>
      </c>
    </row>
    <row r="101" spans="1:68">
      <c r="A101" s="11" t="s">
        <v>265</v>
      </c>
      <c r="B101" s="11" t="s">
        <v>266</v>
      </c>
      <c r="C101" s="3" t="str">
        <f>"Rohdaten Z. "&amp;ROW(Rohdaten!$A$85)</f>
        <v>Rohdaten Z. 85</v>
      </c>
      <c r="D101" s="5">
        <f>IFERROR(IF(ISNUMBER(INDEX(Rohdaten!$A$85:$LJ$85,MATCH(D$4,RD_Kopf,0))),INDEX(Rohdaten!$A$85:$LJ$85,MATCH(D$4,RD_Kopf,0)),NA()),NA())</f>
        <v>0</v>
      </c>
      <c r="E101" s="5">
        <f>IFERROR(IF(ISNUMBER(INDEX(Rohdaten!$A$85:$LJ$85,MATCH(E$4,RD_Kopf,0))),INDEX(Rohdaten!$A$85:$LJ$85,MATCH(E$4,RD_Kopf,0)),NA()),NA())</f>
        <v>0</v>
      </c>
      <c r="F101" s="5">
        <f>IFERROR(IF(ISNUMBER(INDEX(Rohdaten!$A$85:$LJ$85,MATCH(F$4,RD_Kopf,0))),INDEX(Rohdaten!$A$85:$LJ$85,MATCH(F$4,RD_Kopf,0)),NA()),NA())</f>
        <v>0</v>
      </c>
      <c r="G101" s="5">
        <f>IFERROR(IF(ISNUMBER(INDEX(Rohdaten!$A$85:$LJ$85,MATCH(G$4,RD_Kopf,0))),INDEX(Rohdaten!$A$85:$LJ$85,MATCH(G$4,RD_Kopf,0)),NA()),NA())</f>
        <v>0</v>
      </c>
      <c r="H101" s="5">
        <f>IFERROR(IF(ISNUMBER(INDEX(Rohdaten!$A$85:$LJ$85,MATCH(H$4,RD_Kopf,0))),INDEX(Rohdaten!$A$85:$LJ$85,MATCH(H$4,RD_Kopf,0)),NA()),NA())</f>
        <v>0</v>
      </c>
      <c r="I101" s="5">
        <f>IFERROR(IF(ISNUMBER(INDEX(Rohdaten!$A$85:$LJ$85,MATCH(I$4,RD_Kopf,0))),INDEX(Rohdaten!$A$85:$LJ$85,MATCH(I$4,RD_Kopf,0)),NA()),NA())</f>
        <v>0</v>
      </c>
      <c r="J101" s="5">
        <f>IFERROR(IF(ISNUMBER(INDEX(Rohdaten!$A$85:$LJ$85,MATCH(J$4,RD_Kopf,0))),INDEX(Rohdaten!$A$85:$LJ$85,MATCH(J$4,RD_Kopf,0)),NA()),NA())</f>
        <v>0</v>
      </c>
      <c r="K101" s="5">
        <f>IFERROR(IF(ISNUMBER(INDEX(Rohdaten!$A$85:$LJ$85,MATCH(K$4,RD_Kopf,0))),INDEX(Rohdaten!$A$85:$LJ$85,MATCH(K$4,RD_Kopf,0)),NA()),NA())</f>
        <v>0</v>
      </c>
      <c r="L101" s="5">
        <f>IFERROR(IF(ISNUMBER(INDEX(Rohdaten!$A$85:$LJ$85,MATCH(L$4,RD_Kopf,0))),INDEX(Rohdaten!$A$85:$LJ$85,MATCH(L$4,RD_Kopf,0)),NA()),NA())</f>
        <v>0</v>
      </c>
      <c r="M101" s="5">
        <f>IFERROR(IF(ISNUMBER(INDEX(Rohdaten!$A$85:$LJ$85,MATCH(M$4,RD_Kopf,0))),INDEX(Rohdaten!$A$85:$LJ$85,MATCH(M$4,RD_Kopf,0)),NA()),NA())</f>
        <v>0</v>
      </c>
      <c r="N101" s="5">
        <f>IFERROR(IF(ISNUMBER(INDEX(Rohdaten!$A$85:$LJ$85,MATCH(N$4,RD_Kopf,0))),INDEX(Rohdaten!$A$85:$LJ$85,MATCH(N$4,RD_Kopf,0)),NA()),NA())</f>
        <v>0</v>
      </c>
      <c r="O101" s="5">
        <f>IFERROR(IF(ISNUMBER(INDEX(Rohdaten!$A$85:$LJ$85,MATCH(O$4,RD_Kopf,0))),INDEX(Rohdaten!$A$85:$LJ$85,MATCH(O$4,RD_Kopf,0)),NA()),NA())</f>
        <v>0</v>
      </c>
      <c r="P101" s="5">
        <f>IFERROR(IF(ISNUMBER(INDEX(Rohdaten!$A$85:$LJ$85,MATCH(P$4,RD_Kopf,0))),INDEX(Rohdaten!$A$85:$LJ$85,MATCH(P$4,RD_Kopf,0)),NA()),NA())</f>
        <v>0</v>
      </c>
      <c r="Q101" s="5">
        <f>IFERROR(IF(ISNUMBER(INDEX(Rohdaten!$A$85:$LJ$85,MATCH(Q$4,RD_Kopf,0))),INDEX(Rohdaten!$A$85:$LJ$85,MATCH(Q$4,RD_Kopf,0)),NA()),NA())</f>
        <v>0</v>
      </c>
      <c r="R101" s="5">
        <f>IFERROR(IF(ISNUMBER(INDEX(Rohdaten!$A$85:$LJ$85,MATCH(R$4,RD_Kopf,0))),INDEX(Rohdaten!$A$85:$LJ$85,MATCH(R$4,RD_Kopf,0)),NA()),NA())</f>
        <v>0</v>
      </c>
      <c r="S101" s="5">
        <f>IFERROR(IF(ISNUMBER(INDEX(Rohdaten!$A$85:$LJ$85,MATCH(S$4,RD_Kopf,0))),INDEX(Rohdaten!$A$85:$LJ$85,MATCH(S$4,RD_Kopf,0)),NA()),NA())</f>
        <v>0</v>
      </c>
      <c r="T101" s="5">
        <f>IFERROR(IF(ISNUMBER(INDEX(Rohdaten!$A$85:$LJ$85,MATCH(T$4,RD_Kopf,0))),INDEX(Rohdaten!$A$85:$LJ$85,MATCH(T$4,RD_Kopf,0)),NA()),NA())</f>
        <v>0</v>
      </c>
      <c r="U101" s="5">
        <f>IFERROR(IF(ISNUMBER(INDEX(Rohdaten!$A$85:$LJ$85,MATCH(U$4,RD_Kopf,0))),INDEX(Rohdaten!$A$85:$LJ$85,MATCH(U$4,RD_Kopf,0)),NA()),NA())</f>
        <v>0</v>
      </c>
      <c r="V101" s="5">
        <f>IFERROR(IF(ISNUMBER(INDEX(Rohdaten!$A$85:$LJ$85,MATCH(V$4,RD_Kopf,0))),INDEX(Rohdaten!$A$85:$LJ$85,MATCH(V$4,RD_Kopf,0)),NA()),NA())</f>
        <v>0</v>
      </c>
      <c r="W101" s="5">
        <f>IFERROR(IF(ISNUMBER(INDEX(Rohdaten!$A$85:$LJ$85,MATCH(W$4,RD_Kopf,0))),INDEX(Rohdaten!$A$85:$LJ$85,MATCH(W$4,RD_Kopf,0)),NA()),NA())</f>
        <v>0</v>
      </c>
      <c r="X101" s="5">
        <f>IFERROR(IF(ISNUMBER(INDEX(Rohdaten!$A$85:$LJ$85,MATCH(X$4,RD_Kopf,0))),INDEX(Rohdaten!$A$85:$LJ$85,MATCH(X$4,RD_Kopf,0)),NA()),NA())</f>
        <v>0</v>
      </c>
      <c r="Y101" s="5">
        <f>IFERROR(IF(ISNUMBER(INDEX(Rohdaten!$A$85:$LJ$85,MATCH(Y$4,RD_Kopf,0))),INDEX(Rohdaten!$A$85:$LJ$85,MATCH(Y$4,RD_Kopf,0)),NA()),NA())</f>
        <v>0</v>
      </c>
      <c r="Z101" s="5">
        <f>IFERROR(IF(ISNUMBER(INDEX(Rohdaten!$A$85:$LJ$85,MATCH(Z$4,RD_Kopf,0))),INDEX(Rohdaten!$A$85:$LJ$85,MATCH(Z$4,RD_Kopf,0)),NA()),NA())</f>
        <v>0</v>
      </c>
      <c r="AA101" s="5">
        <f>IFERROR(IF(ISNUMBER(INDEX(Rohdaten!$A$85:$LJ$85,MATCH(AA$4,RD_Kopf,0))),INDEX(Rohdaten!$A$85:$LJ$85,MATCH(AA$4,RD_Kopf,0)),NA()),NA())</f>
        <v>0</v>
      </c>
      <c r="AB101" s="5">
        <f>IFERROR(IF(ISNUMBER(INDEX(Rohdaten!$A$85:$LJ$85,MATCH(AB$4,RD_Kopf,0))),INDEX(Rohdaten!$A$85:$LJ$85,MATCH(AB$4,RD_Kopf,0)),NA()),NA())</f>
        <v>0</v>
      </c>
      <c r="AC101" s="5">
        <f>IFERROR(IF(ISNUMBER(INDEX(Rohdaten!$A$85:$LJ$85,MATCH(AC$4,RD_Kopf,0))),INDEX(Rohdaten!$A$85:$LJ$85,MATCH(AC$4,RD_Kopf,0)),NA()),NA())</f>
        <v>0</v>
      </c>
      <c r="AD101" s="5">
        <f>IFERROR(IF(ISNUMBER(INDEX(Rohdaten!$A$85:$LJ$85,MATCH(AD$4,RD_Kopf,0))),INDEX(Rohdaten!$A$85:$LJ$85,MATCH(AD$4,RD_Kopf,0)),NA()),NA())</f>
        <v>0</v>
      </c>
    </row>
    <row r="102" spans="1:68">
      <c r="A102" s="11" t="s">
        <v>267</v>
      </c>
      <c r="B102" s="11" t="s">
        <v>268</v>
      </c>
      <c r="C102" s="3" t="str">
        <f>"Rohdaten Z. "&amp;ROW(Rohdaten!$A$89)</f>
        <v>Rohdaten Z. 89</v>
      </c>
      <c r="D102" s="5">
        <f>IFERROR(IF(ISNUMBER(INDEX(Rohdaten!$A$89:$LJ$89,MATCH(D$4,RD_Kopf,0))),INDEX(Rohdaten!$A$89:$LJ$89,MATCH(D$4,RD_Kopf,0)),NA()),NA())</f>
        <v>0</v>
      </c>
      <c r="E102" s="5">
        <f>IFERROR(IF(ISNUMBER(INDEX(Rohdaten!$A$89:$LJ$89,MATCH(E$4,RD_Kopf,0))),INDEX(Rohdaten!$A$89:$LJ$89,MATCH(E$4,RD_Kopf,0)),NA()),NA())</f>
        <v>0</v>
      </c>
      <c r="F102" s="5">
        <f>IFERROR(IF(ISNUMBER(INDEX(Rohdaten!$A$89:$LJ$89,MATCH(F$4,RD_Kopf,0))),INDEX(Rohdaten!$A$89:$LJ$89,MATCH(F$4,RD_Kopf,0)),NA()),NA())</f>
        <v>0</v>
      </c>
      <c r="G102" s="5">
        <f>IFERROR(IF(ISNUMBER(INDEX(Rohdaten!$A$89:$LJ$89,MATCH(G$4,RD_Kopf,0))),INDEX(Rohdaten!$A$89:$LJ$89,MATCH(G$4,RD_Kopf,0)),NA()),NA())</f>
        <v>0</v>
      </c>
      <c r="H102" s="5">
        <f>IFERROR(IF(ISNUMBER(INDEX(Rohdaten!$A$89:$LJ$89,MATCH(H$4,RD_Kopf,0))),INDEX(Rohdaten!$A$89:$LJ$89,MATCH(H$4,RD_Kopf,0)),NA()),NA())</f>
        <v>0</v>
      </c>
      <c r="I102" s="5">
        <f>IFERROR(IF(ISNUMBER(INDEX(Rohdaten!$A$89:$LJ$89,MATCH(I$4,RD_Kopf,0))),INDEX(Rohdaten!$A$89:$LJ$89,MATCH(I$4,RD_Kopf,0)),NA()),NA())</f>
        <v>0</v>
      </c>
      <c r="J102" s="5">
        <f>IFERROR(IF(ISNUMBER(INDEX(Rohdaten!$A$89:$LJ$89,MATCH(J$4,RD_Kopf,0))),INDEX(Rohdaten!$A$89:$LJ$89,MATCH(J$4,RD_Kopf,0)),NA()),NA())</f>
        <v>0</v>
      </c>
      <c r="K102" s="5">
        <f>IFERROR(IF(ISNUMBER(INDEX(Rohdaten!$A$89:$LJ$89,MATCH(K$4,RD_Kopf,0))),INDEX(Rohdaten!$A$89:$LJ$89,MATCH(K$4,RD_Kopf,0)),NA()),NA())</f>
        <v>0</v>
      </c>
      <c r="L102" s="5">
        <f>IFERROR(IF(ISNUMBER(INDEX(Rohdaten!$A$89:$LJ$89,MATCH(L$4,RD_Kopf,0))),INDEX(Rohdaten!$A$89:$LJ$89,MATCH(L$4,RD_Kopf,0)),NA()),NA())</f>
        <v>0</v>
      </c>
      <c r="M102" s="5">
        <f>IFERROR(IF(ISNUMBER(INDEX(Rohdaten!$A$89:$LJ$89,MATCH(M$4,RD_Kopf,0))),INDEX(Rohdaten!$A$89:$LJ$89,MATCH(M$4,RD_Kopf,0)),NA()),NA())</f>
        <v>0</v>
      </c>
      <c r="N102" s="5">
        <f>IFERROR(IF(ISNUMBER(INDEX(Rohdaten!$A$89:$LJ$89,MATCH(N$4,RD_Kopf,0))),INDEX(Rohdaten!$A$89:$LJ$89,MATCH(N$4,RD_Kopf,0)),NA()),NA())</f>
        <v>0</v>
      </c>
      <c r="O102" s="5">
        <f>IFERROR(IF(ISNUMBER(INDEX(Rohdaten!$A$89:$LJ$89,MATCH(O$4,RD_Kopf,0))),INDEX(Rohdaten!$A$89:$LJ$89,MATCH(O$4,RD_Kopf,0)),NA()),NA())</f>
        <v>0</v>
      </c>
      <c r="P102" s="5">
        <f>IFERROR(IF(ISNUMBER(INDEX(Rohdaten!$A$89:$LJ$89,MATCH(P$4,RD_Kopf,0))),INDEX(Rohdaten!$A$89:$LJ$89,MATCH(P$4,RD_Kopf,0)),NA()),NA())</f>
        <v>0</v>
      </c>
      <c r="Q102" s="5">
        <f>IFERROR(IF(ISNUMBER(INDEX(Rohdaten!$A$89:$LJ$89,MATCH(Q$4,RD_Kopf,0))),INDEX(Rohdaten!$A$89:$LJ$89,MATCH(Q$4,RD_Kopf,0)),NA()),NA())</f>
        <v>0</v>
      </c>
      <c r="R102" s="5">
        <f>IFERROR(IF(ISNUMBER(INDEX(Rohdaten!$A$89:$LJ$89,MATCH(R$4,RD_Kopf,0))),INDEX(Rohdaten!$A$89:$LJ$89,MATCH(R$4,RD_Kopf,0)),NA()),NA())</f>
        <v>0</v>
      </c>
      <c r="S102" s="5">
        <f>IFERROR(IF(ISNUMBER(INDEX(Rohdaten!$A$89:$LJ$89,MATCH(S$4,RD_Kopf,0))),INDEX(Rohdaten!$A$89:$LJ$89,MATCH(S$4,RD_Kopf,0)),NA()),NA())</f>
        <v>0</v>
      </c>
      <c r="T102" s="5">
        <f>IFERROR(IF(ISNUMBER(INDEX(Rohdaten!$A$89:$LJ$89,MATCH(T$4,RD_Kopf,0))),INDEX(Rohdaten!$A$89:$LJ$89,MATCH(T$4,RD_Kopf,0)),NA()),NA())</f>
        <v>0</v>
      </c>
      <c r="U102" s="5">
        <f>IFERROR(IF(ISNUMBER(INDEX(Rohdaten!$A$89:$LJ$89,MATCH(U$4,RD_Kopf,0))),INDEX(Rohdaten!$A$89:$LJ$89,MATCH(U$4,RD_Kopf,0)),NA()),NA())</f>
        <v>0</v>
      </c>
      <c r="V102" s="5">
        <f>IFERROR(IF(ISNUMBER(INDEX(Rohdaten!$A$89:$LJ$89,MATCH(V$4,RD_Kopf,0))),INDEX(Rohdaten!$A$89:$LJ$89,MATCH(V$4,RD_Kopf,0)),NA()),NA())</f>
        <v>0</v>
      </c>
      <c r="W102" s="5">
        <f>IFERROR(IF(ISNUMBER(INDEX(Rohdaten!$A$89:$LJ$89,MATCH(W$4,RD_Kopf,0))),INDEX(Rohdaten!$A$89:$LJ$89,MATCH(W$4,RD_Kopf,0)),NA()),NA())</f>
        <v>0</v>
      </c>
      <c r="X102" s="5">
        <f>IFERROR(IF(ISNUMBER(INDEX(Rohdaten!$A$89:$LJ$89,MATCH(X$4,RD_Kopf,0))),INDEX(Rohdaten!$A$89:$LJ$89,MATCH(X$4,RD_Kopf,0)),NA()),NA())</f>
        <v>0</v>
      </c>
      <c r="Y102" s="5">
        <f>IFERROR(IF(ISNUMBER(INDEX(Rohdaten!$A$89:$LJ$89,MATCH(Y$4,RD_Kopf,0))),INDEX(Rohdaten!$A$89:$LJ$89,MATCH(Y$4,RD_Kopf,0)),NA()),NA())</f>
        <v>0</v>
      </c>
      <c r="Z102" s="5">
        <f>IFERROR(IF(ISNUMBER(INDEX(Rohdaten!$A$89:$LJ$89,MATCH(Z$4,RD_Kopf,0))),INDEX(Rohdaten!$A$89:$LJ$89,MATCH(Z$4,RD_Kopf,0)),NA()),NA())</f>
        <v>0</v>
      </c>
      <c r="AA102" s="5">
        <f>IFERROR(IF(ISNUMBER(INDEX(Rohdaten!$A$89:$LJ$89,MATCH(AA$4,RD_Kopf,0))),INDEX(Rohdaten!$A$89:$LJ$89,MATCH(AA$4,RD_Kopf,0)),NA()),NA())</f>
        <v>0</v>
      </c>
      <c r="AB102" s="5">
        <f>IFERROR(IF(ISNUMBER(INDEX(Rohdaten!$A$89:$LJ$89,MATCH(AB$4,RD_Kopf,0))),INDEX(Rohdaten!$A$89:$LJ$89,MATCH(AB$4,RD_Kopf,0)),NA()),NA())</f>
        <v>0</v>
      </c>
      <c r="AC102" s="5">
        <f>IFERROR(IF(ISNUMBER(INDEX(Rohdaten!$A$89:$LJ$89,MATCH(AC$4,RD_Kopf,0))),INDEX(Rohdaten!$A$89:$LJ$89,MATCH(AC$4,RD_Kopf,0)),NA()),NA())</f>
        <v>0</v>
      </c>
      <c r="AD102" s="5">
        <f>IFERROR(IF(ISNUMBER(INDEX(Rohdaten!$A$89:$LJ$89,MATCH(AD$4,RD_Kopf,0))),INDEX(Rohdaten!$A$89:$LJ$89,MATCH(AD$4,RD_Kopf,0)),NA()),NA())</f>
        <v>0</v>
      </c>
    </row>
    <row r="103" spans="1:68">
      <c r="A103" s="11" t="s">
        <v>269</v>
      </c>
      <c r="B103" s="11" t="s">
        <v>270</v>
      </c>
      <c r="C103" s="3" t="str">
        <f>"Rohdaten Z. "&amp;ROW(Rohdaten!$A$86)</f>
        <v>Rohdaten Z. 86</v>
      </c>
      <c r="D103" s="5">
        <f>IFERROR(IF(ISNUMBER(INDEX(Rohdaten!$A$86:$LJ$86,MATCH(D$4,RD_Kopf,0))),INDEX(Rohdaten!$A$86:$LJ$86,MATCH(D$4,RD_Kopf,0)),NA()),NA())</f>
        <v>0</v>
      </c>
      <c r="E103" s="5">
        <f>IFERROR(IF(ISNUMBER(INDEX(Rohdaten!$A$86:$LJ$86,MATCH(E$4,RD_Kopf,0))),INDEX(Rohdaten!$A$86:$LJ$86,MATCH(E$4,RD_Kopf,0)),NA()),NA())</f>
        <v>0</v>
      </c>
      <c r="F103" s="5">
        <f>IFERROR(IF(ISNUMBER(INDEX(Rohdaten!$A$86:$LJ$86,MATCH(F$4,RD_Kopf,0))),INDEX(Rohdaten!$A$86:$LJ$86,MATCH(F$4,RD_Kopf,0)),NA()),NA())</f>
        <v>0</v>
      </c>
      <c r="G103" s="5">
        <f>IFERROR(IF(ISNUMBER(INDEX(Rohdaten!$A$86:$LJ$86,MATCH(G$4,RD_Kopf,0))),INDEX(Rohdaten!$A$86:$LJ$86,MATCH(G$4,RD_Kopf,0)),NA()),NA())</f>
        <v>0</v>
      </c>
      <c r="H103" s="5">
        <f>IFERROR(IF(ISNUMBER(INDEX(Rohdaten!$A$86:$LJ$86,MATCH(H$4,RD_Kopf,0))),INDEX(Rohdaten!$A$86:$LJ$86,MATCH(H$4,RD_Kopf,0)),NA()),NA())</f>
        <v>0</v>
      </c>
      <c r="I103" s="5">
        <f>IFERROR(IF(ISNUMBER(INDEX(Rohdaten!$A$86:$LJ$86,MATCH(I$4,RD_Kopf,0))),INDEX(Rohdaten!$A$86:$LJ$86,MATCH(I$4,RD_Kopf,0)),NA()),NA())</f>
        <v>0</v>
      </c>
      <c r="J103" s="5">
        <f>IFERROR(IF(ISNUMBER(INDEX(Rohdaten!$A$86:$LJ$86,MATCH(J$4,RD_Kopf,0))),INDEX(Rohdaten!$A$86:$LJ$86,MATCH(J$4,RD_Kopf,0)),NA()),NA())</f>
        <v>0</v>
      </c>
      <c r="K103" s="5">
        <f>IFERROR(IF(ISNUMBER(INDEX(Rohdaten!$A$86:$LJ$86,MATCH(K$4,RD_Kopf,0))),INDEX(Rohdaten!$A$86:$LJ$86,MATCH(K$4,RD_Kopf,0)),NA()),NA())</f>
        <v>0</v>
      </c>
      <c r="L103" s="5">
        <f>IFERROR(IF(ISNUMBER(INDEX(Rohdaten!$A$86:$LJ$86,MATCH(L$4,RD_Kopf,0))),INDEX(Rohdaten!$A$86:$LJ$86,MATCH(L$4,RD_Kopf,0)),NA()),NA())</f>
        <v>0</v>
      </c>
      <c r="M103" s="5">
        <f>IFERROR(IF(ISNUMBER(INDEX(Rohdaten!$A$86:$LJ$86,MATCH(M$4,RD_Kopf,0))),INDEX(Rohdaten!$A$86:$LJ$86,MATCH(M$4,RD_Kopf,0)),NA()),NA())</f>
        <v>0</v>
      </c>
      <c r="N103" s="5">
        <f>IFERROR(IF(ISNUMBER(INDEX(Rohdaten!$A$86:$LJ$86,MATCH(N$4,RD_Kopf,0))),INDEX(Rohdaten!$A$86:$LJ$86,MATCH(N$4,RD_Kopf,0)),NA()),NA())</f>
        <v>0</v>
      </c>
      <c r="O103" s="5">
        <f>IFERROR(IF(ISNUMBER(INDEX(Rohdaten!$A$86:$LJ$86,MATCH(O$4,RD_Kopf,0))),INDEX(Rohdaten!$A$86:$LJ$86,MATCH(O$4,RD_Kopf,0)),NA()),NA())</f>
        <v>0</v>
      </c>
      <c r="P103" s="5">
        <f>IFERROR(IF(ISNUMBER(INDEX(Rohdaten!$A$86:$LJ$86,MATCH(P$4,RD_Kopf,0))),INDEX(Rohdaten!$A$86:$LJ$86,MATCH(P$4,RD_Kopf,0)),NA()),NA())</f>
        <v>0</v>
      </c>
      <c r="Q103" s="5">
        <f>IFERROR(IF(ISNUMBER(INDEX(Rohdaten!$A$86:$LJ$86,MATCH(Q$4,RD_Kopf,0))),INDEX(Rohdaten!$A$86:$LJ$86,MATCH(Q$4,RD_Kopf,0)),NA()),NA())</f>
        <v>0</v>
      </c>
      <c r="R103" s="5">
        <f>IFERROR(IF(ISNUMBER(INDEX(Rohdaten!$A$86:$LJ$86,MATCH(R$4,RD_Kopf,0))),INDEX(Rohdaten!$A$86:$LJ$86,MATCH(R$4,RD_Kopf,0)),NA()),NA())</f>
        <v>0</v>
      </c>
      <c r="S103" s="5">
        <f>IFERROR(IF(ISNUMBER(INDEX(Rohdaten!$A$86:$LJ$86,MATCH(S$4,RD_Kopf,0))),INDEX(Rohdaten!$A$86:$LJ$86,MATCH(S$4,RD_Kopf,0)),NA()),NA())</f>
        <v>0</v>
      </c>
      <c r="T103" s="5">
        <f>IFERROR(IF(ISNUMBER(INDEX(Rohdaten!$A$86:$LJ$86,MATCH(T$4,RD_Kopf,0))),INDEX(Rohdaten!$A$86:$LJ$86,MATCH(T$4,RD_Kopf,0)),NA()),NA())</f>
        <v>0</v>
      </c>
      <c r="U103" s="5">
        <f>IFERROR(IF(ISNUMBER(INDEX(Rohdaten!$A$86:$LJ$86,MATCH(U$4,RD_Kopf,0))),INDEX(Rohdaten!$A$86:$LJ$86,MATCH(U$4,RD_Kopf,0)),NA()),NA())</f>
        <v>0</v>
      </c>
      <c r="V103" s="5">
        <f>IFERROR(IF(ISNUMBER(INDEX(Rohdaten!$A$86:$LJ$86,MATCH(V$4,RD_Kopf,0))),INDEX(Rohdaten!$A$86:$LJ$86,MATCH(V$4,RD_Kopf,0)),NA()),NA())</f>
        <v>0</v>
      </c>
      <c r="W103" s="5">
        <f>IFERROR(IF(ISNUMBER(INDEX(Rohdaten!$A$86:$LJ$86,MATCH(W$4,RD_Kopf,0))),INDEX(Rohdaten!$A$86:$LJ$86,MATCH(W$4,RD_Kopf,0)),NA()),NA())</f>
        <v>0</v>
      </c>
      <c r="X103" s="5">
        <f>IFERROR(IF(ISNUMBER(INDEX(Rohdaten!$A$86:$LJ$86,MATCH(X$4,RD_Kopf,0))),INDEX(Rohdaten!$A$86:$LJ$86,MATCH(X$4,RD_Kopf,0)),NA()),NA())</f>
        <v>0</v>
      </c>
      <c r="Y103" s="5">
        <f>IFERROR(IF(ISNUMBER(INDEX(Rohdaten!$A$86:$LJ$86,MATCH(Y$4,RD_Kopf,0))),INDEX(Rohdaten!$A$86:$LJ$86,MATCH(Y$4,RD_Kopf,0)),NA()),NA())</f>
        <v>0</v>
      </c>
      <c r="Z103" s="5">
        <f>IFERROR(IF(ISNUMBER(INDEX(Rohdaten!$A$86:$LJ$86,MATCH(Z$4,RD_Kopf,0))),INDEX(Rohdaten!$A$86:$LJ$86,MATCH(Z$4,RD_Kopf,0)),NA()),NA())</f>
        <v>0</v>
      </c>
      <c r="AA103" s="5">
        <f>IFERROR(IF(ISNUMBER(INDEX(Rohdaten!$A$86:$LJ$86,MATCH(AA$4,RD_Kopf,0))),INDEX(Rohdaten!$A$86:$LJ$86,MATCH(AA$4,RD_Kopf,0)),NA()),NA())</f>
        <v>0</v>
      </c>
      <c r="AB103" s="5">
        <f>IFERROR(IF(ISNUMBER(INDEX(Rohdaten!$A$86:$LJ$86,MATCH(AB$4,RD_Kopf,0))),INDEX(Rohdaten!$A$86:$LJ$86,MATCH(AB$4,RD_Kopf,0)),NA()),NA())</f>
        <v>0</v>
      </c>
      <c r="AC103" s="5">
        <f>IFERROR(IF(ISNUMBER(INDEX(Rohdaten!$A$86:$LJ$86,MATCH(AC$4,RD_Kopf,0))),INDEX(Rohdaten!$A$86:$LJ$86,MATCH(AC$4,RD_Kopf,0)),NA()),NA())</f>
        <v>0</v>
      </c>
      <c r="AD103" s="5">
        <f>IFERROR(IF(ISNUMBER(INDEX(Rohdaten!$A$86:$LJ$86,MATCH(AD$4,RD_Kopf,0))),INDEX(Rohdaten!$A$86:$LJ$86,MATCH(AD$4,RD_Kopf,0)),NA()),NA())</f>
        <v>0</v>
      </c>
    </row>
    <row r="104" spans="1:68">
      <c r="A104" s="11" t="s">
        <v>271</v>
      </c>
      <c r="B104" s="11" t="s">
        <v>272</v>
      </c>
      <c r="C104" s="3" t="str">
        <f>"Rohdaten Z. "&amp;ROW(Rohdaten!$A$90)</f>
        <v>Rohdaten Z. 90</v>
      </c>
      <c r="D104" s="5">
        <f>IFERROR(IF(ISNUMBER(INDEX(Rohdaten!$A$90:$LJ$90,MATCH(D$4,RD_Kopf,0))),INDEX(Rohdaten!$A$90:$LJ$90,MATCH(D$4,RD_Kopf,0)),NA()),NA())</f>
        <v>0</v>
      </c>
      <c r="E104" s="5">
        <f>IFERROR(IF(ISNUMBER(INDEX(Rohdaten!$A$90:$LJ$90,MATCH(E$4,RD_Kopf,0))),INDEX(Rohdaten!$A$90:$LJ$90,MATCH(E$4,RD_Kopf,0)),NA()),NA())</f>
        <v>0</v>
      </c>
      <c r="F104" s="5">
        <f>IFERROR(IF(ISNUMBER(INDEX(Rohdaten!$A$90:$LJ$90,MATCH(F$4,RD_Kopf,0))),INDEX(Rohdaten!$A$90:$LJ$90,MATCH(F$4,RD_Kopf,0)),NA()),NA())</f>
        <v>0</v>
      </c>
      <c r="G104" s="5">
        <f>IFERROR(IF(ISNUMBER(INDEX(Rohdaten!$A$90:$LJ$90,MATCH(G$4,RD_Kopf,0))),INDEX(Rohdaten!$A$90:$LJ$90,MATCH(G$4,RD_Kopf,0)),NA()),NA())</f>
        <v>0</v>
      </c>
      <c r="H104" s="5">
        <f>IFERROR(IF(ISNUMBER(INDEX(Rohdaten!$A$90:$LJ$90,MATCH(H$4,RD_Kopf,0))),INDEX(Rohdaten!$A$90:$LJ$90,MATCH(H$4,RD_Kopf,0)),NA()),NA())</f>
        <v>0</v>
      </c>
      <c r="I104" s="5">
        <f>IFERROR(IF(ISNUMBER(INDEX(Rohdaten!$A$90:$LJ$90,MATCH(I$4,RD_Kopf,0))),INDEX(Rohdaten!$A$90:$LJ$90,MATCH(I$4,RD_Kopf,0)),NA()),NA())</f>
        <v>0</v>
      </c>
      <c r="J104" s="5">
        <f>IFERROR(IF(ISNUMBER(INDEX(Rohdaten!$A$90:$LJ$90,MATCH(J$4,RD_Kopf,0))),INDEX(Rohdaten!$A$90:$LJ$90,MATCH(J$4,RD_Kopf,0)),NA()),NA())</f>
        <v>0</v>
      </c>
      <c r="K104" s="5">
        <f>IFERROR(IF(ISNUMBER(INDEX(Rohdaten!$A$90:$LJ$90,MATCH(K$4,RD_Kopf,0))),INDEX(Rohdaten!$A$90:$LJ$90,MATCH(K$4,RD_Kopf,0)),NA()),NA())</f>
        <v>0</v>
      </c>
      <c r="L104" s="5">
        <f>IFERROR(IF(ISNUMBER(INDEX(Rohdaten!$A$90:$LJ$90,MATCH(L$4,RD_Kopf,0))),INDEX(Rohdaten!$A$90:$LJ$90,MATCH(L$4,RD_Kopf,0)),NA()),NA())</f>
        <v>0</v>
      </c>
      <c r="M104" s="5">
        <f>IFERROR(IF(ISNUMBER(INDEX(Rohdaten!$A$90:$LJ$90,MATCH(M$4,RD_Kopf,0))),INDEX(Rohdaten!$A$90:$LJ$90,MATCH(M$4,RD_Kopf,0)),NA()),NA())</f>
        <v>0</v>
      </c>
      <c r="N104" s="5">
        <f>IFERROR(IF(ISNUMBER(INDEX(Rohdaten!$A$90:$LJ$90,MATCH(N$4,RD_Kopf,0))),INDEX(Rohdaten!$A$90:$LJ$90,MATCH(N$4,RD_Kopf,0)),NA()),NA())</f>
        <v>0</v>
      </c>
      <c r="O104" s="5">
        <f>IFERROR(IF(ISNUMBER(INDEX(Rohdaten!$A$90:$LJ$90,MATCH(O$4,RD_Kopf,0))),INDEX(Rohdaten!$A$90:$LJ$90,MATCH(O$4,RD_Kopf,0)),NA()),NA())</f>
        <v>0</v>
      </c>
      <c r="P104" s="5">
        <f>IFERROR(IF(ISNUMBER(INDEX(Rohdaten!$A$90:$LJ$90,MATCH(P$4,RD_Kopf,0))),INDEX(Rohdaten!$A$90:$LJ$90,MATCH(P$4,RD_Kopf,0)),NA()),NA())</f>
        <v>0</v>
      </c>
      <c r="Q104" s="5">
        <f>IFERROR(IF(ISNUMBER(INDEX(Rohdaten!$A$90:$LJ$90,MATCH(Q$4,RD_Kopf,0))),INDEX(Rohdaten!$A$90:$LJ$90,MATCH(Q$4,RD_Kopf,0)),NA()),NA())</f>
        <v>0</v>
      </c>
      <c r="R104" s="5">
        <f>IFERROR(IF(ISNUMBER(INDEX(Rohdaten!$A$90:$LJ$90,MATCH(R$4,RD_Kopf,0))),INDEX(Rohdaten!$A$90:$LJ$90,MATCH(R$4,RD_Kopf,0)),NA()),NA())</f>
        <v>0</v>
      </c>
      <c r="S104" s="5">
        <f>IFERROR(IF(ISNUMBER(INDEX(Rohdaten!$A$90:$LJ$90,MATCH(S$4,RD_Kopf,0))),INDEX(Rohdaten!$A$90:$LJ$90,MATCH(S$4,RD_Kopf,0)),NA()),NA())</f>
        <v>0</v>
      </c>
      <c r="T104" s="5">
        <f>IFERROR(IF(ISNUMBER(INDEX(Rohdaten!$A$90:$LJ$90,MATCH(T$4,RD_Kopf,0))),INDEX(Rohdaten!$A$90:$LJ$90,MATCH(T$4,RD_Kopf,0)),NA()),NA())</f>
        <v>0</v>
      </c>
      <c r="U104" s="5">
        <f>IFERROR(IF(ISNUMBER(INDEX(Rohdaten!$A$90:$LJ$90,MATCH(U$4,RD_Kopf,0))),INDEX(Rohdaten!$A$90:$LJ$90,MATCH(U$4,RD_Kopf,0)),NA()),NA())</f>
        <v>0</v>
      </c>
      <c r="V104" s="5">
        <f>IFERROR(IF(ISNUMBER(INDEX(Rohdaten!$A$90:$LJ$90,MATCH(V$4,RD_Kopf,0))),INDEX(Rohdaten!$A$90:$LJ$90,MATCH(V$4,RD_Kopf,0)),NA()),NA())</f>
        <v>0</v>
      </c>
      <c r="W104" s="5">
        <f>IFERROR(IF(ISNUMBER(INDEX(Rohdaten!$A$90:$LJ$90,MATCH(W$4,RD_Kopf,0))),INDEX(Rohdaten!$A$90:$LJ$90,MATCH(W$4,RD_Kopf,0)),NA()),NA())</f>
        <v>0</v>
      </c>
      <c r="X104" s="5">
        <f>IFERROR(IF(ISNUMBER(INDEX(Rohdaten!$A$90:$LJ$90,MATCH(X$4,RD_Kopf,0))),INDEX(Rohdaten!$A$90:$LJ$90,MATCH(X$4,RD_Kopf,0)),NA()),NA())</f>
        <v>0</v>
      </c>
      <c r="Y104" s="5">
        <f>IFERROR(IF(ISNUMBER(INDEX(Rohdaten!$A$90:$LJ$90,MATCH(Y$4,RD_Kopf,0))),INDEX(Rohdaten!$A$90:$LJ$90,MATCH(Y$4,RD_Kopf,0)),NA()),NA())</f>
        <v>0</v>
      </c>
      <c r="Z104" s="5">
        <f>IFERROR(IF(ISNUMBER(INDEX(Rohdaten!$A$90:$LJ$90,MATCH(Z$4,RD_Kopf,0))),INDEX(Rohdaten!$A$90:$LJ$90,MATCH(Z$4,RD_Kopf,0)),NA()),NA())</f>
        <v>0</v>
      </c>
      <c r="AA104" s="5">
        <f>IFERROR(IF(ISNUMBER(INDEX(Rohdaten!$A$90:$LJ$90,MATCH(AA$4,RD_Kopf,0))),INDEX(Rohdaten!$A$90:$LJ$90,MATCH(AA$4,RD_Kopf,0)),NA()),NA())</f>
        <v>0</v>
      </c>
      <c r="AB104" s="5">
        <f>IFERROR(IF(ISNUMBER(INDEX(Rohdaten!$A$90:$LJ$90,MATCH(AB$4,RD_Kopf,0))),INDEX(Rohdaten!$A$90:$LJ$90,MATCH(AB$4,RD_Kopf,0)),NA()),NA())</f>
        <v>0</v>
      </c>
      <c r="AC104" s="5">
        <f>IFERROR(IF(ISNUMBER(INDEX(Rohdaten!$A$90:$LJ$90,MATCH(AC$4,RD_Kopf,0))),INDEX(Rohdaten!$A$90:$LJ$90,MATCH(AC$4,RD_Kopf,0)),NA()),NA())</f>
        <v>0</v>
      </c>
      <c r="AD104" s="5">
        <f>IFERROR(IF(ISNUMBER(INDEX(Rohdaten!$A$90:$LJ$90,MATCH(AD$4,RD_Kopf,0))),INDEX(Rohdaten!$A$90:$LJ$90,MATCH(AD$4,RD_Kopf,0)),NA()),NA())</f>
        <v>0</v>
      </c>
    </row>
    <row r="105" spans="1:68">
      <c r="A105" s="11" t="s">
        <v>273</v>
      </c>
      <c r="B105" s="11" t="s">
        <v>274</v>
      </c>
      <c r="C105" s="3" t="s">
        <v>137</v>
      </c>
      <c r="D105" s="5">
        <f>IF(COUNT(D99,D101,D103)=0,NA(),SUM(D99,D101,D103))</f>
        <v>0</v>
      </c>
      <c r="E105" s="5">
        <f>IF(COUNT(E99,E101,E103)=0,NA(),SUM(E99,E101,E103))</f>
        <v>0</v>
      </c>
      <c r="F105" s="5">
        <f>IF(COUNT(F99,F101,F103)=0,NA(),SUM(F99,F101,F103))</f>
        <v>0</v>
      </c>
      <c r="G105" s="5">
        <f>IF(COUNT(G99,G101,G103)=0,NA(),SUM(G99,G101,G103))</f>
        <v>0</v>
      </c>
      <c r="H105" s="5">
        <f>IF(COUNT(H99,H101,H103)=0,NA(),SUM(H99,H101,H103))</f>
        <v>0</v>
      </c>
      <c r="I105" s="5">
        <f>IF(COUNT(I99,I101,I103)=0,NA(),SUM(I99,I101,I103))</f>
        <v>0</v>
      </c>
      <c r="J105" s="5">
        <f>IF(COUNT(J99,J101,J103)=0,NA(),SUM(J99,J101,J103))</f>
        <v>0</v>
      </c>
      <c r="K105" s="5">
        <f>IF(COUNT(K99,K101,K103)=0,NA(),SUM(K99,K101,K103))</f>
        <v>0</v>
      </c>
      <c r="L105" s="5">
        <f>IF(COUNT(L99,L101,L103)=0,NA(),SUM(L99,L101,L103))</f>
        <v>0</v>
      </c>
      <c r="M105" s="5">
        <f>IF(COUNT(M99,M101,M103)=0,NA(),SUM(M99,M101,M103))</f>
        <v>0</v>
      </c>
      <c r="N105" s="5">
        <f>IF(COUNT(N99,N101,N103)=0,NA(),SUM(N99,N101,N103))</f>
        <v>0</v>
      </c>
      <c r="O105" s="5">
        <f>IF(COUNT(O99,O101,O103)=0,NA(),SUM(O99,O101,O103))</f>
        <v>0</v>
      </c>
      <c r="P105" s="5">
        <f>IF(COUNT(P99,P101,P103)=0,NA(),SUM(P99,P101,P103))</f>
        <v>0</v>
      </c>
      <c r="Q105" s="5">
        <f>IF(COUNT(Q99,Q101,Q103)=0,NA(),SUM(Q99,Q101,Q103))</f>
        <v>0</v>
      </c>
      <c r="R105" s="5">
        <f>IF(COUNT(R99,R101,R103)=0,NA(),SUM(R99,R101,R103))</f>
        <v>0</v>
      </c>
      <c r="S105" s="5">
        <f>IF(COUNT(S99,S101,S103)=0,NA(),SUM(S99,S101,S103))</f>
        <v>0</v>
      </c>
      <c r="T105" s="5">
        <f>IF(COUNT(T99,T101,T103)=0,NA(),SUM(T99,T101,T103))</f>
        <v>0</v>
      </c>
      <c r="U105" s="5">
        <f>IF(COUNT(U99,U101,U103)=0,NA(),SUM(U99,U101,U103))</f>
        <v>0</v>
      </c>
      <c r="V105" s="5">
        <f>IF(COUNT(V99,V101,V103)=0,NA(),SUM(V99,V101,V103))</f>
        <v>0</v>
      </c>
      <c r="W105" s="5">
        <f>IF(COUNT(W99,W101,W103)=0,NA(),SUM(W99,W101,W103))</f>
        <v>0</v>
      </c>
      <c r="X105" s="5">
        <f>IF(COUNT(X99,X101,X103)=0,NA(),SUM(X99,X101,X103))</f>
        <v>0</v>
      </c>
      <c r="Y105" s="5">
        <f>IF(COUNT(Y99,Y101,Y103)=0,NA(),SUM(Y99,Y101,Y103))</f>
        <v>0</v>
      </c>
      <c r="Z105" s="5">
        <f>IF(COUNT(Z99,Z101,Z103)=0,NA(),SUM(Z99,Z101,Z103))</f>
        <v>0</v>
      </c>
      <c r="AA105" s="5">
        <f>IF(COUNT(AA99,AA101,AA103)=0,NA(),SUM(AA99,AA101,AA103))</f>
        <v>0</v>
      </c>
      <c r="AB105" s="5">
        <f>IF(COUNT(AB99,AB101,AB103)=0,NA(),SUM(AB99,AB101,AB103))</f>
        <v>0</v>
      </c>
      <c r="AC105" s="5">
        <f>IF(COUNT(AC99,AC101,AC103)=0,NA(),SUM(AC99,AC101,AC103))</f>
        <v>0</v>
      </c>
      <c r="AD105" s="5">
        <f>IF(COUNT(AD99,AD101,AD103)=0,NA(),SUM(AD99,AD101,AD103))</f>
        <v>0</v>
      </c>
    </row>
    <row r="106" spans="1:68">
      <c r="A106" s="11" t="s">
        <v>275</v>
      </c>
      <c r="B106" s="11" t="s">
        <v>276</v>
      </c>
      <c r="C106" s="3" t="s">
        <v>137</v>
      </c>
      <c r="D106" s="5">
        <f>IF(COUNT(D100,D102,D104)=0,NA(),SUM(D100,D102,D104))</f>
        <v>0</v>
      </c>
      <c r="E106" s="5">
        <f>IF(COUNT(E100,E102,E104)=0,NA(),SUM(E100,E102,E104))</f>
        <v>0</v>
      </c>
      <c r="F106" s="5">
        <f>IF(COUNT(F100,F102,F104)=0,NA(),SUM(F100,F102,F104))</f>
        <v>0</v>
      </c>
      <c r="G106" s="5">
        <f>IF(COUNT(G100,G102,G104)=0,NA(),SUM(G100,G102,G104))</f>
        <v>0</v>
      </c>
      <c r="H106" s="5">
        <f>IF(COUNT(H100,H102,H104)=0,NA(),SUM(H100,H102,H104))</f>
        <v>0</v>
      </c>
      <c r="I106" s="5">
        <f>IF(COUNT(I100,I102,I104)=0,NA(),SUM(I100,I102,I104))</f>
        <v>0</v>
      </c>
      <c r="J106" s="5">
        <f>IF(COUNT(J100,J102,J104)=0,NA(),SUM(J100,J102,J104))</f>
        <v>0</v>
      </c>
      <c r="K106" s="5">
        <f>IF(COUNT(K100,K102,K104)=0,NA(),SUM(K100,K102,K104))</f>
        <v>0</v>
      </c>
      <c r="L106" s="5">
        <f>IF(COUNT(L100,L102,L104)=0,NA(),SUM(L100,L102,L104))</f>
        <v>0</v>
      </c>
      <c r="M106" s="5">
        <f>IF(COUNT(M100,M102,M104)=0,NA(),SUM(M100,M102,M104))</f>
        <v>0</v>
      </c>
      <c r="N106" s="5">
        <f>IF(COUNT(N100,N102,N104)=0,NA(),SUM(N100,N102,N104))</f>
        <v>0</v>
      </c>
      <c r="O106" s="5">
        <f>IF(COUNT(O100,O102,O104)=0,NA(),SUM(O100,O102,O104))</f>
        <v>0</v>
      </c>
      <c r="P106" s="5">
        <f>IF(COUNT(P100,P102,P104)=0,NA(),SUM(P100,P102,P104))</f>
        <v>0</v>
      </c>
      <c r="Q106" s="5">
        <f>IF(COUNT(Q100,Q102,Q104)=0,NA(),SUM(Q100,Q102,Q104))</f>
        <v>0</v>
      </c>
      <c r="R106" s="5">
        <f>IF(COUNT(R100,R102,R104)=0,NA(),SUM(R100,R102,R104))</f>
        <v>0</v>
      </c>
      <c r="S106" s="5">
        <f>IF(COUNT(S100,S102,S104)=0,NA(),SUM(S100,S102,S104))</f>
        <v>0</v>
      </c>
      <c r="T106" s="5">
        <f>IF(COUNT(T100,T102,T104)=0,NA(),SUM(T100,T102,T104))</f>
        <v>0</v>
      </c>
      <c r="U106" s="5">
        <f>IF(COUNT(U100,U102,U104)=0,NA(),SUM(U100,U102,U104))</f>
        <v>0</v>
      </c>
      <c r="V106" s="5">
        <f>IF(COUNT(V100,V102,V104)=0,NA(),SUM(V100,V102,V104))</f>
        <v>0</v>
      </c>
      <c r="W106" s="5">
        <f>IF(COUNT(W100,W102,W104)=0,NA(),SUM(W100,W102,W104))</f>
        <v>0</v>
      </c>
      <c r="X106" s="5">
        <f>IF(COUNT(X100,X102,X104)=0,NA(),SUM(X100,X102,X104))</f>
        <v>0</v>
      </c>
      <c r="Y106" s="5">
        <f>IF(COUNT(Y100,Y102,Y104)=0,NA(),SUM(Y100,Y102,Y104))</f>
        <v>0</v>
      </c>
      <c r="Z106" s="5">
        <f>IF(COUNT(Z100,Z102,Z104)=0,NA(),SUM(Z100,Z102,Z104))</f>
        <v>0</v>
      </c>
      <c r="AA106" s="5">
        <f>IF(COUNT(AA100,AA102,AA104)=0,NA(),SUM(AA100,AA102,AA104))</f>
        <v>0</v>
      </c>
      <c r="AB106" s="5">
        <f>IF(COUNT(AB100,AB102,AB104)=0,NA(),SUM(AB100,AB102,AB104))</f>
        <v>0</v>
      </c>
      <c r="AC106" s="5">
        <f>IF(COUNT(AC100,AC102,AC104)=0,NA(),SUM(AC100,AC102,AC104))</f>
        <v>0</v>
      </c>
      <c r="AD106" s="5">
        <f>IF(COUNT(AD100,AD102,AD104)=0,NA(),SUM(AD100,AD102,AD104))</f>
        <v>0</v>
      </c>
    </row>
    <row r="107" spans="1:68">
      <c r="A107" s="11" t="s">
        <v>277</v>
      </c>
      <c r="B107" s="11" t="s">
        <v>278</v>
      </c>
      <c r="C107" s="3" t="s">
        <v>137</v>
      </c>
      <c r="D107" s="5">
        <f>IF(COUNT(D96,D97,D98)=0,NA(),SUM(D96,D97,D98))</f>
        <v>0</v>
      </c>
      <c r="E107" s="5">
        <f>IF(COUNT(E96,E97,E98)=0,NA(),SUM(E96,E97,E98))</f>
        <v>0</v>
      </c>
      <c r="F107" s="5">
        <f>IF(COUNT(F96,F97,F98)=0,NA(),SUM(F96,F97,F98))</f>
        <v>0</v>
      </c>
      <c r="G107" s="5">
        <f>IF(COUNT(G96,G97,G98)=0,NA(),SUM(G96,G97,G98))</f>
        <v>0</v>
      </c>
      <c r="H107" s="5">
        <f>IF(COUNT(H96,H97,H98)=0,NA(),SUM(H96,H97,H98))</f>
        <v>0</v>
      </c>
      <c r="I107" s="5">
        <f>IF(COUNT(I96,I97,I98)=0,NA(),SUM(I96,I97,I98))</f>
        <v>0</v>
      </c>
      <c r="J107" s="5">
        <f>IF(COUNT(J96,J97,J98)=0,NA(),SUM(J96,J97,J98))</f>
        <v>0</v>
      </c>
      <c r="K107" s="5">
        <f>IF(COUNT(K96,K97,K98)=0,NA(),SUM(K96,K97,K98))</f>
        <v>0</v>
      </c>
      <c r="L107" s="5">
        <f>IF(COUNT(L96,L97,L98)=0,NA(),SUM(L96,L97,L98))</f>
        <v>0</v>
      </c>
      <c r="M107" s="5">
        <f>IF(COUNT(M96,M97,M98)=0,NA(),SUM(M96,M97,M98))</f>
        <v>0</v>
      </c>
      <c r="N107" s="5">
        <f>IF(COUNT(N96,N97,N98)=0,NA(),SUM(N96,N97,N98))</f>
        <v>0</v>
      </c>
      <c r="O107" s="5">
        <f>IF(COUNT(O96,O97,O98)=0,NA(),SUM(O96,O97,O98))</f>
        <v>0</v>
      </c>
      <c r="P107" s="5">
        <f>IF(COUNT(P96,P97,P98)=0,NA(),SUM(P96,P97,P98))</f>
        <v>0</v>
      </c>
      <c r="Q107" s="5">
        <f>IF(COUNT(Q96,Q97,Q98)=0,NA(),SUM(Q96,Q97,Q98))</f>
        <v>0</v>
      </c>
      <c r="R107" s="5">
        <f>IF(COUNT(R96,R97,R98)=0,NA(),SUM(R96,R97,R98))</f>
        <v>0</v>
      </c>
      <c r="S107" s="5">
        <f>IF(COUNT(S96,S97,S98)=0,NA(),SUM(S96,S97,S98))</f>
        <v>0</v>
      </c>
      <c r="T107" s="5">
        <f>IF(COUNT(T96,T97,T98)=0,NA(),SUM(T96,T97,T98))</f>
        <v>0</v>
      </c>
      <c r="U107" s="5">
        <f>IF(COUNT(U96,U97,U98)=0,NA(),SUM(U96,U97,U98))</f>
        <v>0</v>
      </c>
      <c r="V107" s="5">
        <f>IF(COUNT(V96,V97,V98)=0,NA(),SUM(V96,V97,V98))</f>
        <v>0</v>
      </c>
      <c r="W107" s="5">
        <f>IF(COUNT(W96,W97,W98)=0,NA(),SUM(W96,W97,W98))</f>
        <v>0</v>
      </c>
      <c r="X107" s="5">
        <f>IF(COUNT(X96,X97,X98)=0,NA(),SUM(X96,X97,X98))</f>
        <v>0</v>
      </c>
      <c r="Y107" s="5">
        <f>IF(COUNT(Y96,Y97,Y98)=0,NA(),SUM(Y96,Y97,Y98))</f>
        <v>0</v>
      </c>
      <c r="Z107" s="5">
        <f>IF(COUNT(Z96,Z97,Z98)=0,NA(),SUM(Z96,Z97,Z98))</f>
        <v>0</v>
      </c>
      <c r="AA107" s="5">
        <f>IF(COUNT(AA96,AA97,AA98)=0,NA(),SUM(AA96,AA97,AA98))</f>
        <v>0</v>
      </c>
      <c r="AB107" s="5">
        <f>IF(COUNT(AB96,AB97,AB98)=0,NA(),SUM(AB96,AB97,AB98))</f>
        <v>0</v>
      </c>
      <c r="AC107" s="5">
        <f>IF(COUNT(AC96,AC97,AC98)=0,NA(),SUM(AC96,AC97,AC98))</f>
        <v>0</v>
      </c>
      <c r="AD107" s="5">
        <f>IF(COUNT(AD96,AD97,AD98)=0,NA(),SUM(AD96,AD97,AD98))</f>
        <v>0</v>
      </c>
    </row>
    <row r="108" spans="1:68">
      <c r="A108" s="11" t="s">
        <v>279</v>
      </c>
      <c r="B108" s="11" t="s">
        <v>280</v>
      </c>
      <c r="C108" s="3" t="s">
        <v>137</v>
      </c>
      <c r="D108" s="5">
        <f>IF(AND(ISNUMBER(D105),ISNUMBER(D106)),D105-D106,NA())</f>
        <v>0</v>
      </c>
      <c r="E108" s="5">
        <f>IF(AND(ISNUMBER(E105),ISNUMBER(E106)),E105-E106,NA())</f>
        <v>0</v>
      </c>
      <c r="F108" s="5">
        <f>IF(AND(ISNUMBER(F105),ISNUMBER(F106)),F105-F106,NA())</f>
        <v>0</v>
      </c>
      <c r="G108" s="5">
        <f>IF(AND(ISNUMBER(G105),ISNUMBER(G106)),G105-G106,NA())</f>
        <v>0</v>
      </c>
      <c r="H108" s="5">
        <f>IF(AND(ISNUMBER(H105),ISNUMBER(H106)),H105-H106,NA())</f>
        <v>0</v>
      </c>
      <c r="I108" s="5">
        <f>IF(AND(ISNUMBER(I105),ISNUMBER(I106)),I105-I106,NA())</f>
        <v>0</v>
      </c>
      <c r="J108" s="5">
        <f>IF(AND(ISNUMBER(J105),ISNUMBER(J106)),J105-J106,NA())</f>
        <v>0</v>
      </c>
      <c r="K108" s="5">
        <f>IF(AND(ISNUMBER(K105),ISNUMBER(K106)),K105-K106,NA())</f>
        <v>0</v>
      </c>
      <c r="L108" s="5">
        <f>IF(AND(ISNUMBER(L105),ISNUMBER(L106)),L105-L106,NA())</f>
        <v>0</v>
      </c>
      <c r="M108" s="5">
        <f>IF(AND(ISNUMBER(M105),ISNUMBER(M106)),M105-M106,NA())</f>
        <v>0</v>
      </c>
      <c r="N108" s="5">
        <f>IF(AND(ISNUMBER(N105),ISNUMBER(N106)),N105-N106,NA())</f>
        <v>0</v>
      </c>
      <c r="O108" s="5">
        <f>IF(AND(ISNUMBER(O105),ISNUMBER(O106)),O105-O106,NA())</f>
        <v>0</v>
      </c>
      <c r="P108" s="5">
        <f>IF(AND(ISNUMBER(P105),ISNUMBER(P106)),P105-P106,NA())</f>
        <v>0</v>
      </c>
      <c r="Q108" s="5">
        <f>IF(AND(ISNUMBER(Q105),ISNUMBER(Q106)),Q105-Q106,NA())</f>
        <v>0</v>
      </c>
      <c r="R108" s="5">
        <f>IF(AND(ISNUMBER(R105),ISNUMBER(R106)),R105-R106,NA())</f>
        <v>0</v>
      </c>
      <c r="S108" s="5">
        <f>IF(AND(ISNUMBER(S105),ISNUMBER(S106)),S105-S106,NA())</f>
        <v>0</v>
      </c>
      <c r="T108" s="5">
        <f>IF(AND(ISNUMBER(T105),ISNUMBER(T106)),T105-T106,NA())</f>
        <v>0</v>
      </c>
      <c r="U108" s="5">
        <f>IF(AND(ISNUMBER(U105),ISNUMBER(U106)),U105-U106,NA())</f>
        <v>0</v>
      </c>
      <c r="V108" s="5">
        <f>IF(AND(ISNUMBER(V105),ISNUMBER(V106)),V105-V106,NA())</f>
        <v>0</v>
      </c>
      <c r="W108" s="5">
        <f>IF(AND(ISNUMBER(W105),ISNUMBER(W106)),W105-W106,NA())</f>
        <v>0</v>
      </c>
      <c r="X108" s="5">
        <f>IF(AND(ISNUMBER(X105),ISNUMBER(X106)),X105-X106,NA())</f>
        <v>0</v>
      </c>
      <c r="Y108" s="5">
        <f>IF(AND(ISNUMBER(Y105),ISNUMBER(Y106)),Y105-Y106,NA())</f>
        <v>0</v>
      </c>
      <c r="Z108" s="5">
        <f>IF(AND(ISNUMBER(Z105),ISNUMBER(Z106)),Z105-Z106,NA())</f>
        <v>0</v>
      </c>
      <c r="AA108" s="5">
        <f>IF(AND(ISNUMBER(AA105),ISNUMBER(AA106)),AA105-AA106,NA())</f>
        <v>0</v>
      </c>
      <c r="AB108" s="5">
        <f>IF(AND(ISNUMBER(AB105),ISNUMBER(AB106)),AB105-AB106,NA())</f>
        <v>0</v>
      </c>
      <c r="AC108" s="5">
        <f>IF(AND(ISNUMBER(AC105),ISNUMBER(AC106)),AC105-AC106,NA())</f>
        <v>0</v>
      </c>
      <c r="AD108" s="5">
        <f>IF(AND(ISNUMBER(AD105),ISNUMBER(AD106)),AD105-AD106,NA())</f>
        <v>0</v>
      </c>
    </row>
    <row r="109" spans="1:68">
      <c r="A109" s="11" t="s">
        <v>281</v>
      </c>
      <c r="B109" s="11" t="s">
        <v>282</v>
      </c>
      <c r="C109" s="3" t="s">
        <v>144</v>
      </c>
      <c r="AQ109" s="5">
        <f>IF(AQ$93=0,NA(),MAX(1,_xlfn.AGGREGATE(4,6,INDEX($D$107:$AD$107,MAX(1,$D$91+1-$D$90)):INDEX($D$107:$AD$107,$D$91)),N(Konfiguration!$F$11)))</f>
        <v>0</v>
      </c>
      <c r="AR109" s="5">
        <f>IF(AR$93=0,NA(),MAX(1,_xlfn.AGGREGATE(4,6,INDEX($D$107:$AD$107,MAX(1,$D$91+1-$D$90)):INDEX($D$107:$AD$107,$D$91)),N(Konfiguration!$F$11)))</f>
        <v>0</v>
      </c>
      <c r="AS109" s="5">
        <f>IF(AS$93=0,NA(),MAX(1,_xlfn.AGGREGATE(4,6,INDEX($D$107:$AD$107,MAX(1,$D$91+1-$D$90)):INDEX($D$107:$AD$107,$D$91)),N(Konfiguration!$F$11)))</f>
        <v>0</v>
      </c>
      <c r="AT109" s="5">
        <f>IF(AT$93=0,NA(),MAX(1,_xlfn.AGGREGATE(4,6,INDEX($D$107:$AD$107,MAX(1,$D$91+1-$D$90)):INDEX($D$107:$AD$107,$D$91)),N(Konfiguration!$F$11)))</f>
        <v>0</v>
      </c>
      <c r="AU109" s="5">
        <f>IF(AU$93=0,NA(),MAX(1,_xlfn.AGGREGATE(4,6,INDEX($D$107:$AD$107,MAX(1,$D$91+1-$D$90)):INDEX($D$107:$AD$107,$D$91)),N(Konfiguration!$F$11)))</f>
        <v>0</v>
      </c>
      <c r="AV109" s="5">
        <f>IF(AV$93=0,NA(),MAX(1,_xlfn.AGGREGATE(4,6,INDEX($D$107:$AD$107,MAX(1,$D$91+1-$D$90)):INDEX($D$107:$AD$107,$D$91)),N(Konfiguration!$F$11)))</f>
        <v>0</v>
      </c>
      <c r="AW109" s="5">
        <f>IF(AW$93=0,NA(),MAX(1,_xlfn.AGGREGATE(4,6,INDEX($D$107:$AD$107,MAX(1,$D$91+1-$D$90)):INDEX($D$107:$AD$107,$D$91)),N(Konfiguration!$F$11)))</f>
        <v>0</v>
      </c>
      <c r="AX109" s="5">
        <f>IF(AX$93=0,NA(),MAX(1,_xlfn.AGGREGATE(4,6,INDEX($D$107:$AD$107,MAX(1,$D$91+1-$D$90)):INDEX($D$107:$AD$107,$D$91)),N(Konfiguration!$F$11)))</f>
        <v>0</v>
      </c>
      <c r="AY109" s="5">
        <f>IF(AY$93=0,NA(),MAX(1,_xlfn.AGGREGATE(4,6,INDEX($D$107:$AD$107,MAX(1,$D$91+1-$D$90)):INDEX($D$107:$AD$107,$D$91)),N(Konfiguration!$F$11)))</f>
        <v>0</v>
      </c>
      <c r="AZ109" s="5">
        <f>IF(AZ$93=0,NA(),MAX(1,_xlfn.AGGREGATE(4,6,INDEX($D$107:$AD$107,MAX(1,$D$91+1-$D$90)):INDEX($D$107:$AD$107,$D$91)),N(Konfiguration!$F$11)))</f>
        <v>0</v>
      </c>
      <c r="BA109" s="5">
        <f>IF(BA$93=0,NA(),MAX(1,_xlfn.AGGREGATE(4,6,INDEX($D$107:$AD$107,MAX(1,$D$91+1-$D$90)):INDEX($D$107:$AD$107,$D$91)),N(Konfiguration!$F$11)))</f>
        <v>0</v>
      </c>
      <c r="BB109" s="5">
        <f>IF(BB$93=0,NA(),MAX(1,_xlfn.AGGREGATE(4,6,INDEX($D$107:$AD$107,MAX(1,$D$91+1-$D$90)):INDEX($D$107:$AD$107,$D$91)),N(Konfiguration!$F$11)))</f>
        <v>0</v>
      </c>
      <c r="BC109" s="5">
        <f>IF(BC$93=0,NA(),MAX(1,_xlfn.AGGREGATE(4,6,INDEX($D$107:$AD$107,MAX(1,$D$91+1-$D$90)):INDEX($D$107:$AD$107,$D$91)),N(Konfiguration!$F$11)))</f>
        <v>0</v>
      </c>
      <c r="BD109" s="5">
        <f>IF(BD$93=0,NA(),MAX(1,_xlfn.AGGREGATE(4,6,INDEX($D$107:$AD$107,MAX(1,$D$91+1-$D$90)):INDEX($D$107:$AD$107,$D$91)),N(Konfiguration!$F$11)))</f>
        <v>0</v>
      </c>
      <c r="BE109" s="5">
        <f>IF(BE$93=0,NA(),MAX(1,_xlfn.AGGREGATE(4,6,INDEX($D$107:$AD$107,MAX(1,$D$91+1-$D$90)):INDEX($D$107:$AD$107,$D$91)),N(Konfiguration!$F$11)))</f>
        <v>0</v>
      </c>
      <c r="BF109" s="5">
        <f>IF(BF$93=0,NA(),MAX(1,_xlfn.AGGREGATE(4,6,INDEX($D$107:$AD$107,MAX(1,$D$91+1-$D$90)):INDEX($D$107:$AD$107,$D$91)),N(Konfiguration!$F$11)))</f>
        <v>0</v>
      </c>
      <c r="BG109" s="5">
        <f>IF(BG$93=0,NA(),MAX(1,_xlfn.AGGREGATE(4,6,INDEX($D$107:$AD$107,MAX(1,$D$91+1-$D$90)):INDEX($D$107:$AD$107,$D$91)),N(Konfiguration!$F$11)))</f>
        <v>0</v>
      </c>
      <c r="BH109" s="5">
        <f>IF(BH$93=0,NA(),MAX(1,_xlfn.AGGREGATE(4,6,INDEX($D$107:$AD$107,MAX(1,$D$91+1-$D$90)):INDEX($D$107:$AD$107,$D$91)),N(Konfiguration!$F$11)))</f>
        <v>0</v>
      </c>
      <c r="BI109" s="5">
        <f>IF(BI$93=0,NA(),MAX(1,_xlfn.AGGREGATE(4,6,INDEX($D$107:$AD$107,MAX(1,$D$91+1-$D$90)):INDEX($D$107:$AD$107,$D$91)),N(Konfiguration!$F$11)))</f>
        <v>0</v>
      </c>
      <c r="BJ109" s="5">
        <f>IF(BJ$93=0,NA(),MAX(1,_xlfn.AGGREGATE(4,6,INDEX($D$107:$AD$107,MAX(1,$D$91+1-$D$90)):INDEX($D$107:$AD$107,$D$91)),N(Konfiguration!$F$11)))</f>
        <v>0</v>
      </c>
      <c r="BK109" s="5">
        <f>IF(BK$93=0,NA(),MAX(1,_xlfn.AGGREGATE(4,6,INDEX($D$107:$AD$107,MAX(1,$D$91+1-$D$90)):INDEX($D$107:$AD$107,$D$91)),N(Konfiguration!$F$11)))</f>
        <v>0</v>
      </c>
      <c r="BL109" s="5">
        <f>IF(BL$93=0,NA(),MAX(1,_xlfn.AGGREGATE(4,6,INDEX($D$107:$AD$107,MAX(1,$D$91+1-$D$90)):INDEX($D$107:$AD$107,$D$91)),N(Konfiguration!$F$11)))</f>
        <v>0</v>
      </c>
      <c r="BM109" s="5">
        <f>IF(BM$93=0,NA(),MAX(1,_xlfn.AGGREGATE(4,6,INDEX($D$107:$AD$107,MAX(1,$D$91+1-$D$90)):INDEX($D$107:$AD$107,$D$91)),N(Konfiguration!$F$11)))</f>
        <v>0</v>
      </c>
      <c r="BN109" s="5">
        <f>IF(BN$93=0,NA(),MAX(1,_xlfn.AGGREGATE(4,6,INDEX($D$107:$AD$107,MAX(1,$D$91+1-$D$90)):INDEX($D$107:$AD$107,$D$91)),N(Konfiguration!$F$11)))</f>
        <v>0</v>
      </c>
      <c r="BO109" s="5">
        <f>IF(BO$93=0,NA(),MAX(1,_xlfn.AGGREGATE(4,6,INDEX($D$107:$AD$107,MAX(1,$D$91+1-$D$90)):INDEX($D$107:$AD$107,$D$91)),N(Konfiguration!$F$11)))</f>
        <v>0</v>
      </c>
      <c r="BP109" s="5">
        <f>IF(BP$93=0,NA(),MAX(1,_xlfn.AGGREGATE(4,6,INDEX($D$107:$AD$107,MAX(1,$D$91+1-$D$90)):INDEX($D$107:$AD$107,$D$91)),N(Konfiguration!$F$11)))</f>
        <v>0</v>
      </c>
    </row>
    <row r="110" spans="1:68">
      <c r="A110" s="11" t="s">
        <v>283</v>
      </c>
      <c r="B110" s="11" t="s">
        <v>284</v>
      </c>
      <c r="C110" s="3" t="s">
        <v>144</v>
      </c>
      <c r="AQ110" s="5">
        <f>IF(AQ$93=0,NA(),IF(ISNUMBER(INDEX($D$97:$AD$97,AQ$93)),INDEX($D$97:$AD$97,AQ$93)/AQ109,NA()))</f>
        <v>0</v>
      </c>
      <c r="AR110" s="5">
        <f>IF(AR$93=0,NA(),IF(ISNUMBER(INDEX($D$97:$AD$97,AR$93)),INDEX($D$97:$AD$97,AR$93)/AR109,NA()))</f>
        <v>0</v>
      </c>
      <c r="AS110" s="5">
        <f>IF(AS$93=0,NA(),IF(ISNUMBER(INDEX($D$97:$AD$97,AS$93)),INDEX($D$97:$AD$97,AS$93)/AS109,NA()))</f>
        <v>0</v>
      </c>
      <c r="AT110" s="5">
        <f>IF(AT$93=0,NA(),IF(ISNUMBER(INDEX($D$97:$AD$97,AT$93)),INDEX($D$97:$AD$97,AT$93)/AT109,NA()))</f>
        <v>0</v>
      </c>
      <c r="AU110" s="5">
        <f>IF(AU$93=0,NA(),IF(ISNUMBER(INDEX($D$97:$AD$97,AU$93)),INDEX($D$97:$AD$97,AU$93)/AU109,NA()))</f>
        <v>0</v>
      </c>
      <c r="AV110" s="5">
        <f>IF(AV$93=0,NA(),IF(ISNUMBER(INDEX($D$97:$AD$97,AV$93)),INDEX($D$97:$AD$97,AV$93)/AV109,NA()))</f>
        <v>0</v>
      </c>
      <c r="AW110" s="5">
        <f>IF(AW$93=0,NA(),IF(ISNUMBER(INDEX($D$97:$AD$97,AW$93)),INDEX($D$97:$AD$97,AW$93)/AW109,NA()))</f>
        <v>0</v>
      </c>
      <c r="AX110" s="5">
        <f>IF(AX$93=0,NA(),IF(ISNUMBER(INDEX($D$97:$AD$97,AX$93)),INDEX($D$97:$AD$97,AX$93)/AX109,NA()))</f>
        <v>0</v>
      </c>
      <c r="AY110" s="5">
        <f>IF(AY$93=0,NA(),IF(ISNUMBER(INDEX($D$97:$AD$97,AY$93)),INDEX($D$97:$AD$97,AY$93)/AY109,NA()))</f>
        <v>0</v>
      </c>
      <c r="AZ110" s="5">
        <f>IF(AZ$93=0,NA(),IF(ISNUMBER(INDEX($D$97:$AD$97,AZ$93)),INDEX($D$97:$AD$97,AZ$93)/AZ109,NA()))</f>
        <v>0</v>
      </c>
      <c r="BA110" s="5">
        <f>IF(BA$93=0,NA(),IF(ISNUMBER(INDEX($D$97:$AD$97,BA$93)),INDEX($D$97:$AD$97,BA$93)/BA109,NA()))</f>
        <v>0</v>
      </c>
      <c r="BB110" s="5">
        <f>IF(BB$93=0,NA(),IF(ISNUMBER(INDEX($D$97:$AD$97,BB$93)),INDEX($D$97:$AD$97,BB$93)/BB109,NA()))</f>
        <v>0</v>
      </c>
      <c r="BC110" s="5">
        <f>IF(BC$93=0,NA(),IF(ISNUMBER(INDEX($D$97:$AD$97,BC$93)),INDEX($D$97:$AD$97,BC$93)/BC109,NA()))</f>
        <v>0</v>
      </c>
      <c r="BD110" s="5">
        <f>IF(BD$93=0,NA(),IF(ISNUMBER(INDEX($D$97:$AD$97,BD$93)),INDEX($D$97:$AD$97,BD$93)/BD109,NA()))</f>
        <v>0</v>
      </c>
      <c r="BE110" s="5">
        <f>IF(BE$93=0,NA(),IF(ISNUMBER(INDEX($D$97:$AD$97,BE$93)),INDEX($D$97:$AD$97,BE$93)/BE109,NA()))</f>
        <v>0</v>
      </c>
      <c r="BF110" s="5">
        <f>IF(BF$93=0,NA(),IF(ISNUMBER(INDEX($D$97:$AD$97,BF$93)),INDEX($D$97:$AD$97,BF$93)/BF109,NA()))</f>
        <v>0</v>
      </c>
      <c r="BG110" s="5">
        <f>IF(BG$93=0,NA(),IF(ISNUMBER(INDEX($D$97:$AD$97,BG$93)),INDEX($D$97:$AD$97,BG$93)/BG109,NA()))</f>
        <v>0</v>
      </c>
      <c r="BH110" s="5">
        <f>IF(BH$93=0,NA(),IF(ISNUMBER(INDEX($D$97:$AD$97,BH$93)),INDEX($D$97:$AD$97,BH$93)/BH109,NA()))</f>
        <v>0</v>
      </c>
      <c r="BI110" s="5">
        <f>IF(BI$93=0,NA(),IF(ISNUMBER(INDEX($D$97:$AD$97,BI$93)),INDEX($D$97:$AD$97,BI$93)/BI109,NA()))</f>
        <v>0</v>
      </c>
      <c r="BJ110" s="5">
        <f>IF(BJ$93=0,NA(),IF(ISNUMBER(INDEX($D$97:$AD$97,BJ$93)),INDEX($D$97:$AD$97,BJ$93)/BJ109,NA()))</f>
        <v>0</v>
      </c>
      <c r="BK110" s="5">
        <f>IF(BK$93=0,NA(),IF(ISNUMBER(INDEX($D$97:$AD$97,BK$93)),INDEX($D$97:$AD$97,BK$93)/BK109,NA()))</f>
        <v>0</v>
      </c>
      <c r="BL110" s="5">
        <f>IF(BL$93=0,NA(),IF(ISNUMBER(INDEX($D$97:$AD$97,BL$93)),INDEX($D$97:$AD$97,BL$93)/BL109,NA()))</f>
        <v>0</v>
      </c>
      <c r="BM110" s="5">
        <f>IF(BM$93=0,NA(),IF(ISNUMBER(INDEX($D$97:$AD$97,BM$93)),INDEX($D$97:$AD$97,BM$93)/BM109,NA()))</f>
        <v>0</v>
      </c>
      <c r="BN110" s="5">
        <f>IF(BN$93=0,NA(),IF(ISNUMBER(INDEX($D$97:$AD$97,BN$93)),INDEX($D$97:$AD$97,BN$93)/BN109,NA()))</f>
        <v>0</v>
      </c>
      <c r="BO110" s="5">
        <f>IF(BO$93=0,NA(),IF(ISNUMBER(INDEX($D$97:$AD$97,BO$93)),INDEX($D$97:$AD$97,BO$93)/BO109,NA()))</f>
        <v>0</v>
      </c>
      <c r="BP110" s="5">
        <f>IF(BP$93=0,NA(),IF(ISNUMBER(INDEX($D$97:$AD$97,BP$93)),INDEX($D$97:$AD$97,BP$93)/BP109,NA()))</f>
        <v>0</v>
      </c>
    </row>
    <row r="111" spans="1:68">
      <c r="A111" s="11" t="s">
        <v>285</v>
      </c>
      <c r="B111" s="11" t="s">
        <v>286</v>
      </c>
      <c r="C111" s="3" t="s">
        <v>144</v>
      </c>
      <c r="AQ111" s="5">
        <f>IF(AQ$93=0,NA(),IF(ISNUMBER(INDEX($D$96:$AD$96,AQ$93)),INDEX($D$96:$AD$96,AQ$93)/AQ109,NA()))</f>
        <v>0</v>
      </c>
      <c r="AR111" s="5">
        <f>IF(AR$93=0,NA(),IF(ISNUMBER(INDEX($D$96:$AD$96,AR$93)),INDEX($D$96:$AD$96,AR$93)/AR109,NA()))</f>
        <v>0</v>
      </c>
      <c r="AS111" s="5">
        <f>IF(AS$93=0,NA(),IF(ISNUMBER(INDEX($D$96:$AD$96,AS$93)),INDEX($D$96:$AD$96,AS$93)/AS109,NA()))</f>
        <v>0</v>
      </c>
      <c r="AT111" s="5">
        <f>IF(AT$93=0,NA(),IF(ISNUMBER(INDEX($D$96:$AD$96,AT$93)),INDEX($D$96:$AD$96,AT$93)/AT109,NA()))</f>
        <v>0</v>
      </c>
      <c r="AU111" s="5">
        <f>IF(AU$93=0,NA(),IF(ISNUMBER(INDEX($D$96:$AD$96,AU$93)),INDEX($D$96:$AD$96,AU$93)/AU109,NA()))</f>
        <v>0</v>
      </c>
      <c r="AV111" s="5">
        <f>IF(AV$93=0,NA(),IF(ISNUMBER(INDEX($D$96:$AD$96,AV$93)),INDEX($D$96:$AD$96,AV$93)/AV109,NA()))</f>
        <v>0</v>
      </c>
      <c r="AW111" s="5">
        <f>IF(AW$93=0,NA(),IF(ISNUMBER(INDEX($D$96:$AD$96,AW$93)),INDEX($D$96:$AD$96,AW$93)/AW109,NA()))</f>
        <v>0</v>
      </c>
      <c r="AX111" s="5">
        <f>IF(AX$93=0,NA(),IF(ISNUMBER(INDEX($D$96:$AD$96,AX$93)),INDEX($D$96:$AD$96,AX$93)/AX109,NA()))</f>
        <v>0</v>
      </c>
      <c r="AY111" s="5">
        <f>IF(AY$93=0,NA(),IF(ISNUMBER(INDEX($D$96:$AD$96,AY$93)),INDEX($D$96:$AD$96,AY$93)/AY109,NA()))</f>
        <v>0</v>
      </c>
      <c r="AZ111" s="5">
        <f>IF(AZ$93=0,NA(),IF(ISNUMBER(INDEX($D$96:$AD$96,AZ$93)),INDEX($D$96:$AD$96,AZ$93)/AZ109,NA()))</f>
        <v>0</v>
      </c>
      <c r="BA111" s="5">
        <f>IF(BA$93=0,NA(),IF(ISNUMBER(INDEX($D$96:$AD$96,BA$93)),INDEX($D$96:$AD$96,BA$93)/BA109,NA()))</f>
        <v>0</v>
      </c>
      <c r="BB111" s="5">
        <f>IF(BB$93=0,NA(),IF(ISNUMBER(INDEX($D$96:$AD$96,BB$93)),INDEX($D$96:$AD$96,BB$93)/BB109,NA()))</f>
        <v>0</v>
      </c>
      <c r="BC111" s="5">
        <f>IF(BC$93=0,NA(),IF(ISNUMBER(INDEX($D$96:$AD$96,BC$93)),INDEX($D$96:$AD$96,BC$93)/BC109,NA()))</f>
        <v>0</v>
      </c>
      <c r="BD111" s="5">
        <f>IF(BD$93=0,NA(),IF(ISNUMBER(INDEX($D$96:$AD$96,BD$93)),INDEX($D$96:$AD$96,BD$93)/BD109,NA()))</f>
        <v>0</v>
      </c>
      <c r="BE111" s="5">
        <f>IF(BE$93=0,NA(),IF(ISNUMBER(INDEX($D$96:$AD$96,BE$93)),INDEX($D$96:$AD$96,BE$93)/BE109,NA()))</f>
        <v>0</v>
      </c>
      <c r="BF111" s="5">
        <f>IF(BF$93=0,NA(),IF(ISNUMBER(INDEX($D$96:$AD$96,BF$93)),INDEX($D$96:$AD$96,BF$93)/BF109,NA()))</f>
        <v>0</v>
      </c>
      <c r="BG111" s="5">
        <f>IF(BG$93=0,NA(),IF(ISNUMBER(INDEX($D$96:$AD$96,BG$93)),INDEX($D$96:$AD$96,BG$93)/BG109,NA()))</f>
        <v>0</v>
      </c>
      <c r="BH111" s="5">
        <f>IF(BH$93=0,NA(),IF(ISNUMBER(INDEX($D$96:$AD$96,BH$93)),INDEX($D$96:$AD$96,BH$93)/BH109,NA()))</f>
        <v>0</v>
      </c>
      <c r="BI111" s="5">
        <f>IF(BI$93=0,NA(),IF(ISNUMBER(INDEX($D$96:$AD$96,BI$93)),INDEX($D$96:$AD$96,BI$93)/BI109,NA()))</f>
        <v>0</v>
      </c>
      <c r="BJ111" s="5">
        <f>IF(BJ$93=0,NA(),IF(ISNUMBER(INDEX($D$96:$AD$96,BJ$93)),INDEX($D$96:$AD$96,BJ$93)/BJ109,NA()))</f>
        <v>0</v>
      </c>
      <c r="BK111" s="5">
        <f>IF(BK$93=0,NA(),IF(ISNUMBER(INDEX($D$96:$AD$96,BK$93)),INDEX($D$96:$AD$96,BK$93)/BK109,NA()))</f>
        <v>0</v>
      </c>
      <c r="BL111" s="5">
        <f>IF(BL$93=0,NA(),IF(ISNUMBER(INDEX($D$96:$AD$96,BL$93)),INDEX($D$96:$AD$96,BL$93)/BL109,NA()))</f>
        <v>0</v>
      </c>
      <c r="BM111" s="5">
        <f>IF(BM$93=0,NA(),IF(ISNUMBER(INDEX($D$96:$AD$96,BM$93)),INDEX($D$96:$AD$96,BM$93)/BM109,NA()))</f>
        <v>0</v>
      </c>
      <c r="BN111" s="5">
        <f>IF(BN$93=0,NA(),IF(ISNUMBER(INDEX($D$96:$AD$96,BN$93)),INDEX($D$96:$AD$96,BN$93)/BN109,NA()))</f>
        <v>0</v>
      </c>
      <c r="BO111" s="5">
        <f>IF(BO$93=0,NA(),IF(ISNUMBER(INDEX($D$96:$AD$96,BO$93)),INDEX($D$96:$AD$96,BO$93)/BO109,NA()))</f>
        <v>0</v>
      </c>
      <c r="BP111" s="5">
        <f>IF(BP$93=0,NA(),IF(ISNUMBER(INDEX($D$96:$AD$96,BP$93)),INDEX($D$96:$AD$96,BP$93)/BP109,NA()))</f>
        <v>0</v>
      </c>
    </row>
    <row r="112" spans="1:68">
      <c r="A112" s="11" t="s">
        <v>287</v>
      </c>
      <c r="B112" s="11" t="s">
        <v>288</v>
      </c>
      <c r="C112" s="3" t="s">
        <v>144</v>
      </c>
      <c r="AQ112" s="5">
        <f>IF(AQ$93=0,NA(),IF(ISNUMBER(INDEX($D$98:$AD$98,AQ$93)),INDEX($D$98:$AD$98,AQ$93)/AQ109,NA()))</f>
        <v>0</v>
      </c>
      <c r="AR112" s="5">
        <f>IF(AR$93=0,NA(),IF(ISNUMBER(INDEX($D$98:$AD$98,AR$93)),INDEX($D$98:$AD$98,AR$93)/AR109,NA()))</f>
        <v>0</v>
      </c>
      <c r="AS112" s="5">
        <f>IF(AS$93=0,NA(),IF(ISNUMBER(INDEX($D$98:$AD$98,AS$93)),INDEX($D$98:$AD$98,AS$93)/AS109,NA()))</f>
        <v>0</v>
      </c>
      <c r="AT112" s="5">
        <f>IF(AT$93=0,NA(),IF(ISNUMBER(INDEX($D$98:$AD$98,AT$93)),INDEX($D$98:$AD$98,AT$93)/AT109,NA()))</f>
        <v>0</v>
      </c>
      <c r="AU112" s="5">
        <f>IF(AU$93=0,NA(),IF(ISNUMBER(INDEX($D$98:$AD$98,AU$93)),INDEX($D$98:$AD$98,AU$93)/AU109,NA()))</f>
        <v>0</v>
      </c>
      <c r="AV112" s="5">
        <f>IF(AV$93=0,NA(),IF(ISNUMBER(INDEX($D$98:$AD$98,AV$93)),INDEX($D$98:$AD$98,AV$93)/AV109,NA()))</f>
        <v>0</v>
      </c>
      <c r="AW112" s="5">
        <f>IF(AW$93=0,NA(),IF(ISNUMBER(INDEX($D$98:$AD$98,AW$93)),INDEX($D$98:$AD$98,AW$93)/AW109,NA()))</f>
        <v>0</v>
      </c>
      <c r="AX112" s="5">
        <f>IF(AX$93=0,NA(),IF(ISNUMBER(INDEX($D$98:$AD$98,AX$93)),INDEX($D$98:$AD$98,AX$93)/AX109,NA()))</f>
        <v>0</v>
      </c>
      <c r="AY112" s="5">
        <f>IF(AY$93=0,NA(),IF(ISNUMBER(INDEX($D$98:$AD$98,AY$93)),INDEX($D$98:$AD$98,AY$93)/AY109,NA()))</f>
        <v>0</v>
      </c>
      <c r="AZ112" s="5">
        <f>IF(AZ$93=0,NA(),IF(ISNUMBER(INDEX($D$98:$AD$98,AZ$93)),INDEX($D$98:$AD$98,AZ$93)/AZ109,NA()))</f>
        <v>0</v>
      </c>
      <c r="BA112" s="5">
        <f>IF(BA$93=0,NA(),IF(ISNUMBER(INDEX($D$98:$AD$98,BA$93)),INDEX($D$98:$AD$98,BA$93)/BA109,NA()))</f>
        <v>0</v>
      </c>
      <c r="BB112" s="5">
        <f>IF(BB$93=0,NA(),IF(ISNUMBER(INDEX($D$98:$AD$98,BB$93)),INDEX($D$98:$AD$98,BB$93)/BB109,NA()))</f>
        <v>0</v>
      </c>
      <c r="BC112" s="5">
        <f>IF(BC$93=0,NA(),IF(ISNUMBER(INDEX($D$98:$AD$98,BC$93)),INDEX($D$98:$AD$98,BC$93)/BC109,NA()))</f>
        <v>0</v>
      </c>
      <c r="BD112" s="5">
        <f>IF(BD$93=0,NA(),IF(ISNUMBER(INDEX($D$98:$AD$98,BD$93)),INDEX($D$98:$AD$98,BD$93)/BD109,NA()))</f>
        <v>0</v>
      </c>
      <c r="BE112" s="5">
        <f>IF(BE$93=0,NA(),IF(ISNUMBER(INDEX($D$98:$AD$98,BE$93)),INDEX($D$98:$AD$98,BE$93)/BE109,NA()))</f>
        <v>0</v>
      </c>
      <c r="BF112" s="5">
        <f>IF(BF$93=0,NA(),IF(ISNUMBER(INDEX($D$98:$AD$98,BF$93)),INDEX($D$98:$AD$98,BF$93)/BF109,NA()))</f>
        <v>0</v>
      </c>
      <c r="BG112" s="5">
        <f>IF(BG$93=0,NA(),IF(ISNUMBER(INDEX($D$98:$AD$98,BG$93)),INDEX($D$98:$AD$98,BG$93)/BG109,NA()))</f>
        <v>0</v>
      </c>
      <c r="BH112" s="5">
        <f>IF(BH$93=0,NA(),IF(ISNUMBER(INDEX($D$98:$AD$98,BH$93)),INDEX($D$98:$AD$98,BH$93)/BH109,NA()))</f>
        <v>0</v>
      </c>
      <c r="BI112" s="5">
        <f>IF(BI$93=0,NA(),IF(ISNUMBER(INDEX($D$98:$AD$98,BI$93)),INDEX($D$98:$AD$98,BI$93)/BI109,NA()))</f>
        <v>0</v>
      </c>
      <c r="BJ112" s="5">
        <f>IF(BJ$93=0,NA(),IF(ISNUMBER(INDEX($D$98:$AD$98,BJ$93)),INDEX($D$98:$AD$98,BJ$93)/BJ109,NA()))</f>
        <v>0</v>
      </c>
      <c r="BK112" s="5">
        <f>IF(BK$93=0,NA(),IF(ISNUMBER(INDEX($D$98:$AD$98,BK$93)),INDEX($D$98:$AD$98,BK$93)/BK109,NA()))</f>
        <v>0</v>
      </c>
      <c r="BL112" s="5">
        <f>IF(BL$93=0,NA(),IF(ISNUMBER(INDEX($D$98:$AD$98,BL$93)),INDEX($D$98:$AD$98,BL$93)/BL109,NA()))</f>
        <v>0</v>
      </c>
      <c r="BM112" s="5">
        <f>IF(BM$93=0,NA(),IF(ISNUMBER(INDEX($D$98:$AD$98,BM$93)),INDEX($D$98:$AD$98,BM$93)/BM109,NA()))</f>
        <v>0</v>
      </c>
      <c r="BN112" s="5">
        <f>IF(BN$93=0,NA(),IF(ISNUMBER(INDEX($D$98:$AD$98,BN$93)),INDEX($D$98:$AD$98,BN$93)/BN109,NA()))</f>
        <v>0</v>
      </c>
      <c r="BO112" s="5">
        <f>IF(BO$93=0,NA(),IF(ISNUMBER(INDEX($D$98:$AD$98,BO$93)),INDEX($D$98:$AD$98,BO$93)/BO109,NA()))</f>
        <v>0</v>
      </c>
      <c r="BP112" s="5">
        <f>IF(BP$93=0,NA(),IF(ISNUMBER(INDEX($D$98:$AD$98,BP$93)),INDEX($D$98:$AD$98,BP$93)/BP109,NA()))</f>
        <v>0</v>
      </c>
    </row>
    <row r="113" spans="1:68">
      <c r="A113" s="11" t="s">
        <v>289</v>
      </c>
      <c r="B113" s="11" t="s">
        <v>290</v>
      </c>
      <c r="C113" s="3" t="s">
        <v>144</v>
      </c>
      <c r="AQ113" s="5">
        <f>IF(AQ$93=0,NA(),(_xlfn.AGGREGATE(9,6,INDEX($D$97:$AD$97,MAX(1,$D$91+1-$D$90)):INDEX($D$97:$AD$97,$D$91))&gt;_xlfn.AGGREGATE(9,6,INDEX($D$96:$AD$96,MAX(1,$D$91+1-$D$90)):INDEX($D$96:$AD$96,$D$91)))+(_xlfn.AGGREGATE(9,6,INDEX($D$97:$AD$97,MAX(1,$D$91+1-$D$90)):INDEX($D$97:$AD$97,$D$91))&gt;_xlfn.AGGREGATE(9,6,INDEX($D$98:$AD$98,MAX(1,$D$91+1-$D$90)):INDEX($D$98:$AD$98,$D$91)))+(_xlfn.AGGREGATE(9,6,INDEX($D$97:$AD$97,MAX(1,$D$91+1-$D$90)):INDEX($D$97:$AD$97,$D$91))=_xlfn.AGGREGATE(9,6,INDEX($D$98:$AD$98,MAX(1,$D$91+1-$D$90)):INDEX($D$98:$AD$98,$D$91))))</f>
        <v>0</v>
      </c>
      <c r="AR113" s="5">
        <f>IF(AR$93=0,NA(),(_xlfn.AGGREGATE(9,6,INDEX($D$97:$AD$97,MAX(1,$D$91+1-$D$90)):INDEX($D$97:$AD$97,$D$91))&gt;_xlfn.AGGREGATE(9,6,INDEX($D$96:$AD$96,MAX(1,$D$91+1-$D$90)):INDEX($D$96:$AD$96,$D$91)))+(_xlfn.AGGREGATE(9,6,INDEX($D$97:$AD$97,MAX(1,$D$91+1-$D$90)):INDEX($D$97:$AD$97,$D$91))&gt;_xlfn.AGGREGATE(9,6,INDEX($D$98:$AD$98,MAX(1,$D$91+1-$D$90)):INDEX($D$98:$AD$98,$D$91)))+(_xlfn.AGGREGATE(9,6,INDEX($D$97:$AD$97,MAX(1,$D$91+1-$D$90)):INDEX($D$97:$AD$97,$D$91))=_xlfn.AGGREGATE(9,6,INDEX($D$98:$AD$98,MAX(1,$D$91+1-$D$90)):INDEX($D$98:$AD$98,$D$91))))</f>
        <v>0</v>
      </c>
      <c r="AS113" s="5">
        <f>IF(AS$93=0,NA(),(_xlfn.AGGREGATE(9,6,INDEX($D$97:$AD$97,MAX(1,$D$91+1-$D$90)):INDEX($D$97:$AD$97,$D$91))&gt;_xlfn.AGGREGATE(9,6,INDEX($D$96:$AD$96,MAX(1,$D$91+1-$D$90)):INDEX($D$96:$AD$96,$D$91)))+(_xlfn.AGGREGATE(9,6,INDEX($D$97:$AD$97,MAX(1,$D$91+1-$D$90)):INDEX($D$97:$AD$97,$D$91))&gt;_xlfn.AGGREGATE(9,6,INDEX($D$98:$AD$98,MAX(1,$D$91+1-$D$90)):INDEX($D$98:$AD$98,$D$91)))+(_xlfn.AGGREGATE(9,6,INDEX($D$97:$AD$97,MAX(1,$D$91+1-$D$90)):INDEX($D$97:$AD$97,$D$91))=_xlfn.AGGREGATE(9,6,INDEX($D$98:$AD$98,MAX(1,$D$91+1-$D$90)):INDEX($D$98:$AD$98,$D$91))))</f>
        <v>0</v>
      </c>
      <c r="AT113" s="5">
        <f>IF(AT$93=0,NA(),(_xlfn.AGGREGATE(9,6,INDEX($D$97:$AD$97,MAX(1,$D$91+1-$D$90)):INDEX($D$97:$AD$97,$D$91))&gt;_xlfn.AGGREGATE(9,6,INDEX($D$96:$AD$96,MAX(1,$D$91+1-$D$90)):INDEX($D$96:$AD$96,$D$91)))+(_xlfn.AGGREGATE(9,6,INDEX($D$97:$AD$97,MAX(1,$D$91+1-$D$90)):INDEX($D$97:$AD$97,$D$91))&gt;_xlfn.AGGREGATE(9,6,INDEX($D$98:$AD$98,MAX(1,$D$91+1-$D$90)):INDEX($D$98:$AD$98,$D$91)))+(_xlfn.AGGREGATE(9,6,INDEX($D$97:$AD$97,MAX(1,$D$91+1-$D$90)):INDEX($D$97:$AD$97,$D$91))=_xlfn.AGGREGATE(9,6,INDEX($D$98:$AD$98,MAX(1,$D$91+1-$D$90)):INDEX($D$98:$AD$98,$D$91))))</f>
        <v>0</v>
      </c>
      <c r="AU113" s="5">
        <f>IF(AU$93=0,NA(),(_xlfn.AGGREGATE(9,6,INDEX($D$97:$AD$97,MAX(1,$D$91+1-$D$90)):INDEX($D$97:$AD$97,$D$91))&gt;_xlfn.AGGREGATE(9,6,INDEX($D$96:$AD$96,MAX(1,$D$91+1-$D$90)):INDEX($D$96:$AD$96,$D$91)))+(_xlfn.AGGREGATE(9,6,INDEX($D$97:$AD$97,MAX(1,$D$91+1-$D$90)):INDEX($D$97:$AD$97,$D$91))&gt;_xlfn.AGGREGATE(9,6,INDEX($D$98:$AD$98,MAX(1,$D$91+1-$D$90)):INDEX($D$98:$AD$98,$D$91)))+(_xlfn.AGGREGATE(9,6,INDEX($D$97:$AD$97,MAX(1,$D$91+1-$D$90)):INDEX($D$97:$AD$97,$D$91))=_xlfn.AGGREGATE(9,6,INDEX($D$98:$AD$98,MAX(1,$D$91+1-$D$90)):INDEX($D$98:$AD$98,$D$91))))</f>
        <v>0</v>
      </c>
      <c r="AV113" s="5">
        <f>IF(AV$93=0,NA(),(_xlfn.AGGREGATE(9,6,INDEX($D$97:$AD$97,MAX(1,$D$91+1-$D$90)):INDEX($D$97:$AD$97,$D$91))&gt;_xlfn.AGGREGATE(9,6,INDEX($D$96:$AD$96,MAX(1,$D$91+1-$D$90)):INDEX($D$96:$AD$96,$D$91)))+(_xlfn.AGGREGATE(9,6,INDEX($D$97:$AD$97,MAX(1,$D$91+1-$D$90)):INDEX($D$97:$AD$97,$D$91))&gt;_xlfn.AGGREGATE(9,6,INDEX($D$98:$AD$98,MAX(1,$D$91+1-$D$90)):INDEX($D$98:$AD$98,$D$91)))+(_xlfn.AGGREGATE(9,6,INDEX($D$97:$AD$97,MAX(1,$D$91+1-$D$90)):INDEX($D$97:$AD$97,$D$91))=_xlfn.AGGREGATE(9,6,INDEX($D$98:$AD$98,MAX(1,$D$91+1-$D$90)):INDEX($D$98:$AD$98,$D$91))))</f>
        <v>0</v>
      </c>
      <c r="AW113" s="5">
        <f>IF(AW$93=0,NA(),(_xlfn.AGGREGATE(9,6,INDEX($D$97:$AD$97,MAX(1,$D$91+1-$D$90)):INDEX($D$97:$AD$97,$D$91))&gt;_xlfn.AGGREGATE(9,6,INDEX($D$96:$AD$96,MAX(1,$D$91+1-$D$90)):INDEX($D$96:$AD$96,$D$91)))+(_xlfn.AGGREGATE(9,6,INDEX($D$97:$AD$97,MAX(1,$D$91+1-$D$90)):INDEX($D$97:$AD$97,$D$91))&gt;_xlfn.AGGREGATE(9,6,INDEX($D$98:$AD$98,MAX(1,$D$91+1-$D$90)):INDEX($D$98:$AD$98,$D$91)))+(_xlfn.AGGREGATE(9,6,INDEX($D$97:$AD$97,MAX(1,$D$91+1-$D$90)):INDEX($D$97:$AD$97,$D$91))=_xlfn.AGGREGATE(9,6,INDEX($D$98:$AD$98,MAX(1,$D$91+1-$D$90)):INDEX($D$98:$AD$98,$D$91))))</f>
        <v>0</v>
      </c>
      <c r="AX113" s="5">
        <f>IF(AX$93=0,NA(),(_xlfn.AGGREGATE(9,6,INDEX($D$97:$AD$97,MAX(1,$D$91+1-$D$90)):INDEX($D$97:$AD$97,$D$91))&gt;_xlfn.AGGREGATE(9,6,INDEX($D$96:$AD$96,MAX(1,$D$91+1-$D$90)):INDEX($D$96:$AD$96,$D$91)))+(_xlfn.AGGREGATE(9,6,INDEX($D$97:$AD$97,MAX(1,$D$91+1-$D$90)):INDEX($D$97:$AD$97,$D$91))&gt;_xlfn.AGGREGATE(9,6,INDEX($D$98:$AD$98,MAX(1,$D$91+1-$D$90)):INDEX($D$98:$AD$98,$D$91)))+(_xlfn.AGGREGATE(9,6,INDEX($D$97:$AD$97,MAX(1,$D$91+1-$D$90)):INDEX($D$97:$AD$97,$D$91))=_xlfn.AGGREGATE(9,6,INDEX($D$98:$AD$98,MAX(1,$D$91+1-$D$90)):INDEX($D$98:$AD$98,$D$91))))</f>
        <v>0</v>
      </c>
      <c r="AY113" s="5">
        <f>IF(AY$93=0,NA(),(_xlfn.AGGREGATE(9,6,INDEX($D$97:$AD$97,MAX(1,$D$91+1-$D$90)):INDEX($D$97:$AD$97,$D$91))&gt;_xlfn.AGGREGATE(9,6,INDEX($D$96:$AD$96,MAX(1,$D$91+1-$D$90)):INDEX($D$96:$AD$96,$D$91)))+(_xlfn.AGGREGATE(9,6,INDEX($D$97:$AD$97,MAX(1,$D$91+1-$D$90)):INDEX($D$97:$AD$97,$D$91))&gt;_xlfn.AGGREGATE(9,6,INDEX($D$98:$AD$98,MAX(1,$D$91+1-$D$90)):INDEX($D$98:$AD$98,$D$91)))+(_xlfn.AGGREGATE(9,6,INDEX($D$97:$AD$97,MAX(1,$D$91+1-$D$90)):INDEX($D$97:$AD$97,$D$91))=_xlfn.AGGREGATE(9,6,INDEX($D$98:$AD$98,MAX(1,$D$91+1-$D$90)):INDEX($D$98:$AD$98,$D$91))))</f>
        <v>0</v>
      </c>
      <c r="AZ113" s="5">
        <f>IF(AZ$93=0,NA(),(_xlfn.AGGREGATE(9,6,INDEX($D$97:$AD$97,MAX(1,$D$91+1-$D$90)):INDEX($D$97:$AD$97,$D$91))&gt;_xlfn.AGGREGATE(9,6,INDEX($D$96:$AD$96,MAX(1,$D$91+1-$D$90)):INDEX($D$96:$AD$96,$D$91)))+(_xlfn.AGGREGATE(9,6,INDEX($D$97:$AD$97,MAX(1,$D$91+1-$D$90)):INDEX($D$97:$AD$97,$D$91))&gt;_xlfn.AGGREGATE(9,6,INDEX($D$98:$AD$98,MAX(1,$D$91+1-$D$90)):INDEX($D$98:$AD$98,$D$91)))+(_xlfn.AGGREGATE(9,6,INDEX($D$97:$AD$97,MAX(1,$D$91+1-$D$90)):INDEX($D$97:$AD$97,$D$91))=_xlfn.AGGREGATE(9,6,INDEX($D$98:$AD$98,MAX(1,$D$91+1-$D$90)):INDEX($D$98:$AD$98,$D$91))))</f>
        <v>0</v>
      </c>
      <c r="BA113" s="5">
        <f>IF(BA$93=0,NA(),(_xlfn.AGGREGATE(9,6,INDEX($D$97:$AD$97,MAX(1,$D$91+1-$D$90)):INDEX($D$97:$AD$97,$D$91))&gt;_xlfn.AGGREGATE(9,6,INDEX($D$96:$AD$96,MAX(1,$D$91+1-$D$90)):INDEX($D$96:$AD$96,$D$91)))+(_xlfn.AGGREGATE(9,6,INDEX($D$97:$AD$97,MAX(1,$D$91+1-$D$90)):INDEX($D$97:$AD$97,$D$91))&gt;_xlfn.AGGREGATE(9,6,INDEX($D$98:$AD$98,MAX(1,$D$91+1-$D$90)):INDEX($D$98:$AD$98,$D$91)))+(_xlfn.AGGREGATE(9,6,INDEX($D$97:$AD$97,MAX(1,$D$91+1-$D$90)):INDEX($D$97:$AD$97,$D$91))=_xlfn.AGGREGATE(9,6,INDEX($D$98:$AD$98,MAX(1,$D$91+1-$D$90)):INDEX($D$98:$AD$98,$D$91))))</f>
        <v>0</v>
      </c>
      <c r="BB113" s="5">
        <f>IF(BB$93=0,NA(),(_xlfn.AGGREGATE(9,6,INDEX($D$97:$AD$97,MAX(1,$D$91+1-$D$90)):INDEX($D$97:$AD$97,$D$91))&gt;_xlfn.AGGREGATE(9,6,INDEX($D$96:$AD$96,MAX(1,$D$91+1-$D$90)):INDEX($D$96:$AD$96,$D$91)))+(_xlfn.AGGREGATE(9,6,INDEX($D$97:$AD$97,MAX(1,$D$91+1-$D$90)):INDEX($D$97:$AD$97,$D$91))&gt;_xlfn.AGGREGATE(9,6,INDEX($D$98:$AD$98,MAX(1,$D$91+1-$D$90)):INDEX($D$98:$AD$98,$D$91)))+(_xlfn.AGGREGATE(9,6,INDEX($D$97:$AD$97,MAX(1,$D$91+1-$D$90)):INDEX($D$97:$AD$97,$D$91))=_xlfn.AGGREGATE(9,6,INDEX($D$98:$AD$98,MAX(1,$D$91+1-$D$90)):INDEX($D$98:$AD$98,$D$91))))</f>
        <v>0</v>
      </c>
      <c r="BC113" s="5">
        <f>IF(BC$93=0,NA(),(_xlfn.AGGREGATE(9,6,INDEX($D$97:$AD$97,MAX(1,$D$91+1-$D$90)):INDEX($D$97:$AD$97,$D$91))&gt;_xlfn.AGGREGATE(9,6,INDEX($D$96:$AD$96,MAX(1,$D$91+1-$D$90)):INDEX($D$96:$AD$96,$D$91)))+(_xlfn.AGGREGATE(9,6,INDEX($D$97:$AD$97,MAX(1,$D$91+1-$D$90)):INDEX($D$97:$AD$97,$D$91))&gt;_xlfn.AGGREGATE(9,6,INDEX($D$98:$AD$98,MAX(1,$D$91+1-$D$90)):INDEX($D$98:$AD$98,$D$91)))+(_xlfn.AGGREGATE(9,6,INDEX($D$97:$AD$97,MAX(1,$D$91+1-$D$90)):INDEX($D$97:$AD$97,$D$91))=_xlfn.AGGREGATE(9,6,INDEX($D$98:$AD$98,MAX(1,$D$91+1-$D$90)):INDEX($D$98:$AD$98,$D$91))))</f>
        <v>0</v>
      </c>
      <c r="BD113" s="5">
        <f>IF(BD$93=0,NA(),(_xlfn.AGGREGATE(9,6,INDEX($D$97:$AD$97,MAX(1,$D$91+1-$D$90)):INDEX($D$97:$AD$97,$D$91))&gt;_xlfn.AGGREGATE(9,6,INDEX($D$96:$AD$96,MAX(1,$D$91+1-$D$90)):INDEX($D$96:$AD$96,$D$91)))+(_xlfn.AGGREGATE(9,6,INDEX($D$97:$AD$97,MAX(1,$D$91+1-$D$90)):INDEX($D$97:$AD$97,$D$91))&gt;_xlfn.AGGREGATE(9,6,INDEX($D$98:$AD$98,MAX(1,$D$91+1-$D$90)):INDEX($D$98:$AD$98,$D$91)))+(_xlfn.AGGREGATE(9,6,INDEX($D$97:$AD$97,MAX(1,$D$91+1-$D$90)):INDEX($D$97:$AD$97,$D$91))=_xlfn.AGGREGATE(9,6,INDEX($D$98:$AD$98,MAX(1,$D$91+1-$D$90)):INDEX($D$98:$AD$98,$D$91))))</f>
        <v>0</v>
      </c>
      <c r="BE113" s="5">
        <f>IF(BE$93=0,NA(),(_xlfn.AGGREGATE(9,6,INDEX($D$97:$AD$97,MAX(1,$D$91+1-$D$90)):INDEX($D$97:$AD$97,$D$91))&gt;_xlfn.AGGREGATE(9,6,INDEX($D$96:$AD$96,MAX(1,$D$91+1-$D$90)):INDEX($D$96:$AD$96,$D$91)))+(_xlfn.AGGREGATE(9,6,INDEX($D$97:$AD$97,MAX(1,$D$91+1-$D$90)):INDEX($D$97:$AD$97,$D$91))&gt;_xlfn.AGGREGATE(9,6,INDEX($D$98:$AD$98,MAX(1,$D$91+1-$D$90)):INDEX($D$98:$AD$98,$D$91)))+(_xlfn.AGGREGATE(9,6,INDEX($D$97:$AD$97,MAX(1,$D$91+1-$D$90)):INDEX($D$97:$AD$97,$D$91))=_xlfn.AGGREGATE(9,6,INDEX($D$98:$AD$98,MAX(1,$D$91+1-$D$90)):INDEX($D$98:$AD$98,$D$91))))</f>
        <v>0</v>
      </c>
      <c r="BF113" s="5">
        <f>IF(BF$93=0,NA(),(_xlfn.AGGREGATE(9,6,INDEX($D$97:$AD$97,MAX(1,$D$91+1-$D$90)):INDEX($D$97:$AD$97,$D$91))&gt;_xlfn.AGGREGATE(9,6,INDEX($D$96:$AD$96,MAX(1,$D$91+1-$D$90)):INDEX($D$96:$AD$96,$D$91)))+(_xlfn.AGGREGATE(9,6,INDEX($D$97:$AD$97,MAX(1,$D$91+1-$D$90)):INDEX($D$97:$AD$97,$D$91))&gt;_xlfn.AGGREGATE(9,6,INDEX($D$98:$AD$98,MAX(1,$D$91+1-$D$90)):INDEX($D$98:$AD$98,$D$91)))+(_xlfn.AGGREGATE(9,6,INDEX($D$97:$AD$97,MAX(1,$D$91+1-$D$90)):INDEX($D$97:$AD$97,$D$91))=_xlfn.AGGREGATE(9,6,INDEX($D$98:$AD$98,MAX(1,$D$91+1-$D$90)):INDEX($D$98:$AD$98,$D$91))))</f>
        <v>0</v>
      </c>
      <c r="BG113" s="5">
        <f>IF(BG$93=0,NA(),(_xlfn.AGGREGATE(9,6,INDEX($D$97:$AD$97,MAX(1,$D$91+1-$D$90)):INDEX($D$97:$AD$97,$D$91))&gt;_xlfn.AGGREGATE(9,6,INDEX($D$96:$AD$96,MAX(1,$D$91+1-$D$90)):INDEX($D$96:$AD$96,$D$91)))+(_xlfn.AGGREGATE(9,6,INDEX($D$97:$AD$97,MAX(1,$D$91+1-$D$90)):INDEX($D$97:$AD$97,$D$91))&gt;_xlfn.AGGREGATE(9,6,INDEX($D$98:$AD$98,MAX(1,$D$91+1-$D$90)):INDEX($D$98:$AD$98,$D$91)))+(_xlfn.AGGREGATE(9,6,INDEX($D$97:$AD$97,MAX(1,$D$91+1-$D$90)):INDEX($D$97:$AD$97,$D$91))=_xlfn.AGGREGATE(9,6,INDEX($D$98:$AD$98,MAX(1,$D$91+1-$D$90)):INDEX($D$98:$AD$98,$D$91))))</f>
        <v>0</v>
      </c>
      <c r="BH113" s="5">
        <f>IF(BH$93=0,NA(),(_xlfn.AGGREGATE(9,6,INDEX($D$97:$AD$97,MAX(1,$D$91+1-$D$90)):INDEX($D$97:$AD$97,$D$91))&gt;_xlfn.AGGREGATE(9,6,INDEX($D$96:$AD$96,MAX(1,$D$91+1-$D$90)):INDEX($D$96:$AD$96,$D$91)))+(_xlfn.AGGREGATE(9,6,INDEX($D$97:$AD$97,MAX(1,$D$91+1-$D$90)):INDEX($D$97:$AD$97,$D$91))&gt;_xlfn.AGGREGATE(9,6,INDEX($D$98:$AD$98,MAX(1,$D$91+1-$D$90)):INDEX($D$98:$AD$98,$D$91)))+(_xlfn.AGGREGATE(9,6,INDEX($D$97:$AD$97,MAX(1,$D$91+1-$D$90)):INDEX($D$97:$AD$97,$D$91))=_xlfn.AGGREGATE(9,6,INDEX($D$98:$AD$98,MAX(1,$D$91+1-$D$90)):INDEX($D$98:$AD$98,$D$91))))</f>
        <v>0</v>
      </c>
      <c r="BI113" s="5">
        <f>IF(BI$93=0,NA(),(_xlfn.AGGREGATE(9,6,INDEX($D$97:$AD$97,MAX(1,$D$91+1-$D$90)):INDEX($D$97:$AD$97,$D$91))&gt;_xlfn.AGGREGATE(9,6,INDEX($D$96:$AD$96,MAX(1,$D$91+1-$D$90)):INDEX($D$96:$AD$96,$D$91)))+(_xlfn.AGGREGATE(9,6,INDEX($D$97:$AD$97,MAX(1,$D$91+1-$D$90)):INDEX($D$97:$AD$97,$D$91))&gt;_xlfn.AGGREGATE(9,6,INDEX($D$98:$AD$98,MAX(1,$D$91+1-$D$90)):INDEX($D$98:$AD$98,$D$91)))+(_xlfn.AGGREGATE(9,6,INDEX($D$97:$AD$97,MAX(1,$D$91+1-$D$90)):INDEX($D$97:$AD$97,$D$91))=_xlfn.AGGREGATE(9,6,INDEX($D$98:$AD$98,MAX(1,$D$91+1-$D$90)):INDEX($D$98:$AD$98,$D$91))))</f>
        <v>0</v>
      </c>
      <c r="BJ113" s="5">
        <f>IF(BJ$93=0,NA(),(_xlfn.AGGREGATE(9,6,INDEX($D$97:$AD$97,MAX(1,$D$91+1-$D$90)):INDEX($D$97:$AD$97,$D$91))&gt;_xlfn.AGGREGATE(9,6,INDEX($D$96:$AD$96,MAX(1,$D$91+1-$D$90)):INDEX($D$96:$AD$96,$D$91)))+(_xlfn.AGGREGATE(9,6,INDEX($D$97:$AD$97,MAX(1,$D$91+1-$D$90)):INDEX($D$97:$AD$97,$D$91))&gt;_xlfn.AGGREGATE(9,6,INDEX($D$98:$AD$98,MAX(1,$D$91+1-$D$90)):INDEX($D$98:$AD$98,$D$91)))+(_xlfn.AGGREGATE(9,6,INDEX($D$97:$AD$97,MAX(1,$D$91+1-$D$90)):INDEX($D$97:$AD$97,$D$91))=_xlfn.AGGREGATE(9,6,INDEX($D$98:$AD$98,MAX(1,$D$91+1-$D$90)):INDEX($D$98:$AD$98,$D$91))))</f>
        <v>0</v>
      </c>
      <c r="BK113" s="5">
        <f>IF(BK$93=0,NA(),(_xlfn.AGGREGATE(9,6,INDEX($D$97:$AD$97,MAX(1,$D$91+1-$D$90)):INDEX($D$97:$AD$97,$D$91))&gt;_xlfn.AGGREGATE(9,6,INDEX($D$96:$AD$96,MAX(1,$D$91+1-$D$90)):INDEX($D$96:$AD$96,$D$91)))+(_xlfn.AGGREGATE(9,6,INDEX($D$97:$AD$97,MAX(1,$D$91+1-$D$90)):INDEX($D$97:$AD$97,$D$91))&gt;_xlfn.AGGREGATE(9,6,INDEX($D$98:$AD$98,MAX(1,$D$91+1-$D$90)):INDEX($D$98:$AD$98,$D$91)))+(_xlfn.AGGREGATE(9,6,INDEX($D$97:$AD$97,MAX(1,$D$91+1-$D$90)):INDEX($D$97:$AD$97,$D$91))=_xlfn.AGGREGATE(9,6,INDEX($D$98:$AD$98,MAX(1,$D$91+1-$D$90)):INDEX($D$98:$AD$98,$D$91))))</f>
        <v>0</v>
      </c>
      <c r="BL113" s="5">
        <f>IF(BL$93=0,NA(),(_xlfn.AGGREGATE(9,6,INDEX($D$97:$AD$97,MAX(1,$D$91+1-$D$90)):INDEX($D$97:$AD$97,$D$91))&gt;_xlfn.AGGREGATE(9,6,INDEX($D$96:$AD$96,MAX(1,$D$91+1-$D$90)):INDEX($D$96:$AD$96,$D$91)))+(_xlfn.AGGREGATE(9,6,INDEX($D$97:$AD$97,MAX(1,$D$91+1-$D$90)):INDEX($D$97:$AD$97,$D$91))&gt;_xlfn.AGGREGATE(9,6,INDEX($D$98:$AD$98,MAX(1,$D$91+1-$D$90)):INDEX($D$98:$AD$98,$D$91)))+(_xlfn.AGGREGATE(9,6,INDEX($D$97:$AD$97,MAX(1,$D$91+1-$D$90)):INDEX($D$97:$AD$97,$D$91))=_xlfn.AGGREGATE(9,6,INDEX($D$98:$AD$98,MAX(1,$D$91+1-$D$90)):INDEX($D$98:$AD$98,$D$91))))</f>
        <v>0</v>
      </c>
      <c r="BM113" s="5">
        <f>IF(BM$93=0,NA(),(_xlfn.AGGREGATE(9,6,INDEX($D$97:$AD$97,MAX(1,$D$91+1-$D$90)):INDEX($D$97:$AD$97,$D$91))&gt;_xlfn.AGGREGATE(9,6,INDEX($D$96:$AD$96,MAX(1,$D$91+1-$D$90)):INDEX($D$96:$AD$96,$D$91)))+(_xlfn.AGGREGATE(9,6,INDEX($D$97:$AD$97,MAX(1,$D$91+1-$D$90)):INDEX($D$97:$AD$97,$D$91))&gt;_xlfn.AGGREGATE(9,6,INDEX($D$98:$AD$98,MAX(1,$D$91+1-$D$90)):INDEX($D$98:$AD$98,$D$91)))+(_xlfn.AGGREGATE(9,6,INDEX($D$97:$AD$97,MAX(1,$D$91+1-$D$90)):INDEX($D$97:$AD$97,$D$91))=_xlfn.AGGREGATE(9,6,INDEX($D$98:$AD$98,MAX(1,$D$91+1-$D$90)):INDEX($D$98:$AD$98,$D$91))))</f>
        <v>0</v>
      </c>
      <c r="BN113" s="5">
        <f>IF(BN$93=0,NA(),(_xlfn.AGGREGATE(9,6,INDEX($D$97:$AD$97,MAX(1,$D$91+1-$D$90)):INDEX($D$97:$AD$97,$D$91))&gt;_xlfn.AGGREGATE(9,6,INDEX($D$96:$AD$96,MAX(1,$D$91+1-$D$90)):INDEX($D$96:$AD$96,$D$91)))+(_xlfn.AGGREGATE(9,6,INDEX($D$97:$AD$97,MAX(1,$D$91+1-$D$90)):INDEX($D$97:$AD$97,$D$91))&gt;_xlfn.AGGREGATE(9,6,INDEX($D$98:$AD$98,MAX(1,$D$91+1-$D$90)):INDEX($D$98:$AD$98,$D$91)))+(_xlfn.AGGREGATE(9,6,INDEX($D$97:$AD$97,MAX(1,$D$91+1-$D$90)):INDEX($D$97:$AD$97,$D$91))=_xlfn.AGGREGATE(9,6,INDEX($D$98:$AD$98,MAX(1,$D$91+1-$D$90)):INDEX($D$98:$AD$98,$D$91))))</f>
        <v>0</v>
      </c>
      <c r="BO113" s="5">
        <f>IF(BO$93=0,NA(),(_xlfn.AGGREGATE(9,6,INDEX($D$97:$AD$97,MAX(1,$D$91+1-$D$90)):INDEX($D$97:$AD$97,$D$91))&gt;_xlfn.AGGREGATE(9,6,INDEX($D$96:$AD$96,MAX(1,$D$91+1-$D$90)):INDEX($D$96:$AD$96,$D$91)))+(_xlfn.AGGREGATE(9,6,INDEX($D$97:$AD$97,MAX(1,$D$91+1-$D$90)):INDEX($D$97:$AD$97,$D$91))&gt;_xlfn.AGGREGATE(9,6,INDEX($D$98:$AD$98,MAX(1,$D$91+1-$D$90)):INDEX($D$98:$AD$98,$D$91)))+(_xlfn.AGGREGATE(9,6,INDEX($D$97:$AD$97,MAX(1,$D$91+1-$D$90)):INDEX($D$97:$AD$97,$D$91))=_xlfn.AGGREGATE(9,6,INDEX($D$98:$AD$98,MAX(1,$D$91+1-$D$90)):INDEX($D$98:$AD$98,$D$91))))</f>
        <v>0</v>
      </c>
      <c r="BP113" s="5">
        <f>IF(BP$93=0,NA(),(_xlfn.AGGREGATE(9,6,INDEX($D$97:$AD$97,MAX(1,$D$91+1-$D$90)):INDEX($D$97:$AD$97,$D$91))&gt;_xlfn.AGGREGATE(9,6,INDEX($D$96:$AD$96,MAX(1,$D$91+1-$D$90)):INDEX($D$96:$AD$96,$D$91)))+(_xlfn.AGGREGATE(9,6,INDEX($D$97:$AD$97,MAX(1,$D$91+1-$D$90)):INDEX($D$97:$AD$97,$D$91))&gt;_xlfn.AGGREGATE(9,6,INDEX($D$98:$AD$98,MAX(1,$D$91+1-$D$90)):INDEX($D$98:$AD$98,$D$91)))+(_xlfn.AGGREGATE(9,6,INDEX($D$97:$AD$97,MAX(1,$D$91+1-$D$90)):INDEX($D$97:$AD$97,$D$91))=_xlfn.AGGREGATE(9,6,INDEX($D$98:$AD$98,MAX(1,$D$91+1-$D$90)):INDEX($D$98:$AD$98,$D$91))))</f>
        <v>0</v>
      </c>
    </row>
    <row r="114" spans="1:68">
      <c r="A114" s="11" t="s">
        <v>291</v>
      </c>
      <c r="B114" s="11" t="s">
        <v>292</v>
      </c>
      <c r="C114" s="3" t="s">
        <v>144</v>
      </c>
      <c r="AQ114" s="11">
        <f>IF(AQ$93=0,"",IF(ISNUMBER(INDEX($D$97:$AD$97,AQ$93)),FIXED(INDEX($D$97:$AD$97,AQ$93)/1000,1),""))</f>
        <v>0</v>
      </c>
      <c r="AR114" s="11">
        <f>IF(AR$93=0,"",IF(ISNUMBER(INDEX($D$97:$AD$97,AR$93)),FIXED(INDEX($D$97:$AD$97,AR$93)/1000,1),""))</f>
        <v>0</v>
      </c>
      <c r="AS114" s="11">
        <f>IF(AS$93=0,"",IF(ISNUMBER(INDEX($D$97:$AD$97,AS$93)),FIXED(INDEX($D$97:$AD$97,AS$93)/1000,1),""))</f>
        <v>0</v>
      </c>
      <c r="AT114" s="11">
        <f>IF(AT$93=0,"",IF(ISNUMBER(INDEX($D$97:$AD$97,AT$93)),FIXED(INDEX($D$97:$AD$97,AT$93)/1000,1),""))</f>
        <v>0</v>
      </c>
      <c r="AU114" s="11">
        <f>IF(AU$93=0,"",IF(ISNUMBER(INDEX($D$97:$AD$97,AU$93)),FIXED(INDEX($D$97:$AD$97,AU$93)/1000,1),""))</f>
        <v>0</v>
      </c>
      <c r="AV114" s="11">
        <f>IF(AV$93=0,"",IF(ISNUMBER(INDEX($D$97:$AD$97,AV$93)),FIXED(INDEX($D$97:$AD$97,AV$93)/1000,1),""))</f>
        <v>0</v>
      </c>
      <c r="AW114" s="11">
        <f>IF(AW$93=0,"",IF(ISNUMBER(INDEX($D$97:$AD$97,AW$93)),FIXED(INDEX($D$97:$AD$97,AW$93)/1000,1),""))</f>
        <v>0</v>
      </c>
      <c r="AX114" s="11">
        <f>IF(AX$93=0,"",IF(ISNUMBER(INDEX($D$97:$AD$97,AX$93)),FIXED(INDEX($D$97:$AD$97,AX$93)/1000,1),""))</f>
        <v>0</v>
      </c>
      <c r="AY114" s="11">
        <f>IF(AY$93=0,"",IF(ISNUMBER(INDEX($D$97:$AD$97,AY$93)),FIXED(INDEX($D$97:$AD$97,AY$93)/1000,1),""))</f>
        <v>0</v>
      </c>
      <c r="AZ114" s="11">
        <f>IF(AZ$93=0,"",IF(ISNUMBER(INDEX($D$97:$AD$97,AZ$93)),FIXED(INDEX($D$97:$AD$97,AZ$93)/1000,1),""))</f>
        <v>0</v>
      </c>
      <c r="BA114" s="11">
        <f>IF(BA$93=0,"",IF(ISNUMBER(INDEX($D$97:$AD$97,BA$93)),FIXED(INDEX($D$97:$AD$97,BA$93)/1000,1),""))</f>
        <v>0</v>
      </c>
      <c r="BB114" s="11">
        <f>IF(BB$93=0,"",IF(ISNUMBER(INDEX($D$97:$AD$97,BB$93)),FIXED(INDEX($D$97:$AD$97,BB$93)/1000,1),""))</f>
        <v>0</v>
      </c>
      <c r="BC114" s="11">
        <f>IF(BC$93=0,"",IF(ISNUMBER(INDEX($D$97:$AD$97,BC$93)),FIXED(INDEX($D$97:$AD$97,BC$93)/1000,1),""))</f>
        <v>0</v>
      </c>
      <c r="BD114" s="11">
        <f>IF(BD$93=0,"",IF(ISNUMBER(INDEX($D$97:$AD$97,BD$93)),FIXED(INDEX($D$97:$AD$97,BD$93)/1000,1),""))</f>
        <v>0</v>
      </c>
      <c r="BE114" s="11">
        <f>IF(BE$93=0,"",IF(ISNUMBER(INDEX($D$97:$AD$97,BE$93)),FIXED(INDEX($D$97:$AD$97,BE$93)/1000,1),""))</f>
        <v>0</v>
      </c>
      <c r="BF114" s="11">
        <f>IF(BF$93=0,"",IF(ISNUMBER(INDEX($D$97:$AD$97,BF$93)),FIXED(INDEX($D$97:$AD$97,BF$93)/1000,1),""))</f>
        <v>0</v>
      </c>
      <c r="BG114" s="11">
        <f>IF(BG$93=0,"",IF(ISNUMBER(INDEX($D$97:$AD$97,BG$93)),FIXED(INDEX($D$97:$AD$97,BG$93)/1000,1),""))</f>
        <v>0</v>
      </c>
      <c r="BH114" s="11">
        <f>IF(BH$93=0,"",IF(ISNUMBER(INDEX($D$97:$AD$97,BH$93)),FIXED(INDEX($D$97:$AD$97,BH$93)/1000,1),""))</f>
        <v>0</v>
      </c>
      <c r="BI114" s="11">
        <f>IF(BI$93=0,"",IF(ISNUMBER(INDEX($D$97:$AD$97,BI$93)),FIXED(INDEX($D$97:$AD$97,BI$93)/1000,1),""))</f>
        <v>0</v>
      </c>
      <c r="BJ114" s="11">
        <f>IF(BJ$93=0,"",IF(ISNUMBER(INDEX($D$97:$AD$97,BJ$93)),FIXED(INDEX($D$97:$AD$97,BJ$93)/1000,1),""))</f>
        <v>0</v>
      </c>
      <c r="BK114" s="11">
        <f>IF(BK$93=0,"",IF(ISNUMBER(INDEX($D$97:$AD$97,BK$93)),FIXED(INDEX($D$97:$AD$97,BK$93)/1000,1),""))</f>
        <v>0</v>
      </c>
      <c r="BL114" s="11">
        <f>IF(BL$93=0,"",IF(ISNUMBER(INDEX($D$97:$AD$97,BL$93)),FIXED(INDEX($D$97:$AD$97,BL$93)/1000,1),""))</f>
        <v>0</v>
      </c>
      <c r="BM114" s="11">
        <f>IF(BM$93=0,"",IF(ISNUMBER(INDEX($D$97:$AD$97,BM$93)),FIXED(INDEX($D$97:$AD$97,BM$93)/1000,1),""))</f>
        <v>0</v>
      </c>
      <c r="BN114" s="11">
        <f>IF(BN$93=0,"",IF(ISNUMBER(INDEX($D$97:$AD$97,BN$93)),FIXED(INDEX($D$97:$AD$97,BN$93)/1000,1),""))</f>
        <v>0</v>
      </c>
      <c r="BO114" s="11">
        <f>IF(BO$93=0,"",IF(ISNUMBER(INDEX($D$97:$AD$97,BO$93)),FIXED(INDEX($D$97:$AD$97,BO$93)/1000,1),""))</f>
        <v>0</v>
      </c>
      <c r="BP114" s="11">
        <f>IF(BP$93=0,"",IF(ISNUMBER(INDEX($D$97:$AD$97,BP$93)),FIXED(INDEX($D$97:$AD$97,BP$93)/1000,1),""))</f>
        <v>0</v>
      </c>
    </row>
    <row r="115" spans="1:68">
      <c r="A115" s="11" t="s">
        <v>293</v>
      </c>
      <c r="B115" s="11" t="s">
        <v>294</v>
      </c>
      <c r="C115" s="3" t="s">
        <v>144</v>
      </c>
      <c r="AQ115" s="5">
        <f>IF(AQ$93=0,NA(),(_xlfn.AGGREGATE(9,6,INDEX($D$96:$AD$96,MAX(1,$D$91+1-$D$90)):INDEX($D$96:$AD$96,$D$91))&gt;_xlfn.AGGREGATE(9,6,INDEX($D$97:$AD$97,MAX(1,$D$91+1-$D$90)):INDEX($D$97:$AD$97,$D$91)))+(_xlfn.AGGREGATE(9,6,INDEX($D$96:$AD$96,MAX(1,$D$91+1-$D$90)):INDEX($D$96:$AD$96,$D$91))=_xlfn.AGGREGATE(9,6,INDEX($D$97:$AD$97,MAX(1,$D$91+1-$D$90)):INDEX($D$97:$AD$97,$D$91)))+(_xlfn.AGGREGATE(9,6,INDEX($D$96:$AD$96,MAX(1,$D$91+1-$D$90)):INDEX($D$96:$AD$96,$D$91))&gt;_xlfn.AGGREGATE(9,6,INDEX($D$98:$AD$98,MAX(1,$D$91+1-$D$90)):INDEX($D$98:$AD$98,$D$91)))+(_xlfn.AGGREGATE(9,6,INDEX($D$96:$AD$96,MAX(1,$D$91+1-$D$90)):INDEX($D$96:$AD$96,$D$91))=_xlfn.AGGREGATE(9,6,INDEX($D$98:$AD$98,MAX(1,$D$91+1-$D$90)):INDEX($D$98:$AD$98,$D$91))))</f>
        <v>0</v>
      </c>
      <c r="AR115" s="5">
        <f>IF(AR$93=0,NA(),(_xlfn.AGGREGATE(9,6,INDEX($D$96:$AD$96,MAX(1,$D$91+1-$D$90)):INDEX($D$96:$AD$96,$D$91))&gt;_xlfn.AGGREGATE(9,6,INDEX($D$97:$AD$97,MAX(1,$D$91+1-$D$90)):INDEX($D$97:$AD$97,$D$91)))+(_xlfn.AGGREGATE(9,6,INDEX($D$96:$AD$96,MAX(1,$D$91+1-$D$90)):INDEX($D$96:$AD$96,$D$91))=_xlfn.AGGREGATE(9,6,INDEX($D$97:$AD$97,MAX(1,$D$91+1-$D$90)):INDEX($D$97:$AD$97,$D$91)))+(_xlfn.AGGREGATE(9,6,INDEX($D$96:$AD$96,MAX(1,$D$91+1-$D$90)):INDEX($D$96:$AD$96,$D$91))&gt;_xlfn.AGGREGATE(9,6,INDEX($D$98:$AD$98,MAX(1,$D$91+1-$D$90)):INDEX($D$98:$AD$98,$D$91)))+(_xlfn.AGGREGATE(9,6,INDEX($D$96:$AD$96,MAX(1,$D$91+1-$D$90)):INDEX($D$96:$AD$96,$D$91))=_xlfn.AGGREGATE(9,6,INDEX($D$98:$AD$98,MAX(1,$D$91+1-$D$90)):INDEX($D$98:$AD$98,$D$91))))</f>
        <v>0</v>
      </c>
      <c r="AS115" s="5">
        <f>IF(AS$93=0,NA(),(_xlfn.AGGREGATE(9,6,INDEX($D$96:$AD$96,MAX(1,$D$91+1-$D$90)):INDEX($D$96:$AD$96,$D$91))&gt;_xlfn.AGGREGATE(9,6,INDEX($D$97:$AD$97,MAX(1,$D$91+1-$D$90)):INDEX($D$97:$AD$97,$D$91)))+(_xlfn.AGGREGATE(9,6,INDEX($D$96:$AD$96,MAX(1,$D$91+1-$D$90)):INDEX($D$96:$AD$96,$D$91))=_xlfn.AGGREGATE(9,6,INDEX($D$97:$AD$97,MAX(1,$D$91+1-$D$90)):INDEX($D$97:$AD$97,$D$91)))+(_xlfn.AGGREGATE(9,6,INDEX($D$96:$AD$96,MAX(1,$D$91+1-$D$90)):INDEX($D$96:$AD$96,$D$91))&gt;_xlfn.AGGREGATE(9,6,INDEX($D$98:$AD$98,MAX(1,$D$91+1-$D$90)):INDEX($D$98:$AD$98,$D$91)))+(_xlfn.AGGREGATE(9,6,INDEX($D$96:$AD$96,MAX(1,$D$91+1-$D$90)):INDEX($D$96:$AD$96,$D$91))=_xlfn.AGGREGATE(9,6,INDEX($D$98:$AD$98,MAX(1,$D$91+1-$D$90)):INDEX($D$98:$AD$98,$D$91))))</f>
        <v>0</v>
      </c>
      <c r="AT115" s="5">
        <f>IF(AT$93=0,NA(),(_xlfn.AGGREGATE(9,6,INDEX($D$96:$AD$96,MAX(1,$D$91+1-$D$90)):INDEX($D$96:$AD$96,$D$91))&gt;_xlfn.AGGREGATE(9,6,INDEX($D$97:$AD$97,MAX(1,$D$91+1-$D$90)):INDEX($D$97:$AD$97,$D$91)))+(_xlfn.AGGREGATE(9,6,INDEX($D$96:$AD$96,MAX(1,$D$91+1-$D$90)):INDEX($D$96:$AD$96,$D$91))=_xlfn.AGGREGATE(9,6,INDEX($D$97:$AD$97,MAX(1,$D$91+1-$D$90)):INDEX($D$97:$AD$97,$D$91)))+(_xlfn.AGGREGATE(9,6,INDEX($D$96:$AD$96,MAX(1,$D$91+1-$D$90)):INDEX($D$96:$AD$96,$D$91))&gt;_xlfn.AGGREGATE(9,6,INDEX($D$98:$AD$98,MAX(1,$D$91+1-$D$90)):INDEX($D$98:$AD$98,$D$91)))+(_xlfn.AGGREGATE(9,6,INDEX($D$96:$AD$96,MAX(1,$D$91+1-$D$90)):INDEX($D$96:$AD$96,$D$91))=_xlfn.AGGREGATE(9,6,INDEX($D$98:$AD$98,MAX(1,$D$91+1-$D$90)):INDEX($D$98:$AD$98,$D$91))))</f>
        <v>0</v>
      </c>
      <c r="AU115" s="5">
        <f>IF(AU$93=0,NA(),(_xlfn.AGGREGATE(9,6,INDEX($D$96:$AD$96,MAX(1,$D$91+1-$D$90)):INDEX($D$96:$AD$96,$D$91))&gt;_xlfn.AGGREGATE(9,6,INDEX($D$97:$AD$97,MAX(1,$D$91+1-$D$90)):INDEX($D$97:$AD$97,$D$91)))+(_xlfn.AGGREGATE(9,6,INDEX($D$96:$AD$96,MAX(1,$D$91+1-$D$90)):INDEX($D$96:$AD$96,$D$91))=_xlfn.AGGREGATE(9,6,INDEX($D$97:$AD$97,MAX(1,$D$91+1-$D$90)):INDEX($D$97:$AD$97,$D$91)))+(_xlfn.AGGREGATE(9,6,INDEX($D$96:$AD$96,MAX(1,$D$91+1-$D$90)):INDEX($D$96:$AD$96,$D$91))&gt;_xlfn.AGGREGATE(9,6,INDEX($D$98:$AD$98,MAX(1,$D$91+1-$D$90)):INDEX($D$98:$AD$98,$D$91)))+(_xlfn.AGGREGATE(9,6,INDEX($D$96:$AD$96,MAX(1,$D$91+1-$D$90)):INDEX($D$96:$AD$96,$D$91))=_xlfn.AGGREGATE(9,6,INDEX($D$98:$AD$98,MAX(1,$D$91+1-$D$90)):INDEX($D$98:$AD$98,$D$91))))</f>
        <v>0</v>
      </c>
      <c r="AV115" s="5">
        <f>IF(AV$93=0,NA(),(_xlfn.AGGREGATE(9,6,INDEX($D$96:$AD$96,MAX(1,$D$91+1-$D$90)):INDEX($D$96:$AD$96,$D$91))&gt;_xlfn.AGGREGATE(9,6,INDEX($D$97:$AD$97,MAX(1,$D$91+1-$D$90)):INDEX($D$97:$AD$97,$D$91)))+(_xlfn.AGGREGATE(9,6,INDEX($D$96:$AD$96,MAX(1,$D$91+1-$D$90)):INDEX($D$96:$AD$96,$D$91))=_xlfn.AGGREGATE(9,6,INDEX($D$97:$AD$97,MAX(1,$D$91+1-$D$90)):INDEX($D$97:$AD$97,$D$91)))+(_xlfn.AGGREGATE(9,6,INDEX($D$96:$AD$96,MAX(1,$D$91+1-$D$90)):INDEX($D$96:$AD$96,$D$91))&gt;_xlfn.AGGREGATE(9,6,INDEX($D$98:$AD$98,MAX(1,$D$91+1-$D$90)):INDEX($D$98:$AD$98,$D$91)))+(_xlfn.AGGREGATE(9,6,INDEX($D$96:$AD$96,MAX(1,$D$91+1-$D$90)):INDEX($D$96:$AD$96,$D$91))=_xlfn.AGGREGATE(9,6,INDEX($D$98:$AD$98,MAX(1,$D$91+1-$D$90)):INDEX($D$98:$AD$98,$D$91))))</f>
        <v>0</v>
      </c>
      <c r="AW115" s="5">
        <f>IF(AW$93=0,NA(),(_xlfn.AGGREGATE(9,6,INDEX($D$96:$AD$96,MAX(1,$D$91+1-$D$90)):INDEX($D$96:$AD$96,$D$91))&gt;_xlfn.AGGREGATE(9,6,INDEX($D$97:$AD$97,MAX(1,$D$91+1-$D$90)):INDEX($D$97:$AD$97,$D$91)))+(_xlfn.AGGREGATE(9,6,INDEX($D$96:$AD$96,MAX(1,$D$91+1-$D$90)):INDEX($D$96:$AD$96,$D$91))=_xlfn.AGGREGATE(9,6,INDEX($D$97:$AD$97,MAX(1,$D$91+1-$D$90)):INDEX($D$97:$AD$97,$D$91)))+(_xlfn.AGGREGATE(9,6,INDEX($D$96:$AD$96,MAX(1,$D$91+1-$D$90)):INDEX($D$96:$AD$96,$D$91))&gt;_xlfn.AGGREGATE(9,6,INDEX($D$98:$AD$98,MAX(1,$D$91+1-$D$90)):INDEX($D$98:$AD$98,$D$91)))+(_xlfn.AGGREGATE(9,6,INDEX($D$96:$AD$96,MAX(1,$D$91+1-$D$90)):INDEX($D$96:$AD$96,$D$91))=_xlfn.AGGREGATE(9,6,INDEX($D$98:$AD$98,MAX(1,$D$91+1-$D$90)):INDEX($D$98:$AD$98,$D$91))))</f>
        <v>0</v>
      </c>
      <c r="AX115" s="5">
        <f>IF(AX$93=0,NA(),(_xlfn.AGGREGATE(9,6,INDEX($D$96:$AD$96,MAX(1,$D$91+1-$D$90)):INDEX($D$96:$AD$96,$D$91))&gt;_xlfn.AGGREGATE(9,6,INDEX($D$97:$AD$97,MAX(1,$D$91+1-$D$90)):INDEX($D$97:$AD$97,$D$91)))+(_xlfn.AGGREGATE(9,6,INDEX($D$96:$AD$96,MAX(1,$D$91+1-$D$90)):INDEX($D$96:$AD$96,$D$91))=_xlfn.AGGREGATE(9,6,INDEX($D$97:$AD$97,MAX(1,$D$91+1-$D$90)):INDEX($D$97:$AD$97,$D$91)))+(_xlfn.AGGREGATE(9,6,INDEX($D$96:$AD$96,MAX(1,$D$91+1-$D$90)):INDEX($D$96:$AD$96,$D$91))&gt;_xlfn.AGGREGATE(9,6,INDEX($D$98:$AD$98,MAX(1,$D$91+1-$D$90)):INDEX($D$98:$AD$98,$D$91)))+(_xlfn.AGGREGATE(9,6,INDEX($D$96:$AD$96,MAX(1,$D$91+1-$D$90)):INDEX($D$96:$AD$96,$D$91))=_xlfn.AGGREGATE(9,6,INDEX($D$98:$AD$98,MAX(1,$D$91+1-$D$90)):INDEX($D$98:$AD$98,$D$91))))</f>
        <v>0</v>
      </c>
      <c r="AY115" s="5">
        <f>IF(AY$93=0,NA(),(_xlfn.AGGREGATE(9,6,INDEX($D$96:$AD$96,MAX(1,$D$91+1-$D$90)):INDEX($D$96:$AD$96,$D$91))&gt;_xlfn.AGGREGATE(9,6,INDEX($D$97:$AD$97,MAX(1,$D$91+1-$D$90)):INDEX($D$97:$AD$97,$D$91)))+(_xlfn.AGGREGATE(9,6,INDEX($D$96:$AD$96,MAX(1,$D$91+1-$D$90)):INDEX($D$96:$AD$96,$D$91))=_xlfn.AGGREGATE(9,6,INDEX($D$97:$AD$97,MAX(1,$D$91+1-$D$90)):INDEX($D$97:$AD$97,$D$91)))+(_xlfn.AGGREGATE(9,6,INDEX($D$96:$AD$96,MAX(1,$D$91+1-$D$90)):INDEX($D$96:$AD$96,$D$91))&gt;_xlfn.AGGREGATE(9,6,INDEX($D$98:$AD$98,MAX(1,$D$91+1-$D$90)):INDEX($D$98:$AD$98,$D$91)))+(_xlfn.AGGREGATE(9,6,INDEX($D$96:$AD$96,MAX(1,$D$91+1-$D$90)):INDEX($D$96:$AD$96,$D$91))=_xlfn.AGGREGATE(9,6,INDEX($D$98:$AD$98,MAX(1,$D$91+1-$D$90)):INDEX($D$98:$AD$98,$D$91))))</f>
        <v>0</v>
      </c>
      <c r="AZ115" s="5">
        <f>IF(AZ$93=0,NA(),(_xlfn.AGGREGATE(9,6,INDEX($D$96:$AD$96,MAX(1,$D$91+1-$D$90)):INDEX($D$96:$AD$96,$D$91))&gt;_xlfn.AGGREGATE(9,6,INDEX($D$97:$AD$97,MAX(1,$D$91+1-$D$90)):INDEX($D$97:$AD$97,$D$91)))+(_xlfn.AGGREGATE(9,6,INDEX($D$96:$AD$96,MAX(1,$D$91+1-$D$90)):INDEX($D$96:$AD$96,$D$91))=_xlfn.AGGREGATE(9,6,INDEX($D$97:$AD$97,MAX(1,$D$91+1-$D$90)):INDEX($D$97:$AD$97,$D$91)))+(_xlfn.AGGREGATE(9,6,INDEX($D$96:$AD$96,MAX(1,$D$91+1-$D$90)):INDEX($D$96:$AD$96,$D$91))&gt;_xlfn.AGGREGATE(9,6,INDEX($D$98:$AD$98,MAX(1,$D$91+1-$D$90)):INDEX($D$98:$AD$98,$D$91)))+(_xlfn.AGGREGATE(9,6,INDEX($D$96:$AD$96,MAX(1,$D$91+1-$D$90)):INDEX($D$96:$AD$96,$D$91))=_xlfn.AGGREGATE(9,6,INDEX($D$98:$AD$98,MAX(1,$D$91+1-$D$90)):INDEX($D$98:$AD$98,$D$91))))</f>
        <v>0</v>
      </c>
      <c r="BA115" s="5">
        <f>IF(BA$93=0,NA(),(_xlfn.AGGREGATE(9,6,INDEX($D$96:$AD$96,MAX(1,$D$91+1-$D$90)):INDEX($D$96:$AD$96,$D$91))&gt;_xlfn.AGGREGATE(9,6,INDEX($D$97:$AD$97,MAX(1,$D$91+1-$D$90)):INDEX($D$97:$AD$97,$D$91)))+(_xlfn.AGGREGATE(9,6,INDEX($D$96:$AD$96,MAX(1,$D$91+1-$D$90)):INDEX($D$96:$AD$96,$D$91))=_xlfn.AGGREGATE(9,6,INDEX($D$97:$AD$97,MAX(1,$D$91+1-$D$90)):INDEX($D$97:$AD$97,$D$91)))+(_xlfn.AGGREGATE(9,6,INDEX($D$96:$AD$96,MAX(1,$D$91+1-$D$90)):INDEX($D$96:$AD$96,$D$91))&gt;_xlfn.AGGREGATE(9,6,INDEX($D$98:$AD$98,MAX(1,$D$91+1-$D$90)):INDEX($D$98:$AD$98,$D$91)))+(_xlfn.AGGREGATE(9,6,INDEX($D$96:$AD$96,MAX(1,$D$91+1-$D$90)):INDEX($D$96:$AD$96,$D$91))=_xlfn.AGGREGATE(9,6,INDEX($D$98:$AD$98,MAX(1,$D$91+1-$D$90)):INDEX($D$98:$AD$98,$D$91))))</f>
        <v>0</v>
      </c>
      <c r="BB115" s="5">
        <f>IF(BB$93=0,NA(),(_xlfn.AGGREGATE(9,6,INDEX($D$96:$AD$96,MAX(1,$D$91+1-$D$90)):INDEX($D$96:$AD$96,$D$91))&gt;_xlfn.AGGREGATE(9,6,INDEX($D$97:$AD$97,MAX(1,$D$91+1-$D$90)):INDEX($D$97:$AD$97,$D$91)))+(_xlfn.AGGREGATE(9,6,INDEX($D$96:$AD$96,MAX(1,$D$91+1-$D$90)):INDEX($D$96:$AD$96,$D$91))=_xlfn.AGGREGATE(9,6,INDEX($D$97:$AD$97,MAX(1,$D$91+1-$D$90)):INDEX($D$97:$AD$97,$D$91)))+(_xlfn.AGGREGATE(9,6,INDEX($D$96:$AD$96,MAX(1,$D$91+1-$D$90)):INDEX($D$96:$AD$96,$D$91))&gt;_xlfn.AGGREGATE(9,6,INDEX($D$98:$AD$98,MAX(1,$D$91+1-$D$90)):INDEX($D$98:$AD$98,$D$91)))+(_xlfn.AGGREGATE(9,6,INDEX($D$96:$AD$96,MAX(1,$D$91+1-$D$90)):INDEX($D$96:$AD$96,$D$91))=_xlfn.AGGREGATE(9,6,INDEX($D$98:$AD$98,MAX(1,$D$91+1-$D$90)):INDEX($D$98:$AD$98,$D$91))))</f>
        <v>0</v>
      </c>
      <c r="BC115" s="5">
        <f>IF(BC$93=0,NA(),(_xlfn.AGGREGATE(9,6,INDEX($D$96:$AD$96,MAX(1,$D$91+1-$D$90)):INDEX($D$96:$AD$96,$D$91))&gt;_xlfn.AGGREGATE(9,6,INDEX($D$97:$AD$97,MAX(1,$D$91+1-$D$90)):INDEX($D$97:$AD$97,$D$91)))+(_xlfn.AGGREGATE(9,6,INDEX($D$96:$AD$96,MAX(1,$D$91+1-$D$90)):INDEX($D$96:$AD$96,$D$91))=_xlfn.AGGREGATE(9,6,INDEX($D$97:$AD$97,MAX(1,$D$91+1-$D$90)):INDEX($D$97:$AD$97,$D$91)))+(_xlfn.AGGREGATE(9,6,INDEX($D$96:$AD$96,MAX(1,$D$91+1-$D$90)):INDEX($D$96:$AD$96,$D$91))&gt;_xlfn.AGGREGATE(9,6,INDEX($D$98:$AD$98,MAX(1,$D$91+1-$D$90)):INDEX($D$98:$AD$98,$D$91)))+(_xlfn.AGGREGATE(9,6,INDEX($D$96:$AD$96,MAX(1,$D$91+1-$D$90)):INDEX($D$96:$AD$96,$D$91))=_xlfn.AGGREGATE(9,6,INDEX($D$98:$AD$98,MAX(1,$D$91+1-$D$90)):INDEX($D$98:$AD$98,$D$91))))</f>
        <v>0</v>
      </c>
      <c r="BD115" s="5">
        <f>IF(BD$93=0,NA(),(_xlfn.AGGREGATE(9,6,INDEX($D$96:$AD$96,MAX(1,$D$91+1-$D$90)):INDEX($D$96:$AD$96,$D$91))&gt;_xlfn.AGGREGATE(9,6,INDEX($D$97:$AD$97,MAX(1,$D$91+1-$D$90)):INDEX($D$97:$AD$97,$D$91)))+(_xlfn.AGGREGATE(9,6,INDEX($D$96:$AD$96,MAX(1,$D$91+1-$D$90)):INDEX($D$96:$AD$96,$D$91))=_xlfn.AGGREGATE(9,6,INDEX($D$97:$AD$97,MAX(1,$D$91+1-$D$90)):INDEX($D$97:$AD$97,$D$91)))+(_xlfn.AGGREGATE(9,6,INDEX($D$96:$AD$96,MAX(1,$D$91+1-$D$90)):INDEX($D$96:$AD$96,$D$91))&gt;_xlfn.AGGREGATE(9,6,INDEX($D$98:$AD$98,MAX(1,$D$91+1-$D$90)):INDEX($D$98:$AD$98,$D$91)))+(_xlfn.AGGREGATE(9,6,INDEX($D$96:$AD$96,MAX(1,$D$91+1-$D$90)):INDEX($D$96:$AD$96,$D$91))=_xlfn.AGGREGATE(9,6,INDEX($D$98:$AD$98,MAX(1,$D$91+1-$D$90)):INDEX($D$98:$AD$98,$D$91))))</f>
        <v>0</v>
      </c>
      <c r="BE115" s="5">
        <f>IF(BE$93=0,NA(),(_xlfn.AGGREGATE(9,6,INDEX($D$96:$AD$96,MAX(1,$D$91+1-$D$90)):INDEX($D$96:$AD$96,$D$91))&gt;_xlfn.AGGREGATE(9,6,INDEX($D$97:$AD$97,MAX(1,$D$91+1-$D$90)):INDEX($D$97:$AD$97,$D$91)))+(_xlfn.AGGREGATE(9,6,INDEX($D$96:$AD$96,MAX(1,$D$91+1-$D$90)):INDEX($D$96:$AD$96,$D$91))=_xlfn.AGGREGATE(9,6,INDEX($D$97:$AD$97,MAX(1,$D$91+1-$D$90)):INDEX($D$97:$AD$97,$D$91)))+(_xlfn.AGGREGATE(9,6,INDEX($D$96:$AD$96,MAX(1,$D$91+1-$D$90)):INDEX($D$96:$AD$96,$D$91))&gt;_xlfn.AGGREGATE(9,6,INDEX($D$98:$AD$98,MAX(1,$D$91+1-$D$90)):INDEX($D$98:$AD$98,$D$91)))+(_xlfn.AGGREGATE(9,6,INDEX($D$96:$AD$96,MAX(1,$D$91+1-$D$90)):INDEX($D$96:$AD$96,$D$91))=_xlfn.AGGREGATE(9,6,INDEX($D$98:$AD$98,MAX(1,$D$91+1-$D$90)):INDEX($D$98:$AD$98,$D$91))))</f>
        <v>0</v>
      </c>
      <c r="BF115" s="5">
        <f>IF(BF$93=0,NA(),(_xlfn.AGGREGATE(9,6,INDEX($D$96:$AD$96,MAX(1,$D$91+1-$D$90)):INDEX($D$96:$AD$96,$D$91))&gt;_xlfn.AGGREGATE(9,6,INDEX($D$97:$AD$97,MAX(1,$D$91+1-$D$90)):INDEX($D$97:$AD$97,$D$91)))+(_xlfn.AGGREGATE(9,6,INDEX($D$96:$AD$96,MAX(1,$D$91+1-$D$90)):INDEX($D$96:$AD$96,$D$91))=_xlfn.AGGREGATE(9,6,INDEX($D$97:$AD$97,MAX(1,$D$91+1-$D$90)):INDEX($D$97:$AD$97,$D$91)))+(_xlfn.AGGREGATE(9,6,INDEX($D$96:$AD$96,MAX(1,$D$91+1-$D$90)):INDEX($D$96:$AD$96,$D$91))&gt;_xlfn.AGGREGATE(9,6,INDEX($D$98:$AD$98,MAX(1,$D$91+1-$D$90)):INDEX($D$98:$AD$98,$D$91)))+(_xlfn.AGGREGATE(9,6,INDEX($D$96:$AD$96,MAX(1,$D$91+1-$D$90)):INDEX($D$96:$AD$96,$D$91))=_xlfn.AGGREGATE(9,6,INDEX($D$98:$AD$98,MAX(1,$D$91+1-$D$90)):INDEX($D$98:$AD$98,$D$91))))</f>
        <v>0</v>
      </c>
      <c r="BG115" s="5">
        <f>IF(BG$93=0,NA(),(_xlfn.AGGREGATE(9,6,INDEX($D$96:$AD$96,MAX(1,$D$91+1-$D$90)):INDEX($D$96:$AD$96,$D$91))&gt;_xlfn.AGGREGATE(9,6,INDEX($D$97:$AD$97,MAX(1,$D$91+1-$D$90)):INDEX($D$97:$AD$97,$D$91)))+(_xlfn.AGGREGATE(9,6,INDEX($D$96:$AD$96,MAX(1,$D$91+1-$D$90)):INDEX($D$96:$AD$96,$D$91))=_xlfn.AGGREGATE(9,6,INDEX($D$97:$AD$97,MAX(1,$D$91+1-$D$90)):INDEX($D$97:$AD$97,$D$91)))+(_xlfn.AGGREGATE(9,6,INDEX($D$96:$AD$96,MAX(1,$D$91+1-$D$90)):INDEX($D$96:$AD$96,$D$91))&gt;_xlfn.AGGREGATE(9,6,INDEX($D$98:$AD$98,MAX(1,$D$91+1-$D$90)):INDEX($D$98:$AD$98,$D$91)))+(_xlfn.AGGREGATE(9,6,INDEX($D$96:$AD$96,MAX(1,$D$91+1-$D$90)):INDEX($D$96:$AD$96,$D$91))=_xlfn.AGGREGATE(9,6,INDEX($D$98:$AD$98,MAX(1,$D$91+1-$D$90)):INDEX($D$98:$AD$98,$D$91))))</f>
        <v>0</v>
      </c>
      <c r="BH115" s="5">
        <f>IF(BH$93=0,NA(),(_xlfn.AGGREGATE(9,6,INDEX($D$96:$AD$96,MAX(1,$D$91+1-$D$90)):INDEX($D$96:$AD$96,$D$91))&gt;_xlfn.AGGREGATE(9,6,INDEX($D$97:$AD$97,MAX(1,$D$91+1-$D$90)):INDEX($D$97:$AD$97,$D$91)))+(_xlfn.AGGREGATE(9,6,INDEX($D$96:$AD$96,MAX(1,$D$91+1-$D$90)):INDEX($D$96:$AD$96,$D$91))=_xlfn.AGGREGATE(9,6,INDEX($D$97:$AD$97,MAX(1,$D$91+1-$D$90)):INDEX($D$97:$AD$97,$D$91)))+(_xlfn.AGGREGATE(9,6,INDEX($D$96:$AD$96,MAX(1,$D$91+1-$D$90)):INDEX($D$96:$AD$96,$D$91))&gt;_xlfn.AGGREGATE(9,6,INDEX($D$98:$AD$98,MAX(1,$D$91+1-$D$90)):INDEX($D$98:$AD$98,$D$91)))+(_xlfn.AGGREGATE(9,6,INDEX($D$96:$AD$96,MAX(1,$D$91+1-$D$90)):INDEX($D$96:$AD$96,$D$91))=_xlfn.AGGREGATE(9,6,INDEX($D$98:$AD$98,MAX(1,$D$91+1-$D$90)):INDEX($D$98:$AD$98,$D$91))))</f>
        <v>0</v>
      </c>
      <c r="BI115" s="5">
        <f>IF(BI$93=0,NA(),(_xlfn.AGGREGATE(9,6,INDEX($D$96:$AD$96,MAX(1,$D$91+1-$D$90)):INDEX($D$96:$AD$96,$D$91))&gt;_xlfn.AGGREGATE(9,6,INDEX($D$97:$AD$97,MAX(1,$D$91+1-$D$90)):INDEX($D$97:$AD$97,$D$91)))+(_xlfn.AGGREGATE(9,6,INDEX($D$96:$AD$96,MAX(1,$D$91+1-$D$90)):INDEX($D$96:$AD$96,$D$91))=_xlfn.AGGREGATE(9,6,INDEX($D$97:$AD$97,MAX(1,$D$91+1-$D$90)):INDEX($D$97:$AD$97,$D$91)))+(_xlfn.AGGREGATE(9,6,INDEX($D$96:$AD$96,MAX(1,$D$91+1-$D$90)):INDEX($D$96:$AD$96,$D$91))&gt;_xlfn.AGGREGATE(9,6,INDEX($D$98:$AD$98,MAX(1,$D$91+1-$D$90)):INDEX($D$98:$AD$98,$D$91)))+(_xlfn.AGGREGATE(9,6,INDEX($D$96:$AD$96,MAX(1,$D$91+1-$D$90)):INDEX($D$96:$AD$96,$D$91))=_xlfn.AGGREGATE(9,6,INDEX($D$98:$AD$98,MAX(1,$D$91+1-$D$90)):INDEX($D$98:$AD$98,$D$91))))</f>
        <v>0</v>
      </c>
      <c r="BJ115" s="5">
        <f>IF(BJ$93=0,NA(),(_xlfn.AGGREGATE(9,6,INDEX($D$96:$AD$96,MAX(1,$D$91+1-$D$90)):INDEX($D$96:$AD$96,$D$91))&gt;_xlfn.AGGREGATE(9,6,INDEX($D$97:$AD$97,MAX(1,$D$91+1-$D$90)):INDEX($D$97:$AD$97,$D$91)))+(_xlfn.AGGREGATE(9,6,INDEX($D$96:$AD$96,MAX(1,$D$91+1-$D$90)):INDEX($D$96:$AD$96,$D$91))=_xlfn.AGGREGATE(9,6,INDEX($D$97:$AD$97,MAX(1,$D$91+1-$D$90)):INDEX($D$97:$AD$97,$D$91)))+(_xlfn.AGGREGATE(9,6,INDEX($D$96:$AD$96,MAX(1,$D$91+1-$D$90)):INDEX($D$96:$AD$96,$D$91))&gt;_xlfn.AGGREGATE(9,6,INDEX($D$98:$AD$98,MAX(1,$D$91+1-$D$90)):INDEX($D$98:$AD$98,$D$91)))+(_xlfn.AGGREGATE(9,6,INDEX($D$96:$AD$96,MAX(1,$D$91+1-$D$90)):INDEX($D$96:$AD$96,$D$91))=_xlfn.AGGREGATE(9,6,INDEX($D$98:$AD$98,MAX(1,$D$91+1-$D$90)):INDEX($D$98:$AD$98,$D$91))))</f>
        <v>0</v>
      </c>
      <c r="BK115" s="5">
        <f>IF(BK$93=0,NA(),(_xlfn.AGGREGATE(9,6,INDEX($D$96:$AD$96,MAX(1,$D$91+1-$D$90)):INDEX($D$96:$AD$96,$D$91))&gt;_xlfn.AGGREGATE(9,6,INDEX($D$97:$AD$97,MAX(1,$D$91+1-$D$90)):INDEX($D$97:$AD$97,$D$91)))+(_xlfn.AGGREGATE(9,6,INDEX($D$96:$AD$96,MAX(1,$D$91+1-$D$90)):INDEX($D$96:$AD$96,$D$91))=_xlfn.AGGREGATE(9,6,INDEX($D$97:$AD$97,MAX(1,$D$91+1-$D$90)):INDEX($D$97:$AD$97,$D$91)))+(_xlfn.AGGREGATE(9,6,INDEX($D$96:$AD$96,MAX(1,$D$91+1-$D$90)):INDEX($D$96:$AD$96,$D$91))&gt;_xlfn.AGGREGATE(9,6,INDEX($D$98:$AD$98,MAX(1,$D$91+1-$D$90)):INDEX($D$98:$AD$98,$D$91)))+(_xlfn.AGGREGATE(9,6,INDEX($D$96:$AD$96,MAX(1,$D$91+1-$D$90)):INDEX($D$96:$AD$96,$D$91))=_xlfn.AGGREGATE(9,6,INDEX($D$98:$AD$98,MAX(1,$D$91+1-$D$90)):INDEX($D$98:$AD$98,$D$91))))</f>
        <v>0</v>
      </c>
      <c r="BL115" s="5">
        <f>IF(BL$93=0,NA(),(_xlfn.AGGREGATE(9,6,INDEX($D$96:$AD$96,MAX(1,$D$91+1-$D$90)):INDEX($D$96:$AD$96,$D$91))&gt;_xlfn.AGGREGATE(9,6,INDEX($D$97:$AD$97,MAX(1,$D$91+1-$D$90)):INDEX($D$97:$AD$97,$D$91)))+(_xlfn.AGGREGATE(9,6,INDEX($D$96:$AD$96,MAX(1,$D$91+1-$D$90)):INDEX($D$96:$AD$96,$D$91))=_xlfn.AGGREGATE(9,6,INDEX($D$97:$AD$97,MAX(1,$D$91+1-$D$90)):INDEX($D$97:$AD$97,$D$91)))+(_xlfn.AGGREGATE(9,6,INDEX($D$96:$AD$96,MAX(1,$D$91+1-$D$90)):INDEX($D$96:$AD$96,$D$91))&gt;_xlfn.AGGREGATE(9,6,INDEX($D$98:$AD$98,MAX(1,$D$91+1-$D$90)):INDEX($D$98:$AD$98,$D$91)))+(_xlfn.AGGREGATE(9,6,INDEX($D$96:$AD$96,MAX(1,$D$91+1-$D$90)):INDEX($D$96:$AD$96,$D$91))=_xlfn.AGGREGATE(9,6,INDEX($D$98:$AD$98,MAX(1,$D$91+1-$D$90)):INDEX($D$98:$AD$98,$D$91))))</f>
        <v>0</v>
      </c>
      <c r="BM115" s="5">
        <f>IF(BM$93=0,NA(),(_xlfn.AGGREGATE(9,6,INDEX($D$96:$AD$96,MAX(1,$D$91+1-$D$90)):INDEX($D$96:$AD$96,$D$91))&gt;_xlfn.AGGREGATE(9,6,INDEX($D$97:$AD$97,MAX(1,$D$91+1-$D$90)):INDEX($D$97:$AD$97,$D$91)))+(_xlfn.AGGREGATE(9,6,INDEX($D$96:$AD$96,MAX(1,$D$91+1-$D$90)):INDEX($D$96:$AD$96,$D$91))=_xlfn.AGGREGATE(9,6,INDEX($D$97:$AD$97,MAX(1,$D$91+1-$D$90)):INDEX($D$97:$AD$97,$D$91)))+(_xlfn.AGGREGATE(9,6,INDEX($D$96:$AD$96,MAX(1,$D$91+1-$D$90)):INDEX($D$96:$AD$96,$D$91))&gt;_xlfn.AGGREGATE(9,6,INDEX($D$98:$AD$98,MAX(1,$D$91+1-$D$90)):INDEX($D$98:$AD$98,$D$91)))+(_xlfn.AGGREGATE(9,6,INDEX($D$96:$AD$96,MAX(1,$D$91+1-$D$90)):INDEX($D$96:$AD$96,$D$91))=_xlfn.AGGREGATE(9,6,INDEX($D$98:$AD$98,MAX(1,$D$91+1-$D$90)):INDEX($D$98:$AD$98,$D$91))))</f>
        <v>0</v>
      </c>
      <c r="BN115" s="5">
        <f>IF(BN$93=0,NA(),(_xlfn.AGGREGATE(9,6,INDEX($D$96:$AD$96,MAX(1,$D$91+1-$D$90)):INDEX($D$96:$AD$96,$D$91))&gt;_xlfn.AGGREGATE(9,6,INDEX($D$97:$AD$97,MAX(1,$D$91+1-$D$90)):INDEX($D$97:$AD$97,$D$91)))+(_xlfn.AGGREGATE(9,6,INDEX($D$96:$AD$96,MAX(1,$D$91+1-$D$90)):INDEX($D$96:$AD$96,$D$91))=_xlfn.AGGREGATE(9,6,INDEX($D$97:$AD$97,MAX(1,$D$91+1-$D$90)):INDEX($D$97:$AD$97,$D$91)))+(_xlfn.AGGREGATE(9,6,INDEX($D$96:$AD$96,MAX(1,$D$91+1-$D$90)):INDEX($D$96:$AD$96,$D$91))&gt;_xlfn.AGGREGATE(9,6,INDEX($D$98:$AD$98,MAX(1,$D$91+1-$D$90)):INDEX($D$98:$AD$98,$D$91)))+(_xlfn.AGGREGATE(9,6,INDEX($D$96:$AD$96,MAX(1,$D$91+1-$D$90)):INDEX($D$96:$AD$96,$D$91))=_xlfn.AGGREGATE(9,6,INDEX($D$98:$AD$98,MAX(1,$D$91+1-$D$90)):INDEX($D$98:$AD$98,$D$91))))</f>
        <v>0</v>
      </c>
      <c r="BO115" s="5">
        <f>IF(BO$93=0,NA(),(_xlfn.AGGREGATE(9,6,INDEX($D$96:$AD$96,MAX(1,$D$91+1-$D$90)):INDEX($D$96:$AD$96,$D$91))&gt;_xlfn.AGGREGATE(9,6,INDEX($D$97:$AD$97,MAX(1,$D$91+1-$D$90)):INDEX($D$97:$AD$97,$D$91)))+(_xlfn.AGGREGATE(9,6,INDEX($D$96:$AD$96,MAX(1,$D$91+1-$D$90)):INDEX($D$96:$AD$96,$D$91))=_xlfn.AGGREGATE(9,6,INDEX($D$97:$AD$97,MAX(1,$D$91+1-$D$90)):INDEX($D$97:$AD$97,$D$91)))+(_xlfn.AGGREGATE(9,6,INDEX($D$96:$AD$96,MAX(1,$D$91+1-$D$90)):INDEX($D$96:$AD$96,$D$91))&gt;_xlfn.AGGREGATE(9,6,INDEX($D$98:$AD$98,MAX(1,$D$91+1-$D$90)):INDEX($D$98:$AD$98,$D$91)))+(_xlfn.AGGREGATE(9,6,INDEX($D$96:$AD$96,MAX(1,$D$91+1-$D$90)):INDEX($D$96:$AD$96,$D$91))=_xlfn.AGGREGATE(9,6,INDEX($D$98:$AD$98,MAX(1,$D$91+1-$D$90)):INDEX($D$98:$AD$98,$D$91))))</f>
        <v>0</v>
      </c>
      <c r="BP115" s="5">
        <f>IF(BP$93=0,NA(),(_xlfn.AGGREGATE(9,6,INDEX($D$96:$AD$96,MAX(1,$D$91+1-$D$90)):INDEX($D$96:$AD$96,$D$91))&gt;_xlfn.AGGREGATE(9,6,INDEX($D$97:$AD$97,MAX(1,$D$91+1-$D$90)):INDEX($D$97:$AD$97,$D$91)))+(_xlfn.AGGREGATE(9,6,INDEX($D$96:$AD$96,MAX(1,$D$91+1-$D$90)):INDEX($D$96:$AD$96,$D$91))=_xlfn.AGGREGATE(9,6,INDEX($D$97:$AD$97,MAX(1,$D$91+1-$D$90)):INDEX($D$97:$AD$97,$D$91)))+(_xlfn.AGGREGATE(9,6,INDEX($D$96:$AD$96,MAX(1,$D$91+1-$D$90)):INDEX($D$96:$AD$96,$D$91))&gt;_xlfn.AGGREGATE(9,6,INDEX($D$98:$AD$98,MAX(1,$D$91+1-$D$90)):INDEX($D$98:$AD$98,$D$91)))+(_xlfn.AGGREGATE(9,6,INDEX($D$96:$AD$96,MAX(1,$D$91+1-$D$90)):INDEX($D$96:$AD$96,$D$91))=_xlfn.AGGREGATE(9,6,INDEX($D$98:$AD$98,MAX(1,$D$91+1-$D$90)):INDEX($D$98:$AD$98,$D$91))))</f>
        <v>0</v>
      </c>
    </row>
    <row r="116" spans="1:68">
      <c r="A116" s="11" t="s">
        <v>295</v>
      </c>
      <c r="B116" s="11" t="s">
        <v>296</v>
      </c>
      <c r="C116" s="3" t="s">
        <v>144</v>
      </c>
      <c r="AQ116" s="11">
        <f>IF(AQ$93=0,"",IF(ISNUMBER(INDEX($D$96:$AD$96,AQ$93)),FIXED(INDEX($D$96:$AD$96,AQ$93)/1000,1),""))</f>
        <v>0</v>
      </c>
      <c r="AR116" s="11">
        <f>IF(AR$93=0,"",IF(ISNUMBER(INDEX($D$96:$AD$96,AR$93)),FIXED(INDEX($D$96:$AD$96,AR$93)/1000,1),""))</f>
        <v>0</v>
      </c>
      <c r="AS116" s="11">
        <f>IF(AS$93=0,"",IF(ISNUMBER(INDEX($D$96:$AD$96,AS$93)),FIXED(INDEX($D$96:$AD$96,AS$93)/1000,1),""))</f>
        <v>0</v>
      </c>
      <c r="AT116" s="11">
        <f>IF(AT$93=0,"",IF(ISNUMBER(INDEX($D$96:$AD$96,AT$93)),FIXED(INDEX($D$96:$AD$96,AT$93)/1000,1),""))</f>
        <v>0</v>
      </c>
      <c r="AU116" s="11">
        <f>IF(AU$93=0,"",IF(ISNUMBER(INDEX($D$96:$AD$96,AU$93)),FIXED(INDEX($D$96:$AD$96,AU$93)/1000,1),""))</f>
        <v>0</v>
      </c>
      <c r="AV116" s="11">
        <f>IF(AV$93=0,"",IF(ISNUMBER(INDEX($D$96:$AD$96,AV$93)),FIXED(INDEX($D$96:$AD$96,AV$93)/1000,1),""))</f>
        <v>0</v>
      </c>
      <c r="AW116" s="11">
        <f>IF(AW$93=0,"",IF(ISNUMBER(INDEX($D$96:$AD$96,AW$93)),FIXED(INDEX($D$96:$AD$96,AW$93)/1000,1),""))</f>
        <v>0</v>
      </c>
      <c r="AX116" s="11">
        <f>IF(AX$93=0,"",IF(ISNUMBER(INDEX($D$96:$AD$96,AX$93)),FIXED(INDEX($D$96:$AD$96,AX$93)/1000,1),""))</f>
        <v>0</v>
      </c>
      <c r="AY116" s="11">
        <f>IF(AY$93=0,"",IF(ISNUMBER(INDEX($D$96:$AD$96,AY$93)),FIXED(INDEX($D$96:$AD$96,AY$93)/1000,1),""))</f>
        <v>0</v>
      </c>
      <c r="AZ116" s="11">
        <f>IF(AZ$93=0,"",IF(ISNUMBER(INDEX($D$96:$AD$96,AZ$93)),FIXED(INDEX($D$96:$AD$96,AZ$93)/1000,1),""))</f>
        <v>0</v>
      </c>
      <c r="BA116" s="11">
        <f>IF(BA$93=0,"",IF(ISNUMBER(INDEX($D$96:$AD$96,BA$93)),FIXED(INDEX($D$96:$AD$96,BA$93)/1000,1),""))</f>
        <v>0</v>
      </c>
      <c r="BB116" s="11">
        <f>IF(BB$93=0,"",IF(ISNUMBER(INDEX($D$96:$AD$96,BB$93)),FIXED(INDEX($D$96:$AD$96,BB$93)/1000,1),""))</f>
        <v>0</v>
      </c>
      <c r="BC116" s="11">
        <f>IF(BC$93=0,"",IF(ISNUMBER(INDEX($D$96:$AD$96,BC$93)),FIXED(INDEX($D$96:$AD$96,BC$93)/1000,1),""))</f>
        <v>0</v>
      </c>
      <c r="BD116" s="11">
        <f>IF(BD$93=0,"",IF(ISNUMBER(INDEX($D$96:$AD$96,BD$93)),FIXED(INDEX($D$96:$AD$96,BD$93)/1000,1),""))</f>
        <v>0</v>
      </c>
      <c r="BE116" s="11">
        <f>IF(BE$93=0,"",IF(ISNUMBER(INDEX($D$96:$AD$96,BE$93)),FIXED(INDEX($D$96:$AD$96,BE$93)/1000,1),""))</f>
        <v>0</v>
      </c>
      <c r="BF116" s="11">
        <f>IF(BF$93=0,"",IF(ISNUMBER(INDEX($D$96:$AD$96,BF$93)),FIXED(INDEX($D$96:$AD$96,BF$93)/1000,1),""))</f>
        <v>0</v>
      </c>
      <c r="BG116" s="11">
        <f>IF(BG$93=0,"",IF(ISNUMBER(INDEX($D$96:$AD$96,BG$93)),FIXED(INDEX($D$96:$AD$96,BG$93)/1000,1),""))</f>
        <v>0</v>
      </c>
      <c r="BH116" s="11">
        <f>IF(BH$93=0,"",IF(ISNUMBER(INDEX($D$96:$AD$96,BH$93)),FIXED(INDEX($D$96:$AD$96,BH$93)/1000,1),""))</f>
        <v>0</v>
      </c>
      <c r="BI116" s="11">
        <f>IF(BI$93=0,"",IF(ISNUMBER(INDEX($D$96:$AD$96,BI$93)),FIXED(INDEX($D$96:$AD$96,BI$93)/1000,1),""))</f>
        <v>0</v>
      </c>
      <c r="BJ116" s="11">
        <f>IF(BJ$93=0,"",IF(ISNUMBER(INDEX($D$96:$AD$96,BJ$93)),FIXED(INDEX($D$96:$AD$96,BJ$93)/1000,1),""))</f>
        <v>0</v>
      </c>
      <c r="BK116" s="11">
        <f>IF(BK$93=0,"",IF(ISNUMBER(INDEX($D$96:$AD$96,BK$93)),FIXED(INDEX($D$96:$AD$96,BK$93)/1000,1),""))</f>
        <v>0</v>
      </c>
      <c r="BL116" s="11">
        <f>IF(BL$93=0,"",IF(ISNUMBER(INDEX($D$96:$AD$96,BL$93)),FIXED(INDEX($D$96:$AD$96,BL$93)/1000,1),""))</f>
        <v>0</v>
      </c>
      <c r="BM116" s="11">
        <f>IF(BM$93=0,"",IF(ISNUMBER(INDEX($D$96:$AD$96,BM$93)),FIXED(INDEX($D$96:$AD$96,BM$93)/1000,1),""))</f>
        <v>0</v>
      </c>
      <c r="BN116" s="11">
        <f>IF(BN$93=0,"",IF(ISNUMBER(INDEX($D$96:$AD$96,BN$93)),FIXED(INDEX($D$96:$AD$96,BN$93)/1000,1),""))</f>
        <v>0</v>
      </c>
      <c r="BO116" s="11">
        <f>IF(BO$93=0,"",IF(ISNUMBER(INDEX($D$96:$AD$96,BO$93)),FIXED(INDEX($D$96:$AD$96,BO$93)/1000,1),""))</f>
        <v>0</v>
      </c>
      <c r="BP116" s="11">
        <f>IF(BP$93=0,"",IF(ISNUMBER(INDEX($D$96:$AD$96,BP$93)),FIXED(INDEX($D$96:$AD$96,BP$93)/1000,1),""))</f>
        <v>0</v>
      </c>
    </row>
    <row r="117" spans="1:68">
      <c r="A117" s="11" t="s">
        <v>297</v>
      </c>
      <c r="B117" s="11" t="s">
        <v>298</v>
      </c>
      <c r="C117" s="3" t="s">
        <v>144</v>
      </c>
      <c r="AQ117" s="5">
        <f>IF(AQ$93=0,NA(),(_xlfn.AGGREGATE(9,6,INDEX($D$98:$AD$98,MAX(1,$D$91+1-$D$90)):INDEX($D$98:$AD$98,$D$91))&gt;_xlfn.AGGREGATE(9,6,INDEX($D$96:$AD$96,MAX(1,$D$91+1-$D$90)):INDEX($D$96:$AD$96,$D$91)))+(_xlfn.AGGREGATE(9,6,INDEX($D$98:$AD$98,MAX(1,$D$91+1-$D$90)):INDEX($D$98:$AD$98,$D$91))&gt;_xlfn.AGGREGATE(9,6,INDEX($D$97:$AD$97,MAX(1,$D$91+1-$D$90)):INDEX($D$97:$AD$97,$D$91))))</f>
        <v>0</v>
      </c>
      <c r="AR117" s="5">
        <f>IF(AR$93=0,NA(),(_xlfn.AGGREGATE(9,6,INDEX($D$98:$AD$98,MAX(1,$D$91+1-$D$90)):INDEX($D$98:$AD$98,$D$91))&gt;_xlfn.AGGREGATE(9,6,INDEX($D$96:$AD$96,MAX(1,$D$91+1-$D$90)):INDEX($D$96:$AD$96,$D$91)))+(_xlfn.AGGREGATE(9,6,INDEX($D$98:$AD$98,MAX(1,$D$91+1-$D$90)):INDEX($D$98:$AD$98,$D$91))&gt;_xlfn.AGGREGATE(9,6,INDEX($D$97:$AD$97,MAX(1,$D$91+1-$D$90)):INDEX($D$97:$AD$97,$D$91))))</f>
        <v>0</v>
      </c>
      <c r="AS117" s="5">
        <f>IF(AS$93=0,NA(),(_xlfn.AGGREGATE(9,6,INDEX($D$98:$AD$98,MAX(1,$D$91+1-$D$90)):INDEX($D$98:$AD$98,$D$91))&gt;_xlfn.AGGREGATE(9,6,INDEX($D$96:$AD$96,MAX(1,$D$91+1-$D$90)):INDEX($D$96:$AD$96,$D$91)))+(_xlfn.AGGREGATE(9,6,INDEX($D$98:$AD$98,MAX(1,$D$91+1-$D$90)):INDEX($D$98:$AD$98,$D$91))&gt;_xlfn.AGGREGATE(9,6,INDEX($D$97:$AD$97,MAX(1,$D$91+1-$D$90)):INDEX($D$97:$AD$97,$D$91))))</f>
        <v>0</v>
      </c>
      <c r="AT117" s="5">
        <f>IF(AT$93=0,NA(),(_xlfn.AGGREGATE(9,6,INDEX($D$98:$AD$98,MAX(1,$D$91+1-$D$90)):INDEX($D$98:$AD$98,$D$91))&gt;_xlfn.AGGREGATE(9,6,INDEX($D$96:$AD$96,MAX(1,$D$91+1-$D$90)):INDEX($D$96:$AD$96,$D$91)))+(_xlfn.AGGREGATE(9,6,INDEX($D$98:$AD$98,MAX(1,$D$91+1-$D$90)):INDEX($D$98:$AD$98,$D$91))&gt;_xlfn.AGGREGATE(9,6,INDEX($D$97:$AD$97,MAX(1,$D$91+1-$D$90)):INDEX($D$97:$AD$97,$D$91))))</f>
        <v>0</v>
      </c>
      <c r="AU117" s="5">
        <f>IF(AU$93=0,NA(),(_xlfn.AGGREGATE(9,6,INDEX($D$98:$AD$98,MAX(1,$D$91+1-$D$90)):INDEX($D$98:$AD$98,$D$91))&gt;_xlfn.AGGREGATE(9,6,INDEX($D$96:$AD$96,MAX(1,$D$91+1-$D$90)):INDEX($D$96:$AD$96,$D$91)))+(_xlfn.AGGREGATE(9,6,INDEX($D$98:$AD$98,MAX(1,$D$91+1-$D$90)):INDEX($D$98:$AD$98,$D$91))&gt;_xlfn.AGGREGATE(9,6,INDEX($D$97:$AD$97,MAX(1,$D$91+1-$D$90)):INDEX($D$97:$AD$97,$D$91))))</f>
        <v>0</v>
      </c>
      <c r="AV117" s="5">
        <f>IF(AV$93=0,NA(),(_xlfn.AGGREGATE(9,6,INDEX($D$98:$AD$98,MAX(1,$D$91+1-$D$90)):INDEX($D$98:$AD$98,$D$91))&gt;_xlfn.AGGREGATE(9,6,INDEX($D$96:$AD$96,MAX(1,$D$91+1-$D$90)):INDEX($D$96:$AD$96,$D$91)))+(_xlfn.AGGREGATE(9,6,INDEX($D$98:$AD$98,MAX(1,$D$91+1-$D$90)):INDEX($D$98:$AD$98,$D$91))&gt;_xlfn.AGGREGATE(9,6,INDEX($D$97:$AD$97,MAX(1,$D$91+1-$D$90)):INDEX($D$97:$AD$97,$D$91))))</f>
        <v>0</v>
      </c>
      <c r="AW117" s="5">
        <f>IF(AW$93=0,NA(),(_xlfn.AGGREGATE(9,6,INDEX($D$98:$AD$98,MAX(1,$D$91+1-$D$90)):INDEX($D$98:$AD$98,$D$91))&gt;_xlfn.AGGREGATE(9,6,INDEX($D$96:$AD$96,MAX(1,$D$91+1-$D$90)):INDEX($D$96:$AD$96,$D$91)))+(_xlfn.AGGREGATE(9,6,INDEX($D$98:$AD$98,MAX(1,$D$91+1-$D$90)):INDEX($D$98:$AD$98,$D$91))&gt;_xlfn.AGGREGATE(9,6,INDEX($D$97:$AD$97,MAX(1,$D$91+1-$D$90)):INDEX($D$97:$AD$97,$D$91))))</f>
        <v>0</v>
      </c>
      <c r="AX117" s="5">
        <f>IF(AX$93=0,NA(),(_xlfn.AGGREGATE(9,6,INDEX($D$98:$AD$98,MAX(1,$D$91+1-$D$90)):INDEX($D$98:$AD$98,$D$91))&gt;_xlfn.AGGREGATE(9,6,INDEX($D$96:$AD$96,MAX(1,$D$91+1-$D$90)):INDEX($D$96:$AD$96,$D$91)))+(_xlfn.AGGREGATE(9,6,INDEX($D$98:$AD$98,MAX(1,$D$91+1-$D$90)):INDEX($D$98:$AD$98,$D$91))&gt;_xlfn.AGGREGATE(9,6,INDEX($D$97:$AD$97,MAX(1,$D$91+1-$D$90)):INDEX($D$97:$AD$97,$D$91))))</f>
        <v>0</v>
      </c>
      <c r="AY117" s="5">
        <f>IF(AY$93=0,NA(),(_xlfn.AGGREGATE(9,6,INDEX($D$98:$AD$98,MAX(1,$D$91+1-$D$90)):INDEX($D$98:$AD$98,$D$91))&gt;_xlfn.AGGREGATE(9,6,INDEX($D$96:$AD$96,MAX(1,$D$91+1-$D$90)):INDEX($D$96:$AD$96,$D$91)))+(_xlfn.AGGREGATE(9,6,INDEX($D$98:$AD$98,MAX(1,$D$91+1-$D$90)):INDEX($D$98:$AD$98,$D$91))&gt;_xlfn.AGGREGATE(9,6,INDEX($D$97:$AD$97,MAX(1,$D$91+1-$D$90)):INDEX($D$97:$AD$97,$D$91))))</f>
        <v>0</v>
      </c>
      <c r="AZ117" s="5">
        <f>IF(AZ$93=0,NA(),(_xlfn.AGGREGATE(9,6,INDEX($D$98:$AD$98,MAX(1,$D$91+1-$D$90)):INDEX($D$98:$AD$98,$D$91))&gt;_xlfn.AGGREGATE(9,6,INDEX($D$96:$AD$96,MAX(1,$D$91+1-$D$90)):INDEX($D$96:$AD$96,$D$91)))+(_xlfn.AGGREGATE(9,6,INDEX($D$98:$AD$98,MAX(1,$D$91+1-$D$90)):INDEX($D$98:$AD$98,$D$91))&gt;_xlfn.AGGREGATE(9,6,INDEX($D$97:$AD$97,MAX(1,$D$91+1-$D$90)):INDEX($D$97:$AD$97,$D$91))))</f>
        <v>0</v>
      </c>
      <c r="BA117" s="5">
        <f>IF(BA$93=0,NA(),(_xlfn.AGGREGATE(9,6,INDEX($D$98:$AD$98,MAX(1,$D$91+1-$D$90)):INDEX($D$98:$AD$98,$D$91))&gt;_xlfn.AGGREGATE(9,6,INDEX($D$96:$AD$96,MAX(1,$D$91+1-$D$90)):INDEX($D$96:$AD$96,$D$91)))+(_xlfn.AGGREGATE(9,6,INDEX($D$98:$AD$98,MAX(1,$D$91+1-$D$90)):INDEX($D$98:$AD$98,$D$91))&gt;_xlfn.AGGREGATE(9,6,INDEX($D$97:$AD$97,MAX(1,$D$91+1-$D$90)):INDEX($D$97:$AD$97,$D$91))))</f>
        <v>0</v>
      </c>
      <c r="BB117" s="5">
        <f>IF(BB$93=0,NA(),(_xlfn.AGGREGATE(9,6,INDEX($D$98:$AD$98,MAX(1,$D$91+1-$D$90)):INDEX($D$98:$AD$98,$D$91))&gt;_xlfn.AGGREGATE(9,6,INDEX($D$96:$AD$96,MAX(1,$D$91+1-$D$90)):INDEX($D$96:$AD$96,$D$91)))+(_xlfn.AGGREGATE(9,6,INDEX($D$98:$AD$98,MAX(1,$D$91+1-$D$90)):INDEX($D$98:$AD$98,$D$91))&gt;_xlfn.AGGREGATE(9,6,INDEX($D$97:$AD$97,MAX(1,$D$91+1-$D$90)):INDEX($D$97:$AD$97,$D$91))))</f>
        <v>0</v>
      </c>
      <c r="BC117" s="5">
        <f>IF(BC$93=0,NA(),(_xlfn.AGGREGATE(9,6,INDEX($D$98:$AD$98,MAX(1,$D$91+1-$D$90)):INDEX($D$98:$AD$98,$D$91))&gt;_xlfn.AGGREGATE(9,6,INDEX($D$96:$AD$96,MAX(1,$D$91+1-$D$90)):INDEX($D$96:$AD$96,$D$91)))+(_xlfn.AGGREGATE(9,6,INDEX($D$98:$AD$98,MAX(1,$D$91+1-$D$90)):INDEX($D$98:$AD$98,$D$91))&gt;_xlfn.AGGREGATE(9,6,INDEX($D$97:$AD$97,MAX(1,$D$91+1-$D$90)):INDEX($D$97:$AD$97,$D$91))))</f>
        <v>0</v>
      </c>
      <c r="BD117" s="5">
        <f>IF(BD$93=0,NA(),(_xlfn.AGGREGATE(9,6,INDEX($D$98:$AD$98,MAX(1,$D$91+1-$D$90)):INDEX($D$98:$AD$98,$D$91))&gt;_xlfn.AGGREGATE(9,6,INDEX($D$96:$AD$96,MAX(1,$D$91+1-$D$90)):INDEX($D$96:$AD$96,$D$91)))+(_xlfn.AGGREGATE(9,6,INDEX($D$98:$AD$98,MAX(1,$D$91+1-$D$90)):INDEX($D$98:$AD$98,$D$91))&gt;_xlfn.AGGREGATE(9,6,INDEX($D$97:$AD$97,MAX(1,$D$91+1-$D$90)):INDEX($D$97:$AD$97,$D$91))))</f>
        <v>0</v>
      </c>
      <c r="BE117" s="5">
        <f>IF(BE$93=0,NA(),(_xlfn.AGGREGATE(9,6,INDEX($D$98:$AD$98,MAX(1,$D$91+1-$D$90)):INDEX($D$98:$AD$98,$D$91))&gt;_xlfn.AGGREGATE(9,6,INDEX($D$96:$AD$96,MAX(1,$D$91+1-$D$90)):INDEX($D$96:$AD$96,$D$91)))+(_xlfn.AGGREGATE(9,6,INDEX($D$98:$AD$98,MAX(1,$D$91+1-$D$90)):INDEX($D$98:$AD$98,$D$91))&gt;_xlfn.AGGREGATE(9,6,INDEX($D$97:$AD$97,MAX(1,$D$91+1-$D$90)):INDEX($D$97:$AD$97,$D$91))))</f>
        <v>0</v>
      </c>
      <c r="BF117" s="5">
        <f>IF(BF$93=0,NA(),(_xlfn.AGGREGATE(9,6,INDEX($D$98:$AD$98,MAX(1,$D$91+1-$D$90)):INDEX($D$98:$AD$98,$D$91))&gt;_xlfn.AGGREGATE(9,6,INDEX($D$96:$AD$96,MAX(1,$D$91+1-$D$90)):INDEX($D$96:$AD$96,$D$91)))+(_xlfn.AGGREGATE(9,6,INDEX($D$98:$AD$98,MAX(1,$D$91+1-$D$90)):INDEX($D$98:$AD$98,$D$91))&gt;_xlfn.AGGREGATE(9,6,INDEX($D$97:$AD$97,MAX(1,$D$91+1-$D$90)):INDEX($D$97:$AD$97,$D$91))))</f>
        <v>0</v>
      </c>
      <c r="BG117" s="5">
        <f>IF(BG$93=0,NA(),(_xlfn.AGGREGATE(9,6,INDEX($D$98:$AD$98,MAX(1,$D$91+1-$D$90)):INDEX($D$98:$AD$98,$D$91))&gt;_xlfn.AGGREGATE(9,6,INDEX($D$96:$AD$96,MAX(1,$D$91+1-$D$90)):INDEX($D$96:$AD$96,$D$91)))+(_xlfn.AGGREGATE(9,6,INDEX($D$98:$AD$98,MAX(1,$D$91+1-$D$90)):INDEX($D$98:$AD$98,$D$91))&gt;_xlfn.AGGREGATE(9,6,INDEX($D$97:$AD$97,MAX(1,$D$91+1-$D$90)):INDEX($D$97:$AD$97,$D$91))))</f>
        <v>0</v>
      </c>
      <c r="BH117" s="5">
        <f>IF(BH$93=0,NA(),(_xlfn.AGGREGATE(9,6,INDEX($D$98:$AD$98,MAX(1,$D$91+1-$D$90)):INDEX($D$98:$AD$98,$D$91))&gt;_xlfn.AGGREGATE(9,6,INDEX($D$96:$AD$96,MAX(1,$D$91+1-$D$90)):INDEX($D$96:$AD$96,$D$91)))+(_xlfn.AGGREGATE(9,6,INDEX($D$98:$AD$98,MAX(1,$D$91+1-$D$90)):INDEX($D$98:$AD$98,$D$91))&gt;_xlfn.AGGREGATE(9,6,INDEX($D$97:$AD$97,MAX(1,$D$91+1-$D$90)):INDEX($D$97:$AD$97,$D$91))))</f>
        <v>0</v>
      </c>
      <c r="BI117" s="5">
        <f>IF(BI$93=0,NA(),(_xlfn.AGGREGATE(9,6,INDEX($D$98:$AD$98,MAX(1,$D$91+1-$D$90)):INDEX($D$98:$AD$98,$D$91))&gt;_xlfn.AGGREGATE(9,6,INDEX($D$96:$AD$96,MAX(1,$D$91+1-$D$90)):INDEX($D$96:$AD$96,$D$91)))+(_xlfn.AGGREGATE(9,6,INDEX($D$98:$AD$98,MAX(1,$D$91+1-$D$90)):INDEX($D$98:$AD$98,$D$91))&gt;_xlfn.AGGREGATE(9,6,INDEX($D$97:$AD$97,MAX(1,$D$91+1-$D$90)):INDEX($D$97:$AD$97,$D$91))))</f>
        <v>0</v>
      </c>
      <c r="BJ117" s="5">
        <f>IF(BJ$93=0,NA(),(_xlfn.AGGREGATE(9,6,INDEX($D$98:$AD$98,MAX(1,$D$91+1-$D$90)):INDEX($D$98:$AD$98,$D$91))&gt;_xlfn.AGGREGATE(9,6,INDEX($D$96:$AD$96,MAX(1,$D$91+1-$D$90)):INDEX($D$96:$AD$96,$D$91)))+(_xlfn.AGGREGATE(9,6,INDEX($D$98:$AD$98,MAX(1,$D$91+1-$D$90)):INDEX($D$98:$AD$98,$D$91))&gt;_xlfn.AGGREGATE(9,6,INDEX($D$97:$AD$97,MAX(1,$D$91+1-$D$90)):INDEX($D$97:$AD$97,$D$91))))</f>
        <v>0</v>
      </c>
      <c r="BK117" s="5">
        <f>IF(BK$93=0,NA(),(_xlfn.AGGREGATE(9,6,INDEX($D$98:$AD$98,MAX(1,$D$91+1-$D$90)):INDEX($D$98:$AD$98,$D$91))&gt;_xlfn.AGGREGATE(9,6,INDEX($D$96:$AD$96,MAX(1,$D$91+1-$D$90)):INDEX($D$96:$AD$96,$D$91)))+(_xlfn.AGGREGATE(9,6,INDEX($D$98:$AD$98,MAX(1,$D$91+1-$D$90)):INDEX($D$98:$AD$98,$D$91))&gt;_xlfn.AGGREGATE(9,6,INDEX($D$97:$AD$97,MAX(1,$D$91+1-$D$90)):INDEX($D$97:$AD$97,$D$91))))</f>
        <v>0</v>
      </c>
      <c r="BL117" s="5">
        <f>IF(BL$93=0,NA(),(_xlfn.AGGREGATE(9,6,INDEX($D$98:$AD$98,MAX(1,$D$91+1-$D$90)):INDEX($D$98:$AD$98,$D$91))&gt;_xlfn.AGGREGATE(9,6,INDEX($D$96:$AD$96,MAX(1,$D$91+1-$D$90)):INDEX($D$96:$AD$96,$D$91)))+(_xlfn.AGGREGATE(9,6,INDEX($D$98:$AD$98,MAX(1,$D$91+1-$D$90)):INDEX($D$98:$AD$98,$D$91))&gt;_xlfn.AGGREGATE(9,6,INDEX($D$97:$AD$97,MAX(1,$D$91+1-$D$90)):INDEX($D$97:$AD$97,$D$91))))</f>
        <v>0</v>
      </c>
      <c r="BM117" s="5">
        <f>IF(BM$93=0,NA(),(_xlfn.AGGREGATE(9,6,INDEX($D$98:$AD$98,MAX(1,$D$91+1-$D$90)):INDEX($D$98:$AD$98,$D$91))&gt;_xlfn.AGGREGATE(9,6,INDEX($D$96:$AD$96,MAX(1,$D$91+1-$D$90)):INDEX($D$96:$AD$96,$D$91)))+(_xlfn.AGGREGATE(9,6,INDEX($D$98:$AD$98,MAX(1,$D$91+1-$D$90)):INDEX($D$98:$AD$98,$D$91))&gt;_xlfn.AGGREGATE(9,6,INDEX($D$97:$AD$97,MAX(1,$D$91+1-$D$90)):INDEX($D$97:$AD$97,$D$91))))</f>
        <v>0</v>
      </c>
      <c r="BN117" s="5">
        <f>IF(BN$93=0,NA(),(_xlfn.AGGREGATE(9,6,INDEX($D$98:$AD$98,MAX(1,$D$91+1-$D$90)):INDEX($D$98:$AD$98,$D$91))&gt;_xlfn.AGGREGATE(9,6,INDEX($D$96:$AD$96,MAX(1,$D$91+1-$D$90)):INDEX($D$96:$AD$96,$D$91)))+(_xlfn.AGGREGATE(9,6,INDEX($D$98:$AD$98,MAX(1,$D$91+1-$D$90)):INDEX($D$98:$AD$98,$D$91))&gt;_xlfn.AGGREGATE(9,6,INDEX($D$97:$AD$97,MAX(1,$D$91+1-$D$90)):INDEX($D$97:$AD$97,$D$91))))</f>
        <v>0</v>
      </c>
      <c r="BO117" s="5">
        <f>IF(BO$93=0,NA(),(_xlfn.AGGREGATE(9,6,INDEX($D$98:$AD$98,MAX(1,$D$91+1-$D$90)):INDEX($D$98:$AD$98,$D$91))&gt;_xlfn.AGGREGATE(9,6,INDEX($D$96:$AD$96,MAX(1,$D$91+1-$D$90)):INDEX($D$96:$AD$96,$D$91)))+(_xlfn.AGGREGATE(9,6,INDEX($D$98:$AD$98,MAX(1,$D$91+1-$D$90)):INDEX($D$98:$AD$98,$D$91))&gt;_xlfn.AGGREGATE(9,6,INDEX($D$97:$AD$97,MAX(1,$D$91+1-$D$90)):INDEX($D$97:$AD$97,$D$91))))</f>
        <v>0</v>
      </c>
      <c r="BP117" s="5">
        <f>IF(BP$93=0,NA(),(_xlfn.AGGREGATE(9,6,INDEX($D$98:$AD$98,MAX(1,$D$91+1-$D$90)):INDEX($D$98:$AD$98,$D$91))&gt;_xlfn.AGGREGATE(9,6,INDEX($D$96:$AD$96,MAX(1,$D$91+1-$D$90)):INDEX($D$96:$AD$96,$D$91)))+(_xlfn.AGGREGATE(9,6,INDEX($D$98:$AD$98,MAX(1,$D$91+1-$D$90)):INDEX($D$98:$AD$98,$D$91))&gt;_xlfn.AGGREGATE(9,6,INDEX($D$97:$AD$97,MAX(1,$D$91+1-$D$90)):INDEX($D$97:$AD$97,$D$91))))</f>
        <v>0</v>
      </c>
    </row>
    <row r="118" spans="1:68">
      <c r="A118" s="11" t="s">
        <v>299</v>
      </c>
      <c r="B118" s="11" t="s">
        <v>300</v>
      </c>
      <c r="C118" s="3" t="s">
        <v>144</v>
      </c>
      <c r="AQ118" s="11">
        <f>IF(AQ$93=0,"",IF(ISNUMBER(INDEX($D$98:$AD$98,AQ$93)),FIXED(INDEX($D$98:$AD$98,AQ$93)/1000,1),""))</f>
        <v>0</v>
      </c>
      <c r="AR118" s="11">
        <f>IF(AR$93=0,"",IF(ISNUMBER(INDEX($D$98:$AD$98,AR$93)),FIXED(INDEX($D$98:$AD$98,AR$93)/1000,1),""))</f>
        <v>0</v>
      </c>
      <c r="AS118" s="11">
        <f>IF(AS$93=0,"",IF(ISNUMBER(INDEX($D$98:$AD$98,AS$93)),FIXED(INDEX($D$98:$AD$98,AS$93)/1000,1),""))</f>
        <v>0</v>
      </c>
      <c r="AT118" s="11">
        <f>IF(AT$93=0,"",IF(ISNUMBER(INDEX($D$98:$AD$98,AT$93)),FIXED(INDEX($D$98:$AD$98,AT$93)/1000,1),""))</f>
        <v>0</v>
      </c>
      <c r="AU118" s="11">
        <f>IF(AU$93=0,"",IF(ISNUMBER(INDEX($D$98:$AD$98,AU$93)),FIXED(INDEX($D$98:$AD$98,AU$93)/1000,1),""))</f>
        <v>0</v>
      </c>
      <c r="AV118" s="11">
        <f>IF(AV$93=0,"",IF(ISNUMBER(INDEX($D$98:$AD$98,AV$93)),FIXED(INDEX($D$98:$AD$98,AV$93)/1000,1),""))</f>
        <v>0</v>
      </c>
      <c r="AW118" s="11">
        <f>IF(AW$93=0,"",IF(ISNUMBER(INDEX($D$98:$AD$98,AW$93)),FIXED(INDEX($D$98:$AD$98,AW$93)/1000,1),""))</f>
        <v>0</v>
      </c>
      <c r="AX118" s="11">
        <f>IF(AX$93=0,"",IF(ISNUMBER(INDEX($D$98:$AD$98,AX$93)),FIXED(INDEX($D$98:$AD$98,AX$93)/1000,1),""))</f>
        <v>0</v>
      </c>
      <c r="AY118" s="11">
        <f>IF(AY$93=0,"",IF(ISNUMBER(INDEX($D$98:$AD$98,AY$93)),FIXED(INDEX($D$98:$AD$98,AY$93)/1000,1),""))</f>
        <v>0</v>
      </c>
      <c r="AZ118" s="11">
        <f>IF(AZ$93=0,"",IF(ISNUMBER(INDEX($D$98:$AD$98,AZ$93)),FIXED(INDEX($D$98:$AD$98,AZ$93)/1000,1),""))</f>
        <v>0</v>
      </c>
      <c r="BA118" s="11">
        <f>IF(BA$93=0,"",IF(ISNUMBER(INDEX($D$98:$AD$98,BA$93)),FIXED(INDEX($D$98:$AD$98,BA$93)/1000,1),""))</f>
        <v>0</v>
      </c>
      <c r="BB118" s="11">
        <f>IF(BB$93=0,"",IF(ISNUMBER(INDEX($D$98:$AD$98,BB$93)),FIXED(INDEX($D$98:$AD$98,BB$93)/1000,1),""))</f>
        <v>0</v>
      </c>
      <c r="BC118" s="11">
        <f>IF(BC$93=0,"",IF(ISNUMBER(INDEX($D$98:$AD$98,BC$93)),FIXED(INDEX($D$98:$AD$98,BC$93)/1000,1),""))</f>
        <v>0</v>
      </c>
      <c r="BD118" s="11">
        <f>IF(BD$93=0,"",IF(ISNUMBER(INDEX($D$98:$AD$98,BD$93)),FIXED(INDEX($D$98:$AD$98,BD$93)/1000,1),""))</f>
        <v>0</v>
      </c>
      <c r="BE118" s="11">
        <f>IF(BE$93=0,"",IF(ISNUMBER(INDEX($D$98:$AD$98,BE$93)),FIXED(INDEX($D$98:$AD$98,BE$93)/1000,1),""))</f>
        <v>0</v>
      </c>
      <c r="BF118" s="11">
        <f>IF(BF$93=0,"",IF(ISNUMBER(INDEX($D$98:$AD$98,BF$93)),FIXED(INDEX($D$98:$AD$98,BF$93)/1000,1),""))</f>
        <v>0</v>
      </c>
      <c r="BG118" s="11">
        <f>IF(BG$93=0,"",IF(ISNUMBER(INDEX($D$98:$AD$98,BG$93)),FIXED(INDEX($D$98:$AD$98,BG$93)/1000,1),""))</f>
        <v>0</v>
      </c>
      <c r="BH118" s="11">
        <f>IF(BH$93=0,"",IF(ISNUMBER(INDEX($D$98:$AD$98,BH$93)),FIXED(INDEX($D$98:$AD$98,BH$93)/1000,1),""))</f>
        <v>0</v>
      </c>
      <c r="BI118" s="11">
        <f>IF(BI$93=0,"",IF(ISNUMBER(INDEX($D$98:$AD$98,BI$93)),FIXED(INDEX($D$98:$AD$98,BI$93)/1000,1),""))</f>
        <v>0</v>
      </c>
      <c r="BJ118" s="11">
        <f>IF(BJ$93=0,"",IF(ISNUMBER(INDEX($D$98:$AD$98,BJ$93)),FIXED(INDEX($D$98:$AD$98,BJ$93)/1000,1),""))</f>
        <v>0</v>
      </c>
      <c r="BK118" s="11">
        <f>IF(BK$93=0,"",IF(ISNUMBER(INDEX($D$98:$AD$98,BK$93)),FIXED(INDEX($D$98:$AD$98,BK$93)/1000,1),""))</f>
        <v>0</v>
      </c>
      <c r="BL118" s="11">
        <f>IF(BL$93=0,"",IF(ISNUMBER(INDEX($D$98:$AD$98,BL$93)),FIXED(INDEX($D$98:$AD$98,BL$93)/1000,1),""))</f>
        <v>0</v>
      </c>
      <c r="BM118" s="11">
        <f>IF(BM$93=0,"",IF(ISNUMBER(INDEX($D$98:$AD$98,BM$93)),FIXED(INDEX($D$98:$AD$98,BM$93)/1000,1),""))</f>
        <v>0</v>
      </c>
      <c r="BN118" s="11">
        <f>IF(BN$93=0,"",IF(ISNUMBER(INDEX($D$98:$AD$98,BN$93)),FIXED(INDEX($D$98:$AD$98,BN$93)/1000,1),""))</f>
        <v>0</v>
      </c>
      <c r="BO118" s="11">
        <f>IF(BO$93=0,"",IF(ISNUMBER(INDEX($D$98:$AD$98,BO$93)),FIXED(INDEX($D$98:$AD$98,BO$93)/1000,1),""))</f>
        <v>0</v>
      </c>
      <c r="BP118" s="11">
        <f>IF(BP$93=0,"",IF(ISNUMBER(INDEX($D$98:$AD$98,BP$93)),FIXED(INDEX($D$98:$AD$98,BP$93)/1000,1),""))</f>
        <v>0</v>
      </c>
    </row>
    <row r="119" spans="1:68">
      <c r="A119" s="11" t="s">
        <v>301</v>
      </c>
      <c r="B119" s="11" t="s">
        <v>302</v>
      </c>
      <c r="C119" s="3" t="s">
        <v>144</v>
      </c>
      <c r="AQ119" s="5">
        <f>IF(AQ$93=0,NA(),IF(ISNUMBER(INDEX($D$97:$AD$97,AQ$93)),(IF(AQ115&gt;AQ113,N(INDEX($D$96:$AD$96,AQ$93)),0)+IF(AQ117&gt;AQ113,N(INDEX($D$98:$AD$98,AQ$93)),0)+INDEX($D$97:$AD$97,AQ$93)/2)/AQ109,NA()))</f>
        <v>0</v>
      </c>
      <c r="AR119" s="5">
        <f>IF(AR$93=0,NA(),IF(ISNUMBER(INDEX($D$97:$AD$97,AR$93)),(IF(AR115&gt;AR113,N(INDEX($D$96:$AD$96,AR$93)),0)+IF(AR117&gt;AR113,N(INDEX($D$98:$AD$98,AR$93)),0)+INDEX($D$97:$AD$97,AR$93)/2)/AR109,NA()))</f>
        <v>0</v>
      </c>
      <c r="AS119" s="5">
        <f>IF(AS$93=0,NA(),IF(ISNUMBER(INDEX($D$97:$AD$97,AS$93)),(IF(AS115&gt;AS113,N(INDEX($D$96:$AD$96,AS$93)),0)+IF(AS117&gt;AS113,N(INDEX($D$98:$AD$98,AS$93)),0)+INDEX($D$97:$AD$97,AS$93)/2)/AS109,NA()))</f>
        <v>0</v>
      </c>
      <c r="AT119" s="5">
        <f>IF(AT$93=0,NA(),IF(ISNUMBER(INDEX($D$97:$AD$97,AT$93)),(IF(AT115&gt;AT113,N(INDEX($D$96:$AD$96,AT$93)),0)+IF(AT117&gt;AT113,N(INDEX($D$98:$AD$98,AT$93)),0)+INDEX($D$97:$AD$97,AT$93)/2)/AT109,NA()))</f>
        <v>0</v>
      </c>
      <c r="AU119" s="5">
        <f>IF(AU$93=0,NA(),IF(ISNUMBER(INDEX($D$97:$AD$97,AU$93)),(IF(AU115&gt;AU113,N(INDEX($D$96:$AD$96,AU$93)),0)+IF(AU117&gt;AU113,N(INDEX($D$98:$AD$98,AU$93)),0)+INDEX($D$97:$AD$97,AU$93)/2)/AU109,NA()))</f>
        <v>0</v>
      </c>
      <c r="AV119" s="5">
        <f>IF(AV$93=0,NA(),IF(ISNUMBER(INDEX($D$97:$AD$97,AV$93)),(IF(AV115&gt;AV113,N(INDEX($D$96:$AD$96,AV$93)),0)+IF(AV117&gt;AV113,N(INDEX($D$98:$AD$98,AV$93)),0)+INDEX($D$97:$AD$97,AV$93)/2)/AV109,NA()))</f>
        <v>0</v>
      </c>
      <c r="AW119" s="5">
        <f>IF(AW$93=0,NA(),IF(ISNUMBER(INDEX($D$97:$AD$97,AW$93)),(IF(AW115&gt;AW113,N(INDEX($D$96:$AD$96,AW$93)),0)+IF(AW117&gt;AW113,N(INDEX($D$98:$AD$98,AW$93)),0)+INDEX($D$97:$AD$97,AW$93)/2)/AW109,NA()))</f>
        <v>0</v>
      </c>
      <c r="AX119" s="5">
        <f>IF(AX$93=0,NA(),IF(ISNUMBER(INDEX($D$97:$AD$97,AX$93)),(IF(AX115&gt;AX113,N(INDEX($D$96:$AD$96,AX$93)),0)+IF(AX117&gt;AX113,N(INDEX($D$98:$AD$98,AX$93)),0)+INDEX($D$97:$AD$97,AX$93)/2)/AX109,NA()))</f>
        <v>0</v>
      </c>
      <c r="AY119" s="5">
        <f>IF(AY$93=0,NA(),IF(ISNUMBER(INDEX($D$97:$AD$97,AY$93)),(IF(AY115&gt;AY113,N(INDEX($D$96:$AD$96,AY$93)),0)+IF(AY117&gt;AY113,N(INDEX($D$98:$AD$98,AY$93)),0)+INDEX($D$97:$AD$97,AY$93)/2)/AY109,NA()))</f>
        <v>0</v>
      </c>
      <c r="AZ119" s="5">
        <f>IF(AZ$93=0,NA(),IF(ISNUMBER(INDEX($D$97:$AD$97,AZ$93)),(IF(AZ115&gt;AZ113,N(INDEX($D$96:$AD$96,AZ$93)),0)+IF(AZ117&gt;AZ113,N(INDEX($D$98:$AD$98,AZ$93)),0)+INDEX($D$97:$AD$97,AZ$93)/2)/AZ109,NA()))</f>
        <v>0</v>
      </c>
      <c r="BA119" s="5">
        <f>IF(BA$93=0,NA(),IF(ISNUMBER(INDEX($D$97:$AD$97,BA$93)),(IF(BA115&gt;BA113,N(INDEX($D$96:$AD$96,BA$93)),0)+IF(BA117&gt;BA113,N(INDEX($D$98:$AD$98,BA$93)),0)+INDEX($D$97:$AD$97,BA$93)/2)/BA109,NA()))</f>
        <v>0</v>
      </c>
      <c r="BB119" s="5">
        <f>IF(BB$93=0,NA(),IF(ISNUMBER(INDEX($D$97:$AD$97,BB$93)),(IF(BB115&gt;BB113,N(INDEX($D$96:$AD$96,BB$93)),0)+IF(BB117&gt;BB113,N(INDEX($D$98:$AD$98,BB$93)),0)+INDEX($D$97:$AD$97,BB$93)/2)/BB109,NA()))</f>
        <v>0</v>
      </c>
      <c r="BC119" s="5">
        <f>IF(BC$93=0,NA(),IF(ISNUMBER(INDEX($D$97:$AD$97,BC$93)),(IF(BC115&gt;BC113,N(INDEX($D$96:$AD$96,BC$93)),0)+IF(BC117&gt;BC113,N(INDEX($D$98:$AD$98,BC$93)),0)+INDEX($D$97:$AD$97,BC$93)/2)/BC109,NA()))</f>
        <v>0</v>
      </c>
      <c r="BD119" s="5">
        <f>IF(BD$93=0,NA(),IF(ISNUMBER(INDEX($D$97:$AD$97,BD$93)),(IF(BD115&gt;BD113,N(INDEX($D$96:$AD$96,BD$93)),0)+IF(BD117&gt;BD113,N(INDEX($D$98:$AD$98,BD$93)),0)+INDEX($D$97:$AD$97,BD$93)/2)/BD109,NA()))</f>
        <v>0</v>
      </c>
      <c r="BE119" s="5">
        <f>IF(BE$93=0,NA(),IF(ISNUMBER(INDEX($D$97:$AD$97,BE$93)),(IF(BE115&gt;BE113,N(INDEX($D$96:$AD$96,BE$93)),0)+IF(BE117&gt;BE113,N(INDEX($D$98:$AD$98,BE$93)),0)+INDEX($D$97:$AD$97,BE$93)/2)/BE109,NA()))</f>
        <v>0</v>
      </c>
      <c r="BF119" s="5">
        <f>IF(BF$93=0,NA(),IF(ISNUMBER(INDEX($D$97:$AD$97,BF$93)),(IF(BF115&gt;BF113,N(INDEX($D$96:$AD$96,BF$93)),0)+IF(BF117&gt;BF113,N(INDEX($D$98:$AD$98,BF$93)),0)+INDEX($D$97:$AD$97,BF$93)/2)/BF109,NA()))</f>
        <v>0</v>
      </c>
      <c r="BG119" s="5">
        <f>IF(BG$93=0,NA(),IF(ISNUMBER(INDEX($D$97:$AD$97,BG$93)),(IF(BG115&gt;BG113,N(INDEX($D$96:$AD$96,BG$93)),0)+IF(BG117&gt;BG113,N(INDEX($D$98:$AD$98,BG$93)),0)+INDEX($D$97:$AD$97,BG$93)/2)/BG109,NA()))</f>
        <v>0</v>
      </c>
      <c r="BH119" s="5">
        <f>IF(BH$93=0,NA(),IF(ISNUMBER(INDEX($D$97:$AD$97,BH$93)),(IF(BH115&gt;BH113,N(INDEX($D$96:$AD$96,BH$93)),0)+IF(BH117&gt;BH113,N(INDEX($D$98:$AD$98,BH$93)),0)+INDEX($D$97:$AD$97,BH$93)/2)/BH109,NA()))</f>
        <v>0</v>
      </c>
      <c r="BI119" s="5">
        <f>IF(BI$93=0,NA(),IF(ISNUMBER(INDEX($D$97:$AD$97,BI$93)),(IF(BI115&gt;BI113,N(INDEX($D$96:$AD$96,BI$93)),0)+IF(BI117&gt;BI113,N(INDEX($D$98:$AD$98,BI$93)),0)+INDEX($D$97:$AD$97,BI$93)/2)/BI109,NA()))</f>
        <v>0</v>
      </c>
      <c r="BJ119" s="5">
        <f>IF(BJ$93=0,NA(),IF(ISNUMBER(INDEX($D$97:$AD$97,BJ$93)),(IF(BJ115&gt;BJ113,N(INDEX($D$96:$AD$96,BJ$93)),0)+IF(BJ117&gt;BJ113,N(INDEX($D$98:$AD$98,BJ$93)),0)+INDEX($D$97:$AD$97,BJ$93)/2)/BJ109,NA()))</f>
        <v>0</v>
      </c>
      <c r="BK119" s="5">
        <f>IF(BK$93=0,NA(),IF(ISNUMBER(INDEX($D$97:$AD$97,BK$93)),(IF(BK115&gt;BK113,N(INDEX($D$96:$AD$96,BK$93)),0)+IF(BK117&gt;BK113,N(INDEX($D$98:$AD$98,BK$93)),0)+INDEX($D$97:$AD$97,BK$93)/2)/BK109,NA()))</f>
        <v>0</v>
      </c>
      <c r="BL119" s="5">
        <f>IF(BL$93=0,NA(),IF(ISNUMBER(INDEX($D$97:$AD$97,BL$93)),(IF(BL115&gt;BL113,N(INDEX($D$96:$AD$96,BL$93)),0)+IF(BL117&gt;BL113,N(INDEX($D$98:$AD$98,BL$93)),0)+INDEX($D$97:$AD$97,BL$93)/2)/BL109,NA()))</f>
        <v>0</v>
      </c>
      <c r="BM119" s="5">
        <f>IF(BM$93=0,NA(),IF(ISNUMBER(INDEX($D$97:$AD$97,BM$93)),(IF(BM115&gt;BM113,N(INDEX($D$96:$AD$96,BM$93)),0)+IF(BM117&gt;BM113,N(INDEX($D$98:$AD$98,BM$93)),0)+INDEX($D$97:$AD$97,BM$93)/2)/BM109,NA()))</f>
        <v>0</v>
      </c>
      <c r="BN119" s="5">
        <f>IF(BN$93=0,NA(),IF(ISNUMBER(INDEX($D$97:$AD$97,BN$93)),(IF(BN115&gt;BN113,N(INDEX($D$96:$AD$96,BN$93)),0)+IF(BN117&gt;BN113,N(INDEX($D$98:$AD$98,BN$93)),0)+INDEX($D$97:$AD$97,BN$93)/2)/BN109,NA()))</f>
        <v>0</v>
      </c>
      <c r="BO119" s="5">
        <f>IF(BO$93=0,NA(),IF(ISNUMBER(INDEX($D$97:$AD$97,BO$93)),(IF(BO115&gt;BO113,N(INDEX($D$96:$AD$96,BO$93)),0)+IF(BO117&gt;BO113,N(INDEX($D$98:$AD$98,BO$93)),0)+INDEX($D$97:$AD$97,BO$93)/2)/BO109,NA()))</f>
        <v>0</v>
      </c>
      <c r="BP119" s="5">
        <f>IF(BP$93=0,NA(),IF(ISNUMBER(INDEX($D$97:$AD$97,BP$93)),(IF(BP115&gt;BP113,N(INDEX($D$96:$AD$96,BP$93)),0)+IF(BP117&gt;BP113,N(INDEX($D$98:$AD$98,BP$93)),0)+INDEX($D$97:$AD$97,BP$93)/2)/BP109,NA()))</f>
        <v>0</v>
      </c>
    </row>
    <row r="120" spans="1:68">
      <c r="A120" s="11" t="s">
        <v>303</v>
      </c>
      <c r="B120" s="11" t="s">
        <v>304</v>
      </c>
      <c r="C120" s="3" t="s">
        <v>144</v>
      </c>
      <c r="AQ120" s="5">
        <f>IF(AQ$93=0,NA(),IF(ISNUMBER(INDEX($D$96:$AD$96,AQ$93)),(IF(AQ113&gt;AQ115,N(INDEX($D$97:$AD$97,AQ$93)),0)+IF(AQ117&gt;AQ115,N(INDEX($D$98:$AD$98,AQ$93)),0)+INDEX($D$96:$AD$96,AQ$93)/2)/AQ109,NA()))</f>
        <v>0</v>
      </c>
      <c r="AR120" s="5">
        <f>IF(AR$93=0,NA(),IF(ISNUMBER(INDEX($D$96:$AD$96,AR$93)),(IF(AR113&gt;AR115,N(INDEX($D$97:$AD$97,AR$93)),0)+IF(AR117&gt;AR115,N(INDEX($D$98:$AD$98,AR$93)),0)+INDEX($D$96:$AD$96,AR$93)/2)/AR109,NA()))</f>
        <v>0</v>
      </c>
      <c r="AS120" s="5">
        <f>IF(AS$93=0,NA(),IF(ISNUMBER(INDEX($D$96:$AD$96,AS$93)),(IF(AS113&gt;AS115,N(INDEX($D$97:$AD$97,AS$93)),0)+IF(AS117&gt;AS115,N(INDEX($D$98:$AD$98,AS$93)),0)+INDEX($D$96:$AD$96,AS$93)/2)/AS109,NA()))</f>
        <v>0</v>
      </c>
      <c r="AT120" s="5">
        <f>IF(AT$93=0,NA(),IF(ISNUMBER(INDEX($D$96:$AD$96,AT$93)),(IF(AT113&gt;AT115,N(INDEX($D$97:$AD$97,AT$93)),0)+IF(AT117&gt;AT115,N(INDEX($D$98:$AD$98,AT$93)),0)+INDEX($D$96:$AD$96,AT$93)/2)/AT109,NA()))</f>
        <v>0</v>
      </c>
      <c r="AU120" s="5">
        <f>IF(AU$93=0,NA(),IF(ISNUMBER(INDEX($D$96:$AD$96,AU$93)),(IF(AU113&gt;AU115,N(INDEX($D$97:$AD$97,AU$93)),0)+IF(AU117&gt;AU115,N(INDEX($D$98:$AD$98,AU$93)),0)+INDEX($D$96:$AD$96,AU$93)/2)/AU109,NA()))</f>
        <v>0</v>
      </c>
      <c r="AV120" s="5">
        <f>IF(AV$93=0,NA(),IF(ISNUMBER(INDEX($D$96:$AD$96,AV$93)),(IF(AV113&gt;AV115,N(INDEX($D$97:$AD$97,AV$93)),0)+IF(AV117&gt;AV115,N(INDEX($D$98:$AD$98,AV$93)),0)+INDEX($D$96:$AD$96,AV$93)/2)/AV109,NA()))</f>
        <v>0</v>
      </c>
      <c r="AW120" s="5">
        <f>IF(AW$93=0,NA(),IF(ISNUMBER(INDEX($D$96:$AD$96,AW$93)),(IF(AW113&gt;AW115,N(INDEX($D$97:$AD$97,AW$93)),0)+IF(AW117&gt;AW115,N(INDEX($D$98:$AD$98,AW$93)),0)+INDEX($D$96:$AD$96,AW$93)/2)/AW109,NA()))</f>
        <v>0</v>
      </c>
      <c r="AX120" s="5">
        <f>IF(AX$93=0,NA(),IF(ISNUMBER(INDEX($D$96:$AD$96,AX$93)),(IF(AX113&gt;AX115,N(INDEX($D$97:$AD$97,AX$93)),0)+IF(AX117&gt;AX115,N(INDEX($D$98:$AD$98,AX$93)),0)+INDEX($D$96:$AD$96,AX$93)/2)/AX109,NA()))</f>
        <v>0</v>
      </c>
      <c r="AY120" s="5">
        <f>IF(AY$93=0,NA(),IF(ISNUMBER(INDEX($D$96:$AD$96,AY$93)),(IF(AY113&gt;AY115,N(INDEX($D$97:$AD$97,AY$93)),0)+IF(AY117&gt;AY115,N(INDEX($D$98:$AD$98,AY$93)),0)+INDEX($D$96:$AD$96,AY$93)/2)/AY109,NA()))</f>
        <v>0</v>
      </c>
      <c r="AZ120" s="5">
        <f>IF(AZ$93=0,NA(),IF(ISNUMBER(INDEX($D$96:$AD$96,AZ$93)),(IF(AZ113&gt;AZ115,N(INDEX($D$97:$AD$97,AZ$93)),0)+IF(AZ117&gt;AZ115,N(INDEX($D$98:$AD$98,AZ$93)),0)+INDEX($D$96:$AD$96,AZ$93)/2)/AZ109,NA()))</f>
        <v>0</v>
      </c>
      <c r="BA120" s="5">
        <f>IF(BA$93=0,NA(),IF(ISNUMBER(INDEX($D$96:$AD$96,BA$93)),(IF(BA113&gt;BA115,N(INDEX($D$97:$AD$97,BA$93)),0)+IF(BA117&gt;BA115,N(INDEX($D$98:$AD$98,BA$93)),0)+INDEX($D$96:$AD$96,BA$93)/2)/BA109,NA()))</f>
        <v>0</v>
      </c>
      <c r="BB120" s="5">
        <f>IF(BB$93=0,NA(),IF(ISNUMBER(INDEX($D$96:$AD$96,BB$93)),(IF(BB113&gt;BB115,N(INDEX($D$97:$AD$97,BB$93)),0)+IF(BB117&gt;BB115,N(INDEX($D$98:$AD$98,BB$93)),0)+INDEX($D$96:$AD$96,BB$93)/2)/BB109,NA()))</f>
        <v>0</v>
      </c>
      <c r="BC120" s="5">
        <f>IF(BC$93=0,NA(),IF(ISNUMBER(INDEX($D$96:$AD$96,BC$93)),(IF(BC113&gt;BC115,N(INDEX($D$97:$AD$97,BC$93)),0)+IF(BC117&gt;BC115,N(INDEX($D$98:$AD$98,BC$93)),0)+INDEX($D$96:$AD$96,BC$93)/2)/BC109,NA()))</f>
        <v>0</v>
      </c>
      <c r="BD120" s="5">
        <f>IF(BD$93=0,NA(),IF(ISNUMBER(INDEX($D$96:$AD$96,BD$93)),(IF(BD113&gt;BD115,N(INDEX($D$97:$AD$97,BD$93)),0)+IF(BD117&gt;BD115,N(INDEX($D$98:$AD$98,BD$93)),0)+INDEX($D$96:$AD$96,BD$93)/2)/BD109,NA()))</f>
        <v>0</v>
      </c>
      <c r="BE120" s="5">
        <f>IF(BE$93=0,NA(),IF(ISNUMBER(INDEX($D$96:$AD$96,BE$93)),(IF(BE113&gt;BE115,N(INDEX($D$97:$AD$97,BE$93)),0)+IF(BE117&gt;BE115,N(INDEX($D$98:$AD$98,BE$93)),0)+INDEX($D$96:$AD$96,BE$93)/2)/BE109,NA()))</f>
        <v>0</v>
      </c>
      <c r="BF120" s="5">
        <f>IF(BF$93=0,NA(),IF(ISNUMBER(INDEX($D$96:$AD$96,BF$93)),(IF(BF113&gt;BF115,N(INDEX($D$97:$AD$97,BF$93)),0)+IF(BF117&gt;BF115,N(INDEX($D$98:$AD$98,BF$93)),0)+INDEX($D$96:$AD$96,BF$93)/2)/BF109,NA()))</f>
        <v>0</v>
      </c>
      <c r="BG120" s="5">
        <f>IF(BG$93=0,NA(),IF(ISNUMBER(INDEX($D$96:$AD$96,BG$93)),(IF(BG113&gt;BG115,N(INDEX($D$97:$AD$97,BG$93)),0)+IF(BG117&gt;BG115,N(INDEX($D$98:$AD$98,BG$93)),0)+INDEX($D$96:$AD$96,BG$93)/2)/BG109,NA()))</f>
        <v>0</v>
      </c>
      <c r="BH120" s="5">
        <f>IF(BH$93=0,NA(),IF(ISNUMBER(INDEX($D$96:$AD$96,BH$93)),(IF(BH113&gt;BH115,N(INDEX($D$97:$AD$97,BH$93)),0)+IF(BH117&gt;BH115,N(INDEX($D$98:$AD$98,BH$93)),0)+INDEX($D$96:$AD$96,BH$93)/2)/BH109,NA()))</f>
        <v>0</v>
      </c>
      <c r="BI120" s="5">
        <f>IF(BI$93=0,NA(),IF(ISNUMBER(INDEX($D$96:$AD$96,BI$93)),(IF(BI113&gt;BI115,N(INDEX($D$97:$AD$97,BI$93)),0)+IF(BI117&gt;BI115,N(INDEX($D$98:$AD$98,BI$93)),0)+INDEX($D$96:$AD$96,BI$93)/2)/BI109,NA()))</f>
        <v>0</v>
      </c>
      <c r="BJ120" s="5">
        <f>IF(BJ$93=0,NA(),IF(ISNUMBER(INDEX($D$96:$AD$96,BJ$93)),(IF(BJ113&gt;BJ115,N(INDEX($D$97:$AD$97,BJ$93)),0)+IF(BJ117&gt;BJ115,N(INDEX($D$98:$AD$98,BJ$93)),0)+INDEX($D$96:$AD$96,BJ$93)/2)/BJ109,NA()))</f>
        <v>0</v>
      </c>
      <c r="BK120" s="5">
        <f>IF(BK$93=0,NA(),IF(ISNUMBER(INDEX($D$96:$AD$96,BK$93)),(IF(BK113&gt;BK115,N(INDEX($D$97:$AD$97,BK$93)),0)+IF(BK117&gt;BK115,N(INDEX($D$98:$AD$98,BK$93)),0)+INDEX($D$96:$AD$96,BK$93)/2)/BK109,NA()))</f>
        <v>0</v>
      </c>
      <c r="BL120" s="5">
        <f>IF(BL$93=0,NA(),IF(ISNUMBER(INDEX($D$96:$AD$96,BL$93)),(IF(BL113&gt;BL115,N(INDEX($D$97:$AD$97,BL$93)),0)+IF(BL117&gt;BL115,N(INDEX($D$98:$AD$98,BL$93)),0)+INDEX($D$96:$AD$96,BL$93)/2)/BL109,NA()))</f>
        <v>0</v>
      </c>
      <c r="BM120" s="5">
        <f>IF(BM$93=0,NA(),IF(ISNUMBER(INDEX($D$96:$AD$96,BM$93)),(IF(BM113&gt;BM115,N(INDEX($D$97:$AD$97,BM$93)),0)+IF(BM117&gt;BM115,N(INDEX($D$98:$AD$98,BM$93)),0)+INDEX($D$96:$AD$96,BM$93)/2)/BM109,NA()))</f>
        <v>0</v>
      </c>
      <c r="BN120" s="5">
        <f>IF(BN$93=0,NA(),IF(ISNUMBER(INDEX($D$96:$AD$96,BN$93)),(IF(BN113&gt;BN115,N(INDEX($D$97:$AD$97,BN$93)),0)+IF(BN117&gt;BN115,N(INDEX($D$98:$AD$98,BN$93)),0)+INDEX($D$96:$AD$96,BN$93)/2)/BN109,NA()))</f>
        <v>0</v>
      </c>
      <c r="BO120" s="5">
        <f>IF(BO$93=0,NA(),IF(ISNUMBER(INDEX($D$96:$AD$96,BO$93)),(IF(BO113&gt;BO115,N(INDEX($D$97:$AD$97,BO$93)),0)+IF(BO117&gt;BO115,N(INDEX($D$98:$AD$98,BO$93)),0)+INDEX($D$96:$AD$96,BO$93)/2)/BO109,NA()))</f>
        <v>0</v>
      </c>
      <c r="BP120" s="5">
        <f>IF(BP$93=0,NA(),IF(ISNUMBER(INDEX($D$96:$AD$96,BP$93)),(IF(BP113&gt;BP115,N(INDEX($D$97:$AD$97,BP$93)),0)+IF(BP117&gt;BP115,N(INDEX($D$98:$AD$98,BP$93)),0)+INDEX($D$96:$AD$96,BP$93)/2)/BP109,NA()))</f>
        <v>0</v>
      </c>
    </row>
    <row r="121" spans="1:68">
      <c r="A121" s="11" t="s">
        <v>305</v>
      </c>
      <c r="B121" s="11" t="s">
        <v>306</v>
      </c>
      <c r="C121" s="3" t="s">
        <v>144</v>
      </c>
      <c r="AQ121" s="5">
        <f>IF(AQ$93=0,NA(),IF(ISNUMBER(INDEX($D$98:$AD$98,AQ$93)),(IF(AQ115&gt;AQ117,N(INDEX($D$96:$AD$96,AQ$93)),0)+IF(AQ113&gt;AQ117,N(INDEX($D$97:$AD$97,AQ$93)),0)+INDEX($D$98:$AD$98,AQ$93)/2)/AQ109,NA()))</f>
        <v>0</v>
      </c>
      <c r="AR121" s="5">
        <f>IF(AR$93=0,NA(),IF(ISNUMBER(INDEX($D$98:$AD$98,AR$93)),(IF(AR115&gt;AR117,N(INDEX($D$96:$AD$96,AR$93)),0)+IF(AR113&gt;AR117,N(INDEX($D$97:$AD$97,AR$93)),0)+INDEX($D$98:$AD$98,AR$93)/2)/AR109,NA()))</f>
        <v>0</v>
      </c>
      <c r="AS121" s="5">
        <f>IF(AS$93=0,NA(),IF(ISNUMBER(INDEX($D$98:$AD$98,AS$93)),(IF(AS115&gt;AS117,N(INDEX($D$96:$AD$96,AS$93)),0)+IF(AS113&gt;AS117,N(INDEX($D$97:$AD$97,AS$93)),0)+INDEX($D$98:$AD$98,AS$93)/2)/AS109,NA()))</f>
        <v>0</v>
      </c>
      <c r="AT121" s="5">
        <f>IF(AT$93=0,NA(),IF(ISNUMBER(INDEX($D$98:$AD$98,AT$93)),(IF(AT115&gt;AT117,N(INDEX($D$96:$AD$96,AT$93)),0)+IF(AT113&gt;AT117,N(INDEX($D$97:$AD$97,AT$93)),0)+INDEX($D$98:$AD$98,AT$93)/2)/AT109,NA()))</f>
        <v>0</v>
      </c>
      <c r="AU121" s="5">
        <f>IF(AU$93=0,NA(),IF(ISNUMBER(INDEX($D$98:$AD$98,AU$93)),(IF(AU115&gt;AU117,N(INDEX($D$96:$AD$96,AU$93)),0)+IF(AU113&gt;AU117,N(INDEX($D$97:$AD$97,AU$93)),0)+INDEX($D$98:$AD$98,AU$93)/2)/AU109,NA()))</f>
        <v>0</v>
      </c>
      <c r="AV121" s="5">
        <f>IF(AV$93=0,NA(),IF(ISNUMBER(INDEX($D$98:$AD$98,AV$93)),(IF(AV115&gt;AV117,N(INDEX($D$96:$AD$96,AV$93)),0)+IF(AV113&gt;AV117,N(INDEX($D$97:$AD$97,AV$93)),0)+INDEX($D$98:$AD$98,AV$93)/2)/AV109,NA()))</f>
        <v>0</v>
      </c>
      <c r="AW121" s="5">
        <f>IF(AW$93=0,NA(),IF(ISNUMBER(INDEX($D$98:$AD$98,AW$93)),(IF(AW115&gt;AW117,N(INDEX($D$96:$AD$96,AW$93)),0)+IF(AW113&gt;AW117,N(INDEX($D$97:$AD$97,AW$93)),0)+INDEX($D$98:$AD$98,AW$93)/2)/AW109,NA()))</f>
        <v>0</v>
      </c>
      <c r="AX121" s="5">
        <f>IF(AX$93=0,NA(),IF(ISNUMBER(INDEX($D$98:$AD$98,AX$93)),(IF(AX115&gt;AX117,N(INDEX($D$96:$AD$96,AX$93)),0)+IF(AX113&gt;AX117,N(INDEX($D$97:$AD$97,AX$93)),0)+INDEX($D$98:$AD$98,AX$93)/2)/AX109,NA()))</f>
        <v>0</v>
      </c>
      <c r="AY121" s="5">
        <f>IF(AY$93=0,NA(),IF(ISNUMBER(INDEX($D$98:$AD$98,AY$93)),(IF(AY115&gt;AY117,N(INDEX($D$96:$AD$96,AY$93)),0)+IF(AY113&gt;AY117,N(INDEX($D$97:$AD$97,AY$93)),0)+INDEX($D$98:$AD$98,AY$93)/2)/AY109,NA()))</f>
        <v>0</v>
      </c>
      <c r="AZ121" s="5">
        <f>IF(AZ$93=0,NA(),IF(ISNUMBER(INDEX($D$98:$AD$98,AZ$93)),(IF(AZ115&gt;AZ117,N(INDEX($D$96:$AD$96,AZ$93)),0)+IF(AZ113&gt;AZ117,N(INDEX($D$97:$AD$97,AZ$93)),0)+INDEX($D$98:$AD$98,AZ$93)/2)/AZ109,NA()))</f>
        <v>0</v>
      </c>
      <c r="BA121" s="5">
        <f>IF(BA$93=0,NA(),IF(ISNUMBER(INDEX($D$98:$AD$98,BA$93)),(IF(BA115&gt;BA117,N(INDEX($D$96:$AD$96,BA$93)),0)+IF(BA113&gt;BA117,N(INDEX($D$97:$AD$97,BA$93)),0)+INDEX($D$98:$AD$98,BA$93)/2)/BA109,NA()))</f>
        <v>0</v>
      </c>
      <c r="BB121" s="5">
        <f>IF(BB$93=0,NA(),IF(ISNUMBER(INDEX($D$98:$AD$98,BB$93)),(IF(BB115&gt;BB117,N(INDEX($D$96:$AD$96,BB$93)),0)+IF(BB113&gt;BB117,N(INDEX($D$97:$AD$97,BB$93)),0)+INDEX($D$98:$AD$98,BB$93)/2)/BB109,NA()))</f>
        <v>0</v>
      </c>
      <c r="BC121" s="5">
        <f>IF(BC$93=0,NA(),IF(ISNUMBER(INDEX($D$98:$AD$98,BC$93)),(IF(BC115&gt;BC117,N(INDEX($D$96:$AD$96,BC$93)),0)+IF(BC113&gt;BC117,N(INDEX($D$97:$AD$97,BC$93)),0)+INDEX($D$98:$AD$98,BC$93)/2)/BC109,NA()))</f>
        <v>0</v>
      </c>
      <c r="BD121" s="5">
        <f>IF(BD$93=0,NA(),IF(ISNUMBER(INDEX($D$98:$AD$98,BD$93)),(IF(BD115&gt;BD117,N(INDEX($D$96:$AD$96,BD$93)),0)+IF(BD113&gt;BD117,N(INDEX($D$97:$AD$97,BD$93)),0)+INDEX($D$98:$AD$98,BD$93)/2)/BD109,NA()))</f>
        <v>0</v>
      </c>
      <c r="BE121" s="5">
        <f>IF(BE$93=0,NA(),IF(ISNUMBER(INDEX($D$98:$AD$98,BE$93)),(IF(BE115&gt;BE117,N(INDEX($D$96:$AD$96,BE$93)),0)+IF(BE113&gt;BE117,N(INDEX($D$97:$AD$97,BE$93)),0)+INDEX($D$98:$AD$98,BE$93)/2)/BE109,NA()))</f>
        <v>0</v>
      </c>
      <c r="BF121" s="5">
        <f>IF(BF$93=0,NA(),IF(ISNUMBER(INDEX($D$98:$AD$98,BF$93)),(IF(BF115&gt;BF117,N(INDEX($D$96:$AD$96,BF$93)),0)+IF(BF113&gt;BF117,N(INDEX($D$97:$AD$97,BF$93)),0)+INDEX($D$98:$AD$98,BF$93)/2)/BF109,NA()))</f>
        <v>0</v>
      </c>
      <c r="BG121" s="5">
        <f>IF(BG$93=0,NA(),IF(ISNUMBER(INDEX($D$98:$AD$98,BG$93)),(IF(BG115&gt;BG117,N(INDEX($D$96:$AD$96,BG$93)),0)+IF(BG113&gt;BG117,N(INDEX($D$97:$AD$97,BG$93)),0)+INDEX($D$98:$AD$98,BG$93)/2)/BG109,NA()))</f>
        <v>0</v>
      </c>
      <c r="BH121" s="5">
        <f>IF(BH$93=0,NA(),IF(ISNUMBER(INDEX($D$98:$AD$98,BH$93)),(IF(BH115&gt;BH117,N(INDEX($D$96:$AD$96,BH$93)),0)+IF(BH113&gt;BH117,N(INDEX($D$97:$AD$97,BH$93)),0)+INDEX($D$98:$AD$98,BH$93)/2)/BH109,NA()))</f>
        <v>0</v>
      </c>
      <c r="BI121" s="5">
        <f>IF(BI$93=0,NA(),IF(ISNUMBER(INDEX($D$98:$AD$98,BI$93)),(IF(BI115&gt;BI117,N(INDEX($D$96:$AD$96,BI$93)),0)+IF(BI113&gt;BI117,N(INDEX($D$97:$AD$97,BI$93)),0)+INDEX($D$98:$AD$98,BI$93)/2)/BI109,NA()))</f>
        <v>0</v>
      </c>
      <c r="BJ121" s="5">
        <f>IF(BJ$93=0,NA(),IF(ISNUMBER(INDEX($D$98:$AD$98,BJ$93)),(IF(BJ115&gt;BJ117,N(INDEX($D$96:$AD$96,BJ$93)),0)+IF(BJ113&gt;BJ117,N(INDEX($D$97:$AD$97,BJ$93)),0)+INDEX($D$98:$AD$98,BJ$93)/2)/BJ109,NA()))</f>
        <v>0</v>
      </c>
      <c r="BK121" s="5">
        <f>IF(BK$93=0,NA(),IF(ISNUMBER(INDEX($D$98:$AD$98,BK$93)),(IF(BK115&gt;BK117,N(INDEX($D$96:$AD$96,BK$93)),0)+IF(BK113&gt;BK117,N(INDEX($D$97:$AD$97,BK$93)),0)+INDEX($D$98:$AD$98,BK$93)/2)/BK109,NA()))</f>
        <v>0</v>
      </c>
      <c r="BL121" s="5">
        <f>IF(BL$93=0,NA(),IF(ISNUMBER(INDEX($D$98:$AD$98,BL$93)),(IF(BL115&gt;BL117,N(INDEX($D$96:$AD$96,BL$93)),0)+IF(BL113&gt;BL117,N(INDEX($D$97:$AD$97,BL$93)),0)+INDEX($D$98:$AD$98,BL$93)/2)/BL109,NA()))</f>
        <v>0</v>
      </c>
      <c r="BM121" s="5">
        <f>IF(BM$93=0,NA(),IF(ISNUMBER(INDEX($D$98:$AD$98,BM$93)),(IF(BM115&gt;BM117,N(INDEX($D$96:$AD$96,BM$93)),0)+IF(BM113&gt;BM117,N(INDEX($D$97:$AD$97,BM$93)),0)+INDEX($D$98:$AD$98,BM$93)/2)/BM109,NA()))</f>
        <v>0</v>
      </c>
      <c r="BN121" s="5">
        <f>IF(BN$93=0,NA(),IF(ISNUMBER(INDEX($D$98:$AD$98,BN$93)),(IF(BN115&gt;BN117,N(INDEX($D$96:$AD$96,BN$93)),0)+IF(BN113&gt;BN117,N(INDEX($D$97:$AD$97,BN$93)),0)+INDEX($D$98:$AD$98,BN$93)/2)/BN109,NA()))</f>
        <v>0</v>
      </c>
      <c r="BO121" s="5">
        <f>IF(BO$93=0,NA(),IF(ISNUMBER(INDEX($D$98:$AD$98,BO$93)),(IF(BO115&gt;BO117,N(INDEX($D$96:$AD$96,BO$93)),0)+IF(BO113&gt;BO117,N(INDEX($D$97:$AD$97,BO$93)),0)+INDEX($D$98:$AD$98,BO$93)/2)/BO109,NA()))</f>
        <v>0</v>
      </c>
      <c r="BP121" s="5">
        <f>IF(BP$93=0,NA(),IF(ISNUMBER(INDEX($D$98:$AD$98,BP$93)),(IF(BP115&gt;BP117,N(INDEX($D$96:$AD$96,BP$93)),0)+IF(BP113&gt;BP117,N(INDEX($D$97:$AD$97,BP$93)),0)+INDEX($D$98:$AD$98,BP$93)/2)/BP109,NA()))</f>
        <v>0</v>
      </c>
    </row>
    <row r="122" spans="1:68">
      <c r="A122" s="11" t="s">
        <v>307</v>
      </c>
      <c r="B122" s="11" t="s">
        <v>308</v>
      </c>
      <c r="C122" s="3" t="s">
        <v>144</v>
      </c>
      <c r="AQ122" s="5">
        <f>IF(AQ$93=0,NA(),IF(ISNUMBER(INDEX($D$97:$AD$97,AQ$93)),MAX(MIN(AQ119,IFERROR(INDEX($D$107:$AD$107,AQ$93)/AQ109,1)-0.08721-AQ113*0.17442,IF(AQ115&lt;AQ113,IFERROR(AQ120,9)-(AQ113-AQ115)*0.17442,9),IF(AQ117&lt;AQ113,IFERROR(AQ121,9)-(AQ113-AQ117)*0.17442,9)),0.08721+(2-AQ113)*0.17442),NA()))</f>
        <v>0</v>
      </c>
      <c r="AR122" s="5">
        <f>IF(AR$93=0,NA(),IF(ISNUMBER(INDEX($D$97:$AD$97,AR$93)),MAX(MIN(AR119,IFERROR(INDEX($D$107:$AD$107,AR$93)/AR109,1)-0.08721-AR113*0.17442,IF(AR115&lt;AR113,IFERROR(AR120,9)-(AR113-AR115)*0.17442,9),IF(AR117&lt;AR113,IFERROR(AR121,9)-(AR113-AR117)*0.17442,9)),0.08721+(2-AR113)*0.17442),NA()))</f>
        <v>0</v>
      </c>
      <c r="AS122" s="5">
        <f>IF(AS$93=0,NA(),IF(ISNUMBER(INDEX($D$97:$AD$97,AS$93)),MAX(MIN(AS119,IFERROR(INDEX($D$107:$AD$107,AS$93)/AS109,1)-0.08721-AS113*0.17442,IF(AS115&lt;AS113,IFERROR(AS120,9)-(AS113-AS115)*0.17442,9),IF(AS117&lt;AS113,IFERROR(AS121,9)-(AS113-AS117)*0.17442,9)),0.08721+(2-AS113)*0.17442),NA()))</f>
        <v>0</v>
      </c>
      <c r="AT122" s="5">
        <f>IF(AT$93=0,NA(),IF(ISNUMBER(INDEX($D$97:$AD$97,AT$93)),MAX(MIN(AT119,IFERROR(INDEX($D$107:$AD$107,AT$93)/AT109,1)-0.08721-AT113*0.17442,IF(AT115&lt;AT113,IFERROR(AT120,9)-(AT113-AT115)*0.17442,9),IF(AT117&lt;AT113,IFERROR(AT121,9)-(AT113-AT117)*0.17442,9)),0.08721+(2-AT113)*0.17442),NA()))</f>
        <v>0</v>
      </c>
      <c r="AU122" s="5">
        <f>IF(AU$93=0,NA(),IF(ISNUMBER(INDEX($D$97:$AD$97,AU$93)),MAX(MIN(AU119,IFERROR(INDEX($D$107:$AD$107,AU$93)/AU109,1)-0.08721-AU113*0.17442,IF(AU115&lt;AU113,IFERROR(AU120,9)-(AU113-AU115)*0.17442,9),IF(AU117&lt;AU113,IFERROR(AU121,9)-(AU113-AU117)*0.17442,9)),0.08721+(2-AU113)*0.17442),NA()))</f>
        <v>0</v>
      </c>
      <c r="AV122" s="5">
        <f>IF(AV$93=0,NA(),IF(ISNUMBER(INDEX($D$97:$AD$97,AV$93)),MAX(MIN(AV119,IFERROR(INDEX($D$107:$AD$107,AV$93)/AV109,1)-0.08721-AV113*0.17442,IF(AV115&lt;AV113,IFERROR(AV120,9)-(AV113-AV115)*0.17442,9),IF(AV117&lt;AV113,IFERROR(AV121,9)-(AV113-AV117)*0.17442,9)),0.08721+(2-AV113)*0.17442),NA()))</f>
        <v>0</v>
      </c>
      <c r="AW122" s="5">
        <f>IF(AW$93=0,NA(),IF(ISNUMBER(INDEX($D$97:$AD$97,AW$93)),MAX(MIN(AW119,IFERROR(INDEX($D$107:$AD$107,AW$93)/AW109,1)-0.08721-AW113*0.17442,IF(AW115&lt;AW113,IFERROR(AW120,9)-(AW113-AW115)*0.17442,9),IF(AW117&lt;AW113,IFERROR(AW121,9)-(AW113-AW117)*0.17442,9)),0.08721+(2-AW113)*0.17442),NA()))</f>
        <v>0</v>
      </c>
      <c r="AX122" s="5">
        <f>IF(AX$93=0,NA(),IF(ISNUMBER(INDEX($D$97:$AD$97,AX$93)),MAX(MIN(AX119,IFERROR(INDEX($D$107:$AD$107,AX$93)/AX109,1)-0.08721-AX113*0.17442,IF(AX115&lt;AX113,IFERROR(AX120,9)-(AX113-AX115)*0.17442,9),IF(AX117&lt;AX113,IFERROR(AX121,9)-(AX113-AX117)*0.17442,9)),0.08721+(2-AX113)*0.17442),NA()))</f>
        <v>0</v>
      </c>
      <c r="AY122" s="5">
        <f>IF(AY$93=0,NA(),IF(ISNUMBER(INDEX($D$97:$AD$97,AY$93)),MAX(MIN(AY119,IFERROR(INDEX($D$107:$AD$107,AY$93)/AY109,1)-0.08721-AY113*0.17442,IF(AY115&lt;AY113,IFERROR(AY120,9)-(AY113-AY115)*0.17442,9),IF(AY117&lt;AY113,IFERROR(AY121,9)-(AY113-AY117)*0.17442,9)),0.08721+(2-AY113)*0.17442),NA()))</f>
        <v>0</v>
      </c>
      <c r="AZ122" s="5">
        <f>IF(AZ$93=0,NA(),IF(ISNUMBER(INDEX($D$97:$AD$97,AZ$93)),MAX(MIN(AZ119,IFERROR(INDEX($D$107:$AD$107,AZ$93)/AZ109,1)-0.08721-AZ113*0.17442,IF(AZ115&lt;AZ113,IFERROR(AZ120,9)-(AZ113-AZ115)*0.17442,9),IF(AZ117&lt;AZ113,IFERROR(AZ121,9)-(AZ113-AZ117)*0.17442,9)),0.08721+(2-AZ113)*0.17442),NA()))</f>
        <v>0</v>
      </c>
      <c r="BA122" s="5">
        <f>IF(BA$93=0,NA(),IF(ISNUMBER(INDEX($D$97:$AD$97,BA$93)),MAX(MIN(BA119,IFERROR(INDEX($D$107:$AD$107,BA$93)/BA109,1)-0.08721-BA113*0.17442,IF(BA115&lt;BA113,IFERROR(BA120,9)-(BA113-BA115)*0.17442,9),IF(BA117&lt;BA113,IFERROR(BA121,9)-(BA113-BA117)*0.17442,9)),0.08721+(2-BA113)*0.17442),NA()))</f>
        <v>0</v>
      </c>
      <c r="BB122" s="5">
        <f>IF(BB$93=0,NA(),IF(ISNUMBER(INDEX($D$97:$AD$97,BB$93)),MAX(MIN(BB119,IFERROR(INDEX($D$107:$AD$107,BB$93)/BB109,1)-0.08721-BB113*0.17442,IF(BB115&lt;BB113,IFERROR(BB120,9)-(BB113-BB115)*0.17442,9),IF(BB117&lt;BB113,IFERROR(BB121,9)-(BB113-BB117)*0.17442,9)),0.08721+(2-BB113)*0.17442),NA()))</f>
        <v>0</v>
      </c>
      <c r="BC122" s="5">
        <f>IF(BC$93=0,NA(),IF(ISNUMBER(INDEX($D$97:$AD$97,BC$93)),MAX(MIN(BC119,IFERROR(INDEX($D$107:$AD$107,BC$93)/BC109,1)-0.08721-BC113*0.17442,IF(BC115&lt;BC113,IFERROR(BC120,9)-(BC113-BC115)*0.17442,9),IF(BC117&lt;BC113,IFERROR(BC121,9)-(BC113-BC117)*0.17442,9)),0.08721+(2-BC113)*0.17442),NA()))</f>
        <v>0</v>
      </c>
      <c r="BD122" s="5">
        <f>IF(BD$93=0,NA(),IF(ISNUMBER(INDEX($D$97:$AD$97,BD$93)),MAX(MIN(BD119,IFERROR(INDEX($D$107:$AD$107,BD$93)/BD109,1)-0.08721-BD113*0.17442,IF(BD115&lt;BD113,IFERROR(BD120,9)-(BD113-BD115)*0.17442,9),IF(BD117&lt;BD113,IFERROR(BD121,9)-(BD113-BD117)*0.17442,9)),0.08721+(2-BD113)*0.17442),NA()))</f>
        <v>0</v>
      </c>
      <c r="BE122" s="5">
        <f>IF(BE$93=0,NA(),IF(ISNUMBER(INDEX($D$97:$AD$97,BE$93)),MAX(MIN(BE119,IFERROR(INDEX($D$107:$AD$107,BE$93)/BE109,1)-0.08721-BE113*0.17442,IF(BE115&lt;BE113,IFERROR(BE120,9)-(BE113-BE115)*0.17442,9),IF(BE117&lt;BE113,IFERROR(BE121,9)-(BE113-BE117)*0.17442,9)),0.08721+(2-BE113)*0.17442),NA()))</f>
        <v>0</v>
      </c>
      <c r="BF122" s="5">
        <f>IF(BF$93=0,NA(),IF(ISNUMBER(INDEX($D$97:$AD$97,BF$93)),MAX(MIN(BF119,IFERROR(INDEX($D$107:$AD$107,BF$93)/BF109,1)-0.08721-BF113*0.17442,IF(BF115&lt;BF113,IFERROR(BF120,9)-(BF113-BF115)*0.17442,9),IF(BF117&lt;BF113,IFERROR(BF121,9)-(BF113-BF117)*0.17442,9)),0.08721+(2-BF113)*0.17442),NA()))</f>
        <v>0</v>
      </c>
      <c r="BG122" s="5">
        <f>IF(BG$93=0,NA(),IF(ISNUMBER(INDEX($D$97:$AD$97,BG$93)),MAX(MIN(BG119,IFERROR(INDEX($D$107:$AD$107,BG$93)/BG109,1)-0.08721-BG113*0.17442,IF(BG115&lt;BG113,IFERROR(BG120,9)-(BG113-BG115)*0.17442,9),IF(BG117&lt;BG113,IFERROR(BG121,9)-(BG113-BG117)*0.17442,9)),0.08721+(2-BG113)*0.17442),NA()))</f>
        <v>0</v>
      </c>
      <c r="BH122" s="5">
        <f>IF(BH$93=0,NA(),IF(ISNUMBER(INDEX($D$97:$AD$97,BH$93)),MAX(MIN(BH119,IFERROR(INDEX($D$107:$AD$107,BH$93)/BH109,1)-0.08721-BH113*0.17442,IF(BH115&lt;BH113,IFERROR(BH120,9)-(BH113-BH115)*0.17442,9),IF(BH117&lt;BH113,IFERROR(BH121,9)-(BH113-BH117)*0.17442,9)),0.08721+(2-BH113)*0.17442),NA()))</f>
        <v>0</v>
      </c>
      <c r="BI122" s="5">
        <f>IF(BI$93=0,NA(),IF(ISNUMBER(INDEX($D$97:$AD$97,BI$93)),MAX(MIN(BI119,IFERROR(INDEX($D$107:$AD$107,BI$93)/BI109,1)-0.08721-BI113*0.17442,IF(BI115&lt;BI113,IFERROR(BI120,9)-(BI113-BI115)*0.17442,9),IF(BI117&lt;BI113,IFERROR(BI121,9)-(BI113-BI117)*0.17442,9)),0.08721+(2-BI113)*0.17442),NA()))</f>
        <v>0</v>
      </c>
      <c r="BJ122" s="5">
        <f>IF(BJ$93=0,NA(),IF(ISNUMBER(INDEX($D$97:$AD$97,BJ$93)),MAX(MIN(BJ119,IFERROR(INDEX($D$107:$AD$107,BJ$93)/BJ109,1)-0.08721-BJ113*0.17442,IF(BJ115&lt;BJ113,IFERROR(BJ120,9)-(BJ113-BJ115)*0.17442,9),IF(BJ117&lt;BJ113,IFERROR(BJ121,9)-(BJ113-BJ117)*0.17442,9)),0.08721+(2-BJ113)*0.17442),NA()))</f>
        <v>0</v>
      </c>
      <c r="BK122" s="5">
        <f>IF(BK$93=0,NA(),IF(ISNUMBER(INDEX($D$97:$AD$97,BK$93)),MAX(MIN(BK119,IFERROR(INDEX($D$107:$AD$107,BK$93)/BK109,1)-0.08721-BK113*0.17442,IF(BK115&lt;BK113,IFERROR(BK120,9)-(BK113-BK115)*0.17442,9),IF(BK117&lt;BK113,IFERROR(BK121,9)-(BK113-BK117)*0.17442,9)),0.08721+(2-BK113)*0.17442),NA()))</f>
        <v>0</v>
      </c>
      <c r="BL122" s="5">
        <f>IF(BL$93=0,NA(),IF(ISNUMBER(INDEX($D$97:$AD$97,BL$93)),MAX(MIN(BL119,IFERROR(INDEX($D$107:$AD$107,BL$93)/BL109,1)-0.08721-BL113*0.17442,IF(BL115&lt;BL113,IFERROR(BL120,9)-(BL113-BL115)*0.17442,9),IF(BL117&lt;BL113,IFERROR(BL121,9)-(BL113-BL117)*0.17442,9)),0.08721+(2-BL113)*0.17442),NA()))</f>
        <v>0</v>
      </c>
      <c r="BM122" s="5">
        <f>IF(BM$93=0,NA(),IF(ISNUMBER(INDEX($D$97:$AD$97,BM$93)),MAX(MIN(BM119,IFERROR(INDEX($D$107:$AD$107,BM$93)/BM109,1)-0.08721-BM113*0.17442,IF(BM115&lt;BM113,IFERROR(BM120,9)-(BM113-BM115)*0.17442,9),IF(BM117&lt;BM113,IFERROR(BM121,9)-(BM113-BM117)*0.17442,9)),0.08721+(2-BM113)*0.17442),NA()))</f>
        <v>0</v>
      </c>
      <c r="BN122" s="5">
        <f>IF(BN$93=0,NA(),IF(ISNUMBER(INDEX($D$97:$AD$97,BN$93)),MAX(MIN(BN119,IFERROR(INDEX($D$107:$AD$107,BN$93)/BN109,1)-0.08721-BN113*0.17442,IF(BN115&lt;BN113,IFERROR(BN120,9)-(BN113-BN115)*0.17442,9),IF(BN117&lt;BN113,IFERROR(BN121,9)-(BN113-BN117)*0.17442,9)),0.08721+(2-BN113)*0.17442),NA()))</f>
        <v>0</v>
      </c>
      <c r="BO122" s="5">
        <f>IF(BO$93=0,NA(),IF(ISNUMBER(INDEX($D$97:$AD$97,BO$93)),MAX(MIN(BO119,IFERROR(INDEX($D$107:$AD$107,BO$93)/BO109,1)-0.08721-BO113*0.17442,IF(BO115&lt;BO113,IFERROR(BO120,9)-(BO113-BO115)*0.17442,9),IF(BO117&lt;BO113,IFERROR(BO121,9)-(BO113-BO117)*0.17442,9)),0.08721+(2-BO113)*0.17442),NA()))</f>
        <v>0</v>
      </c>
      <c r="BP122" s="5">
        <f>IF(BP$93=0,NA(),IF(ISNUMBER(INDEX($D$97:$AD$97,BP$93)),MAX(MIN(BP119,IFERROR(INDEX($D$107:$AD$107,BP$93)/BP109,1)-0.08721-BP113*0.17442,IF(BP115&lt;BP113,IFERROR(BP120,9)-(BP113-BP115)*0.17442,9),IF(BP117&lt;BP113,IFERROR(BP121,9)-(BP113-BP117)*0.17442,9)),0.08721+(2-BP113)*0.17442),NA()))</f>
        <v>0</v>
      </c>
    </row>
    <row r="123" spans="1:68">
      <c r="A123" s="11" t="s">
        <v>309</v>
      </c>
      <c r="B123" s="11" t="s">
        <v>310</v>
      </c>
      <c r="C123" s="3" t="s">
        <v>144</v>
      </c>
      <c r="AQ123" s="5">
        <f>IF(AQ$93=0,NA(),IF(ISNUMBER(INDEX($D$96:$AD$96,AQ$93)),MAX(MIN(AQ120,IFERROR(INDEX($D$107:$AD$107,AQ$93)/AQ109,1)-0.08721-AQ115*0.17442,IF(AQ113&lt;AQ115,IFERROR(AQ119,9)-(AQ115-AQ113)*0.17442,9),IF(AQ117&lt;AQ115,IFERROR(AQ121,9)-(AQ115-AQ117)*0.17442,9)),0.08721+(2-AQ115)*0.17442),NA()))</f>
        <v>0</v>
      </c>
      <c r="AR123" s="5">
        <f>IF(AR$93=0,NA(),IF(ISNUMBER(INDEX($D$96:$AD$96,AR$93)),MAX(MIN(AR120,IFERROR(INDEX($D$107:$AD$107,AR$93)/AR109,1)-0.08721-AR115*0.17442,IF(AR113&lt;AR115,IFERROR(AR119,9)-(AR115-AR113)*0.17442,9),IF(AR117&lt;AR115,IFERROR(AR121,9)-(AR115-AR117)*0.17442,9)),0.08721+(2-AR115)*0.17442),NA()))</f>
        <v>0</v>
      </c>
      <c r="AS123" s="5">
        <f>IF(AS$93=0,NA(),IF(ISNUMBER(INDEX($D$96:$AD$96,AS$93)),MAX(MIN(AS120,IFERROR(INDEX($D$107:$AD$107,AS$93)/AS109,1)-0.08721-AS115*0.17442,IF(AS113&lt;AS115,IFERROR(AS119,9)-(AS115-AS113)*0.17442,9),IF(AS117&lt;AS115,IFERROR(AS121,9)-(AS115-AS117)*0.17442,9)),0.08721+(2-AS115)*0.17442),NA()))</f>
        <v>0</v>
      </c>
      <c r="AT123" s="5">
        <f>IF(AT$93=0,NA(),IF(ISNUMBER(INDEX($D$96:$AD$96,AT$93)),MAX(MIN(AT120,IFERROR(INDEX($D$107:$AD$107,AT$93)/AT109,1)-0.08721-AT115*0.17442,IF(AT113&lt;AT115,IFERROR(AT119,9)-(AT115-AT113)*0.17442,9),IF(AT117&lt;AT115,IFERROR(AT121,9)-(AT115-AT117)*0.17442,9)),0.08721+(2-AT115)*0.17442),NA()))</f>
        <v>0</v>
      </c>
      <c r="AU123" s="5">
        <f>IF(AU$93=0,NA(),IF(ISNUMBER(INDEX($D$96:$AD$96,AU$93)),MAX(MIN(AU120,IFERROR(INDEX($D$107:$AD$107,AU$93)/AU109,1)-0.08721-AU115*0.17442,IF(AU113&lt;AU115,IFERROR(AU119,9)-(AU115-AU113)*0.17442,9),IF(AU117&lt;AU115,IFERROR(AU121,9)-(AU115-AU117)*0.17442,9)),0.08721+(2-AU115)*0.17442),NA()))</f>
        <v>0</v>
      </c>
      <c r="AV123" s="5">
        <f>IF(AV$93=0,NA(),IF(ISNUMBER(INDEX($D$96:$AD$96,AV$93)),MAX(MIN(AV120,IFERROR(INDEX($D$107:$AD$107,AV$93)/AV109,1)-0.08721-AV115*0.17442,IF(AV113&lt;AV115,IFERROR(AV119,9)-(AV115-AV113)*0.17442,9),IF(AV117&lt;AV115,IFERROR(AV121,9)-(AV115-AV117)*0.17442,9)),0.08721+(2-AV115)*0.17442),NA()))</f>
        <v>0</v>
      </c>
      <c r="AW123" s="5">
        <f>IF(AW$93=0,NA(),IF(ISNUMBER(INDEX($D$96:$AD$96,AW$93)),MAX(MIN(AW120,IFERROR(INDEX($D$107:$AD$107,AW$93)/AW109,1)-0.08721-AW115*0.17442,IF(AW113&lt;AW115,IFERROR(AW119,9)-(AW115-AW113)*0.17442,9),IF(AW117&lt;AW115,IFERROR(AW121,9)-(AW115-AW117)*0.17442,9)),0.08721+(2-AW115)*0.17442),NA()))</f>
        <v>0</v>
      </c>
      <c r="AX123" s="5">
        <f>IF(AX$93=0,NA(),IF(ISNUMBER(INDEX($D$96:$AD$96,AX$93)),MAX(MIN(AX120,IFERROR(INDEX($D$107:$AD$107,AX$93)/AX109,1)-0.08721-AX115*0.17442,IF(AX113&lt;AX115,IFERROR(AX119,9)-(AX115-AX113)*0.17442,9),IF(AX117&lt;AX115,IFERROR(AX121,9)-(AX115-AX117)*0.17442,9)),0.08721+(2-AX115)*0.17442),NA()))</f>
        <v>0</v>
      </c>
      <c r="AY123" s="5">
        <f>IF(AY$93=0,NA(),IF(ISNUMBER(INDEX($D$96:$AD$96,AY$93)),MAX(MIN(AY120,IFERROR(INDEX($D$107:$AD$107,AY$93)/AY109,1)-0.08721-AY115*0.17442,IF(AY113&lt;AY115,IFERROR(AY119,9)-(AY115-AY113)*0.17442,9),IF(AY117&lt;AY115,IFERROR(AY121,9)-(AY115-AY117)*0.17442,9)),0.08721+(2-AY115)*0.17442),NA()))</f>
        <v>0</v>
      </c>
      <c r="AZ123" s="5">
        <f>IF(AZ$93=0,NA(),IF(ISNUMBER(INDEX($D$96:$AD$96,AZ$93)),MAX(MIN(AZ120,IFERROR(INDEX($D$107:$AD$107,AZ$93)/AZ109,1)-0.08721-AZ115*0.17442,IF(AZ113&lt;AZ115,IFERROR(AZ119,9)-(AZ115-AZ113)*0.17442,9),IF(AZ117&lt;AZ115,IFERROR(AZ121,9)-(AZ115-AZ117)*0.17442,9)),0.08721+(2-AZ115)*0.17442),NA()))</f>
        <v>0</v>
      </c>
      <c r="BA123" s="5">
        <f>IF(BA$93=0,NA(),IF(ISNUMBER(INDEX($D$96:$AD$96,BA$93)),MAX(MIN(BA120,IFERROR(INDEX($D$107:$AD$107,BA$93)/BA109,1)-0.08721-BA115*0.17442,IF(BA113&lt;BA115,IFERROR(BA119,9)-(BA115-BA113)*0.17442,9),IF(BA117&lt;BA115,IFERROR(BA121,9)-(BA115-BA117)*0.17442,9)),0.08721+(2-BA115)*0.17442),NA()))</f>
        <v>0</v>
      </c>
      <c r="BB123" s="5">
        <f>IF(BB$93=0,NA(),IF(ISNUMBER(INDEX($D$96:$AD$96,BB$93)),MAX(MIN(BB120,IFERROR(INDEX($D$107:$AD$107,BB$93)/BB109,1)-0.08721-BB115*0.17442,IF(BB113&lt;BB115,IFERROR(BB119,9)-(BB115-BB113)*0.17442,9),IF(BB117&lt;BB115,IFERROR(BB121,9)-(BB115-BB117)*0.17442,9)),0.08721+(2-BB115)*0.17442),NA()))</f>
        <v>0</v>
      </c>
      <c r="BC123" s="5">
        <f>IF(BC$93=0,NA(),IF(ISNUMBER(INDEX($D$96:$AD$96,BC$93)),MAX(MIN(BC120,IFERROR(INDEX($D$107:$AD$107,BC$93)/BC109,1)-0.08721-BC115*0.17442,IF(BC113&lt;BC115,IFERROR(BC119,9)-(BC115-BC113)*0.17442,9),IF(BC117&lt;BC115,IFERROR(BC121,9)-(BC115-BC117)*0.17442,9)),0.08721+(2-BC115)*0.17442),NA()))</f>
        <v>0</v>
      </c>
      <c r="BD123" s="5">
        <f>IF(BD$93=0,NA(),IF(ISNUMBER(INDEX($D$96:$AD$96,BD$93)),MAX(MIN(BD120,IFERROR(INDEX($D$107:$AD$107,BD$93)/BD109,1)-0.08721-BD115*0.17442,IF(BD113&lt;BD115,IFERROR(BD119,9)-(BD115-BD113)*0.17442,9),IF(BD117&lt;BD115,IFERROR(BD121,9)-(BD115-BD117)*0.17442,9)),0.08721+(2-BD115)*0.17442),NA()))</f>
        <v>0</v>
      </c>
      <c r="BE123" s="5">
        <f>IF(BE$93=0,NA(),IF(ISNUMBER(INDEX($D$96:$AD$96,BE$93)),MAX(MIN(BE120,IFERROR(INDEX($D$107:$AD$107,BE$93)/BE109,1)-0.08721-BE115*0.17442,IF(BE113&lt;BE115,IFERROR(BE119,9)-(BE115-BE113)*0.17442,9),IF(BE117&lt;BE115,IFERROR(BE121,9)-(BE115-BE117)*0.17442,9)),0.08721+(2-BE115)*0.17442),NA()))</f>
        <v>0</v>
      </c>
      <c r="BF123" s="5">
        <f>IF(BF$93=0,NA(),IF(ISNUMBER(INDEX($D$96:$AD$96,BF$93)),MAX(MIN(BF120,IFERROR(INDEX($D$107:$AD$107,BF$93)/BF109,1)-0.08721-BF115*0.17442,IF(BF113&lt;BF115,IFERROR(BF119,9)-(BF115-BF113)*0.17442,9),IF(BF117&lt;BF115,IFERROR(BF121,9)-(BF115-BF117)*0.17442,9)),0.08721+(2-BF115)*0.17442),NA()))</f>
        <v>0</v>
      </c>
      <c r="BG123" s="5">
        <f>IF(BG$93=0,NA(),IF(ISNUMBER(INDEX($D$96:$AD$96,BG$93)),MAX(MIN(BG120,IFERROR(INDEX($D$107:$AD$107,BG$93)/BG109,1)-0.08721-BG115*0.17442,IF(BG113&lt;BG115,IFERROR(BG119,9)-(BG115-BG113)*0.17442,9),IF(BG117&lt;BG115,IFERROR(BG121,9)-(BG115-BG117)*0.17442,9)),0.08721+(2-BG115)*0.17442),NA()))</f>
        <v>0</v>
      </c>
      <c r="BH123" s="5">
        <f>IF(BH$93=0,NA(),IF(ISNUMBER(INDEX($D$96:$AD$96,BH$93)),MAX(MIN(BH120,IFERROR(INDEX($D$107:$AD$107,BH$93)/BH109,1)-0.08721-BH115*0.17442,IF(BH113&lt;BH115,IFERROR(BH119,9)-(BH115-BH113)*0.17442,9),IF(BH117&lt;BH115,IFERROR(BH121,9)-(BH115-BH117)*0.17442,9)),0.08721+(2-BH115)*0.17442),NA()))</f>
        <v>0</v>
      </c>
      <c r="BI123" s="5">
        <f>IF(BI$93=0,NA(),IF(ISNUMBER(INDEX($D$96:$AD$96,BI$93)),MAX(MIN(BI120,IFERROR(INDEX($D$107:$AD$107,BI$93)/BI109,1)-0.08721-BI115*0.17442,IF(BI113&lt;BI115,IFERROR(BI119,9)-(BI115-BI113)*0.17442,9),IF(BI117&lt;BI115,IFERROR(BI121,9)-(BI115-BI117)*0.17442,9)),0.08721+(2-BI115)*0.17442),NA()))</f>
        <v>0</v>
      </c>
      <c r="BJ123" s="5">
        <f>IF(BJ$93=0,NA(),IF(ISNUMBER(INDEX($D$96:$AD$96,BJ$93)),MAX(MIN(BJ120,IFERROR(INDEX($D$107:$AD$107,BJ$93)/BJ109,1)-0.08721-BJ115*0.17442,IF(BJ113&lt;BJ115,IFERROR(BJ119,9)-(BJ115-BJ113)*0.17442,9),IF(BJ117&lt;BJ115,IFERROR(BJ121,9)-(BJ115-BJ117)*0.17442,9)),0.08721+(2-BJ115)*0.17442),NA()))</f>
        <v>0</v>
      </c>
      <c r="BK123" s="5">
        <f>IF(BK$93=0,NA(),IF(ISNUMBER(INDEX($D$96:$AD$96,BK$93)),MAX(MIN(BK120,IFERROR(INDEX($D$107:$AD$107,BK$93)/BK109,1)-0.08721-BK115*0.17442,IF(BK113&lt;BK115,IFERROR(BK119,9)-(BK115-BK113)*0.17442,9),IF(BK117&lt;BK115,IFERROR(BK121,9)-(BK115-BK117)*0.17442,9)),0.08721+(2-BK115)*0.17442),NA()))</f>
        <v>0</v>
      </c>
      <c r="BL123" s="5">
        <f>IF(BL$93=0,NA(),IF(ISNUMBER(INDEX($D$96:$AD$96,BL$93)),MAX(MIN(BL120,IFERROR(INDEX($D$107:$AD$107,BL$93)/BL109,1)-0.08721-BL115*0.17442,IF(BL113&lt;BL115,IFERROR(BL119,9)-(BL115-BL113)*0.17442,9),IF(BL117&lt;BL115,IFERROR(BL121,9)-(BL115-BL117)*0.17442,9)),0.08721+(2-BL115)*0.17442),NA()))</f>
        <v>0</v>
      </c>
      <c r="BM123" s="5">
        <f>IF(BM$93=0,NA(),IF(ISNUMBER(INDEX($D$96:$AD$96,BM$93)),MAX(MIN(BM120,IFERROR(INDEX($D$107:$AD$107,BM$93)/BM109,1)-0.08721-BM115*0.17442,IF(BM113&lt;BM115,IFERROR(BM119,9)-(BM115-BM113)*0.17442,9),IF(BM117&lt;BM115,IFERROR(BM121,9)-(BM115-BM117)*0.17442,9)),0.08721+(2-BM115)*0.17442),NA()))</f>
        <v>0</v>
      </c>
      <c r="BN123" s="5">
        <f>IF(BN$93=0,NA(),IF(ISNUMBER(INDEX($D$96:$AD$96,BN$93)),MAX(MIN(BN120,IFERROR(INDEX($D$107:$AD$107,BN$93)/BN109,1)-0.08721-BN115*0.17442,IF(BN113&lt;BN115,IFERROR(BN119,9)-(BN115-BN113)*0.17442,9),IF(BN117&lt;BN115,IFERROR(BN121,9)-(BN115-BN117)*0.17442,9)),0.08721+(2-BN115)*0.17442),NA()))</f>
        <v>0</v>
      </c>
      <c r="BO123" s="5">
        <f>IF(BO$93=0,NA(),IF(ISNUMBER(INDEX($D$96:$AD$96,BO$93)),MAX(MIN(BO120,IFERROR(INDEX($D$107:$AD$107,BO$93)/BO109,1)-0.08721-BO115*0.17442,IF(BO113&lt;BO115,IFERROR(BO119,9)-(BO115-BO113)*0.17442,9),IF(BO117&lt;BO115,IFERROR(BO121,9)-(BO115-BO117)*0.17442,9)),0.08721+(2-BO115)*0.17442),NA()))</f>
        <v>0</v>
      </c>
      <c r="BP123" s="5">
        <f>IF(BP$93=0,NA(),IF(ISNUMBER(INDEX($D$96:$AD$96,BP$93)),MAX(MIN(BP120,IFERROR(INDEX($D$107:$AD$107,BP$93)/BP109,1)-0.08721-BP115*0.17442,IF(BP113&lt;BP115,IFERROR(BP119,9)-(BP115-BP113)*0.17442,9),IF(BP117&lt;BP115,IFERROR(BP121,9)-(BP115-BP117)*0.17442,9)),0.08721+(2-BP115)*0.17442),NA()))</f>
        <v>0</v>
      </c>
    </row>
    <row r="124" spans="1:68">
      <c r="A124" s="11" t="s">
        <v>311</v>
      </c>
      <c r="B124" s="11" t="s">
        <v>312</v>
      </c>
      <c r="C124" s="3" t="s">
        <v>144</v>
      </c>
      <c r="AQ124" s="5">
        <f>IF(AQ$93=0,NA(),IF(ISNUMBER(INDEX($D$98:$AD$98,AQ$93)),MAX(MIN(AQ121,IFERROR(INDEX($D$107:$AD$107,AQ$93)/AQ109,1)-0.08721-AQ117*0.17442,IF(AQ115&lt;AQ117,IFERROR(AQ120,9)-(AQ117-AQ115)*0.17442,9),IF(AQ113&lt;AQ117,IFERROR(AQ119,9)-(AQ117-AQ113)*0.17442,9)),0.08721+(2-AQ117)*0.17442),NA()))</f>
        <v>0</v>
      </c>
      <c r="AR124" s="5">
        <f>IF(AR$93=0,NA(),IF(ISNUMBER(INDEX($D$98:$AD$98,AR$93)),MAX(MIN(AR121,IFERROR(INDEX($D$107:$AD$107,AR$93)/AR109,1)-0.08721-AR117*0.17442,IF(AR115&lt;AR117,IFERROR(AR120,9)-(AR117-AR115)*0.17442,9),IF(AR113&lt;AR117,IFERROR(AR119,9)-(AR117-AR113)*0.17442,9)),0.08721+(2-AR117)*0.17442),NA()))</f>
        <v>0</v>
      </c>
      <c r="AS124" s="5">
        <f>IF(AS$93=0,NA(),IF(ISNUMBER(INDEX($D$98:$AD$98,AS$93)),MAX(MIN(AS121,IFERROR(INDEX($D$107:$AD$107,AS$93)/AS109,1)-0.08721-AS117*0.17442,IF(AS115&lt;AS117,IFERROR(AS120,9)-(AS117-AS115)*0.17442,9),IF(AS113&lt;AS117,IFERROR(AS119,9)-(AS117-AS113)*0.17442,9)),0.08721+(2-AS117)*0.17442),NA()))</f>
        <v>0</v>
      </c>
      <c r="AT124" s="5">
        <f>IF(AT$93=0,NA(),IF(ISNUMBER(INDEX($D$98:$AD$98,AT$93)),MAX(MIN(AT121,IFERROR(INDEX($D$107:$AD$107,AT$93)/AT109,1)-0.08721-AT117*0.17442,IF(AT115&lt;AT117,IFERROR(AT120,9)-(AT117-AT115)*0.17442,9),IF(AT113&lt;AT117,IFERROR(AT119,9)-(AT117-AT113)*0.17442,9)),0.08721+(2-AT117)*0.17442),NA()))</f>
        <v>0</v>
      </c>
      <c r="AU124" s="5">
        <f>IF(AU$93=0,NA(),IF(ISNUMBER(INDEX($D$98:$AD$98,AU$93)),MAX(MIN(AU121,IFERROR(INDEX($D$107:$AD$107,AU$93)/AU109,1)-0.08721-AU117*0.17442,IF(AU115&lt;AU117,IFERROR(AU120,9)-(AU117-AU115)*0.17442,9),IF(AU113&lt;AU117,IFERROR(AU119,9)-(AU117-AU113)*0.17442,9)),0.08721+(2-AU117)*0.17442),NA()))</f>
        <v>0</v>
      </c>
      <c r="AV124" s="5">
        <f>IF(AV$93=0,NA(),IF(ISNUMBER(INDEX($D$98:$AD$98,AV$93)),MAX(MIN(AV121,IFERROR(INDEX($D$107:$AD$107,AV$93)/AV109,1)-0.08721-AV117*0.17442,IF(AV115&lt;AV117,IFERROR(AV120,9)-(AV117-AV115)*0.17442,9),IF(AV113&lt;AV117,IFERROR(AV119,9)-(AV117-AV113)*0.17442,9)),0.08721+(2-AV117)*0.17442),NA()))</f>
        <v>0</v>
      </c>
      <c r="AW124" s="5">
        <f>IF(AW$93=0,NA(),IF(ISNUMBER(INDEX($D$98:$AD$98,AW$93)),MAX(MIN(AW121,IFERROR(INDEX($D$107:$AD$107,AW$93)/AW109,1)-0.08721-AW117*0.17442,IF(AW115&lt;AW117,IFERROR(AW120,9)-(AW117-AW115)*0.17442,9),IF(AW113&lt;AW117,IFERROR(AW119,9)-(AW117-AW113)*0.17442,9)),0.08721+(2-AW117)*0.17442),NA()))</f>
        <v>0</v>
      </c>
      <c r="AX124" s="5">
        <f>IF(AX$93=0,NA(),IF(ISNUMBER(INDEX($D$98:$AD$98,AX$93)),MAX(MIN(AX121,IFERROR(INDEX($D$107:$AD$107,AX$93)/AX109,1)-0.08721-AX117*0.17442,IF(AX115&lt;AX117,IFERROR(AX120,9)-(AX117-AX115)*0.17442,9),IF(AX113&lt;AX117,IFERROR(AX119,9)-(AX117-AX113)*0.17442,9)),0.08721+(2-AX117)*0.17442),NA()))</f>
        <v>0</v>
      </c>
      <c r="AY124" s="5">
        <f>IF(AY$93=0,NA(),IF(ISNUMBER(INDEX($D$98:$AD$98,AY$93)),MAX(MIN(AY121,IFERROR(INDEX($D$107:$AD$107,AY$93)/AY109,1)-0.08721-AY117*0.17442,IF(AY115&lt;AY117,IFERROR(AY120,9)-(AY117-AY115)*0.17442,9),IF(AY113&lt;AY117,IFERROR(AY119,9)-(AY117-AY113)*0.17442,9)),0.08721+(2-AY117)*0.17442),NA()))</f>
        <v>0</v>
      </c>
      <c r="AZ124" s="5">
        <f>IF(AZ$93=0,NA(),IF(ISNUMBER(INDEX($D$98:$AD$98,AZ$93)),MAX(MIN(AZ121,IFERROR(INDEX($D$107:$AD$107,AZ$93)/AZ109,1)-0.08721-AZ117*0.17442,IF(AZ115&lt;AZ117,IFERROR(AZ120,9)-(AZ117-AZ115)*0.17442,9),IF(AZ113&lt;AZ117,IFERROR(AZ119,9)-(AZ117-AZ113)*0.17442,9)),0.08721+(2-AZ117)*0.17442),NA()))</f>
        <v>0</v>
      </c>
      <c r="BA124" s="5">
        <f>IF(BA$93=0,NA(),IF(ISNUMBER(INDEX($D$98:$AD$98,BA$93)),MAX(MIN(BA121,IFERROR(INDEX($D$107:$AD$107,BA$93)/BA109,1)-0.08721-BA117*0.17442,IF(BA115&lt;BA117,IFERROR(BA120,9)-(BA117-BA115)*0.17442,9),IF(BA113&lt;BA117,IFERROR(BA119,9)-(BA117-BA113)*0.17442,9)),0.08721+(2-BA117)*0.17442),NA()))</f>
        <v>0</v>
      </c>
      <c r="BB124" s="5">
        <f>IF(BB$93=0,NA(),IF(ISNUMBER(INDEX($D$98:$AD$98,BB$93)),MAX(MIN(BB121,IFERROR(INDEX($D$107:$AD$107,BB$93)/BB109,1)-0.08721-BB117*0.17442,IF(BB115&lt;BB117,IFERROR(BB120,9)-(BB117-BB115)*0.17442,9),IF(BB113&lt;BB117,IFERROR(BB119,9)-(BB117-BB113)*0.17442,9)),0.08721+(2-BB117)*0.17442),NA()))</f>
        <v>0</v>
      </c>
      <c r="BC124" s="5">
        <f>IF(BC$93=0,NA(),IF(ISNUMBER(INDEX($D$98:$AD$98,BC$93)),MAX(MIN(BC121,IFERROR(INDEX($D$107:$AD$107,BC$93)/BC109,1)-0.08721-BC117*0.17442,IF(BC115&lt;BC117,IFERROR(BC120,9)-(BC117-BC115)*0.17442,9),IF(BC113&lt;BC117,IFERROR(BC119,9)-(BC117-BC113)*0.17442,9)),0.08721+(2-BC117)*0.17442),NA()))</f>
        <v>0</v>
      </c>
      <c r="BD124" s="5">
        <f>IF(BD$93=0,NA(),IF(ISNUMBER(INDEX($D$98:$AD$98,BD$93)),MAX(MIN(BD121,IFERROR(INDEX($D$107:$AD$107,BD$93)/BD109,1)-0.08721-BD117*0.17442,IF(BD115&lt;BD117,IFERROR(BD120,9)-(BD117-BD115)*0.17442,9),IF(BD113&lt;BD117,IFERROR(BD119,9)-(BD117-BD113)*0.17442,9)),0.08721+(2-BD117)*0.17442),NA()))</f>
        <v>0</v>
      </c>
      <c r="BE124" s="5">
        <f>IF(BE$93=0,NA(),IF(ISNUMBER(INDEX($D$98:$AD$98,BE$93)),MAX(MIN(BE121,IFERROR(INDEX($D$107:$AD$107,BE$93)/BE109,1)-0.08721-BE117*0.17442,IF(BE115&lt;BE117,IFERROR(BE120,9)-(BE117-BE115)*0.17442,9),IF(BE113&lt;BE117,IFERROR(BE119,9)-(BE117-BE113)*0.17442,9)),0.08721+(2-BE117)*0.17442),NA()))</f>
        <v>0</v>
      </c>
      <c r="BF124" s="5">
        <f>IF(BF$93=0,NA(),IF(ISNUMBER(INDEX($D$98:$AD$98,BF$93)),MAX(MIN(BF121,IFERROR(INDEX($D$107:$AD$107,BF$93)/BF109,1)-0.08721-BF117*0.17442,IF(BF115&lt;BF117,IFERROR(BF120,9)-(BF117-BF115)*0.17442,9),IF(BF113&lt;BF117,IFERROR(BF119,9)-(BF117-BF113)*0.17442,9)),0.08721+(2-BF117)*0.17442),NA()))</f>
        <v>0</v>
      </c>
      <c r="BG124" s="5">
        <f>IF(BG$93=0,NA(),IF(ISNUMBER(INDEX($D$98:$AD$98,BG$93)),MAX(MIN(BG121,IFERROR(INDEX($D$107:$AD$107,BG$93)/BG109,1)-0.08721-BG117*0.17442,IF(BG115&lt;BG117,IFERROR(BG120,9)-(BG117-BG115)*0.17442,9),IF(BG113&lt;BG117,IFERROR(BG119,9)-(BG117-BG113)*0.17442,9)),0.08721+(2-BG117)*0.17442),NA()))</f>
        <v>0</v>
      </c>
      <c r="BH124" s="5">
        <f>IF(BH$93=0,NA(),IF(ISNUMBER(INDEX($D$98:$AD$98,BH$93)),MAX(MIN(BH121,IFERROR(INDEX($D$107:$AD$107,BH$93)/BH109,1)-0.08721-BH117*0.17442,IF(BH115&lt;BH117,IFERROR(BH120,9)-(BH117-BH115)*0.17442,9),IF(BH113&lt;BH117,IFERROR(BH119,9)-(BH117-BH113)*0.17442,9)),0.08721+(2-BH117)*0.17442),NA()))</f>
        <v>0</v>
      </c>
      <c r="BI124" s="5">
        <f>IF(BI$93=0,NA(),IF(ISNUMBER(INDEX($D$98:$AD$98,BI$93)),MAX(MIN(BI121,IFERROR(INDEX($D$107:$AD$107,BI$93)/BI109,1)-0.08721-BI117*0.17442,IF(BI115&lt;BI117,IFERROR(BI120,9)-(BI117-BI115)*0.17442,9),IF(BI113&lt;BI117,IFERROR(BI119,9)-(BI117-BI113)*0.17442,9)),0.08721+(2-BI117)*0.17442),NA()))</f>
        <v>0</v>
      </c>
      <c r="BJ124" s="5">
        <f>IF(BJ$93=0,NA(),IF(ISNUMBER(INDEX($D$98:$AD$98,BJ$93)),MAX(MIN(BJ121,IFERROR(INDEX($D$107:$AD$107,BJ$93)/BJ109,1)-0.08721-BJ117*0.17442,IF(BJ115&lt;BJ117,IFERROR(BJ120,9)-(BJ117-BJ115)*0.17442,9),IF(BJ113&lt;BJ117,IFERROR(BJ119,9)-(BJ117-BJ113)*0.17442,9)),0.08721+(2-BJ117)*0.17442),NA()))</f>
        <v>0</v>
      </c>
      <c r="BK124" s="5">
        <f>IF(BK$93=0,NA(),IF(ISNUMBER(INDEX($D$98:$AD$98,BK$93)),MAX(MIN(BK121,IFERROR(INDEX($D$107:$AD$107,BK$93)/BK109,1)-0.08721-BK117*0.17442,IF(BK115&lt;BK117,IFERROR(BK120,9)-(BK117-BK115)*0.17442,9),IF(BK113&lt;BK117,IFERROR(BK119,9)-(BK117-BK113)*0.17442,9)),0.08721+(2-BK117)*0.17442),NA()))</f>
        <v>0</v>
      </c>
      <c r="BL124" s="5">
        <f>IF(BL$93=0,NA(),IF(ISNUMBER(INDEX($D$98:$AD$98,BL$93)),MAX(MIN(BL121,IFERROR(INDEX($D$107:$AD$107,BL$93)/BL109,1)-0.08721-BL117*0.17442,IF(BL115&lt;BL117,IFERROR(BL120,9)-(BL117-BL115)*0.17442,9),IF(BL113&lt;BL117,IFERROR(BL119,9)-(BL117-BL113)*0.17442,9)),0.08721+(2-BL117)*0.17442),NA()))</f>
        <v>0</v>
      </c>
      <c r="BM124" s="5">
        <f>IF(BM$93=0,NA(),IF(ISNUMBER(INDEX($D$98:$AD$98,BM$93)),MAX(MIN(BM121,IFERROR(INDEX($D$107:$AD$107,BM$93)/BM109,1)-0.08721-BM117*0.17442,IF(BM115&lt;BM117,IFERROR(BM120,9)-(BM117-BM115)*0.17442,9),IF(BM113&lt;BM117,IFERROR(BM119,9)-(BM117-BM113)*0.17442,9)),0.08721+(2-BM117)*0.17442),NA()))</f>
        <v>0</v>
      </c>
      <c r="BN124" s="5">
        <f>IF(BN$93=0,NA(),IF(ISNUMBER(INDEX($D$98:$AD$98,BN$93)),MAX(MIN(BN121,IFERROR(INDEX($D$107:$AD$107,BN$93)/BN109,1)-0.08721-BN117*0.17442,IF(BN115&lt;BN117,IFERROR(BN120,9)-(BN117-BN115)*0.17442,9),IF(BN113&lt;BN117,IFERROR(BN119,9)-(BN117-BN113)*0.17442,9)),0.08721+(2-BN117)*0.17442),NA()))</f>
        <v>0</v>
      </c>
      <c r="BO124" s="5">
        <f>IF(BO$93=0,NA(),IF(ISNUMBER(INDEX($D$98:$AD$98,BO$93)),MAX(MIN(BO121,IFERROR(INDEX($D$107:$AD$107,BO$93)/BO109,1)-0.08721-BO117*0.17442,IF(BO115&lt;BO117,IFERROR(BO120,9)-(BO117-BO115)*0.17442,9),IF(BO113&lt;BO117,IFERROR(BO119,9)-(BO117-BO113)*0.17442,9)),0.08721+(2-BO117)*0.17442),NA()))</f>
        <v>0</v>
      </c>
      <c r="BP124" s="5">
        <f>IF(BP$93=0,NA(),IF(ISNUMBER(INDEX($D$98:$AD$98,BP$93)),MAX(MIN(BP121,IFERROR(INDEX($D$107:$AD$107,BP$93)/BP109,1)-0.08721-BP117*0.17442,IF(BP115&lt;BP117,IFERROR(BP120,9)-(BP117-BP115)*0.17442,9),IF(BP113&lt;BP117,IFERROR(BP119,9)-(BP117-BP113)*0.17442,9)),0.08721+(2-BP117)*0.17442),NA()))</f>
        <v>0</v>
      </c>
    </row>
    <row r="125" spans="1:68">
      <c r="A125" s="11" t="s">
        <v>313</v>
      </c>
      <c r="B125" s="11" t="s">
        <v>314</v>
      </c>
      <c r="C125" s="3" t="s">
        <v>144</v>
      </c>
      <c r="AQ125" s="5">
        <f>IF(AQ$93=0,NA(),IF(ISNUMBER(INDEX($D$107:$AD$107,AQ$93)),MAX(INDEX($D$107:$AD$107,AQ$93)/AQ109,IFERROR(_xlfn.AGGREGATE(4,6,AQ123,AQ122,AQ124),0)+0.08721),NA()))</f>
        <v>0</v>
      </c>
      <c r="AR125" s="5">
        <f>IF(AR$93=0,NA(),IF(ISNUMBER(INDEX($D$107:$AD$107,AR$93)),MAX(INDEX($D$107:$AD$107,AR$93)/AR109,IFERROR(_xlfn.AGGREGATE(4,6,AR123,AR122,AR124),0)+0.08721),NA()))</f>
        <v>0</v>
      </c>
      <c r="AS125" s="5">
        <f>IF(AS$93=0,NA(),IF(ISNUMBER(INDEX($D$107:$AD$107,AS$93)),MAX(INDEX($D$107:$AD$107,AS$93)/AS109,IFERROR(_xlfn.AGGREGATE(4,6,AS123,AS122,AS124),0)+0.08721),NA()))</f>
        <v>0</v>
      </c>
      <c r="AT125" s="5">
        <f>IF(AT$93=0,NA(),IF(ISNUMBER(INDEX($D$107:$AD$107,AT$93)),MAX(INDEX($D$107:$AD$107,AT$93)/AT109,IFERROR(_xlfn.AGGREGATE(4,6,AT123,AT122,AT124),0)+0.08721),NA()))</f>
        <v>0</v>
      </c>
      <c r="AU125" s="5">
        <f>IF(AU$93=0,NA(),IF(ISNUMBER(INDEX($D$107:$AD$107,AU$93)),MAX(INDEX($D$107:$AD$107,AU$93)/AU109,IFERROR(_xlfn.AGGREGATE(4,6,AU123,AU122,AU124),0)+0.08721),NA()))</f>
        <v>0</v>
      </c>
      <c r="AV125" s="5">
        <f>IF(AV$93=0,NA(),IF(ISNUMBER(INDEX($D$107:$AD$107,AV$93)),MAX(INDEX($D$107:$AD$107,AV$93)/AV109,IFERROR(_xlfn.AGGREGATE(4,6,AV123,AV122,AV124),0)+0.08721),NA()))</f>
        <v>0</v>
      </c>
      <c r="AW125" s="5">
        <f>IF(AW$93=0,NA(),IF(ISNUMBER(INDEX($D$107:$AD$107,AW$93)),MAX(INDEX($D$107:$AD$107,AW$93)/AW109,IFERROR(_xlfn.AGGREGATE(4,6,AW123,AW122,AW124),0)+0.08721),NA()))</f>
        <v>0</v>
      </c>
      <c r="AX125" s="5">
        <f>IF(AX$93=0,NA(),IF(ISNUMBER(INDEX($D$107:$AD$107,AX$93)),MAX(INDEX($D$107:$AD$107,AX$93)/AX109,IFERROR(_xlfn.AGGREGATE(4,6,AX123,AX122,AX124),0)+0.08721),NA()))</f>
        <v>0</v>
      </c>
      <c r="AY125" s="5">
        <f>IF(AY$93=0,NA(),IF(ISNUMBER(INDEX($D$107:$AD$107,AY$93)),MAX(INDEX($D$107:$AD$107,AY$93)/AY109,IFERROR(_xlfn.AGGREGATE(4,6,AY123,AY122,AY124),0)+0.08721),NA()))</f>
        <v>0</v>
      </c>
      <c r="AZ125" s="5">
        <f>IF(AZ$93=0,NA(),IF(ISNUMBER(INDEX($D$107:$AD$107,AZ$93)),MAX(INDEX($D$107:$AD$107,AZ$93)/AZ109,IFERROR(_xlfn.AGGREGATE(4,6,AZ123,AZ122,AZ124),0)+0.08721),NA()))</f>
        <v>0</v>
      </c>
      <c r="BA125" s="5">
        <f>IF(BA$93=0,NA(),IF(ISNUMBER(INDEX($D$107:$AD$107,BA$93)),MAX(INDEX($D$107:$AD$107,BA$93)/BA109,IFERROR(_xlfn.AGGREGATE(4,6,BA123,BA122,BA124),0)+0.08721),NA()))</f>
        <v>0</v>
      </c>
      <c r="BB125" s="5">
        <f>IF(BB$93=0,NA(),IF(ISNUMBER(INDEX($D$107:$AD$107,BB$93)),MAX(INDEX($D$107:$AD$107,BB$93)/BB109,IFERROR(_xlfn.AGGREGATE(4,6,BB123,BB122,BB124),0)+0.08721),NA()))</f>
        <v>0</v>
      </c>
      <c r="BC125" s="5">
        <f>IF(BC$93=0,NA(),IF(ISNUMBER(INDEX($D$107:$AD$107,BC$93)),MAX(INDEX($D$107:$AD$107,BC$93)/BC109,IFERROR(_xlfn.AGGREGATE(4,6,BC123,BC122,BC124),0)+0.08721),NA()))</f>
        <v>0</v>
      </c>
      <c r="BD125" s="5">
        <f>IF(BD$93=0,NA(),IF(ISNUMBER(INDEX($D$107:$AD$107,BD$93)),MAX(INDEX($D$107:$AD$107,BD$93)/BD109,IFERROR(_xlfn.AGGREGATE(4,6,BD123,BD122,BD124),0)+0.08721),NA()))</f>
        <v>0</v>
      </c>
      <c r="BE125" s="5">
        <f>IF(BE$93=0,NA(),IF(ISNUMBER(INDEX($D$107:$AD$107,BE$93)),MAX(INDEX($D$107:$AD$107,BE$93)/BE109,IFERROR(_xlfn.AGGREGATE(4,6,BE123,BE122,BE124),0)+0.08721),NA()))</f>
        <v>0</v>
      </c>
      <c r="BF125" s="5">
        <f>IF(BF$93=0,NA(),IF(ISNUMBER(INDEX($D$107:$AD$107,BF$93)),MAX(INDEX($D$107:$AD$107,BF$93)/BF109,IFERROR(_xlfn.AGGREGATE(4,6,BF123,BF122,BF124),0)+0.08721),NA()))</f>
        <v>0</v>
      </c>
      <c r="BG125" s="5">
        <f>IF(BG$93=0,NA(),IF(ISNUMBER(INDEX($D$107:$AD$107,BG$93)),MAX(INDEX($D$107:$AD$107,BG$93)/BG109,IFERROR(_xlfn.AGGREGATE(4,6,BG123,BG122,BG124),0)+0.08721),NA()))</f>
        <v>0</v>
      </c>
      <c r="BH125" s="5">
        <f>IF(BH$93=0,NA(),IF(ISNUMBER(INDEX($D$107:$AD$107,BH$93)),MAX(INDEX($D$107:$AD$107,BH$93)/BH109,IFERROR(_xlfn.AGGREGATE(4,6,BH123,BH122,BH124),0)+0.08721),NA()))</f>
        <v>0</v>
      </c>
      <c r="BI125" s="5">
        <f>IF(BI$93=0,NA(),IF(ISNUMBER(INDEX($D$107:$AD$107,BI$93)),MAX(INDEX($D$107:$AD$107,BI$93)/BI109,IFERROR(_xlfn.AGGREGATE(4,6,BI123,BI122,BI124),0)+0.08721),NA()))</f>
        <v>0</v>
      </c>
      <c r="BJ125" s="5">
        <f>IF(BJ$93=0,NA(),IF(ISNUMBER(INDEX($D$107:$AD$107,BJ$93)),MAX(INDEX($D$107:$AD$107,BJ$93)/BJ109,IFERROR(_xlfn.AGGREGATE(4,6,BJ123,BJ122,BJ124),0)+0.08721),NA()))</f>
        <v>0</v>
      </c>
      <c r="BK125" s="5">
        <f>IF(BK$93=0,NA(),IF(ISNUMBER(INDEX($D$107:$AD$107,BK$93)),MAX(INDEX($D$107:$AD$107,BK$93)/BK109,IFERROR(_xlfn.AGGREGATE(4,6,BK123,BK122,BK124),0)+0.08721),NA()))</f>
        <v>0</v>
      </c>
      <c r="BL125" s="5">
        <f>IF(BL$93=0,NA(),IF(ISNUMBER(INDEX($D$107:$AD$107,BL$93)),MAX(INDEX($D$107:$AD$107,BL$93)/BL109,IFERROR(_xlfn.AGGREGATE(4,6,BL123,BL122,BL124),0)+0.08721),NA()))</f>
        <v>0</v>
      </c>
      <c r="BM125" s="5">
        <f>IF(BM$93=0,NA(),IF(ISNUMBER(INDEX($D$107:$AD$107,BM$93)),MAX(INDEX($D$107:$AD$107,BM$93)/BM109,IFERROR(_xlfn.AGGREGATE(4,6,BM123,BM122,BM124),0)+0.08721),NA()))</f>
        <v>0</v>
      </c>
      <c r="BN125" s="5">
        <f>IF(BN$93=0,NA(),IF(ISNUMBER(INDEX($D$107:$AD$107,BN$93)),MAX(INDEX($D$107:$AD$107,BN$93)/BN109,IFERROR(_xlfn.AGGREGATE(4,6,BN123,BN122,BN124),0)+0.08721),NA()))</f>
        <v>0</v>
      </c>
      <c r="BO125" s="5">
        <f>IF(BO$93=0,NA(),IF(ISNUMBER(INDEX($D$107:$AD$107,BO$93)),MAX(INDEX($D$107:$AD$107,BO$93)/BO109,IFERROR(_xlfn.AGGREGATE(4,6,BO123,BO122,BO124),0)+0.08721),NA()))</f>
        <v>0</v>
      </c>
      <c r="BP125" s="5">
        <f>IF(BP$93=0,NA(),IF(ISNUMBER(INDEX($D$107:$AD$107,BP$93)),MAX(INDEX($D$107:$AD$107,BP$93)/BP109,IFERROR(_xlfn.AGGREGATE(4,6,BP123,BP122,BP124),0)+0.08721),NA()))</f>
        <v>0</v>
      </c>
    </row>
    <row r="126" spans="1:68">
      <c r="A126" s="11" t="s">
        <v>315</v>
      </c>
      <c r="B126" s="11" t="s">
        <v>316</v>
      </c>
      <c r="C126" s="3" t="s">
        <v>144</v>
      </c>
      <c r="AQ126" s="11">
        <f>IF(AQ$93=0,"",IF(ISNUMBER(INDEX($D$107:$AD$107,AQ$93)),FIXED(INDEX($D$107:$AD$107,AQ$93)/1000,1),""))</f>
        <v>0</v>
      </c>
      <c r="AR126" s="11">
        <f>IF(AR$93=0,"",IF(ISNUMBER(INDEX($D$107:$AD$107,AR$93)),FIXED(INDEX($D$107:$AD$107,AR$93)/1000,1),""))</f>
        <v>0</v>
      </c>
      <c r="AS126" s="11">
        <f>IF(AS$93=0,"",IF(ISNUMBER(INDEX($D$107:$AD$107,AS$93)),FIXED(INDEX($D$107:$AD$107,AS$93)/1000,1),""))</f>
        <v>0</v>
      </c>
      <c r="AT126" s="11">
        <f>IF(AT$93=0,"",IF(ISNUMBER(INDEX($D$107:$AD$107,AT$93)),FIXED(INDEX($D$107:$AD$107,AT$93)/1000,1),""))</f>
        <v>0</v>
      </c>
      <c r="AU126" s="11">
        <f>IF(AU$93=0,"",IF(ISNUMBER(INDEX($D$107:$AD$107,AU$93)),FIXED(INDEX($D$107:$AD$107,AU$93)/1000,1),""))</f>
        <v>0</v>
      </c>
      <c r="AV126" s="11">
        <f>IF(AV$93=0,"",IF(ISNUMBER(INDEX($D$107:$AD$107,AV$93)),FIXED(INDEX($D$107:$AD$107,AV$93)/1000,1),""))</f>
        <v>0</v>
      </c>
      <c r="AW126" s="11">
        <f>IF(AW$93=0,"",IF(ISNUMBER(INDEX($D$107:$AD$107,AW$93)),FIXED(INDEX($D$107:$AD$107,AW$93)/1000,1),""))</f>
        <v>0</v>
      </c>
      <c r="AX126" s="11">
        <f>IF(AX$93=0,"",IF(ISNUMBER(INDEX($D$107:$AD$107,AX$93)),FIXED(INDEX($D$107:$AD$107,AX$93)/1000,1),""))</f>
        <v>0</v>
      </c>
      <c r="AY126" s="11">
        <f>IF(AY$93=0,"",IF(ISNUMBER(INDEX($D$107:$AD$107,AY$93)),FIXED(INDEX($D$107:$AD$107,AY$93)/1000,1),""))</f>
        <v>0</v>
      </c>
      <c r="AZ126" s="11">
        <f>IF(AZ$93=0,"",IF(ISNUMBER(INDEX($D$107:$AD$107,AZ$93)),FIXED(INDEX($D$107:$AD$107,AZ$93)/1000,1),""))</f>
        <v>0</v>
      </c>
      <c r="BA126" s="11">
        <f>IF(BA$93=0,"",IF(ISNUMBER(INDEX($D$107:$AD$107,BA$93)),FIXED(INDEX($D$107:$AD$107,BA$93)/1000,1),""))</f>
        <v>0</v>
      </c>
      <c r="BB126" s="11">
        <f>IF(BB$93=0,"",IF(ISNUMBER(INDEX($D$107:$AD$107,BB$93)),FIXED(INDEX($D$107:$AD$107,BB$93)/1000,1),""))</f>
        <v>0</v>
      </c>
      <c r="BC126" s="11">
        <f>IF(BC$93=0,"",IF(ISNUMBER(INDEX($D$107:$AD$107,BC$93)),FIXED(INDEX($D$107:$AD$107,BC$93)/1000,1),""))</f>
        <v>0</v>
      </c>
      <c r="BD126" s="11">
        <f>IF(BD$93=0,"",IF(ISNUMBER(INDEX($D$107:$AD$107,BD$93)),FIXED(INDEX($D$107:$AD$107,BD$93)/1000,1),""))</f>
        <v>0</v>
      </c>
      <c r="BE126" s="11">
        <f>IF(BE$93=0,"",IF(ISNUMBER(INDEX($D$107:$AD$107,BE$93)),FIXED(INDEX($D$107:$AD$107,BE$93)/1000,1),""))</f>
        <v>0</v>
      </c>
      <c r="BF126" s="11">
        <f>IF(BF$93=0,"",IF(ISNUMBER(INDEX($D$107:$AD$107,BF$93)),FIXED(INDEX($D$107:$AD$107,BF$93)/1000,1),""))</f>
        <v>0</v>
      </c>
      <c r="BG126" s="11">
        <f>IF(BG$93=0,"",IF(ISNUMBER(INDEX($D$107:$AD$107,BG$93)),FIXED(INDEX($D$107:$AD$107,BG$93)/1000,1),""))</f>
        <v>0</v>
      </c>
      <c r="BH126" s="11">
        <f>IF(BH$93=0,"",IF(ISNUMBER(INDEX($D$107:$AD$107,BH$93)),FIXED(INDEX($D$107:$AD$107,BH$93)/1000,1),""))</f>
        <v>0</v>
      </c>
      <c r="BI126" s="11">
        <f>IF(BI$93=0,"",IF(ISNUMBER(INDEX($D$107:$AD$107,BI$93)),FIXED(INDEX($D$107:$AD$107,BI$93)/1000,1),""))</f>
        <v>0</v>
      </c>
      <c r="BJ126" s="11">
        <f>IF(BJ$93=0,"",IF(ISNUMBER(INDEX($D$107:$AD$107,BJ$93)),FIXED(INDEX($D$107:$AD$107,BJ$93)/1000,1),""))</f>
        <v>0</v>
      </c>
      <c r="BK126" s="11">
        <f>IF(BK$93=0,"",IF(ISNUMBER(INDEX($D$107:$AD$107,BK$93)),FIXED(INDEX($D$107:$AD$107,BK$93)/1000,1),""))</f>
        <v>0</v>
      </c>
      <c r="BL126" s="11">
        <f>IF(BL$93=0,"",IF(ISNUMBER(INDEX($D$107:$AD$107,BL$93)),FIXED(INDEX($D$107:$AD$107,BL$93)/1000,1),""))</f>
        <v>0</v>
      </c>
      <c r="BM126" s="11">
        <f>IF(BM$93=0,"",IF(ISNUMBER(INDEX($D$107:$AD$107,BM$93)),FIXED(INDEX($D$107:$AD$107,BM$93)/1000,1),""))</f>
        <v>0</v>
      </c>
      <c r="BN126" s="11">
        <f>IF(BN$93=0,"",IF(ISNUMBER(INDEX($D$107:$AD$107,BN$93)),FIXED(INDEX($D$107:$AD$107,BN$93)/1000,1),""))</f>
        <v>0</v>
      </c>
      <c r="BO126" s="11">
        <f>IF(BO$93=0,"",IF(ISNUMBER(INDEX($D$107:$AD$107,BO$93)),FIXED(INDEX($D$107:$AD$107,BO$93)/1000,1),""))</f>
        <v>0</v>
      </c>
      <c r="BP126" s="11">
        <f>IF(BP$93=0,"",IF(ISNUMBER(INDEX($D$107:$AD$107,BP$93)),FIXED(INDEX($D$107:$AD$107,BP$93)/1000,1),""))</f>
        <v>0</v>
      </c>
    </row>
    <row r="127" spans="1:68">
      <c r="A127" s="11" t="s">
        <v>317</v>
      </c>
      <c r="B127" s="11" t="s">
        <v>318</v>
      </c>
      <c r="C127" s="3" t="s">
        <v>144</v>
      </c>
      <c r="AQ127" s="5">
        <f>IF(AQ$93=0,NA(),IF(N(Konfiguration!$F$11)&gt;0,N(Konfiguration!$F$11)/AQ109,NA()))</f>
        <v>0</v>
      </c>
      <c r="AR127" s="5">
        <f>IF(AR$93=0,NA(),IF(N(Konfiguration!$F$11)&gt;0,N(Konfiguration!$F$11)/AR109,NA()))</f>
        <v>0</v>
      </c>
      <c r="AS127" s="5">
        <f>IF(AS$93=0,NA(),IF(N(Konfiguration!$F$11)&gt;0,N(Konfiguration!$F$11)/AS109,NA()))</f>
        <v>0</v>
      </c>
      <c r="AT127" s="5">
        <f>IF(AT$93=0,NA(),IF(N(Konfiguration!$F$11)&gt;0,N(Konfiguration!$F$11)/AT109,NA()))</f>
        <v>0</v>
      </c>
      <c r="AU127" s="5">
        <f>IF(AU$93=0,NA(),IF(N(Konfiguration!$F$11)&gt;0,N(Konfiguration!$F$11)/AU109,NA()))</f>
        <v>0</v>
      </c>
      <c r="AV127" s="5">
        <f>IF(AV$93=0,NA(),IF(N(Konfiguration!$F$11)&gt;0,N(Konfiguration!$F$11)/AV109,NA()))</f>
        <v>0</v>
      </c>
      <c r="AW127" s="5">
        <f>IF(AW$93=0,NA(),IF(N(Konfiguration!$F$11)&gt;0,N(Konfiguration!$F$11)/AW109,NA()))</f>
        <v>0</v>
      </c>
      <c r="AX127" s="5">
        <f>IF(AX$93=0,NA(),IF(N(Konfiguration!$F$11)&gt;0,N(Konfiguration!$F$11)/AX109,NA()))</f>
        <v>0</v>
      </c>
      <c r="AY127" s="5">
        <f>IF(AY$93=0,NA(),IF(N(Konfiguration!$F$11)&gt;0,N(Konfiguration!$F$11)/AY109,NA()))</f>
        <v>0</v>
      </c>
      <c r="AZ127" s="5">
        <f>IF(AZ$93=0,NA(),IF(N(Konfiguration!$F$11)&gt;0,N(Konfiguration!$F$11)/AZ109,NA()))</f>
        <v>0</v>
      </c>
      <c r="BA127" s="5">
        <f>IF(BA$93=0,NA(),IF(N(Konfiguration!$F$11)&gt;0,N(Konfiguration!$F$11)/BA109,NA()))</f>
        <v>0</v>
      </c>
      <c r="BB127" s="5">
        <f>IF(BB$93=0,NA(),IF(N(Konfiguration!$F$11)&gt;0,N(Konfiguration!$F$11)/BB109,NA()))</f>
        <v>0</v>
      </c>
      <c r="BC127" s="5">
        <f>IF(BC$93=0,NA(),IF(N(Konfiguration!$F$11)&gt;0,N(Konfiguration!$F$11)/BC109,NA()))</f>
        <v>0</v>
      </c>
      <c r="BD127" s="5">
        <f>IF(BD$93=0,NA(),IF(N(Konfiguration!$F$11)&gt;0,N(Konfiguration!$F$11)/BD109,NA()))</f>
        <v>0</v>
      </c>
      <c r="BE127" s="5">
        <f>IF(BE$93=0,NA(),IF(N(Konfiguration!$F$11)&gt;0,N(Konfiguration!$F$11)/BE109,NA()))</f>
        <v>0</v>
      </c>
      <c r="BF127" s="5">
        <f>IF(BF$93=0,NA(),IF(N(Konfiguration!$F$11)&gt;0,N(Konfiguration!$F$11)/BF109,NA()))</f>
        <v>0</v>
      </c>
      <c r="BG127" s="5">
        <f>IF(BG$93=0,NA(),IF(N(Konfiguration!$F$11)&gt;0,N(Konfiguration!$F$11)/BG109,NA()))</f>
        <v>0</v>
      </c>
      <c r="BH127" s="5">
        <f>IF(BH$93=0,NA(),IF(N(Konfiguration!$F$11)&gt;0,N(Konfiguration!$F$11)/BH109,NA()))</f>
        <v>0</v>
      </c>
      <c r="BI127" s="5">
        <f>IF(BI$93=0,NA(),IF(N(Konfiguration!$F$11)&gt;0,N(Konfiguration!$F$11)/BI109,NA()))</f>
        <v>0</v>
      </c>
      <c r="BJ127" s="5">
        <f>IF(BJ$93=0,NA(),IF(N(Konfiguration!$F$11)&gt;0,N(Konfiguration!$F$11)/BJ109,NA()))</f>
        <v>0</v>
      </c>
      <c r="BK127" s="5">
        <f>IF(BK$93=0,NA(),IF(N(Konfiguration!$F$11)&gt;0,N(Konfiguration!$F$11)/BK109,NA()))</f>
        <v>0</v>
      </c>
      <c r="BL127" s="5">
        <f>IF(BL$93=0,NA(),IF(N(Konfiguration!$F$11)&gt;0,N(Konfiguration!$F$11)/BL109,NA()))</f>
        <v>0</v>
      </c>
      <c r="BM127" s="5">
        <f>IF(BM$93=0,NA(),IF(N(Konfiguration!$F$11)&gt;0,N(Konfiguration!$F$11)/BM109,NA()))</f>
        <v>0</v>
      </c>
      <c r="BN127" s="5">
        <f>IF(BN$93=0,NA(),IF(N(Konfiguration!$F$11)&gt;0,N(Konfiguration!$F$11)/BN109,NA()))</f>
        <v>0</v>
      </c>
      <c r="BO127" s="5">
        <f>IF(BO$93=0,NA(),IF(N(Konfiguration!$F$11)&gt;0,N(Konfiguration!$F$11)/BO109,NA()))</f>
        <v>0</v>
      </c>
      <c r="BP127" s="5">
        <f>IF(BP$93=0,NA(),IF(N(Konfiguration!$F$11)&gt;0,N(Konfiguration!$F$11)/BP109,NA()))</f>
        <v>0</v>
      </c>
    </row>
    <row r="128" spans="1:68">
      <c r="A128" s="11" t="s">
        <v>319</v>
      </c>
      <c r="B128" s="11" t="s">
        <v>320</v>
      </c>
      <c r="C128" s="3" t="s">
        <v>144</v>
      </c>
      <c r="AQ128" s="5">
        <f>IF(AQ$93=0,NA(),MAX(1,_xlfn.AGGREGATE(4,6,INDEX($D$105:$AD$105,MAX(1,$D$91+1-$D$90)):INDEX($D$105:$AD$105,$D$91)),_xlfn.AGGREGATE(4,6,INDEX($D$106:$AD$106,MAX(1,$D$91+1-$D$90)):INDEX($D$106:$AD$106,$D$91))))</f>
        <v>0</v>
      </c>
      <c r="AR128" s="5">
        <f>IF(AR$93=0,NA(),MAX(1,_xlfn.AGGREGATE(4,6,INDEX($D$105:$AD$105,MAX(1,$D$91+1-$D$90)):INDEX($D$105:$AD$105,$D$91)),_xlfn.AGGREGATE(4,6,INDEX($D$106:$AD$106,MAX(1,$D$91+1-$D$90)):INDEX($D$106:$AD$106,$D$91))))</f>
        <v>0</v>
      </c>
      <c r="AS128" s="5">
        <f>IF(AS$93=0,NA(),MAX(1,_xlfn.AGGREGATE(4,6,INDEX($D$105:$AD$105,MAX(1,$D$91+1-$D$90)):INDEX($D$105:$AD$105,$D$91)),_xlfn.AGGREGATE(4,6,INDEX($D$106:$AD$106,MAX(1,$D$91+1-$D$90)):INDEX($D$106:$AD$106,$D$91))))</f>
        <v>0</v>
      </c>
      <c r="AT128" s="5">
        <f>IF(AT$93=0,NA(),MAX(1,_xlfn.AGGREGATE(4,6,INDEX($D$105:$AD$105,MAX(1,$D$91+1-$D$90)):INDEX($D$105:$AD$105,$D$91)),_xlfn.AGGREGATE(4,6,INDEX($D$106:$AD$106,MAX(1,$D$91+1-$D$90)):INDEX($D$106:$AD$106,$D$91))))</f>
        <v>0</v>
      </c>
      <c r="AU128" s="5">
        <f>IF(AU$93=0,NA(),MAX(1,_xlfn.AGGREGATE(4,6,INDEX($D$105:$AD$105,MAX(1,$D$91+1-$D$90)):INDEX($D$105:$AD$105,$D$91)),_xlfn.AGGREGATE(4,6,INDEX($D$106:$AD$106,MAX(1,$D$91+1-$D$90)):INDEX($D$106:$AD$106,$D$91))))</f>
        <v>0</v>
      </c>
      <c r="AV128" s="5">
        <f>IF(AV$93=0,NA(),MAX(1,_xlfn.AGGREGATE(4,6,INDEX($D$105:$AD$105,MAX(1,$D$91+1-$D$90)):INDEX($D$105:$AD$105,$D$91)),_xlfn.AGGREGATE(4,6,INDEX($D$106:$AD$106,MAX(1,$D$91+1-$D$90)):INDEX($D$106:$AD$106,$D$91))))</f>
        <v>0</v>
      </c>
      <c r="AW128" s="5">
        <f>IF(AW$93=0,NA(),MAX(1,_xlfn.AGGREGATE(4,6,INDEX($D$105:$AD$105,MAX(1,$D$91+1-$D$90)):INDEX($D$105:$AD$105,$D$91)),_xlfn.AGGREGATE(4,6,INDEX($D$106:$AD$106,MAX(1,$D$91+1-$D$90)):INDEX($D$106:$AD$106,$D$91))))</f>
        <v>0</v>
      </c>
      <c r="AX128" s="5">
        <f>IF(AX$93=0,NA(),MAX(1,_xlfn.AGGREGATE(4,6,INDEX($D$105:$AD$105,MAX(1,$D$91+1-$D$90)):INDEX($D$105:$AD$105,$D$91)),_xlfn.AGGREGATE(4,6,INDEX($D$106:$AD$106,MAX(1,$D$91+1-$D$90)):INDEX($D$106:$AD$106,$D$91))))</f>
        <v>0</v>
      </c>
      <c r="AY128" s="5">
        <f>IF(AY$93=0,NA(),MAX(1,_xlfn.AGGREGATE(4,6,INDEX($D$105:$AD$105,MAX(1,$D$91+1-$D$90)):INDEX($D$105:$AD$105,$D$91)),_xlfn.AGGREGATE(4,6,INDEX($D$106:$AD$106,MAX(1,$D$91+1-$D$90)):INDEX($D$106:$AD$106,$D$91))))</f>
        <v>0</v>
      </c>
      <c r="AZ128" s="5">
        <f>IF(AZ$93=0,NA(),MAX(1,_xlfn.AGGREGATE(4,6,INDEX($D$105:$AD$105,MAX(1,$D$91+1-$D$90)):INDEX($D$105:$AD$105,$D$91)),_xlfn.AGGREGATE(4,6,INDEX($D$106:$AD$106,MAX(1,$D$91+1-$D$90)):INDEX($D$106:$AD$106,$D$91))))</f>
        <v>0</v>
      </c>
      <c r="BA128" s="5">
        <f>IF(BA$93=0,NA(),MAX(1,_xlfn.AGGREGATE(4,6,INDEX($D$105:$AD$105,MAX(1,$D$91+1-$D$90)):INDEX($D$105:$AD$105,$D$91)),_xlfn.AGGREGATE(4,6,INDEX($D$106:$AD$106,MAX(1,$D$91+1-$D$90)):INDEX($D$106:$AD$106,$D$91))))</f>
        <v>0</v>
      </c>
      <c r="BB128" s="5">
        <f>IF(BB$93=0,NA(),MAX(1,_xlfn.AGGREGATE(4,6,INDEX($D$105:$AD$105,MAX(1,$D$91+1-$D$90)):INDEX($D$105:$AD$105,$D$91)),_xlfn.AGGREGATE(4,6,INDEX($D$106:$AD$106,MAX(1,$D$91+1-$D$90)):INDEX($D$106:$AD$106,$D$91))))</f>
        <v>0</v>
      </c>
      <c r="BC128" s="5">
        <f>IF(BC$93=0,NA(),MAX(1,_xlfn.AGGREGATE(4,6,INDEX($D$105:$AD$105,MAX(1,$D$91+1-$D$90)):INDEX($D$105:$AD$105,$D$91)),_xlfn.AGGREGATE(4,6,INDEX($D$106:$AD$106,MAX(1,$D$91+1-$D$90)):INDEX($D$106:$AD$106,$D$91))))</f>
        <v>0</v>
      </c>
      <c r="BD128" s="5">
        <f>IF(BD$93=0,NA(),MAX(1,_xlfn.AGGREGATE(4,6,INDEX($D$105:$AD$105,MAX(1,$D$91+1-$D$90)):INDEX($D$105:$AD$105,$D$91)),_xlfn.AGGREGATE(4,6,INDEX($D$106:$AD$106,MAX(1,$D$91+1-$D$90)):INDEX($D$106:$AD$106,$D$91))))</f>
        <v>0</v>
      </c>
      <c r="BE128" s="5">
        <f>IF(BE$93=0,NA(),MAX(1,_xlfn.AGGREGATE(4,6,INDEX($D$105:$AD$105,MAX(1,$D$91+1-$D$90)):INDEX($D$105:$AD$105,$D$91)),_xlfn.AGGREGATE(4,6,INDEX($D$106:$AD$106,MAX(1,$D$91+1-$D$90)):INDEX($D$106:$AD$106,$D$91))))</f>
        <v>0</v>
      </c>
      <c r="BF128" s="5">
        <f>IF(BF$93=0,NA(),MAX(1,_xlfn.AGGREGATE(4,6,INDEX($D$105:$AD$105,MAX(1,$D$91+1-$D$90)):INDEX($D$105:$AD$105,$D$91)),_xlfn.AGGREGATE(4,6,INDEX($D$106:$AD$106,MAX(1,$D$91+1-$D$90)):INDEX($D$106:$AD$106,$D$91))))</f>
        <v>0</v>
      </c>
      <c r="BG128" s="5">
        <f>IF(BG$93=0,NA(),MAX(1,_xlfn.AGGREGATE(4,6,INDEX($D$105:$AD$105,MAX(1,$D$91+1-$D$90)):INDEX($D$105:$AD$105,$D$91)),_xlfn.AGGREGATE(4,6,INDEX($D$106:$AD$106,MAX(1,$D$91+1-$D$90)):INDEX($D$106:$AD$106,$D$91))))</f>
        <v>0</v>
      </c>
      <c r="BH128" s="5">
        <f>IF(BH$93=0,NA(),MAX(1,_xlfn.AGGREGATE(4,6,INDEX($D$105:$AD$105,MAX(1,$D$91+1-$D$90)):INDEX($D$105:$AD$105,$D$91)),_xlfn.AGGREGATE(4,6,INDEX($D$106:$AD$106,MAX(1,$D$91+1-$D$90)):INDEX($D$106:$AD$106,$D$91))))</f>
        <v>0</v>
      </c>
      <c r="BI128" s="5">
        <f>IF(BI$93=0,NA(),MAX(1,_xlfn.AGGREGATE(4,6,INDEX($D$105:$AD$105,MAX(1,$D$91+1-$D$90)):INDEX($D$105:$AD$105,$D$91)),_xlfn.AGGREGATE(4,6,INDEX($D$106:$AD$106,MAX(1,$D$91+1-$D$90)):INDEX($D$106:$AD$106,$D$91))))</f>
        <v>0</v>
      </c>
      <c r="BJ128" s="5">
        <f>IF(BJ$93=0,NA(),MAX(1,_xlfn.AGGREGATE(4,6,INDEX($D$105:$AD$105,MAX(1,$D$91+1-$D$90)):INDEX($D$105:$AD$105,$D$91)),_xlfn.AGGREGATE(4,6,INDEX($D$106:$AD$106,MAX(1,$D$91+1-$D$90)):INDEX($D$106:$AD$106,$D$91))))</f>
        <v>0</v>
      </c>
      <c r="BK128" s="5">
        <f>IF(BK$93=0,NA(),MAX(1,_xlfn.AGGREGATE(4,6,INDEX($D$105:$AD$105,MAX(1,$D$91+1-$D$90)):INDEX($D$105:$AD$105,$D$91)),_xlfn.AGGREGATE(4,6,INDEX($D$106:$AD$106,MAX(1,$D$91+1-$D$90)):INDEX($D$106:$AD$106,$D$91))))</f>
        <v>0</v>
      </c>
      <c r="BL128" s="5">
        <f>IF(BL$93=0,NA(),MAX(1,_xlfn.AGGREGATE(4,6,INDEX($D$105:$AD$105,MAX(1,$D$91+1-$D$90)):INDEX($D$105:$AD$105,$D$91)),_xlfn.AGGREGATE(4,6,INDEX($D$106:$AD$106,MAX(1,$D$91+1-$D$90)):INDEX($D$106:$AD$106,$D$91))))</f>
        <v>0</v>
      </c>
      <c r="BM128" s="5">
        <f>IF(BM$93=0,NA(),MAX(1,_xlfn.AGGREGATE(4,6,INDEX($D$105:$AD$105,MAX(1,$D$91+1-$D$90)):INDEX($D$105:$AD$105,$D$91)),_xlfn.AGGREGATE(4,6,INDEX($D$106:$AD$106,MAX(1,$D$91+1-$D$90)):INDEX($D$106:$AD$106,$D$91))))</f>
        <v>0</v>
      </c>
      <c r="BN128" s="5">
        <f>IF(BN$93=0,NA(),MAX(1,_xlfn.AGGREGATE(4,6,INDEX($D$105:$AD$105,MAX(1,$D$91+1-$D$90)):INDEX($D$105:$AD$105,$D$91)),_xlfn.AGGREGATE(4,6,INDEX($D$106:$AD$106,MAX(1,$D$91+1-$D$90)):INDEX($D$106:$AD$106,$D$91))))</f>
        <v>0</v>
      </c>
      <c r="BO128" s="5">
        <f>IF(BO$93=0,NA(),MAX(1,_xlfn.AGGREGATE(4,6,INDEX($D$105:$AD$105,MAX(1,$D$91+1-$D$90)):INDEX($D$105:$AD$105,$D$91)),_xlfn.AGGREGATE(4,6,INDEX($D$106:$AD$106,MAX(1,$D$91+1-$D$90)):INDEX($D$106:$AD$106,$D$91))))</f>
        <v>0</v>
      </c>
      <c r="BP128" s="5">
        <f>IF(BP$93=0,NA(),MAX(1,_xlfn.AGGREGATE(4,6,INDEX($D$105:$AD$105,MAX(1,$D$91+1-$D$90)):INDEX($D$105:$AD$105,$D$91)),_xlfn.AGGREGATE(4,6,INDEX($D$106:$AD$106,MAX(1,$D$91+1-$D$90)):INDEX($D$106:$AD$106,$D$91))))</f>
        <v>0</v>
      </c>
    </row>
    <row r="129" spans="1:68">
      <c r="A129" s="11" t="s">
        <v>321</v>
      </c>
      <c r="B129" s="11" t="s">
        <v>322</v>
      </c>
      <c r="C129" s="3" t="s">
        <v>144</v>
      </c>
      <c r="AQ129" s="5">
        <f>IF(AQ$93=0,NA(),IF(ISNUMBER(INDEX($D$105:$AD$105,AQ$93)),INDEX($D$105:$AD$105,AQ$93)/AQ128,NA()))</f>
        <v>0</v>
      </c>
      <c r="AR129" s="5">
        <f>IF(AR$93=0,NA(),IF(ISNUMBER(INDEX($D$105:$AD$105,AR$93)),INDEX($D$105:$AD$105,AR$93)/AR128,NA()))</f>
        <v>0</v>
      </c>
      <c r="AS129" s="5">
        <f>IF(AS$93=0,NA(),IF(ISNUMBER(INDEX($D$105:$AD$105,AS$93)),INDEX($D$105:$AD$105,AS$93)/AS128,NA()))</f>
        <v>0</v>
      </c>
      <c r="AT129" s="5">
        <f>IF(AT$93=0,NA(),IF(ISNUMBER(INDEX($D$105:$AD$105,AT$93)),INDEX($D$105:$AD$105,AT$93)/AT128,NA()))</f>
        <v>0</v>
      </c>
      <c r="AU129" s="5">
        <f>IF(AU$93=0,NA(),IF(ISNUMBER(INDEX($D$105:$AD$105,AU$93)),INDEX($D$105:$AD$105,AU$93)/AU128,NA()))</f>
        <v>0</v>
      </c>
      <c r="AV129" s="5">
        <f>IF(AV$93=0,NA(),IF(ISNUMBER(INDEX($D$105:$AD$105,AV$93)),INDEX($D$105:$AD$105,AV$93)/AV128,NA()))</f>
        <v>0</v>
      </c>
      <c r="AW129" s="5">
        <f>IF(AW$93=0,NA(),IF(ISNUMBER(INDEX($D$105:$AD$105,AW$93)),INDEX($D$105:$AD$105,AW$93)/AW128,NA()))</f>
        <v>0</v>
      </c>
      <c r="AX129" s="5">
        <f>IF(AX$93=0,NA(),IF(ISNUMBER(INDEX($D$105:$AD$105,AX$93)),INDEX($D$105:$AD$105,AX$93)/AX128,NA()))</f>
        <v>0</v>
      </c>
      <c r="AY129" s="5">
        <f>IF(AY$93=0,NA(),IF(ISNUMBER(INDEX($D$105:$AD$105,AY$93)),INDEX($D$105:$AD$105,AY$93)/AY128,NA()))</f>
        <v>0</v>
      </c>
      <c r="AZ129" s="5">
        <f>IF(AZ$93=0,NA(),IF(ISNUMBER(INDEX($D$105:$AD$105,AZ$93)),INDEX($D$105:$AD$105,AZ$93)/AZ128,NA()))</f>
        <v>0</v>
      </c>
      <c r="BA129" s="5">
        <f>IF(BA$93=0,NA(),IF(ISNUMBER(INDEX($D$105:$AD$105,BA$93)),INDEX($D$105:$AD$105,BA$93)/BA128,NA()))</f>
        <v>0</v>
      </c>
      <c r="BB129" s="5">
        <f>IF(BB$93=0,NA(),IF(ISNUMBER(INDEX($D$105:$AD$105,BB$93)),INDEX($D$105:$AD$105,BB$93)/BB128,NA()))</f>
        <v>0</v>
      </c>
      <c r="BC129" s="5">
        <f>IF(BC$93=0,NA(),IF(ISNUMBER(INDEX($D$105:$AD$105,BC$93)),INDEX($D$105:$AD$105,BC$93)/BC128,NA()))</f>
        <v>0</v>
      </c>
      <c r="BD129" s="5">
        <f>IF(BD$93=0,NA(),IF(ISNUMBER(INDEX($D$105:$AD$105,BD$93)),INDEX($D$105:$AD$105,BD$93)/BD128,NA()))</f>
        <v>0</v>
      </c>
      <c r="BE129" s="5">
        <f>IF(BE$93=0,NA(),IF(ISNUMBER(INDEX($D$105:$AD$105,BE$93)),INDEX($D$105:$AD$105,BE$93)/BE128,NA()))</f>
        <v>0</v>
      </c>
      <c r="BF129" s="5">
        <f>IF(BF$93=0,NA(),IF(ISNUMBER(INDEX($D$105:$AD$105,BF$93)),INDEX($D$105:$AD$105,BF$93)/BF128,NA()))</f>
        <v>0</v>
      </c>
      <c r="BG129" s="5">
        <f>IF(BG$93=0,NA(),IF(ISNUMBER(INDEX($D$105:$AD$105,BG$93)),INDEX($D$105:$AD$105,BG$93)/BG128,NA()))</f>
        <v>0</v>
      </c>
      <c r="BH129" s="5">
        <f>IF(BH$93=0,NA(),IF(ISNUMBER(INDEX($D$105:$AD$105,BH$93)),INDEX($D$105:$AD$105,BH$93)/BH128,NA()))</f>
        <v>0</v>
      </c>
      <c r="BI129" s="5">
        <f>IF(BI$93=0,NA(),IF(ISNUMBER(INDEX($D$105:$AD$105,BI$93)),INDEX($D$105:$AD$105,BI$93)/BI128,NA()))</f>
        <v>0</v>
      </c>
      <c r="BJ129" s="5">
        <f>IF(BJ$93=0,NA(),IF(ISNUMBER(INDEX($D$105:$AD$105,BJ$93)),INDEX($D$105:$AD$105,BJ$93)/BJ128,NA()))</f>
        <v>0</v>
      </c>
      <c r="BK129" s="5">
        <f>IF(BK$93=0,NA(),IF(ISNUMBER(INDEX($D$105:$AD$105,BK$93)),INDEX($D$105:$AD$105,BK$93)/BK128,NA()))</f>
        <v>0</v>
      </c>
      <c r="BL129" s="5">
        <f>IF(BL$93=0,NA(),IF(ISNUMBER(INDEX($D$105:$AD$105,BL$93)),INDEX($D$105:$AD$105,BL$93)/BL128,NA()))</f>
        <v>0</v>
      </c>
      <c r="BM129" s="5">
        <f>IF(BM$93=0,NA(),IF(ISNUMBER(INDEX($D$105:$AD$105,BM$93)),INDEX($D$105:$AD$105,BM$93)/BM128,NA()))</f>
        <v>0</v>
      </c>
      <c r="BN129" s="5">
        <f>IF(BN$93=0,NA(),IF(ISNUMBER(INDEX($D$105:$AD$105,BN$93)),INDEX($D$105:$AD$105,BN$93)/BN128,NA()))</f>
        <v>0</v>
      </c>
      <c r="BO129" s="5">
        <f>IF(BO$93=0,NA(),IF(ISNUMBER(INDEX($D$105:$AD$105,BO$93)),INDEX($D$105:$AD$105,BO$93)/BO128,NA()))</f>
        <v>0</v>
      </c>
      <c r="BP129" s="5">
        <f>IF(BP$93=0,NA(),IF(ISNUMBER(INDEX($D$105:$AD$105,BP$93)),INDEX($D$105:$AD$105,BP$93)/BP128,NA()))</f>
        <v>0</v>
      </c>
    </row>
    <row r="130" spans="1:68">
      <c r="A130" s="11" t="s">
        <v>323</v>
      </c>
      <c r="B130" s="11" t="s">
        <v>324</v>
      </c>
      <c r="C130" s="3" t="s">
        <v>144</v>
      </c>
      <c r="AQ130" s="11">
        <f>IF(AQ$93=0,"",IF(ISNUMBER(INDEX($D$105:$AD$105,AQ$93)),FIXED(INDEX($D$105:$AD$105,AQ$93)/1000,1)&amp;REPT(_xlfn.UNICHAR(160),3),""))</f>
        <v>0</v>
      </c>
      <c r="AR130" s="11">
        <f>IF(AR$93=0,"",IF(ISNUMBER(INDEX($D$105:$AD$105,AR$93)),FIXED(INDEX($D$105:$AD$105,AR$93)/1000,1)&amp;REPT(_xlfn.UNICHAR(160),3),""))</f>
        <v>0</v>
      </c>
      <c r="AS130" s="11">
        <f>IF(AS$93=0,"",IF(ISNUMBER(INDEX($D$105:$AD$105,AS$93)),FIXED(INDEX($D$105:$AD$105,AS$93)/1000,1)&amp;REPT(_xlfn.UNICHAR(160),3),""))</f>
        <v>0</v>
      </c>
      <c r="AT130" s="11">
        <f>IF(AT$93=0,"",IF(ISNUMBER(INDEX($D$105:$AD$105,AT$93)),FIXED(INDEX($D$105:$AD$105,AT$93)/1000,1)&amp;REPT(_xlfn.UNICHAR(160),3),""))</f>
        <v>0</v>
      </c>
      <c r="AU130" s="11">
        <f>IF(AU$93=0,"",IF(ISNUMBER(INDEX($D$105:$AD$105,AU$93)),FIXED(INDEX($D$105:$AD$105,AU$93)/1000,1)&amp;REPT(_xlfn.UNICHAR(160),3),""))</f>
        <v>0</v>
      </c>
      <c r="AV130" s="11">
        <f>IF(AV$93=0,"",IF(ISNUMBER(INDEX($D$105:$AD$105,AV$93)),FIXED(INDEX($D$105:$AD$105,AV$93)/1000,1)&amp;REPT(_xlfn.UNICHAR(160),3),""))</f>
        <v>0</v>
      </c>
      <c r="AW130" s="11">
        <f>IF(AW$93=0,"",IF(ISNUMBER(INDEX($D$105:$AD$105,AW$93)),FIXED(INDEX($D$105:$AD$105,AW$93)/1000,1)&amp;REPT(_xlfn.UNICHAR(160),3),""))</f>
        <v>0</v>
      </c>
      <c r="AX130" s="11">
        <f>IF(AX$93=0,"",IF(ISNUMBER(INDEX($D$105:$AD$105,AX$93)),FIXED(INDEX($D$105:$AD$105,AX$93)/1000,1)&amp;REPT(_xlfn.UNICHAR(160),3),""))</f>
        <v>0</v>
      </c>
      <c r="AY130" s="11">
        <f>IF(AY$93=0,"",IF(ISNUMBER(INDEX($D$105:$AD$105,AY$93)),FIXED(INDEX($D$105:$AD$105,AY$93)/1000,1)&amp;REPT(_xlfn.UNICHAR(160),3),""))</f>
        <v>0</v>
      </c>
      <c r="AZ130" s="11">
        <f>IF(AZ$93=0,"",IF(ISNUMBER(INDEX($D$105:$AD$105,AZ$93)),FIXED(INDEX($D$105:$AD$105,AZ$93)/1000,1)&amp;REPT(_xlfn.UNICHAR(160),3),""))</f>
        <v>0</v>
      </c>
      <c r="BA130" s="11">
        <f>IF(BA$93=0,"",IF(ISNUMBER(INDEX($D$105:$AD$105,BA$93)),FIXED(INDEX($D$105:$AD$105,BA$93)/1000,1)&amp;REPT(_xlfn.UNICHAR(160),3),""))</f>
        <v>0</v>
      </c>
      <c r="BB130" s="11">
        <f>IF(BB$93=0,"",IF(ISNUMBER(INDEX($D$105:$AD$105,BB$93)),FIXED(INDEX($D$105:$AD$105,BB$93)/1000,1)&amp;REPT(_xlfn.UNICHAR(160),3),""))</f>
        <v>0</v>
      </c>
      <c r="BC130" s="11">
        <f>IF(BC$93=0,"",IF(ISNUMBER(INDEX($D$105:$AD$105,BC$93)),FIXED(INDEX($D$105:$AD$105,BC$93)/1000,1)&amp;REPT(_xlfn.UNICHAR(160),3),""))</f>
        <v>0</v>
      </c>
      <c r="BD130" s="11">
        <f>IF(BD$93=0,"",IF(ISNUMBER(INDEX($D$105:$AD$105,BD$93)),FIXED(INDEX($D$105:$AD$105,BD$93)/1000,1)&amp;REPT(_xlfn.UNICHAR(160),3),""))</f>
        <v>0</v>
      </c>
      <c r="BE130" s="11">
        <f>IF(BE$93=0,"",IF(ISNUMBER(INDEX($D$105:$AD$105,BE$93)),FIXED(INDEX($D$105:$AD$105,BE$93)/1000,1)&amp;REPT(_xlfn.UNICHAR(160),3),""))</f>
        <v>0</v>
      </c>
      <c r="BF130" s="11">
        <f>IF(BF$93=0,"",IF(ISNUMBER(INDEX($D$105:$AD$105,BF$93)),FIXED(INDEX($D$105:$AD$105,BF$93)/1000,1)&amp;REPT(_xlfn.UNICHAR(160),3),""))</f>
        <v>0</v>
      </c>
      <c r="BG130" s="11">
        <f>IF(BG$93=0,"",IF(ISNUMBER(INDEX($D$105:$AD$105,BG$93)),FIXED(INDEX($D$105:$AD$105,BG$93)/1000,1)&amp;REPT(_xlfn.UNICHAR(160),3),""))</f>
        <v>0</v>
      </c>
      <c r="BH130" s="11">
        <f>IF(BH$93=0,"",IF(ISNUMBER(INDEX($D$105:$AD$105,BH$93)),FIXED(INDEX($D$105:$AD$105,BH$93)/1000,1)&amp;REPT(_xlfn.UNICHAR(160),3),""))</f>
        <v>0</v>
      </c>
      <c r="BI130" s="11">
        <f>IF(BI$93=0,"",IF(ISNUMBER(INDEX($D$105:$AD$105,BI$93)),FIXED(INDEX($D$105:$AD$105,BI$93)/1000,1)&amp;REPT(_xlfn.UNICHAR(160),3),""))</f>
        <v>0</v>
      </c>
      <c r="BJ130" s="11">
        <f>IF(BJ$93=0,"",IF(ISNUMBER(INDEX($D$105:$AD$105,BJ$93)),FIXED(INDEX($D$105:$AD$105,BJ$93)/1000,1)&amp;REPT(_xlfn.UNICHAR(160),3),""))</f>
        <v>0</v>
      </c>
      <c r="BK130" s="11">
        <f>IF(BK$93=0,"",IF(ISNUMBER(INDEX($D$105:$AD$105,BK$93)),FIXED(INDEX($D$105:$AD$105,BK$93)/1000,1)&amp;REPT(_xlfn.UNICHAR(160),3),""))</f>
        <v>0</v>
      </c>
      <c r="BL130" s="11">
        <f>IF(BL$93=0,"",IF(ISNUMBER(INDEX($D$105:$AD$105,BL$93)),FIXED(INDEX($D$105:$AD$105,BL$93)/1000,1)&amp;REPT(_xlfn.UNICHAR(160),3),""))</f>
        <v>0</v>
      </c>
      <c r="BM130" s="11">
        <f>IF(BM$93=0,"",IF(ISNUMBER(INDEX($D$105:$AD$105,BM$93)),FIXED(INDEX($D$105:$AD$105,BM$93)/1000,1)&amp;REPT(_xlfn.UNICHAR(160),3),""))</f>
        <v>0</v>
      </c>
      <c r="BN130" s="11">
        <f>IF(BN$93=0,"",IF(ISNUMBER(INDEX($D$105:$AD$105,BN$93)),FIXED(INDEX($D$105:$AD$105,BN$93)/1000,1)&amp;REPT(_xlfn.UNICHAR(160),3),""))</f>
        <v>0</v>
      </c>
      <c r="BO130" s="11">
        <f>IF(BO$93=0,"",IF(ISNUMBER(INDEX($D$105:$AD$105,BO$93)),FIXED(INDEX($D$105:$AD$105,BO$93)/1000,1)&amp;REPT(_xlfn.UNICHAR(160),3),""))</f>
        <v>0</v>
      </c>
      <c r="BP130" s="11">
        <f>IF(BP$93=0,"",IF(ISNUMBER(INDEX($D$105:$AD$105,BP$93)),FIXED(INDEX($D$105:$AD$105,BP$93)/1000,1)&amp;REPT(_xlfn.UNICHAR(160),3),""))</f>
        <v>0</v>
      </c>
    </row>
    <row r="131" spans="1:68">
      <c r="A131" s="11" t="s">
        <v>325</v>
      </c>
      <c r="B131" s="11" t="s">
        <v>326</v>
      </c>
      <c r="C131" s="3" t="s">
        <v>144</v>
      </c>
      <c r="AQ131" s="5">
        <f>IF(AQ$93=0,NA(),IF(ISNUMBER(INDEX($D$106:$AD$106,AQ$93)),INDEX($D$106:$AD$106,AQ$93)/AQ128,NA()))</f>
        <v>0</v>
      </c>
      <c r="AR131" s="5">
        <f>IF(AR$93=0,NA(),IF(ISNUMBER(INDEX($D$106:$AD$106,AR$93)),INDEX($D$106:$AD$106,AR$93)/AR128,NA()))</f>
        <v>0</v>
      </c>
      <c r="AS131" s="5">
        <f>IF(AS$93=0,NA(),IF(ISNUMBER(INDEX($D$106:$AD$106,AS$93)),INDEX($D$106:$AD$106,AS$93)/AS128,NA()))</f>
        <v>0</v>
      </c>
      <c r="AT131" s="5">
        <f>IF(AT$93=0,NA(),IF(ISNUMBER(INDEX($D$106:$AD$106,AT$93)),INDEX($D$106:$AD$106,AT$93)/AT128,NA()))</f>
        <v>0</v>
      </c>
      <c r="AU131" s="5">
        <f>IF(AU$93=0,NA(),IF(ISNUMBER(INDEX($D$106:$AD$106,AU$93)),INDEX($D$106:$AD$106,AU$93)/AU128,NA()))</f>
        <v>0</v>
      </c>
      <c r="AV131" s="5">
        <f>IF(AV$93=0,NA(),IF(ISNUMBER(INDEX($D$106:$AD$106,AV$93)),INDEX($D$106:$AD$106,AV$93)/AV128,NA()))</f>
        <v>0</v>
      </c>
      <c r="AW131" s="5">
        <f>IF(AW$93=0,NA(),IF(ISNUMBER(INDEX($D$106:$AD$106,AW$93)),INDEX($D$106:$AD$106,AW$93)/AW128,NA()))</f>
        <v>0</v>
      </c>
      <c r="AX131" s="5">
        <f>IF(AX$93=0,NA(),IF(ISNUMBER(INDEX($D$106:$AD$106,AX$93)),INDEX($D$106:$AD$106,AX$93)/AX128,NA()))</f>
        <v>0</v>
      </c>
      <c r="AY131" s="5">
        <f>IF(AY$93=0,NA(),IF(ISNUMBER(INDEX($D$106:$AD$106,AY$93)),INDEX($D$106:$AD$106,AY$93)/AY128,NA()))</f>
        <v>0</v>
      </c>
      <c r="AZ131" s="5">
        <f>IF(AZ$93=0,NA(),IF(ISNUMBER(INDEX($D$106:$AD$106,AZ$93)),INDEX($D$106:$AD$106,AZ$93)/AZ128,NA()))</f>
        <v>0</v>
      </c>
      <c r="BA131" s="5">
        <f>IF(BA$93=0,NA(),IF(ISNUMBER(INDEX($D$106:$AD$106,BA$93)),INDEX($D$106:$AD$106,BA$93)/BA128,NA()))</f>
        <v>0</v>
      </c>
      <c r="BB131" s="5">
        <f>IF(BB$93=0,NA(),IF(ISNUMBER(INDEX($D$106:$AD$106,BB$93)),INDEX($D$106:$AD$106,BB$93)/BB128,NA()))</f>
        <v>0</v>
      </c>
      <c r="BC131" s="5">
        <f>IF(BC$93=0,NA(),IF(ISNUMBER(INDEX($D$106:$AD$106,BC$93)),INDEX($D$106:$AD$106,BC$93)/BC128,NA()))</f>
        <v>0</v>
      </c>
      <c r="BD131" s="5">
        <f>IF(BD$93=0,NA(),IF(ISNUMBER(INDEX($D$106:$AD$106,BD$93)),INDEX($D$106:$AD$106,BD$93)/BD128,NA()))</f>
        <v>0</v>
      </c>
      <c r="BE131" s="5">
        <f>IF(BE$93=0,NA(),IF(ISNUMBER(INDEX($D$106:$AD$106,BE$93)),INDEX($D$106:$AD$106,BE$93)/BE128,NA()))</f>
        <v>0</v>
      </c>
      <c r="BF131" s="5">
        <f>IF(BF$93=0,NA(),IF(ISNUMBER(INDEX($D$106:$AD$106,BF$93)),INDEX($D$106:$AD$106,BF$93)/BF128,NA()))</f>
        <v>0</v>
      </c>
      <c r="BG131" s="5">
        <f>IF(BG$93=0,NA(),IF(ISNUMBER(INDEX($D$106:$AD$106,BG$93)),INDEX($D$106:$AD$106,BG$93)/BG128,NA()))</f>
        <v>0</v>
      </c>
      <c r="BH131" s="5">
        <f>IF(BH$93=0,NA(),IF(ISNUMBER(INDEX($D$106:$AD$106,BH$93)),INDEX($D$106:$AD$106,BH$93)/BH128,NA()))</f>
        <v>0</v>
      </c>
      <c r="BI131" s="5">
        <f>IF(BI$93=0,NA(),IF(ISNUMBER(INDEX($D$106:$AD$106,BI$93)),INDEX($D$106:$AD$106,BI$93)/BI128,NA()))</f>
        <v>0</v>
      </c>
      <c r="BJ131" s="5">
        <f>IF(BJ$93=0,NA(),IF(ISNUMBER(INDEX($D$106:$AD$106,BJ$93)),INDEX($D$106:$AD$106,BJ$93)/BJ128,NA()))</f>
        <v>0</v>
      </c>
      <c r="BK131" s="5">
        <f>IF(BK$93=0,NA(),IF(ISNUMBER(INDEX($D$106:$AD$106,BK$93)),INDEX($D$106:$AD$106,BK$93)/BK128,NA()))</f>
        <v>0</v>
      </c>
      <c r="BL131" s="5">
        <f>IF(BL$93=0,NA(),IF(ISNUMBER(INDEX($D$106:$AD$106,BL$93)),INDEX($D$106:$AD$106,BL$93)/BL128,NA()))</f>
        <v>0</v>
      </c>
      <c r="BM131" s="5">
        <f>IF(BM$93=0,NA(),IF(ISNUMBER(INDEX($D$106:$AD$106,BM$93)),INDEX($D$106:$AD$106,BM$93)/BM128,NA()))</f>
        <v>0</v>
      </c>
      <c r="BN131" s="5">
        <f>IF(BN$93=0,NA(),IF(ISNUMBER(INDEX($D$106:$AD$106,BN$93)),INDEX($D$106:$AD$106,BN$93)/BN128,NA()))</f>
        <v>0</v>
      </c>
      <c r="BO131" s="5">
        <f>IF(BO$93=0,NA(),IF(ISNUMBER(INDEX($D$106:$AD$106,BO$93)),INDEX($D$106:$AD$106,BO$93)/BO128,NA()))</f>
        <v>0</v>
      </c>
      <c r="BP131" s="5">
        <f>IF(BP$93=0,NA(),IF(ISNUMBER(INDEX($D$106:$AD$106,BP$93)),INDEX($D$106:$AD$106,BP$93)/BP128,NA()))</f>
        <v>0</v>
      </c>
    </row>
    <row r="132" spans="1:68">
      <c r="A132" s="11" t="s">
        <v>327</v>
      </c>
      <c r="B132" s="11" t="s">
        <v>328</v>
      </c>
      <c r="C132" s="3" t="s">
        <v>144</v>
      </c>
      <c r="AQ132" s="11">
        <f>IF(AQ$93=0,"",IF(ISNUMBER(INDEX($D$106:$AD$106,AQ$93)),REPT(_xlfn.UNICHAR(160),3)&amp;FIXED(INDEX($D$106:$AD$106,AQ$93)/1000,1),""))</f>
        <v>0</v>
      </c>
      <c r="AR132" s="11">
        <f>IF(AR$93=0,"",IF(ISNUMBER(INDEX($D$106:$AD$106,AR$93)),REPT(_xlfn.UNICHAR(160),3)&amp;FIXED(INDEX($D$106:$AD$106,AR$93)/1000,1),""))</f>
        <v>0</v>
      </c>
      <c r="AS132" s="11">
        <f>IF(AS$93=0,"",IF(ISNUMBER(INDEX($D$106:$AD$106,AS$93)),REPT(_xlfn.UNICHAR(160),3)&amp;FIXED(INDEX($D$106:$AD$106,AS$93)/1000,1),""))</f>
        <v>0</v>
      </c>
      <c r="AT132" s="11">
        <f>IF(AT$93=0,"",IF(ISNUMBER(INDEX($D$106:$AD$106,AT$93)),REPT(_xlfn.UNICHAR(160),3)&amp;FIXED(INDEX($D$106:$AD$106,AT$93)/1000,1),""))</f>
        <v>0</v>
      </c>
      <c r="AU132" s="11">
        <f>IF(AU$93=0,"",IF(ISNUMBER(INDEX($D$106:$AD$106,AU$93)),REPT(_xlfn.UNICHAR(160),3)&amp;FIXED(INDEX($D$106:$AD$106,AU$93)/1000,1),""))</f>
        <v>0</v>
      </c>
      <c r="AV132" s="11">
        <f>IF(AV$93=0,"",IF(ISNUMBER(INDEX($D$106:$AD$106,AV$93)),REPT(_xlfn.UNICHAR(160),3)&amp;FIXED(INDEX($D$106:$AD$106,AV$93)/1000,1),""))</f>
        <v>0</v>
      </c>
      <c r="AW132" s="11">
        <f>IF(AW$93=0,"",IF(ISNUMBER(INDEX($D$106:$AD$106,AW$93)),REPT(_xlfn.UNICHAR(160),3)&amp;FIXED(INDEX($D$106:$AD$106,AW$93)/1000,1),""))</f>
        <v>0</v>
      </c>
      <c r="AX132" s="11">
        <f>IF(AX$93=0,"",IF(ISNUMBER(INDEX($D$106:$AD$106,AX$93)),REPT(_xlfn.UNICHAR(160),3)&amp;FIXED(INDEX($D$106:$AD$106,AX$93)/1000,1),""))</f>
        <v>0</v>
      </c>
      <c r="AY132" s="11">
        <f>IF(AY$93=0,"",IF(ISNUMBER(INDEX($D$106:$AD$106,AY$93)),REPT(_xlfn.UNICHAR(160),3)&amp;FIXED(INDEX($D$106:$AD$106,AY$93)/1000,1),""))</f>
        <v>0</v>
      </c>
      <c r="AZ132" s="11">
        <f>IF(AZ$93=0,"",IF(ISNUMBER(INDEX($D$106:$AD$106,AZ$93)),REPT(_xlfn.UNICHAR(160),3)&amp;FIXED(INDEX($D$106:$AD$106,AZ$93)/1000,1),""))</f>
        <v>0</v>
      </c>
      <c r="BA132" s="11">
        <f>IF(BA$93=0,"",IF(ISNUMBER(INDEX($D$106:$AD$106,BA$93)),REPT(_xlfn.UNICHAR(160),3)&amp;FIXED(INDEX($D$106:$AD$106,BA$93)/1000,1),""))</f>
        <v>0</v>
      </c>
      <c r="BB132" s="11">
        <f>IF(BB$93=0,"",IF(ISNUMBER(INDEX($D$106:$AD$106,BB$93)),REPT(_xlfn.UNICHAR(160),3)&amp;FIXED(INDEX($D$106:$AD$106,BB$93)/1000,1),""))</f>
        <v>0</v>
      </c>
      <c r="BC132" s="11">
        <f>IF(BC$93=0,"",IF(ISNUMBER(INDEX($D$106:$AD$106,BC$93)),REPT(_xlfn.UNICHAR(160),3)&amp;FIXED(INDEX($D$106:$AD$106,BC$93)/1000,1),""))</f>
        <v>0</v>
      </c>
      <c r="BD132" s="11">
        <f>IF(BD$93=0,"",IF(ISNUMBER(INDEX($D$106:$AD$106,BD$93)),REPT(_xlfn.UNICHAR(160),3)&amp;FIXED(INDEX($D$106:$AD$106,BD$93)/1000,1),""))</f>
        <v>0</v>
      </c>
      <c r="BE132" s="11">
        <f>IF(BE$93=0,"",IF(ISNUMBER(INDEX($D$106:$AD$106,BE$93)),REPT(_xlfn.UNICHAR(160),3)&amp;FIXED(INDEX($D$106:$AD$106,BE$93)/1000,1),""))</f>
        <v>0</v>
      </c>
      <c r="BF132" s="11">
        <f>IF(BF$93=0,"",IF(ISNUMBER(INDEX($D$106:$AD$106,BF$93)),REPT(_xlfn.UNICHAR(160),3)&amp;FIXED(INDEX($D$106:$AD$106,BF$93)/1000,1),""))</f>
        <v>0</v>
      </c>
      <c r="BG132" s="11">
        <f>IF(BG$93=0,"",IF(ISNUMBER(INDEX($D$106:$AD$106,BG$93)),REPT(_xlfn.UNICHAR(160),3)&amp;FIXED(INDEX($D$106:$AD$106,BG$93)/1000,1),""))</f>
        <v>0</v>
      </c>
      <c r="BH132" s="11">
        <f>IF(BH$93=0,"",IF(ISNUMBER(INDEX($D$106:$AD$106,BH$93)),REPT(_xlfn.UNICHAR(160),3)&amp;FIXED(INDEX($D$106:$AD$106,BH$93)/1000,1),""))</f>
        <v>0</v>
      </c>
      <c r="BI132" s="11">
        <f>IF(BI$93=0,"",IF(ISNUMBER(INDEX($D$106:$AD$106,BI$93)),REPT(_xlfn.UNICHAR(160),3)&amp;FIXED(INDEX($D$106:$AD$106,BI$93)/1000,1),""))</f>
        <v>0</v>
      </c>
      <c r="BJ132" s="11">
        <f>IF(BJ$93=0,"",IF(ISNUMBER(INDEX($D$106:$AD$106,BJ$93)),REPT(_xlfn.UNICHAR(160),3)&amp;FIXED(INDEX($D$106:$AD$106,BJ$93)/1000,1),""))</f>
        <v>0</v>
      </c>
      <c r="BK132" s="11">
        <f>IF(BK$93=0,"",IF(ISNUMBER(INDEX($D$106:$AD$106,BK$93)),REPT(_xlfn.UNICHAR(160),3)&amp;FIXED(INDEX($D$106:$AD$106,BK$93)/1000,1),""))</f>
        <v>0</v>
      </c>
      <c r="BL132" s="11">
        <f>IF(BL$93=0,"",IF(ISNUMBER(INDEX($D$106:$AD$106,BL$93)),REPT(_xlfn.UNICHAR(160),3)&amp;FIXED(INDEX($D$106:$AD$106,BL$93)/1000,1),""))</f>
        <v>0</v>
      </c>
      <c r="BM132" s="11">
        <f>IF(BM$93=0,"",IF(ISNUMBER(INDEX($D$106:$AD$106,BM$93)),REPT(_xlfn.UNICHAR(160),3)&amp;FIXED(INDEX($D$106:$AD$106,BM$93)/1000,1),""))</f>
        <v>0</v>
      </c>
      <c r="BN132" s="11">
        <f>IF(BN$93=0,"",IF(ISNUMBER(INDEX($D$106:$AD$106,BN$93)),REPT(_xlfn.UNICHAR(160),3)&amp;FIXED(INDEX($D$106:$AD$106,BN$93)/1000,1),""))</f>
        <v>0</v>
      </c>
      <c r="BO132" s="11">
        <f>IF(BO$93=0,"",IF(ISNUMBER(INDEX($D$106:$AD$106,BO$93)),REPT(_xlfn.UNICHAR(160),3)&amp;FIXED(INDEX($D$106:$AD$106,BO$93)/1000,1),""))</f>
        <v>0</v>
      </c>
      <c r="BP132" s="11">
        <f>IF(BP$93=0,"",IF(ISNUMBER(INDEX($D$106:$AD$106,BP$93)),REPT(_xlfn.UNICHAR(160),3)&amp;FIXED(INDEX($D$106:$AD$106,BP$93)/1000,1),""))</f>
        <v>0</v>
      </c>
    </row>
    <row r="133" spans="1:68">
      <c r="A133" s="11" t="s">
        <v>329</v>
      </c>
      <c r="B133" s="11" t="s">
        <v>330</v>
      </c>
      <c r="C133" s="3" t="s">
        <v>144</v>
      </c>
      <c r="AQ133" s="5">
        <f>IF(AQ$93=0,NA(),IF(ISNUMBER(INDEX($D$105:$AD$105,AQ$93)),IF(AND(AQ129&gt;=IFERROR(AQ131,-9),AQ129-IFERROR(AQ131,-9)&lt;0.28261),AQ131+0.28261,AQ129),NA()))</f>
        <v>0</v>
      </c>
      <c r="AR133" s="5">
        <f>IF(AR$93=0,NA(),IF(ISNUMBER(INDEX($D$105:$AD$105,AR$93)),IF(AND(AR129&gt;=IFERROR(AR131,-9),AR129-IFERROR(AR131,-9)&lt;0.28261),AR131+0.28261,AR129),NA()))</f>
        <v>0</v>
      </c>
      <c r="AS133" s="5">
        <f>IF(AS$93=0,NA(),IF(ISNUMBER(INDEX($D$105:$AD$105,AS$93)),IF(AND(AS129&gt;=IFERROR(AS131,-9),AS129-IFERROR(AS131,-9)&lt;0.28261),AS131+0.28261,AS129),NA()))</f>
        <v>0</v>
      </c>
      <c r="AT133" s="5">
        <f>IF(AT$93=0,NA(),IF(ISNUMBER(INDEX($D$105:$AD$105,AT$93)),IF(AND(AT129&gt;=IFERROR(AT131,-9),AT129-IFERROR(AT131,-9)&lt;0.28261),AT131+0.28261,AT129),NA()))</f>
        <v>0</v>
      </c>
      <c r="AU133" s="5">
        <f>IF(AU$93=0,NA(),IF(ISNUMBER(INDEX($D$105:$AD$105,AU$93)),IF(AND(AU129&gt;=IFERROR(AU131,-9),AU129-IFERROR(AU131,-9)&lt;0.28261),AU131+0.28261,AU129),NA()))</f>
        <v>0</v>
      </c>
      <c r="AV133" s="5">
        <f>IF(AV$93=0,NA(),IF(ISNUMBER(INDEX($D$105:$AD$105,AV$93)),IF(AND(AV129&gt;=IFERROR(AV131,-9),AV129-IFERROR(AV131,-9)&lt;0.28261),AV131+0.28261,AV129),NA()))</f>
        <v>0</v>
      </c>
      <c r="AW133" s="5">
        <f>IF(AW$93=0,NA(),IF(ISNUMBER(INDEX($D$105:$AD$105,AW$93)),IF(AND(AW129&gt;=IFERROR(AW131,-9),AW129-IFERROR(AW131,-9)&lt;0.28261),AW131+0.28261,AW129),NA()))</f>
        <v>0</v>
      </c>
      <c r="AX133" s="5">
        <f>IF(AX$93=0,NA(),IF(ISNUMBER(INDEX($D$105:$AD$105,AX$93)),IF(AND(AX129&gt;=IFERROR(AX131,-9),AX129-IFERROR(AX131,-9)&lt;0.28261),AX131+0.28261,AX129),NA()))</f>
        <v>0</v>
      </c>
      <c r="AY133" s="5">
        <f>IF(AY$93=0,NA(),IF(ISNUMBER(INDEX($D$105:$AD$105,AY$93)),IF(AND(AY129&gt;=IFERROR(AY131,-9),AY129-IFERROR(AY131,-9)&lt;0.28261),AY131+0.28261,AY129),NA()))</f>
        <v>0</v>
      </c>
      <c r="AZ133" s="5">
        <f>IF(AZ$93=0,NA(),IF(ISNUMBER(INDEX($D$105:$AD$105,AZ$93)),IF(AND(AZ129&gt;=IFERROR(AZ131,-9),AZ129-IFERROR(AZ131,-9)&lt;0.28261),AZ131+0.28261,AZ129),NA()))</f>
        <v>0</v>
      </c>
      <c r="BA133" s="5">
        <f>IF(BA$93=0,NA(),IF(ISNUMBER(INDEX($D$105:$AD$105,BA$93)),IF(AND(BA129&gt;=IFERROR(BA131,-9),BA129-IFERROR(BA131,-9)&lt;0.28261),BA131+0.28261,BA129),NA()))</f>
        <v>0</v>
      </c>
      <c r="BB133" s="5">
        <f>IF(BB$93=0,NA(),IF(ISNUMBER(INDEX($D$105:$AD$105,BB$93)),IF(AND(BB129&gt;=IFERROR(BB131,-9),BB129-IFERROR(BB131,-9)&lt;0.28261),BB131+0.28261,BB129),NA()))</f>
        <v>0</v>
      </c>
      <c r="BC133" s="5">
        <f>IF(BC$93=0,NA(),IF(ISNUMBER(INDEX($D$105:$AD$105,BC$93)),IF(AND(BC129&gt;=IFERROR(BC131,-9),BC129-IFERROR(BC131,-9)&lt;0.28261),BC131+0.28261,BC129),NA()))</f>
        <v>0</v>
      </c>
      <c r="BD133" s="5">
        <f>IF(BD$93=0,NA(),IF(ISNUMBER(INDEX($D$105:$AD$105,BD$93)),IF(AND(BD129&gt;=IFERROR(BD131,-9),BD129-IFERROR(BD131,-9)&lt;0.28261),BD131+0.28261,BD129),NA()))</f>
        <v>0</v>
      </c>
      <c r="BE133" s="5">
        <f>IF(BE$93=0,NA(),IF(ISNUMBER(INDEX($D$105:$AD$105,BE$93)),IF(AND(BE129&gt;=IFERROR(BE131,-9),BE129-IFERROR(BE131,-9)&lt;0.28261),BE131+0.28261,BE129),NA()))</f>
        <v>0</v>
      </c>
      <c r="BF133" s="5">
        <f>IF(BF$93=0,NA(),IF(ISNUMBER(INDEX($D$105:$AD$105,BF$93)),IF(AND(BF129&gt;=IFERROR(BF131,-9),BF129-IFERROR(BF131,-9)&lt;0.28261),BF131+0.28261,BF129),NA()))</f>
        <v>0</v>
      </c>
      <c r="BG133" s="5">
        <f>IF(BG$93=0,NA(),IF(ISNUMBER(INDEX($D$105:$AD$105,BG$93)),IF(AND(BG129&gt;=IFERROR(BG131,-9),BG129-IFERROR(BG131,-9)&lt;0.28261),BG131+0.28261,BG129),NA()))</f>
        <v>0</v>
      </c>
      <c r="BH133" s="5">
        <f>IF(BH$93=0,NA(),IF(ISNUMBER(INDEX($D$105:$AD$105,BH$93)),IF(AND(BH129&gt;=IFERROR(BH131,-9),BH129-IFERROR(BH131,-9)&lt;0.28261),BH131+0.28261,BH129),NA()))</f>
        <v>0</v>
      </c>
      <c r="BI133" s="5">
        <f>IF(BI$93=0,NA(),IF(ISNUMBER(INDEX($D$105:$AD$105,BI$93)),IF(AND(BI129&gt;=IFERROR(BI131,-9),BI129-IFERROR(BI131,-9)&lt;0.28261),BI131+0.28261,BI129),NA()))</f>
        <v>0</v>
      </c>
      <c r="BJ133" s="5">
        <f>IF(BJ$93=0,NA(),IF(ISNUMBER(INDEX($D$105:$AD$105,BJ$93)),IF(AND(BJ129&gt;=IFERROR(BJ131,-9),BJ129-IFERROR(BJ131,-9)&lt;0.28261),BJ131+0.28261,BJ129),NA()))</f>
        <v>0</v>
      </c>
      <c r="BK133" s="5">
        <f>IF(BK$93=0,NA(),IF(ISNUMBER(INDEX($D$105:$AD$105,BK$93)),IF(AND(BK129&gt;=IFERROR(BK131,-9),BK129-IFERROR(BK131,-9)&lt;0.28261),BK131+0.28261,BK129),NA()))</f>
        <v>0</v>
      </c>
      <c r="BL133" s="5">
        <f>IF(BL$93=0,NA(),IF(ISNUMBER(INDEX($D$105:$AD$105,BL$93)),IF(AND(BL129&gt;=IFERROR(BL131,-9),BL129-IFERROR(BL131,-9)&lt;0.28261),BL131+0.28261,BL129),NA()))</f>
        <v>0</v>
      </c>
      <c r="BM133" s="5">
        <f>IF(BM$93=0,NA(),IF(ISNUMBER(INDEX($D$105:$AD$105,BM$93)),IF(AND(BM129&gt;=IFERROR(BM131,-9),BM129-IFERROR(BM131,-9)&lt;0.28261),BM131+0.28261,BM129),NA()))</f>
        <v>0</v>
      </c>
      <c r="BN133" s="5">
        <f>IF(BN$93=0,NA(),IF(ISNUMBER(INDEX($D$105:$AD$105,BN$93)),IF(AND(BN129&gt;=IFERROR(BN131,-9),BN129-IFERROR(BN131,-9)&lt;0.28261),BN131+0.28261,BN129),NA()))</f>
        <v>0</v>
      </c>
      <c r="BO133" s="5">
        <f>IF(BO$93=0,NA(),IF(ISNUMBER(INDEX($D$105:$AD$105,BO$93)),IF(AND(BO129&gt;=IFERROR(BO131,-9),BO129-IFERROR(BO131,-9)&lt;0.28261),BO131+0.28261,BO129),NA()))</f>
        <v>0</v>
      </c>
      <c r="BP133" s="5">
        <f>IF(BP$93=0,NA(),IF(ISNUMBER(INDEX($D$105:$AD$105,BP$93)),IF(AND(BP129&gt;=IFERROR(BP131,-9),BP129-IFERROR(BP131,-9)&lt;0.28261),BP131+0.28261,BP129),NA()))</f>
        <v>0</v>
      </c>
    </row>
    <row r="134" spans="1:68">
      <c r="A134" s="11" t="s">
        <v>331</v>
      </c>
      <c r="B134" s="11" t="s">
        <v>332</v>
      </c>
      <c r="C134" s="3" t="s">
        <v>144</v>
      </c>
      <c r="AQ134" s="5">
        <f>IF(AQ$93=0,NA(),IF(ISNUMBER(INDEX($D$106:$AD$106,AQ$93)),IF(AND(AQ131&gt;IFERROR(AQ129,-9),AQ131-IFERROR(AQ129,-9)&lt;0.28261),AQ129+0.28261,AQ131),NA()))</f>
        <v>0</v>
      </c>
      <c r="AR134" s="5">
        <f>IF(AR$93=0,NA(),IF(ISNUMBER(INDEX($D$106:$AD$106,AR$93)),IF(AND(AR131&gt;IFERROR(AR129,-9),AR131-IFERROR(AR129,-9)&lt;0.28261),AR129+0.28261,AR131),NA()))</f>
        <v>0</v>
      </c>
      <c r="AS134" s="5">
        <f>IF(AS$93=0,NA(),IF(ISNUMBER(INDEX($D$106:$AD$106,AS$93)),IF(AND(AS131&gt;IFERROR(AS129,-9),AS131-IFERROR(AS129,-9)&lt;0.28261),AS129+0.28261,AS131),NA()))</f>
        <v>0</v>
      </c>
      <c r="AT134" s="5">
        <f>IF(AT$93=0,NA(),IF(ISNUMBER(INDEX($D$106:$AD$106,AT$93)),IF(AND(AT131&gt;IFERROR(AT129,-9),AT131-IFERROR(AT129,-9)&lt;0.28261),AT129+0.28261,AT131),NA()))</f>
        <v>0</v>
      </c>
      <c r="AU134" s="5">
        <f>IF(AU$93=0,NA(),IF(ISNUMBER(INDEX($D$106:$AD$106,AU$93)),IF(AND(AU131&gt;IFERROR(AU129,-9),AU131-IFERROR(AU129,-9)&lt;0.28261),AU129+0.28261,AU131),NA()))</f>
        <v>0</v>
      </c>
      <c r="AV134" s="5">
        <f>IF(AV$93=0,NA(),IF(ISNUMBER(INDEX($D$106:$AD$106,AV$93)),IF(AND(AV131&gt;IFERROR(AV129,-9),AV131-IFERROR(AV129,-9)&lt;0.28261),AV129+0.28261,AV131),NA()))</f>
        <v>0</v>
      </c>
      <c r="AW134" s="5">
        <f>IF(AW$93=0,NA(),IF(ISNUMBER(INDEX($D$106:$AD$106,AW$93)),IF(AND(AW131&gt;IFERROR(AW129,-9),AW131-IFERROR(AW129,-9)&lt;0.28261),AW129+0.28261,AW131),NA()))</f>
        <v>0</v>
      </c>
      <c r="AX134" s="5">
        <f>IF(AX$93=0,NA(),IF(ISNUMBER(INDEX($D$106:$AD$106,AX$93)),IF(AND(AX131&gt;IFERROR(AX129,-9),AX131-IFERROR(AX129,-9)&lt;0.28261),AX129+0.28261,AX131),NA()))</f>
        <v>0</v>
      </c>
      <c r="AY134" s="5">
        <f>IF(AY$93=0,NA(),IF(ISNUMBER(INDEX($D$106:$AD$106,AY$93)),IF(AND(AY131&gt;IFERROR(AY129,-9),AY131-IFERROR(AY129,-9)&lt;0.28261),AY129+0.28261,AY131),NA()))</f>
        <v>0</v>
      </c>
      <c r="AZ134" s="5">
        <f>IF(AZ$93=0,NA(),IF(ISNUMBER(INDEX($D$106:$AD$106,AZ$93)),IF(AND(AZ131&gt;IFERROR(AZ129,-9),AZ131-IFERROR(AZ129,-9)&lt;0.28261),AZ129+0.28261,AZ131),NA()))</f>
        <v>0</v>
      </c>
      <c r="BA134" s="5">
        <f>IF(BA$93=0,NA(),IF(ISNUMBER(INDEX($D$106:$AD$106,BA$93)),IF(AND(BA131&gt;IFERROR(BA129,-9),BA131-IFERROR(BA129,-9)&lt;0.28261),BA129+0.28261,BA131),NA()))</f>
        <v>0</v>
      </c>
      <c r="BB134" s="5">
        <f>IF(BB$93=0,NA(),IF(ISNUMBER(INDEX($D$106:$AD$106,BB$93)),IF(AND(BB131&gt;IFERROR(BB129,-9),BB131-IFERROR(BB129,-9)&lt;0.28261),BB129+0.28261,BB131),NA()))</f>
        <v>0</v>
      </c>
      <c r="BC134" s="5">
        <f>IF(BC$93=0,NA(),IF(ISNUMBER(INDEX($D$106:$AD$106,BC$93)),IF(AND(BC131&gt;IFERROR(BC129,-9),BC131-IFERROR(BC129,-9)&lt;0.28261),BC129+0.28261,BC131),NA()))</f>
        <v>0</v>
      </c>
      <c r="BD134" s="5">
        <f>IF(BD$93=0,NA(),IF(ISNUMBER(INDEX($D$106:$AD$106,BD$93)),IF(AND(BD131&gt;IFERROR(BD129,-9),BD131-IFERROR(BD129,-9)&lt;0.28261),BD129+0.28261,BD131),NA()))</f>
        <v>0</v>
      </c>
      <c r="BE134" s="5">
        <f>IF(BE$93=0,NA(),IF(ISNUMBER(INDEX($D$106:$AD$106,BE$93)),IF(AND(BE131&gt;IFERROR(BE129,-9),BE131-IFERROR(BE129,-9)&lt;0.28261),BE129+0.28261,BE131),NA()))</f>
        <v>0</v>
      </c>
      <c r="BF134" s="5">
        <f>IF(BF$93=0,NA(),IF(ISNUMBER(INDEX($D$106:$AD$106,BF$93)),IF(AND(BF131&gt;IFERROR(BF129,-9),BF131-IFERROR(BF129,-9)&lt;0.28261),BF129+0.28261,BF131),NA()))</f>
        <v>0</v>
      </c>
      <c r="BG134" s="5">
        <f>IF(BG$93=0,NA(),IF(ISNUMBER(INDEX($D$106:$AD$106,BG$93)),IF(AND(BG131&gt;IFERROR(BG129,-9),BG131-IFERROR(BG129,-9)&lt;0.28261),BG129+0.28261,BG131),NA()))</f>
        <v>0</v>
      </c>
      <c r="BH134" s="5">
        <f>IF(BH$93=0,NA(),IF(ISNUMBER(INDEX($D$106:$AD$106,BH$93)),IF(AND(BH131&gt;IFERROR(BH129,-9),BH131-IFERROR(BH129,-9)&lt;0.28261),BH129+0.28261,BH131),NA()))</f>
        <v>0</v>
      </c>
      <c r="BI134" s="5">
        <f>IF(BI$93=0,NA(),IF(ISNUMBER(INDEX($D$106:$AD$106,BI$93)),IF(AND(BI131&gt;IFERROR(BI129,-9),BI131-IFERROR(BI129,-9)&lt;0.28261),BI129+0.28261,BI131),NA()))</f>
        <v>0</v>
      </c>
      <c r="BJ134" s="5">
        <f>IF(BJ$93=0,NA(),IF(ISNUMBER(INDEX($D$106:$AD$106,BJ$93)),IF(AND(BJ131&gt;IFERROR(BJ129,-9),BJ131-IFERROR(BJ129,-9)&lt;0.28261),BJ129+0.28261,BJ131),NA()))</f>
        <v>0</v>
      </c>
      <c r="BK134" s="5">
        <f>IF(BK$93=0,NA(),IF(ISNUMBER(INDEX($D$106:$AD$106,BK$93)),IF(AND(BK131&gt;IFERROR(BK129,-9),BK131-IFERROR(BK129,-9)&lt;0.28261),BK129+0.28261,BK131),NA()))</f>
        <v>0</v>
      </c>
      <c r="BL134" s="5">
        <f>IF(BL$93=0,NA(),IF(ISNUMBER(INDEX($D$106:$AD$106,BL$93)),IF(AND(BL131&gt;IFERROR(BL129,-9),BL131-IFERROR(BL129,-9)&lt;0.28261),BL129+0.28261,BL131),NA()))</f>
        <v>0</v>
      </c>
      <c r="BM134" s="5">
        <f>IF(BM$93=0,NA(),IF(ISNUMBER(INDEX($D$106:$AD$106,BM$93)),IF(AND(BM131&gt;IFERROR(BM129,-9),BM131-IFERROR(BM129,-9)&lt;0.28261),BM129+0.28261,BM131),NA()))</f>
        <v>0</v>
      </c>
      <c r="BN134" s="5">
        <f>IF(BN$93=0,NA(),IF(ISNUMBER(INDEX($D$106:$AD$106,BN$93)),IF(AND(BN131&gt;IFERROR(BN129,-9),BN131-IFERROR(BN129,-9)&lt;0.28261),BN129+0.28261,BN131),NA()))</f>
        <v>0</v>
      </c>
      <c r="BO134" s="5">
        <f>IF(BO$93=0,NA(),IF(ISNUMBER(INDEX($D$106:$AD$106,BO$93)),IF(AND(BO131&gt;IFERROR(BO129,-9),BO131-IFERROR(BO129,-9)&lt;0.28261),BO129+0.28261,BO131),NA()))</f>
        <v>0</v>
      </c>
      <c r="BP134" s="5">
        <f>IF(BP$93=0,NA(),IF(ISNUMBER(INDEX($D$106:$AD$106,BP$93)),IF(AND(BP131&gt;IFERROR(BP129,-9),BP131-IFERROR(BP129,-9)&lt;0.28261),BP129+0.28261,BP131),NA()))</f>
        <v>0</v>
      </c>
    </row>
    <row r="135" spans="1:68">
      <c r="A135" s="11" t="s">
        <v>333</v>
      </c>
      <c r="B135" s="11" t="s">
        <v>334</v>
      </c>
      <c r="C135" s="3" t="s">
        <v>144</v>
      </c>
      <c r="AQ135" s="5">
        <f>IF(AQ$93=0,NA(),IF(ISNUMBER(INDEX($D$108:$AD$108,AQ$93)),IF(ROUND(INDEX($D$108:$AD$108,AQ$93)/1000,1)&gt;0,0.5,NA()),NA()))</f>
        <v>0</v>
      </c>
      <c r="AR135" s="5">
        <f>IF(AR$93=0,NA(),IF(ISNUMBER(INDEX($D$108:$AD$108,AR$93)),IF(ROUND(INDEX($D$108:$AD$108,AR$93)/1000,1)&gt;0,0.5,NA()),NA()))</f>
        <v>0</v>
      </c>
      <c r="AS135" s="5">
        <f>IF(AS$93=0,NA(),IF(ISNUMBER(INDEX($D$108:$AD$108,AS$93)),IF(ROUND(INDEX($D$108:$AD$108,AS$93)/1000,1)&gt;0,0.5,NA()),NA()))</f>
        <v>0</v>
      </c>
      <c r="AT135" s="5">
        <f>IF(AT$93=0,NA(),IF(ISNUMBER(INDEX($D$108:$AD$108,AT$93)),IF(ROUND(INDEX($D$108:$AD$108,AT$93)/1000,1)&gt;0,0.5,NA()),NA()))</f>
        <v>0</v>
      </c>
      <c r="AU135" s="5">
        <f>IF(AU$93=0,NA(),IF(ISNUMBER(INDEX($D$108:$AD$108,AU$93)),IF(ROUND(INDEX($D$108:$AD$108,AU$93)/1000,1)&gt;0,0.5,NA()),NA()))</f>
        <v>0</v>
      </c>
      <c r="AV135" s="5">
        <f>IF(AV$93=0,NA(),IF(ISNUMBER(INDEX($D$108:$AD$108,AV$93)),IF(ROUND(INDEX($D$108:$AD$108,AV$93)/1000,1)&gt;0,0.5,NA()),NA()))</f>
        <v>0</v>
      </c>
      <c r="AW135" s="5">
        <f>IF(AW$93=0,NA(),IF(ISNUMBER(INDEX($D$108:$AD$108,AW$93)),IF(ROUND(INDEX($D$108:$AD$108,AW$93)/1000,1)&gt;0,0.5,NA()),NA()))</f>
        <v>0</v>
      </c>
      <c r="AX135" s="5">
        <f>IF(AX$93=0,NA(),IF(ISNUMBER(INDEX($D$108:$AD$108,AX$93)),IF(ROUND(INDEX($D$108:$AD$108,AX$93)/1000,1)&gt;0,0.5,NA()),NA()))</f>
        <v>0</v>
      </c>
      <c r="AY135" s="5">
        <f>IF(AY$93=0,NA(),IF(ISNUMBER(INDEX($D$108:$AD$108,AY$93)),IF(ROUND(INDEX($D$108:$AD$108,AY$93)/1000,1)&gt;0,0.5,NA()),NA()))</f>
        <v>0</v>
      </c>
      <c r="AZ135" s="5">
        <f>IF(AZ$93=0,NA(),IF(ISNUMBER(INDEX($D$108:$AD$108,AZ$93)),IF(ROUND(INDEX($D$108:$AD$108,AZ$93)/1000,1)&gt;0,0.5,NA()),NA()))</f>
        <v>0</v>
      </c>
      <c r="BA135" s="5">
        <f>IF(BA$93=0,NA(),IF(ISNUMBER(INDEX($D$108:$AD$108,BA$93)),IF(ROUND(INDEX($D$108:$AD$108,BA$93)/1000,1)&gt;0,0.5,NA()),NA()))</f>
        <v>0</v>
      </c>
      <c r="BB135" s="5">
        <f>IF(BB$93=0,NA(),IF(ISNUMBER(INDEX($D$108:$AD$108,BB$93)),IF(ROUND(INDEX($D$108:$AD$108,BB$93)/1000,1)&gt;0,0.5,NA()),NA()))</f>
        <v>0</v>
      </c>
      <c r="BC135" s="5">
        <f>IF(BC$93=0,NA(),IF(ISNUMBER(INDEX($D$108:$AD$108,BC$93)),IF(ROUND(INDEX($D$108:$AD$108,BC$93)/1000,1)&gt;0,0.5,NA()),NA()))</f>
        <v>0</v>
      </c>
      <c r="BD135" s="5">
        <f>IF(BD$93=0,NA(),IF(ISNUMBER(INDEX($D$108:$AD$108,BD$93)),IF(ROUND(INDEX($D$108:$AD$108,BD$93)/1000,1)&gt;0,0.5,NA()),NA()))</f>
        <v>0</v>
      </c>
      <c r="BE135" s="5">
        <f>IF(BE$93=0,NA(),IF(ISNUMBER(INDEX($D$108:$AD$108,BE$93)),IF(ROUND(INDEX($D$108:$AD$108,BE$93)/1000,1)&gt;0,0.5,NA()),NA()))</f>
        <v>0</v>
      </c>
      <c r="BF135" s="5">
        <f>IF(BF$93=0,NA(),IF(ISNUMBER(INDEX($D$108:$AD$108,BF$93)),IF(ROUND(INDEX($D$108:$AD$108,BF$93)/1000,1)&gt;0,0.5,NA()),NA()))</f>
        <v>0</v>
      </c>
      <c r="BG135" s="5">
        <f>IF(BG$93=0,NA(),IF(ISNUMBER(INDEX($D$108:$AD$108,BG$93)),IF(ROUND(INDEX($D$108:$AD$108,BG$93)/1000,1)&gt;0,0.5,NA()),NA()))</f>
        <v>0</v>
      </c>
      <c r="BH135" s="5">
        <f>IF(BH$93=0,NA(),IF(ISNUMBER(INDEX($D$108:$AD$108,BH$93)),IF(ROUND(INDEX($D$108:$AD$108,BH$93)/1000,1)&gt;0,0.5,NA()),NA()))</f>
        <v>0</v>
      </c>
      <c r="BI135" s="5">
        <f>IF(BI$93=0,NA(),IF(ISNUMBER(INDEX($D$108:$AD$108,BI$93)),IF(ROUND(INDEX($D$108:$AD$108,BI$93)/1000,1)&gt;0,0.5,NA()),NA()))</f>
        <v>0</v>
      </c>
      <c r="BJ135" s="5">
        <f>IF(BJ$93=0,NA(),IF(ISNUMBER(INDEX($D$108:$AD$108,BJ$93)),IF(ROUND(INDEX($D$108:$AD$108,BJ$93)/1000,1)&gt;0,0.5,NA()),NA()))</f>
        <v>0</v>
      </c>
      <c r="BK135" s="5">
        <f>IF(BK$93=0,NA(),IF(ISNUMBER(INDEX($D$108:$AD$108,BK$93)),IF(ROUND(INDEX($D$108:$AD$108,BK$93)/1000,1)&gt;0,0.5,NA()),NA()))</f>
        <v>0</v>
      </c>
      <c r="BL135" s="5">
        <f>IF(BL$93=0,NA(),IF(ISNUMBER(INDEX($D$108:$AD$108,BL$93)),IF(ROUND(INDEX($D$108:$AD$108,BL$93)/1000,1)&gt;0,0.5,NA()),NA()))</f>
        <v>0</v>
      </c>
      <c r="BM135" s="5">
        <f>IF(BM$93=0,NA(),IF(ISNUMBER(INDEX($D$108:$AD$108,BM$93)),IF(ROUND(INDEX($D$108:$AD$108,BM$93)/1000,1)&gt;0,0.5,NA()),NA()))</f>
        <v>0</v>
      </c>
      <c r="BN135" s="5">
        <f>IF(BN$93=0,NA(),IF(ISNUMBER(INDEX($D$108:$AD$108,BN$93)),IF(ROUND(INDEX($D$108:$AD$108,BN$93)/1000,1)&gt;0,0.5,NA()),NA()))</f>
        <v>0</v>
      </c>
      <c r="BO135" s="5">
        <f>IF(BO$93=0,NA(),IF(ISNUMBER(INDEX($D$108:$AD$108,BO$93)),IF(ROUND(INDEX($D$108:$AD$108,BO$93)/1000,1)&gt;0,0.5,NA()),NA()))</f>
        <v>0</v>
      </c>
      <c r="BP135" s="5">
        <f>IF(BP$93=0,NA(),IF(ISNUMBER(INDEX($D$108:$AD$108,BP$93)),IF(ROUND(INDEX($D$108:$AD$108,BP$93)/1000,1)&gt;0,0.5,NA()),NA()))</f>
        <v>0</v>
      </c>
    </row>
    <row r="136" spans="1:68">
      <c r="A136" s="11" t="s">
        <v>335</v>
      </c>
      <c r="B136" s="11" t="s">
        <v>336</v>
      </c>
      <c r="C136" s="3" t="s">
        <v>144</v>
      </c>
      <c r="AQ136" s="5">
        <f>IF(AQ$93=0,NA(),IF(ISNUMBER(INDEX($D$108:$AD$108,AQ$93)),IF(ROUND(INDEX($D$108:$AD$108,AQ$93)/1000,1)&lt;0,0.5,NA()),NA()))</f>
        <v>0</v>
      </c>
      <c r="AR136" s="5">
        <f>IF(AR$93=0,NA(),IF(ISNUMBER(INDEX($D$108:$AD$108,AR$93)),IF(ROUND(INDEX($D$108:$AD$108,AR$93)/1000,1)&lt;0,0.5,NA()),NA()))</f>
        <v>0</v>
      </c>
      <c r="AS136" s="5">
        <f>IF(AS$93=0,NA(),IF(ISNUMBER(INDEX($D$108:$AD$108,AS$93)),IF(ROUND(INDEX($D$108:$AD$108,AS$93)/1000,1)&lt;0,0.5,NA()),NA()))</f>
        <v>0</v>
      </c>
      <c r="AT136" s="5">
        <f>IF(AT$93=0,NA(),IF(ISNUMBER(INDEX($D$108:$AD$108,AT$93)),IF(ROUND(INDEX($D$108:$AD$108,AT$93)/1000,1)&lt;0,0.5,NA()),NA()))</f>
        <v>0</v>
      </c>
      <c r="AU136" s="5">
        <f>IF(AU$93=0,NA(),IF(ISNUMBER(INDEX($D$108:$AD$108,AU$93)),IF(ROUND(INDEX($D$108:$AD$108,AU$93)/1000,1)&lt;0,0.5,NA()),NA()))</f>
        <v>0</v>
      </c>
      <c r="AV136" s="5">
        <f>IF(AV$93=0,NA(),IF(ISNUMBER(INDEX($D$108:$AD$108,AV$93)),IF(ROUND(INDEX($D$108:$AD$108,AV$93)/1000,1)&lt;0,0.5,NA()),NA()))</f>
        <v>0</v>
      </c>
      <c r="AW136" s="5">
        <f>IF(AW$93=0,NA(),IF(ISNUMBER(INDEX($D$108:$AD$108,AW$93)),IF(ROUND(INDEX($D$108:$AD$108,AW$93)/1000,1)&lt;0,0.5,NA()),NA()))</f>
        <v>0</v>
      </c>
      <c r="AX136" s="5">
        <f>IF(AX$93=0,NA(),IF(ISNUMBER(INDEX($D$108:$AD$108,AX$93)),IF(ROUND(INDEX($D$108:$AD$108,AX$93)/1000,1)&lt;0,0.5,NA()),NA()))</f>
        <v>0</v>
      </c>
      <c r="AY136" s="5">
        <f>IF(AY$93=0,NA(),IF(ISNUMBER(INDEX($D$108:$AD$108,AY$93)),IF(ROUND(INDEX($D$108:$AD$108,AY$93)/1000,1)&lt;0,0.5,NA()),NA()))</f>
        <v>0</v>
      </c>
      <c r="AZ136" s="5">
        <f>IF(AZ$93=0,NA(),IF(ISNUMBER(INDEX($D$108:$AD$108,AZ$93)),IF(ROUND(INDEX($D$108:$AD$108,AZ$93)/1000,1)&lt;0,0.5,NA()),NA()))</f>
        <v>0</v>
      </c>
      <c r="BA136" s="5">
        <f>IF(BA$93=0,NA(),IF(ISNUMBER(INDEX($D$108:$AD$108,BA$93)),IF(ROUND(INDEX($D$108:$AD$108,BA$93)/1000,1)&lt;0,0.5,NA()),NA()))</f>
        <v>0</v>
      </c>
      <c r="BB136" s="5">
        <f>IF(BB$93=0,NA(),IF(ISNUMBER(INDEX($D$108:$AD$108,BB$93)),IF(ROUND(INDEX($D$108:$AD$108,BB$93)/1000,1)&lt;0,0.5,NA()),NA()))</f>
        <v>0</v>
      </c>
      <c r="BC136" s="5">
        <f>IF(BC$93=0,NA(),IF(ISNUMBER(INDEX($D$108:$AD$108,BC$93)),IF(ROUND(INDEX($D$108:$AD$108,BC$93)/1000,1)&lt;0,0.5,NA()),NA()))</f>
        <v>0</v>
      </c>
      <c r="BD136" s="5">
        <f>IF(BD$93=0,NA(),IF(ISNUMBER(INDEX($D$108:$AD$108,BD$93)),IF(ROUND(INDEX($D$108:$AD$108,BD$93)/1000,1)&lt;0,0.5,NA()),NA()))</f>
        <v>0</v>
      </c>
      <c r="BE136" s="5">
        <f>IF(BE$93=0,NA(),IF(ISNUMBER(INDEX($D$108:$AD$108,BE$93)),IF(ROUND(INDEX($D$108:$AD$108,BE$93)/1000,1)&lt;0,0.5,NA()),NA()))</f>
        <v>0</v>
      </c>
      <c r="BF136" s="5">
        <f>IF(BF$93=0,NA(),IF(ISNUMBER(INDEX($D$108:$AD$108,BF$93)),IF(ROUND(INDEX($D$108:$AD$108,BF$93)/1000,1)&lt;0,0.5,NA()),NA()))</f>
        <v>0</v>
      </c>
      <c r="BG136" s="5">
        <f>IF(BG$93=0,NA(),IF(ISNUMBER(INDEX($D$108:$AD$108,BG$93)),IF(ROUND(INDEX($D$108:$AD$108,BG$93)/1000,1)&lt;0,0.5,NA()),NA()))</f>
        <v>0</v>
      </c>
      <c r="BH136" s="5">
        <f>IF(BH$93=0,NA(),IF(ISNUMBER(INDEX($D$108:$AD$108,BH$93)),IF(ROUND(INDEX($D$108:$AD$108,BH$93)/1000,1)&lt;0,0.5,NA()),NA()))</f>
        <v>0</v>
      </c>
      <c r="BI136" s="5">
        <f>IF(BI$93=0,NA(),IF(ISNUMBER(INDEX($D$108:$AD$108,BI$93)),IF(ROUND(INDEX($D$108:$AD$108,BI$93)/1000,1)&lt;0,0.5,NA()),NA()))</f>
        <v>0</v>
      </c>
      <c r="BJ136" s="5">
        <f>IF(BJ$93=0,NA(),IF(ISNUMBER(INDEX($D$108:$AD$108,BJ$93)),IF(ROUND(INDEX($D$108:$AD$108,BJ$93)/1000,1)&lt;0,0.5,NA()),NA()))</f>
        <v>0</v>
      </c>
      <c r="BK136" s="5">
        <f>IF(BK$93=0,NA(),IF(ISNUMBER(INDEX($D$108:$AD$108,BK$93)),IF(ROUND(INDEX($D$108:$AD$108,BK$93)/1000,1)&lt;0,0.5,NA()),NA()))</f>
        <v>0</v>
      </c>
      <c r="BL136" s="5">
        <f>IF(BL$93=0,NA(),IF(ISNUMBER(INDEX($D$108:$AD$108,BL$93)),IF(ROUND(INDEX($D$108:$AD$108,BL$93)/1000,1)&lt;0,0.5,NA()),NA()))</f>
        <v>0</v>
      </c>
      <c r="BM136" s="5">
        <f>IF(BM$93=0,NA(),IF(ISNUMBER(INDEX($D$108:$AD$108,BM$93)),IF(ROUND(INDEX($D$108:$AD$108,BM$93)/1000,1)&lt;0,0.5,NA()),NA()))</f>
        <v>0</v>
      </c>
      <c r="BN136" s="5">
        <f>IF(BN$93=0,NA(),IF(ISNUMBER(INDEX($D$108:$AD$108,BN$93)),IF(ROUND(INDEX($D$108:$AD$108,BN$93)/1000,1)&lt;0,0.5,NA()),NA()))</f>
        <v>0</v>
      </c>
      <c r="BO136" s="5">
        <f>IF(BO$93=0,NA(),IF(ISNUMBER(INDEX($D$108:$AD$108,BO$93)),IF(ROUND(INDEX($D$108:$AD$108,BO$93)/1000,1)&lt;0,0.5,NA()),NA()))</f>
        <v>0</v>
      </c>
      <c r="BP136" s="5">
        <f>IF(BP$93=0,NA(),IF(ISNUMBER(INDEX($D$108:$AD$108,BP$93)),IF(ROUND(INDEX($D$108:$AD$108,BP$93)/1000,1)&lt;0,0.5,NA()),NA()))</f>
        <v>0</v>
      </c>
    </row>
    <row r="137" spans="1:68">
      <c r="A137" s="11" t="s">
        <v>337</v>
      </c>
      <c r="B137" s="11" t="s">
        <v>338</v>
      </c>
      <c r="C137" s="3" t="s">
        <v>144</v>
      </c>
      <c r="AQ137" s="5">
        <f>IF(AQ$93=0,NA(),IF(ISNUMBER(INDEX($D$108:$AD$108,AQ$93)),IF(ROUND(INDEX($D$108:$AD$108,AQ$93)/1000,1)=0,0.5,NA()),NA()))</f>
        <v>0</v>
      </c>
      <c r="AR137" s="5">
        <f>IF(AR$93=0,NA(),IF(ISNUMBER(INDEX($D$108:$AD$108,AR$93)),IF(ROUND(INDEX($D$108:$AD$108,AR$93)/1000,1)=0,0.5,NA()),NA()))</f>
        <v>0</v>
      </c>
      <c r="AS137" s="5">
        <f>IF(AS$93=0,NA(),IF(ISNUMBER(INDEX($D$108:$AD$108,AS$93)),IF(ROUND(INDEX($D$108:$AD$108,AS$93)/1000,1)=0,0.5,NA()),NA()))</f>
        <v>0</v>
      </c>
      <c r="AT137" s="5">
        <f>IF(AT$93=0,NA(),IF(ISNUMBER(INDEX($D$108:$AD$108,AT$93)),IF(ROUND(INDEX($D$108:$AD$108,AT$93)/1000,1)=0,0.5,NA()),NA()))</f>
        <v>0</v>
      </c>
      <c r="AU137" s="5">
        <f>IF(AU$93=0,NA(),IF(ISNUMBER(INDEX($D$108:$AD$108,AU$93)),IF(ROUND(INDEX($D$108:$AD$108,AU$93)/1000,1)=0,0.5,NA()),NA()))</f>
        <v>0</v>
      </c>
      <c r="AV137" s="5">
        <f>IF(AV$93=0,NA(),IF(ISNUMBER(INDEX($D$108:$AD$108,AV$93)),IF(ROUND(INDEX($D$108:$AD$108,AV$93)/1000,1)=0,0.5,NA()),NA()))</f>
        <v>0</v>
      </c>
      <c r="AW137" s="5">
        <f>IF(AW$93=0,NA(),IF(ISNUMBER(INDEX($D$108:$AD$108,AW$93)),IF(ROUND(INDEX($D$108:$AD$108,AW$93)/1000,1)=0,0.5,NA()),NA()))</f>
        <v>0</v>
      </c>
      <c r="AX137" s="5">
        <f>IF(AX$93=0,NA(),IF(ISNUMBER(INDEX($D$108:$AD$108,AX$93)),IF(ROUND(INDEX($D$108:$AD$108,AX$93)/1000,1)=0,0.5,NA()),NA()))</f>
        <v>0</v>
      </c>
      <c r="AY137" s="5">
        <f>IF(AY$93=0,NA(),IF(ISNUMBER(INDEX($D$108:$AD$108,AY$93)),IF(ROUND(INDEX($D$108:$AD$108,AY$93)/1000,1)=0,0.5,NA()),NA()))</f>
        <v>0</v>
      </c>
      <c r="AZ137" s="5">
        <f>IF(AZ$93=0,NA(),IF(ISNUMBER(INDEX($D$108:$AD$108,AZ$93)),IF(ROUND(INDEX($D$108:$AD$108,AZ$93)/1000,1)=0,0.5,NA()),NA()))</f>
        <v>0</v>
      </c>
      <c r="BA137" s="5">
        <f>IF(BA$93=0,NA(),IF(ISNUMBER(INDEX($D$108:$AD$108,BA$93)),IF(ROUND(INDEX($D$108:$AD$108,BA$93)/1000,1)=0,0.5,NA()),NA()))</f>
        <v>0</v>
      </c>
      <c r="BB137" s="5">
        <f>IF(BB$93=0,NA(),IF(ISNUMBER(INDEX($D$108:$AD$108,BB$93)),IF(ROUND(INDEX($D$108:$AD$108,BB$93)/1000,1)=0,0.5,NA()),NA()))</f>
        <v>0</v>
      </c>
      <c r="BC137" s="5">
        <f>IF(BC$93=0,NA(),IF(ISNUMBER(INDEX($D$108:$AD$108,BC$93)),IF(ROUND(INDEX($D$108:$AD$108,BC$93)/1000,1)=0,0.5,NA()),NA()))</f>
        <v>0</v>
      </c>
      <c r="BD137" s="5">
        <f>IF(BD$93=0,NA(),IF(ISNUMBER(INDEX($D$108:$AD$108,BD$93)),IF(ROUND(INDEX($D$108:$AD$108,BD$93)/1000,1)=0,0.5,NA()),NA()))</f>
        <v>0</v>
      </c>
      <c r="BE137" s="5">
        <f>IF(BE$93=0,NA(),IF(ISNUMBER(INDEX($D$108:$AD$108,BE$93)),IF(ROUND(INDEX($D$108:$AD$108,BE$93)/1000,1)=0,0.5,NA()),NA()))</f>
        <v>0</v>
      </c>
      <c r="BF137" s="5">
        <f>IF(BF$93=0,NA(),IF(ISNUMBER(INDEX($D$108:$AD$108,BF$93)),IF(ROUND(INDEX($D$108:$AD$108,BF$93)/1000,1)=0,0.5,NA()),NA()))</f>
        <v>0</v>
      </c>
      <c r="BG137" s="5">
        <f>IF(BG$93=0,NA(),IF(ISNUMBER(INDEX($D$108:$AD$108,BG$93)),IF(ROUND(INDEX($D$108:$AD$108,BG$93)/1000,1)=0,0.5,NA()),NA()))</f>
        <v>0</v>
      </c>
      <c r="BH137" s="5">
        <f>IF(BH$93=0,NA(),IF(ISNUMBER(INDEX($D$108:$AD$108,BH$93)),IF(ROUND(INDEX($D$108:$AD$108,BH$93)/1000,1)=0,0.5,NA()),NA()))</f>
        <v>0</v>
      </c>
      <c r="BI137" s="5">
        <f>IF(BI$93=0,NA(),IF(ISNUMBER(INDEX($D$108:$AD$108,BI$93)),IF(ROUND(INDEX($D$108:$AD$108,BI$93)/1000,1)=0,0.5,NA()),NA()))</f>
        <v>0</v>
      </c>
      <c r="BJ137" s="5">
        <f>IF(BJ$93=0,NA(),IF(ISNUMBER(INDEX($D$108:$AD$108,BJ$93)),IF(ROUND(INDEX($D$108:$AD$108,BJ$93)/1000,1)=0,0.5,NA()),NA()))</f>
        <v>0</v>
      </c>
      <c r="BK137" s="5">
        <f>IF(BK$93=0,NA(),IF(ISNUMBER(INDEX($D$108:$AD$108,BK$93)),IF(ROUND(INDEX($D$108:$AD$108,BK$93)/1000,1)=0,0.5,NA()),NA()))</f>
        <v>0</v>
      </c>
      <c r="BL137" s="5">
        <f>IF(BL$93=0,NA(),IF(ISNUMBER(INDEX($D$108:$AD$108,BL$93)),IF(ROUND(INDEX($D$108:$AD$108,BL$93)/1000,1)=0,0.5,NA()),NA()))</f>
        <v>0</v>
      </c>
      <c r="BM137" s="5">
        <f>IF(BM$93=0,NA(),IF(ISNUMBER(INDEX($D$108:$AD$108,BM$93)),IF(ROUND(INDEX($D$108:$AD$108,BM$93)/1000,1)=0,0.5,NA()),NA()))</f>
        <v>0</v>
      </c>
      <c r="BN137" s="5">
        <f>IF(BN$93=0,NA(),IF(ISNUMBER(INDEX($D$108:$AD$108,BN$93)),IF(ROUND(INDEX($D$108:$AD$108,BN$93)/1000,1)=0,0.5,NA()),NA()))</f>
        <v>0</v>
      </c>
      <c r="BO137" s="5">
        <f>IF(BO$93=0,NA(),IF(ISNUMBER(INDEX($D$108:$AD$108,BO$93)),IF(ROUND(INDEX($D$108:$AD$108,BO$93)/1000,1)=0,0.5,NA()),NA()))</f>
        <v>0</v>
      </c>
      <c r="BP137" s="5">
        <f>IF(BP$93=0,NA(),IF(ISNUMBER(INDEX($D$108:$AD$108,BP$93)),IF(ROUND(INDEX($D$108:$AD$108,BP$93)/1000,1)=0,0.5,NA()),NA()))</f>
        <v>0</v>
      </c>
    </row>
    <row r="138" spans="1:68">
      <c r="A138" s="11" t="s">
        <v>339</v>
      </c>
      <c r="B138" s="11" t="s">
        <v>340</v>
      </c>
      <c r="C138" s="3" t="s">
        <v>144</v>
      </c>
      <c r="AQ138" s="11">
        <f>IF(AQ$93=0,"",IF(ISNUMBER(INDEX($D$108:$AD$108,AQ$93)),IF(ROUND(INDEX($D$108:$AD$108,AQ$93)/1000,1)&gt;0,"+"&amp;FIXED(ROUND(INDEX($D$108:$AD$108,AQ$93)/1000,1),1),IF(ROUND(INDEX($D$108:$AD$108,AQ$93)/1000,1)&lt;0,"−"&amp;FIXED(-ROUND(INDEX($D$108:$AD$108,AQ$93)/1000,1),1),"±0")),""))</f>
        <v>0</v>
      </c>
      <c r="AR138" s="11">
        <f>IF(AR$93=0,"",IF(ISNUMBER(INDEX($D$108:$AD$108,AR$93)),IF(ROUND(INDEX($D$108:$AD$108,AR$93)/1000,1)&gt;0,"+"&amp;FIXED(ROUND(INDEX($D$108:$AD$108,AR$93)/1000,1),1),IF(ROUND(INDEX($D$108:$AD$108,AR$93)/1000,1)&lt;0,"−"&amp;FIXED(-ROUND(INDEX($D$108:$AD$108,AR$93)/1000,1),1),"±0")),""))</f>
        <v>0</v>
      </c>
      <c r="AS138" s="11">
        <f>IF(AS$93=0,"",IF(ISNUMBER(INDEX($D$108:$AD$108,AS$93)),IF(ROUND(INDEX($D$108:$AD$108,AS$93)/1000,1)&gt;0,"+"&amp;FIXED(ROUND(INDEX($D$108:$AD$108,AS$93)/1000,1),1),IF(ROUND(INDEX($D$108:$AD$108,AS$93)/1000,1)&lt;0,"−"&amp;FIXED(-ROUND(INDEX($D$108:$AD$108,AS$93)/1000,1),1),"±0")),""))</f>
        <v>0</v>
      </c>
      <c r="AT138" s="11">
        <f>IF(AT$93=0,"",IF(ISNUMBER(INDEX($D$108:$AD$108,AT$93)),IF(ROUND(INDEX($D$108:$AD$108,AT$93)/1000,1)&gt;0,"+"&amp;FIXED(ROUND(INDEX($D$108:$AD$108,AT$93)/1000,1),1),IF(ROUND(INDEX($D$108:$AD$108,AT$93)/1000,1)&lt;0,"−"&amp;FIXED(-ROUND(INDEX($D$108:$AD$108,AT$93)/1000,1),1),"±0")),""))</f>
        <v>0</v>
      </c>
      <c r="AU138" s="11">
        <f>IF(AU$93=0,"",IF(ISNUMBER(INDEX($D$108:$AD$108,AU$93)),IF(ROUND(INDEX($D$108:$AD$108,AU$93)/1000,1)&gt;0,"+"&amp;FIXED(ROUND(INDEX($D$108:$AD$108,AU$93)/1000,1),1),IF(ROUND(INDEX($D$108:$AD$108,AU$93)/1000,1)&lt;0,"−"&amp;FIXED(-ROUND(INDEX($D$108:$AD$108,AU$93)/1000,1),1),"±0")),""))</f>
        <v>0</v>
      </c>
      <c r="AV138" s="11">
        <f>IF(AV$93=0,"",IF(ISNUMBER(INDEX($D$108:$AD$108,AV$93)),IF(ROUND(INDEX($D$108:$AD$108,AV$93)/1000,1)&gt;0,"+"&amp;FIXED(ROUND(INDEX($D$108:$AD$108,AV$93)/1000,1),1),IF(ROUND(INDEX($D$108:$AD$108,AV$93)/1000,1)&lt;0,"−"&amp;FIXED(-ROUND(INDEX($D$108:$AD$108,AV$93)/1000,1),1),"±0")),""))</f>
        <v>0</v>
      </c>
      <c r="AW138" s="11">
        <f>IF(AW$93=0,"",IF(ISNUMBER(INDEX($D$108:$AD$108,AW$93)),IF(ROUND(INDEX($D$108:$AD$108,AW$93)/1000,1)&gt;0,"+"&amp;FIXED(ROUND(INDEX($D$108:$AD$108,AW$93)/1000,1),1),IF(ROUND(INDEX($D$108:$AD$108,AW$93)/1000,1)&lt;0,"−"&amp;FIXED(-ROUND(INDEX($D$108:$AD$108,AW$93)/1000,1),1),"±0")),""))</f>
        <v>0</v>
      </c>
      <c r="AX138" s="11">
        <f>IF(AX$93=0,"",IF(ISNUMBER(INDEX($D$108:$AD$108,AX$93)),IF(ROUND(INDEX($D$108:$AD$108,AX$93)/1000,1)&gt;0,"+"&amp;FIXED(ROUND(INDEX($D$108:$AD$108,AX$93)/1000,1),1),IF(ROUND(INDEX($D$108:$AD$108,AX$93)/1000,1)&lt;0,"−"&amp;FIXED(-ROUND(INDEX($D$108:$AD$108,AX$93)/1000,1),1),"±0")),""))</f>
        <v>0</v>
      </c>
      <c r="AY138" s="11">
        <f>IF(AY$93=0,"",IF(ISNUMBER(INDEX($D$108:$AD$108,AY$93)),IF(ROUND(INDEX($D$108:$AD$108,AY$93)/1000,1)&gt;0,"+"&amp;FIXED(ROUND(INDEX($D$108:$AD$108,AY$93)/1000,1),1),IF(ROUND(INDEX($D$108:$AD$108,AY$93)/1000,1)&lt;0,"−"&amp;FIXED(-ROUND(INDEX($D$108:$AD$108,AY$93)/1000,1),1),"±0")),""))</f>
        <v>0</v>
      </c>
      <c r="AZ138" s="11">
        <f>IF(AZ$93=0,"",IF(ISNUMBER(INDEX($D$108:$AD$108,AZ$93)),IF(ROUND(INDEX($D$108:$AD$108,AZ$93)/1000,1)&gt;0,"+"&amp;FIXED(ROUND(INDEX($D$108:$AD$108,AZ$93)/1000,1),1),IF(ROUND(INDEX($D$108:$AD$108,AZ$93)/1000,1)&lt;0,"−"&amp;FIXED(-ROUND(INDEX($D$108:$AD$108,AZ$93)/1000,1),1),"±0")),""))</f>
        <v>0</v>
      </c>
      <c r="BA138" s="11">
        <f>IF(BA$93=0,"",IF(ISNUMBER(INDEX($D$108:$AD$108,BA$93)),IF(ROUND(INDEX($D$108:$AD$108,BA$93)/1000,1)&gt;0,"+"&amp;FIXED(ROUND(INDEX($D$108:$AD$108,BA$93)/1000,1),1),IF(ROUND(INDEX($D$108:$AD$108,BA$93)/1000,1)&lt;0,"−"&amp;FIXED(-ROUND(INDEX($D$108:$AD$108,BA$93)/1000,1),1),"±0")),""))</f>
        <v>0</v>
      </c>
      <c r="BB138" s="11">
        <f>IF(BB$93=0,"",IF(ISNUMBER(INDEX($D$108:$AD$108,BB$93)),IF(ROUND(INDEX($D$108:$AD$108,BB$93)/1000,1)&gt;0,"+"&amp;FIXED(ROUND(INDEX($D$108:$AD$108,BB$93)/1000,1),1),IF(ROUND(INDEX($D$108:$AD$108,BB$93)/1000,1)&lt;0,"−"&amp;FIXED(-ROUND(INDEX($D$108:$AD$108,BB$93)/1000,1),1),"±0")),""))</f>
        <v>0</v>
      </c>
      <c r="BC138" s="11">
        <f>IF(BC$93=0,"",IF(ISNUMBER(INDEX($D$108:$AD$108,BC$93)),IF(ROUND(INDEX($D$108:$AD$108,BC$93)/1000,1)&gt;0,"+"&amp;FIXED(ROUND(INDEX($D$108:$AD$108,BC$93)/1000,1),1),IF(ROUND(INDEX($D$108:$AD$108,BC$93)/1000,1)&lt;0,"−"&amp;FIXED(-ROUND(INDEX($D$108:$AD$108,BC$93)/1000,1),1),"±0")),""))</f>
        <v>0</v>
      </c>
      <c r="BD138" s="11">
        <f>IF(BD$93=0,"",IF(ISNUMBER(INDEX($D$108:$AD$108,BD$93)),IF(ROUND(INDEX($D$108:$AD$108,BD$93)/1000,1)&gt;0,"+"&amp;FIXED(ROUND(INDEX($D$108:$AD$108,BD$93)/1000,1),1),IF(ROUND(INDEX($D$108:$AD$108,BD$93)/1000,1)&lt;0,"−"&amp;FIXED(-ROUND(INDEX($D$108:$AD$108,BD$93)/1000,1),1),"±0")),""))</f>
        <v>0</v>
      </c>
      <c r="BE138" s="11">
        <f>IF(BE$93=0,"",IF(ISNUMBER(INDEX($D$108:$AD$108,BE$93)),IF(ROUND(INDEX($D$108:$AD$108,BE$93)/1000,1)&gt;0,"+"&amp;FIXED(ROUND(INDEX($D$108:$AD$108,BE$93)/1000,1),1),IF(ROUND(INDEX($D$108:$AD$108,BE$93)/1000,1)&lt;0,"−"&amp;FIXED(-ROUND(INDEX($D$108:$AD$108,BE$93)/1000,1),1),"±0")),""))</f>
        <v>0</v>
      </c>
      <c r="BF138" s="11">
        <f>IF(BF$93=0,"",IF(ISNUMBER(INDEX($D$108:$AD$108,BF$93)),IF(ROUND(INDEX($D$108:$AD$108,BF$93)/1000,1)&gt;0,"+"&amp;FIXED(ROUND(INDEX($D$108:$AD$108,BF$93)/1000,1),1),IF(ROUND(INDEX($D$108:$AD$108,BF$93)/1000,1)&lt;0,"−"&amp;FIXED(-ROUND(INDEX($D$108:$AD$108,BF$93)/1000,1),1),"±0")),""))</f>
        <v>0</v>
      </c>
      <c r="BG138" s="11">
        <f>IF(BG$93=0,"",IF(ISNUMBER(INDEX($D$108:$AD$108,BG$93)),IF(ROUND(INDEX($D$108:$AD$108,BG$93)/1000,1)&gt;0,"+"&amp;FIXED(ROUND(INDEX($D$108:$AD$108,BG$93)/1000,1),1),IF(ROUND(INDEX($D$108:$AD$108,BG$93)/1000,1)&lt;0,"−"&amp;FIXED(-ROUND(INDEX($D$108:$AD$108,BG$93)/1000,1),1),"±0")),""))</f>
        <v>0</v>
      </c>
      <c r="BH138" s="11">
        <f>IF(BH$93=0,"",IF(ISNUMBER(INDEX($D$108:$AD$108,BH$93)),IF(ROUND(INDEX($D$108:$AD$108,BH$93)/1000,1)&gt;0,"+"&amp;FIXED(ROUND(INDEX($D$108:$AD$108,BH$93)/1000,1),1),IF(ROUND(INDEX($D$108:$AD$108,BH$93)/1000,1)&lt;0,"−"&amp;FIXED(-ROUND(INDEX($D$108:$AD$108,BH$93)/1000,1),1),"±0")),""))</f>
        <v>0</v>
      </c>
      <c r="BI138" s="11">
        <f>IF(BI$93=0,"",IF(ISNUMBER(INDEX($D$108:$AD$108,BI$93)),IF(ROUND(INDEX($D$108:$AD$108,BI$93)/1000,1)&gt;0,"+"&amp;FIXED(ROUND(INDEX($D$108:$AD$108,BI$93)/1000,1),1),IF(ROUND(INDEX($D$108:$AD$108,BI$93)/1000,1)&lt;0,"−"&amp;FIXED(-ROUND(INDEX($D$108:$AD$108,BI$93)/1000,1),1),"±0")),""))</f>
        <v>0</v>
      </c>
      <c r="BJ138" s="11">
        <f>IF(BJ$93=0,"",IF(ISNUMBER(INDEX($D$108:$AD$108,BJ$93)),IF(ROUND(INDEX($D$108:$AD$108,BJ$93)/1000,1)&gt;0,"+"&amp;FIXED(ROUND(INDEX($D$108:$AD$108,BJ$93)/1000,1),1),IF(ROUND(INDEX($D$108:$AD$108,BJ$93)/1000,1)&lt;0,"−"&amp;FIXED(-ROUND(INDEX($D$108:$AD$108,BJ$93)/1000,1),1),"±0")),""))</f>
        <v>0</v>
      </c>
      <c r="BK138" s="11">
        <f>IF(BK$93=0,"",IF(ISNUMBER(INDEX($D$108:$AD$108,BK$93)),IF(ROUND(INDEX($D$108:$AD$108,BK$93)/1000,1)&gt;0,"+"&amp;FIXED(ROUND(INDEX($D$108:$AD$108,BK$93)/1000,1),1),IF(ROUND(INDEX($D$108:$AD$108,BK$93)/1000,1)&lt;0,"−"&amp;FIXED(-ROUND(INDEX($D$108:$AD$108,BK$93)/1000,1),1),"±0")),""))</f>
        <v>0</v>
      </c>
      <c r="BL138" s="11">
        <f>IF(BL$93=0,"",IF(ISNUMBER(INDEX($D$108:$AD$108,BL$93)),IF(ROUND(INDEX($D$108:$AD$108,BL$93)/1000,1)&gt;0,"+"&amp;FIXED(ROUND(INDEX($D$108:$AD$108,BL$93)/1000,1),1),IF(ROUND(INDEX($D$108:$AD$108,BL$93)/1000,1)&lt;0,"−"&amp;FIXED(-ROUND(INDEX($D$108:$AD$108,BL$93)/1000,1),1),"±0")),""))</f>
        <v>0</v>
      </c>
      <c r="BM138" s="11">
        <f>IF(BM$93=0,"",IF(ISNUMBER(INDEX($D$108:$AD$108,BM$93)),IF(ROUND(INDEX($D$108:$AD$108,BM$93)/1000,1)&gt;0,"+"&amp;FIXED(ROUND(INDEX($D$108:$AD$108,BM$93)/1000,1),1),IF(ROUND(INDEX($D$108:$AD$108,BM$93)/1000,1)&lt;0,"−"&amp;FIXED(-ROUND(INDEX($D$108:$AD$108,BM$93)/1000,1),1),"±0")),""))</f>
        <v>0</v>
      </c>
      <c r="BN138" s="11">
        <f>IF(BN$93=0,"",IF(ISNUMBER(INDEX($D$108:$AD$108,BN$93)),IF(ROUND(INDEX($D$108:$AD$108,BN$93)/1000,1)&gt;0,"+"&amp;FIXED(ROUND(INDEX($D$108:$AD$108,BN$93)/1000,1),1),IF(ROUND(INDEX($D$108:$AD$108,BN$93)/1000,1)&lt;0,"−"&amp;FIXED(-ROUND(INDEX($D$108:$AD$108,BN$93)/1000,1),1),"±0")),""))</f>
        <v>0</v>
      </c>
      <c r="BO138" s="11">
        <f>IF(BO$93=0,"",IF(ISNUMBER(INDEX($D$108:$AD$108,BO$93)),IF(ROUND(INDEX($D$108:$AD$108,BO$93)/1000,1)&gt;0,"+"&amp;FIXED(ROUND(INDEX($D$108:$AD$108,BO$93)/1000,1),1),IF(ROUND(INDEX($D$108:$AD$108,BO$93)/1000,1)&lt;0,"−"&amp;FIXED(-ROUND(INDEX($D$108:$AD$108,BO$93)/1000,1),1),"±0")),""))</f>
        <v>0</v>
      </c>
      <c r="BP138" s="11">
        <f>IF(BP$93=0,"",IF(ISNUMBER(INDEX($D$108:$AD$108,BP$93)),IF(ROUND(INDEX($D$108:$AD$108,BP$93)/1000,1)&gt;0,"+"&amp;FIXED(ROUND(INDEX($D$108:$AD$108,BP$93)/1000,1),1),IF(ROUND(INDEX($D$108:$AD$108,BP$93)/1000,1)&lt;0,"−"&amp;FIXED(-ROUND(INDEX($D$108:$AD$108,BP$93)/1000,1),1),"±0")),""))</f>
        <v>0</v>
      </c>
    </row>
    <row r="139" spans="1:68">
      <c r="A139" s="11" t="s">
        <v>341</v>
      </c>
      <c r="B139" s="11" t="s">
        <v>342</v>
      </c>
      <c r="C139" s="3" t="s">
        <v>137</v>
      </c>
      <c r="D139" s="79">
        <f>IFERROR(D107/D56,NA())</f>
        <v>0</v>
      </c>
      <c r="E139" s="79">
        <f>IFERROR(E107/E56,NA())</f>
        <v>0</v>
      </c>
      <c r="F139" s="79">
        <f>IFERROR(F107/F56,NA())</f>
        <v>0</v>
      </c>
      <c r="G139" s="79">
        <f>IFERROR(G107/G56,NA())</f>
        <v>0</v>
      </c>
      <c r="H139" s="79">
        <f>IFERROR(H107/H56,NA())</f>
        <v>0</v>
      </c>
      <c r="I139" s="79">
        <f>IFERROR(I107/I56,NA())</f>
        <v>0</v>
      </c>
      <c r="J139" s="79">
        <f>IFERROR(J107/J56,NA())</f>
        <v>0</v>
      </c>
      <c r="K139" s="79">
        <f>IFERROR(K107/K56,NA())</f>
        <v>0</v>
      </c>
      <c r="L139" s="79">
        <f>IFERROR(L107/L56,NA())</f>
        <v>0</v>
      </c>
      <c r="M139" s="79">
        <f>IFERROR(M107/M56,NA())</f>
        <v>0</v>
      </c>
      <c r="N139" s="79">
        <f>IFERROR(N107/N56,NA())</f>
        <v>0</v>
      </c>
      <c r="O139" s="79">
        <f>IFERROR(O107/O56,NA())</f>
        <v>0</v>
      </c>
      <c r="P139" s="79">
        <f>IFERROR(P107/P56,NA())</f>
        <v>0</v>
      </c>
      <c r="Q139" s="79">
        <f>IFERROR(Q107/Q56,NA())</f>
        <v>0</v>
      </c>
      <c r="R139" s="79">
        <f>IFERROR(R107/R56,NA())</f>
        <v>0</v>
      </c>
      <c r="S139" s="79">
        <f>IFERROR(S107/S56,NA())</f>
        <v>0</v>
      </c>
      <c r="T139" s="79">
        <f>IFERROR(T107/T56,NA())</f>
        <v>0</v>
      </c>
      <c r="U139" s="79">
        <f>IFERROR(U107/U56,NA())</f>
        <v>0</v>
      </c>
      <c r="V139" s="79">
        <f>IFERROR(V107/V56,NA())</f>
        <v>0</v>
      </c>
      <c r="W139" s="79">
        <f>IFERROR(W107/W56,NA())</f>
        <v>0</v>
      </c>
      <c r="X139" s="79">
        <f>IFERROR(X107/X56,NA())</f>
        <v>0</v>
      </c>
      <c r="Y139" s="79">
        <f>IFERROR(Y107/Y56,NA())</f>
        <v>0</v>
      </c>
      <c r="Z139" s="79">
        <f>IFERROR(Z107/Z56,NA())</f>
        <v>0</v>
      </c>
      <c r="AA139" s="79">
        <f>IFERROR(AA107/AA56,NA())</f>
        <v>0</v>
      </c>
      <c r="AB139" s="79">
        <f>IFERROR(AB107/AB56,NA())</f>
        <v>0</v>
      </c>
      <c r="AC139" s="79">
        <f>IFERROR(AC107/AC56,NA())</f>
        <v>0</v>
      </c>
      <c r="AD139" s="79">
        <f>IFERROR(AD107/AD56,NA())</f>
        <v>0</v>
      </c>
    </row>
    <row r="140" spans="1:68">
      <c r="A140" s="11" t="s">
        <v>343</v>
      </c>
      <c r="B140" s="11" t="s">
        <v>344</v>
      </c>
      <c r="C140" s="3" t="s">
        <v>137</v>
      </c>
      <c r="D140" s="79">
        <f>IF(ISNUMBER(D7),D7/1000,NA())</f>
        <v>0</v>
      </c>
      <c r="E140" s="79">
        <f>IF(ISNUMBER(E7),E7/1000,NA())</f>
        <v>0</v>
      </c>
      <c r="F140" s="79">
        <f>IF(ISNUMBER(F7),F7/1000,NA())</f>
        <v>0</v>
      </c>
      <c r="G140" s="79">
        <f>IF(ISNUMBER(G7),G7/1000,NA())</f>
        <v>0</v>
      </c>
      <c r="H140" s="79">
        <f>IF(ISNUMBER(H7),H7/1000,NA())</f>
        <v>0</v>
      </c>
      <c r="I140" s="79">
        <f>IF(ISNUMBER(I7),I7/1000,NA())</f>
        <v>0</v>
      </c>
      <c r="J140" s="79">
        <f>IF(ISNUMBER(J7),J7/1000,NA())</f>
        <v>0</v>
      </c>
      <c r="K140" s="79">
        <f>IF(ISNUMBER(K7),K7/1000,NA())</f>
        <v>0</v>
      </c>
      <c r="L140" s="79">
        <f>IF(ISNUMBER(L7),L7/1000,NA())</f>
        <v>0</v>
      </c>
      <c r="M140" s="79">
        <f>IF(ISNUMBER(M7),M7/1000,NA())</f>
        <v>0</v>
      </c>
      <c r="N140" s="79">
        <f>IF(ISNUMBER(N7),N7/1000,NA())</f>
        <v>0</v>
      </c>
      <c r="O140" s="79">
        <f>IF(ISNUMBER(O7),O7/1000,NA())</f>
        <v>0</v>
      </c>
      <c r="P140" s="79">
        <f>IF(ISNUMBER(P7),P7/1000,NA())</f>
        <v>0</v>
      </c>
      <c r="Q140" s="79">
        <f>IF(ISNUMBER(Q7),Q7/1000,NA())</f>
        <v>0</v>
      </c>
      <c r="R140" s="79">
        <f>IF(ISNUMBER(R7),R7/1000,NA())</f>
        <v>0</v>
      </c>
      <c r="S140" s="79">
        <f>IF(ISNUMBER(S7),S7/1000,NA())</f>
        <v>0</v>
      </c>
      <c r="T140" s="79">
        <f>IF(ISNUMBER(T7),T7/1000,NA())</f>
        <v>0</v>
      </c>
      <c r="U140" s="79">
        <f>IF(ISNUMBER(U7),U7/1000,NA())</f>
        <v>0</v>
      </c>
      <c r="V140" s="79">
        <f>IF(ISNUMBER(V7),V7/1000,NA())</f>
        <v>0</v>
      </c>
      <c r="W140" s="79">
        <f>IF(ISNUMBER(W7),W7/1000,NA())</f>
        <v>0</v>
      </c>
      <c r="X140" s="79">
        <f>IF(ISNUMBER(X7),X7/1000,NA())</f>
        <v>0</v>
      </c>
      <c r="Y140" s="79">
        <f>IF(ISNUMBER(Y7),Y7/1000,NA())</f>
        <v>0</v>
      </c>
      <c r="Z140" s="79">
        <f>IF(ISNUMBER(Z7),Z7/1000,NA())</f>
        <v>0</v>
      </c>
      <c r="AA140" s="79">
        <f>IF(ISNUMBER(AA7),AA7/1000,NA())</f>
        <v>0</v>
      </c>
      <c r="AB140" s="79">
        <f>IF(ISNUMBER(AB7),AB7/1000,NA())</f>
        <v>0</v>
      </c>
      <c r="AC140" s="79">
        <f>IF(ISNUMBER(AC7),AC7/1000,NA())</f>
        <v>0</v>
      </c>
      <c r="AD140" s="79">
        <f>IF(ISNUMBER(AD7),AD7/1000,NA())</f>
        <v>0</v>
      </c>
    </row>
    <row r="141" spans="1:68">
      <c r="A141" s="11" t="s">
        <v>345</v>
      </c>
      <c r="B141" s="11" t="s">
        <v>346</v>
      </c>
      <c r="C141" s="3" t="s">
        <v>137</v>
      </c>
      <c r="D141" s="79">
        <f>IF(ISNUMBER(D16),D16/1000,NA())</f>
        <v>0</v>
      </c>
      <c r="E141" s="79">
        <f>IF(ISNUMBER(E16),E16/1000,NA())</f>
        <v>0</v>
      </c>
      <c r="F141" s="79">
        <f>IF(ISNUMBER(F16),F16/1000,NA())</f>
        <v>0</v>
      </c>
      <c r="G141" s="79">
        <f>IF(ISNUMBER(G16),G16/1000,NA())</f>
        <v>0</v>
      </c>
      <c r="H141" s="79">
        <f>IF(ISNUMBER(H16),H16/1000,NA())</f>
        <v>0</v>
      </c>
      <c r="I141" s="79">
        <f>IF(ISNUMBER(I16),I16/1000,NA())</f>
        <v>0</v>
      </c>
      <c r="J141" s="79">
        <f>IF(ISNUMBER(J16),J16/1000,NA())</f>
        <v>0</v>
      </c>
      <c r="K141" s="79">
        <f>IF(ISNUMBER(K16),K16/1000,NA())</f>
        <v>0</v>
      </c>
      <c r="L141" s="79">
        <f>IF(ISNUMBER(L16),L16/1000,NA())</f>
        <v>0</v>
      </c>
      <c r="M141" s="79">
        <f>IF(ISNUMBER(M16),M16/1000,NA())</f>
        <v>0</v>
      </c>
      <c r="N141" s="79">
        <f>IF(ISNUMBER(N16),N16/1000,NA())</f>
        <v>0</v>
      </c>
      <c r="O141" s="79">
        <f>IF(ISNUMBER(O16),O16/1000,NA())</f>
        <v>0</v>
      </c>
      <c r="P141" s="79">
        <f>IF(ISNUMBER(P16),P16/1000,NA())</f>
        <v>0</v>
      </c>
      <c r="Q141" s="79">
        <f>IF(ISNUMBER(Q16),Q16/1000,NA())</f>
        <v>0</v>
      </c>
      <c r="R141" s="79">
        <f>IF(ISNUMBER(R16),R16/1000,NA())</f>
        <v>0</v>
      </c>
      <c r="S141" s="79">
        <f>IF(ISNUMBER(S16),S16/1000,NA())</f>
        <v>0</v>
      </c>
      <c r="T141" s="79">
        <f>IF(ISNUMBER(T16),T16/1000,NA())</f>
        <v>0</v>
      </c>
      <c r="U141" s="79">
        <f>IF(ISNUMBER(U16),U16/1000,NA())</f>
        <v>0</v>
      </c>
      <c r="V141" s="79">
        <f>IF(ISNUMBER(V16),V16/1000,NA())</f>
        <v>0</v>
      </c>
      <c r="W141" s="79">
        <f>IF(ISNUMBER(W16),W16/1000,NA())</f>
        <v>0</v>
      </c>
      <c r="X141" s="79">
        <f>IF(ISNUMBER(X16),X16/1000,NA())</f>
        <v>0</v>
      </c>
      <c r="Y141" s="79">
        <f>IF(ISNUMBER(Y16),Y16/1000,NA())</f>
        <v>0</v>
      </c>
      <c r="Z141" s="79">
        <f>IF(ISNUMBER(Z16),Z16/1000,NA())</f>
        <v>0</v>
      </c>
      <c r="AA141" s="79">
        <f>IF(ISNUMBER(AA16),AA16/1000,NA())</f>
        <v>0</v>
      </c>
      <c r="AB141" s="79">
        <f>IF(ISNUMBER(AB16),AB16/1000,NA())</f>
        <v>0</v>
      </c>
      <c r="AC141" s="79">
        <f>IF(ISNUMBER(AC16),AC16/1000,NA())</f>
        <v>0</v>
      </c>
      <c r="AD141" s="79">
        <f>IF(ISNUMBER(AD16),AD16/1000,NA())</f>
        <v>0</v>
      </c>
    </row>
    <row r="142" spans="1:68">
      <c r="A142" s="11" t="s">
        <v>347</v>
      </c>
      <c r="B142" s="11" t="s">
        <v>348</v>
      </c>
      <c r="C142" s="3" t="s">
        <v>137</v>
      </c>
      <c r="D142" s="5">
        <f>IF(ISNUMBER(D17),1,NA())</f>
        <v>0</v>
      </c>
      <c r="E142" s="5">
        <f>IF(ISNUMBER(E17),1,NA())</f>
        <v>0</v>
      </c>
      <c r="F142" s="5">
        <f>IF(ISNUMBER(F17),1,NA())</f>
        <v>0</v>
      </c>
      <c r="G142" s="5">
        <f>IF(ISNUMBER(G17),1,NA())</f>
        <v>0</v>
      </c>
      <c r="H142" s="5">
        <f>IF(ISNUMBER(H17),1,NA())</f>
        <v>0</v>
      </c>
      <c r="I142" s="5">
        <f>IF(ISNUMBER(I17),1,NA())</f>
        <v>0</v>
      </c>
      <c r="J142" s="5">
        <f>IF(ISNUMBER(J17),1,NA())</f>
        <v>0</v>
      </c>
      <c r="K142" s="5">
        <f>IF(ISNUMBER(K17),1,NA())</f>
        <v>0</v>
      </c>
      <c r="L142" s="5">
        <f>IF(ISNUMBER(L17),1,NA())</f>
        <v>0</v>
      </c>
      <c r="M142" s="5">
        <f>IF(ISNUMBER(M17),1,NA())</f>
        <v>0</v>
      </c>
      <c r="N142" s="5">
        <f>IF(ISNUMBER(N17),1,NA())</f>
        <v>0</v>
      </c>
      <c r="O142" s="5">
        <f>IF(ISNUMBER(O17),1,NA())</f>
        <v>0</v>
      </c>
      <c r="P142" s="5">
        <f>IF(ISNUMBER(P17),1,NA())</f>
        <v>0</v>
      </c>
      <c r="Q142" s="5">
        <f>IF(ISNUMBER(Q17),1,NA())</f>
        <v>0</v>
      </c>
      <c r="R142" s="5">
        <f>IF(ISNUMBER(R17),1,NA())</f>
        <v>0</v>
      </c>
      <c r="S142" s="5">
        <f>IF(ISNUMBER(S17),1,NA())</f>
        <v>0</v>
      </c>
      <c r="T142" s="5">
        <f>IF(ISNUMBER(T17),1,NA())</f>
        <v>0</v>
      </c>
      <c r="U142" s="5">
        <f>IF(ISNUMBER(U17),1,NA())</f>
        <v>0</v>
      </c>
      <c r="V142" s="5">
        <f>IF(ISNUMBER(V17),1,NA())</f>
        <v>0</v>
      </c>
      <c r="W142" s="5">
        <f>IF(ISNUMBER(W17),1,NA())</f>
        <v>0</v>
      </c>
      <c r="X142" s="5">
        <f>IF(ISNUMBER(X17),1,NA())</f>
        <v>0</v>
      </c>
      <c r="Y142" s="5">
        <f>IF(ISNUMBER(Y17),1,NA())</f>
        <v>0</v>
      </c>
      <c r="Z142" s="5">
        <f>IF(ISNUMBER(Z17),1,NA())</f>
        <v>0</v>
      </c>
      <c r="AA142" s="5">
        <f>IF(ISNUMBER(AA17),1,NA())</f>
        <v>0</v>
      </c>
      <c r="AB142" s="5">
        <f>IF(ISNUMBER(AB17),1,NA())</f>
        <v>0</v>
      </c>
      <c r="AC142" s="5">
        <f>IF(ISNUMBER(AC17),1,NA())</f>
        <v>0</v>
      </c>
      <c r="AD142" s="5">
        <f>IF(ISNUMBER(AD17),1,NA())</f>
        <v>0</v>
      </c>
    </row>
    <row r="143" spans="1:68">
      <c r="A143" s="11" t="s">
        <v>349</v>
      </c>
      <c r="B143" s="11" t="s">
        <v>350</v>
      </c>
      <c r="C143" s="3" t="s">
        <v>137</v>
      </c>
      <c r="D143" s="11">
        <f>IF(ISNUMBER(D17),FIXED(D17,0),"")</f>
        <v>0</v>
      </c>
      <c r="E143" s="11">
        <f>IF(ISNUMBER(E17),FIXED(E17,0),"")</f>
        <v>0</v>
      </c>
      <c r="F143" s="11">
        <f>IF(ISNUMBER(F17),FIXED(F17,0),"")</f>
        <v>0</v>
      </c>
      <c r="G143" s="11">
        <f>IF(ISNUMBER(G17),FIXED(G17,0),"")</f>
        <v>0</v>
      </c>
      <c r="H143" s="11">
        <f>IF(ISNUMBER(H17),FIXED(H17,0),"")</f>
        <v>0</v>
      </c>
      <c r="I143" s="11">
        <f>IF(ISNUMBER(I17),FIXED(I17,0),"")</f>
        <v>0</v>
      </c>
      <c r="J143" s="11">
        <f>IF(ISNUMBER(J17),FIXED(J17,0),"")</f>
        <v>0</v>
      </c>
      <c r="K143" s="11">
        <f>IF(ISNUMBER(K17),FIXED(K17,0),"")</f>
        <v>0</v>
      </c>
      <c r="L143" s="11">
        <f>IF(ISNUMBER(L17),FIXED(L17,0),"")</f>
        <v>0</v>
      </c>
      <c r="M143" s="11">
        <f>IF(ISNUMBER(M17),FIXED(M17,0),"")</f>
        <v>0</v>
      </c>
      <c r="N143" s="11">
        <f>IF(ISNUMBER(N17),FIXED(N17,0),"")</f>
        <v>0</v>
      </c>
      <c r="O143" s="11">
        <f>IF(ISNUMBER(O17),FIXED(O17,0),"")</f>
        <v>0</v>
      </c>
      <c r="P143" s="11">
        <f>IF(ISNUMBER(P17),FIXED(P17,0),"")</f>
        <v>0</v>
      </c>
      <c r="Q143" s="11">
        <f>IF(ISNUMBER(Q17),FIXED(Q17,0),"")</f>
        <v>0</v>
      </c>
      <c r="R143" s="11">
        <f>IF(ISNUMBER(R17),FIXED(R17,0),"")</f>
        <v>0</v>
      </c>
      <c r="S143" s="11">
        <f>IF(ISNUMBER(S17),FIXED(S17,0),"")</f>
        <v>0</v>
      </c>
      <c r="T143" s="11">
        <f>IF(ISNUMBER(T17),FIXED(T17,0),"")</f>
        <v>0</v>
      </c>
      <c r="U143" s="11">
        <f>IF(ISNUMBER(U17),FIXED(U17,0),"")</f>
        <v>0</v>
      </c>
      <c r="V143" s="11">
        <f>IF(ISNUMBER(V17),FIXED(V17,0),"")</f>
        <v>0</v>
      </c>
      <c r="W143" s="11">
        <f>IF(ISNUMBER(W17),FIXED(W17,0),"")</f>
        <v>0</v>
      </c>
      <c r="X143" s="11">
        <f>IF(ISNUMBER(X17),FIXED(X17,0),"")</f>
        <v>0</v>
      </c>
      <c r="Y143" s="11">
        <f>IF(ISNUMBER(Y17),FIXED(Y17,0),"")</f>
        <v>0</v>
      </c>
      <c r="Z143" s="11">
        <f>IF(ISNUMBER(Z17),FIXED(Z17,0),"")</f>
        <v>0</v>
      </c>
      <c r="AA143" s="11">
        <f>IF(ISNUMBER(AA17),FIXED(AA17,0),"")</f>
        <v>0</v>
      </c>
      <c r="AB143" s="11">
        <f>IF(ISNUMBER(AB17),FIXED(AB17,0),"")</f>
        <v>0</v>
      </c>
      <c r="AC143" s="11">
        <f>IF(ISNUMBER(AC17),FIXED(AC17,0),"")</f>
        <v>0</v>
      </c>
      <c r="AD143" s="11">
        <f>IF(ISNUMBER(AD17),FIXED(AD17,0),"")</f>
        <v>0</v>
      </c>
    </row>
    <row r="144" spans="1:68">
      <c r="A144" s="11" t="s">
        <v>351</v>
      </c>
      <c r="B144" s="11" t="s">
        <v>352</v>
      </c>
      <c r="C144" s="3" t="s">
        <v>137</v>
      </c>
      <c r="D144" s="5">
        <f>IF(ISNUMBER(D18),1,NA())</f>
        <v>0</v>
      </c>
      <c r="E144" s="5">
        <f>IF(ISNUMBER(E18),1,NA())</f>
        <v>0</v>
      </c>
      <c r="F144" s="5">
        <f>IF(ISNUMBER(F18),1,NA())</f>
        <v>0</v>
      </c>
      <c r="G144" s="5">
        <f>IF(ISNUMBER(G18),1,NA())</f>
        <v>0</v>
      </c>
      <c r="H144" s="5">
        <f>IF(ISNUMBER(H18),1,NA())</f>
        <v>0</v>
      </c>
      <c r="I144" s="5">
        <f>IF(ISNUMBER(I18),1,NA())</f>
        <v>0</v>
      </c>
      <c r="J144" s="5">
        <f>IF(ISNUMBER(J18),1,NA())</f>
        <v>0</v>
      </c>
      <c r="K144" s="5">
        <f>IF(ISNUMBER(K18),1,NA())</f>
        <v>0</v>
      </c>
      <c r="L144" s="5">
        <f>IF(ISNUMBER(L18),1,NA())</f>
        <v>0</v>
      </c>
      <c r="M144" s="5">
        <f>IF(ISNUMBER(M18),1,NA())</f>
        <v>0</v>
      </c>
      <c r="N144" s="5">
        <f>IF(ISNUMBER(N18),1,NA())</f>
        <v>0</v>
      </c>
      <c r="O144" s="5">
        <f>IF(ISNUMBER(O18),1,NA())</f>
        <v>0</v>
      </c>
      <c r="P144" s="5">
        <f>IF(ISNUMBER(P18),1,NA())</f>
        <v>0</v>
      </c>
      <c r="Q144" s="5">
        <f>IF(ISNUMBER(Q18),1,NA())</f>
        <v>0</v>
      </c>
      <c r="R144" s="5">
        <f>IF(ISNUMBER(R18),1,NA())</f>
        <v>0</v>
      </c>
      <c r="S144" s="5">
        <f>IF(ISNUMBER(S18),1,NA())</f>
        <v>0</v>
      </c>
      <c r="T144" s="5">
        <f>IF(ISNUMBER(T18),1,NA())</f>
        <v>0</v>
      </c>
      <c r="U144" s="5">
        <f>IF(ISNUMBER(U18),1,NA())</f>
        <v>0</v>
      </c>
      <c r="V144" s="5">
        <f>IF(ISNUMBER(V18),1,NA())</f>
        <v>0</v>
      </c>
      <c r="W144" s="5">
        <f>IF(ISNUMBER(W18),1,NA())</f>
        <v>0</v>
      </c>
      <c r="X144" s="5">
        <f>IF(ISNUMBER(X18),1,NA())</f>
        <v>0</v>
      </c>
      <c r="Y144" s="5">
        <f>IF(ISNUMBER(Y18),1,NA())</f>
        <v>0</v>
      </c>
      <c r="Z144" s="5">
        <f>IF(ISNUMBER(Z18),1,NA())</f>
        <v>0</v>
      </c>
      <c r="AA144" s="5">
        <f>IF(ISNUMBER(AA18),1,NA())</f>
        <v>0</v>
      </c>
      <c r="AB144" s="5">
        <f>IF(ISNUMBER(AB18),1,NA())</f>
        <v>0</v>
      </c>
      <c r="AC144" s="5">
        <f>IF(ISNUMBER(AC18),1,NA())</f>
        <v>0</v>
      </c>
      <c r="AD144" s="5">
        <f>IF(ISNUMBER(AD18),1,NA())</f>
        <v>0</v>
      </c>
    </row>
    <row r="145" spans="1:41">
      <c r="A145" s="11" t="s">
        <v>353</v>
      </c>
      <c r="B145" s="11" t="s">
        <v>354</v>
      </c>
      <c r="C145" s="3" t="s">
        <v>137</v>
      </c>
      <c r="D145" s="11">
        <f>IF(ISNUMBER(D18),FIXED(D18,0),"")</f>
        <v>0</v>
      </c>
      <c r="E145" s="11">
        <f>IF(ISNUMBER(E18),FIXED(E18,0),"")</f>
        <v>0</v>
      </c>
      <c r="F145" s="11">
        <f>IF(ISNUMBER(F18),FIXED(F18,0),"")</f>
        <v>0</v>
      </c>
      <c r="G145" s="11">
        <f>IF(ISNUMBER(G18),FIXED(G18,0),"")</f>
        <v>0</v>
      </c>
      <c r="H145" s="11">
        <f>IF(ISNUMBER(H18),FIXED(H18,0),"")</f>
        <v>0</v>
      </c>
      <c r="I145" s="11">
        <f>IF(ISNUMBER(I18),FIXED(I18,0),"")</f>
        <v>0</v>
      </c>
      <c r="J145" s="11">
        <f>IF(ISNUMBER(J18),FIXED(J18,0),"")</f>
        <v>0</v>
      </c>
      <c r="K145" s="11">
        <f>IF(ISNUMBER(K18),FIXED(K18,0),"")</f>
        <v>0</v>
      </c>
      <c r="L145" s="11">
        <f>IF(ISNUMBER(L18),FIXED(L18,0),"")</f>
        <v>0</v>
      </c>
      <c r="M145" s="11">
        <f>IF(ISNUMBER(M18),FIXED(M18,0),"")</f>
        <v>0</v>
      </c>
      <c r="N145" s="11">
        <f>IF(ISNUMBER(N18),FIXED(N18,0),"")</f>
        <v>0</v>
      </c>
      <c r="O145" s="11">
        <f>IF(ISNUMBER(O18),FIXED(O18,0),"")</f>
        <v>0</v>
      </c>
      <c r="P145" s="11">
        <f>IF(ISNUMBER(P18),FIXED(P18,0),"")</f>
        <v>0</v>
      </c>
      <c r="Q145" s="11">
        <f>IF(ISNUMBER(Q18),FIXED(Q18,0),"")</f>
        <v>0</v>
      </c>
      <c r="R145" s="11">
        <f>IF(ISNUMBER(R18),FIXED(R18,0),"")</f>
        <v>0</v>
      </c>
      <c r="S145" s="11">
        <f>IF(ISNUMBER(S18),FIXED(S18,0),"")</f>
        <v>0</v>
      </c>
      <c r="T145" s="11">
        <f>IF(ISNUMBER(T18),FIXED(T18,0),"")</f>
        <v>0</v>
      </c>
      <c r="U145" s="11">
        <f>IF(ISNUMBER(U18),FIXED(U18,0),"")</f>
        <v>0</v>
      </c>
      <c r="V145" s="11">
        <f>IF(ISNUMBER(V18),FIXED(V18,0),"")</f>
        <v>0</v>
      </c>
      <c r="W145" s="11">
        <f>IF(ISNUMBER(W18),FIXED(W18,0),"")</f>
        <v>0</v>
      </c>
      <c r="X145" s="11">
        <f>IF(ISNUMBER(X18),FIXED(X18,0),"")</f>
        <v>0</v>
      </c>
      <c r="Y145" s="11">
        <f>IF(ISNUMBER(Y18),FIXED(Y18,0),"")</f>
        <v>0</v>
      </c>
      <c r="Z145" s="11">
        <f>IF(ISNUMBER(Z18),FIXED(Z18,0),"")</f>
        <v>0</v>
      </c>
      <c r="AA145" s="11">
        <f>IF(ISNUMBER(AA18),FIXED(AA18,0),"")</f>
        <v>0</v>
      </c>
      <c r="AB145" s="11">
        <f>IF(ISNUMBER(AB18),FIXED(AB18,0),"")</f>
        <v>0</v>
      </c>
      <c r="AC145" s="11">
        <f>IF(ISNUMBER(AC18),FIXED(AC18,0),"")</f>
        <v>0</v>
      </c>
      <c r="AD145" s="11">
        <f>IF(ISNUMBER(AD18),FIXED(AD18,0),"")</f>
        <v>0</v>
      </c>
    </row>
    <row r="146" spans="1:41">
      <c r="A146" s="11" t="s">
        <v>355</v>
      </c>
      <c r="B146" s="11" t="s">
        <v>356</v>
      </c>
      <c r="C146" s="3" t="s">
        <v>137</v>
      </c>
      <c r="D146" s="5">
        <f>IF(ISNUMBER(D19),1,NA())</f>
        <v>0</v>
      </c>
      <c r="E146" s="5">
        <f>IF(ISNUMBER(E19),1,NA())</f>
        <v>0</v>
      </c>
      <c r="F146" s="5">
        <f>IF(ISNUMBER(F19),1,NA())</f>
        <v>0</v>
      </c>
      <c r="G146" s="5">
        <f>IF(ISNUMBER(G19),1,NA())</f>
        <v>0</v>
      </c>
      <c r="H146" s="5">
        <f>IF(ISNUMBER(H19),1,NA())</f>
        <v>0</v>
      </c>
      <c r="I146" s="5">
        <f>IF(ISNUMBER(I19),1,NA())</f>
        <v>0</v>
      </c>
      <c r="J146" s="5">
        <f>IF(ISNUMBER(J19),1,NA())</f>
        <v>0</v>
      </c>
      <c r="K146" s="5">
        <f>IF(ISNUMBER(K19),1,NA())</f>
        <v>0</v>
      </c>
      <c r="L146" s="5">
        <f>IF(ISNUMBER(L19),1,NA())</f>
        <v>0</v>
      </c>
      <c r="M146" s="5">
        <f>IF(ISNUMBER(M19),1,NA())</f>
        <v>0</v>
      </c>
      <c r="N146" s="5">
        <f>IF(ISNUMBER(N19),1,NA())</f>
        <v>0</v>
      </c>
      <c r="O146" s="5">
        <f>IF(ISNUMBER(O19),1,NA())</f>
        <v>0</v>
      </c>
      <c r="P146" s="5">
        <f>IF(ISNUMBER(P19),1,NA())</f>
        <v>0</v>
      </c>
      <c r="Q146" s="5">
        <f>IF(ISNUMBER(Q19),1,NA())</f>
        <v>0</v>
      </c>
      <c r="R146" s="5">
        <f>IF(ISNUMBER(R19),1,NA())</f>
        <v>0</v>
      </c>
      <c r="S146" s="5">
        <f>IF(ISNUMBER(S19),1,NA())</f>
        <v>0</v>
      </c>
      <c r="T146" s="5">
        <f>IF(ISNUMBER(T19),1,NA())</f>
        <v>0</v>
      </c>
      <c r="U146" s="5">
        <f>IF(ISNUMBER(U19),1,NA())</f>
        <v>0</v>
      </c>
      <c r="V146" s="5">
        <f>IF(ISNUMBER(V19),1,NA())</f>
        <v>0</v>
      </c>
      <c r="W146" s="5">
        <f>IF(ISNUMBER(W19),1,NA())</f>
        <v>0</v>
      </c>
      <c r="X146" s="5">
        <f>IF(ISNUMBER(X19),1,NA())</f>
        <v>0</v>
      </c>
      <c r="Y146" s="5">
        <f>IF(ISNUMBER(Y19),1,NA())</f>
        <v>0</v>
      </c>
      <c r="Z146" s="5">
        <f>IF(ISNUMBER(Z19),1,NA())</f>
        <v>0</v>
      </c>
      <c r="AA146" s="5">
        <f>IF(ISNUMBER(AA19),1,NA())</f>
        <v>0</v>
      </c>
      <c r="AB146" s="5">
        <f>IF(ISNUMBER(AB19),1,NA())</f>
        <v>0</v>
      </c>
      <c r="AC146" s="5">
        <f>IF(ISNUMBER(AC19),1,NA())</f>
        <v>0</v>
      </c>
      <c r="AD146" s="5">
        <f>IF(ISNUMBER(AD19),1,NA())</f>
        <v>0</v>
      </c>
    </row>
    <row r="147" spans="1:41">
      <c r="A147" s="11" t="s">
        <v>357</v>
      </c>
      <c r="B147" s="11" t="s">
        <v>358</v>
      </c>
      <c r="C147" s="3" t="s">
        <v>137</v>
      </c>
      <c r="D147" s="11">
        <f>IF(ISNUMBER(D19),FIXED(D19,0),"")</f>
        <v>0</v>
      </c>
      <c r="E147" s="11">
        <f>IF(ISNUMBER(E19),FIXED(E19,0),"")</f>
        <v>0</v>
      </c>
      <c r="F147" s="11">
        <f>IF(ISNUMBER(F19),FIXED(F19,0),"")</f>
        <v>0</v>
      </c>
      <c r="G147" s="11">
        <f>IF(ISNUMBER(G19),FIXED(G19,0),"")</f>
        <v>0</v>
      </c>
      <c r="H147" s="11">
        <f>IF(ISNUMBER(H19),FIXED(H19,0),"")</f>
        <v>0</v>
      </c>
      <c r="I147" s="11">
        <f>IF(ISNUMBER(I19),FIXED(I19,0),"")</f>
        <v>0</v>
      </c>
      <c r="J147" s="11">
        <f>IF(ISNUMBER(J19),FIXED(J19,0),"")</f>
        <v>0</v>
      </c>
      <c r="K147" s="11">
        <f>IF(ISNUMBER(K19),FIXED(K19,0),"")</f>
        <v>0</v>
      </c>
      <c r="L147" s="11">
        <f>IF(ISNUMBER(L19),FIXED(L19,0),"")</f>
        <v>0</v>
      </c>
      <c r="M147" s="11">
        <f>IF(ISNUMBER(M19),FIXED(M19,0),"")</f>
        <v>0</v>
      </c>
      <c r="N147" s="11">
        <f>IF(ISNUMBER(N19),FIXED(N19,0),"")</f>
        <v>0</v>
      </c>
      <c r="O147" s="11">
        <f>IF(ISNUMBER(O19),FIXED(O19,0),"")</f>
        <v>0</v>
      </c>
      <c r="P147" s="11">
        <f>IF(ISNUMBER(P19),FIXED(P19,0),"")</f>
        <v>0</v>
      </c>
      <c r="Q147" s="11">
        <f>IF(ISNUMBER(Q19),FIXED(Q19,0),"")</f>
        <v>0</v>
      </c>
      <c r="R147" s="11">
        <f>IF(ISNUMBER(R19),FIXED(R19,0),"")</f>
        <v>0</v>
      </c>
      <c r="S147" s="11">
        <f>IF(ISNUMBER(S19),FIXED(S19,0),"")</f>
        <v>0</v>
      </c>
      <c r="T147" s="11">
        <f>IF(ISNUMBER(T19),FIXED(T19,0),"")</f>
        <v>0</v>
      </c>
      <c r="U147" s="11">
        <f>IF(ISNUMBER(U19),FIXED(U19,0),"")</f>
        <v>0</v>
      </c>
      <c r="V147" s="11">
        <f>IF(ISNUMBER(V19),FIXED(V19,0),"")</f>
        <v>0</v>
      </c>
      <c r="W147" s="11">
        <f>IF(ISNUMBER(W19),FIXED(W19,0),"")</f>
        <v>0</v>
      </c>
      <c r="X147" s="11">
        <f>IF(ISNUMBER(X19),FIXED(X19,0),"")</f>
        <v>0</v>
      </c>
      <c r="Y147" s="11">
        <f>IF(ISNUMBER(Y19),FIXED(Y19,0),"")</f>
        <v>0</v>
      </c>
      <c r="Z147" s="11">
        <f>IF(ISNUMBER(Z19),FIXED(Z19,0),"")</f>
        <v>0</v>
      </c>
      <c r="AA147" s="11">
        <f>IF(ISNUMBER(AA19),FIXED(AA19,0),"")</f>
        <v>0</v>
      </c>
      <c r="AB147" s="11">
        <f>IF(ISNUMBER(AB19),FIXED(AB19,0),"")</f>
        <v>0</v>
      </c>
      <c r="AC147" s="11">
        <f>IF(ISNUMBER(AC19),FIXED(AC19,0),"")</f>
        <v>0</v>
      </c>
      <c r="AD147" s="11">
        <f>IF(ISNUMBER(AD19),FIXED(AD19,0),"")</f>
        <v>0</v>
      </c>
    </row>
    <row r="148" spans="1:41">
      <c r="A148" s="11" t="s">
        <v>359</v>
      </c>
      <c r="B148" s="11" t="s">
        <v>360</v>
      </c>
      <c r="C148" s="3" t="s">
        <v>137</v>
      </c>
      <c r="D148" s="5">
        <f>IF(COUNT(D21,D22,D23)=0,NA(),SUM(D21,D22,D23))</f>
        <v>0</v>
      </c>
      <c r="E148" s="5">
        <f>IF(COUNT(E21,E22,E23)=0,NA(),SUM(E21,E22,E23))</f>
        <v>0</v>
      </c>
      <c r="F148" s="5">
        <f>IF(COUNT(F21,F22,F23)=0,NA(),SUM(F21,F22,F23))</f>
        <v>0</v>
      </c>
      <c r="G148" s="5">
        <f>IF(COUNT(G21,G22,G23)=0,NA(),SUM(G21,G22,G23))</f>
        <v>0</v>
      </c>
      <c r="H148" s="5">
        <f>IF(COUNT(H21,H22,H23)=0,NA(),SUM(H21,H22,H23))</f>
        <v>0</v>
      </c>
      <c r="I148" s="5">
        <f>IF(COUNT(I21,I22,I23)=0,NA(),SUM(I21,I22,I23))</f>
        <v>0</v>
      </c>
      <c r="J148" s="5">
        <f>IF(COUNT(J21,J22,J23)=0,NA(),SUM(J21,J22,J23))</f>
        <v>0</v>
      </c>
      <c r="K148" s="5">
        <f>IF(COUNT(K21,K22,K23)=0,NA(),SUM(K21,K22,K23))</f>
        <v>0</v>
      </c>
      <c r="L148" s="5">
        <f>IF(COUNT(L21,L22,L23)=0,NA(),SUM(L21,L22,L23))</f>
        <v>0</v>
      </c>
      <c r="M148" s="5">
        <f>IF(COUNT(M21,M22,M23)=0,NA(),SUM(M21,M22,M23))</f>
        <v>0</v>
      </c>
      <c r="N148" s="5">
        <f>IF(COUNT(N21,N22,N23)=0,NA(),SUM(N21,N22,N23))</f>
        <v>0</v>
      </c>
      <c r="O148" s="5">
        <f>IF(COUNT(O21,O22,O23)=0,NA(),SUM(O21,O22,O23))</f>
        <v>0</v>
      </c>
      <c r="P148" s="5">
        <f>IF(COUNT(P21,P22,P23)=0,NA(),SUM(P21,P22,P23))</f>
        <v>0</v>
      </c>
      <c r="Q148" s="5">
        <f>IF(COUNT(Q21,Q22,Q23)=0,NA(),SUM(Q21,Q22,Q23))</f>
        <v>0</v>
      </c>
      <c r="R148" s="5">
        <f>IF(COUNT(R21,R22,R23)=0,NA(),SUM(R21,R22,R23))</f>
        <v>0</v>
      </c>
      <c r="S148" s="5">
        <f>IF(COUNT(S21,S22,S23)=0,NA(),SUM(S21,S22,S23))</f>
        <v>0</v>
      </c>
      <c r="T148" s="5">
        <f>IF(COUNT(T21,T22,T23)=0,NA(),SUM(T21,T22,T23))</f>
        <v>0</v>
      </c>
      <c r="U148" s="5">
        <f>IF(COUNT(U21,U22,U23)=0,NA(),SUM(U21,U22,U23))</f>
        <v>0</v>
      </c>
      <c r="V148" s="5">
        <f>IF(COUNT(V21,V22,V23)=0,NA(),SUM(V21,V22,V23))</f>
        <v>0</v>
      </c>
      <c r="W148" s="5">
        <f>IF(COUNT(W21,W22,W23)=0,NA(),SUM(W21,W22,W23))</f>
        <v>0</v>
      </c>
      <c r="X148" s="5">
        <f>IF(COUNT(X21,X22,X23)=0,NA(),SUM(X21,X22,X23))</f>
        <v>0</v>
      </c>
      <c r="Y148" s="5">
        <f>IF(COUNT(Y21,Y22,Y23)=0,NA(),SUM(Y21,Y22,Y23))</f>
        <v>0</v>
      </c>
      <c r="Z148" s="5">
        <f>IF(COUNT(Z21,Z22,Z23)=0,NA(),SUM(Z21,Z22,Z23))</f>
        <v>0</v>
      </c>
      <c r="AA148" s="5">
        <f>IF(COUNT(AA21,AA22,AA23)=0,NA(),SUM(AA21,AA22,AA23))</f>
        <v>0</v>
      </c>
      <c r="AB148" s="5">
        <f>IF(COUNT(AB21,AB22,AB23)=0,NA(),SUM(AB21,AB22,AB23))</f>
        <v>0</v>
      </c>
      <c r="AC148" s="5">
        <f>IF(COUNT(AC21,AC22,AC23)=0,NA(),SUM(AC21,AC22,AC23))</f>
        <v>0</v>
      </c>
      <c r="AD148" s="5">
        <f>IF(COUNT(AD21,AD22,AD23)=0,NA(),SUM(AD21,AD22,AD23))</f>
        <v>0</v>
      </c>
    </row>
    <row r="149" spans="1:41">
      <c r="A149" s="11" t="s">
        <v>361</v>
      </c>
      <c r="B149" s="11" t="s">
        <v>362</v>
      </c>
      <c r="C149" s="3" t="s">
        <v>137</v>
      </c>
      <c r="D149" s="11">
        <f>IF(ISNUMBER(D148),FIXED(D148,0),"")</f>
        <v>0</v>
      </c>
      <c r="E149" s="11">
        <f>IF(ISNUMBER(E148),FIXED(E148,0),"")</f>
        <v>0</v>
      </c>
      <c r="F149" s="11">
        <f>IF(ISNUMBER(F148),FIXED(F148,0),"")</f>
        <v>0</v>
      </c>
      <c r="G149" s="11">
        <f>IF(ISNUMBER(G148),FIXED(G148,0),"")</f>
        <v>0</v>
      </c>
      <c r="H149" s="11">
        <f>IF(ISNUMBER(H148),FIXED(H148,0),"")</f>
        <v>0</v>
      </c>
      <c r="I149" s="11">
        <f>IF(ISNUMBER(I148),FIXED(I148,0),"")</f>
        <v>0</v>
      </c>
      <c r="J149" s="11">
        <f>IF(ISNUMBER(J148),FIXED(J148,0),"")</f>
        <v>0</v>
      </c>
      <c r="K149" s="11">
        <f>IF(ISNUMBER(K148),FIXED(K148,0),"")</f>
        <v>0</v>
      </c>
      <c r="L149" s="11">
        <f>IF(ISNUMBER(L148),FIXED(L148,0),"")</f>
        <v>0</v>
      </c>
      <c r="M149" s="11">
        <f>IF(ISNUMBER(M148),FIXED(M148,0),"")</f>
        <v>0</v>
      </c>
      <c r="N149" s="11">
        <f>IF(ISNUMBER(N148),FIXED(N148,0),"")</f>
        <v>0</v>
      </c>
      <c r="O149" s="11">
        <f>IF(ISNUMBER(O148),FIXED(O148,0),"")</f>
        <v>0</v>
      </c>
      <c r="P149" s="11">
        <f>IF(ISNUMBER(P148),FIXED(P148,0),"")</f>
        <v>0</v>
      </c>
      <c r="Q149" s="11">
        <f>IF(ISNUMBER(Q148),FIXED(Q148,0),"")</f>
        <v>0</v>
      </c>
      <c r="R149" s="11">
        <f>IF(ISNUMBER(R148),FIXED(R148,0),"")</f>
        <v>0</v>
      </c>
      <c r="S149" s="11">
        <f>IF(ISNUMBER(S148),FIXED(S148,0),"")</f>
        <v>0</v>
      </c>
      <c r="T149" s="11">
        <f>IF(ISNUMBER(T148),FIXED(T148,0),"")</f>
        <v>0</v>
      </c>
      <c r="U149" s="11">
        <f>IF(ISNUMBER(U148),FIXED(U148,0),"")</f>
        <v>0</v>
      </c>
      <c r="V149" s="11">
        <f>IF(ISNUMBER(V148),FIXED(V148,0),"")</f>
        <v>0</v>
      </c>
      <c r="W149" s="11">
        <f>IF(ISNUMBER(W148),FIXED(W148,0),"")</f>
        <v>0</v>
      </c>
      <c r="X149" s="11">
        <f>IF(ISNUMBER(X148),FIXED(X148,0),"")</f>
        <v>0</v>
      </c>
      <c r="Y149" s="11">
        <f>IF(ISNUMBER(Y148),FIXED(Y148,0),"")</f>
        <v>0</v>
      </c>
      <c r="Z149" s="11">
        <f>IF(ISNUMBER(Z148),FIXED(Z148,0),"")</f>
        <v>0</v>
      </c>
      <c r="AA149" s="11">
        <f>IF(ISNUMBER(AA148),FIXED(AA148,0),"")</f>
        <v>0</v>
      </c>
      <c r="AB149" s="11">
        <f>IF(ISNUMBER(AB148),FIXED(AB148,0),"")</f>
        <v>0</v>
      </c>
      <c r="AC149" s="11">
        <f>IF(ISNUMBER(AC148),FIXED(AC148,0),"")</f>
        <v>0</v>
      </c>
      <c r="AD149" s="11">
        <f>IF(ISNUMBER(AD148),FIXED(AD148,0),"")</f>
        <v>0</v>
      </c>
    </row>
    <row r="150" spans="1:41">
      <c r="A150" s="11" t="s">
        <v>363</v>
      </c>
      <c r="B150" s="11" t="s">
        <v>364</v>
      </c>
      <c r="C150" s="3" t="s">
        <v>137</v>
      </c>
      <c r="D150" s="5">
        <f>IF(ISNUMBER(D148),D148+0.08*MAX(1,_xlfn.AGGREGATE(4,6,$D$148:$AD$148)),NA())</f>
        <v>0</v>
      </c>
      <c r="E150" s="5">
        <f>IF(ISNUMBER(E148),E148+0.08*MAX(1,_xlfn.AGGREGATE(4,6,$D$148:$AD$148)),NA())</f>
        <v>0</v>
      </c>
      <c r="F150" s="5">
        <f>IF(ISNUMBER(F148),F148+0.08*MAX(1,_xlfn.AGGREGATE(4,6,$D$148:$AD$148)),NA())</f>
        <v>0</v>
      </c>
      <c r="G150" s="5">
        <f>IF(ISNUMBER(G148),G148+0.08*MAX(1,_xlfn.AGGREGATE(4,6,$D$148:$AD$148)),NA())</f>
        <v>0</v>
      </c>
      <c r="H150" s="5">
        <f>IF(ISNUMBER(H148),H148+0.08*MAX(1,_xlfn.AGGREGATE(4,6,$D$148:$AD$148)),NA())</f>
        <v>0</v>
      </c>
      <c r="I150" s="5">
        <f>IF(ISNUMBER(I148),I148+0.08*MAX(1,_xlfn.AGGREGATE(4,6,$D$148:$AD$148)),NA())</f>
        <v>0</v>
      </c>
      <c r="J150" s="5">
        <f>IF(ISNUMBER(J148),J148+0.08*MAX(1,_xlfn.AGGREGATE(4,6,$D$148:$AD$148)),NA())</f>
        <v>0</v>
      </c>
      <c r="K150" s="5">
        <f>IF(ISNUMBER(K148),K148+0.08*MAX(1,_xlfn.AGGREGATE(4,6,$D$148:$AD$148)),NA())</f>
        <v>0</v>
      </c>
      <c r="L150" s="5">
        <f>IF(ISNUMBER(L148),L148+0.08*MAX(1,_xlfn.AGGREGATE(4,6,$D$148:$AD$148)),NA())</f>
        <v>0</v>
      </c>
      <c r="M150" s="5">
        <f>IF(ISNUMBER(M148),M148+0.08*MAX(1,_xlfn.AGGREGATE(4,6,$D$148:$AD$148)),NA())</f>
        <v>0</v>
      </c>
      <c r="N150" s="5">
        <f>IF(ISNUMBER(N148),N148+0.08*MAX(1,_xlfn.AGGREGATE(4,6,$D$148:$AD$148)),NA())</f>
        <v>0</v>
      </c>
      <c r="O150" s="5">
        <f>IF(ISNUMBER(O148),O148+0.08*MAX(1,_xlfn.AGGREGATE(4,6,$D$148:$AD$148)),NA())</f>
        <v>0</v>
      </c>
      <c r="P150" s="5">
        <f>IF(ISNUMBER(P148),P148+0.08*MAX(1,_xlfn.AGGREGATE(4,6,$D$148:$AD$148)),NA())</f>
        <v>0</v>
      </c>
      <c r="Q150" s="5">
        <f>IF(ISNUMBER(Q148),Q148+0.08*MAX(1,_xlfn.AGGREGATE(4,6,$D$148:$AD$148)),NA())</f>
        <v>0</v>
      </c>
      <c r="R150" s="5">
        <f>IF(ISNUMBER(R148),R148+0.08*MAX(1,_xlfn.AGGREGATE(4,6,$D$148:$AD$148)),NA())</f>
        <v>0</v>
      </c>
      <c r="S150" s="5">
        <f>IF(ISNUMBER(S148),S148+0.08*MAX(1,_xlfn.AGGREGATE(4,6,$D$148:$AD$148)),NA())</f>
        <v>0</v>
      </c>
      <c r="T150" s="5">
        <f>IF(ISNUMBER(T148),T148+0.08*MAX(1,_xlfn.AGGREGATE(4,6,$D$148:$AD$148)),NA())</f>
        <v>0</v>
      </c>
      <c r="U150" s="5">
        <f>IF(ISNUMBER(U148),U148+0.08*MAX(1,_xlfn.AGGREGATE(4,6,$D$148:$AD$148)),NA())</f>
        <v>0</v>
      </c>
      <c r="V150" s="5">
        <f>IF(ISNUMBER(V148),V148+0.08*MAX(1,_xlfn.AGGREGATE(4,6,$D$148:$AD$148)),NA())</f>
        <v>0</v>
      </c>
      <c r="W150" s="5">
        <f>IF(ISNUMBER(W148),W148+0.08*MAX(1,_xlfn.AGGREGATE(4,6,$D$148:$AD$148)),NA())</f>
        <v>0</v>
      </c>
      <c r="X150" s="5">
        <f>IF(ISNUMBER(X148),X148+0.08*MAX(1,_xlfn.AGGREGATE(4,6,$D$148:$AD$148)),NA())</f>
        <v>0</v>
      </c>
      <c r="Y150" s="5">
        <f>IF(ISNUMBER(Y148),Y148+0.08*MAX(1,_xlfn.AGGREGATE(4,6,$D$148:$AD$148)),NA())</f>
        <v>0</v>
      </c>
      <c r="Z150" s="5">
        <f>IF(ISNUMBER(Z148),Z148+0.08*MAX(1,_xlfn.AGGREGATE(4,6,$D$148:$AD$148)),NA())</f>
        <v>0</v>
      </c>
      <c r="AA150" s="5">
        <f>IF(ISNUMBER(AA148),AA148+0.08*MAX(1,_xlfn.AGGREGATE(4,6,$D$148:$AD$148)),NA())</f>
        <v>0</v>
      </c>
      <c r="AB150" s="5">
        <f>IF(ISNUMBER(AB148),AB148+0.08*MAX(1,_xlfn.AGGREGATE(4,6,$D$148:$AD$148)),NA())</f>
        <v>0</v>
      </c>
      <c r="AC150" s="5">
        <f>IF(ISNUMBER(AC148),AC148+0.08*MAX(1,_xlfn.AGGREGATE(4,6,$D$148:$AD$148)),NA())</f>
        <v>0</v>
      </c>
      <c r="AD150" s="5">
        <f>IF(ISNUMBER(AD148),AD148+0.08*MAX(1,_xlfn.AGGREGATE(4,6,$D$148:$AD$148)),NA())</f>
        <v>0</v>
      </c>
    </row>
    <row r="151" spans="1:41">
      <c r="A151" s="11" t="s">
        <v>365</v>
      </c>
      <c r="B151" s="11" t="s">
        <v>366</v>
      </c>
      <c r="C151" s="3" t="s">
        <v>137</v>
      </c>
      <c r="D151" s="5">
        <f>IF(COUNT(D27,D28,D29)=0,NA(),SUM(D27,D28,D29))</f>
        <v>0</v>
      </c>
      <c r="E151" s="5">
        <f>IF(COUNT(E27,E28,E29)=0,NA(),SUM(E27,E28,E29))</f>
        <v>0</v>
      </c>
      <c r="F151" s="5">
        <f>IF(COUNT(F27,F28,F29)=0,NA(),SUM(F27,F28,F29))</f>
        <v>0</v>
      </c>
      <c r="G151" s="5">
        <f>IF(COUNT(G27,G28,G29)=0,NA(),SUM(G27,G28,G29))</f>
        <v>0</v>
      </c>
      <c r="H151" s="5">
        <f>IF(COUNT(H27,H28,H29)=0,NA(),SUM(H27,H28,H29))</f>
        <v>0</v>
      </c>
      <c r="I151" s="5">
        <f>IF(COUNT(I27,I28,I29)=0,NA(),SUM(I27,I28,I29))</f>
        <v>0</v>
      </c>
      <c r="J151" s="5">
        <f>IF(COUNT(J27,J28,J29)=0,NA(),SUM(J27,J28,J29))</f>
        <v>0</v>
      </c>
      <c r="K151" s="5">
        <f>IF(COUNT(K27,K28,K29)=0,NA(),SUM(K27,K28,K29))</f>
        <v>0</v>
      </c>
      <c r="L151" s="5">
        <f>IF(COUNT(L27,L28,L29)=0,NA(),SUM(L27,L28,L29))</f>
        <v>0</v>
      </c>
      <c r="M151" s="5">
        <f>IF(COUNT(M27,M28,M29)=0,NA(),SUM(M27,M28,M29))</f>
        <v>0</v>
      </c>
      <c r="N151" s="5">
        <f>IF(COUNT(N27,N28,N29)=0,NA(),SUM(N27,N28,N29))</f>
        <v>0</v>
      </c>
      <c r="O151" s="5">
        <f>IF(COUNT(O27,O28,O29)=0,NA(),SUM(O27,O28,O29))</f>
        <v>0</v>
      </c>
      <c r="P151" s="5">
        <f>IF(COUNT(P27,P28,P29)=0,NA(),SUM(P27,P28,P29))</f>
        <v>0</v>
      </c>
      <c r="Q151" s="5">
        <f>IF(COUNT(Q27,Q28,Q29)=0,NA(),SUM(Q27,Q28,Q29))</f>
        <v>0</v>
      </c>
      <c r="R151" s="5">
        <f>IF(COUNT(R27,R28,R29)=0,NA(),SUM(R27,R28,R29))</f>
        <v>0</v>
      </c>
      <c r="S151" s="5">
        <f>IF(COUNT(S27,S28,S29)=0,NA(),SUM(S27,S28,S29))</f>
        <v>0</v>
      </c>
      <c r="T151" s="5">
        <f>IF(COUNT(T27,T28,T29)=0,NA(),SUM(T27,T28,T29))</f>
        <v>0</v>
      </c>
      <c r="U151" s="5">
        <f>IF(COUNT(U27,U28,U29)=0,NA(),SUM(U27,U28,U29))</f>
        <v>0</v>
      </c>
      <c r="V151" s="5">
        <f>IF(COUNT(V27,V28,V29)=0,NA(),SUM(V27,V28,V29))</f>
        <v>0</v>
      </c>
      <c r="W151" s="5">
        <f>IF(COUNT(W27,W28,W29)=0,NA(),SUM(W27,W28,W29))</f>
        <v>0</v>
      </c>
      <c r="X151" s="5">
        <f>IF(COUNT(X27,X28,X29)=0,NA(),SUM(X27,X28,X29))</f>
        <v>0</v>
      </c>
      <c r="Y151" s="5">
        <f>IF(COUNT(Y27,Y28,Y29)=0,NA(),SUM(Y27,Y28,Y29))</f>
        <v>0</v>
      </c>
      <c r="Z151" s="5">
        <f>IF(COUNT(Z27,Z28,Z29)=0,NA(),SUM(Z27,Z28,Z29))</f>
        <v>0</v>
      </c>
      <c r="AA151" s="5">
        <f>IF(COUNT(AA27,AA28,AA29)=0,NA(),SUM(AA27,AA28,AA29))</f>
        <v>0</v>
      </c>
      <c r="AB151" s="5">
        <f>IF(COUNT(AB27,AB28,AB29)=0,NA(),SUM(AB27,AB28,AB29))</f>
        <v>0</v>
      </c>
      <c r="AC151" s="5">
        <f>IF(COUNT(AC27,AC28,AC29)=0,NA(),SUM(AC27,AC28,AC29))</f>
        <v>0</v>
      </c>
      <c r="AD151" s="5">
        <f>IF(COUNT(AD27,AD28,AD29)=0,NA(),SUM(AD27,AD28,AD29))</f>
        <v>0</v>
      </c>
    </row>
    <row r="152" spans="1:41">
      <c r="A152" s="11" t="s">
        <v>367</v>
      </c>
      <c r="B152" s="11" t="s">
        <v>368</v>
      </c>
      <c r="C152" s="3" t="s">
        <v>137</v>
      </c>
      <c r="D152" s="11">
        <f>IF(ISNUMBER(D151),FIXED(D151,0),"")</f>
        <v>0</v>
      </c>
      <c r="E152" s="11">
        <f>IF(ISNUMBER(E151),FIXED(E151,0),"")</f>
        <v>0</v>
      </c>
      <c r="F152" s="11">
        <f>IF(ISNUMBER(F151),FIXED(F151,0),"")</f>
        <v>0</v>
      </c>
      <c r="G152" s="11">
        <f>IF(ISNUMBER(G151),FIXED(G151,0),"")</f>
        <v>0</v>
      </c>
      <c r="H152" s="11">
        <f>IF(ISNUMBER(H151),FIXED(H151,0),"")</f>
        <v>0</v>
      </c>
      <c r="I152" s="11">
        <f>IF(ISNUMBER(I151),FIXED(I151,0),"")</f>
        <v>0</v>
      </c>
      <c r="J152" s="11">
        <f>IF(ISNUMBER(J151),FIXED(J151,0),"")</f>
        <v>0</v>
      </c>
      <c r="K152" s="11">
        <f>IF(ISNUMBER(K151),FIXED(K151,0),"")</f>
        <v>0</v>
      </c>
      <c r="L152" s="11">
        <f>IF(ISNUMBER(L151),FIXED(L151,0),"")</f>
        <v>0</v>
      </c>
      <c r="M152" s="11">
        <f>IF(ISNUMBER(M151),FIXED(M151,0),"")</f>
        <v>0</v>
      </c>
      <c r="N152" s="11">
        <f>IF(ISNUMBER(N151),FIXED(N151,0),"")</f>
        <v>0</v>
      </c>
      <c r="O152" s="11">
        <f>IF(ISNUMBER(O151),FIXED(O151,0),"")</f>
        <v>0</v>
      </c>
      <c r="P152" s="11">
        <f>IF(ISNUMBER(P151),FIXED(P151,0),"")</f>
        <v>0</v>
      </c>
      <c r="Q152" s="11">
        <f>IF(ISNUMBER(Q151),FIXED(Q151,0),"")</f>
        <v>0</v>
      </c>
      <c r="R152" s="11">
        <f>IF(ISNUMBER(R151),FIXED(R151,0),"")</f>
        <v>0</v>
      </c>
      <c r="S152" s="11">
        <f>IF(ISNUMBER(S151),FIXED(S151,0),"")</f>
        <v>0</v>
      </c>
      <c r="T152" s="11">
        <f>IF(ISNUMBER(T151),FIXED(T151,0),"")</f>
        <v>0</v>
      </c>
      <c r="U152" s="11">
        <f>IF(ISNUMBER(U151),FIXED(U151,0),"")</f>
        <v>0</v>
      </c>
      <c r="V152" s="11">
        <f>IF(ISNUMBER(V151),FIXED(V151,0),"")</f>
        <v>0</v>
      </c>
      <c r="W152" s="11">
        <f>IF(ISNUMBER(W151),FIXED(W151,0),"")</f>
        <v>0</v>
      </c>
      <c r="X152" s="11">
        <f>IF(ISNUMBER(X151),FIXED(X151,0),"")</f>
        <v>0</v>
      </c>
      <c r="Y152" s="11">
        <f>IF(ISNUMBER(Y151),FIXED(Y151,0),"")</f>
        <v>0</v>
      </c>
      <c r="Z152" s="11">
        <f>IF(ISNUMBER(Z151),FIXED(Z151,0),"")</f>
        <v>0</v>
      </c>
      <c r="AA152" s="11">
        <f>IF(ISNUMBER(AA151),FIXED(AA151,0),"")</f>
        <v>0</v>
      </c>
      <c r="AB152" s="11">
        <f>IF(ISNUMBER(AB151),FIXED(AB151,0),"")</f>
        <v>0</v>
      </c>
      <c r="AC152" s="11">
        <f>IF(ISNUMBER(AC151),FIXED(AC151,0),"")</f>
        <v>0</v>
      </c>
      <c r="AD152" s="11">
        <f>IF(ISNUMBER(AD151),FIXED(AD151,0),"")</f>
        <v>0</v>
      </c>
    </row>
    <row r="153" spans="1:41">
      <c r="A153" s="11" t="s">
        <v>369</v>
      </c>
      <c r="B153" s="11" t="s">
        <v>370</v>
      </c>
      <c r="C153" s="3" t="s">
        <v>137</v>
      </c>
      <c r="D153" s="5">
        <f>IF(ISNUMBER(D151),D151+0.08*MAX(1,_xlfn.AGGREGATE(4,6,$D$151:$AD$151)),NA())</f>
        <v>0</v>
      </c>
      <c r="E153" s="5">
        <f>IF(ISNUMBER(E151),E151+0.08*MAX(1,_xlfn.AGGREGATE(4,6,$D$151:$AD$151)),NA())</f>
        <v>0</v>
      </c>
      <c r="F153" s="5">
        <f>IF(ISNUMBER(F151),F151+0.08*MAX(1,_xlfn.AGGREGATE(4,6,$D$151:$AD$151)),NA())</f>
        <v>0</v>
      </c>
      <c r="G153" s="5">
        <f>IF(ISNUMBER(G151),G151+0.08*MAX(1,_xlfn.AGGREGATE(4,6,$D$151:$AD$151)),NA())</f>
        <v>0</v>
      </c>
      <c r="H153" s="5">
        <f>IF(ISNUMBER(H151),H151+0.08*MAX(1,_xlfn.AGGREGATE(4,6,$D$151:$AD$151)),NA())</f>
        <v>0</v>
      </c>
      <c r="I153" s="5">
        <f>IF(ISNUMBER(I151),I151+0.08*MAX(1,_xlfn.AGGREGATE(4,6,$D$151:$AD$151)),NA())</f>
        <v>0</v>
      </c>
      <c r="J153" s="5">
        <f>IF(ISNUMBER(J151),J151+0.08*MAX(1,_xlfn.AGGREGATE(4,6,$D$151:$AD$151)),NA())</f>
        <v>0</v>
      </c>
      <c r="K153" s="5">
        <f>IF(ISNUMBER(K151),K151+0.08*MAX(1,_xlfn.AGGREGATE(4,6,$D$151:$AD$151)),NA())</f>
        <v>0</v>
      </c>
      <c r="L153" s="5">
        <f>IF(ISNUMBER(L151),L151+0.08*MAX(1,_xlfn.AGGREGATE(4,6,$D$151:$AD$151)),NA())</f>
        <v>0</v>
      </c>
      <c r="M153" s="5">
        <f>IF(ISNUMBER(M151),M151+0.08*MAX(1,_xlfn.AGGREGATE(4,6,$D$151:$AD$151)),NA())</f>
        <v>0</v>
      </c>
      <c r="N153" s="5">
        <f>IF(ISNUMBER(N151),N151+0.08*MAX(1,_xlfn.AGGREGATE(4,6,$D$151:$AD$151)),NA())</f>
        <v>0</v>
      </c>
      <c r="O153" s="5">
        <f>IF(ISNUMBER(O151),O151+0.08*MAX(1,_xlfn.AGGREGATE(4,6,$D$151:$AD$151)),NA())</f>
        <v>0</v>
      </c>
      <c r="P153" s="5">
        <f>IF(ISNUMBER(P151),P151+0.08*MAX(1,_xlfn.AGGREGATE(4,6,$D$151:$AD$151)),NA())</f>
        <v>0</v>
      </c>
      <c r="Q153" s="5">
        <f>IF(ISNUMBER(Q151),Q151+0.08*MAX(1,_xlfn.AGGREGATE(4,6,$D$151:$AD$151)),NA())</f>
        <v>0</v>
      </c>
      <c r="R153" s="5">
        <f>IF(ISNUMBER(R151),R151+0.08*MAX(1,_xlfn.AGGREGATE(4,6,$D$151:$AD$151)),NA())</f>
        <v>0</v>
      </c>
      <c r="S153" s="5">
        <f>IF(ISNUMBER(S151),S151+0.08*MAX(1,_xlfn.AGGREGATE(4,6,$D$151:$AD$151)),NA())</f>
        <v>0</v>
      </c>
      <c r="T153" s="5">
        <f>IF(ISNUMBER(T151),T151+0.08*MAX(1,_xlfn.AGGREGATE(4,6,$D$151:$AD$151)),NA())</f>
        <v>0</v>
      </c>
      <c r="U153" s="5">
        <f>IF(ISNUMBER(U151),U151+0.08*MAX(1,_xlfn.AGGREGATE(4,6,$D$151:$AD$151)),NA())</f>
        <v>0</v>
      </c>
      <c r="V153" s="5">
        <f>IF(ISNUMBER(V151),V151+0.08*MAX(1,_xlfn.AGGREGATE(4,6,$D$151:$AD$151)),NA())</f>
        <v>0</v>
      </c>
      <c r="W153" s="5">
        <f>IF(ISNUMBER(W151),W151+0.08*MAX(1,_xlfn.AGGREGATE(4,6,$D$151:$AD$151)),NA())</f>
        <v>0</v>
      </c>
      <c r="X153" s="5">
        <f>IF(ISNUMBER(X151),X151+0.08*MAX(1,_xlfn.AGGREGATE(4,6,$D$151:$AD$151)),NA())</f>
        <v>0</v>
      </c>
      <c r="Y153" s="5">
        <f>IF(ISNUMBER(Y151),Y151+0.08*MAX(1,_xlfn.AGGREGATE(4,6,$D$151:$AD$151)),NA())</f>
        <v>0</v>
      </c>
      <c r="Z153" s="5">
        <f>IF(ISNUMBER(Z151),Z151+0.08*MAX(1,_xlfn.AGGREGATE(4,6,$D$151:$AD$151)),NA())</f>
        <v>0</v>
      </c>
      <c r="AA153" s="5">
        <f>IF(ISNUMBER(AA151),AA151+0.08*MAX(1,_xlfn.AGGREGATE(4,6,$D$151:$AD$151)),NA())</f>
        <v>0</v>
      </c>
      <c r="AB153" s="5">
        <f>IF(ISNUMBER(AB151),AB151+0.08*MAX(1,_xlfn.AGGREGATE(4,6,$D$151:$AD$151)),NA())</f>
        <v>0</v>
      </c>
      <c r="AC153" s="5">
        <f>IF(ISNUMBER(AC151),AC151+0.08*MAX(1,_xlfn.AGGREGATE(4,6,$D$151:$AD$151)),NA())</f>
        <v>0</v>
      </c>
      <c r="AD153" s="5">
        <f>IF(ISNUMBER(AD151),AD151+0.08*MAX(1,_xlfn.AGGREGATE(4,6,$D$151:$AD$151)),NA())</f>
        <v>0</v>
      </c>
    </row>
    <row r="154" spans="1:41">
      <c r="A154" s="11" t="s">
        <v>371</v>
      </c>
      <c r="B154" s="11" t="s">
        <v>372</v>
      </c>
      <c r="C154" s="3" t="s">
        <v>137</v>
      </c>
      <c r="D154" s="5">
        <f>SLA_PV</f>
        <v>0</v>
      </c>
      <c r="E154" s="5">
        <f>SLA_PV</f>
        <v>0</v>
      </c>
      <c r="F154" s="5">
        <f>SLA_PV</f>
        <v>0</v>
      </c>
      <c r="G154" s="5">
        <f>SLA_PV</f>
        <v>0</v>
      </c>
      <c r="H154" s="5">
        <f>SLA_PV</f>
        <v>0</v>
      </c>
      <c r="I154" s="5">
        <f>SLA_PV</f>
        <v>0</v>
      </c>
      <c r="J154" s="5">
        <f>SLA_PV</f>
        <v>0</v>
      </c>
      <c r="K154" s="5">
        <f>SLA_PV</f>
        <v>0</v>
      </c>
      <c r="L154" s="5">
        <f>SLA_PV</f>
        <v>0</v>
      </c>
      <c r="M154" s="5">
        <f>SLA_PV</f>
        <v>0</v>
      </c>
      <c r="N154" s="5">
        <f>SLA_PV</f>
        <v>0</v>
      </c>
      <c r="O154" s="5">
        <f>SLA_PV</f>
        <v>0</v>
      </c>
      <c r="P154" s="5">
        <f>SLA_PV</f>
        <v>0</v>
      </c>
      <c r="Q154" s="5">
        <f>SLA_PV</f>
        <v>0</v>
      </c>
      <c r="R154" s="5">
        <f>SLA_PV</f>
        <v>0</v>
      </c>
      <c r="S154" s="5">
        <f>SLA_PV</f>
        <v>0</v>
      </c>
      <c r="T154" s="5">
        <f>SLA_PV</f>
        <v>0</v>
      </c>
      <c r="U154" s="5">
        <f>SLA_PV</f>
        <v>0</v>
      </c>
      <c r="V154" s="5">
        <f>SLA_PV</f>
        <v>0</v>
      </c>
      <c r="W154" s="5">
        <f>SLA_PV</f>
        <v>0</v>
      </c>
      <c r="X154" s="5">
        <f>SLA_PV</f>
        <v>0</v>
      </c>
      <c r="Y154" s="5">
        <f>SLA_PV</f>
        <v>0</v>
      </c>
      <c r="Z154" s="5">
        <f>SLA_PV</f>
        <v>0</v>
      </c>
      <c r="AA154" s="5">
        <f>SLA_PV</f>
        <v>0</v>
      </c>
      <c r="AB154" s="5">
        <f>SLA_PV</f>
        <v>0</v>
      </c>
      <c r="AC154" s="5">
        <f>SLA_PV</f>
        <v>0</v>
      </c>
      <c r="AD154" s="5">
        <f>SLA_PV</f>
        <v>0</v>
      </c>
    </row>
    <row r="155" spans="1:41">
      <c r="A155" s="11" t="s">
        <v>373</v>
      </c>
      <c r="B155" s="11" t="s">
        <v>374</v>
      </c>
      <c r="C155" s="3" t="str">
        <f>"Rohdaten Z. "&amp;ROW(Rohdaten!$A$167)</f>
        <v>Rohdaten Z. 167</v>
      </c>
      <c r="AF155" s="5">
        <f>IFERROR(IF(ISNUMBER(INDEX(Rohdaten!$A$167:$LJ$167,MATCH(AF$4,Rohdaten!$A$165:$LJ$165,0))),INDEX(Rohdaten!$A$167:$LJ$167,MATCH(AF$4,Rohdaten!$A$165:$LJ$165,0)),NA()),NA())</f>
        <v>0</v>
      </c>
      <c r="AG155" s="5">
        <f>IFERROR(IF(ISNUMBER(INDEX(Rohdaten!$A$167:$LJ$167,MATCH(AG$4,Rohdaten!$A$165:$LJ$165,0))),INDEX(Rohdaten!$A$167:$LJ$167,MATCH(AG$4,Rohdaten!$A$165:$LJ$165,0)),NA()),NA())</f>
        <v>0</v>
      </c>
      <c r="AH155" s="5">
        <f>IFERROR(IF(ISNUMBER(INDEX(Rohdaten!$A$167:$LJ$167,MATCH(AH$4,Rohdaten!$A$165:$LJ$165,0))),INDEX(Rohdaten!$A$167:$LJ$167,MATCH(AH$4,Rohdaten!$A$165:$LJ$165,0)),NA()),NA())</f>
        <v>0</v>
      </c>
      <c r="AI155" s="5">
        <f>IFERROR(IF(ISNUMBER(INDEX(Rohdaten!$A$167:$LJ$167,MATCH(AI$4,Rohdaten!$A$165:$LJ$165,0))),INDEX(Rohdaten!$A$167:$LJ$167,MATCH(AI$4,Rohdaten!$A$165:$LJ$165,0)),NA()),NA())</f>
        <v>0</v>
      </c>
      <c r="AJ155" s="5">
        <f>IFERROR(IF(ISNUMBER(INDEX(Rohdaten!$A$167:$LJ$167,MATCH(AJ$4,Rohdaten!$A$165:$LJ$165,0))),INDEX(Rohdaten!$A$167:$LJ$167,MATCH(AJ$4,Rohdaten!$A$165:$LJ$165,0)),NA()),NA())</f>
        <v>0</v>
      </c>
      <c r="AK155" s="5">
        <f>IFERROR(IF(ISNUMBER(INDEX(Rohdaten!$A$167:$LJ$167,MATCH(AK$4,Rohdaten!$A$165:$LJ$165,0))),INDEX(Rohdaten!$A$167:$LJ$167,MATCH(AK$4,Rohdaten!$A$165:$LJ$165,0)),NA()),NA())</f>
        <v>0</v>
      </c>
      <c r="AL155" s="5">
        <f>IFERROR(IF(ISNUMBER(INDEX(Rohdaten!$A$167:$LJ$167,MATCH(AL$4,Rohdaten!$A$165:$LJ$165,0))),INDEX(Rohdaten!$A$167:$LJ$167,MATCH(AL$4,Rohdaten!$A$165:$LJ$165,0)),NA()),NA())</f>
        <v>0</v>
      </c>
      <c r="AM155" s="5">
        <f>IFERROR(IF(ISNUMBER(INDEX(Rohdaten!$A$167:$LJ$167,MATCH(AM$4,Rohdaten!$A$165:$LJ$165,0))),INDEX(Rohdaten!$A$167:$LJ$167,MATCH(AM$4,Rohdaten!$A$165:$LJ$165,0)),NA()),NA())</f>
        <v>0</v>
      </c>
      <c r="AN155" s="5">
        <f>IFERROR(IF(ISNUMBER(INDEX(Rohdaten!$A$167:$LJ$167,MATCH(AN$4,Rohdaten!$A$165:$LJ$165,0))),INDEX(Rohdaten!$A$167:$LJ$167,MATCH(AN$4,Rohdaten!$A$165:$LJ$165,0)),NA()),NA())</f>
        <v>0</v>
      </c>
      <c r="AO155" s="5">
        <f>IFERROR(IF(ISNUMBER(INDEX(Rohdaten!$A$167:$LJ$167,MATCH(AO$4,Rohdaten!$A$165:$LJ$165,0))),INDEX(Rohdaten!$A$167:$LJ$167,MATCH(AO$4,Rohdaten!$A$165:$LJ$165,0)),NA()),NA())</f>
        <v>0</v>
      </c>
    </row>
    <row r="156" spans="1:41">
      <c r="A156" s="11" t="s">
        <v>375</v>
      </c>
      <c r="B156" s="11" t="s">
        <v>376</v>
      </c>
      <c r="C156" s="3" t="str">
        <f>"Rohdaten Z. "&amp;ROW(Rohdaten!$A$168)</f>
        <v>Rohdaten Z. 168</v>
      </c>
      <c r="AF156" s="5">
        <f>IFERROR(IF(ISNUMBER(INDEX(Rohdaten!$A$168:$LJ$168,MATCH(AF$4,Rohdaten!$A$165:$LJ$165,0))),INDEX(Rohdaten!$A$168:$LJ$168,MATCH(AF$4,Rohdaten!$A$165:$LJ$165,0)),NA()),NA())</f>
        <v>0</v>
      </c>
      <c r="AG156" s="5">
        <f>IFERROR(IF(ISNUMBER(INDEX(Rohdaten!$A$168:$LJ$168,MATCH(AG$4,Rohdaten!$A$165:$LJ$165,0))),INDEX(Rohdaten!$A$168:$LJ$168,MATCH(AG$4,Rohdaten!$A$165:$LJ$165,0)),NA()),NA())</f>
        <v>0</v>
      </c>
      <c r="AH156" s="5">
        <f>IFERROR(IF(ISNUMBER(INDEX(Rohdaten!$A$168:$LJ$168,MATCH(AH$4,Rohdaten!$A$165:$LJ$165,0))),INDEX(Rohdaten!$A$168:$LJ$168,MATCH(AH$4,Rohdaten!$A$165:$LJ$165,0)),NA()),NA())</f>
        <v>0</v>
      </c>
      <c r="AI156" s="5">
        <f>IFERROR(IF(ISNUMBER(INDEX(Rohdaten!$A$168:$LJ$168,MATCH(AI$4,Rohdaten!$A$165:$LJ$165,0))),INDEX(Rohdaten!$A$168:$LJ$168,MATCH(AI$4,Rohdaten!$A$165:$LJ$165,0)),NA()),NA())</f>
        <v>0</v>
      </c>
      <c r="AJ156" s="5">
        <f>IFERROR(IF(ISNUMBER(INDEX(Rohdaten!$A$168:$LJ$168,MATCH(AJ$4,Rohdaten!$A$165:$LJ$165,0))),INDEX(Rohdaten!$A$168:$LJ$168,MATCH(AJ$4,Rohdaten!$A$165:$LJ$165,0)),NA()),NA())</f>
        <v>0</v>
      </c>
      <c r="AK156" s="5">
        <f>IFERROR(IF(ISNUMBER(INDEX(Rohdaten!$A$168:$LJ$168,MATCH(AK$4,Rohdaten!$A$165:$LJ$165,0))),INDEX(Rohdaten!$A$168:$LJ$168,MATCH(AK$4,Rohdaten!$A$165:$LJ$165,0)),NA()),NA())</f>
        <v>0</v>
      </c>
      <c r="AL156" s="5">
        <f>IFERROR(IF(ISNUMBER(INDEX(Rohdaten!$A$168:$LJ$168,MATCH(AL$4,Rohdaten!$A$165:$LJ$165,0))),INDEX(Rohdaten!$A$168:$LJ$168,MATCH(AL$4,Rohdaten!$A$165:$LJ$165,0)),NA()),NA())</f>
        <v>0</v>
      </c>
      <c r="AM156" s="5">
        <f>IFERROR(IF(ISNUMBER(INDEX(Rohdaten!$A$168:$LJ$168,MATCH(AM$4,Rohdaten!$A$165:$LJ$165,0))),INDEX(Rohdaten!$A$168:$LJ$168,MATCH(AM$4,Rohdaten!$A$165:$LJ$165,0)),NA()),NA())</f>
        <v>0</v>
      </c>
      <c r="AN156" s="5">
        <f>IFERROR(IF(ISNUMBER(INDEX(Rohdaten!$A$168:$LJ$168,MATCH(AN$4,Rohdaten!$A$165:$LJ$165,0))),INDEX(Rohdaten!$A$168:$LJ$168,MATCH(AN$4,Rohdaten!$A$165:$LJ$165,0)),NA()),NA())</f>
        <v>0</v>
      </c>
      <c r="AO156" s="5">
        <f>IFERROR(IF(ISNUMBER(INDEX(Rohdaten!$A$168:$LJ$168,MATCH(AO$4,Rohdaten!$A$165:$LJ$165,0))),INDEX(Rohdaten!$A$168:$LJ$168,MATCH(AO$4,Rohdaten!$A$165:$LJ$165,0)),NA()),NA())</f>
        <v>0</v>
      </c>
    </row>
    <row r="157" spans="1:41">
      <c r="A157" s="11" t="s">
        <v>377</v>
      </c>
      <c r="B157" s="11" t="s">
        <v>378</v>
      </c>
      <c r="C157" s="3" t="str">
        <f>"Rohdaten Z. "&amp;ROW(Rohdaten!$A$169)</f>
        <v>Rohdaten Z. 169</v>
      </c>
      <c r="AF157" s="79">
        <f>IFERROR(IF(ISNUMBER(INDEX(Rohdaten!$A$169:$LJ$169,MATCH(AF$4,Rohdaten!$A$165:$LJ$165,0))),INDEX(Rohdaten!$A$169:$LJ$169,MATCH(AF$4,Rohdaten!$A$165:$LJ$165,0)),INDEX(Rohdaten!$A$169:$LJ$169,MATCH(AF$4,Rohdaten!$A$165:$LJ$165,0))&amp;""),NA())</f>
        <v>0</v>
      </c>
      <c r="AG157" s="79">
        <f>IFERROR(IF(ISNUMBER(INDEX(Rohdaten!$A$169:$LJ$169,MATCH(AG$4,Rohdaten!$A$165:$LJ$165,0))),INDEX(Rohdaten!$A$169:$LJ$169,MATCH(AG$4,Rohdaten!$A$165:$LJ$165,0)),INDEX(Rohdaten!$A$169:$LJ$169,MATCH(AG$4,Rohdaten!$A$165:$LJ$165,0))&amp;""),NA())</f>
        <v>0</v>
      </c>
      <c r="AH157" s="79">
        <f>IFERROR(IF(ISNUMBER(INDEX(Rohdaten!$A$169:$LJ$169,MATCH(AH$4,Rohdaten!$A$165:$LJ$165,0))),INDEX(Rohdaten!$A$169:$LJ$169,MATCH(AH$4,Rohdaten!$A$165:$LJ$165,0)),INDEX(Rohdaten!$A$169:$LJ$169,MATCH(AH$4,Rohdaten!$A$165:$LJ$165,0))&amp;""),NA())</f>
        <v>0</v>
      </c>
      <c r="AI157" s="79">
        <f>IFERROR(IF(ISNUMBER(INDEX(Rohdaten!$A$169:$LJ$169,MATCH(AI$4,Rohdaten!$A$165:$LJ$165,0))),INDEX(Rohdaten!$A$169:$LJ$169,MATCH(AI$4,Rohdaten!$A$165:$LJ$165,0)),INDEX(Rohdaten!$A$169:$LJ$169,MATCH(AI$4,Rohdaten!$A$165:$LJ$165,0))&amp;""),NA())</f>
        <v>0</v>
      </c>
      <c r="AJ157" s="79">
        <f>IFERROR(IF(ISNUMBER(INDEX(Rohdaten!$A$169:$LJ$169,MATCH(AJ$4,Rohdaten!$A$165:$LJ$165,0))),INDEX(Rohdaten!$A$169:$LJ$169,MATCH(AJ$4,Rohdaten!$A$165:$LJ$165,0)),INDEX(Rohdaten!$A$169:$LJ$169,MATCH(AJ$4,Rohdaten!$A$165:$LJ$165,0))&amp;""),NA())</f>
        <v>0</v>
      </c>
      <c r="AK157" s="79">
        <f>IFERROR(IF(ISNUMBER(INDEX(Rohdaten!$A$169:$LJ$169,MATCH(AK$4,Rohdaten!$A$165:$LJ$165,0))),INDEX(Rohdaten!$A$169:$LJ$169,MATCH(AK$4,Rohdaten!$A$165:$LJ$165,0)),INDEX(Rohdaten!$A$169:$LJ$169,MATCH(AK$4,Rohdaten!$A$165:$LJ$165,0))&amp;""),NA())</f>
        <v>0</v>
      </c>
      <c r="AL157" s="79">
        <f>IFERROR(IF(ISNUMBER(INDEX(Rohdaten!$A$169:$LJ$169,MATCH(AL$4,Rohdaten!$A$165:$LJ$165,0))),INDEX(Rohdaten!$A$169:$LJ$169,MATCH(AL$4,Rohdaten!$A$165:$LJ$165,0)),INDEX(Rohdaten!$A$169:$LJ$169,MATCH(AL$4,Rohdaten!$A$165:$LJ$165,0))&amp;""),NA())</f>
        <v>0</v>
      </c>
      <c r="AM157" s="79">
        <f>IFERROR(IF(ISNUMBER(INDEX(Rohdaten!$A$169:$LJ$169,MATCH(AM$4,Rohdaten!$A$165:$LJ$165,0))),INDEX(Rohdaten!$A$169:$LJ$169,MATCH(AM$4,Rohdaten!$A$165:$LJ$165,0)),INDEX(Rohdaten!$A$169:$LJ$169,MATCH(AM$4,Rohdaten!$A$165:$LJ$165,0))&amp;""),NA())</f>
        <v>0</v>
      </c>
      <c r="AN157" s="79">
        <f>IFERROR(IF(ISNUMBER(INDEX(Rohdaten!$A$169:$LJ$169,MATCH(AN$4,Rohdaten!$A$165:$LJ$165,0))),INDEX(Rohdaten!$A$169:$LJ$169,MATCH(AN$4,Rohdaten!$A$165:$LJ$165,0)),INDEX(Rohdaten!$A$169:$LJ$169,MATCH(AN$4,Rohdaten!$A$165:$LJ$165,0))&amp;""),NA())</f>
        <v>0</v>
      </c>
      <c r="AO157" s="79">
        <f>IFERROR(IF(ISNUMBER(INDEX(Rohdaten!$A$169:$LJ$169,MATCH(AO$4,Rohdaten!$A$165:$LJ$165,0))),INDEX(Rohdaten!$A$169:$LJ$169,MATCH(AO$4,Rohdaten!$A$165:$LJ$165,0)),INDEX(Rohdaten!$A$169:$LJ$169,MATCH(AO$4,Rohdaten!$A$165:$LJ$165,0))&amp;""),NA())</f>
        <v>0</v>
      </c>
    </row>
    <row r="158" spans="1:41">
      <c r="A158" s="11" t="s">
        <v>379</v>
      </c>
      <c r="B158" s="11" t="s">
        <v>380</v>
      </c>
      <c r="C158" s="3" t="s">
        <v>137</v>
      </c>
      <c r="AF158" s="79">
        <f>IFERROR(IF(ISNUMBER(AF157),AF157,IF(AF157="",NA(),_xlfn.NUMBERVALUE(TRIM(SUBSTITUTE(AF157,"%","")),",","."))),NA())</f>
        <v>0</v>
      </c>
      <c r="AG158" s="79">
        <f>IFERROR(IF(ISNUMBER(AG157),AG157,IF(AG157="",NA(),_xlfn.NUMBERVALUE(TRIM(SUBSTITUTE(AG157,"%","")),",","."))),NA())</f>
        <v>0</v>
      </c>
      <c r="AH158" s="79">
        <f>IFERROR(IF(ISNUMBER(AH157),AH157,IF(AH157="",NA(),_xlfn.NUMBERVALUE(TRIM(SUBSTITUTE(AH157,"%","")),",","."))),NA())</f>
        <v>0</v>
      </c>
      <c r="AI158" s="79">
        <f>IFERROR(IF(ISNUMBER(AI157),AI157,IF(AI157="",NA(),_xlfn.NUMBERVALUE(TRIM(SUBSTITUTE(AI157,"%","")),",","."))),NA())</f>
        <v>0</v>
      </c>
      <c r="AJ158" s="79">
        <f>IFERROR(IF(ISNUMBER(AJ157),AJ157,IF(AJ157="",NA(),_xlfn.NUMBERVALUE(TRIM(SUBSTITUTE(AJ157,"%","")),",","."))),NA())</f>
        <v>0</v>
      </c>
      <c r="AK158" s="79">
        <f>IFERROR(IF(ISNUMBER(AK157),AK157,IF(AK157="",NA(),_xlfn.NUMBERVALUE(TRIM(SUBSTITUTE(AK157,"%","")),",","."))),NA())</f>
        <v>0</v>
      </c>
      <c r="AL158" s="79">
        <f>IFERROR(IF(ISNUMBER(AL157),AL157,IF(AL157="",NA(),_xlfn.NUMBERVALUE(TRIM(SUBSTITUTE(AL157,"%","")),",","."))),NA())</f>
        <v>0</v>
      </c>
      <c r="AM158" s="79">
        <f>IFERROR(IF(ISNUMBER(AM157),AM157,IF(AM157="",NA(),_xlfn.NUMBERVALUE(TRIM(SUBSTITUTE(AM157,"%","")),",","."))),NA())</f>
        <v>0</v>
      </c>
      <c r="AN158" s="79">
        <f>IFERROR(IF(ISNUMBER(AN157),AN157,IF(AN157="",NA(),_xlfn.NUMBERVALUE(TRIM(SUBSTITUTE(AN157,"%","")),",","."))),NA())</f>
        <v>0</v>
      </c>
      <c r="AO158" s="79">
        <f>IFERROR(IF(ISNUMBER(AO157),AO157,IF(AO157="",NA(),_xlfn.NUMBERVALUE(TRIM(SUBSTITUTE(AO157,"%","")),",","."))),NA())</f>
        <v>0</v>
      </c>
    </row>
    <row r="159" spans="1:41">
      <c r="A159" s="11" t="s">
        <v>381</v>
      </c>
      <c r="B159" s="11" t="s">
        <v>382</v>
      </c>
      <c r="C159" s="3" t="s">
        <v>137</v>
      </c>
      <c r="AF159" s="79">
        <f>IF(ISNUMBER(AF158),IF(AF158&gt;1.5,AF158/100,AF158),IF(AND(ISNUMBER(AF155),ISNUMBER(AF156)),IF(AF155&gt;0,AF156/AF155,NA()),NA()))</f>
        <v>0</v>
      </c>
      <c r="AG159" s="79">
        <f>IF(ISNUMBER(AG158),IF(AG158&gt;1.5,AG158/100,AG158),IF(AND(ISNUMBER(AG155),ISNUMBER(AG156)),IF(AG155&gt;0,AG156/AG155,NA()),NA()))</f>
        <v>0</v>
      </c>
      <c r="AH159" s="79">
        <f>IF(ISNUMBER(AH158),IF(AH158&gt;1.5,AH158/100,AH158),IF(AND(ISNUMBER(AH155),ISNUMBER(AH156)),IF(AH155&gt;0,AH156/AH155,NA()),NA()))</f>
        <v>0</v>
      </c>
      <c r="AI159" s="79">
        <f>IF(ISNUMBER(AI158),IF(AI158&gt;1.5,AI158/100,AI158),IF(AND(ISNUMBER(AI155),ISNUMBER(AI156)),IF(AI155&gt;0,AI156/AI155,NA()),NA()))</f>
        <v>0</v>
      </c>
      <c r="AJ159" s="79">
        <f>IF(ISNUMBER(AJ158),IF(AJ158&gt;1.5,AJ158/100,AJ158),IF(AND(ISNUMBER(AJ155),ISNUMBER(AJ156)),IF(AJ155&gt;0,AJ156/AJ155,NA()),NA()))</f>
        <v>0</v>
      </c>
      <c r="AK159" s="79">
        <f>IF(ISNUMBER(AK158),IF(AK158&gt;1.5,AK158/100,AK158),IF(AND(ISNUMBER(AK155),ISNUMBER(AK156)),IF(AK155&gt;0,AK156/AK155,NA()),NA()))</f>
        <v>0</v>
      </c>
      <c r="AL159" s="79">
        <f>IF(ISNUMBER(AL158),IF(AL158&gt;1.5,AL158/100,AL158),IF(AND(ISNUMBER(AL155),ISNUMBER(AL156)),IF(AL155&gt;0,AL156/AL155,NA()),NA()))</f>
        <v>0</v>
      </c>
      <c r="AM159" s="79">
        <f>IF(ISNUMBER(AM158),IF(AM158&gt;1.5,AM158/100,AM158),IF(AND(ISNUMBER(AM155),ISNUMBER(AM156)),IF(AM155&gt;0,AM156/AM155,NA()),NA()))</f>
        <v>0</v>
      </c>
      <c r="AN159" s="79">
        <f>IF(ISNUMBER(AN158),IF(AN158&gt;1.5,AN158/100,AN158),IF(AND(ISNUMBER(AN155),ISNUMBER(AN156)),IF(AN155&gt;0,AN156/AN155,NA()),NA()))</f>
        <v>0</v>
      </c>
      <c r="AO159" s="79">
        <f>IF(ISNUMBER(AO158),IF(AO158&gt;1.5,AO158/100,AO158),IF(AND(ISNUMBER(AO155),ISNUMBER(AO156)),IF(AO155&gt;0,AO156/AO155,NA()),NA()))</f>
        <v>0</v>
      </c>
    </row>
    <row r="160" spans="1:41">
      <c r="A160" s="11" t="s">
        <v>383</v>
      </c>
      <c r="B160" s="11" t="s">
        <v>384</v>
      </c>
      <c r="C160" s="3" t="s">
        <v>137</v>
      </c>
      <c r="AF160" s="11">
        <f>IF(ISNUMBER(AF159),FIXED(AF159*100,0)&amp;" %","")</f>
        <v>0</v>
      </c>
      <c r="AG160" s="11">
        <f>IF(ISNUMBER(AG159),FIXED(AG159*100,0)&amp;" %","")</f>
        <v>0</v>
      </c>
      <c r="AH160" s="11">
        <f>IF(ISNUMBER(AH159),FIXED(AH159*100,0)&amp;" %","")</f>
        <v>0</v>
      </c>
      <c r="AI160" s="11">
        <f>IF(ISNUMBER(AI159),FIXED(AI159*100,0)&amp;" %","")</f>
        <v>0</v>
      </c>
      <c r="AJ160" s="11">
        <f>IF(ISNUMBER(AJ159),FIXED(AJ159*100,0)&amp;" %","")</f>
        <v>0</v>
      </c>
      <c r="AK160" s="11">
        <f>IF(ISNUMBER(AK159),FIXED(AK159*100,0)&amp;" %","")</f>
        <v>0</v>
      </c>
      <c r="AL160" s="11">
        <f>IF(ISNUMBER(AL159),FIXED(AL159*100,0)&amp;" %","")</f>
        <v>0</v>
      </c>
      <c r="AM160" s="11">
        <f>IF(ISNUMBER(AM159),FIXED(AM159*100,0)&amp;" %","")</f>
        <v>0</v>
      </c>
      <c r="AN160" s="11">
        <f>IF(ISNUMBER(AN159),FIXED(AN159*100,0)&amp;" %","")</f>
        <v>0</v>
      </c>
      <c r="AO160" s="11">
        <f>IF(ISNUMBER(AO159),FIXED(AO159*100,0)&amp;" %","")</f>
        <v>0</v>
      </c>
    </row>
    <row r="161" spans="1:100">
      <c r="A161" s="11" t="s">
        <v>385</v>
      </c>
      <c r="B161" s="11" t="s">
        <v>386</v>
      </c>
      <c r="C161" s="3" t="str">
        <f>"Rohdaten Z. "&amp;ROW(Rohdaten!$A$162)</f>
        <v>Rohdaten Z. 162</v>
      </c>
      <c r="CS161" s="5">
        <f>IFERROR(IF(ISNUMBER(INDEX(Rohdaten!$A$162:$LJ$162,MATCH(CS$4,Rohdaten!$A$159:$LJ$159,0))),INDEX(Rohdaten!$A$162:$LJ$162,MATCH(CS$4,Rohdaten!$A$159:$LJ$159,0)),NA()),NA())</f>
        <v>0</v>
      </c>
      <c r="CT161" s="5">
        <f>IFERROR(IF(ISNUMBER(INDEX(Rohdaten!$A$162:$LJ$162,MATCH(CT$4,Rohdaten!$A$159:$LJ$159,0))),INDEX(Rohdaten!$A$162:$LJ$162,MATCH(CT$4,Rohdaten!$A$159:$LJ$159,0)),NA()),NA())</f>
        <v>0</v>
      </c>
      <c r="CU161" s="5">
        <f>IFERROR(IF(ISNUMBER(INDEX(Rohdaten!$A$162:$LJ$162,MATCH(CU$4,Rohdaten!$A$159:$LJ$159,0))),INDEX(Rohdaten!$A$162:$LJ$162,MATCH(CU$4,Rohdaten!$A$159:$LJ$159,0)),NA()),NA())</f>
        <v>0</v>
      </c>
      <c r="CV161" s="5">
        <f>IFERROR(IF(ISNUMBER(INDEX(Rohdaten!$A$162:$LJ$162,MATCH(CV$4,Rohdaten!$A$159:$LJ$159,0))),INDEX(Rohdaten!$A$162:$LJ$162,MATCH(CV$4,Rohdaten!$A$159:$LJ$159,0)),NA()),NA())</f>
        <v>0</v>
      </c>
    </row>
    <row r="162" spans="1:100">
      <c r="A162" s="11" t="s">
        <v>387</v>
      </c>
      <c r="B162" s="11" t="s">
        <v>388</v>
      </c>
      <c r="C162" s="3" t="str">
        <f>"Rohdaten Z. "&amp;ROW(Rohdaten!$A$163)</f>
        <v>Rohdaten Z. 163</v>
      </c>
      <c r="CS162" s="5">
        <f>IFERROR(IF(ISNUMBER(INDEX(Rohdaten!$A$163:$LJ$163,MATCH(CS$4,Rohdaten!$A$159:$LJ$159,0))),INDEX(Rohdaten!$A$163:$LJ$163,MATCH(CS$4,Rohdaten!$A$159:$LJ$159,0)),NA()),NA())</f>
        <v>0</v>
      </c>
      <c r="CT162" s="5">
        <f>IFERROR(IF(ISNUMBER(INDEX(Rohdaten!$A$163:$LJ$163,MATCH(CT$4,Rohdaten!$A$159:$LJ$159,0))),INDEX(Rohdaten!$A$163:$LJ$163,MATCH(CT$4,Rohdaten!$A$159:$LJ$159,0)),NA()),NA())</f>
        <v>0</v>
      </c>
      <c r="CU162" s="5">
        <f>IFERROR(IF(ISNUMBER(INDEX(Rohdaten!$A$163:$LJ$163,MATCH(CU$4,Rohdaten!$A$159:$LJ$159,0))),INDEX(Rohdaten!$A$163:$LJ$163,MATCH(CU$4,Rohdaten!$A$159:$LJ$159,0)),NA()),NA())</f>
        <v>0</v>
      </c>
      <c r="CV162" s="5">
        <f>IFERROR(IF(ISNUMBER(INDEX(Rohdaten!$A$163:$LJ$163,MATCH(CV$4,Rohdaten!$A$159:$LJ$159,0))),INDEX(Rohdaten!$A$163:$LJ$163,MATCH(CV$4,Rohdaten!$A$159:$LJ$159,0)),NA()),NA())</f>
        <v>0</v>
      </c>
    </row>
    <row r="163" spans="1:100">
      <c r="A163" s="11" t="s">
        <v>389</v>
      </c>
      <c r="B163" s="11" t="s">
        <v>390</v>
      </c>
      <c r="C163" s="3" t="s">
        <v>137</v>
      </c>
      <c r="CS163" s="5">
        <f>IF(ISNUMBER(CS161),ROUND(CS161,0),NA())</f>
        <v>0</v>
      </c>
      <c r="CT163" s="5">
        <f>IF(ISNUMBER(CT161),ROUND(CT161,0),NA())</f>
        <v>0</v>
      </c>
      <c r="CU163" s="5">
        <f>IF(ISNUMBER(CU161),ROUND(CU161,0),NA())</f>
        <v>0</v>
      </c>
      <c r="CV163" s="5">
        <f>IF(ISNUMBER(CV161),ROUND(CV161,0),NA())</f>
        <v>0</v>
      </c>
    </row>
    <row r="164" spans="1:100">
      <c r="A164" s="11" t="s">
        <v>391</v>
      </c>
      <c r="B164" s="11" t="s">
        <v>392</v>
      </c>
      <c r="C164" s="3" t="s">
        <v>137</v>
      </c>
      <c r="CS164" s="5">
        <f>IF(ISNUMBER(CS162),ROUND(CS162,0),NA())</f>
        <v>0</v>
      </c>
      <c r="CT164" s="5">
        <f>IF(ISNUMBER(CT162),ROUND(CT162,0),NA())</f>
        <v>0</v>
      </c>
      <c r="CU164" s="5">
        <f>IF(ISNUMBER(CU162),ROUND(CU162,0),NA())</f>
        <v>0</v>
      </c>
      <c r="CV164" s="5">
        <f>IF(ISNUMBER(CV162),ROUND(CV162,0),NA())</f>
        <v>0</v>
      </c>
    </row>
    <row r="165" spans="1:100">
      <c r="A165" s="11" t="s">
        <v>395</v>
      </c>
      <c r="B165" s="11" t="s">
        <v>396</v>
      </c>
      <c r="C165" s="3" t="s">
        <v>397</v>
      </c>
      <c r="D165" s="80">
        <f>IF(MAX(IFERROR(N(INDEX(Wertstand!$A$67:$LJ$67,MATCH(INDEX($D$4:$AD$4,$D$37),RD_Kopf,0))),0),IFERROR(N(INDEX(Wertstand!$A$68:$LJ$68,MATCH(INDEX($D$4:$AD$4,$D$37),RD_Kopf,0))),0),IFERROR(N(INDEX(Wertstand!$A$69:$LJ$69,MATCH(INDEX($D$4:$AD$4,$D$37),RD_Kopf,0))),0),IFERROR(N(INDEX(Wertstand!$A$70:$LJ$70,MATCH(INDEX($D$4:$AD$4,$D$37),RD_Kopf,0))),0),IFERROR(N(INDEX(Wertstand!$A$71:$LJ$71,MATCH(INDEX($D$4:$AD$4,$D$37),RD_Kopf,0))),0),IFERROR(N(INDEX(Wertstand!$A$72:$LJ$72,MATCH(INDEX($D$4:$AD$4,$D$37),RD_Kopf,0))),0),IFERROR(N(INDEX(Wertstand!$A$73:$LJ$73,MATCH(INDEX($D$4:$AD$4,$D$37),RD_Kopf,0))),0),IFERROR(N(INDEX(Wertstand!$A$74:$LJ$74,MATCH(INDEX($D$4:$AD$4,$D$37),RD_Kopf,0))),0),IFERROR(N(INDEX(Wertstand!$A$75:$LJ$75,MATCH(INDEX($D$4:$AD$4,$D$37),RD_Kopf,0))),0),IFERROR(N(INDEX(Wertstand!$A$76:$LJ$76,MATCH(INDEX($D$4:$AD$4,$D$37),RD_Kopf,0))),0),IFERROR(N(INDEX(Wertstand!$A$77:$LJ$77,MATCH(INDEX($D$4:$AD$4,$D$37),RD_Kopf,0))),0),IFERROR(N(INDEX(Wertstand!$A$78:$LJ$78,MATCH(INDEX($D$4:$AD$4,$D$37),RD_Kopf,0))),0))&gt;0,MAX(IFERROR(N(INDEX(Wertstand!$A$67:$LJ$67,MATCH(INDEX($D$4:$AD$4,$D$37),RD_Kopf,0))),0),IFERROR(N(INDEX(Wertstand!$A$68:$LJ$68,MATCH(INDEX($D$4:$AD$4,$D$37),RD_Kopf,0))),0),IFERROR(N(INDEX(Wertstand!$A$69:$LJ$69,MATCH(INDEX($D$4:$AD$4,$D$37),RD_Kopf,0))),0),IFERROR(N(INDEX(Wertstand!$A$70:$LJ$70,MATCH(INDEX($D$4:$AD$4,$D$37),RD_Kopf,0))),0),IFERROR(N(INDEX(Wertstand!$A$71:$LJ$71,MATCH(INDEX($D$4:$AD$4,$D$37),RD_Kopf,0))),0),IFERROR(N(INDEX(Wertstand!$A$72:$LJ$72,MATCH(INDEX($D$4:$AD$4,$D$37),RD_Kopf,0))),0),IFERROR(N(INDEX(Wertstand!$A$73:$LJ$73,MATCH(INDEX($D$4:$AD$4,$D$37),RD_Kopf,0))),0),IFERROR(N(INDEX(Wertstand!$A$74:$LJ$74,MATCH(INDEX($D$4:$AD$4,$D$37),RD_Kopf,0))),0),IFERROR(N(INDEX(Wertstand!$A$75:$LJ$75,MATCH(INDEX($D$4:$AD$4,$D$37),RD_Kopf,0))),0),IFERROR(N(INDEX(Wertstand!$A$76:$LJ$76,MATCH(INDEX($D$4:$AD$4,$D$37),RD_Kopf,0))),0),IFERROR(N(INDEX(Wertstand!$A$77:$LJ$77,MATCH(INDEX($D$4:$AD$4,$D$37),RD_Kopf,0))),0),IFERROR(N(INDEX(Wertstand!$A$78:$LJ$78,MATCH(INDEX($D$4:$AD$4,$D$37),RD_Kopf,0))),0)),INDEX($D$4:$AD$4,$D$37))</f>
        <v>0</v>
      </c>
      <c r="E165" s="11">
        <f>"Stand: "&amp;TEXT(DAY($D$165),"00")&amp;"."&amp;TEXT(MONTH($D$165),"00")&amp;"."&amp;RIGHT(YEAR($D$165),2)</f>
        <v>0</v>
      </c>
      <c r="F165" s="11">
        <f>"Stand:"&amp;CHAR(10)&amp;TEXT(DAY($D$165),"00")&amp;"."&amp;TEXT(MONTH($D$165),"00")&amp;"."&amp;RIGHT(YEAR($D$165),2)</f>
        <v>0</v>
      </c>
    </row>
    <row r="166" spans="1:100">
      <c r="A166" s="11" t="s">
        <v>398</v>
      </c>
      <c r="B166" s="11" t="s">
        <v>399</v>
      </c>
      <c r="C166" s="3" t="s">
        <v>397</v>
      </c>
      <c r="D166" s="80">
        <f>IF(MAX(IFERROR(N(INDEX(Wertstand!$A$79:$LJ$79,MATCH(INDEX($D$4:$AD$4,$D$91),RD_Kopf,0))),0),IFERROR(N(INDEX(Wertstand!$A$80:$LJ$80,MATCH(INDEX($D$4:$AD$4,$D$91),RD_Kopf,0))),0),IFERROR(N(INDEX(Wertstand!$A$81:$LJ$81,MATCH(INDEX($D$4:$AD$4,$D$91),RD_Kopf,0))),0),IFERROR(N(INDEX(Wertstand!$A$82:$LJ$82,MATCH(INDEX($D$4:$AD$4,$D$91),RD_Kopf,0))),0),IFERROR(N(INDEX(Wertstand!$A$83:$LJ$83,MATCH(INDEX($D$4:$AD$4,$D$91),RD_Kopf,0))),0),IFERROR(N(INDEX(Wertstand!$A$84:$LJ$84,MATCH(INDEX($D$4:$AD$4,$D$91),RD_Kopf,0))),0),IFERROR(N(INDEX(Wertstand!$A$85:$LJ$85,MATCH(INDEX($D$4:$AD$4,$D$91),RD_Kopf,0))),0),IFERROR(N(INDEX(Wertstand!$A$86:$LJ$86,MATCH(INDEX($D$4:$AD$4,$D$91),RD_Kopf,0))),0),IFERROR(N(INDEX(Wertstand!$A$87:$LJ$87,MATCH(INDEX($D$4:$AD$4,$D$91),RD_Kopf,0))),0),IFERROR(N(INDEX(Wertstand!$A$88:$LJ$88,MATCH(INDEX($D$4:$AD$4,$D$91),RD_Kopf,0))),0),IFERROR(N(INDEX(Wertstand!$A$89:$LJ$89,MATCH(INDEX($D$4:$AD$4,$D$91),RD_Kopf,0))),0),IFERROR(N(INDEX(Wertstand!$A$90:$LJ$90,MATCH(INDEX($D$4:$AD$4,$D$91),RD_Kopf,0))),0))&gt;0,MAX(IFERROR(N(INDEX(Wertstand!$A$79:$LJ$79,MATCH(INDEX($D$4:$AD$4,$D$91),RD_Kopf,0))),0),IFERROR(N(INDEX(Wertstand!$A$80:$LJ$80,MATCH(INDEX($D$4:$AD$4,$D$91),RD_Kopf,0))),0),IFERROR(N(INDEX(Wertstand!$A$81:$LJ$81,MATCH(INDEX($D$4:$AD$4,$D$91),RD_Kopf,0))),0),IFERROR(N(INDEX(Wertstand!$A$82:$LJ$82,MATCH(INDEX($D$4:$AD$4,$D$91),RD_Kopf,0))),0),IFERROR(N(INDEX(Wertstand!$A$83:$LJ$83,MATCH(INDEX($D$4:$AD$4,$D$91),RD_Kopf,0))),0),IFERROR(N(INDEX(Wertstand!$A$84:$LJ$84,MATCH(INDEX($D$4:$AD$4,$D$91),RD_Kopf,0))),0),IFERROR(N(INDEX(Wertstand!$A$85:$LJ$85,MATCH(INDEX($D$4:$AD$4,$D$91),RD_Kopf,0))),0),IFERROR(N(INDEX(Wertstand!$A$86:$LJ$86,MATCH(INDEX($D$4:$AD$4,$D$91),RD_Kopf,0))),0),IFERROR(N(INDEX(Wertstand!$A$87:$LJ$87,MATCH(INDEX($D$4:$AD$4,$D$91),RD_Kopf,0))),0),IFERROR(N(INDEX(Wertstand!$A$88:$LJ$88,MATCH(INDEX($D$4:$AD$4,$D$91),RD_Kopf,0))),0),IFERROR(N(INDEX(Wertstand!$A$89:$LJ$89,MATCH(INDEX($D$4:$AD$4,$D$91),RD_Kopf,0))),0),IFERROR(N(INDEX(Wertstand!$A$90:$LJ$90,MATCH(INDEX($D$4:$AD$4,$D$91),RD_Kopf,0))),0)),INDEX($D$4:$AD$4,$D$91))</f>
        <v>0</v>
      </c>
      <c r="E166" s="11">
        <f>"Stand: "&amp;TEXT(DAY($D$166),"00")&amp;"."&amp;TEXT(MONTH($D$166),"00")&amp;"."&amp;RIGHT(YEAR($D$166),2)</f>
        <v>0</v>
      </c>
      <c r="F166" s="11">
        <f>"Stand:"&amp;CHAR(10)&amp;TEXT(DAY($D$166),"00")&amp;"."&amp;TEXT(MONTH($D$166),"00")&amp;"."&amp;RIGHT(YEAR($D$166),2)</f>
        <v>0</v>
      </c>
    </row>
    <row r="167" spans="1:100">
      <c r="A167" s="11" t="s">
        <v>400</v>
      </c>
      <c r="B167" s="11" t="s">
        <v>401</v>
      </c>
      <c r="C167" s="3" t="s">
        <v>137</v>
      </c>
      <c r="D167" s="5">
        <f>IF(MAX($D$168:$AD$168)=0,27,MAX($D$168:$AD$168))</f>
        <v>0</v>
      </c>
    </row>
    <row r="168" spans="1:100">
      <c r="A168" s="11" t="s">
        <v>402</v>
      </c>
      <c r="B168" s="11" t="s">
        <v>403</v>
      </c>
      <c r="C168" s="3" t="s">
        <v>137</v>
      </c>
      <c r="D168" s="5">
        <f>IF(OR(ISNUMBER(D15)),1,0)</f>
        <v>0</v>
      </c>
      <c r="E168" s="5">
        <f>IF(OR(ISNUMBER(E15)),2,0)</f>
        <v>0</v>
      </c>
      <c r="F168" s="5">
        <f>IF(OR(ISNUMBER(F15)),3,0)</f>
        <v>0</v>
      </c>
      <c r="G168" s="5">
        <f>IF(OR(ISNUMBER(G15)),4,0)</f>
        <v>0</v>
      </c>
      <c r="H168" s="5">
        <f>IF(OR(ISNUMBER(H15)),5,0)</f>
        <v>0</v>
      </c>
      <c r="I168" s="5">
        <f>IF(OR(ISNUMBER(I15)),6,0)</f>
        <v>0</v>
      </c>
      <c r="J168" s="5">
        <f>IF(OR(ISNUMBER(J15)),7,0)</f>
        <v>0</v>
      </c>
      <c r="K168" s="5">
        <f>IF(OR(ISNUMBER(K15)),8,0)</f>
        <v>0</v>
      </c>
      <c r="L168" s="5">
        <f>IF(OR(ISNUMBER(L15)),9,0)</f>
        <v>0</v>
      </c>
      <c r="M168" s="5">
        <f>IF(OR(ISNUMBER(M15)),10,0)</f>
        <v>0</v>
      </c>
      <c r="N168" s="5">
        <f>IF(OR(ISNUMBER(N15)),11,0)</f>
        <v>0</v>
      </c>
      <c r="O168" s="5">
        <f>IF(OR(ISNUMBER(O15)),12,0)</f>
        <v>0</v>
      </c>
      <c r="P168" s="5">
        <f>IF(OR(ISNUMBER(P15)),13,0)</f>
        <v>0</v>
      </c>
      <c r="Q168" s="5">
        <f>IF(OR(ISNUMBER(Q15)),14,0)</f>
        <v>0</v>
      </c>
      <c r="R168" s="5">
        <f>IF(OR(ISNUMBER(R15)),15,0)</f>
        <v>0</v>
      </c>
      <c r="S168" s="5">
        <f>IF(OR(ISNUMBER(S15)),16,0)</f>
        <v>0</v>
      </c>
      <c r="T168" s="5">
        <f>IF(OR(ISNUMBER(T15)),17,0)</f>
        <v>0</v>
      </c>
      <c r="U168" s="5">
        <f>IF(OR(ISNUMBER(U15)),18,0)</f>
        <v>0</v>
      </c>
      <c r="V168" s="5">
        <f>IF(OR(ISNUMBER(V15)),19,0)</f>
        <v>0</v>
      </c>
      <c r="W168" s="5">
        <f>IF(OR(ISNUMBER(W15)),20,0)</f>
        <v>0</v>
      </c>
      <c r="X168" s="5">
        <f>IF(OR(ISNUMBER(X15)),21,0)</f>
        <v>0</v>
      </c>
      <c r="Y168" s="5">
        <f>IF(OR(ISNUMBER(Y15)),22,0)</f>
        <v>0</v>
      </c>
      <c r="Z168" s="5">
        <f>IF(OR(ISNUMBER(Z15)),23,0)</f>
        <v>0</v>
      </c>
      <c r="AA168" s="5">
        <f>IF(OR(ISNUMBER(AA15)),24,0)</f>
        <v>0</v>
      </c>
      <c r="AB168" s="5">
        <f>IF(OR(ISNUMBER(AB15)),25,0)</f>
        <v>0</v>
      </c>
      <c r="AC168" s="5">
        <f>IF(OR(ISNUMBER(AC15)),26,0)</f>
        <v>0</v>
      </c>
      <c r="AD168" s="5">
        <f>IF(OR(ISNUMBER(AD15)),27,0)</f>
        <v>0</v>
      </c>
    </row>
    <row r="169" spans="1:100">
      <c r="A169" s="11" t="s">
        <v>404</v>
      </c>
      <c r="B169" s="11" t="s">
        <v>405</v>
      </c>
      <c r="C169" s="3" t="s">
        <v>397</v>
      </c>
      <c r="D169" s="80">
        <f>IF(MAX(IFERROR(N(INDEX(Wertstand!$A$152:$LJ$152,MATCH(INDEX($D$4:$AD$4,$D$167),RD_Kopf,0))),0))&gt;0,MAX(IFERROR(N(INDEX(Wertstand!$A$152:$LJ$152,MATCH(INDEX($D$4:$AD$4,$D$167),RD_Kopf,0))),0)),INDEX($D$4:$AD$4,$D$167))</f>
        <v>0</v>
      </c>
      <c r="E169" s="11">
        <f>"Stand: "&amp;TEXT(DAY($D$169),"00")&amp;"."&amp;TEXT(MONTH($D$169),"00")&amp;"."&amp;RIGHT(YEAR($D$169),2)</f>
        <v>0</v>
      </c>
      <c r="F169" s="11">
        <f>"Stand:"&amp;CHAR(10)&amp;TEXT(DAY($D$169),"00")&amp;"."&amp;TEXT(MONTH($D$169),"00")&amp;"."&amp;RIGHT(YEAR($D$169),2)</f>
        <v>0</v>
      </c>
    </row>
    <row r="170" spans="1:100">
      <c r="A170" s="11" t="s">
        <v>406</v>
      </c>
      <c r="B170" s="11" t="s">
        <v>407</v>
      </c>
      <c r="C170" s="3" t="s">
        <v>408</v>
      </c>
      <c r="BR170" s="11">
        <f>IF(($D$167-25)&lt;1,"",INDEX($D$3:$AD$3,($D$167-25)))</f>
        <v>0</v>
      </c>
      <c r="BS170" s="11">
        <f>IF(($D$167-24)&lt;1,"",INDEX($D$3:$AD$3,($D$167-24)))</f>
        <v>0</v>
      </c>
      <c r="BT170" s="11">
        <f>IF(($D$167-23)&lt;1,"",INDEX($D$3:$AD$3,($D$167-23)))</f>
        <v>0</v>
      </c>
      <c r="BU170" s="11">
        <f>IF(($D$167-22)&lt;1,"",INDEX($D$3:$AD$3,($D$167-22)))</f>
        <v>0</v>
      </c>
      <c r="BV170" s="11">
        <f>IF(($D$167-21)&lt;1,"",INDEX($D$3:$AD$3,($D$167-21)))</f>
        <v>0</v>
      </c>
      <c r="BW170" s="11">
        <f>IF(($D$167-20)&lt;1,"",INDEX($D$3:$AD$3,($D$167-20)))</f>
        <v>0</v>
      </c>
      <c r="BX170" s="11">
        <f>IF(($D$167-19)&lt;1,"",INDEX($D$3:$AD$3,($D$167-19)))</f>
        <v>0</v>
      </c>
      <c r="BY170" s="11">
        <f>IF(($D$167-18)&lt;1,"",INDEX($D$3:$AD$3,($D$167-18)))</f>
        <v>0</v>
      </c>
      <c r="BZ170" s="11">
        <f>IF(($D$167-17)&lt;1,"",INDEX($D$3:$AD$3,($D$167-17)))</f>
        <v>0</v>
      </c>
      <c r="CA170" s="11">
        <f>IF(($D$167-16)&lt;1,"",INDEX($D$3:$AD$3,($D$167-16)))</f>
        <v>0</v>
      </c>
      <c r="CB170" s="11">
        <f>IF(($D$167-15)&lt;1,"",INDEX($D$3:$AD$3,($D$167-15)))</f>
        <v>0</v>
      </c>
      <c r="CC170" s="11">
        <f>IF(($D$167-14)&lt;1,"",INDEX($D$3:$AD$3,($D$167-14)))</f>
        <v>0</v>
      </c>
      <c r="CD170" s="11">
        <f>IF(($D$167-13)&lt;1,"",INDEX($D$3:$AD$3,($D$167-13)))</f>
        <v>0</v>
      </c>
      <c r="CE170" s="11">
        <f>IF(($D$167-12)&lt;1,"",INDEX($D$3:$AD$3,($D$167-12)))</f>
        <v>0</v>
      </c>
      <c r="CF170" s="11">
        <f>IF(($D$167-11)&lt;1,"",INDEX($D$3:$AD$3,($D$167-11)))</f>
        <v>0</v>
      </c>
      <c r="CG170" s="11">
        <f>IF(($D$167-10)&lt;1,"",INDEX($D$3:$AD$3,($D$167-10)))</f>
        <v>0</v>
      </c>
      <c r="CH170" s="11">
        <f>IF(($D$167-9)&lt;1,"",INDEX($D$3:$AD$3,($D$167-9)))</f>
        <v>0</v>
      </c>
      <c r="CI170" s="11">
        <f>IF(($D$167-8)&lt;1,"",INDEX($D$3:$AD$3,($D$167-8)))</f>
        <v>0</v>
      </c>
      <c r="CJ170" s="11">
        <f>IF(($D$167-7)&lt;1,"",INDEX($D$3:$AD$3,($D$167-7)))</f>
        <v>0</v>
      </c>
      <c r="CK170" s="11">
        <f>IF(($D$167-6)&lt;1,"",INDEX($D$3:$AD$3,($D$167-6)))</f>
        <v>0</v>
      </c>
      <c r="CL170" s="11">
        <f>IF(($D$167-5)&lt;1,"",INDEX($D$3:$AD$3,($D$167-5)))</f>
        <v>0</v>
      </c>
      <c r="CM170" s="11">
        <f>IF(($D$167-4)&lt;1,"",INDEX($D$3:$AD$3,($D$167-4)))</f>
        <v>0</v>
      </c>
      <c r="CN170" s="11">
        <f>IF(($D$167-3)&lt;1,"",INDEX($D$3:$AD$3,($D$167-3)))</f>
        <v>0</v>
      </c>
      <c r="CO170" s="11">
        <f>IF(($D$167-2)&lt;1,"",INDEX($D$3:$AD$3,($D$167-2)))</f>
        <v>0</v>
      </c>
      <c r="CP170" s="11">
        <f>IF(($D$167-1)&lt;1,"",INDEX($D$3:$AD$3,($D$167-1)))</f>
        <v>0</v>
      </c>
      <c r="CQ170" s="11">
        <f>IF(($D$167-0)&lt;1,"",INDEX($D$3:$AD$3,($D$167-0)))</f>
        <v>0</v>
      </c>
    </row>
    <row r="171" spans="1:100">
      <c r="A171" s="11" t="s">
        <v>409</v>
      </c>
      <c r="B171" s="11" t="s">
        <v>410</v>
      </c>
      <c r="C171" s="3" t="s">
        <v>408</v>
      </c>
      <c r="BR171" s="5">
        <f>IF(($D$167-25)&lt;1,NA(),INDEX($D$15:$AD$15,($D$167-25)))</f>
        <v>0</v>
      </c>
      <c r="BS171" s="5">
        <f>IF(($D$167-24)&lt;1,NA(),INDEX($D$15:$AD$15,($D$167-24)))</f>
        <v>0</v>
      </c>
      <c r="BT171" s="5">
        <f>IF(($D$167-23)&lt;1,NA(),INDEX($D$15:$AD$15,($D$167-23)))</f>
        <v>0</v>
      </c>
      <c r="BU171" s="5">
        <f>IF(($D$167-22)&lt;1,NA(),INDEX($D$15:$AD$15,($D$167-22)))</f>
        <v>0</v>
      </c>
      <c r="BV171" s="5">
        <f>IF(($D$167-21)&lt;1,NA(),INDEX($D$15:$AD$15,($D$167-21)))</f>
        <v>0</v>
      </c>
      <c r="BW171" s="5">
        <f>IF(($D$167-20)&lt;1,NA(),INDEX($D$15:$AD$15,($D$167-20)))</f>
        <v>0</v>
      </c>
      <c r="BX171" s="5">
        <f>IF(($D$167-19)&lt;1,NA(),INDEX($D$15:$AD$15,($D$167-19)))</f>
        <v>0</v>
      </c>
      <c r="BY171" s="5">
        <f>IF(($D$167-18)&lt;1,NA(),INDEX($D$15:$AD$15,($D$167-18)))</f>
        <v>0</v>
      </c>
      <c r="BZ171" s="5">
        <f>IF(($D$167-17)&lt;1,NA(),INDEX($D$15:$AD$15,($D$167-17)))</f>
        <v>0</v>
      </c>
      <c r="CA171" s="5">
        <f>IF(($D$167-16)&lt;1,NA(),INDEX($D$15:$AD$15,($D$167-16)))</f>
        <v>0</v>
      </c>
      <c r="CB171" s="5">
        <f>IF(($D$167-15)&lt;1,NA(),INDEX($D$15:$AD$15,($D$167-15)))</f>
        <v>0</v>
      </c>
      <c r="CC171" s="5">
        <f>IF(($D$167-14)&lt;1,NA(),INDEX($D$15:$AD$15,($D$167-14)))</f>
        <v>0</v>
      </c>
      <c r="CD171" s="5">
        <f>IF(($D$167-13)&lt;1,NA(),INDEX($D$15:$AD$15,($D$167-13)))</f>
        <v>0</v>
      </c>
      <c r="CE171" s="5">
        <f>IF(($D$167-12)&lt;1,NA(),INDEX($D$15:$AD$15,($D$167-12)))</f>
        <v>0</v>
      </c>
      <c r="CF171" s="5">
        <f>IF(($D$167-11)&lt;1,NA(),INDEX($D$15:$AD$15,($D$167-11)))</f>
        <v>0</v>
      </c>
      <c r="CG171" s="5">
        <f>IF(($D$167-10)&lt;1,NA(),INDEX($D$15:$AD$15,($D$167-10)))</f>
        <v>0</v>
      </c>
      <c r="CH171" s="5">
        <f>IF(($D$167-9)&lt;1,NA(),INDEX($D$15:$AD$15,($D$167-9)))</f>
        <v>0</v>
      </c>
      <c r="CI171" s="5">
        <f>IF(($D$167-8)&lt;1,NA(),INDEX($D$15:$AD$15,($D$167-8)))</f>
        <v>0</v>
      </c>
      <c r="CJ171" s="5">
        <f>IF(($D$167-7)&lt;1,NA(),INDEX($D$15:$AD$15,($D$167-7)))</f>
        <v>0</v>
      </c>
      <c r="CK171" s="5">
        <f>IF(($D$167-6)&lt;1,NA(),INDEX($D$15:$AD$15,($D$167-6)))</f>
        <v>0</v>
      </c>
      <c r="CL171" s="5">
        <f>IF(($D$167-5)&lt;1,NA(),INDEX($D$15:$AD$15,($D$167-5)))</f>
        <v>0</v>
      </c>
      <c r="CM171" s="5">
        <f>IF(($D$167-4)&lt;1,NA(),INDEX($D$15:$AD$15,($D$167-4)))</f>
        <v>0</v>
      </c>
      <c r="CN171" s="5">
        <f>IF(($D$167-3)&lt;1,NA(),INDEX($D$15:$AD$15,($D$167-3)))</f>
        <v>0</v>
      </c>
      <c r="CO171" s="5">
        <f>IF(($D$167-2)&lt;1,NA(),INDEX($D$15:$AD$15,($D$167-2)))</f>
        <v>0</v>
      </c>
      <c r="CP171" s="5">
        <f>IF(($D$167-1)&lt;1,NA(),INDEX($D$15:$AD$15,($D$167-1)))</f>
        <v>0</v>
      </c>
      <c r="CQ171" s="5">
        <f>IF(($D$167-0)&lt;1,NA(),INDEX($D$15:$AD$15,($D$167-0)))</f>
        <v>0</v>
      </c>
    </row>
    <row r="172" spans="1:100">
      <c r="A172" s="11" t="s">
        <v>411</v>
      </c>
      <c r="B172" s="11" t="s">
        <v>412</v>
      </c>
      <c r="C172" s="3" t="s">
        <v>137</v>
      </c>
      <c r="D172" s="5">
        <f>IF(MAX($D$173:$AD$173)=0,27,MAX($D$173:$AD$173))</f>
        <v>0</v>
      </c>
    </row>
    <row r="173" spans="1:100">
      <c r="A173" s="11" t="s">
        <v>413</v>
      </c>
      <c r="B173" s="11" t="s">
        <v>414</v>
      </c>
      <c r="C173" s="3" t="s">
        <v>137</v>
      </c>
      <c r="D173" s="5">
        <f>IF(OR(ISNUMBER(D9),ISNUMBER(D10),ISNUMBER(D11)),1,0)</f>
        <v>0</v>
      </c>
      <c r="E173" s="5">
        <f>IF(OR(ISNUMBER(E9),ISNUMBER(E10),ISNUMBER(E11)),2,0)</f>
        <v>0</v>
      </c>
      <c r="F173" s="5">
        <f>IF(OR(ISNUMBER(F9),ISNUMBER(F10),ISNUMBER(F11)),3,0)</f>
        <v>0</v>
      </c>
      <c r="G173" s="5">
        <f>IF(OR(ISNUMBER(G9),ISNUMBER(G10),ISNUMBER(G11)),4,0)</f>
        <v>0</v>
      </c>
      <c r="H173" s="5">
        <f>IF(OR(ISNUMBER(H9),ISNUMBER(H10),ISNUMBER(H11)),5,0)</f>
        <v>0</v>
      </c>
      <c r="I173" s="5">
        <f>IF(OR(ISNUMBER(I9),ISNUMBER(I10),ISNUMBER(I11)),6,0)</f>
        <v>0</v>
      </c>
      <c r="J173" s="5">
        <f>IF(OR(ISNUMBER(J9),ISNUMBER(J10),ISNUMBER(J11)),7,0)</f>
        <v>0</v>
      </c>
      <c r="K173" s="5">
        <f>IF(OR(ISNUMBER(K9),ISNUMBER(K10),ISNUMBER(K11)),8,0)</f>
        <v>0</v>
      </c>
      <c r="L173" s="5">
        <f>IF(OR(ISNUMBER(L9),ISNUMBER(L10),ISNUMBER(L11)),9,0)</f>
        <v>0</v>
      </c>
      <c r="M173" s="5">
        <f>IF(OR(ISNUMBER(M9),ISNUMBER(M10),ISNUMBER(M11)),10,0)</f>
        <v>0</v>
      </c>
      <c r="N173" s="5">
        <f>IF(OR(ISNUMBER(N9),ISNUMBER(N10),ISNUMBER(N11)),11,0)</f>
        <v>0</v>
      </c>
      <c r="O173" s="5">
        <f>IF(OR(ISNUMBER(O9),ISNUMBER(O10),ISNUMBER(O11)),12,0)</f>
        <v>0</v>
      </c>
      <c r="P173" s="5">
        <f>IF(OR(ISNUMBER(P9),ISNUMBER(P10),ISNUMBER(P11)),13,0)</f>
        <v>0</v>
      </c>
      <c r="Q173" s="5">
        <f>IF(OR(ISNUMBER(Q9),ISNUMBER(Q10),ISNUMBER(Q11)),14,0)</f>
        <v>0</v>
      </c>
      <c r="R173" s="5">
        <f>IF(OR(ISNUMBER(R9),ISNUMBER(R10),ISNUMBER(R11)),15,0)</f>
        <v>0</v>
      </c>
      <c r="S173" s="5">
        <f>IF(OR(ISNUMBER(S9),ISNUMBER(S10),ISNUMBER(S11)),16,0)</f>
        <v>0</v>
      </c>
      <c r="T173" s="5">
        <f>IF(OR(ISNUMBER(T9),ISNUMBER(T10),ISNUMBER(T11)),17,0)</f>
        <v>0</v>
      </c>
      <c r="U173" s="5">
        <f>IF(OR(ISNUMBER(U9),ISNUMBER(U10),ISNUMBER(U11)),18,0)</f>
        <v>0</v>
      </c>
      <c r="V173" s="5">
        <f>IF(OR(ISNUMBER(V9),ISNUMBER(V10),ISNUMBER(V11)),19,0)</f>
        <v>0</v>
      </c>
      <c r="W173" s="5">
        <f>IF(OR(ISNUMBER(W9),ISNUMBER(W10),ISNUMBER(W11)),20,0)</f>
        <v>0</v>
      </c>
      <c r="X173" s="5">
        <f>IF(OR(ISNUMBER(X9),ISNUMBER(X10),ISNUMBER(X11)),21,0)</f>
        <v>0</v>
      </c>
      <c r="Y173" s="5">
        <f>IF(OR(ISNUMBER(Y9),ISNUMBER(Y10),ISNUMBER(Y11)),22,0)</f>
        <v>0</v>
      </c>
      <c r="Z173" s="5">
        <f>IF(OR(ISNUMBER(Z9),ISNUMBER(Z10),ISNUMBER(Z11)),23,0)</f>
        <v>0</v>
      </c>
      <c r="AA173" s="5">
        <f>IF(OR(ISNUMBER(AA9),ISNUMBER(AA10),ISNUMBER(AA11)),24,0)</f>
        <v>0</v>
      </c>
      <c r="AB173" s="5">
        <f>IF(OR(ISNUMBER(AB9),ISNUMBER(AB10),ISNUMBER(AB11)),25,0)</f>
        <v>0</v>
      </c>
      <c r="AC173" s="5">
        <f>IF(OR(ISNUMBER(AC9),ISNUMBER(AC10),ISNUMBER(AC11)),26,0)</f>
        <v>0</v>
      </c>
      <c r="AD173" s="5">
        <f>IF(OR(ISNUMBER(AD9),ISNUMBER(AD10),ISNUMBER(AD11)),27,0)</f>
        <v>0</v>
      </c>
    </row>
    <row r="174" spans="1:100">
      <c r="A174" s="11" t="s">
        <v>415</v>
      </c>
      <c r="B174" s="11" t="s">
        <v>416</v>
      </c>
      <c r="C174" s="3" t="s">
        <v>397</v>
      </c>
      <c r="D174" s="80">
        <f>IF(MAX(IFERROR(N(INDEX(Wertstand!$A$105:$LJ$105,MATCH(INDEX($D$4:$AD$4,$D$172),RD_Kopf,0))),0),IFERROR(N(INDEX(Wertstand!$A$108:$LJ$108,MATCH(INDEX($D$4:$AD$4,$D$172),RD_Kopf,0))),0),IFERROR(N(INDEX(Wertstand!$A$111:$LJ$111,MATCH(INDEX($D$4:$AD$4,$D$172),RD_Kopf,0))),0))&gt;0,MAX(IFERROR(N(INDEX(Wertstand!$A$105:$LJ$105,MATCH(INDEX($D$4:$AD$4,$D$172),RD_Kopf,0))),0),IFERROR(N(INDEX(Wertstand!$A$108:$LJ$108,MATCH(INDEX($D$4:$AD$4,$D$172),RD_Kopf,0))),0),IFERROR(N(INDEX(Wertstand!$A$111:$LJ$111,MATCH(INDEX($D$4:$AD$4,$D$172),RD_Kopf,0))),0)),INDEX($D$4:$AD$4,$D$172))</f>
        <v>0</v>
      </c>
      <c r="E174" s="11">
        <f>"Stand: "&amp;TEXT(DAY($D$174),"00")&amp;"."&amp;TEXT(MONTH($D$174),"00")&amp;"."&amp;RIGHT(YEAR($D$174),2)</f>
        <v>0</v>
      </c>
      <c r="F174" s="11">
        <f>"Stand:"&amp;CHAR(10)&amp;TEXT(DAY($D$174),"00")&amp;"."&amp;TEXT(MONTH($D$174),"00")&amp;"."&amp;RIGHT(YEAR($D$174),2)</f>
        <v>0</v>
      </c>
    </row>
    <row r="175" spans="1:100">
      <c r="A175" s="11" t="s">
        <v>417</v>
      </c>
      <c r="B175" s="11" t="s">
        <v>418</v>
      </c>
      <c r="C175" s="3" t="s">
        <v>137</v>
      </c>
      <c r="D175" s="5">
        <f>MAX(1,N(SLA_PV),IFERROR(_xlfn.AGGREGATE(4,6,INDEX($D$9:$AD$9,MAX(1,$D$172+1-$D$183)):INDEX($D$9:$AD$9,$D$172)),0),IFERROR(_xlfn.AGGREGATE(4,6,INDEX($D$12:$AD$12,MAX(1,$D$205+1-$D$212)):INDEX($D$12:$AD$12,$D$205)),0))</f>
        <v>0</v>
      </c>
    </row>
    <row r="176" spans="1:100">
      <c r="A176" s="11" t="s">
        <v>419</v>
      </c>
      <c r="B176" s="11" t="s">
        <v>420</v>
      </c>
      <c r="C176" s="3" t="s">
        <v>137</v>
      </c>
      <c r="D176" s="5">
        <f>IF(N(D154)&gt;0,N(D154)/$D$175,NA())</f>
        <v>0</v>
      </c>
      <c r="E176" s="5">
        <f>IF(N(E154)&gt;0,N(E154)/$D$175,NA())</f>
        <v>0</v>
      </c>
      <c r="F176" s="5">
        <f>IF(N(F154)&gt;0,N(F154)/$D$175,NA())</f>
        <v>0</v>
      </c>
      <c r="G176" s="5">
        <f>IF(N(G154)&gt;0,N(G154)/$D$175,NA())</f>
        <v>0</v>
      </c>
      <c r="H176" s="5">
        <f>IF(N(H154)&gt;0,N(H154)/$D$175,NA())</f>
        <v>0</v>
      </c>
      <c r="I176" s="5">
        <f>IF(N(I154)&gt;0,N(I154)/$D$175,NA())</f>
        <v>0</v>
      </c>
      <c r="J176" s="5">
        <f>IF(N(J154)&gt;0,N(J154)/$D$175,NA())</f>
        <v>0</v>
      </c>
      <c r="K176" s="5">
        <f>IF(N(K154)&gt;0,N(K154)/$D$175,NA())</f>
        <v>0</v>
      </c>
      <c r="L176" s="5">
        <f>IF(N(L154)&gt;0,N(L154)/$D$175,NA())</f>
        <v>0</v>
      </c>
      <c r="M176" s="5">
        <f>IF(N(M154)&gt;0,N(M154)/$D$175,NA())</f>
        <v>0</v>
      </c>
      <c r="N176" s="5">
        <f>IF(N(N154)&gt;0,N(N154)/$D$175,NA())</f>
        <v>0</v>
      </c>
      <c r="O176" s="5">
        <f>IF(N(O154)&gt;0,N(O154)/$D$175,NA())</f>
        <v>0</v>
      </c>
      <c r="P176" s="5">
        <f>IF(N(P154)&gt;0,N(P154)/$D$175,NA())</f>
        <v>0</v>
      </c>
      <c r="Q176" s="5">
        <f>IF(N(Q154)&gt;0,N(Q154)/$D$175,NA())</f>
        <v>0</v>
      </c>
      <c r="R176" s="5">
        <f>IF(N(R154)&gt;0,N(R154)/$D$175,NA())</f>
        <v>0</v>
      </c>
      <c r="S176" s="5">
        <f>IF(N(S154)&gt;0,N(S154)/$D$175,NA())</f>
        <v>0</v>
      </c>
      <c r="T176" s="5">
        <f>IF(N(T154)&gt;0,N(T154)/$D$175,NA())</f>
        <v>0</v>
      </c>
      <c r="U176" s="5">
        <f>IF(N(U154)&gt;0,N(U154)/$D$175,NA())</f>
        <v>0</v>
      </c>
      <c r="V176" s="5">
        <f>IF(N(V154)&gt;0,N(V154)/$D$175,NA())</f>
        <v>0</v>
      </c>
      <c r="W176" s="5">
        <f>IF(N(W154)&gt;0,N(W154)/$D$175,NA())</f>
        <v>0</v>
      </c>
      <c r="X176" s="5">
        <f>IF(N(X154)&gt;0,N(X154)/$D$175,NA())</f>
        <v>0</v>
      </c>
      <c r="Y176" s="5">
        <f>IF(N(Y154)&gt;0,N(Y154)/$D$175,NA())</f>
        <v>0</v>
      </c>
      <c r="Z176" s="5">
        <f>IF(N(Z154)&gt;0,N(Z154)/$D$175,NA())</f>
        <v>0</v>
      </c>
      <c r="AA176" s="5">
        <f>IF(N(AA154)&gt;0,N(AA154)/$D$175,NA())</f>
        <v>0</v>
      </c>
      <c r="AB176" s="5">
        <f>IF(N(AB154)&gt;0,N(AB154)/$D$175,NA())</f>
        <v>0</v>
      </c>
      <c r="AC176" s="5">
        <f>IF(N(AC154)&gt;0,N(AC154)/$D$175,NA())</f>
        <v>0</v>
      </c>
      <c r="AD176" s="5">
        <f>IF(N(AD154)&gt;0,N(AD154)/$D$175,NA())</f>
        <v>0</v>
      </c>
    </row>
    <row r="177" spans="1:95">
      <c r="A177" s="11" t="s">
        <v>421</v>
      </c>
      <c r="B177" s="11" t="s">
        <v>422</v>
      </c>
      <c r="C177" s="3" t="s">
        <v>137</v>
      </c>
      <c r="D177" s="5">
        <f>IF(ISNUMBER(D9),D9/$D$175,NA())</f>
        <v>0</v>
      </c>
      <c r="E177" s="5">
        <f>IF(ISNUMBER(E9),E9/$D$175,NA())</f>
        <v>0</v>
      </c>
      <c r="F177" s="5">
        <f>IF(ISNUMBER(F9),F9/$D$175,NA())</f>
        <v>0</v>
      </c>
      <c r="G177" s="5">
        <f>IF(ISNUMBER(G9),G9/$D$175,NA())</f>
        <v>0</v>
      </c>
      <c r="H177" s="5">
        <f>IF(ISNUMBER(H9),H9/$D$175,NA())</f>
        <v>0</v>
      </c>
      <c r="I177" s="5">
        <f>IF(ISNUMBER(I9),I9/$D$175,NA())</f>
        <v>0</v>
      </c>
      <c r="J177" s="5">
        <f>IF(ISNUMBER(J9),J9/$D$175,NA())</f>
        <v>0</v>
      </c>
      <c r="K177" s="5">
        <f>IF(ISNUMBER(K9),K9/$D$175,NA())</f>
        <v>0</v>
      </c>
      <c r="L177" s="5">
        <f>IF(ISNUMBER(L9),L9/$D$175,NA())</f>
        <v>0</v>
      </c>
      <c r="M177" s="5">
        <f>IF(ISNUMBER(M9),M9/$D$175,NA())</f>
        <v>0</v>
      </c>
      <c r="N177" s="5">
        <f>IF(ISNUMBER(N9),N9/$D$175,NA())</f>
        <v>0</v>
      </c>
      <c r="O177" s="5">
        <f>IF(ISNUMBER(O9),O9/$D$175,NA())</f>
        <v>0</v>
      </c>
      <c r="P177" s="5">
        <f>IF(ISNUMBER(P9),P9/$D$175,NA())</f>
        <v>0</v>
      </c>
      <c r="Q177" s="5">
        <f>IF(ISNUMBER(Q9),Q9/$D$175,NA())</f>
        <v>0</v>
      </c>
      <c r="R177" s="5">
        <f>IF(ISNUMBER(R9),R9/$D$175,NA())</f>
        <v>0</v>
      </c>
      <c r="S177" s="5">
        <f>IF(ISNUMBER(S9),S9/$D$175,NA())</f>
        <v>0</v>
      </c>
      <c r="T177" s="5">
        <f>IF(ISNUMBER(T9),T9/$D$175,NA())</f>
        <v>0</v>
      </c>
      <c r="U177" s="5">
        <f>IF(ISNUMBER(U9),U9/$D$175,NA())</f>
        <v>0</v>
      </c>
      <c r="V177" s="5">
        <f>IF(ISNUMBER(V9),V9/$D$175,NA())</f>
        <v>0</v>
      </c>
      <c r="W177" s="5">
        <f>IF(ISNUMBER(W9),W9/$D$175,NA())</f>
        <v>0</v>
      </c>
      <c r="X177" s="5">
        <f>IF(ISNUMBER(X9),X9/$D$175,NA())</f>
        <v>0</v>
      </c>
      <c r="Y177" s="5">
        <f>IF(ISNUMBER(Y9),Y9/$D$175,NA())</f>
        <v>0</v>
      </c>
      <c r="Z177" s="5">
        <f>IF(ISNUMBER(Z9),Z9/$D$175,NA())</f>
        <v>0</v>
      </c>
      <c r="AA177" s="5">
        <f>IF(ISNUMBER(AA9),AA9/$D$175,NA())</f>
        <v>0</v>
      </c>
      <c r="AB177" s="5">
        <f>IF(ISNUMBER(AB9),AB9/$D$175,NA())</f>
        <v>0</v>
      </c>
      <c r="AC177" s="5">
        <f>IF(ISNUMBER(AC9),AC9/$D$175,NA())</f>
        <v>0</v>
      </c>
      <c r="AD177" s="5">
        <f>IF(ISNUMBER(AD9),AD9/$D$175,NA())</f>
        <v>0</v>
      </c>
    </row>
    <row r="178" spans="1:95">
      <c r="A178" s="11" t="s">
        <v>423</v>
      </c>
      <c r="B178" s="11" t="s">
        <v>424</v>
      </c>
      <c r="C178" s="3" t="s">
        <v>137</v>
      </c>
      <c r="D178" s="11">
        <f>IF(ISNUMBER(D9),FIXED(D9,0),"")</f>
        <v>0</v>
      </c>
      <c r="E178" s="11">
        <f>IF(ISNUMBER(E9),FIXED(E9,0),"")</f>
        <v>0</v>
      </c>
      <c r="F178" s="11">
        <f>IF(ISNUMBER(F9),FIXED(F9,0),"")</f>
        <v>0</v>
      </c>
      <c r="G178" s="11">
        <f>IF(ISNUMBER(G9),FIXED(G9,0),"")</f>
        <v>0</v>
      </c>
      <c r="H178" s="11">
        <f>IF(ISNUMBER(H9),FIXED(H9,0),"")</f>
        <v>0</v>
      </c>
      <c r="I178" s="11">
        <f>IF(ISNUMBER(I9),FIXED(I9,0),"")</f>
        <v>0</v>
      </c>
      <c r="J178" s="11">
        <f>IF(ISNUMBER(J9),FIXED(J9,0),"")</f>
        <v>0</v>
      </c>
      <c r="K178" s="11">
        <f>IF(ISNUMBER(K9),FIXED(K9,0),"")</f>
        <v>0</v>
      </c>
      <c r="L178" s="11">
        <f>IF(ISNUMBER(L9),FIXED(L9,0),"")</f>
        <v>0</v>
      </c>
      <c r="M178" s="11">
        <f>IF(ISNUMBER(M9),FIXED(M9,0),"")</f>
        <v>0</v>
      </c>
      <c r="N178" s="11">
        <f>IF(ISNUMBER(N9),FIXED(N9,0),"")</f>
        <v>0</v>
      </c>
      <c r="O178" s="11">
        <f>IF(ISNUMBER(O9),FIXED(O9,0),"")</f>
        <v>0</v>
      </c>
      <c r="P178" s="11">
        <f>IF(ISNUMBER(P9),FIXED(P9,0),"")</f>
        <v>0</v>
      </c>
      <c r="Q178" s="11">
        <f>IF(ISNUMBER(Q9),FIXED(Q9,0),"")</f>
        <v>0</v>
      </c>
      <c r="R178" s="11">
        <f>IF(ISNUMBER(R9),FIXED(R9,0),"")</f>
        <v>0</v>
      </c>
      <c r="S178" s="11">
        <f>IF(ISNUMBER(S9),FIXED(S9,0),"")</f>
        <v>0</v>
      </c>
      <c r="T178" s="11">
        <f>IF(ISNUMBER(T9),FIXED(T9,0),"")</f>
        <v>0</v>
      </c>
      <c r="U178" s="11">
        <f>IF(ISNUMBER(U9),FIXED(U9,0),"")</f>
        <v>0</v>
      </c>
      <c r="V178" s="11">
        <f>IF(ISNUMBER(V9),FIXED(V9,0),"")</f>
        <v>0</v>
      </c>
      <c r="W178" s="11">
        <f>IF(ISNUMBER(W9),FIXED(W9,0),"")</f>
        <v>0</v>
      </c>
      <c r="X178" s="11">
        <f>IF(ISNUMBER(X9),FIXED(X9,0),"")</f>
        <v>0</v>
      </c>
      <c r="Y178" s="11">
        <f>IF(ISNUMBER(Y9),FIXED(Y9,0),"")</f>
        <v>0</v>
      </c>
      <c r="Z178" s="11">
        <f>IF(ISNUMBER(Z9),FIXED(Z9,0),"")</f>
        <v>0</v>
      </c>
      <c r="AA178" s="11">
        <f>IF(ISNUMBER(AA9),FIXED(AA9,0),"")</f>
        <v>0</v>
      </c>
      <c r="AB178" s="11">
        <f>IF(ISNUMBER(AB9),FIXED(AB9,0),"")</f>
        <v>0</v>
      </c>
      <c r="AC178" s="11">
        <f>IF(ISNUMBER(AC9),FIXED(AC9,0),"")</f>
        <v>0</v>
      </c>
      <c r="AD178" s="11">
        <f>IF(ISNUMBER(AD9),FIXED(AD9,0),"")</f>
        <v>0</v>
      </c>
    </row>
    <row r="179" spans="1:95">
      <c r="A179" s="11" t="s">
        <v>425</v>
      </c>
      <c r="B179" s="11" t="s">
        <v>426</v>
      </c>
      <c r="C179" s="3" t="s">
        <v>408</v>
      </c>
      <c r="BR179" s="11">
        <f>IF(($D$172-25)&lt;1,"",INDEX($D$3:$AD$3,($D$172-25)))</f>
        <v>0</v>
      </c>
      <c r="BS179" s="11">
        <f>IF(($D$172-24)&lt;1,"",INDEX($D$3:$AD$3,($D$172-24)))</f>
        <v>0</v>
      </c>
      <c r="BT179" s="11">
        <f>IF(($D$172-23)&lt;1,"",INDEX($D$3:$AD$3,($D$172-23)))</f>
        <v>0</v>
      </c>
      <c r="BU179" s="11">
        <f>IF(($D$172-22)&lt;1,"",INDEX($D$3:$AD$3,($D$172-22)))</f>
        <v>0</v>
      </c>
      <c r="BV179" s="11">
        <f>IF(($D$172-21)&lt;1,"",INDEX($D$3:$AD$3,($D$172-21)))</f>
        <v>0</v>
      </c>
      <c r="BW179" s="11">
        <f>IF(($D$172-20)&lt;1,"",INDEX($D$3:$AD$3,($D$172-20)))</f>
        <v>0</v>
      </c>
      <c r="BX179" s="11">
        <f>IF(($D$172-19)&lt;1,"",INDEX($D$3:$AD$3,($D$172-19)))</f>
        <v>0</v>
      </c>
      <c r="BY179" s="11">
        <f>IF(($D$172-18)&lt;1,"",INDEX($D$3:$AD$3,($D$172-18)))</f>
        <v>0</v>
      </c>
      <c r="BZ179" s="11">
        <f>IF(($D$172-17)&lt;1,"",INDEX($D$3:$AD$3,($D$172-17)))</f>
        <v>0</v>
      </c>
      <c r="CA179" s="11">
        <f>IF(($D$172-16)&lt;1,"",INDEX($D$3:$AD$3,($D$172-16)))</f>
        <v>0</v>
      </c>
      <c r="CB179" s="11">
        <f>IF(($D$172-15)&lt;1,"",INDEX($D$3:$AD$3,($D$172-15)))</f>
        <v>0</v>
      </c>
      <c r="CC179" s="11">
        <f>IF(($D$172-14)&lt;1,"",INDEX($D$3:$AD$3,($D$172-14)))</f>
        <v>0</v>
      </c>
      <c r="CD179" s="11">
        <f>IF(($D$172-13)&lt;1,"",INDEX($D$3:$AD$3,($D$172-13)))</f>
        <v>0</v>
      </c>
      <c r="CE179" s="11">
        <f>IF(($D$172-12)&lt;1,"",INDEX($D$3:$AD$3,($D$172-12)))</f>
        <v>0</v>
      </c>
      <c r="CF179" s="11">
        <f>IF(($D$172-11)&lt;1,"",INDEX($D$3:$AD$3,($D$172-11)))</f>
        <v>0</v>
      </c>
      <c r="CG179" s="11">
        <f>IF(($D$172-10)&lt;1,"",INDEX($D$3:$AD$3,($D$172-10)))</f>
        <v>0</v>
      </c>
      <c r="CH179" s="11">
        <f>IF(($D$172-9)&lt;1,"",INDEX($D$3:$AD$3,($D$172-9)))</f>
        <v>0</v>
      </c>
      <c r="CI179" s="11">
        <f>IF(($D$172-8)&lt;1,"",INDEX($D$3:$AD$3,($D$172-8)))</f>
        <v>0</v>
      </c>
      <c r="CJ179" s="11">
        <f>IF(($D$172-7)&lt;1,"",INDEX($D$3:$AD$3,($D$172-7)))</f>
        <v>0</v>
      </c>
      <c r="CK179" s="11">
        <f>IF(($D$172-6)&lt;1,"",INDEX($D$3:$AD$3,($D$172-6)))</f>
        <v>0</v>
      </c>
      <c r="CL179" s="11">
        <f>IF(($D$172-5)&lt;1,"",INDEX($D$3:$AD$3,($D$172-5)))</f>
        <v>0</v>
      </c>
      <c r="CM179" s="11">
        <f>IF(($D$172-4)&lt;1,"",INDEX($D$3:$AD$3,($D$172-4)))</f>
        <v>0</v>
      </c>
      <c r="CN179" s="11">
        <f>IF(($D$172-3)&lt;1,"",INDEX($D$3:$AD$3,($D$172-3)))</f>
        <v>0</v>
      </c>
      <c r="CO179" s="11">
        <f>IF(($D$172-2)&lt;1,"",INDEX($D$3:$AD$3,($D$172-2)))</f>
        <v>0</v>
      </c>
      <c r="CP179" s="11">
        <f>IF(($D$172-1)&lt;1,"",INDEX($D$3:$AD$3,($D$172-1)))</f>
        <v>0</v>
      </c>
      <c r="CQ179" s="11">
        <f>IF(($D$172-0)&lt;1,"",INDEX($D$3:$AD$3,($D$172-0)))</f>
        <v>0</v>
      </c>
    </row>
    <row r="180" spans="1:95">
      <c r="A180" s="11" t="s">
        <v>427</v>
      </c>
      <c r="B180" s="11" t="s">
        <v>428</v>
      </c>
      <c r="C180" s="3" t="s">
        <v>408</v>
      </c>
      <c r="BR180" s="5">
        <f>IF(($D$172-25)&lt;1,NA(),INDEX($D$177:$AD$177,($D$172-25)))</f>
        <v>0</v>
      </c>
      <c r="BS180" s="5">
        <f>IF(($D$172-24)&lt;1,NA(),INDEX($D$177:$AD$177,($D$172-24)))</f>
        <v>0</v>
      </c>
      <c r="BT180" s="5">
        <f>IF(($D$172-23)&lt;1,NA(),INDEX($D$177:$AD$177,($D$172-23)))</f>
        <v>0</v>
      </c>
      <c r="BU180" s="5">
        <f>IF(($D$172-22)&lt;1,NA(),INDEX($D$177:$AD$177,($D$172-22)))</f>
        <v>0</v>
      </c>
      <c r="BV180" s="5">
        <f>IF(($D$172-21)&lt;1,NA(),INDEX($D$177:$AD$177,($D$172-21)))</f>
        <v>0</v>
      </c>
      <c r="BW180" s="5">
        <f>IF(($D$172-20)&lt;1,NA(),INDEX($D$177:$AD$177,($D$172-20)))</f>
        <v>0</v>
      </c>
      <c r="BX180" s="5">
        <f>IF(($D$172-19)&lt;1,NA(),INDEX($D$177:$AD$177,($D$172-19)))</f>
        <v>0</v>
      </c>
      <c r="BY180" s="5">
        <f>IF(($D$172-18)&lt;1,NA(),INDEX($D$177:$AD$177,($D$172-18)))</f>
        <v>0</v>
      </c>
      <c r="BZ180" s="5">
        <f>IF(($D$172-17)&lt;1,NA(),INDEX($D$177:$AD$177,($D$172-17)))</f>
        <v>0</v>
      </c>
      <c r="CA180" s="5">
        <f>IF(($D$172-16)&lt;1,NA(),INDEX($D$177:$AD$177,($D$172-16)))</f>
        <v>0</v>
      </c>
      <c r="CB180" s="5">
        <f>IF(($D$172-15)&lt;1,NA(),INDEX($D$177:$AD$177,($D$172-15)))</f>
        <v>0</v>
      </c>
      <c r="CC180" s="5">
        <f>IF(($D$172-14)&lt;1,NA(),INDEX($D$177:$AD$177,($D$172-14)))</f>
        <v>0</v>
      </c>
      <c r="CD180" s="5">
        <f>IF(($D$172-13)&lt;1,NA(),INDEX($D$177:$AD$177,($D$172-13)))</f>
        <v>0</v>
      </c>
      <c r="CE180" s="5">
        <f>IF(($D$172-12)&lt;1,NA(),INDEX($D$177:$AD$177,($D$172-12)))</f>
        <v>0</v>
      </c>
      <c r="CF180" s="5">
        <f>IF(($D$172-11)&lt;1,NA(),INDEX($D$177:$AD$177,($D$172-11)))</f>
        <v>0</v>
      </c>
      <c r="CG180" s="5">
        <f>IF(($D$172-10)&lt;1,NA(),INDEX($D$177:$AD$177,($D$172-10)))</f>
        <v>0</v>
      </c>
      <c r="CH180" s="5">
        <f>IF(($D$172-9)&lt;1,NA(),INDEX($D$177:$AD$177,($D$172-9)))</f>
        <v>0</v>
      </c>
      <c r="CI180" s="5">
        <f>IF(($D$172-8)&lt;1,NA(),INDEX($D$177:$AD$177,($D$172-8)))</f>
        <v>0</v>
      </c>
      <c r="CJ180" s="5">
        <f>IF(($D$172-7)&lt;1,NA(),INDEX($D$177:$AD$177,($D$172-7)))</f>
        <v>0</v>
      </c>
      <c r="CK180" s="5">
        <f>IF(($D$172-6)&lt;1,NA(),INDEX($D$177:$AD$177,($D$172-6)))</f>
        <v>0</v>
      </c>
      <c r="CL180" s="5">
        <f>IF(($D$172-5)&lt;1,NA(),INDEX($D$177:$AD$177,($D$172-5)))</f>
        <v>0</v>
      </c>
      <c r="CM180" s="5">
        <f>IF(($D$172-4)&lt;1,NA(),INDEX($D$177:$AD$177,($D$172-4)))</f>
        <v>0</v>
      </c>
      <c r="CN180" s="5">
        <f>IF(($D$172-3)&lt;1,NA(),INDEX($D$177:$AD$177,($D$172-3)))</f>
        <v>0</v>
      </c>
      <c r="CO180" s="5">
        <f>IF(($D$172-2)&lt;1,NA(),INDEX($D$177:$AD$177,($D$172-2)))</f>
        <v>0</v>
      </c>
      <c r="CP180" s="5">
        <f>IF(($D$172-1)&lt;1,NA(),INDEX($D$177:$AD$177,($D$172-1)))</f>
        <v>0</v>
      </c>
      <c r="CQ180" s="5">
        <f>IF(($D$172-0)&lt;1,NA(),INDEX($D$177:$AD$177,($D$172-0)))</f>
        <v>0</v>
      </c>
    </row>
    <row r="181" spans="1:95">
      <c r="A181" s="11" t="s">
        <v>429</v>
      </c>
      <c r="B181" s="11" t="s">
        <v>430</v>
      </c>
      <c r="C181" s="3" t="s">
        <v>408</v>
      </c>
      <c r="BR181" s="11">
        <f>IF(($D$172-25)&lt;1,"",INDEX($D$178:$AD$178,($D$172-25)))</f>
        <v>0</v>
      </c>
      <c r="BS181" s="11">
        <f>IF(($D$172-24)&lt;1,"",INDEX($D$178:$AD$178,($D$172-24)))</f>
        <v>0</v>
      </c>
      <c r="BT181" s="11">
        <f>IF(($D$172-23)&lt;1,"",INDEX($D$178:$AD$178,($D$172-23)))</f>
        <v>0</v>
      </c>
      <c r="BU181" s="11">
        <f>IF(($D$172-22)&lt;1,"",INDEX($D$178:$AD$178,($D$172-22)))</f>
        <v>0</v>
      </c>
      <c r="BV181" s="11">
        <f>IF(($D$172-21)&lt;1,"",INDEX($D$178:$AD$178,($D$172-21)))</f>
        <v>0</v>
      </c>
      <c r="BW181" s="11">
        <f>IF(($D$172-20)&lt;1,"",INDEX($D$178:$AD$178,($D$172-20)))</f>
        <v>0</v>
      </c>
      <c r="BX181" s="11">
        <f>IF(($D$172-19)&lt;1,"",INDEX($D$178:$AD$178,($D$172-19)))</f>
        <v>0</v>
      </c>
      <c r="BY181" s="11">
        <f>IF(($D$172-18)&lt;1,"",INDEX($D$178:$AD$178,($D$172-18)))</f>
        <v>0</v>
      </c>
      <c r="BZ181" s="11">
        <f>IF(($D$172-17)&lt;1,"",INDEX($D$178:$AD$178,($D$172-17)))</f>
        <v>0</v>
      </c>
      <c r="CA181" s="11">
        <f>IF(($D$172-16)&lt;1,"",INDEX($D$178:$AD$178,($D$172-16)))</f>
        <v>0</v>
      </c>
      <c r="CB181" s="11">
        <f>IF(($D$172-15)&lt;1,"",INDEX($D$178:$AD$178,($D$172-15)))</f>
        <v>0</v>
      </c>
      <c r="CC181" s="11">
        <f>IF(($D$172-14)&lt;1,"",INDEX($D$178:$AD$178,($D$172-14)))</f>
        <v>0</v>
      </c>
      <c r="CD181" s="11">
        <f>IF(($D$172-13)&lt;1,"",INDEX($D$178:$AD$178,($D$172-13)))</f>
        <v>0</v>
      </c>
      <c r="CE181" s="11">
        <f>IF(($D$172-12)&lt;1,"",INDEX($D$178:$AD$178,($D$172-12)))</f>
        <v>0</v>
      </c>
      <c r="CF181" s="11">
        <f>IF(($D$172-11)&lt;1,"",INDEX($D$178:$AD$178,($D$172-11)))</f>
        <v>0</v>
      </c>
      <c r="CG181" s="11">
        <f>IF(($D$172-10)&lt;1,"",INDEX($D$178:$AD$178,($D$172-10)))</f>
        <v>0</v>
      </c>
      <c r="CH181" s="11">
        <f>IF(($D$172-9)&lt;1,"",INDEX($D$178:$AD$178,($D$172-9)))</f>
        <v>0</v>
      </c>
      <c r="CI181" s="11">
        <f>IF(($D$172-8)&lt;1,"",INDEX($D$178:$AD$178,($D$172-8)))</f>
        <v>0</v>
      </c>
      <c r="CJ181" s="11">
        <f>IF(($D$172-7)&lt;1,"",INDEX($D$178:$AD$178,($D$172-7)))</f>
        <v>0</v>
      </c>
      <c r="CK181" s="11">
        <f>IF(($D$172-6)&lt;1,"",INDEX($D$178:$AD$178,($D$172-6)))</f>
        <v>0</v>
      </c>
      <c r="CL181" s="11">
        <f>IF(($D$172-5)&lt;1,"",INDEX($D$178:$AD$178,($D$172-5)))</f>
        <v>0</v>
      </c>
      <c r="CM181" s="11">
        <f>IF(($D$172-4)&lt;1,"",INDEX($D$178:$AD$178,($D$172-4)))</f>
        <v>0</v>
      </c>
      <c r="CN181" s="11">
        <f>IF(($D$172-3)&lt;1,"",INDEX($D$178:$AD$178,($D$172-3)))</f>
        <v>0</v>
      </c>
      <c r="CO181" s="11">
        <f>IF(($D$172-2)&lt;1,"",INDEX($D$178:$AD$178,($D$172-2)))</f>
        <v>0</v>
      </c>
      <c r="CP181" s="11">
        <f>IF(($D$172-1)&lt;1,"",INDEX($D$178:$AD$178,($D$172-1)))</f>
        <v>0</v>
      </c>
      <c r="CQ181" s="11">
        <f>IF(($D$172-0)&lt;1,"",INDEX($D$178:$AD$178,($D$172-0)))</f>
        <v>0</v>
      </c>
    </row>
    <row r="182" spans="1:95">
      <c r="A182" s="11" t="s">
        <v>431</v>
      </c>
      <c r="B182" s="11" t="s">
        <v>432</v>
      </c>
      <c r="C182" s="3" t="s">
        <v>408</v>
      </c>
      <c r="BR182" s="5">
        <f>IF(($D$172-25)&lt;1,NA(),INDEX($D$176:$AD$176,($D$172-25)))</f>
        <v>0</v>
      </c>
      <c r="BS182" s="5">
        <f>IF(($D$172-24)&lt;1,NA(),INDEX($D$176:$AD$176,($D$172-24)))</f>
        <v>0</v>
      </c>
      <c r="BT182" s="5">
        <f>IF(($D$172-23)&lt;1,NA(),INDEX($D$176:$AD$176,($D$172-23)))</f>
        <v>0</v>
      </c>
      <c r="BU182" s="5">
        <f>IF(($D$172-22)&lt;1,NA(),INDEX($D$176:$AD$176,($D$172-22)))</f>
        <v>0</v>
      </c>
      <c r="BV182" s="5">
        <f>IF(($D$172-21)&lt;1,NA(),INDEX($D$176:$AD$176,($D$172-21)))</f>
        <v>0</v>
      </c>
      <c r="BW182" s="5">
        <f>IF(($D$172-20)&lt;1,NA(),INDEX($D$176:$AD$176,($D$172-20)))</f>
        <v>0</v>
      </c>
      <c r="BX182" s="5">
        <f>IF(($D$172-19)&lt;1,NA(),INDEX($D$176:$AD$176,($D$172-19)))</f>
        <v>0</v>
      </c>
      <c r="BY182" s="5">
        <f>IF(($D$172-18)&lt;1,NA(),INDEX($D$176:$AD$176,($D$172-18)))</f>
        <v>0</v>
      </c>
      <c r="BZ182" s="5">
        <f>IF(($D$172-17)&lt;1,NA(),INDEX($D$176:$AD$176,($D$172-17)))</f>
        <v>0</v>
      </c>
      <c r="CA182" s="5">
        <f>IF(($D$172-16)&lt;1,NA(),INDEX($D$176:$AD$176,($D$172-16)))</f>
        <v>0</v>
      </c>
      <c r="CB182" s="5">
        <f>IF(($D$172-15)&lt;1,NA(),INDEX($D$176:$AD$176,($D$172-15)))</f>
        <v>0</v>
      </c>
      <c r="CC182" s="5">
        <f>IF(($D$172-14)&lt;1,NA(),INDEX($D$176:$AD$176,($D$172-14)))</f>
        <v>0</v>
      </c>
      <c r="CD182" s="5">
        <f>IF(($D$172-13)&lt;1,NA(),INDEX($D$176:$AD$176,($D$172-13)))</f>
        <v>0</v>
      </c>
      <c r="CE182" s="5">
        <f>IF(($D$172-12)&lt;1,NA(),INDEX($D$176:$AD$176,($D$172-12)))</f>
        <v>0</v>
      </c>
      <c r="CF182" s="5">
        <f>IF(($D$172-11)&lt;1,NA(),INDEX($D$176:$AD$176,($D$172-11)))</f>
        <v>0</v>
      </c>
      <c r="CG182" s="5">
        <f>IF(($D$172-10)&lt;1,NA(),INDEX($D$176:$AD$176,($D$172-10)))</f>
        <v>0</v>
      </c>
      <c r="CH182" s="5">
        <f>IF(($D$172-9)&lt;1,NA(),INDEX($D$176:$AD$176,($D$172-9)))</f>
        <v>0</v>
      </c>
      <c r="CI182" s="5">
        <f>IF(($D$172-8)&lt;1,NA(),INDEX($D$176:$AD$176,($D$172-8)))</f>
        <v>0</v>
      </c>
      <c r="CJ182" s="5">
        <f>IF(($D$172-7)&lt;1,NA(),INDEX($D$176:$AD$176,($D$172-7)))</f>
        <v>0</v>
      </c>
      <c r="CK182" s="5">
        <f>IF(($D$172-6)&lt;1,NA(),INDEX($D$176:$AD$176,($D$172-6)))</f>
        <v>0</v>
      </c>
      <c r="CL182" s="5">
        <f>IF(($D$172-5)&lt;1,NA(),INDEX($D$176:$AD$176,($D$172-5)))</f>
        <v>0</v>
      </c>
      <c r="CM182" s="5">
        <f>IF(($D$172-4)&lt;1,NA(),INDEX($D$176:$AD$176,($D$172-4)))</f>
        <v>0</v>
      </c>
      <c r="CN182" s="5">
        <f>IF(($D$172-3)&lt;1,NA(),INDEX($D$176:$AD$176,($D$172-3)))</f>
        <v>0</v>
      </c>
      <c r="CO182" s="5">
        <f>IF(($D$172-2)&lt;1,NA(),INDEX($D$176:$AD$176,($D$172-2)))</f>
        <v>0</v>
      </c>
      <c r="CP182" s="5">
        <f>IF(($D$172-1)&lt;1,NA(),INDEX($D$176:$AD$176,($D$172-1)))</f>
        <v>0</v>
      </c>
      <c r="CQ182" s="5">
        <f>IF(($D$172-0)&lt;1,NA(),INDEX($D$176:$AD$176,($D$172-0)))</f>
        <v>0</v>
      </c>
    </row>
    <row r="183" spans="1:95">
      <c r="A183" s="11" t="s">
        <v>433</v>
      </c>
      <c r="B183" s="11" t="s">
        <v>434</v>
      </c>
      <c r="C183" s="3" t="s">
        <v>134</v>
      </c>
      <c r="D183" s="5">
        <v>10</v>
      </c>
    </row>
    <row r="184" spans="1:95">
      <c r="A184" s="11" t="s">
        <v>435</v>
      </c>
      <c r="B184" s="11" t="s">
        <v>436</v>
      </c>
      <c r="C184" s="3" t="s">
        <v>137</v>
      </c>
      <c r="D184" s="5">
        <f>IF(ISNUMBER(D10),D10/MAX(1,_xlfn.AGGREGATE(4,6,INDEX($D$10:$AD$10,MAX(1,$D$172+1-$D$183)):INDEX($D$10:$AD$10,$D$172)),_xlfn.AGGREGATE(4,6,INDEX($D$11:$AD$11,MAX(1,$D$172+1-$D$183)):INDEX($D$11:$AD$11,$D$172))),NA())</f>
        <v>0</v>
      </c>
      <c r="E184" s="5">
        <f>IF(ISNUMBER(E10),E10/MAX(1,_xlfn.AGGREGATE(4,6,INDEX($D$10:$AD$10,MAX(1,$D$172+1-$D$183)):INDEX($D$10:$AD$10,$D$172)),_xlfn.AGGREGATE(4,6,INDEX($D$11:$AD$11,MAX(1,$D$172+1-$D$183)):INDEX($D$11:$AD$11,$D$172))),NA())</f>
        <v>0</v>
      </c>
      <c r="F184" s="5">
        <f>IF(ISNUMBER(F10),F10/MAX(1,_xlfn.AGGREGATE(4,6,INDEX($D$10:$AD$10,MAX(1,$D$172+1-$D$183)):INDEX($D$10:$AD$10,$D$172)),_xlfn.AGGREGATE(4,6,INDEX($D$11:$AD$11,MAX(1,$D$172+1-$D$183)):INDEX($D$11:$AD$11,$D$172))),NA())</f>
        <v>0</v>
      </c>
      <c r="G184" s="5">
        <f>IF(ISNUMBER(G10),G10/MAX(1,_xlfn.AGGREGATE(4,6,INDEX($D$10:$AD$10,MAX(1,$D$172+1-$D$183)):INDEX($D$10:$AD$10,$D$172)),_xlfn.AGGREGATE(4,6,INDEX($D$11:$AD$11,MAX(1,$D$172+1-$D$183)):INDEX($D$11:$AD$11,$D$172))),NA())</f>
        <v>0</v>
      </c>
      <c r="H184" s="5">
        <f>IF(ISNUMBER(H10),H10/MAX(1,_xlfn.AGGREGATE(4,6,INDEX($D$10:$AD$10,MAX(1,$D$172+1-$D$183)):INDEX($D$10:$AD$10,$D$172)),_xlfn.AGGREGATE(4,6,INDEX($D$11:$AD$11,MAX(1,$D$172+1-$D$183)):INDEX($D$11:$AD$11,$D$172))),NA())</f>
        <v>0</v>
      </c>
      <c r="I184" s="5">
        <f>IF(ISNUMBER(I10),I10/MAX(1,_xlfn.AGGREGATE(4,6,INDEX($D$10:$AD$10,MAX(1,$D$172+1-$D$183)):INDEX($D$10:$AD$10,$D$172)),_xlfn.AGGREGATE(4,6,INDEX($D$11:$AD$11,MAX(1,$D$172+1-$D$183)):INDEX($D$11:$AD$11,$D$172))),NA())</f>
        <v>0</v>
      </c>
      <c r="J184" s="5">
        <f>IF(ISNUMBER(J10),J10/MAX(1,_xlfn.AGGREGATE(4,6,INDEX($D$10:$AD$10,MAX(1,$D$172+1-$D$183)):INDEX($D$10:$AD$10,$D$172)),_xlfn.AGGREGATE(4,6,INDEX($D$11:$AD$11,MAX(1,$D$172+1-$D$183)):INDEX($D$11:$AD$11,$D$172))),NA())</f>
        <v>0</v>
      </c>
      <c r="K184" s="5">
        <f>IF(ISNUMBER(K10),K10/MAX(1,_xlfn.AGGREGATE(4,6,INDEX($D$10:$AD$10,MAX(1,$D$172+1-$D$183)):INDEX($D$10:$AD$10,$D$172)),_xlfn.AGGREGATE(4,6,INDEX($D$11:$AD$11,MAX(1,$D$172+1-$D$183)):INDEX($D$11:$AD$11,$D$172))),NA())</f>
        <v>0</v>
      </c>
      <c r="L184" s="5">
        <f>IF(ISNUMBER(L10),L10/MAX(1,_xlfn.AGGREGATE(4,6,INDEX($D$10:$AD$10,MAX(1,$D$172+1-$D$183)):INDEX($D$10:$AD$10,$D$172)),_xlfn.AGGREGATE(4,6,INDEX($D$11:$AD$11,MAX(1,$D$172+1-$D$183)):INDEX($D$11:$AD$11,$D$172))),NA())</f>
        <v>0</v>
      </c>
      <c r="M184" s="5">
        <f>IF(ISNUMBER(M10),M10/MAX(1,_xlfn.AGGREGATE(4,6,INDEX($D$10:$AD$10,MAX(1,$D$172+1-$D$183)):INDEX($D$10:$AD$10,$D$172)),_xlfn.AGGREGATE(4,6,INDEX($D$11:$AD$11,MAX(1,$D$172+1-$D$183)):INDEX($D$11:$AD$11,$D$172))),NA())</f>
        <v>0</v>
      </c>
      <c r="N184" s="5">
        <f>IF(ISNUMBER(N10),N10/MAX(1,_xlfn.AGGREGATE(4,6,INDEX($D$10:$AD$10,MAX(1,$D$172+1-$D$183)):INDEX($D$10:$AD$10,$D$172)),_xlfn.AGGREGATE(4,6,INDEX($D$11:$AD$11,MAX(1,$D$172+1-$D$183)):INDEX($D$11:$AD$11,$D$172))),NA())</f>
        <v>0</v>
      </c>
      <c r="O184" s="5">
        <f>IF(ISNUMBER(O10),O10/MAX(1,_xlfn.AGGREGATE(4,6,INDEX($D$10:$AD$10,MAX(1,$D$172+1-$D$183)):INDEX($D$10:$AD$10,$D$172)),_xlfn.AGGREGATE(4,6,INDEX($D$11:$AD$11,MAX(1,$D$172+1-$D$183)):INDEX($D$11:$AD$11,$D$172))),NA())</f>
        <v>0</v>
      </c>
      <c r="P184" s="5">
        <f>IF(ISNUMBER(P10),P10/MAX(1,_xlfn.AGGREGATE(4,6,INDEX($D$10:$AD$10,MAX(1,$D$172+1-$D$183)):INDEX($D$10:$AD$10,$D$172)),_xlfn.AGGREGATE(4,6,INDEX($D$11:$AD$11,MAX(1,$D$172+1-$D$183)):INDEX($D$11:$AD$11,$D$172))),NA())</f>
        <v>0</v>
      </c>
      <c r="Q184" s="5">
        <f>IF(ISNUMBER(Q10),Q10/MAX(1,_xlfn.AGGREGATE(4,6,INDEX($D$10:$AD$10,MAX(1,$D$172+1-$D$183)):INDEX($D$10:$AD$10,$D$172)),_xlfn.AGGREGATE(4,6,INDEX($D$11:$AD$11,MAX(1,$D$172+1-$D$183)):INDEX($D$11:$AD$11,$D$172))),NA())</f>
        <v>0</v>
      </c>
      <c r="R184" s="5">
        <f>IF(ISNUMBER(R10),R10/MAX(1,_xlfn.AGGREGATE(4,6,INDEX($D$10:$AD$10,MAX(1,$D$172+1-$D$183)):INDEX($D$10:$AD$10,$D$172)),_xlfn.AGGREGATE(4,6,INDEX($D$11:$AD$11,MAX(1,$D$172+1-$D$183)):INDEX($D$11:$AD$11,$D$172))),NA())</f>
        <v>0</v>
      </c>
      <c r="S184" s="5">
        <f>IF(ISNUMBER(S10),S10/MAX(1,_xlfn.AGGREGATE(4,6,INDEX($D$10:$AD$10,MAX(1,$D$172+1-$D$183)):INDEX($D$10:$AD$10,$D$172)),_xlfn.AGGREGATE(4,6,INDEX($D$11:$AD$11,MAX(1,$D$172+1-$D$183)):INDEX($D$11:$AD$11,$D$172))),NA())</f>
        <v>0</v>
      </c>
      <c r="T184" s="5">
        <f>IF(ISNUMBER(T10),T10/MAX(1,_xlfn.AGGREGATE(4,6,INDEX($D$10:$AD$10,MAX(1,$D$172+1-$D$183)):INDEX($D$10:$AD$10,$D$172)),_xlfn.AGGREGATE(4,6,INDEX($D$11:$AD$11,MAX(1,$D$172+1-$D$183)):INDEX($D$11:$AD$11,$D$172))),NA())</f>
        <v>0</v>
      </c>
      <c r="U184" s="5">
        <f>IF(ISNUMBER(U10),U10/MAX(1,_xlfn.AGGREGATE(4,6,INDEX($D$10:$AD$10,MAX(1,$D$172+1-$D$183)):INDEX($D$10:$AD$10,$D$172)),_xlfn.AGGREGATE(4,6,INDEX($D$11:$AD$11,MAX(1,$D$172+1-$D$183)):INDEX($D$11:$AD$11,$D$172))),NA())</f>
        <v>0</v>
      </c>
      <c r="V184" s="5">
        <f>IF(ISNUMBER(V10),V10/MAX(1,_xlfn.AGGREGATE(4,6,INDEX($D$10:$AD$10,MAX(1,$D$172+1-$D$183)):INDEX($D$10:$AD$10,$D$172)),_xlfn.AGGREGATE(4,6,INDEX($D$11:$AD$11,MAX(1,$D$172+1-$D$183)):INDEX($D$11:$AD$11,$D$172))),NA())</f>
        <v>0</v>
      </c>
      <c r="W184" s="5">
        <f>IF(ISNUMBER(W10),W10/MAX(1,_xlfn.AGGREGATE(4,6,INDEX($D$10:$AD$10,MAX(1,$D$172+1-$D$183)):INDEX($D$10:$AD$10,$D$172)),_xlfn.AGGREGATE(4,6,INDEX($D$11:$AD$11,MAX(1,$D$172+1-$D$183)):INDEX($D$11:$AD$11,$D$172))),NA())</f>
        <v>0</v>
      </c>
      <c r="X184" s="5">
        <f>IF(ISNUMBER(X10),X10/MAX(1,_xlfn.AGGREGATE(4,6,INDEX($D$10:$AD$10,MAX(1,$D$172+1-$D$183)):INDEX($D$10:$AD$10,$D$172)),_xlfn.AGGREGATE(4,6,INDEX($D$11:$AD$11,MAX(1,$D$172+1-$D$183)):INDEX($D$11:$AD$11,$D$172))),NA())</f>
        <v>0</v>
      </c>
      <c r="Y184" s="5">
        <f>IF(ISNUMBER(Y10),Y10/MAX(1,_xlfn.AGGREGATE(4,6,INDEX($D$10:$AD$10,MAX(1,$D$172+1-$D$183)):INDEX($D$10:$AD$10,$D$172)),_xlfn.AGGREGATE(4,6,INDEX($D$11:$AD$11,MAX(1,$D$172+1-$D$183)):INDEX($D$11:$AD$11,$D$172))),NA())</f>
        <v>0</v>
      </c>
      <c r="Z184" s="5">
        <f>IF(ISNUMBER(Z10),Z10/MAX(1,_xlfn.AGGREGATE(4,6,INDEX($D$10:$AD$10,MAX(1,$D$172+1-$D$183)):INDEX($D$10:$AD$10,$D$172)),_xlfn.AGGREGATE(4,6,INDEX($D$11:$AD$11,MAX(1,$D$172+1-$D$183)):INDEX($D$11:$AD$11,$D$172))),NA())</f>
        <v>0</v>
      </c>
      <c r="AA184" s="5">
        <f>IF(ISNUMBER(AA10),AA10/MAX(1,_xlfn.AGGREGATE(4,6,INDEX($D$10:$AD$10,MAX(1,$D$172+1-$D$183)):INDEX($D$10:$AD$10,$D$172)),_xlfn.AGGREGATE(4,6,INDEX($D$11:$AD$11,MAX(1,$D$172+1-$D$183)):INDEX($D$11:$AD$11,$D$172))),NA())</f>
        <v>0</v>
      </c>
      <c r="AB184" s="5">
        <f>IF(ISNUMBER(AB10),AB10/MAX(1,_xlfn.AGGREGATE(4,6,INDEX($D$10:$AD$10,MAX(1,$D$172+1-$D$183)):INDEX($D$10:$AD$10,$D$172)),_xlfn.AGGREGATE(4,6,INDEX($D$11:$AD$11,MAX(1,$D$172+1-$D$183)):INDEX($D$11:$AD$11,$D$172))),NA())</f>
        <v>0</v>
      </c>
      <c r="AC184" s="5">
        <f>IF(ISNUMBER(AC10),AC10/MAX(1,_xlfn.AGGREGATE(4,6,INDEX($D$10:$AD$10,MAX(1,$D$172+1-$D$183)):INDEX($D$10:$AD$10,$D$172)),_xlfn.AGGREGATE(4,6,INDEX($D$11:$AD$11,MAX(1,$D$172+1-$D$183)):INDEX($D$11:$AD$11,$D$172))),NA())</f>
        <v>0</v>
      </c>
      <c r="AD184" s="5">
        <f>IF(ISNUMBER(AD10),AD10/MAX(1,_xlfn.AGGREGATE(4,6,INDEX($D$10:$AD$10,MAX(1,$D$172+1-$D$183)):INDEX($D$10:$AD$10,$D$172)),_xlfn.AGGREGATE(4,6,INDEX($D$11:$AD$11,MAX(1,$D$172+1-$D$183)):INDEX($D$11:$AD$11,$D$172))),NA())</f>
        <v>0</v>
      </c>
    </row>
    <row r="185" spans="1:95">
      <c r="A185" s="11" t="s">
        <v>437</v>
      </c>
      <c r="B185" s="11" t="s">
        <v>438</v>
      </c>
      <c r="C185" s="3" t="s">
        <v>137</v>
      </c>
      <c r="D185" s="11">
        <f>IF(ISNUMBER(D10),FIXED(D10,0)&amp;REPT(_xlfn.UNICHAR(160),2),"")</f>
        <v>0</v>
      </c>
      <c r="E185" s="11">
        <f>IF(ISNUMBER(E10),FIXED(E10,0)&amp;REPT(_xlfn.UNICHAR(160),2),"")</f>
        <v>0</v>
      </c>
      <c r="F185" s="11">
        <f>IF(ISNUMBER(F10),FIXED(F10,0)&amp;REPT(_xlfn.UNICHAR(160),2),"")</f>
        <v>0</v>
      </c>
      <c r="G185" s="11">
        <f>IF(ISNUMBER(G10),FIXED(G10,0)&amp;REPT(_xlfn.UNICHAR(160),2),"")</f>
        <v>0</v>
      </c>
      <c r="H185" s="11">
        <f>IF(ISNUMBER(H10),FIXED(H10,0)&amp;REPT(_xlfn.UNICHAR(160),2),"")</f>
        <v>0</v>
      </c>
      <c r="I185" s="11">
        <f>IF(ISNUMBER(I10),FIXED(I10,0)&amp;REPT(_xlfn.UNICHAR(160),2),"")</f>
        <v>0</v>
      </c>
      <c r="J185" s="11">
        <f>IF(ISNUMBER(J10),FIXED(J10,0)&amp;REPT(_xlfn.UNICHAR(160),2),"")</f>
        <v>0</v>
      </c>
      <c r="K185" s="11">
        <f>IF(ISNUMBER(K10),FIXED(K10,0)&amp;REPT(_xlfn.UNICHAR(160),2),"")</f>
        <v>0</v>
      </c>
      <c r="L185" s="11">
        <f>IF(ISNUMBER(L10),FIXED(L10,0)&amp;REPT(_xlfn.UNICHAR(160),2),"")</f>
        <v>0</v>
      </c>
      <c r="M185" s="11">
        <f>IF(ISNUMBER(M10),FIXED(M10,0)&amp;REPT(_xlfn.UNICHAR(160),2),"")</f>
        <v>0</v>
      </c>
      <c r="N185" s="11">
        <f>IF(ISNUMBER(N10),FIXED(N10,0)&amp;REPT(_xlfn.UNICHAR(160),2),"")</f>
        <v>0</v>
      </c>
      <c r="O185" s="11">
        <f>IF(ISNUMBER(O10),FIXED(O10,0)&amp;REPT(_xlfn.UNICHAR(160),2),"")</f>
        <v>0</v>
      </c>
      <c r="P185" s="11">
        <f>IF(ISNUMBER(P10),FIXED(P10,0)&amp;REPT(_xlfn.UNICHAR(160),2),"")</f>
        <v>0</v>
      </c>
      <c r="Q185" s="11">
        <f>IF(ISNUMBER(Q10),FIXED(Q10,0)&amp;REPT(_xlfn.UNICHAR(160),2),"")</f>
        <v>0</v>
      </c>
      <c r="R185" s="11">
        <f>IF(ISNUMBER(R10),FIXED(R10,0)&amp;REPT(_xlfn.UNICHAR(160),2),"")</f>
        <v>0</v>
      </c>
      <c r="S185" s="11">
        <f>IF(ISNUMBER(S10),FIXED(S10,0)&amp;REPT(_xlfn.UNICHAR(160),2),"")</f>
        <v>0</v>
      </c>
      <c r="T185" s="11">
        <f>IF(ISNUMBER(T10),FIXED(T10,0)&amp;REPT(_xlfn.UNICHAR(160),2),"")</f>
        <v>0</v>
      </c>
      <c r="U185" s="11">
        <f>IF(ISNUMBER(U10),FIXED(U10,0)&amp;REPT(_xlfn.UNICHAR(160),2),"")</f>
        <v>0</v>
      </c>
      <c r="V185" s="11">
        <f>IF(ISNUMBER(V10),FIXED(V10,0)&amp;REPT(_xlfn.UNICHAR(160),2),"")</f>
        <v>0</v>
      </c>
      <c r="W185" s="11">
        <f>IF(ISNUMBER(W10),FIXED(W10,0)&amp;REPT(_xlfn.UNICHAR(160),2),"")</f>
        <v>0</v>
      </c>
      <c r="X185" s="11">
        <f>IF(ISNUMBER(X10),FIXED(X10,0)&amp;REPT(_xlfn.UNICHAR(160),2),"")</f>
        <v>0</v>
      </c>
      <c r="Y185" s="11">
        <f>IF(ISNUMBER(Y10),FIXED(Y10,0)&amp;REPT(_xlfn.UNICHAR(160),2),"")</f>
        <v>0</v>
      </c>
      <c r="Z185" s="11">
        <f>IF(ISNUMBER(Z10),FIXED(Z10,0)&amp;REPT(_xlfn.UNICHAR(160),2),"")</f>
        <v>0</v>
      </c>
      <c r="AA185" s="11">
        <f>IF(ISNUMBER(AA10),FIXED(AA10,0)&amp;REPT(_xlfn.UNICHAR(160),2),"")</f>
        <v>0</v>
      </c>
      <c r="AB185" s="11">
        <f>IF(ISNUMBER(AB10),FIXED(AB10,0)&amp;REPT(_xlfn.UNICHAR(160),2),"")</f>
        <v>0</v>
      </c>
      <c r="AC185" s="11">
        <f>IF(ISNUMBER(AC10),FIXED(AC10,0)&amp;REPT(_xlfn.UNICHAR(160),2),"")</f>
        <v>0</v>
      </c>
      <c r="AD185" s="11">
        <f>IF(ISNUMBER(AD10),FIXED(AD10,0)&amp;REPT(_xlfn.UNICHAR(160),2),"")</f>
        <v>0</v>
      </c>
    </row>
    <row r="186" spans="1:95">
      <c r="A186" s="11" t="s">
        <v>439</v>
      </c>
      <c r="B186" s="11" t="s">
        <v>440</v>
      </c>
      <c r="C186" s="3" t="s">
        <v>137</v>
      </c>
      <c r="D186" s="5">
        <f>IF(ISNUMBER(D11),D11/MAX(1,_xlfn.AGGREGATE(4,6,INDEX($D$10:$AD$10,MAX(1,$D$172+1-$D$183)):INDEX($D$10:$AD$10,$D$172)),_xlfn.AGGREGATE(4,6,INDEX($D$11:$AD$11,MAX(1,$D$172+1-$D$183)):INDEX($D$11:$AD$11,$D$172))),NA())</f>
        <v>0</v>
      </c>
      <c r="E186" s="5">
        <f>IF(ISNUMBER(E11),E11/MAX(1,_xlfn.AGGREGATE(4,6,INDEX($D$10:$AD$10,MAX(1,$D$172+1-$D$183)):INDEX($D$10:$AD$10,$D$172)),_xlfn.AGGREGATE(4,6,INDEX($D$11:$AD$11,MAX(1,$D$172+1-$D$183)):INDEX($D$11:$AD$11,$D$172))),NA())</f>
        <v>0</v>
      </c>
      <c r="F186" s="5">
        <f>IF(ISNUMBER(F11),F11/MAX(1,_xlfn.AGGREGATE(4,6,INDEX($D$10:$AD$10,MAX(1,$D$172+1-$D$183)):INDEX($D$10:$AD$10,$D$172)),_xlfn.AGGREGATE(4,6,INDEX($D$11:$AD$11,MAX(1,$D$172+1-$D$183)):INDEX($D$11:$AD$11,$D$172))),NA())</f>
        <v>0</v>
      </c>
      <c r="G186" s="5">
        <f>IF(ISNUMBER(G11),G11/MAX(1,_xlfn.AGGREGATE(4,6,INDEX($D$10:$AD$10,MAX(1,$D$172+1-$D$183)):INDEX($D$10:$AD$10,$D$172)),_xlfn.AGGREGATE(4,6,INDEX($D$11:$AD$11,MAX(1,$D$172+1-$D$183)):INDEX($D$11:$AD$11,$D$172))),NA())</f>
        <v>0</v>
      </c>
      <c r="H186" s="5">
        <f>IF(ISNUMBER(H11),H11/MAX(1,_xlfn.AGGREGATE(4,6,INDEX($D$10:$AD$10,MAX(1,$D$172+1-$D$183)):INDEX($D$10:$AD$10,$D$172)),_xlfn.AGGREGATE(4,6,INDEX($D$11:$AD$11,MAX(1,$D$172+1-$D$183)):INDEX($D$11:$AD$11,$D$172))),NA())</f>
        <v>0</v>
      </c>
      <c r="I186" s="5">
        <f>IF(ISNUMBER(I11),I11/MAX(1,_xlfn.AGGREGATE(4,6,INDEX($D$10:$AD$10,MAX(1,$D$172+1-$D$183)):INDEX($D$10:$AD$10,$D$172)),_xlfn.AGGREGATE(4,6,INDEX($D$11:$AD$11,MAX(1,$D$172+1-$D$183)):INDEX($D$11:$AD$11,$D$172))),NA())</f>
        <v>0</v>
      </c>
      <c r="J186" s="5">
        <f>IF(ISNUMBER(J11),J11/MAX(1,_xlfn.AGGREGATE(4,6,INDEX($D$10:$AD$10,MAX(1,$D$172+1-$D$183)):INDEX($D$10:$AD$10,$D$172)),_xlfn.AGGREGATE(4,6,INDEX($D$11:$AD$11,MAX(1,$D$172+1-$D$183)):INDEX($D$11:$AD$11,$D$172))),NA())</f>
        <v>0</v>
      </c>
      <c r="K186" s="5">
        <f>IF(ISNUMBER(K11),K11/MAX(1,_xlfn.AGGREGATE(4,6,INDEX($D$10:$AD$10,MAX(1,$D$172+1-$D$183)):INDEX($D$10:$AD$10,$D$172)),_xlfn.AGGREGATE(4,6,INDEX($D$11:$AD$11,MAX(1,$D$172+1-$D$183)):INDEX($D$11:$AD$11,$D$172))),NA())</f>
        <v>0</v>
      </c>
      <c r="L186" s="5">
        <f>IF(ISNUMBER(L11),L11/MAX(1,_xlfn.AGGREGATE(4,6,INDEX($D$10:$AD$10,MAX(1,$D$172+1-$D$183)):INDEX($D$10:$AD$10,$D$172)),_xlfn.AGGREGATE(4,6,INDEX($D$11:$AD$11,MAX(1,$D$172+1-$D$183)):INDEX($D$11:$AD$11,$D$172))),NA())</f>
        <v>0</v>
      </c>
      <c r="M186" s="5">
        <f>IF(ISNUMBER(M11),M11/MAX(1,_xlfn.AGGREGATE(4,6,INDEX($D$10:$AD$10,MAX(1,$D$172+1-$D$183)):INDEX($D$10:$AD$10,$D$172)),_xlfn.AGGREGATE(4,6,INDEX($D$11:$AD$11,MAX(1,$D$172+1-$D$183)):INDEX($D$11:$AD$11,$D$172))),NA())</f>
        <v>0</v>
      </c>
      <c r="N186" s="5">
        <f>IF(ISNUMBER(N11),N11/MAX(1,_xlfn.AGGREGATE(4,6,INDEX($D$10:$AD$10,MAX(1,$D$172+1-$D$183)):INDEX($D$10:$AD$10,$D$172)),_xlfn.AGGREGATE(4,6,INDEX($D$11:$AD$11,MAX(1,$D$172+1-$D$183)):INDEX($D$11:$AD$11,$D$172))),NA())</f>
        <v>0</v>
      </c>
      <c r="O186" s="5">
        <f>IF(ISNUMBER(O11),O11/MAX(1,_xlfn.AGGREGATE(4,6,INDEX($D$10:$AD$10,MAX(1,$D$172+1-$D$183)):INDEX($D$10:$AD$10,$D$172)),_xlfn.AGGREGATE(4,6,INDEX($D$11:$AD$11,MAX(1,$D$172+1-$D$183)):INDEX($D$11:$AD$11,$D$172))),NA())</f>
        <v>0</v>
      </c>
      <c r="P186" s="5">
        <f>IF(ISNUMBER(P11),P11/MAX(1,_xlfn.AGGREGATE(4,6,INDEX($D$10:$AD$10,MAX(1,$D$172+1-$D$183)):INDEX($D$10:$AD$10,$D$172)),_xlfn.AGGREGATE(4,6,INDEX($D$11:$AD$11,MAX(1,$D$172+1-$D$183)):INDEX($D$11:$AD$11,$D$172))),NA())</f>
        <v>0</v>
      </c>
      <c r="Q186" s="5">
        <f>IF(ISNUMBER(Q11),Q11/MAX(1,_xlfn.AGGREGATE(4,6,INDEX($D$10:$AD$10,MAX(1,$D$172+1-$D$183)):INDEX($D$10:$AD$10,$D$172)),_xlfn.AGGREGATE(4,6,INDEX($D$11:$AD$11,MAX(1,$D$172+1-$D$183)):INDEX($D$11:$AD$11,$D$172))),NA())</f>
        <v>0</v>
      </c>
      <c r="R186" s="5">
        <f>IF(ISNUMBER(R11),R11/MAX(1,_xlfn.AGGREGATE(4,6,INDEX($D$10:$AD$10,MAX(1,$D$172+1-$D$183)):INDEX($D$10:$AD$10,$D$172)),_xlfn.AGGREGATE(4,6,INDEX($D$11:$AD$11,MAX(1,$D$172+1-$D$183)):INDEX($D$11:$AD$11,$D$172))),NA())</f>
        <v>0</v>
      </c>
      <c r="S186" s="5">
        <f>IF(ISNUMBER(S11),S11/MAX(1,_xlfn.AGGREGATE(4,6,INDEX($D$10:$AD$10,MAX(1,$D$172+1-$D$183)):INDEX($D$10:$AD$10,$D$172)),_xlfn.AGGREGATE(4,6,INDEX($D$11:$AD$11,MAX(1,$D$172+1-$D$183)):INDEX($D$11:$AD$11,$D$172))),NA())</f>
        <v>0</v>
      </c>
      <c r="T186" s="5">
        <f>IF(ISNUMBER(T11),T11/MAX(1,_xlfn.AGGREGATE(4,6,INDEX($D$10:$AD$10,MAX(1,$D$172+1-$D$183)):INDEX($D$10:$AD$10,$D$172)),_xlfn.AGGREGATE(4,6,INDEX($D$11:$AD$11,MAX(1,$D$172+1-$D$183)):INDEX($D$11:$AD$11,$D$172))),NA())</f>
        <v>0</v>
      </c>
      <c r="U186" s="5">
        <f>IF(ISNUMBER(U11),U11/MAX(1,_xlfn.AGGREGATE(4,6,INDEX($D$10:$AD$10,MAX(1,$D$172+1-$D$183)):INDEX($D$10:$AD$10,$D$172)),_xlfn.AGGREGATE(4,6,INDEX($D$11:$AD$11,MAX(1,$D$172+1-$D$183)):INDEX($D$11:$AD$11,$D$172))),NA())</f>
        <v>0</v>
      </c>
      <c r="V186" s="5">
        <f>IF(ISNUMBER(V11),V11/MAX(1,_xlfn.AGGREGATE(4,6,INDEX($D$10:$AD$10,MAX(1,$D$172+1-$D$183)):INDEX($D$10:$AD$10,$D$172)),_xlfn.AGGREGATE(4,6,INDEX($D$11:$AD$11,MAX(1,$D$172+1-$D$183)):INDEX($D$11:$AD$11,$D$172))),NA())</f>
        <v>0</v>
      </c>
      <c r="W186" s="5">
        <f>IF(ISNUMBER(W11),W11/MAX(1,_xlfn.AGGREGATE(4,6,INDEX($D$10:$AD$10,MAX(1,$D$172+1-$D$183)):INDEX($D$10:$AD$10,$D$172)),_xlfn.AGGREGATE(4,6,INDEX($D$11:$AD$11,MAX(1,$D$172+1-$D$183)):INDEX($D$11:$AD$11,$D$172))),NA())</f>
        <v>0</v>
      </c>
      <c r="X186" s="5">
        <f>IF(ISNUMBER(X11),X11/MAX(1,_xlfn.AGGREGATE(4,6,INDEX($D$10:$AD$10,MAX(1,$D$172+1-$D$183)):INDEX($D$10:$AD$10,$D$172)),_xlfn.AGGREGATE(4,6,INDEX($D$11:$AD$11,MAX(1,$D$172+1-$D$183)):INDEX($D$11:$AD$11,$D$172))),NA())</f>
        <v>0</v>
      </c>
      <c r="Y186" s="5">
        <f>IF(ISNUMBER(Y11),Y11/MAX(1,_xlfn.AGGREGATE(4,6,INDEX($D$10:$AD$10,MAX(1,$D$172+1-$D$183)):INDEX($D$10:$AD$10,$D$172)),_xlfn.AGGREGATE(4,6,INDEX($D$11:$AD$11,MAX(1,$D$172+1-$D$183)):INDEX($D$11:$AD$11,$D$172))),NA())</f>
        <v>0</v>
      </c>
      <c r="Z186" s="5">
        <f>IF(ISNUMBER(Z11),Z11/MAX(1,_xlfn.AGGREGATE(4,6,INDEX($D$10:$AD$10,MAX(1,$D$172+1-$D$183)):INDEX($D$10:$AD$10,$D$172)),_xlfn.AGGREGATE(4,6,INDEX($D$11:$AD$11,MAX(1,$D$172+1-$D$183)):INDEX($D$11:$AD$11,$D$172))),NA())</f>
        <v>0</v>
      </c>
      <c r="AA186" s="5">
        <f>IF(ISNUMBER(AA11),AA11/MAX(1,_xlfn.AGGREGATE(4,6,INDEX($D$10:$AD$10,MAX(1,$D$172+1-$D$183)):INDEX($D$10:$AD$10,$D$172)),_xlfn.AGGREGATE(4,6,INDEX($D$11:$AD$11,MAX(1,$D$172+1-$D$183)):INDEX($D$11:$AD$11,$D$172))),NA())</f>
        <v>0</v>
      </c>
      <c r="AB186" s="5">
        <f>IF(ISNUMBER(AB11),AB11/MAX(1,_xlfn.AGGREGATE(4,6,INDEX($D$10:$AD$10,MAX(1,$D$172+1-$D$183)):INDEX($D$10:$AD$10,$D$172)),_xlfn.AGGREGATE(4,6,INDEX($D$11:$AD$11,MAX(1,$D$172+1-$D$183)):INDEX($D$11:$AD$11,$D$172))),NA())</f>
        <v>0</v>
      </c>
      <c r="AC186" s="5">
        <f>IF(ISNUMBER(AC11),AC11/MAX(1,_xlfn.AGGREGATE(4,6,INDEX($D$10:$AD$10,MAX(1,$D$172+1-$D$183)):INDEX($D$10:$AD$10,$D$172)),_xlfn.AGGREGATE(4,6,INDEX($D$11:$AD$11,MAX(1,$D$172+1-$D$183)):INDEX($D$11:$AD$11,$D$172))),NA())</f>
        <v>0</v>
      </c>
      <c r="AD186" s="5">
        <f>IF(ISNUMBER(AD11),AD11/MAX(1,_xlfn.AGGREGATE(4,6,INDEX($D$10:$AD$10,MAX(1,$D$172+1-$D$183)):INDEX($D$10:$AD$10,$D$172)),_xlfn.AGGREGATE(4,6,INDEX($D$11:$AD$11,MAX(1,$D$172+1-$D$183)):INDEX($D$11:$AD$11,$D$172))),NA())</f>
        <v>0</v>
      </c>
    </row>
    <row r="187" spans="1:95">
      <c r="A187" s="11" t="s">
        <v>441</v>
      </c>
      <c r="B187" s="11" t="s">
        <v>442</v>
      </c>
      <c r="C187" s="3" t="s">
        <v>137</v>
      </c>
      <c r="D187" s="11">
        <f>IF(ISNUMBER(D11),REPT(_xlfn.UNICHAR(160),2)&amp;FIXED(D11,0),"")</f>
        <v>0</v>
      </c>
      <c r="E187" s="11">
        <f>IF(ISNUMBER(E11),REPT(_xlfn.UNICHAR(160),2)&amp;FIXED(E11,0),"")</f>
        <v>0</v>
      </c>
      <c r="F187" s="11">
        <f>IF(ISNUMBER(F11),REPT(_xlfn.UNICHAR(160),2)&amp;FIXED(F11,0),"")</f>
        <v>0</v>
      </c>
      <c r="G187" s="11">
        <f>IF(ISNUMBER(G11),REPT(_xlfn.UNICHAR(160),2)&amp;FIXED(G11,0),"")</f>
        <v>0</v>
      </c>
      <c r="H187" s="11">
        <f>IF(ISNUMBER(H11),REPT(_xlfn.UNICHAR(160),2)&amp;FIXED(H11,0),"")</f>
        <v>0</v>
      </c>
      <c r="I187" s="11">
        <f>IF(ISNUMBER(I11),REPT(_xlfn.UNICHAR(160),2)&amp;FIXED(I11,0),"")</f>
        <v>0</v>
      </c>
      <c r="J187" s="11">
        <f>IF(ISNUMBER(J11),REPT(_xlfn.UNICHAR(160),2)&amp;FIXED(J11,0),"")</f>
        <v>0</v>
      </c>
      <c r="K187" s="11">
        <f>IF(ISNUMBER(K11),REPT(_xlfn.UNICHAR(160),2)&amp;FIXED(K11,0),"")</f>
        <v>0</v>
      </c>
      <c r="L187" s="11">
        <f>IF(ISNUMBER(L11),REPT(_xlfn.UNICHAR(160),2)&amp;FIXED(L11,0),"")</f>
        <v>0</v>
      </c>
      <c r="M187" s="11">
        <f>IF(ISNUMBER(M11),REPT(_xlfn.UNICHAR(160),2)&amp;FIXED(M11,0),"")</f>
        <v>0</v>
      </c>
      <c r="N187" s="11">
        <f>IF(ISNUMBER(N11),REPT(_xlfn.UNICHAR(160),2)&amp;FIXED(N11,0),"")</f>
        <v>0</v>
      </c>
      <c r="O187" s="11">
        <f>IF(ISNUMBER(O11),REPT(_xlfn.UNICHAR(160),2)&amp;FIXED(O11,0),"")</f>
        <v>0</v>
      </c>
      <c r="P187" s="11">
        <f>IF(ISNUMBER(P11),REPT(_xlfn.UNICHAR(160),2)&amp;FIXED(P11,0),"")</f>
        <v>0</v>
      </c>
      <c r="Q187" s="11">
        <f>IF(ISNUMBER(Q11),REPT(_xlfn.UNICHAR(160),2)&amp;FIXED(Q11,0),"")</f>
        <v>0</v>
      </c>
      <c r="R187" s="11">
        <f>IF(ISNUMBER(R11),REPT(_xlfn.UNICHAR(160),2)&amp;FIXED(R11,0),"")</f>
        <v>0</v>
      </c>
      <c r="S187" s="11">
        <f>IF(ISNUMBER(S11),REPT(_xlfn.UNICHAR(160),2)&amp;FIXED(S11,0),"")</f>
        <v>0</v>
      </c>
      <c r="T187" s="11">
        <f>IF(ISNUMBER(T11),REPT(_xlfn.UNICHAR(160),2)&amp;FIXED(T11,0),"")</f>
        <v>0</v>
      </c>
      <c r="U187" s="11">
        <f>IF(ISNUMBER(U11),REPT(_xlfn.UNICHAR(160),2)&amp;FIXED(U11,0),"")</f>
        <v>0</v>
      </c>
      <c r="V187" s="11">
        <f>IF(ISNUMBER(V11),REPT(_xlfn.UNICHAR(160),2)&amp;FIXED(V11,0),"")</f>
        <v>0</v>
      </c>
      <c r="W187" s="11">
        <f>IF(ISNUMBER(W11),REPT(_xlfn.UNICHAR(160),2)&amp;FIXED(W11,0),"")</f>
        <v>0</v>
      </c>
      <c r="X187" s="11">
        <f>IF(ISNUMBER(X11),REPT(_xlfn.UNICHAR(160),2)&amp;FIXED(X11,0),"")</f>
        <v>0</v>
      </c>
      <c r="Y187" s="11">
        <f>IF(ISNUMBER(Y11),REPT(_xlfn.UNICHAR(160),2)&amp;FIXED(Y11,0),"")</f>
        <v>0</v>
      </c>
      <c r="Z187" s="11">
        <f>IF(ISNUMBER(Z11),REPT(_xlfn.UNICHAR(160),2)&amp;FIXED(Z11,0),"")</f>
        <v>0</v>
      </c>
      <c r="AA187" s="11">
        <f>IF(ISNUMBER(AA11),REPT(_xlfn.UNICHAR(160),2)&amp;FIXED(AA11,0),"")</f>
        <v>0</v>
      </c>
      <c r="AB187" s="11">
        <f>IF(ISNUMBER(AB11),REPT(_xlfn.UNICHAR(160),2)&amp;FIXED(AB11,0),"")</f>
        <v>0</v>
      </c>
      <c r="AC187" s="11">
        <f>IF(ISNUMBER(AC11),REPT(_xlfn.UNICHAR(160),2)&amp;FIXED(AC11,0),"")</f>
        <v>0</v>
      </c>
      <c r="AD187" s="11">
        <f>IF(ISNUMBER(AD11),REPT(_xlfn.UNICHAR(160),2)&amp;FIXED(AD11,0),"")</f>
        <v>0</v>
      </c>
    </row>
    <row r="188" spans="1:95">
      <c r="A188" s="11" t="s">
        <v>443</v>
      </c>
      <c r="B188" s="11" t="s">
        <v>444</v>
      </c>
      <c r="C188" s="3" t="s">
        <v>137</v>
      </c>
      <c r="D188" s="5">
        <f>IF(ISNUMBER(D10),IF(AND(D184&gt;=IFERROR(D186,-9),D184-IFERROR(D186,-9)&lt;0.28322),D186+0.28322,D184),NA())</f>
        <v>0</v>
      </c>
      <c r="E188" s="5">
        <f>IF(ISNUMBER(E10),IF(AND(E184&gt;=IFERROR(E186,-9),E184-IFERROR(E186,-9)&lt;0.28322),E186+0.28322,E184),NA())</f>
        <v>0</v>
      </c>
      <c r="F188" s="5">
        <f>IF(ISNUMBER(F10),IF(AND(F184&gt;=IFERROR(F186,-9),F184-IFERROR(F186,-9)&lt;0.28322),F186+0.28322,F184),NA())</f>
        <v>0</v>
      </c>
      <c r="G188" s="5">
        <f>IF(ISNUMBER(G10),IF(AND(G184&gt;=IFERROR(G186,-9),G184-IFERROR(G186,-9)&lt;0.28322),G186+0.28322,G184),NA())</f>
        <v>0</v>
      </c>
      <c r="H188" s="5">
        <f>IF(ISNUMBER(H10),IF(AND(H184&gt;=IFERROR(H186,-9),H184-IFERROR(H186,-9)&lt;0.28322),H186+0.28322,H184),NA())</f>
        <v>0</v>
      </c>
      <c r="I188" s="5">
        <f>IF(ISNUMBER(I10),IF(AND(I184&gt;=IFERROR(I186,-9),I184-IFERROR(I186,-9)&lt;0.28322),I186+0.28322,I184),NA())</f>
        <v>0</v>
      </c>
      <c r="J188" s="5">
        <f>IF(ISNUMBER(J10),IF(AND(J184&gt;=IFERROR(J186,-9),J184-IFERROR(J186,-9)&lt;0.28322),J186+0.28322,J184),NA())</f>
        <v>0</v>
      </c>
      <c r="K188" s="5">
        <f>IF(ISNUMBER(K10),IF(AND(K184&gt;=IFERROR(K186,-9),K184-IFERROR(K186,-9)&lt;0.28322),K186+0.28322,K184),NA())</f>
        <v>0</v>
      </c>
      <c r="L188" s="5">
        <f>IF(ISNUMBER(L10),IF(AND(L184&gt;=IFERROR(L186,-9),L184-IFERROR(L186,-9)&lt;0.28322),L186+0.28322,L184),NA())</f>
        <v>0</v>
      </c>
      <c r="M188" s="5">
        <f>IF(ISNUMBER(M10),IF(AND(M184&gt;=IFERROR(M186,-9),M184-IFERROR(M186,-9)&lt;0.28322),M186+0.28322,M184),NA())</f>
        <v>0</v>
      </c>
      <c r="N188" s="5">
        <f>IF(ISNUMBER(N10),IF(AND(N184&gt;=IFERROR(N186,-9),N184-IFERROR(N186,-9)&lt;0.28322),N186+0.28322,N184),NA())</f>
        <v>0</v>
      </c>
      <c r="O188" s="5">
        <f>IF(ISNUMBER(O10),IF(AND(O184&gt;=IFERROR(O186,-9),O184-IFERROR(O186,-9)&lt;0.28322),O186+0.28322,O184),NA())</f>
        <v>0</v>
      </c>
      <c r="P188" s="5">
        <f>IF(ISNUMBER(P10),IF(AND(P184&gt;=IFERROR(P186,-9),P184-IFERROR(P186,-9)&lt;0.28322),P186+0.28322,P184),NA())</f>
        <v>0</v>
      </c>
      <c r="Q188" s="5">
        <f>IF(ISNUMBER(Q10),IF(AND(Q184&gt;=IFERROR(Q186,-9),Q184-IFERROR(Q186,-9)&lt;0.28322),Q186+0.28322,Q184),NA())</f>
        <v>0</v>
      </c>
      <c r="R188" s="5">
        <f>IF(ISNUMBER(R10),IF(AND(R184&gt;=IFERROR(R186,-9),R184-IFERROR(R186,-9)&lt;0.28322),R186+0.28322,R184),NA())</f>
        <v>0</v>
      </c>
      <c r="S188" s="5">
        <f>IF(ISNUMBER(S10),IF(AND(S184&gt;=IFERROR(S186,-9),S184-IFERROR(S186,-9)&lt;0.28322),S186+0.28322,S184),NA())</f>
        <v>0</v>
      </c>
      <c r="T188" s="5">
        <f>IF(ISNUMBER(T10),IF(AND(T184&gt;=IFERROR(T186,-9),T184-IFERROR(T186,-9)&lt;0.28322),T186+0.28322,T184),NA())</f>
        <v>0</v>
      </c>
      <c r="U188" s="5">
        <f>IF(ISNUMBER(U10),IF(AND(U184&gt;=IFERROR(U186,-9),U184-IFERROR(U186,-9)&lt;0.28322),U186+0.28322,U184),NA())</f>
        <v>0</v>
      </c>
      <c r="V188" s="5">
        <f>IF(ISNUMBER(V10),IF(AND(V184&gt;=IFERROR(V186,-9),V184-IFERROR(V186,-9)&lt;0.28322),V186+0.28322,V184),NA())</f>
        <v>0</v>
      </c>
      <c r="W188" s="5">
        <f>IF(ISNUMBER(W10),IF(AND(W184&gt;=IFERROR(W186,-9),W184-IFERROR(W186,-9)&lt;0.28322),W186+0.28322,W184),NA())</f>
        <v>0</v>
      </c>
      <c r="X188" s="5">
        <f>IF(ISNUMBER(X10),IF(AND(X184&gt;=IFERROR(X186,-9),X184-IFERROR(X186,-9)&lt;0.28322),X186+0.28322,X184),NA())</f>
        <v>0</v>
      </c>
      <c r="Y188" s="5">
        <f>IF(ISNUMBER(Y10),IF(AND(Y184&gt;=IFERROR(Y186,-9),Y184-IFERROR(Y186,-9)&lt;0.28322),Y186+0.28322,Y184),NA())</f>
        <v>0</v>
      </c>
      <c r="Z188" s="5">
        <f>IF(ISNUMBER(Z10),IF(AND(Z184&gt;=IFERROR(Z186,-9),Z184-IFERROR(Z186,-9)&lt;0.28322),Z186+0.28322,Z184),NA())</f>
        <v>0</v>
      </c>
      <c r="AA188" s="5">
        <f>IF(ISNUMBER(AA10),IF(AND(AA184&gt;=IFERROR(AA186,-9),AA184-IFERROR(AA186,-9)&lt;0.28322),AA186+0.28322,AA184),NA())</f>
        <v>0</v>
      </c>
      <c r="AB188" s="5">
        <f>IF(ISNUMBER(AB10),IF(AND(AB184&gt;=IFERROR(AB186,-9),AB184-IFERROR(AB186,-9)&lt;0.28322),AB186+0.28322,AB184),NA())</f>
        <v>0</v>
      </c>
      <c r="AC188" s="5">
        <f>IF(ISNUMBER(AC10),IF(AND(AC184&gt;=IFERROR(AC186,-9),AC184-IFERROR(AC186,-9)&lt;0.28322),AC186+0.28322,AC184),NA())</f>
        <v>0</v>
      </c>
      <c r="AD188" s="5">
        <f>IF(ISNUMBER(AD10),IF(AND(AD184&gt;=IFERROR(AD186,-9),AD184-IFERROR(AD186,-9)&lt;0.28322),AD186+0.28322,AD184),NA())</f>
        <v>0</v>
      </c>
    </row>
    <row r="189" spans="1:95">
      <c r="A189" s="11" t="s">
        <v>445</v>
      </c>
      <c r="B189" s="11" t="s">
        <v>446</v>
      </c>
      <c r="C189" s="3" t="s">
        <v>137</v>
      </c>
      <c r="D189" s="5">
        <f>IF(ISNUMBER(D11),IF(AND(D186&gt;IFERROR(D184,-9),D186-IFERROR(D184,-9)&lt;0.28322),D184+0.28322,D186),NA())</f>
        <v>0</v>
      </c>
      <c r="E189" s="5">
        <f>IF(ISNUMBER(E11),IF(AND(E186&gt;IFERROR(E184,-9),E186-IFERROR(E184,-9)&lt;0.28322),E184+0.28322,E186),NA())</f>
        <v>0</v>
      </c>
      <c r="F189" s="5">
        <f>IF(ISNUMBER(F11),IF(AND(F186&gt;IFERROR(F184,-9),F186-IFERROR(F184,-9)&lt;0.28322),F184+0.28322,F186),NA())</f>
        <v>0</v>
      </c>
      <c r="G189" s="5">
        <f>IF(ISNUMBER(G11),IF(AND(G186&gt;IFERROR(G184,-9),G186-IFERROR(G184,-9)&lt;0.28322),G184+0.28322,G186),NA())</f>
        <v>0</v>
      </c>
      <c r="H189" s="5">
        <f>IF(ISNUMBER(H11),IF(AND(H186&gt;IFERROR(H184,-9),H186-IFERROR(H184,-9)&lt;0.28322),H184+0.28322,H186),NA())</f>
        <v>0</v>
      </c>
      <c r="I189" s="5">
        <f>IF(ISNUMBER(I11),IF(AND(I186&gt;IFERROR(I184,-9),I186-IFERROR(I184,-9)&lt;0.28322),I184+0.28322,I186),NA())</f>
        <v>0</v>
      </c>
      <c r="J189" s="5">
        <f>IF(ISNUMBER(J11),IF(AND(J186&gt;IFERROR(J184,-9),J186-IFERROR(J184,-9)&lt;0.28322),J184+0.28322,J186),NA())</f>
        <v>0</v>
      </c>
      <c r="K189" s="5">
        <f>IF(ISNUMBER(K11),IF(AND(K186&gt;IFERROR(K184,-9),K186-IFERROR(K184,-9)&lt;0.28322),K184+0.28322,K186),NA())</f>
        <v>0</v>
      </c>
      <c r="L189" s="5">
        <f>IF(ISNUMBER(L11),IF(AND(L186&gt;IFERROR(L184,-9),L186-IFERROR(L184,-9)&lt;0.28322),L184+0.28322,L186),NA())</f>
        <v>0</v>
      </c>
      <c r="M189" s="5">
        <f>IF(ISNUMBER(M11),IF(AND(M186&gt;IFERROR(M184,-9),M186-IFERROR(M184,-9)&lt;0.28322),M184+0.28322,M186),NA())</f>
        <v>0</v>
      </c>
      <c r="N189" s="5">
        <f>IF(ISNUMBER(N11),IF(AND(N186&gt;IFERROR(N184,-9),N186-IFERROR(N184,-9)&lt;0.28322),N184+0.28322,N186),NA())</f>
        <v>0</v>
      </c>
      <c r="O189" s="5">
        <f>IF(ISNUMBER(O11),IF(AND(O186&gt;IFERROR(O184,-9),O186-IFERROR(O184,-9)&lt;0.28322),O184+0.28322,O186),NA())</f>
        <v>0</v>
      </c>
      <c r="P189" s="5">
        <f>IF(ISNUMBER(P11),IF(AND(P186&gt;IFERROR(P184,-9),P186-IFERROR(P184,-9)&lt;0.28322),P184+0.28322,P186),NA())</f>
        <v>0</v>
      </c>
      <c r="Q189" s="5">
        <f>IF(ISNUMBER(Q11),IF(AND(Q186&gt;IFERROR(Q184,-9),Q186-IFERROR(Q184,-9)&lt;0.28322),Q184+0.28322,Q186),NA())</f>
        <v>0</v>
      </c>
      <c r="R189" s="5">
        <f>IF(ISNUMBER(R11),IF(AND(R186&gt;IFERROR(R184,-9),R186-IFERROR(R184,-9)&lt;0.28322),R184+0.28322,R186),NA())</f>
        <v>0</v>
      </c>
      <c r="S189" s="5">
        <f>IF(ISNUMBER(S11),IF(AND(S186&gt;IFERROR(S184,-9),S186-IFERROR(S184,-9)&lt;0.28322),S184+0.28322,S186),NA())</f>
        <v>0</v>
      </c>
      <c r="T189" s="5">
        <f>IF(ISNUMBER(T11),IF(AND(T186&gt;IFERROR(T184,-9),T186-IFERROR(T184,-9)&lt;0.28322),T184+0.28322,T186),NA())</f>
        <v>0</v>
      </c>
      <c r="U189" s="5">
        <f>IF(ISNUMBER(U11),IF(AND(U186&gt;IFERROR(U184,-9),U186-IFERROR(U184,-9)&lt;0.28322),U184+0.28322,U186),NA())</f>
        <v>0</v>
      </c>
      <c r="V189" s="5">
        <f>IF(ISNUMBER(V11),IF(AND(V186&gt;IFERROR(V184,-9),V186-IFERROR(V184,-9)&lt;0.28322),V184+0.28322,V186),NA())</f>
        <v>0</v>
      </c>
      <c r="W189" s="5">
        <f>IF(ISNUMBER(W11),IF(AND(W186&gt;IFERROR(W184,-9),W186-IFERROR(W184,-9)&lt;0.28322),W184+0.28322,W186),NA())</f>
        <v>0</v>
      </c>
      <c r="X189" s="5">
        <f>IF(ISNUMBER(X11),IF(AND(X186&gt;IFERROR(X184,-9),X186-IFERROR(X184,-9)&lt;0.28322),X184+0.28322,X186),NA())</f>
        <v>0</v>
      </c>
      <c r="Y189" s="5">
        <f>IF(ISNUMBER(Y11),IF(AND(Y186&gt;IFERROR(Y184,-9),Y186-IFERROR(Y184,-9)&lt;0.28322),Y184+0.28322,Y186),NA())</f>
        <v>0</v>
      </c>
      <c r="Z189" s="5">
        <f>IF(ISNUMBER(Z11),IF(AND(Z186&gt;IFERROR(Z184,-9),Z186-IFERROR(Z184,-9)&lt;0.28322),Z184+0.28322,Z186),NA())</f>
        <v>0</v>
      </c>
      <c r="AA189" s="5">
        <f>IF(ISNUMBER(AA11),IF(AND(AA186&gt;IFERROR(AA184,-9),AA186-IFERROR(AA184,-9)&lt;0.28322),AA184+0.28322,AA186),NA())</f>
        <v>0</v>
      </c>
      <c r="AB189" s="5">
        <f>IF(ISNUMBER(AB11),IF(AND(AB186&gt;IFERROR(AB184,-9),AB186-IFERROR(AB184,-9)&lt;0.28322),AB184+0.28322,AB186),NA())</f>
        <v>0</v>
      </c>
      <c r="AC189" s="5">
        <f>IF(ISNUMBER(AC11),IF(AND(AC186&gt;IFERROR(AC184,-9),AC186-IFERROR(AC184,-9)&lt;0.28322),AC184+0.28322,AC186),NA())</f>
        <v>0</v>
      </c>
      <c r="AD189" s="5">
        <f>IF(ISNUMBER(AD11),IF(AND(AD186&gt;IFERROR(AD184,-9),AD186-IFERROR(AD184,-9)&lt;0.28322),AD184+0.28322,AD186),NA())</f>
        <v>0</v>
      </c>
    </row>
    <row r="190" spans="1:95">
      <c r="A190" s="11" t="s">
        <v>447</v>
      </c>
      <c r="B190" s="11" t="s">
        <v>448</v>
      </c>
      <c r="C190" s="3" t="s">
        <v>134</v>
      </c>
      <c r="D190" s="5">
        <v>1</v>
      </c>
    </row>
    <row r="191" spans="1:95">
      <c r="A191" s="11" t="s">
        <v>449</v>
      </c>
      <c r="B191" s="11" t="s">
        <v>450</v>
      </c>
      <c r="C191" s="3" t="s">
        <v>137</v>
      </c>
      <c r="D191" s="5">
        <f>IF(AND($D$190=1,ISNUMBER(D10),ISNUMBER(D11)),IF((D10-D11)&gt;0,0.5,NA()),NA())</f>
        <v>0</v>
      </c>
      <c r="E191" s="5">
        <f>IF(AND($D$190=1,ISNUMBER(E10),ISNUMBER(E11)),IF((E10-E11)&gt;0,0.5,NA()),NA())</f>
        <v>0</v>
      </c>
      <c r="F191" s="5">
        <f>IF(AND($D$190=1,ISNUMBER(F10),ISNUMBER(F11)),IF((F10-F11)&gt;0,0.5,NA()),NA())</f>
        <v>0</v>
      </c>
      <c r="G191" s="5">
        <f>IF(AND($D$190=1,ISNUMBER(G10),ISNUMBER(G11)),IF((G10-G11)&gt;0,0.5,NA()),NA())</f>
        <v>0</v>
      </c>
      <c r="H191" s="5">
        <f>IF(AND($D$190=1,ISNUMBER(H10),ISNUMBER(H11)),IF((H10-H11)&gt;0,0.5,NA()),NA())</f>
        <v>0</v>
      </c>
      <c r="I191" s="5">
        <f>IF(AND($D$190=1,ISNUMBER(I10),ISNUMBER(I11)),IF((I10-I11)&gt;0,0.5,NA()),NA())</f>
        <v>0</v>
      </c>
      <c r="J191" s="5">
        <f>IF(AND($D$190=1,ISNUMBER(J10),ISNUMBER(J11)),IF((J10-J11)&gt;0,0.5,NA()),NA())</f>
        <v>0</v>
      </c>
      <c r="K191" s="5">
        <f>IF(AND($D$190=1,ISNUMBER(K10),ISNUMBER(K11)),IF((K10-K11)&gt;0,0.5,NA()),NA())</f>
        <v>0</v>
      </c>
      <c r="L191" s="5">
        <f>IF(AND($D$190=1,ISNUMBER(L10),ISNUMBER(L11)),IF((L10-L11)&gt;0,0.5,NA()),NA())</f>
        <v>0</v>
      </c>
      <c r="M191" s="5">
        <f>IF(AND($D$190=1,ISNUMBER(M10),ISNUMBER(M11)),IF((M10-M11)&gt;0,0.5,NA()),NA())</f>
        <v>0</v>
      </c>
      <c r="N191" s="5">
        <f>IF(AND($D$190=1,ISNUMBER(N10),ISNUMBER(N11)),IF((N10-N11)&gt;0,0.5,NA()),NA())</f>
        <v>0</v>
      </c>
      <c r="O191" s="5">
        <f>IF(AND($D$190=1,ISNUMBER(O10),ISNUMBER(O11)),IF((O10-O11)&gt;0,0.5,NA()),NA())</f>
        <v>0</v>
      </c>
      <c r="P191" s="5">
        <f>IF(AND($D$190=1,ISNUMBER(P10),ISNUMBER(P11)),IF((P10-P11)&gt;0,0.5,NA()),NA())</f>
        <v>0</v>
      </c>
      <c r="Q191" s="5">
        <f>IF(AND($D$190=1,ISNUMBER(Q10),ISNUMBER(Q11)),IF((Q10-Q11)&gt;0,0.5,NA()),NA())</f>
        <v>0</v>
      </c>
      <c r="R191" s="5">
        <f>IF(AND($D$190=1,ISNUMBER(R10),ISNUMBER(R11)),IF((R10-R11)&gt;0,0.5,NA()),NA())</f>
        <v>0</v>
      </c>
      <c r="S191" s="5">
        <f>IF(AND($D$190=1,ISNUMBER(S10),ISNUMBER(S11)),IF((S10-S11)&gt;0,0.5,NA()),NA())</f>
        <v>0</v>
      </c>
      <c r="T191" s="5">
        <f>IF(AND($D$190=1,ISNUMBER(T10),ISNUMBER(T11)),IF((T10-T11)&gt;0,0.5,NA()),NA())</f>
        <v>0</v>
      </c>
      <c r="U191" s="5">
        <f>IF(AND($D$190=1,ISNUMBER(U10),ISNUMBER(U11)),IF((U10-U11)&gt;0,0.5,NA()),NA())</f>
        <v>0</v>
      </c>
      <c r="V191" s="5">
        <f>IF(AND($D$190=1,ISNUMBER(V10),ISNUMBER(V11)),IF((V10-V11)&gt;0,0.5,NA()),NA())</f>
        <v>0</v>
      </c>
      <c r="W191" s="5">
        <f>IF(AND($D$190=1,ISNUMBER(W10),ISNUMBER(W11)),IF((W10-W11)&gt;0,0.5,NA()),NA())</f>
        <v>0</v>
      </c>
      <c r="X191" s="5">
        <f>IF(AND($D$190=1,ISNUMBER(X10),ISNUMBER(X11)),IF((X10-X11)&gt;0,0.5,NA()),NA())</f>
        <v>0</v>
      </c>
      <c r="Y191" s="5">
        <f>IF(AND($D$190=1,ISNUMBER(Y10),ISNUMBER(Y11)),IF((Y10-Y11)&gt;0,0.5,NA()),NA())</f>
        <v>0</v>
      </c>
      <c r="Z191" s="5">
        <f>IF(AND($D$190=1,ISNUMBER(Z10),ISNUMBER(Z11)),IF((Z10-Z11)&gt;0,0.5,NA()),NA())</f>
        <v>0</v>
      </c>
      <c r="AA191" s="5">
        <f>IF(AND($D$190=1,ISNUMBER(AA10),ISNUMBER(AA11)),IF((AA10-AA11)&gt;0,0.5,NA()),NA())</f>
        <v>0</v>
      </c>
      <c r="AB191" s="5">
        <f>IF(AND($D$190=1,ISNUMBER(AB10),ISNUMBER(AB11)),IF((AB10-AB11)&gt;0,0.5,NA()),NA())</f>
        <v>0</v>
      </c>
      <c r="AC191" s="5">
        <f>IF(AND($D$190=1,ISNUMBER(AC10),ISNUMBER(AC11)),IF((AC10-AC11)&gt;0,0.5,NA()),NA())</f>
        <v>0</v>
      </c>
      <c r="AD191" s="5">
        <f>IF(AND($D$190=1,ISNUMBER(AD10),ISNUMBER(AD11)),IF((AD10-AD11)&gt;0,0.5,NA()),NA())</f>
        <v>0</v>
      </c>
    </row>
    <row r="192" spans="1:95">
      <c r="A192" s="11" t="s">
        <v>451</v>
      </c>
      <c r="B192" s="11" t="s">
        <v>452</v>
      </c>
      <c r="C192" s="3" t="s">
        <v>137</v>
      </c>
      <c r="D192" s="5">
        <f>IF(AND($D$190=1,ISNUMBER(D10),ISNUMBER(D11)),IF((D10-D11)&lt;0,0.5,NA()),NA())</f>
        <v>0</v>
      </c>
      <c r="E192" s="5">
        <f>IF(AND($D$190=1,ISNUMBER(E10),ISNUMBER(E11)),IF((E10-E11)&lt;0,0.5,NA()),NA())</f>
        <v>0</v>
      </c>
      <c r="F192" s="5">
        <f>IF(AND($D$190=1,ISNUMBER(F10),ISNUMBER(F11)),IF((F10-F11)&lt;0,0.5,NA()),NA())</f>
        <v>0</v>
      </c>
      <c r="G192" s="5">
        <f>IF(AND($D$190=1,ISNUMBER(G10),ISNUMBER(G11)),IF((G10-G11)&lt;0,0.5,NA()),NA())</f>
        <v>0</v>
      </c>
      <c r="H192" s="5">
        <f>IF(AND($D$190=1,ISNUMBER(H10),ISNUMBER(H11)),IF((H10-H11)&lt;0,0.5,NA()),NA())</f>
        <v>0</v>
      </c>
      <c r="I192" s="5">
        <f>IF(AND($D$190=1,ISNUMBER(I10),ISNUMBER(I11)),IF((I10-I11)&lt;0,0.5,NA()),NA())</f>
        <v>0</v>
      </c>
      <c r="J192" s="5">
        <f>IF(AND($D$190=1,ISNUMBER(J10),ISNUMBER(J11)),IF((J10-J11)&lt;0,0.5,NA()),NA())</f>
        <v>0</v>
      </c>
      <c r="K192" s="5">
        <f>IF(AND($D$190=1,ISNUMBER(K10),ISNUMBER(K11)),IF((K10-K11)&lt;0,0.5,NA()),NA())</f>
        <v>0</v>
      </c>
      <c r="L192" s="5">
        <f>IF(AND($D$190=1,ISNUMBER(L10),ISNUMBER(L11)),IF((L10-L11)&lt;0,0.5,NA()),NA())</f>
        <v>0</v>
      </c>
      <c r="M192" s="5">
        <f>IF(AND($D$190=1,ISNUMBER(M10),ISNUMBER(M11)),IF((M10-M11)&lt;0,0.5,NA()),NA())</f>
        <v>0</v>
      </c>
      <c r="N192" s="5">
        <f>IF(AND($D$190=1,ISNUMBER(N10),ISNUMBER(N11)),IF((N10-N11)&lt;0,0.5,NA()),NA())</f>
        <v>0</v>
      </c>
      <c r="O192" s="5">
        <f>IF(AND($D$190=1,ISNUMBER(O10),ISNUMBER(O11)),IF((O10-O11)&lt;0,0.5,NA()),NA())</f>
        <v>0</v>
      </c>
      <c r="P192" s="5">
        <f>IF(AND($D$190=1,ISNUMBER(P10),ISNUMBER(P11)),IF((P10-P11)&lt;0,0.5,NA()),NA())</f>
        <v>0</v>
      </c>
      <c r="Q192" s="5">
        <f>IF(AND($D$190=1,ISNUMBER(Q10),ISNUMBER(Q11)),IF((Q10-Q11)&lt;0,0.5,NA()),NA())</f>
        <v>0</v>
      </c>
      <c r="R192" s="5">
        <f>IF(AND($D$190=1,ISNUMBER(R10),ISNUMBER(R11)),IF((R10-R11)&lt;0,0.5,NA()),NA())</f>
        <v>0</v>
      </c>
      <c r="S192" s="5">
        <f>IF(AND($D$190=1,ISNUMBER(S10),ISNUMBER(S11)),IF((S10-S11)&lt;0,0.5,NA()),NA())</f>
        <v>0</v>
      </c>
      <c r="T192" s="5">
        <f>IF(AND($D$190=1,ISNUMBER(T10),ISNUMBER(T11)),IF((T10-T11)&lt;0,0.5,NA()),NA())</f>
        <v>0</v>
      </c>
      <c r="U192" s="5">
        <f>IF(AND($D$190=1,ISNUMBER(U10),ISNUMBER(U11)),IF((U10-U11)&lt;0,0.5,NA()),NA())</f>
        <v>0</v>
      </c>
      <c r="V192" s="5">
        <f>IF(AND($D$190=1,ISNUMBER(V10),ISNUMBER(V11)),IF((V10-V11)&lt;0,0.5,NA()),NA())</f>
        <v>0</v>
      </c>
      <c r="W192" s="5">
        <f>IF(AND($D$190=1,ISNUMBER(W10),ISNUMBER(W11)),IF((W10-W11)&lt;0,0.5,NA()),NA())</f>
        <v>0</v>
      </c>
      <c r="X192" s="5">
        <f>IF(AND($D$190=1,ISNUMBER(X10),ISNUMBER(X11)),IF((X10-X11)&lt;0,0.5,NA()),NA())</f>
        <v>0</v>
      </c>
      <c r="Y192" s="5">
        <f>IF(AND($D$190=1,ISNUMBER(Y10),ISNUMBER(Y11)),IF((Y10-Y11)&lt;0,0.5,NA()),NA())</f>
        <v>0</v>
      </c>
      <c r="Z192" s="5">
        <f>IF(AND($D$190=1,ISNUMBER(Z10),ISNUMBER(Z11)),IF((Z10-Z11)&lt;0,0.5,NA()),NA())</f>
        <v>0</v>
      </c>
      <c r="AA192" s="5">
        <f>IF(AND($D$190=1,ISNUMBER(AA10),ISNUMBER(AA11)),IF((AA10-AA11)&lt;0,0.5,NA()),NA())</f>
        <v>0</v>
      </c>
      <c r="AB192" s="5">
        <f>IF(AND($D$190=1,ISNUMBER(AB10),ISNUMBER(AB11)),IF((AB10-AB11)&lt;0,0.5,NA()),NA())</f>
        <v>0</v>
      </c>
      <c r="AC192" s="5">
        <f>IF(AND($D$190=1,ISNUMBER(AC10),ISNUMBER(AC11)),IF((AC10-AC11)&lt;0,0.5,NA()),NA())</f>
        <v>0</v>
      </c>
      <c r="AD192" s="5">
        <f>IF(AND($D$190=1,ISNUMBER(AD10),ISNUMBER(AD11)),IF((AD10-AD11)&lt;0,0.5,NA()),NA())</f>
        <v>0</v>
      </c>
    </row>
    <row r="193" spans="1:95">
      <c r="A193" s="11" t="s">
        <v>453</v>
      </c>
      <c r="B193" s="11" t="s">
        <v>454</v>
      </c>
      <c r="C193" s="3" t="s">
        <v>137</v>
      </c>
      <c r="D193" s="5">
        <f>IF(AND($D$190=1,ISNUMBER(D10),ISNUMBER(D11)),IF((D10-D11)=0,0.5,NA()),NA())</f>
        <v>0</v>
      </c>
      <c r="E193" s="5">
        <f>IF(AND($D$190=1,ISNUMBER(E10),ISNUMBER(E11)),IF((E10-E11)=0,0.5,NA()),NA())</f>
        <v>0</v>
      </c>
      <c r="F193" s="5">
        <f>IF(AND($D$190=1,ISNUMBER(F10),ISNUMBER(F11)),IF((F10-F11)=0,0.5,NA()),NA())</f>
        <v>0</v>
      </c>
      <c r="G193" s="5">
        <f>IF(AND($D$190=1,ISNUMBER(G10),ISNUMBER(G11)),IF((G10-G11)=0,0.5,NA()),NA())</f>
        <v>0</v>
      </c>
      <c r="H193" s="5">
        <f>IF(AND($D$190=1,ISNUMBER(H10),ISNUMBER(H11)),IF((H10-H11)=0,0.5,NA()),NA())</f>
        <v>0</v>
      </c>
      <c r="I193" s="5">
        <f>IF(AND($D$190=1,ISNUMBER(I10),ISNUMBER(I11)),IF((I10-I11)=0,0.5,NA()),NA())</f>
        <v>0</v>
      </c>
      <c r="J193" s="5">
        <f>IF(AND($D$190=1,ISNUMBER(J10),ISNUMBER(J11)),IF((J10-J11)=0,0.5,NA()),NA())</f>
        <v>0</v>
      </c>
      <c r="K193" s="5">
        <f>IF(AND($D$190=1,ISNUMBER(K10),ISNUMBER(K11)),IF((K10-K11)=0,0.5,NA()),NA())</f>
        <v>0</v>
      </c>
      <c r="L193" s="5">
        <f>IF(AND($D$190=1,ISNUMBER(L10),ISNUMBER(L11)),IF((L10-L11)=0,0.5,NA()),NA())</f>
        <v>0</v>
      </c>
      <c r="M193" s="5">
        <f>IF(AND($D$190=1,ISNUMBER(M10),ISNUMBER(M11)),IF((M10-M11)=0,0.5,NA()),NA())</f>
        <v>0</v>
      </c>
      <c r="N193" s="5">
        <f>IF(AND($D$190=1,ISNUMBER(N10),ISNUMBER(N11)),IF((N10-N11)=0,0.5,NA()),NA())</f>
        <v>0</v>
      </c>
      <c r="O193" s="5">
        <f>IF(AND($D$190=1,ISNUMBER(O10),ISNUMBER(O11)),IF((O10-O11)=0,0.5,NA()),NA())</f>
        <v>0</v>
      </c>
      <c r="P193" s="5">
        <f>IF(AND($D$190=1,ISNUMBER(P10),ISNUMBER(P11)),IF((P10-P11)=0,0.5,NA()),NA())</f>
        <v>0</v>
      </c>
      <c r="Q193" s="5">
        <f>IF(AND($D$190=1,ISNUMBER(Q10),ISNUMBER(Q11)),IF((Q10-Q11)=0,0.5,NA()),NA())</f>
        <v>0</v>
      </c>
      <c r="R193" s="5">
        <f>IF(AND($D$190=1,ISNUMBER(R10),ISNUMBER(R11)),IF((R10-R11)=0,0.5,NA()),NA())</f>
        <v>0</v>
      </c>
      <c r="S193" s="5">
        <f>IF(AND($D$190=1,ISNUMBER(S10),ISNUMBER(S11)),IF((S10-S11)=0,0.5,NA()),NA())</f>
        <v>0</v>
      </c>
      <c r="T193" s="5">
        <f>IF(AND($D$190=1,ISNUMBER(T10),ISNUMBER(T11)),IF((T10-T11)=0,0.5,NA()),NA())</f>
        <v>0</v>
      </c>
      <c r="U193" s="5">
        <f>IF(AND($D$190=1,ISNUMBER(U10),ISNUMBER(U11)),IF((U10-U11)=0,0.5,NA()),NA())</f>
        <v>0</v>
      </c>
      <c r="V193" s="5">
        <f>IF(AND($D$190=1,ISNUMBER(V10),ISNUMBER(V11)),IF((V10-V11)=0,0.5,NA()),NA())</f>
        <v>0</v>
      </c>
      <c r="W193" s="5">
        <f>IF(AND($D$190=1,ISNUMBER(W10),ISNUMBER(W11)),IF((W10-W11)=0,0.5,NA()),NA())</f>
        <v>0</v>
      </c>
      <c r="X193" s="5">
        <f>IF(AND($D$190=1,ISNUMBER(X10),ISNUMBER(X11)),IF((X10-X11)=0,0.5,NA()),NA())</f>
        <v>0</v>
      </c>
      <c r="Y193" s="5">
        <f>IF(AND($D$190=1,ISNUMBER(Y10),ISNUMBER(Y11)),IF((Y10-Y11)=0,0.5,NA()),NA())</f>
        <v>0</v>
      </c>
      <c r="Z193" s="5">
        <f>IF(AND($D$190=1,ISNUMBER(Z10),ISNUMBER(Z11)),IF((Z10-Z11)=0,0.5,NA()),NA())</f>
        <v>0</v>
      </c>
      <c r="AA193" s="5">
        <f>IF(AND($D$190=1,ISNUMBER(AA10),ISNUMBER(AA11)),IF((AA10-AA11)=0,0.5,NA()),NA())</f>
        <v>0</v>
      </c>
      <c r="AB193" s="5">
        <f>IF(AND($D$190=1,ISNUMBER(AB10),ISNUMBER(AB11)),IF((AB10-AB11)=0,0.5,NA()),NA())</f>
        <v>0</v>
      </c>
      <c r="AC193" s="5">
        <f>IF(AND($D$190=1,ISNUMBER(AC10),ISNUMBER(AC11)),IF((AC10-AC11)=0,0.5,NA()),NA())</f>
        <v>0</v>
      </c>
      <c r="AD193" s="5">
        <f>IF(AND($D$190=1,ISNUMBER(AD10),ISNUMBER(AD11)),IF((AD10-AD11)=0,0.5,NA()),NA())</f>
        <v>0</v>
      </c>
    </row>
    <row r="194" spans="1:95">
      <c r="A194" s="11" t="s">
        <v>455</v>
      </c>
      <c r="B194" s="11" t="s">
        <v>456</v>
      </c>
      <c r="C194" s="3" t="s">
        <v>137</v>
      </c>
      <c r="D194" s="11">
        <f>IF(AND(ISNUMBER(D10),ISNUMBER(D11)),IF((D10-D11)&gt;0,"+"&amp;FIXED((D10-D11),0),IF((D10-D11)&lt;0,"−"&amp;FIXED(-(D10-D11),0),"±0")),"")</f>
        <v>0</v>
      </c>
      <c r="E194" s="11">
        <f>IF(AND(ISNUMBER(E10),ISNUMBER(E11)),IF((E10-E11)&gt;0,"+"&amp;FIXED((E10-E11),0),IF((E10-E11)&lt;0,"−"&amp;FIXED(-(E10-E11),0),"±0")),"")</f>
        <v>0</v>
      </c>
      <c r="F194" s="11">
        <f>IF(AND(ISNUMBER(F10),ISNUMBER(F11)),IF((F10-F11)&gt;0,"+"&amp;FIXED((F10-F11),0),IF((F10-F11)&lt;0,"−"&amp;FIXED(-(F10-F11),0),"±0")),"")</f>
        <v>0</v>
      </c>
      <c r="G194" s="11">
        <f>IF(AND(ISNUMBER(G10),ISNUMBER(G11)),IF((G10-G11)&gt;0,"+"&amp;FIXED((G10-G11),0),IF((G10-G11)&lt;0,"−"&amp;FIXED(-(G10-G11),0),"±0")),"")</f>
        <v>0</v>
      </c>
      <c r="H194" s="11">
        <f>IF(AND(ISNUMBER(H10),ISNUMBER(H11)),IF((H10-H11)&gt;0,"+"&amp;FIXED((H10-H11),0),IF((H10-H11)&lt;0,"−"&amp;FIXED(-(H10-H11),0),"±0")),"")</f>
        <v>0</v>
      </c>
      <c r="I194" s="11">
        <f>IF(AND(ISNUMBER(I10),ISNUMBER(I11)),IF((I10-I11)&gt;0,"+"&amp;FIXED((I10-I11),0),IF((I10-I11)&lt;0,"−"&amp;FIXED(-(I10-I11),0),"±0")),"")</f>
        <v>0</v>
      </c>
      <c r="J194" s="11">
        <f>IF(AND(ISNUMBER(J10),ISNUMBER(J11)),IF((J10-J11)&gt;0,"+"&amp;FIXED((J10-J11),0),IF((J10-J11)&lt;0,"−"&amp;FIXED(-(J10-J11),0),"±0")),"")</f>
        <v>0</v>
      </c>
      <c r="K194" s="11">
        <f>IF(AND(ISNUMBER(K10),ISNUMBER(K11)),IF((K10-K11)&gt;0,"+"&amp;FIXED((K10-K11),0),IF((K10-K11)&lt;0,"−"&amp;FIXED(-(K10-K11),0),"±0")),"")</f>
        <v>0</v>
      </c>
      <c r="L194" s="11">
        <f>IF(AND(ISNUMBER(L10),ISNUMBER(L11)),IF((L10-L11)&gt;0,"+"&amp;FIXED((L10-L11),0),IF((L10-L11)&lt;0,"−"&amp;FIXED(-(L10-L11),0),"±0")),"")</f>
        <v>0</v>
      </c>
      <c r="M194" s="11">
        <f>IF(AND(ISNUMBER(M10),ISNUMBER(M11)),IF((M10-M11)&gt;0,"+"&amp;FIXED((M10-M11),0),IF((M10-M11)&lt;0,"−"&amp;FIXED(-(M10-M11),0),"±0")),"")</f>
        <v>0</v>
      </c>
      <c r="N194" s="11">
        <f>IF(AND(ISNUMBER(N10),ISNUMBER(N11)),IF((N10-N11)&gt;0,"+"&amp;FIXED((N10-N11),0),IF((N10-N11)&lt;0,"−"&amp;FIXED(-(N10-N11),0),"±0")),"")</f>
        <v>0</v>
      </c>
      <c r="O194" s="11">
        <f>IF(AND(ISNUMBER(O10),ISNUMBER(O11)),IF((O10-O11)&gt;0,"+"&amp;FIXED((O10-O11),0),IF((O10-O11)&lt;0,"−"&amp;FIXED(-(O10-O11),0),"±0")),"")</f>
        <v>0</v>
      </c>
      <c r="P194" s="11">
        <f>IF(AND(ISNUMBER(P10),ISNUMBER(P11)),IF((P10-P11)&gt;0,"+"&amp;FIXED((P10-P11),0),IF((P10-P11)&lt;0,"−"&amp;FIXED(-(P10-P11),0),"±0")),"")</f>
        <v>0</v>
      </c>
      <c r="Q194" s="11">
        <f>IF(AND(ISNUMBER(Q10),ISNUMBER(Q11)),IF((Q10-Q11)&gt;0,"+"&amp;FIXED((Q10-Q11),0),IF((Q10-Q11)&lt;0,"−"&amp;FIXED(-(Q10-Q11),0),"±0")),"")</f>
        <v>0</v>
      </c>
      <c r="R194" s="11">
        <f>IF(AND(ISNUMBER(R10),ISNUMBER(R11)),IF((R10-R11)&gt;0,"+"&amp;FIXED((R10-R11),0),IF((R10-R11)&lt;0,"−"&amp;FIXED(-(R10-R11),0),"±0")),"")</f>
        <v>0</v>
      </c>
      <c r="S194" s="11">
        <f>IF(AND(ISNUMBER(S10),ISNUMBER(S11)),IF((S10-S11)&gt;0,"+"&amp;FIXED((S10-S11),0),IF((S10-S11)&lt;0,"−"&amp;FIXED(-(S10-S11),0),"±0")),"")</f>
        <v>0</v>
      </c>
      <c r="T194" s="11">
        <f>IF(AND(ISNUMBER(T10),ISNUMBER(T11)),IF((T10-T11)&gt;0,"+"&amp;FIXED((T10-T11),0),IF((T10-T11)&lt;0,"−"&amp;FIXED(-(T10-T11),0),"±0")),"")</f>
        <v>0</v>
      </c>
      <c r="U194" s="11">
        <f>IF(AND(ISNUMBER(U10),ISNUMBER(U11)),IF((U10-U11)&gt;0,"+"&amp;FIXED((U10-U11),0),IF((U10-U11)&lt;0,"−"&amp;FIXED(-(U10-U11),0),"±0")),"")</f>
        <v>0</v>
      </c>
      <c r="V194" s="11">
        <f>IF(AND(ISNUMBER(V10),ISNUMBER(V11)),IF((V10-V11)&gt;0,"+"&amp;FIXED((V10-V11),0),IF((V10-V11)&lt;0,"−"&amp;FIXED(-(V10-V11),0),"±0")),"")</f>
        <v>0</v>
      </c>
      <c r="W194" s="11">
        <f>IF(AND(ISNUMBER(W10),ISNUMBER(W11)),IF((W10-W11)&gt;0,"+"&amp;FIXED((W10-W11),0),IF((W10-W11)&lt;0,"−"&amp;FIXED(-(W10-W11),0),"±0")),"")</f>
        <v>0</v>
      </c>
      <c r="X194" s="11">
        <f>IF(AND(ISNUMBER(X10),ISNUMBER(X11)),IF((X10-X11)&gt;0,"+"&amp;FIXED((X10-X11),0),IF((X10-X11)&lt;0,"−"&amp;FIXED(-(X10-X11),0),"±0")),"")</f>
        <v>0</v>
      </c>
      <c r="Y194" s="11">
        <f>IF(AND(ISNUMBER(Y10),ISNUMBER(Y11)),IF((Y10-Y11)&gt;0,"+"&amp;FIXED((Y10-Y11),0),IF((Y10-Y11)&lt;0,"−"&amp;FIXED(-(Y10-Y11),0),"±0")),"")</f>
        <v>0</v>
      </c>
      <c r="Z194" s="11">
        <f>IF(AND(ISNUMBER(Z10),ISNUMBER(Z11)),IF((Z10-Z11)&gt;0,"+"&amp;FIXED((Z10-Z11),0),IF((Z10-Z11)&lt;0,"−"&amp;FIXED(-(Z10-Z11),0),"±0")),"")</f>
        <v>0</v>
      </c>
      <c r="AA194" s="11">
        <f>IF(AND(ISNUMBER(AA10),ISNUMBER(AA11)),IF((AA10-AA11)&gt;0,"+"&amp;FIXED((AA10-AA11),0),IF((AA10-AA11)&lt;0,"−"&amp;FIXED(-(AA10-AA11),0),"±0")),"")</f>
        <v>0</v>
      </c>
      <c r="AB194" s="11">
        <f>IF(AND(ISNUMBER(AB10),ISNUMBER(AB11)),IF((AB10-AB11)&gt;0,"+"&amp;FIXED((AB10-AB11),0),IF((AB10-AB11)&lt;0,"−"&amp;FIXED(-(AB10-AB11),0),"±0")),"")</f>
        <v>0</v>
      </c>
      <c r="AC194" s="11">
        <f>IF(AND(ISNUMBER(AC10),ISNUMBER(AC11)),IF((AC10-AC11)&gt;0,"+"&amp;FIXED((AC10-AC11),0),IF((AC10-AC11)&lt;0,"−"&amp;FIXED(-(AC10-AC11),0),"±0")),"")</f>
        <v>0</v>
      </c>
      <c r="AD194" s="11">
        <f>IF(AND(ISNUMBER(AD10),ISNUMBER(AD11)),IF((AD10-AD11)&gt;0,"+"&amp;FIXED((AD10-AD11),0),IF((AD10-AD11)&lt;0,"−"&amp;FIXED(-(AD10-AD11),0),"±0")),"")</f>
        <v>0</v>
      </c>
    </row>
    <row r="195" spans="1:95">
      <c r="A195" s="11" t="s">
        <v>457</v>
      </c>
      <c r="B195" s="11" t="s">
        <v>458</v>
      </c>
      <c r="C195" s="3" t="s">
        <v>408</v>
      </c>
      <c r="BR195" s="5">
        <f>IF(($D$172-25)&lt;1,NA(),INDEX($D$184:$AD$184,($D$172-25)))</f>
        <v>0</v>
      </c>
      <c r="BS195" s="5">
        <f>IF(($D$172-24)&lt;1,NA(),INDEX($D$184:$AD$184,($D$172-24)))</f>
        <v>0</v>
      </c>
      <c r="BT195" s="5">
        <f>IF(($D$172-23)&lt;1,NA(),INDEX($D$184:$AD$184,($D$172-23)))</f>
        <v>0</v>
      </c>
      <c r="BU195" s="5">
        <f>IF(($D$172-22)&lt;1,NA(),INDEX($D$184:$AD$184,($D$172-22)))</f>
        <v>0</v>
      </c>
      <c r="BV195" s="5">
        <f>IF(($D$172-21)&lt;1,NA(),INDEX($D$184:$AD$184,($D$172-21)))</f>
        <v>0</v>
      </c>
      <c r="BW195" s="5">
        <f>IF(($D$172-20)&lt;1,NA(),INDEX($D$184:$AD$184,($D$172-20)))</f>
        <v>0</v>
      </c>
      <c r="BX195" s="5">
        <f>IF(($D$172-19)&lt;1,NA(),INDEX($D$184:$AD$184,($D$172-19)))</f>
        <v>0</v>
      </c>
      <c r="BY195" s="5">
        <f>IF(($D$172-18)&lt;1,NA(),INDEX($D$184:$AD$184,($D$172-18)))</f>
        <v>0</v>
      </c>
      <c r="BZ195" s="5">
        <f>IF(($D$172-17)&lt;1,NA(),INDEX($D$184:$AD$184,($D$172-17)))</f>
        <v>0</v>
      </c>
      <c r="CA195" s="5">
        <f>IF(($D$172-16)&lt;1,NA(),INDEX($D$184:$AD$184,($D$172-16)))</f>
        <v>0</v>
      </c>
      <c r="CB195" s="5">
        <f>IF(($D$172-15)&lt;1,NA(),INDEX($D$184:$AD$184,($D$172-15)))</f>
        <v>0</v>
      </c>
      <c r="CC195" s="5">
        <f>IF(($D$172-14)&lt;1,NA(),INDEX($D$184:$AD$184,($D$172-14)))</f>
        <v>0</v>
      </c>
      <c r="CD195" s="5">
        <f>IF(($D$172-13)&lt;1,NA(),INDEX($D$184:$AD$184,($D$172-13)))</f>
        <v>0</v>
      </c>
      <c r="CE195" s="5">
        <f>IF(($D$172-12)&lt;1,NA(),INDEX($D$184:$AD$184,($D$172-12)))</f>
        <v>0</v>
      </c>
      <c r="CF195" s="5">
        <f>IF(($D$172-11)&lt;1,NA(),INDEX($D$184:$AD$184,($D$172-11)))</f>
        <v>0</v>
      </c>
      <c r="CG195" s="5">
        <f>IF(($D$172-10)&lt;1,NA(),INDEX($D$184:$AD$184,($D$172-10)))</f>
        <v>0</v>
      </c>
      <c r="CH195" s="5">
        <f>IF(($D$172-9)&lt;1,NA(),INDEX($D$184:$AD$184,($D$172-9)))</f>
        <v>0</v>
      </c>
      <c r="CI195" s="5">
        <f>IF(($D$172-8)&lt;1,NA(),INDEX($D$184:$AD$184,($D$172-8)))</f>
        <v>0</v>
      </c>
      <c r="CJ195" s="5">
        <f>IF(($D$172-7)&lt;1,NA(),INDEX($D$184:$AD$184,($D$172-7)))</f>
        <v>0</v>
      </c>
      <c r="CK195" s="5">
        <f>IF(($D$172-6)&lt;1,NA(),INDEX($D$184:$AD$184,($D$172-6)))</f>
        <v>0</v>
      </c>
      <c r="CL195" s="5">
        <f>IF(($D$172-5)&lt;1,NA(),INDEX($D$184:$AD$184,($D$172-5)))</f>
        <v>0</v>
      </c>
      <c r="CM195" s="5">
        <f>IF(($D$172-4)&lt;1,NA(),INDEX($D$184:$AD$184,($D$172-4)))</f>
        <v>0</v>
      </c>
      <c r="CN195" s="5">
        <f>IF(($D$172-3)&lt;1,NA(),INDEX($D$184:$AD$184,($D$172-3)))</f>
        <v>0</v>
      </c>
      <c r="CO195" s="5">
        <f>IF(($D$172-2)&lt;1,NA(),INDEX($D$184:$AD$184,($D$172-2)))</f>
        <v>0</v>
      </c>
      <c r="CP195" s="5">
        <f>IF(($D$172-1)&lt;1,NA(),INDEX($D$184:$AD$184,($D$172-1)))</f>
        <v>0</v>
      </c>
      <c r="CQ195" s="5">
        <f>IF(($D$172-0)&lt;1,NA(),INDEX($D$184:$AD$184,($D$172-0)))</f>
        <v>0</v>
      </c>
    </row>
    <row r="196" spans="1:95">
      <c r="A196" s="11" t="s">
        <v>459</v>
      </c>
      <c r="B196" s="11" t="s">
        <v>460</v>
      </c>
      <c r="C196" s="3" t="s">
        <v>408</v>
      </c>
      <c r="BR196" s="5">
        <f>IF(($D$172-25)&lt;1,NA(),INDEX($D$186:$AD$186,($D$172-25)))</f>
        <v>0</v>
      </c>
      <c r="BS196" s="5">
        <f>IF(($D$172-24)&lt;1,NA(),INDEX($D$186:$AD$186,($D$172-24)))</f>
        <v>0</v>
      </c>
      <c r="BT196" s="5">
        <f>IF(($D$172-23)&lt;1,NA(),INDEX($D$186:$AD$186,($D$172-23)))</f>
        <v>0</v>
      </c>
      <c r="BU196" s="5">
        <f>IF(($D$172-22)&lt;1,NA(),INDEX($D$186:$AD$186,($D$172-22)))</f>
        <v>0</v>
      </c>
      <c r="BV196" s="5">
        <f>IF(($D$172-21)&lt;1,NA(),INDEX($D$186:$AD$186,($D$172-21)))</f>
        <v>0</v>
      </c>
      <c r="BW196" s="5">
        <f>IF(($D$172-20)&lt;1,NA(),INDEX($D$186:$AD$186,($D$172-20)))</f>
        <v>0</v>
      </c>
      <c r="BX196" s="5">
        <f>IF(($D$172-19)&lt;1,NA(),INDEX($D$186:$AD$186,($D$172-19)))</f>
        <v>0</v>
      </c>
      <c r="BY196" s="5">
        <f>IF(($D$172-18)&lt;1,NA(),INDEX($D$186:$AD$186,($D$172-18)))</f>
        <v>0</v>
      </c>
      <c r="BZ196" s="5">
        <f>IF(($D$172-17)&lt;1,NA(),INDEX($D$186:$AD$186,($D$172-17)))</f>
        <v>0</v>
      </c>
      <c r="CA196" s="5">
        <f>IF(($D$172-16)&lt;1,NA(),INDEX($D$186:$AD$186,($D$172-16)))</f>
        <v>0</v>
      </c>
      <c r="CB196" s="5">
        <f>IF(($D$172-15)&lt;1,NA(),INDEX($D$186:$AD$186,($D$172-15)))</f>
        <v>0</v>
      </c>
      <c r="CC196" s="5">
        <f>IF(($D$172-14)&lt;1,NA(),INDEX($D$186:$AD$186,($D$172-14)))</f>
        <v>0</v>
      </c>
      <c r="CD196" s="5">
        <f>IF(($D$172-13)&lt;1,NA(),INDEX($D$186:$AD$186,($D$172-13)))</f>
        <v>0</v>
      </c>
      <c r="CE196" s="5">
        <f>IF(($D$172-12)&lt;1,NA(),INDEX($D$186:$AD$186,($D$172-12)))</f>
        <v>0</v>
      </c>
      <c r="CF196" s="5">
        <f>IF(($D$172-11)&lt;1,NA(),INDEX($D$186:$AD$186,($D$172-11)))</f>
        <v>0</v>
      </c>
      <c r="CG196" s="5">
        <f>IF(($D$172-10)&lt;1,NA(),INDEX($D$186:$AD$186,($D$172-10)))</f>
        <v>0</v>
      </c>
      <c r="CH196" s="5">
        <f>IF(($D$172-9)&lt;1,NA(),INDEX($D$186:$AD$186,($D$172-9)))</f>
        <v>0</v>
      </c>
      <c r="CI196" s="5">
        <f>IF(($D$172-8)&lt;1,NA(),INDEX($D$186:$AD$186,($D$172-8)))</f>
        <v>0</v>
      </c>
      <c r="CJ196" s="5">
        <f>IF(($D$172-7)&lt;1,NA(),INDEX($D$186:$AD$186,($D$172-7)))</f>
        <v>0</v>
      </c>
      <c r="CK196" s="5">
        <f>IF(($D$172-6)&lt;1,NA(),INDEX($D$186:$AD$186,($D$172-6)))</f>
        <v>0</v>
      </c>
      <c r="CL196" s="5">
        <f>IF(($D$172-5)&lt;1,NA(),INDEX($D$186:$AD$186,($D$172-5)))</f>
        <v>0</v>
      </c>
      <c r="CM196" s="5">
        <f>IF(($D$172-4)&lt;1,NA(),INDEX($D$186:$AD$186,($D$172-4)))</f>
        <v>0</v>
      </c>
      <c r="CN196" s="5">
        <f>IF(($D$172-3)&lt;1,NA(),INDEX($D$186:$AD$186,($D$172-3)))</f>
        <v>0</v>
      </c>
      <c r="CO196" s="5">
        <f>IF(($D$172-2)&lt;1,NA(),INDEX($D$186:$AD$186,($D$172-2)))</f>
        <v>0</v>
      </c>
      <c r="CP196" s="5">
        <f>IF(($D$172-1)&lt;1,NA(),INDEX($D$186:$AD$186,($D$172-1)))</f>
        <v>0</v>
      </c>
      <c r="CQ196" s="5">
        <f>IF(($D$172-0)&lt;1,NA(),INDEX($D$186:$AD$186,($D$172-0)))</f>
        <v>0</v>
      </c>
    </row>
    <row r="197" spans="1:95">
      <c r="A197" s="11" t="s">
        <v>461</v>
      </c>
      <c r="B197" s="11" t="s">
        <v>462</v>
      </c>
      <c r="C197" s="3" t="s">
        <v>408</v>
      </c>
      <c r="BR197" s="5">
        <f>IF(($D$172-25)&lt;1,NA(),INDEX($D$188:$AD$188,($D$172-25)))</f>
        <v>0</v>
      </c>
      <c r="BS197" s="5">
        <f>IF(($D$172-24)&lt;1,NA(),INDEX($D$188:$AD$188,($D$172-24)))</f>
        <v>0</v>
      </c>
      <c r="BT197" s="5">
        <f>IF(($D$172-23)&lt;1,NA(),INDEX($D$188:$AD$188,($D$172-23)))</f>
        <v>0</v>
      </c>
      <c r="BU197" s="5">
        <f>IF(($D$172-22)&lt;1,NA(),INDEX($D$188:$AD$188,($D$172-22)))</f>
        <v>0</v>
      </c>
      <c r="BV197" s="5">
        <f>IF(($D$172-21)&lt;1,NA(),INDEX($D$188:$AD$188,($D$172-21)))</f>
        <v>0</v>
      </c>
      <c r="BW197" s="5">
        <f>IF(($D$172-20)&lt;1,NA(),INDEX($D$188:$AD$188,($D$172-20)))</f>
        <v>0</v>
      </c>
      <c r="BX197" s="5">
        <f>IF(($D$172-19)&lt;1,NA(),INDEX($D$188:$AD$188,($D$172-19)))</f>
        <v>0</v>
      </c>
      <c r="BY197" s="5">
        <f>IF(($D$172-18)&lt;1,NA(),INDEX($D$188:$AD$188,($D$172-18)))</f>
        <v>0</v>
      </c>
      <c r="BZ197" s="5">
        <f>IF(($D$172-17)&lt;1,NA(),INDEX($D$188:$AD$188,($D$172-17)))</f>
        <v>0</v>
      </c>
      <c r="CA197" s="5">
        <f>IF(($D$172-16)&lt;1,NA(),INDEX($D$188:$AD$188,($D$172-16)))</f>
        <v>0</v>
      </c>
      <c r="CB197" s="5">
        <f>IF(($D$172-15)&lt;1,NA(),INDEX($D$188:$AD$188,($D$172-15)))</f>
        <v>0</v>
      </c>
      <c r="CC197" s="5">
        <f>IF(($D$172-14)&lt;1,NA(),INDEX($D$188:$AD$188,($D$172-14)))</f>
        <v>0</v>
      </c>
      <c r="CD197" s="5">
        <f>IF(($D$172-13)&lt;1,NA(),INDEX($D$188:$AD$188,($D$172-13)))</f>
        <v>0</v>
      </c>
      <c r="CE197" s="5">
        <f>IF(($D$172-12)&lt;1,NA(),INDEX($D$188:$AD$188,($D$172-12)))</f>
        <v>0</v>
      </c>
      <c r="CF197" s="5">
        <f>IF(($D$172-11)&lt;1,NA(),INDEX($D$188:$AD$188,($D$172-11)))</f>
        <v>0</v>
      </c>
      <c r="CG197" s="5">
        <f>IF(($D$172-10)&lt;1,NA(),INDEX($D$188:$AD$188,($D$172-10)))</f>
        <v>0</v>
      </c>
      <c r="CH197" s="5">
        <f>IF(($D$172-9)&lt;1,NA(),INDEX($D$188:$AD$188,($D$172-9)))</f>
        <v>0</v>
      </c>
      <c r="CI197" s="5">
        <f>IF(($D$172-8)&lt;1,NA(),INDEX($D$188:$AD$188,($D$172-8)))</f>
        <v>0</v>
      </c>
      <c r="CJ197" s="5">
        <f>IF(($D$172-7)&lt;1,NA(),INDEX($D$188:$AD$188,($D$172-7)))</f>
        <v>0</v>
      </c>
      <c r="CK197" s="5">
        <f>IF(($D$172-6)&lt;1,NA(),INDEX($D$188:$AD$188,($D$172-6)))</f>
        <v>0</v>
      </c>
      <c r="CL197" s="5">
        <f>IF(($D$172-5)&lt;1,NA(),INDEX($D$188:$AD$188,($D$172-5)))</f>
        <v>0</v>
      </c>
      <c r="CM197" s="5">
        <f>IF(($D$172-4)&lt;1,NA(),INDEX($D$188:$AD$188,($D$172-4)))</f>
        <v>0</v>
      </c>
      <c r="CN197" s="5">
        <f>IF(($D$172-3)&lt;1,NA(),INDEX($D$188:$AD$188,($D$172-3)))</f>
        <v>0</v>
      </c>
      <c r="CO197" s="5">
        <f>IF(($D$172-2)&lt;1,NA(),INDEX($D$188:$AD$188,($D$172-2)))</f>
        <v>0</v>
      </c>
      <c r="CP197" s="5">
        <f>IF(($D$172-1)&lt;1,NA(),INDEX($D$188:$AD$188,($D$172-1)))</f>
        <v>0</v>
      </c>
      <c r="CQ197" s="5">
        <f>IF(($D$172-0)&lt;1,NA(),INDEX($D$188:$AD$188,($D$172-0)))</f>
        <v>0</v>
      </c>
    </row>
    <row r="198" spans="1:95">
      <c r="A198" s="11" t="s">
        <v>463</v>
      </c>
      <c r="B198" s="11" t="s">
        <v>464</v>
      </c>
      <c r="C198" s="3" t="s">
        <v>408</v>
      </c>
      <c r="BR198" s="11">
        <f>IF(($D$172-25)&lt;1,"",INDEX($D$185:$AD$185,($D$172-25)))</f>
        <v>0</v>
      </c>
      <c r="BS198" s="11">
        <f>IF(($D$172-24)&lt;1,"",INDEX($D$185:$AD$185,($D$172-24)))</f>
        <v>0</v>
      </c>
      <c r="BT198" s="11">
        <f>IF(($D$172-23)&lt;1,"",INDEX($D$185:$AD$185,($D$172-23)))</f>
        <v>0</v>
      </c>
      <c r="BU198" s="11">
        <f>IF(($D$172-22)&lt;1,"",INDEX($D$185:$AD$185,($D$172-22)))</f>
        <v>0</v>
      </c>
      <c r="BV198" s="11">
        <f>IF(($D$172-21)&lt;1,"",INDEX($D$185:$AD$185,($D$172-21)))</f>
        <v>0</v>
      </c>
      <c r="BW198" s="11">
        <f>IF(($D$172-20)&lt;1,"",INDEX($D$185:$AD$185,($D$172-20)))</f>
        <v>0</v>
      </c>
      <c r="BX198" s="11">
        <f>IF(($D$172-19)&lt;1,"",INDEX($D$185:$AD$185,($D$172-19)))</f>
        <v>0</v>
      </c>
      <c r="BY198" s="11">
        <f>IF(($D$172-18)&lt;1,"",INDEX($D$185:$AD$185,($D$172-18)))</f>
        <v>0</v>
      </c>
      <c r="BZ198" s="11">
        <f>IF(($D$172-17)&lt;1,"",INDEX($D$185:$AD$185,($D$172-17)))</f>
        <v>0</v>
      </c>
      <c r="CA198" s="11">
        <f>IF(($D$172-16)&lt;1,"",INDEX($D$185:$AD$185,($D$172-16)))</f>
        <v>0</v>
      </c>
      <c r="CB198" s="11">
        <f>IF(($D$172-15)&lt;1,"",INDEX($D$185:$AD$185,($D$172-15)))</f>
        <v>0</v>
      </c>
      <c r="CC198" s="11">
        <f>IF(($D$172-14)&lt;1,"",INDEX($D$185:$AD$185,($D$172-14)))</f>
        <v>0</v>
      </c>
      <c r="CD198" s="11">
        <f>IF(($D$172-13)&lt;1,"",INDEX($D$185:$AD$185,($D$172-13)))</f>
        <v>0</v>
      </c>
      <c r="CE198" s="11">
        <f>IF(($D$172-12)&lt;1,"",INDEX($D$185:$AD$185,($D$172-12)))</f>
        <v>0</v>
      </c>
      <c r="CF198" s="11">
        <f>IF(($D$172-11)&lt;1,"",INDEX($D$185:$AD$185,($D$172-11)))</f>
        <v>0</v>
      </c>
      <c r="CG198" s="11">
        <f>IF(($D$172-10)&lt;1,"",INDEX($D$185:$AD$185,($D$172-10)))</f>
        <v>0</v>
      </c>
      <c r="CH198" s="11">
        <f>IF(($D$172-9)&lt;1,"",INDEX($D$185:$AD$185,($D$172-9)))</f>
        <v>0</v>
      </c>
      <c r="CI198" s="11">
        <f>IF(($D$172-8)&lt;1,"",INDEX($D$185:$AD$185,($D$172-8)))</f>
        <v>0</v>
      </c>
      <c r="CJ198" s="11">
        <f>IF(($D$172-7)&lt;1,"",INDEX($D$185:$AD$185,($D$172-7)))</f>
        <v>0</v>
      </c>
      <c r="CK198" s="11">
        <f>IF(($D$172-6)&lt;1,"",INDEX($D$185:$AD$185,($D$172-6)))</f>
        <v>0</v>
      </c>
      <c r="CL198" s="11">
        <f>IF(($D$172-5)&lt;1,"",INDEX($D$185:$AD$185,($D$172-5)))</f>
        <v>0</v>
      </c>
      <c r="CM198" s="11">
        <f>IF(($D$172-4)&lt;1,"",INDEX($D$185:$AD$185,($D$172-4)))</f>
        <v>0</v>
      </c>
      <c r="CN198" s="11">
        <f>IF(($D$172-3)&lt;1,"",INDEX($D$185:$AD$185,($D$172-3)))</f>
        <v>0</v>
      </c>
      <c r="CO198" s="11">
        <f>IF(($D$172-2)&lt;1,"",INDEX($D$185:$AD$185,($D$172-2)))</f>
        <v>0</v>
      </c>
      <c r="CP198" s="11">
        <f>IF(($D$172-1)&lt;1,"",INDEX($D$185:$AD$185,($D$172-1)))</f>
        <v>0</v>
      </c>
      <c r="CQ198" s="11">
        <f>IF(($D$172-0)&lt;1,"",INDEX($D$185:$AD$185,($D$172-0)))</f>
        <v>0</v>
      </c>
    </row>
    <row r="199" spans="1:95">
      <c r="A199" s="11" t="s">
        <v>465</v>
      </c>
      <c r="B199" s="11" t="s">
        <v>466</v>
      </c>
      <c r="C199" s="3" t="s">
        <v>408</v>
      </c>
      <c r="BR199" s="5">
        <f>IF(($D$172-25)&lt;1,NA(),INDEX($D$189:$AD$189,($D$172-25)))</f>
        <v>0</v>
      </c>
      <c r="BS199" s="5">
        <f>IF(($D$172-24)&lt;1,NA(),INDEX($D$189:$AD$189,($D$172-24)))</f>
        <v>0</v>
      </c>
      <c r="BT199" s="5">
        <f>IF(($D$172-23)&lt;1,NA(),INDEX($D$189:$AD$189,($D$172-23)))</f>
        <v>0</v>
      </c>
      <c r="BU199" s="5">
        <f>IF(($D$172-22)&lt;1,NA(),INDEX($D$189:$AD$189,($D$172-22)))</f>
        <v>0</v>
      </c>
      <c r="BV199" s="5">
        <f>IF(($D$172-21)&lt;1,NA(),INDEX($D$189:$AD$189,($D$172-21)))</f>
        <v>0</v>
      </c>
      <c r="BW199" s="5">
        <f>IF(($D$172-20)&lt;1,NA(),INDEX($D$189:$AD$189,($D$172-20)))</f>
        <v>0</v>
      </c>
      <c r="BX199" s="5">
        <f>IF(($D$172-19)&lt;1,NA(),INDEX($D$189:$AD$189,($D$172-19)))</f>
        <v>0</v>
      </c>
      <c r="BY199" s="5">
        <f>IF(($D$172-18)&lt;1,NA(),INDEX($D$189:$AD$189,($D$172-18)))</f>
        <v>0</v>
      </c>
      <c r="BZ199" s="5">
        <f>IF(($D$172-17)&lt;1,NA(),INDEX($D$189:$AD$189,($D$172-17)))</f>
        <v>0</v>
      </c>
      <c r="CA199" s="5">
        <f>IF(($D$172-16)&lt;1,NA(),INDEX($D$189:$AD$189,($D$172-16)))</f>
        <v>0</v>
      </c>
      <c r="CB199" s="5">
        <f>IF(($D$172-15)&lt;1,NA(),INDEX($D$189:$AD$189,($D$172-15)))</f>
        <v>0</v>
      </c>
      <c r="CC199" s="5">
        <f>IF(($D$172-14)&lt;1,NA(),INDEX($D$189:$AD$189,($D$172-14)))</f>
        <v>0</v>
      </c>
      <c r="CD199" s="5">
        <f>IF(($D$172-13)&lt;1,NA(),INDEX($D$189:$AD$189,($D$172-13)))</f>
        <v>0</v>
      </c>
      <c r="CE199" s="5">
        <f>IF(($D$172-12)&lt;1,NA(),INDEX($D$189:$AD$189,($D$172-12)))</f>
        <v>0</v>
      </c>
      <c r="CF199" s="5">
        <f>IF(($D$172-11)&lt;1,NA(),INDEX($D$189:$AD$189,($D$172-11)))</f>
        <v>0</v>
      </c>
      <c r="CG199" s="5">
        <f>IF(($D$172-10)&lt;1,NA(),INDEX($D$189:$AD$189,($D$172-10)))</f>
        <v>0</v>
      </c>
      <c r="CH199" s="5">
        <f>IF(($D$172-9)&lt;1,NA(),INDEX($D$189:$AD$189,($D$172-9)))</f>
        <v>0</v>
      </c>
      <c r="CI199" s="5">
        <f>IF(($D$172-8)&lt;1,NA(),INDEX($D$189:$AD$189,($D$172-8)))</f>
        <v>0</v>
      </c>
      <c r="CJ199" s="5">
        <f>IF(($D$172-7)&lt;1,NA(),INDEX($D$189:$AD$189,($D$172-7)))</f>
        <v>0</v>
      </c>
      <c r="CK199" s="5">
        <f>IF(($D$172-6)&lt;1,NA(),INDEX($D$189:$AD$189,($D$172-6)))</f>
        <v>0</v>
      </c>
      <c r="CL199" s="5">
        <f>IF(($D$172-5)&lt;1,NA(),INDEX($D$189:$AD$189,($D$172-5)))</f>
        <v>0</v>
      </c>
      <c r="CM199" s="5">
        <f>IF(($D$172-4)&lt;1,NA(),INDEX($D$189:$AD$189,($D$172-4)))</f>
        <v>0</v>
      </c>
      <c r="CN199" s="5">
        <f>IF(($D$172-3)&lt;1,NA(),INDEX($D$189:$AD$189,($D$172-3)))</f>
        <v>0</v>
      </c>
      <c r="CO199" s="5">
        <f>IF(($D$172-2)&lt;1,NA(),INDEX($D$189:$AD$189,($D$172-2)))</f>
        <v>0</v>
      </c>
      <c r="CP199" s="5">
        <f>IF(($D$172-1)&lt;1,NA(),INDEX($D$189:$AD$189,($D$172-1)))</f>
        <v>0</v>
      </c>
      <c r="CQ199" s="5">
        <f>IF(($D$172-0)&lt;1,NA(),INDEX($D$189:$AD$189,($D$172-0)))</f>
        <v>0</v>
      </c>
    </row>
    <row r="200" spans="1:95">
      <c r="A200" s="11" t="s">
        <v>467</v>
      </c>
      <c r="B200" s="11" t="s">
        <v>468</v>
      </c>
      <c r="C200" s="3" t="s">
        <v>408</v>
      </c>
      <c r="BR200" s="11">
        <f>IF(($D$172-25)&lt;1,"",INDEX($D$187:$AD$187,($D$172-25)))</f>
        <v>0</v>
      </c>
      <c r="BS200" s="11">
        <f>IF(($D$172-24)&lt;1,"",INDEX($D$187:$AD$187,($D$172-24)))</f>
        <v>0</v>
      </c>
      <c r="BT200" s="11">
        <f>IF(($D$172-23)&lt;1,"",INDEX($D$187:$AD$187,($D$172-23)))</f>
        <v>0</v>
      </c>
      <c r="BU200" s="11">
        <f>IF(($D$172-22)&lt;1,"",INDEX($D$187:$AD$187,($D$172-22)))</f>
        <v>0</v>
      </c>
      <c r="BV200" s="11">
        <f>IF(($D$172-21)&lt;1,"",INDEX($D$187:$AD$187,($D$172-21)))</f>
        <v>0</v>
      </c>
      <c r="BW200" s="11">
        <f>IF(($D$172-20)&lt;1,"",INDEX($D$187:$AD$187,($D$172-20)))</f>
        <v>0</v>
      </c>
      <c r="BX200" s="11">
        <f>IF(($D$172-19)&lt;1,"",INDEX($D$187:$AD$187,($D$172-19)))</f>
        <v>0</v>
      </c>
      <c r="BY200" s="11">
        <f>IF(($D$172-18)&lt;1,"",INDEX($D$187:$AD$187,($D$172-18)))</f>
        <v>0</v>
      </c>
      <c r="BZ200" s="11">
        <f>IF(($D$172-17)&lt;1,"",INDEX($D$187:$AD$187,($D$172-17)))</f>
        <v>0</v>
      </c>
      <c r="CA200" s="11">
        <f>IF(($D$172-16)&lt;1,"",INDEX($D$187:$AD$187,($D$172-16)))</f>
        <v>0</v>
      </c>
      <c r="CB200" s="11">
        <f>IF(($D$172-15)&lt;1,"",INDEX($D$187:$AD$187,($D$172-15)))</f>
        <v>0</v>
      </c>
      <c r="CC200" s="11">
        <f>IF(($D$172-14)&lt;1,"",INDEX($D$187:$AD$187,($D$172-14)))</f>
        <v>0</v>
      </c>
      <c r="CD200" s="11">
        <f>IF(($D$172-13)&lt;1,"",INDEX($D$187:$AD$187,($D$172-13)))</f>
        <v>0</v>
      </c>
      <c r="CE200" s="11">
        <f>IF(($D$172-12)&lt;1,"",INDEX($D$187:$AD$187,($D$172-12)))</f>
        <v>0</v>
      </c>
      <c r="CF200" s="11">
        <f>IF(($D$172-11)&lt;1,"",INDEX($D$187:$AD$187,($D$172-11)))</f>
        <v>0</v>
      </c>
      <c r="CG200" s="11">
        <f>IF(($D$172-10)&lt;1,"",INDEX($D$187:$AD$187,($D$172-10)))</f>
        <v>0</v>
      </c>
      <c r="CH200" s="11">
        <f>IF(($D$172-9)&lt;1,"",INDEX($D$187:$AD$187,($D$172-9)))</f>
        <v>0</v>
      </c>
      <c r="CI200" s="11">
        <f>IF(($D$172-8)&lt;1,"",INDEX($D$187:$AD$187,($D$172-8)))</f>
        <v>0</v>
      </c>
      <c r="CJ200" s="11">
        <f>IF(($D$172-7)&lt;1,"",INDEX($D$187:$AD$187,($D$172-7)))</f>
        <v>0</v>
      </c>
      <c r="CK200" s="11">
        <f>IF(($D$172-6)&lt;1,"",INDEX($D$187:$AD$187,($D$172-6)))</f>
        <v>0</v>
      </c>
      <c r="CL200" s="11">
        <f>IF(($D$172-5)&lt;1,"",INDEX($D$187:$AD$187,($D$172-5)))</f>
        <v>0</v>
      </c>
      <c r="CM200" s="11">
        <f>IF(($D$172-4)&lt;1,"",INDEX($D$187:$AD$187,($D$172-4)))</f>
        <v>0</v>
      </c>
      <c r="CN200" s="11">
        <f>IF(($D$172-3)&lt;1,"",INDEX($D$187:$AD$187,($D$172-3)))</f>
        <v>0</v>
      </c>
      <c r="CO200" s="11">
        <f>IF(($D$172-2)&lt;1,"",INDEX($D$187:$AD$187,($D$172-2)))</f>
        <v>0</v>
      </c>
      <c r="CP200" s="11">
        <f>IF(($D$172-1)&lt;1,"",INDEX($D$187:$AD$187,($D$172-1)))</f>
        <v>0</v>
      </c>
      <c r="CQ200" s="11">
        <f>IF(($D$172-0)&lt;1,"",INDEX($D$187:$AD$187,($D$172-0)))</f>
        <v>0</v>
      </c>
    </row>
    <row r="201" spans="1:95">
      <c r="A201" s="11" t="s">
        <v>469</v>
      </c>
      <c r="B201" s="11" t="s">
        <v>470</v>
      </c>
      <c r="C201" s="3" t="s">
        <v>408</v>
      </c>
      <c r="BR201" s="5">
        <f>IF(($D$172-25)&lt;1,NA(),INDEX($D$191:$AD$191,($D$172-25)))</f>
        <v>0</v>
      </c>
      <c r="BS201" s="5">
        <f>IF(($D$172-24)&lt;1,NA(),INDEX($D$191:$AD$191,($D$172-24)))</f>
        <v>0</v>
      </c>
      <c r="BT201" s="5">
        <f>IF(($D$172-23)&lt;1,NA(),INDEX($D$191:$AD$191,($D$172-23)))</f>
        <v>0</v>
      </c>
      <c r="BU201" s="5">
        <f>IF(($D$172-22)&lt;1,NA(),INDEX($D$191:$AD$191,($D$172-22)))</f>
        <v>0</v>
      </c>
      <c r="BV201" s="5">
        <f>IF(($D$172-21)&lt;1,NA(),INDEX($D$191:$AD$191,($D$172-21)))</f>
        <v>0</v>
      </c>
      <c r="BW201" s="5">
        <f>IF(($D$172-20)&lt;1,NA(),INDEX($D$191:$AD$191,($D$172-20)))</f>
        <v>0</v>
      </c>
      <c r="BX201" s="5">
        <f>IF(($D$172-19)&lt;1,NA(),INDEX($D$191:$AD$191,($D$172-19)))</f>
        <v>0</v>
      </c>
      <c r="BY201" s="5">
        <f>IF(($D$172-18)&lt;1,NA(),INDEX($D$191:$AD$191,($D$172-18)))</f>
        <v>0</v>
      </c>
      <c r="BZ201" s="5">
        <f>IF(($D$172-17)&lt;1,NA(),INDEX($D$191:$AD$191,($D$172-17)))</f>
        <v>0</v>
      </c>
      <c r="CA201" s="5">
        <f>IF(($D$172-16)&lt;1,NA(),INDEX($D$191:$AD$191,($D$172-16)))</f>
        <v>0</v>
      </c>
      <c r="CB201" s="5">
        <f>IF(($D$172-15)&lt;1,NA(),INDEX($D$191:$AD$191,($D$172-15)))</f>
        <v>0</v>
      </c>
      <c r="CC201" s="5">
        <f>IF(($D$172-14)&lt;1,NA(),INDEX($D$191:$AD$191,($D$172-14)))</f>
        <v>0</v>
      </c>
      <c r="CD201" s="5">
        <f>IF(($D$172-13)&lt;1,NA(),INDEX($D$191:$AD$191,($D$172-13)))</f>
        <v>0</v>
      </c>
      <c r="CE201" s="5">
        <f>IF(($D$172-12)&lt;1,NA(),INDEX($D$191:$AD$191,($D$172-12)))</f>
        <v>0</v>
      </c>
      <c r="CF201" s="5">
        <f>IF(($D$172-11)&lt;1,NA(),INDEX($D$191:$AD$191,($D$172-11)))</f>
        <v>0</v>
      </c>
      <c r="CG201" s="5">
        <f>IF(($D$172-10)&lt;1,NA(),INDEX($D$191:$AD$191,($D$172-10)))</f>
        <v>0</v>
      </c>
      <c r="CH201" s="5">
        <f>IF(($D$172-9)&lt;1,NA(),INDEX($D$191:$AD$191,($D$172-9)))</f>
        <v>0</v>
      </c>
      <c r="CI201" s="5">
        <f>IF(($D$172-8)&lt;1,NA(),INDEX($D$191:$AD$191,($D$172-8)))</f>
        <v>0</v>
      </c>
      <c r="CJ201" s="5">
        <f>IF(($D$172-7)&lt;1,NA(),INDEX($D$191:$AD$191,($D$172-7)))</f>
        <v>0</v>
      </c>
      <c r="CK201" s="5">
        <f>IF(($D$172-6)&lt;1,NA(),INDEX($D$191:$AD$191,($D$172-6)))</f>
        <v>0</v>
      </c>
      <c r="CL201" s="5">
        <f>IF(($D$172-5)&lt;1,NA(),INDEX($D$191:$AD$191,($D$172-5)))</f>
        <v>0</v>
      </c>
      <c r="CM201" s="5">
        <f>IF(($D$172-4)&lt;1,NA(),INDEX($D$191:$AD$191,($D$172-4)))</f>
        <v>0</v>
      </c>
      <c r="CN201" s="5">
        <f>IF(($D$172-3)&lt;1,NA(),INDEX($D$191:$AD$191,($D$172-3)))</f>
        <v>0</v>
      </c>
      <c r="CO201" s="5">
        <f>IF(($D$172-2)&lt;1,NA(),INDEX($D$191:$AD$191,($D$172-2)))</f>
        <v>0</v>
      </c>
      <c r="CP201" s="5">
        <f>IF(($D$172-1)&lt;1,NA(),INDEX($D$191:$AD$191,($D$172-1)))</f>
        <v>0</v>
      </c>
      <c r="CQ201" s="5">
        <f>IF(($D$172-0)&lt;1,NA(),INDEX($D$191:$AD$191,($D$172-0)))</f>
        <v>0</v>
      </c>
    </row>
    <row r="202" spans="1:95">
      <c r="A202" s="11" t="s">
        <v>471</v>
      </c>
      <c r="B202" s="11" t="s">
        <v>472</v>
      </c>
      <c r="C202" s="3" t="s">
        <v>408</v>
      </c>
      <c r="BR202" s="5">
        <f>IF(($D$172-25)&lt;1,NA(),INDEX($D$192:$AD$192,($D$172-25)))</f>
        <v>0</v>
      </c>
      <c r="BS202" s="5">
        <f>IF(($D$172-24)&lt;1,NA(),INDEX($D$192:$AD$192,($D$172-24)))</f>
        <v>0</v>
      </c>
      <c r="BT202" s="5">
        <f>IF(($D$172-23)&lt;1,NA(),INDEX($D$192:$AD$192,($D$172-23)))</f>
        <v>0</v>
      </c>
      <c r="BU202" s="5">
        <f>IF(($D$172-22)&lt;1,NA(),INDEX($D$192:$AD$192,($D$172-22)))</f>
        <v>0</v>
      </c>
      <c r="BV202" s="5">
        <f>IF(($D$172-21)&lt;1,NA(),INDEX($D$192:$AD$192,($D$172-21)))</f>
        <v>0</v>
      </c>
      <c r="BW202" s="5">
        <f>IF(($D$172-20)&lt;1,NA(),INDEX($D$192:$AD$192,($D$172-20)))</f>
        <v>0</v>
      </c>
      <c r="BX202" s="5">
        <f>IF(($D$172-19)&lt;1,NA(),INDEX($D$192:$AD$192,($D$172-19)))</f>
        <v>0</v>
      </c>
      <c r="BY202" s="5">
        <f>IF(($D$172-18)&lt;1,NA(),INDEX($D$192:$AD$192,($D$172-18)))</f>
        <v>0</v>
      </c>
      <c r="BZ202" s="5">
        <f>IF(($D$172-17)&lt;1,NA(),INDEX($D$192:$AD$192,($D$172-17)))</f>
        <v>0</v>
      </c>
      <c r="CA202" s="5">
        <f>IF(($D$172-16)&lt;1,NA(),INDEX($D$192:$AD$192,($D$172-16)))</f>
        <v>0</v>
      </c>
      <c r="CB202" s="5">
        <f>IF(($D$172-15)&lt;1,NA(),INDEX($D$192:$AD$192,($D$172-15)))</f>
        <v>0</v>
      </c>
      <c r="CC202" s="5">
        <f>IF(($D$172-14)&lt;1,NA(),INDEX($D$192:$AD$192,($D$172-14)))</f>
        <v>0</v>
      </c>
      <c r="CD202" s="5">
        <f>IF(($D$172-13)&lt;1,NA(),INDEX($D$192:$AD$192,($D$172-13)))</f>
        <v>0</v>
      </c>
      <c r="CE202" s="5">
        <f>IF(($D$172-12)&lt;1,NA(),INDEX($D$192:$AD$192,($D$172-12)))</f>
        <v>0</v>
      </c>
      <c r="CF202" s="5">
        <f>IF(($D$172-11)&lt;1,NA(),INDEX($D$192:$AD$192,($D$172-11)))</f>
        <v>0</v>
      </c>
      <c r="CG202" s="5">
        <f>IF(($D$172-10)&lt;1,NA(),INDEX($D$192:$AD$192,($D$172-10)))</f>
        <v>0</v>
      </c>
      <c r="CH202" s="5">
        <f>IF(($D$172-9)&lt;1,NA(),INDEX($D$192:$AD$192,($D$172-9)))</f>
        <v>0</v>
      </c>
      <c r="CI202" s="5">
        <f>IF(($D$172-8)&lt;1,NA(),INDEX($D$192:$AD$192,($D$172-8)))</f>
        <v>0</v>
      </c>
      <c r="CJ202" s="5">
        <f>IF(($D$172-7)&lt;1,NA(),INDEX($D$192:$AD$192,($D$172-7)))</f>
        <v>0</v>
      </c>
      <c r="CK202" s="5">
        <f>IF(($D$172-6)&lt;1,NA(),INDEX($D$192:$AD$192,($D$172-6)))</f>
        <v>0</v>
      </c>
      <c r="CL202" s="5">
        <f>IF(($D$172-5)&lt;1,NA(),INDEX($D$192:$AD$192,($D$172-5)))</f>
        <v>0</v>
      </c>
      <c r="CM202" s="5">
        <f>IF(($D$172-4)&lt;1,NA(),INDEX($D$192:$AD$192,($D$172-4)))</f>
        <v>0</v>
      </c>
      <c r="CN202" s="5">
        <f>IF(($D$172-3)&lt;1,NA(),INDEX($D$192:$AD$192,($D$172-3)))</f>
        <v>0</v>
      </c>
      <c r="CO202" s="5">
        <f>IF(($D$172-2)&lt;1,NA(),INDEX($D$192:$AD$192,($D$172-2)))</f>
        <v>0</v>
      </c>
      <c r="CP202" s="5">
        <f>IF(($D$172-1)&lt;1,NA(),INDEX($D$192:$AD$192,($D$172-1)))</f>
        <v>0</v>
      </c>
      <c r="CQ202" s="5">
        <f>IF(($D$172-0)&lt;1,NA(),INDEX($D$192:$AD$192,($D$172-0)))</f>
        <v>0</v>
      </c>
    </row>
    <row r="203" spans="1:95">
      <c r="A203" s="11" t="s">
        <v>473</v>
      </c>
      <c r="B203" s="11" t="s">
        <v>474</v>
      </c>
      <c r="C203" s="3" t="s">
        <v>408</v>
      </c>
      <c r="BR203" s="5">
        <f>IF(($D$172-25)&lt;1,NA(),INDEX($D$193:$AD$193,($D$172-25)))</f>
        <v>0</v>
      </c>
      <c r="BS203" s="5">
        <f>IF(($D$172-24)&lt;1,NA(),INDEX($D$193:$AD$193,($D$172-24)))</f>
        <v>0</v>
      </c>
      <c r="BT203" s="5">
        <f>IF(($D$172-23)&lt;1,NA(),INDEX($D$193:$AD$193,($D$172-23)))</f>
        <v>0</v>
      </c>
      <c r="BU203" s="5">
        <f>IF(($D$172-22)&lt;1,NA(),INDEX($D$193:$AD$193,($D$172-22)))</f>
        <v>0</v>
      </c>
      <c r="BV203" s="5">
        <f>IF(($D$172-21)&lt;1,NA(),INDEX($D$193:$AD$193,($D$172-21)))</f>
        <v>0</v>
      </c>
      <c r="BW203" s="5">
        <f>IF(($D$172-20)&lt;1,NA(),INDEX($D$193:$AD$193,($D$172-20)))</f>
        <v>0</v>
      </c>
      <c r="BX203" s="5">
        <f>IF(($D$172-19)&lt;1,NA(),INDEX($D$193:$AD$193,($D$172-19)))</f>
        <v>0</v>
      </c>
      <c r="BY203" s="5">
        <f>IF(($D$172-18)&lt;1,NA(),INDEX($D$193:$AD$193,($D$172-18)))</f>
        <v>0</v>
      </c>
      <c r="BZ203" s="5">
        <f>IF(($D$172-17)&lt;1,NA(),INDEX($D$193:$AD$193,($D$172-17)))</f>
        <v>0</v>
      </c>
      <c r="CA203" s="5">
        <f>IF(($D$172-16)&lt;1,NA(),INDEX($D$193:$AD$193,($D$172-16)))</f>
        <v>0</v>
      </c>
      <c r="CB203" s="5">
        <f>IF(($D$172-15)&lt;1,NA(),INDEX($D$193:$AD$193,($D$172-15)))</f>
        <v>0</v>
      </c>
      <c r="CC203" s="5">
        <f>IF(($D$172-14)&lt;1,NA(),INDEX($D$193:$AD$193,($D$172-14)))</f>
        <v>0</v>
      </c>
      <c r="CD203" s="5">
        <f>IF(($D$172-13)&lt;1,NA(),INDEX($D$193:$AD$193,($D$172-13)))</f>
        <v>0</v>
      </c>
      <c r="CE203" s="5">
        <f>IF(($D$172-12)&lt;1,NA(),INDEX($D$193:$AD$193,($D$172-12)))</f>
        <v>0</v>
      </c>
      <c r="CF203" s="5">
        <f>IF(($D$172-11)&lt;1,NA(),INDEX($D$193:$AD$193,($D$172-11)))</f>
        <v>0</v>
      </c>
      <c r="CG203" s="5">
        <f>IF(($D$172-10)&lt;1,NA(),INDEX($D$193:$AD$193,($D$172-10)))</f>
        <v>0</v>
      </c>
      <c r="CH203" s="5">
        <f>IF(($D$172-9)&lt;1,NA(),INDEX($D$193:$AD$193,($D$172-9)))</f>
        <v>0</v>
      </c>
      <c r="CI203" s="5">
        <f>IF(($D$172-8)&lt;1,NA(),INDEX($D$193:$AD$193,($D$172-8)))</f>
        <v>0</v>
      </c>
      <c r="CJ203" s="5">
        <f>IF(($D$172-7)&lt;1,NA(),INDEX($D$193:$AD$193,($D$172-7)))</f>
        <v>0</v>
      </c>
      <c r="CK203" s="5">
        <f>IF(($D$172-6)&lt;1,NA(),INDEX($D$193:$AD$193,($D$172-6)))</f>
        <v>0</v>
      </c>
      <c r="CL203" s="5">
        <f>IF(($D$172-5)&lt;1,NA(),INDEX($D$193:$AD$193,($D$172-5)))</f>
        <v>0</v>
      </c>
      <c r="CM203" s="5">
        <f>IF(($D$172-4)&lt;1,NA(),INDEX($D$193:$AD$193,($D$172-4)))</f>
        <v>0</v>
      </c>
      <c r="CN203" s="5">
        <f>IF(($D$172-3)&lt;1,NA(),INDEX($D$193:$AD$193,($D$172-3)))</f>
        <v>0</v>
      </c>
      <c r="CO203" s="5">
        <f>IF(($D$172-2)&lt;1,NA(),INDEX($D$193:$AD$193,($D$172-2)))</f>
        <v>0</v>
      </c>
      <c r="CP203" s="5">
        <f>IF(($D$172-1)&lt;1,NA(),INDEX($D$193:$AD$193,($D$172-1)))</f>
        <v>0</v>
      </c>
      <c r="CQ203" s="5">
        <f>IF(($D$172-0)&lt;1,NA(),INDEX($D$193:$AD$193,($D$172-0)))</f>
        <v>0</v>
      </c>
    </row>
    <row r="204" spans="1:95">
      <c r="A204" s="11" t="s">
        <v>475</v>
      </c>
      <c r="B204" s="11" t="s">
        <v>476</v>
      </c>
      <c r="C204" s="3" t="s">
        <v>408</v>
      </c>
      <c r="BR204" s="11">
        <f>IF(($D$172-25)&lt;1,"",INDEX($D$194:$AD$194,($D$172-25)))</f>
        <v>0</v>
      </c>
      <c r="BS204" s="11">
        <f>IF(($D$172-24)&lt;1,"",INDEX($D$194:$AD$194,($D$172-24)))</f>
        <v>0</v>
      </c>
      <c r="BT204" s="11">
        <f>IF(($D$172-23)&lt;1,"",INDEX($D$194:$AD$194,($D$172-23)))</f>
        <v>0</v>
      </c>
      <c r="BU204" s="11">
        <f>IF(($D$172-22)&lt;1,"",INDEX($D$194:$AD$194,($D$172-22)))</f>
        <v>0</v>
      </c>
      <c r="BV204" s="11">
        <f>IF(($D$172-21)&lt;1,"",INDEX($D$194:$AD$194,($D$172-21)))</f>
        <v>0</v>
      </c>
      <c r="BW204" s="11">
        <f>IF(($D$172-20)&lt;1,"",INDEX($D$194:$AD$194,($D$172-20)))</f>
        <v>0</v>
      </c>
      <c r="BX204" s="11">
        <f>IF(($D$172-19)&lt;1,"",INDEX($D$194:$AD$194,($D$172-19)))</f>
        <v>0</v>
      </c>
      <c r="BY204" s="11">
        <f>IF(($D$172-18)&lt;1,"",INDEX($D$194:$AD$194,($D$172-18)))</f>
        <v>0</v>
      </c>
      <c r="BZ204" s="11">
        <f>IF(($D$172-17)&lt;1,"",INDEX($D$194:$AD$194,($D$172-17)))</f>
        <v>0</v>
      </c>
      <c r="CA204" s="11">
        <f>IF(($D$172-16)&lt;1,"",INDEX($D$194:$AD$194,($D$172-16)))</f>
        <v>0</v>
      </c>
      <c r="CB204" s="11">
        <f>IF(($D$172-15)&lt;1,"",INDEX($D$194:$AD$194,($D$172-15)))</f>
        <v>0</v>
      </c>
      <c r="CC204" s="11">
        <f>IF(($D$172-14)&lt;1,"",INDEX($D$194:$AD$194,($D$172-14)))</f>
        <v>0</v>
      </c>
      <c r="CD204" s="11">
        <f>IF(($D$172-13)&lt;1,"",INDEX($D$194:$AD$194,($D$172-13)))</f>
        <v>0</v>
      </c>
      <c r="CE204" s="11">
        <f>IF(($D$172-12)&lt;1,"",INDEX($D$194:$AD$194,($D$172-12)))</f>
        <v>0</v>
      </c>
      <c r="CF204" s="11">
        <f>IF(($D$172-11)&lt;1,"",INDEX($D$194:$AD$194,($D$172-11)))</f>
        <v>0</v>
      </c>
      <c r="CG204" s="11">
        <f>IF(($D$172-10)&lt;1,"",INDEX($D$194:$AD$194,($D$172-10)))</f>
        <v>0</v>
      </c>
      <c r="CH204" s="11">
        <f>IF(($D$172-9)&lt;1,"",INDEX($D$194:$AD$194,($D$172-9)))</f>
        <v>0</v>
      </c>
      <c r="CI204" s="11">
        <f>IF(($D$172-8)&lt;1,"",INDEX($D$194:$AD$194,($D$172-8)))</f>
        <v>0</v>
      </c>
      <c r="CJ204" s="11">
        <f>IF(($D$172-7)&lt;1,"",INDEX($D$194:$AD$194,($D$172-7)))</f>
        <v>0</v>
      </c>
      <c r="CK204" s="11">
        <f>IF(($D$172-6)&lt;1,"",INDEX($D$194:$AD$194,($D$172-6)))</f>
        <v>0</v>
      </c>
      <c r="CL204" s="11">
        <f>IF(($D$172-5)&lt;1,"",INDEX($D$194:$AD$194,($D$172-5)))</f>
        <v>0</v>
      </c>
      <c r="CM204" s="11">
        <f>IF(($D$172-4)&lt;1,"",INDEX($D$194:$AD$194,($D$172-4)))</f>
        <v>0</v>
      </c>
      <c r="CN204" s="11">
        <f>IF(($D$172-3)&lt;1,"",INDEX($D$194:$AD$194,($D$172-3)))</f>
        <v>0</v>
      </c>
      <c r="CO204" s="11">
        <f>IF(($D$172-2)&lt;1,"",INDEX($D$194:$AD$194,($D$172-2)))</f>
        <v>0</v>
      </c>
      <c r="CP204" s="11">
        <f>IF(($D$172-1)&lt;1,"",INDEX($D$194:$AD$194,($D$172-1)))</f>
        <v>0</v>
      </c>
      <c r="CQ204" s="11">
        <f>IF(($D$172-0)&lt;1,"",INDEX($D$194:$AD$194,($D$172-0)))</f>
        <v>0</v>
      </c>
    </row>
    <row r="205" spans="1:95">
      <c r="A205" s="11" t="s">
        <v>477</v>
      </c>
      <c r="B205" s="11" t="s">
        <v>478</v>
      </c>
      <c r="C205" s="3" t="s">
        <v>137</v>
      </c>
      <c r="D205" s="5">
        <f>IF(MAX($D$206:$AD$206)=0,27,MAX($D$206:$AD$206))</f>
        <v>0</v>
      </c>
    </row>
    <row r="206" spans="1:95">
      <c r="A206" s="11" t="s">
        <v>479</v>
      </c>
      <c r="B206" s="11" t="s">
        <v>480</v>
      </c>
      <c r="C206" s="3" t="s">
        <v>137</v>
      </c>
      <c r="D206" s="5">
        <f>IF(OR(ISNUMBER(D12)),1,0)</f>
        <v>0</v>
      </c>
      <c r="E206" s="5">
        <f>IF(OR(ISNUMBER(E12)),2,0)</f>
        <v>0</v>
      </c>
      <c r="F206" s="5">
        <f>IF(OR(ISNUMBER(F12)),3,0)</f>
        <v>0</v>
      </c>
      <c r="G206" s="5">
        <f>IF(OR(ISNUMBER(G12)),4,0)</f>
        <v>0</v>
      </c>
      <c r="H206" s="5">
        <f>IF(OR(ISNUMBER(H12)),5,0)</f>
        <v>0</v>
      </c>
      <c r="I206" s="5">
        <f>IF(OR(ISNUMBER(I12)),6,0)</f>
        <v>0</v>
      </c>
      <c r="J206" s="5">
        <f>IF(OR(ISNUMBER(J12)),7,0)</f>
        <v>0</v>
      </c>
      <c r="K206" s="5">
        <f>IF(OR(ISNUMBER(K12)),8,0)</f>
        <v>0</v>
      </c>
      <c r="L206" s="5">
        <f>IF(OR(ISNUMBER(L12)),9,0)</f>
        <v>0</v>
      </c>
      <c r="M206" s="5">
        <f>IF(OR(ISNUMBER(M12)),10,0)</f>
        <v>0</v>
      </c>
      <c r="N206" s="5">
        <f>IF(OR(ISNUMBER(N12)),11,0)</f>
        <v>0</v>
      </c>
      <c r="O206" s="5">
        <f>IF(OR(ISNUMBER(O12)),12,0)</f>
        <v>0</v>
      </c>
      <c r="P206" s="5">
        <f>IF(OR(ISNUMBER(P12)),13,0)</f>
        <v>0</v>
      </c>
      <c r="Q206" s="5">
        <f>IF(OR(ISNUMBER(Q12)),14,0)</f>
        <v>0</v>
      </c>
      <c r="R206" s="5">
        <f>IF(OR(ISNUMBER(R12)),15,0)</f>
        <v>0</v>
      </c>
      <c r="S206" s="5">
        <f>IF(OR(ISNUMBER(S12)),16,0)</f>
        <v>0</v>
      </c>
      <c r="T206" s="5">
        <f>IF(OR(ISNUMBER(T12)),17,0)</f>
        <v>0</v>
      </c>
      <c r="U206" s="5">
        <f>IF(OR(ISNUMBER(U12)),18,0)</f>
        <v>0</v>
      </c>
      <c r="V206" s="5">
        <f>IF(OR(ISNUMBER(V12)),19,0)</f>
        <v>0</v>
      </c>
      <c r="W206" s="5">
        <f>IF(OR(ISNUMBER(W12)),20,0)</f>
        <v>0</v>
      </c>
      <c r="X206" s="5">
        <f>IF(OR(ISNUMBER(X12)),21,0)</f>
        <v>0</v>
      </c>
      <c r="Y206" s="5">
        <f>IF(OR(ISNUMBER(Y12)),22,0)</f>
        <v>0</v>
      </c>
      <c r="Z206" s="5">
        <f>IF(OR(ISNUMBER(Z12)),23,0)</f>
        <v>0</v>
      </c>
      <c r="AA206" s="5">
        <f>IF(OR(ISNUMBER(AA12)),24,0)</f>
        <v>0</v>
      </c>
      <c r="AB206" s="5">
        <f>IF(OR(ISNUMBER(AB12)),25,0)</f>
        <v>0</v>
      </c>
      <c r="AC206" s="5">
        <f>IF(OR(ISNUMBER(AC12)),26,0)</f>
        <v>0</v>
      </c>
      <c r="AD206" s="5">
        <f>IF(OR(ISNUMBER(AD12)),27,0)</f>
        <v>0</v>
      </c>
    </row>
    <row r="207" spans="1:95">
      <c r="A207" s="11" t="s">
        <v>481</v>
      </c>
      <c r="B207" s="11" t="s">
        <v>482</v>
      </c>
      <c r="C207" s="3" t="s">
        <v>397</v>
      </c>
      <c r="D207" s="80">
        <f>IF(MAX(IFERROR(N(INDEX(Wertstand!$A$113:$LJ$113,MATCH(INDEX($D$4:$AD$4,$D$205),RD_Kopf,0))),0))&gt;0,MAX(IFERROR(N(INDEX(Wertstand!$A$113:$LJ$113,MATCH(INDEX($D$4:$AD$4,$D$205),RD_Kopf,0))),0)),INDEX($D$4:$AD$4,$D$205))</f>
        <v>0</v>
      </c>
      <c r="E207" s="11">
        <f>"Stand: "&amp;TEXT(DAY($D$207),"00")&amp;"."&amp;TEXT(MONTH($D$207),"00")&amp;"."&amp;RIGHT(YEAR($D$207),2)</f>
        <v>0</v>
      </c>
      <c r="F207" s="11">
        <f>"Stand:"&amp;CHAR(10)&amp;TEXT(DAY($D$207),"00")&amp;"."&amp;TEXT(MONTH($D$207),"00")&amp;"."&amp;RIGHT(YEAR($D$207),2)</f>
        <v>0</v>
      </c>
    </row>
    <row r="208" spans="1:95">
      <c r="A208" s="11" t="s">
        <v>483</v>
      </c>
      <c r="B208" s="11" t="s">
        <v>484</v>
      </c>
      <c r="C208" s="3" t="s">
        <v>137</v>
      </c>
      <c r="D208" s="5">
        <f>MIN(IF(N(SLA_PV)&gt;0,1/$D$175+0.836104/N(SLA_PV),1.836104/$D$175),1.884971/MAX(1,IFERROR(_xlfn.AGGREGATE(4,6,INDEX($D$12:$AD$12,MAX(1,$D$205+1-$D$212)):INDEX($D$12:$AD$12,$D$205)),0)))</f>
        <v>0</v>
      </c>
    </row>
    <row r="209" spans="1:95">
      <c r="A209" s="11" t="s">
        <v>485</v>
      </c>
      <c r="B209" s="11" t="s">
        <v>486</v>
      </c>
      <c r="C209" s="3" t="s">
        <v>137</v>
      </c>
      <c r="D209" s="5">
        <f>IF(ISNUMBER(D12),D12*$D$208,NA())</f>
        <v>0</v>
      </c>
      <c r="E209" s="5">
        <f>IF(ISNUMBER(E12),E12*$D$208,NA())</f>
        <v>0</v>
      </c>
      <c r="F209" s="5">
        <f>IF(ISNUMBER(F12),F12*$D$208,NA())</f>
        <v>0</v>
      </c>
      <c r="G209" s="5">
        <f>IF(ISNUMBER(G12),G12*$D$208,NA())</f>
        <v>0</v>
      </c>
      <c r="H209" s="5">
        <f>IF(ISNUMBER(H12),H12*$D$208,NA())</f>
        <v>0</v>
      </c>
      <c r="I209" s="5">
        <f>IF(ISNUMBER(I12),I12*$D$208,NA())</f>
        <v>0</v>
      </c>
      <c r="J209" s="5">
        <f>IF(ISNUMBER(J12),J12*$D$208,NA())</f>
        <v>0</v>
      </c>
      <c r="K209" s="5">
        <f>IF(ISNUMBER(K12),K12*$D$208,NA())</f>
        <v>0</v>
      </c>
      <c r="L209" s="5">
        <f>IF(ISNUMBER(L12),L12*$D$208,NA())</f>
        <v>0</v>
      </c>
      <c r="M209" s="5">
        <f>IF(ISNUMBER(M12),M12*$D$208,NA())</f>
        <v>0</v>
      </c>
      <c r="N209" s="5">
        <f>IF(ISNUMBER(N12),N12*$D$208,NA())</f>
        <v>0</v>
      </c>
      <c r="O209" s="5">
        <f>IF(ISNUMBER(O12),O12*$D$208,NA())</f>
        <v>0</v>
      </c>
      <c r="P209" s="5">
        <f>IF(ISNUMBER(P12),P12*$D$208,NA())</f>
        <v>0</v>
      </c>
      <c r="Q209" s="5">
        <f>IF(ISNUMBER(Q12),Q12*$D$208,NA())</f>
        <v>0</v>
      </c>
      <c r="R209" s="5">
        <f>IF(ISNUMBER(R12),R12*$D$208,NA())</f>
        <v>0</v>
      </c>
      <c r="S209" s="5">
        <f>IF(ISNUMBER(S12),S12*$D$208,NA())</f>
        <v>0</v>
      </c>
      <c r="T209" s="5">
        <f>IF(ISNUMBER(T12),T12*$D$208,NA())</f>
        <v>0</v>
      </c>
      <c r="U209" s="5">
        <f>IF(ISNUMBER(U12),U12*$D$208,NA())</f>
        <v>0</v>
      </c>
      <c r="V209" s="5">
        <f>IF(ISNUMBER(V12),V12*$D$208,NA())</f>
        <v>0</v>
      </c>
      <c r="W209" s="5">
        <f>IF(ISNUMBER(W12),W12*$D$208,NA())</f>
        <v>0</v>
      </c>
      <c r="X209" s="5">
        <f>IF(ISNUMBER(X12),X12*$D$208,NA())</f>
        <v>0</v>
      </c>
      <c r="Y209" s="5">
        <f>IF(ISNUMBER(Y12),Y12*$D$208,NA())</f>
        <v>0</v>
      </c>
      <c r="Z209" s="5">
        <f>IF(ISNUMBER(Z12),Z12*$D$208,NA())</f>
        <v>0</v>
      </c>
      <c r="AA209" s="5">
        <f>IF(ISNUMBER(AA12),AA12*$D$208,NA())</f>
        <v>0</v>
      </c>
      <c r="AB209" s="5">
        <f>IF(ISNUMBER(AB12),AB12*$D$208,NA())</f>
        <v>0</v>
      </c>
      <c r="AC209" s="5">
        <f>IF(ISNUMBER(AC12),AC12*$D$208,NA())</f>
        <v>0</v>
      </c>
      <c r="AD209" s="5">
        <f>IF(ISNUMBER(AD12),AD12*$D$208,NA())</f>
        <v>0</v>
      </c>
    </row>
    <row r="210" spans="1:95">
      <c r="A210" s="11" t="s">
        <v>487</v>
      </c>
      <c r="B210" s="11" t="s">
        <v>488</v>
      </c>
      <c r="C210" s="3" t="s">
        <v>137</v>
      </c>
      <c r="D210" s="5">
        <f>IF(N(D154)&gt;0,N(D154)*$D$208,NA())</f>
        <v>0</v>
      </c>
      <c r="E210" s="5">
        <f>IF(N(E154)&gt;0,N(E154)*$D$208,NA())</f>
        <v>0</v>
      </c>
      <c r="F210" s="5">
        <f>IF(N(F154)&gt;0,N(F154)*$D$208,NA())</f>
        <v>0</v>
      </c>
      <c r="G210" s="5">
        <f>IF(N(G154)&gt;0,N(G154)*$D$208,NA())</f>
        <v>0</v>
      </c>
      <c r="H210" s="5">
        <f>IF(N(H154)&gt;0,N(H154)*$D$208,NA())</f>
        <v>0</v>
      </c>
      <c r="I210" s="5">
        <f>IF(N(I154)&gt;0,N(I154)*$D$208,NA())</f>
        <v>0</v>
      </c>
      <c r="J210" s="5">
        <f>IF(N(J154)&gt;0,N(J154)*$D$208,NA())</f>
        <v>0</v>
      </c>
      <c r="K210" s="5">
        <f>IF(N(K154)&gt;0,N(K154)*$D$208,NA())</f>
        <v>0</v>
      </c>
      <c r="L210" s="5">
        <f>IF(N(L154)&gt;0,N(L154)*$D$208,NA())</f>
        <v>0</v>
      </c>
      <c r="M210" s="5">
        <f>IF(N(M154)&gt;0,N(M154)*$D$208,NA())</f>
        <v>0</v>
      </c>
      <c r="N210" s="5">
        <f>IF(N(N154)&gt;0,N(N154)*$D$208,NA())</f>
        <v>0</v>
      </c>
      <c r="O210" s="5">
        <f>IF(N(O154)&gt;0,N(O154)*$D$208,NA())</f>
        <v>0</v>
      </c>
      <c r="P210" s="5">
        <f>IF(N(P154)&gt;0,N(P154)*$D$208,NA())</f>
        <v>0</v>
      </c>
      <c r="Q210" s="5">
        <f>IF(N(Q154)&gt;0,N(Q154)*$D$208,NA())</f>
        <v>0</v>
      </c>
      <c r="R210" s="5">
        <f>IF(N(R154)&gt;0,N(R154)*$D$208,NA())</f>
        <v>0</v>
      </c>
      <c r="S210" s="5">
        <f>IF(N(S154)&gt;0,N(S154)*$D$208,NA())</f>
        <v>0</v>
      </c>
      <c r="T210" s="5">
        <f>IF(N(T154)&gt;0,N(T154)*$D$208,NA())</f>
        <v>0</v>
      </c>
      <c r="U210" s="5">
        <f>IF(N(U154)&gt;0,N(U154)*$D$208,NA())</f>
        <v>0</v>
      </c>
      <c r="V210" s="5">
        <f>IF(N(V154)&gt;0,N(V154)*$D$208,NA())</f>
        <v>0</v>
      </c>
      <c r="W210" s="5">
        <f>IF(N(W154)&gt;0,N(W154)*$D$208,NA())</f>
        <v>0</v>
      </c>
      <c r="X210" s="5">
        <f>IF(N(X154)&gt;0,N(X154)*$D$208,NA())</f>
        <v>0</v>
      </c>
      <c r="Y210" s="5">
        <f>IF(N(Y154)&gt;0,N(Y154)*$D$208,NA())</f>
        <v>0</v>
      </c>
      <c r="Z210" s="5">
        <f>IF(N(Z154)&gt;0,N(Z154)*$D$208,NA())</f>
        <v>0</v>
      </c>
      <c r="AA210" s="5">
        <f>IF(N(AA154)&gt;0,N(AA154)*$D$208,NA())</f>
        <v>0</v>
      </c>
      <c r="AB210" s="5">
        <f>IF(N(AB154)&gt;0,N(AB154)*$D$208,NA())</f>
        <v>0</v>
      </c>
      <c r="AC210" s="5">
        <f>IF(N(AC154)&gt;0,N(AC154)*$D$208,NA())</f>
        <v>0</v>
      </c>
      <c r="AD210" s="5">
        <f>IF(N(AD154)&gt;0,N(AD154)*$D$208,NA())</f>
        <v>0</v>
      </c>
    </row>
    <row r="211" spans="1:95">
      <c r="A211" s="11" t="s">
        <v>489</v>
      </c>
      <c r="B211" s="11" t="s">
        <v>490</v>
      </c>
      <c r="C211" s="3" t="s">
        <v>137</v>
      </c>
      <c r="D211" s="11">
        <f>IF(ISNUMBER(D12),FIXED(D12,0),"")</f>
        <v>0</v>
      </c>
      <c r="E211" s="11">
        <f>IF(ISNUMBER(E12),FIXED(E12,0),"")</f>
        <v>0</v>
      </c>
      <c r="F211" s="11">
        <f>IF(ISNUMBER(F12),FIXED(F12,0),"")</f>
        <v>0</v>
      </c>
      <c r="G211" s="11">
        <f>IF(ISNUMBER(G12),FIXED(G12,0),"")</f>
        <v>0</v>
      </c>
      <c r="H211" s="11">
        <f>IF(ISNUMBER(H12),FIXED(H12,0),"")</f>
        <v>0</v>
      </c>
      <c r="I211" s="11">
        <f>IF(ISNUMBER(I12),FIXED(I12,0),"")</f>
        <v>0</v>
      </c>
      <c r="J211" s="11">
        <f>IF(ISNUMBER(J12),FIXED(J12,0),"")</f>
        <v>0</v>
      </c>
      <c r="K211" s="11">
        <f>IF(ISNUMBER(K12),FIXED(K12,0),"")</f>
        <v>0</v>
      </c>
      <c r="L211" s="11">
        <f>IF(ISNUMBER(L12),FIXED(L12,0),"")</f>
        <v>0</v>
      </c>
      <c r="M211" s="11">
        <f>IF(ISNUMBER(M12),FIXED(M12,0),"")</f>
        <v>0</v>
      </c>
      <c r="N211" s="11">
        <f>IF(ISNUMBER(N12),FIXED(N12,0),"")</f>
        <v>0</v>
      </c>
      <c r="O211" s="11">
        <f>IF(ISNUMBER(O12),FIXED(O12,0),"")</f>
        <v>0</v>
      </c>
      <c r="P211" s="11">
        <f>IF(ISNUMBER(P12),FIXED(P12,0),"")</f>
        <v>0</v>
      </c>
      <c r="Q211" s="11">
        <f>IF(ISNUMBER(Q12),FIXED(Q12,0),"")</f>
        <v>0</v>
      </c>
      <c r="R211" s="11">
        <f>IF(ISNUMBER(R12),FIXED(R12,0),"")</f>
        <v>0</v>
      </c>
      <c r="S211" s="11">
        <f>IF(ISNUMBER(S12),FIXED(S12,0),"")</f>
        <v>0</v>
      </c>
      <c r="T211" s="11">
        <f>IF(ISNUMBER(T12),FIXED(T12,0),"")</f>
        <v>0</v>
      </c>
      <c r="U211" s="11">
        <f>IF(ISNUMBER(U12),FIXED(U12,0),"")</f>
        <v>0</v>
      </c>
      <c r="V211" s="11">
        <f>IF(ISNUMBER(V12),FIXED(V12,0),"")</f>
        <v>0</v>
      </c>
      <c r="W211" s="11">
        <f>IF(ISNUMBER(W12),FIXED(W12,0),"")</f>
        <v>0</v>
      </c>
      <c r="X211" s="11">
        <f>IF(ISNUMBER(X12),FIXED(X12,0),"")</f>
        <v>0</v>
      </c>
      <c r="Y211" s="11">
        <f>IF(ISNUMBER(Y12),FIXED(Y12,0),"")</f>
        <v>0</v>
      </c>
      <c r="Z211" s="11">
        <f>IF(ISNUMBER(Z12),FIXED(Z12,0),"")</f>
        <v>0</v>
      </c>
      <c r="AA211" s="11">
        <f>IF(ISNUMBER(AA12),FIXED(AA12,0),"")</f>
        <v>0</v>
      </c>
      <c r="AB211" s="11">
        <f>IF(ISNUMBER(AB12),FIXED(AB12,0),"")</f>
        <v>0</v>
      </c>
      <c r="AC211" s="11">
        <f>IF(ISNUMBER(AC12),FIXED(AC12,0),"")</f>
        <v>0</v>
      </c>
      <c r="AD211" s="11">
        <f>IF(ISNUMBER(AD12),FIXED(AD12,0),"")</f>
        <v>0</v>
      </c>
    </row>
    <row r="212" spans="1:95">
      <c r="A212" s="11" t="s">
        <v>491</v>
      </c>
      <c r="B212" s="11" t="s">
        <v>492</v>
      </c>
      <c r="C212" s="3" t="s">
        <v>134</v>
      </c>
      <c r="D212" s="5">
        <v>10</v>
      </c>
    </row>
    <row r="213" spans="1:95">
      <c r="A213" s="11" t="s">
        <v>493</v>
      </c>
      <c r="B213" s="11" t="s">
        <v>494</v>
      </c>
      <c r="C213" s="3" t="s">
        <v>408</v>
      </c>
      <c r="BR213" s="11">
        <f>IF(($D$205-25)&lt;1,"",INDEX($D$3:$AD$3,($D$205-25)))</f>
        <v>0</v>
      </c>
      <c r="BS213" s="11">
        <f>IF(($D$205-24)&lt;1,"",INDEX($D$3:$AD$3,($D$205-24)))</f>
        <v>0</v>
      </c>
      <c r="BT213" s="11">
        <f>IF(($D$205-23)&lt;1,"",INDEX($D$3:$AD$3,($D$205-23)))</f>
        <v>0</v>
      </c>
      <c r="BU213" s="11">
        <f>IF(($D$205-22)&lt;1,"",INDEX($D$3:$AD$3,($D$205-22)))</f>
        <v>0</v>
      </c>
      <c r="BV213" s="11">
        <f>IF(($D$205-21)&lt;1,"",INDEX($D$3:$AD$3,($D$205-21)))</f>
        <v>0</v>
      </c>
      <c r="BW213" s="11">
        <f>IF(($D$205-20)&lt;1,"",INDEX($D$3:$AD$3,($D$205-20)))</f>
        <v>0</v>
      </c>
      <c r="BX213" s="11">
        <f>IF(($D$205-19)&lt;1,"",INDEX($D$3:$AD$3,($D$205-19)))</f>
        <v>0</v>
      </c>
      <c r="BY213" s="11">
        <f>IF(($D$205-18)&lt;1,"",INDEX($D$3:$AD$3,($D$205-18)))</f>
        <v>0</v>
      </c>
      <c r="BZ213" s="11">
        <f>IF(($D$205-17)&lt;1,"",INDEX($D$3:$AD$3,($D$205-17)))</f>
        <v>0</v>
      </c>
      <c r="CA213" s="11">
        <f>IF(($D$205-16)&lt;1,"",INDEX($D$3:$AD$3,($D$205-16)))</f>
        <v>0</v>
      </c>
      <c r="CB213" s="11">
        <f>IF(($D$205-15)&lt;1,"",INDEX($D$3:$AD$3,($D$205-15)))</f>
        <v>0</v>
      </c>
      <c r="CC213" s="11">
        <f>IF(($D$205-14)&lt;1,"",INDEX($D$3:$AD$3,($D$205-14)))</f>
        <v>0</v>
      </c>
      <c r="CD213" s="11">
        <f>IF(($D$205-13)&lt;1,"",INDEX($D$3:$AD$3,($D$205-13)))</f>
        <v>0</v>
      </c>
      <c r="CE213" s="11">
        <f>IF(($D$205-12)&lt;1,"",INDEX($D$3:$AD$3,($D$205-12)))</f>
        <v>0</v>
      </c>
      <c r="CF213" s="11">
        <f>IF(($D$205-11)&lt;1,"",INDEX($D$3:$AD$3,($D$205-11)))</f>
        <v>0</v>
      </c>
      <c r="CG213" s="11">
        <f>IF(($D$205-10)&lt;1,"",INDEX($D$3:$AD$3,($D$205-10)))</f>
        <v>0</v>
      </c>
      <c r="CH213" s="11">
        <f>IF(($D$205-9)&lt;1,"",INDEX($D$3:$AD$3,($D$205-9)))</f>
        <v>0</v>
      </c>
      <c r="CI213" s="11">
        <f>IF(($D$205-8)&lt;1,"",INDEX($D$3:$AD$3,($D$205-8)))</f>
        <v>0</v>
      </c>
      <c r="CJ213" s="11">
        <f>IF(($D$205-7)&lt;1,"",INDEX($D$3:$AD$3,($D$205-7)))</f>
        <v>0</v>
      </c>
      <c r="CK213" s="11">
        <f>IF(($D$205-6)&lt;1,"",INDEX($D$3:$AD$3,($D$205-6)))</f>
        <v>0</v>
      </c>
      <c r="CL213" s="11">
        <f>IF(($D$205-5)&lt;1,"",INDEX($D$3:$AD$3,($D$205-5)))</f>
        <v>0</v>
      </c>
      <c r="CM213" s="11">
        <f>IF(($D$205-4)&lt;1,"",INDEX($D$3:$AD$3,($D$205-4)))</f>
        <v>0</v>
      </c>
      <c r="CN213" s="11">
        <f>IF(($D$205-3)&lt;1,"",INDEX($D$3:$AD$3,($D$205-3)))</f>
        <v>0</v>
      </c>
      <c r="CO213" s="11">
        <f>IF(($D$205-2)&lt;1,"",INDEX($D$3:$AD$3,($D$205-2)))</f>
        <v>0</v>
      </c>
      <c r="CP213" s="11">
        <f>IF(($D$205-1)&lt;1,"",INDEX($D$3:$AD$3,($D$205-1)))</f>
        <v>0</v>
      </c>
      <c r="CQ213" s="11">
        <f>IF(($D$205-0)&lt;1,"",INDEX($D$3:$AD$3,($D$205-0)))</f>
        <v>0</v>
      </c>
    </row>
    <row r="214" spans="1:95">
      <c r="A214" s="11" t="s">
        <v>495</v>
      </c>
      <c r="B214" s="11" t="s">
        <v>496</v>
      </c>
      <c r="C214" s="3" t="s">
        <v>408</v>
      </c>
      <c r="BR214" s="5">
        <f>IF(($D$205-25)&lt;1,NA(),INDEX($D$209:$AD$209,($D$205-25)))</f>
        <v>0</v>
      </c>
      <c r="BS214" s="5">
        <f>IF(($D$205-24)&lt;1,NA(),INDEX($D$209:$AD$209,($D$205-24)))</f>
        <v>0</v>
      </c>
      <c r="BT214" s="5">
        <f>IF(($D$205-23)&lt;1,NA(),INDEX($D$209:$AD$209,($D$205-23)))</f>
        <v>0</v>
      </c>
      <c r="BU214" s="5">
        <f>IF(($D$205-22)&lt;1,NA(),INDEX($D$209:$AD$209,($D$205-22)))</f>
        <v>0</v>
      </c>
      <c r="BV214" s="5">
        <f>IF(($D$205-21)&lt;1,NA(),INDEX($D$209:$AD$209,($D$205-21)))</f>
        <v>0</v>
      </c>
      <c r="BW214" s="5">
        <f>IF(($D$205-20)&lt;1,NA(),INDEX($D$209:$AD$209,($D$205-20)))</f>
        <v>0</v>
      </c>
      <c r="BX214" s="5">
        <f>IF(($D$205-19)&lt;1,NA(),INDEX($D$209:$AD$209,($D$205-19)))</f>
        <v>0</v>
      </c>
      <c r="BY214" s="5">
        <f>IF(($D$205-18)&lt;1,NA(),INDEX($D$209:$AD$209,($D$205-18)))</f>
        <v>0</v>
      </c>
      <c r="BZ214" s="5">
        <f>IF(($D$205-17)&lt;1,NA(),INDEX($D$209:$AD$209,($D$205-17)))</f>
        <v>0</v>
      </c>
      <c r="CA214" s="5">
        <f>IF(($D$205-16)&lt;1,NA(),INDEX($D$209:$AD$209,($D$205-16)))</f>
        <v>0</v>
      </c>
      <c r="CB214" s="5">
        <f>IF(($D$205-15)&lt;1,NA(),INDEX($D$209:$AD$209,($D$205-15)))</f>
        <v>0</v>
      </c>
      <c r="CC214" s="5">
        <f>IF(($D$205-14)&lt;1,NA(),INDEX($D$209:$AD$209,($D$205-14)))</f>
        <v>0</v>
      </c>
      <c r="CD214" s="5">
        <f>IF(($D$205-13)&lt;1,NA(),INDEX($D$209:$AD$209,($D$205-13)))</f>
        <v>0</v>
      </c>
      <c r="CE214" s="5">
        <f>IF(($D$205-12)&lt;1,NA(),INDEX($D$209:$AD$209,($D$205-12)))</f>
        <v>0</v>
      </c>
      <c r="CF214" s="5">
        <f>IF(($D$205-11)&lt;1,NA(),INDEX($D$209:$AD$209,($D$205-11)))</f>
        <v>0</v>
      </c>
      <c r="CG214" s="5">
        <f>IF(($D$205-10)&lt;1,NA(),INDEX($D$209:$AD$209,($D$205-10)))</f>
        <v>0</v>
      </c>
      <c r="CH214" s="5">
        <f>IF(($D$205-9)&lt;1,NA(),INDEX($D$209:$AD$209,($D$205-9)))</f>
        <v>0</v>
      </c>
      <c r="CI214" s="5">
        <f>IF(($D$205-8)&lt;1,NA(),INDEX($D$209:$AD$209,($D$205-8)))</f>
        <v>0</v>
      </c>
      <c r="CJ214" s="5">
        <f>IF(($D$205-7)&lt;1,NA(),INDEX($D$209:$AD$209,($D$205-7)))</f>
        <v>0</v>
      </c>
      <c r="CK214" s="5">
        <f>IF(($D$205-6)&lt;1,NA(),INDEX($D$209:$AD$209,($D$205-6)))</f>
        <v>0</v>
      </c>
      <c r="CL214" s="5">
        <f>IF(($D$205-5)&lt;1,NA(),INDEX($D$209:$AD$209,($D$205-5)))</f>
        <v>0</v>
      </c>
      <c r="CM214" s="5">
        <f>IF(($D$205-4)&lt;1,NA(),INDEX($D$209:$AD$209,($D$205-4)))</f>
        <v>0</v>
      </c>
      <c r="CN214" s="5">
        <f>IF(($D$205-3)&lt;1,NA(),INDEX($D$209:$AD$209,($D$205-3)))</f>
        <v>0</v>
      </c>
      <c r="CO214" s="5">
        <f>IF(($D$205-2)&lt;1,NA(),INDEX($D$209:$AD$209,($D$205-2)))</f>
        <v>0</v>
      </c>
      <c r="CP214" s="5">
        <f>IF(($D$205-1)&lt;1,NA(),INDEX($D$209:$AD$209,($D$205-1)))</f>
        <v>0</v>
      </c>
      <c r="CQ214" s="5">
        <f>IF(($D$205-0)&lt;1,NA(),INDEX($D$209:$AD$209,($D$205-0)))</f>
        <v>0</v>
      </c>
    </row>
    <row r="215" spans="1:95">
      <c r="A215" s="11" t="s">
        <v>497</v>
      </c>
      <c r="B215" s="11" t="s">
        <v>498</v>
      </c>
      <c r="C215" s="3" t="s">
        <v>408</v>
      </c>
      <c r="BR215" s="11">
        <f>IF(($D$205-25)&lt;1,"",INDEX($D$211:$AD$211,($D$205-25)))</f>
        <v>0</v>
      </c>
      <c r="BS215" s="11">
        <f>IF(($D$205-24)&lt;1,"",INDEX($D$211:$AD$211,($D$205-24)))</f>
        <v>0</v>
      </c>
      <c r="BT215" s="11">
        <f>IF(($D$205-23)&lt;1,"",INDEX($D$211:$AD$211,($D$205-23)))</f>
        <v>0</v>
      </c>
      <c r="BU215" s="11">
        <f>IF(($D$205-22)&lt;1,"",INDEX($D$211:$AD$211,($D$205-22)))</f>
        <v>0</v>
      </c>
      <c r="BV215" s="11">
        <f>IF(($D$205-21)&lt;1,"",INDEX($D$211:$AD$211,($D$205-21)))</f>
        <v>0</v>
      </c>
      <c r="BW215" s="11">
        <f>IF(($D$205-20)&lt;1,"",INDEX($D$211:$AD$211,($D$205-20)))</f>
        <v>0</v>
      </c>
      <c r="BX215" s="11">
        <f>IF(($D$205-19)&lt;1,"",INDEX($D$211:$AD$211,($D$205-19)))</f>
        <v>0</v>
      </c>
      <c r="BY215" s="11">
        <f>IF(($D$205-18)&lt;1,"",INDEX($D$211:$AD$211,($D$205-18)))</f>
        <v>0</v>
      </c>
      <c r="BZ215" s="11">
        <f>IF(($D$205-17)&lt;1,"",INDEX($D$211:$AD$211,($D$205-17)))</f>
        <v>0</v>
      </c>
      <c r="CA215" s="11">
        <f>IF(($D$205-16)&lt;1,"",INDEX($D$211:$AD$211,($D$205-16)))</f>
        <v>0</v>
      </c>
      <c r="CB215" s="11">
        <f>IF(($D$205-15)&lt;1,"",INDEX($D$211:$AD$211,($D$205-15)))</f>
        <v>0</v>
      </c>
      <c r="CC215" s="11">
        <f>IF(($D$205-14)&lt;1,"",INDEX($D$211:$AD$211,($D$205-14)))</f>
        <v>0</v>
      </c>
      <c r="CD215" s="11">
        <f>IF(($D$205-13)&lt;1,"",INDEX($D$211:$AD$211,($D$205-13)))</f>
        <v>0</v>
      </c>
      <c r="CE215" s="11">
        <f>IF(($D$205-12)&lt;1,"",INDEX($D$211:$AD$211,($D$205-12)))</f>
        <v>0</v>
      </c>
      <c r="CF215" s="11">
        <f>IF(($D$205-11)&lt;1,"",INDEX($D$211:$AD$211,($D$205-11)))</f>
        <v>0</v>
      </c>
      <c r="CG215" s="11">
        <f>IF(($D$205-10)&lt;1,"",INDEX($D$211:$AD$211,($D$205-10)))</f>
        <v>0</v>
      </c>
      <c r="CH215" s="11">
        <f>IF(($D$205-9)&lt;1,"",INDEX($D$211:$AD$211,($D$205-9)))</f>
        <v>0</v>
      </c>
      <c r="CI215" s="11">
        <f>IF(($D$205-8)&lt;1,"",INDEX($D$211:$AD$211,($D$205-8)))</f>
        <v>0</v>
      </c>
      <c r="CJ215" s="11">
        <f>IF(($D$205-7)&lt;1,"",INDEX($D$211:$AD$211,($D$205-7)))</f>
        <v>0</v>
      </c>
      <c r="CK215" s="11">
        <f>IF(($D$205-6)&lt;1,"",INDEX($D$211:$AD$211,($D$205-6)))</f>
        <v>0</v>
      </c>
      <c r="CL215" s="11">
        <f>IF(($D$205-5)&lt;1,"",INDEX($D$211:$AD$211,($D$205-5)))</f>
        <v>0</v>
      </c>
      <c r="CM215" s="11">
        <f>IF(($D$205-4)&lt;1,"",INDEX($D$211:$AD$211,($D$205-4)))</f>
        <v>0</v>
      </c>
      <c r="CN215" s="11">
        <f>IF(($D$205-3)&lt;1,"",INDEX($D$211:$AD$211,($D$205-3)))</f>
        <v>0</v>
      </c>
      <c r="CO215" s="11">
        <f>IF(($D$205-2)&lt;1,"",INDEX($D$211:$AD$211,($D$205-2)))</f>
        <v>0</v>
      </c>
      <c r="CP215" s="11">
        <f>IF(($D$205-1)&lt;1,"",INDEX($D$211:$AD$211,($D$205-1)))</f>
        <v>0</v>
      </c>
      <c r="CQ215" s="11">
        <f>IF(($D$205-0)&lt;1,"",INDEX($D$211:$AD$211,($D$205-0)))</f>
        <v>0</v>
      </c>
    </row>
    <row r="216" spans="1:95">
      <c r="A216" s="11" t="s">
        <v>499</v>
      </c>
      <c r="B216" s="11" t="s">
        <v>500</v>
      </c>
      <c r="C216" s="3" t="s">
        <v>408</v>
      </c>
      <c r="BR216" s="5">
        <f>IF(($D$205-25)&lt;1,NA(),INDEX($D$210:$AD$210,($D$205-25)))</f>
        <v>0</v>
      </c>
      <c r="BS216" s="5">
        <f>IF(($D$205-24)&lt;1,NA(),INDEX($D$210:$AD$210,($D$205-24)))</f>
        <v>0</v>
      </c>
      <c r="BT216" s="5">
        <f>IF(($D$205-23)&lt;1,NA(),INDEX($D$210:$AD$210,($D$205-23)))</f>
        <v>0</v>
      </c>
      <c r="BU216" s="5">
        <f>IF(($D$205-22)&lt;1,NA(),INDEX($D$210:$AD$210,($D$205-22)))</f>
        <v>0</v>
      </c>
      <c r="BV216" s="5">
        <f>IF(($D$205-21)&lt;1,NA(),INDEX($D$210:$AD$210,($D$205-21)))</f>
        <v>0</v>
      </c>
      <c r="BW216" s="5">
        <f>IF(($D$205-20)&lt;1,NA(),INDEX($D$210:$AD$210,($D$205-20)))</f>
        <v>0</v>
      </c>
      <c r="BX216" s="5">
        <f>IF(($D$205-19)&lt;1,NA(),INDEX($D$210:$AD$210,($D$205-19)))</f>
        <v>0</v>
      </c>
      <c r="BY216" s="5">
        <f>IF(($D$205-18)&lt;1,NA(),INDEX($D$210:$AD$210,($D$205-18)))</f>
        <v>0</v>
      </c>
      <c r="BZ216" s="5">
        <f>IF(($D$205-17)&lt;1,NA(),INDEX($D$210:$AD$210,($D$205-17)))</f>
        <v>0</v>
      </c>
      <c r="CA216" s="5">
        <f>IF(($D$205-16)&lt;1,NA(),INDEX($D$210:$AD$210,($D$205-16)))</f>
        <v>0</v>
      </c>
      <c r="CB216" s="5">
        <f>IF(($D$205-15)&lt;1,NA(),INDEX($D$210:$AD$210,($D$205-15)))</f>
        <v>0</v>
      </c>
      <c r="CC216" s="5">
        <f>IF(($D$205-14)&lt;1,NA(),INDEX($D$210:$AD$210,($D$205-14)))</f>
        <v>0</v>
      </c>
      <c r="CD216" s="5">
        <f>IF(($D$205-13)&lt;1,NA(),INDEX($D$210:$AD$210,($D$205-13)))</f>
        <v>0</v>
      </c>
      <c r="CE216" s="5">
        <f>IF(($D$205-12)&lt;1,NA(),INDEX($D$210:$AD$210,($D$205-12)))</f>
        <v>0</v>
      </c>
      <c r="CF216" s="5">
        <f>IF(($D$205-11)&lt;1,NA(),INDEX($D$210:$AD$210,($D$205-11)))</f>
        <v>0</v>
      </c>
      <c r="CG216" s="5">
        <f>IF(($D$205-10)&lt;1,NA(),INDEX($D$210:$AD$210,($D$205-10)))</f>
        <v>0</v>
      </c>
      <c r="CH216" s="5">
        <f>IF(($D$205-9)&lt;1,NA(),INDEX($D$210:$AD$210,($D$205-9)))</f>
        <v>0</v>
      </c>
      <c r="CI216" s="5">
        <f>IF(($D$205-8)&lt;1,NA(),INDEX($D$210:$AD$210,($D$205-8)))</f>
        <v>0</v>
      </c>
      <c r="CJ216" s="5">
        <f>IF(($D$205-7)&lt;1,NA(),INDEX($D$210:$AD$210,($D$205-7)))</f>
        <v>0</v>
      </c>
      <c r="CK216" s="5">
        <f>IF(($D$205-6)&lt;1,NA(),INDEX($D$210:$AD$210,($D$205-6)))</f>
        <v>0</v>
      </c>
      <c r="CL216" s="5">
        <f>IF(($D$205-5)&lt;1,NA(),INDEX($D$210:$AD$210,($D$205-5)))</f>
        <v>0</v>
      </c>
      <c r="CM216" s="5">
        <f>IF(($D$205-4)&lt;1,NA(),INDEX($D$210:$AD$210,($D$205-4)))</f>
        <v>0</v>
      </c>
      <c r="CN216" s="5">
        <f>IF(($D$205-3)&lt;1,NA(),INDEX($D$210:$AD$210,($D$205-3)))</f>
        <v>0</v>
      </c>
      <c r="CO216" s="5">
        <f>IF(($D$205-2)&lt;1,NA(),INDEX($D$210:$AD$210,($D$205-2)))</f>
        <v>0</v>
      </c>
      <c r="CP216" s="5">
        <f>IF(($D$205-1)&lt;1,NA(),INDEX($D$210:$AD$210,($D$205-1)))</f>
        <v>0</v>
      </c>
      <c r="CQ216" s="5">
        <f>IF(($D$205-0)&lt;1,NA(),INDEX($D$210:$AD$210,($D$205-0)))</f>
        <v>0</v>
      </c>
    </row>
    <row r="217" spans="1:95">
      <c r="A217" s="11" t="s">
        <v>501</v>
      </c>
      <c r="B217" s="11" t="s">
        <v>502</v>
      </c>
      <c r="C217" s="3" t="s">
        <v>137</v>
      </c>
      <c r="D217" s="5">
        <f>IF(MAX($D$218:$AD$218)=0,27,MAX($D$218:$AD$218))</f>
        <v>0</v>
      </c>
    </row>
    <row r="218" spans="1:95">
      <c r="A218" s="11" t="s">
        <v>503</v>
      </c>
      <c r="B218" s="11" t="s">
        <v>504</v>
      </c>
      <c r="C218" s="3" t="s">
        <v>137</v>
      </c>
      <c r="D218" s="5">
        <f>IF(OR(ISNUMBER(D13)),1,0)</f>
        <v>0</v>
      </c>
      <c r="E218" s="5">
        <f>IF(OR(ISNUMBER(E13)),2,0)</f>
        <v>0</v>
      </c>
      <c r="F218" s="5">
        <f>IF(OR(ISNUMBER(F13)),3,0)</f>
        <v>0</v>
      </c>
      <c r="G218" s="5">
        <f>IF(OR(ISNUMBER(G13)),4,0)</f>
        <v>0</v>
      </c>
      <c r="H218" s="5">
        <f>IF(OR(ISNUMBER(H13)),5,0)</f>
        <v>0</v>
      </c>
      <c r="I218" s="5">
        <f>IF(OR(ISNUMBER(I13)),6,0)</f>
        <v>0</v>
      </c>
      <c r="J218" s="5">
        <f>IF(OR(ISNUMBER(J13)),7,0)</f>
        <v>0</v>
      </c>
      <c r="K218" s="5">
        <f>IF(OR(ISNUMBER(K13)),8,0)</f>
        <v>0</v>
      </c>
      <c r="L218" s="5">
        <f>IF(OR(ISNUMBER(L13)),9,0)</f>
        <v>0</v>
      </c>
      <c r="M218" s="5">
        <f>IF(OR(ISNUMBER(M13)),10,0)</f>
        <v>0</v>
      </c>
      <c r="N218" s="5">
        <f>IF(OR(ISNUMBER(N13)),11,0)</f>
        <v>0</v>
      </c>
      <c r="O218" s="5">
        <f>IF(OR(ISNUMBER(O13)),12,0)</f>
        <v>0</v>
      </c>
      <c r="P218" s="5">
        <f>IF(OR(ISNUMBER(P13)),13,0)</f>
        <v>0</v>
      </c>
      <c r="Q218" s="5">
        <f>IF(OR(ISNUMBER(Q13)),14,0)</f>
        <v>0</v>
      </c>
      <c r="R218" s="5">
        <f>IF(OR(ISNUMBER(R13)),15,0)</f>
        <v>0</v>
      </c>
      <c r="S218" s="5">
        <f>IF(OR(ISNUMBER(S13)),16,0)</f>
        <v>0</v>
      </c>
      <c r="T218" s="5">
        <f>IF(OR(ISNUMBER(T13)),17,0)</f>
        <v>0</v>
      </c>
      <c r="U218" s="5">
        <f>IF(OR(ISNUMBER(U13)),18,0)</f>
        <v>0</v>
      </c>
      <c r="V218" s="5">
        <f>IF(OR(ISNUMBER(V13)),19,0)</f>
        <v>0</v>
      </c>
      <c r="W218" s="5">
        <f>IF(OR(ISNUMBER(W13)),20,0)</f>
        <v>0</v>
      </c>
      <c r="X218" s="5">
        <f>IF(OR(ISNUMBER(X13)),21,0)</f>
        <v>0</v>
      </c>
      <c r="Y218" s="5">
        <f>IF(OR(ISNUMBER(Y13)),22,0)</f>
        <v>0</v>
      </c>
      <c r="Z218" s="5">
        <f>IF(OR(ISNUMBER(Z13)),23,0)</f>
        <v>0</v>
      </c>
      <c r="AA218" s="5">
        <f>IF(OR(ISNUMBER(AA13)),24,0)</f>
        <v>0</v>
      </c>
      <c r="AB218" s="5">
        <f>IF(OR(ISNUMBER(AB13)),25,0)</f>
        <v>0</v>
      </c>
      <c r="AC218" s="5">
        <f>IF(OR(ISNUMBER(AC13)),26,0)</f>
        <v>0</v>
      </c>
      <c r="AD218" s="5">
        <f>IF(OR(ISNUMBER(AD13)),27,0)</f>
        <v>0</v>
      </c>
    </row>
    <row r="219" spans="1:95">
      <c r="A219" s="11" t="s">
        <v>505</v>
      </c>
      <c r="B219" s="11" t="s">
        <v>506</v>
      </c>
      <c r="C219" s="3" t="s">
        <v>397</v>
      </c>
      <c r="D219" s="80">
        <f>IF(MAX(IFERROR(N(INDEX(Wertstand!$A$156:$LJ$156,MATCH(INDEX($D$4:$AD$4,$D$217),RD_Kopf,0))),0))&gt;0,MAX(IFERROR(N(INDEX(Wertstand!$A$156:$LJ$156,MATCH(INDEX($D$4:$AD$4,$D$217),RD_Kopf,0))),0)),INDEX($D$4:$AD$4,$D$217))</f>
        <v>0</v>
      </c>
      <c r="E219" s="11">
        <f>"Stand: "&amp;TEXT(DAY($D$219),"00")&amp;"."&amp;TEXT(MONTH($D$219),"00")&amp;"."&amp;RIGHT(YEAR($D$219),2)</f>
        <v>0</v>
      </c>
      <c r="F219" s="11">
        <f>"Stand:"&amp;CHAR(10)&amp;TEXT(DAY($D$219),"00")&amp;"."&amp;TEXT(MONTH($D$219),"00")&amp;"."&amp;RIGHT(YEAR($D$219),2)</f>
        <v>0</v>
      </c>
    </row>
    <row r="220" spans="1:95">
      <c r="A220" s="11" t="s">
        <v>507</v>
      </c>
      <c r="B220" s="11" t="s">
        <v>508</v>
      </c>
      <c r="C220" s="3" t="s">
        <v>408</v>
      </c>
      <c r="BR220" s="11">
        <f>IF(($D$217-25)&lt;1,"",INDEX($D$3:$AD$3,($D$217-25)))</f>
        <v>0</v>
      </c>
      <c r="BS220" s="11">
        <f>IF(($D$217-24)&lt;1,"",INDEX($D$3:$AD$3,($D$217-24)))</f>
        <v>0</v>
      </c>
      <c r="BT220" s="11">
        <f>IF(($D$217-23)&lt;1,"",INDEX($D$3:$AD$3,($D$217-23)))</f>
        <v>0</v>
      </c>
      <c r="BU220" s="11">
        <f>IF(($D$217-22)&lt;1,"",INDEX($D$3:$AD$3,($D$217-22)))</f>
        <v>0</v>
      </c>
      <c r="BV220" s="11">
        <f>IF(($D$217-21)&lt;1,"",INDEX($D$3:$AD$3,($D$217-21)))</f>
        <v>0</v>
      </c>
      <c r="BW220" s="11">
        <f>IF(($D$217-20)&lt;1,"",INDEX($D$3:$AD$3,($D$217-20)))</f>
        <v>0</v>
      </c>
      <c r="BX220" s="11">
        <f>IF(($D$217-19)&lt;1,"",INDEX($D$3:$AD$3,($D$217-19)))</f>
        <v>0</v>
      </c>
      <c r="BY220" s="11">
        <f>IF(($D$217-18)&lt;1,"",INDEX($D$3:$AD$3,($D$217-18)))</f>
        <v>0</v>
      </c>
      <c r="BZ220" s="11">
        <f>IF(($D$217-17)&lt;1,"",INDEX($D$3:$AD$3,($D$217-17)))</f>
        <v>0</v>
      </c>
      <c r="CA220" s="11">
        <f>IF(($D$217-16)&lt;1,"",INDEX($D$3:$AD$3,($D$217-16)))</f>
        <v>0</v>
      </c>
      <c r="CB220" s="11">
        <f>IF(($D$217-15)&lt;1,"",INDEX($D$3:$AD$3,($D$217-15)))</f>
        <v>0</v>
      </c>
      <c r="CC220" s="11">
        <f>IF(($D$217-14)&lt;1,"",INDEX($D$3:$AD$3,($D$217-14)))</f>
        <v>0</v>
      </c>
      <c r="CD220" s="11">
        <f>IF(($D$217-13)&lt;1,"",INDEX($D$3:$AD$3,($D$217-13)))</f>
        <v>0</v>
      </c>
      <c r="CE220" s="11">
        <f>IF(($D$217-12)&lt;1,"",INDEX($D$3:$AD$3,($D$217-12)))</f>
        <v>0</v>
      </c>
      <c r="CF220" s="11">
        <f>IF(($D$217-11)&lt;1,"",INDEX($D$3:$AD$3,($D$217-11)))</f>
        <v>0</v>
      </c>
      <c r="CG220" s="11">
        <f>IF(($D$217-10)&lt;1,"",INDEX($D$3:$AD$3,($D$217-10)))</f>
        <v>0</v>
      </c>
      <c r="CH220" s="11">
        <f>IF(($D$217-9)&lt;1,"",INDEX($D$3:$AD$3,($D$217-9)))</f>
        <v>0</v>
      </c>
      <c r="CI220" s="11">
        <f>IF(($D$217-8)&lt;1,"",INDEX($D$3:$AD$3,($D$217-8)))</f>
        <v>0</v>
      </c>
      <c r="CJ220" s="11">
        <f>IF(($D$217-7)&lt;1,"",INDEX($D$3:$AD$3,($D$217-7)))</f>
        <v>0</v>
      </c>
      <c r="CK220" s="11">
        <f>IF(($D$217-6)&lt;1,"",INDEX($D$3:$AD$3,($D$217-6)))</f>
        <v>0</v>
      </c>
      <c r="CL220" s="11">
        <f>IF(($D$217-5)&lt;1,"",INDEX($D$3:$AD$3,($D$217-5)))</f>
        <v>0</v>
      </c>
      <c r="CM220" s="11">
        <f>IF(($D$217-4)&lt;1,"",INDEX($D$3:$AD$3,($D$217-4)))</f>
        <v>0</v>
      </c>
      <c r="CN220" s="11">
        <f>IF(($D$217-3)&lt;1,"",INDEX($D$3:$AD$3,($D$217-3)))</f>
        <v>0</v>
      </c>
      <c r="CO220" s="11">
        <f>IF(($D$217-2)&lt;1,"",INDEX($D$3:$AD$3,($D$217-2)))</f>
        <v>0</v>
      </c>
      <c r="CP220" s="11">
        <f>IF(($D$217-1)&lt;1,"",INDEX($D$3:$AD$3,($D$217-1)))</f>
        <v>0</v>
      </c>
      <c r="CQ220" s="11">
        <f>IF(($D$217-0)&lt;1,"",INDEX($D$3:$AD$3,($D$217-0)))</f>
        <v>0</v>
      </c>
    </row>
    <row r="221" spans="1:95">
      <c r="A221" s="11" t="s">
        <v>509</v>
      </c>
      <c r="B221" s="11" t="s">
        <v>510</v>
      </c>
      <c r="C221" s="3" t="s">
        <v>408</v>
      </c>
      <c r="BR221" s="5">
        <f>IF(($D$217-25)&lt;1,NA(),INDEX($D$13:$AD$13,($D$217-25)))</f>
        <v>0</v>
      </c>
      <c r="BS221" s="5">
        <f>IF(($D$217-24)&lt;1,NA(),INDEX($D$13:$AD$13,($D$217-24)))</f>
        <v>0</v>
      </c>
      <c r="BT221" s="5">
        <f>IF(($D$217-23)&lt;1,NA(),INDEX($D$13:$AD$13,($D$217-23)))</f>
        <v>0</v>
      </c>
      <c r="BU221" s="5">
        <f>IF(($D$217-22)&lt;1,NA(),INDEX($D$13:$AD$13,($D$217-22)))</f>
        <v>0</v>
      </c>
      <c r="BV221" s="5">
        <f>IF(($D$217-21)&lt;1,NA(),INDEX($D$13:$AD$13,($D$217-21)))</f>
        <v>0</v>
      </c>
      <c r="BW221" s="5">
        <f>IF(($D$217-20)&lt;1,NA(),INDEX($D$13:$AD$13,($D$217-20)))</f>
        <v>0</v>
      </c>
      <c r="BX221" s="5">
        <f>IF(($D$217-19)&lt;1,NA(),INDEX($D$13:$AD$13,($D$217-19)))</f>
        <v>0</v>
      </c>
      <c r="BY221" s="5">
        <f>IF(($D$217-18)&lt;1,NA(),INDEX($D$13:$AD$13,($D$217-18)))</f>
        <v>0</v>
      </c>
      <c r="BZ221" s="5">
        <f>IF(($D$217-17)&lt;1,NA(),INDEX($D$13:$AD$13,($D$217-17)))</f>
        <v>0</v>
      </c>
      <c r="CA221" s="5">
        <f>IF(($D$217-16)&lt;1,NA(),INDEX($D$13:$AD$13,($D$217-16)))</f>
        <v>0</v>
      </c>
      <c r="CB221" s="5">
        <f>IF(($D$217-15)&lt;1,NA(),INDEX($D$13:$AD$13,($D$217-15)))</f>
        <v>0</v>
      </c>
      <c r="CC221" s="5">
        <f>IF(($D$217-14)&lt;1,NA(),INDEX($D$13:$AD$13,($D$217-14)))</f>
        <v>0</v>
      </c>
      <c r="CD221" s="5">
        <f>IF(($D$217-13)&lt;1,NA(),INDEX($D$13:$AD$13,($D$217-13)))</f>
        <v>0</v>
      </c>
      <c r="CE221" s="5">
        <f>IF(($D$217-12)&lt;1,NA(),INDEX($D$13:$AD$13,($D$217-12)))</f>
        <v>0</v>
      </c>
      <c r="CF221" s="5">
        <f>IF(($D$217-11)&lt;1,NA(),INDEX($D$13:$AD$13,($D$217-11)))</f>
        <v>0</v>
      </c>
      <c r="CG221" s="5">
        <f>IF(($D$217-10)&lt;1,NA(),INDEX($D$13:$AD$13,($D$217-10)))</f>
        <v>0</v>
      </c>
      <c r="CH221" s="5">
        <f>IF(($D$217-9)&lt;1,NA(),INDEX($D$13:$AD$13,($D$217-9)))</f>
        <v>0</v>
      </c>
      <c r="CI221" s="5">
        <f>IF(($D$217-8)&lt;1,NA(),INDEX($D$13:$AD$13,($D$217-8)))</f>
        <v>0</v>
      </c>
      <c r="CJ221" s="5">
        <f>IF(($D$217-7)&lt;1,NA(),INDEX($D$13:$AD$13,($D$217-7)))</f>
        <v>0</v>
      </c>
      <c r="CK221" s="5">
        <f>IF(($D$217-6)&lt;1,NA(),INDEX($D$13:$AD$13,($D$217-6)))</f>
        <v>0</v>
      </c>
      <c r="CL221" s="5">
        <f>IF(($D$217-5)&lt;1,NA(),INDEX($D$13:$AD$13,($D$217-5)))</f>
        <v>0</v>
      </c>
      <c r="CM221" s="5">
        <f>IF(($D$217-4)&lt;1,NA(),INDEX($D$13:$AD$13,($D$217-4)))</f>
        <v>0</v>
      </c>
      <c r="CN221" s="5">
        <f>IF(($D$217-3)&lt;1,NA(),INDEX($D$13:$AD$13,($D$217-3)))</f>
        <v>0</v>
      </c>
      <c r="CO221" s="5">
        <f>IF(($D$217-2)&lt;1,NA(),INDEX($D$13:$AD$13,($D$217-2)))</f>
        <v>0</v>
      </c>
      <c r="CP221" s="5">
        <f>IF(($D$217-1)&lt;1,NA(),INDEX($D$13:$AD$13,($D$217-1)))</f>
        <v>0</v>
      </c>
      <c r="CQ221" s="5">
        <f>IF(($D$217-0)&lt;1,NA(),INDEX($D$13:$AD$13,($D$217-0)))</f>
        <v>0</v>
      </c>
    </row>
    <row r="222" spans="1:95">
      <c r="A222" s="11" t="s">
        <v>511</v>
      </c>
      <c r="B222" s="11" t="s">
        <v>512</v>
      </c>
      <c r="C222" s="3" t="s">
        <v>137</v>
      </c>
      <c r="D222" s="5">
        <f>IF(MAX($D$223:$AD$223)=0,27,MAX($D$223:$AD$223))</f>
        <v>0</v>
      </c>
    </row>
    <row r="223" spans="1:95">
      <c r="A223" s="11" t="s">
        <v>513</v>
      </c>
      <c r="B223" s="11" t="s">
        <v>514</v>
      </c>
      <c r="C223" s="3" t="s">
        <v>137</v>
      </c>
      <c r="D223" s="5">
        <f>IF(OR(ISNUMBER(D14)),1,0)</f>
        <v>0</v>
      </c>
      <c r="E223" s="5">
        <f>IF(OR(ISNUMBER(E14)),2,0)</f>
        <v>0</v>
      </c>
      <c r="F223" s="5">
        <f>IF(OR(ISNUMBER(F14)),3,0)</f>
        <v>0</v>
      </c>
      <c r="G223" s="5">
        <f>IF(OR(ISNUMBER(G14)),4,0)</f>
        <v>0</v>
      </c>
      <c r="H223" s="5">
        <f>IF(OR(ISNUMBER(H14)),5,0)</f>
        <v>0</v>
      </c>
      <c r="I223" s="5">
        <f>IF(OR(ISNUMBER(I14)),6,0)</f>
        <v>0</v>
      </c>
      <c r="J223" s="5">
        <f>IF(OR(ISNUMBER(J14)),7,0)</f>
        <v>0</v>
      </c>
      <c r="K223" s="5">
        <f>IF(OR(ISNUMBER(K14)),8,0)</f>
        <v>0</v>
      </c>
      <c r="L223" s="5">
        <f>IF(OR(ISNUMBER(L14)),9,0)</f>
        <v>0</v>
      </c>
      <c r="M223" s="5">
        <f>IF(OR(ISNUMBER(M14)),10,0)</f>
        <v>0</v>
      </c>
      <c r="N223" s="5">
        <f>IF(OR(ISNUMBER(N14)),11,0)</f>
        <v>0</v>
      </c>
      <c r="O223" s="5">
        <f>IF(OR(ISNUMBER(O14)),12,0)</f>
        <v>0</v>
      </c>
      <c r="P223" s="5">
        <f>IF(OR(ISNUMBER(P14)),13,0)</f>
        <v>0</v>
      </c>
      <c r="Q223" s="5">
        <f>IF(OR(ISNUMBER(Q14)),14,0)</f>
        <v>0</v>
      </c>
      <c r="R223" s="5">
        <f>IF(OR(ISNUMBER(R14)),15,0)</f>
        <v>0</v>
      </c>
      <c r="S223" s="5">
        <f>IF(OR(ISNUMBER(S14)),16,0)</f>
        <v>0</v>
      </c>
      <c r="T223" s="5">
        <f>IF(OR(ISNUMBER(T14)),17,0)</f>
        <v>0</v>
      </c>
      <c r="U223" s="5">
        <f>IF(OR(ISNUMBER(U14)),18,0)</f>
        <v>0</v>
      </c>
      <c r="V223" s="5">
        <f>IF(OR(ISNUMBER(V14)),19,0)</f>
        <v>0</v>
      </c>
      <c r="W223" s="5">
        <f>IF(OR(ISNUMBER(W14)),20,0)</f>
        <v>0</v>
      </c>
      <c r="X223" s="5">
        <f>IF(OR(ISNUMBER(X14)),21,0)</f>
        <v>0</v>
      </c>
      <c r="Y223" s="5">
        <f>IF(OR(ISNUMBER(Y14)),22,0)</f>
        <v>0</v>
      </c>
      <c r="Z223" s="5">
        <f>IF(OR(ISNUMBER(Z14)),23,0)</f>
        <v>0</v>
      </c>
      <c r="AA223" s="5">
        <f>IF(OR(ISNUMBER(AA14)),24,0)</f>
        <v>0</v>
      </c>
      <c r="AB223" s="5">
        <f>IF(OR(ISNUMBER(AB14)),25,0)</f>
        <v>0</v>
      </c>
      <c r="AC223" s="5">
        <f>IF(OR(ISNUMBER(AC14)),26,0)</f>
        <v>0</v>
      </c>
      <c r="AD223" s="5">
        <f>IF(OR(ISNUMBER(AD14)),27,0)</f>
        <v>0</v>
      </c>
    </row>
    <row r="224" spans="1:95">
      <c r="A224" s="11" t="s">
        <v>515</v>
      </c>
      <c r="B224" s="11" t="s">
        <v>516</v>
      </c>
      <c r="C224" s="3" t="s">
        <v>397</v>
      </c>
      <c r="D224" s="80">
        <f>IF(MAX(IFERROR(N(INDEX(Wertstand!$A$157:$LJ$157,MATCH(INDEX($D$4:$AD$4,$D$222),RD_Kopf,0))),0))&gt;0,MAX(IFERROR(N(INDEX(Wertstand!$A$157:$LJ$157,MATCH(INDEX($D$4:$AD$4,$D$222),RD_Kopf,0))),0)),INDEX($D$4:$AD$4,$D$222))</f>
        <v>0</v>
      </c>
      <c r="E224" s="11">
        <f>"Stand: "&amp;TEXT(DAY($D$224),"00")&amp;"."&amp;TEXT(MONTH($D$224),"00")&amp;"."&amp;RIGHT(YEAR($D$224),2)</f>
        <v>0</v>
      </c>
      <c r="F224" s="11">
        <f>"Stand:"&amp;CHAR(10)&amp;TEXT(DAY($D$224),"00")&amp;"."&amp;TEXT(MONTH($D$224),"00")&amp;"."&amp;RIGHT(YEAR($D$224),2)</f>
        <v>0</v>
      </c>
    </row>
    <row r="225" spans="1:95">
      <c r="A225" s="11" t="s">
        <v>517</v>
      </c>
      <c r="B225" s="11" t="s">
        <v>518</v>
      </c>
      <c r="C225" s="3" t="s">
        <v>408</v>
      </c>
      <c r="BR225" s="11">
        <f>IF(($D$222-25)&lt;1,"",INDEX($D$3:$AD$3,($D$222-25)))</f>
        <v>0</v>
      </c>
      <c r="BS225" s="11">
        <f>IF(($D$222-24)&lt;1,"",INDEX($D$3:$AD$3,($D$222-24)))</f>
        <v>0</v>
      </c>
      <c r="BT225" s="11">
        <f>IF(($D$222-23)&lt;1,"",INDEX($D$3:$AD$3,($D$222-23)))</f>
        <v>0</v>
      </c>
      <c r="BU225" s="11">
        <f>IF(($D$222-22)&lt;1,"",INDEX($D$3:$AD$3,($D$222-22)))</f>
        <v>0</v>
      </c>
      <c r="BV225" s="11">
        <f>IF(($D$222-21)&lt;1,"",INDEX($D$3:$AD$3,($D$222-21)))</f>
        <v>0</v>
      </c>
      <c r="BW225" s="11">
        <f>IF(($D$222-20)&lt;1,"",INDEX($D$3:$AD$3,($D$222-20)))</f>
        <v>0</v>
      </c>
      <c r="BX225" s="11">
        <f>IF(($D$222-19)&lt;1,"",INDEX($D$3:$AD$3,($D$222-19)))</f>
        <v>0</v>
      </c>
      <c r="BY225" s="11">
        <f>IF(($D$222-18)&lt;1,"",INDEX($D$3:$AD$3,($D$222-18)))</f>
        <v>0</v>
      </c>
      <c r="BZ225" s="11">
        <f>IF(($D$222-17)&lt;1,"",INDEX($D$3:$AD$3,($D$222-17)))</f>
        <v>0</v>
      </c>
      <c r="CA225" s="11">
        <f>IF(($D$222-16)&lt;1,"",INDEX($D$3:$AD$3,($D$222-16)))</f>
        <v>0</v>
      </c>
      <c r="CB225" s="11">
        <f>IF(($D$222-15)&lt;1,"",INDEX($D$3:$AD$3,($D$222-15)))</f>
        <v>0</v>
      </c>
      <c r="CC225" s="11">
        <f>IF(($D$222-14)&lt;1,"",INDEX($D$3:$AD$3,($D$222-14)))</f>
        <v>0</v>
      </c>
      <c r="CD225" s="11">
        <f>IF(($D$222-13)&lt;1,"",INDEX($D$3:$AD$3,($D$222-13)))</f>
        <v>0</v>
      </c>
      <c r="CE225" s="11">
        <f>IF(($D$222-12)&lt;1,"",INDEX($D$3:$AD$3,($D$222-12)))</f>
        <v>0</v>
      </c>
      <c r="CF225" s="11">
        <f>IF(($D$222-11)&lt;1,"",INDEX($D$3:$AD$3,($D$222-11)))</f>
        <v>0</v>
      </c>
      <c r="CG225" s="11">
        <f>IF(($D$222-10)&lt;1,"",INDEX($D$3:$AD$3,($D$222-10)))</f>
        <v>0</v>
      </c>
      <c r="CH225" s="11">
        <f>IF(($D$222-9)&lt;1,"",INDEX($D$3:$AD$3,($D$222-9)))</f>
        <v>0</v>
      </c>
      <c r="CI225" s="11">
        <f>IF(($D$222-8)&lt;1,"",INDEX($D$3:$AD$3,($D$222-8)))</f>
        <v>0</v>
      </c>
      <c r="CJ225" s="11">
        <f>IF(($D$222-7)&lt;1,"",INDEX($D$3:$AD$3,($D$222-7)))</f>
        <v>0</v>
      </c>
      <c r="CK225" s="11">
        <f>IF(($D$222-6)&lt;1,"",INDEX($D$3:$AD$3,($D$222-6)))</f>
        <v>0</v>
      </c>
      <c r="CL225" s="11">
        <f>IF(($D$222-5)&lt;1,"",INDEX($D$3:$AD$3,($D$222-5)))</f>
        <v>0</v>
      </c>
      <c r="CM225" s="11">
        <f>IF(($D$222-4)&lt;1,"",INDEX($D$3:$AD$3,($D$222-4)))</f>
        <v>0</v>
      </c>
      <c r="CN225" s="11">
        <f>IF(($D$222-3)&lt;1,"",INDEX($D$3:$AD$3,($D$222-3)))</f>
        <v>0</v>
      </c>
      <c r="CO225" s="11">
        <f>IF(($D$222-2)&lt;1,"",INDEX($D$3:$AD$3,($D$222-2)))</f>
        <v>0</v>
      </c>
      <c r="CP225" s="11">
        <f>IF(($D$222-1)&lt;1,"",INDEX($D$3:$AD$3,($D$222-1)))</f>
        <v>0</v>
      </c>
      <c r="CQ225" s="11">
        <f>IF(($D$222-0)&lt;1,"",INDEX($D$3:$AD$3,($D$222-0)))</f>
        <v>0</v>
      </c>
    </row>
    <row r="226" spans="1:95">
      <c r="A226" s="11" t="s">
        <v>519</v>
      </c>
      <c r="B226" s="11" t="s">
        <v>520</v>
      </c>
      <c r="C226" s="3" t="s">
        <v>408</v>
      </c>
      <c r="BR226" s="5">
        <f>IF(($D$222-25)&lt;1,NA(),INDEX($D$14:$AD$14,($D$222-25)))</f>
        <v>0</v>
      </c>
      <c r="BS226" s="5">
        <f>IF(($D$222-24)&lt;1,NA(),INDEX($D$14:$AD$14,($D$222-24)))</f>
        <v>0</v>
      </c>
      <c r="BT226" s="5">
        <f>IF(($D$222-23)&lt;1,NA(),INDEX($D$14:$AD$14,($D$222-23)))</f>
        <v>0</v>
      </c>
      <c r="BU226" s="5">
        <f>IF(($D$222-22)&lt;1,NA(),INDEX($D$14:$AD$14,($D$222-22)))</f>
        <v>0</v>
      </c>
      <c r="BV226" s="5">
        <f>IF(($D$222-21)&lt;1,NA(),INDEX($D$14:$AD$14,($D$222-21)))</f>
        <v>0</v>
      </c>
      <c r="BW226" s="5">
        <f>IF(($D$222-20)&lt;1,NA(),INDEX($D$14:$AD$14,($D$222-20)))</f>
        <v>0</v>
      </c>
      <c r="BX226" s="5">
        <f>IF(($D$222-19)&lt;1,NA(),INDEX($D$14:$AD$14,($D$222-19)))</f>
        <v>0</v>
      </c>
      <c r="BY226" s="5">
        <f>IF(($D$222-18)&lt;1,NA(),INDEX($D$14:$AD$14,($D$222-18)))</f>
        <v>0</v>
      </c>
      <c r="BZ226" s="5">
        <f>IF(($D$222-17)&lt;1,NA(),INDEX($D$14:$AD$14,($D$222-17)))</f>
        <v>0</v>
      </c>
      <c r="CA226" s="5">
        <f>IF(($D$222-16)&lt;1,NA(),INDEX($D$14:$AD$14,($D$222-16)))</f>
        <v>0</v>
      </c>
      <c r="CB226" s="5">
        <f>IF(($D$222-15)&lt;1,NA(),INDEX($D$14:$AD$14,($D$222-15)))</f>
        <v>0</v>
      </c>
      <c r="CC226" s="5">
        <f>IF(($D$222-14)&lt;1,NA(),INDEX($D$14:$AD$14,($D$222-14)))</f>
        <v>0</v>
      </c>
      <c r="CD226" s="5">
        <f>IF(($D$222-13)&lt;1,NA(),INDEX($D$14:$AD$14,($D$222-13)))</f>
        <v>0</v>
      </c>
      <c r="CE226" s="5">
        <f>IF(($D$222-12)&lt;1,NA(),INDEX($D$14:$AD$14,($D$222-12)))</f>
        <v>0</v>
      </c>
      <c r="CF226" s="5">
        <f>IF(($D$222-11)&lt;1,NA(),INDEX($D$14:$AD$14,($D$222-11)))</f>
        <v>0</v>
      </c>
      <c r="CG226" s="5">
        <f>IF(($D$222-10)&lt;1,NA(),INDEX($D$14:$AD$14,($D$222-10)))</f>
        <v>0</v>
      </c>
      <c r="CH226" s="5">
        <f>IF(($D$222-9)&lt;1,NA(),INDEX($D$14:$AD$14,($D$222-9)))</f>
        <v>0</v>
      </c>
      <c r="CI226" s="5">
        <f>IF(($D$222-8)&lt;1,NA(),INDEX($D$14:$AD$14,($D$222-8)))</f>
        <v>0</v>
      </c>
      <c r="CJ226" s="5">
        <f>IF(($D$222-7)&lt;1,NA(),INDEX($D$14:$AD$14,($D$222-7)))</f>
        <v>0</v>
      </c>
      <c r="CK226" s="5">
        <f>IF(($D$222-6)&lt;1,NA(),INDEX($D$14:$AD$14,($D$222-6)))</f>
        <v>0</v>
      </c>
      <c r="CL226" s="5">
        <f>IF(($D$222-5)&lt;1,NA(),INDEX($D$14:$AD$14,($D$222-5)))</f>
        <v>0</v>
      </c>
      <c r="CM226" s="5">
        <f>IF(($D$222-4)&lt;1,NA(),INDEX($D$14:$AD$14,($D$222-4)))</f>
        <v>0</v>
      </c>
      <c r="CN226" s="5">
        <f>IF(($D$222-3)&lt;1,NA(),INDEX($D$14:$AD$14,($D$222-3)))</f>
        <v>0</v>
      </c>
      <c r="CO226" s="5">
        <f>IF(($D$222-2)&lt;1,NA(),INDEX($D$14:$AD$14,($D$222-2)))</f>
        <v>0</v>
      </c>
      <c r="CP226" s="5">
        <f>IF(($D$222-1)&lt;1,NA(),INDEX($D$14:$AD$14,($D$222-1)))</f>
        <v>0</v>
      </c>
      <c r="CQ226" s="5">
        <f>IF(($D$222-0)&lt;1,NA(),INDEX($D$14:$AD$14,($D$222-0)))</f>
        <v>0</v>
      </c>
    </row>
    <row r="227" spans="1:95">
      <c r="A227" s="11" t="s">
        <v>521</v>
      </c>
      <c r="B227" s="11" t="s">
        <v>522</v>
      </c>
      <c r="C227" s="3" t="s">
        <v>137</v>
      </c>
      <c r="D227" s="5">
        <f>IF(MAX($D$228:$AD$228)=0,27,MAX($D$228:$AD$228))</f>
        <v>0</v>
      </c>
    </row>
    <row r="228" spans="1:95">
      <c r="A228" s="11" t="s">
        <v>523</v>
      </c>
      <c r="B228" s="11" t="s">
        <v>524</v>
      </c>
      <c r="C228" s="3" t="s">
        <v>137</v>
      </c>
      <c r="D228" s="5">
        <f>IF(OR(ISNUMBER(D140)),1,0)</f>
        <v>0</v>
      </c>
      <c r="E228" s="5">
        <f>IF(OR(ISNUMBER(E140)),2,0)</f>
        <v>0</v>
      </c>
      <c r="F228" s="5">
        <f>IF(OR(ISNUMBER(F140)),3,0)</f>
        <v>0</v>
      </c>
      <c r="G228" s="5">
        <f>IF(OR(ISNUMBER(G140)),4,0)</f>
        <v>0</v>
      </c>
      <c r="H228" s="5">
        <f>IF(OR(ISNUMBER(H140)),5,0)</f>
        <v>0</v>
      </c>
      <c r="I228" s="5">
        <f>IF(OR(ISNUMBER(I140)),6,0)</f>
        <v>0</v>
      </c>
      <c r="J228" s="5">
        <f>IF(OR(ISNUMBER(J140)),7,0)</f>
        <v>0</v>
      </c>
      <c r="K228" s="5">
        <f>IF(OR(ISNUMBER(K140)),8,0)</f>
        <v>0</v>
      </c>
      <c r="L228" s="5">
        <f>IF(OR(ISNUMBER(L140)),9,0)</f>
        <v>0</v>
      </c>
      <c r="M228" s="5">
        <f>IF(OR(ISNUMBER(M140)),10,0)</f>
        <v>0</v>
      </c>
      <c r="N228" s="5">
        <f>IF(OR(ISNUMBER(N140)),11,0)</f>
        <v>0</v>
      </c>
      <c r="O228" s="5">
        <f>IF(OR(ISNUMBER(O140)),12,0)</f>
        <v>0</v>
      </c>
      <c r="P228" s="5">
        <f>IF(OR(ISNUMBER(P140)),13,0)</f>
        <v>0</v>
      </c>
      <c r="Q228" s="5">
        <f>IF(OR(ISNUMBER(Q140)),14,0)</f>
        <v>0</v>
      </c>
      <c r="R228" s="5">
        <f>IF(OR(ISNUMBER(R140)),15,0)</f>
        <v>0</v>
      </c>
      <c r="S228" s="5">
        <f>IF(OR(ISNUMBER(S140)),16,0)</f>
        <v>0</v>
      </c>
      <c r="T228" s="5">
        <f>IF(OR(ISNUMBER(T140)),17,0)</f>
        <v>0</v>
      </c>
      <c r="U228" s="5">
        <f>IF(OR(ISNUMBER(U140)),18,0)</f>
        <v>0</v>
      </c>
      <c r="V228" s="5">
        <f>IF(OR(ISNUMBER(V140)),19,0)</f>
        <v>0</v>
      </c>
      <c r="W228" s="5">
        <f>IF(OR(ISNUMBER(W140)),20,0)</f>
        <v>0</v>
      </c>
      <c r="X228" s="5">
        <f>IF(OR(ISNUMBER(X140)),21,0)</f>
        <v>0</v>
      </c>
      <c r="Y228" s="5">
        <f>IF(OR(ISNUMBER(Y140)),22,0)</f>
        <v>0</v>
      </c>
      <c r="Z228" s="5">
        <f>IF(OR(ISNUMBER(Z140)),23,0)</f>
        <v>0</v>
      </c>
      <c r="AA228" s="5">
        <f>IF(OR(ISNUMBER(AA140)),24,0)</f>
        <v>0</v>
      </c>
      <c r="AB228" s="5">
        <f>IF(OR(ISNUMBER(AB140)),25,0)</f>
        <v>0</v>
      </c>
      <c r="AC228" s="5">
        <f>IF(OR(ISNUMBER(AC140)),26,0)</f>
        <v>0</v>
      </c>
      <c r="AD228" s="5">
        <f>IF(OR(ISNUMBER(AD140)),27,0)</f>
        <v>0</v>
      </c>
    </row>
    <row r="229" spans="1:95">
      <c r="A229" s="11" t="s">
        <v>525</v>
      </c>
      <c r="B229" s="11" t="s">
        <v>526</v>
      </c>
      <c r="C229" s="3" t="s">
        <v>397</v>
      </c>
      <c r="D229" s="80">
        <f>IF(MAX(IFERROR(N(INDEX(Wertstand!$A$64:$LJ$64,MATCH(INDEX($D$4:$AD$4,$D$227),RD_Kopf,0))),0))&gt;0,MAX(IFERROR(N(INDEX(Wertstand!$A$64:$LJ$64,MATCH(INDEX($D$4:$AD$4,$D$227),RD_Kopf,0))),0)),INDEX($D$4:$AD$4,$D$227))</f>
        <v>0</v>
      </c>
      <c r="E229" s="11">
        <f>"Stand: "&amp;TEXT(DAY($D$229),"00")&amp;"."&amp;TEXT(MONTH($D$229),"00")&amp;"."&amp;RIGHT(YEAR($D$229),2)</f>
        <v>0</v>
      </c>
      <c r="F229" s="11">
        <f>"Stand:"&amp;CHAR(10)&amp;TEXT(DAY($D$229),"00")&amp;"."&amp;TEXT(MONTH($D$229),"00")&amp;"."&amp;RIGHT(YEAR($D$229),2)</f>
        <v>0</v>
      </c>
    </row>
    <row r="230" spans="1:95">
      <c r="A230" s="11" t="s">
        <v>527</v>
      </c>
      <c r="B230" s="11" t="s">
        <v>528</v>
      </c>
      <c r="C230" s="3" t="s">
        <v>408</v>
      </c>
      <c r="BR230" s="11">
        <f>IF(($D$227-25)&lt;1,"",INDEX($D$3:$AD$3,($D$227-25)))</f>
        <v>0</v>
      </c>
      <c r="BS230" s="11">
        <f>IF(($D$227-24)&lt;1,"",INDEX($D$3:$AD$3,($D$227-24)))</f>
        <v>0</v>
      </c>
      <c r="BT230" s="11">
        <f>IF(($D$227-23)&lt;1,"",INDEX($D$3:$AD$3,($D$227-23)))</f>
        <v>0</v>
      </c>
      <c r="BU230" s="11">
        <f>IF(($D$227-22)&lt;1,"",INDEX($D$3:$AD$3,($D$227-22)))</f>
        <v>0</v>
      </c>
      <c r="BV230" s="11">
        <f>IF(($D$227-21)&lt;1,"",INDEX($D$3:$AD$3,($D$227-21)))</f>
        <v>0</v>
      </c>
      <c r="BW230" s="11">
        <f>IF(($D$227-20)&lt;1,"",INDEX($D$3:$AD$3,($D$227-20)))</f>
        <v>0</v>
      </c>
      <c r="BX230" s="11">
        <f>IF(($D$227-19)&lt;1,"",INDEX($D$3:$AD$3,($D$227-19)))</f>
        <v>0</v>
      </c>
      <c r="BY230" s="11">
        <f>IF(($D$227-18)&lt;1,"",INDEX($D$3:$AD$3,($D$227-18)))</f>
        <v>0</v>
      </c>
      <c r="BZ230" s="11">
        <f>IF(($D$227-17)&lt;1,"",INDEX($D$3:$AD$3,($D$227-17)))</f>
        <v>0</v>
      </c>
      <c r="CA230" s="11">
        <f>IF(($D$227-16)&lt;1,"",INDEX($D$3:$AD$3,($D$227-16)))</f>
        <v>0</v>
      </c>
      <c r="CB230" s="11">
        <f>IF(($D$227-15)&lt;1,"",INDEX($D$3:$AD$3,($D$227-15)))</f>
        <v>0</v>
      </c>
      <c r="CC230" s="11">
        <f>IF(($D$227-14)&lt;1,"",INDEX($D$3:$AD$3,($D$227-14)))</f>
        <v>0</v>
      </c>
      <c r="CD230" s="11">
        <f>IF(($D$227-13)&lt;1,"",INDEX($D$3:$AD$3,($D$227-13)))</f>
        <v>0</v>
      </c>
      <c r="CE230" s="11">
        <f>IF(($D$227-12)&lt;1,"",INDEX($D$3:$AD$3,($D$227-12)))</f>
        <v>0</v>
      </c>
      <c r="CF230" s="11">
        <f>IF(($D$227-11)&lt;1,"",INDEX($D$3:$AD$3,($D$227-11)))</f>
        <v>0</v>
      </c>
      <c r="CG230" s="11">
        <f>IF(($D$227-10)&lt;1,"",INDEX($D$3:$AD$3,($D$227-10)))</f>
        <v>0</v>
      </c>
      <c r="CH230" s="11">
        <f>IF(($D$227-9)&lt;1,"",INDEX($D$3:$AD$3,($D$227-9)))</f>
        <v>0</v>
      </c>
      <c r="CI230" s="11">
        <f>IF(($D$227-8)&lt;1,"",INDEX($D$3:$AD$3,($D$227-8)))</f>
        <v>0</v>
      </c>
      <c r="CJ230" s="11">
        <f>IF(($D$227-7)&lt;1,"",INDEX($D$3:$AD$3,($D$227-7)))</f>
        <v>0</v>
      </c>
      <c r="CK230" s="11">
        <f>IF(($D$227-6)&lt;1,"",INDEX($D$3:$AD$3,($D$227-6)))</f>
        <v>0</v>
      </c>
      <c r="CL230" s="11">
        <f>IF(($D$227-5)&lt;1,"",INDEX($D$3:$AD$3,($D$227-5)))</f>
        <v>0</v>
      </c>
      <c r="CM230" s="11">
        <f>IF(($D$227-4)&lt;1,"",INDEX($D$3:$AD$3,($D$227-4)))</f>
        <v>0</v>
      </c>
      <c r="CN230" s="11">
        <f>IF(($D$227-3)&lt;1,"",INDEX($D$3:$AD$3,($D$227-3)))</f>
        <v>0</v>
      </c>
      <c r="CO230" s="11">
        <f>IF(($D$227-2)&lt;1,"",INDEX($D$3:$AD$3,($D$227-2)))</f>
        <v>0</v>
      </c>
      <c r="CP230" s="11">
        <f>IF(($D$227-1)&lt;1,"",INDEX($D$3:$AD$3,($D$227-1)))</f>
        <v>0</v>
      </c>
      <c r="CQ230" s="11">
        <f>IF(($D$227-0)&lt;1,"",INDEX($D$3:$AD$3,($D$227-0)))</f>
        <v>0</v>
      </c>
    </row>
    <row r="231" spans="1:95">
      <c r="A231" s="11" t="s">
        <v>529</v>
      </c>
      <c r="B231" s="11" t="s">
        <v>530</v>
      </c>
      <c r="C231" s="3" t="s">
        <v>408</v>
      </c>
      <c r="BR231" s="5">
        <f>IF(($D$227-25)&lt;1,NA(),INDEX($D$140:$AD$140,($D$227-25)))</f>
        <v>0</v>
      </c>
      <c r="BS231" s="5">
        <f>IF(($D$227-24)&lt;1,NA(),INDEX($D$140:$AD$140,($D$227-24)))</f>
        <v>0</v>
      </c>
      <c r="BT231" s="5">
        <f>IF(($D$227-23)&lt;1,NA(),INDEX($D$140:$AD$140,($D$227-23)))</f>
        <v>0</v>
      </c>
      <c r="BU231" s="5">
        <f>IF(($D$227-22)&lt;1,NA(),INDEX($D$140:$AD$140,($D$227-22)))</f>
        <v>0</v>
      </c>
      <c r="BV231" s="5">
        <f>IF(($D$227-21)&lt;1,NA(),INDEX($D$140:$AD$140,($D$227-21)))</f>
        <v>0</v>
      </c>
      <c r="BW231" s="5">
        <f>IF(($D$227-20)&lt;1,NA(),INDEX($D$140:$AD$140,($D$227-20)))</f>
        <v>0</v>
      </c>
      <c r="BX231" s="5">
        <f>IF(($D$227-19)&lt;1,NA(),INDEX($D$140:$AD$140,($D$227-19)))</f>
        <v>0</v>
      </c>
      <c r="BY231" s="5">
        <f>IF(($D$227-18)&lt;1,NA(),INDEX($D$140:$AD$140,($D$227-18)))</f>
        <v>0</v>
      </c>
      <c r="BZ231" s="5">
        <f>IF(($D$227-17)&lt;1,NA(),INDEX($D$140:$AD$140,($D$227-17)))</f>
        <v>0</v>
      </c>
      <c r="CA231" s="5">
        <f>IF(($D$227-16)&lt;1,NA(),INDEX($D$140:$AD$140,($D$227-16)))</f>
        <v>0</v>
      </c>
      <c r="CB231" s="5">
        <f>IF(($D$227-15)&lt;1,NA(),INDEX($D$140:$AD$140,($D$227-15)))</f>
        <v>0</v>
      </c>
      <c r="CC231" s="5">
        <f>IF(($D$227-14)&lt;1,NA(),INDEX($D$140:$AD$140,($D$227-14)))</f>
        <v>0</v>
      </c>
      <c r="CD231" s="5">
        <f>IF(($D$227-13)&lt;1,NA(),INDEX($D$140:$AD$140,($D$227-13)))</f>
        <v>0</v>
      </c>
      <c r="CE231" s="5">
        <f>IF(($D$227-12)&lt;1,NA(),INDEX($D$140:$AD$140,($D$227-12)))</f>
        <v>0</v>
      </c>
      <c r="CF231" s="5">
        <f>IF(($D$227-11)&lt;1,NA(),INDEX($D$140:$AD$140,($D$227-11)))</f>
        <v>0</v>
      </c>
      <c r="CG231" s="5">
        <f>IF(($D$227-10)&lt;1,NA(),INDEX($D$140:$AD$140,($D$227-10)))</f>
        <v>0</v>
      </c>
      <c r="CH231" s="5">
        <f>IF(($D$227-9)&lt;1,NA(),INDEX($D$140:$AD$140,($D$227-9)))</f>
        <v>0</v>
      </c>
      <c r="CI231" s="5">
        <f>IF(($D$227-8)&lt;1,NA(),INDEX($D$140:$AD$140,($D$227-8)))</f>
        <v>0</v>
      </c>
      <c r="CJ231" s="5">
        <f>IF(($D$227-7)&lt;1,NA(),INDEX($D$140:$AD$140,($D$227-7)))</f>
        <v>0</v>
      </c>
      <c r="CK231" s="5">
        <f>IF(($D$227-6)&lt;1,NA(),INDEX($D$140:$AD$140,($D$227-6)))</f>
        <v>0</v>
      </c>
      <c r="CL231" s="5">
        <f>IF(($D$227-5)&lt;1,NA(),INDEX($D$140:$AD$140,($D$227-5)))</f>
        <v>0</v>
      </c>
      <c r="CM231" s="5">
        <f>IF(($D$227-4)&lt;1,NA(),INDEX($D$140:$AD$140,($D$227-4)))</f>
        <v>0</v>
      </c>
      <c r="CN231" s="5">
        <f>IF(($D$227-3)&lt;1,NA(),INDEX($D$140:$AD$140,($D$227-3)))</f>
        <v>0</v>
      </c>
      <c r="CO231" s="5">
        <f>IF(($D$227-2)&lt;1,NA(),INDEX($D$140:$AD$140,($D$227-2)))</f>
        <v>0</v>
      </c>
      <c r="CP231" s="5">
        <f>IF(($D$227-1)&lt;1,NA(),INDEX($D$140:$AD$140,($D$227-1)))</f>
        <v>0</v>
      </c>
      <c r="CQ231" s="5">
        <f>IF(($D$227-0)&lt;1,NA(),INDEX($D$140:$AD$140,($D$227-0)))</f>
        <v>0</v>
      </c>
    </row>
    <row r="232" spans="1:95">
      <c r="A232" s="11" t="s">
        <v>531</v>
      </c>
      <c r="B232" s="11" t="s">
        <v>532</v>
      </c>
      <c r="C232" s="3" t="s">
        <v>137</v>
      </c>
      <c r="D232" s="5">
        <f>IF(MAX($D$233:$AD$233)=0,27,MAX($D$233:$AD$233))</f>
        <v>0</v>
      </c>
    </row>
    <row r="233" spans="1:95">
      <c r="A233" s="11" t="s">
        <v>533</v>
      </c>
      <c r="B233" s="11" t="s">
        <v>534</v>
      </c>
      <c r="C233" s="3" t="s">
        <v>137</v>
      </c>
      <c r="D233" s="5">
        <f>IF(OR(ISNUMBER(D141),ISNUMBER(D17),ISNUMBER(D18),ISNUMBER(D19)),1,0)</f>
        <v>0</v>
      </c>
      <c r="E233" s="5">
        <f>IF(OR(ISNUMBER(E141),ISNUMBER(E17),ISNUMBER(E18),ISNUMBER(E19)),2,0)</f>
        <v>0</v>
      </c>
      <c r="F233" s="5">
        <f>IF(OR(ISNUMBER(F141),ISNUMBER(F17),ISNUMBER(F18),ISNUMBER(F19)),3,0)</f>
        <v>0</v>
      </c>
      <c r="G233" s="5">
        <f>IF(OR(ISNUMBER(G141),ISNUMBER(G17),ISNUMBER(G18),ISNUMBER(G19)),4,0)</f>
        <v>0</v>
      </c>
      <c r="H233" s="5">
        <f>IF(OR(ISNUMBER(H141),ISNUMBER(H17),ISNUMBER(H18),ISNUMBER(H19)),5,0)</f>
        <v>0</v>
      </c>
      <c r="I233" s="5">
        <f>IF(OR(ISNUMBER(I141),ISNUMBER(I17),ISNUMBER(I18),ISNUMBER(I19)),6,0)</f>
        <v>0</v>
      </c>
      <c r="J233" s="5">
        <f>IF(OR(ISNUMBER(J141),ISNUMBER(J17),ISNUMBER(J18),ISNUMBER(J19)),7,0)</f>
        <v>0</v>
      </c>
      <c r="K233" s="5">
        <f>IF(OR(ISNUMBER(K141),ISNUMBER(K17),ISNUMBER(K18),ISNUMBER(K19)),8,0)</f>
        <v>0</v>
      </c>
      <c r="L233" s="5">
        <f>IF(OR(ISNUMBER(L141),ISNUMBER(L17),ISNUMBER(L18),ISNUMBER(L19)),9,0)</f>
        <v>0</v>
      </c>
      <c r="M233" s="5">
        <f>IF(OR(ISNUMBER(M141),ISNUMBER(M17),ISNUMBER(M18),ISNUMBER(M19)),10,0)</f>
        <v>0</v>
      </c>
      <c r="N233" s="5">
        <f>IF(OR(ISNUMBER(N141),ISNUMBER(N17),ISNUMBER(N18),ISNUMBER(N19)),11,0)</f>
        <v>0</v>
      </c>
      <c r="O233" s="5">
        <f>IF(OR(ISNUMBER(O141),ISNUMBER(O17),ISNUMBER(O18),ISNUMBER(O19)),12,0)</f>
        <v>0</v>
      </c>
      <c r="P233" s="5">
        <f>IF(OR(ISNUMBER(P141),ISNUMBER(P17),ISNUMBER(P18),ISNUMBER(P19)),13,0)</f>
        <v>0</v>
      </c>
      <c r="Q233" s="5">
        <f>IF(OR(ISNUMBER(Q141),ISNUMBER(Q17),ISNUMBER(Q18),ISNUMBER(Q19)),14,0)</f>
        <v>0</v>
      </c>
      <c r="R233" s="5">
        <f>IF(OR(ISNUMBER(R141),ISNUMBER(R17),ISNUMBER(R18),ISNUMBER(R19)),15,0)</f>
        <v>0</v>
      </c>
      <c r="S233" s="5">
        <f>IF(OR(ISNUMBER(S141),ISNUMBER(S17),ISNUMBER(S18),ISNUMBER(S19)),16,0)</f>
        <v>0</v>
      </c>
      <c r="T233" s="5">
        <f>IF(OR(ISNUMBER(T141),ISNUMBER(T17),ISNUMBER(T18),ISNUMBER(T19)),17,0)</f>
        <v>0</v>
      </c>
      <c r="U233" s="5">
        <f>IF(OR(ISNUMBER(U141),ISNUMBER(U17),ISNUMBER(U18),ISNUMBER(U19)),18,0)</f>
        <v>0</v>
      </c>
      <c r="V233" s="5">
        <f>IF(OR(ISNUMBER(V141),ISNUMBER(V17),ISNUMBER(V18),ISNUMBER(V19)),19,0)</f>
        <v>0</v>
      </c>
      <c r="W233" s="5">
        <f>IF(OR(ISNUMBER(W141),ISNUMBER(W17),ISNUMBER(W18),ISNUMBER(W19)),20,0)</f>
        <v>0</v>
      </c>
      <c r="X233" s="5">
        <f>IF(OR(ISNUMBER(X141),ISNUMBER(X17),ISNUMBER(X18),ISNUMBER(X19)),21,0)</f>
        <v>0</v>
      </c>
      <c r="Y233" s="5">
        <f>IF(OR(ISNUMBER(Y141),ISNUMBER(Y17),ISNUMBER(Y18),ISNUMBER(Y19)),22,0)</f>
        <v>0</v>
      </c>
      <c r="Z233" s="5">
        <f>IF(OR(ISNUMBER(Z141),ISNUMBER(Z17),ISNUMBER(Z18),ISNUMBER(Z19)),23,0)</f>
        <v>0</v>
      </c>
      <c r="AA233" s="5">
        <f>IF(OR(ISNUMBER(AA141),ISNUMBER(AA17),ISNUMBER(AA18),ISNUMBER(AA19)),24,0)</f>
        <v>0</v>
      </c>
      <c r="AB233" s="5">
        <f>IF(OR(ISNUMBER(AB141),ISNUMBER(AB17),ISNUMBER(AB18),ISNUMBER(AB19)),25,0)</f>
        <v>0</v>
      </c>
      <c r="AC233" s="5">
        <f>IF(OR(ISNUMBER(AC141),ISNUMBER(AC17),ISNUMBER(AC18),ISNUMBER(AC19)),26,0)</f>
        <v>0</v>
      </c>
      <c r="AD233" s="5">
        <f>IF(OR(ISNUMBER(AD141),ISNUMBER(AD17),ISNUMBER(AD18),ISNUMBER(AD19)),27,0)</f>
        <v>0</v>
      </c>
    </row>
    <row r="234" spans="1:95">
      <c r="A234" s="11" t="s">
        <v>535</v>
      </c>
      <c r="B234" s="11" t="s">
        <v>536</v>
      </c>
      <c r="C234" s="3" t="s">
        <v>397</v>
      </c>
      <c r="D234" s="80">
        <f>IF(MAX(IFERROR(N(INDEX(Wertstand!$A$142:$LJ$142,MATCH(INDEX($D$4:$AD$4,$D$232),RD_Kopf,0))),0),IFERROR(N(INDEX(Wertstand!$A$143:$LJ$143,MATCH(INDEX($D$4:$AD$4,$D$232),RD_Kopf,0))),0),IFERROR(N(INDEX(Wertstand!$A$144:$LJ$144,MATCH(INDEX($D$4:$AD$4,$D$232),RD_Kopf,0))),0),IFERROR(N(INDEX(Wertstand!$A$145:$LJ$145,MATCH(INDEX($D$4:$AD$4,$D$232),RD_Kopf,0))),0))&gt;0,MAX(IFERROR(N(INDEX(Wertstand!$A$142:$LJ$142,MATCH(INDEX($D$4:$AD$4,$D$232),RD_Kopf,0))),0),IFERROR(N(INDEX(Wertstand!$A$143:$LJ$143,MATCH(INDEX($D$4:$AD$4,$D$232),RD_Kopf,0))),0),IFERROR(N(INDEX(Wertstand!$A$144:$LJ$144,MATCH(INDEX($D$4:$AD$4,$D$232),RD_Kopf,0))),0),IFERROR(N(INDEX(Wertstand!$A$145:$LJ$145,MATCH(INDEX($D$4:$AD$4,$D$232),RD_Kopf,0))),0)),INDEX($D$4:$AD$4,$D$232))</f>
        <v>0</v>
      </c>
      <c r="E234" s="11">
        <f>"Stand: "&amp;TEXT(DAY($D$234),"00")&amp;"."&amp;TEXT(MONTH($D$234),"00")&amp;"."&amp;RIGHT(YEAR($D$234),2)</f>
        <v>0</v>
      </c>
      <c r="F234" s="11">
        <f>"Stand:"&amp;CHAR(10)&amp;TEXT(DAY($D$234),"00")&amp;"."&amp;TEXT(MONTH($D$234),"00")&amp;"."&amp;RIGHT(YEAR($D$234),2)</f>
        <v>0</v>
      </c>
    </row>
    <row r="235" spans="1:95">
      <c r="A235" s="11" t="s">
        <v>537</v>
      </c>
      <c r="B235" s="11" t="s">
        <v>538</v>
      </c>
      <c r="C235" s="3" t="s">
        <v>408</v>
      </c>
      <c r="BR235" s="11">
        <f>IF(($D$232-25)&lt;1,"",INDEX($D$3:$AD$3,($D$232-25)))</f>
        <v>0</v>
      </c>
      <c r="BS235" s="11">
        <f>IF(($D$232-24)&lt;1,"",INDEX($D$3:$AD$3,($D$232-24)))</f>
        <v>0</v>
      </c>
      <c r="BT235" s="11">
        <f>IF(($D$232-23)&lt;1,"",INDEX($D$3:$AD$3,($D$232-23)))</f>
        <v>0</v>
      </c>
      <c r="BU235" s="11">
        <f>IF(($D$232-22)&lt;1,"",INDEX($D$3:$AD$3,($D$232-22)))</f>
        <v>0</v>
      </c>
      <c r="BV235" s="11">
        <f>IF(($D$232-21)&lt;1,"",INDEX($D$3:$AD$3,($D$232-21)))</f>
        <v>0</v>
      </c>
      <c r="BW235" s="11">
        <f>IF(($D$232-20)&lt;1,"",INDEX($D$3:$AD$3,($D$232-20)))</f>
        <v>0</v>
      </c>
      <c r="BX235" s="11">
        <f>IF(($D$232-19)&lt;1,"",INDEX($D$3:$AD$3,($D$232-19)))</f>
        <v>0</v>
      </c>
      <c r="BY235" s="11">
        <f>IF(($D$232-18)&lt;1,"",INDEX($D$3:$AD$3,($D$232-18)))</f>
        <v>0</v>
      </c>
      <c r="BZ235" s="11">
        <f>IF(($D$232-17)&lt;1,"",INDEX($D$3:$AD$3,($D$232-17)))</f>
        <v>0</v>
      </c>
      <c r="CA235" s="11">
        <f>IF(($D$232-16)&lt;1,"",INDEX($D$3:$AD$3,($D$232-16)))</f>
        <v>0</v>
      </c>
      <c r="CB235" s="11">
        <f>IF(($D$232-15)&lt;1,"",INDEX($D$3:$AD$3,($D$232-15)))</f>
        <v>0</v>
      </c>
      <c r="CC235" s="11">
        <f>IF(($D$232-14)&lt;1,"",INDEX($D$3:$AD$3,($D$232-14)))</f>
        <v>0</v>
      </c>
      <c r="CD235" s="11">
        <f>IF(($D$232-13)&lt;1,"",INDEX($D$3:$AD$3,($D$232-13)))</f>
        <v>0</v>
      </c>
      <c r="CE235" s="11">
        <f>IF(($D$232-12)&lt;1,"",INDEX($D$3:$AD$3,($D$232-12)))</f>
        <v>0</v>
      </c>
      <c r="CF235" s="11">
        <f>IF(($D$232-11)&lt;1,"",INDEX($D$3:$AD$3,($D$232-11)))</f>
        <v>0</v>
      </c>
      <c r="CG235" s="11">
        <f>IF(($D$232-10)&lt;1,"",INDEX($D$3:$AD$3,($D$232-10)))</f>
        <v>0</v>
      </c>
      <c r="CH235" s="11">
        <f>IF(($D$232-9)&lt;1,"",INDEX($D$3:$AD$3,($D$232-9)))</f>
        <v>0</v>
      </c>
      <c r="CI235" s="11">
        <f>IF(($D$232-8)&lt;1,"",INDEX($D$3:$AD$3,($D$232-8)))</f>
        <v>0</v>
      </c>
      <c r="CJ235" s="11">
        <f>IF(($D$232-7)&lt;1,"",INDEX($D$3:$AD$3,($D$232-7)))</f>
        <v>0</v>
      </c>
      <c r="CK235" s="11">
        <f>IF(($D$232-6)&lt;1,"",INDEX($D$3:$AD$3,($D$232-6)))</f>
        <v>0</v>
      </c>
      <c r="CL235" s="11">
        <f>IF(($D$232-5)&lt;1,"",INDEX($D$3:$AD$3,($D$232-5)))</f>
        <v>0</v>
      </c>
      <c r="CM235" s="11">
        <f>IF(($D$232-4)&lt;1,"",INDEX($D$3:$AD$3,($D$232-4)))</f>
        <v>0</v>
      </c>
      <c r="CN235" s="11">
        <f>IF(($D$232-3)&lt;1,"",INDEX($D$3:$AD$3,($D$232-3)))</f>
        <v>0</v>
      </c>
      <c r="CO235" s="11">
        <f>IF(($D$232-2)&lt;1,"",INDEX($D$3:$AD$3,($D$232-2)))</f>
        <v>0</v>
      </c>
      <c r="CP235" s="11">
        <f>IF(($D$232-1)&lt;1,"",INDEX($D$3:$AD$3,($D$232-1)))</f>
        <v>0</v>
      </c>
      <c r="CQ235" s="11">
        <f>IF(($D$232-0)&lt;1,"",INDEX($D$3:$AD$3,($D$232-0)))</f>
        <v>0</v>
      </c>
    </row>
    <row r="236" spans="1:95">
      <c r="A236" s="11" t="s">
        <v>539</v>
      </c>
      <c r="B236" s="11" t="s">
        <v>540</v>
      </c>
      <c r="C236" s="3" t="s">
        <v>408</v>
      </c>
      <c r="BR236" s="5">
        <f>IF(($D$232-25)&lt;1,NA(),INDEX($D$141:$AD$141,($D$232-25)))</f>
        <v>0</v>
      </c>
      <c r="BS236" s="5">
        <f>IF(($D$232-24)&lt;1,NA(),INDEX($D$141:$AD$141,($D$232-24)))</f>
        <v>0</v>
      </c>
      <c r="BT236" s="5">
        <f>IF(($D$232-23)&lt;1,NA(),INDEX($D$141:$AD$141,($D$232-23)))</f>
        <v>0</v>
      </c>
      <c r="BU236" s="5">
        <f>IF(($D$232-22)&lt;1,NA(),INDEX($D$141:$AD$141,($D$232-22)))</f>
        <v>0</v>
      </c>
      <c r="BV236" s="5">
        <f>IF(($D$232-21)&lt;1,NA(),INDEX($D$141:$AD$141,($D$232-21)))</f>
        <v>0</v>
      </c>
      <c r="BW236" s="5">
        <f>IF(($D$232-20)&lt;1,NA(),INDEX($D$141:$AD$141,($D$232-20)))</f>
        <v>0</v>
      </c>
      <c r="BX236" s="5">
        <f>IF(($D$232-19)&lt;1,NA(),INDEX($D$141:$AD$141,($D$232-19)))</f>
        <v>0</v>
      </c>
      <c r="BY236" s="5">
        <f>IF(($D$232-18)&lt;1,NA(),INDEX($D$141:$AD$141,($D$232-18)))</f>
        <v>0</v>
      </c>
      <c r="BZ236" s="5">
        <f>IF(($D$232-17)&lt;1,NA(),INDEX($D$141:$AD$141,($D$232-17)))</f>
        <v>0</v>
      </c>
      <c r="CA236" s="5">
        <f>IF(($D$232-16)&lt;1,NA(),INDEX($D$141:$AD$141,($D$232-16)))</f>
        <v>0</v>
      </c>
      <c r="CB236" s="5">
        <f>IF(($D$232-15)&lt;1,NA(),INDEX($D$141:$AD$141,($D$232-15)))</f>
        <v>0</v>
      </c>
      <c r="CC236" s="5">
        <f>IF(($D$232-14)&lt;1,NA(),INDEX($D$141:$AD$141,($D$232-14)))</f>
        <v>0</v>
      </c>
      <c r="CD236" s="5">
        <f>IF(($D$232-13)&lt;1,NA(),INDEX($D$141:$AD$141,($D$232-13)))</f>
        <v>0</v>
      </c>
      <c r="CE236" s="5">
        <f>IF(($D$232-12)&lt;1,NA(),INDEX($D$141:$AD$141,($D$232-12)))</f>
        <v>0</v>
      </c>
      <c r="CF236" s="5">
        <f>IF(($D$232-11)&lt;1,NA(),INDEX($D$141:$AD$141,($D$232-11)))</f>
        <v>0</v>
      </c>
      <c r="CG236" s="5">
        <f>IF(($D$232-10)&lt;1,NA(),INDEX($D$141:$AD$141,($D$232-10)))</f>
        <v>0</v>
      </c>
      <c r="CH236" s="5">
        <f>IF(($D$232-9)&lt;1,NA(),INDEX($D$141:$AD$141,($D$232-9)))</f>
        <v>0</v>
      </c>
      <c r="CI236" s="5">
        <f>IF(($D$232-8)&lt;1,NA(),INDEX($D$141:$AD$141,($D$232-8)))</f>
        <v>0</v>
      </c>
      <c r="CJ236" s="5">
        <f>IF(($D$232-7)&lt;1,NA(),INDEX($D$141:$AD$141,($D$232-7)))</f>
        <v>0</v>
      </c>
      <c r="CK236" s="5">
        <f>IF(($D$232-6)&lt;1,NA(),INDEX($D$141:$AD$141,($D$232-6)))</f>
        <v>0</v>
      </c>
      <c r="CL236" s="5">
        <f>IF(($D$232-5)&lt;1,NA(),INDEX($D$141:$AD$141,($D$232-5)))</f>
        <v>0</v>
      </c>
      <c r="CM236" s="5">
        <f>IF(($D$232-4)&lt;1,NA(),INDEX($D$141:$AD$141,($D$232-4)))</f>
        <v>0</v>
      </c>
      <c r="CN236" s="5">
        <f>IF(($D$232-3)&lt;1,NA(),INDEX($D$141:$AD$141,($D$232-3)))</f>
        <v>0</v>
      </c>
      <c r="CO236" s="5">
        <f>IF(($D$232-2)&lt;1,NA(),INDEX($D$141:$AD$141,($D$232-2)))</f>
        <v>0</v>
      </c>
      <c r="CP236" s="5">
        <f>IF(($D$232-1)&lt;1,NA(),INDEX($D$141:$AD$141,($D$232-1)))</f>
        <v>0</v>
      </c>
      <c r="CQ236" s="5">
        <f>IF(($D$232-0)&lt;1,NA(),INDEX($D$141:$AD$141,($D$232-0)))</f>
        <v>0</v>
      </c>
    </row>
    <row r="237" spans="1:95">
      <c r="A237" s="11" t="s">
        <v>541</v>
      </c>
      <c r="B237" s="11" t="s">
        <v>542</v>
      </c>
      <c r="C237" s="3" t="s">
        <v>408</v>
      </c>
      <c r="BR237" s="5">
        <f>IF(($D$232-25)&lt;1,NA(),INDEX($D$17:$AD$17,($D$232-25)))</f>
        <v>0</v>
      </c>
      <c r="BS237" s="5">
        <f>IF(($D$232-24)&lt;1,NA(),INDEX($D$17:$AD$17,($D$232-24)))</f>
        <v>0</v>
      </c>
      <c r="BT237" s="5">
        <f>IF(($D$232-23)&lt;1,NA(),INDEX($D$17:$AD$17,($D$232-23)))</f>
        <v>0</v>
      </c>
      <c r="BU237" s="5">
        <f>IF(($D$232-22)&lt;1,NA(),INDEX($D$17:$AD$17,($D$232-22)))</f>
        <v>0</v>
      </c>
      <c r="BV237" s="5">
        <f>IF(($D$232-21)&lt;1,NA(),INDEX($D$17:$AD$17,($D$232-21)))</f>
        <v>0</v>
      </c>
      <c r="BW237" s="5">
        <f>IF(($D$232-20)&lt;1,NA(),INDEX($D$17:$AD$17,($D$232-20)))</f>
        <v>0</v>
      </c>
      <c r="BX237" s="5">
        <f>IF(($D$232-19)&lt;1,NA(),INDEX($D$17:$AD$17,($D$232-19)))</f>
        <v>0</v>
      </c>
      <c r="BY237" s="5">
        <f>IF(($D$232-18)&lt;1,NA(),INDEX($D$17:$AD$17,($D$232-18)))</f>
        <v>0</v>
      </c>
      <c r="BZ237" s="5">
        <f>IF(($D$232-17)&lt;1,NA(),INDEX($D$17:$AD$17,($D$232-17)))</f>
        <v>0</v>
      </c>
      <c r="CA237" s="5">
        <f>IF(($D$232-16)&lt;1,NA(),INDEX($D$17:$AD$17,($D$232-16)))</f>
        <v>0</v>
      </c>
      <c r="CB237" s="5">
        <f>IF(($D$232-15)&lt;1,NA(),INDEX($D$17:$AD$17,($D$232-15)))</f>
        <v>0</v>
      </c>
      <c r="CC237" s="5">
        <f>IF(($D$232-14)&lt;1,NA(),INDEX($D$17:$AD$17,($D$232-14)))</f>
        <v>0</v>
      </c>
      <c r="CD237" s="5">
        <f>IF(($D$232-13)&lt;1,NA(),INDEX($D$17:$AD$17,($D$232-13)))</f>
        <v>0</v>
      </c>
      <c r="CE237" s="5">
        <f>IF(($D$232-12)&lt;1,NA(),INDEX($D$17:$AD$17,($D$232-12)))</f>
        <v>0</v>
      </c>
      <c r="CF237" s="5">
        <f>IF(($D$232-11)&lt;1,NA(),INDEX($D$17:$AD$17,($D$232-11)))</f>
        <v>0</v>
      </c>
      <c r="CG237" s="5">
        <f>IF(($D$232-10)&lt;1,NA(),INDEX($D$17:$AD$17,($D$232-10)))</f>
        <v>0</v>
      </c>
      <c r="CH237" s="5">
        <f>IF(($D$232-9)&lt;1,NA(),INDEX($D$17:$AD$17,($D$232-9)))</f>
        <v>0</v>
      </c>
      <c r="CI237" s="5">
        <f>IF(($D$232-8)&lt;1,NA(),INDEX($D$17:$AD$17,($D$232-8)))</f>
        <v>0</v>
      </c>
      <c r="CJ237" s="5">
        <f>IF(($D$232-7)&lt;1,NA(),INDEX($D$17:$AD$17,($D$232-7)))</f>
        <v>0</v>
      </c>
      <c r="CK237" s="5">
        <f>IF(($D$232-6)&lt;1,NA(),INDEX($D$17:$AD$17,($D$232-6)))</f>
        <v>0</v>
      </c>
      <c r="CL237" s="5">
        <f>IF(($D$232-5)&lt;1,NA(),INDEX($D$17:$AD$17,($D$232-5)))</f>
        <v>0</v>
      </c>
      <c r="CM237" s="5">
        <f>IF(($D$232-4)&lt;1,NA(),INDEX($D$17:$AD$17,($D$232-4)))</f>
        <v>0</v>
      </c>
      <c r="CN237" s="5">
        <f>IF(($D$232-3)&lt;1,NA(),INDEX($D$17:$AD$17,($D$232-3)))</f>
        <v>0</v>
      </c>
      <c r="CO237" s="5">
        <f>IF(($D$232-2)&lt;1,NA(),INDEX($D$17:$AD$17,($D$232-2)))</f>
        <v>0</v>
      </c>
      <c r="CP237" s="5">
        <f>IF(($D$232-1)&lt;1,NA(),INDEX($D$17:$AD$17,($D$232-1)))</f>
        <v>0</v>
      </c>
      <c r="CQ237" s="5">
        <f>IF(($D$232-0)&lt;1,NA(),INDEX($D$17:$AD$17,($D$232-0)))</f>
        <v>0</v>
      </c>
    </row>
    <row r="238" spans="1:95">
      <c r="A238" s="11" t="s">
        <v>543</v>
      </c>
      <c r="B238" s="11" t="s">
        <v>544</v>
      </c>
      <c r="C238" s="3" t="s">
        <v>408</v>
      </c>
      <c r="BR238" s="11">
        <f>IF(($D$232-25)&lt;1,"",INDEX($D$143:$AD$143,($D$232-25)))</f>
        <v>0</v>
      </c>
      <c r="BS238" s="11">
        <f>IF(($D$232-24)&lt;1,"",INDEX($D$143:$AD$143,($D$232-24)))</f>
        <v>0</v>
      </c>
      <c r="BT238" s="11">
        <f>IF(($D$232-23)&lt;1,"",INDEX($D$143:$AD$143,($D$232-23)))</f>
        <v>0</v>
      </c>
      <c r="BU238" s="11">
        <f>IF(($D$232-22)&lt;1,"",INDEX($D$143:$AD$143,($D$232-22)))</f>
        <v>0</v>
      </c>
      <c r="BV238" s="11">
        <f>IF(($D$232-21)&lt;1,"",INDEX($D$143:$AD$143,($D$232-21)))</f>
        <v>0</v>
      </c>
      <c r="BW238" s="11">
        <f>IF(($D$232-20)&lt;1,"",INDEX($D$143:$AD$143,($D$232-20)))</f>
        <v>0</v>
      </c>
      <c r="BX238" s="11">
        <f>IF(($D$232-19)&lt;1,"",INDEX($D$143:$AD$143,($D$232-19)))</f>
        <v>0</v>
      </c>
      <c r="BY238" s="11">
        <f>IF(($D$232-18)&lt;1,"",INDEX($D$143:$AD$143,($D$232-18)))</f>
        <v>0</v>
      </c>
      <c r="BZ238" s="11">
        <f>IF(($D$232-17)&lt;1,"",INDEX($D$143:$AD$143,($D$232-17)))</f>
        <v>0</v>
      </c>
      <c r="CA238" s="11">
        <f>IF(($D$232-16)&lt;1,"",INDEX($D$143:$AD$143,($D$232-16)))</f>
        <v>0</v>
      </c>
      <c r="CB238" s="11">
        <f>IF(($D$232-15)&lt;1,"",INDEX($D$143:$AD$143,($D$232-15)))</f>
        <v>0</v>
      </c>
      <c r="CC238" s="11">
        <f>IF(($D$232-14)&lt;1,"",INDEX($D$143:$AD$143,($D$232-14)))</f>
        <v>0</v>
      </c>
      <c r="CD238" s="11">
        <f>IF(($D$232-13)&lt;1,"",INDEX($D$143:$AD$143,($D$232-13)))</f>
        <v>0</v>
      </c>
      <c r="CE238" s="11">
        <f>IF(($D$232-12)&lt;1,"",INDEX($D$143:$AD$143,($D$232-12)))</f>
        <v>0</v>
      </c>
      <c r="CF238" s="11">
        <f>IF(($D$232-11)&lt;1,"",INDEX($D$143:$AD$143,($D$232-11)))</f>
        <v>0</v>
      </c>
      <c r="CG238" s="11">
        <f>IF(($D$232-10)&lt;1,"",INDEX($D$143:$AD$143,($D$232-10)))</f>
        <v>0</v>
      </c>
      <c r="CH238" s="11">
        <f>IF(($D$232-9)&lt;1,"",INDEX($D$143:$AD$143,($D$232-9)))</f>
        <v>0</v>
      </c>
      <c r="CI238" s="11">
        <f>IF(($D$232-8)&lt;1,"",INDEX($D$143:$AD$143,($D$232-8)))</f>
        <v>0</v>
      </c>
      <c r="CJ238" s="11">
        <f>IF(($D$232-7)&lt;1,"",INDEX($D$143:$AD$143,($D$232-7)))</f>
        <v>0</v>
      </c>
      <c r="CK238" s="11">
        <f>IF(($D$232-6)&lt;1,"",INDEX($D$143:$AD$143,($D$232-6)))</f>
        <v>0</v>
      </c>
      <c r="CL238" s="11">
        <f>IF(($D$232-5)&lt;1,"",INDEX($D$143:$AD$143,($D$232-5)))</f>
        <v>0</v>
      </c>
      <c r="CM238" s="11">
        <f>IF(($D$232-4)&lt;1,"",INDEX($D$143:$AD$143,($D$232-4)))</f>
        <v>0</v>
      </c>
      <c r="CN238" s="11">
        <f>IF(($D$232-3)&lt;1,"",INDEX($D$143:$AD$143,($D$232-3)))</f>
        <v>0</v>
      </c>
      <c r="CO238" s="11">
        <f>IF(($D$232-2)&lt;1,"",INDEX($D$143:$AD$143,($D$232-2)))</f>
        <v>0</v>
      </c>
      <c r="CP238" s="11">
        <f>IF(($D$232-1)&lt;1,"",INDEX($D$143:$AD$143,($D$232-1)))</f>
        <v>0</v>
      </c>
      <c r="CQ238" s="11">
        <f>IF(($D$232-0)&lt;1,"",INDEX($D$143:$AD$143,($D$232-0)))</f>
        <v>0</v>
      </c>
    </row>
    <row r="239" spans="1:95">
      <c r="A239" s="11" t="s">
        <v>545</v>
      </c>
      <c r="B239" s="11" t="s">
        <v>546</v>
      </c>
      <c r="C239" s="3" t="s">
        <v>408</v>
      </c>
      <c r="BR239" s="5">
        <f>IF(($D$232-25)&lt;1,NA(),INDEX($D$18:$AD$18,($D$232-25)))</f>
        <v>0</v>
      </c>
      <c r="BS239" s="5">
        <f>IF(($D$232-24)&lt;1,NA(),INDEX($D$18:$AD$18,($D$232-24)))</f>
        <v>0</v>
      </c>
      <c r="BT239" s="5">
        <f>IF(($D$232-23)&lt;1,NA(),INDEX($D$18:$AD$18,($D$232-23)))</f>
        <v>0</v>
      </c>
      <c r="BU239" s="5">
        <f>IF(($D$232-22)&lt;1,NA(),INDEX($D$18:$AD$18,($D$232-22)))</f>
        <v>0</v>
      </c>
      <c r="BV239" s="5">
        <f>IF(($D$232-21)&lt;1,NA(),INDEX($D$18:$AD$18,($D$232-21)))</f>
        <v>0</v>
      </c>
      <c r="BW239" s="5">
        <f>IF(($D$232-20)&lt;1,NA(),INDEX($D$18:$AD$18,($D$232-20)))</f>
        <v>0</v>
      </c>
      <c r="BX239" s="5">
        <f>IF(($D$232-19)&lt;1,NA(),INDEX($D$18:$AD$18,($D$232-19)))</f>
        <v>0</v>
      </c>
      <c r="BY239" s="5">
        <f>IF(($D$232-18)&lt;1,NA(),INDEX($D$18:$AD$18,($D$232-18)))</f>
        <v>0</v>
      </c>
      <c r="BZ239" s="5">
        <f>IF(($D$232-17)&lt;1,NA(),INDEX($D$18:$AD$18,($D$232-17)))</f>
        <v>0</v>
      </c>
      <c r="CA239" s="5">
        <f>IF(($D$232-16)&lt;1,NA(),INDEX($D$18:$AD$18,($D$232-16)))</f>
        <v>0</v>
      </c>
      <c r="CB239" s="5">
        <f>IF(($D$232-15)&lt;1,NA(),INDEX($D$18:$AD$18,($D$232-15)))</f>
        <v>0</v>
      </c>
      <c r="CC239" s="5">
        <f>IF(($D$232-14)&lt;1,NA(),INDEX($D$18:$AD$18,($D$232-14)))</f>
        <v>0</v>
      </c>
      <c r="CD239" s="5">
        <f>IF(($D$232-13)&lt;1,NA(),INDEX($D$18:$AD$18,($D$232-13)))</f>
        <v>0</v>
      </c>
      <c r="CE239" s="5">
        <f>IF(($D$232-12)&lt;1,NA(),INDEX($D$18:$AD$18,($D$232-12)))</f>
        <v>0</v>
      </c>
      <c r="CF239" s="5">
        <f>IF(($D$232-11)&lt;1,NA(),INDEX($D$18:$AD$18,($D$232-11)))</f>
        <v>0</v>
      </c>
      <c r="CG239" s="5">
        <f>IF(($D$232-10)&lt;1,NA(),INDEX($D$18:$AD$18,($D$232-10)))</f>
        <v>0</v>
      </c>
      <c r="CH239" s="5">
        <f>IF(($D$232-9)&lt;1,NA(),INDEX($D$18:$AD$18,($D$232-9)))</f>
        <v>0</v>
      </c>
      <c r="CI239" s="5">
        <f>IF(($D$232-8)&lt;1,NA(),INDEX($D$18:$AD$18,($D$232-8)))</f>
        <v>0</v>
      </c>
      <c r="CJ239" s="5">
        <f>IF(($D$232-7)&lt;1,NA(),INDEX($D$18:$AD$18,($D$232-7)))</f>
        <v>0</v>
      </c>
      <c r="CK239" s="5">
        <f>IF(($D$232-6)&lt;1,NA(),INDEX($D$18:$AD$18,($D$232-6)))</f>
        <v>0</v>
      </c>
      <c r="CL239" s="5">
        <f>IF(($D$232-5)&lt;1,NA(),INDEX($D$18:$AD$18,($D$232-5)))</f>
        <v>0</v>
      </c>
      <c r="CM239" s="5">
        <f>IF(($D$232-4)&lt;1,NA(),INDEX($D$18:$AD$18,($D$232-4)))</f>
        <v>0</v>
      </c>
      <c r="CN239" s="5">
        <f>IF(($D$232-3)&lt;1,NA(),INDEX($D$18:$AD$18,($D$232-3)))</f>
        <v>0</v>
      </c>
      <c r="CO239" s="5">
        <f>IF(($D$232-2)&lt;1,NA(),INDEX($D$18:$AD$18,($D$232-2)))</f>
        <v>0</v>
      </c>
      <c r="CP239" s="5">
        <f>IF(($D$232-1)&lt;1,NA(),INDEX($D$18:$AD$18,($D$232-1)))</f>
        <v>0</v>
      </c>
      <c r="CQ239" s="5">
        <f>IF(($D$232-0)&lt;1,NA(),INDEX($D$18:$AD$18,($D$232-0)))</f>
        <v>0</v>
      </c>
    </row>
    <row r="240" spans="1:95">
      <c r="A240" s="11" t="s">
        <v>547</v>
      </c>
      <c r="B240" s="11" t="s">
        <v>548</v>
      </c>
      <c r="C240" s="3" t="s">
        <v>408</v>
      </c>
      <c r="BR240" s="11">
        <f>IF(($D$232-25)&lt;1,"",INDEX($D$145:$AD$145,($D$232-25)))</f>
        <v>0</v>
      </c>
      <c r="BS240" s="11">
        <f>IF(($D$232-24)&lt;1,"",INDEX($D$145:$AD$145,($D$232-24)))</f>
        <v>0</v>
      </c>
      <c r="BT240" s="11">
        <f>IF(($D$232-23)&lt;1,"",INDEX($D$145:$AD$145,($D$232-23)))</f>
        <v>0</v>
      </c>
      <c r="BU240" s="11">
        <f>IF(($D$232-22)&lt;1,"",INDEX($D$145:$AD$145,($D$232-22)))</f>
        <v>0</v>
      </c>
      <c r="BV240" s="11">
        <f>IF(($D$232-21)&lt;1,"",INDEX($D$145:$AD$145,($D$232-21)))</f>
        <v>0</v>
      </c>
      <c r="BW240" s="11">
        <f>IF(($D$232-20)&lt;1,"",INDEX($D$145:$AD$145,($D$232-20)))</f>
        <v>0</v>
      </c>
      <c r="BX240" s="11">
        <f>IF(($D$232-19)&lt;1,"",INDEX($D$145:$AD$145,($D$232-19)))</f>
        <v>0</v>
      </c>
      <c r="BY240" s="11">
        <f>IF(($D$232-18)&lt;1,"",INDEX($D$145:$AD$145,($D$232-18)))</f>
        <v>0</v>
      </c>
      <c r="BZ240" s="11">
        <f>IF(($D$232-17)&lt;1,"",INDEX($D$145:$AD$145,($D$232-17)))</f>
        <v>0</v>
      </c>
      <c r="CA240" s="11">
        <f>IF(($D$232-16)&lt;1,"",INDEX($D$145:$AD$145,($D$232-16)))</f>
        <v>0</v>
      </c>
      <c r="CB240" s="11">
        <f>IF(($D$232-15)&lt;1,"",INDEX($D$145:$AD$145,($D$232-15)))</f>
        <v>0</v>
      </c>
      <c r="CC240" s="11">
        <f>IF(($D$232-14)&lt;1,"",INDEX($D$145:$AD$145,($D$232-14)))</f>
        <v>0</v>
      </c>
      <c r="CD240" s="11">
        <f>IF(($D$232-13)&lt;1,"",INDEX($D$145:$AD$145,($D$232-13)))</f>
        <v>0</v>
      </c>
      <c r="CE240" s="11">
        <f>IF(($D$232-12)&lt;1,"",INDEX($D$145:$AD$145,($D$232-12)))</f>
        <v>0</v>
      </c>
      <c r="CF240" s="11">
        <f>IF(($D$232-11)&lt;1,"",INDEX($D$145:$AD$145,($D$232-11)))</f>
        <v>0</v>
      </c>
      <c r="CG240" s="11">
        <f>IF(($D$232-10)&lt;1,"",INDEX($D$145:$AD$145,($D$232-10)))</f>
        <v>0</v>
      </c>
      <c r="CH240" s="11">
        <f>IF(($D$232-9)&lt;1,"",INDEX($D$145:$AD$145,($D$232-9)))</f>
        <v>0</v>
      </c>
      <c r="CI240" s="11">
        <f>IF(($D$232-8)&lt;1,"",INDEX($D$145:$AD$145,($D$232-8)))</f>
        <v>0</v>
      </c>
      <c r="CJ240" s="11">
        <f>IF(($D$232-7)&lt;1,"",INDEX($D$145:$AD$145,($D$232-7)))</f>
        <v>0</v>
      </c>
      <c r="CK240" s="11">
        <f>IF(($D$232-6)&lt;1,"",INDEX($D$145:$AD$145,($D$232-6)))</f>
        <v>0</v>
      </c>
      <c r="CL240" s="11">
        <f>IF(($D$232-5)&lt;1,"",INDEX($D$145:$AD$145,($D$232-5)))</f>
        <v>0</v>
      </c>
      <c r="CM240" s="11">
        <f>IF(($D$232-4)&lt;1,"",INDEX($D$145:$AD$145,($D$232-4)))</f>
        <v>0</v>
      </c>
      <c r="CN240" s="11">
        <f>IF(($D$232-3)&lt;1,"",INDEX($D$145:$AD$145,($D$232-3)))</f>
        <v>0</v>
      </c>
      <c r="CO240" s="11">
        <f>IF(($D$232-2)&lt;1,"",INDEX($D$145:$AD$145,($D$232-2)))</f>
        <v>0</v>
      </c>
      <c r="CP240" s="11">
        <f>IF(($D$232-1)&lt;1,"",INDEX($D$145:$AD$145,($D$232-1)))</f>
        <v>0</v>
      </c>
      <c r="CQ240" s="11">
        <f>IF(($D$232-0)&lt;1,"",INDEX($D$145:$AD$145,($D$232-0)))</f>
        <v>0</v>
      </c>
    </row>
    <row r="241" spans="1:95">
      <c r="A241" s="11" t="s">
        <v>549</v>
      </c>
      <c r="B241" s="11" t="s">
        <v>550</v>
      </c>
      <c r="C241" s="3" t="s">
        <v>408</v>
      </c>
      <c r="BR241" s="5">
        <f>IF(($D$232-25)&lt;1,NA(),INDEX($D$19:$AD$19,($D$232-25)))</f>
        <v>0</v>
      </c>
      <c r="BS241" s="5">
        <f>IF(($D$232-24)&lt;1,NA(),INDEX($D$19:$AD$19,($D$232-24)))</f>
        <v>0</v>
      </c>
      <c r="BT241" s="5">
        <f>IF(($D$232-23)&lt;1,NA(),INDEX($D$19:$AD$19,($D$232-23)))</f>
        <v>0</v>
      </c>
      <c r="BU241" s="5">
        <f>IF(($D$232-22)&lt;1,NA(),INDEX($D$19:$AD$19,($D$232-22)))</f>
        <v>0</v>
      </c>
      <c r="BV241" s="5">
        <f>IF(($D$232-21)&lt;1,NA(),INDEX($D$19:$AD$19,($D$232-21)))</f>
        <v>0</v>
      </c>
      <c r="BW241" s="5">
        <f>IF(($D$232-20)&lt;1,NA(),INDEX($D$19:$AD$19,($D$232-20)))</f>
        <v>0</v>
      </c>
      <c r="BX241" s="5">
        <f>IF(($D$232-19)&lt;1,NA(),INDEX($D$19:$AD$19,($D$232-19)))</f>
        <v>0</v>
      </c>
      <c r="BY241" s="5">
        <f>IF(($D$232-18)&lt;1,NA(),INDEX($D$19:$AD$19,($D$232-18)))</f>
        <v>0</v>
      </c>
      <c r="BZ241" s="5">
        <f>IF(($D$232-17)&lt;1,NA(),INDEX($D$19:$AD$19,($D$232-17)))</f>
        <v>0</v>
      </c>
      <c r="CA241" s="5">
        <f>IF(($D$232-16)&lt;1,NA(),INDEX($D$19:$AD$19,($D$232-16)))</f>
        <v>0</v>
      </c>
      <c r="CB241" s="5">
        <f>IF(($D$232-15)&lt;1,NA(),INDEX($D$19:$AD$19,($D$232-15)))</f>
        <v>0</v>
      </c>
      <c r="CC241" s="5">
        <f>IF(($D$232-14)&lt;1,NA(),INDEX($D$19:$AD$19,($D$232-14)))</f>
        <v>0</v>
      </c>
      <c r="CD241" s="5">
        <f>IF(($D$232-13)&lt;1,NA(),INDEX($D$19:$AD$19,($D$232-13)))</f>
        <v>0</v>
      </c>
      <c r="CE241" s="5">
        <f>IF(($D$232-12)&lt;1,NA(),INDEX($D$19:$AD$19,($D$232-12)))</f>
        <v>0</v>
      </c>
      <c r="CF241" s="5">
        <f>IF(($D$232-11)&lt;1,NA(),INDEX($D$19:$AD$19,($D$232-11)))</f>
        <v>0</v>
      </c>
      <c r="CG241" s="5">
        <f>IF(($D$232-10)&lt;1,NA(),INDEX($D$19:$AD$19,($D$232-10)))</f>
        <v>0</v>
      </c>
      <c r="CH241" s="5">
        <f>IF(($D$232-9)&lt;1,NA(),INDEX($D$19:$AD$19,($D$232-9)))</f>
        <v>0</v>
      </c>
      <c r="CI241" s="5">
        <f>IF(($D$232-8)&lt;1,NA(),INDEX($D$19:$AD$19,($D$232-8)))</f>
        <v>0</v>
      </c>
      <c r="CJ241" s="5">
        <f>IF(($D$232-7)&lt;1,NA(),INDEX($D$19:$AD$19,($D$232-7)))</f>
        <v>0</v>
      </c>
      <c r="CK241" s="5">
        <f>IF(($D$232-6)&lt;1,NA(),INDEX($D$19:$AD$19,($D$232-6)))</f>
        <v>0</v>
      </c>
      <c r="CL241" s="5">
        <f>IF(($D$232-5)&lt;1,NA(),INDEX($D$19:$AD$19,($D$232-5)))</f>
        <v>0</v>
      </c>
      <c r="CM241" s="5">
        <f>IF(($D$232-4)&lt;1,NA(),INDEX($D$19:$AD$19,($D$232-4)))</f>
        <v>0</v>
      </c>
      <c r="CN241" s="5">
        <f>IF(($D$232-3)&lt;1,NA(),INDEX($D$19:$AD$19,($D$232-3)))</f>
        <v>0</v>
      </c>
      <c r="CO241" s="5">
        <f>IF(($D$232-2)&lt;1,NA(),INDEX($D$19:$AD$19,($D$232-2)))</f>
        <v>0</v>
      </c>
      <c r="CP241" s="5">
        <f>IF(($D$232-1)&lt;1,NA(),INDEX($D$19:$AD$19,($D$232-1)))</f>
        <v>0</v>
      </c>
      <c r="CQ241" s="5">
        <f>IF(($D$232-0)&lt;1,NA(),INDEX($D$19:$AD$19,($D$232-0)))</f>
        <v>0</v>
      </c>
    </row>
    <row r="242" spans="1:95">
      <c r="A242" s="11" t="s">
        <v>551</v>
      </c>
      <c r="B242" s="11" t="s">
        <v>552</v>
      </c>
      <c r="C242" s="3" t="s">
        <v>408</v>
      </c>
      <c r="BR242" s="11">
        <f>IF(($D$232-25)&lt;1,"",INDEX($D$147:$AD$147,($D$232-25)))</f>
        <v>0</v>
      </c>
      <c r="BS242" s="11">
        <f>IF(($D$232-24)&lt;1,"",INDEX($D$147:$AD$147,($D$232-24)))</f>
        <v>0</v>
      </c>
      <c r="BT242" s="11">
        <f>IF(($D$232-23)&lt;1,"",INDEX($D$147:$AD$147,($D$232-23)))</f>
        <v>0</v>
      </c>
      <c r="BU242" s="11">
        <f>IF(($D$232-22)&lt;1,"",INDEX($D$147:$AD$147,($D$232-22)))</f>
        <v>0</v>
      </c>
      <c r="BV242" s="11">
        <f>IF(($D$232-21)&lt;1,"",INDEX($D$147:$AD$147,($D$232-21)))</f>
        <v>0</v>
      </c>
      <c r="BW242" s="11">
        <f>IF(($D$232-20)&lt;1,"",INDEX($D$147:$AD$147,($D$232-20)))</f>
        <v>0</v>
      </c>
      <c r="BX242" s="11">
        <f>IF(($D$232-19)&lt;1,"",INDEX($D$147:$AD$147,($D$232-19)))</f>
        <v>0</v>
      </c>
      <c r="BY242" s="11">
        <f>IF(($D$232-18)&lt;1,"",INDEX($D$147:$AD$147,($D$232-18)))</f>
        <v>0</v>
      </c>
      <c r="BZ242" s="11">
        <f>IF(($D$232-17)&lt;1,"",INDEX($D$147:$AD$147,($D$232-17)))</f>
        <v>0</v>
      </c>
      <c r="CA242" s="11">
        <f>IF(($D$232-16)&lt;1,"",INDEX($D$147:$AD$147,($D$232-16)))</f>
        <v>0</v>
      </c>
      <c r="CB242" s="11">
        <f>IF(($D$232-15)&lt;1,"",INDEX($D$147:$AD$147,($D$232-15)))</f>
        <v>0</v>
      </c>
      <c r="CC242" s="11">
        <f>IF(($D$232-14)&lt;1,"",INDEX($D$147:$AD$147,($D$232-14)))</f>
        <v>0</v>
      </c>
      <c r="CD242" s="11">
        <f>IF(($D$232-13)&lt;1,"",INDEX($D$147:$AD$147,($D$232-13)))</f>
        <v>0</v>
      </c>
      <c r="CE242" s="11">
        <f>IF(($D$232-12)&lt;1,"",INDEX($D$147:$AD$147,($D$232-12)))</f>
        <v>0</v>
      </c>
      <c r="CF242" s="11">
        <f>IF(($D$232-11)&lt;1,"",INDEX($D$147:$AD$147,($D$232-11)))</f>
        <v>0</v>
      </c>
      <c r="CG242" s="11">
        <f>IF(($D$232-10)&lt;1,"",INDEX($D$147:$AD$147,($D$232-10)))</f>
        <v>0</v>
      </c>
      <c r="CH242" s="11">
        <f>IF(($D$232-9)&lt;1,"",INDEX($D$147:$AD$147,($D$232-9)))</f>
        <v>0</v>
      </c>
      <c r="CI242" s="11">
        <f>IF(($D$232-8)&lt;1,"",INDEX($D$147:$AD$147,($D$232-8)))</f>
        <v>0</v>
      </c>
      <c r="CJ242" s="11">
        <f>IF(($D$232-7)&lt;1,"",INDEX($D$147:$AD$147,($D$232-7)))</f>
        <v>0</v>
      </c>
      <c r="CK242" s="11">
        <f>IF(($D$232-6)&lt;1,"",INDEX($D$147:$AD$147,($D$232-6)))</f>
        <v>0</v>
      </c>
      <c r="CL242" s="11">
        <f>IF(($D$232-5)&lt;1,"",INDEX($D$147:$AD$147,($D$232-5)))</f>
        <v>0</v>
      </c>
      <c r="CM242" s="11">
        <f>IF(($D$232-4)&lt;1,"",INDEX($D$147:$AD$147,($D$232-4)))</f>
        <v>0</v>
      </c>
      <c r="CN242" s="11">
        <f>IF(($D$232-3)&lt;1,"",INDEX($D$147:$AD$147,($D$232-3)))</f>
        <v>0</v>
      </c>
      <c r="CO242" s="11">
        <f>IF(($D$232-2)&lt;1,"",INDEX($D$147:$AD$147,($D$232-2)))</f>
        <v>0</v>
      </c>
      <c r="CP242" s="11">
        <f>IF(($D$232-1)&lt;1,"",INDEX($D$147:$AD$147,($D$232-1)))</f>
        <v>0</v>
      </c>
      <c r="CQ242" s="11">
        <f>IF(($D$232-0)&lt;1,"",INDEX($D$147:$AD$147,($D$232-0)))</f>
        <v>0</v>
      </c>
    </row>
    <row r="243" spans="1:95">
      <c r="A243" s="11" t="s">
        <v>553</v>
      </c>
      <c r="B243" s="11" t="s">
        <v>554</v>
      </c>
      <c r="C243" s="3" t="s">
        <v>137</v>
      </c>
      <c r="D243" s="5">
        <f>IF(MAX($D$244:$AD$244)=0,27,MAX($D$244:$AD$244))</f>
        <v>0</v>
      </c>
    </row>
    <row r="244" spans="1:95">
      <c r="A244" s="11" t="s">
        <v>555</v>
      </c>
      <c r="B244" s="11" t="s">
        <v>556</v>
      </c>
      <c r="C244" s="3" t="s">
        <v>137</v>
      </c>
      <c r="D244" s="5">
        <f>IF(OR(ISNUMBER(D8)),1,0)</f>
        <v>0</v>
      </c>
      <c r="E244" s="5">
        <f>IF(OR(ISNUMBER(E8)),2,0)</f>
        <v>0</v>
      </c>
      <c r="F244" s="5">
        <f>IF(OR(ISNUMBER(F8)),3,0)</f>
        <v>0</v>
      </c>
      <c r="G244" s="5">
        <f>IF(OR(ISNUMBER(G8)),4,0)</f>
        <v>0</v>
      </c>
      <c r="H244" s="5">
        <f>IF(OR(ISNUMBER(H8)),5,0)</f>
        <v>0</v>
      </c>
      <c r="I244" s="5">
        <f>IF(OR(ISNUMBER(I8)),6,0)</f>
        <v>0</v>
      </c>
      <c r="J244" s="5">
        <f>IF(OR(ISNUMBER(J8)),7,0)</f>
        <v>0</v>
      </c>
      <c r="K244" s="5">
        <f>IF(OR(ISNUMBER(K8)),8,0)</f>
        <v>0</v>
      </c>
      <c r="L244" s="5">
        <f>IF(OR(ISNUMBER(L8)),9,0)</f>
        <v>0</v>
      </c>
      <c r="M244" s="5">
        <f>IF(OR(ISNUMBER(M8)),10,0)</f>
        <v>0</v>
      </c>
      <c r="N244" s="5">
        <f>IF(OR(ISNUMBER(N8)),11,0)</f>
        <v>0</v>
      </c>
      <c r="O244" s="5">
        <f>IF(OR(ISNUMBER(O8)),12,0)</f>
        <v>0</v>
      </c>
      <c r="P244" s="5">
        <f>IF(OR(ISNUMBER(P8)),13,0)</f>
        <v>0</v>
      </c>
      <c r="Q244" s="5">
        <f>IF(OR(ISNUMBER(Q8)),14,0)</f>
        <v>0</v>
      </c>
      <c r="R244" s="5">
        <f>IF(OR(ISNUMBER(R8)),15,0)</f>
        <v>0</v>
      </c>
      <c r="S244" s="5">
        <f>IF(OR(ISNUMBER(S8)),16,0)</f>
        <v>0</v>
      </c>
      <c r="T244" s="5">
        <f>IF(OR(ISNUMBER(T8)),17,0)</f>
        <v>0</v>
      </c>
      <c r="U244" s="5">
        <f>IF(OR(ISNUMBER(U8)),18,0)</f>
        <v>0</v>
      </c>
      <c r="V244" s="5">
        <f>IF(OR(ISNUMBER(V8)),19,0)</f>
        <v>0</v>
      </c>
      <c r="W244" s="5">
        <f>IF(OR(ISNUMBER(W8)),20,0)</f>
        <v>0</v>
      </c>
      <c r="X244" s="5">
        <f>IF(OR(ISNUMBER(X8)),21,0)</f>
        <v>0</v>
      </c>
      <c r="Y244" s="5">
        <f>IF(OR(ISNUMBER(Y8)),22,0)</f>
        <v>0</v>
      </c>
      <c r="Z244" s="5">
        <f>IF(OR(ISNUMBER(Z8)),23,0)</f>
        <v>0</v>
      </c>
      <c r="AA244" s="5">
        <f>IF(OR(ISNUMBER(AA8)),24,0)</f>
        <v>0</v>
      </c>
      <c r="AB244" s="5">
        <f>IF(OR(ISNUMBER(AB8)),25,0)</f>
        <v>0</v>
      </c>
      <c r="AC244" s="5">
        <f>IF(OR(ISNUMBER(AC8)),26,0)</f>
        <v>0</v>
      </c>
      <c r="AD244" s="5">
        <f>IF(OR(ISNUMBER(AD8)),27,0)</f>
        <v>0</v>
      </c>
    </row>
    <row r="245" spans="1:95">
      <c r="A245" s="11" t="s">
        <v>557</v>
      </c>
      <c r="B245" s="11" t="s">
        <v>558</v>
      </c>
      <c r="C245" s="3" t="s">
        <v>397</v>
      </c>
      <c r="D245" s="80">
        <f>IF(MAX(IFERROR(N(INDEX(Wertstand!$A$116:$LJ$116,MATCH(INDEX($D$4:$AD$4,$D$243),RD_Kopf,0))),0))&gt;0,MAX(IFERROR(N(INDEX(Wertstand!$A$116:$LJ$116,MATCH(INDEX($D$4:$AD$4,$D$243),RD_Kopf,0))),0)),INDEX($D$4:$AD$4,$D$243))</f>
        <v>0</v>
      </c>
      <c r="E245" s="11">
        <f>"Stand: "&amp;TEXT(DAY($D$245),"00")&amp;"."&amp;TEXT(MONTH($D$245),"00")&amp;"."&amp;RIGHT(YEAR($D$245),2)</f>
        <v>0</v>
      </c>
      <c r="F245" s="11">
        <f>"Stand:"&amp;CHAR(10)&amp;TEXT(DAY($D$245),"00")&amp;"."&amp;TEXT(MONTH($D$245),"00")&amp;"."&amp;RIGHT(YEAR($D$245),2)</f>
        <v>0</v>
      </c>
    </row>
    <row r="246" spans="1:95">
      <c r="A246" s="11" t="s">
        <v>559</v>
      </c>
      <c r="B246" s="11" t="s">
        <v>560</v>
      </c>
      <c r="C246" s="3" t="s">
        <v>408</v>
      </c>
      <c r="BR246" s="11">
        <f>IF(($D$243-25)&lt;1,"",INDEX($D$3:$AD$3,($D$243-25)))</f>
        <v>0</v>
      </c>
      <c r="BS246" s="11">
        <f>IF(($D$243-24)&lt;1,"",INDEX($D$3:$AD$3,($D$243-24)))</f>
        <v>0</v>
      </c>
      <c r="BT246" s="11">
        <f>IF(($D$243-23)&lt;1,"",INDEX($D$3:$AD$3,($D$243-23)))</f>
        <v>0</v>
      </c>
      <c r="BU246" s="11">
        <f>IF(($D$243-22)&lt;1,"",INDEX($D$3:$AD$3,($D$243-22)))</f>
        <v>0</v>
      </c>
      <c r="BV246" s="11">
        <f>IF(($D$243-21)&lt;1,"",INDEX($D$3:$AD$3,($D$243-21)))</f>
        <v>0</v>
      </c>
      <c r="BW246" s="11">
        <f>IF(($D$243-20)&lt;1,"",INDEX($D$3:$AD$3,($D$243-20)))</f>
        <v>0</v>
      </c>
      <c r="BX246" s="11">
        <f>IF(($D$243-19)&lt;1,"",INDEX($D$3:$AD$3,($D$243-19)))</f>
        <v>0</v>
      </c>
      <c r="BY246" s="11">
        <f>IF(($D$243-18)&lt;1,"",INDEX($D$3:$AD$3,($D$243-18)))</f>
        <v>0</v>
      </c>
      <c r="BZ246" s="11">
        <f>IF(($D$243-17)&lt;1,"",INDEX($D$3:$AD$3,($D$243-17)))</f>
        <v>0</v>
      </c>
      <c r="CA246" s="11">
        <f>IF(($D$243-16)&lt;1,"",INDEX($D$3:$AD$3,($D$243-16)))</f>
        <v>0</v>
      </c>
      <c r="CB246" s="11">
        <f>IF(($D$243-15)&lt;1,"",INDEX($D$3:$AD$3,($D$243-15)))</f>
        <v>0</v>
      </c>
      <c r="CC246" s="11">
        <f>IF(($D$243-14)&lt;1,"",INDEX($D$3:$AD$3,($D$243-14)))</f>
        <v>0</v>
      </c>
      <c r="CD246" s="11">
        <f>IF(($D$243-13)&lt;1,"",INDEX($D$3:$AD$3,($D$243-13)))</f>
        <v>0</v>
      </c>
      <c r="CE246" s="11">
        <f>IF(($D$243-12)&lt;1,"",INDEX($D$3:$AD$3,($D$243-12)))</f>
        <v>0</v>
      </c>
      <c r="CF246" s="11">
        <f>IF(($D$243-11)&lt;1,"",INDEX($D$3:$AD$3,($D$243-11)))</f>
        <v>0</v>
      </c>
      <c r="CG246" s="11">
        <f>IF(($D$243-10)&lt;1,"",INDEX($D$3:$AD$3,($D$243-10)))</f>
        <v>0</v>
      </c>
      <c r="CH246" s="11">
        <f>IF(($D$243-9)&lt;1,"",INDEX($D$3:$AD$3,($D$243-9)))</f>
        <v>0</v>
      </c>
      <c r="CI246" s="11">
        <f>IF(($D$243-8)&lt;1,"",INDEX($D$3:$AD$3,($D$243-8)))</f>
        <v>0</v>
      </c>
      <c r="CJ246" s="11">
        <f>IF(($D$243-7)&lt;1,"",INDEX($D$3:$AD$3,($D$243-7)))</f>
        <v>0</v>
      </c>
      <c r="CK246" s="11">
        <f>IF(($D$243-6)&lt;1,"",INDEX($D$3:$AD$3,($D$243-6)))</f>
        <v>0</v>
      </c>
      <c r="CL246" s="11">
        <f>IF(($D$243-5)&lt;1,"",INDEX($D$3:$AD$3,($D$243-5)))</f>
        <v>0</v>
      </c>
      <c r="CM246" s="11">
        <f>IF(($D$243-4)&lt;1,"",INDEX($D$3:$AD$3,($D$243-4)))</f>
        <v>0</v>
      </c>
      <c r="CN246" s="11">
        <f>IF(($D$243-3)&lt;1,"",INDEX($D$3:$AD$3,($D$243-3)))</f>
        <v>0</v>
      </c>
      <c r="CO246" s="11">
        <f>IF(($D$243-2)&lt;1,"",INDEX($D$3:$AD$3,($D$243-2)))</f>
        <v>0</v>
      </c>
      <c r="CP246" s="11">
        <f>IF(($D$243-1)&lt;1,"",INDEX($D$3:$AD$3,($D$243-1)))</f>
        <v>0</v>
      </c>
      <c r="CQ246" s="11">
        <f>IF(($D$243-0)&lt;1,"",INDEX($D$3:$AD$3,($D$243-0)))</f>
        <v>0</v>
      </c>
    </row>
    <row r="247" spans="1:95">
      <c r="A247" s="11" t="s">
        <v>561</v>
      </c>
      <c r="B247" s="11" t="s">
        <v>562</v>
      </c>
      <c r="C247" s="3" t="s">
        <v>408</v>
      </c>
      <c r="BR247" s="5">
        <f>IF(($D$243-25)&lt;1,NA(),INDEX($D$8:$AD$8,($D$243-25)))</f>
        <v>0</v>
      </c>
      <c r="BS247" s="5">
        <f>IF(($D$243-24)&lt;1,NA(),INDEX($D$8:$AD$8,($D$243-24)))</f>
        <v>0</v>
      </c>
      <c r="BT247" s="5">
        <f>IF(($D$243-23)&lt;1,NA(),INDEX($D$8:$AD$8,($D$243-23)))</f>
        <v>0</v>
      </c>
      <c r="BU247" s="5">
        <f>IF(($D$243-22)&lt;1,NA(),INDEX($D$8:$AD$8,($D$243-22)))</f>
        <v>0</v>
      </c>
      <c r="BV247" s="5">
        <f>IF(($D$243-21)&lt;1,NA(),INDEX($D$8:$AD$8,($D$243-21)))</f>
        <v>0</v>
      </c>
      <c r="BW247" s="5">
        <f>IF(($D$243-20)&lt;1,NA(),INDEX($D$8:$AD$8,($D$243-20)))</f>
        <v>0</v>
      </c>
      <c r="BX247" s="5">
        <f>IF(($D$243-19)&lt;1,NA(),INDEX($D$8:$AD$8,($D$243-19)))</f>
        <v>0</v>
      </c>
      <c r="BY247" s="5">
        <f>IF(($D$243-18)&lt;1,NA(),INDEX($D$8:$AD$8,($D$243-18)))</f>
        <v>0</v>
      </c>
      <c r="BZ247" s="5">
        <f>IF(($D$243-17)&lt;1,NA(),INDEX($D$8:$AD$8,($D$243-17)))</f>
        <v>0</v>
      </c>
      <c r="CA247" s="5">
        <f>IF(($D$243-16)&lt;1,NA(),INDEX($D$8:$AD$8,($D$243-16)))</f>
        <v>0</v>
      </c>
      <c r="CB247" s="5">
        <f>IF(($D$243-15)&lt;1,NA(),INDEX($D$8:$AD$8,($D$243-15)))</f>
        <v>0</v>
      </c>
      <c r="CC247" s="5">
        <f>IF(($D$243-14)&lt;1,NA(),INDEX($D$8:$AD$8,($D$243-14)))</f>
        <v>0</v>
      </c>
      <c r="CD247" s="5">
        <f>IF(($D$243-13)&lt;1,NA(),INDEX($D$8:$AD$8,($D$243-13)))</f>
        <v>0</v>
      </c>
      <c r="CE247" s="5">
        <f>IF(($D$243-12)&lt;1,NA(),INDEX($D$8:$AD$8,($D$243-12)))</f>
        <v>0</v>
      </c>
      <c r="CF247" s="5">
        <f>IF(($D$243-11)&lt;1,NA(),INDEX($D$8:$AD$8,($D$243-11)))</f>
        <v>0</v>
      </c>
      <c r="CG247" s="5">
        <f>IF(($D$243-10)&lt;1,NA(),INDEX($D$8:$AD$8,($D$243-10)))</f>
        <v>0</v>
      </c>
      <c r="CH247" s="5">
        <f>IF(($D$243-9)&lt;1,NA(),INDEX($D$8:$AD$8,($D$243-9)))</f>
        <v>0</v>
      </c>
      <c r="CI247" s="5">
        <f>IF(($D$243-8)&lt;1,NA(),INDEX($D$8:$AD$8,($D$243-8)))</f>
        <v>0</v>
      </c>
      <c r="CJ247" s="5">
        <f>IF(($D$243-7)&lt;1,NA(),INDEX($D$8:$AD$8,($D$243-7)))</f>
        <v>0</v>
      </c>
      <c r="CK247" s="5">
        <f>IF(($D$243-6)&lt;1,NA(),INDEX($D$8:$AD$8,($D$243-6)))</f>
        <v>0</v>
      </c>
      <c r="CL247" s="5">
        <f>IF(($D$243-5)&lt;1,NA(),INDEX($D$8:$AD$8,($D$243-5)))</f>
        <v>0</v>
      </c>
      <c r="CM247" s="5">
        <f>IF(($D$243-4)&lt;1,NA(),INDEX($D$8:$AD$8,($D$243-4)))</f>
        <v>0</v>
      </c>
      <c r="CN247" s="5">
        <f>IF(($D$243-3)&lt;1,NA(),INDEX($D$8:$AD$8,($D$243-3)))</f>
        <v>0</v>
      </c>
      <c r="CO247" s="5">
        <f>IF(($D$243-2)&lt;1,NA(),INDEX($D$8:$AD$8,($D$243-2)))</f>
        <v>0</v>
      </c>
      <c r="CP247" s="5">
        <f>IF(($D$243-1)&lt;1,NA(),INDEX($D$8:$AD$8,($D$243-1)))</f>
        <v>0</v>
      </c>
      <c r="CQ247" s="5">
        <f>IF(($D$243-0)&lt;1,NA(),INDEX($D$8:$AD$8,($D$243-0)))</f>
        <v>0</v>
      </c>
    </row>
    <row r="248" spans="1:95">
      <c r="A248" s="11" t="s">
        <v>563</v>
      </c>
      <c r="B248" s="11" t="s">
        <v>564</v>
      </c>
      <c r="C248" s="3" t="s">
        <v>137</v>
      </c>
      <c r="D248" s="5">
        <f>IF(MAX($D$249:$AD$249)=0,27,MAX($D$249:$AD$249))</f>
        <v>0</v>
      </c>
    </row>
    <row r="249" spans="1:95">
      <c r="A249" s="11" t="s">
        <v>565</v>
      </c>
      <c r="B249" s="11" t="s">
        <v>566</v>
      </c>
      <c r="C249" s="3" t="s">
        <v>137</v>
      </c>
      <c r="D249" s="5">
        <f>IF(OR(ISNUMBER(D23),ISNUMBER(D22),ISNUMBER(D21),ISNUMBER(D150),ISNUMBER(D24),ISNUMBER(D25)),1,0)</f>
        <v>0</v>
      </c>
      <c r="E249" s="5">
        <f>IF(OR(ISNUMBER(E23),ISNUMBER(E22),ISNUMBER(E21),ISNUMBER(E150),ISNUMBER(E24),ISNUMBER(E25)),2,0)</f>
        <v>0</v>
      </c>
      <c r="F249" s="5">
        <f>IF(OR(ISNUMBER(F23),ISNUMBER(F22),ISNUMBER(F21),ISNUMBER(F150),ISNUMBER(F24),ISNUMBER(F25)),3,0)</f>
        <v>0</v>
      </c>
      <c r="G249" s="5">
        <f>IF(OR(ISNUMBER(G23),ISNUMBER(G22),ISNUMBER(G21),ISNUMBER(G150),ISNUMBER(G24),ISNUMBER(G25)),4,0)</f>
        <v>0</v>
      </c>
      <c r="H249" s="5">
        <f>IF(OR(ISNUMBER(H23),ISNUMBER(H22),ISNUMBER(H21),ISNUMBER(H150),ISNUMBER(H24),ISNUMBER(H25)),5,0)</f>
        <v>0</v>
      </c>
      <c r="I249" s="5">
        <f>IF(OR(ISNUMBER(I23),ISNUMBER(I22),ISNUMBER(I21),ISNUMBER(I150),ISNUMBER(I24),ISNUMBER(I25)),6,0)</f>
        <v>0</v>
      </c>
      <c r="J249" s="5">
        <f>IF(OR(ISNUMBER(J23),ISNUMBER(J22),ISNUMBER(J21),ISNUMBER(J150),ISNUMBER(J24),ISNUMBER(J25)),7,0)</f>
        <v>0</v>
      </c>
      <c r="K249" s="5">
        <f>IF(OR(ISNUMBER(K23),ISNUMBER(K22),ISNUMBER(K21),ISNUMBER(K150),ISNUMBER(K24),ISNUMBER(K25)),8,0)</f>
        <v>0</v>
      </c>
      <c r="L249" s="5">
        <f>IF(OR(ISNUMBER(L23),ISNUMBER(L22),ISNUMBER(L21),ISNUMBER(L150),ISNUMBER(L24),ISNUMBER(L25)),9,0)</f>
        <v>0</v>
      </c>
      <c r="M249" s="5">
        <f>IF(OR(ISNUMBER(M23),ISNUMBER(M22),ISNUMBER(M21),ISNUMBER(M150),ISNUMBER(M24),ISNUMBER(M25)),10,0)</f>
        <v>0</v>
      </c>
      <c r="N249" s="5">
        <f>IF(OR(ISNUMBER(N23),ISNUMBER(N22),ISNUMBER(N21),ISNUMBER(N150),ISNUMBER(N24),ISNUMBER(N25)),11,0)</f>
        <v>0</v>
      </c>
      <c r="O249" s="5">
        <f>IF(OR(ISNUMBER(O23),ISNUMBER(O22),ISNUMBER(O21),ISNUMBER(O150),ISNUMBER(O24),ISNUMBER(O25)),12,0)</f>
        <v>0</v>
      </c>
      <c r="P249" s="5">
        <f>IF(OR(ISNUMBER(P23),ISNUMBER(P22),ISNUMBER(P21),ISNUMBER(P150),ISNUMBER(P24),ISNUMBER(P25)),13,0)</f>
        <v>0</v>
      </c>
      <c r="Q249" s="5">
        <f>IF(OR(ISNUMBER(Q23),ISNUMBER(Q22),ISNUMBER(Q21),ISNUMBER(Q150),ISNUMBER(Q24),ISNUMBER(Q25)),14,0)</f>
        <v>0</v>
      </c>
      <c r="R249" s="5">
        <f>IF(OR(ISNUMBER(R23),ISNUMBER(R22),ISNUMBER(R21),ISNUMBER(R150),ISNUMBER(R24),ISNUMBER(R25)),15,0)</f>
        <v>0</v>
      </c>
      <c r="S249" s="5">
        <f>IF(OR(ISNUMBER(S23),ISNUMBER(S22),ISNUMBER(S21),ISNUMBER(S150),ISNUMBER(S24),ISNUMBER(S25)),16,0)</f>
        <v>0</v>
      </c>
      <c r="T249" s="5">
        <f>IF(OR(ISNUMBER(T23),ISNUMBER(T22),ISNUMBER(T21),ISNUMBER(T150),ISNUMBER(T24),ISNUMBER(T25)),17,0)</f>
        <v>0</v>
      </c>
      <c r="U249" s="5">
        <f>IF(OR(ISNUMBER(U23),ISNUMBER(U22),ISNUMBER(U21),ISNUMBER(U150),ISNUMBER(U24),ISNUMBER(U25)),18,0)</f>
        <v>0</v>
      </c>
      <c r="V249" s="5">
        <f>IF(OR(ISNUMBER(V23),ISNUMBER(V22),ISNUMBER(V21),ISNUMBER(V150),ISNUMBER(V24),ISNUMBER(V25)),19,0)</f>
        <v>0</v>
      </c>
      <c r="W249" s="5">
        <f>IF(OR(ISNUMBER(W23),ISNUMBER(W22),ISNUMBER(W21),ISNUMBER(W150),ISNUMBER(W24),ISNUMBER(W25)),20,0)</f>
        <v>0</v>
      </c>
      <c r="X249" s="5">
        <f>IF(OR(ISNUMBER(X23),ISNUMBER(X22),ISNUMBER(X21),ISNUMBER(X150),ISNUMBER(X24),ISNUMBER(X25)),21,0)</f>
        <v>0</v>
      </c>
      <c r="Y249" s="5">
        <f>IF(OR(ISNUMBER(Y23),ISNUMBER(Y22),ISNUMBER(Y21),ISNUMBER(Y150),ISNUMBER(Y24),ISNUMBER(Y25)),22,0)</f>
        <v>0</v>
      </c>
      <c r="Z249" s="5">
        <f>IF(OR(ISNUMBER(Z23),ISNUMBER(Z22),ISNUMBER(Z21),ISNUMBER(Z150),ISNUMBER(Z24),ISNUMBER(Z25)),23,0)</f>
        <v>0</v>
      </c>
      <c r="AA249" s="5">
        <f>IF(OR(ISNUMBER(AA23),ISNUMBER(AA22),ISNUMBER(AA21),ISNUMBER(AA150),ISNUMBER(AA24),ISNUMBER(AA25)),24,0)</f>
        <v>0</v>
      </c>
      <c r="AB249" s="5">
        <f>IF(OR(ISNUMBER(AB23),ISNUMBER(AB22),ISNUMBER(AB21),ISNUMBER(AB150),ISNUMBER(AB24),ISNUMBER(AB25)),25,0)</f>
        <v>0</v>
      </c>
      <c r="AC249" s="5">
        <f>IF(OR(ISNUMBER(AC23),ISNUMBER(AC22),ISNUMBER(AC21),ISNUMBER(AC150),ISNUMBER(AC24),ISNUMBER(AC25)),26,0)</f>
        <v>0</v>
      </c>
      <c r="AD249" s="5">
        <f>IF(OR(ISNUMBER(AD23),ISNUMBER(AD22),ISNUMBER(AD21),ISNUMBER(AD150),ISNUMBER(AD24),ISNUMBER(AD25)),27,0)</f>
        <v>0</v>
      </c>
    </row>
    <row r="250" spans="1:95">
      <c r="A250" s="11" t="s">
        <v>567</v>
      </c>
      <c r="B250" s="11" t="s">
        <v>568</v>
      </c>
      <c r="C250" s="3" t="s">
        <v>397</v>
      </c>
      <c r="D250" s="80">
        <f>IF(MAX(IFERROR(N(INDEX(Wertstand!$A$118:$LJ$118,MATCH(INDEX($D$4:$AD$4,$D$248),RD_Kopf,0))),0),IFERROR(N(INDEX(Wertstand!$A$119:$LJ$119,MATCH(INDEX($D$4:$AD$4,$D$248),RD_Kopf,0))),0),IFERROR(N(INDEX(Wertstand!$A$120:$LJ$120,MATCH(INDEX($D$4:$AD$4,$D$248),RD_Kopf,0))),0),IFERROR(N(INDEX(Wertstand!$A$121:$LJ$121,MATCH(INDEX($D$4:$AD$4,$D$248),RD_Kopf,0))),0),IFERROR(N(INDEX(Wertstand!$A$125:$LJ$125,MATCH(INDEX($D$4:$AD$4,$D$248),RD_Kopf,0))),0))&gt;0,MAX(IFERROR(N(INDEX(Wertstand!$A$118:$LJ$118,MATCH(INDEX($D$4:$AD$4,$D$248),RD_Kopf,0))),0),IFERROR(N(INDEX(Wertstand!$A$119:$LJ$119,MATCH(INDEX($D$4:$AD$4,$D$248),RD_Kopf,0))),0),IFERROR(N(INDEX(Wertstand!$A$120:$LJ$120,MATCH(INDEX($D$4:$AD$4,$D$248),RD_Kopf,0))),0),IFERROR(N(INDEX(Wertstand!$A$121:$LJ$121,MATCH(INDEX($D$4:$AD$4,$D$248),RD_Kopf,0))),0),IFERROR(N(INDEX(Wertstand!$A$125:$LJ$125,MATCH(INDEX($D$4:$AD$4,$D$248),RD_Kopf,0))),0)),INDEX($D$4:$AD$4,$D$248))</f>
        <v>0</v>
      </c>
      <c r="E250" s="11">
        <f>"Stand: "&amp;TEXT(DAY($D$250),"00")&amp;"."&amp;TEXT(MONTH($D$250),"00")&amp;"."&amp;RIGHT(YEAR($D$250),2)</f>
        <v>0</v>
      </c>
      <c r="F250" s="11">
        <f>"Stand:"&amp;CHAR(10)&amp;TEXT(DAY($D$250),"00")&amp;"."&amp;TEXT(MONTH($D$250),"00")&amp;"."&amp;RIGHT(YEAR($D$250),2)</f>
        <v>0</v>
      </c>
    </row>
    <row r="251" spans="1:95">
      <c r="A251" s="11" t="s">
        <v>569</v>
      </c>
      <c r="B251" s="11" t="s">
        <v>570</v>
      </c>
      <c r="C251" s="3" t="s">
        <v>408</v>
      </c>
      <c r="BR251" s="11">
        <f>IF(($D$248-25)&lt;1,"",INDEX($D$3:$AD$3,($D$248-25)))</f>
        <v>0</v>
      </c>
      <c r="BS251" s="11">
        <f>IF(($D$248-24)&lt;1,"",INDEX($D$3:$AD$3,($D$248-24)))</f>
        <v>0</v>
      </c>
      <c r="BT251" s="11">
        <f>IF(($D$248-23)&lt;1,"",INDEX($D$3:$AD$3,($D$248-23)))</f>
        <v>0</v>
      </c>
      <c r="BU251" s="11">
        <f>IF(($D$248-22)&lt;1,"",INDEX($D$3:$AD$3,($D$248-22)))</f>
        <v>0</v>
      </c>
      <c r="BV251" s="11">
        <f>IF(($D$248-21)&lt;1,"",INDEX($D$3:$AD$3,($D$248-21)))</f>
        <v>0</v>
      </c>
      <c r="BW251" s="11">
        <f>IF(($D$248-20)&lt;1,"",INDEX($D$3:$AD$3,($D$248-20)))</f>
        <v>0</v>
      </c>
      <c r="BX251" s="11">
        <f>IF(($D$248-19)&lt;1,"",INDEX($D$3:$AD$3,($D$248-19)))</f>
        <v>0</v>
      </c>
      <c r="BY251" s="11">
        <f>IF(($D$248-18)&lt;1,"",INDEX($D$3:$AD$3,($D$248-18)))</f>
        <v>0</v>
      </c>
      <c r="BZ251" s="11">
        <f>IF(($D$248-17)&lt;1,"",INDEX($D$3:$AD$3,($D$248-17)))</f>
        <v>0</v>
      </c>
      <c r="CA251" s="11">
        <f>IF(($D$248-16)&lt;1,"",INDEX($D$3:$AD$3,($D$248-16)))</f>
        <v>0</v>
      </c>
      <c r="CB251" s="11">
        <f>IF(($D$248-15)&lt;1,"",INDEX($D$3:$AD$3,($D$248-15)))</f>
        <v>0</v>
      </c>
      <c r="CC251" s="11">
        <f>IF(($D$248-14)&lt;1,"",INDEX($D$3:$AD$3,($D$248-14)))</f>
        <v>0</v>
      </c>
      <c r="CD251" s="11">
        <f>IF(($D$248-13)&lt;1,"",INDEX($D$3:$AD$3,($D$248-13)))</f>
        <v>0</v>
      </c>
      <c r="CE251" s="11">
        <f>IF(($D$248-12)&lt;1,"",INDEX($D$3:$AD$3,($D$248-12)))</f>
        <v>0</v>
      </c>
      <c r="CF251" s="11">
        <f>IF(($D$248-11)&lt;1,"",INDEX($D$3:$AD$3,($D$248-11)))</f>
        <v>0</v>
      </c>
      <c r="CG251" s="11">
        <f>IF(($D$248-10)&lt;1,"",INDEX($D$3:$AD$3,($D$248-10)))</f>
        <v>0</v>
      </c>
      <c r="CH251" s="11">
        <f>IF(($D$248-9)&lt;1,"",INDEX($D$3:$AD$3,($D$248-9)))</f>
        <v>0</v>
      </c>
      <c r="CI251" s="11">
        <f>IF(($D$248-8)&lt;1,"",INDEX($D$3:$AD$3,($D$248-8)))</f>
        <v>0</v>
      </c>
      <c r="CJ251" s="11">
        <f>IF(($D$248-7)&lt;1,"",INDEX($D$3:$AD$3,($D$248-7)))</f>
        <v>0</v>
      </c>
      <c r="CK251" s="11">
        <f>IF(($D$248-6)&lt;1,"",INDEX($D$3:$AD$3,($D$248-6)))</f>
        <v>0</v>
      </c>
      <c r="CL251" s="11">
        <f>IF(($D$248-5)&lt;1,"",INDEX($D$3:$AD$3,($D$248-5)))</f>
        <v>0</v>
      </c>
      <c r="CM251" s="11">
        <f>IF(($D$248-4)&lt;1,"",INDEX($D$3:$AD$3,($D$248-4)))</f>
        <v>0</v>
      </c>
      <c r="CN251" s="11">
        <f>IF(($D$248-3)&lt;1,"",INDEX($D$3:$AD$3,($D$248-3)))</f>
        <v>0</v>
      </c>
      <c r="CO251" s="11">
        <f>IF(($D$248-2)&lt;1,"",INDEX($D$3:$AD$3,($D$248-2)))</f>
        <v>0</v>
      </c>
      <c r="CP251" s="11">
        <f>IF(($D$248-1)&lt;1,"",INDEX($D$3:$AD$3,($D$248-1)))</f>
        <v>0</v>
      </c>
      <c r="CQ251" s="11">
        <f>IF(($D$248-0)&lt;1,"",INDEX($D$3:$AD$3,($D$248-0)))</f>
        <v>0</v>
      </c>
    </row>
    <row r="252" spans="1:95">
      <c r="A252" s="11" t="s">
        <v>571</v>
      </c>
      <c r="B252" s="11" t="s">
        <v>572</v>
      </c>
      <c r="C252" s="3" t="s">
        <v>408</v>
      </c>
      <c r="BR252" s="5">
        <f>IF(($D$248-25)&lt;1,NA(),INDEX($D$23:$AD$23,($D$248-25)))</f>
        <v>0</v>
      </c>
      <c r="BS252" s="5">
        <f>IF(($D$248-24)&lt;1,NA(),INDEX($D$23:$AD$23,($D$248-24)))</f>
        <v>0</v>
      </c>
      <c r="BT252" s="5">
        <f>IF(($D$248-23)&lt;1,NA(),INDEX($D$23:$AD$23,($D$248-23)))</f>
        <v>0</v>
      </c>
      <c r="BU252" s="5">
        <f>IF(($D$248-22)&lt;1,NA(),INDEX($D$23:$AD$23,($D$248-22)))</f>
        <v>0</v>
      </c>
      <c r="BV252" s="5">
        <f>IF(($D$248-21)&lt;1,NA(),INDEX($D$23:$AD$23,($D$248-21)))</f>
        <v>0</v>
      </c>
      <c r="BW252" s="5">
        <f>IF(($D$248-20)&lt;1,NA(),INDEX($D$23:$AD$23,($D$248-20)))</f>
        <v>0</v>
      </c>
      <c r="BX252" s="5">
        <f>IF(($D$248-19)&lt;1,NA(),INDEX($D$23:$AD$23,($D$248-19)))</f>
        <v>0</v>
      </c>
      <c r="BY252" s="5">
        <f>IF(($D$248-18)&lt;1,NA(),INDEX($D$23:$AD$23,($D$248-18)))</f>
        <v>0</v>
      </c>
      <c r="BZ252" s="5">
        <f>IF(($D$248-17)&lt;1,NA(),INDEX($D$23:$AD$23,($D$248-17)))</f>
        <v>0</v>
      </c>
      <c r="CA252" s="5">
        <f>IF(($D$248-16)&lt;1,NA(),INDEX($D$23:$AD$23,($D$248-16)))</f>
        <v>0</v>
      </c>
      <c r="CB252" s="5">
        <f>IF(($D$248-15)&lt;1,NA(),INDEX($D$23:$AD$23,($D$248-15)))</f>
        <v>0</v>
      </c>
      <c r="CC252" s="5">
        <f>IF(($D$248-14)&lt;1,NA(),INDEX($D$23:$AD$23,($D$248-14)))</f>
        <v>0</v>
      </c>
      <c r="CD252" s="5">
        <f>IF(($D$248-13)&lt;1,NA(),INDEX($D$23:$AD$23,($D$248-13)))</f>
        <v>0</v>
      </c>
      <c r="CE252" s="5">
        <f>IF(($D$248-12)&lt;1,NA(),INDEX($D$23:$AD$23,($D$248-12)))</f>
        <v>0</v>
      </c>
      <c r="CF252" s="5">
        <f>IF(($D$248-11)&lt;1,NA(),INDEX($D$23:$AD$23,($D$248-11)))</f>
        <v>0</v>
      </c>
      <c r="CG252" s="5">
        <f>IF(($D$248-10)&lt;1,NA(),INDEX($D$23:$AD$23,($D$248-10)))</f>
        <v>0</v>
      </c>
      <c r="CH252" s="5">
        <f>IF(($D$248-9)&lt;1,NA(),INDEX($D$23:$AD$23,($D$248-9)))</f>
        <v>0</v>
      </c>
      <c r="CI252" s="5">
        <f>IF(($D$248-8)&lt;1,NA(),INDEX($D$23:$AD$23,($D$248-8)))</f>
        <v>0</v>
      </c>
      <c r="CJ252" s="5">
        <f>IF(($D$248-7)&lt;1,NA(),INDEX($D$23:$AD$23,($D$248-7)))</f>
        <v>0</v>
      </c>
      <c r="CK252" s="5">
        <f>IF(($D$248-6)&lt;1,NA(),INDEX($D$23:$AD$23,($D$248-6)))</f>
        <v>0</v>
      </c>
      <c r="CL252" s="5">
        <f>IF(($D$248-5)&lt;1,NA(),INDEX($D$23:$AD$23,($D$248-5)))</f>
        <v>0</v>
      </c>
      <c r="CM252" s="5">
        <f>IF(($D$248-4)&lt;1,NA(),INDEX($D$23:$AD$23,($D$248-4)))</f>
        <v>0</v>
      </c>
      <c r="CN252" s="5">
        <f>IF(($D$248-3)&lt;1,NA(),INDEX($D$23:$AD$23,($D$248-3)))</f>
        <v>0</v>
      </c>
      <c r="CO252" s="5">
        <f>IF(($D$248-2)&lt;1,NA(),INDEX($D$23:$AD$23,($D$248-2)))</f>
        <v>0</v>
      </c>
      <c r="CP252" s="5">
        <f>IF(($D$248-1)&lt;1,NA(),INDEX($D$23:$AD$23,($D$248-1)))</f>
        <v>0</v>
      </c>
      <c r="CQ252" s="5">
        <f>IF(($D$248-0)&lt;1,NA(),INDEX($D$23:$AD$23,($D$248-0)))</f>
        <v>0</v>
      </c>
    </row>
    <row r="253" spans="1:95">
      <c r="A253" s="11" t="s">
        <v>573</v>
      </c>
      <c r="B253" s="11" t="s">
        <v>574</v>
      </c>
      <c r="C253" s="3" t="s">
        <v>408</v>
      </c>
      <c r="BR253" s="5">
        <f>IF(($D$248-25)&lt;1,NA(),INDEX($D$22:$AD$22,($D$248-25)))</f>
        <v>0</v>
      </c>
      <c r="BS253" s="5">
        <f>IF(($D$248-24)&lt;1,NA(),INDEX($D$22:$AD$22,($D$248-24)))</f>
        <v>0</v>
      </c>
      <c r="BT253" s="5">
        <f>IF(($D$248-23)&lt;1,NA(),INDEX($D$22:$AD$22,($D$248-23)))</f>
        <v>0</v>
      </c>
      <c r="BU253" s="5">
        <f>IF(($D$248-22)&lt;1,NA(),INDEX($D$22:$AD$22,($D$248-22)))</f>
        <v>0</v>
      </c>
      <c r="BV253" s="5">
        <f>IF(($D$248-21)&lt;1,NA(),INDEX($D$22:$AD$22,($D$248-21)))</f>
        <v>0</v>
      </c>
      <c r="BW253" s="5">
        <f>IF(($D$248-20)&lt;1,NA(),INDEX($D$22:$AD$22,($D$248-20)))</f>
        <v>0</v>
      </c>
      <c r="BX253" s="5">
        <f>IF(($D$248-19)&lt;1,NA(),INDEX($D$22:$AD$22,($D$248-19)))</f>
        <v>0</v>
      </c>
      <c r="BY253" s="5">
        <f>IF(($D$248-18)&lt;1,NA(),INDEX($D$22:$AD$22,($D$248-18)))</f>
        <v>0</v>
      </c>
      <c r="BZ253" s="5">
        <f>IF(($D$248-17)&lt;1,NA(),INDEX($D$22:$AD$22,($D$248-17)))</f>
        <v>0</v>
      </c>
      <c r="CA253" s="5">
        <f>IF(($D$248-16)&lt;1,NA(),INDEX($D$22:$AD$22,($D$248-16)))</f>
        <v>0</v>
      </c>
      <c r="CB253" s="5">
        <f>IF(($D$248-15)&lt;1,NA(),INDEX($D$22:$AD$22,($D$248-15)))</f>
        <v>0</v>
      </c>
      <c r="CC253" s="5">
        <f>IF(($D$248-14)&lt;1,NA(),INDEX($D$22:$AD$22,($D$248-14)))</f>
        <v>0</v>
      </c>
      <c r="CD253" s="5">
        <f>IF(($D$248-13)&lt;1,NA(),INDEX($D$22:$AD$22,($D$248-13)))</f>
        <v>0</v>
      </c>
      <c r="CE253" s="5">
        <f>IF(($D$248-12)&lt;1,NA(),INDEX($D$22:$AD$22,($D$248-12)))</f>
        <v>0</v>
      </c>
      <c r="CF253" s="5">
        <f>IF(($D$248-11)&lt;1,NA(),INDEX($D$22:$AD$22,($D$248-11)))</f>
        <v>0</v>
      </c>
      <c r="CG253" s="5">
        <f>IF(($D$248-10)&lt;1,NA(),INDEX($D$22:$AD$22,($D$248-10)))</f>
        <v>0</v>
      </c>
      <c r="CH253" s="5">
        <f>IF(($D$248-9)&lt;1,NA(),INDEX($D$22:$AD$22,($D$248-9)))</f>
        <v>0</v>
      </c>
      <c r="CI253" s="5">
        <f>IF(($D$248-8)&lt;1,NA(),INDEX($D$22:$AD$22,($D$248-8)))</f>
        <v>0</v>
      </c>
      <c r="CJ253" s="5">
        <f>IF(($D$248-7)&lt;1,NA(),INDEX($D$22:$AD$22,($D$248-7)))</f>
        <v>0</v>
      </c>
      <c r="CK253" s="5">
        <f>IF(($D$248-6)&lt;1,NA(),INDEX($D$22:$AD$22,($D$248-6)))</f>
        <v>0</v>
      </c>
      <c r="CL253" s="5">
        <f>IF(($D$248-5)&lt;1,NA(),INDEX($D$22:$AD$22,($D$248-5)))</f>
        <v>0</v>
      </c>
      <c r="CM253" s="5">
        <f>IF(($D$248-4)&lt;1,NA(),INDEX($D$22:$AD$22,($D$248-4)))</f>
        <v>0</v>
      </c>
      <c r="CN253" s="5">
        <f>IF(($D$248-3)&lt;1,NA(),INDEX($D$22:$AD$22,($D$248-3)))</f>
        <v>0</v>
      </c>
      <c r="CO253" s="5">
        <f>IF(($D$248-2)&lt;1,NA(),INDEX($D$22:$AD$22,($D$248-2)))</f>
        <v>0</v>
      </c>
      <c r="CP253" s="5">
        <f>IF(($D$248-1)&lt;1,NA(),INDEX($D$22:$AD$22,($D$248-1)))</f>
        <v>0</v>
      </c>
      <c r="CQ253" s="5">
        <f>IF(($D$248-0)&lt;1,NA(),INDEX($D$22:$AD$22,($D$248-0)))</f>
        <v>0</v>
      </c>
    </row>
    <row r="254" spans="1:95">
      <c r="A254" s="11" t="s">
        <v>575</v>
      </c>
      <c r="B254" s="11" t="s">
        <v>576</v>
      </c>
      <c r="C254" s="3" t="s">
        <v>408</v>
      </c>
      <c r="BR254" s="5">
        <f>IF(($D$248-25)&lt;1,NA(),INDEX($D$21:$AD$21,($D$248-25)))</f>
        <v>0</v>
      </c>
      <c r="BS254" s="5">
        <f>IF(($D$248-24)&lt;1,NA(),INDEX($D$21:$AD$21,($D$248-24)))</f>
        <v>0</v>
      </c>
      <c r="BT254" s="5">
        <f>IF(($D$248-23)&lt;1,NA(),INDEX($D$21:$AD$21,($D$248-23)))</f>
        <v>0</v>
      </c>
      <c r="BU254" s="5">
        <f>IF(($D$248-22)&lt;1,NA(),INDEX($D$21:$AD$21,($D$248-22)))</f>
        <v>0</v>
      </c>
      <c r="BV254" s="5">
        <f>IF(($D$248-21)&lt;1,NA(),INDEX($D$21:$AD$21,($D$248-21)))</f>
        <v>0</v>
      </c>
      <c r="BW254" s="5">
        <f>IF(($D$248-20)&lt;1,NA(),INDEX($D$21:$AD$21,($D$248-20)))</f>
        <v>0</v>
      </c>
      <c r="BX254" s="5">
        <f>IF(($D$248-19)&lt;1,NA(),INDEX($D$21:$AD$21,($D$248-19)))</f>
        <v>0</v>
      </c>
      <c r="BY254" s="5">
        <f>IF(($D$248-18)&lt;1,NA(),INDEX($D$21:$AD$21,($D$248-18)))</f>
        <v>0</v>
      </c>
      <c r="BZ254" s="5">
        <f>IF(($D$248-17)&lt;1,NA(),INDEX($D$21:$AD$21,($D$248-17)))</f>
        <v>0</v>
      </c>
      <c r="CA254" s="5">
        <f>IF(($D$248-16)&lt;1,NA(),INDEX($D$21:$AD$21,($D$248-16)))</f>
        <v>0</v>
      </c>
      <c r="CB254" s="5">
        <f>IF(($D$248-15)&lt;1,NA(),INDEX($D$21:$AD$21,($D$248-15)))</f>
        <v>0</v>
      </c>
      <c r="CC254" s="5">
        <f>IF(($D$248-14)&lt;1,NA(),INDEX($D$21:$AD$21,($D$248-14)))</f>
        <v>0</v>
      </c>
      <c r="CD254" s="5">
        <f>IF(($D$248-13)&lt;1,NA(),INDEX($D$21:$AD$21,($D$248-13)))</f>
        <v>0</v>
      </c>
      <c r="CE254" s="5">
        <f>IF(($D$248-12)&lt;1,NA(),INDEX($D$21:$AD$21,($D$248-12)))</f>
        <v>0</v>
      </c>
      <c r="CF254" s="5">
        <f>IF(($D$248-11)&lt;1,NA(),INDEX($D$21:$AD$21,($D$248-11)))</f>
        <v>0</v>
      </c>
      <c r="CG254" s="5">
        <f>IF(($D$248-10)&lt;1,NA(),INDEX($D$21:$AD$21,($D$248-10)))</f>
        <v>0</v>
      </c>
      <c r="CH254" s="5">
        <f>IF(($D$248-9)&lt;1,NA(),INDEX($D$21:$AD$21,($D$248-9)))</f>
        <v>0</v>
      </c>
      <c r="CI254" s="5">
        <f>IF(($D$248-8)&lt;1,NA(),INDEX($D$21:$AD$21,($D$248-8)))</f>
        <v>0</v>
      </c>
      <c r="CJ254" s="5">
        <f>IF(($D$248-7)&lt;1,NA(),INDEX($D$21:$AD$21,($D$248-7)))</f>
        <v>0</v>
      </c>
      <c r="CK254" s="5">
        <f>IF(($D$248-6)&lt;1,NA(),INDEX($D$21:$AD$21,($D$248-6)))</f>
        <v>0</v>
      </c>
      <c r="CL254" s="5">
        <f>IF(($D$248-5)&lt;1,NA(),INDEX($D$21:$AD$21,($D$248-5)))</f>
        <v>0</v>
      </c>
      <c r="CM254" s="5">
        <f>IF(($D$248-4)&lt;1,NA(),INDEX($D$21:$AD$21,($D$248-4)))</f>
        <v>0</v>
      </c>
      <c r="CN254" s="5">
        <f>IF(($D$248-3)&lt;1,NA(),INDEX($D$21:$AD$21,($D$248-3)))</f>
        <v>0</v>
      </c>
      <c r="CO254" s="5">
        <f>IF(($D$248-2)&lt;1,NA(),INDEX($D$21:$AD$21,($D$248-2)))</f>
        <v>0</v>
      </c>
      <c r="CP254" s="5">
        <f>IF(($D$248-1)&lt;1,NA(),INDEX($D$21:$AD$21,($D$248-1)))</f>
        <v>0</v>
      </c>
      <c r="CQ254" s="5">
        <f>IF(($D$248-0)&lt;1,NA(),INDEX($D$21:$AD$21,($D$248-0)))</f>
        <v>0</v>
      </c>
    </row>
    <row r="255" spans="1:95">
      <c r="A255" s="11" t="s">
        <v>577</v>
      </c>
      <c r="B255" s="11" t="s">
        <v>578</v>
      </c>
      <c r="C255" s="3" t="s">
        <v>408</v>
      </c>
      <c r="BR255" s="5">
        <f>IF(($D$248-25)&lt;1,NA(),INDEX($D$150:$AD$150,($D$248-25)))</f>
        <v>0</v>
      </c>
      <c r="BS255" s="5">
        <f>IF(($D$248-24)&lt;1,NA(),INDEX($D$150:$AD$150,($D$248-24)))</f>
        <v>0</v>
      </c>
      <c r="BT255" s="5">
        <f>IF(($D$248-23)&lt;1,NA(),INDEX($D$150:$AD$150,($D$248-23)))</f>
        <v>0</v>
      </c>
      <c r="BU255" s="5">
        <f>IF(($D$248-22)&lt;1,NA(),INDEX($D$150:$AD$150,($D$248-22)))</f>
        <v>0</v>
      </c>
      <c r="BV255" s="5">
        <f>IF(($D$248-21)&lt;1,NA(),INDEX($D$150:$AD$150,($D$248-21)))</f>
        <v>0</v>
      </c>
      <c r="BW255" s="5">
        <f>IF(($D$248-20)&lt;1,NA(),INDEX($D$150:$AD$150,($D$248-20)))</f>
        <v>0</v>
      </c>
      <c r="BX255" s="5">
        <f>IF(($D$248-19)&lt;1,NA(),INDEX($D$150:$AD$150,($D$248-19)))</f>
        <v>0</v>
      </c>
      <c r="BY255" s="5">
        <f>IF(($D$248-18)&lt;1,NA(),INDEX($D$150:$AD$150,($D$248-18)))</f>
        <v>0</v>
      </c>
      <c r="BZ255" s="5">
        <f>IF(($D$248-17)&lt;1,NA(),INDEX($D$150:$AD$150,($D$248-17)))</f>
        <v>0</v>
      </c>
      <c r="CA255" s="5">
        <f>IF(($D$248-16)&lt;1,NA(),INDEX($D$150:$AD$150,($D$248-16)))</f>
        <v>0</v>
      </c>
      <c r="CB255" s="5">
        <f>IF(($D$248-15)&lt;1,NA(),INDEX($D$150:$AD$150,($D$248-15)))</f>
        <v>0</v>
      </c>
      <c r="CC255" s="5">
        <f>IF(($D$248-14)&lt;1,NA(),INDEX($D$150:$AD$150,($D$248-14)))</f>
        <v>0</v>
      </c>
      <c r="CD255" s="5">
        <f>IF(($D$248-13)&lt;1,NA(),INDEX($D$150:$AD$150,($D$248-13)))</f>
        <v>0</v>
      </c>
      <c r="CE255" s="5">
        <f>IF(($D$248-12)&lt;1,NA(),INDEX($D$150:$AD$150,($D$248-12)))</f>
        <v>0</v>
      </c>
      <c r="CF255" s="5">
        <f>IF(($D$248-11)&lt;1,NA(),INDEX($D$150:$AD$150,($D$248-11)))</f>
        <v>0</v>
      </c>
      <c r="CG255" s="5">
        <f>IF(($D$248-10)&lt;1,NA(),INDEX($D$150:$AD$150,($D$248-10)))</f>
        <v>0</v>
      </c>
      <c r="CH255" s="5">
        <f>IF(($D$248-9)&lt;1,NA(),INDEX($D$150:$AD$150,($D$248-9)))</f>
        <v>0</v>
      </c>
      <c r="CI255" s="5">
        <f>IF(($D$248-8)&lt;1,NA(),INDEX($D$150:$AD$150,($D$248-8)))</f>
        <v>0</v>
      </c>
      <c r="CJ255" s="5">
        <f>IF(($D$248-7)&lt;1,NA(),INDEX($D$150:$AD$150,($D$248-7)))</f>
        <v>0</v>
      </c>
      <c r="CK255" s="5">
        <f>IF(($D$248-6)&lt;1,NA(),INDEX($D$150:$AD$150,($D$248-6)))</f>
        <v>0</v>
      </c>
      <c r="CL255" s="5">
        <f>IF(($D$248-5)&lt;1,NA(),INDEX($D$150:$AD$150,($D$248-5)))</f>
        <v>0</v>
      </c>
      <c r="CM255" s="5">
        <f>IF(($D$248-4)&lt;1,NA(),INDEX($D$150:$AD$150,($D$248-4)))</f>
        <v>0</v>
      </c>
      <c r="CN255" s="5">
        <f>IF(($D$248-3)&lt;1,NA(),INDEX($D$150:$AD$150,($D$248-3)))</f>
        <v>0</v>
      </c>
      <c r="CO255" s="5">
        <f>IF(($D$248-2)&lt;1,NA(),INDEX($D$150:$AD$150,($D$248-2)))</f>
        <v>0</v>
      </c>
      <c r="CP255" s="5">
        <f>IF(($D$248-1)&lt;1,NA(),INDEX($D$150:$AD$150,($D$248-1)))</f>
        <v>0</v>
      </c>
      <c r="CQ255" s="5">
        <f>IF(($D$248-0)&lt;1,NA(),INDEX($D$150:$AD$150,($D$248-0)))</f>
        <v>0</v>
      </c>
    </row>
    <row r="256" spans="1:95">
      <c r="A256" s="11" t="s">
        <v>579</v>
      </c>
      <c r="B256" s="11" t="s">
        <v>580</v>
      </c>
      <c r="C256" s="3" t="s">
        <v>408</v>
      </c>
      <c r="BR256" s="11">
        <f>IF(($D$248-25)&lt;1,"",INDEX($D$149:$AD$149,($D$248-25)))</f>
        <v>0</v>
      </c>
      <c r="BS256" s="11">
        <f>IF(($D$248-24)&lt;1,"",INDEX($D$149:$AD$149,($D$248-24)))</f>
        <v>0</v>
      </c>
      <c r="BT256" s="11">
        <f>IF(($D$248-23)&lt;1,"",INDEX($D$149:$AD$149,($D$248-23)))</f>
        <v>0</v>
      </c>
      <c r="BU256" s="11">
        <f>IF(($D$248-22)&lt;1,"",INDEX($D$149:$AD$149,($D$248-22)))</f>
        <v>0</v>
      </c>
      <c r="BV256" s="11">
        <f>IF(($D$248-21)&lt;1,"",INDEX($D$149:$AD$149,($D$248-21)))</f>
        <v>0</v>
      </c>
      <c r="BW256" s="11">
        <f>IF(($D$248-20)&lt;1,"",INDEX($D$149:$AD$149,($D$248-20)))</f>
        <v>0</v>
      </c>
      <c r="BX256" s="11">
        <f>IF(($D$248-19)&lt;1,"",INDEX($D$149:$AD$149,($D$248-19)))</f>
        <v>0</v>
      </c>
      <c r="BY256" s="11">
        <f>IF(($D$248-18)&lt;1,"",INDEX($D$149:$AD$149,($D$248-18)))</f>
        <v>0</v>
      </c>
      <c r="BZ256" s="11">
        <f>IF(($D$248-17)&lt;1,"",INDEX($D$149:$AD$149,($D$248-17)))</f>
        <v>0</v>
      </c>
      <c r="CA256" s="11">
        <f>IF(($D$248-16)&lt;1,"",INDEX($D$149:$AD$149,($D$248-16)))</f>
        <v>0</v>
      </c>
      <c r="CB256" s="11">
        <f>IF(($D$248-15)&lt;1,"",INDEX($D$149:$AD$149,($D$248-15)))</f>
        <v>0</v>
      </c>
      <c r="CC256" s="11">
        <f>IF(($D$248-14)&lt;1,"",INDEX($D$149:$AD$149,($D$248-14)))</f>
        <v>0</v>
      </c>
      <c r="CD256" s="11">
        <f>IF(($D$248-13)&lt;1,"",INDEX($D$149:$AD$149,($D$248-13)))</f>
        <v>0</v>
      </c>
      <c r="CE256" s="11">
        <f>IF(($D$248-12)&lt;1,"",INDEX($D$149:$AD$149,($D$248-12)))</f>
        <v>0</v>
      </c>
      <c r="CF256" s="11">
        <f>IF(($D$248-11)&lt;1,"",INDEX($D$149:$AD$149,($D$248-11)))</f>
        <v>0</v>
      </c>
      <c r="CG256" s="11">
        <f>IF(($D$248-10)&lt;1,"",INDEX($D$149:$AD$149,($D$248-10)))</f>
        <v>0</v>
      </c>
      <c r="CH256" s="11">
        <f>IF(($D$248-9)&lt;1,"",INDEX($D$149:$AD$149,($D$248-9)))</f>
        <v>0</v>
      </c>
      <c r="CI256" s="11">
        <f>IF(($D$248-8)&lt;1,"",INDEX($D$149:$AD$149,($D$248-8)))</f>
        <v>0</v>
      </c>
      <c r="CJ256" s="11">
        <f>IF(($D$248-7)&lt;1,"",INDEX($D$149:$AD$149,($D$248-7)))</f>
        <v>0</v>
      </c>
      <c r="CK256" s="11">
        <f>IF(($D$248-6)&lt;1,"",INDEX($D$149:$AD$149,($D$248-6)))</f>
        <v>0</v>
      </c>
      <c r="CL256" s="11">
        <f>IF(($D$248-5)&lt;1,"",INDEX($D$149:$AD$149,($D$248-5)))</f>
        <v>0</v>
      </c>
      <c r="CM256" s="11">
        <f>IF(($D$248-4)&lt;1,"",INDEX($D$149:$AD$149,($D$248-4)))</f>
        <v>0</v>
      </c>
      <c r="CN256" s="11">
        <f>IF(($D$248-3)&lt;1,"",INDEX($D$149:$AD$149,($D$248-3)))</f>
        <v>0</v>
      </c>
      <c r="CO256" s="11">
        <f>IF(($D$248-2)&lt;1,"",INDEX($D$149:$AD$149,($D$248-2)))</f>
        <v>0</v>
      </c>
      <c r="CP256" s="11">
        <f>IF(($D$248-1)&lt;1,"",INDEX($D$149:$AD$149,($D$248-1)))</f>
        <v>0</v>
      </c>
      <c r="CQ256" s="11">
        <f>IF(($D$248-0)&lt;1,"",INDEX($D$149:$AD$149,($D$248-0)))</f>
        <v>0</v>
      </c>
    </row>
    <row r="257" spans="1:95">
      <c r="A257" s="11" t="s">
        <v>581</v>
      </c>
      <c r="B257" s="11" t="s">
        <v>582</v>
      </c>
      <c r="C257" s="3" t="s">
        <v>134</v>
      </c>
      <c r="D257" s="5">
        <v>10</v>
      </c>
    </row>
    <row r="258" spans="1:95">
      <c r="A258" s="11" t="s">
        <v>583</v>
      </c>
      <c r="B258" s="11" t="s">
        <v>584</v>
      </c>
      <c r="C258" s="3" t="s">
        <v>137</v>
      </c>
      <c r="D258" s="5">
        <f>IF(ISNUMBER(D24),D24/MAX(1,_xlfn.AGGREGATE(4,6,INDEX($D$24:$AD$24,MAX(1,$D$248+1-$D$257)):INDEX($D$24:$AD$24,$D$248)),_xlfn.AGGREGATE(4,6,INDEX($D$25:$AD$25,MAX(1,$D$248+1-$D$257)):INDEX($D$25:$AD$25,$D$248))),NA())</f>
        <v>0</v>
      </c>
      <c r="E258" s="5">
        <f>IF(ISNUMBER(E24),E24/MAX(1,_xlfn.AGGREGATE(4,6,INDEX($D$24:$AD$24,MAX(1,$D$248+1-$D$257)):INDEX($D$24:$AD$24,$D$248)),_xlfn.AGGREGATE(4,6,INDEX($D$25:$AD$25,MAX(1,$D$248+1-$D$257)):INDEX($D$25:$AD$25,$D$248))),NA())</f>
        <v>0</v>
      </c>
      <c r="F258" s="5">
        <f>IF(ISNUMBER(F24),F24/MAX(1,_xlfn.AGGREGATE(4,6,INDEX($D$24:$AD$24,MAX(1,$D$248+1-$D$257)):INDEX($D$24:$AD$24,$D$248)),_xlfn.AGGREGATE(4,6,INDEX($D$25:$AD$25,MAX(1,$D$248+1-$D$257)):INDEX($D$25:$AD$25,$D$248))),NA())</f>
        <v>0</v>
      </c>
      <c r="G258" s="5">
        <f>IF(ISNUMBER(G24),G24/MAX(1,_xlfn.AGGREGATE(4,6,INDEX($D$24:$AD$24,MAX(1,$D$248+1-$D$257)):INDEX($D$24:$AD$24,$D$248)),_xlfn.AGGREGATE(4,6,INDEX($D$25:$AD$25,MAX(1,$D$248+1-$D$257)):INDEX($D$25:$AD$25,$D$248))),NA())</f>
        <v>0</v>
      </c>
      <c r="H258" s="5">
        <f>IF(ISNUMBER(H24),H24/MAX(1,_xlfn.AGGREGATE(4,6,INDEX($D$24:$AD$24,MAX(1,$D$248+1-$D$257)):INDEX($D$24:$AD$24,$D$248)),_xlfn.AGGREGATE(4,6,INDEX($D$25:$AD$25,MAX(1,$D$248+1-$D$257)):INDEX($D$25:$AD$25,$D$248))),NA())</f>
        <v>0</v>
      </c>
      <c r="I258" s="5">
        <f>IF(ISNUMBER(I24),I24/MAX(1,_xlfn.AGGREGATE(4,6,INDEX($D$24:$AD$24,MAX(1,$D$248+1-$D$257)):INDEX($D$24:$AD$24,$D$248)),_xlfn.AGGREGATE(4,6,INDEX($D$25:$AD$25,MAX(1,$D$248+1-$D$257)):INDEX($D$25:$AD$25,$D$248))),NA())</f>
        <v>0</v>
      </c>
      <c r="J258" s="5">
        <f>IF(ISNUMBER(J24),J24/MAX(1,_xlfn.AGGREGATE(4,6,INDEX($D$24:$AD$24,MAX(1,$D$248+1-$D$257)):INDEX($D$24:$AD$24,$D$248)),_xlfn.AGGREGATE(4,6,INDEX($D$25:$AD$25,MAX(1,$D$248+1-$D$257)):INDEX($D$25:$AD$25,$D$248))),NA())</f>
        <v>0</v>
      </c>
      <c r="K258" s="5">
        <f>IF(ISNUMBER(K24),K24/MAX(1,_xlfn.AGGREGATE(4,6,INDEX($D$24:$AD$24,MAX(1,$D$248+1-$D$257)):INDEX($D$24:$AD$24,$D$248)),_xlfn.AGGREGATE(4,6,INDEX($D$25:$AD$25,MAX(1,$D$248+1-$D$257)):INDEX($D$25:$AD$25,$D$248))),NA())</f>
        <v>0</v>
      </c>
      <c r="L258" s="5">
        <f>IF(ISNUMBER(L24),L24/MAX(1,_xlfn.AGGREGATE(4,6,INDEX($D$24:$AD$24,MAX(1,$D$248+1-$D$257)):INDEX($D$24:$AD$24,$D$248)),_xlfn.AGGREGATE(4,6,INDEX($D$25:$AD$25,MAX(1,$D$248+1-$D$257)):INDEX($D$25:$AD$25,$D$248))),NA())</f>
        <v>0</v>
      </c>
      <c r="M258" s="5">
        <f>IF(ISNUMBER(M24),M24/MAX(1,_xlfn.AGGREGATE(4,6,INDEX($D$24:$AD$24,MAX(1,$D$248+1-$D$257)):INDEX($D$24:$AD$24,$D$248)),_xlfn.AGGREGATE(4,6,INDEX($D$25:$AD$25,MAX(1,$D$248+1-$D$257)):INDEX($D$25:$AD$25,$D$248))),NA())</f>
        <v>0</v>
      </c>
      <c r="N258" s="5">
        <f>IF(ISNUMBER(N24),N24/MAX(1,_xlfn.AGGREGATE(4,6,INDEX($D$24:$AD$24,MAX(1,$D$248+1-$D$257)):INDEX($D$24:$AD$24,$D$248)),_xlfn.AGGREGATE(4,6,INDEX($D$25:$AD$25,MAX(1,$D$248+1-$D$257)):INDEX($D$25:$AD$25,$D$248))),NA())</f>
        <v>0</v>
      </c>
      <c r="O258" s="5">
        <f>IF(ISNUMBER(O24),O24/MAX(1,_xlfn.AGGREGATE(4,6,INDEX($D$24:$AD$24,MAX(1,$D$248+1-$D$257)):INDEX($D$24:$AD$24,$D$248)),_xlfn.AGGREGATE(4,6,INDEX($D$25:$AD$25,MAX(1,$D$248+1-$D$257)):INDEX($D$25:$AD$25,$D$248))),NA())</f>
        <v>0</v>
      </c>
      <c r="P258" s="5">
        <f>IF(ISNUMBER(P24),P24/MAX(1,_xlfn.AGGREGATE(4,6,INDEX($D$24:$AD$24,MAX(1,$D$248+1-$D$257)):INDEX($D$24:$AD$24,$D$248)),_xlfn.AGGREGATE(4,6,INDEX($D$25:$AD$25,MAX(1,$D$248+1-$D$257)):INDEX($D$25:$AD$25,$D$248))),NA())</f>
        <v>0</v>
      </c>
      <c r="Q258" s="5">
        <f>IF(ISNUMBER(Q24),Q24/MAX(1,_xlfn.AGGREGATE(4,6,INDEX($D$24:$AD$24,MAX(1,$D$248+1-$D$257)):INDEX($D$24:$AD$24,$D$248)),_xlfn.AGGREGATE(4,6,INDEX($D$25:$AD$25,MAX(1,$D$248+1-$D$257)):INDEX($D$25:$AD$25,$D$248))),NA())</f>
        <v>0</v>
      </c>
      <c r="R258" s="5">
        <f>IF(ISNUMBER(R24),R24/MAX(1,_xlfn.AGGREGATE(4,6,INDEX($D$24:$AD$24,MAX(1,$D$248+1-$D$257)):INDEX($D$24:$AD$24,$D$248)),_xlfn.AGGREGATE(4,6,INDEX($D$25:$AD$25,MAX(1,$D$248+1-$D$257)):INDEX($D$25:$AD$25,$D$248))),NA())</f>
        <v>0</v>
      </c>
      <c r="S258" s="5">
        <f>IF(ISNUMBER(S24),S24/MAX(1,_xlfn.AGGREGATE(4,6,INDEX($D$24:$AD$24,MAX(1,$D$248+1-$D$257)):INDEX($D$24:$AD$24,$D$248)),_xlfn.AGGREGATE(4,6,INDEX($D$25:$AD$25,MAX(1,$D$248+1-$D$257)):INDEX($D$25:$AD$25,$D$248))),NA())</f>
        <v>0</v>
      </c>
      <c r="T258" s="5">
        <f>IF(ISNUMBER(T24),T24/MAX(1,_xlfn.AGGREGATE(4,6,INDEX($D$24:$AD$24,MAX(1,$D$248+1-$D$257)):INDEX($D$24:$AD$24,$D$248)),_xlfn.AGGREGATE(4,6,INDEX($D$25:$AD$25,MAX(1,$D$248+1-$D$257)):INDEX($D$25:$AD$25,$D$248))),NA())</f>
        <v>0</v>
      </c>
      <c r="U258" s="5">
        <f>IF(ISNUMBER(U24),U24/MAX(1,_xlfn.AGGREGATE(4,6,INDEX($D$24:$AD$24,MAX(1,$D$248+1-$D$257)):INDEX($D$24:$AD$24,$D$248)),_xlfn.AGGREGATE(4,6,INDEX($D$25:$AD$25,MAX(1,$D$248+1-$D$257)):INDEX($D$25:$AD$25,$D$248))),NA())</f>
        <v>0</v>
      </c>
      <c r="V258" s="5">
        <f>IF(ISNUMBER(V24),V24/MAX(1,_xlfn.AGGREGATE(4,6,INDEX($D$24:$AD$24,MAX(1,$D$248+1-$D$257)):INDEX($D$24:$AD$24,$D$248)),_xlfn.AGGREGATE(4,6,INDEX($D$25:$AD$25,MAX(1,$D$248+1-$D$257)):INDEX($D$25:$AD$25,$D$248))),NA())</f>
        <v>0</v>
      </c>
      <c r="W258" s="5">
        <f>IF(ISNUMBER(W24),W24/MAX(1,_xlfn.AGGREGATE(4,6,INDEX($D$24:$AD$24,MAX(1,$D$248+1-$D$257)):INDEX($D$24:$AD$24,$D$248)),_xlfn.AGGREGATE(4,6,INDEX($D$25:$AD$25,MAX(1,$D$248+1-$D$257)):INDEX($D$25:$AD$25,$D$248))),NA())</f>
        <v>0</v>
      </c>
      <c r="X258" s="5">
        <f>IF(ISNUMBER(X24),X24/MAX(1,_xlfn.AGGREGATE(4,6,INDEX($D$24:$AD$24,MAX(1,$D$248+1-$D$257)):INDEX($D$24:$AD$24,$D$248)),_xlfn.AGGREGATE(4,6,INDEX($D$25:$AD$25,MAX(1,$D$248+1-$D$257)):INDEX($D$25:$AD$25,$D$248))),NA())</f>
        <v>0</v>
      </c>
      <c r="Y258" s="5">
        <f>IF(ISNUMBER(Y24),Y24/MAX(1,_xlfn.AGGREGATE(4,6,INDEX($D$24:$AD$24,MAX(1,$D$248+1-$D$257)):INDEX($D$24:$AD$24,$D$248)),_xlfn.AGGREGATE(4,6,INDEX($D$25:$AD$25,MAX(1,$D$248+1-$D$257)):INDEX($D$25:$AD$25,$D$248))),NA())</f>
        <v>0</v>
      </c>
      <c r="Z258" s="5">
        <f>IF(ISNUMBER(Z24),Z24/MAX(1,_xlfn.AGGREGATE(4,6,INDEX($D$24:$AD$24,MAX(1,$D$248+1-$D$257)):INDEX($D$24:$AD$24,$D$248)),_xlfn.AGGREGATE(4,6,INDEX($D$25:$AD$25,MAX(1,$D$248+1-$D$257)):INDEX($D$25:$AD$25,$D$248))),NA())</f>
        <v>0</v>
      </c>
      <c r="AA258" s="5">
        <f>IF(ISNUMBER(AA24),AA24/MAX(1,_xlfn.AGGREGATE(4,6,INDEX($D$24:$AD$24,MAX(1,$D$248+1-$D$257)):INDEX($D$24:$AD$24,$D$248)),_xlfn.AGGREGATE(4,6,INDEX($D$25:$AD$25,MAX(1,$D$248+1-$D$257)):INDEX($D$25:$AD$25,$D$248))),NA())</f>
        <v>0</v>
      </c>
      <c r="AB258" s="5">
        <f>IF(ISNUMBER(AB24),AB24/MAX(1,_xlfn.AGGREGATE(4,6,INDEX($D$24:$AD$24,MAX(1,$D$248+1-$D$257)):INDEX($D$24:$AD$24,$D$248)),_xlfn.AGGREGATE(4,6,INDEX($D$25:$AD$25,MAX(1,$D$248+1-$D$257)):INDEX($D$25:$AD$25,$D$248))),NA())</f>
        <v>0</v>
      </c>
      <c r="AC258" s="5">
        <f>IF(ISNUMBER(AC24),AC24/MAX(1,_xlfn.AGGREGATE(4,6,INDEX($D$24:$AD$24,MAX(1,$D$248+1-$D$257)):INDEX($D$24:$AD$24,$D$248)),_xlfn.AGGREGATE(4,6,INDEX($D$25:$AD$25,MAX(1,$D$248+1-$D$257)):INDEX($D$25:$AD$25,$D$248))),NA())</f>
        <v>0</v>
      </c>
      <c r="AD258" s="5">
        <f>IF(ISNUMBER(AD24),AD24/MAX(1,_xlfn.AGGREGATE(4,6,INDEX($D$24:$AD$24,MAX(1,$D$248+1-$D$257)):INDEX($D$24:$AD$24,$D$248)),_xlfn.AGGREGATE(4,6,INDEX($D$25:$AD$25,MAX(1,$D$248+1-$D$257)):INDEX($D$25:$AD$25,$D$248))),NA())</f>
        <v>0</v>
      </c>
    </row>
    <row r="259" spans="1:95">
      <c r="A259" s="11" t="s">
        <v>585</v>
      </c>
      <c r="B259" s="11" t="s">
        <v>586</v>
      </c>
      <c r="C259" s="3" t="s">
        <v>137</v>
      </c>
      <c r="D259" s="11">
        <f>IF(ISNUMBER(D24),FIXED(D24,0)&amp;REPT(_xlfn.UNICHAR(160),3),"")</f>
        <v>0</v>
      </c>
      <c r="E259" s="11">
        <f>IF(ISNUMBER(E24),FIXED(E24,0)&amp;REPT(_xlfn.UNICHAR(160),3),"")</f>
        <v>0</v>
      </c>
      <c r="F259" s="11">
        <f>IF(ISNUMBER(F24),FIXED(F24,0)&amp;REPT(_xlfn.UNICHAR(160),3),"")</f>
        <v>0</v>
      </c>
      <c r="G259" s="11">
        <f>IF(ISNUMBER(G24),FIXED(G24,0)&amp;REPT(_xlfn.UNICHAR(160),3),"")</f>
        <v>0</v>
      </c>
      <c r="H259" s="11">
        <f>IF(ISNUMBER(H24),FIXED(H24,0)&amp;REPT(_xlfn.UNICHAR(160),3),"")</f>
        <v>0</v>
      </c>
      <c r="I259" s="11">
        <f>IF(ISNUMBER(I24),FIXED(I24,0)&amp;REPT(_xlfn.UNICHAR(160),3),"")</f>
        <v>0</v>
      </c>
      <c r="J259" s="11">
        <f>IF(ISNUMBER(J24),FIXED(J24,0)&amp;REPT(_xlfn.UNICHAR(160),3),"")</f>
        <v>0</v>
      </c>
      <c r="K259" s="11">
        <f>IF(ISNUMBER(K24),FIXED(K24,0)&amp;REPT(_xlfn.UNICHAR(160),3),"")</f>
        <v>0</v>
      </c>
      <c r="L259" s="11">
        <f>IF(ISNUMBER(L24),FIXED(L24,0)&amp;REPT(_xlfn.UNICHAR(160),3),"")</f>
        <v>0</v>
      </c>
      <c r="M259" s="11">
        <f>IF(ISNUMBER(M24),FIXED(M24,0)&amp;REPT(_xlfn.UNICHAR(160),3),"")</f>
        <v>0</v>
      </c>
      <c r="N259" s="11">
        <f>IF(ISNUMBER(N24),FIXED(N24,0)&amp;REPT(_xlfn.UNICHAR(160),3),"")</f>
        <v>0</v>
      </c>
      <c r="O259" s="11">
        <f>IF(ISNUMBER(O24),FIXED(O24,0)&amp;REPT(_xlfn.UNICHAR(160),3),"")</f>
        <v>0</v>
      </c>
      <c r="P259" s="11">
        <f>IF(ISNUMBER(P24),FIXED(P24,0)&amp;REPT(_xlfn.UNICHAR(160),3),"")</f>
        <v>0</v>
      </c>
      <c r="Q259" s="11">
        <f>IF(ISNUMBER(Q24),FIXED(Q24,0)&amp;REPT(_xlfn.UNICHAR(160),3),"")</f>
        <v>0</v>
      </c>
      <c r="R259" s="11">
        <f>IF(ISNUMBER(R24),FIXED(R24,0)&amp;REPT(_xlfn.UNICHAR(160),3),"")</f>
        <v>0</v>
      </c>
      <c r="S259" s="11">
        <f>IF(ISNUMBER(S24),FIXED(S24,0)&amp;REPT(_xlfn.UNICHAR(160),3),"")</f>
        <v>0</v>
      </c>
      <c r="T259" s="11">
        <f>IF(ISNUMBER(T24),FIXED(T24,0)&amp;REPT(_xlfn.UNICHAR(160),3),"")</f>
        <v>0</v>
      </c>
      <c r="U259" s="11">
        <f>IF(ISNUMBER(U24),FIXED(U24,0)&amp;REPT(_xlfn.UNICHAR(160),3),"")</f>
        <v>0</v>
      </c>
      <c r="V259" s="11">
        <f>IF(ISNUMBER(V24),FIXED(V24,0)&amp;REPT(_xlfn.UNICHAR(160),3),"")</f>
        <v>0</v>
      </c>
      <c r="W259" s="11">
        <f>IF(ISNUMBER(W24),FIXED(W24,0)&amp;REPT(_xlfn.UNICHAR(160),3),"")</f>
        <v>0</v>
      </c>
      <c r="X259" s="11">
        <f>IF(ISNUMBER(X24),FIXED(X24,0)&amp;REPT(_xlfn.UNICHAR(160),3),"")</f>
        <v>0</v>
      </c>
      <c r="Y259" s="11">
        <f>IF(ISNUMBER(Y24),FIXED(Y24,0)&amp;REPT(_xlfn.UNICHAR(160),3),"")</f>
        <v>0</v>
      </c>
      <c r="Z259" s="11">
        <f>IF(ISNUMBER(Z24),FIXED(Z24,0)&amp;REPT(_xlfn.UNICHAR(160),3),"")</f>
        <v>0</v>
      </c>
      <c r="AA259" s="11">
        <f>IF(ISNUMBER(AA24),FIXED(AA24,0)&amp;REPT(_xlfn.UNICHAR(160),3),"")</f>
        <v>0</v>
      </c>
      <c r="AB259" s="11">
        <f>IF(ISNUMBER(AB24),FIXED(AB24,0)&amp;REPT(_xlfn.UNICHAR(160),3),"")</f>
        <v>0</v>
      </c>
      <c r="AC259" s="11">
        <f>IF(ISNUMBER(AC24),FIXED(AC24,0)&amp;REPT(_xlfn.UNICHAR(160),3),"")</f>
        <v>0</v>
      </c>
      <c r="AD259" s="11">
        <f>IF(ISNUMBER(AD24),FIXED(AD24,0)&amp;REPT(_xlfn.UNICHAR(160),3),"")</f>
        <v>0</v>
      </c>
    </row>
    <row r="260" spans="1:95">
      <c r="A260" s="11" t="s">
        <v>587</v>
      </c>
      <c r="B260" s="11" t="s">
        <v>588</v>
      </c>
      <c r="C260" s="3" t="s">
        <v>137</v>
      </c>
      <c r="D260" s="5">
        <f>IF(ISNUMBER(D25),D25/MAX(1,_xlfn.AGGREGATE(4,6,INDEX($D$24:$AD$24,MAX(1,$D$248+1-$D$257)):INDEX($D$24:$AD$24,$D$248)),_xlfn.AGGREGATE(4,6,INDEX($D$25:$AD$25,MAX(1,$D$248+1-$D$257)):INDEX($D$25:$AD$25,$D$248))),NA())</f>
        <v>0</v>
      </c>
      <c r="E260" s="5">
        <f>IF(ISNUMBER(E25),E25/MAX(1,_xlfn.AGGREGATE(4,6,INDEX($D$24:$AD$24,MAX(1,$D$248+1-$D$257)):INDEX($D$24:$AD$24,$D$248)),_xlfn.AGGREGATE(4,6,INDEX($D$25:$AD$25,MAX(1,$D$248+1-$D$257)):INDEX($D$25:$AD$25,$D$248))),NA())</f>
        <v>0</v>
      </c>
      <c r="F260" s="5">
        <f>IF(ISNUMBER(F25),F25/MAX(1,_xlfn.AGGREGATE(4,6,INDEX($D$24:$AD$24,MAX(1,$D$248+1-$D$257)):INDEX($D$24:$AD$24,$D$248)),_xlfn.AGGREGATE(4,6,INDEX($D$25:$AD$25,MAX(1,$D$248+1-$D$257)):INDEX($D$25:$AD$25,$D$248))),NA())</f>
        <v>0</v>
      </c>
      <c r="G260" s="5">
        <f>IF(ISNUMBER(G25),G25/MAX(1,_xlfn.AGGREGATE(4,6,INDEX($D$24:$AD$24,MAX(1,$D$248+1-$D$257)):INDEX($D$24:$AD$24,$D$248)),_xlfn.AGGREGATE(4,6,INDEX($D$25:$AD$25,MAX(1,$D$248+1-$D$257)):INDEX($D$25:$AD$25,$D$248))),NA())</f>
        <v>0</v>
      </c>
      <c r="H260" s="5">
        <f>IF(ISNUMBER(H25),H25/MAX(1,_xlfn.AGGREGATE(4,6,INDEX($D$24:$AD$24,MAX(1,$D$248+1-$D$257)):INDEX($D$24:$AD$24,$D$248)),_xlfn.AGGREGATE(4,6,INDEX($D$25:$AD$25,MAX(1,$D$248+1-$D$257)):INDEX($D$25:$AD$25,$D$248))),NA())</f>
        <v>0</v>
      </c>
      <c r="I260" s="5">
        <f>IF(ISNUMBER(I25),I25/MAX(1,_xlfn.AGGREGATE(4,6,INDEX($D$24:$AD$24,MAX(1,$D$248+1-$D$257)):INDEX($D$24:$AD$24,$D$248)),_xlfn.AGGREGATE(4,6,INDEX($D$25:$AD$25,MAX(1,$D$248+1-$D$257)):INDEX($D$25:$AD$25,$D$248))),NA())</f>
        <v>0</v>
      </c>
      <c r="J260" s="5">
        <f>IF(ISNUMBER(J25),J25/MAX(1,_xlfn.AGGREGATE(4,6,INDEX($D$24:$AD$24,MAX(1,$D$248+1-$D$257)):INDEX($D$24:$AD$24,$D$248)),_xlfn.AGGREGATE(4,6,INDEX($D$25:$AD$25,MAX(1,$D$248+1-$D$257)):INDEX($D$25:$AD$25,$D$248))),NA())</f>
        <v>0</v>
      </c>
      <c r="K260" s="5">
        <f>IF(ISNUMBER(K25),K25/MAX(1,_xlfn.AGGREGATE(4,6,INDEX($D$24:$AD$24,MAX(1,$D$248+1-$D$257)):INDEX($D$24:$AD$24,$D$248)),_xlfn.AGGREGATE(4,6,INDEX($D$25:$AD$25,MAX(1,$D$248+1-$D$257)):INDEX($D$25:$AD$25,$D$248))),NA())</f>
        <v>0</v>
      </c>
      <c r="L260" s="5">
        <f>IF(ISNUMBER(L25),L25/MAX(1,_xlfn.AGGREGATE(4,6,INDEX($D$24:$AD$24,MAX(1,$D$248+1-$D$257)):INDEX($D$24:$AD$24,$D$248)),_xlfn.AGGREGATE(4,6,INDEX($D$25:$AD$25,MAX(1,$D$248+1-$D$257)):INDEX($D$25:$AD$25,$D$248))),NA())</f>
        <v>0</v>
      </c>
      <c r="M260" s="5">
        <f>IF(ISNUMBER(M25),M25/MAX(1,_xlfn.AGGREGATE(4,6,INDEX($D$24:$AD$24,MAX(1,$D$248+1-$D$257)):INDEX($D$24:$AD$24,$D$248)),_xlfn.AGGREGATE(4,6,INDEX($D$25:$AD$25,MAX(1,$D$248+1-$D$257)):INDEX($D$25:$AD$25,$D$248))),NA())</f>
        <v>0</v>
      </c>
      <c r="N260" s="5">
        <f>IF(ISNUMBER(N25),N25/MAX(1,_xlfn.AGGREGATE(4,6,INDEX($D$24:$AD$24,MAX(1,$D$248+1-$D$257)):INDEX($D$24:$AD$24,$D$248)),_xlfn.AGGREGATE(4,6,INDEX($D$25:$AD$25,MAX(1,$D$248+1-$D$257)):INDEX($D$25:$AD$25,$D$248))),NA())</f>
        <v>0</v>
      </c>
      <c r="O260" s="5">
        <f>IF(ISNUMBER(O25),O25/MAX(1,_xlfn.AGGREGATE(4,6,INDEX($D$24:$AD$24,MAX(1,$D$248+1-$D$257)):INDEX($D$24:$AD$24,$D$248)),_xlfn.AGGREGATE(4,6,INDEX($D$25:$AD$25,MAX(1,$D$248+1-$D$257)):INDEX($D$25:$AD$25,$D$248))),NA())</f>
        <v>0</v>
      </c>
      <c r="P260" s="5">
        <f>IF(ISNUMBER(P25),P25/MAX(1,_xlfn.AGGREGATE(4,6,INDEX($D$24:$AD$24,MAX(1,$D$248+1-$D$257)):INDEX($D$24:$AD$24,$D$248)),_xlfn.AGGREGATE(4,6,INDEX($D$25:$AD$25,MAX(1,$D$248+1-$D$257)):INDEX($D$25:$AD$25,$D$248))),NA())</f>
        <v>0</v>
      </c>
      <c r="Q260" s="5">
        <f>IF(ISNUMBER(Q25),Q25/MAX(1,_xlfn.AGGREGATE(4,6,INDEX($D$24:$AD$24,MAX(1,$D$248+1-$D$257)):INDEX($D$24:$AD$24,$D$248)),_xlfn.AGGREGATE(4,6,INDEX($D$25:$AD$25,MAX(1,$D$248+1-$D$257)):INDEX($D$25:$AD$25,$D$248))),NA())</f>
        <v>0</v>
      </c>
      <c r="R260" s="5">
        <f>IF(ISNUMBER(R25),R25/MAX(1,_xlfn.AGGREGATE(4,6,INDEX($D$24:$AD$24,MAX(1,$D$248+1-$D$257)):INDEX($D$24:$AD$24,$D$248)),_xlfn.AGGREGATE(4,6,INDEX($D$25:$AD$25,MAX(1,$D$248+1-$D$257)):INDEX($D$25:$AD$25,$D$248))),NA())</f>
        <v>0</v>
      </c>
      <c r="S260" s="5">
        <f>IF(ISNUMBER(S25),S25/MAX(1,_xlfn.AGGREGATE(4,6,INDEX($D$24:$AD$24,MAX(1,$D$248+1-$D$257)):INDEX($D$24:$AD$24,$D$248)),_xlfn.AGGREGATE(4,6,INDEX($D$25:$AD$25,MAX(1,$D$248+1-$D$257)):INDEX($D$25:$AD$25,$D$248))),NA())</f>
        <v>0</v>
      </c>
      <c r="T260" s="5">
        <f>IF(ISNUMBER(T25),T25/MAX(1,_xlfn.AGGREGATE(4,6,INDEX($D$24:$AD$24,MAX(1,$D$248+1-$D$257)):INDEX($D$24:$AD$24,$D$248)),_xlfn.AGGREGATE(4,6,INDEX($D$25:$AD$25,MAX(1,$D$248+1-$D$257)):INDEX($D$25:$AD$25,$D$248))),NA())</f>
        <v>0</v>
      </c>
      <c r="U260" s="5">
        <f>IF(ISNUMBER(U25),U25/MAX(1,_xlfn.AGGREGATE(4,6,INDEX($D$24:$AD$24,MAX(1,$D$248+1-$D$257)):INDEX($D$24:$AD$24,$D$248)),_xlfn.AGGREGATE(4,6,INDEX($D$25:$AD$25,MAX(1,$D$248+1-$D$257)):INDEX($D$25:$AD$25,$D$248))),NA())</f>
        <v>0</v>
      </c>
      <c r="V260" s="5">
        <f>IF(ISNUMBER(V25),V25/MAX(1,_xlfn.AGGREGATE(4,6,INDEX($D$24:$AD$24,MAX(1,$D$248+1-$D$257)):INDEX($D$24:$AD$24,$D$248)),_xlfn.AGGREGATE(4,6,INDEX($D$25:$AD$25,MAX(1,$D$248+1-$D$257)):INDEX($D$25:$AD$25,$D$248))),NA())</f>
        <v>0</v>
      </c>
      <c r="W260" s="5">
        <f>IF(ISNUMBER(W25),W25/MAX(1,_xlfn.AGGREGATE(4,6,INDEX($D$24:$AD$24,MAX(1,$D$248+1-$D$257)):INDEX($D$24:$AD$24,$D$248)),_xlfn.AGGREGATE(4,6,INDEX($D$25:$AD$25,MAX(1,$D$248+1-$D$257)):INDEX($D$25:$AD$25,$D$248))),NA())</f>
        <v>0</v>
      </c>
      <c r="X260" s="5">
        <f>IF(ISNUMBER(X25),X25/MAX(1,_xlfn.AGGREGATE(4,6,INDEX($D$24:$AD$24,MAX(1,$D$248+1-$D$257)):INDEX($D$24:$AD$24,$D$248)),_xlfn.AGGREGATE(4,6,INDEX($D$25:$AD$25,MAX(1,$D$248+1-$D$257)):INDEX($D$25:$AD$25,$D$248))),NA())</f>
        <v>0</v>
      </c>
      <c r="Y260" s="5">
        <f>IF(ISNUMBER(Y25),Y25/MAX(1,_xlfn.AGGREGATE(4,6,INDEX($D$24:$AD$24,MAX(1,$D$248+1-$D$257)):INDEX($D$24:$AD$24,$D$248)),_xlfn.AGGREGATE(4,6,INDEX($D$25:$AD$25,MAX(1,$D$248+1-$D$257)):INDEX($D$25:$AD$25,$D$248))),NA())</f>
        <v>0</v>
      </c>
      <c r="Z260" s="5">
        <f>IF(ISNUMBER(Z25),Z25/MAX(1,_xlfn.AGGREGATE(4,6,INDEX($D$24:$AD$24,MAX(1,$D$248+1-$D$257)):INDEX($D$24:$AD$24,$D$248)),_xlfn.AGGREGATE(4,6,INDEX($D$25:$AD$25,MAX(1,$D$248+1-$D$257)):INDEX($D$25:$AD$25,$D$248))),NA())</f>
        <v>0</v>
      </c>
      <c r="AA260" s="5">
        <f>IF(ISNUMBER(AA25),AA25/MAX(1,_xlfn.AGGREGATE(4,6,INDEX($D$24:$AD$24,MAX(1,$D$248+1-$D$257)):INDEX($D$24:$AD$24,$D$248)),_xlfn.AGGREGATE(4,6,INDEX($D$25:$AD$25,MAX(1,$D$248+1-$D$257)):INDEX($D$25:$AD$25,$D$248))),NA())</f>
        <v>0</v>
      </c>
      <c r="AB260" s="5">
        <f>IF(ISNUMBER(AB25),AB25/MAX(1,_xlfn.AGGREGATE(4,6,INDEX($D$24:$AD$24,MAX(1,$D$248+1-$D$257)):INDEX($D$24:$AD$24,$D$248)),_xlfn.AGGREGATE(4,6,INDEX($D$25:$AD$25,MAX(1,$D$248+1-$D$257)):INDEX($D$25:$AD$25,$D$248))),NA())</f>
        <v>0</v>
      </c>
      <c r="AC260" s="5">
        <f>IF(ISNUMBER(AC25),AC25/MAX(1,_xlfn.AGGREGATE(4,6,INDEX($D$24:$AD$24,MAX(1,$D$248+1-$D$257)):INDEX($D$24:$AD$24,$D$248)),_xlfn.AGGREGATE(4,6,INDEX($D$25:$AD$25,MAX(1,$D$248+1-$D$257)):INDEX($D$25:$AD$25,$D$248))),NA())</f>
        <v>0</v>
      </c>
      <c r="AD260" s="5">
        <f>IF(ISNUMBER(AD25),AD25/MAX(1,_xlfn.AGGREGATE(4,6,INDEX($D$24:$AD$24,MAX(1,$D$248+1-$D$257)):INDEX($D$24:$AD$24,$D$248)),_xlfn.AGGREGATE(4,6,INDEX($D$25:$AD$25,MAX(1,$D$248+1-$D$257)):INDEX($D$25:$AD$25,$D$248))),NA())</f>
        <v>0</v>
      </c>
    </row>
    <row r="261" spans="1:95">
      <c r="A261" s="11" t="s">
        <v>589</v>
      </c>
      <c r="B261" s="11" t="s">
        <v>590</v>
      </c>
      <c r="C261" s="3" t="s">
        <v>137</v>
      </c>
      <c r="D261" s="11">
        <f>IF(ISNUMBER(D25),REPT(_xlfn.UNICHAR(160),3)&amp;FIXED(D25,0),"")</f>
        <v>0</v>
      </c>
      <c r="E261" s="11">
        <f>IF(ISNUMBER(E25),REPT(_xlfn.UNICHAR(160),3)&amp;FIXED(E25,0),"")</f>
        <v>0</v>
      </c>
      <c r="F261" s="11">
        <f>IF(ISNUMBER(F25),REPT(_xlfn.UNICHAR(160),3)&amp;FIXED(F25,0),"")</f>
        <v>0</v>
      </c>
      <c r="G261" s="11">
        <f>IF(ISNUMBER(G25),REPT(_xlfn.UNICHAR(160),3)&amp;FIXED(G25,0),"")</f>
        <v>0</v>
      </c>
      <c r="H261" s="11">
        <f>IF(ISNUMBER(H25),REPT(_xlfn.UNICHAR(160),3)&amp;FIXED(H25,0),"")</f>
        <v>0</v>
      </c>
      <c r="I261" s="11">
        <f>IF(ISNUMBER(I25),REPT(_xlfn.UNICHAR(160),3)&amp;FIXED(I25,0),"")</f>
        <v>0</v>
      </c>
      <c r="J261" s="11">
        <f>IF(ISNUMBER(J25),REPT(_xlfn.UNICHAR(160),3)&amp;FIXED(J25,0),"")</f>
        <v>0</v>
      </c>
      <c r="K261" s="11">
        <f>IF(ISNUMBER(K25),REPT(_xlfn.UNICHAR(160),3)&amp;FIXED(K25,0),"")</f>
        <v>0</v>
      </c>
      <c r="L261" s="11">
        <f>IF(ISNUMBER(L25),REPT(_xlfn.UNICHAR(160),3)&amp;FIXED(L25,0),"")</f>
        <v>0</v>
      </c>
      <c r="M261" s="11">
        <f>IF(ISNUMBER(M25),REPT(_xlfn.UNICHAR(160),3)&amp;FIXED(M25,0),"")</f>
        <v>0</v>
      </c>
      <c r="N261" s="11">
        <f>IF(ISNUMBER(N25),REPT(_xlfn.UNICHAR(160),3)&amp;FIXED(N25,0),"")</f>
        <v>0</v>
      </c>
      <c r="O261" s="11">
        <f>IF(ISNUMBER(O25),REPT(_xlfn.UNICHAR(160),3)&amp;FIXED(O25,0),"")</f>
        <v>0</v>
      </c>
      <c r="P261" s="11">
        <f>IF(ISNUMBER(P25),REPT(_xlfn.UNICHAR(160),3)&amp;FIXED(P25,0),"")</f>
        <v>0</v>
      </c>
      <c r="Q261" s="11">
        <f>IF(ISNUMBER(Q25),REPT(_xlfn.UNICHAR(160),3)&amp;FIXED(Q25,0),"")</f>
        <v>0</v>
      </c>
      <c r="R261" s="11">
        <f>IF(ISNUMBER(R25),REPT(_xlfn.UNICHAR(160),3)&amp;FIXED(R25,0),"")</f>
        <v>0</v>
      </c>
      <c r="S261" s="11">
        <f>IF(ISNUMBER(S25),REPT(_xlfn.UNICHAR(160),3)&amp;FIXED(S25,0),"")</f>
        <v>0</v>
      </c>
      <c r="T261" s="11">
        <f>IF(ISNUMBER(T25),REPT(_xlfn.UNICHAR(160),3)&amp;FIXED(T25,0),"")</f>
        <v>0</v>
      </c>
      <c r="U261" s="11">
        <f>IF(ISNUMBER(U25),REPT(_xlfn.UNICHAR(160),3)&amp;FIXED(U25,0),"")</f>
        <v>0</v>
      </c>
      <c r="V261" s="11">
        <f>IF(ISNUMBER(V25),REPT(_xlfn.UNICHAR(160),3)&amp;FIXED(V25,0),"")</f>
        <v>0</v>
      </c>
      <c r="W261" s="11">
        <f>IF(ISNUMBER(W25),REPT(_xlfn.UNICHAR(160),3)&amp;FIXED(W25,0),"")</f>
        <v>0</v>
      </c>
      <c r="X261" s="11">
        <f>IF(ISNUMBER(X25),REPT(_xlfn.UNICHAR(160),3)&amp;FIXED(X25,0),"")</f>
        <v>0</v>
      </c>
      <c r="Y261" s="11">
        <f>IF(ISNUMBER(Y25),REPT(_xlfn.UNICHAR(160),3)&amp;FIXED(Y25,0),"")</f>
        <v>0</v>
      </c>
      <c r="Z261" s="11">
        <f>IF(ISNUMBER(Z25),REPT(_xlfn.UNICHAR(160),3)&amp;FIXED(Z25,0),"")</f>
        <v>0</v>
      </c>
      <c r="AA261" s="11">
        <f>IF(ISNUMBER(AA25),REPT(_xlfn.UNICHAR(160),3)&amp;FIXED(AA25,0),"")</f>
        <v>0</v>
      </c>
      <c r="AB261" s="11">
        <f>IF(ISNUMBER(AB25),REPT(_xlfn.UNICHAR(160),3)&amp;FIXED(AB25,0),"")</f>
        <v>0</v>
      </c>
      <c r="AC261" s="11">
        <f>IF(ISNUMBER(AC25),REPT(_xlfn.UNICHAR(160),3)&amp;FIXED(AC25,0),"")</f>
        <v>0</v>
      </c>
      <c r="AD261" s="11">
        <f>IF(ISNUMBER(AD25),REPT(_xlfn.UNICHAR(160),3)&amp;FIXED(AD25,0),"")</f>
        <v>0</v>
      </c>
    </row>
    <row r="262" spans="1:95">
      <c r="A262" s="11" t="s">
        <v>591</v>
      </c>
      <c r="B262" s="11" t="s">
        <v>592</v>
      </c>
      <c r="C262" s="3" t="s">
        <v>137</v>
      </c>
      <c r="D262" s="5">
        <f>IF(ISNUMBER(D24),IF(AND(D258&gt;=IFERROR(D260,-9),D258-IFERROR(D260,-9)&lt;0.28509),D260+0.28509,D258),NA())</f>
        <v>0</v>
      </c>
      <c r="E262" s="5">
        <f>IF(ISNUMBER(E24),IF(AND(E258&gt;=IFERROR(E260,-9),E258-IFERROR(E260,-9)&lt;0.28509),E260+0.28509,E258),NA())</f>
        <v>0</v>
      </c>
      <c r="F262" s="5">
        <f>IF(ISNUMBER(F24),IF(AND(F258&gt;=IFERROR(F260,-9),F258-IFERROR(F260,-9)&lt;0.28509),F260+0.28509,F258),NA())</f>
        <v>0</v>
      </c>
      <c r="G262" s="5">
        <f>IF(ISNUMBER(G24),IF(AND(G258&gt;=IFERROR(G260,-9),G258-IFERROR(G260,-9)&lt;0.28509),G260+0.28509,G258),NA())</f>
        <v>0</v>
      </c>
      <c r="H262" s="5">
        <f>IF(ISNUMBER(H24),IF(AND(H258&gt;=IFERROR(H260,-9),H258-IFERROR(H260,-9)&lt;0.28509),H260+0.28509,H258),NA())</f>
        <v>0</v>
      </c>
      <c r="I262" s="5">
        <f>IF(ISNUMBER(I24),IF(AND(I258&gt;=IFERROR(I260,-9),I258-IFERROR(I260,-9)&lt;0.28509),I260+0.28509,I258),NA())</f>
        <v>0</v>
      </c>
      <c r="J262" s="5">
        <f>IF(ISNUMBER(J24),IF(AND(J258&gt;=IFERROR(J260,-9),J258-IFERROR(J260,-9)&lt;0.28509),J260+0.28509,J258),NA())</f>
        <v>0</v>
      </c>
      <c r="K262" s="5">
        <f>IF(ISNUMBER(K24),IF(AND(K258&gt;=IFERROR(K260,-9),K258-IFERROR(K260,-9)&lt;0.28509),K260+0.28509,K258),NA())</f>
        <v>0</v>
      </c>
      <c r="L262" s="5">
        <f>IF(ISNUMBER(L24),IF(AND(L258&gt;=IFERROR(L260,-9),L258-IFERROR(L260,-9)&lt;0.28509),L260+0.28509,L258),NA())</f>
        <v>0</v>
      </c>
      <c r="M262" s="5">
        <f>IF(ISNUMBER(M24),IF(AND(M258&gt;=IFERROR(M260,-9),M258-IFERROR(M260,-9)&lt;0.28509),M260+0.28509,M258),NA())</f>
        <v>0</v>
      </c>
      <c r="N262" s="5">
        <f>IF(ISNUMBER(N24),IF(AND(N258&gt;=IFERROR(N260,-9),N258-IFERROR(N260,-9)&lt;0.28509),N260+0.28509,N258),NA())</f>
        <v>0</v>
      </c>
      <c r="O262" s="5">
        <f>IF(ISNUMBER(O24),IF(AND(O258&gt;=IFERROR(O260,-9),O258-IFERROR(O260,-9)&lt;0.28509),O260+0.28509,O258),NA())</f>
        <v>0</v>
      </c>
      <c r="P262" s="5">
        <f>IF(ISNUMBER(P24),IF(AND(P258&gt;=IFERROR(P260,-9),P258-IFERROR(P260,-9)&lt;0.28509),P260+0.28509,P258),NA())</f>
        <v>0</v>
      </c>
      <c r="Q262" s="5">
        <f>IF(ISNUMBER(Q24),IF(AND(Q258&gt;=IFERROR(Q260,-9),Q258-IFERROR(Q260,-9)&lt;0.28509),Q260+0.28509,Q258),NA())</f>
        <v>0</v>
      </c>
      <c r="R262" s="5">
        <f>IF(ISNUMBER(R24),IF(AND(R258&gt;=IFERROR(R260,-9),R258-IFERROR(R260,-9)&lt;0.28509),R260+0.28509,R258),NA())</f>
        <v>0</v>
      </c>
      <c r="S262" s="5">
        <f>IF(ISNUMBER(S24),IF(AND(S258&gt;=IFERROR(S260,-9),S258-IFERROR(S260,-9)&lt;0.28509),S260+0.28509,S258),NA())</f>
        <v>0</v>
      </c>
      <c r="T262" s="5">
        <f>IF(ISNUMBER(T24),IF(AND(T258&gt;=IFERROR(T260,-9),T258-IFERROR(T260,-9)&lt;0.28509),T260+0.28509,T258),NA())</f>
        <v>0</v>
      </c>
      <c r="U262" s="5">
        <f>IF(ISNUMBER(U24),IF(AND(U258&gt;=IFERROR(U260,-9),U258-IFERROR(U260,-9)&lt;0.28509),U260+0.28509,U258),NA())</f>
        <v>0</v>
      </c>
      <c r="V262" s="5">
        <f>IF(ISNUMBER(V24),IF(AND(V258&gt;=IFERROR(V260,-9),V258-IFERROR(V260,-9)&lt;0.28509),V260+0.28509,V258),NA())</f>
        <v>0</v>
      </c>
      <c r="W262" s="5">
        <f>IF(ISNUMBER(W24),IF(AND(W258&gt;=IFERROR(W260,-9),W258-IFERROR(W260,-9)&lt;0.28509),W260+0.28509,W258),NA())</f>
        <v>0</v>
      </c>
      <c r="X262" s="5">
        <f>IF(ISNUMBER(X24),IF(AND(X258&gt;=IFERROR(X260,-9),X258-IFERROR(X260,-9)&lt;0.28509),X260+0.28509,X258),NA())</f>
        <v>0</v>
      </c>
      <c r="Y262" s="5">
        <f>IF(ISNUMBER(Y24),IF(AND(Y258&gt;=IFERROR(Y260,-9),Y258-IFERROR(Y260,-9)&lt;0.28509),Y260+0.28509,Y258),NA())</f>
        <v>0</v>
      </c>
      <c r="Z262" s="5">
        <f>IF(ISNUMBER(Z24),IF(AND(Z258&gt;=IFERROR(Z260,-9),Z258-IFERROR(Z260,-9)&lt;0.28509),Z260+0.28509,Z258),NA())</f>
        <v>0</v>
      </c>
      <c r="AA262" s="5">
        <f>IF(ISNUMBER(AA24),IF(AND(AA258&gt;=IFERROR(AA260,-9),AA258-IFERROR(AA260,-9)&lt;0.28509),AA260+0.28509,AA258),NA())</f>
        <v>0</v>
      </c>
      <c r="AB262" s="5">
        <f>IF(ISNUMBER(AB24),IF(AND(AB258&gt;=IFERROR(AB260,-9),AB258-IFERROR(AB260,-9)&lt;0.28509),AB260+0.28509,AB258),NA())</f>
        <v>0</v>
      </c>
      <c r="AC262" s="5">
        <f>IF(ISNUMBER(AC24),IF(AND(AC258&gt;=IFERROR(AC260,-9),AC258-IFERROR(AC260,-9)&lt;0.28509),AC260+0.28509,AC258),NA())</f>
        <v>0</v>
      </c>
      <c r="AD262" s="5">
        <f>IF(ISNUMBER(AD24),IF(AND(AD258&gt;=IFERROR(AD260,-9),AD258-IFERROR(AD260,-9)&lt;0.28509),AD260+0.28509,AD258),NA())</f>
        <v>0</v>
      </c>
    </row>
    <row r="263" spans="1:95">
      <c r="A263" s="11" t="s">
        <v>593</v>
      </c>
      <c r="B263" s="11" t="s">
        <v>594</v>
      </c>
      <c r="C263" s="3" t="s">
        <v>137</v>
      </c>
      <c r="D263" s="5">
        <f>IF(ISNUMBER(D25),IF(AND(D260&gt;IFERROR(D258,-9),D260-IFERROR(D258,-9)&lt;0.28509),D258+0.28509,D260),NA())</f>
        <v>0</v>
      </c>
      <c r="E263" s="5">
        <f>IF(ISNUMBER(E25),IF(AND(E260&gt;IFERROR(E258,-9),E260-IFERROR(E258,-9)&lt;0.28509),E258+0.28509,E260),NA())</f>
        <v>0</v>
      </c>
      <c r="F263" s="5">
        <f>IF(ISNUMBER(F25),IF(AND(F260&gt;IFERROR(F258,-9),F260-IFERROR(F258,-9)&lt;0.28509),F258+0.28509,F260),NA())</f>
        <v>0</v>
      </c>
      <c r="G263" s="5">
        <f>IF(ISNUMBER(G25),IF(AND(G260&gt;IFERROR(G258,-9),G260-IFERROR(G258,-9)&lt;0.28509),G258+0.28509,G260),NA())</f>
        <v>0</v>
      </c>
      <c r="H263" s="5">
        <f>IF(ISNUMBER(H25),IF(AND(H260&gt;IFERROR(H258,-9),H260-IFERROR(H258,-9)&lt;0.28509),H258+0.28509,H260),NA())</f>
        <v>0</v>
      </c>
      <c r="I263" s="5">
        <f>IF(ISNUMBER(I25),IF(AND(I260&gt;IFERROR(I258,-9),I260-IFERROR(I258,-9)&lt;0.28509),I258+0.28509,I260),NA())</f>
        <v>0</v>
      </c>
      <c r="J263" s="5">
        <f>IF(ISNUMBER(J25),IF(AND(J260&gt;IFERROR(J258,-9),J260-IFERROR(J258,-9)&lt;0.28509),J258+0.28509,J260),NA())</f>
        <v>0</v>
      </c>
      <c r="K263" s="5">
        <f>IF(ISNUMBER(K25),IF(AND(K260&gt;IFERROR(K258,-9),K260-IFERROR(K258,-9)&lt;0.28509),K258+0.28509,K260),NA())</f>
        <v>0</v>
      </c>
      <c r="L263" s="5">
        <f>IF(ISNUMBER(L25),IF(AND(L260&gt;IFERROR(L258,-9),L260-IFERROR(L258,-9)&lt;0.28509),L258+0.28509,L260),NA())</f>
        <v>0</v>
      </c>
      <c r="M263" s="5">
        <f>IF(ISNUMBER(M25),IF(AND(M260&gt;IFERROR(M258,-9),M260-IFERROR(M258,-9)&lt;0.28509),M258+0.28509,M260),NA())</f>
        <v>0</v>
      </c>
      <c r="N263" s="5">
        <f>IF(ISNUMBER(N25),IF(AND(N260&gt;IFERROR(N258,-9),N260-IFERROR(N258,-9)&lt;0.28509),N258+0.28509,N260),NA())</f>
        <v>0</v>
      </c>
      <c r="O263" s="5">
        <f>IF(ISNUMBER(O25),IF(AND(O260&gt;IFERROR(O258,-9),O260-IFERROR(O258,-9)&lt;0.28509),O258+0.28509,O260),NA())</f>
        <v>0</v>
      </c>
      <c r="P263" s="5">
        <f>IF(ISNUMBER(P25),IF(AND(P260&gt;IFERROR(P258,-9),P260-IFERROR(P258,-9)&lt;0.28509),P258+0.28509,P260),NA())</f>
        <v>0</v>
      </c>
      <c r="Q263" s="5">
        <f>IF(ISNUMBER(Q25),IF(AND(Q260&gt;IFERROR(Q258,-9),Q260-IFERROR(Q258,-9)&lt;0.28509),Q258+0.28509,Q260),NA())</f>
        <v>0</v>
      </c>
      <c r="R263" s="5">
        <f>IF(ISNUMBER(R25),IF(AND(R260&gt;IFERROR(R258,-9),R260-IFERROR(R258,-9)&lt;0.28509),R258+0.28509,R260),NA())</f>
        <v>0</v>
      </c>
      <c r="S263" s="5">
        <f>IF(ISNUMBER(S25),IF(AND(S260&gt;IFERROR(S258,-9),S260-IFERROR(S258,-9)&lt;0.28509),S258+0.28509,S260),NA())</f>
        <v>0</v>
      </c>
      <c r="T263" s="5">
        <f>IF(ISNUMBER(T25),IF(AND(T260&gt;IFERROR(T258,-9),T260-IFERROR(T258,-9)&lt;0.28509),T258+0.28509,T260),NA())</f>
        <v>0</v>
      </c>
      <c r="U263" s="5">
        <f>IF(ISNUMBER(U25),IF(AND(U260&gt;IFERROR(U258,-9),U260-IFERROR(U258,-9)&lt;0.28509),U258+0.28509,U260),NA())</f>
        <v>0</v>
      </c>
      <c r="V263" s="5">
        <f>IF(ISNUMBER(V25),IF(AND(V260&gt;IFERROR(V258,-9),V260-IFERROR(V258,-9)&lt;0.28509),V258+0.28509,V260),NA())</f>
        <v>0</v>
      </c>
      <c r="W263" s="5">
        <f>IF(ISNUMBER(W25),IF(AND(W260&gt;IFERROR(W258,-9),W260-IFERROR(W258,-9)&lt;0.28509),W258+0.28509,W260),NA())</f>
        <v>0</v>
      </c>
      <c r="X263" s="5">
        <f>IF(ISNUMBER(X25),IF(AND(X260&gt;IFERROR(X258,-9),X260-IFERROR(X258,-9)&lt;0.28509),X258+0.28509,X260),NA())</f>
        <v>0</v>
      </c>
      <c r="Y263" s="5">
        <f>IF(ISNUMBER(Y25),IF(AND(Y260&gt;IFERROR(Y258,-9),Y260-IFERROR(Y258,-9)&lt;0.28509),Y258+0.28509,Y260),NA())</f>
        <v>0</v>
      </c>
      <c r="Z263" s="5">
        <f>IF(ISNUMBER(Z25),IF(AND(Z260&gt;IFERROR(Z258,-9),Z260-IFERROR(Z258,-9)&lt;0.28509),Z258+0.28509,Z260),NA())</f>
        <v>0</v>
      </c>
      <c r="AA263" s="5">
        <f>IF(ISNUMBER(AA25),IF(AND(AA260&gt;IFERROR(AA258,-9),AA260-IFERROR(AA258,-9)&lt;0.28509),AA258+0.28509,AA260),NA())</f>
        <v>0</v>
      </c>
      <c r="AB263" s="5">
        <f>IF(ISNUMBER(AB25),IF(AND(AB260&gt;IFERROR(AB258,-9),AB260-IFERROR(AB258,-9)&lt;0.28509),AB258+0.28509,AB260),NA())</f>
        <v>0</v>
      </c>
      <c r="AC263" s="5">
        <f>IF(ISNUMBER(AC25),IF(AND(AC260&gt;IFERROR(AC258,-9),AC260-IFERROR(AC258,-9)&lt;0.28509),AC258+0.28509,AC260),NA())</f>
        <v>0</v>
      </c>
      <c r="AD263" s="5">
        <f>IF(ISNUMBER(AD25),IF(AND(AD260&gt;IFERROR(AD258,-9),AD260-IFERROR(AD258,-9)&lt;0.28509),AD258+0.28509,AD260),NA())</f>
        <v>0</v>
      </c>
    </row>
    <row r="264" spans="1:95">
      <c r="A264" s="11" t="s">
        <v>595</v>
      </c>
      <c r="B264" s="11" t="s">
        <v>596</v>
      </c>
      <c r="C264" s="3" t="s">
        <v>134</v>
      </c>
      <c r="D264" s="5">
        <v>1</v>
      </c>
    </row>
    <row r="265" spans="1:95">
      <c r="A265" s="11" t="s">
        <v>597</v>
      </c>
      <c r="B265" s="11" t="s">
        <v>598</v>
      </c>
      <c r="C265" s="3" t="s">
        <v>137</v>
      </c>
      <c r="D265" s="5">
        <f>IF(AND($D$264=1,ISNUMBER(D24),ISNUMBER(D25)),IF((D24-D25)&gt;0,0.5,NA()),NA())</f>
        <v>0</v>
      </c>
      <c r="E265" s="5">
        <f>IF(AND($D$264=1,ISNUMBER(E24),ISNUMBER(E25)),IF((E24-E25)&gt;0,0.5,NA()),NA())</f>
        <v>0</v>
      </c>
      <c r="F265" s="5">
        <f>IF(AND($D$264=1,ISNUMBER(F24),ISNUMBER(F25)),IF((F24-F25)&gt;0,0.5,NA()),NA())</f>
        <v>0</v>
      </c>
      <c r="G265" s="5">
        <f>IF(AND($D$264=1,ISNUMBER(G24),ISNUMBER(G25)),IF((G24-G25)&gt;0,0.5,NA()),NA())</f>
        <v>0</v>
      </c>
      <c r="H265" s="5">
        <f>IF(AND($D$264=1,ISNUMBER(H24),ISNUMBER(H25)),IF((H24-H25)&gt;0,0.5,NA()),NA())</f>
        <v>0</v>
      </c>
      <c r="I265" s="5">
        <f>IF(AND($D$264=1,ISNUMBER(I24),ISNUMBER(I25)),IF((I24-I25)&gt;0,0.5,NA()),NA())</f>
        <v>0</v>
      </c>
      <c r="J265" s="5">
        <f>IF(AND($D$264=1,ISNUMBER(J24),ISNUMBER(J25)),IF((J24-J25)&gt;0,0.5,NA()),NA())</f>
        <v>0</v>
      </c>
      <c r="K265" s="5">
        <f>IF(AND($D$264=1,ISNUMBER(K24),ISNUMBER(K25)),IF((K24-K25)&gt;0,0.5,NA()),NA())</f>
        <v>0</v>
      </c>
      <c r="L265" s="5">
        <f>IF(AND($D$264=1,ISNUMBER(L24),ISNUMBER(L25)),IF((L24-L25)&gt;0,0.5,NA()),NA())</f>
        <v>0</v>
      </c>
      <c r="M265" s="5">
        <f>IF(AND($D$264=1,ISNUMBER(M24),ISNUMBER(M25)),IF((M24-M25)&gt;0,0.5,NA()),NA())</f>
        <v>0</v>
      </c>
      <c r="N265" s="5">
        <f>IF(AND($D$264=1,ISNUMBER(N24),ISNUMBER(N25)),IF((N24-N25)&gt;0,0.5,NA()),NA())</f>
        <v>0</v>
      </c>
      <c r="O265" s="5">
        <f>IF(AND($D$264=1,ISNUMBER(O24),ISNUMBER(O25)),IF((O24-O25)&gt;0,0.5,NA()),NA())</f>
        <v>0</v>
      </c>
      <c r="P265" s="5">
        <f>IF(AND($D$264=1,ISNUMBER(P24),ISNUMBER(P25)),IF((P24-P25)&gt;0,0.5,NA()),NA())</f>
        <v>0</v>
      </c>
      <c r="Q265" s="5">
        <f>IF(AND($D$264=1,ISNUMBER(Q24),ISNUMBER(Q25)),IF((Q24-Q25)&gt;0,0.5,NA()),NA())</f>
        <v>0</v>
      </c>
      <c r="R265" s="5">
        <f>IF(AND($D$264=1,ISNUMBER(R24),ISNUMBER(R25)),IF((R24-R25)&gt;0,0.5,NA()),NA())</f>
        <v>0</v>
      </c>
      <c r="S265" s="5">
        <f>IF(AND($D$264=1,ISNUMBER(S24),ISNUMBER(S25)),IF((S24-S25)&gt;0,0.5,NA()),NA())</f>
        <v>0</v>
      </c>
      <c r="T265" s="5">
        <f>IF(AND($D$264=1,ISNUMBER(T24),ISNUMBER(T25)),IF((T24-T25)&gt;0,0.5,NA()),NA())</f>
        <v>0</v>
      </c>
      <c r="U265" s="5">
        <f>IF(AND($D$264=1,ISNUMBER(U24),ISNUMBER(U25)),IF((U24-U25)&gt;0,0.5,NA()),NA())</f>
        <v>0</v>
      </c>
      <c r="V265" s="5">
        <f>IF(AND($D$264=1,ISNUMBER(V24),ISNUMBER(V25)),IF((V24-V25)&gt;0,0.5,NA()),NA())</f>
        <v>0</v>
      </c>
      <c r="W265" s="5">
        <f>IF(AND($D$264=1,ISNUMBER(W24),ISNUMBER(W25)),IF((W24-W25)&gt;0,0.5,NA()),NA())</f>
        <v>0</v>
      </c>
      <c r="X265" s="5">
        <f>IF(AND($D$264=1,ISNUMBER(X24),ISNUMBER(X25)),IF((X24-X25)&gt;0,0.5,NA()),NA())</f>
        <v>0</v>
      </c>
      <c r="Y265" s="5">
        <f>IF(AND($D$264=1,ISNUMBER(Y24),ISNUMBER(Y25)),IF((Y24-Y25)&gt;0,0.5,NA()),NA())</f>
        <v>0</v>
      </c>
      <c r="Z265" s="5">
        <f>IF(AND($D$264=1,ISNUMBER(Z24),ISNUMBER(Z25)),IF((Z24-Z25)&gt;0,0.5,NA()),NA())</f>
        <v>0</v>
      </c>
      <c r="AA265" s="5">
        <f>IF(AND($D$264=1,ISNUMBER(AA24),ISNUMBER(AA25)),IF((AA24-AA25)&gt;0,0.5,NA()),NA())</f>
        <v>0</v>
      </c>
      <c r="AB265" s="5">
        <f>IF(AND($D$264=1,ISNUMBER(AB24),ISNUMBER(AB25)),IF((AB24-AB25)&gt;0,0.5,NA()),NA())</f>
        <v>0</v>
      </c>
      <c r="AC265" s="5">
        <f>IF(AND($D$264=1,ISNUMBER(AC24),ISNUMBER(AC25)),IF((AC24-AC25)&gt;0,0.5,NA()),NA())</f>
        <v>0</v>
      </c>
      <c r="AD265" s="5">
        <f>IF(AND($D$264=1,ISNUMBER(AD24),ISNUMBER(AD25)),IF((AD24-AD25)&gt;0,0.5,NA()),NA())</f>
        <v>0</v>
      </c>
    </row>
    <row r="266" spans="1:95">
      <c r="A266" s="11" t="s">
        <v>599</v>
      </c>
      <c r="B266" s="11" t="s">
        <v>600</v>
      </c>
      <c r="C266" s="3" t="s">
        <v>137</v>
      </c>
      <c r="D266" s="5">
        <f>IF(AND($D$264=1,ISNUMBER(D24),ISNUMBER(D25)),IF((D24-D25)&lt;0,0.5,NA()),NA())</f>
        <v>0</v>
      </c>
      <c r="E266" s="5">
        <f>IF(AND($D$264=1,ISNUMBER(E24),ISNUMBER(E25)),IF((E24-E25)&lt;0,0.5,NA()),NA())</f>
        <v>0</v>
      </c>
      <c r="F266" s="5">
        <f>IF(AND($D$264=1,ISNUMBER(F24),ISNUMBER(F25)),IF((F24-F25)&lt;0,0.5,NA()),NA())</f>
        <v>0</v>
      </c>
      <c r="G266" s="5">
        <f>IF(AND($D$264=1,ISNUMBER(G24),ISNUMBER(G25)),IF((G24-G25)&lt;0,0.5,NA()),NA())</f>
        <v>0</v>
      </c>
      <c r="H266" s="5">
        <f>IF(AND($D$264=1,ISNUMBER(H24),ISNUMBER(H25)),IF((H24-H25)&lt;0,0.5,NA()),NA())</f>
        <v>0</v>
      </c>
      <c r="I266" s="5">
        <f>IF(AND($D$264=1,ISNUMBER(I24),ISNUMBER(I25)),IF((I24-I25)&lt;0,0.5,NA()),NA())</f>
        <v>0</v>
      </c>
      <c r="J266" s="5">
        <f>IF(AND($D$264=1,ISNUMBER(J24),ISNUMBER(J25)),IF((J24-J25)&lt;0,0.5,NA()),NA())</f>
        <v>0</v>
      </c>
      <c r="K266" s="5">
        <f>IF(AND($D$264=1,ISNUMBER(K24),ISNUMBER(K25)),IF((K24-K25)&lt;0,0.5,NA()),NA())</f>
        <v>0</v>
      </c>
      <c r="L266" s="5">
        <f>IF(AND($D$264=1,ISNUMBER(L24),ISNUMBER(L25)),IF((L24-L25)&lt;0,0.5,NA()),NA())</f>
        <v>0</v>
      </c>
      <c r="M266" s="5">
        <f>IF(AND($D$264=1,ISNUMBER(M24),ISNUMBER(M25)),IF((M24-M25)&lt;0,0.5,NA()),NA())</f>
        <v>0</v>
      </c>
      <c r="N266" s="5">
        <f>IF(AND($D$264=1,ISNUMBER(N24),ISNUMBER(N25)),IF((N24-N25)&lt;0,0.5,NA()),NA())</f>
        <v>0</v>
      </c>
      <c r="O266" s="5">
        <f>IF(AND($D$264=1,ISNUMBER(O24),ISNUMBER(O25)),IF((O24-O25)&lt;0,0.5,NA()),NA())</f>
        <v>0</v>
      </c>
      <c r="P266" s="5">
        <f>IF(AND($D$264=1,ISNUMBER(P24),ISNUMBER(P25)),IF((P24-P25)&lt;0,0.5,NA()),NA())</f>
        <v>0</v>
      </c>
      <c r="Q266" s="5">
        <f>IF(AND($D$264=1,ISNUMBER(Q24),ISNUMBER(Q25)),IF((Q24-Q25)&lt;0,0.5,NA()),NA())</f>
        <v>0</v>
      </c>
      <c r="R266" s="5">
        <f>IF(AND($D$264=1,ISNUMBER(R24),ISNUMBER(R25)),IF((R24-R25)&lt;0,0.5,NA()),NA())</f>
        <v>0</v>
      </c>
      <c r="S266" s="5">
        <f>IF(AND($D$264=1,ISNUMBER(S24),ISNUMBER(S25)),IF((S24-S25)&lt;0,0.5,NA()),NA())</f>
        <v>0</v>
      </c>
      <c r="T266" s="5">
        <f>IF(AND($D$264=1,ISNUMBER(T24),ISNUMBER(T25)),IF((T24-T25)&lt;0,0.5,NA()),NA())</f>
        <v>0</v>
      </c>
      <c r="U266" s="5">
        <f>IF(AND($D$264=1,ISNUMBER(U24),ISNUMBER(U25)),IF((U24-U25)&lt;0,0.5,NA()),NA())</f>
        <v>0</v>
      </c>
      <c r="V266" s="5">
        <f>IF(AND($D$264=1,ISNUMBER(V24),ISNUMBER(V25)),IF((V24-V25)&lt;0,0.5,NA()),NA())</f>
        <v>0</v>
      </c>
      <c r="W266" s="5">
        <f>IF(AND($D$264=1,ISNUMBER(W24),ISNUMBER(W25)),IF((W24-W25)&lt;0,0.5,NA()),NA())</f>
        <v>0</v>
      </c>
      <c r="X266" s="5">
        <f>IF(AND($D$264=1,ISNUMBER(X24),ISNUMBER(X25)),IF((X24-X25)&lt;0,0.5,NA()),NA())</f>
        <v>0</v>
      </c>
      <c r="Y266" s="5">
        <f>IF(AND($D$264=1,ISNUMBER(Y24),ISNUMBER(Y25)),IF((Y24-Y25)&lt;0,0.5,NA()),NA())</f>
        <v>0</v>
      </c>
      <c r="Z266" s="5">
        <f>IF(AND($D$264=1,ISNUMBER(Z24),ISNUMBER(Z25)),IF((Z24-Z25)&lt;0,0.5,NA()),NA())</f>
        <v>0</v>
      </c>
      <c r="AA266" s="5">
        <f>IF(AND($D$264=1,ISNUMBER(AA24),ISNUMBER(AA25)),IF((AA24-AA25)&lt;0,0.5,NA()),NA())</f>
        <v>0</v>
      </c>
      <c r="AB266" s="5">
        <f>IF(AND($D$264=1,ISNUMBER(AB24),ISNUMBER(AB25)),IF((AB24-AB25)&lt;0,0.5,NA()),NA())</f>
        <v>0</v>
      </c>
      <c r="AC266" s="5">
        <f>IF(AND($D$264=1,ISNUMBER(AC24),ISNUMBER(AC25)),IF((AC24-AC25)&lt;0,0.5,NA()),NA())</f>
        <v>0</v>
      </c>
      <c r="AD266" s="5">
        <f>IF(AND($D$264=1,ISNUMBER(AD24),ISNUMBER(AD25)),IF((AD24-AD25)&lt;0,0.5,NA()),NA())</f>
        <v>0</v>
      </c>
    </row>
    <row r="267" spans="1:95">
      <c r="A267" s="11" t="s">
        <v>601</v>
      </c>
      <c r="B267" s="11" t="s">
        <v>602</v>
      </c>
      <c r="C267" s="3" t="s">
        <v>137</v>
      </c>
      <c r="D267" s="5">
        <f>IF(AND($D$264=1,ISNUMBER(D24),ISNUMBER(D25)),IF((D24-D25)=0,0.5,NA()),NA())</f>
        <v>0</v>
      </c>
      <c r="E267" s="5">
        <f>IF(AND($D$264=1,ISNUMBER(E24),ISNUMBER(E25)),IF((E24-E25)=0,0.5,NA()),NA())</f>
        <v>0</v>
      </c>
      <c r="F267" s="5">
        <f>IF(AND($D$264=1,ISNUMBER(F24),ISNUMBER(F25)),IF((F24-F25)=0,0.5,NA()),NA())</f>
        <v>0</v>
      </c>
      <c r="G267" s="5">
        <f>IF(AND($D$264=1,ISNUMBER(G24),ISNUMBER(G25)),IF((G24-G25)=0,0.5,NA()),NA())</f>
        <v>0</v>
      </c>
      <c r="H267" s="5">
        <f>IF(AND($D$264=1,ISNUMBER(H24),ISNUMBER(H25)),IF((H24-H25)=0,0.5,NA()),NA())</f>
        <v>0</v>
      </c>
      <c r="I267" s="5">
        <f>IF(AND($D$264=1,ISNUMBER(I24),ISNUMBER(I25)),IF((I24-I25)=0,0.5,NA()),NA())</f>
        <v>0</v>
      </c>
      <c r="J267" s="5">
        <f>IF(AND($D$264=1,ISNUMBER(J24),ISNUMBER(J25)),IF((J24-J25)=0,0.5,NA()),NA())</f>
        <v>0</v>
      </c>
      <c r="K267" s="5">
        <f>IF(AND($D$264=1,ISNUMBER(K24),ISNUMBER(K25)),IF((K24-K25)=0,0.5,NA()),NA())</f>
        <v>0</v>
      </c>
      <c r="L267" s="5">
        <f>IF(AND($D$264=1,ISNUMBER(L24),ISNUMBER(L25)),IF((L24-L25)=0,0.5,NA()),NA())</f>
        <v>0</v>
      </c>
      <c r="M267" s="5">
        <f>IF(AND($D$264=1,ISNUMBER(M24),ISNUMBER(M25)),IF((M24-M25)=0,0.5,NA()),NA())</f>
        <v>0</v>
      </c>
      <c r="N267" s="5">
        <f>IF(AND($D$264=1,ISNUMBER(N24),ISNUMBER(N25)),IF((N24-N25)=0,0.5,NA()),NA())</f>
        <v>0</v>
      </c>
      <c r="O267" s="5">
        <f>IF(AND($D$264=1,ISNUMBER(O24),ISNUMBER(O25)),IF((O24-O25)=0,0.5,NA()),NA())</f>
        <v>0</v>
      </c>
      <c r="P267" s="5">
        <f>IF(AND($D$264=1,ISNUMBER(P24),ISNUMBER(P25)),IF((P24-P25)=0,0.5,NA()),NA())</f>
        <v>0</v>
      </c>
      <c r="Q267" s="5">
        <f>IF(AND($D$264=1,ISNUMBER(Q24),ISNUMBER(Q25)),IF((Q24-Q25)=0,0.5,NA()),NA())</f>
        <v>0</v>
      </c>
      <c r="R267" s="5">
        <f>IF(AND($D$264=1,ISNUMBER(R24),ISNUMBER(R25)),IF((R24-R25)=0,0.5,NA()),NA())</f>
        <v>0</v>
      </c>
      <c r="S267" s="5">
        <f>IF(AND($D$264=1,ISNUMBER(S24),ISNUMBER(S25)),IF((S24-S25)=0,0.5,NA()),NA())</f>
        <v>0</v>
      </c>
      <c r="T267" s="5">
        <f>IF(AND($D$264=1,ISNUMBER(T24),ISNUMBER(T25)),IF((T24-T25)=0,0.5,NA()),NA())</f>
        <v>0</v>
      </c>
      <c r="U267" s="5">
        <f>IF(AND($D$264=1,ISNUMBER(U24),ISNUMBER(U25)),IF((U24-U25)=0,0.5,NA()),NA())</f>
        <v>0</v>
      </c>
      <c r="V267" s="5">
        <f>IF(AND($D$264=1,ISNUMBER(V24),ISNUMBER(V25)),IF((V24-V25)=0,0.5,NA()),NA())</f>
        <v>0</v>
      </c>
      <c r="W267" s="5">
        <f>IF(AND($D$264=1,ISNUMBER(W24),ISNUMBER(W25)),IF((W24-W25)=0,0.5,NA()),NA())</f>
        <v>0</v>
      </c>
      <c r="X267" s="5">
        <f>IF(AND($D$264=1,ISNUMBER(X24),ISNUMBER(X25)),IF((X24-X25)=0,0.5,NA()),NA())</f>
        <v>0</v>
      </c>
      <c r="Y267" s="5">
        <f>IF(AND($D$264=1,ISNUMBER(Y24),ISNUMBER(Y25)),IF((Y24-Y25)=0,0.5,NA()),NA())</f>
        <v>0</v>
      </c>
      <c r="Z267" s="5">
        <f>IF(AND($D$264=1,ISNUMBER(Z24),ISNUMBER(Z25)),IF((Z24-Z25)=0,0.5,NA()),NA())</f>
        <v>0</v>
      </c>
      <c r="AA267" s="5">
        <f>IF(AND($D$264=1,ISNUMBER(AA24),ISNUMBER(AA25)),IF((AA24-AA25)=0,0.5,NA()),NA())</f>
        <v>0</v>
      </c>
      <c r="AB267" s="5">
        <f>IF(AND($D$264=1,ISNUMBER(AB24),ISNUMBER(AB25)),IF((AB24-AB25)=0,0.5,NA()),NA())</f>
        <v>0</v>
      </c>
      <c r="AC267" s="5">
        <f>IF(AND($D$264=1,ISNUMBER(AC24),ISNUMBER(AC25)),IF((AC24-AC25)=0,0.5,NA()),NA())</f>
        <v>0</v>
      </c>
      <c r="AD267" s="5">
        <f>IF(AND($D$264=1,ISNUMBER(AD24),ISNUMBER(AD25)),IF((AD24-AD25)=0,0.5,NA()),NA())</f>
        <v>0</v>
      </c>
    </row>
    <row r="268" spans="1:95">
      <c r="A268" s="11" t="s">
        <v>603</v>
      </c>
      <c r="B268" s="11" t="s">
        <v>604</v>
      </c>
      <c r="C268" s="3" t="s">
        <v>137</v>
      </c>
      <c r="D268" s="11">
        <f>IF(AND(ISNUMBER(D24),ISNUMBER(D25)),IF((D24-D25)&gt;0,"+"&amp;FIXED((D24-D25),0),IF((D24-D25)&lt;0,"−"&amp;FIXED(-(D24-D25),0),"±0")),"")</f>
        <v>0</v>
      </c>
      <c r="E268" s="11">
        <f>IF(AND(ISNUMBER(E24),ISNUMBER(E25)),IF((E24-E25)&gt;0,"+"&amp;FIXED((E24-E25),0),IF((E24-E25)&lt;0,"−"&amp;FIXED(-(E24-E25),0),"±0")),"")</f>
        <v>0</v>
      </c>
      <c r="F268" s="11">
        <f>IF(AND(ISNUMBER(F24),ISNUMBER(F25)),IF((F24-F25)&gt;0,"+"&amp;FIXED((F24-F25),0),IF((F24-F25)&lt;0,"−"&amp;FIXED(-(F24-F25),0),"±0")),"")</f>
        <v>0</v>
      </c>
      <c r="G268" s="11">
        <f>IF(AND(ISNUMBER(G24),ISNUMBER(G25)),IF((G24-G25)&gt;0,"+"&amp;FIXED((G24-G25),0),IF((G24-G25)&lt;0,"−"&amp;FIXED(-(G24-G25),0),"±0")),"")</f>
        <v>0</v>
      </c>
      <c r="H268" s="11">
        <f>IF(AND(ISNUMBER(H24),ISNUMBER(H25)),IF((H24-H25)&gt;0,"+"&amp;FIXED((H24-H25),0),IF((H24-H25)&lt;0,"−"&amp;FIXED(-(H24-H25),0),"±0")),"")</f>
        <v>0</v>
      </c>
      <c r="I268" s="11">
        <f>IF(AND(ISNUMBER(I24),ISNUMBER(I25)),IF((I24-I25)&gt;0,"+"&amp;FIXED((I24-I25),0),IF((I24-I25)&lt;0,"−"&amp;FIXED(-(I24-I25),0),"±0")),"")</f>
        <v>0</v>
      </c>
      <c r="J268" s="11">
        <f>IF(AND(ISNUMBER(J24),ISNUMBER(J25)),IF((J24-J25)&gt;0,"+"&amp;FIXED((J24-J25),0),IF((J24-J25)&lt;0,"−"&amp;FIXED(-(J24-J25),0),"±0")),"")</f>
        <v>0</v>
      </c>
      <c r="K268" s="11">
        <f>IF(AND(ISNUMBER(K24),ISNUMBER(K25)),IF((K24-K25)&gt;0,"+"&amp;FIXED((K24-K25),0),IF((K24-K25)&lt;0,"−"&amp;FIXED(-(K24-K25),0),"±0")),"")</f>
        <v>0</v>
      </c>
      <c r="L268" s="11">
        <f>IF(AND(ISNUMBER(L24),ISNUMBER(L25)),IF((L24-L25)&gt;0,"+"&amp;FIXED((L24-L25),0),IF((L24-L25)&lt;0,"−"&amp;FIXED(-(L24-L25),0),"±0")),"")</f>
        <v>0</v>
      </c>
      <c r="M268" s="11">
        <f>IF(AND(ISNUMBER(M24),ISNUMBER(M25)),IF((M24-M25)&gt;0,"+"&amp;FIXED((M24-M25),0),IF((M24-M25)&lt;0,"−"&amp;FIXED(-(M24-M25),0),"±0")),"")</f>
        <v>0</v>
      </c>
      <c r="N268" s="11">
        <f>IF(AND(ISNUMBER(N24),ISNUMBER(N25)),IF((N24-N25)&gt;0,"+"&amp;FIXED((N24-N25),0),IF((N24-N25)&lt;0,"−"&amp;FIXED(-(N24-N25),0),"±0")),"")</f>
        <v>0</v>
      </c>
      <c r="O268" s="11">
        <f>IF(AND(ISNUMBER(O24),ISNUMBER(O25)),IF((O24-O25)&gt;0,"+"&amp;FIXED((O24-O25),0),IF((O24-O25)&lt;0,"−"&amp;FIXED(-(O24-O25),0),"±0")),"")</f>
        <v>0</v>
      </c>
      <c r="P268" s="11">
        <f>IF(AND(ISNUMBER(P24),ISNUMBER(P25)),IF((P24-P25)&gt;0,"+"&amp;FIXED((P24-P25),0),IF((P24-P25)&lt;0,"−"&amp;FIXED(-(P24-P25),0),"±0")),"")</f>
        <v>0</v>
      </c>
      <c r="Q268" s="11">
        <f>IF(AND(ISNUMBER(Q24),ISNUMBER(Q25)),IF((Q24-Q25)&gt;0,"+"&amp;FIXED((Q24-Q25),0),IF((Q24-Q25)&lt;0,"−"&amp;FIXED(-(Q24-Q25),0),"±0")),"")</f>
        <v>0</v>
      </c>
      <c r="R268" s="11">
        <f>IF(AND(ISNUMBER(R24),ISNUMBER(R25)),IF((R24-R25)&gt;0,"+"&amp;FIXED((R24-R25),0),IF((R24-R25)&lt;0,"−"&amp;FIXED(-(R24-R25),0),"±0")),"")</f>
        <v>0</v>
      </c>
      <c r="S268" s="11">
        <f>IF(AND(ISNUMBER(S24),ISNUMBER(S25)),IF((S24-S25)&gt;0,"+"&amp;FIXED((S24-S25),0),IF((S24-S25)&lt;0,"−"&amp;FIXED(-(S24-S25),0),"±0")),"")</f>
        <v>0</v>
      </c>
      <c r="T268" s="11">
        <f>IF(AND(ISNUMBER(T24),ISNUMBER(T25)),IF((T24-T25)&gt;0,"+"&amp;FIXED((T24-T25),0),IF((T24-T25)&lt;0,"−"&amp;FIXED(-(T24-T25),0),"±0")),"")</f>
        <v>0</v>
      </c>
      <c r="U268" s="11">
        <f>IF(AND(ISNUMBER(U24),ISNUMBER(U25)),IF((U24-U25)&gt;0,"+"&amp;FIXED((U24-U25),0),IF((U24-U25)&lt;0,"−"&amp;FIXED(-(U24-U25),0),"±0")),"")</f>
        <v>0</v>
      </c>
      <c r="V268" s="11">
        <f>IF(AND(ISNUMBER(V24),ISNUMBER(V25)),IF((V24-V25)&gt;0,"+"&amp;FIXED((V24-V25),0),IF((V24-V25)&lt;0,"−"&amp;FIXED(-(V24-V25),0),"±0")),"")</f>
        <v>0</v>
      </c>
      <c r="W268" s="11">
        <f>IF(AND(ISNUMBER(W24),ISNUMBER(W25)),IF((W24-W25)&gt;0,"+"&amp;FIXED((W24-W25),0),IF((W24-W25)&lt;0,"−"&amp;FIXED(-(W24-W25),0),"±0")),"")</f>
        <v>0</v>
      </c>
      <c r="X268" s="11">
        <f>IF(AND(ISNUMBER(X24),ISNUMBER(X25)),IF((X24-X25)&gt;0,"+"&amp;FIXED((X24-X25),0),IF((X24-X25)&lt;0,"−"&amp;FIXED(-(X24-X25),0),"±0")),"")</f>
        <v>0</v>
      </c>
      <c r="Y268" s="11">
        <f>IF(AND(ISNUMBER(Y24),ISNUMBER(Y25)),IF((Y24-Y25)&gt;0,"+"&amp;FIXED((Y24-Y25),0),IF((Y24-Y25)&lt;0,"−"&amp;FIXED(-(Y24-Y25),0),"±0")),"")</f>
        <v>0</v>
      </c>
      <c r="Z268" s="11">
        <f>IF(AND(ISNUMBER(Z24),ISNUMBER(Z25)),IF((Z24-Z25)&gt;0,"+"&amp;FIXED((Z24-Z25),0),IF((Z24-Z25)&lt;0,"−"&amp;FIXED(-(Z24-Z25),0),"±0")),"")</f>
        <v>0</v>
      </c>
      <c r="AA268" s="11">
        <f>IF(AND(ISNUMBER(AA24),ISNUMBER(AA25)),IF((AA24-AA25)&gt;0,"+"&amp;FIXED((AA24-AA25),0),IF((AA24-AA25)&lt;0,"−"&amp;FIXED(-(AA24-AA25),0),"±0")),"")</f>
        <v>0</v>
      </c>
      <c r="AB268" s="11">
        <f>IF(AND(ISNUMBER(AB24),ISNUMBER(AB25)),IF((AB24-AB25)&gt;0,"+"&amp;FIXED((AB24-AB25),0),IF((AB24-AB25)&lt;0,"−"&amp;FIXED(-(AB24-AB25),0),"±0")),"")</f>
        <v>0</v>
      </c>
      <c r="AC268" s="11">
        <f>IF(AND(ISNUMBER(AC24),ISNUMBER(AC25)),IF((AC24-AC25)&gt;0,"+"&amp;FIXED((AC24-AC25),0),IF((AC24-AC25)&lt;0,"−"&amp;FIXED(-(AC24-AC25),0),"±0")),"")</f>
        <v>0</v>
      </c>
      <c r="AD268" s="11">
        <f>IF(AND(ISNUMBER(AD24),ISNUMBER(AD25)),IF((AD24-AD25)&gt;0,"+"&amp;FIXED((AD24-AD25),0),IF((AD24-AD25)&lt;0,"−"&amp;FIXED(-(AD24-AD25),0),"±0")),"")</f>
        <v>0</v>
      </c>
    </row>
    <row r="269" spans="1:95">
      <c r="A269" s="11" t="s">
        <v>605</v>
      </c>
      <c r="B269" s="11" t="s">
        <v>606</v>
      </c>
      <c r="C269" s="3" t="s">
        <v>408</v>
      </c>
      <c r="BR269" s="5">
        <f>IF(($D$248-25)&lt;1,NA(),INDEX($D$258:$AD$258,($D$248-25)))</f>
        <v>0</v>
      </c>
      <c r="BS269" s="5">
        <f>IF(($D$248-24)&lt;1,NA(),INDEX($D$258:$AD$258,($D$248-24)))</f>
        <v>0</v>
      </c>
      <c r="BT269" s="5">
        <f>IF(($D$248-23)&lt;1,NA(),INDEX($D$258:$AD$258,($D$248-23)))</f>
        <v>0</v>
      </c>
      <c r="BU269" s="5">
        <f>IF(($D$248-22)&lt;1,NA(),INDEX($D$258:$AD$258,($D$248-22)))</f>
        <v>0</v>
      </c>
      <c r="BV269" s="5">
        <f>IF(($D$248-21)&lt;1,NA(),INDEX($D$258:$AD$258,($D$248-21)))</f>
        <v>0</v>
      </c>
      <c r="BW269" s="5">
        <f>IF(($D$248-20)&lt;1,NA(),INDEX($D$258:$AD$258,($D$248-20)))</f>
        <v>0</v>
      </c>
      <c r="BX269" s="5">
        <f>IF(($D$248-19)&lt;1,NA(),INDEX($D$258:$AD$258,($D$248-19)))</f>
        <v>0</v>
      </c>
      <c r="BY269" s="5">
        <f>IF(($D$248-18)&lt;1,NA(),INDEX($D$258:$AD$258,($D$248-18)))</f>
        <v>0</v>
      </c>
      <c r="BZ269" s="5">
        <f>IF(($D$248-17)&lt;1,NA(),INDEX($D$258:$AD$258,($D$248-17)))</f>
        <v>0</v>
      </c>
      <c r="CA269" s="5">
        <f>IF(($D$248-16)&lt;1,NA(),INDEX($D$258:$AD$258,($D$248-16)))</f>
        <v>0</v>
      </c>
      <c r="CB269" s="5">
        <f>IF(($D$248-15)&lt;1,NA(),INDEX($D$258:$AD$258,($D$248-15)))</f>
        <v>0</v>
      </c>
      <c r="CC269" s="5">
        <f>IF(($D$248-14)&lt;1,NA(),INDEX($D$258:$AD$258,($D$248-14)))</f>
        <v>0</v>
      </c>
      <c r="CD269" s="5">
        <f>IF(($D$248-13)&lt;1,NA(),INDEX($D$258:$AD$258,($D$248-13)))</f>
        <v>0</v>
      </c>
      <c r="CE269" s="5">
        <f>IF(($D$248-12)&lt;1,NA(),INDEX($D$258:$AD$258,($D$248-12)))</f>
        <v>0</v>
      </c>
      <c r="CF269" s="5">
        <f>IF(($D$248-11)&lt;1,NA(),INDEX($D$258:$AD$258,($D$248-11)))</f>
        <v>0</v>
      </c>
      <c r="CG269" s="5">
        <f>IF(($D$248-10)&lt;1,NA(),INDEX($D$258:$AD$258,($D$248-10)))</f>
        <v>0</v>
      </c>
      <c r="CH269" s="5">
        <f>IF(($D$248-9)&lt;1,NA(),INDEX($D$258:$AD$258,($D$248-9)))</f>
        <v>0</v>
      </c>
      <c r="CI269" s="5">
        <f>IF(($D$248-8)&lt;1,NA(),INDEX($D$258:$AD$258,($D$248-8)))</f>
        <v>0</v>
      </c>
      <c r="CJ269" s="5">
        <f>IF(($D$248-7)&lt;1,NA(),INDEX($D$258:$AD$258,($D$248-7)))</f>
        <v>0</v>
      </c>
      <c r="CK269" s="5">
        <f>IF(($D$248-6)&lt;1,NA(),INDEX($D$258:$AD$258,($D$248-6)))</f>
        <v>0</v>
      </c>
      <c r="CL269" s="5">
        <f>IF(($D$248-5)&lt;1,NA(),INDEX($D$258:$AD$258,($D$248-5)))</f>
        <v>0</v>
      </c>
      <c r="CM269" s="5">
        <f>IF(($D$248-4)&lt;1,NA(),INDEX($D$258:$AD$258,($D$248-4)))</f>
        <v>0</v>
      </c>
      <c r="CN269" s="5">
        <f>IF(($D$248-3)&lt;1,NA(),INDEX($D$258:$AD$258,($D$248-3)))</f>
        <v>0</v>
      </c>
      <c r="CO269" s="5">
        <f>IF(($D$248-2)&lt;1,NA(),INDEX($D$258:$AD$258,($D$248-2)))</f>
        <v>0</v>
      </c>
      <c r="CP269" s="5">
        <f>IF(($D$248-1)&lt;1,NA(),INDEX($D$258:$AD$258,($D$248-1)))</f>
        <v>0</v>
      </c>
      <c r="CQ269" s="5">
        <f>IF(($D$248-0)&lt;1,NA(),INDEX($D$258:$AD$258,($D$248-0)))</f>
        <v>0</v>
      </c>
    </row>
    <row r="270" spans="1:95">
      <c r="A270" s="11" t="s">
        <v>607</v>
      </c>
      <c r="B270" s="11" t="s">
        <v>608</v>
      </c>
      <c r="C270" s="3" t="s">
        <v>408</v>
      </c>
      <c r="BR270" s="5">
        <f>IF(($D$248-25)&lt;1,NA(),INDEX($D$260:$AD$260,($D$248-25)))</f>
        <v>0</v>
      </c>
      <c r="BS270" s="5">
        <f>IF(($D$248-24)&lt;1,NA(),INDEX($D$260:$AD$260,($D$248-24)))</f>
        <v>0</v>
      </c>
      <c r="BT270" s="5">
        <f>IF(($D$248-23)&lt;1,NA(),INDEX($D$260:$AD$260,($D$248-23)))</f>
        <v>0</v>
      </c>
      <c r="BU270" s="5">
        <f>IF(($D$248-22)&lt;1,NA(),INDEX($D$260:$AD$260,($D$248-22)))</f>
        <v>0</v>
      </c>
      <c r="BV270" s="5">
        <f>IF(($D$248-21)&lt;1,NA(),INDEX($D$260:$AD$260,($D$248-21)))</f>
        <v>0</v>
      </c>
      <c r="BW270" s="5">
        <f>IF(($D$248-20)&lt;1,NA(),INDEX($D$260:$AD$260,($D$248-20)))</f>
        <v>0</v>
      </c>
      <c r="BX270" s="5">
        <f>IF(($D$248-19)&lt;1,NA(),INDEX($D$260:$AD$260,($D$248-19)))</f>
        <v>0</v>
      </c>
      <c r="BY270" s="5">
        <f>IF(($D$248-18)&lt;1,NA(),INDEX($D$260:$AD$260,($D$248-18)))</f>
        <v>0</v>
      </c>
      <c r="BZ270" s="5">
        <f>IF(($D$248-17)&lt;1,NA(),INDEX($D$260:$AD$260,($D$248-17)))</f>
        <v>0</v>
      </c>
      <c r="CA270" s="5">
        <f>IF(($D$248-16)&lt;1,NA(),INDEX($D$260:$AD$260,($D$248-16)))</f>
        <v>0</v>
      </c>
      <c r="CB270" s="5">
        <f>IF(($D$248-15)&lt;1,NA(),INDEX($D$260:$AD$260,($D$248-15)))</f>
        <v>0</v>
      </c>
      <c r="CC270" s="5">
        <f>IF(($D$248-14)&lt;1,NA(),INDEX($D$260:$AD$260,($D$248-14)))</f>
        <v>0</v>
      </c>
      <c r="CD270" s="5">
        <f>IF(($D$248-13)&lt;1,NA(),INDEX($D$260:$AD$260,($D$248-13)))</f>
        <v>0</v>
      </c>
      <c r="CE270" s="5">
        <f>IF(($D$248-12)&lt;1,NA(),INDEX($D$260:$AD$260,($D$248-12)))</f>
        <v>0</v>
      </c>
      <c r="CF270" s="5">
        <f>IF(($D$248-11)&lt;1,NA(),INDEX($D$260:$AD$260,($D$248-11)))</f>
        <v>0</v>
      </c>
      <c r="CG270" s="5">
        <f>IF(($D$248-10)&lt;1,NA(),INDEX($D$260:$AD$260,($D$248-10)))</f>
        <v>0</v>
      </c>
      <c r="CH270" s="5">
        <f>IF(($D$248-9)&lt;1,NA(),INDEX($D$260:$AD$260,($D$248-9)))</f>
        <v>0</v>
      </c>
      <c r="CI270" s="5">
        <f>IF(($D$248-8)&lt;1,NA(),INDEX($D$260:$AD$260,($D$248-8)))</f>
        <v>0</v>
      </c>
      <c r="CJ270" s="5">
        <f>IF(($D$248-7)&lt;1,NA(),INDEX($D$260:$AD$260,($D$248-7)))</f>
        <v>0</v>
      </c>
      <c r="CK270" s="5">
        <f>IF(($D$248-6)&lt;1,NA(),INDEX($D$260:$AD$260,($D$248-6)))</f>
        <v>0</v>
      </c>
      <c r="CL270" s="5">
        <f>IF(($D$248-5)&lt;1,NA(),INDEX($D$260:$AD$260,($D$248-5)))</f>
        <v>0</v>
      </c>
      <c r="CM270" s="5">
        <f>IF(($D$248-4)&lt;1,NA(),INDEX($D$260:$AD$260,($D$248-4)))</f>
        <v>0</v>
      </c>
      <c r="CN270" s="5">
        <f>IF(($D$248-3)&lt;1,NA(),INDEX($D$260:$AD$260,($D$248-3)))</f>
        <v>0</v>
      </c>
      <c r="CO270" s="5">
        <f>IF(($D$248-2)&lt;1,NA(),INDEX($D$260:$AD$260,($D$248-2)))</f>
        <v>0</v>
      </c>
      <c r="CP270" s="5">
        <f>IF(($D$248-1)&lt;1,NA(),INDEX($D$260:$AD$260,($D$248-1)))</f>
        <v>0</v>
      </c>
      <c r="CQ270" s="5">
        <f>IF(($D$248-0)&lt;1,NA(),INDEX($D$260:$AD$260,($D$248-0)))</f>
        <v>0</v>
      </c>
    </row>
    <row r="271" spans="1:95">
      <c r="A271" s="11" t="s">
        <v>609</v>
      </c>
      <c r="B271" s="11" t="s">
        <v>610</v>
      </c>
      <c r="C271" s="3" t="s">
        <v>408</v>
      </c>
      <c r="BR271" s="5">
        <f>IF(($D$248-25)&lt;1,NA(),INDEX($D$262:$AD$262,($D$248-25)))</f>
        <v>0</v>
      </c>
      <c r="BS271" s="5">
        <f>IF(($D$248-24)&lt;1,NA(),INDEX($D$262:$AD$262,($D$248-24)))</f>
        <v>0</v>
      </c>
      <c r="BT271" s="5">
        <f>IF(($D$248-23)&lt;1,NA(),INDEX($D$262:$AD$262,($D$248-23)))</f>
        <v>0</v>
      </c>
      <c r="BU271" s="5">
        <f>IF(($D$248-22)&lt;1,NA(),INDEX($D$262:$AD$262,($D$248-22)))</f>
        <v>0</v>
      </c>
      <c r="BV271" s="5">
        <f>IF(($D$248-21)&lt;1,NA(),INDEX($D$262:$AD$262,($D$248-21)))</f>
        <v>0</v>
      </c>
      <c r="BW271" s="5">
        <f>IF(($D$248-20)&lt;1,NA(),INDEX($D$262:$AD$262,($D$248-20)))</f>
        <v>0</v>
      </c>
      <c r="BX271" s="5">
        <f>IF(($D$248-19)&lt;1,NA(),INDEX($D$262:$AD$262,($D$248-19)))</f>
        <v>0</v>
      </c>
      <c r="BY271" s="5">
        <f>IF(($D$248-18)&lt;1,NA(),INDEX($D$262:$AD$262,($D$248-18)))</f>
        <v>0</v>
      </c>
      <c r="BZ271" s="5">
        <f>IF(($D$248-17)&lt;1,NA(),INDEX($D$262:$AD$262,($D$248-17)))</f>
        <v>0</v>
      </c>
      <c r="CA271" s="5">
        <f>IF(($D$248-16)&lt;1,NA(),INDEX($D$262:$AD$262,($D$248-16)))</f>
        <v>0</v>
      </c>
      <c r="CB271" s="5">
        <f>IF(($D$248-15)&lt;1,NA(),INDEX($D$262:$AD$262,($D$248-15)))</f>
        <v>0</v>
      </c>
      <c r="CC271" s="5">
        <f>IF(($D$248-14)&lt;1,NA(),INDEX($D$262:$AD$262,($D$248-14)))</f>
        <v>0</v>
      </c>
      <c r="CD271" s="5">
        <f>IF(($D$248-13)&lt;1,NA(),INDEX($D$262:$AD$262,($D$248-13)))</f>
        <v>0</v>
      </c>
      <c r="CE271" s="5">
        <f>IF(($D$248-12)&lt;1,NA(),INDEX($D$262:$AD$262,($D$248-12)))</f>
        <v>0</v>
      </c>
      <c r="CF271" s="5">
        <f>IF(($D$248-11)&lt;1,NA(),INDEX($D$262:$AD$262,($D$248-11)))</f>
        <v>0</v>
      </c>
      <c r="CG271" s="5">
        <f>IF(($D$248-10)&lt;1,NA(),INDEX($D$262:$AD$262,($D$248-10)))</f>
        <v>0</v>
      </c>
      <c r="CH271" s="5">
        <f>IF(($D$248-9)&lt;1,NA(),INDEX($D$262:$AD$262,($D$248-9)))</f>
        <v>0</v>
      </c>
      <c r="CI271" s="5">
        <f>IF(($D$248-8)&lt;1,NA(),INDEX($D$262:$AD$262,($D$248-8)))</f>
        <v>0</v>
      </c>
      <c r="CJ271" s="5">
        <f>IF(($D$248-7)&lt;1,NA(),INDEX($D$262:$AD$262,($D$248-7)))</f>
        <v>0</v>
      </c>
      <c r="CK271" s="5">
        <f>IF(($D$248-6)&lt;1,NA(),INDEX($D$262:$AD$262,($D$248-6)))</f>
        <v>0</v>
      </c>
      <c r="CL271" s="5">
        <f>IF(($D$248-5)&lt;1,NA(),INDEX($D$262:$AD$262,($D$248-5)))</f>
        <v>0</v>
      </c>
      <c r="CM271" s="5">
        <f>IF(($D$248-4)&lt;1,NA(),INDEX($D$262:$AD$262,($D$248-4)))</f>
        <v>0</v>
      </c>
      <c r="CN271" s="5">
        <f>IF(($D$248-3)&lt;1,NA(),INDEX($D$262:$AD$262,($D$248-3)))</f>
        <v>0</v>
      </c>
      <c r="CO271" s="5">
        <f>IF(($D$248-2)&lt;1,NA(),INDEX($D$262:$AD$262,($D$248-2)))</f>
        <v>0</v>
      </c>
      <c r="CP271" s="5">
        <f>IF(($D$248-1)&lt;1,NA(),INDEX($D$262:$AD$262,($D$248-1)))</f>
        <v>0</v>
      </c>
      <c r="CQ271" s="5">
        <f>IF(($D$248-0)&lt;1,NA(),INDEX($D$262:$AD$262,($D$248-0)))</f>
        <v>0</v>
      </c>
    </row>
    <row r="272" spans="1:95">
      <c r="A272" s="11" t="s">
        <v>611</v>
      </c>
      <c r="B272" s="11" t="s">
        <v>612</v>
      </c>
      <c r="C272" s="3" t="s">
        <v>408</v>
      </c>
      <c r="BR272" s="11">
        <f>IF(($D$248-25)&lt;1,"",INDEX($D$259:$AD$259,($D$248-25)))</f>
        <v>0</v>
      </c>
      <c r="BS272" s="11">
        <f>IF(($D$248-24)&lt;1,"",INDEX($D$259:$AD$259,($D$248-24)))</f>
        <v>0</v>
      </c>
      <c r="BT272" s="11">
        <f>IF(($D$248-23)&lt;1,"",INDEX($D$259:$AD$259,($D$248-23)))</f>
        <v>0</v>
      </c>
      <c r="BU272" s="11">
        <f>IF(($D$248-22)&lt;1,"",INDEX($D$259:$AD$259,($D$248-22)))</f>
        <v>0</v>
      </c>
      <c r="BV272" s="11">
        <f>IF(($D$248-21)&lt;1,"",INDEX($D$259:$AD$259,($D$248-21)))</f>
        <v>0</v>
      </c>
      <c r="BW272" s="11">
        <f>IF(($D$248-20)&lt;1,"",INDEX($D$259:$AD$259,($D$248-20)))</f>
        <v>0</v>
      </c>
      <c r="BX272" s="11">
        <f>IF(($D$248-19)&lt;1,"",INDEX($D$259:$AD$259,($D$248-19)))</f>
        <v>0</v>
      </c>
      <c r="BY272" s="11">
        <f>IF(($D$248-18)&lt;1,"",INDEX($D$259:$AD$259,($D$248-18)))</f>
        <v>0</v>
      </c>
      <c r="BZ272" s="11">
        <f>IF(($D$248-17)&lt;1,"",INDEX($D$259:$AD$259,($D$248-17)))</f>
        <v>0</v>
      </c>
      <c r="CA272" s="11">
        <f>IF(($D$248-16)&lt;1,"",INDEX($D$259:$AD$259,($D$248-16)))</f>
        <v>0</v>
      </c>
      <c r="CB272" s="11">
        <f>IF(($D$248-15)&lt;1,"",INDEX($D$259:$AD$259,($D$248-15)))</f>
        <v>0</v>
      </c>
      <c r="CC272" s="11">
        <f>IF(($D$248-14)&lt;1,"",INDEX($D$259:$AD$259,($D$248-14)))</f>
        <v>0</v>
      </c>
      <c r="CD272" s="11">
        <f>IF(($D$248-13)&lt;1,"",INDEX($D$259:$AD$259,($D$248-13)))</f>
        <v>0</v>
      </c>
      <c r="CE272" s="11">
        <f>IF(($D$248-12)&lt;1,"",INDEX($D$259:$AD$259,($D$248-12)))</f>
        <v>0</v>
      </c>
      <c r="CF272" s="11">
        <f>IF(($D$248-11)&lt;1,"",INDEX($D$259:$AD$259,($D$248-11)))</f>
        <v>0</v>
      </c>
      <c r="CG272" s="11">
        <f>IF(($D$248-10)&lt;1,"",INDEX($D$259:$AD$259,($D$248-10)))</f>
        <v>0</v>
      </c>
      <c r="CH272" s="11">
        <f>IF(($D$248-9)&lt;1,"",INDEX($D$259:$AD$259,($D$248-9)))</f>
        <v>0</v>
      </c>
      <c r="CI272" s="11">
        <f>IF(($D$248-8)&lt;1,"",INDEX($D$259:$AD$259,($D$248-8)))</f>
        <v>0</v>
      </c>
      <c r="CJ272" s="11">
        <f>IF(($D$248-7)&lt;1,"",INDEX($D$259:$AD$259,($D$248-7)))</f>
        <v>0</v>
      </c>
      <c r="CK272" s="11">
        <f>IF(($D$248-6)&lt;1,"",INDEX($D$259:$AD$259,($D$248-6)))</f>
        <v>0</v>
      </c>
      <c r="CL272" s="11">
        <f>IF(($D$248-5)&lt;1,"",INDEX($D$259:$AD$259,($D$248-5)))</f>
        <v>0</v>
      </c>
      <c r="CM272" s="11">
        <f>IF(($D$248-4)&lt;1,"",INDEX($D$259:$AD$259,($D$248-4)))</f>
        <v>0</v>
      </c>
      <c r="CN272" s="11">
        <f>IF(($D$248-3)&lt;1,"",INDEX($D$259:$AD$259,($D$248-3)))</f>
        <v>0</v>
      </c>
      <c r="CO272" s="11">
        <f>IF(($D$248-2)&lt;1,"",INDEX($D$259:$AD$259,($D$248-2)))</f>
        <v>0</v>
      </c>
      <c r="CP272" s="11">
        <f>IF(($D$248-1)&lt;1,"",INDEX($D$259:$AD$259,($D$248-1)))</f>
        <v>0</v>
      </c>
      <c r="CQ272" s="11">
        <f>IF(($D$248-0)&lt;1,"",INDEX($D$259:$AD$259,($D$248-0)))</f>
        <v>0</v>
      </c>
    </row>
    <row r="273" spans="1:95">
      <c r="A273" s="11" t="s">
        <v>613</v>
      </c>
      <c r="B273" s="11" t="s">
        <v>614</v>
      </c>
      <c r="C273" s="3" t="s">
        <v>408</v>
      </c>
      <c r="BR273" s="5">
        <f>IF(($D$248-25)&lt;1,NA(),INDEX($D$263:$AD$263,($D$248-25)))</f>
        <v>0</v>
      </c>
      <c r="BS273" s="5">
        <f>IF(($D$248-24)&lt;1,NA(),INDEX($D$263:$AD$263,($D$248-24)))</f>
        <v>0</v>
      </c>
      <c r="BT273" s="5">
        <f>IF(($D$248-23)&lt;1,NA(),INDEX($D$263:$AD$263,($D$248-23)))</f>
        <v>0</v>
      </c>
      <c r="BU273" s="5">
        <f>IF(($D$248-22)&lt;1,NA(),INDEX($D$263:$AD$263,($D$248-22)))</f>
        <v>0</v>
      </c>
      <c r="BV273" s="5">
        <f>IF(($D$248-21)&lt;1,NA(),INDEX($D$263:$AD$263,($D$248-21)))</f>
        <v>0</v>
      </c>
      <c r="BW273" s="5">
        <f>IF(($D$248-20)&lt;1,NA(),INDEX($D$263:$AD$263,($D$248-20)))</f>
        <v>0</v>
      </c>
      <c r="BX273" s="5">
        <f>IF(($D$248-19)&lt;1,NA(),INDEX($D$263:$AD$263,($D$248-19)))</f>
        <v>0</v>
      </c>
      <c r="BY273" s="5">
        <f>IF(($D$248-18)&lt;1,NA(),INDEX($D$263:$AD$263,($D$248-18)))</f>
        <v>0</v>
      </c>
      <c r="BZ273" s="5">
        <f>IF(($D$248-17)&lt;1,NA(),INDEX($D$263:$AD$263,($D$248-17)))</f>
        <v>0</v>
      </c>
      <c r="CA273" s="5">
        <f>IF(($D$248-16)&lt;1,NA(),INDEX($D$263:$AD$263,($D$248-16)))</f>
        <v>0</v>
      </c>
      <c r="CB273" s="5">
        <f>IF(($D$248-15)&lt;1,NA(),INDEX($D$263:$AD$263,($D$248-15)))</f>
        <v>0</v>
      </c>
      <c r="CC273" s="5">
        <f>IF(($D$248-14)&lt;1,NA(),INDEX($D$263:$AD$263,($D$248-14)))</f>
        <v>0</v>
      </c>
      <c r="CD273" s="5">
        <f>IF(($D$248-13)&lt;1,NA(),INDEX($D$263:$AD$263,($D$248-13)))</f>
        <v>0</v>
      </c>
      <c r="CE273" s="5">
        <f>IF(($D$248-12)&lt;1,NA(),INDEX($D$263:$AD$263,($D$248-12)))</f>
        <v>0</v>
      </c>
      <c r="CF273" s="5">
        <f>IF(($D$248-11)&lt;1,NA(),INDEX($D$263:$AD$263,($D$248-11)))</f>
        <v>0</v>
      </c>
      <c r="CG273" s="5">
        <f>IF(($D$248-10)&lt;1,NA(),INDEX($D$263:$AD$263,($D$248-10)))</f>
        <v>0</v>
      </c>
      <c r="CH273" s="5">
        <f>IF(($D$248-9)&lt;1,NA(),INDEX($D$263:$AD$263,($D$248-9)))</f>
        <v>0</v>
      </c>
      <c r="CI273" s="5">
        <f>IF(($D$248-8)&lt;1,NA(),INDEX($D$263:$AD$263,($D$248-8)))</f>
        <v>0</v>
      </c>
      <c r="CJ273" s="5">
        <f>IF(($D$248-7)&lt;1,NA(),INDEX($D$263:$AD$263,($D$248-7)))</f>
        <v>0</v>
      </c>
      <c r="CK273" s="5">
        <f>IF(($D$248-6)&lt;1,NA(),INDEX($D$263:$AD$263,($D$248-6)))</f>
        <v>0</v>
      </c>
      <c r="CL273" s="5">
        <f>IF(($D$248-5)&lt;1,NA(),INDEX($D$263:$AD$263,($D$248-5)))</f>
        <v>0</v>
      </c>
      <c r="CM273" s="5">
        <f>IF(($D$248-4)&lt;1,NA(),INDEX($D$263:$AD$263,($D$248-4)))</f>
        <v>0</v>
      </c>
      <c r="CN273" s="5">
        <f>IF(($D$248-3)&lt;1,NA(),INDEX($D$263:$AD$263,($D$248-3)))</f>
        <v>0</v>
      </c>
      <c r="CO273" s="5">
        <f>IF(($D$248-2)&lt;1,NA(),INDEX($D$263:$AD$263,($D$248-2)))</f>
        <v>0</v>
      </c>
      <c r="CP273" s="5">
        <f>IF(($D$248-1)&lt;1,NA(),INDEX($D$263:$AD$263,($D$248-1)))</f>
        <v>0</v>
      </c>
      <c r="CQ273" s="5">
        <f>IF(($D$248-0)&lt;1,NA(),INDEX($D$263:$AD$263,($D$248-0)))</f>
        <v>0</v>
      </c>
    </row>
    <row r="274" spans="1:95">
      <c r="A274" s="11" t="s">
        <v>615</v>
      </c>
      <c r="B274" s="11" t="s">
        <v>616</v>
      </c>
      <c r="C274" s="3" t="s">
        <v>408</v>
      </c>
      <c r="BR274" s="11">
        <f>IF(($D$248-25)&lt;1,"",INDEX($D$261:$AD$261,($D$248-25)))</f>
        <v>0</v>
      </c>
      <c r="BS274" s="11">
        <f>IF(($D$248-24)&lt;1,"",INDEX($D$261:$AD$261,($D$248-24)))</f>
        <v>0</v>
      </c>
      <c r="BT274" s="11">
        <f>IF(($D$248-23)&lt;1,"",INDEX($D$261:$AD$261,($D$248-23)))</f>
        <v>0</v>
      </c>
      <c r="BU274" s="11">
        <f>IF(($D$248-22)&lt;1,"",INDEX($D$261:$AD$261,($D$248-22)))</f>
        <v>0</v>
      </c>
      <c r="BV274" s="11">
        <f>IF(($D$248-21)&lt;1,"",INDEX($D$261:$AD$261,($D$248-21)))</f>
        <v>0</v>
      </c>
      <c r="BW274" s="11">
        <f>IF(($D$248-20)&lt;1,"",INDEX($D$261:$AD$261,($D$248-20)))</f>
        <v>0</v>
      </c>
      <c r="BX274" s="11">
        <f>IF(($D$248-19)&lt;1,"",INDEX($D$261:$AD$261,($D$248-19)))</f>
        <v>0</v>
      </c>
      <c r="BY274" s="11">
        <f>IF(($D$248-18)&lt;1,"",INDEX($D$261:$AD$261,($D$248-18)))</f>
        <v>0</v>
      </c>
      <c r="BZ274" s="11">
        <f>IF(($D$248-17)&lt;1,"",INDEX($D$261:$AD$261,($D$248-17)))</f>
        <v>0</v>
      </c>
      <c r="CA274" s="11">
        <f>IF(($D$248-16)&lt;1,"",INDEX($D$261:$AD$261,($D$248-16)))</f>
        <v>0</v>
      </c>
      <c r="CB274" s="11">
        <f>IF(($D$248-15)&lt;1,"",INDEX($D$261:$AD$261,($D$248-15)))</f>
        <v>0</v>
      </c>
      <c r="CC274" s="11">
        <f>IF(($D$248-14)&lt;1,"",INDEX($D$261:$AD$261,($D$248-14)))</f>
        <v>0</v>
      </c>
      <c r="CD274" s="11">
        <f>IF(($D$248-13)&lt;1,"",INDEX($D$261:$AD$261,($D$248-13)))</f>
        <v>0</v>
      </c>
      <c r="CE274" s="11">
        <f>IF(($D$248-12)&lt;1,"",INDEX($D$261:$AD$261,($D$248-12)))</f>
        <v>0</v>
      </c>
      <c r="CF274" s="11">
        <f>IF(($D$248-11)&lt;1,"",INDEX($D$261:$AD$261,($D$248-11)))</f>
        <v>0</v>
      </c>
      <c r="CG274" s="11">
        <f>IF(($D$248-10)&lt;1,"",INDEX($D$261:$AD$261,($D$248-10)))</f>
        <v>0</v>
      </c>
      <c r="CH274" s="11">
        <f>IF(($D$248-9)&lt;1,"",INDEX($D$261:$AD$261,($D$248-9)))</f>
        <v>0</v>
      </c>
      <c r="CI274" s="11">
        <f>IF(($D$248-8)&lt;1,"",INDEX($D$261:$AD$261,($D$248-8)))</f>
        <v>0</v>
      </c>
      <c r="CJ274" s="11">
        <f>IF(($D$248-7)&lt;1,"",INDEX($D$261:$AD$261,($D$248-7)))</f>
        <v>0</v>
      </c>
      <c r="CK274" s="11">
        <f>IF(($D$248-6)&lt;1,"",INDEX($D$261:$AD$261,($D$248-6)))</f>
        <v>0</v>
      </c>
      <c r="CL274" s="11">
        <f>IF(($D$248-5)&lt;1,"",INDEX($D$261:$AD$261,($D$248-5)))</f>
        <v>0</v>
      </c>
      <c r="CM274" s="11">
        <f>IF(($D$248-4)&lt;1,"",INDEX($D$261:$AD$261,($D$248-4)))</f>
        <v>0</v>
      </c>
      <c r="CN274" s="11">
        <f>IF(($D$248-3)&lt;1,"",INDEX($D$261:$AD$261,($D$248-3)))</f>
        <v>0</v>
      </c>
      <c r="CO274" s="11">
        <f>IF(($D$248-2)&lt;1,"",INDEX($D$261:$AD$261,($D$248-2)))</f>
        <v>0</v>
      </c>
      <c r="CP274" s="11">
        <f>IF(($D$248-1)&lt;1,"",INDEX($D$261:$AD$261,($D$248-1)))</f>
        <v>0</v>
      </c>
      <c r="CQ274" s="11">
        <f>IF(($D$248-0)&lt;1,"",INDEX($D$261:$AD$261,($D$248-0)))</f>
        <v>0</v>
      </c>
    </row>
    <row r="275" spans="1:95">
      <c r="A275" s="11" t="s">
        <v>617</v>
      </c>
      <c r="B275" s="11" t="s">
        <v>618</v>
      </c>
      <c r="C275" s="3" t="s">
        <v>408</v>
      </c>
      <c r="BR275" s="5">
        <f>IF(($D$248-25)&lt;1,NA(),INDEX($D$265:$AD$265,($D$248-25)))</f>
        <v>0</v>
      </c>
      <c r="BS275" s="5">
        <f>IF(($D$248-24)&lt;1,NA(),INDEX($D$265:$AD$265,($D$248-24)))</f>
        <v>0</v>
      </c>
      <c r="BT275" s="5">
        <f>IF(($D$248-23)&lt;1,NA(),INDEX($D$265:$AD$265,($D$248-23)))</f>
        <v>0</v>
      </c>
      <c r="BU275" s="5">
        <f>IF(($D$248-22)&lt;1,NA(),INDEX($D$265:$AD$265,($D$248-22)))</f>
        <v>0</v>
      </c>
      <c r="BV275" s="5">
        <f>IF(($D$248-21)&lt;1,NA(),INDEX($D$265:$AD$265,($D$248-21)))</f>
        <v>0</v>
      </c>
      <c r="BW275" s="5">
        <f>IF(($D$248-20)&lt;1,NA(),INDEX($D$265:$AD$265,($D$248-20)))</f>
        <v>0</v>
      </c>
      <c r="BX275" s="5">
        <f>IF(($D$248-19)&lt;1,NA(),INDEX($D$265:$AD$265,($D$248-19)))</f>
        <v>0</v>
      </c>
      <c r="BY275" s="5">
        <f>IF(($D$248-18)&lt;1,NA(),INDEX($D$265:$AD$265,($D$248-18)))</f>
        <v>0</v>
      </c>
      <c r="BZ275" s="5">
        <f>IF(($D$248-17)&lt;1,NA(),INDEX($D$265:$AD$265,($D$248-17)))</f>
        <v>0</v>
      </c>
      <c r="CA275" s="5">
        <f>IF(($D$248-16)&lt;1,NA(),INDEX($D$265:$AD$265,($D$248-16)))</f>
        <v>0</v>
      </c>
      <c r="CB275" s="5">
        <f>IF(($D$248-15)&lt;1,NA(),INDEX($D$265:$AD$265,($D$248-15)))</f>
        <v>0</v>
      </c>
      <c r="CC275" s="5">
        <f>IF(($D$248-14)&lt;1,NA(),INDEX($D$265:$AD$265,($D$248-14)))</f>
        <v>0</v>
      </c>
      <c r="CD275" s="5">
        <f>IF(($D$248-13)&lt;1,NA(),INDEX($D$265:$AD$265,($D$248-13)))</f>
        <v>0</v>
      </c>
      <c r="CE275" s="5">
        <f>IF(($D$248-12)&lt;1,NA(),INDEX($D$265:$AD$265,($D$248-12)))</f>
        <v>0</v>
      </c>
      <c r="CF275" s="5">
        <f>IF(($D$248-11)&lt;1,NA(),INDEX($D$265:$AD$265,($D$248-11)))</f>
        <v>0</v>
      </c>
      <c r="CG275" s="5">
        <f>IF(($D$248-10)&lt;1,NA(),INDEX($D$265:$AD$265,($D$248-10)))</f>
        <v>0</v>
      </c>
      <c r="CH275" s="5">
        <f>IF(($D$248-9)&lt;1,NA(),INDEX($D$265:$AD$265,($D$248-9)))</f>
        <v>0</v>
      </c>
      <c r="CI275" s="5">
        <f>IF(($D$248-8)&lt;1,NA(),INDEX($D$265:$AD$265,($D$248-8)))</f>
        <v>0</v>
      </c>
      <c r="CJ275" s="5">
        <f>IF(($D$248-7)&lt;1,NA(),INDEX($D$265:$AD$265,($D$248-7)))</f>
        <v>0</v>
      </c>
      <c r="CK275" s="5">
        <f>IF(($D$248-6)&lt;1,NA(),INDEX($D$265:$AD$265,($D$248-6)))</f>
        <v>0</v>
      </c>
      <c r="CL275" s="5">
        <f>IF(($D$248-5)&lt;1,NA(),INDEX($D$265:$AD$265,($D$248-5)))</f>
        <v>0</v>
      </c>
      <c r="CM275" s="5">
        <f>IF(($D$248-4)&lt;1,NA(),INDEX($D$265:$AD$265,($D$248-4)))</f>
        <v>0</v>
      </c>
      <c r="CN275" s="5">
        <f>IF(($D$248-3)&lt;1,NA(),INDEX($D$265:$AD$265,($D$248-3)))</f>
        <v>0</v>
      </c>
      <c r="CO275" s="5">
        <f>IF(($D$248-2)&lt;1,NA(),INDEX($D$265:$AD$265,($D$248-2)))</f>
        <v>0</v>
      </c>
      <c r="CP275" s="5">
        <f>IF(($D$248-1)&lt;1,NA(),INDEX($D$265:$AD$265,($D$248-1)))</f>
        <v>0</v>
      </c>
      <c r="CQ275" s="5">
        <f>IF(($D$248-0)&lt;1,NA(),INDEX($D$265:$AD$265,($D$248-0)))</f>
        <v>0</v>
      </c>
    </row>
    <row r="276" spans="1:95">
      <c r="A276" s="11" t="s">
        <v>619</v>
      </c>
      <c r="B276" s="11" t="s">
        <v>620</v>
      </c>
      <c r="C276" s="3" t="s">
        <v>408</v>
      </c>
      <c r="BR276" s="5">
        <f>IF(($D$248-25)&lt;1,NA(),INDEX($D$266:$AD$266,($D$248-25)))</f>
        <v>0</v>
      </c>
      <c r="BS276" s="5">
        <f>IF(($D$248-24)&lt;1,NA(),INDEX($D$266:$AD$266,($D$248-24)))</f>
        <v>0</v>
      </c>
      <c r="BT276" s="5">
        <f>IF(($D$248-23)&lt;1,NA(),INDEX($D$266:$AD$266,($D$248-23)))</f>
        <v>0</v>
      </c>
      <c r="BU276" s="5">
        <f>IF(($D$248-22)&lt;1,NA(),INDEX($D$266:$AD$266,($D$248-22)))</f>
        <v>0</v>
      </c>
      <c r="BV276" s="5">
        <f>IF(($D$248-21)&lt;1,NA(),INDEX($D$266:$AD$266,($D$248-21)))</f>
        <v>0</v>
      </c>
      <c r="BW276" s="5">
        <f>IF(($D$248-20)&lt;1,NA(),INDEX($D$266:$AD$266,($D$248-20)))</f>
        <v>0</v>
      </c>
      <c r="BX276" s="5">
        <f>IF(($D$248-19)&lt;1,NA(),INDEX($D$266:$AD$266,($D$248-19)))</f>
        <v>0</v>
      </c>
      <c r="BY276" s="5">
        <f>IF(($D$248-18)&lt;1,NA(),INDEX($D$266:$AD$266,($D$248-18)))</f>
        <v>0</v>
      </c>
      <c r="BZ276" s="5">
        <f>IF(($D$248-17)&lt;1,NA(),INDEX($D$266:$AD$266,($D$248-17)))</f>
        <v>0</v>
      </c>
      <c r="CA276" s="5">
        <f>IF(($D$248-16)&lt;1,NA(),INDEX($D$266:$AD$266,($D$248-16)))</f>
        <v>0</v>
      </c>
      <c r="CB276" s="5">
        <f>IF(($D$248-15)&lt;1,NA(),INDEX($D$266:$AD$266,($D$248-15)))</f>
        <v>0</v>
      </c>
      <c r="CC276" s="5">
        <f>IF(($D$248-14)&lt;1,NA(),INDEX($D$266:$AD$266,($D$248-14)))</f>
        <v>0</v>
      </c>
      <c r="CD276" s="5">
        <f>IF(($D$248-13)&lt;1,NA(),INDEX($D$266:$AD$266,($D$248-13)))</f>
        <v>0</v>
      </c>
      <c r="CE276" s="5">
        <f>IF(($D$248-12)&lt;1,NA(),INDEX($D$266:$AD$266,($D$248-12)))</f>
        <v>0</v>
      </c>
      <c r="CF276" s="5">
        <f>IF(($D$248-11)&lt;1,NA(),INDEX($D$266:$AD$266,($D$248-11)))</f>
        <v>0</v>
      </c>
      <c r="CG276" s="5">
        <f>IF(($D$248-10)&lt;1,NA(),INDEX($D$266:$AD$266,($D$248-10)))</f>
        <v>0</v>
      </c>
      <c r="CH276" s="5">
        <f>IF(($D$248-9)&lt;1,NA(),INDEX($D$266:$AD$266,($D$248-9)))</f>
        <v>0</v>
      </c>
      <c r="CI276" s="5">
        <f>IF(($D$248-8)&lt;1,NA(),INDEX($D$266:$AD$266,($D$248-8)))</f>
        <v>0</v>
      </c>
      <c r="CJ276" s="5">
        <f>IF(($D$248-7)&lt;1,NA(),INDEX($D$266:$AD$266,($D$248-7)))</f>
        <v>0</v>
      </c>
      <c r="CK276" s="5">
        <f>IF(($D$248-6)&lt;1,NA(),INDEX($D$266:$AD$266,($D$248-6)))</f>
        <v>0</v>
      </c>
      <c r="CL276" s="5">
        <f>IF(($D$248-5)&lt;1,NA(),INDEX($D$266:$AD$266,($D$248-5)))</f>
        <v>0</v>
      </c>
      <c r="CM276" s="5">
        <f>IF(($D$248-4)&lt;1,NA(),INDEX($D$266:$AD$266,($D$248-4)))</f>
        <v>0</v>
      </c>
      <c r="CN276" s="5">
        <f>IF(($D$248-3)&lt;1,NA(),INDEX($D$266:$AD$266,($D$248-3)))</f>
        <v>0</v>
      </c>
      <c r="CO276" s="5">
        <f>IF(($D$248-2)&lt;1,NA(),INDEX($D$266:$AD$266,($D$248-2)))</f>
        <v>0</v>
      </c>
      <c r="CP276" s="5">
        <f>IF(($D$248-1)&lt;1,NA(),INDEX($D$266:$AD$266,($D$248-1)))</f>
        <v>0</v>
      </c>
      <c r="CQ276" s="5">
        <f>IF(($D$248-0)&lt;1,NA(),INDEX($D$266:$AD$266,($D$248-0)))</f>
        <v>0</v>
      </c>
    </row>
    <row r="277" spans="1:95">
      <c r="A277" s="11" t="s">
        <v>621</v>
      </c>
      <c r="B277" s="11" t="s">
        <v>622</v>
      </c>
      <c r="C277" s="3" t="s">
        <v>408</v>
      </c>
      <c r="BR277" s="5">
        <f>IF(($D$248-25)&lt;1,NA(),INDEX($D$267:$AD$267,($D$248-25)))</f>
        <v>0</v>
      </c>
      <c r="BS277" s="5">
        <f>IF(($D$248-24)&lt;1,NA(),INDEX($D$267:$AD$267,($D$248-24)))</f>
        <v>0</v>
      </c>
      <c r="BT277" s="5">
        <f>IF(($D$248-23)&lt;1,NA(),INDEX($D$267:$AD$267,($D$248-23)))</f>
        <v>0</v>
      </c>
      <c r="BU277" s="5">
        <f>IF(($D$248-22)&lt;1,NA(),INDEX($D$267:$AD$267,($D$248-22)))</f>
        <v>0</v>
      </c>
      <c r="BV277" s="5">
        <f>IF(($D$248-21)&lt;1,NA(),INDEX($D$267:$AD$267,($D$248-21)))</f>
        <v>0</v>
      </c>
      <c r="BW277" s="5">
        <f>IF(($D$248-20)&lt;1,NA(),INDEX($D$267:$AD$267,($D$248-20)))</f>
        <v>0</v>
      </c>
      <c r="BX277" s="5">
        <f>IF(($D$248-19)&lt;1,NA(),INDEX($D$267:$AD$267,($D$248-19)))</f>
        <v>0</v>
      </c>
      <c r="BY277" s="5">
        <f>IF(($D$248-18)&lt;1,NA(),INDEX($D$267:$AD$267,($D$248-18)))</f>
        <v>0</v>
      </c>
      <c r="BZ277" s="5">
        <f>IF(($D$248-17)&lt;1,NA(),INDEX($D$267:$AD$267,($D$248-17)))</f>
        <v>0</v>
      </c>
      <c r="CA277" s="5">
        <f>IF(($D$248-16)&lt;1,NA(),INDEX($D$267:$AD$267,($D$248-16)))</f>
        <v>0</v>
      </c>
      <c r="CB277" s="5">
        <f>IF(($D$248-15)&lt;1,NA(),INDEX($D$267:$AD$267,($D$248-15)))</f>
        <v>0</v>
      </c>
      <c r="CC277" s="5">
        <f>IF(($D$248-14)&lt;1,NA(),INDEX($D$267:$AD$267,($D$248-14)))</f>
        <v>0</v>
      </c>
      <c r="CD277" s="5">
        <f>IF(($D$248-13)&lt;1,NA(),INDEX($D$267:$AD$267,($D$248-13)))</f>
        <v>0</v>
      </c>
      <c r="CE277" s="5">
        <f>IF(($D$248-12)&lt;1,NA(),INDEX($D$267:$AD$267,($D$248-12)))</f>
        <v>0</v>
      </c>
      <c r="CF277" s="5">
        <f>IF(($D$248-11)&lt;1,NA(),INDEX($D$267:$AD$267,($D$248-11)))</f>
        <v>0</v>
      </c>
      <c r="CG277" s="5">
        <f>IF(($D$248-10)&lt;1,NA(),INDEX($D$267:$AD$267,($D$248-10)))</f>
        <v>0</v>
      </c>
      <c r="CH277" s="5">
        <f>IF(($D$248-9)&lt;1,NA(),INDEX($D$267:$AD$267,($D$248-9)))</f>
        <v>0</v>
      </c>
      <c r="CI277" s="5">
        <f>IF(($D$248-8)&lt;1,NA(),INDEX($D$267:$AD$267,($D$248-8)))</f>
        <v>0</v>
      </c>
      <c r="CJ277" s="5">
        <f>IF(($D$248-7)&lt;1,NA(),INDEX($D$267:$AD$267,($D$248-7)))</f>
        <v>0</v>
      </c>
      <c r="CK277" s="5">
        <f>IF(($D$248-6)&lt;1,NA(),INDEX($D$267:$AD$267,($D$248-6)))</f>
        <v>0</v>
      </c>
      <c r="CL277" s="5">
        <f>IF(($D$248-5)&lt;1,NA(),INDEX($D$267:$AD$267,($D$248-5)))</f>
        <v>0</v>
      </c>
      <c r="CM277" s="5">
        <f>IF(($D$248-4)&lt;1,NA(),INDEX($D$267:$AD$267,($D$248-4)))</f>
        <v>0</v>
      </c>
      <c r="CN277" s="5">
        <f>IF(($D$248-3)&lt;1,NA(),INDEX($D$267:$AD$267,($D$248-3)))</f>
        <v>0</v>
      </c>
      <c r="CO277" s="5">
        <f>IF(($D$248-2)&lt;1,NA(),INDEX($D$267:$AD$267,($D$248-2)))</f>
        <v>0</v>
      </c>
      <c r="CP277" s="5">
        <f>IF(($D$248-1)&lt;1,NA(),INDEX($D$267:$AD$267,($D$248-1)))</f>
        <v>0</v>
      </c>
      <c r="CQ277" s="5">
        <f>IF(($D$248-0)&lt;1,NA(),INDEX($D$267:$AD$267,($D$248-0)))</f>
        <v>0</v>
      </c>
    </row>
    <row r="278" spans="1:95">
      <c r="A278" s="11" t="s">
        <v>623</v>
      </c>
      <c r="B278" s="11" t="s">
        <v>624</v>
      </c>
      <c r="C278" s="3" t="s">
        <v>408</v>
      </c>
      <c r="BR278" s="11">
        <f>IF(($D$248-25)&lt;1,"",INDEX($D$268:$AD$268,($D$248-25)))</f>
        <v>0</v>
      </c>
      <c r="BS278" s="11">
        <f>IF(($D$248-24)&lt;1,"",INDEX($D$268:$AD$268,($D$248-24)))</f>
        <v>0</v>
      </c>
      <c r="BT278" s="11">
        <f>IF(($D$248-23)&lt;1,"",INDEX($D$268:$AD$268,($D$248-23)))</f>
        <v>0</v>
      </c>
      <c r="BU278" s="11">
        <f>IF(($D$248-22)&lt;1,"",INDEX($D$268:$AD$268,($D$248-22)))</f>
        <v>0</v>
      </c>
      <c r="BV278" s="11">
        <f>IF(($D$248-21)&lt;1,"",INDEX($D$268:$AD$268,($D$248-21)))</f>
        <v>0</v>
      </c>
      <c r="BW278" s="11">
        <f>IF(($D$248-20)&lt;1,"",INDEX($D$268:$AD$268,($D$248-20)))</f>
        <v>0</v>
      </c>
      <c r="BX278" s="11">
        <f>IF(($D$248-19)&lt;1,"",INDEX($D$268:$AD$268,($D$248-19)))</f>
        <v>0</v>
      </c>
      <c r="BY278" s="11">
        <f>IF(($D$248-18)&lt;1,"",INDEX($D$268:$AD$268,($D$248-18)))</f>
        <v>0</v>
      </c>
      <c r="BZ278" s="11">
        <f>IF(($D$248-17)&lt;1,"",INDEX($D$268:$AD$268,($D$248-17)))</f>
        <v>0</v>
      </c>
      <c r="CA278" s="11">
        <f>IF(($D$248-16)&lt;1,"",INDEX($D$268:$AD$268,($D$248-16)))</f>
        <v>0</v>
      </c>
      <c r="CB278" s="11">
        <f>IF(($D$248-15)&lt;1,"",INDEX($D$268:$AD$268,($D$248-15)))</f>
        <v>0</v>
      </c>
      <c r="CC278" s="11">
        <f>IF(($D$248-14)&lt;1,"",INDEX($D$268:$AD$268,($D$248-14)))</f>
        <v>0</v>
      </c>
      <c r="CD278" s="11">
        <f>IF(($D$248-13)&lt;1,"",INDEX($D$268:$AD$268,($D$248-13)))</f>
        <v>0</v>
      </c>
      <c r="CE278" s="11">
        <f>IF(($D$248-12)&lt;1,"",INDEX($D$268:$AD$268,($D$248-12)))</f>
        <v>0</v>
      </c>
      <c r="CF278" s="11">
        <f>IF(($D$248-11)&lt;1,"",INDEX($D$268:$AD$268,($D$248-11)))</f>
        <v>0</v>
      </c>
      <c r="CG278" s="11">
        <f>IF(($D$248-10)&lt;1,"",INDEX($D$268:$AD$268,($D$248-10)))</f>
        <v>0</v>
      </c>
      <c r="CH278" s="11">
        <f>IF(($D$248-9)&lt;1,"",INDEX($D$268:$AD$268,($D$248-9)))</f>
        <v>0</v>
      </c>
      <c r="CI278" s="11">
        <f>IF(($D$248-8)&lt;1,"",INDEX($D$268:$AD$268,($D$248-8)))</f>
        <v>0</v>
      </c>
      <c r="CJ278" s="11">
        <f>IF(($D$248-7)&lt;1,"",INDEX($D$268:$AD$268,($D$248-7)))</f>
        <v>0</v>
      </c>
      <c r="CK278" s="11">
        <f>IF(($D$248-6)&lt;1,"",INDEX($D$268:$AD$268,($D$248-6)))</f>
        <v>0</v>
      </c>
      <c r="CL278" s="11">
        <f>IF(($D$248-5)&lt;1,"",INDEX($D$268:$AD$268,($D$248-5)))</f>
        <v>0</v>
      </c>
      <c r="CM278" s="11">
        <f>IF(($D$248-4)&lt;1,"",INDEX($D$268:$AD$268,($D$248-4)))</f>
        <v>0</v>
      </c>
      <c r="CN278" s="11">
        <f>IF(($D$248-3)&lt;1,"",INDEX($D$268:$AD$268,($D$248-3)))</f>
        <v>0</v>
      </c>
      <c r="CO278" s="11">
        <f>IF(($D$248-2)&lt;1,"",INDEX($D$268:$AD$268,($D$248-2)))</f>
        <v>0</v>
      </c>
      <c r="CP278" s="11">
        <f>IF(($D$248-1)&lt;1,"",INDEX($D$268:$AD$268,($D$248-1)))</f>
        <v>0</v>
      </c>
      <c r="CQ278" s="11">
        <f>IF(($D$248-0)&lt;1,"",INDEX($D$268:$AD$268,($D$248-0)))</f>
        <v>0</v>
      </c>
    </row>
    <row r="279" spans="1:95">
      <c r="A279" s="11" t="s">
        <v>625</v>
      </c>
      <c r="B279" s="11" t="s">
        <v>626</v>
      </c>
      <c r="C279" s="3" t="s">
        <v>137</v>
      </c>
      <c r="D279" s="5">
        <f>IF(MAX($D$280:$AD$280)=0,27,MAX($D$280:$AD$280))</f>
        <v>0</v>
      </c>
    </row>
    <row r="280" spans="1:95">
      <c r="A280" s="11" t="s">
        <v>627</v>
      </c>
      <c r="B280" s="11" t="s">
        <v>628</v>
      </c>
      <c r="C280" s="3" t="s">
        <v>137</v>
      </c>
      <c r="D280" s="5">
        <f>IF(OR(ISNUMBER(D29),ISNUMBER(D28),ISNUMBER(D27),ISNUMBER(D153),ISNUMBER(D30),ISNUMBER(D31)),1,0)</f>
        <v>0</v>
      </c>
      <c r="E280" s="5">
        <f>IF(OR(ISNUMBER(E29),ISNUMBER(E28),ISNUMBER(E27),ISNUMBER(E153),ISNUMBER(E30),ISNUMBER(E31)),2,0)</f>
        <v>0</v>
      </c>
      <c r="F280" s="5">
        <f>IF(OR(ISNUMBER(F29),ISNUMBER(F28),ISNUMBER(F27),ISNUMBER(F153),ISNUMBER(F30),ISNUMBER(F31)),3,0)</f>
        <v>0</v>
      </c>
      <c r="G280" s="5">
        <f>IF(OR(ISNUMBER(G29),ISNUMBER(G28),ISNUMBER(G27),ISNUMBER(G153),ISNUMBER(G30),ISNUMBER(G31)),4,0)</f>
        <v>0</v>
      </c>
      <c r="H280" s="5">
        <f>IF(OR(ISNUMBER(H29),ISNUMBER(H28),ISNUMBER(H27),ISNUMBER(H153),ISNUMBER(H30),ISNUMBER(H31)),5,0)</f>
        <v>0</v>
      </c>
      <c r="I280" s="5">
        <f>IF(OR(ISNUMBER(I29),ISNUMBER(I28),ISNUMBER(I27),ISNUMBER(I153),ISNUMBER(I30),ISNUMBER(I31)),6,0)</f>
        <v>0</v>
      </c>
      <c r="J280" s="5">
        <f>IF(OR(ISNUMBER(J29),ISNUMBER(J28),ISNUMBER(J27),ISNUMBER(J153),ISNUMBER(J30),ISNUMBER(J31)),7,0)</f>
        <v>0</v>
      </c>
      <c r="K280" s="5">
        <f>IF(OR(ISNUMBER(K29),ISNUMBER(K28),ISNUMBER(K27),ISNUMBER(K153),ISNUMBER(K30),ISNUMBER(K31)),8,0)</f>
        <v>0</v>
      </c>
      <c r="L280" s="5">
        <f>IF(OR(ISNUMBER(L29),ISNUMBER(L28),ISNUMBER(L27),ISNUMBER(L153),ISNUMBER(L30),ISNUMBER(L31)),9,0)</f>
        <v>0</v>
      </c>
      <c r="M280" s="5">
        <f>IF(OR(ISNUMBER(M29),ISNUMBER(M28),ISNUMBER(M27),ISNUMBER(M153),ISNUMBER(M30),ISNUMBER(M31)),10,0)</f>
        <v>0</v>
      </c>
      <c r="N280" s="5">
        <f>IF(OR(ISNUMBER(N29),ISNUMBER(N28),ISNUMBER(N27),ISNUMBER(N153),ISNUMBER(N30),ISNUMBER(N31)),11,0)</f>
        <v>0</v>
      </c>
      <c r="O280" s="5">
        <f>IF(OR(ISNUMBER(O29),ISNUMBER(O28),ISNUMBER(O27),ISNUMBER(O153),ISNUMBER(O30),ISNUMBER(O31)),12,0)</f>
        <v>0</v>
      </c>
      <c r="P280" s="5">
        <f>IF(OR(ISNUMBER(P29),ISNUMBER(P28),ISNUMBER(P27),ISNUMBER(P153),ISNUMBER(P30),ISNUMBER(P31)),13,0)</f>
        <v>0</v>
      </c>
      <c r="Q280" s="5">
        <f>IF(OR(ISNUMBER(Q29),ISNUMBER(Q28),ISNUMBER(Q27),ISNUMBER(Q153),ISNUMBER(Q30),ISNUMBER(Q31)),14,0)</f>
        <v>0</v>
      </c>
      <c r="R280" s="5">
        <f>IF(OR(ISNUMBER(R29),ISNUMBER(R28),ISNUMBER(R27),ISNUMBER(R153),ISNUMBER(R30),ISNUMBER(R31)),15,0)</f>
        <v>0</v>
      </c>
      <c r="S280" s="5">
        <f>IF(OR(ISNUMBER(S29),ISNUMBER(S28),ISNUMBER(S27),ISNUMBER(S153),ISNUMBER(S30),ISNUMBER(S31)),16,0)</f>
        <v>0</v>
      </c>
      <c r="T280" s="5">
        <f>IF(OR(ISNUMBER(T29),ISNUMBER(T28),ISNUMBER(T27),ISNUMBER(T153),ISNUMBER(T30),ISNUMBER(T31)),17,0)</f>
        <v>0</v>
      </c>
      <c r="U280" s="5">
        <f>IF(OR(ISNUMBER(U29),ISNUMBER(U28),ISNUMBER(U27),ISNUMBER(U153),ISNUMBER(U30),ISNUMBER(U31)),18,0)</f>
        <v>0</v>
      </c>
      <c r="V280" s="5">
        <f>IF(OR(ISNUMBER(V29),ISNUMBER(V28),ISNUMBER(V27),ISNUMBER(V153),ISNUMBER(V30),ISNUMBER(V31)),19,0)</f>
        <v>0</v>
      </c>
      <c r="W280" s="5">
        <f>IF(OR(ISNUMBER(W29),ISNUMBER(W28),ISNUMBER(W27),ISNUMBER(W153),ISNUMBER(W30),ISNUMBER(W31)),20,0)</f>
        <v>0</v>
      </c>
      <c r="X280" s="5">
        <f>IF(OR(ISNUMBER(X29),ISNUMBER(X28),ISNUMBER(X27),ISNUMBER(X153),ISNUMBER(X30),ISNUMBER(X31)),21,0)</f>
        <v>0</v>
      </c>
      <c r="Y280" s="5">
        <f>IF(OR(ISNUMBER(Y29),ISNUMBER(Y28),ISNUMBER(Y27),ISNUMBER(Y153),ISNUMBER(Y30),ISNUMBER(Y31)),22,0)</f>
        <v>0</v>
      </c>
      <c r="Z280" s="5">
        <f>IF(OR(ISNUMBER(Z29),ISNUMBER(Z28),ISNUMBER(Z27),ISNUMBER(Z153),ISNUMBER(Z30),ISNUMBER(Z31)),23,0)</f>
        <v>0</v>
      </c>
      <c r="AA280" s="5">
        <f>IF(OR(ISNUMBER(AA29),ISNUMBER(AA28),ISNUMBER(AA27),ISNUMBER(AA153),ISNUMBER(AA30),ISNUMBER(AA31)),24,0)</f>
        <v>0</v>
      </c>
      <c r="AB280" s="5">
        <f>IF(OR(ISNUMBER(AB29),ISNUMBER(AB28),ISNUMBER(AB27),ISNUMBER(AB153),ISNUMBER(AB30),ISNUMBER(AB31)),25,0)</f>
        <v>0</v>
      </c>
      <c r="AC280" s="5">
        <f>IF(OR(ISNUMBER(AC29),ISNUMBER(AC28),ISNUMBER(AC27),ISNUMBER(AC153),ISNUMBER(AC30),ISNUMBER(AC31)),26,0)</f>
        <v>0</v>
      </c>
      <c r="AD280" s="5">
        <f>IF(OR(ISNUMBER(AD29),ISNUMBER(AD28),ISNUMBER(AD27),ISNUMBER(AD153),ISNUMBER(AD30),ISNUMBER(AD31)),27,0)</f>
        <v>0</v>
      </c>
    </row>
    <row r="281" spans="1:95">
      <c r="A281" s="11" t="s">
        <v>629</v>
      </c>
      <c r="B281" s="11" t="s">
        <v>630</v>
      </c>
      <c r="C281" s="3" t="s">
        <v>397</v>
      </c>
      <c r="D281" s="80">
        <f>IF(MAX(IFERROR(N(INDEX(Wertstand!$A$130:$LJ$130,MATCH(INDEX($D$4:$AD$4,$D$279),RD_Kopf,0))),0),IFERROR(N(INDEX(Wertstand!$A$131:$LJ$131,MATCH(INDEX($D$4:$AD$4,$D$279),RD_Kopf,0))),0),IFERROR(N(INDEX(Wertstand!$A$132:$LJ$132,MATCH(INDEX($D$4:$AD$4,$D$279),RD_Kopf,0))),0),IFERROR(N(INDEX(Wertstand!$A$133:$LJ$133,MATCH(INDEX($D$4:$AD$4,$D$279),RD_Kopf,0))),0),IFERROR(N(INDEX(Wertstand!$A$137:$LJ$137,MATCH(INDEX($D$4:$AD$4,$D$279),RD_Kopf,0))),0))&gt;0,MAX(IFERROR(N(INDEX(Wertstand!$A$130:$LJ$130,MATCH(INDEX($D$4:$AD$4,$D$279),RD_Kopf,0))),0),IFERROR(N(INDEX(Wertstand!$A$131:$LJ$131,MATCH(INDEX($D$4:$AD$4,$D$279),RD_Kopf,0))),0),IFERROR(N(INDEX(Wertstand!$A$132:$LJ$132,MATCH(INDEX($D$4:$AD$4,$D$279),RD_Kopf,0))),0),IFERROR(N(INDEX(Wertstand!$A$133:$LJ$133,MATCH(INDEX($D$4:$AD$4,$D$279),RD_Kopf,0))),0),IFERROR(N(INDEX(Wertstand!$A$137:$LJ$137,MATCH(INDEX($D$4:$AD$4,$D$279),RD_Kopf,0))),0)),INDEX($D$4:$AD$4,$D$279))</f>
        <v>0</v>
      </c>
      <c r="E281" s="11">
        <f>"Stand: "&amp;TEXT(DAY($D$281),"00")&amp;"."&amp;TEXT(MONTH($D$281),"00")&amp;"."&amp;RIGHT(YEAR($D$281),2)</f>
        <v>0</v>
      </c>
      <c r="F281" s="11">
        <f>"Stand:"&amp;CHAR(10)&amp;TEXT(DAY($D$281),"00")&amp;"."&amp;TEXT(MONTH($D$281),"00")&amp;"."&amp;RIGHT(YEAR($D$281),2)</f>
        <v>0</v>
      </c>
    </row>
    <row r="282" spans="1:95">
      <c r="A282" s="11" t="s">
        <v>631</v>
      </c>
      <c r="B282" s="11" t="s">
        <v>632</v>
      </c>
      <c r="C282" s="3" t="s">
        <v>408</v>
      </c>
      <c r="BR282" s="11">
        <f>IF(($D$279-25)&lt;1,"",INDEX($D$3:$AD$3,($D$279-25)))</f>
        <v>0</v>
      </c>
      <c r="BS282" s="11">
        <f>IF(($D$279-24)&lt;1,"",INDEX($D$3:$AD$3,($D$279-24)))</f>
        <v>0</v>
      </c>
      <c r="BT282" s="11">
        <f>IF(($D$279-23)&lt;1,"",INDEX($D$3:$AD$3,($D$279-23)))</f>
        <v>0</v>
      </c>
      <c r="BU282" s="11">
        <f>IF(($D$279-22)&lt;1,"",INDEX($D$3:$AD$3,($D$279-22)))</f>
        <v>0</v>
      </c>
      <c r="BV282" s="11">
        <f>IF(($D$279-21)&lt;1,"",INDEX($D$3:$AD$3,($D$279-21)))</f>
        <v>0</v>
      </c>
      <c r="BW282" s="11">
        <f>IF(($D$279-20)&lt;1,"",INDEX($D$3:$AD$3,($D$279-20)))</f>
        <v>0</v>
      </c>
      <c r="BX282" s="11">
        <f>IF(($D$279-19)&lt;1,"",INDEX($D$3:$AD$3,($D$279-19)))</f>
        <v>0</v>
      </c>
      <c r="BY282" s="11">
        <f>IF(($D$279-18)&lt;1,"",INDEX($D$3:$AD$3,($D$279-18)))</f>
        <v>0</v>
      </c>
      <c r="BZ282" s="11">
        <f>IF(($D$279-17)&lt;1,"",INDEX($D$3:$AD$3,($D$279-17)))</f>
        <v>0</v>
      </c>
      <c r="CA282" s="11">
        <f>IF(($D$279-16)&lt;1,"",INDEX($D$3:$AD$3,($D$279-16)))</f>
        <v>0</v>
      </c>
      <c r="CB282" s="11">
        <f>IF(($D$279-15)&lt;1,"",INDEX($D$3:$AD$3,($D$279-15)))</f>
        <v>0</v>
      </c>
      <c r="CC282" s="11">
        <f>IF(($D$279-14)&lt;1,"",INDEX($D$3:$AD$3,($D$279-14)))</f>
        <v>0</v>
      </c>
      <c r="CD282" s="11">
        <f>IF(($D$279-13)&lt;1,"",INDEX($D$3:$AD$3,($D$279-13)))</f>
        <v>0</v>
      </c>
      <c r="CE282" s="11">
        <f>IF(($D$279-12)&lt;1,"",INDEX($D$3:$AD$3,($D$279-12)))</f>
        <v>0</v>
      </c>
      <c r="CF282" s="11">
        <f>IF(($D$279-11)&lt;1,"",INDEX($D$3:$AD$3,($D$279-11)))</f>
        <v>0</v>
      </c>
      <c r="CG282" s="11">
        <f>IF(($D$279-10)&lt;1,"",INDEX($D$3:$AD$3,($D$279-10)))</f>
        <v>0</v>
      </c>
      <c r="CH282" s="11">
        <f>IF(($D$279-9)&lt;1,"",INDEX($D$3:$AD$3,($D$279-9)))</f>
        <v>0</v>
      </c>
      <c r="CI282" s="11">
        <f>IF(($D$279-8)&lt;1,"",INDEX($D$3:$AD$3,($D$279-8)))</f>
        <v>0</v>
      </c>
      <c r="CJ282" s="11">
        <f>IF(($D$279-7)&lt;1,"",INDEX($D$3:$AD$3,($D$279-7)))</f>
        <v>0</v>
      </c>
      <c r="CK282" s="11">
        <f>IF(($D$279-6)&lt;1,"",INDEX($D$3:$AD$3,($D$279-6)))</f>
        <v>0</v>
      </c>
      <c r="CL282" s="11">
        <f>IF(($D$279-5)&lt;1,"",INDEX($D$3:$AD$3,($D$279-5)))</f>
        <v>0</v>
      </c>
      <c r="CM282" s="11">
        <f>IF(($D$279-4)&lt;1,"",INDEX($D$3:$AD$3,($D$279-4)))</f>
        <v>0</v>
      </c>
      <c r="CN282" s="11">
        <f>IF(($D$279-3)&lt;1,"",INDEX($D$3:$AD$3,($D$279-3)))</f>
        <v>0</v>
      </c>
      <c r="CO282" s="11">
        <f>IF(($D$279-2)&lt;1,"",INDEX($D$3:$AD$3,($D$279-2)))</f>
        <v>0</v>
      </c>
      <c r="CP282" s="11">
        <f>IF(($D$279-1)&lt;1,"",INDEX($D$3:$AD$3,($D$279-1)))</f>
        <v>0</v>
      </c>
      <c r="CQ282" s="11">
        <f>IF(($D$279-0)&lt;1,"",INDEX($D$3:$AD$3,($D$279-0)))</f>
        <v>0</v>
      </c>
    </row>
    <row r="283" spans="1:95">
      <c r="A283" s="11" t="s">
        <v>633</v>
      </c>
      <c r="B283" s="11" t="s">
        <v>634</v>
      </c>
      <c r="C283" s="3" t="s">
        <v>408</v>
      </c>
      <c r="BR283" s="5">
        <f>IF(($D$279-25)&lt;1,NA(),INDEX($D$29:$AD$29,($D$279-25)))</f>
        <v>0</v>
      </c>
      <c r="BS283" s="5">
        <f>IF(($D$279-24)&lt;1,NA(),INDEX($D$29:$AD$29,($D$279-24)))</f>
        <v>0</v>
      </c>
      <c r="BT283" s="5">
        <f>IF(($D$279-23)&lt;1,NA(),INDEX($D$29:$AD$29,($D$279-23)))</f>
        <v>0</v>
      </c>
      <c r="BU283" s="5">
        <f>IF(($D$279-22)&lt;1,NA(),INDEX($D$29:$AD$29,($D$279-22)))</f>
        <v>0</v>
      </c>
      <c r="BV283" s="5">
        <f>IF(($D$279-21)&lt;1,NA(),INDEX($D$29:$AD$29,($D$279-21)))</f>
        <v>0</v>
      </c>
      <c r="BW283" s="5">
        <f>IF(($D$279-20)&lt;1,NA(),INDEX($D$29:$AD$29,($D$279-20)))</f>
        <v>0</v>
      </c>
      <c r="BX283" s="5">
        <f>IF(($D$279-19)&lt;1,NA(),INDEX($D$29:$AD$29,($D$279-19)))</f>
        <v>0</v>
      </c>
      <c r="BY283" s="5">
        <f>IF(($D$279-18)&lt;1,NA(),INDEX($D$29:$AD$29,($D$279-18)))</f>
        <v>0</v>
      </c>
      <c r="BZ283" s="5">
        <f>IF(($D$279-17)&lt;1,NA(),INDEX($D$29:$AD$29,($D$279-17)))</f>
        <v>0</v>
      </c>
      <c r="CA283" s="5">
        <f>IF(($D$279-16)&lt;1,NA(),INDEX($D$29:$AD$29,($D$279-16)))</f>
        <v>0</v>
      </c>
      <c r="CB283" s="5">
        <f>IF(($D$279-15)&lt;1,NA(),INDEX($D$29:$AD$29,($D$279-15)))</f>
        <v>0</v>
      </c>
      <c r="CC283" s="5">
        <f>IF(($D$279-14)&lt;1,NA(),INDEX($D$29:$AD$29,($D$279-14)))</f>
        <v>0</v>
      </c>
      <c r="CD283" s="5">
        <f>IF(($D$279-13)&lt;1,NA(),INDEX($D$29:$AD$29,($D$279-13)))</f>
        <v>0</v>
      </c>
      <c r="CE283" s="5">
        <f>IF(($D$279-12)&lt;1,NA(),INDEX($D$29:$AD$29,($D$279-12)))</f>
        <v>0</v>
      </c>
      <c r="CF283" s="5">
        <f>IF(($D$279-11)&lt;1,NA(),INDEX($D$29:$AD$29,($D$279-11)))</f>
        <v>0</v>
      </c>
      <c r="CG283" s="5">
        <f>IF(($D$279-10)&lt;1,NA(),INDEX($D$29:$AD$29,($D$279-10)))</f>
        <v>0</v>
      </c>
      <c r="CH283" s="5">
        <f>IF(($D$279-9)&lt;1,NA(),INDEX($D$29:$AD$29,($D$279-9)))</f>
        <v>0</v>
      </c>
      <c r="CI283" s="5">
        <f>IF(($D$279-8)&lt;1,NA(),INDEX($D$29:$AD$29,($D$279-8)))</f>
        <v>0</v>
      </c>
      <c r="CJ283" s="5">
        <f>IF(($D$279-7)&lt;1,NA(),INDEX($D$29:$AD$29,($D$279-7)))</f>
        <v>0</v>
      </c>
      <c r="CK283" s="5">
        <f>IF(($D$279-6)&lt;1,NA(),INDEX($D$29:$AD$29,($D$279-6)))</f>
        <v>0</v>
      </c>
      <c r="CL283" s="5">
        <f>IF(($D$279-5)&lt;1,NA(),INDEX($D$29:$AD$29,($D$279-5)))</f>
        <v>0</v>
      </c>
      <c r="CM283" s="5">
        <f>IF(($D$279-4)&lt;1,NA(),INDEX($D$29:$AD$29,($D$279-4)))</f>
        <v>0</v>
      </c>
      <c r="CN283" s="5">
        <f>IF(($D$279-3)&lt;1,NA(),INDEX($D$29:$AD$29,($D$279-3)))</f>
        <v>0</v>
      </c>
      <c r="CO283" s="5">
        <f>IF(($D$279-2)&lt;1,NA(),INDEX($D$29:$AD$29,($D$279-2)))</f>
        <v>0</v>
      </c>
      <c r="CP283" s="5">
        <f>IF(($D$279-1)&lt;1,NA(),INDEX($D$29:$AD$29,($D$279-1)))</f>
        <v>0</v>
      </c>
      <c r="CQ283" s="5">
        <f>IF(($D$279-0)&lt;1,NA(),INDEX($D$29:$AD$29,($D$279-0)))</f>
        <v>0</v>
      </c>
    </row>
    <row r="284" spans="1:95">
      <c r="A284" s="11" t="s">
        <v>635</v>
      </c>
      <c r="B284" s="11" t="s">
        <v>636</v>
      </c>
      <c r="C284" s="3" t="s">
        <v>408</v>
      </c>
      <c r="BR284" s="5">
        <f>IF(($D$279-25)&lt;1,NA(),INDEX($D$28:$AD$28,($D$279-25)))</f>
        <v>0</v>
      </c>
      <c r="BS284" s="5">
        <f>IF(($D$279-24)&lt;1,NA(),INDEX($D$28:$AD$28,($D$279-24)))</f>
        <v>0</v>
      </c>
      <c r="BT284" s="5">
        <f>IF(($D$279-23)&lt;1,NA(),INDEX($D$28:$AD$28,($D$279-23)))</f>
        <v>0</v>
      </c>
      <c r="BU284" s="5">
        <f>IF(($D$279-22)&lt;1,NA(),INDEX($D$28:$AD$28,($D$279-22)))</f>
        <v>0</v>
      </c>
      <c r="BV284" s="5">
        <f>IF(($D$279-21)&lt;1,NA(),INDEX($D$28:$AD$28,($D$279-21)))</f>
        <v>0</v>
      </c>
      <c r="BW284" s="5">
        <f>IF(($D$279-20)&lt;1,NA(),INDEX($D$28:$AD$28,($D$279-20)))</f>
        <v>0</v>
      </c>
      <c r="BX284" s="5">
        <f>IF(($D$279-19)&lt;1,NA(),INDEX($D$28:$AD$28,($D$279-19)))</f>
        <v>0</v>
      </c>
      <c r="BY284" s="5">
        <f>IF(($D$279-18)&lt;1,NA(),INDEX($D$28:$AD$28,($D$279-18)))</f>
        <v>0</v>
      </c>
      <c r="BZ284" s="5">
        <f>IF(($D$279-17)&lt;1,NA(),INDEX($D$28:$AD$28,($D$279-17)))</f>
        <v>0</v>
      </c>
      <c r="CA284" s="5">
        <f>IF(($D$279-16)&lt;1,NA(),INDEX($D$28:$AD$28,($D$279-16)))</f>
        <v>0</v>
      </c>
      <c r="CB284" s="5">
        <f>IF(($D$279-15)&lt;1,NA(),INDEX($D$28:$AD$28,($D$279-15)))</f>
        <v>0</v>
      </c>
      <c r="CC284" s="5">
        <f>IF(($D$279-14)&lt;1,NA(),INDEX($D$28:$AD$28,($D$279-14)))</f>
        <v>0</v>
      </c>
      <c r="CD284" s="5">
        <f>IF(($D$279-13)&lt;1,NA(),INDEX($D$28:$AD$28,($D$279-13)))</f>
        <v>0</v>
      </c>
      <c r="CE284" s="5">
        <f>IF(($D$279-12)&lt;1,NA(),INDEX($D$28:$AD$28,($D$279-12)))</f>
        <v>0</v>
      </c>
      <c r="CF284" s="5">
        <f>IF(($D$279-11)&lt;1,NA(),INDEX($D$28:$AD$28,($D$279-11)))</f>
        <v>0</v>
      </c>
      <c r="CG284" s="5">
        <f>IF(($D$279-10)&lt;1,NA(),INDEX($D$28:$AD$28,($D$279-10)))</f>
        <v>0</v>
      </c>
      <c r="CH284" s="5">
        <f>IF(($D$279-9)&lt;1,NA(),INDEX($D$28:$AD$28,($D$279-9)))</f>
        <v>0</v>
      </c>
      <c r="CI284" s="5">
        <f>IF(($D$279-8)&lt;1,NA(),INDEX($D$28:$AD$28,($D$279-8)))</f>
        <v>0</v>
      </c>
      <c r="CJ284" s="5">
        <f>IF(($D$279-7)&lt;1,NA(),INDEX($D$28:$AD$28,($D$279-7)))</f>
        <v>0</v>
      </c>
      <c r="CK284" s="5">
        <f>IF(($D$279-6)&lt;1,NA(),INDEX($D$28:$AD$28,($D$279-6)))</f>
        <v>0</v>
      </c>
      <c r="CL284" s="5">
        <f>IF(($D$279-5)&lt;1,NA(),INDEX($D$28:$AD$28,($D$279-5)))</f>
        <v>0</v>
      </c>
      <c r="CM284" s="5">
        <f>IF(($D$279-4)&lt;1,NA(),INDEX($D$28:$AD$28,($D$279-4)))</f>
        <v>0</v>
      </c>
      <c r="CN284" s="5">
        <f>IF(($D$279-3)&lt;1,NA(),INDEX($D$28:$AD$28,($D$279-3)))</f>
        <v>0</v>
      </c>
      <c r="CO284" s="5">
        <f>IF(($D$279-2)&lt;1,NA(),INDEX($D$28:$AD$28,($D$279-2)))</f>
        <v>0</v>
      </c>
      <c r="CP284" s="5">
        <f>IF(($D$279-1)&lt;1,NA(),INDEX($D$28:$AD$28,($D$279-1)))</f>
        <v>0</v>
      </c>
      <c r="CQ284" s="5">
        <f>IF(($D$279-0)&lt;1,NA(),INDEX($D$28:$AD$28,($D$279-0)))</f>
        <v>0</v>
      </c>
    </row>
    <row r="285" spans="1:95">
      <c r="A285" s="11" t="s">
        <v>637</v>
      </c>
      <c r="B285" s="11" t="s">
        <v>638</v>
      </c>
      <c r="C285" s="3" t="s">
        <v>408</v>
      </c>
      <c r="BR285" s="5">
        <f>IF(($D$279-25)&lt;1,NA(),INDEX($D$27:$AD$27,($D$279-25)))</f>
        <v>0</v>
      </c>
      <c r="BS285" s="5">
        <f>IF(($D$279-24)&lt;1,NA(),INDEX($D$27:$AD$27,($D$279-24)))</f>
        <v>0</v>
      </c>
      <c r="BT285" s="5">
        <f>IF(($D$279-23)&lt;1,NA(),INDEX($D$27:$AD$27,($D$279-23)))</f>
        <v>0</v>
      </c>
      <c r="BU285" s="5">
        <f>IF(($D$279-22)&lt;1,NA(),INDEX($D$27:$AD$27,($D$279-22)))</f>
        <v>0</v>
      </c>
      <c r="BV285" s="5">
        <f>IF(($D$279-21)&lt;1,NA(),INDEX($D$27:$AD$27,($D$279-21)))</f>
        <v>0</v>
      </c>
      <c r="BW285" s="5">
        <f>IF(($D$279-20)&lt;1,NA(),INDEX($D$27:$AD$27,($D$279-20)))</f>
        <v>0</v>
      </c>
      <c r="BX285" s="5">
        <f>IF(($D$279-19)&lt;1,NA(),INDEX($D$27:$AD$27,($D$279-19)))</f>
        <v>0</v>
      </c>
      <c r="BY285" s="5">
        <f>IF(($D$279-18)&lt;1,NA(),INDEX($D$27:$AD$27,($D$279-18)))</f>
        <v>0</v>
      </c>
      <c r="BZ285" s="5">
        <f>IF(($D$279-17)&lt;1,NA(),INDEX($D$27:$AD$27,($D$279-17)))</f>
        <v>0</v>
      </c>
      <c r="CA285" s="5">
        <f>IF(($D$279-16)&lt;1,NA(),INDEX($D$27:$AD$27,($D$279-16)))</f>
        <v>0</v>
      </c>
      <c r="CB285" s="5">
        <f>IF(($D$279-15)&lt;1,NA(),INDEX($D$27:$AD$27,($D$279-15)))</f>
        <v>0</v>
      </c>
      <c r="CC285" s="5">
        <f>IF(($D$279-14)&lt;1,NA(),INDEX($D$27:$AD$27,($D$279-14)))</f>
        <v>0</v>
      </c>
      <c r="CD285" s="5">
        <f>IF(($D$279-13)&lt;1,NA(),INDEX($D$27:$AD$27,($D$279-13)))</f>
        <v>0</v>
      </c>
      <c r="CE285" s="5">
        <f>IF(($D$279-12)&lt;1,NA(),INDEX($D$27:$AD$27,($D$279-12)))</f>
        <v>0</v>
      </c>
      <c r="CF285" s="5">
        <f>IF(($D$279-11)&lt;1,NA(),INDEX($D$27:$AD$27,($D$279-11)))</f>
        <v>0</v>
      </c>
      <c r="CG285" s="5">
        <f>IF(($D$279-10)&lt;1,NA(),INDEX($D$27:$AD$27,($D$279-10)))</f>
        <v>0</v>
      </c>
      <c r="CH285" s="5">
        <f>IF(($D$279-9)&lt;1,NA(),INDEX($D$27:$AD$27,($D$279-9)))</f>
        <v>0</v>
      </c>
      <c r="CI285" s="5">
        <f>IF(($D$279-8)&lt;1,NA(),INDEX($D$27:$AD$27,($D$279-8)))</f>
        <v>0</v>
      </c>
      <c r="CJ285" s="5">
        <f>IF(($D$279-7)&lt;1,NA(),INDEX($D$27:$AD$27,($D$279-7)))</f>
        <v>0</v>
      </c>
      <c r="CK285" s="5">
        <f>IF(($D$279-6)&lt;1,NA(),INDEX($D$27:$AD$27,($D$279-6)))</f>
        <v>0</v>
      </c>
      <c r="CL285" s="5">
        <f>IF(($D$279-5)&lt;1,NA(),INDEX($D$27:$AD$27,($D$279-5)))</f>
        <v>0</v>
      </c>
      <c r="CM285" s="5">
        <f>IF(($D$279-4)&lt;1,NA(),INDEX($D$27:$AD$27,($D$279-4)))</f>
        <v>0</v>
      </c>
      <c r="CN285" s="5">
        <f>IF(($D$279-3)&lt;1,NA(),INDEX($D$27:$AD$27,($D$279-3)))</f>
        <v>0</v>
      </c>
      <c r="CO285" s="5">
        <f>IF(($D$279-2)&lt;1,NA(),INDEX($D$27:$AD$27,($D$279-2)))</f>
        <v>0</v>
      </c>
      <c r="CP285" s="5">
        <f>IF(($D$279-1)&lt;1,NA(),INDEX($D$27:$AD$27,($D$279-1)))</f>
        <v>0</v>
      </c>
      <c r="CQ285" s="5">
        <f>IF(($D$279-0)&lt;1,NA(),INDEX($D$27:$AD$27,($D$279-0)))</f>
        <v>0</v>
      </c>
    </row>
    <row r="286" spans="1:95">
      <c r="A286" s="11" t="s">
        <v>639</v>
      </c>
      <c r="B286" s="11" t="s">
        <v>640</v>
      </c>
      <c r="C286" s="3" t="s">
        <v>408</v>
      </c>
      <c r="BR286" s="5">
        <f>IF(($D$279-25)&lt;1,NA(),INDEX($D$153:$AD$153,($D$279-25)))</f>
        <v>0</v>
      </c>
      <c r="BS286" s="5">
        <f>IF(($D$279-24)&lt;1,NA(),INDEX($D$153:$AD$153,($D$279-24)))</f>
        <v>0</v>
      </c>
      <c r="BT286" s="5">
        <f>IF(($D$279-23)&lt;1,NA(),INDEX($D$153:$AD$153,($D$279-23)))</f>
        <v>0</v>
      </c>
      <c r="BU286" s="5">
        <f>IF(($D$279-22)&lt;1,NA(),INDEX($D$153:$AD$153,($D$279-22)))</f>
        <v>0</v>
      </c>
      <c r="BV286" s="5">
        <f>IF(($D$279-21)&lt;1,NA(),INDEX($D$153:$AD$153,($D$279-21)))</f>
        <v>0</v>
      </c>
      <c r="BW286" s="5">
        <f>IF(($D$279-20)&lt;1,NA(),INDEX($D$153:$AD$153,($D$279-20)))</f>
        <v>0</v>
      </c>
      <c r="BX286" s="5">
        <f>IF(($D$279-19)&lt;1,NA(),INDEX($D$153:$AD$153,($D$279-19)))</f>
        <v>0</v>
      </c>
      <c r="BY286" s="5">
        <f>IF(($D$279-18)&lt;1,NA(),INDEX($D$153:$AD$153,($D$279-18)))</f>
        <v>0</v>
      </c>
      <c r="BZ286" s="5">
        <f>IF(($D$279-17)&lt;1,NA(),INDEX($D$153:$AD$153,($D$279-17)))</f>
        <v>0</v>
      </c>
      <c r="CA286" s="5">
        <f>IF(($D$279-16)&lt;1,NA(),INDEX($D$153:$AD$153,($D$279-16)))</f>
        <v>0</v>
      </c>
      <c r="CB286" s="5">
        <f>IF(($D$279-15)&lt;1,NA(),INDEX($D$153:$AD$153,($D$279-15)))</f>
        <v>0</v>
      </c>
      <c r="CC286" s="5">
        <f>IF(($D$279-14)&lt;1,NA(),INDEX($D$153:$AD$153,($D$279-14)))</f>
        <v>0</v>
      </c>
      <c r="CD286" s="5">
        <f>IF(($D$279-13)&lt;1,NA(),INDEX($D$153:$AD$153,($D$279-13)))</f>
        <v>0</v>
      </c>
      <c r="CE286" s="5">
        <f>IF(($D$279-12)&lt;1,NA(),INDEX($D$153:$AD$153,($D$279-12)))</f>
        <v>0</v>
      </c>
      <c r="CF286" s="5">
        <f>IF(($D$279-11)&lt;1,NA(),INDEX($D$153:$AD$153,($D$279-11)))</f>
        <v>0</v>
      </c>
      <c r="CG286" s="5">
        <f>IF(($D$279-10)&lt;1,NA(),INDEX($D$153:$AD$153,($D$279-10)))</f>
        <v>0</v>
      </c>
      <c r="CH286" s="5">
        <f>IF(($D$279-9)&lt;1,NA(),INDEX($D$153:$AD$153,($D$279-9)))</f>
        <v>0</v>
      </c>
      <c r="CI286" s="5">
        <f>IF(($D$279-8)&lt;1,NA(),INDEX($D$153:$AD$153,($D$279-8)))</f>
        <v>0</v>
      </c>
      <c r="CJ286" s="5">
        <f>IF(($D$279-7)&lt;1,NA(),INDEX($D$153:$AD$153,($D$279-7)))</f>
        <v>0</v>
      </c>
      <c r="CK286" s="5">
        <f>IF(($D$279-6)&lt;1,NA(),INDEX($D$153:$AD$153,($D$279-6)))</f>
        <v>0</v>
      </c>
      <c r="CL286" s="5">
        <f>IF(($D$279-5)&lt;1,NA(),INDEX($D$153:$AD$153,($D$279-5)))</f>
        <v>0</v>
      </c>
      <c r="CM286" s="5">
        <f>IF(($D$279-4)&lt;1,NA(),INDEX($D$153:$AD$153,($D$279-4)))</f>
        <v>0</v>
      </c>
      <c r="CN286" s="5">
        <f>IF(($D$279-3)&lt;1,NA(),INDEX($D$153:$AD$153,($D$279-3)))</f>
        <v>0</v>
      </c>
      <c r="CO286" s="5">
        <f>IF(($D$279-2)&lt;1,NA(),INDEX($D$153:$AD$153,($D$279-2)))</f>
        <v>0</v>
      </c>
      <c r="CP286" s="5">
        <f>IF(($D$279-1)&lt;1,NA(),INDEX($D$153:$AD$153,($D$279-1)))</f>
        <v>0</v>
      </c>
      <c r="CQ286" s="5">
        <f>IF(($D$279-0)&lt;1,NA(),INDEX($D$153:$AD$153,($D$279-0)))</f>
        <v>0</v>
      </c>
    </row>
    <row r="287" spans="1:95">
      <c r="A287" s="11" t="s">
        <v>641</v>
      </c>
      <c r="B287" s="11" t="s">
        <v>642</v>
      </c>
      <c r="C287" s="3" t="s">
        <v>408</v>
      </c>
      <c r="BR287" s="11">
        <f>IF(($D$279-25)&lt;1,"",INDEX($D$152:$AD$152,($D$279-25)))</f>
        <v>0</v>
      </c>
      <c r="BS287" s="11">
        <f>IF(($D$279-24)&lt;1,"",INDEX($D$152:$AD$152,($D$279-24)))</f>
        <v>0</v>
      </c>
      <c r="BT287" s="11">
        <f>IF(($D$279-23)&lt;1,"",INDEX($D$152:$AD$152,($D$279-23)))</f>
        <v>0</v>
      </c>
      <c r="BU287" s="11">
        <f>IF(($D$279-22)&lt;1,"",INDEX($D$152:$AD$152,($D$279-22)))</f>
        <v>0</v>
      </c>
      <c r="BV287" s="11">
        <f>IF(($D$279-21)&lt;1,"",INDEX($D$152:$AD$152,($D$279-21)))</f>
        <v>0</v>
      </c>
      <c r="BW287" s="11">
        <f>IF(($D$279-20)&lt;1,"",INDEX($D$152:$AD$152,($D$279-20)))</f>
        <v>0</v>
      </c>
      <c r="BX287" s="11">
        <f>IF(($D$279-19)&lt;1,"",INDEX($D$152:$AD$152,($D$279-19)))</f>
        <v>0</v>
      </c>
      <c r="BY287" s="11">
        <f>IF(($D$279-18)&lt;1,"",INDEX($D$152:$AD$152,($D$279-18)))</f>
        <v>0</v>
      </c>
      <c r="BZ287" s="11">
        <f>IF(($D$279-17)&lt;1,"",INDEX($D$152:$AD$152,($D$279-17)))</f>
        <v>0</v>
      </c>
      <c r="CA287" s="11">
        <f>IF(($D$279-16)&lt;1,"",INDEX($D$152:$AD$152,($D$279-16)))</f>
        <v>0</v>
      </c>
      <c r="CB287" s="11">
        <f>IF(($D$279-15)&lt;1,"",INDEX($D$152:$AD$152,($D$279-15)))</f>
        <v>0</v>
      </c>
      <c r="CC287" s="11">
        <f>IF(($D$279-14)&lt;1,"",INDEX($D$152:$AD$152,($D$279-14)))</f>
        <v>0</v>
      </c>
      <c r="CD287" s="11">
        <f>IF(($D$279-13)&lt;1,"",INDEX($D$152:$AD$152,($D$279-13)))</f>
        <v>0</v>
      </c>
      <c r="CE287" s="11">
        <f>IF(($D$279-12)&lt;1,"",INDEX($D$152:$AD$152,($D$279-12)))</f>
        <v>0</v>
      </c>
      <c r="CF287" s="11">
        <f>IF(($D$279-11)&lt;1,"",INDEX($D$152:$AD$152,($D$279-11)))</f>
        <v>0</v>
      </c>
      <c r="CG287" s="11">
        <f>IF(($D$279-10)&lt;1,"",INDEX($D$152:$AD$152,($D$279-10)))</f>
        <v>0</v>
      </c>
      <c r="CH287" s="11">
        <f>IF(($D$279-9)&lt;1,"",INDEX($D$152:$AD$152,($D$279-9)))</f>
        <v>0</v>
      </c>
      <c r="CI287" s="11">
        <f>IF(($D$279-8)&lt;1,"",INDEX($D$152:$AD$152,($D$279-8)))</f>
        <v>0</v>
      </c>
      <c r="CJ287" s="11">
        <f>IF(($D$279-7)&lt;1,"",INDEX($D$152:$AD$152,($D$279-7)))</f>
        <v>0</v>
      </c>
      <c r="CK287" s="11">
        <f>IF(($D$279-6)&lt;1,"",INDEX($D$152:$AD$152,($D$279-6)))</f>
        <v>0</v>
      </c>
      <c r="CL287" s="11">
        <f>IF(($D$279-5)&lt;1,"",INDEX($D$152:$AD$152,($D$279-5)))</f>
        <v>0</v>
      </c>
      <c r="CM287" s="11">
        <f>IF(($D$279-4)&lt;1,"",INDEX($D$152:$AD$152,($D$279-4)))</f>
        <v>0</v>
      </c>
      <c r="CN287" s="11">
        <f>IF(($D$279-3)&lt;1,"",INDEX($D$152:$AD$152,($D$279-3)))</f>
        <v>0</v>
      </c>
      <c r="CO287" s="11">
        <f>IF(($D$279-2)&lt;1,"",INDEX($D$152:$AD$152,($D$279-2)))</f>
        <v>0</v>
      </c>
      <c r="CP287" s="11">
        <f>IF(($D$279-1)&lt;1,"",INDEX($D$152:$AD$152,($D$279-1)))</f>
        <v>0</v>
      </c>
      <c r="CQ287" s="11">
        <f>IF(($D$279-0)&lt;1,"",INDEX($D$152:$AD$152,($D$279-0)))</f>
        <v>0</v>
      </c>
    </row>
    <row r="288" spans="1:95">
      <c r="A288" s="11" t="s">
        <v>643</v>
      </c>
      <c r="B288" s="11" t="s">
        <v>644</v>
      </c>
      <c r="C288" s="3" t="s">
        <v>134</v>
      </c>
      <c r="D288" s="5">
        <v>10</v>
      </c>
    </row>
    <row r="289" spans="1:95">
      <c r="A289" s="11" t="s">
        <v>645</v>
      </c>
      <c r="B289" s="11" t="s">
        <v>646</v>
      </c>
      <c r="C289" s="3" t="s">
        <v>137</v>
      </c>
      <c r="D289" s="5">
        <f>IF(ISNUMBER(D30),D30/MAX(1,_xlfn.AGGREGATE(4,6,INDEX($D$30:$AD$30,MAX(1,$D$279+1-$D$288)):INDEX($D$30:$AD$30,$D$279)),_xlfn.AGGREGATE(4,6,INDEX($D$31:$AD$31,MAX(1,$D$279+1-$D$288)):INDEX($D$31:$AD$31,$D$279))),NA())</f>
        <v>0</v>
      </c>
      <c r="E289" s="5">
        <f>IF(ISNUMBER(E30),E30/MAX(1,_xlfn.AGGREGATE(4,6,INDEX($D$30:$AD$30,MAX(1,$D$279+1-$D$288)):INDEX($D$30:$AD$30,$D$279)),_xlfn.AGGREGATE(4,6,INDEX($D$31:$AD$31,MAX(1,$D$279+1-$D$288)):INDEX($D$31:$AD$31,$D$279))),NA())</f>
        <v>0</v>
      </c>
      <c r="F289" s="5">
        <f>IF(ISNUMBER(F30),F30/MAX(1,_xlfn.AGGREGATE(4,6,INDEX($D$30:$AD$30,MAX(1,$D$279+1-$D$288)):INDEX($D$30:$AD$30,$D$279)),_xlfn.AGGREGATE(4,6,INDEX($D$31:$AD$31,MAX(1,$D$279+1-$D$288)):INDEX($D$31:$AD$31,$D$279))),NA())</f>
        <v>0</v>
      </c>
      <c r="G289" s="5">
        <f>IF(ISNUMBER(G30),G30/MAX(1,_xlfn.AGGREGATE(4,6,INDEX($D$30:$AD$30,MAX(1,$D$279+1-$D$288)):INDEX($D$30:$AD$30,$D$279)),_xlfn.AGGREGATE(4,6,INDEX($D$31:$AD$31,MAX(1,$D$279+1-$D$288)):INDEX($D$31:$AD$31,$D$279))),NA())</f>
        <v>0</v>
      </c>
      <c r="H289" s="5">
        <f>IF(ISNUMBER(H30),H30/MAX(1,_xlfn.AGGREGATE(4,6,INDEX($D$30:$AD$30,MAX(1,$D$279+1-$D$288)):INDEX($D$30:$AD$30,$D$279)),_xlfn.AGGREGATE(4,6,INDEX($D$31:$AD$31,MAX(1,$D$279+1-$D$288)):INDEX($D$31:$AD$31,$D$279))),NA())</f>
        <v>0</v>
      </c>
      <c r="I289" s="5">
        <f>IF(ISNUMBER(I30),I30/MAX(1,_xlfn.AGGREGATE(4,6,INDEX($D$30:$AD$30,MAX(1,$D$279+1-$D$288)):INDEX($D$30:$AD$30,$D$279)),_xlfn.AGGREGATE(4,6,INDEX($D$31:$AD$31,MAX(1,$D$279+1-$D$288)):INDEX($D$31:$AD$31,$D$279))),NA())</f>
        <v>0</v>
      </c>
      <c r="J289" s="5">
        <f>IF(ISNUMBER(J30),J30/MAX(1,_xlfn.AGGREGATE(4,6,INDEX($D$30:$AD$30,MAX(1,$D$279+1-$D$288)):INDEX($D$30:$AD$30,$D$279)),_xlfn.AGGREGATE(4,6,INDEX($D$31:$AD$31,MAX(1,$D$279+1-$D$288)):INDEX($D$31:$AD$31,$D$279))),NA())</f>
        <v>0</v>
      </c>
      <c r="K289" s="5">
        <f>IF(ISNUMBER(K30),K30/MAX(1,_xlfn.AGGREGATE(4,6,INDEX($D$30:$AD$30,MAX(1,$D$279+1-$D$288)):INDEX($D$30:$AD$30,$D$279)),_xlfn.AGGREGATE(4,6,INDEX($D$31:$AD$31,MAX(1,$D$279+1-$D$288)):INDEX($D$31:$AD$31,$D$279))),NA())</f>
        <v>0</v>
      </c>
      <c r="L289" s="5">
        <f>IF(ISNUMBER(L30),L30/MAX(1,_xlfn.AGGREGATE(4,6,INDEX($D$30:$AD$30,MAX(1,$D$279+1-$D$288)):INDEX($D$30:$AD$30,$D$279)),_xlfn.AGGREGATE(4,6,INDEX($D$31:$AD$31,MAX(1,$D$279+1-$D$288)):INDEX($D$31:$AD$31,$D$279))),NA())</f>
        <v>0</v>
      </c>
      <c r="M289" s="5">
        <f>IF(ISNUMBER(M30),M30/MAX(1,_xlfn.AGGREGATE(4,6,INDEX($D$30:$AD$30,MAX(1,$D$279+1-$D$288)):INDEX($D$30:$AD$30,$D$279)),_xlfn.AGGREGATE(4,6,INDEX($D$31:$AD$31,MAX(1,$D$279+1-$D$288)):INDEX($D$31:$AD$31,$D$279))),NA())</f>
        <v>0</v>
      </c>
      <c r="N289" s="5">
        <f>IF(ISNUMBER(N30),N30/MAX(1,_xlfn.AGGREGATE(4,6,INDEX($D$30:$AD$30,MAX(1,$D$279+1-$D$288)):INDEX($D$30:$AD$30,$D$279)),_xlfn.AGGREGATE(4,6,INDEX($D$31:$AD$31,MAX(1,$D$279+1-$D$288)):INDEX($D$31:$AD$31,$D$279))),NA())</f>
        <v>0</v>
      </c>
      <c r="O289" s="5">
        <f>IF(ISNUMBER(O30),O30/MAX(1,_xlfn.AGGREGATE(4,6,INDEX($D$30:$AD$30,MAX(1,$D$279+1-$D$288)):INDEX($D$30:$AD$30,$D$279)),_xlfn.AGGREGATE(4,6,INDEX($D$31:$AD$31,MAX(1,$D$279+1-$D$288)):INDEX($D$31:$AD$31,$D$279))),NA())</f>
        <v>0</v>
      </c>
      <c r="P289" s="5">
        <f>IF(ISNUMBER(P30),P30/MAX(1,_xlfn.AGGREGATE(4,6,INDEX($D$30:$AD$30,MAX(1,$D$279+1-$D$288)):INDEX($D$30:$AD$30,$D$279)),_xlfn.AGGREGATE(4,6,INDEX($D$31:$AD$31,MAX(1,$D$279+1-$D$288)):INDEX($D$31:$AD$31,$D$279))),NA())</f>
        <v>0</v>
      </c>
      <c r="Q289" s="5">
        <f>IF(ISNUMBER(Q30),Q30/MAX(1,_xlfn.AGGREGATE(4,6,INDEX($D$30:$AD$30,MAX(1,$D$279+1-$D$288)):INDEX($D$30:$AD$30,$D$279)),_xlfn.AGGREGATE(4,6,INDEX($D$31:$AD$31,MAX(1,$D$279+1-$D$288)):INDEX($D$31:$AD$31,$D$279))),NA())</f>
        <v>0</v>
      </c>
      <c r="R289" s="5">
        <f>IF(ISNUMBER(R30),R30/MAX(1,_xlfn.AGGREGATE(4,6,INDEX($D$30:$AD$30,MAX(1,$D$279+1-$D$288)):INDEX($D$30:$AD$30,$D$279)),_xlfn.AGGREGATE(4,6,INDEX($D$31:$AD$31,MAX(1,$D$279+1-$D$288)):INDEX($D$31:$AD$31,$D$279))),NA())</f>
        <v>0</v>
      </c>
      <c r="S289" s="5">
        <f>IF(ISNUMBER(S30),S30/MAX(1,_xlfn.AGGREGATE(4,6,INDEX($D$30:$AD$30,MAX(1,$D$279+1-$D$288)):INDEX($D$30:$AD$30,$D$279)),_xlfn.AGGREGATE(4,6,INDEX($D$31:$AD$31,MAX(1,$D$279+1-$D$288)):INDEX($D$31:$AD$31,$D$279))),NA())</f>
        <v>0</v>
      </c>
      <c r="T289" s="5">
        <f>IF(ISNUMBER(T30),T30/MAX(1,_xlfn.AGGREGATE(4,6,INDEX($D$30:$AD$30,MAX(1,$D$279+1-$D$288)):INDEX($D$30:$AD$30,$D$279)),_xlfn.AGGREGATE(4,6,INDEX($D$31:$AD$31,MAX(1,$D$279+1-$D$288)):INDEX($D$31:$AD$31,$D$279))),NA())</f>
        <v>0</v>
      </c>
      <c r="U289" s="5">
        <f>IF(ISNUMBER(U30),U30/MAX(1,_xlfn.AGGREGATE(4,6,INDEX($D$30:$AD$30,MAX(1,$D$279+1-$D$288)):INDEX($D$30:$AD$30,$D$279)),_xlfn.AGGREGATE(4,6,INDEX($D$31:$AD$31,MAX(1,$D$279+1-$D$288)):INDEX($D$31:$AD$31,$D$279))),NA())</f>
        <v>0</v>
      </c>
      <c r="V289" s="5">
        <f>IF(ISNUMBER(V30),V30/MAX(1,_xlfn.AGGREGATE(4,6,INDEX($D$30:$AD$30,MAX(1,$D$279+1-$D$288)):INDEX($D$30:$AD$30,$D$279)),_xlfn.AGGREGATE(4,6,INDEX($D$31:$AD$31,MAX(1,$D$279+1-$D$288)):INDEX($D$31:$AD$31,$D$279))),NA())</f>
        <v>0</v>
      </c>
      <c r="W289" s="5">
        <f>IF(ISNUMBER(W30),W30/MAX(1,_xlfn.AGGREGATE(4,6,INDEX($D$30:$AD$30,MAX(1,$D$279+1-$D$288)):INDEX($D$30:$AD$30,$D$279)),_xlfn.AGGREGATE(4,6,INDEX($D$31:$AD$31,MAX(1,$D$279+1-$D$288)):INDEX($D$31:$AD$31,$D$279))),NA())</f>
        <v>0</v>
      </c>
      <c r="X289" s="5">
        <f>IF(ISNUMBER(X30),X30/MAX(1,_xlfn.AGGREGATE(4,6,INDEX($D$30:$AD$30,MAX(1,$D$279+1-$D$288)):INDEX($D$30:$AD$30,$D$279)),_xlfn.AGGREGATE(4,6,INDEX($D$31:$AD$31,MAX(1,$D$279+1-$D$288)):INDEX($D$31:$AD$31,$D$279))),NA())</f>
        <v>0</v>
      </c>
      <c r="Y289" s="5">
        <f>IF(ISNUMBER(Y30),Y30/MAX(1,_xlfn.AGGREGATE(4,6,INDEX($D$30:$AD$30,MAX(1,$D$279+1-$D$288)):INDEX($D$30:$AD$30,$D$279)),_xlfn.AGGREGATE(4,6,INDEX($D$31:$AD$31,MAX(1,$D$279+1-$D$288)):INDEX($D$31:$AD$31,$D$279))),NA())</f>
        <v>0</v>
      </c>
      <c r="Z289" s="5">
        <f>IF(ISNUMBER(Z30),Z30/MAX(1,_xlfn.AGGREGATE(4,6,INDEX($D$30:$AD$30,MAX(1,$D$279+1-$D$288)):INDEX($D$30:$AD$30,$D$279)),_xlfn.AGGREGATE(4,6,INDEX($D$31:$AD$31,MAX(1,$D$279+1-$D$288)):INDEX($D$31:$AD$31,$D$279))),NA())</f>
        <v>0</v>
      </c>
      <c r="AA289" s="5">
        <f>IF(ISNUMBER(AA30),AA30/MAX(1,_xlfn.AGGREGATE(4,6,INDEX($D$30:$AD$30,MAX(1,$D$279+1-$D$288)):INDEX($D$30:$AD$30,$D$279)),_xlfn.AGGREGATE(4,6,INDEX($D$31:$AD$31,MAX(1,$D$279+1-$D$288)):INDEX($D$31:$AD$31,$D$279))),NA())</f>
        <v>0</v>
      </c>
      <c r="AB289" s="5">
        <f>IF(ISNUMBER(AB30),AB30/MAX(1,_xlfn.AGGREGATE(4,6,INDEX($D$30:$AD$30,MAX(1,$D$279+1-$D$288)):INDEX($D$30:$AD$30,$D$279)),_xlfn.AGGREGATE(4,6,INDEX($D$31:$AD$31,MAX(1,$D$279+1-$D$288)):INDEX($D$31:$AD$31,$D$279))),NA())</f>
        <v>0</v>
      </c>
      <c r="AC289" s="5">
        <f>IF(ISNUMBER(AC30),AC30/MAX(1,_xlfn.AGGREGATE(4,6,INDEX($D$30:$AD$30,MAX(1,$D$279+1-$D$288)):INDEX($D$30:$AD$30,$D$279)),_xlfn.AGGREGATE(4,6,INDEX($D$31:$AD$31,MAX(1,$D$279+1-$D$288)):INDEX($D$31:$AD$31,$D$279))),NA())</f>
        <v>0</v>
      </c>
      <c r="AD289" s="5">
        <f>IF(ISNUMBER(AD30),AD30/MAX(1,_xlfn.AGGREGATE(4,6,INDEX($D$30:$AD$30,MAX(1,$D$279+1-$D$288)):INDEX($D$30:$AD$30,$D$279)),_xlfn.AGGREGATE(4,6,INDEX($D$31:$AD$31,MAX(1,$D$279+1-$D$288)):INDEX($D$31:$AD$31,$D$279))),NA())</f>
        <v>0</v>
      </c>
    </row>
    <row r="290" spans="1:95">
      <c r="A290" s="11" t="s">
        <v>647</v>
      </c>
      <c r="B290" s="11" t="s">
        <v>648</v>
      </c>
      <c r="C290" s="3" t="s">
        <v>137</v>
      </c>
      <c r="D290" s="11">
        <f>IF(ISNUMBER(D30),FIXED(D30,0)&amp;REPT(_xlfn.UNICHAR(160),3),"")</f>
        <v>0</v>
      </c>
      <c r="E290" s="11">
        <f>IF(ISNUMBER(E30),FIXED(E30,0)&amp;REPT(_xlfn.UNICHAR(160),3),"")</f>
        <v>0</v>
      </c>
      <c r="F290" s="11">
        <f>IF(ISNUMBER(F30),FIXED(F30,0)&amp;REPT(_xlfn.UNICHAR(160),3),"")</f>
        <v>0</v>
      </c>
      <c r="G290" s="11">
        <f>IF(ISNUMBER(G30),FIXED(G30,0)&amp;REPT(_xlfn.UNICHAR(160),3),"")</f>
        <v>0</v>
      </c>
      <c r="H290" s="11">
        <f>IF(ISNUMBER(H30),FIXED(H30,0)&amp;REPT(_xlfn.UNICHAR(160),3),"")</f>
        <v>0</v>
      </c>
      <c r="I290" s="11">
        <f>IF(ISNUMBER(I30),FIXED(I30,0)&amp;REPT(_xlfn.UNICHAR(160),3),"")</f>
        <v>0</v>
      </c>
      <c r="J290" s="11">
        <f>IF(ISNUMBER(J30),FIXED(J30,0)&amp;REPT(_xlfn.UNICHAR(160),3),"")</f>
        <v>0</v>
      </c>
      <c r="K290" s="11">
        <f>IF(ISNUMBER(K30),FIXED(K30,0)&amp;REPT(_xlfn.UNICHAR(160),3),"")</f>
        <v>0</v>
      </c>
      <c r="L290" s="11">
        <f>IF(ISNUMBER(L30),FIXED(L30,0)&amp;REPT(_xlfn.UNICHAR(160),3),"")</f>
        <v>0</v>
      </c>
      <c r="M290" s="11">
        <f>IF(ISNUMBER(M30),FIXED(M30,0)&amp;REPT(_xlfn.UNICHAR(160),3),"")</f>
        <v>0</v>
      </c>
      <c r="N290" s="11">
        <f>IF(ISNUMBER(N30),FIXED(N30,0)&amp;REPT(_xlfn.UNICHAR(160),3),"")</f>
        <v>0</v>
      </c>
      <c r="O290" s="11">
        <f>IF(ISNUMBER(O30),FIXED(O30,0)&amp;REPT(_xlfn.UNICHAR(160),3),"")</f>
        <v>0</v>
      </c>
      <c r="P290" s="11">
        <f>IF(ISNUMBER(P30),FIXED(P30,0)&amp;REPT(_xlfn.UNICHAR(160),3),"")</f>
        <v>0</v>
      </c>
      <c r="Q290" s="11">
        <f>IF(ISNUMBER(Q30),FIXED(Q30,0)&amp;REPT(_xlfn.UNICHAR(160),3),"")</f>
        <v>0</v>
      </c>
      <c r="R290" s="11">
        <f>IF(ISNUMBER(R30),FIXED(R30,0)&amp;REPT(_xlfn.UNICHAR(160),3),"")</f>
        <v>0</v>
      </c>
      <c r="S290" s="11">
        <f>IF(ISNUMBER(S30),FIXED(S30,0)&amp;REPT(_xlfn.UNICHAR(160),3),"")</f>
        <v>0</v>
      </c>
      <c r="T290" s="11">
        <f>IF(ISNUMBER(T30),FIXED(T30,0)&amp;REPT(_xlfn.UNICHAR(160),3),"")</f>
        <v>0</v>
      </c>
      <c r="U290" s="11">
        <f>IF(ISNUMBER(U30),FIXED(U30,0)&amp;REPT(_xlfn.UNICHAR(160),3),"")</f>
        <v>0</v>
      </c>
      <c r="V290" s="11">
        <f>IF(ISNUMBER(V30),FIXED(V30,0)&amp;REPT(_xlfn.UNICHAR(160),3),"")</f>
        <v>0</v>
      </c>
      <c r="W290" s="11">
        <f>IF(ISNUMBER(W30),FIXED(W30,0)&amp;REPT(_xlfn.UNICHAR(160),3),"")</f>
        <v>0</v>
      </c>
      <c r="X290" s="11">
        <f>IF(ISNUMBER(X30),FIXED(X30,0)&amp;REPT(_xlfn.UNICHAR(160),3),"")</f>
        <v>0</v>
      </c>
      <c r="Y290" s="11">
        <f>IF(ISNUMBER(Y30),FIXED(Y30,0)&amp;REPT(_xlfn.UNICHAR(160),3),"")</f>
        <v>0</v>
      </c>
      <c r="Z290" s="11">
        <f>IF(ISNUMBER(Z30),FIXED(Z30,0)&amp;REPT(_xlfn.UNICHAR(160),3),"")</f>
        <v>0</v>
      </c>
      <c r="AA290" s="11">
        <f>IF(ISNUMBER(AA30),FIXED(AA30,0)&amp;REPT(_xlfn.UNICHAR(160),3),"")</f>
        <v>0</v>
      </c>
      <c r="AB290" s="11">
        <f>IF(ISNUMBER(AB30),FIXED(AB30,0)&amp;REPT(_xlfn.UNICHAR(160),3),"")</f>
        <v>0</v>
      </c>
      <c r="AC290" s="11">
        <f>IF(ISNUMBER(AC30),FIXED(AC30,0)&amp;REPT(_xlfn.UNICHAR(160),3),"")</f>
        <v>0</v>
      </c>
      <c r="AD290" s="11">
        <f>IF(ISNUMBER(AD30),FIXED(AD30,0)&amp;REPT(_xlfn.UNICHAR(160),3),"")</f>
        <v>0</v>
      </c>
    </row>
    <row r="291" spans="1:95">
      <c r="A291" s="11" t="s">
        <v>649</v>
      </c>
      <c r="B291" s="11" t="s">
        <v>650</v>
      </c>
      <c r="C291" s="3" t="s">
        <v>137</v>
      </c>
      <c r="D291" s="5">
        <f>IF(ISNUMBER(D31),D31/MAX(1,_xlfn.AGGREGATE(4,6,INDEX($D$30:$AD$30,MAX(1,$D$279+1-$D$288)):INDEX($D$30:$AD$30,$D$279)),_xlfn.AGGREGATE(4,6,INDEX($D$31:$AD$31,MAX(1,$D$279+1-$D$288)):INDEX($D$31:$AD$31,$D$279))),NA())</f>
        <v>0</v>
      </c>
      <c r="E291" s="5">
        <f>IF(ISNUMBER(E31),E31/MAX(1,_xlfn.AGGREGATE(4,6,INDEX($D$30:$AD$30,MAX(1,$D$279+1-$D$288)):INDEX($D$30:$AD$30,$D$279)),_xlfn.AGGREGATE(4,6,INDEX($D$31:$AD$31,MAX(1,$D$279+1-$D$288)):INDEX($D$31:$AD$31,$D$279))),NA())</f>
        <v>0</v>
      </c>
      <c r="F291" s="5">
        <f>IF(ISNUMBER(F31),F31/MAX(1,_xlfn.AGGREGATE(4,6,INDEX($D$30:$AD$30,MAX(1,$D$279+1-$D$288)):INDEX($D$30:$AD$30,$D$279)),_xlfn.AGGREGATE(4,6,INDEX($D$31:$AD$31,MAX(1,$D$279+1-$D$288)):INDEX($D$31:$AD$31,$D$279))),NA())</f>
        <v>0</v>
      </c>
      <c r="G291" s="5">
        <f>IF(ISNUMBER(G31),G31/MAX(1,_xlfn.AGGREGATE(4,6,INDEX($D$30:$AD$30,MAX(1,$D$279+1-$D$288)):INDEX($D$30:$AD$30,$D$279)),_xlfn.AGGREGATE(4,6,INDEX($D$31:$AD$31,MAX(1,$D$279+1-$D$288)):INDEX($D$31:$AD$31,$D$279))),NA())</f>
        <v>0</v>
      </c>
      <c r="H291" s="5">
        <f>IF(ISNUMBER(H31),H31/MAX(1,_xlfn.AGGREGATE(4,6,INDEX($D$30:$AD$30,MAX(1,$D$279+1-$D$288)):INDEX($D$30:$AD$30,$D$279)),_xlfn.AGGREGATE(4,6,INDEX($D$31:$AD$31,MAX(1,$D$279+1-$D$288)):INDEX($D$31:$AD$31,$D$279))),NA())</f>
        <v>0</v>
      </c>
      <c r="I291" s="5">
        <f>IF(ISNUMBER(I31),I31/MAX(1,_xlfn.AGGREGATE(4,6,INDEX($D$30:$AD$30,MAX(1,$D$279+1-$D$288)):INDEX($D$30:$AD$30,$D$279)),_xlfn.AGGREGATE(4,6,INDEX($D$31:$AD$31,MAX(1,$D$279+1-$D$288)):INDEX($D$31:$AD$31,$D$279))),NA())</f>
        <v>0</v>
      </c>
      <c r="J291" s="5">
        <f>IF(ISNUMBER(J31),J31/MAX(1,_xlfn.AGGREGATE(4,6,INDEX($D$30:$AD$30,MAX(1,$D$279+1-$D$288)):INDEX($D$30:$AD$30,$D$279)),_xlfn.AGGREGATE(4,6,INDEX($D$31:$AD$31,MAX(1,$D$279+1-$D$288)):INDEX($D$31:$AD$31,$D$279))),NA())</f>
        <v>0</v>
      </c>
      <c r="K291" s="5">
        <f>IF(ISNUMBER(K31),K31/MAX(1,_xlfn.AGGREGATE(4,6,INDEX($D$30:$AD$30,MAX(1,$D$279+1-$D$288)):INDEX($D$30:$AD$30,$D$279)),_xlfn.AGGREGATE(4,6,INDEX($D$31:$AD$31,MAX(1,$D$279+1-$D$288)):INDEX($D$31:$AD$31,$D$279))),NA())</f>
        <v>0</v>
      </c>
      <c r="L291" s="5">
        <f>IF(ISNUMBER(L31),L31/MAX(1,_xlfn.AGGREGATE(4,6,INDEX($D$30:$AD$30,MAX(1,$D$279+1-$D$288)):INDEX($D$30:$AD$30,$D$279)),_xlfn.AGGREGATE(4,6,INDEX($D$31:$AD$31,MAX(1,$D$279+1-$D$288)):INDEX($D$31:$AD$31,$D$279))),NA())</f>
        <v>0</v>
      </c>
      <c r="M291" s="5">
        <f>IF(ISNUMBER(M31),M31/MAX(1,_xlfn.AGGREGATE(4,6,INDEX($D$30:$AD$30,MAX(1,$D$279+1-$D$288)):INDEX($D$30:$AD$30,$D$279)),_xlfn.AGGREGATE(4,6,INDEX($D$31:$AD$31,MAX(1,$D$279+1-$D$288)):INDEX($D$31:$AD$31,$D$279))),NA())</f>
        <v>0</v>
      </c>
      <c r="N291" s="5">
        <f>IF(ISNUMBER(N31),N31/MAX(1,_xlfn.AGGREGATE(4,6,INDEX($D$30:$AD$30,MAX(1,$D$279+1-$D$288)):INDEX($D$30:$AD$30,$D$279)),_xlfn.AGGREGATE(4,6,INDEX($D$31:$AD$31,MAX(1,$D$279+1-$D$288)):INDEX($D$31:$AD$31,$D$279))),NA())</f>
        <v>0</v>
      </c>
      <c r="O291" s="5">
        <f>IF(ISNUMBER(O31),O31/MAX(1,_xlfn.AGGREGATE(4,6,INDEX($D$30:$AD$30,MAX(1,$D$279+1-$D$288)):INDEX($D$30:$AD$30,$D$279)),_xlfn.AGGREGATE(4,6,INDEX($D$31:$AD$31,MAX(1,$D$279+1-$D$288)):INDEX($D$31:$AD$31,$D$279))),NA())</f>
        <v>0</v>
      </c>
      <c r="P291" s="5">
        <f>IF(ISNUMBER(P31),P31/MAX(1,_xlfn.AGGREGATE(4,6,INDEX($D$30:$AD$30,MAX(1,$D$279+1-$D$288)):INDEX($D$30:$AD$30,$D$279)),_xlfn.AGGREGATE(4,6,INDEX($D$31:$AD$31,MAX(1,$D$279+1-$D$288)):INDEX($D$31:$AD$31,$D$279))),NA())</f>
        <v>0</v>
      </c>
      <c r="Q291" s="5">
        <f>IF(ISNUMBER(Q31),Q31/MAX(1,_xlfn.AGGREGATE(4,6,INDEX($D$30:$AD$30,MAX(1,$D$279+1-$D$288)):INDEX($D$30:$AD$30,$D$279)),_xlfn.AGGREGATE(4,6,INDEX($D$31:$AD$31,MAX(1,$D$279+1-$D$288)):INDEX($D$31:$AD$31,$D$279))),NA())</f>
        <v>0</v>
      </c>
      <c r="R291" s="5">
        <f>IF(ISNUMBER(R31),R31/MAX(1,_xlfn.AGGREGATE(4,6,INDEX($D$30:$AD$30,MAX(1,$D$279+1-$D$288)):INDEX($D$30:$AD$30,$D$279)),_xlfn.AGGREGATE(4,6,INDEX($D$31:$AD$31,MAX(1,$D$279+1-$D$288)):INDEX($D$31:$AD$31,$D$279))),NA())</f>
        <v>0</v>
      </c>
      <c r="S291" s="5">
        <f>IF(ISNUMBER(S31),S31/MAX(1,_xlfn.AGGREGATE(4,6,INDEX($D$30:$AD$30,MAX(1,$D$279+1-$D$288)):INDEX($D$30:$AD$30,$D$279)),_xlfn.AGGREGATE(4,6,INDEX($D$31:$AD$31,MAX(1,$D$279+1-$D$288)):INDEX($D$31:$AD$31,$D$279))),NA())</f>
        <v>0</v>
      </c>
      <c r="T291" s="5">
        <f>IF(ISNUMBER(T31),T31/MAX(1,_xlfn.AGGREGATE(4,6,INDEX($D$30:$AD$30,MAX(1,$D$279+1-$D$288)):INDEX($D$30:$AD$30,$D$279)),_xlfn.AGGREGATE(4,6,INDEX($D$31:$AD$31,MAX(1,$D$279+1-$D$288)):INDEX($D$31:$AD$31,$D$279))),NA())</f>
        <v>0</v>
      </c>
      <c r="U291" s="5">
        <f>IF(ISNUMBER(U31),U31/MAX(1,_xlfn.AGGREGATE(4,6,INDEX($D$30:$AD$30,MAX(1,$D$279+1-$D$288)):INDEX($D$30:$AD$30,$D$279)),_xlfn.AGGREGATE(4,6,INDEX($D$31:$AD$31,MAX(1,$D$279+1-$D$288)):INDEX($D$31:$AD$31,$D$279))),NA())</f>
        <v>0</v>
      </c>
      <c r="V291" s="5">
        <f>IF(ISNUMBER(V31),V31/MAX(1,_xlfn.AGGREGATE(4,6,INDEX($D$30:$AD$30,MAX(1,$D$279+1-$D$288)):INDEX($D$30:$AD$30,$D$279)),_xlfn.AGGREGATE(4,6,INDEX($D$31:$AD$31,MAX(1,$D$279+1-$D$288)):INDEX($D$31:$AD$31,$D$279))),NA())</f>
        <v>0</v>
      </c>
      <c r="W291" s="5">
        <f>IF(ISNUMBER(W31),W31/MAX(1,_xlfn.AGGREGATE(4,6,INDEX($D$30:$AD$30,MAX(1,$D$279+1-$D$288)):INDEX($D$30:$AD$30,$D$279)),_xlfn.AGGREGATE(4,6,INDEX($D$31:$AD$31,MAX(1,$D$279+1-$D$288)):INDEX($D$31:$AD$31,$D$279))),NA())</f>
        <v>0</v>
      </c>
      <c r="X291" s="5">
        <f>IF(ISNUMBER(X31),X31/MAX(1,_xlfn.AGGREGATE(4,6,INDEX($D$30:$AD$30,MAX(1,$D$279+1-$D$288)):INDEX($D$30:$AD$30,$D$279)),_xlfn.AGGREGATE(4,6,INDEX($D$31:$AD$31,MAX(1,$D$279+1-$D$288)):INDEX($D$31:$AD$31,$D$279))),NA())</f>
        <v>0</v>
      </c>
      <c r="Y291" s="5">
        <f>IF(ISNUMBER(Y31),Y31/MAX(1,_xlfn.AGGREGATE(4,6,INDEX($D$30:$AD$30,MAX(1,$D$279+1-$D$288)):INDEX($D$30:$AD$30,$D$279)),_xlfn.AGGREGATE(4,6,INDEX($D$31:$AD$31,MAX(1,$D$279+1-$D$288)):INDEX($D$31:$AD$31,$D$279))),NA())</f>
        <v>0</v>
      </c>
      <c r="Z291" s="5">
        <f>IF(ISNUMBER(Z31),Z31/MAX(1,_xlfn.AGGREGATE(4,6,INDEX($D$30:$AD$30,MAX(1,$D$279+1-$D$288)):INDEX($D$30:$AD$30,$D$279)),_xlfn.AGGREGATE(4,6,INDEX($D$31:$AD$31,MAX(1,$D$279+1-$D$288)):INDEX($D$31:$AD$31,$D$279))),NA())</f>
        <v>0</v>
      </c>
      <c r="AA291" s="5">
        <f>IF(ISNUMBER(AA31),AA31/MAX(1,_xlfn.AGGREGATE(4,6,INDEX($D$30:$AD$30,MAX(1,$D$279+1-$D$288)):INDEX($D$30:$AD$30,$D$279)),_xlfn.AGGREGATE(4,6,INDEX($D$31:$AD$31,MAX(1,$D$279+1-$D$288)):INDEX($D$31:$AD$31,$D$279))),NA())</f>
        <v>0</v>
      </c>
      <c r="AB291" s="5">
        <f>IF(ISNUMBER(AB31),AB31/MAX(1,_xlfn.AGGREGATE(4,6,INDEX($D$30:$AD$30,MAX(1,$D$279+1-$D$288)):INDEX($D$30:$AD$30,$D$279)),_xlfn.AGGREGATE(4,6,INDEX($D$31:$AD$31,MAX(1,$D$279+1-$D$288)):INDEX($D$31:$AD$31,$D$279))),NA())</f>
        <v>0</v>
      </c>
      <c r="AC291" s="5">
        <f>IF(ISNUMBER(AC31),AC31/MAX(1,_xlfn.AGGREGATE(4,6,INDEX($D$30:$AD$30,MAX(1,$D$279+1-$D$288)):INDEX($D$30:$AD$30,$D$279)),_xlfn.AGGREGATE(4,6,INDEX($D$31:$AD$31,MAX(1,$D$279+1-$D$288)):INDEX($D$31:$AD$31,$D$279))),NA())</f>
        <v>0</v>
      </c>
      <c r="AD291" s="5">
        <f>IF(ISNUMBER(AD31),AD31/MAX(1,_xlfn.AGGREGATE(4,6,INDEX($D$30:$AD$30,MAX(1,$D$279+1-$D$288)):INDEX($D$30:$AD$30,$D$279)),_xlfn.AGGREGATE(4,6,INDEX($D$31:$AD$31,MAX(1,$D$279+1-$D$288)):INDEX($D$31:$AD$31,$D$279))),NA())</f>
        <v>0</v>
      </c>
    </row>
    <row r="292" spans="1:95">
      <c r="A292" s="11" t="s">
        <v>651</v>
      </c>
      <c r="B292" s="11" t="s">
        <v>652</v>
      </c>
      <c r="C292" s="3" t="s">
        <v>137</v>
      </c>
      <c r="D292" s="11">
        <f>IF(ISNUMBER(D31),REPT(_xlfn.UNICHAR(160),3)&amp;FIXED(D31,0),"")</f>
        <v>0</v>
      </c>
      <c r="E292" s="11">
        <f>IF(ISNUMBER(E31),REPT(_xlfn.UNICHAR(160),3)&amp;FIXED(E31,0),"")</f>
        <v>0</v>
      </c>
      <c r="F292" s="11">
        <f>IF(ISNUMBER(F31),REPT(_xlfn.UNICHAR(160),3)&amp;FIXED(F31,0),"")</f>
        <v>0</v>
      </c>
      <c r="G292" s="11">
        <f>IF(ISNUMBER(G31),REPT(_xlfn.UNICHAR(160),3)&amp;FIXED(G31,0),"")</f>
        <v>0</v>
      </c>
      <c r="H292" s="11">
        <f>IF(ISNUMBER(H31),REPT(_xlfn.UNICHAR(160),3)&amp;FIXED(H31,0),"")</f>
        <v>0</v>
      </c>
      <c r="I292" s="11">
        <f>IF(ISNUMBER(I31),REPT(_xlfn.UNICHAR(160),3)&amp;FIXED(I31,0),"")</f>
        <v>0</v>
      </c>
      <c r="J292" s="11">
        <f>IF(ISNUMBER(J31),REPT(_xlfn.UNICHAR(160),3)&amp;FIXED(J31,0),"")</f>
        <v>0</v>
      </c>
      <c r="K292" s="11">
        <f>IF(ISNUMBER(K31),REPT(_xlfn.UNICHAR(160),3)&amp;FIXED(K31,0),"")</f>
        <v>0</v>
      </c>
      <c r="L292" s="11">
        <f>IF(ISNUMBER(L31),REPT(_xlfn.UNICHAR(160),3)&amp;FIXED(L31,0),"")</f>
        <v>0</v>
      </c>
      <c r="M292" s="11">
        <f>IF(ISNUMBER(M31),REPT(_xlfn.UNICHAR(160),3)&amp;FIXED(M31,0),"")</f>
        <v>0</v>
      </c>
      <c r="N292" s="11">
        <f>IF(ISNUMBER(N31),REPT(_xlfn.UNICHAR(160),3)&amp;FIXED(N31,0),"")</f>
        <v>0</v>
      </c>
      <c r="O292" s="11">
        <f>IF(ISNUMBER(O31),REPT(_xlfn.UNICHAR(160),3)&amp;FIXED(O31,0),"")</f>
        <v>0</v>
      </c>
      <c r="P292" s="11">
        <f>IF(ISNUMBER(P31),REPT(_xlfn.UNICHAR(160),3)&amp;FIXED(P31,0),"")</f>
        <v>0</v>
      </c>
      <c r="Q292" s="11">
        <f>IF(ISNUMBER(Q31),REPT(_xlfn.UNICHAR(160),3)&amp;FIXED(Q31,0),"")</f>
        <v>0</v>
      </c>
      <c r="R292" s="11">
        <f>IF(ISNUMBER(R31),REPT(_xlfn.UNICHAR(160),3)&amp;FIXED(R31,0),"")</f>
        <v>0</v>
      </c>
      <c r="S292" s="11">
        <f>IF(ISNUMBER(S31),REPT(_xlfn.UNICHAR(160),3)&amp;FIXED(S31,0),"")</f>
        <v>0</v>
      </c>
      <c r="T292" s="11">
        <f>IF(ISNUMBER(T31),REPT(_xlfn.UNICHAR(160),3)&amp;FIXED(T31,0),"")</f>
        <v>0</v>
      </c>
      <c r="U292" s="11">
        <f>IF(ISNUMBER(U31),REPT(_xlfn.UNICHAR(160),3)&amp;FIXED(U31,0),"")</f>
        <v>0</v>
      </c>
      <c r="V292" s="11">
        <f>IF(ISNUMBER(V31),REPT(_xlfn.UNICHAR(160),3)&amp;FIXED(V31,0),"")</f>
        <v>0</v>
      </c>
      <c r="W292" s="11">
        <f>IF(ISNUMBER(W31),REPT(_xlfn.UNICHAR(160),3)&amp;FIXED(W31,0),"")</f>
        <v>0</v>
      </c>
      <c r="X292" s="11">
        <f>IF(ISNUMBER(X31),REPT(_xlfn.UNICHAR(160),3)&amp;FIXED(X31,0),"")</f>
        <v>0</v>
      </c>
      <c r="Y292" s="11">
        <f>IF(ISNUMBER(Y31),REPT(_xlfn.UNICHAR(160),3)&amp;FIXED(Y31,0),"")</f>
        <v>0</v>
      </c>
      <c r="Z292" s="11">
        <f>IF(ISNUMBER(Z31),REPT(_xlfn.UNICHAR(160),3)&amp;FIXED(Z31,0),"")</f>
        <v>0</v>
      </c>
      <c r="AA292" s="11">
        <f>IF(ISNUMBER(AA31),REPT(_xlfn.UNICHAR(160),3)&amp;FIXED(AA31,0),"")</f>
        <v>0</v>
      </c>
      <c r="AB292" s="11">
        <f>IF(ISNUMBER(AB31),REPT(_xlfn.UNICHAR(160),3)&amp;FIXED(AB31,0),"")</f>
        <v>0</v>
      </c>
      <c r="AC292" s="11">
        <f>IF(ISNUMBER(AC31),REPT(_xlfn.UNICHAR(160),3)&amp;FIXED(AC31,0),"")</f>
        <v>0</v>
      </c>
      <c r="AD292" s="11">
        <f>IF(ISNUMBER(AD31),REPT(_xlfn.UNICHAR(160),3)&amp;FIXED(AD31,0),"")</f>
        <v>0</v>
      </c>
    </row>
    <row r="293" spans="1:95">
      <c r="A293" s="11" t="s">
        <v>653</v>
      </c>
      <c r="B293" s="11" t="s">
        <v>654</v>
      </c>
      <c r="C293" s="3" t="s">
        <v>137</v>
      </c>
      <c r="D293" s="5">
        <f>IF(ISNUMBER(D30),IF(AND(D289&gt;=IFERROR(D291,-9),D289-IFERROR(D291,-9)&lt;0.28509),D291+0.28509,D289),NA())</f>
        <v>0</v>
      </c>
      <c r="E293" s="5">
        <f>IF(ISNUMBER(E30),IF(AND(E289&gt;=IFERROR(E291,-9),E289-IFERROR(E291,-9)&lt;0.28509),E291+0.28509,E289),NA())</f>
        <v>0</v>
      </c>
      <c r="F293" s="5">
        <f>IF(ISNUMBER(F30),IF(AND(F289&gt;=IFERROR(F291,-9),F289-IFERROR(F291,-9)&lt;0.28509),F291+0.28509,F289),NA())</f>
        <v>0</v>
      </c>
      <c r="G293" s="5">
        <f>IF(ISNUMBER(G30),IF(AND(G289&gt;=IFERROR(G291,-9),G289-IFERROR(G291,-9)&lt;0.28509),G291+0.28509,G289),NA())</f>
        <v>0</v>
      </c>
      <c r="H293" s="5">
        <f>IF(ISNUMBER(H30),IF(AND(H289&gt;=IFERROR(H291,-9),H289-IFERROR(H291,-9)&lt;0.28509),H291+0.28509,H289),NA())</f>
        <v>0</v>
      </c>
      <c r="I293" s="5">
        <f>IF(ISNUMBER(I30),IF(AND(I289&gt;=IFERROR(I291,-9),I289-IFERROR(I291,-9)&lt;0.28509),I291+0.28509,I289),NA())</f>
        <v>0</v>
      </c>
      <c r="J293" s="5">
        <f>IF(ISNUMBER(J30),IF(AND(J289&gt;=IFERROR(J291,-9),J289-IFERROR(J291,-9)&lt;0.28509),J291+0.28509,J289),NA())</f>
        <v>0</v>
      </c>
      <c r="K293" s="5">
        <f>IF(ISNUMBER(K30),IF(AND(K289&gt;=IFERROR(K291,-9),K289-IFERROR(K291,-9)&lt;0.28509),K291+0.28509,K289),NA())</f>
        <v>0</v>
      </c>
      <c r="L293" s="5">
        <f>IF(ISNUMBER(L30),IF(AND(L289&gt;=IFERROR(L291,-9),L289-IFERROR(L291,-9)&lt;0.28509),L291+0.28509,L289),NA())</f>
        <v>0</v>
      </c>
      <c r="M293" s="5">
        <f>IF(ISNUMBER(M30),IF(AND(M289&gt;=IFERROR(M291,-9),M289-IFERROR(M291,-9)&lt;0.28509),M291+0.28509,M289),NA())</f>
        <v>0</v>
      </c>
      <c r="N293" s="5">
        <f>IF(ISNUMBER(N30),IF(AND(N289&gt;=IFERROR(N291,-9),N289-IFERROR(N291,-9)&lt;0.28509),N291+0.28509,N289),NA())</f>
        <v>0</v>
      </c>
      <c r="O293" s="5">
        <f>IF(ISNUMBER(O30),IF(AND(O289&gt;=IFERROR(O291,-9),O289-IFERROR(O291,-9)&lt;0.28509),O291+0.28509,O289),NA())</f>
        <v>0</v>
      </c>
      <c r="P293" s="5">
        <f>IF(ISNUMBER(P30),IF(AND(P289&gt;=IFERROR(P291,-9),P289-IFERROR(P291,-9)&lt;0.28509),P291+0.28509,P289),NA())</f>
        <v>0</v>
      </c>
      <c r="Q293" s="5">
        <f>IF(ISNUMBER(Q30),IF(AND(Q289&gt;=IFERROR(Q291,-9),Q289-IFERROR(Q291,-9)&lt;0.28509),Q291+0.28509,Q289),NA())</f>
        <v>0</v>
      </c>
      <c r="R293" s="5">
        <f>IF(ISNUMBER(R30),IF(AND(R289&gt;=IFERROR(R291,-9),R289-IFERROR(R291,-9)&lt;0.28509),R291+0.28509,R289),NA())</f>
        <v>0</v>
      </c>
      <c r="S293" s="5">
        <f>IF(ISNUMBER(S30),IF(AND(S289&gt;=IFERROR(S291,-9),S289-IFERROR(S291,-9)&lt;0.28509),S291+0.28509,S289),NA())</f>
        <v>0</v>
      </c>
      <c r="T293" s="5">
        <f>IF(ISNUMBER(T30),IF(AND(T289&gt;=IFERROR(T291,-9),T289-IFERROR(T291,-9)&lt;0.28509),T291+0.28509,T289),NA())</f>
        <v>0</v>
      </c>
      <c r="U293" s="5">
        <f>IF(ISNUMBER(U30),IF(AND(U289&gt;=IFERROR(U291,-9),U289-IFERROR(U291,-9)&lt;0.28509),U291+0.28509,U289),NA())</f>
        <v>0</v>
      </c>
      <c r="V293" s="5">
        <f>IF(ISNUMBER(V30),IF(AND(V289&gt;=IFERROR(V291,-9),V289-IFERROR(V291,-9)&lt;0.28509),V291+0.28509,V289),NA())</f>
        <v>0</v>
      </c>
      <c r="W293" s="5">
        <f>IF(ISNUMBER(W30),IF(AND(W289&gt;=IFERROR(W291,-9),W289-IFERROR(W291,-9)&lt;0.28509),W291+0.28509,W289),NA())</f>
        <v>0</v>
      </c>
      <c r="X293" s="5">
        <f>IF(ISNUMBER(X30),IF(AND(X289&gt;=IFERROR(X291,-9),X289-IFERROR(X291,-9)&lt;0.28509),X291+0.28509,X289),NA())</f>
        <v>0</v>
      </c>
      <c r="Y293" s="5">
        <f>IF(ISNUMBER(Y30),IF(AND(Y289&gt;=IFERROR(Y291,-9),Y289-IFERROR(Y291,-9)&lt;0.28509),Y291+0.28509,Y289),NA())</f>
        <v>0</v>
      </c>
      <c r="Z293" s="5">
        <f>IF(ISNUMBER(Z30),IF(AND(Z289&gt;=IFERROR(Z291,-9),Z289-IFERROR(Z291,-9)&lt;0.28509),Z291+0.28509,Z289),NA())</f>
        <v>0</v>
      </c>
      <c r="AA293" s="5">
        <f>IF(ISNUMBER(AA30),IF(AND(AA289&gt;=IFERROR(AA291,-9),AA289-IFERROR(AA291,-9)&lt;0.28509),AA291+0.28509,AA289),NA())</f>
        <v>0</v>
      </c>
      <c r="AB293" s="5">
        <f>IF(ISNUMBER(AB30),IF(AND(AB289&gt;=IFERROR(AB291,-9),AB289-IFERROR(AB291,-9)&lt;0.28509),AB291+0.28509,AB289),NA())</f>
        <v>0</v>
      </c>
      <c r="AC293" s="5">
        <f>IF(ISNUMBER(AC30),IF(AND(AC289&gt;=IFERROR(AC291,-9),AC289-IFERROR(AC291,-9)&lt;0.28509),AC291+0.28509,AC289),NA())</f>
        <v>0</v>
      </c>
      <c r="AD293" s="5">
        <f>IF(ISNUMBER(AD30),IF(AND(AD289&gt;=IFERROR(AD291,-9),AD289-IFERROR(AD291,-9)&lt;0.28509),AD291+0.28509,AD289),NA())</f>
        <v>0</v>
      </c>
    </row>
    <row r="294" spans="1:95">
      <c r="A294" s="11" t="s">
        <v>655</v>
      </c>
      <c r="B294" s="11" t="s">
        <v>656</v>
      </c>
      <c r="C294" s="3" t="s">
        <v>137</v>
      </c>
      <c r="D294" s="5">
        <f>IF(ISNUMBER(D31),IF(AND(D291&gt;IFERROR(D289,-9),D291-IFERROR(D289,-9)&lt;0.28509),D289+0.28509,D291),NA())</f>
        <v>0</v>
      </c>
      <c r="E294" s="5">
        <f>IF(ISNUMBER(E31),IF(AND(E291&gt;IFERROR(E289,-9),E291-IFERROR(E289,-9)&lt;0.28509),E289+0.28509,E291),NA())</f>
        <v>0</v>
      </c>
      <c r="F294" s="5">
        <f>IF(ISNUMBER(F31),IF(AND(F291&gt;IFERROR(F289,-9),F291-IFERROR(F289,-9)&lt;0.28509),F289+0.28509,F291),NA())</f>
        <v>0</v>
      </c>
      <c r="G294" s="5">
        <f>IF(ISNUMBER(G31),IF(AND(G291&gt;IFERROR(G289,-9),G291-IFERROR(G289,-9)&lt;0.28509),G289+0.28509,G291),NA())</f>
        <v>0</v>
      </c>
      <c r="H294" s="5">
        <f>IF(ISNUMBER(H31),IF(AND(H291&gt;IFERROR(H289,-9),H291-IFERROR(H289,-9)&lt;0.28509),H289+0.28509,H291),NA())</f>
        <v>0</v>
      </c>
      <c r="I294" s="5">
        <f>IF(ISNUMBER(I31),IF(AND(I291&gt;IFERROR(I289,-9),I291-IFERROR(I289,-9)&lt;0.28509),I289+0.28509,I291),NA())</f>
        <v>0</v>
      </c>
      <c r="J294" s="5">
        <f>IF(ISNUMBER(J31),IF(AND(J291&gt;IFERROR(J289,-9),J291-IFERROR(J289,-9)&lt;0.28509),J289+0.28509,J291),NA())</f>
        <v>0</v>
      </c>
      <c r="K294" s="5">
        <f>IF(ISNUMBER(K31),IF(AND(K291&gt;IFERROR(K289,-9),K291-IFERROR(K289,-9)&lt;0.28509),K289+0.28509,K291),NA())</f>
        <v>0</v>
      </c>
      <c r="L294" s="5">
        <f>IF(ISNUMBER(L31),IF(AND(L291&gt;IFERROR(L289,-9),L291-IFERROR(L289,-9)&lt;0.28509),L289+0.28509,L291),NA())</f>
        <v>0</v>
      </c>
      <c r="M294" s="5">
        <f>IF(ISNUMBER(M31),IF(AND(M291&gt;IFERROR(M289,-9),M291-IFERROR(M289,-9)&lt;0.28509),M289+0.28509,M291),NA())</f>
        <v>0</v>
      </c>
      <c r="N294" s="5">
        <f>IF(ISNUMBER(N31),IF(AND(N291&gt;IFERROR(N289,-9),N291-IFERROR(N289,-9)&lt;0.28509),N289+0.28509,N291),NA())</f>
        <v>0</v>
      </c>
      <c r="O294" s="5">
        <f>IF(ISNUMBER(O31),IF(AND(O291&gt;IFERROR(O289,-9),O291-IFERROR(O289,-9)&lt;0.28509),O289+0.28509,O291),NA())</f>
        <v>0</v>
      </c>
      <c r="P294" s="5">
        <f>IF(ISNUMBER(P31),IF(AND(P291&gt;IFERROR(P289,-9),P291-IFERROR(P289,-9)&lt;0.28509),P289+0.28509,P291),NA())</f>
        <v>0</v>
      </c>
      <c r="Q294" s="5">
        <f>IF(ISNUMBER(Q31),IF(AND(Q291&gt;IFERROR(Q289,-9),Q291-IFERROR(Q289,-9)&lt;0.28509),Q289+0.28509,Q291),NA())</f>
        <v>0</v>
      </c>
      <c r="R294" s="5">
        <f>IF(ISNUMBER(R31),IF(AND(R291&gt;IFERROR(R289,-9),R291-IFERROR(R289,-9)&lt;0.28509),R289+0.28509,R291),NA())</f>
        <v>0</v>
      </c>
      <c r="S294" s="5">
        <f>IF(ISNUMBER(S31),IF(AND(S291&gt;IFERROR(S289,-9),S291-IFERROR(S289,-9)&lt;0.28509),S289+0.28509,S291),NA())</f>
        <v>0</v>
      </c>
      <c r="T294" s="5">
        <f>IF(ISNUMBER(T31),IF(AND(T291&gt;IFERROR(T289,-9),T291-IFERROR(T289,-9)&lt;0.28509),T289+0.28509,T291),NA())</f>
        <v>0</v>
      </c>
      <c r="U294" s="5">
        <f>IF(ISNUMBER(U31),IF(AND(U291&gt;IFERROR(U289,-9),U291-IFERROR(U289,-9)&lt;0.28509),U289+0.28509,U291),NA())</f>
        <v>0</v>
      </c>
      <c r="V294" s="5">
        <f>IF(ISNUMBER(V31),IF(AND(V291&gt;IFERROR(V289,-9),V291-IFERROR(V289,-9)&lt;0.28509),V289+0.28509,V291),NA())</f>
        <v>0</v>
      </c>
      <c r="W294" s="5">
        <f>IF(ISNUMBER(W31),IF(AND(W291&gt;IFERROR(W289,-9),W291-IFERROR(W289,-9)&lt;0.28509),W289+0.28509,W291),NA())</f>
        <v>0</v>
      </c>
      <c r="X294" s="5">
        <f>IF(ISNUMBER(X31),IF(AND(X291&gt;IFERROR(X289,-9),X291-IFERROR(X289,-9)&lt;0.28509),X289+0.28509,X291),NA())</f>
        <v>0</v>
      </c>
      <c r="Y294" s="5">
        <f>IF(ISNUMBER(Y31),IF(AND(Y291&gt;IFERROR(Y289,-9),Y291-IFERROR(Y289,-9)&lt;0.28509),Y289+0.28509,Y291),NA())</f>
        <v>0</v>
      </c>
      <c r="Z294" s="5">
        <f>IF(ISNUMBER(Z31),IF(AND(Z291&gt;IFERROR(Z289,-9),Z291-IFERROR(Z289,-9)&lt;0.28509),Z289+0.28509,Z291),NA())</f>
        <v>0</v>
      </c>
      <c r="AA294" s="5">
        <f>IF(ISNUMBER(AA31),IF(AND(AA291&gt;IFERROR(AA289,-9),AA291-IFERROR(AA289,-9)&lt;0.28509),AA289+0.28509,AA291),NA())</f>
        <v>0</v>
      </c>
      <c r="AB294" s="5">
        <f>IF(ISNUMBER(AB31),IF(AND(AB291&gt;IFERROR(AB289,-9),AB291-IFERROR(AB289,-9)&lt;0.28509),AB289+0.28509,AB291),NA())</f>
        <v>0</v>
      </c>
      <c r="AC294" s="5">
        <f>IF(ISNUMBER(AC31),IF(AND(AC291&gt;IFERROR(AC289,-9),AC291-IFERROR(AC289,-9)&lt;0.28509),AC289+0.28509,AC291),NA())</f>
        <v>0</v>
      </c>
      <c r="AD294" s="5">
        <f>IF(ISNUMBER(AD31),IF(AND(AD291&gt;IFERROR(AD289,-9),AD291-IFERROR(AD289,-9)&lt;0.28509),AD289+0.28509,AD291),NA())</f>
        <v>0</v>
      </c>
    </row>
    <row r="295" spans="1:95">
      <c r="A295" s="11" t="s">
        <v>657</v>
      </c>
      <c r="B295" s="11" t="s">
        <v>658</v>
      </c>
      <c r="C295" s="3" t="s">
        <v>134</v>
      </c>
      <c r="D295" s="5">
        <v>1</v>
      </c>
    </row>
    <row r="296" spans="1:95">
      <c r="A296" s="11" t="s">
        <v>659</v>
      </c>
      <c r="B296" s="11" t="s">
        <v>660</v>
      </c>
      <c r="C296" s="3" t="s">
        <v>137</v>
      </c>
      <c r="D296" s="5">
        <f>IF(AND($D$295=1,ISNUMBER(D30),ISNUMBER(D31)),IF((D30-D31)&gt;0,0.5,NA()),NA())</f>
        <v>0</v>
      </c>
      <c r="E296" s="5">
        <f>IF(AND($D$295=1,ISNUMBER(E30),ISNUMBER(E31)),IF((E30-E31)&gt;0,0.5,NA()),NA())</f>
        <v>0</v>
      </c>
      <c r="F296" s="5">
        <f>IF(AND($D$295=1,ISNUMBER(F30),ISNUMBER(F31)),IF((F30-F31)&gt;0,0.5,NA()),NA())</f>
        <v>0</v>
      </c>
      <c r="G296" s="5">
        <f>IF(AND($D$295=1,ISNUMBER(G30),ISNUMBER(G31)),IF((G30-G31)&gt;0,0.5,NA()),NA())</f>
        <v>0</v>
      </c>
      <c r="H296" s="5">
        <f>IF(AND($D$295=1,ISNUMBER(H30),ISNUMBER(H31)),IF((H30-H31)&gt;0,0.5,NA()),NA())</f>
        <v>0</v>
      </c>
      <c r="I296" s="5">
        <f>IF(AND($D$295=1,ISNUMBER(I30),ISNUMBER(I31)),IF((I30-I31)&gt;0,0.5,NA()),NA())</f>
        <v>0</v>
      </c>
      <c r="J296" s="5">
        <f>IF(AND($D$295=1,ISNUMBER(J30),ISNUMBER(J31)),IF((J30-J31)&gt;0,0.5,NA()),NA())</f>
        <v>0</v>
      </c>
      <c r="K296" s="5">
        <f>IF(AND($D$295=1,ISNUMBER(K30),ISNUMBER(K31)),IF((K30-K31)&gt;0,0.5,NA()),NA())</f>
        <v>0</v>
      </c>
      <c r="L296" s="5">
        <f>IF(AND($D$295=1,ISNUMBER(L30),ISNUMBER(L31)),IF((L30-L31)&gt;0,0.5,NA()),NA())</f>
        <v>0</v>
      </c>
      <c r="M296" s="5">
        <f>IF(AND($D$295=1,ISNUMBER(M30),ISNUMBER(M31)),IF((M30-M31)&gt;0,0.5,NA()),NA())</f>
        <v>0</v>
      </c>
      <c r="N296" s="5">
        <f>IF(AND($D$295=1,ISNUMBER(N30),ISNUMBER(N31)),IF((N30-N31)&gt;0,0.5,NA()),NA())</f>
        <v>0</v>
      </c>
      <c r="O296" s="5">
        <f>IF(AND($D$295=1,ISNUMBER(O30),ISNUMBER(O31)),IF((O30-O31)&gt;0,0.5,NA()),NA())</f>
        <v>0</v>
      </c>
      <c r="P296" s="5">
        <f>IF(AND($D$295=1,ISNUMBER(P30),ISNUMBER(P31)),IF((P30-P31)&gt;0,0.5,NA()),NA())</f>
        <v>0</v>
      </c>
      <c r="Q296" s="5">
        <f>IF(AND($D$295=1,ISNUMBER(Q30),ISNUMBER(Q31)),IF((Q30-Q31)&gt;0,0.5,NA()),NA())</f>
        <v>0</v>
      </c>
      <c r="R296" s="5">
        <f>IF(AND($D$295=1,ISNUMBER(R30),ISNUMBER(R31)),IF((R30-R31)&gt;0,0.5,NA()),NA())</f>
        <v>0</v>
      </c>
      <c r="S296" s="5">
        <f>IF(AND($D$295=1,ISNUMBER(S30),ISNUMBER(S31)),IF((S30-S31)&gt;0,0.5,NA()),NA())</f>
        <v>0</v>
      </c>
      <c r="T296" s="5">
        <f>IF(AND($D$295=1,ISNUMBER(T30),ISNUMBER(T31)),IF((T30-T31)&gt;0,0.5,NA()),NA())</f>
        <v>0</v>
      </c>
      <c r="U296" s="5">
        <f>IF(AND($D$295=1,ISNUMBER(U30),ISNUMBER(U31)),IF((U30-U31)&gt;0,0.5,NA()),NA())</f>
        <v>0</v>
      </c>
      <c r="V296" s="5">
        <f>IF(AND($D$295=1,ISNUMBER(V30),ISNUMBER(V31)),IF((V30-V31)&gt;0,0.5,NA()),NA())</f>
        <v>0</v>
      </c>
      <c r="W296" s="5">
        <f>IF(AND($D$295=1,ISNUMBER(W30),ISNUMBER(W31)),IF((W30-W31)&gt;0,0.5,NA()),NA())</f>
        <v>0</v>
      </c>
      <c r="X296" s="5">
        <f>IF(AND($D$295=1,ISNUMBER(X30),ISNUMBER(X31)),IF((X30-X31)&gt;0,0.5,NA()),NA())</f>
        <v>0</v>
      </c>
      <c r="Y296" s="5">
        <f>IF(AND($D$295=1,ISNUMBER(Y30),ISNUMBER(Y31)),IF((Y30-Y31)&gt;0,0.5,NA()),NA())</f>
        <v>0</v>
      </c>
      <c r="Z296" s="5">
        <f>IF(AND($D$295=1,ISNUMBER(Z30),ISNUMBER(Z31)),IF((Z30-Z31)&gt;0,0.5,NA()),NA())</f>
        <v>0</v>
      </c>
      <c r="AA296" s="5">
        <f>IF(AND($D$295=1,ISNUMBER(AA30),ISNUMBER(AA31)),IF((AA30-AA31)&gt;0,0.5,NA()),NA())</f>
        <v>0</v>
      </c>
      <c r="AB296" s="5">
        <f>IF(AND($D$295=1,ISNUMBER(AB30),ISNUMBER(AB31)),IF((AB30-AB31)&gt;0,0.5,NA()),NA())</f>
        <v>0</v>
      </c>
      <c r="AC296" s="5">
        <f>IF(AND($D$295=1,ISNUMBER(AC30),ISNUMBER(AC31)),IF((AC30-AC31)&gt;0,0.5,NA()),NA())</f>
        <v>0</v>
      </c>
      <c r="AD296" s="5">
        <f>IF(AND($D$295=1,ISNUMBER(AD30),ISNUMBER(AD31)),IF((AD30-AD31)&gt;0,0.5,NA()),NA())</f>
        <v>0</v>
      </c>
    </row>
    <row r="297" spans="1:95">
      <c r="A297" s="11" t="s">
        <v>661</v>
      </c>
      <c r="B297" s="11" t="s">
        <v>662</v>
      </c>
      <c r="C297" s="3" t="s">
        <v>137</v>
      </c>
      <c r="D297" s="5">
        <f>IF(AND($D$295=1,ISNUMBER(D30),ISNUMBER(D31)),IF((D30-D31)&lt;0,0.5,NA()),NA())</f>
        <v>0</v>
      </c>
      <c r="E297" s="5">
        <f>IF(AND($D$295=1,ISNUMBER(E30),ISNUMBER(E31)),IF((E30-E31)&lt;0,0.5,NA()),NA())</f>
        <v>0</v>
      </c>
      <c r="F297" s="5">
        <f>IF(AND($D$295=1,ISNUMBER(F30),ISNUMBER(F31)),IF((F30-F31)&lt;0,0.5,NA()),NA())</f>
        <v>0</v>
      </c>
      <c r="G297" s="5">
        <f>IF(AND($D$295=1,ISNUMBER(G30),ISNUMBER(G31)),IF((G30-G31)&lt;0,0.5,NA()),NA())</f>
        <v>0</v>
      </c>
      <c r="H297" s="5">
        <f>IF(AND($D$295=1,ISNUMBER(H30),ISNUMBER(H31)),IF((H30-H31)&lt;0,0.5,NA()),NA())</f>
        <v>0</v>
      </c>
      <c r="I297" s="5">
        <f>IF(AND($D$295=1,ISNUMBER(I30),ISNUMBER(I31)),IF((I30-I31)&lt;0,0.5,NA()),NA())</f>
        <v>0</v>
      </c>
      <c r="J297" s="5">
        <f>IF(AND($D$295=1,ISNUMBER(J30),ISNUMBER(J31)),IF((J30-J31)&lt;0,0.5,NA()),NA())</f>
        <v>0</v>
      </c>
      <c r="K297" s="5">
        <f>IF(AND($D$295=1,ISNUMBER(K30),ISNUMBER(K31)),IF((K30-K31)&lt;0,0.5,NA()),NA())</f>
        <v>0</v>
      </c>
      <c r="L297" s="5">
        <f>IF(AND($D$295=1,ISNUMBER(L30),ISNUMBER(L31)),IF((L30-L31)&lt;0,0.5,NA()),NA())</f>
        <v>0</v>
      </c>
      <c r="M297" s="5">
        <f>IF(AND($D$295=1,ISNUMBER(M30),ISNUMBER(M31)),IF((M30-M31)&lt;0,0.5,NA()),NA())</f>
        <v>0</v>
      </c>
      <c r="N297" s="5">
        <f>IF(AND($D$295=1,ISNUMBER(N30),ISNUMBER(N31)),IF((N30-N31)&lt;0,0.5,NA()),NA())</f>
        <v>0</v>
      </c>
      <c r="O297" s="5">
        <f>IF(AND($D$295=1,ISNUMBER(O30),ISNUMBER(O31)),IF((O30-O31)&lt;0,0.5,NA()),NA())</f>
        <v>0</v>
      </c>
      <c r="P297" s="5">
        <f>IF(AND($D$295=1,ISNUMBER(P30),ISNUMBER(P31)),IF((P30-P31)&lt;0,0.5,NA()),NA())</f>
        <v>0</v>
      </c>
      <c r="Q297" s="5">
        <f>IF(AND($D$295=1,ISNUMBER(Q30),ISNUMBER(Q31)),IF((Q30-Q31)&lt;0,0.5,NA()),NA())</f>
        <v>0</v>
      </c>
      <c r="R297" s="5">
        <f>IF(AND($D$295=1,ISNUMBER(R30),ISNUMBER(R31)),IF((R30-R31)&lt;0,0.5,NA()),NA())</f>
        <v>0</v>
      </c>
      <c r="S297" s="5">
        <f>IF(AND($D$295=1,ISNUMBER(S30),ISNUMBER(S31)),IF((S30-S31)&lt;0,0.5,NA()),NA())</f>
        <v>0</v>
      </c>
      <c r="T297" s="5">
        <f>IF(AND($D$295=1,ISNUMBER(T30),ISNUMBER(T31)),IF((T30-T31)&lt;0,0.5,NA()),NA())</f>
        <v>0</v>
      </c>
      <c r="U297" s="5">
        <f>IF(AND($D$295=1,ISNUMBER(U30),ISNUMBER(U31)),IF((U30-U31)&lt;0,0.5,NA()),NA())</f>
        <v>0</v>
      </c>
      <c r="V297" s="5">
        <f>IF(AND($D$295=1,ISNUMBER(V30),ISNUMBER(V31)),IF((V30-V31)&lt;0,0.5,NA()),NA())</f>
        <v>0</v>
      </c>
      <c r="W297" s="5">
        <f>IF(AND($D$295=1,ISNUMBER(W30),ISNUMBER(W31)),IF((W30-W31)&lt;0,0.5,NA()),NA())</f>
        <v>0</v>
      </c>
      <c r="X297" s="5">
        <f>IF(AND($D$295=1,ISNUMBER(X30),ISNUMBER(X31)),IF((X30-X31)&lt;0,0.5,NA()),NA())</f>
        <v>0</v>
      </c>
      <c r="Y297" s="5">
        <f>IF(AND($D$295=1,ISNUMBER(Y30),ISNUMBER(Y31)),IF((Y30-Y31)&lt;0,0.5,NA()),NA())</f>
        <v>0</v>
      </c>
      <c r="Z297" s="5">
        <f>IF(AND($D$295=1,ISNUMBER(Z30),ISNUMBER(Z31)),IF((Z30-Z31)&lt;0,0.5,NA()),NA())</f>
        <v>0</v>
      </c>
      <c r="AA297" s="5">
        <f>IF(AND($D$295=1,ISNUMBER(AA30),ISNUMBER(AA31)),IF((AA30-AA31)&lt;0,0.5,NA()),NA())</f>
        <v>0</v>
      </c>
      <c r="AB297" s="5">
        <f>IF(AND($D$295=1,ISNUMBER(AB30),ISNUMBER(AB31)),IF((AB30-AB31)&lt;0,0.5,NA()),NA())</f>
        <v>0</v>
      </c>
      <c r="AC297" s="5">
        <f>IF(AND($D$295=1,ISNUMBER(AC30),ISNUMBER(AC31)),IF((AC30-AC31)&lt;0,0.5,NA()),NA())</f>
        <v>0</v>
      </c>
      <c r="AD297" s="5">
        <f>IF(AND($D$295=1,ISNUMBER(AD30),ISNUMBER(AD31)),IF((AD30-AD31)&lt;0,0.5,NA()),NA())</f>
        <v>0</v>
      </c>
    </row>
    <row r="298" spans="1:95">
      <c r="A298" s="11" t="s">
        <v>663</v>
      </c>
      <c r="B298" s="11" t="s">
        <v>664</v>
      </c>
      <c r="C298" s="3" t="s">
        <v>137</v>
      </c>
      <c r="D298" s="5">
        <f>IF(AND($D$295=1,ISNUMBER(D30),ISNUMBER(D31)),IF((D30-D31)=0,0.5,NA()),NA())</f>
        <v>0</v>
      </c>
      <c r="E298" s="5">
        <f>IF(AND($D$295=1,ISNUMBER(E30),ISNUMBER(E31)),IF((E30-E31)=0,0.5,NA()),NA())</f>
        <v>0</v>
      </c>
      <c r="F298" s="5">
        <f>IF(AND($D$295=1,ISNUMBER(F30),ISNUMBER(F31)),IF((F30-F31)=0,0.5,NA()),NA())</f>
        <v>0</v>
      </c>
      <c r="G298" s="5">
        <f>IF(AND($D$295=1,ISNUMBER(G30),ISNUMBER(G31)),IF((G30-G31)=0,0.5,NA()),NA())</f>
        <v>0</v>
      </c>
      <c r="H298" s="5">
        <f>IF(AND($D$295=1,ISNUMBER(H30),ISNUMBER(H31)),IF((H30-H31)=0,0.5,NA()),NA())</f>
        <v>0</v>
      </c>
      <c r="I298" s="5">
        <f>IF(AND($D$295=1,ISNUMBER(I30),ISNUMBER(I31)),IF((I30-I31)=0,0.5,NA()),NA())</f>
        <v>0</v>
      </c>
      <c r="J298" s="5">
        <f>IF(AND($D$295=1,ISNUMBER(J30),ISNUMBER(J31)),IF((J30-J31)=0,0.5,NA()),NA())</f>
        <v>0</v>
      </c>
      <c r="K298" s="5">
        <f>IF(AND($D$295=1,ISNUMBER(K30),ISNUMBER(K31)),IF((K30-K31)=0,0.5,NA()),NA())</f>
        <v>0</v>
      </c>
      <c r="L298" s="5">
        <f>IF(AND($D$295=1,ISNUMBER(L30),ISNUMBER(L31)),IF((L30-L31)=0,0.5,NA()),NA())</f>
        <v>0</v>
      </c>
      <c r="M298" s="5">
        <f>IF(AND($D$295=1,ISNUMBER(M30),ISNUMBER(M31)),IF((M30-M31)=0,0.5,NA()),NA())</f>
        <v>0</v>
      </c>
      <c r="N298" s="5">
        <f>IF(AND($D$295=1,ISNUMBER(N30),ISNUMBER(N31)),IF((N30-N31)=0,0.5,NA()),NA())</f>
        <v>0</v>
      </c>
      <c r="O298" s="5">
        <f>IF(AND($D$295=1,ISNUMBER(O30),ISNUMBER(O31)),IF((O30-O31)=0,0.5,NA()),NA())</f>
        <v>0</v>
      </c>
      <c r="P298" s="5">
        <f>IF(AND($D$295=1,ISNUMBER(P30),ISNUMBER(P31)),IF((P30-P31)=0,0.5,NA()),NA())</f>
        <v>0</v>
      </c>
      <c r="Q298" s="5">
        <f>IF(AND($D$295=1,ISNUMBER(Q30),ISNUMBER(Q31)),IF((Q30-Q31)=0,0.5,NA()),NA())</f>
        <v>0</v>
      </c>
      <c r="R298" s="5">
        <f>IF(AND($D$295=1,ISNUMBER(R30),ISNUMBER(R31)),IF((R30-R31)=0,0.5,NA()),NA())</f>
        <v>0</v>
      </c>
      <c r="S298" s="5">
        <f>IF(AND($D$295=1,ISNUMBER(S30),ISNUMBER(S31)),IF((S30-S31)=0,0.5,NA()),NA())</f>
        <v>0</v>
      </c>
      <c r="T298" s="5">
        <f>IF(AND($D$295=1,ISNUMBER(T30),ISNUMBER(T31)),IF((T30-T31)=0,0.5,NA()),NA())</f>
        <v>0</v>
      </c>
      <c r="U298" s="5">
        <f>IF(AND($D$295=1,ISNUMBER(U30),ISNUMBER(U31)),IF((U30-U31)=0,0.5,NA()),NA())</f>
        <v>0</v>
      </c>
      <c r="V298" s="5">
        <f>IF(AND($D$295=1,ISNUMBER(V30),ISNUMBER(V31)),IF((V30-V31)=0,0.5,NA()),NA())</f>
        <v>0</v>
      </c>
      <c r="W298" s="5">
        <f>IF(AND($D$295=1,ISNUMBER(W30),ISNUMBER(W31)),IF((W30-W31)=0,0.5,NA()),NA())</f>
        <v>0</v>
      </c>
      <c r="X298" s="5">
        <f>IF(AND($D$295=1,ISNUMBER(X30),ISNUMBER(X31)),IF((X30-X31)=0,0.5,NA()),NA())</f>
        <v>0</v>
      </c>
      <c r="Y298" s="5">
        <f>IF(AND($D$295=1,ISNUMBER(Y30),ISNUMBER(Y31)),IF((Y30-Y31)=0,0.5,NA()),NA())</f>
        <v>0</v>
      </c>
      <c r="Z298" s="5">
        <f>IF(AND($D$295=1,ISNUMBER(Z30),ISNUMBER(Z31)),IF((Z30-Z31)=0,0.5,NA()),NA())</f>
        <v>0</v>
      </c>
      <c r="AA298" s="5">
        <f>IF(AND($D$295=1,ISNUMBER(AA30),ISNUMBER(AA31)),IF((AA30-AA31)=0,0.5,NA()),NA())</f>
        <v>0</v>
      </c>
      <c r="AB298" s="5">
        <f>IF(AND($D$295=1,ISNUMBER(AB30),ISNUMBER(AB31)),IF((AB30-AB31)=0,0.5,NA()),NA())</f>
        <v>0</v>
      </c>
      <c r="AC298" s="5">
        <f>IF(AND($D$295=1,ISNUMBER(AC30),ISNUMBER(AC31)),IF((AC30-AC31)=0,0.5,NA()),NA())</f>
        <v>0</v>
      </c>
      <c r="AD298" s="5">
        <f>IF(AND($D$295=1,ISNUMBER(AD30),ISNUMBER(AD31)),IF((AD30-AD31)=0,0.5,NA()),NA())</f>
        <v>0</v>
      </c>
    </row>
    <row r="299" spans="1:95">
      <c r="A299" s="11" t="s">
        <v>665</v>
      </c>
      <c r="B299" s="11" t="s">
        <v>666</v>
      </c>
      <c r="C299" s="3" t="s">
        <v>137</v>
      </c>
      <c r="D299" s="11">
        <f>IF(AND(ISNUMBER(D30),ISNUMBER(D31)),IF((D30-D31)&gt;0,"+"&amp;FIXED((D30-D31),0),IF((D30-D31)&lt;0,"−"&amp;FIXED(-(D30-D31),0),"±0")),"")</f>
        <v>0</v>
      </c>
      <c r="E299" s="11">
        <f>IF(AND(ISNUMBER(E30),ISNUMBER(E31)),IF((E30-E31)&gt;0,"+"&amp;FIXED((E30-E31),0),IF((E30-E31)&lt;0,"−"&amp;FIXED(-(E30-E31),0),"±0")),"")</f>
        <v>0</v>
      </c>
      <c r="F299" s="11">
        <f>IF(AND(ISNUMBER(F30),ISNUMBER(F31)),IF((F30-F31)&gt;0,"+"&amp;FIXED((F30-F31),0),IF((F30-F31)&lt;0,"−"&amp;FIXED(-(F30-F31),0),"±0")),"")</f>
        <v>0</v>
      </c>
      <c r="G299" s="11">
        <f>IF(AND(ISNUMBER(G30),ISNUMBER(G31)),IF((G30-G31)&gt;0,"+"&amp;FIXED((G30-G31),0),IF((G30-G31)&lt;0,"−"&amp;FIXED(-(G30-G31),0),"±0")),"")</f>
        <v>0</v>
      </c>
      <c r="H299" s="11">
        <f>IF(AND(ISNUMBER(H30),ISNUMBER(H31)),IF((H30-H31)&gt;0,"+"&amp;FIXED((H30-H31),0),IF((H30-H31)&lt;0,"−"&amp;FIXED(-(H30-H31),0),"±0")),"")</f>
        <v>0</v>
      </c>
      <c r="I299" s="11">
        <f>IF(AND(ISNUMBER(I30),ISNUMBER(I31)),IF((I30-I31)&gt;0,"+"&amp;FIXED((I30-I31),0),IF((I30-I31)&lt;0,"−"&amp;FIXED(-(I30-I31),0),"±0")),"")</f>
        <v>0</v>
      </c>
      <c r="J299" s="11">
        <f>IF(AND(ISNUMBER(J30),ISNUMBER(J31)),IF((J30-J31)&gt;0,"+"&amp;FIXED((J30-J31),0),IF((J30-J31)&lt;0,"−"&amp;FIXED(-(J30-J31),0),"±0")),"")</f>
        <v>0</v>
      </c>
      <c r="K299" s="11">
        <f>IF(AND(ISNUMBER(K30),ISNUMBER(K31)),IF((K30-K31)&gt;0,"+"&amp;FIXED((K30-K31),0),IF((K30-K31)&lt;0,"−"&amp;FIXED(-(K30-K31),0),"±0")),"")</f>
        <v>0</v>
      </c>
      <c r="L299" s="11">
        <f>IF(AND(ISNUMBER(L30),ISNUMBER(L31)),IF((L30-L31)&gt;0,"+"&amp;FIXED((L30-L31),0),IF((L30-L31)&lt;0,"−"&amp;FIXED(-(L30-L31),0),"±0")),"")</f>
        <v>0</v>
      </c>
      <c r="M299" s="11">
        <f>IF(AND(ISNUMBER(M30),ISNUMBER(M31)),IF((M30-M31)&gt;0,"+"&amp;FIXED((M30-M31),0),IF((M30-M31)&lt;0,"−"&amp;FIXED(-(M30-M31),0),"±0")),"")</f>
        <v>0</v>
      </c>
      <c r="N299" s="11">
        <f>IF(AND(ISNUMBER(N30),ISNUMBER(N31)),IF((N30-N31)&gt;0,"+"&amp;FIXED((N30-N31),0),IF((N30-N31)&lt;0,"−"&amp;FIXED(-(N30-N31),0),"±0")),"")</f>
        <v>0</v>
      </c>
      <c r="O299" s="11">
        <f>IF(AND(ISNUMBER(O30),ISNUMBER(O31)),IF((O30-O31)&gt;0,"+"&amp;FIXED((O30-O31),0),IF((O30-O31)&lt;0,"−"&amp;FIXED(-(O30-O31),0),"±0")),"")</f>
        <v>0</v>
      </c>
      <c r="P299" s="11">
        <f>IF(AND(ISNUMBER(P30),ISNUMBER(P31)),IF((P30-P31)&gt;0,"+"&amp;FIXED((P30-P31),0),IF((P30-P31)&lt;0,"−"&amp;FIXED(-(P30-P31),0),"±0")),"")</f>
        <v>0</v>
      </c>
      <c r="Q299" s="11">
        <f>IF(AND(ISNUMBER(Q30),ISNUMBER(Q31)),IF((Q30-Q31)&gt;0,"+"&amp;FIXED((Q30-Q31),0),IF((Q30-Q31)&lt;0,"−"&amp;FIXED(-(Q30-Q31),0),"±0")),"")</f>
        <v>0</v>
      </c>
      <c r="R299" s="11">
        <f>IF(AND(ISNUMBER(R30),ISNUMBER(R31)),IF((R30-R31)&gt;0,"+"&amp;FIXED((R30-R31),0),IF((R30-R31)&lt;0,"−"&amp;FIXED(-(R30-R31),0),"±0")),"")</f>
        <v>0</v>
      </c>
      <c r="S299" s="11">
        <f>IF(AND(ISNUMBER(S30),ISNUMBER(S31)),IF((S30-S31)&gt;0,"+"&amp;FIXED((S30-S31),0),IF((S30-S31)&lt;0,"−"&amp;FIXED(-(S30-S31),0),"±0")),"")</f>
        <v>0</v>
      </c>
      <c r="T299" s="11">
        <f>IF(AND(ISNUMBER(T30),ISNUMBER(T31)),IF((T30-T31)&gt;0,"+"&amp;FIXED((T30-T31),0),IF((T30-T31)&lt;0,"−"&amp;FIXED(-(T30-T31),0),"±0")),"")</f>
        <v>0</v>
      </c>
      <c r="U299" s="11">
        <f>IF(AND(ISNUMBER(U30),ISNUMBER(U31)),IF((U30-U31)&gt;0,"+"&amp;FIXED((U30-U31),0),IF((U30-U31)&lt;0,"−"&amp;FIXED(-(U30-U31),0),"±0")),"")</f>
        <v>0</v>
      </c>
      <c r="V299" s="11">
        <f>IF(AND(ISNUMBER(V30),ISNUMBER(V31)),IF((V30-V31)&gt;0,"+"&amp;FIXED((V30-V31),0),IF((V30-V31)&lt;0,"−"&amp;FIXED(-(V30-V31),0),"±0")),"")</f>
        <v>0</v>
      </c>
      <c r="W299" s="11">
        <f>IF(AND(ISNUMBER(W30),ISNUMBER(W31)),IF((W30-W31)&gt;0,"+"&amp;FIXED((W30-W31),0),IF((W30-W31)&lt;0,"−"&amp;FIXED(-(W30-W31),0),"±0")),"")</f>
        <v>0</v>
      </c>
      <c r="X299" s="11">
        <f>IF(AND(ISNUMBER(X30),ISNUMBER(X31)),IF((X30-X31)&gt;0,"+"&amp;FIXED((X30-X31),0),IF((X30-X31)&lt;0,"−"&amp;FIXED(-(X30-X31),0),"±0")),"")</f>
        <v>0</v>
      </c>
      <c r="Y299" s="11">
        <f>IF(AND(ISNUMBER(Y30),ISNUMBER(Y31)),IF((Y30-Y31)&gt;0,"+"&amp;FIXED((Y30-Y31),0),IF((Y30-Y31)&lt;0,"−"&amp;FIXED(-(Y30-Y31),0),"±0")),"")</f>
        <v>0</v>
      </c>
      <c r="Z299" s="11">
        <f>IF(AND(ISNUMBER(Z30),ISNUMBER(Z31)),IF((Z30-Z31)&gt;0,"+"&amp;FIXED((Z30-Z31),0),IF((Z30-Z31)&lt;0,"−"&amp;FIXED(-(Z30-Z31),0),"±0")),"")</f>
        <v>0</v>
      </c>
      <c r="AA299" s="11">
        <f>IF(AND(ISNUMBER(AA30),ISNUMBER(AA31)),IF((AA30-AA31)&gt;0,"+"&amp;FIXED((AA30-AA31),0),IF((AA30-AA31)&lt;0,"−"&amp;FIXED(-(AA30-AA31),0),"±0")),"")</f>
        <v>0</v>
      </c>
      <c r="AB299" s="11">
        <f>IF(AND(ISNUMBER(AB30),ISNUMBER(AB31)),IF((AB30-AB31)&gt;0,"+"&amp;FIXED((AB30-AB31),0),IF((AB30-AB31)&lt;0,"−"&amp;FIXED(-(AB30-AB31),0),"±0")),"")</f>
        <v>0</v>
      </c>
      <c r="AC299" s="11">
        <f>IF(AND(ISNUMBER(AC30),ISNUMBER(AC31)),IF((AC30-AC31)&gt;0,"+"&amp;FIXED((AC30-AC31),0),IF((AC30-AC31)&lt;0,"−"&amp;FIXED(-(AC30-AC31),0),"±0")),"")</f>
        <v>0</v>
      </c>
      <c r="AD299" s="11">
        <f>IF(AND(ISNUMBER(AD30),ISNUMBER(AD31)),IF((AD30-AD31)&gt;0,"+"&amp;FIXED((AD30-AD31),0),IF((AD30-AD31)&lt;0,"−"&amp;FIXED(-(AD30-AD31),0),"±0")),"")</f>
        <v>0</v>
      </c>
    </row>
    <row r="300" spans="1:95">
      <c r="A300" s="11" t="s">
        <v>667</v>
      </c>
      <c r="B300" s="11" t="s">
        <v>668</v>
      </c>
      <c r="C300" s="3" t="s">
        <v>408</v>
      </c>
      <c r="BR300" s="5">
        <f>IF(($D$279-25)&lt;1,NA(),INDEX($D$289:$AD$289,($D$279-25)))</f>
        <v>0</v>
      </c>
      <c r="BS300" s="5">
        <f>IF(($D$279-24)&lt;1,NA(),INDEX($D$289:$AD$289,($D$279-24)))</f>
        <v>0</v>
      </c>
      <c r="BT300" s="5">
        <f>IF(($D$279-23)&lt;1,NA(),INDEX($D$289:$AD$289,($D$279-23)))</f>
        <v>0</v>
      </c>
      <c r="BU300" s="5">
        <f>IF(($D$279-22)&lt;1,NA(),INDEX($D$289:$AD$289,($D$279-22)))</f>
        <v>0</v>
      </c>
      <c r="BV300" s="5">
        <f>IF(($D$279-21)&lt;1,NA(),INDEX($D$289:$AD$289,($D$279-21)))</f>
        <v>0</v>
      </c>
      <c r="BW300" s="5">
        <f>IF(($D$279-20)&lt;1,NA(),INDEX($D$289:$AD$289,($D$279-20)))</f>
        <v>0</v>
      </c>
      <c r="BX300" s="5">
        <f>IF(($D$279-19)&lt;1,NA(),INDEX($D$289:$AD$289,($D$279-19)))</f>
        <v>0</v>
      </c>
      <c r="BY300" s="5">
        <f>IF(($D$279-18)&lt;1,NA(),INDEX($D$289:$AD$289,($D$279-18)))</f>
        <v>0</v>
      </c>
      <c r="BZ300" s="5">
        <f>IF(($D$279-17)&lt;1,NA(),INDEX($D$289:$AD$289,($D$279-17)))</f>
        <v>0</v>
      </c>
      <c r="CA300" s="5">
        <f>IF(($D$279-16)&lt;1,NA(),INDEX($D$289:$AD$289,($D$279-16)))</f>
        <v>0</v>
      </c>
      <c r="CB300" s="5">
        <f>IF(($D$279-15)&lt;1,NA(),INDEX($D$289:$AD$289,($D$279-15)))</f>
        <v>0</v>
      </c>
      <c r="CC300" s="5">
        <f>IF(($D$279-14)&lt;1,NA(),INDEX($D$289:$AD$289,($D$279-14)))</f>
        <v>0</v>
      </c>
      <c r="CD300" s="5">
        <f>IF(($D$279-13)&lt;1,NA(),INDEX($D$289:$AD$289,($D$279-13)))</f>
        <v>0</v>
      </c>
      <c r="CE300" s="5">
        <f>IF(($D$279-12)&lt;1,NA(),INDEX($D$289:$AD$289,($D$279-12)))</f>
        <v>0</v>
      </c>
      <c r="CF300" s="5">
        <f>IF(($D$279-11)&lt;1,NA(),INDEX($D$289:$AD$289,($D$279-11)))</f>
        <v>0</v>
      </c>
      <c r="CG300" s="5">
        <f>IF(($D$279-10)&lt;1,NA(),INDEX($D$289:$AD$289,($D$279-10)))</f>
        <v>0</v>
      </c>
      <c r="CH300" s="5">
        <f>IF(($D$279-9)&lt;1,NA(),INDEX($D$289:$AD$289,($D$279-9)))</f>
        <v>0</v>
      </c>
      <c r="CI300" s="5">
        <f>IF(($D$279-8)&lt;1,NA(),INDEX($D$289:$AD$289,($D$279-8)))</f>
        <v>0</v>
      </c>
      <c r="CJ300" s="5">
        <f>IF(($D$279-7)&lt;1,NA(),INDEX($D$289:$AD$289,($D$279-7)))</f>
        <v>0</v>
      </c>
      <c r="CK300" s="5">
        <f>IF(($D$279-6)&lt;1,NA(),INDEX($D$289:$AD$289,($D$279-6)))</f>
        <v>0</v>
      </c>
      <c r="CL300" s="5">
        <f>IF(($D$279-5)&lt;1,NA(),INDEX($D$289:$AD$289,($D$279-5)))</f>
        <v>0</v>
      </c>
      <c r="CM300" s="5">
        <f>IF(($D$279-4)&lt;1,NA(),INDEX($D$289:$AD$289,($D$279-4)))</f>
        <v>0</v>
      </c>
      <c r="CN300" s="5">
        <f>IF(($D$279-3)&lt;1,NA(),INDEX($D$289:$AD$289,($D$279-3)))</f>
        <v>0</v>
      </c>
      <c r="CO300" s="5">
        <f>IF(($D$279-2)&lt;1,NA(),INDEX($D$289:$AD$289,($D$279-2)))</f>
        <v>0</v>
      </c>
      <c r="CP300" s="5">
        <f>IF(($D$279-1)&lt;1,NA(),INDEX($D$289:$AD$289,($D$279-1)))</f>
        <v>0</v>
      </c>
      <c r="CQ300" s="5">
        <f>IF(($D$279-0)&lt;1,NA(),INDEX($D$289:$AD$289,($D$279-0)))</f>
        <v>0</v>
      </c>
    </row>
    <row r="301" spans="1:95">
      <c r="A301" s="11" t="s">
        <v>669</v>
      </c>
      <c r="B301" s="11" t="s">
        <v>670</v>
      </c>
      <c r="C301" s="3" t="s">
        <v>408</v>
      </c>
      <c r="BR301" s="5">
        <f>IF(($D$279-25)&lt;1,NA(),INDEX($D$291:$AD$291,($D$279-25)))</f>
        <v>0</v>
      </c>
      <c r="BS301" s="5">
        <f>IF(($D$279-24)&lt;1,NA(),INDEX($D$291:$AD$291,($D$279-24)))</f>
        <v>0</v>
      </c>
      <c r="BT301" s="5">
        <f>IF(($D$279-23)&lt;1,NA(),INDEX($D$291:$AD$291,($D$279-23)))</f>
        <v>0</v>
      </c>
      <c r="BU301" s="5">
        <f>IF(($D$279-22)&lt;1,NA(),INDEX($D$291:$AD$291,($D$279-22)))</f>
        <v>0</v>
      </c>
      <c r="BV301" s="5">
        <f>IF(($D$279-21)&lt;1,NA(),INDEX($D$291:$AD$291,($D$279-21)))</f>
        <v>0</v>
      </c>
      <c r="BW301" s="5">
        <f>IF(($D$279-20)&lt;1,NA(),INDEX($D$291:$AD$291,($D$279-20)))</f>
        <v>0</v>
      </c>
      <c r="BX301" s="5">
        <f>IF(($D$279-19)&lt;1,NA(),INDEX($D$291:$AD$291,($D$279-19)))</f>
        <v>0</v>
      </c>
      <c r="BY301" s="5">
        <f>IF(($D$279-18)&lt;1,NA(),INDEX($D$291:$AD$291,($D$279-18)))</f>
        <v>0</v>
      </c>
      <c r="BZ301" s="5">
        <f>IF(($D$279-17)&lt;1,NA(),INDEX($D$291:$AD$291,($D$279-17)))</f>
        <v>0</v>
      </c>
      <c r="CA301" s="5">
        <f>IF(($D$279-16)&lt;1,NA(),INDEX($D$291:$AD$291,($D$279-16)))</f>
        <v>0</v>
      </c>
      <c r="CB301" s="5">
        <f>IF(($D$279-15)&lt;1,NA(),INDEX($D$291:$AD$291,($D$279-15)))</f>
        <v>0</v>
      </c>
      <c r="CC301" s="5">
        <f>IF(($D$279-14)&lt;1,NA(),INDEX($D$291:$AD$291,($D$279-14)))</f>
        <v>0</v>
      </c>
      <c r="CD301" s="5">
        <f>IF(($D$279-13)&lt;1,NA(),INDEX($D$291:$AD$291,($D$279-13)))</f>
        <v>0</v>
      </c>
      <c r="CE301" s="5">
        <f>IF(($D$279-12)&lt;1,NA(),INDEX($D$291:$AD$291,($D$279-12)))</f>
        <v>0</v>
      </c>
      <c r="CF301" s="5">
        <f>IF(($D$279-11)&lt;1,NA(),INDEX($D$291:$AD$291,($D$279-11)))</f>
        <v>0</v>
      </c>
      <c r="CG301" s="5">
        <f>IF(($D$279-10)&lt;1,NA(),INDEX($D$291:$AD$291,($D$279-10)))</f>
        <v>0</v>
      </c>
      <c r="CH301" s="5">
        <f>IF(($D$279-9)&lt;1,NA(),INDEX($D$291:$AD$291,($D$279-9)))</f>
        <v>0</v>
      </c>
      <c r="CI301" s="5">
        <f>IF(($D$279-8)&lt;1,NA(),INDEX($D$291:$AD$291,($D$279-8)))</f>
        <v>0</v>
      </c>
      <c r="CJ301" s="5">
        <f>IF(($D$279-7)&lt;1,NA(),INDEX($D$291:$AD$291,($D$279-7)))</f>
        <v>0</v>
      </c>
      <c r="CK301" s="5">
        <f>IF(($D$279-6)&lt;1,NA(),INDEX($D$291:$AD$291,($D$279-6)))</f>
        <v>0</v>
      </c>
      <c r="CL301" s="5">
        <f>IF(($D$279-5)&lt;1,NA(),INDEX($D$291:$AD$291,($D$279-5)))</f>
        <v>0</v>
      </c>
      <c r="CM301" s="5">
        <f>IF(($D$279-4)&lt;1,NA(),INDEX($D$291:$AD$291,($D$279-4)))</f>
        <v>0</v>
      </c>
      <c r="CN301" s="5">
        <f>IF(($D$279-3)&lt;1,NA(),INDEX($D$291:$AD$291,($D$279-3)))</f>
        <v>0</v>
      </c>
      <c r="CO301" s="5">
        <f>IF(($D$279-2)&lt;1,NA(),INDEX($D$291:$AD$291,($D$279-2)))</f>
        <v>0</v>
      </c>
      <c r="CP301" s="5">
        <f>IF(($D$279-1)&lt;1,NA(),INDEX($D$291:$AD$291,($D$279-1)))</f>
        <v>0</v>
      </c>
      <c r="CQ301" s="5">
        <f>IF(($D$279-0)&lt;1,NA(),INDEX($D$291:$AD$291,($D$279-0)))</f>
        <v>0</v>
      </c>
    </row>
    <row r="302" spans="1:95">
      <c r="A302" s="11" t="s">
        <v>671</v>
      </c>
      <c r="B302" s="11" t="s">
        <v>672</v>
      </c>
      <c r="C302" s="3" t="s">
        <v>408</v>
      </c>
      <c r="BR302" s="5">
        <f>IF(($D$279-25)&lt;1,NA(),INDEX($D$293:$AD$293,($D$279-25)))</f>
        <v>0</v>
      </c>
      <c r="BS302" s="5">
        <f>IF(($D$279-24)&lt;1,NA(),INDEX($D$293:$AD$293,($D$279-24)))</f>
        <v>0</v>
      </c>
      <c r="BT302" s="5">
        <f>IF(($D$279-23)&lt;1,NA(),INDEX($D$293:$AD$293,($D$279-23)))</f>
        <v>0</v>
      </c>
      <c r="BU302" s="5">
        <f>IF(($D$279-22)&lt;1,NA(),INDEX($D$293:$AD$293,($D$279-22)))</f>
        <v>0</v>
      </c>
      <c r="BV302" s="5">
        <f>IF(($D$279-21)&lt;1,NA(),INDEX($D$293:$AD$293,($D$279-21)))</f>
        <v>0</v>
      </c>
      <c r="BW302" s="5">
        <f>IF(($D$279-20)&lt;1,NA(),INDEX($D$293:$AD$293,($D$279-20)))</f>
        <v>0</v>
      </c>
      <c r="BX302" s="5">
        <f>IF(($D$279-19)&lt;1,NA(),INDEX($D$293:$AD$293,($D$279-19)))</f>
        <v>0</v>
      </c>
      <c r="BY302" s="5">
        <f>IF(($D$279-18)&lt;1,NA(),INDEX($D$293:$AD$293,($D$279-18)))</f>
        <v>0</v>
      </c>
      <c r="BZ302" s="5">
        <f>IF(($D$279-17)&lt;1,NA(),INDEX($D$293:$AD$293,($D$279-17)))</f>
        <v>0</v>
      </c>
      <c r="CA302" s="5">
        <f>IF(($D$279-16)&lt;1,NA(),INDEX($D$293:$AD$293,($D$279-16)))</f>
        <v>0</v>
      </c>
      <c r="CB302" s="5">
        <f>IF(($D$279-15)&lt;1,NA(),INDEX($D$293:$AD$293,($D$279-15)))</f>
        <v>0</v>
      </c>
      <c r="CC302" s="5">
        <f>IF(($D$279-14)&lt;1,NA(),INDEX($D$293:$AD$293,($D$279-14)))</f>
        <v>0</v>
      </c>
      <c r="CD302" s="5">
        <f>IF(($D$279-13)&lt;1,NA(),INDEX($D$293:$AD$293,($D$279-13)))</f>
        <v>0</v>
      </c>
      <c r="CE302" s="5">
        <f>IF(($D$279-12)&lt;1,NA(),INDEX($D$293:$AD$293,($D$279-12)))</f>
        <v>0</v>
      </c>
      <c r="CF302" s="5">
        <f>IF(($D$279-11)&lt;1,NA(),INDEX($D$293:$AD$293,($D$279-11)))</f>
        <v>0</v>
      </c>
      <c r="CG302" s="5">
        <f>IF(($D$279-10)&lt;1,NA(),INDEX($D$293:$AD$293,($D$279-10)))</f>
        <v>0</v>
      </c>
      <c r="CH302" s="5">
        <f>IF(($D$279-9)&lt;1,NA(),INDEX($D$293:$AD$293,($D$279-9)))</f>
        <v>0</v>
      </c>
      <c r="CI302" s="5">
        <f>IF(($D$279-8)&lt;1,NA(),INDEX($D$293:$AD$293,($D$279-8)))</f>
        <v>0</v>
      </c>
      <c r="CJ302" s="5">
        <f>IF(($D$279-7)&lt;1,NA(),INDEX($D$293:$AD$293,($D$279-7)))</f>
        <v>0</v>
      </c>
      <c r="CK302" s="5">
        <f>IF(($D$279-6)&lt;1,NA(),INDEX($D$293:$AD$293,($D$279-6)))</f>
        <v>0</v>
      </c>
      <c r="CL302" s="5">
        <f>IF(($D$279-5)&lt;1,NA(),INDEX($D$293:$AD$293,($D$279-5)))</f>
        <v>0</v>
      </c>
      <c r="CM302" s="5">
        <f>IF(($D$279-4)&lt;1,NA(),INDEX($D$293:$AD$293,($D$279-4)))</f>
        <v>0</v>
      </c>
      <c r="CN302" s="5">
        <f>IF(($D$279-3)&lt;1,NA(),INDEX($D$293:$AD$293,($D$279-3)))</f>
        <v>0</v>
      </c>
      <c r="CO302" s="5">
        <f>IF(($D$279-2)&lt;1,NA(),INDEX($D$293:$AD$293,($D$279-2)))</f>
        <v>0</v>
      </c>
      <c r="CP302" s="5">
        <f>IF(($D$279-1)&lt;1,NA(),INDEX($D$293:$AD$293,($D$279-1)))</f>
        <v>0</v>
      </c>
      <c r="CQ302" s="5">
        <f>IF(($D$279-0)&lt;1,NA(),INDEX($D$293:$AD$293,($D$279-0)))</f>
        <v>0</v>
      </c>
    </row>
    <row r="303" spans="1:95">
      <c r="A303" s="11" t="s">
        <v>673</v>
      </c>
      <c r="B303" s="11" t="s">
        <v>674</v>
      </c>
      <c r="C303" s="3" t="s">
        <v>408</v>
      </c>
      <c r="BR303" s="11">
        <f>IF(($D$279-25)&lt;1,"",INDEX($D$290:$AD$290,($D$279-25)))</f>
        <v>0</v>
      </c>
      <c r="BS303" s="11">
        <f>IF(($D$279-24)&lt;1,"",INDEX($D$290:$AD$290,($D$279-24)))</f>
        <v>0</v>
      </c>
      <c r="BT303" s="11">
        <f>IF(($D$279-23)&lt;1,"",INDEX($D$290:$AD$290,($D$279-23)))</f>
        <v>0</v>
      </c>
      <c r="BU303" s="11">
        <f>IF(($D$279-22)&lt;1,"",INDEX($D$290:$AD$290,($D$279-22)))</f>
        <v>0</v>
      </c>
      <c r="BV303" s="11">
        <f>IF(($D$279-21)&lt;1,"",INDEX($D$290:$AD$290,($D$279-21)))</f>
        <v>0</v>
      </c>
      <c r="BW303" s="11">
        <f>IF(($D$279-20)&lt;1,"",INDEX($D$290:$AD$290,($D$279-20)))</f>
        <v>0</v>
      </c>
      <c r="BX303" s="11">
        <f>IF(($D$279-19)&lt;1,"",INDEX($D$290:$AD$290,($D$279-19)))</f>
        <v>0</v>
      </c>
      <c r="BY303" s="11">
        <f>IF(($D$279-18)&lt;1,"",INDEX($D$290:$AD$290,($D$279-18)))</f>
        <v>0</v>
      </c>
      <c r="BZ303" s="11">
        <f>IF(($D$279-17)&lt;1,"",INDEX($D$290:$AD$290,($D$279-17)))</f>
        <v>0</v>
      </c>
      <c r="CA303" s="11">
        <f>IF(($D$279-16)&lt;1,"",INDEX($D$290:$AD$290,($D$279-16)))</f>
        <v>0</v>
      </c>
      <c r="CB303" s="11">
        <f>IF(($D$279-15)&lt;1,"",INDEX($D$290:$AD$290,($D$279-15)))</f>
        <v>0</v>
      </c>
      <c r="CC303" s="11">
        <f>IF(($D$279-14)&lt;1,"",INDEX($D$290:$AD$290,($D$279-14)))</f>
        <v>0</v>
      </c>
      <c r="CD303" s="11">
        <f>IF(($D$279-13)&lt;1,"",INDEX($D$290:$AD$290,($D$279-13)))</f>
        <v>0</v>
      </c>
      <c r="CE303" s="11">
        <f>IF(($D$279-12)&lt;1,"",INDEX($D$290:$AD$290,($D$279-12)))</f>
        <v>0</v>
      </c>
      <c r="CF303" s="11">
        <f>IF(($D$279-11)&lt;1,"",INDEX($D$290:$AD$290,($D$279-11)))</f>
        <v>0</v>
      </c>
      <c r="CG303" s="11">
        <f>IF(($D$279-10)&lt;1,"",INDEX($D$290:$AD$290,($D$279-10)))</f>
        <v>0</v>
      </c>
      <c r="CH303" s="11">
        <f>IF(($D$279-9)&lt;1,"",INDEX($D$290:$AD$290,($D$279-9)))</f>
        <v>0</v>
      </c>
      <c r="CI303" s="11">
        <f>IF(($D$279-8)&lt;1,"",INDEX($D$290:$AD$290,($D$279-8)))</f>
        <v>0</v>
      </c>
      <c r="CJ303" s="11">
        <f>IF(($D$279-7)&lt;1,"",INDEX($D$290:$AD$290,($D$279-7)))</f>
        <v>0</v>
      </c>
      <c r="CK303" s="11">
        <f>IF(($D$279-6)&lt;1,"",INDEX($D$290:$AD$290,($D$279-6)))</f>
        <v>0</v>
      </c>
      <c r="CL303" s="11">
        <f>IF(($D$279-5)&lt;1,"",INDEX($D$290:$AD$290,($D$279-5)))</f>
        <v>0</v>
      </c>
      <c r="CM303" s="11">
        <f>IF(($D$279-4)&lt;1,"",INDEX($D$290:$AD$290,($D$279-4)))</f>
        <v>0</v>
      </c>
      <c r="CN303" s="11">
        <f>IF(($D$279-3)&lt;1,"",INDEX($D$290:$AD$290,($D$279-3)))</f>
        <v>0</v>
      </c>
      <c r="CO303" s="11">
        <f>IF(($D$279-2)&lt;1,"",INDEX($D$290:$AD$290,($D$279-2)))</f>
        <v>0</v>
      </c>
      <c r="CP303" s="11">
        <f>IF(($D$279-1)&lt;1,"",INDEX($D$290:$AD$290,($D$279-1)))</f>
        <v>0</v>
      </c>
      <c r="CQ303" s="11">
        <f>IF(($D$279-0)&lt;1,"",INDEX($D$290:$AD$290,($D$279-0)))</f>
        <v>0</v>
      </c>
    </row>
    <row r="304" spans="1:95">
      <c r="A304" s="11" t="s">
        <v>675</v>
      </c>
      <c r="B304" s="11" t="s">
        <v>676</v>
      </c>
      <c r="C304" s="3" t="s">
        <v>408</v>
      </c>
      <c r="BR304" s="5">
        <f>IF(($D$279-25)&lt;1,NA(),INDEX($D$294:$AD$294,($D$279-25)))</f>
        <v>0</v>
      </c>
      <c r="BS304" s="5">
        <f>IF(($D$279-24)&lt;1,NA(),INDEX($D$294:$AD$294,($D$279-24)))</f>
        <v>0</v>
      </c>
      <c r="BT304" s="5">
        <f>IF(($D$279-23)&lt;1,NA(),INDEX($D$294:$AD$294,($D$279-23)))</f>
        <v>0</v>
      </c>
      <c r="BU304" s="5">
        <f>IF(($D$279-22)&lt;1,NA(),INDEX($D$294:$AD$294,($D$279-22)))</f>
        <v>0</v>
      </c>
      <c r="BV304" s="5">
        <f>IF(($D$279-21)&lt;1,NA(),INDEX($D$294:$AD$294,($D$279-21)))</f>
        <v>0</v>
      </c>
      <c r="BW304" s="5">
        <f>IF(($D$279-20)&lt;1,NA(),INDEX($D$294:$AD$294,($D$279-20)))</f>
        <v>0</v>
      </c>
      <c r="BX304" s="5">
        <f>IF(($D$279-19)&lt;1,NA(),INDEX($D$294:$AD$294,($D$279-19)))</f>
        <v>0</v>
      </c>
      <c r="BY304" s="5">
        <f>IF(($D$279-18)&lt;1,NA(),INDEX($D$294:$AD$294,($D$279-18)))</f>
        <v>0</v>
      </c>
      <c r="BZ304" s="5">
        <f>IF(($D$279-17)&lt;1,NA(),INDEX($D$294:$AD$294,($D$279-17)))</f>
        <v>0</v>
      </c>
      <c r="CA304" s="5">
        <f>IF(($D$279-16)&lt;1,NA(),INDEX($D$294:$AD$294,($D$279-16)))</f>
        <v>0</v>
      </c>
      <c r="CB304" s="5">
        <f>IF(($D$279-15)&lt;1,NA(),INDEX($D$294:$AD$294,($D$279-15)))</f>
        <v>0</v>
      </c>
      <c r="CC304" s="5">
        <f>IF(($D$279-14)&lt;1,NA(),INDEX($D$294:$AD$294,($D$279-14)))</f>
        <v>0</v>
      </c>
      <c r="CD304" s="5">
        <f>IF(($D$279-13)&lt;1,NA(),INDEX($D$294:$AD$294,($D$279-13)))</f>
        <v>0</v>
      </c>
      <c r="CE304" s="5">
        <f>IF(($D$279-12)&lt;1,NA(),INDEX($D$294:$AD$294,($D$279-12)))</f>
        <v>0</v>
      </c>
      <c r="CF304" s="5">
        <f>IF(($D$279-11)&lt;1,NA(),INDEX($D$294:$AD$294,($D$279-11)))</f>
        <v>0</v>
      </c>
      <c r="CG304" s="5">
        <f>IF(($D$279-10)&lt;1,NA(),INDEX($D$294:$AD$294,($D$279-10)))</f>
        <v>0</v>
      </c>
      <c r="CH304" s="5">
        <f>IF(($D$279-9)&lt;1,NA(),INDEX($D$294:$AD$294,($D$279-9)))</f>
        <v>0</v>
      </c>
      <c r="CI304" s="5">
        <f>IF(($D$279-8)&lt;1,NA(),INDEX($D$294:$AD$294,($D$279-8)))</f>
        <v>0</v>
      </c>
      <c r="CJ304" s="5">
        <f>IF(($D$279-7)&lt;1,NA(),INDEX($D$294:$AD$294,($D$279-7)))</f>
        <v>0</v>
      </c>
      <c r="CK304" s="5">
        <f>IF(($D$279-6)&lt;1,NA(),INDEX($D$294:$AD$294,($D$279-6)))</f>
        <v>0</v>
      </c>
      <c r="CL304" s="5">
        <f>IF(($D$279-5)&lt;1,NA(),INDEX($D$294:$AD$294,($D$279-5)))</f>
        <v>0</v>
      </c>
      <c r="CM304" s="5">
        <f>IF(($D$279-4)&lt;1,NA(),INDEX($D$294:$AD$294,($D$279-4)))</f>
        <v>0</v>
      </c>
      <c r="CN304" s="5">
        <f>IF(($D$279-3)&lt;1,NA(),INDEX($D$294:$AD$294,($D$279-3)))</f>
        <v>0</v>
      </c>
      <c r="CO304" s="5">
        <f>IF(($D$279-2)&lt;1,NA(),INDEX($D$294:$AD$294,($D$279-2)))</f>
        <v>0</v>
      </c>
      <c r="CP304" s="5">
        <f>IF(($D$279-1)&lt;1,NA(),INDEX($D$294:$AD$294,($D$279-1)))</f>
        <v>0</v>
      </c>
      <c r="CQ304" s="5">
        <f>IF(($D$279-0)&lt;1,NA(),INDEX($D$294:$AD$294,($D$279-0)))</f>
        <v>0</v>
      </c>
    </row>
    <row r="305" spans="1:95">
      <c r="A305" s="11" t="s">
        <v>677</v>
      </c>
      <c r="B305" s="11" t="s">
        <v>678</v>
      </c>
      <c r="C305" s="3" t="s">
        <v>408</v>
      </c>
      <c r="BR305" s="11">
        <f>IF(($D$279-25)&lt;1,"",INDEX($D$292:$AD$292,($D$279-25)))</f>
        <v>0</v>
      </c>
      <c r="BS305" s="11">
        <f>IF(($D$279-24)&lt;1,"",INDEX($D$292:$AD$292,($D$279-24)))</f>
        <v>0</v>
      </c>
      <c r="BT305" s="11">
        <f>IF(($D$279-23)&lt;1,"",INDEX($D$292:$AD$292,($D$279-23)))</f>
        <v>0</v>
      </c>
      <c r="BU305" s="11">
        <f>IF(($D$279-22)&lt;1,"",INDEX($D$292:$AD$292,($D$279-22)))</f>
        <v>0</v>
      </c>
      <c r="BV305" s="11">
        <f>IF(($D$279-21)&lt;1,"",INDEX($D$292:$AD$292,($D$279-21)))</f>
        <v>0</v>
      </c>
      <c r="BW305" s="11">
        <f>IF(($D$279-20)&lt;1,"",INDEX($D$292:$AD$292,($D$279-20)))</f>
        <v>0</v>
      </c>
      <c r="BX305" s="11">
        <f>IF(($D$279-19)&lt;1,"",INDEX($D$292:$AD$292,($D$279-19)))</f>
        <v>0</v>
      </c>
      <c r="BY305" s="11">
        <f>IF(($D$279-18)&lt;1,"",INDEX($D$292:$AD$292,($D$279-18)))</f>
        <v>0</v>
      </c>
      <c r="BZ305" s="11">
        <f>IF(($D$279-17)&lt;1,"",INDEX($D$292:$AD$292,($D$279-17)))</f>
        <v>0</v>
      </c>
      <c r="CA305" s="11">
        <f>IF(($D$279-16)&lt;1,"",INDEX($D$292:$AD$292,($D$279-16)))</f>
        <v>0</v>
      </c>
      <c r="CB305" s="11">
        <f>IF(($D$279-15)&lt;1,"",INDEX($D$292:$AD$292,($D$279-15)))</f>
        <v>0</v>
      </c>
      <c r="CC305" s="11">
        <f>IF(($D$279-14)&lt;1,"",INDEX($D$292:$AD$292,($D$279-14)))</f>
        <v>0</v>
      </c>
      <c r="CD305" s="11">
        <f>IF(($D$279-13)&lt;1,"",INDEX($D$292:$AD$292,($D$279-13)))</f>
        <v>0</v>
      </c>
      <c r="CE305" s="11">
        <f>IF(($D$279-12)&lt;1,"",INDEX($D$292:$AD$292,($D$279-12)))</f>
        <v>0</v>
      </c>
      <c r="CF305" s="11">
        <f>IF(($D$279-11)&lt;1,"",INDEX($D$292:$AD$292,($D$279-11)))</f>
        <v>0</v>
      </c>
      <c r="CG305" s="11">
        <f>IF(($D$279-10)&lt;1,"",INDEX($D$292:$AD$292,($D$279-10)))</f>
        <v>0</v>
      </c>
      <c r="CH305" s="11">
        <f>IF(($D$279-9)&lt;1,"",INDEX($D$292:$AD$292,($D$279-9)))</f>
        <v>0</v>
      </c>
      <c r="CI305" s="11">
        <f>IF(($D$279-8)&lt;1,"",INDEX($D$292:$AD$292,($D$279-8)))</f>
        <v>0</v>
      </c>
      <c r="CJ305" s="11">
        <f>IF(($D$279-7)&lt;1,"",INDEX($D$292:$AD$292,($D$279-7)))</f>
        <v>0</v>
      </c>
      <c r="CK305" s="11">
        <f>IF(($D$279-6)&lt;1,"",INDEX($D$292:$AD$292,($D$279-6)))</f>
        <v>0</v>
      </c>
      <c r="CL305" s="11">
        <f>IF(($D$279-5)&lt;1,"",INDEX($D$292:$AD$292,($D$279-5)))</f>
        <v>0</v>
      </c>
      <c r="CM305" s="11">
        <f>IF(($D$279-4)&lt;1,"",INDEX($D$292:$AD$292,($D$279-4)))</f>
        <v>0</v>
      </c>
      <c r="CN305" s="11">
        <f>IF(($D$279-3)&lt;1,"",INDEX($D$292:$AD$292,($D$279-3)))</f>
        <v>0</v>
      </c>
      <c r="CO305" s="11">
        <f>IF(($D$279-2)&lt;1,"",INDEX($D$292:$AD$292,($D$279-2)))</f>
        <v>0</v>
      </c>
      <c r="CP305" s="11">
        <f>IF(($D$279-1)&lt;1,"",INDEX($D$292:$AD$292,($D$279-1)))</f>
        <v>0</v>
      </c>
      <c r="CQ305" s="11">
        <f>IF(($D$279-0)&lt;1,"",INDEX($D$292:$AD$292,($D$279-0)))</f>
        <v>0</v>
      </c>
    </row>
    <row r="306" spans="1:95">
      <c r="A306" s="11" t="s">
        <v>679</v>
      </c>
      <c r="B306" s="11" t="s">
        <v>680</v>
      </c>
      <c r="C306" s="3" t="s">
        <v>408</v>
      </c>
      <c r="BR306" s="5">
        <f>IF(($D$279-25)&lt;1,NA(),INDEX($D$296:$AD$296,($D$279-25)))</f>
        <v>0</v>
      </c>
      <c r="BS306" s="5">
        <f>IF(($D$279-24)&lt;1,NA(),INDEX($D$296:$AD$296,($D$279-24)))</f>
        <v>0</v>
      </c>
      <c r="BT306" s="5">
        <f>IF(($D$279-23)&lt;1,NA(),INDEX($D$296:$AD$296,($D$279-23)))</f>
        <v>0</v>
      </c>
      <c r="BU306" s="5">
        <f>IF(($D$279-22)&lt;1,NA(),INDEX($D$296:$AD$296,($D$279-22)))</f>
        <v>0</v>
      </c>
      <c r="BV306" s="5">
        <f>IF(($D$279-21)&lt;1,NA(),INDEX($D$296:$AD$296,($D$279-21)))</f>
        <v>0</v>
      </c>
      <c r="BW306" s="5">
        <f>IF(($D$279-20)&lt;1,NA(),INDEX($D$296:$AD$296,($D$279-20)))</f>
        <v>0</v>
      </c>
      <c r="BX306" s="5">
        <f>IF(($D$279-19)&lt;1,NA(),INDEX($D$296:$AD$296,($D$279-19)))</f>
        <v>0</v>
      </c>
      <c r="BY306" s="5">
        <f>IF(($D$279-18)&lt;1,NA(),INDEX($D$296:$AD$296,($D$279-18)))</f>
        <v>0</v>
      </c>
      <c r="BZ306" s="5">
        <f>IF(($D$279-17)&lt;1,NA(),INDEX($D$296:$AD$296,($D$279-17)))</f>
        <v>0</v>
      </c>
      <c r="CA306" s="5">
        <f>IF(($D$279-16)&lt;1,NA(),INDEX($D$296:$AD$296,($D$279-16)))</f>
        <v>0</v>
      </c>
      <c r="CB306" s="5">
        <f>IF(($D$279-15)&lt;1,NA(),INDEX($D$296:$AD$296,($D$279-15)))</f>
        <v>0</v>
      </c>
      <c r="CC306" s="5">
        <f>IF(($D$279-14)&lt;1,NA(),INDEX($D$296:$AD$296,($D$279-14)))</f>
        <v>0</v>
      </c>
      <c r="CD306" s="5">
        <f>IF(($D$279-13)&lt;1,NA(),INDEX($D$296:$AD$296,($D$279-13)))</f>
        <v>0</v>
      </c>
      <c r="CE306" s="5">
        <f>IF(($D$279-12)&lt;1,NA(),INDEX($D$296:$AD$296,($D$279-12)))</f>
        <v>0</v>
      </c>
      <c r="CF306" s="5">
        <f>IF(($D$279-11)&lt;1,NA(),INDEX($D$296:$AD$296,($D$279-11)))</f>
        <v>0</v>
      </c>
      <c r="CG306" s="5">
        <f>IF(($D$279-10)&lt;1,NA(),INDEX($D$296:$AD$296,($D$279-10)))</f>
        <v>0</v>
      </c>
      <c r="CH306" s="5">
        <f>IF(($D$279-9)&lt;1,NA(),INDEX($D$296:$AD$296,($D$279-9)))</f>
        <v>0</v>
      </c>
      <c r="CI306" s="5">
        <f>IF(($D$279-8)&lt;1,NA(),INDEX($D$296:$AD$296,($D$279-8)))</f>
        <v>0</v>
      </c>
      <c r="CJ306" s="5">
        <f>IF(($D$279-7)&lt;1,NA(),INDEX($D$296:$AD$296,($D$279-7)))</f>
        <v>0</v>
      </c>
      <c r="CK306" s="5">
        <f>IF(($D$279-6)&lt;1,NA(),INDEX($D$296:$AD$296,($D$279-6)))</f>
        <v>0</v>
      </c>
      <c r="CL306" s="5">
        <f>IF(($D$279-5)&lt;1,NA(),INDEX($D$296:$AD$296,($D$279-5)))</f>
        <v>0</v>
      </c>
      <c r="CM306" s="5">
        <f>IF(($D$279-4)&lt;1,NA(),INDEX($D$296:$AD$296,($D$279-4)))</f>
        <v>0</v>
      </c>
      <c r="CN306" s="5">
        <f>IF(($D$279-3)&lt;1,NA(),INDEX($D$296:$AD$296,($D$279-3)))</f>
        <v>0</v>
      </c>
      <c r="CO306" s="5">
        <f>IF(($D$279-2)&lt;1,NA(),INDEX($D$296:$AD$296,($D$279-2)))</f>
        <v>0</v>
      </c>
      <c r="CP306" s="5">
        <f>IF(($D$279-1)&lt;1,NA(),INDEX($D$296:$AD$296,($D$279-1)))</f>
        <v>0</v>
      </c>
      <c r="CQ306" s="5">
        <f>IF(($D$279-0)&lt;1,NA(),INDEX($D$296:$AD$296,($D$279-0)))</f>
        <v>0</v>
      </c>
    </row>
    <row r="307" spans="1:95">
      <c r="A307" s="11" t="s">
        <v>681</v>
      </c>
      <c r="B307" s="11" t="s">
        <v>682</v>
      </c>
      <c r="C307" s="3" t="s">
        <v>408</v>
      </c>
      <c r="BR307" s="5">
        <f>IF(($D$279-25)&lt;1,NA(),INDEX($D$297:$AD$297,($D$279-25)))</f>
        <v>0</v>
      </c>
      <c r="BS307" s="5">
        <f>IF(($D$279-24)&lt;1,NA(),INDEX($D$297:$AD$297,($D$279-24)))</f>
        <v>0</v>
      </c>
      <c r="BT307" s="5">
        <f>IF(($D$279-23)&lt;1,NA(),INDEX($D$297:$AD$297,($D$279-23)))</f>
        <v>0</v>
      </c>
      <c r="BU307" s="5">
        <f>IF(($D$279-22)&lt;1,NA(),INDEX($D$297:$AD$297,($D$279-22)))</f>
        <v>0</v>
      </c>
      <c r="BV307" s="5">
        <f>IF(($D$279-21)&lt;1,NA(),INDEX($D$297:$AD$297,($D$279-21)))</f>
        <v>0</v>
      </c>
      <c r="BW307" s="5">
        <f>IF(($D$279-20)&lt;1,NA(),INDEX($D$297:$AD$297,($D$279-20)))</f>
        <v>0</v>
      </c>
      <c r="BX307" s="5">
        <f>IF(($D$279-19)&lt;1,NA(),INDEX($D$297:$AD$297,($D$279-19)))</f>
        <v>0</v>
      </c>
      <c r="BY307" s="5">
        <f>IF(($D$279-18)&lt;1,NA(),INDEX($D$297:$AD$297,($D$279-18)))</f>
        <v>0</v>
      </c>
      <c r="BZ307" s="5">
        <f>IF(($D$279-17)&lt;1,NA(),INDEX($D$297:$AD$297,($D$279-17)))</f>
        <v>0</v>
      </c>
      <c r="CA307" s="5">
        <f>IF(($D$279-16)&lt;1,NA(),INDEX($D$297:$AD$297,($D$279-16)))</f>
        <v>0</v>
      </c>
      <c r="CB307" s="5">
        <f>IF(($D$279-15)&lt;1,NA(),INDEX($D$297:$AD$297,($D$279-15)))</f>
        <v>0</v>
      </c>
      <c r="CC307" s="5">
        <f>IF(($D$279-14)&lt;1,NA(),INDEX($D$297:$AD$297,($D$279-14)))</f>
        <v>0</v>
      </c>
      <c r="CD307" s="5">
        <f>IF(($D$279-13)&lt;1,NA(),INDEX($D$297:$AD$297,($D$279-13)))</f>
        <v>0</v>
      </c>
      <c r="CE307" s="5">
        <f>IF(($D$279-12)&lt;1,NA(),INDEX($D$297:$AD$297,($D$279-12)))</f>
        <v>0</v>
      </c>
      <c r="CF307" s="5">
        <f>IF(($D$279-11)&lt;1,NA(),INDEX($D$297:$AD$297,($D$279-11)))</f>
        <v>0</v>
      </c>
      <c r="CG307" s="5">
        <f>IF(($D$279-10)&lt;1,NA(),INDEX($D$297:$AD$297,($D$279-10)))</f>
        <v>0</v>
      </c>
      <c r="CH307" s="5">
        <f>IF(($D$279-9)&lt;1,NA(),INDEX($D$297:$AD$297,($D$279-9)))</f>
        <v>0</v>
      </c>
      <c r="CI307" s="5">
        <f>IF(($D$279-8)&lt;1,NA(),INDEX($D$297:$AD$297,($D$279-8)))</f>
        <v>0</v>
      </c>
      <c r="CJ307" s="5">
        <f>IF(($D$279-7)&lt;1,NA(),INDEX($D$297:$AD$297,($D$279-7)))</f>
        <v>0</v>
      </c>
      <c r="CK307" s="5">
        <f>IF(($D$279-6)&lt;1,NA(),INDEX($D$297:$AD$297,($D$279-6)))</f>
        <v>0</v>
      </c>
      <c r="CL307" s="5">
        <f>IF(($D$279-5)&lt;1,NA(),INDEX($D$297:$AD$297,($D$279-5)))</f>
        <v>0</v>
      </c>
      <c r="CM307" s="5">
        <f>IF(($D$279-4)&lt;1,NA(),INDEX($D$297:$AD$297,($D$279-4)))</f>
        <v>0</v>
      </c>
      <c r="CN307" s="5">
        <f>IF(($D$279-3)&lt;1,NA(),INDEX($D$297:$AD$297,($D$279-3)))</f>
        <v>0</v>
      </c>
      <c r="CO307" s="5">
        <f>IF(($D$279-2)&lt;1,NA(),INDEX($D$297:$AD$297,($D$279-2)))</f>
        <v>0</v>
      </c>
      <c r="CP307" s="5">
        <f>IF(($D$279-1)&lt;1,NA(),INDEX($D$297:$AD$297,($D$279-1)))</f>
        <v>0</v>
      </c>
      <c r="CQ307" s="5">
        <f>IF(($D$279-0)&lt;1,NA(),INDEX($D$297:$AD$297,($D$279-0)))</f>
        <v>0</v>
      </c>
    </row>
    <row r="308" spans="1:95">
      <c r="A308" s="11" t="s">
        <v>683</v>
      </c>
      <c r="B308" s="11" t="s">
        <v>684</v>
      </c>
      <c r="C308" s="3" t="s">
        <v>408</v>
      </c>
      <c r="BR308" s="5">
        <f>IF(($D$279-25)&lt;1,NA(),INDEX($D$298:$AD$298,($D$279-25)))</f>
        <v>0</v>
      </c>
      <c r="BS308" s="5">
        <f>IF(($D$279-24)&lt;1,NA(),INDEX($D$298:$AD$298,($D$279-24)))</f>
        <v>0</v>
      </c>
      <c r="BT308" s="5">
        <f>IF(($D$279-23)&lt;1,NA(),INDEX($D$298:$AD$298,($D$279-23)))</f>
        <v>0</v>
      </c>
      <c r="BU308" s="5">
        <f>IF(($D$279-22)&lt;1,NA(),INDEX($D$298:$AD$298,($D$279-22)))</f>
        <v>0</v>
      </c>
      <c r="BV308" s="5">
        <f>IF(($D$279-21)&lt;1,NA(),INDEX($D$298:$AD$298,($D$279-21)))</f>
        <v>0</v>
      </c>
      <c r="BW308" s="5">
        <f>IF(($D$279-20)&lt;1,NA(),INDEX($D$298:$AD$298,($D$279-20)))</f>
        <v>0</v>
      </c>
      <c r="BX308" s="5">
        <f>IF(($D$279-19)&lt;1,NA(),INDEX($D$298:$AD$298,($D$279-19)))</f>
        <v>0</v>
      </c>
      <c r="BY308" s="5">
        <f>IF(($D$279-18)&lt;1,NA(),INDEX($D$298:$AD$298,($D$279-18)))</f>
        <v>0</v>
      </c>
      <c r="BZ308" s="5">
        <f>IF(($D$279-17)&lt;1,NA(),INDEX($D$298:$AD$298,($D$279-17)))</f>
        <v>0</v>
      </c>
      <c r="CA308" s="5">
        <f>IF(($D$279-16)&lt;1,NA(),INDEX($D$298:$AD$298,($D$279-16)))</f>
        <v>0</v>
      </c>
      <c r="CB308" s="5">
        <f>IF(($D$279-15)&lt;1,NA(),INDEX($D$298:$AD$298,($D$279-15)))</f>
        <v>0</v>
      </c>
      <c r="CC308" s="5">
        <f>IF(($D$279-14)&lt;1,NA(),INDEX($D$298:$AD$298,($D$279-14)))</f>
        <v>0</v>
      </c>
      <c r="CD308" s="5">
        <f>IF(($D$279-13)&lt;1,NA(),INDEX($D$298:$AD$298,($D$279-13)))</f>
        <v>0</v>
      </c>
      <c r="CE308" s="5">
        <f>IF(($D$279-12)&lt;1,NA(),INDEX($D$298:$AD$298,($D$279-12)))</f>
        <v>0</v>
      </c>
      <c r="CF308" s="5">
        <f>IF(($D$279-11)&lt;1,NA(),INDEX($D$298:$AD$298,($D$279-11)))</f>
        <v>0</v>
      </c>
      <c r="CG308" s="5">
        <f>IF(($D$279-10)&lt;1,NA(),INDEX($D$298:$AD$298,($D$279-10)))</f>
        <v>0</v>
      </c>
      <c r="CH308" s="5">
        <f>IF(($D$279-9)&lt;1,NA(),INDEX($D$298:$AD$298,($D$279-9)))</f>
        <v>0</v>
      </c>
      <c r="CI308" s="5">
        <f>IF(($D$279-8)&lt;1,NA(),INDEX($D$298:$AD$298,($D$279-8)))</f>
        <v>0</v>
      </c>
      <c r="CJ308" s="5">
        <f>IF(($D$279-7)&lt;1,NA(),INDEX($D$298:$AD$298,($D$279-7)))</f>
        <v>0</v>
      </c>
      <c r="CK308" s="5">
        <f>IF(($D$279-6)&lt;1,NA(),INDEX($D$298:$AD$298,($D$279-6)))</f>
        <v>0</v>
      </c>
      <c r="CL308" s="5">
        <f>IF(($D$279-5)&lt;1,NA(),INDEX($D$298:$AD$298,($D$279-5)))</f>
        <v>0</v>
      </c>
      <c r="CM308" s="5">
        <f>IF(($D$279-4)&lt;1,NA(),INDEX($D$298:$AD$298,($D$279-4)))</f>
        <v>0</v>
      </c>
      <c r="CN308" s="5">
        <f>IF(($D$279-3)&lt;1,NA(),INDEX($D$298:$AD$298,($D$279-3)))</f>
        <v>0</v>
      </c>
      <c r="CO308" s="5">
        <f>IF(($D$279-2)&lt;1,NA(),INDEX($D$298:$AD$298,($D$279-2)))</f>
        <v>0</v>
      </c>
      <c r="CP308" s="5">
        <f>IF(($D$279-1)&lt;1,NA(),INDEX($D$298:$AD$298,($D$279-1)))</f>
        <v>0</v>
      </c>
      <c r="CQ308" s="5">
        <f>IF(($D$279-0)&lt;1,NA(),INDEX($D$298:$AD$298,($D$279-0)))</f>
        <v>0</v>
      </c>
    </row>
    <row r="309" spans="1:95">
      <c r="A309" s="11" t="s">
        <v>685</v>
      </c>
      <c r="B309" s="11" t="s">
        <v>686</v>
      </c>
      <c r="C309" s="3" t="s">
        <v>408</v>
      </c>
      <c r="BR309" s="11">
        <f>IF(($D$279-25)&lt;1,"",INDEX($D$299:$AD$299,($D$279-25)))</f>
        <v>0</v>
      </c>
      <c r="BS309" s="11">
        <f>IF(($D$279-24)&lt;1,"",INDEX($D$299:$AD$299,($D$279-24)))</f>
        <v>0</v>
      </c>
      <c r="BT309" s="11">
        <f>IF(($D$279-23)&lt;1,"",INDEX($D$299:$AD$299,($D$279-23)))</f>
        <v>0</v>
      </c>
      <c r="BU309" s="11">
        <f>IF(($D$279-22)&lt;1,"",INDEX($D$299:$AD$299,($D$279-22)))</f>
        <v>0</v>
      </c>
      <c r="BV309" s="11">
        <f>IF(($D$279-21)&lt;1,"",INDEX($D$299:$AD$299,($D$279-21)))</f>
        <v>0</v>
      </c>
      <c r="BW309" s="11">
        <f>IF(($D$279-20)&lt;1,"",INDEX($D$299:$AD$299,($D$279-20)))</f>
        <v>0</v>
      </c>
      <c r="BX309" s="11">
        <f>IF(($D$279-19)&lt;1,"",INDEX($D$299:$AD$299,($D$279-19)))</f>
        <v>0</v>
      </c>
      <c r="BY309" s="11">
        <f>IF(($D$279-18)&lt;1,"",INDEX($D$299:$AD$299,($D$279-18)))</f>
        <v>0</v>
      </c>
      <c r="BZ309" s="11">
        <f>IF(($D$279-17)&lt;1,"",INDEX($D$299:$AD$299,($D$279-17)))</f>
        <v>0</v>
      </c>
      <c r="CA309" s="11">
        <f>IF(($D$279-16)&lt;1,"",INDEX($D$299:$AD$299,($D$279-16)))</f>
        <v>0</v>
      </c>
      <c r="CB309" s="11">
        <f>IF(($D$279-15)&lt;1,"",INDEX($D$299:$AD$299,($D$279-15)))</f>
        <v>0</v>
      </c>
      <c r="CC309" s="11">
        <f>IF(($D$279-14)&lt;1,"",INDEX($D$299:$AD$299,($D$279-14)))</f>
        <v>0</v>
      </c>
      <c r="CD309" s="11">
        <f>IF(($D$279-13)&lt;1,"",INDEX($D$299:$AD$299,($D$279-13)))</f>
        <v>0</v>
      </c>
      <c r="CE309" s="11">
        <f>IF(($D$279-12)&lt;1,"",INDEX($D$299:$AD$299,($D$279-12)))</f>
        <v>0</v>
      </c>
      <c r="CF309" s="11">
        <f>IF(($D$279-11)&lt;1,"",INDEX($D$299:$AD$299,($D$279-11)))</f>
        <v>0</v>
      </c>
      <c r="CG309" s="11">
        <f>IF(($D$279-10)&lt;1,"",INDEX($D$299:$AD$299,($D$279-10)))</f>
        <v>0</v>
      </c>
      <c r="CH309" s="11">
        <f>IF(($D$279-9)&lt;1,"",INDEX($D$299:$AD$299,($D$279-9)))</f>
        <v>0</v>
      </c>
      <c r="CI309" s="11">
        <f>IF(($D$279-8)&lt;1,"",INDEX($D$299:$AD$299,($D$279-8)))</f>
        <v>0</v>
      </c>
      <c r="CJ309" s="11">
        <f>IF(($D$279-7)&lt;1,"",INDEX($D$299:$AD$299,($D$279-7)))</f>
        <v>0</v>
      </c>
      <c r="CK309" s="11">
        <f>IF(($D$279-6)&lt;1,"",INDEX($D$299:$AD$299,($D$279-6)))</f>
        <v>0</v>
      </c>
      <c r="CL309" s="11">
        <f>IF(($D$279-5)&lt;1,"",INDEX($D$299:$AD$299,($D$279-5)))</f>
        <v>0</v>
      </c>
      <c r="CM309" s="11">
        <f>IF(($D$279-4)&lt;1,"",INDEX($D$299:$AD$299,($D$279-4)))</f>
        <v>0</v>
      </c>
      <c r="CN309" s="11">
        <f>IF(($D$279-3)&lt;1,"",INDEX($D$299:$AD$299,($D$279-3)))</f>
        <v>0</v>
      </c>
      <c r="CO309" s="11">
        <f>IF(($D$279-2)&lt;1,"",INDEX($D$299:$AD$299,($D$279-2)))</f>
        <v>0</v>
      </c>
      <c r="CP309" s="11">
        <f>IF(($D$279-1)&lt;1,"",INDEX($D$299:$AD$299,($D$279-1)))</f>
        <v>0</v>
      </c>
      <c r="CQ309" s="11">
        <f>IF(($D$279-0)&lt;1,"",INDEX($D$299:$AD$299,($D$279-0)))</f>
        <v>0</v>
      </c>
    </row>
    <row r="310" spans="1:95">
      <c r="A310" s="11" t="s">
        <v>687</v>
      </c>
      <c r="B310" s="11" t="s">
        <v>688</v>
      </c>
      <c r="C310" s="3" t="s">
        <v>137</v>
      </c>
      <c r="D310" s="5">
        <f>IF(MAX($D$311:$AD$311)=0,27,MAX($D$311:$AD$311))</f>
        <v>0</v>
      </c>
    </row>
    <row r="311" spans="1:95">
      <c r="A311" s="11" t="s">
        <v>689</v>
      </c>
      <c r="B311" s="11" t="s">
        <v>690</v>
      </c>
      <c r="C311" s="3" t="s">
        <v>137</v>
      </c>
      <c r="D311" s="5">
        <f>0</f>
        <v>0</v>
      </c>
      <c r="E311" s="5">
        <f>0</f>
        <v>0</v>
      </c>
      <c r="F311" s="5">
        <f>0</f>
        <v>0</v>
      </c>
      <c r="G311" s="5">
        <f>0</f>
        <v>0</v>
      </c>
      <c r="H311" s="5">
        <f>0</f>
        <v>0</v>
      </c>
      <c r="I311" s="5">
        <f>0</f>
        <v>0</v>
      </c>
      <c r="J311" s="5">
        <f>0</f>
        <v>0</v>
      </c>
      <c r="K311" s="5">
        <f>0</f>
        <v>0</v>
      </c>
      <c r="L311" s="5">
        <f>0</f>
        <v>0</v>
      </c>
      <c r="M311" s="5">
        <f>0</f>
        <v>0</v>
      </c>
      <c r="N311" s="5">
        <f>0</f>
        <v>0</v>
      </c>
      <c r="O311" s="5">
        <f>0</f>
        <v>0</v>
      </c>
      <c r="P311" s="5">
        <f>0</f>
        <v>0</v>
      </c>
      <c r="Q311" s="5">
        <f>0</f>
        <v>0</v>
      </c>
      <c r="R311" s="5">
        <f>0</f>
        <v>0</v>
      </c>
      <c r="S311" s="5">
        <f>0</f>
        <v>0</v>
      </c>
      <c r="T311" s="5">
        <f>0</f>
        <v>0</v>
      </c>
      <c r="U311" s="5">
        <f>0</f>
        <v>0</v>
      </c>
      <c r="V311" s="5">
        <f>0</f>
        <v>0</v>
      </c>
      <c r="W311" s="5">
        <f>0</f>
        <v>0</v>
      </c>
      <c r="X311" s="5">
        <f>0</f>
        <v>0</v>
      </c>
      <c r="Y311" s="5">
        <f>0</f>
        <v>0</v>
      </c>
      <c r="Z311" s="5">
        <f>0</f>
        <v>0</v>
      </c>
      <c r="AA311" s="5">
        <f>0</f>
        <v>0</v>
      </c>
      <c r="AB311" s="5">
        <f>0</f>
        <v>0</v>
      </c>
      <c r="AC311" s="5">
        <f>0</f>
        <v>0</v>
      </c>
      <c r="AD311" s="5">
        <f>0</f>
        <v>0</v>
      </c>
    </row>
    <row r="312" spans="1:95">
      <c r="A312" s="11" t="s">
        <v>1340</v>
      </c>
      <c r="B312" s="11" t="s">
        <v>1341</v>
      </c>
      <c r="C312" s="3" t="s">
        <v>1342</v>
      </c>
      <c r="D312" s="5">
        <f>IF(N(INDEX($D$38:$AD$38,27))&gt;0,1,0)</f>
        <v>0</v>
      </c>
      <c r="E312" s="11">
        <f>IF(MAX($D$38:$AD$38)=0,"noch keine Werte – „BÜ-Datei verknüpfen“",IF($D$312=1,"da · KW "&amp;_xlfn.ISOWEEKNUM(INDEX($D$4:$AD$4,$D$37)-MOD(WEEKDAY(INDEX($D$4:$AD$4,$D$37),2)+2,7))&amp;" · "&amp;$E$165,"fehlt für KW "&amp;_xlfn.ISOWEEKNUM(KWFreitag)&amp;" · zuletzt KW "&amp;_xlfn.ISOWEEKNUM(INDEX($D$4:$AD$4,$D$37)-MOD(WEEKDAY(INDEX($D$4:$AD$4,$D$37),2)+2,7))&amp;" · "&amp;$E$165))</f>
        <v>0</v>
      </c>
    </row>
    <row r="313" spans="1:95">
      <c r="A313" s="11" t="s">
        <v>1343</v>
      </c>
      <c r="B313" s="11" t="s">
        <v>1344</v>
      </c>
      <c r="C313" s="3" t="s">
        <v>1342</v>
      </c>
      <c r="D313" s="5">
        <f>IF(N(INDEX($D$92:$AD$92,27))&gt;0,1,0)</f>
        <v>0</v>
      </c>
      <c r="E313" s="11">
        <f>IF(MAX($D$92:$AD$92)=0,"noch keine Werte – „BÜ-Datei verknüpfen“",IF($D$313=1,"da · KW "&amp;_xlfn.ISOWEEKNUM(INDEX($D$4:$AD$4,$D$91)-MOD(WEEKDAY(INDEX($D$4:$AD$4,$D$91),2)+2,7))&amp;" · "&amp;$E$166,"fehlt für KW "&amp;_xlfn.ISOWEEKNUM(KWFreitag)&amp;" · zuletzt KW "&amp;_xlfn.ISOWEEKNUM(INDEX($D$4:$AD$4,$D$91)-MOD(WEEKDAY(INDEX($D$4:$AD$4,$D$91),2)+2,7))&amp;" · "&amp;$E$166))</f>
        <v>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sheetPr codeName="Feiertage">
    <tabColor rgb="FF9AA3AD"/>
  </sheetPr>
  <dimension ref="A1:T56"/>
  <sheetViews>
    <sheetView workbookViewId="0"/>
  </sheetViews>
  <sheetFormatPr defaultRowHeight="15"/>
  <cols>
    <col min="1" max="1" width="28.7109375" customWidth="1"/>
    <col min="2" max="19" width="11.7109375" customWidth="1"/>
    <col min="20" max="20" width="16.7109375" customWidth="1"/>
    <col min="21" max="21" width="11.7109375" customWidth="1"/>
  </cols>
  <sheetData>
    <row r="1" spans="1:20">
      <c r="A1" s="11">
        <v>2026</v>
      </c>
      <c r="E1" s="9" t="s">
        <v>1252</v>
      </c>
      <c r="J1" s="9"/>
      <c r="L1" s="11">
        <v>2027</v>
      </c>
      <c r="M1" s="9" t="s">
        <v>1252</v>
      </c>
    </row>
    <row r="2" spans="1:20">
      <c r="A2" s="9" t="s">
        <v>1253</v>
      </c>
      <c r="B2" s="9" t="s">
        <v>1254</v>
      </c>
      <c r="C2" s="9" t="s">
        <v>1255</v>
      </c>
      <c r="D2" s="9" t="s">
        <v>1256</v>
      </c>
      <c r="E2" s="9" t="s">
        <v>706</v>
      </c>
      <c r="F2" s="9" t="s">
        <v>999</v>
      </c>
      <c r="G2" s="9" t="s">
        <v>1257</v>
      </c>
      <c r="H2" s="9" t="s">
        <v>1258</v>
      </c>
      <c r="I2" s="9" t="s">
        <v>1259</v>
      </c>
      <c r="J2" s="9" t="s">
        <v>1260</v>
      </c>
      <c r="L2" s="9" t="s">
        <v>1256</v>
      </c>
      <c r="M2" s="9" t="s">
        <v>706</v>
      </c>
      <c r="N2" s="9" t="s">
        <v>999</v>
      </c>
      <c r="O2" s="9" t="s">
        <v>1257</v>
      </c>
      <c r="P2" s="9" t="s">
        <v>1258</v>
      </c>
      <c r="Q2" s="9" t="s">
        <v>1259</v>
      </c>
      <c r="R2" s="9" t="s">
        <v>1260</v>
      </c>
      <c r="T2" s="9" t="s">
        <v>1324</v>
      </c>
    </row>
    <row r="3" spans="1:20">
      <c r="A3" s="11" t="s">
        <v>1261</v>
      </c>
      <c r="B3" s="11" t="s">
        <v>1262</v>
      </c>
      <c r="C3" s="11" t="s">
        <v>1263</v>
      </c>
      <c r="D3" s="80">
        <v>46023</v>
      </c>
      <c r="E3" s="80">
        <v>46023</v>
      </c>
      <c r="F3" s="80">
        <v>46023</v>
      </c>
      <c r="G3" s="80">
        <v>46023</v>
      </c>
      <c r="H3" s="80">
        <v>46023</v>
      </c>
      <c r="I3" s="80">
        <v>46023</v>
      </c>
      <c r="J3" s="80">
        <v>46023</v>
      </c>
      <c r="L3" s="80">
        <v>46388</v>
      </c>
      <c r="M3" s="80">
        <v>46388</v>
      </c>
      <c r="N3" s="80">
        <v>46388</v>
      </c>
      <c r="O3" s="80">
        <v>46388</v>
      </c>
      <c r="P3" s="80">
        <v>46388</v>
      </c>
      <c r="Q3" s="80">
        <v>46388</v>
      </c>
      <c r="R3" s="80">
        <v>46388</v>
      </c>
      <c r="T3" s="80">
        <f>IFERROR(IF(LEN(INDEX($E3:$J3,MATCH(Konfiguration!$F$5,$E$2:$J$2,0)))&gt;0,$D3*1,0),0)</f>
        <v>0</v>
      </c>
    </row>
    <row r="4" spans="1:20">
      <c r="A4" s="11" t="s">
        <v>1264</v>
      </c>
      <c r="B4" s="11" t="s">
        <v>1265</v>
      </c>
      <c r="C4" s="11" t="s">
        <v>1263</v>
      </c>
      <c r="D4" s="80">
        <v>46028</v>
      </c>
      <c r="G4" s="80">
        <v>46028</v>
      </c>
      <c r="J4" s="80">
        <v>46028</v>
      </c>
      <c r="L4" s="80">
        <v>46393</v>
      </c>
      <c r="O4" s="80">
        <v>46393</v>
      </c>
      <c r="R4" s="80">
        <v>46393</v>
      </c>
      <c r="T4" s="80">
        <f>IFERROR(IF(LEN(INDEX($E4:$J4,MATCH(Konfiguration!$F$5,$E$2:$J$2,0)))&gt;0,$D4*1,0),0)</f>
        <v>0</v>
      </c>
    </row>
    <row r="5" spans="1:20">
      <c r="A5" s="11" t="s">
        <v>1266</v>
      </c>
      <c r="B5" s="11" t="s">
        <v>1267</v>
      </c>
      <c r="C5" s="11" t="s">
        <v>1263</v>
      </c>
      <c r="D5" s="80">
        <v>46089</v>
      </c>
      <c r="I5" s="80">
        <v>46089</v>
      </c>
      <c r="L5" s="80">
        <v>46454</v>
      </c>
      <c r="Q5" s="80">
        <v>46454</v>
      </c>
      <c r="T5" s="80">
        <f>IFERROR(IF(LEN(INDEX($E5:$J5,MATCH(Konfiguration!$F$5,$E$2:$J$2,0)))&gt;0,$D5*1,0),0)</f>
        <v>0</v>
      </c>
    </row>
    <row r="6" spans="1:20">
      <c r="A6" s="11" t="s">
        <v>1268</v>
      </c>
      <c r="B6" s="11" t="s">
        <v>1269</v>
      </c>
      <c r="C6" s="11" t="s">
        <v>1263</v>
      </c>
      <c r="D6" s="80">
        <v>46143</v>
      </c>
      <c r="E6" s="80">
        <v>46143</v>
      </c>
      <c r="F6" s="80">
        <v>46143</v>
      </c>
      <c r="G6" s="80">
        <v>46143</v>
      </c>
      <c r="H6" s="80">
        <v>46143</v>
      </c>
      <c r="I6" s="80">
        <v>46143</v>
      </c>
      <c r="J6" s="80">
        <v>46143</v>
      </c>
      <c r="L6" s="80">
        <v>46508</v>
      </c>
      <c r="M6" s="80">
        <v>46508</v>
      </c>
      <c r="N6" s="80">
        <v>46508</v>
      </c>
      <c r="O6" s="80">
        <v>46508</v>
      </c>
      <c r="P6" s="80">
        <v>46508</v>
      </c>
      <c r="Q6" s="80">
        <v>46508</v>
      </c>
      <c r="R6" s="80">
        <v>46508</v>
      </c>
      <c r="T6" s="80">
        <f>IFERROR(IF(LEN(INDEX($E6:$J6,MATCH(Konfiguration!$F$5,$E$2:$J$2,0)))&gt;0,$D6*1,0),0)</f>
        <v>0</v>
      </c>
    </row>
    <row r="7" spans="1:20">
      <c r="A7" s="11" t="s">
        <v>1270</v>
      </c>
      <c r="B7" s="11" t="s">
        <v>1271</v>
      </c>
      <c r="C7" s="11" t="s">
        <v>1263</v>
      </c>
      <c r="D7" s="80">
        <v>46242</v>
      </c>
      <c r="L7" s="80">
        <v>46607</v>
      </c>
      <c r="T7" s="80">
        <f>IFERROR(IF(LEN(INDEX($E7:$J7,MATCH(Konfiguration!$F$5,$E$2:$J$2,0)))&gt;0,$D7*1,0),0)</f>
        <v>0</v>
      </c>
    </row>
    <row r="8" spans="1:20">
      <c r="A8" s="11" t="s">
        <v>1272</v>
      </c>
      <c r="B8" s="11" t="s">
        <v>1273</v>
      </c>
      <c r="C8" s="11" t="s">
        <v>1263</v>
      </c>
      <c r="D8" s="80">
        <v>46249</v>
      </c>
      <c r="G8" s="80">
        <v>46249</v>
      </c>
      <c r="L8" s="80">
        <v>46614</v>
      </c>
      <c r="O8" s="80">
        <v>46614</v>
      </c>
      <c r="T8" s="80">
        <f>IFERROR(IF(LEN(INDEX($E8:$J8,MATCH(Konfiguration!$F$5,$E$2:$J$2,0)))&gt;0,$D8*1,0),0)</f>
        <v>0</v>
      </c>
    </row>
    <row r="9" spans="1:20">
      <c r="A9" s="11" t="s">
        <v>1274</v>
      </c>
      <c r="B9" s="11" t="s">
        <v>1275</v>
      </c>
      <c r="C9" s="11" t="s">
        <v>1263</v>
      </c>
      <c r="D9" s="80">
        <v>46285</v>
      </c>
      <c r="L9" s="80">
        <v>46650</v>
      </c>
      <c r="T9" s="80">
        <f>IFERROR(IF(LEN(INDEX($E9:$J9,MATCH(Konfiguration!$F$5,$E$2:$J$2,0)))&gt;0,$D9*1,0),0)</f>
        <v>0</v>
      </c>
    </row>
    <row r="10" spans="1:20">
      <c r="A10" s="11" t="s">
        <v>1276</v>
      </c>
      <c r="B10" s="11" t="s">
        <v>1277</v>
      </c>
      <c r="C10" s="11" t="s">
        <v>1263</v>
      </c>
      <c r="D10" s="80">
        <v>46298</v>
      </c>
      <c r="E10" s="80">
        <v>46298</v>
      </c>
      <c r="F10" s="80">
        <v>46298</v>
      </c>
      <c r="G10" s="80">
        <v>46298</v>
      </c>
      <c r="H10" s="80">
        <v>46298</v>
      </c>
      <c r="I10" s="80">
        <v>46298</v>
      </c>
      <c r="J10" s="80">
        <v>46298</v>
      </c>
      <c r="L10" s="80">
        <v>46663</v>
      </c>
      <c r="M10" s="80">
        <v>46663</v>
      </c>
      <c r="N10" s="80">
        <v>46663</v>
      </c>
      <c r="O10" s="80">
        <v>46663</v>
      </c>
      <c r="P10" s="80">
        <v>46663</v>
      </c>
      <c r="Q10" s="80">
        <v>46663</v>
      </c>
      <c r="R10" s="80">
        <v>46663</v>
      </c>
      <c r="T10" s="80">
        <f>IFERROR(IF(LEN(INDEX($E10:$J10,MATCH(Konfiguration!$F$5,$E$2:$J$2,0)))&gt;0,$D10*1,0),0)</f>
        <v>0</v>
      </c>
    </row>
    <row r="11" spans="1:20">
      <c r="A11" s="11" t="s">
        <v>1278</v>
      </c>
      <c r="B11" s="11" t="s">
        <v>1279</v>
      </c>
      <c r="C11" s="11" t="s">
        <v>1263</v>
      </c>
      <c r="D11" s="80">
        <v>46326</v>
      </c>
      <c r="H11" s="80">
        <v>46326</v>
      </c>
      <c r="L11" s="80">
        <v>46691</v>
      </c>
      <c r="P11" s="80">
        <v>46691</v>
      </c>
      <c r="T11" s="80">
        <f>IFERROR(IF(LEN(INDEX($E11:$J11,MATCH(Konfiguration!$F$5,$E$2:$J$2,0)))&gt;0,$D11*1,0),0)</f>
        <v>0</v>
      </c>
    </row>
    <row r="12" spans="1:20">
      <c r="A12" s="11" t="s">
        <v>1280</v>
      </c>
      <c r="B12" s="11" t="s">
        <v>1281</v>
      </c>
      <c r="C12" s="11" t="s">
        <v>1263</v>
      </c>
      <c r="D12" s="80">
        <v>46327</v>
      </c>
      <c r="E12" s="80">
        <v>46327</v>
      </c>
      <c r="F12" s="80">
        <v>46327</v>
      </c>
      <c r="G12" s="80">
        <v>46327</v>
      </c>
      <c r="J12" s="80">
        <v>46327</v>
      </c>
      <c r="L12" s="80">
        <v>46692</v>
      </c>
      <c r="M12" s="80">
        <v>46692</v>
      </c>
      <c r="N12" s="80">
        <v>46692</v>
      </c>
      <c r="O12" s="80">
        <v>46692</v>
      </c>
      <c r="R12" s="80">
        <v>46692</v>
      </c>
      <c r="T12" s="80">
        <f>IFERROR(IF(LEN(INDEX($E12:$J12,MATCH(Konfiguration!$F$5,$E$2:$J$2,0)))&gt;0,$D12*1,0),0)</f>
        <v>0</v>
      </c>
    </row>
    <row r="13" spans="1:20">
      <c r="A13" s="11" t="s">
        <v>1282</v>
      </c>
      <c r="B13" s="11" t="s">
        <v>1283</v>
      </c>
      <c r="C13" s="11" t="s">
        <v>1263</v>
      </c>
      <c r="D13" s="80">
        <v>46380</v>
      </c>
      <c r="E13" s="80">
        <v>46380</v>
      </c>
      <c r="F13" s="80">
        <v>46380</v>
      </c>
      <c r="G13" s="80">
        <v>46380</v>
      </c>
      <c r="H13" s="80">
        <v>46380</v>
      </c>
      <c r="I13" s="80">
        <v>46380</v>
      </c>
      <c r="J13" s="80">
        <v>46380</v>
      </c>
      <c r="L13" s="80">
        <v>46745</v>
      </c>
      <c r="M13" s="80">
        <v>46745</v>
      </c>
      <c r="N13" s="80">
        <v>46745</v>
      </c>
      <c r="O13" s="80">
        <v>46745</v>
      </c>
      <c r="P13" s="80">
        <v>46745</v>
      </c>
      <c r="Q13" s="80">
        <v>46745</v>
      </c>
      <c r="R13" s="80">
        <v>46745</v>
      </c>
      <c r="T13" s="80">
        <f>IFERROR(IF(LEN(INDEX($E13:$J13,MATCH(Konfiguration!$F$5,$E$2:$J$2,0)))&gt;0,$D13*1,0),0)</f>
        <v>0</v>
      </c>
    </row>
    <row r="14" spans="1:20">
      <c r="A14" s="11" t="s">
        <v>1284</v>
      </c>
      <c r="B14" s="11" t="s">
        <v>1285</v>
      </c>
      <c r="C14" s="11" t="s">
        <v>1263</v>
      </c>
      <c r="D14" s="80">
        <v>46381</v>
      </c>
      <c r="E14" s="80">
        <v>46381</v>
      </c>
      <c r="F14" s="80">
        <v>46381</v>
      </c>
      <c r="G14" s="80">
        <v>46381</v>
      </c>
      <c r="H14" s="80">
        <v>46381</v>
      </c>
      <c r="I14" s="80">
        <v>46381</v>
      </c>
      <c r="J14" s="80">
        <v>46381</v>
      </c>
      <c r="L14" s="80">
        <v>46746</v>
      </c>
      <c r="M14" s="80">
        <v>46746</v>
      </c>
      <c r="N14" s="80">
        <v>46746</v>
      </c>
      <c r="O14" s="80">
        <v>46746</v>
      </c>
      <c r="P14" s="80">
        <v>46746</v>
      </c>
      <c r="Q14" s="80">
        <v>46746</v>
      </c>
      <c r="R14" s="80">
        <v>46746</v>
      </c>
      <c r="T14" s="80">
        <f>IFERROR(IF(LEN(INDEX($E14:$J14,MATCH(Konfiguration!$F$5,$E$2:$J$2,0)))&gt;0,$D14*1,0),0)</f>
        <v>0</v>
      </c>
    </row>
    <row r="15" spans="1:20">
      <c r="A15" s="11" t="s">
        <v>1286</v>
      </c>
      <c r="B15" s="11" t="s">
        <v>1287</v>
      </c>
      <c r="C15" s="11" t="s">
        <v>1263</v>
      </c>
      <c r="D15" s="80">
        <v>46382</v>
      </c>
      <c r="E15" s="80">
        <v>46382</v>
      </c>
      <c r="F15" s="80">
        <v>46382</v>
      </c>
      <c r="G15" s="80">
        <v>46382</v>
      </c>
      <c r="H15" s="80">
        <v>46382</v>
      </c>
      <c r="I15" s="80">
        <v>46382</v>
      </c>
      <c r="J15" s="80">
        <v>46382</v>
      </c>
      <c r="L15" s="80">
        <v>46747</v>
      </c>
      <c r="M15" s="80">
        <v>46747</v>
      </c>
      <c r="N15" s="80">
        <v>46747</v>
      </c>
      <c r="O15" s="80">
        <v>46747</v>
      </c>
      <c r="P15" s="80">
        <v>46747</v>
      </c>
      <c r="Q15" s="80">
        <v>46747</v>
      </c>
      <c r="R15" s="80">
        <v>46747</v>
      </c>
      <c r="T15" s="80">
        <f>IFERROR(IF(LEN(INDEX($E15:$J15,MATCH(Konfiguration!$F$5,$E$2:$J$2,0)))&gt;0,$D15*1,0),0)</f>
        <v>0</v>
      </c>
    </row>
    <row r="16" spans="1:20">
      <c r="A16" s="11" t="s">
        <v>1288</v>
      </c>
      <c r="B16" s="11" t="s">
        <v>1289</v>
      </c>
      <c r="C16" s="11" t="s">
        <v>1263</v>
      </c>
      <c r="D16" s="80">
        <v>46387</v>
      </c>
      <c r="E16" s="80">
        <v>46387</v>
      </c>
      <c r="F16" s="80">
        <v>46387</v>
      </c>
      <c r="G16" s="80">
        <v>46387</v>
      </c>
      <c r="H16" s="80">
        <v>46387</v>
      </c>
      <c r="I16" s="80">
        <v>46387</v>
      </c>
      <c r="J16" s="80">
        <v>46387</v>
      </c>
      <c r="L16" s="80">
        <v>46752</v>
      </c>
      <c r="M16" s="80">
        <v>46752</v>
      </c>
      <c r="N16" s="80">
        <v>46752</v>
      </c>
      <c r="O16" s="80">
        <v>46752</v>
      </c>
      <c r="P16" s="80">
        <v>46752</v>
      </c>
      <c r="Q16" s="80">
        <v>46752</v>
      </c>
      <c r="R16" s="80">
        <v>46752</v>
      </c>
      <c r="T16" s="80">
        <f>IFERROR(IF(LEN(INDEX($E16:$J16,MATCH(Konfiguration!$F$5,$E$2:$J$2,0)))&gt;0,$D16*1,0),0)</f>
        <v>0</v>
      </c>
    </row>
    <row r="17" spans="1:20">
      <c r="A17" s="11" t="s">
        <v>1290</v>
      </c>
      <c r="B17" s="11" t="s">
        <v>1291</v>
      </c>
      <c r="C17" s="11" t="s">
        <v>1292</v>
      </c>
      <c r="D17" s="80">
        <v>46344</v>
      </c>
      <c r="L17" s="80">
        <v>46708</v>
      </c>
      <c r="T17" s="80">
        <f>IFERROR(IF(LEN(INDEX($E17:$J17,MATCH(Konfiguration!$F$5,$E$2:$J$2,0)))&gt;0,$D17*1,0),0)</f>
        <v>0</v>
      </c>
    </row>
    <row r="18" spans="1:20">
      <c r="A18" s="11" t="s">
        <v>1293</v>
      </c>
      <c r="B18" s="11" t="s">
        <v>1294</v>
      </c>
      <c r="C18" s="11" t="s">
        <v>1295</v>
      </c>
      <c r="D18" s="80">
        <v>46117</v>
      </c>
      <c r="E18" s="80">
        <v>46117</v>
      </c>
      <c r="F18" s="80">
        <v>46117</v>
      </c>
      <c r="G18" s="80">
        <v>46117</v>
      </c>
      <c r="H18" s="80">
        <v>46117</v>
      </c>
      <c r="I18" s="80">
        <v>46117</v>
      </c>
      <c r="J18" s="80">
        <v>46117</v>
      </c>
      <c r="L18" s="80">
        <v>46474</v>
      </c>
      <c r="M18" s="80">
        <v>46481</v>
      </c>
      <c r="N18" s="80">
        <v>46481</v>
      </c>
      <c r="O18" s="80">
        <v>46481</v>
      </c>
      <c r="P18" s="80">
        <v>46481</v>
      </c>
      <c r="Q18" s="80">
        <v>46481</v>
      </c>
      <c r="R18" s="80">
        <v>46481</v>
      </c>
      <c r="T18" s="80">
        <f>IFERROR(IF(LEN(INDEX($E18:$J18,MATCH(Konfiguration!$F$5,$E$2:$J$2,0)))&gt;0,$D18*1,0),0)</f>
        <v>0</v>
      </c>
    </row>
    <row r="19" spans="1:20">
      <c r="A19" s="11" t="s">
        <v>1296</v>
      </c>
      <c r="B19" s="11" t="s">
        <v>1297</v>
      </c>
      <c r="C19" s="11" t="s">
        <v>1298</v>
      </c>
      <c r="D19" s="80">
        <v>46115</v>
      </c>
      <c r="E19" s="80">
        <v>46115</v>
      </c>
      <c r="F19" s="80">
        <v>46115</v>
      </c>
      <c r="G19" s="80">
        <v>46115</v>
      </c>
      <c r="H19" s="80">
        <v>46115</v>
      </c>
      <c r="I19" s="80">
        <v>46115</v>
      </c>
      <c r="J19" s="80">
        <v>46115</v>
      </c>
      <c r="L19" s="80">
        <v>46472</v>
      </c>
      <c r="M19" s="80">
        <v>46479</v>
      </c>
      <c r="N19" s="80">
        <v>46479</v>
      </c>
      <c r="O19" s="80">
        <v>46479</v>
      </c>
      <c r="P19" s="80">
        <v>46479</v>
      </c>
      <c r="Q19" s="80">
        <v>46479</v>
      </c>
      <c r="R19" s="80">
        <v>46479</v>
      </c>
      <c r="T19" s="80">
        <f>IFERROR(IF(LEN(INDEX($E19:$J19,MATCH(Konfiguration!$F$5,$E$2:$J$2,0)))&gt;0,$D19*1,0),0)</f>
        <v>0</v>
      </c>
    </row>
    <row r="20" spans="1:20">
      <c r="A20" s="11" t="s">
        <v>1299</v>
      </c>
      <c r="B20" s="11" t="s">
        <v>1300</v>
      </c>
      <c r="C20" s="11" t="s">
        <v>1301</v>
      </c>
      <c r="D20" s="80">
        <v>46118</v>
      </c>
      <c r="E20" s="80">
        <v>46118</v>
      </c>
      <c r="F20" s="80">
        <v>46118</v>
      </c>
      <c r="G20" s="80">
        <v>46118</v>
      </c>
      <c r="H20" s="80">
        <v>46118</v>
      </c>
      <c r="I20" s="80">
        <v>46118</v>
      </c>
      <c r="J20" s="80">
        <v>46118</v>
      </c>
      <c r="L20" s="80">
        <v>46475</v>
      </c>
      <c r="M20" s="80">
        <v>46482</v>
      </c>
      <c r="N20" s="80">
        <v>46482</v>
      </c>
      <c r="O20" s="80">
        <v>46482</v>
      </c>
      <c r="P20" s="80">
        <v>46482</v>
      </c>
      <c r="Q20" s="80">
        <v>46482</v>
      </c>
      <c r="R20" s="80">
        <v>46482</v>
      </c>
      <c r="T20" s="80">
        <f>IFERROR(IF(LEN(INDEX($E20:$J20,MATCH(Konfiguration!$F$5,$E$2:$J$2,0)))&gt;0,$D20*1,0),0)</f>
        <v>0</v>
      </c>
    </row>
    <row r="21" spans="1:20">
      <c r="A21" s="11" t="s">
        <v>1302</v>
      </c>
      <c r="B21" s="11" t="s">
        <v>1303</v>
      </c>
      <c r="C21" s="11" t="s">
        <v>1304</v>
      </c>
      <c r="D21" s="80">
        <v>46156</v>
      </c>
      <c r="E21" s="80">
        <v>46156</v>
      </c>
      <c r="F21" s="80">
        <v>46156</v>
      </c>
      <c r="G21" s="80">
        <v>46156</v>
      </c>
      <c r="H21" s="80">
        <v>46156</v>
      </c>
      <c r="I21" s="80">
        <v>46156</v>
      </c>
      <c r="J21" s="80">
        <v>46156</v>
      </c>
      <c r="L21" s="80">
        <v>46513</v>
      </c>
      <c r="M21" s="80">
        <v>46520</v>
      </c>
      <c r="N21" s="80">
        <v>46520</v>
      </c>
      <c r="O21" s="80">
        <v>46520</v>
      </c>
      <c r="P21" s="80">
        <v>46520</v>
      </c>
      <c r="Q21" s="80">
        <v>46520</v>
      </c>
      <c r="R21" s="80">
        <v>46520</v>
      </c>
      <c r="T21" s="80">
        <f>IFERROR(IF(LEN(INDEX($E21:$J21,MATCH(Konfiguration!$F$5,$E$2:$J$2,0)))&gt;0,$D21*1,0),0)</f>
        <v>0</v>
      </c>
    </row>
    <row r="22" spans="1:20">
      <c r="A22" s="11" t="s">
        <v>1305</v>
      </c>
      <c r="B22" s="11" t="s">
        <v>1306</v>
      </c>
      <c r="C22" s="11" t="s">
        <v>1307</v>
      </c>
      <c r="D22" s="80">
        <v>46166</v>
      </c>
      <c r="E22" s="80">
        <v>46166</v>
      </c>
      <c r="F22" s="80">
        <v>46166</v>
      </c>
      <c r="G22" s="80">
        <v>46166</v>
      </c>
      <c r="H22" s="80">
        <v>46166</v>
      </c>
      <c r="I22" s="80">
        <v>46166</v>
      </c>
      <c r="J22" s="80">
        <v>46166</v>
      </c>
      <c r="L22" s="80">
        <v>46523</v>
      </c>
      <c r="M22" s="80">
        <v>46530</v>
      </c>
      <c r="N22" s="80">
        <v>46530</v>
      </c>
      <c r="O22" s="80">
        <v>46530</v>
      </c>
      <c r="P22" s="80">
        <v>46530</v>
      </c>
      <c r="Q22" s="80">
        <v>46530</v>
      </c>
      <c r="R22" s="80">
        <v>46166</v>
      </c>
      <c r="T22" s="80">
        <f>IFERROR(IF(LEN(INDEX($E22:$J22,MATCH(Konfiguration!$F$5,$E$2:$J$2,0)))&gt;0,$D22*1,0),0)</f>
        <v>0</v>
      </c>
    </row>
    <row r="23" spans="1:20">
      <c r="A23" s="11" t="s">
        <v>1308</v>
      </c>
      <c r="B23" s="11" t="s">
        <v>1309</v>
      </c>
      <c r="C23" s="11" t="s">
        <v>1310</v>
      </c>
      <c r="D23" s="80">
        <v>46167</v>
      </c>
      <c r="E23" s="80">
        <v>46167</v>
      </c>
      <c r="F23" s="80">
        <v>46167</v>
      </c>
      <c r="G23" s="80">
        <v>46167</v>
      </c>
      <c r="H23" s="80">
        <v>46167</v>
      </c>
      <c r="I23" s="80">
        <v>46167</v>
      </c>
      <c r="J23" s="80">
        <v>46167</v>
      </c>
      <c r="L23" s="80">
        <v>46524</v>
      </c>
      <c r="M23" s="80">
        <v>46531</v>
      </c>
      <c r="N23" s="80">
        <v>46531</v>
      </c>
      <c r="O23" s="80">
        <v>46531</v>
      </c>
      <c r="P23" s="80">
        <v>46531</v>
      </c>
      <c r="Q23" s="80">
        <v>46531</v>
      </c>
      <c r="R23" s="80">
        <v>46531</v>
      </c>
      <c r="T23" s="80">
        <f>IFERROR(IF(LEN(INDEX($E23:$J23,MATCH(Konfiguration!$F$5,$E$2:$J$2,0)))&gt;0,$D23*1,0),0)</f>
        <v>0</v>
      </c>
    </row>
    <row r="24" spans="1:20">
      <c r="A24" s="11" t="s">
        <v>1311</v>
      </c>
      <c r="B24" s="11" t="s">
        <v>1312</v>
      </c>
      <c r="C24" s="11" t="s">
        <v>1313</v>
      </c>
      <c r="D24" s="80">
        <v>46177</v>
      </c>
      <c r="E24" s="80">
        <v>46177</v>
      </c>
      <c r="F24" s="80">
        <v>46177</v>
      </c>
      <c r="G24" s="80">
        <v>46177</v>
      </c>
      <c r="J24" s="80">
        <v>46177</v>
      </c>
      <c r="L24" s="80">
        <v>46534</v>
      </c>
      <c r="M24" s="80">
        <v>46541</v>
      </c>
      <c r="N24" s="80">
        <v>46541</v>
      </c>
      <c r="O24" s="80">
        <v>46541</v>
      </c>
      <c r="R24" s="80">
        <v>46541</v>
      </c>
      <c r="T24" s="80">
        <f>IFERROR(IF(LEN(INDEX($E24:$J24,MATCH(Konfiguration!$F$5,$E$2:$J$2,0)))&gt;0,$D24*1,0),0)</f>
        <v>0</v>
      </c>
    </row>
    <row r="25" spans="1:20">
      <c r="A25" s="11" t="s">
        <v>1314</v>
      </c>
      <c r="B25" s="11" t="s">
        <v>1315</v>
      </c>
      <c r="C25" s="11" t="s">
        <v>1316</v>
      </c>
      <c r="D25" s="80">
        <v>46069</v>
      </c>
      <c r="E25" s="80">
        <v>46069</v>
      </c>
      <c r="F25" s="80">
        <v>46069</v>
      </c>
      <c r="L25" s="80">
        <v>46426</v>
      </c>
      <c r="M25" s="80">
        <v>46433</v>
      </c>
      <c r="N25" s="80">
        <v>46433</v>
      </c>
      <c r="T25" s="80">
        <f>IFERROR(IF(LEN(INDEX($E25:$J25,MATCH(Konfiguration!$F$5,$E$2:$J$2,0)))&gt;0,$D25*1,0),0)</f>
        <v>0</v>
      </c>
    </row>
    <row r="26" spans="1:20">
      <c r="A26" s="11" t="s">
        <v>1317</v>
      </c>
      <c r="B26" s="11" t="s">
        <v>1318</v>
      </c>
      <c r="C26" s="11" t="s">
        <v>1319</v>
      </c>
      <c r="D26" s="80">
        <v>46070</v>
      </c>
      <c r="G26" s="80">
        <v>46070</v>
      </c>
      <c r="L26" s="80">
        <v>46427</v>
      </c>
      <c r="O26" s="80">
        <v>46427</v>
      </c>
      <c r="T26" s="80">
        <f>IFERROR(IF(LEN(INDEX($E26:$J26,MATCH(Konfiguration!$F$5,$E$2:$J$2,0)))&gt;0,$D26*1,0),0)</f>
        <v>0</v>
      </c>
    </row>
    <row r="27" spans="1:20">
      <c r="A27" s="11" t="s">
        <v>1320</v>
      </c>
      <c r="B27" s="11"/>
      <c r="C27" s="11" t="s">
        <v>1321</v>
      </c>
      <c r="D27" s="80">
        <v>45785</v>
      </c>
      <c r="T27" s="80">
        <f>IFERROR(IF(LEN(INDEX($E27:$J27,MATCH(Konfiguration!$F$5,$E$2:$J$2,0)))&gt;0,$D27*1,0),0)</f>
        <v>0</v>
      </c>
    </row>
    <row r="28" spans="1:20">
      <c r="A28" s="11" t="s">
        <v>1261</v>
      </c>
      <c r="B28" s="11" t="s">
        <v>1322</v>
      </c>
      <c r="C28" s="11" t="s">
        <v>1263</v>
      </c>
      <c r="D28" s="80">
        <v>46388</v>
      </c>
      <c r="E28" s="80">
        <v>46388</v>
      </c>
      <c r="F28" s="80">
        <v>46388</v>
      </c>
      <c r="G28" s="80">
        <v>46388</v>
      </c>
      <c r="H28" s="80">
        <v>46388</v>
      </c>
      <c r="I28" s="80">
        <v>46388</v>
      </c>
      <c r="J28" s="80">
        <v>46388</v>
      </c>
      <c r="L28" s="80">
        <v>46753</v>
      </c>
      <c r="M28" s="80">
        <v>46753</v>
      </c>
      <c r="N28" s="80">
        <v>46753</v>
      </c>
      <c r="O28" s="80">
        <v>46753</v>
      </c>
      <c r="P28" s="80">
        <v>46753</v>
      </c>
      <c r="Q28" s="80">
        <v>46753</v>
      </c>
      <c r="R28" s="80">
        <v>46753</v>
      </c>
      <c r="T28" s="80">
        <f>IFERROR(IF(LEN(INDEX($E28:$J28,MATCH(Konfiguration!$F$5,$E$2:$J$2,0)))&gt;0,$D28*1,0),0)</f>
        <v>0</v>
      </c>
    </row>
    <row r="29" spans="1:20">
      <c r="A29" s="11" t="s">
        <v>1264</v>
      </c>
      <c r="B29" s="11" t="s">
        <v>1323</v>
      </c>
      <c r="C29" s="11" t="s">
        <v>1263</v>
      </c>
      <c r="D29" s="80">
        <v>46393</v>
      </c>
      <c r="G29" s="80">
        <v>46393</v>
      </c>
      <c r="J29" s="80">
        <v>46393</v>
      </c>
      <c r="L29" s="80">
        <v>46758</v>
      </c>
      <c r="O29" s="80">
        <v>46758</v>
      </c>
      <c r="R29" s="80">
        <v>46758</v>
      </c>
      <c r="T29" s="80">
        <f>IFERROR(IF(LEN(INDEX($E29:$J29,MATCH(Konfiguration!$F$5,$E$2:$J$2,0)))&gt;0,$D29*1,0),0)</f>
        <v>0</v>
      </c>
    </row>
    <row r="30" spans="1:20">
      <c r="T30" s="80">
        <f>IFERROR(IF(LEN(INDEX($M3:$R3,MATCH(Konfiguration!$F$5,$M$2:$R$2,0)))&gt;0,$L3*1,0),0)</f>
        <v>0</v>
      </c>
    </row>
    <row r="31" spans="1:20">
      <c r="T31" s="80">
        <f>IFERROR(IF(LEN(INDEX($M4:$R4,MATCH(Konfiguration!$F$5,$M$2:$R$2,0)))&gt;0,$L4*1,0),0)</f>
        <v>0</v>
      </c>
    </row>
    <row r="32" spans="1:20">
      <c r="T32" s="80">
        <f>IFERROR(IF(LEN(INDEX($M5:$R5,MATCH(Konfiguration!$F$5,$M$2:$R$2,0)))&gt;0,$L5*1,0),0)</f>
        <v>0</v>
      </c>
    </row>
    <row r="33" spans="20:20">
      <c r="T33" s="80">
        <f>IFERROR(IF(LEN(INDEX($M6:$R6,MATCH(Konfiguration!$F$5,$M$2:$R$2,0)))&gt;0,$L6*1,0),0)</f>
        <v>0</v>
      </c>
    </row>
    <row r="34" spans="20:20">
      <c r="T34" s="80">
        <f>IFERROR(IF(LEN(INDEX($M7:$R7,MATCH(Konfiguration!$F$5,$M$2:$R$2,0)))&gt;0,$L7*1,0),0)</f>
        <v>0</v>
      </c>
    </row>
    <row r="35" spans="20:20">
      <c r="T35" s="80">
        <f>IFERROR(IF(LEN(INDEX($M8:$R8,MATCH(Konfiguration!$F$5,$M$2:$R$2,0)))&gt;0,$L8*1,0),0)</f>
        <v>0</v>
      </c>
    </row>
    <row r="36" spans="20:20">
      <c r="T36" s="80">
        <f>IFERROR(IF(LEN(INDEX($M9:$R9,MATCH(Konfiguration!$F$5,$M$2:$R$2,0)))&gt;0,$L9*1,0),0)</f>
        <v>0</v>
      </c>
    </row>
    <row r="37" spans="20:20">
      <c r="T37" s="80">
        <f>IFERROR(IF(LEN(INDEX($M10:$R10,MATCH(Konfiguration!$F$5,$M$2:$R$2,0)))&gt;0,$L10*1,0),0)</f>
        <v>0</v>
      </c>
    </row>
    <row r="38" spans="20:20">
      <c r="T38" s="80">
        <f>IFERROR(IF(LEN(INDEX($M11:$R11,MATCH(Konfiguration!$F$5,$M$2:$R$2,0)))&gt;0,$L11*1,0),0)</f>
        <v>0</v>
      </c>
    </row>
    <row r="39" spans="20:20">
      <c r="T39" s="80">
        <f>IFERROR(IF(LEN(INDEX($M12:$R12,MATCH(Konfiguration!$F$5,$M$2:$R$2,0)))&gt;0,$L12*1,0),0)</f>
        <v>0</v>
      </c>
    </row>
    <row r="40" spans="20:20">
      <c r="T40" s="80">
        <f>IFERROR(IF(LEN(INDEX($M13:$R13,MATCH(Konfiguration!$F$5,$M$2:$R$2,0)))&gt;0,$L13*1,0),0)</f>
        <v>0</v>
      </c>
    </row>
    <row r="41" spans="20:20">
      <c r="T41" s="80">
        <f>IFERROR(IF(LEN(INDEX($M14:$R14,MATCH(Konfiguration!$F$5,$M$2:$R$2,0)))&gt;0,$L14*1,0),0)</f>
        <v>0</v>
      </c>
    </row>
    <row r="42" spans="20:20">
      <c r="T42" s="80">
        <f>IFERROR(IF(LEN(INDEX($M15:$R15,MATCH(Konfiguration!$F$5,$M$2:$R$2,0)))&gt;0,$L15*1,0),0)</f>
        <v>0</v>
      </c>
    </row>
    <row r="43" spans="20:20">
      <c r="T43" s="80">
        <f>IFERROR(IF(LEN(INDEX($M16:$R16,MATCH(Konfiguration!$F$5,$M$2:$R$2,0)))&gt;0,$L16*1,0),0)</f>
        <v>0</v>
      </c>
    </row>
    <row r="44" spans="20:20">
      <c r="T44" s="80">
        <f>IFERROR(IF(LEN(INDEX($M17:$R17,MATCH(Konfiguration!$F$5,$M$2:$R$2,0)))&gt;0,$L17*1,0),0)</f>
        <v>0</v>
      </c>
    </row>
    <row r="45" spans="20:20">
      <c r="T45" s="80">
        <f>IFERROR(IF(LEN(INDEX($M18:$R18,MATCH(Konfiguration!$F$5,$M$2:$R$2,0)))&gt;0,$L18*1,0),0)</f>
        <v>0</v>
      </c>
    </row>
    <row r="46" spans="20:20">
      <c r="T46" s="80">
        <f>IFERROR(IF(LEN(INDEX($M19:$R19,MATCH(Konfiguration!$F$5,$M$2:$R$2,0)))&gt;0,$L19*1,0),0)</f>
        <v>0</v>
      </c>
    </row>
    <row r="47" spans="20:20">
      <c r="T47" s="80">
        <f>IFERROR(IF(LEN(INDEX($M20:$R20,MATCH(Konfiguration!$F$5,$M$2:$R$2,0)))&gt;0,$L20*1,0),0)</f>
        <v>0</v>
      </c>
    </row>
    <row r="48" spans="20:20">
      <c r="T48" s="80">
        <f>IFERROR(IF(LEN(INDEX($M21:$R21,MATCH(Konfiguration!$F$5,$M$2:$R$2,0)))&gt;0,$L21*1,0),0)</f>
        <v>0</v>
      </c>
    </row>
    <row r="49" spans="20:20">
      <c r="T49" s="80">
        <f>IFERROR(IF(LEN(INDEX($M22:$R22,MATCH(Konfiguration!$F$5,$M$2:$R$2,0)))&gt;0,$L22*1,0),0)</f>
        <v>0</v>
      </c>
    </row>
    <row r="50" spans="20:20">
      <c r="T50" s="80">
        <f>IFERROR(IF(LEN(INDEX($M23:$R23,MATCH(Konfiguration!$F$5,$M$2:$R$2,0)))&gt;0,$L23*1,0),0)</f>
        <v>0</v>
      </c>
    </row>
    <row r="51" spans="20:20">
      <c r="T51" s="80">
        <f>IFERROR(IF(LEN(INDEX($M24:$R24,MATCH(Konfiguration!$F$5,$M$2:$R$2,0)))&gt;0,$L24*1,0),0)</f>
        <v>0</v>
      </c>
    </row>
    <row r="52" spans="20:20">
      <c r="T52" s="80">
        <f>IFERROR(IF(LEN(INDEX($M25:$R25,MATCH(Konfiguration!$F$5,$M$2:$R$2,0)))&gt;0,$L25*1,0),0)</f>
        <v>0</v>
      </c>
    </row>
    <row r="53" spans="20:20">
      <c r="T53" s="80">
        <f>IFERROR(IF(LEN(INDEX($M26:$R26,MATCH(Konfiguration!$F$5,$M$2:$R$2,0)))&gt;0,$L26*1,0),0)</f>
        <v>0</v>
      </c>
    </row>
    <row r="54" spans="20:20">
      <c r="T54" s="80">
        <f>IFERROR(IF(LEN(INDEX($M27:$R27,MATCH(Konfiguration!$F$5,$M$2:$R$2,0)))&gt;0,$L27*1,0),0)</f>
        <v>0</v>
      </c>
    </row>
    <row r="55" spans="20:20">
      <c r="T55" s="80">
        <f>IFERROR(IF(LEN(INDEX($M28:$R28,MATCH(Konfiguration!$F$5,$M$2:$R$2,0)))&gt;0,$L28*1,0),0)</f>
        <v>0</v>
      </c>
    </row>
    <row r="56" spans="20:20">
      <c r="T56" s="80">
        <f>IFERROR(IF(LEN(INDEX($M29:$R29,MATCH(Konfiguration!$F$5,$M$2:$R$2,0)))&gt;0,$L29*1,0),0)</f>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sheetPr codeName="Wertstand"/>
  <dimension ref="A1:LJ157"/>
  <sheetViews>
    <sheetView workbookViewId="0">
      <pane xSplit="2" ySplit="1" topLeftCell="C2" activePane="bottomRight" state="frozen"/>
      <selection pane="topRight" activeCell="C1" sqref="C1"/>
      <selection pane="bottomLeft" activeCell="A2" sqref="A2"/>
      <selection pane="bottomRight"/>
    </sheetView>
  </sheetViews>
  <sheetFormatPr defaultRowHeight="15"/>
  <cols>
    <col min="1" max="1" width="6.7109375" customWidth="1"/>
    <col min="2" max="2" width="30.7109375" customWidth="1"/>
    <col min="3" max="8" width="2.7109375" customWidth="1"/>
    <col min="9" max="322" width="10.7109375" style="16" customWidth="1"/>
  </cols>
  <sheetData>
    <row r="1" spans="1:322">
      <c r="A1" s="9" t="s">
        <v>1069</v>
      </c>
      <c r="B1" s="9" t="s">
        <v>1176</v>
      </c>
      <c r="I1" s="16">
        <f>IF(ISBLANK(Rohdaten!I1),"",Rohdaten!I1)</f>
        <v>0</v>
      </c>
      <c r="J1" s="16">
        <f>IF(ISBLANK(Rohdaten!J1),"",Rohdaten!J1)</f>
        <v>0</v>
      </c>
      <c r="K1" s="16">
        <f>IF(ISBLANK(Rohdaten!K1),"",Rohdaten!K1)</f>
        <v>0</v>
      </c>
      <c r="L1" s="16">
        <f>IF(ISBLANK(Rohdaten!L1),"",Rohdaten!L1)</f>
        <v>0</v>
      </c>
      <c r="M1" s="16">
        <f>IF(ISBLANK(Rohdaten!M1),"",Rohdaten!M1)</f>
        <v>0</v>
      </c>
      <c r="N1" s="16">
        <f>IF(ISBLANK(Rohdaten!N1),"",Rohdaten!N1)</f>
        <v>0</v>
      </c>
      <c r="O1" s="16">
        <f>IF(ISBLANK(Rohdaten!O1),"",Rohdaten!O1)</f>
        <v>0</v>
      </c>
      <c r="P1" s="16">
        <f>IF(ISBLANK(Rohdaten!P1),"",Rohdaten!P1)</f>
        <v>0</v>
      </c>
      <c r="Q1" s="16">
        <f>IF(ISBLANK(Rohdaten!Q1),"",Rohdaten!Q1)</f>
        <v>0</v>
      </c>
      <c r="R1" s="16">
        <f>IF(ISBLANK(Rohdaten!R1),"",Rohdaten!R1)</f>
        <v>0</v>
      </c>
      <c r="S1" s="16">
        <f>IF(ISBLANK(Rohdaten!S1),"",Rohdaten!S1)</f>
        <v>0</v>
      </c>
      <c r="T1" s="16">
        <f>IF(ISBLANK(Rohdaten!T1),"",Rohdaten!T1)</f>
        <v>0</v>
      </c>
      <c r="U1" s="16">
        <f>IF(ISBLANK(Rohdaten!U1),"",Rohdaten!U1)</f>
        <v>0</v>
      </c>
      <c r="V1" s="16">
        <f>IF(ISBLANK(Rohdaten!V1),"",Rohdaten!V1)</f>
        <v>0</v>
      </c>
      <c r="W1" s="16">
        <f>IF(ISBLANK(Rohdaten!W1),"",Rohdaten!W1)</f>
        <v>0</v>
      </c>
      <c r="X1" s="16">
        <f>IF(ISBLANK(Rohdaten!X1),"",Rohdaten!X1)</f>
        <v>0</v>
      </c>
      <c r="Y1" s="16">
        <f>IF(ISBLANK(Rohdaten!Y1),"",Rohdaten!Y1)</f>
        <v>0</v>
      </c>
      <c r="Z1" s="16">
        <f>IF(ISBLANK(Rohdaten!Z1),"",Rohdaten!Z1)</f>
        <v>0</v>
      </c>
      <c r="AA1" s="16">
        <f>IF(ISBLANK(Rohdaten!AA1),"",Rohdaten!AA1)</f>
        <v>0</v>
      </c>
      <c r="AB1" s="16">
        <f>IF(ISBLANK(Rohdaten!AB1),"",Rohdaten!AB1)</f>
        <v>0</v>
      </c>
      <c r="AC1" s="16">
        <f>IF(ISBLANK(Rohdaten!AC1),"",Rohdaten!AC1)</f>
        <v>0</v>
      </c>
      <c r="AD1" s="16">
        <f>IF(ISBLANK(Rohdaten!AD1),"",Rohdaten!AD1)</f>
        <v>0</v>
      </c>
      <c r="AE1" s="16">
        <f>IF(ISBLANK(Rohdaten!AE1),"",Rohdaten!AE1)</f>
        <v>0</v>
      </c>
      <c r="AF1" s="16">
        <f>IF(ISBLANK(Rohdaten!AF1),"",Rohdaten!AF1)</f>
        <v>0</v>
      </c>
      <c r="AG1" s="16">
        <f>IF(ISBLANK(Rohdaten!AG1),"",Rohdaten!AG1)</f>
        <v>0</v>
      </c>
      <c r="AH1" s="16">
        <f>IF(ISBLANK(Rohdaten!AH1),"",Rohdaten!AH1)</f>
        <v>0</v>
      </c>
      <c r="AI1" s="16">
        <f>IF(ISBLANK(Rohdaten!AI1),"",Rohdaten!AI1)</f>
        <v>0</v>
      </c>
      <c r="AJ1" s="16">
        <f>IF(ISBLANK(Rohdaten!AJ1),"",Rohdaten!AJ1)</f>
        <v>0</v>
      </c>
      <c r="AK1" s="16">
        <f>IF(ISBLANK(Rohdaten!AK1),"",Rohdaten!AK1)</f>
        <v>0</v>
      </c>
      <c r="AL1" s="16">
        <f>IF(ISBLANK(Rohdaten!AL1),"",Rohdaten!AL1)</f>
        <v>0</v>
      </c>
      <c r="AM1" s="16">
        <f>IF(ISBLANK(Rohdaten!AM1),"",Rohdaten!AM1)</f>
        <v>0</v>
      </c>
      <c r="AN1" s="16">
        <f>IF(ISBLANK(Rohdaten!AN1),"",Rohdaten!AN1)</f>
        <v>0</v>
      </c>
      <c r="AO1" s="16">
        <f>IF(ISBLANK(Rohdaten!AO1),"",Rohdaten!AO1)</f>
        <v>0</v>
      </c>
      <c r="AP1" s="16">
        <f>IF(ISBLANK(Rohdaten!AP1),"",Rohdaten!AP1)</f>
        <v>0</v>
      </c>
      <c r="AQ1" s="16">
        <f>IF(ISBLANK(Rohdaten!AQ1),"",Rohdaten!AQ1)</f>
        <v>0</v>
      </c>
      <c r="AR1" s="16">
        <f>IF(ISBLANK(Rohdaten!AR1),"",Rohdaten!AR1)</f>
        <v>0</v>
      </c>
      <c r="AS1" s="16">
        <f>IF(ISBLANK(Rohdaten!AS1),"",Rohdaten!AS1)</f>
        <v>0</v>
      </c>
      <c r="AT1" s="16">
        <f>IF(ISBLANK(Rohdaten!AT1),"",Rohdaten!AT1)</f>
        <v>0</v>
      </c>
      <c r="AU1" s="16">
        <f>IF(ISBLANK(Rohdaten!AU1),"",Rohdaten!AU1)</f>
        <v>0</v>
      </c>
      <c r="AV1" s="16">
        <f>IF(ISBLANK(Rohdaten!AV1),"",Rohdaten!AV1)</f>
        <v>0</v>
      </c>
      <c r="AW1" s="16">
        <f>IF(ISBLANK(Rohdaten!AW1),"",Rohdaten!AW1)</f>
        <v>0</v>
      </c>
      <c r="AX1" s="16">
        <f>IF(ISBLANK(Rohdaten!AX1),"",Rohdaten!AX1)</f>
        <v>0</v>
      </c>
      <c r="AY1" s="16">
        <f>IF(ISBLANK(Rohdaten!AY1),"",Rohdaten!AY1)</f>
        <v>0</v>
      </c>
      <c r="AZ1" s="16">
        <f>IF(ISBLANK(Rohdaten!AZ1),"",Rohdaten!AZ1)</f>
        <v>0</v>
      </c>
      <c r="BA1" s="16">
        <f>IF(ISBLANK(Rohdaten!BA1),"",Rohdaten!BA1)</f>
        <v>0</v>
      </c>
      <c r="BB1" s="16">
        <f>IF(ISBLANK(Rohdaten!BB1),"",Rohdaten!BB1)</f>
        <v>0</v>
      </c>
      <c r="BC1" s="16">
        <f>IF(ISBLANK(Rohdaten!BC1),"",Rohdaten!BC1)</f>
        <v>0</v>
      </c>
      <c r="BD1" s="16">
        <f>IF(ISBLANK(Rohdaten!BD1),"",Rohdaten!BD1)</f>
        <v>0</v>
      </c>
      <c r="BE1" s="16">
        <f>IF(ISBLANK(Rohdaten!BE1),"",Rohdaten!BE1)</f>
        <v>0</v>
      </c>
      <c r="BF1" s="16">
        <f>IF(ISBLANK(Rohdaten!BF1),"",Rohdaten!BF1)</f>
        <v>0</v>
      </c>
      <c r="BG1" s="16">
        <f>IF(ISBLANK(Rohdaten!BG1),"",Rohdaten!BG1)</f>
        <v>0</v>
      </c>
      <c r="BH1" s="16">
        <f>IF(ISBLANK(Rohdaten!BH1),"",Rohdaten!BH1)</f>
        <v>0</v>
      </c>
      <c r="BI1" s="16">
        <f>IF(ISBLANK(Rohdaten!BI1),"",Rohdaten!BI1)</f>
        <v>0</v>
      </c>
      <c r="BJ1" s="16">
        <f>IF(ISBLANK(Rohdaten!BJ1),"",Rohdaten!BJ1)</f>
        <v>0</v>
      </c>
      <c r="BK1" s="16">
        <f>IF(ISBLANK(Rohdaten!BK1),"",Rohdaten!BK1)</f>
        <v>0</v>
      </c>
      <c r="BL1" s="16">
        <f>IF(ISBLANK(Rohdaten!BL1),"",Rohdaten!BL1)</f>
        <v>0</v>
      </c>
      <c r="BM1" s="16">
        <f>IF(ISBLANK(Rohdaten!BM1),"",Rohdaten!BM1)</f>
        <v>0</v>
      </c>
      <c r="BN1" s="16">
        <f>IF(ISBLANK(Rohdaten!BN1),"",Rohdaten!BN1)</f>
        <v>0</v>
      </c>
      <c r="BO1" s="16">
        <f>IF(ISBLANK(Rohdaten!BO1),"",Rohdaten!BO1)</f>
        <v>0</v>
      </c>
      <c r="BP1" s="16">
        <f>IF(ISBLANK(Rohdaten!BP1),"",Rohdaten!BP1)</f>
        <v>0</v>
      </c>
      <c r="BQ1" s="16">
        <f>IF(ISBLANK(Rohdaten!BQ1),"",Rohdaten!BQ1)</f>
        <v>0</v>
      </c>
      <c r="BR1" s="16">
        <f>IF(ISBLANK(Rohdaten!BR1),"",Rohdaten!BR1)</f>
        <v>0</v>
      </c>
      <c r="BS1" s="16">
        <f>IF(ISBLANK(Rohdaten!BS1),"",Rohdaten!BS1)</f>
        <v>0</v>
      </c>
      <c r="BT1" s="16">
        <f>IF(ISBLANK(Rohdaten!BT1),"",Rohdaten!BT1)</f>
        <v>0</v>
      </c>
      <c r="BU1" s="16">
        <f>IF(ISBLANK(Rohdaten!BU1),"",Rohdaten!BU1)</f>
        <v>0</v>
      </c>
      <c r="BV1" s="16">
        <f>IF(ISBLANK(Rohdaten!BV1),"",Rohdaten!BV1)</f>
        <v>0</v>
      </c>
      <c r="BW1" s="16">
        <f>IF(ISBLANK(Rohdaten!BW1),"",Rohdaten!BW1)</f>
        <v>0</v>
      </c>
      <c r="BX1" s="16">
        <f>IF(ISBLANK(Rohdaten!BX1),"",Rohdaten!BX1)</f>
        <v>0</v>
      </c>
      <c r="BY1" s="16">
        <f>IF(ISBLANK(Rohdaten!BY1),"",Rohdaten!BY1)</f>
        <v>0</v>
      </c>
      <c r="BZ1" s="16">
        <f>IF(ISBLANK(Rohdaten!BZ1),"",Rohdaten!BZ1)</f>
        <v>0</v>
      </c>
      <c r="CA1" s="16">
        <f>IF(ISBLANK(Rohdaten!CA1),"",Rohdaten!CA1)</f>
        <v>0</v>
      </c>
      <c r="CB1" s="16">
        <f>IF(ISBLANK(Rohdaten!CB1),"",Rohdaten!CB1)</f>
        <v>0</v>
      </c>
      <c r="CC1" s="16">
        <f>IF(ISBLANK(Rohdaten!CC1),"",Rohdaten!CC1)</f>
        <v>0</v>
      </c>
      <c r="CD1" s="16">
        <f>IF(ISBLANK(Rohdaten!CD1),"",Rohdaten!CD1)</f>
        <v>0</v>
      </c>
      <c r="CE1" s="16">
        <f>IF(ISBLANK(Rohdaten!CE1),"",Rohdaten!CE1)</f>
        <v>0</v>
      </c>
      <c r="CF1" s="16">
        <f>IF(ISBLANK(Rohdaten!CF1),"",Rohdaten!CF1)</f>
        <v>0</v>
      </c>
      <c r="CG1" s="16">
        <f>IF(ISBLANK(Rohdaten!CG1),"",Rohdaten!CG1)</f>
        <v>0</v>
      </c>
      <c r="CH1" s="16">
        <f>IF(ISBLANK(Rohdaten!CH1),"",Rohdaten!CH1)</f>
        <v>0</v>
      </c>
      <c r="CI1" s="16">
        <f>IF(ISBLANK(Rohdaten!CI1),"",Rohdaten!CI1)</f>
        <v>0</v>
      </c>
      <c r="CJ1" s="16">
        <f>IF(ISBLANK(Rohdaten!CJ1),"",Rohdaten!CJ1)</f>
        <v>0</v>
      </c>
      <c r="CK1" s="16">
        <f>IF(ISBLANK(Rohdaten!CK1),"",Rohdaten!CK1)</f>
        <v>0</v>
      </c>
      <c r="CL1" s="16">
        <f>IF(ISBLANK(Rohdaten!CL1),"",Rohdaten!CL1)</f>
        <v>0</v>
      </c>
      <c r="CM1" s="16">
        <f>IF(ISBLANK(Rohdaten!CM1),"",Rohdaten!CM1)</f>
        <v>0</v>
      </c>
      <c r="CN1" s="16">
        <f>IF(ISBLANK(Rohdaten!CN1),"",Rohdaten!CN1)</f>
        <v>0</v>
      </c>
      <c r="CO1" s="16">
        <f>IF(ISBLANK(Rohdaten!CO1),"",Rohdaten!CO1)</f>
        <v>0</v>
      </c>
      <c r="CP1" s="16">
        <f>IF(ISBLANK(Rohdaten!CP1),"",Rohdaten!CP1)</f>
        <v>0</v>
      </c>
      <c r="CQ1" s="16">
        <f>IF(ISBLANK(Rohdaten!CQ1),"",Rohdaten!CQ1)</f>
        <v>0</v>
      </c>
      <c r="CR1" s="16">
        <f>IF(ISBLANK(Rohdaten!CR1),"",Rohdaten!CR1)</f>
        <v>0</v>
      </c>
      <c r="CS1" s="16">
        <f>IF(ISBLANK(Rohdaten!CS1),"",Rohdaten!CS1)</f>
        <v>0</v>
      </c>
      <c r="CT1" s="16">
        <f>IF(ISBLANK(Rohdaten!CT1),"",Rohdaten!CT1)</f>
        <v>0</v>
      </c>
      <c r="CU1" s="16">
        <f>IF(ISBLANK(Rohdaten!CU1),"",Rohdaten!CU1)</f>
        <v>0</v>
      </c>
      <c r="CV1" s="16">
        <f>IF(ISBLANK(Rohdaten!CV1),"",Rohdaten!CV1)</f>
        <v>0</v>
      </c>
      <c r="CW1" s="16">
        <f>IF(ISBLANK(Rohdaten!CW1),"",Rohdaten!CW1)</f>
        <v>0</v>
      </c>
      <c r="CX1" s="16">
        <f>IF(ISBLANK(Rohdaten!CX1),"",Rohdaten!CX1)</f>
        <v>0</v>
      </c>
      <c r="CY1" s="16">
        <f>IF(ISBLANK(Rohdaten!CY1),"",Rohdaten!CY1)</f>
        <v>0</v>
      </c>
      <c r="CZ1" s="16">
        <f>IF(ISBLANK(Rohdaten!CZ1),"",Rohdaten!CZ1)</f>
        <v>0</v>
      </c>
      <c r="DA1" s="16">
        <f>IF(ISBLANK(Rohdaten!DA1),"",Rohdaten!DA1)</f>
        <v>0</v>
      </c>
      <c r="DB1" s="16">
        <f>IF(ISBLANK(Rohdaten!DB1),"",Rohdaten!DB1)</f>
        <v>0</v>
      </c>
      <c r="DC1" s="16">
        <f>IF(ISBLANK(Rohdaten!DC1),"",Rohdaten!DC1)</f>
        <v>0</v>
      </c>
      <c r="DD1" s="16">
        <f>IF(ISBLANK(Rohdaten!DD1),"",Rohdaten!DD1)</f>
        <v>0</v>
      </c>
      <c r="DE1" s="16">
        <f>IF(ISBLANK(Rohdaten!DE1),"",Rohdaten!DE1)</f>
        <v>0</v>
      </c>
      <c r="DF1" s="16">
        <f>IF(ISBLANK(Rohdaten!DF1),"",Rohdaten!DF1)</f>
        <v>0</v>
      </c>
      <c r="DG1" s="16">
        <f>IF(ISBLANK(Rohdaten!DG1),"",Rohdaten!DG1)</f>
        <v>0</v>
      </c>
      <c r="DH1" s="16">
        <f>IF(ISBLANK(Rohdaten!DH1),"",Rohdaten!DH1)</f>
        <v>0</v>
      </c>
      <c r="DI1" s="16">
        <f>IF(ISBLANK(Rohdaten!DI1),"",Rohdaten!DI1)</f>
        <v>0</v>
      </c>
      <c r="DJ1" s="16">
        <f>IF(ISBLANK(Rohdaten!DJ1),"",Rohdaten!DJ1)</f>
        <v>0</v>
      </c>
      <c r="DK1" s="16">
        <f>IF(ISBLANK(Rohdaten!DK1),"",Rohdaten!DK1)</f>
        <v>0</v>
      </c>
      <c r="DL1" s="16">
        <f>IF(ISBLANK(Rohdaten!DL1),"",Rohdaten!DL1)</f>
        <v>0</v>
      </c>
      <c r="DM1" s="16">
        <f>IF(ISBLANK(Rohdaten!DM1),"",Rohdaten!DM1)</f>
        <v>0</v>
      </c>
      <c r="DN1" s="16">
        <f>IF(ISBLANK(Rohdaten!DN1),"",Rohdaten!DN1)</f>
        <v>0</v>
      </c>
      <c r="DO1" s="16">
        <f>IF(ISBLANK(Rohdaten!DO1),"",Rohdaten!DO1)</f>
        <v>0</v>
      </c>
      <c r="DP1" s="16">
        <f>IF(ISBLANK(Rohdaten!DP1),"",Rohdaten!DP1)</f>
        <v>0</v>
      </c>
      <c r="DQ1" s="16">
        <f>IF(ISBLANK(Rohdaten!DQ1),"",Rohdaten!DQ1)</f>
        <v>0</v>
      </c>
      <c r="DR1" s="16">
        <f>IF(ISBLANK(Rohdaten!DR1),"",Rohdaten!DR1)</f>
        <v>0</v>
      </c>
      <c r="DS1" s="16">
        <f>IF(ISBLANK(Rohdaten!DS1),"",Rohdaten!DS1)</f>
        <v>0</v>
      </c>
      <c r="DT1" s="16">
        <f>IF(ISBLANK(Rohdaten!DT1),"",Rohdaten!DT1)</f>
        <v>0</v>
      </c>
      <c r="DU1" s="16">
        <f>IF(ISBLANK(Rohdaten!DU1),"",Rohdaten!DU1)</f>
        <v>0</v>
      </c>
      <c r="DV1" s="16">
        <f>IF(ISBLANK(Rohdaten!DV1),"",Rohdaten!DV1)</f>
        <v>0</v>
      </c>
      <c r="DW1" s="16">
        <f>IF(ISBLANK(Rohdaten!DW1),"",Rohdaten!DW1)</f>
        <v>0</v>
      </c>
      <c r="DX1" s="16">
        <f>IF(ISBLANK(Rohdaten!DX1),"",Rohdaten!DX1)</f>
        <v>0</v>
      </c>
      <c r="DY1" s="16">
        <f>IF(ISBLANK(Rohdaten!DY1),"",Rohdaten!DY1)</f>
        <v>0</v>
      </c>
      <c r="DZ1" s="16">
        <f>IF(ISBLANK(Rohdaten!DZ1),"",Rohdaten!DZ1)</f>
        <v>0</v>
      </c>
      <c r="EA1" s="16">
        <f>IF(ISBLANK(Rohdaten!EA1),"",Rohdaten!EA1)</f>
        <v>0</v>
      </c>
      <c r="EB1" s="16">
        <f>IF(ISBLANK(Rohdaten!EB1),"",Rohdaten!EB1)</f>
        <v>0</v>
      </c>
      <c r="EC1" s="16">
        <f>IF(ISBLANK(Rohdaten!EC1),"",Rohdaten!EC1)</f>
        <v>0</v>
      </c>
      <c r="ED1" s="16">
        <f>IF(ISBLANK(Rohdaten!ED1),"",Rohdaten!ED1)</f>
        <v>0</v>
      </c>
      <c r="EE1" s="16">
        <f>IF(ISBLANK(Rohdaten!EE1),"",Rohdaten!EE1)</f>
        <v>0</v>
      </c>
      <c r="EF1" s="16">
        <f>IF(ISBLANK(Rohdaten!EF1),"",Rohdaten!EF1)</f>
        <v>0</v>
      </c>
      <c r="EG1" s="16">
        <f>IF(ISBLANK(Rohdaten!EG1),"",Rohdaten!EG1)</f>
        <v>0</v>
      </c>
      <c r="EH1" s="16">
        <f>IF(ISBLANK(Rohdaten!EH1),"",Rohdaten!EH1)</f>
        <v>0</v>
      </c>
      <c r="EI1" s="16">
        <f>IF(ISBLANK(Rohdaten!EI1),"",Rohdaten!EI1)</f>
        <v>0</v>
      </c>
      <c r="EJ1" s="16">
        <f>IF(ISBLANK(Rohdaten!EJ1),"",Rohdaten!EJ1)</f>
        <v>0</v>
      </c>
      <c r="EK1" s="16">
        <f>IF(ISBLANK(Rohdaten!EK1),"",Rohdaten!EK1)</f>
        <v>0</v>
      </c>
      <c r="EL1" s="16">
        <f>IF(ISBLANK(Rohdaten!EL1),"",Rohdaten!EL1)</f>
        <v>0</v>
      </c>
      <c r="EM1" s="16">
        <f>IF(ISBLANK(Rohdaten!EM1),"",Rohdaten!EM1)</f>
        <v>0</v>
      </c>
      <c r="EN1" s="16">
        <f>IF(ISBLANK(Rohdaten!EN1),"",Rohdaten!EN1)</f>
        <v>0</v>
      </c>
      <c r="EO1" s="16">
        <f>IF(ISBLANK(Rohdaten!EO1),"",Rohdaten!EO1)</f>
        <v>0</v>
      </c>
      <c r="EP1" s="16">
        <f>IF(ISBLANK(Rohdaten!EP1),"",Rohdaten!EP1)</f>
        <v>0</v>
      </c>
      <c r="EQ1" s="16">
        <f>IF(ISBLANK(Rohdaten!EQ1),"",Rohdaten!EQ1)</f>
        <v>0</v>
      </c>
      <c r="ER1" s="16">
        <f>IF(ISBLANK(Rohdaten!ER1),"",Rohdaten!ER1)</f>
        <v>0</v>
      </c>
      <c r="ES1" s="16">
        <f>IF(ISBLANK(Rohdaten!ES1),"",Rohdaten!ES1)</f>
        <v>0</v>
      </c>
      <c r="ET1" s="16">
        <f>IF(ISBLANK(Rohdaten!ET1),"",Rohdaten!ET1)</f>
        <v>0</v>
      </c>
      <c r="EU1" s="16">
        <f>IF(ISBLANK(Rohdaten!EU1),"",Rohdaten!EU1)</f>
        <v>0</v>
      </c>
      <c r="EV1" s="16">
        <f>IF(ISBLANK(Rohdaten!EV1),"",Rohdaten!EV1)</f>
        <v>0</v>
      </c>
      <c r="EW1" s="16">
        <f>IF(ISBLANK(Rohdaten!EW1),"",Rohdaten!EW1)</f>
        <v>0</v>
      </c>
      <c r="EX1" s="16">
        <f>IF(ISBLANK(Rohdaten!EX1),"",Rohdaten!EX1)</f>
        <v>0</v>
      </c>
      <c r="EY1" s="16">
        <f>IF(ISBLANK(Rohdaten!EY1),"",Rohdaten!EY1)</f>
        <v>0</v>
      </c>
      <c r="EZ1" s="16">
        <f>IF(ISBLANK(Rohdaten!EZ1),"",Rohdaten!EZ1)</f>
        <v>0</v>
      </c>
      <c r="FA1" s="16">
        <f>IF(ISBLANK(Rohdaten!FA1),"",Rohdaten!FA1)</f>
        <v>0</v>
      </c>
      <c r="FB1" s="16">
        <f>IF(ISBLANK(Rohdaten!FB1),"",Rohdaten!FB1)</f>
        <v>0</v>
      </c>
      <c r="FC1" s="16">
        <f>IF(ISBLANK(Rohdaten!FC1),"",Rohdaten!FC1)</f>
        <v>0</v>
      </c>
      <c r="FD1" s="16">
        <f>IF(ISBLANK(Rohdaten!FD1),"",Rohdaten!FD1)</f>
        <v>0</v>
      </c>
      <c r="FE1" s="16">
        <f>IF(ISBLANK(Rohdaten!FE1),"",Rohdaten!FE1)</f>
        <v>0</v>
      </c>
      <c r="FF1" s="16">
        <f>IF(ISBLANK(Rohdaten!FF1),"",Rohdaten!FF1)</f>
        <v>0</v>
      </c>
      <c r="FG1" s="16">
        <f>IF(ISBLANK(Rohdaten!FG1),"",Rohdaten!FG1)</f>
        <v>0</v>
      </c>
      <c r="FH1" s="16">
        <f>IF(ISBLANK(Rohdaten!FH1),"",Rohdaten!FH1)</f>
        <v>0</v>
      </c>
      <c r="FI1" s="16">
        <f>IF(ISBLANK(Rohdaten!FI1),"",Rohdaten!FI1)</f>
        <v>0</v>
      </c>
      <c r="FJ1" s="16">
        <f>IF(ISBLANK(Rohdaten!FJ1),"",Rohdaten!FJ1)</f>
        <v>0</v>
      </c>
      <c r="FK1" s="16">
        <f>IF(ISBLANK(Rohdaten!FK1),"",Rohdaten!FK1)</f>
        <v>0</v>
      </c>
      <c r="FL1" s="16">
        <f>IF(ISBLANK(Rohdaten!FL1),"",Rohdaten!FL1)</f>
        <v>0</v>
      </c>
      <c r="FM1" s="16">
        <f>IF(ISBLANK(Rohdaten!FM1),"",Rohdaten!FM1)</f>
        <v>0</v>
      </c>
      <c r="FN1" s="16">
        <f>IF(ISBLANK(Rohdaten!FN1),"",Rohdaten!FN1)</f>
        <v>0</v>
      </c>
      <c r="FO1" s="16">
        <f>IF(ISBLANK(Rohdaten!FO1),"",Rohdaten!FO1)</f>
        <v>0</v>
      </c>
      <c r="FP1" s="16">
        <f>IF(ISBLANK(Rohdaten!FP1),"",Rohdaten!FP1)</f>
        <v>0</v>
      </c>
      <c r="FQ1" s="16">
        <f>IF(ISBLANK(Rohdaten!FQ1),"",Rohdaten!FQ1)</f>
        <v>0</v>
      </c>
      <c r="FR1" s="16">
        <f>IF(ISBLANK(Rohdaten!FR1),"",Rohdaten!FR1)</f>
        <v>0</v>
      </c>
      <c r="FS1" s="16">
        <f>IF(ISBLANK(Rohdaten!FS1),"",Rohdaten!FS1)</f>
        <v>0</v>
      </c>
      <c r="FT1" s="16">
        <f>IF(ISBLANK(Rohdaten!FT1),"",Rohdaten!FT1)</f>
        <v>0</v>
      </c>
      <c r="FU1" s="16">
        <f>IF(ISBLANK(Rohdaten!FU1),"",Rohdaten!FU1)</f>
        <v>0</v>
      </c>
      <c r="FV1" s="16">
        <f>IF(ISBLANK(Rohdaten!FV1),"",Rohdaten!FV1)</f>
        <v>0</v>
      </c>
      <c r="FW1" s="16">
        <f>IF(ISBLANK(Rohdaten!FW1),"",Rohdaten!FW1)</f>
        <v>0</v>
      </c>
      <c r="FX1" s="16">
        <f>IF(ISBLANK(Rohdaten!FX1),"",Rohdaten!FX1)</f>
        <v>0</v>
      </c>
      <c r="FY1" s="16">
        <f>IF(ISBLANK(Rohdaten!FY1),"",Rohdaten!FY1)</f>
        <v>0</v>
      </c>
      <c r="FZ1" s="16">
        <f>IF(ISBLANK(Rohdaten!FZ1),"",Rohdaten!FZ1)</f>
        <v>0</v>
      </c>
      <c r="GA1" s="16">
        <f>IF(ISBLANK(Rohdaten!GA1),"",Rohdaten!GA1)</f>
        <v>0</v>
      </c>
      <c r="GB1" s="16">
        <f>IF(ISBLANK(Rohdaten!GB1),"",Rohdaten!GB1)</f>
        <v>0</v>
      </c>
      <c r="GC1" s="16">
        <f>IF(ISBLANK(Rohdaten!GC1),"",Rohdaten!GC1)</f>
        <v>0</v>
      </c>
      <c r="GD1" s="16">
        <f>IF(ISBLANK(Rohdaten!GD1),"",Rohdaten!GD1)</f>
        <v>0</v>
      </c>
      <c r="GE1" s="16">
        <f>IF(ISBLANK(Rohdaten!GE1),"",Rohdaten!GE1)</f>
        <v>0</v>
      </c>
      <c r="GF1" s="16">
        <f>IF(ISBLANK(Rohdaten!GF1),"",Rohdaten!GF1)</f>
        <v>0</v>
      </c>
      <c r="GG1" s="16">
        <f>IF(ISBLANK(Rohdaten!GG1),"",Rohdaten!GG1)</f>
        <v>0</v>
      </c>
      <c r="GH1" s="16">
        <f>IF(ISBLANK(Rohdaten!GH1),"",Rohdaten!GH1)</f>
        <v>0</v>
      </c>
      <c r="GI1" s="16">
        <f>IF(ISBLANK(Rohdaten!GI1),"",Rohdaten!GI1)</f>
        <v>0</v>
      </c>
      <c r="GJ1" s="16">
        <f>IF(ISBLANK(Rohdaten!GJ1),"",Rohdaten!GJ1)</f>
        <v>0</v>
      </c>
      <c r="GK1" s="16">
        <f>IF(ISBLANK(Rohdaten!GK1),"",Rohdaten!GK1)</f>
        <v>0</v>
      </c>
      <c r="GL1" s="16">
        <f>IF(ISBLANK(Rohdaten!GL1),"",Rohdaten!GL1)</f>
        <v>0</v>
      </c>
      <c r="GM1" s="16">
        <f>IF(ISBLANK(Rohdaten!GM1),"",Rohdaten!GM1)</f>
        <v>0</v>
      </c>
      <c r="GN1" s="16">
        <f>IF(ISBLANK(Rohdaten!GN1),"",Rohdaten!GN1)</f>
        <v>0</v>
      </c>
      <c r="GO1" s="16">
        <f>IF(ISBLANK(Rohdaten!GO1),"",Rohdaten!GO1)</f>
        <v>0</v>
      </c>
      <c r="GP1" s="16">
        <f>IF(ISBLANK(Rohdaten!GP1),"",Rohdaten!GP1)</f>
        <v>0</v>
      </c>
      <c r="GQ1" s="16">
        <f>IF(ISBLANK(Rohdaten!GQ1),"",Rohdaten!GQ1)</f>
        <v>0</v>
      </c>
      <c r="GR1" s="16">
        <f>IF(ISBLANK(Rohdaten!GR1),"",Rohdaten!GR1)</f>
        <v>0</v>
      </c>
      <c r="GS1" s="16">
        <f>IF(ISBLANK(Rohdaten!GS1),"",Rohdaten!GS1)</f>
        <v>0</v>
      </c>
      <c r="GT1" s="16">
        <f>IF(ISBLANK(Rohdaten!GT1),"",Rohdaten!GT1)</f>
        <v>0</v>
      </c>
      <c r="GU1" s="16">
        <f>IF(ISBLANK(Rohdaten!GU1),"",Rohdaten!GU1)</f>
        <v>0</v>
      </c>
      <c r="GV1" s="16">
        <f>IF(ISBLANK(Rohdaten!GV1),"",Rohdaten!GV1)</f>
        <v>0</v>
      </c>
      <c r="GW1" s="16">
        <f>IF(ISBLANK(Rohdaten!GW1),"",Rohdaten!GW1)</f>
        <v>0</v>
      </c>
      <c r="GX1" s="16">
        <f>IF(ISBLANK(Rohdaten!GX1),"",Rohdaten!GX1)</f>
        <v>0</v>
      </c>
      <c r="GY1" s="16">
        <f>IF(ISBLANK(Rohdaten!GY1),"",Rohdaten!GY1)</f>
        <v>0</v>
      </c>
      <c r="GZ1" s="16">
        <f>IF(ISBLANK(Rohdaten!GZ1),"",Rohdaten!GZ1)</f>
        <v>0</v>
      </c>
      <c r="HA1" s="16">
        <f>IF(ISBLANK(Rohdaten!HA1),"",Rohdaten!HA1)</f>
        <v>0</v>
      </c>
      <c r="HB1" s="16">
        <f>IF(ISBLANK(Rohdaten!HB1),"",Rohdaten!HB1)</f>
        <v>0</v>
      </c>
      <c r="HC1" s="16">
        <f>IF(ISBLANK(Rohdaten!HC1),"",Rohdaten!HC1)</f>
        <v>0</v>
      </c>
      <c r="HD1" s="16">
        <f>IF(ISBLANK(Rohdaten!HD1),"",Rohdaten!HD1)</f>
        <v>0</v>
      </c>
      <c r="HE1" s="16">
        <f>IF(ISBLANK(Rohdaten!HE1),"",Rohdaten!HE1)</f>
        <v>0</v>
      </c>
      <c r="HF1" s="16">
        <f>IF(ISBLANK(Rohdaten!HF1),"",Rohdaten!HF1)</f>
        <v>0</v>
      </c>
      <c r="HG1" s="16">
        <f>IF(ISBLANK(Rohdaten!HG1),"",Rohdaten!HG1)</f>
        <v>0</v>
      </c>
      <c r="HH1" s="16">
        <f>IF(ISBLANK(Rohdaten!HH1),"",Rohdaten!HH1)</f>
        <v>0</v>
      </c>
      <c r="HI1" s="16">
        <f>IF(ISBLANK(Rohdaten!HI1),"",Rohdaten!HI1)</f>
        <v>0</v>
      </c>
      <c r="HJ1" s="16">
        <f>IF(ISBLANK(Rohdaten!HJ1),"",Rohdaten!HJ1)</f>
        <v>0</v>
      </c>
      <c r="HK1" s="16">
        <f>IF(ISBLANK(Rohdaten!HK1),"",Rohdaten!HK1)</f>
        <v>0</v>
      </c>
      <c r="HL1" s="16">
        <f>IF(ISBLANK(Rohdaten!HL1),"",Rohdaten!HL1)</f>
        <v>0</v>
      </c>
      <c r="HM1" s="16">
        <f>IF(ISBLANK(Rohdaten!HM1),"",Rohdaten!HM1)</f>
        <v>0</v>
      </c>
      <c r="HN1" s="16">
        <f>IF(ISBLANK(Rohdaten!HN1),"",Rohdaten!HN1)</f>
        <v>0</v>
      </c>
      <c r="HO1" s="16">
        <f>IF(ISBLANK(Rohdaten!HO1),"",Rohdaten!HO1)</f>
        <v>0</v>
      </c>
      <c r="HP1" s="16">
        <f>IF(ISBLANK(Rohdaten!HP1),"",Rohdaten!HP1)</f>
        <v>0</v>
      </c>
      <c r="HQ1" s="16">
        <f>IF(ISBLANK(Rohdaten!HQ1),"",Rohdaten!HQ1)</f>
        <v>0</v>
      </c>
      <c r="HR1" s="16">
        <f>IF(ISBLANK(Rohdaten!HR1),"",Rohdaten!HR1)</f>
        <v>0</v>
      </c>
      <c r="HS1" s="16">
        <f>IF(ISBLANK(Rohdaten!HS1),"",Rohdaten!HS1)</f>
        <v>0</v>
      </c>
      <c r="HT1" s="16">
        <f>IF(ISBLANK(Rohdaten!HT1),"",Rohdaten!HT1)</f>
        <v>0</v>
      </c>
      <c r="HU1" s="16">
        <f>IF(ISBLANK(Rohdaten!HU1),"",Rohdaten!HU1)</f>
        <v>0</v>
      </c>
      <c r="HV1" s="16">
        <f>IF(ISBLANK(Rohdaten!HV1),"",Rohdaten!HV1)</f>
        <v>0</v>
      </c>
      <c r="HW1" s="16">
        <f>IF(ISBLANK(Rohdaten!HW1),"",Rohdaten!HW1)</f>
        <v>0</v>
      </c>
      <c r="HX1" s="16">
        <f>IF(ISBLANK(Rohdaten!HX1),"",Rohdaten!HX1)</f>
        <v>0</v>
      </c>
      <c r="HY1" s="16">
        <f>IF(ISBLANK(Rohdaten!HY1),"",Rohdaten!HY1)</f>
        <v>0</v>
      </c>
      <c r="HZ1" s="16">
        <f>IF(ISBLANK(Rohdaten!HZ1),"",Rohdaten!HZ1)</f>
        <v>0</v>
      </c>
      <c r="IA1" s="16">
        <f>IF(ISBLANK(Rohdaten!IA1),"",Rohdaten!IA1)</f>
        <v>0</v>
      </c>
      <c r="IB1" s="16">
        <f>IF(ISBLANK(Rohdaten!IB1),"",Rohdaten!IB1)</f>
        <v>0</v>
      </c>
      <c r="IC1" s="16">
        <f>IF(ISBLANK(Rohdaten!IC1),"",Rohdaten!IC1)</f>
        <v>0</v>
      </c>
      <c r="ID1" s="16">
        <f>IF(ISBLANK(Rohdaten!ID1),"",Rohdaten!ID1)</f>
        <v>0</v>
      </c>
      <c r="IE1" s="16">
        <f>IF(ISBLANK(Rohdaten!IE1),"",Rohdaten!IE1)</f>
        <v>0</v>
      </c>
      <c r="IF1" s="16">
        <f>IF(ISBLANK(Rohdaten!IF1),"",Rohdaten!IF1)</f>
        <v>0</v>
      </c>
      <c r="IG1" s="16">
        <f>IF(ISBLANK(Rohdaten!IG1),"",Rohdaten!IG1)</f>
        <v>0</v>
      </c>
      <c r="IH1" s="16">
        <f>IF(ISBLANK(Rohdaten!IH1),"",Rohdaten!IH1)</f>
        <v>0</v>
      </c>
      <c r="II1" s="16">
        <f>IF(ISBLANK(Rohdaten!II1),"",Rohdaten!II1)</f>
        <v>0</v>
      </c>
      <c r="IJ1" s="16">
        <f>IF(ISBLANK(Rohdaten!IJ1),"",Rohdaten!IJ1)</f>
        <v>0</v>
      </c>
      <c r="IK1" s="16">
        <f>IF(ISBLANK(Rohdaten!IK1),"",Rohdaten!IK1)</f>
        <v>0</v>
      </c>
      <c r="IL1" s="16">
        <f>IF(ISBLANK(Rohdaten!IL1),"",Rohdaten!IL1)</f>
        <v>0</v>
      </c>
      <c r="IM1" s="16">
        <f>IF(ISBLANK(Rohdaten!IM1),"",Rohdaten!IM1)</f>
        <v>0</v>
      </c>
      <c r="IN1" s="16">
        <f>IF(ISBLANK(Rohdaten!IN1),"",Rohdaten!IN1)</f>
        <v>0</v>
      </c>
      <c r="IO1" s="16">
        <f>IF(ISBLANK(Rohdaten!IO1),"",Rohdaten!IO1)</f>
        <v>0</v>
      </c>
      <c r="IP1" s="16">
        <f>IF(ISBLANK(Rohdaten!IP1),"",Rohdaten!IP1)</f>
        <v>0</v>
      </c>
      <c r="IQ1" s="16">
        <f>IF(ISBLANK(Rohdaten!IQ1),"",Rohdaten!IQ1)</f>
        <v>0</v>
      </c>
      <c r="IR1" s="16">
        <f>IF(ISBLANK(Rohdaten!IR1),"",Rohdaten!IR1)</f>
        <v>0</v>
      </c>
      <c r="IS1" s="16">
        <f>IF(ISBLANK(Rohdaten!IS1),"",Rohdaten!IS1)</f>
        <v>0</v>
      </c>
      <c r="IT1" s="16">
        <f>IF(ISBLANK(Rohdaten!IT1),"",Rohdaten!IT1)</f>
        <v>0</v>
      </c>
      <c r="IU1" s="16">
        <f>IF(ISBLANK(Rohdaten!IU1),"",Rohdaten!IU1)</f>
        <v>0</v>
      </c>
      <c r="IV1" s="16">
        <f>IF(ISBLANK(Rohdaten!IV1),"",Rohdaten!IV1)</f>
        <v>0</v>
      </c>
      <c r="IW1" s="16">
        <f>IF(ISBLANK(Rohdaten!IW1),"",Rohdaten!IW1)</f>
        <v>0</v>
      </c>
      <c r="IX1" s="16">
        <f>IF(ISBLANK(Rohdaten!IX1),"",Rohdaten!IX1)</f>
        <v>0</v>
      </c>
      <c r="IY1" s="16">
        <f>IF(ISBLANK(Rohdaten!IY1),"",Rohdaten!IY1)</f>
        <v>0</v>
      </c>
      <c r="IZ1" s="16">
        <f>IF(ISBLANK(Rohdaten!IZ1),"",Rohdaten!IZ1)</f>
        <v>0</v>
      </c>
      <c r="JA1" s="16">
        <f>IF(ISBLANK(Rohdaten!JA1),"",Rohdaten!JA1)</f>
        <v>0</v>
      </c>
      <c r="JB1" s="16">
        <f>IF(ISBLANK(Rohdaten!JB1),"",Rohdaten!JB1)</f>
        <v>0</v>
      </c>
      <c r="JC1" s="16">
        <f>IF(ISBLANK(Rohdaten!JC1),"",Rohdaten!JC1)</f>
        <v>0</v>
      </c>
      <c r="JD1" s="16">
        <f>IF(ISBLANK(Rohdaten!JD1),"",Rohdaten!JD1)</f>
        <v>0</v>
      </c>
      <c r="JE1" s="16">
        <f>IF(ISBLANK(Rohdaten!JE1),"",Rohdaten!JE1)</f>
        <v>0</v>
      </c>
      <c r="JF1" s="16">
        <f>IF(ISBLANK(Rohdaten!JF1),"",Rohdaten!JF1)</f>
        <v>0</v>
      </c>
      <c r="JG1" s="16">
        <f>IF(ISBLANK(Rohdaten!JG1),"",Rohdaten!JG1)</f>
        <v>0</v>
      </c>
      <c r="JH1" s="16">
        <f>IF(ISBLANK(Rohdaten!JH1),"",Rohdaten!JH1)</f>
        <v>0</v>
      </c>
      <c r="JI1" s="16">
        <f>IF(ISBLANK(Rohdaten!JI1),"",Rohdaten!JI1)</f>
        <v>0</v>
      </c>
      <c r="JJ1" s="16">
        <f>IF(ISBLANK(Rohdaten!JJ1),"",Rohdaten!JJ1)</f>
        <v>0</v>
      </c>
      <c r="JK1" s="16">
        <f>IF(ISBLANK(Rohdaten!JK1),"",Rohdaten!JK1)</f>
        <v>0</v>
      </c>
      <c r="JL1" s="16">
        <f>IF(ISBLANK(Rohdaten!JL1),"",Rohdaten!JL1)</f>
        <v>0</v>
      </c>
      <c r="JM1" s="16">
        <f>IF(ISBLANK(Rohdaten!JM1),"",Rohdaten!JM1)</f>
        <v>0</v>
      </c>
      <c r="JN1" s="16">
        <f>IF(ISBLANK(Rohdaten!JN1),"",Rohdaten!JN1)</f>
        <v>0</v>
      </c>
      <c r="JO1" s="16">
        <f>IF(ISBLANK(Rohdaten!JO1),"",Rohdaten!JO1)</f>
        <v>0</v>
      </c>
      <c r="JP1" s="16">
        <f>IF(ISBLANK(Rohdaten!JP1),"",Rohdaten!JP1)</f>
        <v>0</v>
      </c>
      <c r="JQ1" s="16">
        <f>IF(ISBLANK(Rohdaten!JQ1),"",Rohdaten!JQ1)</f>
        <v>0</v>
      </c>
      <c r="JR1" s="16">
        <f>IF(ISBLANK(Rohdaten!JR1),"",Rohdaten!JR1)</f>
        <v>0</v>
      </c>
      <c r="JS1" s="16">
        <f>IF(ISBLANK(Rohdaten!JS1),"",Rohdaten!JS1)</f>
        <v>0</v>
      </c>
      <c r="JT1" s="16">
        <f>IF(ISBLANK(Rohdaten!JT1),"",Rohdaten!JT1)</f>
        <v>0</v>
      </c>
      <c r="JU1" s="16">
        <f>IF(ISBLANK(Rohdaten!JU1),"",Rohdaten!JU1)</f>
        <v>0</v>
      </c>
      <c r="JV1" s="16">
        <f>IF(ISBLANK(Rohdaten!JV1),"",Rohdaten!JV1)</f>
        <v>0</v>
      </c>
      <c r="JW1" s="16">
        <f>IF(ISBLANK(Rohdaten!JW1),"",Rohdaten!JW1)</f>
        <v>0</v>
      </c>
      <c r="JX1" s="16">
        <f>IF(ISBLANK(Rohdaten!JX1),"",Rohdaten!JX1)</f>
        <v>0</v>
      </c>
      <c r="JY1" s="16">
        <f>IF(ISBLANK(Rohdaten!JY1),"",Rohdaten!JY1)</f>
        <v>0</v>
      </c>
      <c r="JZ1" s="16">
        <f>IF(ISBLANK(Rohdaten!JZ1),"",Rohdaten!JZ1)</f>
        <v>0</v>
      </c>
      <c r="KA1" s="16">
        <f>IF(ISBLANK(Rohdaten!KA1),"",Rohdaten!KA1)</f>
        <v>0</v>
      </c>
      <c r="KB1" s="16">
        <f>IF(ISBLANK(Rohdaten!KB1),"",Rohdaten!KB1)</f>
        <v>0</v>
      </c>
      <c r="KC1" s="16">
        <f>IF(ISBLANK(Rohdaten!KC1),"",Rohdaten!KC1)</f>
        <v>0</v>
      </c>
      <c r="KD1" s="16">
        <f>IF(ISBLANK(Rohdaten!KD1),"",Rohdaten!KD1)</f>
        <v>0</v>
      </c>
      <c r="KE1" s="16">
        <f>IF(ISBLANK(Rohdaten!KE1),"",Rohdaten!KE1)</f>
        <v>0</v>
      </c>
      <c r="KF1" s="16">
        <f>IF(ISBLANK(Rohdaten!KF1),"",Rohdaten!KF1)</f>
        <v>0</v>
      </c>
      <c r="KG1" s="16">
        <f>IF(ISBLANK(Rohdaten!KG1),"",Rohdaten!KG1)</f>
        <v>0</v>
      </c>
      <c r="KH1" s="16">
        <f>IF(ISBLANK(Rohdaten!KH1),"",Rohdaten!KH1)</f>
        <v>0</v>
      </c>
      <c r="KI1" s="16">
        <f>IF(ISBLANK(Rohdaten!KI1),"",Rohdaten!KI1)</f>
        <v>0</v>
      </c>
      <c r="KJ1" s="16">
        <f>IF(ISBLANK(Rohdaten!KJ1),"",Rohdaten!KJ1)</f>
        <v>0</v>
      </c>
      <c r="KK1" s="16">
        <f>IF(ISBLANK(Rohdaten!KK1),"",Rohdaten!KK1)</f>
        <v>0</v>
      </c>
      <c r="KL1" s="16">
        <f>IF(ISBLANK(Rohdaten!KL1),"",Rohdaten!KL1)</f>
        <v>0</v>
      </c>
      <c r="KM1" s="16">
        <f>IF(ISBLANK(Rohdaten!KM1),"",Rohdaten!KM1)</f>
        <v>0</v>
      </c>
      <c r="KN1" s="16">
        <f>IF(ISBLANK(Rohdaten!KN1),"",Rohdaten!KN1)</f>
        <v>0</v>
      </c>
      <c r="KO1" s="16">
        <f>IF(ISBLANK(Rohdaten!KO1),"",Rohdaten!KO1)</f>
        <v>0</v>
      </c>
      <c r="KP1" s="16">
        <f>IF(ISBLANK(Rohdaten!KP1),"",Rohdaten!KP1)</f>
        <v>0</v>
      </c>
      <c r="KQ1" s="16">
        <f>IF(ISBLANK(Rohdaten!KQ1),"",Rohdaten!KQ1)</f>
        <v>0</v>
      </c>
      <c r="KR1" s="16">
        <f>IF(ISBLANK(Rohdaten!KR1),"",Rohdaten!KR1)</f>
        <v>0</v>
      </c>
      <c r="KS1" s="16">
        <f>IF(ISBLANK(Rohdaten!KS1),"",Rohdaten!KS1)</f>
        <v>0</v>
      </c>
      <c r="KT1" s="16">
        <f>IF(ISBLANK(Rohdaten!KT1),"",Rohdaten!KT1)</f>
        <v>0</v>
      </c>
      <c r="KU1" s="16">
        <f>IF(ISBLANK(Rohdaten!KU1),"",Rohdaten!KU1)</f>
        <v>0</v>
      </c>
      <c r="KV1" s="16">
        <f>IF(ISBLANK(Rohdaten!KV1),"",Rohdaten!KV1)</f>
        <v>0</v>
      </c>
      <c r="KW1" s="16">
        <f>IF(ISBLANK(Rohdaten!KW1),"",Rohdaten!KW1)</f>
        <v>0</v>
      </c>
      <c r="KX1" s="16">
        <f>IF(ISBLANK(Rohdaten!KX1),"",Rohdaten!KX1)</f>
        <v>0</v>
      </c>
      <c r="KY1" s="16">
        <f>IF(ISBLANK(Rohdaten!KY1),"",Rohdaten!KY1)</f>
        <v>0</v>
      </c>
      <c r="KZ1" s="16">
        <f>IF(ISBLANK(Rohdaten!KZ1),"",Rohdaten!KZ1)</f>
        <v>0</v>
      </c>
      <c r="LA1" s="16">
        <f>IF(ISBLANK(Rohdaten!LA1),"",Rohdaten!LA1)</f>
        <v>0</v>
      </c>
      <c r="LB1" s="16">
        <f>IF(ISBLANK(Rohdaten!LB1),"",Rohdaten!LB1)</f>
        <v>0</v>
      </c>
      <c r="LC1" s="16">
        <f>IF(ISBLANK(Rohdaten!LC1),"",Rohdaten!LC1)</f>
        <v>0</v>
      </c>
      <c r="LD1" s="16">
        <f>IF(ISBLANK(Rohdaten!LD1),"",Rohdaten!LD1)</f>
        <v>0</v>
      </c>
      <c r="LE1" s="16">
        <f>IF(ISBLANK(Rohdaten!LE1),"",Rohdaten!LE1)</f>
        <v>0</v>
      </c>
      <c r="LF1" s="16">
        <f>IF(ISBLANK(Rohdaten!LF1),"",Rohdaten!LF1)</f>
        <v>0</v>
      </c>
      <c r="LG1" s="16">
        <f>IF(ISBLANK(Rohdaten!LG1),"",Rohdaten!LG1)</f>
        <v>0</v>
      </c>
      <c r="LH1" s="16">
        <f>IF(ISBLANK(Rohdaten!LH1),"",Rohdaten!LH1)</f>
        <v>0</v>
      </c>
      <c r="LI1" s="16">
        <f>IF(ISBLANK(Rohdaten!LI1),"",Rohdaten!LI1)</f>
        <v>0</v>
      </c>
      <c r="LJ1" s="16">
        <f>IF(ISBLANK(Rohdaten!LJ1),"",Rohdaten!LJ1)</f>
        <v>0</v>
      </c>
    </row>
    <row r="3" spans="1:322">
      <c r="A3" s="11">
        <f>IF(ISBLANK(Rohdaten!A3),"",Rohdaten!A3)</f>
        <v>0</v>
      </c>
      <c r="B3" s="3">
        <f>IF(ISBLANK(Rohdaten!B3),"",Rohdaten!B3)</f>
        <v>0</v>
      </c>
    </row>
    <row r="4" spans="1:322">
      <c r="A4" s="11">
        <f>IF(ISBLANK(Rohdaten!A4),"",Rohdaten!A4)</f>
        <v>0</v>
      </c>
      <c r="B4" s="3">
        <f>IF(ISBLANK(Rohdaten!B4),"",Rohdaten!B4)</f>
        <v>0</v>
      </c>
    </row>
    <row r="5" spans="1:322">
      <c r="A5" s="11">
        <f>IF(ISBLANK(Rohdaten!A5),"",Rohdaten!A5)</f>
        <v>0</v>
      </c>
      <c r="B5" s="3">
        <f>IF(ISBLANK(Rohdaten!B5),"",Rohdaten!B5)</f>
        <v>0</v>
      </c>
    </row>
    <row r="6" spans="1:322">
      <c r="A6" s="11">
        <f>IF(ISBLANK(Rohdaten!A6),"",Rohdaten!A6)</f>
        <v>0</v>
      </c>
      <c r="B6" s="3">
        <f>IF(ISBLANK(Rohdaten!B6),"",Rohdaten!B6)</f>
        <v>0</v>
      </c>
    </row>
    <row r="7" spans="1:322">
      <c r="A7" s="11">
        <f>IF(ISBLANK(Rohdaten!A7),"",Rohdaten!A7)</f>
        <v>0</v>
      </c>
      <c r="B7" s="3">
        <f>IF(ISBLANK(Rohdaten!B7),"",Rohdaten!B7)</f>
        <v>0</v>
      </c>
    </row>
    <row r="8" spans="1:322">
      <c r="A8" s="11">
        <f>IF(ISBLANK(Rohdaten!A8),"",Rohdaten!A8)</f>
        <v>0</v>
      </c>
      <c r="B8" s="3">
        <f>IF(ISBLANK(Rohdaten!B8),"",Rohdaten!B8)</f>
        <v>0</v>
      </c>
    </row>
    <row r="9" spans="1:322">
      <c r="A9" s="11">
        <f>IF(ISBLANK(Rohdaten!A9),"",Rohdaten!A9)</f>
        <v>0</v>
      </c>
      <c r="B9" s="3">
        <f>IF(ISBLANK(Rohdaten!B9),"",Rohdaten!B9)</f>
        <v>0</v>
      </c>
    </row>
    <row r="10" spans="1:322">
      <c r="A10" s="11">
        <f>IF(ISBLANK(Rohdaten!A10),"",Rohdaten!A10)</f>
        <v>0</v>
      </c>
      <c r="B10" s="3">
        <f>IF(ISBLANK(Rohdaten!B10),"",Rohdaten!B10)</f>
        <v>0</v>
      </c>
    </row>
    <row r="11" spans="1:322">
      <c r="A11" s="11">
        <f>IF(ISBLANK(Rohdaten!A11),"",Rohdaten!A11)</f>
        <v>0</v>
      </c>
      <c r="B11" s="3">
        <f>IF(ISBLANK(Rohdaten!B11),"",Rohdaten!B11)</f>
        <v>0</v>
      </c>
    </row>
    <row r="12" spans="1:322">
      <c r="A12" s="11">
        <f>IF(ISBLANK(Rohdaten!A12),"",Rohdaten!A12)</f>
        <v>0</v>
      </c>
      <c r="B12" s="3">
        <f>IF(ISBLANK(Rohdaten!B12),"",Rohdaten!B12)</f>
        <v>0</v>
      </c>
    </row>
    <row r="13" spans="1:322">
      <c r="A13" s="11">
        <f>IF(ISBLANK(Rohdaten!A13),"",Rohdaten!A13)</f>
        <v>0</v>
      </c>
      <c r="B13" s="3">
        <f>IF(ISBLANK(Rohdaten!B13),"",Rohdaten!B13)</f>
        <v>0</v>
      </c>
    </row>
    <row r="14" spans="1:322">
      <c r="A14" s="11">
        <f>IF(ISBLANK(Rohdaten!A14),"",Rohdaten!A14)</f>
        <v>0</v>
      </c>
      <c r="B14" s="3">
        <f>IF(ISBLANK(Rohdaten!B14),"",Rohdaten!B14)</f>
        <v>0</v>
      </c>
    </row>
    <row r="15" spans="1:322">
      <c r="A15" s="11">
        <f>IF(ISBLANK(Rohdaten!A15),"",Rohdaten!A15)</f>
        <v>0</v>
      </c>
      <c r="B15" s="3">
        <f>IF(ISBLANK(Rohdaten!B15),"",Rohdaten!B15)</f>
        <v>0</v>
      </c>
    </row>
    <row r="16" spans="1:322">
      <c r="A16" s="11">
        <f>IF(ISBLANK(Rohdaten!A16),"",Rohdaten!A16)</f>
        <v>0</v>
      </c>
      <c r="B16" s="3">
        <f>IF(ISBLANK(Rohdaten!B16),"",Rohdaten!B16)</f>
        <v>0</v>
      </c>
    </row>
    <row r="17" spans="1:2">
      <c r="A17" s="11">
        <f>IF(ISBLANK(Rohdaten!A17),"",Rohdaten!A17)</f>
        <v>0</v>
      </c>
      <c r="B17" s="3">
        <f>IF(ISBLANK(Rohdaten!B17),"",Rohdaten!B17)</f>
        <v>0</v>
      </c>
    </row>
    <row r="18" spans="1:2">
      <c r="A18" s="11">
        <f>IF(ISBLANK(Rohdaten!A18),"",Rohdaten!A18)</f>
        <v>0</v>
      </c>
      <c r="B18" s="3">
        <f>IF(ISBLANK(Rohdaten!B18),"",Rohdaten!B18)</f>
        <v>0</v>
      </c>
    </row>
    <row r="19" spans="1:2">
      <c r="A19" s="11">
        <f>IF(ISBLANK(Rohdaten!A19),"",Rohdaten!A19)</f>
        <v>0</v>
      </c>
      <c r="B19" s="3">
        <f>IF(ISBLANK(Rohdaten!B19),"",Rohdaten!B19)</f>
        <v>0</v>
      </c>
    </row>
    <row r="20" spans="1:2">
      <c r="A20" s="11">
        <f>IF(ISBLANK(Rohdaten!A20),"",Rohdaten!A20)</f>
        <v>0</v>
      </c>
      <c r="B20" s="3">
        <f>IF(ISBLANK(Rohdaten!B20),"",Rohdaten!B20)</f>
        <v>0</v>
      </c>
    </row>
    <row r="21" spans="1:2">
      <c r="A21" s="11">
        <f>IF(ISBLANK(Rohdaten!A21),"",Rohdaten!A21)</f>
        <v>0</v>
      </c>
      <c r="B21" s="3">
        <f>IF(ISBLANK(Rohdaten!B21),"",Rohdaten!B21)</f>
        <v>0</v>
      </c>
    </row>
    <row r="22" spans="1:2">
      <c r="A22" s="11">
        <f>IF(ISBLANK(Rohdaten!A22),"",Rohdaten!A22)</f>
        <v>0</v>
      </c>
      <c r="B22" s="3">
        <f>IF(ISBLANK(Rohdaten!B22),"",Rohdaten!B22)</f>
        <v>0</v>
      </c>
    </row>
    <row r="23" spans="1:2">
      <c r="A23" s="11">
        <f>IF(ISBLANK(Rohdaten!A23),"",Rohdaten!A23)</f>
        <v>0</v>
      </c>
      <c r="B23" s="3">
        <f>IF(ISBLANK(Rohdaten!B23),"",Rohdaten!B23)</f>
        <v>0</v>
      </c>
    </row>
    <row r="24" spans="1:2">
      <c r="A24" s="11">
        <f>IF(ISBLANK(Rohdaten!A24),"",Rohdaten!A24)</f>
        <v>0</v>
      </c>
      <c r="B24" s="3">
        <f>IF(ISBLANK(Rohdaten!B24),"",Rohdaten!B24)</f>
        <v>0</v>
      </c>
    </row>
    <row r="25" spans="1:2">
      <c r="A25" s="11">
        <f>IF(ISBLANK(Rohdaten!A25),"",Rohdaten!A25)</f>
        <v>0</v>
      </c>
      <c r="B25" s="3">
        <f>IF(ISBLANK(Rohdaten!B25),"",Rohdaten!B25)</f>
        <v>0</v>
      </c>
    </row>
    <row r="26" spans="1:2">
      <c r="A26" s="11">
        <f>IF(ISBLANK(Rohdaten!A26),"",Rohdaten!A26)</f>
        <v>0</v>
      </c>
      <c r="B26" s="3">
        <f>IF(ISBLANK(Rohdaten!B26),"",Rohdaten!B26)</f>
        <v>0</v>
      </c>
    </row>
    <row r="27" spans="1:2">
      <c r="A27" s="11">
        <f>IF(ISBLANK(Rohdaten!A27),"",Rohdaten!A27)</f>
        <v>0</v>
      </c>
      <c r="B27" s="3">
        <f>IF(ISBLANK(Rohdaten!B27),"",Rohdaten!B27)</f>
        <v>0</v>
      </c>
    </row>
    <row r="28" spans="1:2">
      <c r="A28" s="11">
        <f>IF(ISBLANK(Rohdaten!A28),"",Rohdaten!A28)</f>
        <v>0</v>
      </c>
      <c r="B28" s="3">
        <f>IF(ISBLANK(Rohdaten!B28),"",Rohdaten!B28)</f>
        <v>0</v>
      </c>
    </row>
    <row r="29" spans="1:2">
      <c r="A29" s="11">
        <f>IF(ISBLANK(Rohdaten!A29),"",Rohdaten!A29)</f>
        <v>0</v>
      </c>
      <c r="B29" s="3">
        <f>IF(ISBLANK(Rohdaten!B29),"",Rohdaten!B29)</f>
        <v>0</v>
      </c>
    </row>
    <row r="30" spans="1:2">
      <c r="A30" s="11">
        <f>IF(ISBLANK(Rohdaten!A30),"",Rohdaten!A30)</f>
        <v>0</v>
      </c>
      <c r="B30" s="3">
        <f>IF(ISBLANK(Rohdaten!B30),"",Rohdaten!B30)</f>
        <v>0</v>
      </c>
    </row>
    <row r="31" spans="1:2">
      <c r="A31" s="11">
        <f>IF(ISBLANK(Rohdaten!A31),"",Rohdaten!A31)</f>
        <v>0</v>
      </c>
      <c r="B31" s="3">
        <f>IF(ISBLANK(Rohdaten!B31),"",Rohdaten!B31)</f>
        <v>0</v>
      </c>
    </row>
    <row r="32" spans="1:2">
      <c r="A32" s="11">
        <f>IF(ISBLANK(Rohdaten!A32),"",Rohdaten!A32)</f>
        <v>0</v>
      </c>
      <c r="B32" s="3">
        <f>IF(ISBLANK(Rohdaten!B32),"",Rohdaten!B32)</f>
        <v>0</v>
      </c>
    </row>
    <row r="33" spans="1:2">
      <c r="A33" s="11">
        <f>IF(ISBLANK(Rohdaten!A33),"",Rohdaten!A33)</f>
        <v>0</v>
      </c>
      <c r="B33" s="3">
        <f>IF(ISBLANK(Rohdaten!B33),"",Rohdaten!B33)</f>
        <v>0</v>
      </c>
    </row>
    <row r="34" spans="1:2">
      <c r="A34" s="11">
        <f>IF(ISBLANK(Rohdaten!A34),"",Rohdaten!A34)</f>
        <v>0</v>
      </c>
      <c r="B34" s="3">
        <f>IF(ISBLANK(Rohdaten!B34),"",Rohdaten!B34)</f>
        <v>0</v>
      </c>
    </row>
    <row r="35" spans="1:2">
      <c r="A35" s="11">
        <f>IF(ISBLANK(Rohdaten!A35),"",Rohdaten!A35)</f>
        <v>0</v>
      </c>
      <c r="B35" s="3">
        <f>IF(ISBLANK(Rohdaten!B35),"",Rohdaten!B35)</f>
        <v>0</v>
      </c>
    </row>
    <row r="36" spans="1:2">
      <c r="A36" s="11">
        <f>IF(ISBLANK(Rohdaten!A36),"",Rohdaten!A36)</f>
        <v>0</v>
      </c>
      <c r="B36" s="3">
        <f>IF(ISBLANK(Rohdaten!B36),"",Rohdaten!B36)</f>
        <v>0</v>
      </c>
    </row>
    <row r="37" spans="1:2">
      <c r="A37" s="11">
        <f>IF(ISBLANK(Rohdaten!A37),"",Rohdaten!A37)</f>
        <v>0</v>
      </c>
      <c r="B37" s="3">
        <f>IF(ISBLANK(Rohdaten!B37),"",Rohdaten!B37)</f>
        <v>0</v>
      </c>
    </row>
    <row r="38" spans="1:2">
      <c r="A38" s="11">
        <f>IF(ISBLANK(Rohdaten!A38),"",Rohdaten!A38)</f>
        <v>0</v>
      </c>
      <c r="B38" s="3">
        <f>IF(ISBLANK(Rohdaten!B38),"",Rohdaten!B38)</f>
        <v>0</v>
      </c>
    </row>
    <row r="39" spans="1:2">
      <c r="A39" s="11">
        <f>IF(ISBLANK(Rohdaten!A39),"",Rohdaten!A39)</f>
        <v>0</v>
      </c>
      <c r="B39" s="3">
        <f>IF(ISBLANK(Rohdaten!B39),"",Rohdaten!B39)</f>
        <v>0</v>
      </c>
    </row>
    <row r="40" spans="1:2">
      <c r="A40" s="11">
        <f>IF(ISBLANK(Rohdaten!A40),"",Rohdaten!A40)</f>
        <v>0</v>
      </c>
      <c r="B40" s="3">
        <f>IF(ISBLANK(Rohdaten!B40),"",Rohdaten!B40)</f>
        <v>0</v>
      </c>
    </row>
    <row r="41" spans="1:2">
      <c r="A41" s="11">
        <f>IF(ISBLANK(Rohdaten!A41),"",Rohdaten!A41)</f>
        <v>0</v>
      </c>
      <c r="B41" s="3">
        <f>IF(ISBLANK(Rohdaten!B41),"",Rohdaten!B41)</f>
        <v>0</v>
      </c>
    </row>
    <row r="42" spans="1:2">
      <c r="A42" s="11">
        <f>IF(ISBLANK(Rohdaten!A42),"",Rohdaten!A42)</f>
        <v>0</v>
      </c>
      <c r="B42" s="3">
        <f>IF(ISBLANK(Rohdaten!B42),"",Rohdaten!B42)</f>
        <v>0</v>
      </c>
    </row>
    <row r="43" spans="1:2">
      <c r="A43" s="11">
        <f>IF(ISBLANK(Rohdaten!A43),"",Rohdaten!A43)</f>
        <v>0</v>
      </c>
      <c r="B43" s="3">
        <f>IF(ISBLANK(Rohdaten!B43),"",Rohdaten!B43)</f>
        <v>0</v>
      </c>
    </row>
    <row r="44" spans="1:2">
      <c r="A44" s="11">
        <f>IF(ISBLANK(Rohdaten!A44),"",Rohdaten!A44)</f>
        <v>0</v>
      </c>
      <c r="B44" s="3">
        <f>IF(ISBLANK(Rohdaten!B44),"",Rohdaten!B44)</f>
        <v>0</v>
      </c>
    </row>
    <row r="45" spans="1:2">
      <c r="A45" s="11">
        <f>IF(ISBLANK(Rohdaten!A45),"",Rohdaten!A45)</f>
        <v>0</v>
      </c>
      <c r="B45" s="3">
        <f>IF(ISBLANK(Rohdaten!B45),"",Rohdaten!B45)</f>
        <v>0</v>
      </c>
    </row>
    <row r="46" spans="1:2">
      <c r="A46" s="11">
        <f>IF(ISBLANK(Rohdaten!A46),"",Rohdaten!A46)</f>
        <v>0</v>
      </c>
      <c r="B46" s="3">
        <f>IF(ISBLANK(Rohdaten!B46),"",Rohdaten!B46)</f>
        <v>0</v>
      </c>
    </row>
    <row r="47" spans="1:2">
      <c r="A47" s="11">
        <f>IF(ISBLANK(Rohdaten!A47),"",Rohdaten!A47)</f>
        <v>0</v>
      </c>
      <c r="B47" s="3">
        <f>IF(ISBLANK(Rohdaten!B47),"",Rohdaten!B47)</f>
        <v>0</v>
      </c>
    </row>
    <row r="48" spans="1:2">
      <c r="A48" s="11">
        <f>IF(ISBLANK(Rohdaten!A48),"",Rohdaten!A48)</f>
        <v>0</v>
      </c>
      <c r="B48" s="3">
        <f>IF(ISBLANK(Rohdaten!B48),"",Rohdaten!B48)</f>
        <v>0</v>
      </c>
    </row>
    <row r="49" spans="1:2">
      <c r="A49" s="11">
        <f>IF(ISBLANK(Rohdaten!A49),"",Rohdaten!A49)</f>
        <v>0</v>
      </c>
      <c r="B49" s="3">
        <f>IF(ISBLANK(Rohdaten!B49),"",Rohdaten!B49)</f>
        <v>0</v>
      </c>
    </row>
    <row r="50" spans="1:2">
      <c r="A50" s="11">
        <f>IF(ISBLANK(Rohdaten!A50),"",Rohdaten!A50)</f>
        <v>0</v>
      </c>
      <c r="B50" s="3">
        <f>IF(ISBLANK(Rohdaten!B50),"",Rohdaten!B50)</f>
        <v>0</v>
      </c>
    </row>
    <row r="51" spans="1:2">
      <c r="A51" s="11">
        <f>IF(ISBLANK(Rohdaten!A51),"",Rohdaten!A51)</f>
        <v>0</v>
      </c>
      <c r="B51" s="3">
        <f>IF(ISBLANK(Rohdaten!B51),"",Rohdaten!B51)</f>
        <v>0</v>
      </c>
    </row>
    <row r="52" spans="1:2">
      <c r="A52" s="11">
        <f>IF(ISBLANK(Rohdaten!A52),"",Rohdaten!A52)</f>
        <v>0</v>
      </c>
      <c r="B52" s="3">
        <f>IF(ISBLANK(Rohdaten!B52),"",Rohdaten!B52)</f>
        <v>0</v>
      </c>
    </row>
    <row r="53" spans="1:2">
      <c r="A53" s="11">
        <f>IF(ISBLANK(Rohdaten!A53),"",Rohdaten!A53)</f>
        <v>0</v>
      </c>
      <c r="B53" s="3">
        <f>IF(ISBLANK(Rohdaten!B53),"",Rohdaten!B53)</f>
        <v>0</v>
      </c>
    </row>
    <row r="54" spans="1:2">
      <c r="A54" s="11">
        <f>IF(ISBLANK(Rohdaten!A54),"",Rohdaten!A54)</f>
        <v>0</v>
      </c>
      <c r="B54" s="3">
        <f>IF(ISBLANK(Rohdaten!B54),"",Rohdaten!B54)</f>
        <v>0</v>
      </c>
    </row>
    <row r="55" spans="1:2">
      <c r="A55" s="11">
        <f>IF(ISBLANK(Rohdaten!A55),"",Rohdaten!A55)</f>
        <v>0</v>
      </c>
      <c r="B55" s="3">
        <f>IF(ISBLANK(Rohdaten!B55),"",Rohdaten!B55)</f>
        <v>0</v>
      </c>
    </row>
    <row r="56" spans="1:2">
      <c r="A56" s="11">
        <f>IF(ISBLANK(Rohdaten!A56),"",Rohdaten!A56)</f>
        <v>0</v>
      </c>
      <c r="B56" s="3">
        <f>IF(ISBLANK(Rohdaten!B56),"",Rohdaten!B56)</f>
        <v>0</v>
      </c>
    </row>
    <row r="57" spans="1:2">
      <c r="A57" s="11">
        <f>IF(ISBLANK(Rohdaten!A57),"",Rohdaten!A57)</f>
        <v>0</v>
      </c>
      <c r="B57" s="3">
        <f>IF(ISBLANK(Rohdaten!B57),"",Rohdaten!B57)</f>
        <v>0</v>
      </c>
    </row>
    <row r="58" spans="1:2">
      <c r="A58" s="11">
        <f>IF(ISBLANK(Rohdaten!A58),"",Rohdaten!A58)</f>
        <v>0</v>
      </c>
      <c r="B58" s="3">
        <f>IF(ISBLANK(Rohdaten!B58),"",Rohdaten!B58)</f>
        <v>0</v>
      </c>
    </row>
    <row r="59" spans="1:2">
      <c r="A59" s="11">
        <f>IF(ISBLANK(Rohdaten!A59),"",Rohdaten!A59)</f>
        <v>0</v>
      </c>
      <c r="B59" s="3">
        <f>IF(ISBLANK(Rohdaten!B59),"",Rohdaten!B59)</f>
        <v>0</v>
      </c>
    </row>
    <row r="60" spans="1:2">
      <c r="A60" s="11">
        <f>IF(ISBLANK(Rohdaten!A60),"",Rohdaten!A60)</f>
        <v>0</v>
      </c>
      <c r="B60" s="3">
        <f>IF(ISBLANK(Rohdaten!B60),"",Rohdaten!B60)</f>
        <v>0</v>
      </c>
    </row>
    <row r="61" spans="1:2">
      <c r="A61" s="11">
        <f>IF(ISBLANK(Rohdaten!A61),"",Rohdaten!A61)</f>
        <v>0</v>
      </c>
      <c r="B61" s="3">
        <f>IF(ISBLANK(Rohdaten!B61),"",Rohdaten!B61)</f>
        <v>0</v>
      </c>
    </row>
    <row r="62" spans="1:2">
      <c r="A62" s="11">
        <f>IF(ISBLANK(Rohdaten!A62),"",Rohdaten!A62)</f>
        <v>0</v>
      </c>
      <c r="B62" s="3">
        <f>IF(ISBLANK(Rohdaten!B62),"",Rohdaten!B62)</f>
        <v>0</v>
      </c>
    </row>
    <row r="63" spans="1:2">
      <c r="A63" s="11">
        <f>IF(ISBLANK(Rohdaten!A63),"",Rohdaten!A63)</f>
        <v>0</v>
      </c>
      <c r="B63" s="3">
        <f>IF(ISBLANK(Rohdaten!B63),"",Rohdaten!B63)</f>
        <v>0</v>
      </c>
    </row>
    <row r="64" spans="1:2">
      <c r="A64" s="11">
        <f>IF(ISBLANK(Rohdaten!A64),"",Rohdaten!A64)</f>
        <v>0</v>
      </c>
      <c r="B64" s="3">
        <f>IF(ISBLANK(Rohdaten!B64),"",Rohdaten!B64)</f>
        <v>0</v>
      </c>
    </row>
    <row r="65" spans="1:2">
      <c r="A65" s="11">
        <f>IF(ISBLANK(Rohdaten!A65),"",Rohdaten!A65)</f>
        <v>0</v>
      </c>
      <c r="B65" s="3">
        <f>IF(ISBLANK(Rohdaten!B65),"",Rohdaten!B65)</f>
        <v>0</v>
      </c>
    </row>
    <row r="66" spans="1:2">
      <c r="A66" s="11">
        <f>IF(ISBLANK(Rohdaten!A66),"",Rohdaten!A66)</f>
        <v>0</v>
      </c>
      <c r="B66" s="3">
        <f>IF(ISBLANK(Rohdaten!B66),"",Rohdaten!B66)</f>
        <v>0</v>
      </c>
    </row>
    <row r="67" spans="1:2">
      <c r="A67" s="11">
        <f>IF(ISBLANK(Rohdaten!A67),"",Rohdaten!A67)</f>
        <v>0</v>
      </c>
      <c r="B67" s="3">
        <f>IF(ISBLANK(Rohdaten!B67),"",Rohdaten!B67)</f>
        <v>0</v>
      </c>
    </row>
    <row r="68" spans="1:2">
      <c r="A68" s="11">
        <f>IF(ISBLANK(Rohdaten!A68),"",Rohdaten!A68)</f>
        <v>0</v>
      </c>
      <c r="B68" s="3">
        <f>IF(ISBLANK(Rohdaten!B68),"",Rohdaten!B68)</f>
        <v>0</v>
      </c>
    </row>
    <row r="69" spans="1:2">
      <c r="A69" s="11">
        <f>IF(ISBLANK(Rohdaten!A69),"",Rohdaten!A69)</f>
        <v>0</v>
      </c>
      <c r="B69" s="3">
        <f>IF(ISBLANK(Rohdaten!B69),"",Rohdaten!B69)</f>
        <v>0</v>
      </c>
    </row>
    <row r="70" spans="1:2">
      <c r="A70" s="11">
        <f>IF(ISBLANK(Rohdaten!A70),"",Rohdaten!A70)</f>
        <v>0</v>
      </c>
      <c r="B70" s="3">
        <f>IF(ISBLANK(Rohdaten!B70),"",Rohdaten!B70)</f>
        <v>0</v>
      </c>
    </row>
    <row r="71" spans="1:2">
      <c r="A71" s="11">
        <f>IF(ISBLANK(Rohdaten!A71),"",Rohdaten!A71)</f>
        <v>0</v>
      </c>
      <c r="B71" s="3">
        <f>IF(ISBLANK(Rohdaten!B71),"",Rohdaten!B71)</f>
        <v>0</v>
      </c>
    </row>
    <row r="72" spans="1:2">
      <c r="A72" s="11">
        <f>IF(ISBLANK(Rohdaten!A72),"",Rohdaten!A72)</f>
        <v>0</v>
      </c>
      <c r="B72" s="3">
        <f>IF(ISBLANK(Rohdaten!B72),"",Rohdaten!B72)</f>
        <v>0</v>
      </c>
    </row>
    <row r="73" spans="1:2">
      <c r="A73" s="11">
        <f>IF(ISBLANK(Rohdaten!A73),"",Rohdaten!A73)</f>
        <v>0</v>
      </c>
      <c r="B73" s="3">
        <f>IF(ISBLANK(Rohdaten!B73),"",Rohdaten!B73)</f>
        <v>0</v>
      </c>
    </row>
    <row r="74" spans="1:2">
      <c r="A74" s="11">
        <f>IF(ISBLANK(Rohdaten!A74),"",Rohdaten!A74)</f>
        <v>0</v>
      </c>
      <c r="B74" s="3">
        <f>IF(ISBLANK(Rohdaten!B74),"",Rohdaten!B74)</f>
        <v>0</v>
      </c>
    </row>
    <row r="75" spans="1:2">
      <c r="A75" s="11">
        <f>IF(ISBLANK(Rohdaten!A75),"",Rohdaten!A75)</f>
        <v>0</v>
      </c>
      <c r="B75" s="3">
        <f>IF(ISBLANK(Rohdaten!B75),"",Rohdaten!B75)</f>
        <v>0</v>
      </c>
    </row>
    <row r="76" spans="1:2">
      <c r="A76" s="11">
        <f>IF(ISBLANK(Rohdaten!A76),"",Rohdaten!A76)</f>
        <v>0</v>
      </c>
      <c r="B76" s="3">
        <f>IF(ISBLANK(Rohdaten!B76),"",Rohdaten!B76)</f>
        <v>0</v>
      </c>
    </row>
    <row r="77" spans="1:2">
      <c r="A77" s="11">
        <f>IF(ISBLANK(Rohdaten!A77),"",Rohdaten!A77)</f>
        <v>0</v>
      </c>
      <c r="B77" s="3">
        <f>IF(ISBLANK(Rohdaten!B77),"",Rohdaten!B77)</f>
        <v>0</v>
      </c>
    </row>
    <row r="78" spans="1:2">
      <c r="A78" s="11">
        <f>IF(ISBLANK(Rohdaten!A78),"",Rohdaten!A78)</f>
        <v>0</v>
      </c>
      <c r="B78" s="3">
        <f>IF(ISBLANK(Rohdaten!B78),"",Rohdaten!B78)</f>
        <v>0</v>
      </c>
    </row>
    <row r="79" spans="1:2">
      <c r="A79" s="11">
        <f>IF(ISBLANK(Rohdaten!A79),"",Rohdaten!A79)</f>
        <v>0</v>
      </c>
      <c r="B79" s="3">
        <f>IF(ISBLANK(Rohdaten!B79),"",Rohdaten!B79)</f>
        <v>0</v>
      </c>
    </row>
    <row r="80" spans="1:2">
      <c r="A80" s="11">
        <f>IF(ISBLANK(Rohdaten!A80),"",Rohdaten!A80)</f>
        <v>0</v>
      </c>
      <c r="B80" s="3">
        <f>IF(ISBLANK(Rohdaten!B80),"",Rohdaten!B80)</f>
        <v>0</v>
      </c>
    </row>
    <row r="81" spans="1:2">
      <c r="A81" s="11">
        <f>IF(ISBLANK(Rohdaten!A81),"",Rohdaten!A81)</f>
        <v>0</v>
      </c>
      <c r="B81" s="3">
        <f>IF(ISBLANK(Rohdaten!B81),"",Rohdaten!B81)</f>
        <v>0</v>
      </c>
    </row>
    <row r="82" spans="1:2">
      <c r="A82" s="11">
        <f>IF(ISBLANK(Rohdaten!A82),"",Rohdaten!A82)</f>
        <v>0</v>
      </c>
      <c r="B82" s="3">
        <f>IF(ISBLANK(Rohdaten!B82),"",Rohdaten!B82)</f>
        <v>0</v>
      </c>
    </row>
    <row r="83" spans="1:2">
      <c r="A83" s="11">
        <f>IF(ISBLANK(Rohdaten!A83),"",Rohdaten!A83)</f>
        <v>0</v>
      </c>
      <c r="B83" s="3">
        <f>IF(ISBLANK(Rohdaten!B83),"",Rohdaten!B83)</f>
        <v>0</v>
      </c>
    </row>
    <row r="84" spans="1:2">
      <c r="A84" s="11">
        <f>IF(ISBLANK(Rohdaten!A84),"",Rohdaten!A84)</f>
        <v>0</v>
      </c>
      <c r="B84" s="3">
        <f>IF(ISBLANK(Rohdaten!B84),"",Rohdaten!B84)</f>
        <v>0</v>
      </c>
    </row>
    <row r="85" spans="1:2">
      <c r="A85" s="11">
        <f>IF(ISBLANK(Rohdaten!A85),"",Rohdaten!A85)</f>
        <v>0</v>
      </c>
      <c r="B85" s="3">
        <f>IF(ISBLANK(Rohdaten!B85),"",Rohdaten!B85)</f>
        <v>0</v>
      </c>
    </row>
    <row r="86" spans="1:2">
      <c r="A86" s="11">
        <f>IF(ISBLANK(Rohdaten!A86),"",Rohdaten!A86)</f>
        <v>0</v>
      </c>
      <c r="B86" s="3">
        <f>IF(ISBLANK(Rohdaten!B86),"",Rohdaten!B86)</f>
        <v>0</v>
      </c>
    </row>
    <row r="87" spans="1:2">
      <c r="A87" s="11">
        <f>IF(ISBLANK(Rohdaten!A87),"",Rohdaten!A87)</f>
        <v>0</v>
      </c>
      <c r="B87" s="3">
        <f>IF(ISBLANK(Rohdaten!B87),"",Rohdaten!B87)</f>
        <v>0</v>
      </c>
    </row>
    <row r="88" spans="1:2">
      <c r="A88" s="11">
        <f>IF(ISBLANK(Rohdaten!A88),"",Rohdaten!A88)</f>
        <v>0</v>
      </c>
      <c r="B88" s="3">
        <f>IF(ISBLANK(Rohdaten!B88),"",Rohdaten!B88)</f>
        <v>0</v>
      </c>
    </row>
    <row r="89" spans="1:2">
      <c r="A89" s="11">
        <f>IF(ISBLANK(Rohdaten!A89),"",Rohdaten!A89)</f>
        <v>0</v>
      </c>
      <c r="B89" s="3">
        <f>IF(ISBLANK(Rohdaten!B89),"",Rohdaten!B89)</f>
        <v>0</v>
      </c>
    </row>
    <row r="90" spans="1:2">
      <c r="A90" s="11">
        <f>IF(ISBLANK(Rohdaten!A90),"",Rohdaten!A90)</f>
        <v>0</v>
      </c>
      <c r="B90" s="3">
        <f>IF(ISBLANK(Rohdaten!B90),"",Rohdaten!B90)</f>
        <v>0</v>
      </c>
    </row>
    <row r="91" spans="1:2">
      <c r="A91" s="11">
        <f>IF(ISBLANK(Rohdaten!A91),"",Rohdaten!A91)</f>
        <v>0</v>
      </c>
      <c r="B91" s="3">
        <f>IF(ISBLANK(Rohdaten!B91),"",Rohdaten!B91)</f>
        <v>0</v>
      </c>
    </row>
    <row r="92" spans="1:2">
      <c r="A92" s="11">
        <f>IF(ISBLANK(Rohdaten!A92),"",Rohdaten!A92)</f>
        <v>0</v>
      </c>
      <c r="B92" s="3">
        <f>IF(ISBLANK(Rohdaten!B92),"",Rohdaten!B92)</f>
        <v>0</v>
      </c>
    </row>
    <row r="93" spans="1:2">
      <c r="A93" s="11">
        <f>IF(ISBLANK(Rohdaten!A93),"",Rohdaten!A93)</f>
        <v>0</v>
      </c>
      <c r="B93" s="3">
        <f>IF(ISBLANK(Rohdaten!B93),"",Rohdaten!B93)</f>
        <v>0</v>
      </c>
    </row>
    <row r="94" spans="1:2">
      <c r="A94" s="11">
        <f>IF(ISBLANK(Rohdaten!A94),"",Rohdaten!A94)</f>
        <v>0</v>
      </c>
      <c r="B94" s="3">
        <f>IF(ISBLANK(Rohdaten!B94),"",Rohdaten!B94)</f>
        <v>0</v>
      </c>
    </row>
    <row r="95" spans="1:2">
      <c r="A95" s="11">
        <f>IF(ISBLANK(Rohdaten!A95),"",Rohdaten!A95)</f>
        <v>0</v>
      </c>
      <c r="B95" s="3">
        <f>IF(ISBLANK(Rohdaten!B95),"",Rohdaten!B95)</f>
        <v>0</v>
      </c>
    </row>
    <row r="96" spans="1:2">
      <c r="A96" s="11">
        <f>IF(ISBLANK(Rohdaten!A96),"",Rohdaten!A96)</f>
        <v>0</v>
      </c>
      <c r="B96" s="3">
        <f>IF(ISBLANK(Rohdaten!B96),"",Rohdaten!B96)</f>
        <v>0</v>
      </c>
    </row>
    <row r="97" spans="1:2">
      <c r="A97" s="11">
        <f>IF(ISBLANK(Rohdaten!A97),"",Rohdaten!A97)</f>
        <v>0</v>
      </c>
      <c r="B97" s="3">
        <f>IF(ISBLANK(Rohdaten!B97),"",Rohdaten!B97)</f>
        <v>0</v>
      </c>
    </row>
    <row r="98" spans="1:2">
      <c r="A98" s="11">
        <f>IF(ISBLANK(Rohdaten!A98),"",Rohdaten!A98)</f>
        <v>0</v>
      </c>
      <c r="B98" s="3">
        <f>IF(ISBLANK(Rohdaten!B98),"",Rohdaten!B98)</f>
        <v>0</v>
      </c>
    </row>
    <row r="99" spans="1:2">
      <c r="A99" s="11">
        <f>IF(ISBLANK(Rohdaten!A99),"",Rohdaten!A99)</f>
        <v>0</v>
      </c>
      <c r="B99" s="3">
        <f>IF(ISBLANK(Rohdaten!B99),"",Rohdaten!B99)</f>
        <v>0</v>
      </c>
    </row>
    <row r="100" spans="1:2">
      <c r="A100" s="11">
        <f>IF(ISBLANK(Rohdaten!A100),"",Rohdaten!A100)</f>
        <v>0</v>
      </c>
      <c r="B100" s="3">
        <f>IF(ISBLANK(Rohdaten!B100),"",Rohdaten!B100)</f>
        <v>0</v>
      </c>
    </row>
    <row r="101" spans="1:2">
      <c r="A101" s="11">
        <f>IF(ISBLANK(Rohdaten!A101),"",Rohdaten!A101)</f>
        <v>0</v>
      </c>
      <c r="B101" s="3">
        <f>IF(ISBLANK(Rohdaten!B101),"",Rohdaten!B101)</f>
        <v>0</v>
      </c>
    </row>
    <row r="102" spans="1:2">
      <c r="A102" s="11">
        <f>IF(ISBLANK(Rohdaten!A102),"",Rohdaten!A102)</f>
        <v>0</v>
      </c>
      <c r="B102" s="3">
        <f>IF(ISBLANK(Rohdaten!B102),"",Rohdaten!B102)</f>
        <v>0</v>
      </c>
    </row>
    <row r="103" spans="1:2">
      <c r="A103" s="11">
        <f>IF(ISBLANK(Rohdaten!A103),"",Rohdaten!A103)</f>
        <v>0</v>
      </c>
      <c r="B103" s="3">
        <f>IF(ISBLANK(Rohdaten!B103),"",Rohdaten!B103)</f>
        <v>0</v>
      </c>
    </row>
    <row r="104" spans="1:2">
      <c r="A104" s="11">
        <f>IF(ISBLANK(Rohdaten!A104),"",Rohdaten!A104)</f>
        <v>0</v>
      </c>
      <c r="B104" s="3">
        <f>IF(ISBLANK(Rohdaten!B104),"",Rohdaten!B104)</f>
        <v>0</v>
      </c>
    </row>
    <row r="105" spans="1:2">
      <c r="A105" s="11">
        <f>IF(ISBLANK(Rohdaten!A105),"",Rohdaten!A105)</f>
        <v>0</v>
      </c>
      <c r="B105" s="3">
        <f>IF(ISBLANK(Rohdaten!B105),"",Rohdaten!B105)</f>
        <v>0</v>
      </c>
    </row>
    <row r="106" spans="1:2">
      <c r="A106" s="11">
        <f>IF(ISBLANK(Rohdaten!A106),"",Rohdaten!A106)</f>
        <v>0</v>
      </c>
      <c r="B106" s="3">
        <f>IF(ISBLANK(Rohdaten!B106),"",Rohdaten!B106)</f>
        <v>0</v>
      </c>
    </row>
    <row r="107" spans="1:2">
      <c r="A107" s="11">
        <f>IF(ISBLANK(Rohdaten!A107),"",Rohdaten!A107)</f>
        <v>0</v>
      </c>
      <c r="B107" s="3">
        <f>IF(ISBLANK(Rohdaten!B107),"",Rohdaten!B107)</f>
        <v>0</v>
      </c>
    </row>
    <row r="108" spans="1:2">
      <c r="A108" s="11">
        <f>IF(ISBLANK(Rohdaten!A108),"",Rohdaten!A108)</f>
        <v>0</v>
      </c>
      <c r="B108" s="3">
        <f>IF(ISBLANK(Rohdaten!B108),"",Rohdaten!B108)</f>
        <v>0</v>
      </c>
    </row>
    <row r="109" spans="1:2">
      <c r="A109" s="11">
        <f>IF(ISBLANK(Rohdaten!A109),"",Rohdaten!A109)</f>
        <v>0</v>
      </c>
      <c r="B109" s="3">
        <f>IF(ISBLANK(Rohdaten!B109),"",Rohdaten!B109)</f>
        <v>0</v>
      </c>
    </row>
    <row r="110" spans="1:2">
      <c r="A110" s="11">
        <f>IF(ISBLANK(Rohdaten!A110),"",Rohdaten!A110)</f>
        <v>0</v>
      </c>
      <c r="B110" s="3">
        <f>IF(ISBLANK(Rohdaten!B110),"",Rohdaten!B110)</f>
        <v>0</v>
      </c>
    </row>
    <row r="111" spans="1:2">
      <c r="A111" s="11">
        <f>IF(ISBLANK(Rohdaten!A111),"",Rohdaten!A111)</f>
        <v>0</v>
      </c>
      <c r="B111" s="3">
        <f>IF(ISBLANK(Rohdaten!B111),"",Rohdaten!B111)</f>
        <v>0</v>
      </c>
    </row>
    <row r="112" spans="1:2">
      <c r="A112" s="11">
        <f>IF(ISBLANK(Rohdaten!A112),"",Rohdaten!A112)</f>
        <v>0</v>
      </c>
      <c r="B112" s="3">
        <f>IF(ISBLANK(Rohdaten!B112),"",Rohdaten!B112)</f>
        <v>0</v>
      </c>
    </row>
    <row r="113" spans="1:2">
      <c r="A113" s="11">
        <f>IF(ISBLANK(Rohdaten!A113),"",Rohdaten!A113)</f>
        <v>0</v>
      </c>
      <c r="B113" s="3">
        <f>IF(ISBLANK(Rohdaten!B113),"",Rohdaten!B113)</f>
        <v>0</v>
      </c>
    </row>
    <row r="114" spans="1:2">
      <c r="A114" s="11">
        <f>IF(ISBLANK(Rohdaten!A114),"",Rohdaten!A114)</f>
        <v>0</v>
      </c>
      <c r="B114" s="3">
        <f>IF(ISBLANK(Rohdaten!B114),"",Rohdaten!B114)</f>
        <v>0</v>
      </c>
    </row>
    <row r="115" spans="1:2">
      <c r="A115" s="11">
        <f>IF(ISBLANK(Rohdaten!A115),"",Rohdaten!A115)</f>
        <v>0</v>
      </c>
      <c r="B115" s="3">
        <f>IF(ISBLANK(Rohdaten!B115),"",Rohdaten!B115)</f>
        <v>0</v>
      </c>
    </row>
    <row r="116" spans="1:2">
      <c r="A116" s="11">
        <f>IF(ISBLANK(Rohdaten!A116),"",Rohdaten!A116)</f>
        <v>0</v>
      </c>
      <c r="B116" s="3">
        <f>IF(ISBLANK(Rohdaten!B116),"",Rohdaten!B116)</f>
        <v>0</v>
      </c>
    </row>
    <row r="117" spans="1:2">
      <c r="A117" s="11">
        <f>IF(ISBLANK(Rohdaten!A117),"",Rohdaten!A117)</f>
        <v>0</v>
      </c>
      <c r="B117" s="3">
        <f>IF(ISBLANK(Rohdaten!B117),"",Rohdaten!B117)</f>
        <v>0</v>
      </c>
    </row>
    <row r="118" spans="1:2">
      <c r="A118" s="11">
        <f>IF(ISBLANK(Rohdaten!A118),"",Rohdaten!A118)</f>
        <v>0</v>
      </c>
      <c r="B118" s="3">
        <f>IF(ISBLANK(Rohdaten!B118),"",Rohdaten!B118)</f>
        <v>0</v>
      </c>
    </row>
    <row r="119" spans="1:2">
      <c r="A119" s="11">
        <f>IF(ISBLANK(Rohdaten!A119),"",Rohdaten!A119)</f>
        <v>0</v>
      </c>
      <c r="B119" s="3">
        <f>IF(ISBLANK(Rohdaten!B119),"",Rohdaten!B119)</f>
        <v>0</v>
      </c>
    </row>
    <row r="120" spans="1:2">
      <c r="A120" s="11">
        <f>IF(ISBLANK(Rohdaten!A120),"",Rohdaten!A120)</f>
        <v>0</v>
      </c>
      <c r="B120" s="3">
        <f>IF(ISBLANK(Rohdaten!B120),"",Rohdaten!B120)</f>
        <v>0</v>
      </c>
    </row>
    <row r="121" spans="1:2">
      <c r="A121" s="11">
        <f>IF(ISBLANK(Rohdaten!A121),"",Rohdaten!A121)</f>
        <v>0</v>
      </c>
      <c r="B121" s="3">
        <f>IF(ISBLANK(Rohdaten!B121),"",Rohdaten!B121)</f>
        <v>0</v>
      </c>
    </row>
    <row r="122" spans="1:2">
      <c r="A122" s="11">
        <f>IF(ISBLANK(Rohdaten!A122),"",Rohdaten!A122)</f>
        <v>0</v>
      </c>
      <c r="B122" s="3">
        <f>IF(ISBLANK(Rohdaten!B122),"",Rohdaten!B122)</f>
        <v>0</v>
      </c>
    </row>
    <row r="123" spans="1:2">
      <c r="A123" s="11">
        <f>IF(ISBLANK(Rohdaten!A123),"",Rohdaten!A123)</f>
        <v>0</v>
      </c>
      <c r="B123" s="3">
        <f>IF(ISBLANK(Rohdaten!B123),"",Rohdaten!B123)</f>
        <v>0</v>
      </c>
    </row>
    <row r="124" spans="1:2">
      <c r="A124" s="11">
        <f>IF(ISBLANK(Rohdaten!A124),"",Rohdaten!A124)</f>
        <v>0</v>
      </c>
      <c r="B124" s="3">
        <f>IF(ISBLANK(Rohdaten!B124),"",Rohdaten!B124)</f>
        <v>0</v>
      </c>
    </row>
    <row r="125" spans="1:2">
      <c r="A125" s="11">
        <f>IF(ISBLANK(Rohdaten!A125),"",Rohdaten!A125)</f>
        <v>0</v>
      </c>
      <c r="B125" s="3">
        <f>IF(ISBLANK(Rohdaten!B125),"",Rohdaten!B125)</f>
        <v>0</v>
      </c>
    </row>
    <row r="126" spans="1:2">
      <c r="A126" s="11">
        <f>IF(ISBLANK(Rohdaten!A126),"",Rohdaten!A126)</f>
        <v>0</v>
      </c>
      <c r="B126" s="3">
        <f>IF(ISBLANK(Rohdaten!B126),"",Rohdaten!B126)</f>
        <v>0</v>
      </c>
    </row>
    <row r="127" spans="1:2">
      <c r="A127" s="11">
        <f>IF(ISBLANK(Rohdaten!A127),"",Rohdaten!A127)</f>
        <v>0</v>
      </c>
      <c r="B127" s="3">
        <f>IF(ISBLANK(Rohdaten!B127),"",Rohdaten!B127)</f>
        <v>0</v>
      </c>
    </row>
    <row r="128" spans="1:2">
      <c r="A128" s="11">
        <f>IF(ISBLANK(Rohdaten!A128),"",Rohdaten!A128)</f>
        <v>0</v>
      </c>
      <c r="B128" s="3">
        <f>IF(ISBLANK(Rohdaten!B128),"",Rohdaten!B128)</f>
        <v>0</v>
      </c>
    </row>
    <row r="129" spans="1:2">
      <c r="A129" s="11">
        <f>IF(ISBLANK(Rohdaten!A129),"",Rohdaten!A129)</f>
        <v>0</v>
      </c>
      <c r="B129" s="3">
        <f>IF(ISBLANK(Rohdaten!B129),"",Rohdaten!B129)</f>
        <v>0</v>
      </c>
    </row>
    <row r="130" spans="1:2">
      <c r="A130" s="11">
        <f>IF(ISBLANK(Rohdaten!A130),"",Rohdaten!A130)</f>
        <v>0</v>
      </c>
      <c r="B130" s="3">
        <f>IF(ISBLANK(Rohdaten!B130),"",Rohdaten!B130)</f>
        <v>0</v>
      </c>
    </row>
    <row r="131" spans="1:2">
      <c r="A131" s="11">
        <f>IF(ISBLANK(Rohdaten!A131),"",Rohdaten!A131)</f>
        <v>0</v>
      </c>
      <c r="B131" s="3">
        <f>IF(ISBLANK(Rohdaten!B131),"",Rohdaten!B131)</f>
        <v>0</v>
      </c>
    </row>
    <row r="132" spans="1:2">
      <c r="A132" s="11">
        <f>IF(ISBLANK(Rohdaten!A132),"",Rohdaten!A132)</f>
        <v>0</v>
      </c>
      <c r="B132" s="3">
        <f>IF(ISBLANK(Rohdaten!B132),"",Rohdaten!B132)</f>
        <v>0</v>
      </c>
    </row>
    <row r="133" spans="1:2">
      <c r="A133" s="11">
        <f>IF(ISBLANK(Rohdaten!A133),"",Rohdaten!A133)</f>
        <v>0</v>
      </c>
      <c r="B133" s="3">
        <f>IF(ISBLANK(Rohdaten!B133),"",Rohdaten!B133)</f>
        <v>0</v>
      </c>
    </row>
    <row r="134" spans="1:2">
      <c r="A134" s="11">
        <f>IF(ISBLANK(Rohdaten!A134),"",Rohdaten!A134)</f>
        <v>0</v>
      </c>
      <c r="B134" s="3">
        <f>IF(ISBLANK(Rohdaten!B134),"",Rohdaten!B134)</f>
        <v>0</v>
      </c>
    </row>
    <row r="135" spans="1:2">
      <c r="A135" s="11">
        <f>IF(ISBLANK(Rohdaten!A135),"",Rohdaten!A135)</f>
        <v>0</v>
      </c>
      <c r="B135" s="3">
        <f>IF(ISBLANK(Rohdaten!B135),"",Rohdaten!B135)</f>
        <v>0</v>
      </c>
    </row>
    <row r="136" spans="1:2">
      <c r="A136" s="11">
        <f>IF(ISBLANK(Rohdaten!A136),"",Rohdaten!A136)</f>
        <v>0</v>
      </c>
      <c r="B136" s="3">
        <f>IF(ISBLANK(Rohdaten!B136),"",Rohdaten!B136)</f>
        <v>0</v>
      </c>
    </row>
    <row r="137" spans="1:2">
      <c r="A137" s="11">
        <f>IF(ISBLANK(Rohdaten!A137),"",Rohdaten!A137)</f>
        <v>0</v>
      </c>
      <c r="B137" s="3">
        <f>IF(ISBLANK(Rohdaten!B137),"",Rohdaten!B137)</f>
        <v>0</v>
      </c>
    </row>
    <row r="138" spans="1:2">
      <c r="A138" s="11">
        <f>IF(ISBLANK(Rohdaten!A138),"",Rohdaten!A138)</f>
        <v>0</v>
      </c>
      <c r="B138" s="3">
        <f>IF(ISBLANK(Rohdaten!B138),"",Rohdaten!B138)</f>
        <v>0</v>
      </c>
    </row>
    <row r="139" spans="1:2">
      <c r="A139" s="11">
        <f>IF(ISBLANK(Rohdaten!A139),"",Rohdaten!A139)</f>
        <v>0</v>
      </c>
      <c r="B139" s="3">
        <f>IF(ISBLANK(Rohdaten!B139),"",Rohdaten!B139)</f>
        <v>0</v>
      </c>
    </row>
    <row r="140" spans="1:2">
      <c r="A140" s="11">
        <f>IF(ISBLANK(Rohdaten!A140),"",Rohdaten!A140)</f>
        <v>0</v>
      </c>
      <c r="B140" s="3">
        <f>IF(ISBLANK(Rohdaten!B140),"",Rohdaten!B140)</f>
        <v>0</v>
      </c>
    </row>
    <row r="141" spans="1:2">
      <c r="A141" s="11">
        <f>IF(ISBLANK(Rohdaten!A141),"",Rohdaten!A141)</f>
        <v>0</v>
      </c>
      <c r="B141" s="3">
        <f>IF(ISBLANK(Rohdaten!B141),"",Rohdaten!B141)</f>
        <v>0</v>
      </c>
    </row>
    <row r="142" spans="1:2">
      <c r="A142" s="11">
        <f>IF(ISBLANK(Rohdaten!A142),"",Rohdaten!A142)</f>
        <v>0</v>
      </c>
      <c r="B142" s="3">
        <f>IF(ISBLANK(Rohdaten!B142),"",Rohdaten!B142)</f>
        <v>0</v>
      </c>
    </row>
    <row r="143" spans="1:2">
      <c r="A143" s="11">
        <f>IF(ISBLANK(Rohdaten!A143),"",Rohdaten!A143)</f>
        <v>0</v>
      </c>
      <c r="B143" s="3">
        <f>IF(ISBLANK(Rohdaten!B143),"",Rohdaten!B143)</f>
        <v>0</v>
      </c>
    </row>
    <row r="144" spans="1:2">
      <c r="A144" s="11">
        <f>IF(ISBLANK(Rohdaten!A144),"",Rohdaten!A144)</f>
        <v>0</v>
      </c>
      <c r="B144" s="3">
        <f>IF(ISBLANK(Rohdaten!B144),"",Rohdaten!B144)</f>
        <v>0</v>
      </c>
    </row>
    <row r="145" spans="1:2">
      <c r="A145" s="11">
        <f>IF(ISBLANK(Rohdaten!A145),"",Rohdaten!A145)</f>
        <v>0</v>
      </c>
      <c r="B145" s="3">
        <f>IF(ISBLANK(Rohdaten!B145),"",Rohdaten!B145)</f>
        <v>0</v>
      </c>
    </row>
    <row r="146" spans="1:2">
      <c r="A146" s="11">
        <f>IF(ISBLANK(Rohdaten!A146),"",Rohdaten!A146)</f>
        <v>0</v>
      </c>
      <c r="B146" s="3">
        <f>IF(ISBLANK(Rohdaten!B146),"",Rohdaten!B146)</f>
        <v>0</v>
      </c>
    </row>
    <row r="147" spans="1:2">
      <c r="A147" s="11">
        <f>IF(ISBLANK(Rohdaten!A147),"",Rohdaten!A147)</f>
        <v>0</v>
      </c>
      <c r="B147" s="3">
        <f>IF(ISBLANK(Rohdaten!B147),"",Rohdaten!B147)</f>
        <v>0</v>
      </c>
    </row>
    <row r="148" spans="1:2">
      <c r="A148" s="11">
        <f>IF(ISBLANK(Rohdaten!A148),"",Rohdaten!A148)</f>
        <v>0</v>
      </c>
      <c r="B148" s="3">
        <f>IF(ISBLANK(Rohdaten!B148),"",Rohdaten!B148)</f>
        <v>0</v>
      </c>
    </row>
    <row r="149" spans="1:2">
      <c r="A149" s="11">
        <f>IF(ISBLANK(Rohdaten!A149),"",Rohdaten!A149)</f>
        <v>0</v>
      </c>
      <c r="B149" s="3">
        <f>IF(ISBLANK(Rohdaten!B149),"",Rohdaten!B149)</f>
        <v>0</v>
      </c>
    </row>
    <row r="150" spans="1:2">
      <c r="A150" s="11">
        <f>IF(ISBLANK(Rohdaten!A150),"",Rohdaten!A150)</f>
        <v>0</v>
      </c>
      <c r="B150" s="3">
        <f>IF(ISBLANK(Rohdaten!B150),"",Rohdaten!B150)</f>
        <v>0</v>
      </c>
    </row>
    <row r="151" spans="1:2">
      <c r="A151" s="11">
        <f>IF(ISBLANK(Rohdaten!A151),"",Rohdaten!A151)</f>
        <v>0</v>
      </c>
      <c r="B151" s="3">
        <f>IF(ISBLANK(Rohdaten!B151),"",Rohdaten!B151)</f>
        <v>0</v>
      </c>
    </row>
    <row r="152" spans="1:2">
      <c r="A152" s="11">
        <f>IF(ISBLANK(Rohdaten!A152),"",Rohdaten!A152)</f>
        <v>0</v>
      </c>
      <c r="B152" s="3">
        <f>IF(ISBLANK(Rohdaten!B152),"",Rohdaten!B152)</f>
        <v>0</v>
      </c>
    </row>
    <row r="153" spans="1:2">
      <c r="A153" s="11">
        <f>IF(ISBLANK(Rohdaten!A153),"",Rohdaten!A153)</f>
        <v>0</v>
      </c>
      <c r="B153" s="3">
        <f>IF(ISBLANK(Rohdaten!B153),"",Rohdaten!B153)</f>
        <v>0</v>
      </c>
    </row>
    <row r="154" spans="1:2">
      <c r="A154" s="11">
        <f>IF(ISBLANK(Rohdaten!A154),"",Rohdaten!A154)</f>
        <v>0</v>
      </c>
      <c r="B154" s="3">
        <f>IF(ISBLANK(Rohdaten!B154),"",Rohdaten!B154)</f>
        <v>0</v>
      </c>
    </row>
    <row r="155" spans="1:2">
      <c r="A155" s="11">
        <f>IF(ISBLANK(Rohdaten!A155),"",Rohdaten!A155)</f>
        <v>0</v>
      </c>
      <c r="B155" s="3">
        <f>IF(ISBLANK(Rohdaten!B155),"",Rohdaten!B155)</f>
        <v>0</v>
      </c>
    </row>
    <row r="156" spans="1:2">
      <c r="A156" s="11">
        <f>IF(ISBLANK(Rohdaten!A156),"",Rohdaten!A156)</f>
        <v>0</v>
      </c>
      <c r="B156" s="3">
        <f>IF(ISBLANK(Rohdaten!B156),"",Rohdaten!B156)</f>
        <v>0</v>
      </c>
    </row>
    <row r="157" spans="1:2">
      <c r="A157" s="11">
        <f>IF(ISBLANK(Rohdaten!A157),"",Rohdaten!A157)</f>
        <v>0</v>
      </c>
      <c r="B157" s="3">
        <f>IF(ISBLANK(Rohdaten!B157),"",Rohdaten!B157)</f>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12</vt:i4>
      </vt:variant>
    </vt:vector>
  </HeadingPairs>
  <TitlesOfParts>
    <vt:vector size="25" baseType="lpstr">
      <vt:lpstr>Start</vt:lpstr>
      <vt:lpstr>Übersicht</vt:lpstr>
      <vt:lpstr>Deckblatt</vt:lpstr>
      <vt:lpstr>PPT_2</vt:lpstr>
      <vt:lpstr>PPT_3</vt:lpstr>
      <vt:lpstr>Rohdaten</vt:lpstr>
      <vt:lpstr>Kommentare</vt:lpstr>
      <vt:lpstr>Zuständigkeiten</vt:lpstr>
      <vt:lpstr>Konfiguration</vt:lpstr>
      <vt:lpstr>BUE_Serviceparameter</vt:lpstr>
      <vt:lpstr>Dashboard_Daten</vt:lpstr>
      <vt:lpstr>Feiertage</vt:lpstr>
      <vt:lpstr>Wertstand</vt:lpstr>
      <vt:lpstr>Berichtstag</vt:lpstr>
      <vt:lpstr>BUE_O_OK</vt:lpstr>
      <vt:lpstr>BUE_O_TEXT</vt:lpstr>
      <vt:lpstr>BUE_V_OK</vt:lpstr>
      <vt:lpstr>BUE_V_TEXT</vt:lpstr>
      <vt:lpstr>FeiertageBT</vt:lpstr>
      <vt:lpstr>KWFreitag</vt:lpstr>
      <vt:lpstr>Personen</vt:lpstr>
      <vt:lpstr>RD_Kopf</vt:lpstr>
      <vt:lpstr>RD_Monate</vt:lpstr>
      <vt:lpstr>SLA_PV</vt:lpstr>
      <vt:lpstr>ZuordnungOffen</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2026-10-12T13:46:02Z</dcterms:created>
  <dcterms:modified xsi:type="dcterms:W3CDTF">2026-10-12T13:46:02Z</dcterms:modified>
</cp:coreProperties>
</file>