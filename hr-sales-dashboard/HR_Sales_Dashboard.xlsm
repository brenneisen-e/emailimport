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<sst xmlns="http://schemas.openxmlformats.org/spreadsheetml/2006/main" count="3409" uniqueCount="1147">
  <si>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</si>
  <si>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</si>
  <si>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</si>
  <si>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</si>
  <si>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</si>
  <si>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</si>
  <si>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</si>
  <si>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</si>
  <si>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</si>
  <si>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</si>
  <si>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</si>
  <si>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</si>
  <si>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</si>
  <si>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</si>
  <si>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</si>
  <si>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</si>
  <si>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</si>
  <si>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</si>
  <si>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</si>
  <si>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</si>
  <si>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</si>
  <si>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</si>
  <si>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</si>
  <si>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</si>
  <si>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</si>
  <si>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</si>
  <si>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</si>
  <si>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</si>
  <si>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</si>
  <si>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</si>
  <si>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</si>
  <si>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</si>
  <si>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</si>
  <si>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</si>
  <si>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</si>
  <si>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</si>
  <si>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</si>
  <si>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</si>
  <si>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</si>
  <si>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</si>
  <si>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</si>
  <si>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</si>
  <si>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</si>
  <si>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</si>
  <si>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</si>
  <si>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</si>
  <si>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</si>
  <si>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</si>
  <si>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</si>
  <si>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</si>
  <si>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</si>
  <si>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</si>
  <si>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</si>
  <si>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</si>
  <si>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</si>
  <si>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</si>
  <si>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</si>
  <si>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</si>
  <si>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</si>
  <si>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</si>
  <si>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</si>
  <si>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</si>
  <si>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</si>
  <si>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</si>
  <si>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</si>
  <si>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</si>
  <si>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</si>
  <si>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</si>
  <si>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</si>
  <si>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</si>
  <si>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</si>
  <si>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</si>
  <si>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</si>
  <si>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</si>
  <si>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</si>
  <si>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</si>
  <si>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</si>
  <si>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</si>
  <si>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</si>
  <si>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</si>
  <si>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</si>
  <si>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</si>
  <si>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</si>
  <si>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</si>
  <si>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</si>
  <si>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</si>
  <si>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</si>
  <si>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</si>
  <si>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</si>
  <si>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</si>
  <si>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</si>
  <si>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</si>
  <si>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</si>
  <si>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</si>
  <si>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</si>
  <si>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</si>
  <si>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</si>
  <si>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</si>
  <si>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</si>
  <si>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</si>
  <si>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</si>
  <si>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</si>
  <si>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</si>
  <si>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</si>
  <si>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</si>
  <si>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</si>
  <si>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</si>
  <si>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</si>
  <si>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</si>
  <si>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</si>
  <si>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</si>
  <si>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</si>
  <si>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</si>
  <si>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</si>
  <si>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</si>
  <si>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</si>
  <si>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</si>
  <si>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</si>
  <si>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</si>
  <si>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</si>
  <si>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</si>
  <si>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</si>
  <si>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</si>
  <si>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</si>
  <si>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</si>
  <si>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</si>
  <si>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</si>
  <si>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</si>
  <si>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</si>
  <si>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</si>
  <si>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</si>
  <si>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</si>
  <si>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</si>
  <si>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</si>
  <si>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</si>
  <si>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</si>
  <si>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</si>
  <si>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</si>
  <si>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</si>
  <si>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</si>
  <si>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</si>
  <si>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</si>
  <si>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</si>
  <si>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</si>
  <si>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</si>
  <si>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</si>
  <si>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</si>
  <si>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</si>
  <si>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</si>
  <si>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</si>
  <si>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</si>
  <si>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</si>
  <si>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</si>
  <si>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</si>
  <si>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</si>
  <si>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</si>
  <si>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</si>
  <si>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</si>
  <si>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</si>
  <si>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</si>
  <si>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</si>
  <si>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</si>
  <si>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</si>
  <si>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</si>
  <si>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</si>
  <si>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</si>
  <si>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</si>
  <si>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</si>
  <si>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</si>
  <si>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</si>
  <si>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</si>
  <si>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</si>
  <si>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</si>
  <si>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</si>
  <si>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</si>
  <si>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</si>
  <si>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</si>
  <si>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</si>
  <si>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</si>
  <si>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</si>
  <si>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</si>
  <si>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</si>
  <si>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</si>
  <si>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</si>
  <si>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</si>
  <si>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</si>
  <si>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</si>
  <si>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</si>
  <si>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</si>
  <si>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</si>
  <si>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</si>
  <si>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</si>
  <si>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</si>
  <si>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</si>
  <si>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</si>
  <si>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</si>
  <si>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</si>
  <si>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</si>
  <si>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</si>
  <si>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</si>
  <si>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</si>
  <si>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</si>
  <si>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</si>
  <si>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</si>
  <si>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</si>
  <si>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</si>
  <si>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</si>
  <si>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</si>
  <si>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</si>
  <si>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</si>
  <si>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</si>
  <si>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</si>
  <si>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</si>
  <si>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</si>
  <si>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</si>
  <si>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</si>
  <si>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</si>
  <si>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</si>
  <si>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</si>
  <si>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</si>
  <si>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</si>
  <si>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</si>
  <si>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</si>
  <si>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</si>
  <si>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</si>
  <si>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</si>
  <si>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</si>
  <si>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</si>
  <si>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</si>
  <si>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</si>
  <si>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</si>
  <si>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</si>
  <si>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</si>
  <si>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</si>
  <si>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</si>
  <si>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</si>
  <si>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</si>
  <si>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</si>
  <si>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</si>
  <si>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</si>
  <si>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</si>
  <si>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</si>
  <si>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</si>
  <si>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</si>
  <si>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</si>
  <si>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</si>
  <si>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</si>
  <si>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</si>
  <si>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</si>
  <si>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</si>
  <si>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</si>
  <si>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</si>
  <si>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</si>
  <si>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</si>
  <si>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</si>
  <si>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</si>
  <si>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</si>
  <si>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</si>
  <si>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</si>
  <si>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</si>
  <si>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</si>
  <si>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</si>
  <si>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</si>
  <si>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</si>
  <si>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</si>
  <si>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</si>
  <si>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</si>
  <si>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</si>
  <si>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</si>
  <si>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</si>
  <si>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</si>
  <si>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</si>
  <si>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</si>
  <si>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</si>
  <si>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</si>
  <si>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</si>
  <si>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</si>
  <si>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</si>
  <si>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</si>
  <si>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</si>
  <si>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</si>
  <si>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</si>
  <si>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</si>
  <si>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</si>
  <si>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</si>
  <si>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</si>
  <si>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</si>
  <si>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</si>
  <si>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</si>
  <si>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</si>
  <si>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</si>
  <si>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</si>
  <si>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</si>
  <si>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</si>
  <si>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</si>
  <si>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</si>
  <si>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</si>
  <si>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</si>
  <si>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</si>
  <si>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</si>
  <si>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</si>
  <si>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</si>
  <si>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</si>
  <si>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</si>
  <si>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</si>
  <si>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</si>
  <si>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</si>
  <si>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</si>
  <si>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</si>
  <si>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</si>
  <si>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</si>
  <si>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</si>
  <si>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</si>
  <si>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</si>
  <si>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</si>
  <si>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</si>
  <si>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</si>
  <si>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</si>
  <si>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</si>
  <si>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</si>
  <si>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</si>
  <si>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</si>
  <si>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</si>
  <si>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</si>
  <si>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</si>
  <si>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</si>
  <si>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</si>
  <si>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</si>
  <si>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</si>
  <si>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Faktor Ø OPAG/Verbund, TBC)</t>
  </si>
  <si>
    <t>BÜ-Reporting-Datei (Knopf „BÜ-Reporting verknüpfen“)</t>
  </si>
  <si>
    <t>H:\MaklerBUe\Reporting MISO\BUE_Reporting_Master.xlsm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</si>
  <si>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</si>
  <si>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</si>
  <si>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</si>
  <si>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</si>
  <si>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</si>
  <si>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</si>
  <si>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</si>
  <si>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</si>
  <si>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</si>
  <si>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</si>
  <si>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</si>
  <si>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</si>
  <si>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</si>
  <si>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</si>
  <si>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</si>
  <si>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</si>
  <si>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</si>
  <si>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</si>
  <si>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</si>
  <si>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</si>
  <si>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</si>
  <si>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</si>
  <si>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</si>
  <si>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</si>
  <si>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</si>
  <si>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</si>
  <si>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</si>
  <si>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</si>
  <si>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</si>
  <si>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</si>
  <si>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</si>
  <si>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</si>
  <si>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</si>
  <si>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</si>
  <si>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</si>
  <si>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</si>
  <si>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</si>
  <si>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</si>
  <si>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</si>
  <si>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</si>
  <si>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</si>
  <si>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</si>
  <si>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</si>
  <si>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</si>
  <si>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</si>
  <si>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</si>
  <si>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</si>
  <si>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</si>
  <si>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</si>
  <si>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</si>
  <si>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</si>
  <si>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</si>
  <si>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</si>
  <si>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</si>
  <si>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</si>
  <si>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</si>
  <si>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</si>
  <si>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</si>
  <si>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</si>
  <si>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</si>
  <si>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</si>
  <si>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</si>
  <si>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</si>
  <si>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</si>
  <si>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</si>
  <si>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</si>
  <si>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</si>
  <si>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</si>
  <si>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</si>
  <si>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</si>
  <si>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</si>
  <si>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</si>
  <si>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</si>
  <si>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</si>
  <si>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</si>
  <si>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</si>
  <si>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</si>
  <si>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</si>
  <si>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</si>
  <si>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</si>
  <si>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</si>
  <si>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</si>
  <si>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</si>
  <si>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</si>
  <si>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</si>
  <si>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</si>
  <si>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</si>
  <si>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</si>
  <si>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</si>
  <si>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</si>
  <si>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</si>
  <si>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</si>
  <si>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</si>
  <si>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</si>
  <si>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</si>
  <si>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</si>
  <si>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</si>
  <si>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</si>
  <si>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</si>
  <si>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</si>
  <si>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</si>
  <si>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</si>
  <si>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</si>
  <si>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</si>
  <si>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</si>
  <si>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</si>
  <si>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</si>
  <si>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</si>
  <si>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</si>
  <si>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</si>
  <si>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</si>
  <si>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</si>
  <si>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</si>
  <si>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</si>
  <si>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</si>
  <si>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</si>
  <si>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</si>
  <si>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</si>
  <si>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</si>
  <si>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</si>
  <si>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</si>
  <si>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</si>
  <si>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</si>
  <si>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</si>
  <si>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</si>
  <si>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</si>
  <si>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</si>
  <si>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</si>
  <si>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</si>
  <si>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</si>
  <si>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</si>
  <si>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</si>
  <si>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</si>
  <si>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</si>
  <si>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</si>
  <si>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</si>
  <si>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</si>
  <si>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</si>
  <si>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</si>
  <si>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</si>
  <si>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</si>
  <si>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</si>
  <si>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</si>
  <si>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</si>
  <si>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</si>
  <si>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</si>
  <si>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</si>
  <si>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</si>
  <si>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</si>
  <si>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</si>
  <si>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</si>
  <si>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</si>
  <si>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</si>
  <si>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</si>
  <si>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</si>
  <si>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</si>
  <si>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</si>
  <si>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</si>
  <si>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</si>
  <si>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</si>
  <si>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</si>
  <si>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</si>
  <si>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 Rückgabe an RD</t>
  </si>
  <si>
    <t>Dashboard_Daten – Datenreihen der Kacheln (wird berechnet, nicht ändern)</t>
  </si>
  <si>
    <t>Wochen: 27 Berichtstage bis zum Berichtstag (Konfiguration), die Diagramme zeigen davon die letzten 4 bis 26 KW (Knopf „KW je Diagramm“).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</si>
  <si>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</si>
  <si>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</si>
  <si>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</si>
  <si>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</si>
  <si>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</si>
  <si>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</si>
  <si>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</si>
  <si>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</si>
  <si>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</si>
  <si>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</si>
  <si>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</si>
  <si>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</si>
  <si>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</si>
  <si>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</si>
  <si>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</si>
  <si>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</si>
  <si>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</si>
  <si>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</si>
  <si>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</si>
  <si>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</si>
  <si>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</si>
  <si>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</si>
  <si>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</si>
  <si>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</si>
  <si>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</si>
  <si>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</si>
  <si>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</si>
  <si>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</si>
  <si>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</si>
  <si>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</si>
  <si>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</si>
  <si>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</si>
  <si>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</si>
  <si>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</si>
  <si>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</si>
  <si>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</si>
  <si>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</si>
  <si>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</si>
  <si>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</si>
  <si>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</si>
  <si>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</si>
  <si>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</si>
  <si>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</si>
  <si>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</si>
  <si>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</si>
  <si>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</si>
  <si>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</si>
  <si>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</si>
  <si>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</si>
  <si>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</si>
  <si>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</si>
  <si>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</si>
  <si>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</si>
  <si>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</si>
  <si>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</si>
  <si>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</si>
  <si>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</si>
  <si>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</si>
  <si>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</si>
  <si>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</si>
  <si>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</si>
  <si>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</si>
  <si>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</si>
  <si>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</si>
  <si>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</si>
  <si>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</si>
  <si>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</si>
  <si>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</si>
  <si>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</si>
  <si>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 KW auf den Folien (max.)</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</si>
  <si>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</si>
  <si>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</si>
  <si>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</si>
  <si>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</si>
  <si>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</si>
  <si>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</si>
  <si>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</si>
  <si>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</si>
  <si>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</si>
  <si>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</si>
  <si>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</si>
  <si>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</si>
  <si>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</si>
  <si>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</si>
  <si>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</si>
  <si>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</si>
  <si>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</si>
  <si>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</si>
  <si>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</si>
  <si>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</si>
  <si>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</si>
  <si>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</si>
  <si>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</si>
  <si>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</si>
  <si>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</si>
  <si>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</si>
  <si>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</si>
  <si>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</si>
  <si>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</si>
  <si>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KW_7V</t>
  </si>
  <si>
    <t>BÜ-Kachel 7V: angezeigte KW</t>
  </si>
  <si>
    <t>modKW</t>
  </si>
  <si>
    <t>_off7V</t>
  </si>
  <si>
    <t>BÜ-Kachel 7V: Woche des Platzes</t>
  </si>
  <si>
    <t>berechnet</t>
  </si>
  <si>
    <t>7V_kat</t>
  </si>
  <si>
    <t>BÜ Verbund: KW unter der Säule</t>
  </si>
  <si>
    <t>Folie, KW je Kachel</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</si>
  <si>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</si>
  <si>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</si>
  <si>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</si>
  <si>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</si>
  <si>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</si>
  <si>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</si>
  <si>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</si>
  <si>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</si>
  <si>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</si>
  <si>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</si>
  <si>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</si>
  <si>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</si>
  <si>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BÜ Verbund Eingänge Komposit</t>
  </si>
  <si>
    <t>Rohdaten Z. 73</t>
  </si>
  <si>
    <t>BÜ Verbund Abgänge Komposit</t>
  </si>
  <si>
    <t>Rohdaten Z. 77</t>
  </si>
  <si>
    <t>BÜ Verbund Eingänge Leben</t>
  </si>
  <si>
    <t>Rohdaten Z. 74</t>
  </si>
  <si>
    <t>BÜ Verbund Abgänge Leben</t>
  </si>
  <si>
    <t>Rohdaten Z. 78</t>
  </si>
  <si>
    <t>7V_ein</t>
  </si>
  <si>
    <t>BÜ Verbund Eingänge Summe</t>
  </si>
  <si>
    <t>7V_ab</t>
  </si>
  <si>
    <t>BÜ Verbund Abgänge Summe</t>
  </si>
  <si>
    <t>7V_rs</t>
  </si>
  <si>
    <t>BÜ Verbund Rückstand Summe Sparten</t>
  </si>
  <si>
    <t>7V_d</t>
  </si>
  <si>
    <t>BÜ Verbund Saldo Eingänge minus Abgänge</t>
  </si>
  <si>
    <t>7V_mb</t>
  </si>
  <si>
    <t>BÜ Verbund offene Vorgänge: Bezug (höchste Säule oder SLA)</t>
  </si>
  <si>
    <t>7V_sC</t>
  </si>
  <si>
    <t>BÜ Verbund offene Vorgänge Komposit (Säule, normiert)</t>
  </si>
  <si>
    <t>7V_sB</t>
  </si>
  <si>
    <t>BÜ Verbund offene Vorgänge Gesundheit (Säule, normiert)</t>
  </si>
  <si>
    <t>7V_sD</t>
  </si>
  <si>
    <t>BÜ Verbund offene Vorgänge Leben (Säule, normiert)</t>
  </si>
  <si>
    <t>7V_rC</t>
  </si>
  <si>
    <t>BÜ Verbund Komposit: Lage im Stapel von oben</t>
  </si>
  <si>
    <t>7V_tC</t>
  </si>
  <si>
    <t>BÜ Verbund offene Vorgänge Komposit (Wert, Tsd.)</t>
  </si>
  <si>
    <t>7V_rB</t>
  </si>
  <si>
    <t>BÜ Verbund Gesundheit: Lage im Stapel von oben</t>
  </si>
  <si>
    <t>7V_tB</t>
  </si>
  <si>
    <t>BÜ Verbund offene Vorgänge Gesundheit (Wert, Tsd.)</t>
  </si>
  <si>
    <t>7V_rD</t>
  </si>
  <si>
    <t>BÜ Verbund Leben: Lage im Stapel von oben</t>
  </si>
  <si>
    <t>7V_tD</t>
  </si>
  <si>
    <t>BÜ Verbund offene Vorgänge Leben (Wert, Tsd.)</t>
  </si>
  <si>
    <t>7V_cC</t>
  </si>
  <si>
    <t>BÜ Verbund Komposit: Mitte des Segments (normiert)</t>
  </si>
  <si>
    <t>7V_cB</t>
  </si>
  <si>
    <t>BÜ Verbund Gesundheit: Mitte des Segments (normiert)</t>
  </si>
  <si>
    <t>7V_cD</t>
  </si>
  <si>
    <t>BÜ Verbund Leben: Mitte des Segments (normiert)</t>
  </si>
  <si>
    <t>7V_lC</t>
  </si>
  <si>
    <t>BÜ Verbund Komposit: Lage des Wertkastens</t>
  </si>
  <si>
    <t>7V_lB</t>
  </si>
  <si>
    <t>BÜ Verbund Gesundheit: Lage des Wertkastens</t>
  </si>
  <si>
    <t>7V_lD</t>
  </si>
  <si>
    <t>BÜ Verbund Leben: Lage des Wertkastens</t>
  </si>
  <si>
    <t>7V_sum</t>
  </si>
  <si>
    <t>BÜ Verbund offene Vorgänge Summe (Lage, normiert)</t>
  </si>
  <si>
    <t>7V_sum_t</t>
  </si>
  <si>
    <t>BÜ Verbund offene Vorgänge Summe (Tsd.)</t>
  </si>
  <si>
    <t>7V_sla</t>
  </si>
  <si>
    <t>BÜ Verbund SLA (Linie, normiert)</t>
  </si>
  <si>
    <t>7V_mv</t>
  </si>
  <si>
    <t>BÜ Verbund Zu-/Abnahmen: Bezug (höchster Balken)</t>
  </si>
  <si>
    <t>7V_se</t>
  </si>
  <si>
    <t>BÜ Verbund Zunahmen (Balken, normiert)</t>
  </si>
  <si>
    <t>7V_te</t>
  </si>
  <si>
    <t>BÜ Verbund Zunahmen (Wert, Tsd.)</t>
  </si>
  <si>
    <t>7V_sa</t>
  </si>
  <si>
    <t>BÜ Verbund Abnahmen (Balken, normiert)</t>
  </si>
  <si>
    <t>7V_ta</t>
  </si>
  <si>
    <t>BÜ Verbund Abnahmen (Wert, Tsd.)</t>
  </si>
  <si>
    <t>7V_ce</t>
  </si>
  <si>
    <t>BÜ Verbund Zunahmen (Träger der Zahl über dem Balken)</t>
  </si>
  <si>
    <t>7V_ca</t>
  </si>
  <si>
    <t>BÜ Verbund Abnahmen (Träger der Zahl über dem Balken)</t>
  </si>
  <si>
    <t>7V_pauf</t>
  </si>
  <si>
    <t>BÜ Verbund Saldo (auf)</t>
  </si>
  <si>
    <t>7V_pab</t>
  </si>
  <si>
    <t>BÜ Verbund Saldo (ab)</t>
  </si>
  <si>
    <t>7V_pnull</t>
  </si>
  <si>
    <t>BÜ Verbund Saldo (null)</t>
  </si>
  <si>
    <t>7V_pt</t>
  </si>
  <si>
    <t>BÜ Verbund Saldo (Text, Tsd.)</t>
  </si>
  <si>
    <t>KW_7O</t>
  </si>
  <si>
    <t>BÜ-Kachel 7O: angezeigte KW</t>
  </si>
  <si>
    <t>_off7O</t>
  </si>
  <si>
    <t>BÜ-Kachel 7O: Woche des Platzes</t>
  </si>
  <si>
    <t>7O_kat</t>
  </si>
  <si>
    <t>BÜ OPAG: KW unter der Säule</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</si>
  <si>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</si>
  <si>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</si>
  <si>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</si>
  <si>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</si>
  <si>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</si>
  <si>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</si>
  <si>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</si>
  <si>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</si>
  <si>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</si>
  <si>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</si>
  <si>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</si>
  <si>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</si>
  <si>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BÜ OPAG Eingänge Komposit</t>
  </si>
  <si>
    <t>Rohdaten Z. 85</t>
  </si>
  <si>
    <t>BÜ OPAG Abgänge Komposit</t>
  </si>
  <si>
    <t>Rohdaten Z. 89</t>
  </si>
  <si>
    <t>BÜ OPAG Eingänge Leben</t>
  </si>
  <si>
    <t>Rohdaten Z. 86</t>
  </si>
  <si>
    <t>BÜ OPAG Abgänge Leben</t>
  </si>
  <si>
    <t>Rohdaten Z. 90</t>
  </si>
  <si>
    <t>7O_ein</t>
  </si>
  <si>
    <t>BÜ OPAG Eingänge Summe</t>
  </si>
  <si>
    <t>7O_ab</t>
  </si>
  <si>
    <t>BÜ OPAG Abgänge Summe</t>
  </si>
  <si>
    <t>7O_rs</t>
  </si>
  <si>
    <t>BÜ OPAG Rückstand Summe Sparten</t>
  </si>
  <si>
    <t>7O_d</t>
  </si>
  <si>
    <t>BÜ OPAG Saldo Eingänge minus Abgänge</t>
  </si>
  <si>
    <t>7O_mb</t>
  </si>
  <si>
    <t>BÜ OPAG offene Vorgänge: Bezug (höchste Säule oder SLA)</t>
  </si>
  <si>
    <t>7O_sC</t>
  </si>
  <si>
    <t>BÜ OPAG offene Vorgänge Komposit (Säule, normiert)</t>
  </si>
  <si>
    <t>7O_sB</t>
  </si>
  <si>
    <t>BÜ OPAG offene Vorgänge Gesundheit (Säule, normiert)</t>
  </si>
  <si>
    <t>7O_sD</t>
  </si>
  <si>
    <t>BÜ OPAG offene Vorgänge Leben (Säule, normiert)</t>
  </si>
  <si>
    <t>7O_rC</t>
  </si>
  <si>
    <t>BÜ OPAG Komposit: Lage im Stapel von oben</t>
  </si>
  <si>
    <t>7O_tC</t>
  </si>
  <si>
    <t>BÜ OPAG offene Vorgänge Komposit (Wert, Tsd.)</t>
  </si>
  <si>
    <t>7O_rB</t>
  </si>
  <si>
    <t>BÜ OPAG Gesundheit: Lage im Stapel von oben</t>
  </si>
  <si>
    <t>7O_tB</t>
  </si>
  <si>
    <t>BÜ OPAG offene Vorgänge Gesundheit (Wert, Tsd.)</t>
  </si>
  <si>
    <t>7O_rD</t>
  </si>
  <si>
    <t>BÜ OPAG Leben: Lage im Stapel von oben</t>
  </si>
  <si>
    <t>7O_tD</t>
  </si>
  <si>
    <t>BÜ OPAG offene Vorgänge Leben (Wert, Tsd.)</t>
  </si>
  <si>
    <t>7O_cC</t>
  </si>
  <si>
    <t>BÜ OPAG Komposit: Mitte des Segments (normiert)</t>
  </si>
  <si>
    <t>7O_cB</t>
  </si>
  <si>
    <t>BÜ OPAG Gesundheit: Mitte des Segments (normiert)</t>
  </si>
  <si>
    <t>7O_cD</t>
  </si>
  <si>
    <t>BÜ OPAG Leben: Mitte des Segments (normiert)</t>
  </si>
  <si>
    <t>7O_lC</t>
  </si>
  <si>
    <t>BÜ OPAG Komposit: Lage des Wertkastens</t>
  </si>
  <si>
    <t>7O_lB</t>
  </si>
  <si>
    <t>BÜ OPAG Gesundheit: Lage des Wertkastens</t>
  </si>
  <si>
    <t>7O_lD</t>
  </si>
  <si>
    <t>BÜ OPAG Leben: Lage des Wertkastens</t>
  </si>
  <si>
    <t>7O_sum</t>
  </si>
  <si>
    <t>BÜ OPAG offene Vorgänge Summe (Lage, normiert)</t>
  </si>
  <si>
    <t>7O_sum_t</t>
  </si>
  <si>
    <t>BÜ OPAG offene Vorgänge Summe (Tsd.)</t>
  </si>
  <si>
    <t>7O_sla</t>
  </si>
  <si>
    <t>BÜ OPAG SLA (Linie, normiert)</t>
  </si>
  <si>
    <t>7O_mv</t>
  </si>
  <si>
    <t>BÜ OPAG Zu-/Abnahmen: Bezug (höchster Balken)</t>
  </si>
  <si>
    <t>7O_se</t>
  </si>
  <si>
    <t>BÜ OPAG Zunahmen (Balken, normiert)</t>
  </si>
  <si>
    <t>7O_te</t>
  </si>
  <si>
    <t>BÜ OPAG Zunahmen (Wert, Tsd.)</t>
  </si>
  <si>
    <t>7O_sa</t>
  </si>
  <si>
    <t>BÜ OPAG Abnahmen (Balken, normiert)</t>
  </si>
  <si>
    <t>7O_ta</t>
  </si>
  <si>
    <t>BÜ OPAG Abnahmen (Wert, Tsd.)</t>
  </si>
  <si>
    <t>7O_ce</t>
  </si>
  <si>
    <t>BÜ OPAG Zunahmen (Träger der Zahl über dem Balken)</t>
  </si>
  <si>
    <t>7O_ca</t>
  </si>
  <si>
    <t>BÜ OPAG Abnahmen (Träger der Zahl über dem Balken)</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</si>
  <si>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</si>
  <si>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</si>
  <si>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</si>
  <si>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</si>
  <si>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</si>
  <si>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</si>
  <si>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</si>
  <si>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</si>
  <si>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</si>
  <si>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</si>
  <si>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</si>
  <si>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</si>
  <si>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</si>
  <si>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</si>
  <si>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13b_1</t>
  </si>
  <si>
    <t>Watchlist Treffer VNRs: Platz des Kastens</t>
  </si>
  <si>
    <t>13b_t</t>
  </si>
  <si>
    <t>Watchlist Treffer VNRs (Text im Kasten)</t>
  </si>
  <si>
    <t>13c_1</t>
  </si>
  <si>
    <t>Watchlist In Bearbeitung: Platz des Kastens</t>
  </si>
  <si>
    <t>13c_t</t>
  </si>
  <si>
    <t>Watchlist In Bearbeitung (Text im Kasten)</t>
  </si>
  <si>
    <t>13d_1</t>
  </si>
  <si>
    <t>Watchlist Erledigt: Platz des Kastens</t>
  </si>
  <si>
    <t>13d_t</t>
  </si>
  <si>
    <t>Watchlist Erledigt (Text im Kasten)</t>
  </si>
  <si>
    <t>11a_sum</t>
  </si>
  <si>
    <t>Defect Fixing Summe Stapel</t>
  </si>
  <si>
    <t>11a_t</t>
  </si>
  <si>
    <t>Defect Fixing Beschriftung</t>
  </si>
  <si>
    <t>11a_pos</t>
  </si>
  <si>
    <t>Defect Fixing Lage der Summe (etwas über dem Stapel)</t>
  </si>
  <si>
    <t>11g_sum</t>
  </si>
  <si>
    <t>Defects op. Betrieb Summe Stapel</t>
  </si>
  <si>
    <t>11g_t</t>
  </si>
  <si>
    <t>Defects op. Betrieb Beschriftung</t>
  </si>
  <si>
    <t>11g_pos</t>
  </si>
  <si>
    <t>Defects op. Betrieb Lage der Summe (etwas über dem Stapel)</t>
  </si>
  <si>
    <t>SLA</t>
  </si>
  <si>
    <t>SLA Provisionsreklamation</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</si>
  <si>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</si>
  <si>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</si>
  <si>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</si>
  <si>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</si>
  <si>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</si>
  <si>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</si>
  <si>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</si>
  <si>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</si>
  <si>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</si>
  <si>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</si>
  <si>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</si>
  <si>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</si>
  <si>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</si>
  <si>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</si>
  <si>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</si>
  <si>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</si>
  <si>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</si>
  <si>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</si>
  <si>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</si>
  <si>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</si>
  <si>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</si>
  <si>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</si>
  <si>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</si>
  <si>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</si>
  <si>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</si>
  <si>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</si>
  <si>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</si>
  <si>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</si>
  <si>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</si>
  <si>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</si>
  <si>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</si>
  <si>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</si>
  <si>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</si>
  <si>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</si>
  <si>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</si>
  <si>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</si>
  <si>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</si>
  <si>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</si>
  <si>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</si>
  <si>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</si>
  <si>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</si>
  <si>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</si>
  <si>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</si>
  <si>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</si>
  <si>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</si>
  <si>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</si>
  <si>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</si>
  <si>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</si>
  <si>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</si>
  <si>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</si>
  <si>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</si>
  <si>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</si>
  <si>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</si>
  <si>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</si>
  <si>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</si>
  <si>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</si>
  <si>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</si>
  <si>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</si>
  <si>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</si>
  <si>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</si>
  <si>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</si>
  <si>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</si>
  <si>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</si>
  <si>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</si>
  <si>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</si>
  <si>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</si>
  <si>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</si>
  <si>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</si>
  <si>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</si>
  <si>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</si>
  <si>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</si>
  <si>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</si>
  <si>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</si>
  <si>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</si>
  <si>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</si>
  <si>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</si>
  <si>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</si>
  <si>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</si>
  <si>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</si>
  <si>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</si>
  <si>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</si>
  <si>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</si>
  <si>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</si>
  <si>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</si>
  <si>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</si>
  <si>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</si>
  <si>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</si>
  <si>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</si>
  <si>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</si>
  <si>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</si>
  <si>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</si>
  <si>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</si>
  <si>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</si>
  <si>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</si>
  <si>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</si>
  <si>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</si>
  <si>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</si>
  <si>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</si>
  <si>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</si>
  <si>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</si>
  <si>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</si>
  <si>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</si>
  <si>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</si>
  <si>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</si>
  <si>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</si>
  <si>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</si>
  <si>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</si>
  <si>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</si>
  <si>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</si>
  <si>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</si>
  <si>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</si>
  <si>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</si>
  <si>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</si>
  <si>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</si>
  <si>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</si>
  <si>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</si>
  <si>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</si>
  <si>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</si>
  <si>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</si>
  <si>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</si>
  <si>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</si>
  <si>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</si>
  <si>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</si>
  <si>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</si>
  <si>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</si>
  <si>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</si>
  <si>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</si>
  <si>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</si>
  <si>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</si>
  <si>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</si>
  <si>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</si>
  <si>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</si>
  <si>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</si>
  <si>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</si>
  <si>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</si>
  <si>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</si>
  <si>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</si>
  <si>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</si>
  <si>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</si>
  <si>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</si>
  <si>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</si>
  <si>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</si>
  <si>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</si>
  <si>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</si>
  <si>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</si>
  <si>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</si>
  <si>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</si>
  <si>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</si>
  <si>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</si>
  <si>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</si>
  <si>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</si>
  <si>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</si>
  <si>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</si>
  <si>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</si>
  <si>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</si>
  <si>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</si>
  <si>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</si>
  <si>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</si>
  <si>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</si>
  <si>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</si>
  <si>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</si>
  <si>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</si>
  <si>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</si>
  <si>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</si>
  <si>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</si>
  <si>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</si>
  <si>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</si>
  <si>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</si>
  <si>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</si>
  <si>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</si>
  <si>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</si>
  <si>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</si>
  <si>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</si>
  <si>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</si>
  <si>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</si>
  <si>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</si>
  <si>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</si>
  <si>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</si>
  <si>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</si>
  <si>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</si>
  <si>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</si>
  <si>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</si>
  <si>
    <t>BW_PPT_2_4_kw</t>
  </si>
  <si>
    <t>Provisionsreklamation AO: angezeigte KW</t>
  </si>
  <si>
    <t>BW_PPT_2_4_8b_n</t>
  </si>
  <si>
    <t>Provisionsreklamation AO: Zunahmen (Balken, normiert)</t>
  </si>
  <si>
    <t>BW_PPT_2_4_8b_t</t>
  </si>
  <si>
    <t>Provisionsreklamation AO: Zunahmen (Text)</t>
  </si>
  <si>
    <t>BW_PPT_2_4_8c_n</t>
  </si>
  <si>
    <t>Provisionsreklamation AO: Abnahmen (Balken, normiert)</t>
  </si>
  <si>
    <t>BW_PPT_2_4_8c_t</t>
  </si>
  <si>
    <t>Provisionsreklamation AO: Abnahmen (Text)</t>
  </si>
  <si>
    <t>BW_PPT_2_4_8b_c</t>
  </si>
  <si>
    <t>Provisionsreklamation AO: Zunahmen (Träger der Zahl über dem Balken)</t>
  </si>
  <si>
    <t>BW_PPT_2_4_8c_c</t>
  </si>
  <si>
    <t>Provisionsreklamation AO: Abnahmen (Träger der Zahl über dem Balken)</t>
  </si>
  <si>
    <t>BW_PPT_2_4_an</t>
  </si>
  <si>
    <t>Provisionsreklamation AO: Delta-Zeile an (1) / aus (0)</t>
  </si>
  <si>
    <t>BW_PPT_2_4_dauf</t>
  </si>
  <si>
    <t>Provisionsreklamation AO: Delta-Zeile (auf)</t>
  </si>
  <si>
    <t>BW_PPT_2_4_dab</t>
  </si>
  <si>
    <t>Provisionsreklamation AO: Delta-Zeile (ab)</t>
  </si>
  <si>
    <t>BW_PPT_2_4_dnull</t>
  </si>
  <si>
    <t>Provisionsreklamation AO: Delta-Zeile (null)</t>
  </si>
  <si>
    <t>BW_PPT_2_4_dt</t>
  </si>
  <si>
    <t>Provisionsreklamation AO: Zunahmen minus Abnahmen (Text)</t>
  </si>
  <si>
    <t>BW_PPT_3_4_kw</t>
  </si>
  <si>
    <t>Defect Fixing (CPE): angezeigte KW</t>
  </si>
  <si>
    <t>BW_PPT_3_4_11e_n</t>
  </si>
  <si>
    <t>Defect Fixing (CPE): Zunahmen (Balken, normiert)</t>
  </si>
  <si>
    <t>BW_PPT_3_4_11e_t</t>
  </si>
  <si>
    <t>Defect Fixing (CPE): Zunahmen (Text)</t>
  </si>
  <si>
    <t>BW_PPT_3_4_11f_n</t>
  </si>
  <si>
    <t>Defect Fixing (CPE): Abnahmen (Balken, normiert)</t>
  </si>
  <si>
    <t>BW_PPT_3_4_11f_t</t>
  </si>
  <si>
    <t>Defect Fixing (CPE): Abnahmen (Text)</t>
  </si>
  <si>
    <t>BW_PPT_3_4_11e_c</t>
  </si>
  <si>
    <t>Defect Fixing (CPE): Zunahmen (Träger der Zahl über dem Balken)</t>
  </si>
  <si>
    <t>BW_PPT_3_4_11f_c</t>
  </si>
  <si>
    <t>Defect Fixing (CPE): Abnahmen (Träger der Zahl über dem Balken)</t>
  </si>
  <si>
    <t>BW_PPT_3_4_an</t>
  </si>
  <si>
    <t>Defect Fixing (CPE): Delta-Zeile an (1) / aus (0)</t>
  </si>
  <si>
    <t>BW_PPT_3_4_dauf</t>
  </si>
  <si>
    <t>Defect Fixing (CPE): Delta-Zeile (auf)</t>
  </si>
  <si>
    <t>BW_PPT_3_4_dab</t>
  </si>
  <si>
    <t>Defect Fixing (CPE): Delta-Zeile (ab)</t>
  </si>
  <si>
    <t>BW_PPT_3_4_dnull</t>
  </si>
  <si>
    <t>Defect Fixing (CPE): Delta-Zeile (null)</t>
  </si>
  <si>
    <t>BW_PPT_3_4_dt</t>
  </si>
  <si>
    <t>Defect Fixing (CPE): Zunahmen minus Abnahmen (Text)</t>
  </si>
  <si>
    <t>BW_PPT_3_5_kw</t>
  </si>
  <si>
    <t>Defects im operativen Betrieb: angezeigte KW</t>
  </si>
  <si>
    <t>BW_PPT_3_5_11k_n</t>
  </si>
  <si>
    <t>Defects im operativen Betrieb: Zunahmen (Balken, normiert)</t>
  </si>
  <si>
    <t>BW_PPT_3_5_11k_t</t>
  </si>
  <si>
    <t>Defects im operativen Betrieb: Zunahmen (Text)</t>
  </si>
  <si>
    <t>BW_PPT_3_5_11l_n</t>
  </si>
  <si>
    <t>Defects im operativen Betrieb: Abnahmen (Balken, normiert)</t>
  </si>
  <si>
    <t>BW_PPT_3_5_11l_t</t>
  </si>
  <si>
    <t>Defects im operativen Betrieb: Abnahmen (Text)</t>
  </si>
  <si>
    <t>BW_PPT_3_5_11k_c</t>
  </si>
  <si>
    <t>Defects im operativen Betrieb: Zunahmen (Träger der Zahl über dem Balken)</t>
  </si>
  <si>
    <t>BW_PPT_3_5_11l_c</t>
  </si>
  <si>
    <t>Defects im operativen Betrieb: Abnahmen (Träger der Zahl über dem Balken)</t>
  </si>
  <si>
    <t>BW_PPT_3_5_an</t>
  </si>
  <si>
    <t>Defects im operativen Betrieb: Delta-Zeile an (1) / aus (0)</t>
  </si>
  <si>
    <t>BW_PPT_3_5_dauf</t>
  </si>
  <si>
    <t>Defects im operativen Betrieb: Delta-Zeile (auf)</t>
  </si>
  <si>
    <t>BW_PPT_3_5_dab</t>
  </si>
  <si>
    <t>Defects im operativen Betrieb: Delta-Zeile (ab)</t>
  </si>
  <si>
    <t>BW_PPT_3_5_dnull</t>
  </si>
  <si>
    <t>Defects im operativen Betrieb: Delta-Zeile (null)</t>
  </si>
  <si>
    <t>BW_PPT_3_5_dt</t>
  </si>
  <si>
    <t>Defects im operativen Betrieb: Zunahmen minus Abnahmen (Text)</t>
  </si>
  <si>
    <t>Woche von</t>
  </si>
  <si>
    <t>Woche bis</t>
  </si>
  <si>
    <t>Monat bis</t>
  </si>
  <si>
    <t>Platz von</t>
  </si>
  <si>
    <t>KW min</t>
  </si>
  <si>
    <t>KW max</t>
  </si>
  <si>
    <t>Monate max</t>
  </si>
  <si>
    <t>Verzeichnis: Blatt</t>
  </si>
  <si>
    <t>Diagramme (Name:Art)</t>
  </si>
  <si>
    <t>KW-Zelle (BÜ)</t>
  </si>
  <si>
    <t>Werte (Anzeige|Diagramm&gt;Reihe&gt;Zeile,…|Schalter)</t>
  </si>
  <si>
    <t>K1_Rueckstand:B;K1_Vorgaenge:B;K1_Saldo:B</t>
  </si>
  <si>
    <t>Dashboard_Daten!$D$36</t>
  </si>
  <si>
    <t>Summe über der Säule|K1_Rueckstand&gt;Summe&gt;70|</t>
  </si>
  <si>
    <t>Werte je Sparte im Balken|K1_Rueckstand&gt;Wert Komposit&gt;58,K1_Rueckstand&gt;Wert Gesundheit&gt;60,K1_Rueckstand&gt;Wert Leben&gt;62|</t>
  </si>
  <si>
    <t>Zunahmen/Abnahmen über dem Balken|K1_Vorgaenge&gt;Wert Zunahmen&gt;74,K1_Vorgaenge&gt;Wert Abnahmen&gt;76|</t>
  </si>
  <si>
    <t>Saldo unter der KW|K1_Saldo&gt;Delta auf&gt;82,K1_Saldo&gt;Delta ab&gt;82,K1_Saldo&gt;Delta null&gt;82|</t>
  </si>
  <si>
    <t>K2_Rueckstand:B;K2_Vorgaenge:B;K2_Saldo:B</t>
  </si>
  <si>
    <t>Dashboard_Daten!$D$83</t>
  </si>
  <si>
    <t>Summe über der Säule|K2_Rueckstand&gt;Summe&gt;117|</t>
  </si>
  <si>
    <t>Werte je Sparte im Balken|K2_Rueckstand&gt;Wert Komposit&gt;105,K2_Rueckstand&gt;Wert Gesundheit&gt;107,K2_Rueckstand&gt;Wert Leben&gt;109|</t>
  </si>
  <si>
    <t>Zunahmen/Abnahmen über dem Balken|K2_Vorgaenge&gt;Wert Zunahmen&gt;121,K2_Vorgaenge&gt;Wert Abnahmen&gt;123|</t>
  </si>
  <si>
    <t>Saldo unter der KW|K2_Saldo&gt;Delta auf&gt;129,K2_Saldo&gt;Delta ab&gt;129,K2_Saldo&gt;Delta null&gt;129|</t>
  </si>
  <si>
    <t>K3_Linie:W;K3_Monate:M</t>
  </si>
  <si>
    <t>Eingang in HS|K3_Linie&gt;Eingang in HS&gt;0|</t>
  </si>
  <si>
    <t>Verpflichtungen (Anzahl)|K3_Monate&gt;Verpflichtungen je Monat&gt;0|</t>
  </si>
  <si>
    <t>Erledigungsquote|K3_Monate&gt;Erledigungsquote&gt;149|</t>
  </si>
  <si>
    <t>K4_Linie:W;K4_Bewegung:W;K4_BewegungDelta:W</t>
  </si>
  <si>
    <t>Dashboard_Daten!$D$154</t>
  </si>
  <si>
    <t>Offene Vorgänge|K4_Linie&gt;Offene Vorgänge&gt;0|</t>
  </si>
  <si>
    <t>Zunahmen|K4_Bewegung&gt;Wert Zunahmen&gt;156|</t>
  </si>
  <si>
    <t>Abnahmen|K4_Bewegung&gt;Wert Abnahmen&gt;158|</t>
  </si>
  <si>
    <t>Δ Zunahmen − Abnahmen unter der KW|K4_BewegungDelta&gt;Delta auf&gt;165,K4_BewegungDelta&gt;Delta ab&gt;165,K4_BewegungDelta&gt;Delta null&gt;165|Dashboard_Daten!$D$161</t>
  </si>
  <si>
    <t>K5_Linie:W</t>
  </si>
  <si>
    <t>Offene Vorgänge|K5_Linie&gt;Offene Vorgänge&gt;0|</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</si>
  <si>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</si>
  <si>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</si>
  <si>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</si>
  <si>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</si>
  <si>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</si>
  <si>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</si>
  <si>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</si>
  <si>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</si>
  <si>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Treffer VNRs|K2_Treffer&gt;Treffer VNRs&gt;134|</t>
  </si>
  <si>
    <t>In Bearbeitung|K2_Treffer&gt;In Bearbeitung&gt;136|</t>
  </si>
  <si>
    <t>Erledigt|K2_Treffer&gt;Erledigt&gt;138|</t>
  </si>
  <si>
    <t>K3_Linie:W</t>
  </si>
  <si>
    <t>Offene Arbeitsanweisungen|K3_Linie&gt;Offene Arbeitsanweisungen&gt;0|</t>
  </si>
  <si>
    <t>K4_Offen:W;K4_Bewegung:W;K4_BewegungDelta:W</t>
  </si>
  <si>
    <t>Dashboard_Daten!$D$166</t>
  </si>
  <si>
    <t>Sev 4|K4_Offen&gt;Sev 4&gt;0|</t>
  </si>
  <si>
    <t>Sev 3|K4_Offen&gt;Sev 3&gt;0|</t>
  </si>
  <si>
    <t>Sev 1+2|K4_Offen&gt;Sev 1+2&gt;0|</t>
  </si>
  <si>
    <t>Summe über dem Stapel|K4_Offen&gt;Summe&gt;140|</t>
  </si>
  <si>
    <t>Zunahmen|K4_Bewegung&gt;Wert Zunahmen&gt;168|</t>
  </si>
  <si>
    <t>Abnahmen|K4_Bewegung&gt;Wert Abnahmen&gt;170|</t>
  </si>
  <si>
    <t>Δ Zunahmen − Abnahmen unter der KW|K4_BewegungDelta&gt;Delta auf&gt;177,K4_BewegungDelta&gt;Delta ab&gt;177,K4_BewegungDelta&gt;Delta null&gt;177|Dashboard_Daten!$D$173</t>
  </si>
  <si>
    <t>K5_Offen:W;K5_Bewegung:W;K5_BewegungDelta:W</t>
  </si>
  <si>
    <t>Dashboard_Daten!$D$178</t>
  </si>
  <si>
    <t>Sev 4|K5_Offen&gt;Sev 4&gt;0|</t>
  </si>
  <si>
    <t>Sev 3|K5_Offen&gt;Sev 3&gt;0|</t>
  </si>
  <si>
    <t>Sev 1+2|K5_Offen&gt;Sev 1+2&gt;0|</t>
  </si>
  <si>
    <t>Summe über dem Stapel|K5_Offen&gt;Summe&gt;143|</t>
  </si>
  <si>
    <t>Zunahmen|K5_Bewegung&gt;Wert Zunahmen&gt;180|</t>
  </si>
  <si>
    <t>Abnahmen|K5_Bewegung&gt;Wert Abnahmen&gt;182|</t>
  </si>
  <si>
    <t>Δ Zunahmen − Abnahmen unter der KW|K5_BewegungDelta&gt;Delta auf&gt;189,K5_BewegungDelta&gt;Delta ab&gt;189,K5_BewegungDelta&gt;Delta null&gt;189|Dashboard_Daten!$D$185</t>
  </si>
  <si>
    <t>K6_MAK:M</t>
  </si>
  <si>
    <t>SOLL MAK|K6_MAK&gt;SOLL MAK&gt;0|</t>
  </si>
  <si>
    <t>(V)IST MAK|K6_MAK&gt;(V)IST MAK&gt;0|</t>
  </si>
  <si>
    <t>Offene Fälle|K1_Linie&gt;Offene Fälle&gt;0|</t>
  </si>
  <si>
    <t>K2_Linie:W</t>
  </si>
  <si>
    <t>Anzahl Vorgänge|K2_Linie&gt;Anzahl Vorgänge&gt;0|</t>
  </si>
  <si>
    <t>Anzahl Vorgänge|K3_Linie&gt;Anzahl Vorgänge&gt;0|</t>
  </si>
  <si>
    <t>K4_Linie:W</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</si>
</sst>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Liberation Sans"/>
      <family val="2"/>
    </font>
    <font>
      <b/>
      <sz val="24"/>
      <color rgb="FFBF1528"/>
      <name val="Liberation Sans"/>
      <family val="2"/>
    </font>
    <font>
      <sz val="10.5"/>
      <color rgb="FF6B6B6B"/>
      <name val="Liberation Sans"/>
      <family val="2"/>
    </font>
    <font>
      <b/>
      <sz val="8"/>
      <color rgb="FF0B6F7D"/>
      <name val="Liberation Sans"/>
      <family val="2"/>
    </font>
    <font>
      <b/>
      <sz val="10.5"/>
      <color theme="1"/>
      <name val="Liberation Sans"/>
      <family val="2"/>
    </font>
    <font>
      <b/>
      <sz val="11"/>
      <color rgb="FF0B6F7D"/>
      <name val="Liberation Sans"/>
      <family val="2"/>
    </font>
    <font>
      <b/>
      <sz val="9"/>
      <color rgb="FFFFFFFF"/>
      <name val="Liberation Sans"/>
      <family val="2"/>
    </font>
    <font>
      <i/>
      <sz val="9"/>
      <color rgb="FF6B6B6B"/>
      <name val="Liberation Sans"/>
      <family val="2"/>
    </font>
    <font>
      <sz val="9.5"/>
      <color theme="1"/>
      <name val="Liberation Sans"/>
      <family val="2"/>
    </font>
    <font>
      <b/>
      <sz val="9"/>
      <color theme="1"/>
      <name val="Liberation Sans"/>
      <family val="2"/>
    </font>
    <font>
      <b/>
      <sz val="9"/>
      <color rgb="FFBF1528"/>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8"/>
      <color rgb="FF6B6B6B"/>
      <name val="Liberation Sans"/>
      <family val="2"/>
    </font>
    <font>
      <sz val="7.5"/>
      <color rgb="FF6B6B6B"/>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Dashboard_Daten!$AQ$54:$AZ$54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Dashboard_Daten!$AQ$55:$AZ$55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Dashboard_Daten!$AQ$56:$AZ$56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Dashboard_Daten!$AQ$71:$AZ$71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Dashboard_Daten!$AQ$70</c:f>
                  <c:strCache>
                    <c:ptCount val="1"/>
                    <c:pt idx="0">
                      <c:v>0</c:v>
                    </c:pt>
                  </c:strCache>
                </c:strRef>
              </c:tx>
              <c:dLblPos val="t"/>
              <c:showVal val="1"/>
            </c:dLbl>
            <c:dLbl>
              <c:idx val="1"/>
              <c:layout/>
              <c:tx>
                <c:strRef>
                  <c:f>Dashboard_Daten!$AR$70</c:f>
                  <c:strCache>
                    <c:ptCount val="1"/>
                    <c:pt idx="0">
                      <c:v>0</c:v>
                    </c:pt>
                  </c:strCache>
                </c:strRef>
              </c:tx>
              <c:dLblPos val="t"/>
              <c:showVal val="1"/>
            </c:dLbl>
            <c:dLbl>
              <c:idx val="2"/>
              <c:layout/>
              <c:tx>
                <c:strRef>
                  <c:f>Dashboard_Daten!$AS$70</c:f>
                  <c:strCache>
                    <c:ptCount val="1"/>
                    <c:pt idx="0">
                      <c:v>0</c:v>
                    </c:pt>
                  </c:strCache>
                </c:strRef>
              </c:tx>
              <c:dLblPos val="t"/>
              <c:showVal val="1"/>
            </c:dLbl>
            <c:dLbl>
              <c:idx val="3"/>
              <c:layout/>
              <c:tx>
                <c:strRef>
                  <c:f>Dashboard_Daten!$AT$70</c:f>
                  <c:strCache>
                    <c:ptCount val="1"/>
                    <c:pt idx="0">
                      <c:v>0</c:v>
                    </c:pt>
                  </c:strCache>
                </c:strRef>
              </c:tx>
              <c:dLblPos val="t"/>
              <c:showVal val="1"/>
            </c:dLbl>
            <c:dLbl>
              <c:idx val="4"/>
              <c:layout/>
              <c:tx>
                <c:strRef>
                  <c:f>Dashboard_Daten!$AU$70</c:f>
                  <c:strCache>
                    <c:ptCount val="1"/>
                    <c:pt idx="0">
                      <c:v>0</c:v>
                    </c:pt>
                  </c:strCache>
                </c:strRef>
              </c:tx>
              <c:dLblPos val="t"/>
              <c:showVal val="1"/>
            </c:dLbl>
            <c:dLbl>
              <c:idx val="5"/>
              <c:layout/>
              <c:tx>
                <c:strRef>
                  <c:f>Dashboard_Daten!$AV$70</c:f>
                  <c:strCache>
                    <c:ptCount val="1"/>
                    <c:pt idx="0">
                      <c:v>0</c:v>
                    </c:pt>
                  </c:strCache>
                </c:strRef>
              </c:tx>
              <c:dLblPos val="t"/>
              <c:showVal val="1"/>
            </c:dLbl>
            <c:dLbl>
              <c:idx val="6"/>
              <c:layout/>
              <c:tx>
                <c:strRef>
                  <c:f>Dashboard_Daten!$AW$70</c:f>
                  <c:strCache>
                    <c:ptCount val="1"/>
                    <c:pt idx="0">
                      <c:v>0</c:v>
                    </c:pt>
                  </c:strCache>
                </c:strRef>
              </c:tx>
              <c:dLblPos val="t"/>
              <c:showVal val="1"/>
            </c:dLbl>
            <c:dLbl>
              <c:idx val="7"/>
              <c:layout/>
              <c:tx>
                <c:strRef>
                  <c:f>Dashboard_Daten!$AX$70</c:f>
                  <c:strCache>
                    <c:ptCount val="1"/>
                    <c:pt idx="0">
                      <c:v>0</c:v>
                    </c:pt>
                  </c:strCache>
                </c:strRef>
              </c:tx>
              <c:dLblPos val="t"/>
              <c:showVal val="1"/>
            </c:dLbl>
            <c:dLbl>
              <c:idx val="8"/>
              <c:layout/>
              <c:tx>
                <c:strRef>
                  <c:f>Dashboard_Daten!$AY$70</c:f>
                  <c:strCache>
                    <c:ptCount val="1"/>
                    <c:pt idx="0">
                      <c:v>0</c:v>
                    </c:pt>
                  </c:strCache>
                </c:strRef>
              </c:tx>
              <c:dLblPos val="t"/>
              <c:showVal val="1"/>
            </c:dLbl>
            <c:dLbl>
              <c:idx val="9"/>
              <c:layout/>
              <c:tx>
                <c:strRef>
                  <c:f>Dashboard_Daten!$AZ$70</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Dashboard_Daten!$AQ$69:$AZ$69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Dashboard_Daten!$AQ$58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Dashboard_Daten!$AR$58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Dashboard_Daten!$AS$58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Dashboard_Daten!$AT$58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Dashboard_Daten!$AU$58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Dashboard_Daten!$AV$58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Dashboard_Daten!$AW$58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Dashboard_Daten!$AX$58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Dashboard_Daten!$AY$58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Dashboard_Daten!$AZ$58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Dashboard_Daten!$AQ$66:$AZ$66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Dashboard_Daten!$AQ$60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Dashboard_Daten!$AQ$67:$AZ$67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Dashboard_Daten!$AQ$62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Dashboard_Daten!$AQ$68:$AZ$68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55813953488372"/>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Dashboard_Daten!$AQ$73:$AZ$73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Dashboard_Daten!$AQ$75:$AZ$75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20001"/>
        <c:axId val="50020002"/>
      </c:barChart>
      <c:barChart>
        <c:barDir val="col"/>
        <c:grouping val="clustered"/>
        <c:ser>
          <c:idx val="2"/>
          <c:order val="2"/>
          <c:tx>
            <c:v>Wert Zunahmen</c:v>
          </c:tx>
          <c:spPr>
            <a:noFill/>
            <a:ln>
              <a:noFill/>
            </a:ln>
          </c:spPr>
          <c:dLbls>
            <c:dLbl>
              <c:idx val="0"/>
              <c:layout/>
              <c:tx>
                <c:strRef>
                  <c:f>Dashboard_Daten!$AQ$74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Dashboard_Daten!$AR$74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Dashboard_Daten!$AS$74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Dashboard_Daten!$AT$74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Dashboard_Daten!$AU$74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Dashboard_Daten!$AV$74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Dashboard_Daten!$AW$74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Dashboard_Daten!$AX$74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Dashboard_Daten!$AY$74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Dashboard_Daten!$AZ$74</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Dashboard_Daten!$AQ$77:$AZ$77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Dashboard_Daten!$AQ$76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Dashboard_Daten!$AR$76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Dashboard_Daten!$AS$76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Dashboard_Daten!$AT$76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Dashboard_Daten!$AU$76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Dashboard_Daten!$AV$76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Dashboard_Daten!$AW$76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Dashboard_Daten!$AX$76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Dashboard_Daten!$AY$76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Dashboard_Daten!$AZ$76</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Dashboard_Daten!$AQ$78:$AZ$78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20001"/>
        <c:axId val="60020002"/>
      </c:bar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608695652173913"/>
          <c:min val="0"/>
        </c:scaling>
        <c:delete val="1"/>
        <c:axPos val="l"/>
        <c:numFmt formatCode="General" sourceLinked="1"/>
        <c:tickLblPos val="nextTo"/>
        <c:crossAx val="50020001"/>
        <c:crosses val="autoZero"/>
        <c:crossBetween val="between"/>
      </c:valAx>
      <c:valAx>
        <c:axId val="60020002"/>
        <c:scaling>
          <c:orientation val="minMax"/>
          <c:max val="1.608695652173913"/>
          <c:min val="0"/>
        </c:scaling>
        <c:delete val="1"/>
        <c:axPos val="r"/>
        <c:numFmt formatCode="General" sourceLinked="1"/>
        <c:tickLblPos val="nextTo"/>
        <c:crossAx val="60020001"/>
        <c:crosses val="max"/>
        <c:crossBetween val="between"/>
      </c:valAx>
      <c:catAx>
        <c:axId val="60020001"/>
        <c:scaling>
          <c:orientation val="minMax"/>
        </c:scaling>
        <c:delete val="1"/>
        <c:axPos val="b"/>
        <c:numFmt formatCode="General" sourceLinked="1"/>
        <c:tickLblPos val="none"/>
        <c:crossAx val="6002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Dashboard_Daten!$AQ$82</c:f>
                  <c:strCache>
                    <c:ptCount val="1"/>
                    <c:pt idx="0">
                      <c:v>0</c:v>
                    </c:pt>
                  </c:strCache>
                </c:strRef>
              </c:tx>
              <c:dLblPos val="ctr"/>
              <c:showVal val="1"/>
            </c:dLbl>
            <c:dLbl>
              <c:idx val="1"/>
              <c:layout/>
              <c:tx>
                <c:strRef>
                  <c:f>Dashboard_Daten!$AR$82</c:f>
                  <c:strCache>
                    <c:ptCount val="1"/>
                    <c:pt idx="0">
                      <c:v>0</c:v>
                    </c:pt>
                  </c:strCache>
                </c:strRef>
              </c:tx>
              <c:dLblPos val="ctr"/>
              <c:showVal val="1"/>
            </c:dLbl>
            <c:dLbl>
              <c:idx val="2"/>
              <c:layout/>
              <c:tx>
                <c:strRef>
                  <c:f>Dashboard_Daten!$AS$82</c:f>
                  <c:strCache>
                    <c:ptCount val="1"/>
                    <c:pt idx="0">
                      <c:v>0</c:v>
                    </c:pt>
                  </c:strCache>
                </c:strRef>
              </c:tx>
              <c:dLblPos val="ctr"/>
              <c:showVal val="1"/>
            </c:dLbl>
            <c:dLbl>
              <c:idx val="3"/>
              <c:layout/>
              <c:tx>
                <c:strRef>
                  <c:f>Dashboard_Daten!$AT$82</c:f>
                  <c:strCache>
                    <c:ptCount val="1"/>
                    <c:pt idx="0">
                      <c:v>0</c:v>
                    </c:pt>
                  </c:strCache>
                </c:strRef>
              </c:tx>
              <c:dLblPos val="ctr"/>
              <c:showVal val="1"/>
            </c:dLbl>
            <c:dLbl>
              <c:idx val="4"/>
              <c:layout/>
              <c:tx>
                <c:strRef>
                  <c:f>Dashboard_Daten!$AU$82</c:f>
                  <c:strCache>
                    <c:ptCount val="1"/>
                    <c:pt idx="0">
                      <c:v>0</c:v>
                    </c:pt>
                  </c:strCache>
                </c:strRef>
              </c:tx>
              <c:dLblPos val="ctr"/>
              <c:showVal val="1"/>
            </c:dLbl>
            <c:dLbl>
              <c:idx val="5"/>
              <c:layout/>
              <c:tx>
                <c:strRef>
                  <c:f>Dashboard_Daten!$AV$82</c:f>
                  <c:strCache>
                    <c:ptCount val="1"/>
                    <c:pt idx="0">
                      <c:v>0</c:v>
                    </c:pt>
                  </c:strCache>
                </c:strRef>
              </c:tx>
              <c:dLblPos val="ctr"/>
              <c:showVal val="1"/>
            </c:dLbl>
            <c:dLbl>
              <c:idx val="6"/>
              <c:layout/>
              <c:tx>
                <c:strRef>
                  <c:f>Dashboard_Daten!$AW$82</c:f>
                  <c:strCache>
                    <c:ptCount val="1"/>
                    <c:pt idx="0">
                      <c:v>0</c:v>
                    </c:pt>
                  </c:strCache>
                </c:strRef>
              </c:tx>
              <c:dLblPos val="ctr"/>
              <c:showVal val="1"/>
            </c:dLbl>
            <c:dLbl>
              <c:idx val="7"/>
              <c:layout/>
              <c:tx>
                <c:strRef>
                  <c:f>Dashboard_Daten!$AX$82</c:f>
                  <c:strCache>
                    <c:ptCount val="1"/>
                    <c:pt idx="0">
                      <c:v>0</c:v>
                    </c:pt>
                  </c:strCache>
                </c:strRef>
              </c:tx>
              <c:dLblPos val="ctr"/>
              <c:showVal val="1"/>
            </c:dLbl>
            <c:dLbl>
              <c:idx val="8"/>
              <c:layout/>
              <c:tx>
                <c:strRef>
                  <c:f>Dashboard_Daten!$AY$82</c:f>
                  <c:strCache>
                    <c:ptCount val="1"/>
                    <c:pt idx="0">
                      <c:v>0</c:v>
                    </c:pt>
                  </c:strCache>
                </c:strRef>
              </c:tx>
              <c:dLblPos val="ctr"/>
              <c:showVal val="1"/>
            </c:dLbl>
            <c:dLbl>
              <c:idx val="9"/>
              <c:layout/>
              <c:tx>
                <c:strRef>
                  <c:f>Dashboard_Daten!$AZ$82</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Dashboard_Daten!$AQ$79:$AZ$79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Dashboard_Daten!$AQ$82</c:f>
                  <c:strCache>
                    <c:ptCount val="1"/>
                    <c:pt idx="0">
                      <c:v>0</c:v>
                    </c:pt>
                  </c:strCache>
                </c:strRef>
              </c:tx>
              <c:dLblPos val="ctr"/>
              <c:showVal val="1"/>
            </c:dLbl>
            <c:dLbl>
              <c:idx val="1"/>
              <c:layout/>
              <c:tx>
                <c:strRef>
                  <c:f>Dashboard_Daten!$AR$82</c:f>
                  <c:strCache>
                    <c:ptCount val="1"/>
                    <c:pt idx="0">
                      <c:v>0</c:v>
                    </c:pt>
                  </c:strCache>
                </c:strRef>
              </c:tx>
              <c:dLblPos val="ctr"/>
              <c:showVal val="1"/>
            </c:dLbl>
            <c:dLbl>
              <c:idx val="2"/>
              <c:layout/>
              <c:tx>
                <c:strRef>
                  <c:f>Dashboard_Daten!$AS$82</c:f>
                  <c:strCache>
                    <c:ptCount val="1"/>
                    <c:pt idx="0">
                      <c:v>0</c:v>
                    </c:pt>
                  </c:strCache>
                </c:strRef>
              </c:tx>
              <c:dLblPos val="ctr"/>
              <c:showVal val="1"/>
            </c:dLbl>
            <c:dLbl>
              <c:idx val="3"/>
              <c:layout/>
              <c:tx>
                <c:strRef>
                  <c:f>Dashboard_Daten!$AT$82</c:f>
                  <c:strCache>
                    <c:ptCount val="1"/>
                    <c:pt idx="0">
                      <c:v>0</c:v>
                    </c:pt>
                  </c:strCache>
                </c:strRef>
              </c:tx>
              <c:dLblPos val="ctr"/>
              <c:showVal val="1"/>
            </c:dLbl>
            <c:dLbl>
              <c:idx val="4"/>
              <c:layout/>
              <c:tx>
                <c:strRef>
                  <c:f>Dashboard_Daten!$AU$82</c:f>
                  <c:strCache>
                    <c:ptCount val="1"/>
                    <c:pt idx="0">
                      <c:v>0</c:v>
                    </c:pt>
                  </c:strCache>
                </c:strRef>
              </c:tx>
              <c:dLblPos val="ctr"/>
              <c:showVal val="1"/>
            </c:dLbl>
            <c:dLbl>
              <c:idx val="5"/>
              <c:layout/>
              <c:tx>
                <c:strRef>
                  <c:f>Dashboard_Daten!$AV$82</c:f>
                  <c:strCache>
                    <c:ptCount val="1"/>
                    <c:pt idx="0">
                      <c:v>0</c:v>
                    </c:pt>
                  </c:strCache>
                </c:strRef>
              </c:tx>
              <c:dLblPos val="ctr"/>
              <c:showVal val="1"/>
            </c:dLbl>
            <c:dLbl>
              <c:idx val="6"/>
              <c:layout/>
              <c:tx>
                <c:strRef>
                  <c:f>Dashboard_Daten!$AW$82</c:f>
                  <c:strCache>
                    <c:ptCount val="1"/>
                    <c:pt idx="0">
                      <c:v>0</c:v>
                    </c:pt>
                  </c:strCache>
                </c:strRef>
              </c:tx>
              <c:dLblPos val="ctr"/>
              <c:showVal val="1"/>
            </c:dLbl>
            <c:dLbl>
              <c:idx val="7"/>
              <c:layout/>
              <c:tx>
                <c:strRef>
                  <c:f>Dashboard_Daten!$AX$82</c:f>
                  <c:strCache>
                    <c:ptCount val="1"/>
                    <c:pt idx="0">
                      <c:v>0</c:v>
                    </c:pt>
                  </c:strCache>
                </c:strRef>
              </c:tx>
              <c:dLblPos val="ctr"/>
              <c:showVal val="1"/>
            </c:dLbl>
            <c:dLbl>
              <c:idx val="8"/>
              <c:layout/>
              <c:tx>
                <c:strRef>
                  <c:f>Dashboard_Daten!$AY$82</c:f>
                  <c:strCache>
                    <c:ptCount val="1"/>
                    <c:pt idx="0">
                      <c:v>0</c:v>
                    </c:pt>
                  </c:strCache>
                </c:strRef>
              </c:tx>
              <c:dLblPos val="ctr"/>
              <c:showVal val="1"/>
            </c:dLbl>
            <c:dLbl>
              <c:idx val="9"/>
              <c:layout/>
              <c:tx>
                <c:strRef>
                  <c:f>Dashboard_Daten!$AZ$82</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Dashboard_Daten!$AQ$80:$AZ$80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Dashboard_Daten!$AQ$82</c:f>
                  <c:strCache>
                    <c:ptCount val="1"/>
                    <c:pt idx="0">
                      <c:v>0</c:v>
                    </c:pt>
                  </c:strCache>
                </c:strRef>
              </c:tx>
              <c:dLblPos val="ctr"/>
              <c:showVal val="1"/>
            </c:dLbl>
            <c:dLbl>
              <c:idx val="1"/>
              <c:layout/>
              <c:tx>
                <c:strRef>
                  <c:f>Dashboard_Daten!$AR$82</c:f>
                  <c:strCache>
                    <c:ptCount val="1"/>
                    <c:pt idx="0">
                      <c:v>0</c:v>
                    </c:pt>
                  </c:strCache>
                </c:strRef>
              </c:tx>
              <c:dLblPos val="ctr"/>
              <c:showVal val="1"/>
            </c:dLbl>
            <c:dLbl>
              <c:idx val="2"/>
              <c:layout/>
              <c:tx>
                <c:strRef>
                  <c:f>Dashboard_Daten!$AS$82</c:f>
                  <c:strCache>
                    <c:ptCount val="1"/>
                    <c:pt idx="0">
                      <c:v>0</c:v>
                    </c:pt>
                  </c:strCache>
                </c:strRef>
              </c:tx>
              <c:dLblPos val="ctr"/>
              <c:showVal val="1"/>
            </c:dLbl>
            <c:dLbl>
              <c:idx val="3"/>
              <c:layout/>
              <c:tx>
                <c:strRef>
                  <c:f>Dashboard_Daten!$AT$82</c:f>
                  <c:strCache>
                    <c:ptCount val="1"/>
                    <c:pt idx="0">
                      <c:v>0</c:v>
                    </c:pt>
                  </c:strCache>
                </c:strRef>
              </c:tx>
              <c:dLblPos val="ctr"/>
              <c:showVal val="1"/>
            </c:dLbl>
            <c:dLbl>
              <c:idx val="4"/>
              <c:layout/>
              <c:tx>
                <c:strRef>
                  <c:f>Dashboard_Daten!$AU$82</c:f>
                  <c:strCache>
                    <c:ptCount val="1"/>
                    <c:pt idx="0">
                      <c:v>0</c:v>
                    </c:pt>
                  </c:strCache>
                </c:strRef>
              </c:tx>
              <c:dLblPos val="ctr"/>
              <c:showVal val="1"/>
            </c:dLbl>
            <c:dLbl>
              <c:idx val="5"/>
              <c:layout/>
              <c:tx>
                <c:strRef>
                  <c:f>Dashboard_Daten!$AV$82</c:f>
                  <c:strCache>
                    <c:ptCount val="1"/>
                    <c:pt idx="0">
                      <c:v>0</c:v>
                    </c:pt>
                  </c:strCache>
                </c:strRef>
              </c:tx>
              <c:dLblPos val="ctr"/>
              <c:showVal val="1"/>
            </c:dLbl>
            <c:dLbl>
              <c:idx val="6"/>
              <c:layout/>
              <c:tx>
                <c:strRef>
                  <c:f>Dashboard_Daten!$AW$82</c:f>
                  <c:strCache>
                    <c:ptCount val="1"/>
                    <c:pt idx="0">
                      <c:v>0</c:v>
                    </c:pt>
                  </c:strCache>
                </c:strRef>
              </c:tx>
              <c:dLblPos val="ctr"/>
              <c:showVal val="1"/>
            </c:dLbl>
            <c:dLbl>
              <c:idx val="7"/>
              <c:layout/>
              <c:tx>
                <c:strRef>
                  <c:f>Dashboard_Daten!$AX$82</c:f>
                  <c:strCache>
                    <c:ptCount val="1"/>
                    <c:pt idx="0">
                      <c:v>0</c:v>
                    </c:pt>
                  </c:strCache>
                </c:strRef>
              </c:tx>
              <c:dLblPos val="ctr"/>
              <c:showVal val="1"/>
            </c:dLbl>
            <c:dLbl>
              <c:idx val="8"/>
              <c:layout/>
              <c:tx>
                <c:strRef>
                  <c:f>Dashboard_Daten!$AY$82</c:f>
                  <c:strCache>
                    <c:ptCount val="1"/>
                    <c:pt idx="0">
                      <c:v>0</c:v>
                    </c:pt>
                  </c:strCache>
                </c:strRef>
              </c:tx>
              <c:dLblPos val="ctr"/>
              <c:showVal val="1"/>
            </c:dLbl>
            <c:dLbl>
              <c:idx val="9"/>
              <c:layout/>
              <c:tx>
                <c:strRef>
                  <c:f>Dashboard_Daten!$AZ$82</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Dashboard_Daten!$AQ$38:$AZ$38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Dashboard_Daten!$AQ$81:$AZ$81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ax val="1"/>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Dashboard_Daten!$AQ$101:$AZ$101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Dashboard_Daten!$AQ$102:$AZ$102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Dashboard_Daten!$AQ$103:$AZ$103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3"/>
          <c:order val="3"/>
          <c:tx>
            <c:v>SLA</c:v>
          </c:tx>
          <c:spPr>
            <a:ln w="12700">
              <a:solidFill>
                <a:srgbClr val="4A4A4A"/>
              </a:solidFill>
              <a:prstDash val="dash"/>
            </a:ln>
          </c:spPr>
          <c:marker>
            <c:symbol val="none"/>
          </c:marker>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Dashboard_Daten!$AQ$118:$AZ$118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Dashboard_Daten!$AQ$117</c:f>
                  <c:strCache>
                    <c:ptCount val="1"/>
                    <c:pt idx="0">
                      <c:v>0</c:v>
                    </c:pt>
                  </c:strCache>
                </c:strRef>
              </c:tx>
              <c:dLblPos val="t"/>
              <c:showVal val="1"/>
            </c:dLbl>
            <c:dLbl>
              <c:idx val="1"/>
              <c:layout/>
              <c:tx>
                <c:strRef>
                  <c:f>Dashboard_Daten!$AR$117</c:f>
                  <c:strCache>
                    <c:ptCount val="1"/>
                    <c:pt idx="0">
                      <c:v>0</c:v>
                    </c:pt>
                  </c:strCache>
                </c:strRef>
              </c:tx>
              <c:dLblPos val="t"/>
              <c:showVal val="1"/>
            </c:dLbl>
            <c:dLbl>
              <c:idx val="2"/>
              <c:layout/>
              <c:tx>
                <c:strRef>
                  <c:f>Dashboard_Daten!$AS$117</c:f>
                  <c:strCache>
                    <c:ptCount val="1"/>
                    <c:pt idx="0">
                      <c:v>0</c:v>
                    </c:pt>
                  </c:strCache>
                </c:strRef>
              </c:tx>
              <c:dLblPos val="t"/>
              <c:showVal val="1"/>
            </c:dLbl>
            <c:dLbl>
              <c:idx val="3"/>
              <c:layout/>
              <c:tx>
                <c:strRef>
                  <c:f>Dashboard_Daten!$AT$117</c:f>
                  <c:strCache>
                    <c:ptCount val="1"/>
                    <c:pt idx="0">
                      <c:v>0</c:v>
                    </c:pt>
                  </c:strCache>
                </c:strRef>
              </c:tx>
              <c:dLblPos val="t"/>
              <c:showVal val="1"/>
            </c:dLbl>
            <c:dLbl>
              <c:idx val="4"/>
              <c:layout/>
              <c:tx>
                <c:strRef>
                  <c:f>Dashboard_Daten!$AU$117</c:f>
                  <c:strCache>
                    <c:ptCount val="1"/>
                    <c:pt idx="0">
                      <c:v>0</c:v>
                    </c:pt>
                  </c:strCache>
                </c:strRef>
              </c:tx>
              <c:dLblPos val="t"/>
              <c:showVal val="1"/>
            </c:dLbl>
            <c:dLbl>
              <c:idx val="5"/>
              <c:layout/>
              <c:tx>
                <c:strRef>
                  <c:f>Dashboard_Daten!$AV$117</c:f>
                  <c:strCache>
                    <c:ptCount val="1"/>
                    <c:pt idx="0">
                      <c:v>0</c:v>
                    </c:pt>
                  </c:strCache>
                </c:strRef>
              </c:tx>
              <c:dLblPos val="t"/>
              <c:showVal val="1"/>
            </c:dLbl>
            <c:dLbl>
              <c:idx val="6"/>
              <c:layout/>
              <c:tx>
                <c:strRef>
                  <c:f>Dashboard_Daten!$AW$117</c:f>
                  <c:strCache>
                    <c:ptCount val="1"/>
                    <c:pt idx="0">
                      <c:v>0</c:v>
                    </c:pt>
                  </c:strCache>
                </c:strRef>
              </c:tx>
              <c:dLblPos val="t"/>
              <c:showVal val="1"/>
            </c:dLbl>
            <c:dLbl>
              <c:idx val="7"/>
              <c:layout/>
              <c:tx>
                <c:strRef>
                  <c:f>Dashboard_Daten!$AX$117</c:f>
                  <c:strCache>
                    <c:ptCount val="1"/>
                    <c:pt idx="0">
                      <c:v>0</c:v>
                    </c:pt>
                  </c:strCache>
                </c:strRef>
              </c:tx>
              <c:dLblPos val="t"/>
              <c:showVal val="1"/>
            </c:dLbl>
            <c:dLbl>
              <c:idx val="8"/>
              <c:layout/>
              <c:tx>
                <c:strRef>
                  <c:f>Dashboard_Daten!$AY$117</c:f>
                  <c:strCache>
                    <c:ptCount val="1"/>
                    <c:pt idx="0">
                      <c:v>0</c:v>
                    </c:pt>
                  </c:strCache>
                </c:strRef>
              </c:tx>
              <c:dLblPos val="t"/>
              <c:showVal val="1"/>
            </c:dLbl>
            <c:dLbl>
              <c:idx val="9"/>
              <c:layout/>
              <c:tx>
                <c:strRef>
                  <c:f>Dashboard_Daten!$AZ$117</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Dashboard_Daten!$AQ$116:$AZ$116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Dashboard_Daten!$AQ$105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Dashboard_Daten!$AR$105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Dashboard_Daten!$AS$105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Dashboard_Daten!$AT$105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Dashboard_Daten!$AU$105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Dashboard_Daten!$AV$105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Dashboard_Daten!$AW$105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Dashboard_Daten!$AX$105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Dashboard_Daten!$AY$105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Dashboard_Daten!$AZ$105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Dashboard_Daten!$AQ$113:$AZ$113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Dashboard_Daten!$AQ$107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Dashboard_Daten!$AR$107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Dashboard_Daten!$AS$107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Dashboard_Daten!$AT$107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Dashboard_Daten!$AU$107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Dashboard_Daten!$AV$107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Dashboard_Daten!$AW$107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Dashboard_Daten!$AX$107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Dashboard_Daten!$AY$107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Dashboard_Daten!$AZ$107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Dashboard_Daten!$AQ$114:$AZ$114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Dashboard_Daten!$AQ$109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Dashboard_Daten!$AR$109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Dashboard_Daten!$AS$109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Dashboard_Daten!$AT$109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Dashboard_Daten!$AU$109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Dashboard_Daten!$AV$109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Dashboard_Daten!$AW$109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Dashboard_Daten!$AX$109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Dashboard_Daten!$AY$109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Dashboard_Daten!$AZ$109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Dashboard_Daten!$AQ$115:$AZ$115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255813953488372"/>
          <c:min val="0"/>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Dashboard_Daten!$AQ$120:$AZ$120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Dashboard_Daten!$AQ$122:$AZ$122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50001"/>
        <c:axId val="50050002"/>
      </c:barChart>
      <c:barChart>
        <c:barDir val="col"/>
        <c:grouping val="clustered"/>
        <c:ser>
          <c:idx val="2"/>
          <c:order val="2"/>
          <c:tx>
            <c:v>Wert Zunahmen</c:v>
          </c:tx>
          <c:spPr>
            <a:noFill/>
            <a:ln>
              <a:noFill/>
            </a:ln>
          </c:spPr>
          <c:dLbls>
            <c:dLbl>
              <c:idx val="0"/>
              <c:layout/>
              <c:tx>
                <c:strRef>
                  <c:f>Dashboard_Daten!$AQ$121</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Dashboard_Daten!$AR$121</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Dashboard_Daten!$AS$121</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Dashboard_Daten!$AT$121</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Dashboard_Daten!$AU$121</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Dashboard_Daten!$AV$121</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Dashboard_Daten!$AW$121</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Dashboard_Daten!$AX$121</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Dashboard_Daten!$AY$121</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Dashboard_Daten!$AZ$121</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Dashboard_Daten!$AQ$124:$AZ$124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Dashboard_Daten!$AQ$123</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Dashboard_Daten!$AR$123</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Dashboard_Daten!$AS$123</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Dashboard_Daten!$AT$123</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Dashboard_Daten!$AU$123</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Dashboard_Daten!$AV$123</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Dashboard_Daten!$AW$123</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Dashboard_Daten!$AX$123</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Dashboard_Daten!$AY$123</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Dashboard_Daten!$AZ$123</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Dashboard_Daten!$AQ$125:$AZ$125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50001"/>
        <c:axId val="60050002"/>
      </c:bar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ax val="1.608695652173913"/>
          <c:min val="0"/>
        </c:scaling>
        <c:delete val="1"/>
        <c:axPos val="l"/>
        <c:numFmt formatCode="General" sourceLinked="1"/>
        <c:tickLblPos val="nextTo"/>
        <c:crossAx val="50050001"/>
        <c:crosses val="autoZero"/>
        <c:crossBetween val="between"/>
      </c:valAx>
      <c:valAx>
        <c:axId val="60050002"/>
        <c:scaling>
          <c:orientation val="minMax"/>
          <c:max val="1.608695652173913"/>
          <c:min val="0"/>
        </c:scaling>
        <c:delete val="1"/>
        <c:axPos val="r"/>
        <c:numFmt formatCode="General" sourceLinked="1"/>
        <c:tickLblPos val="nextTo"/>
        <c:crossAx val="60050001"/>
        <c:crosses val="max"/>
        <c:crossBetween val="between"/>
      </c:valAx>
      <c:catAx>
        <c:axId val="60050001"/>
        <c:scaling>
          <c:orientation val="minMax"/>
        </c:scaling>
        <c:delete val="1"/>
        <c:axPos val="b"/>
        <c:numFmt formatCode="General" sourceLinked="1"/>
        <c:tickLblPos val="none"/>
        <c:crossAx val="6005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Dashboard_Daten!$AQ$129</c:f>
                  <c:strCache>
                    <c:ptCount val="1"/>
                    <c:pt idx="0">
                      <c:v>0</c:v>
                    </c:pt>
                  </c:strCache>
                </c:strRef>
              </c:tx>
              <c:dLblPos val="ctr"/>
              <c:showVal val="1"/>
            </c:dLbl>
            <c:dLbl>
              <c:idx val="1"/>
              <c:layout/>
              <c:tx>
                <c:strRef>
                  <c:f>Dashboard_Daten!$AR$129</c:f>
                  <c:strCache>
                    <c:ptCount val="1"/>
                    <c:pt idx="0">
                      <c:v>0</c:v>
                    </c:pt>
                  </c:strCache>
                </c:strRef>
              </c:tx>
              <c:dLblPos val="ctr"/>
              <c:showVal val="1"/>
            </c:dLbl>
            <c:dLbl>
              <c:idx val="2"/>
              <c:layout/>
              <c:tx>
                <c:strRef>
                  <c:f>Dashboard_Daten!$AS$129</c:f>
                  <c:strCache>
                    <c:ptCount val="1"/>
                    <c:pt idx="0">
                      <c:v>0</c:v>
                    </c:pt>
                  </c:strCache>
                </c:strRef>
              </c:tx>
              <c:dLblPos val="ctr"/>
              <c:showVal val="1"/>
            </c:dLbl>
            <c:dLbl>
              <c:idx val="3"/>
              <c:layout/>
              <c:tx>
                <c:strRef>
                  <c:f>Dashboard_Daten!$AT$129</c:f>
                  <c:strCache>
                    <c:ptCount val="1"/>
                    <c:pt idx="0">
                      <c:v>0</c:v>
                    </c:pt>
                  </c:strCache>
                </c:strRef>
              </c:tx>
              <c:dLblPos val="ctr"/>
              <c:showVal val="1"/>
            </c:dLbl>
            <c:dLbl>
              <c:idx val="4"/>
              <c:layout/>
              <c:tx>
                <c:strRef>
                  <c:f>Dashboard_Daten!$AU$129</c:f>
                  <c:strCache>
                    <c:ptCount val="1"/>
                    <c:pt idx="0">
                      <c:v>0</c:v>
                    </c:pt>
                  </c:strCache>
                </c:strRef>
              </c:tx>
              <c:dLblPos val="ctr"/>
              <c:showVal val="1"/>
            </c:dLbl>
            <c:dLbl>
              <c:idx val="5"/>
              <c:layout/>
              <c:tx>
                <c:strRef>
                  <c:f>Dashboard_Daten!$AV$129</c:f>
                  <c:strCache>
                    <c:ptCount val="1"/>
                    <c:pt idx="0">
                      <c:v>0</c:v>
                    </c:pt>
                  </c:strCache>
                </c:strRef>
              </c:tx>
              <c:dLblPos val="ctr"/>
              <c:showVal val="1"/>
            </c:dLbl>
            <c:dLbl>
              <c:idx val="6"/>
              <c:layout/>
              <c:tx>
                <c:strRef>
                  <c:f>Dashboard_Daten!$AW$129</c:f>
                  <c:strCache>
                    <c:ptCount val="1"/>
                    <c:pt idx="0">
                      <c:v>0</c:v>
                    </c:pt>
                  </c:strCache>
                </c:strRef>
              </c:tx>
              <c:dLblPos val="ctr"/>
              <c:showVal val="1"/>
            </c:dLbl>
            <c:dLbl>
              <c:idx val="7"/>
              <c:layout/>
              <c:tx>
                <c:strRef>
                  <c:f>Dashboard_Daten!$AX$129</c:f>
                  <c:strCache>
                    <c:ptCount val="1"/>
                    <c:pt idx="0">
                      <c:v>0</c:v>
                    </c:pt>
                  </c:strCache>
                </c:strRef>
              </c:tx>
              <c:dLblPos val="ctr"/>
              <c:showVal val="1"/>
            </c:dLbl>
            <c:dLbl>
              <c:idx val="8"/>
              <c:layout/>
              <c:tx>
                <c:strRef>
                  <c:f>Dashboard_Daten!$AY$129</c:f>
                  <c:strCache>
                    <c:ptCount val="1"/>
                    <c:pt idx="0">
                      <c:v>0</c:v>
                    </c:pt>
                  </c:strCache>
                </c:strRef>
              </c:tx>
              <c:dLblPos val="ctr"/>
              <c:showVal val="1"/>
            </c:dLbl>
            <c:dLbl>
              <c:idx val="9"/>
              <c:layout/>
              <c:tx>
                <c:strRef>
                  <c:f>Dashboard_Daten!$AZ$129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Dashboard_Daten!$AQ$126:$AZ$126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Dashboard_Daten!$AQ$129</c:f>
                  <c:strCache>
                    <c:ptCount val="1"/>
                    <c:pt idx="0">
                      <c:v>0</c:v>
                    </c:pt>
                  </c:strCache>
                </c:strRef>
              </c:tx>
              <c:dLblPos val="ctr"/>
              <c:showVal val="1"/>
            </c:dLbl>
            <c:dLbl>
              <c:idx val="1"/>
              <c:layout/>
              <c:tx>
                <c:strRef>
                  <c:f>Dashboard_Daten!$AR$129</c:f>
                  <c:strCache>
                    <c:ptCount val="1"/>
                    <c:pt idx="0">
                      <c:v>0</c:v>
                    </c:pt>
                  </c:strCache>
                </c:strRef>
              </c:tx>
              <c:dLblPos val="ctr"/>
              <c:showVal val="1"/>
            </c:dLbl>
            <c:dLbl>
              <c:idx val="2"/>
              <c:layout/>
              <c:tx>
                <c:strRef>
                  <c:f>Dashboard_Daten!$AS$129</c:f>
                  <c:strCache>
                    <c:ptCount val="1"/>
                    <c:pt idx="0">
                      <c:v>0</c:v>
                    </c:pt>
                  </c:strCache>
                </c:strRef>
              </c:tx>
              <c:dLblPos val="ctr"/>
              <c:showVal val="1"/>
            </c:dLbl>
            <c:dLbl>
              <c:idx val="3"/>
              <c:layout/>
              <c:tx>
                <c:strRef>
                  <c:f>Dashboard_Daten!$AT$129</c:f>
                  <c:strCache>
                    <c:ptCount val="1"/>
                    <c:pt idx="0">
                      <c:v>0</c:v>
                    </c:pt>
                  </c:strCache>
                </c:strRef>
              </c:tx>
              <c:dLblPos val="ctr"/>
              <c:showVal val="1"/>
            </c:dLbl>
            <c:dLbl>
              <c:idx val="4"/>
              <c:layout/>
              <c:tx>
                <c:strRef>
                  <c:f>Dashboard_Daten!$AU$129</c:f>
                  <c:strCache>
                    <c:ptCount val="1"/>
                    <c:pt idx="0">
                      <c:v>0</c:v>
                    </c:pt>
                  </c:strCache>
                </c:strRef>
              </c:tx>
              <c:dLblPos val="ctr"/>
              <c:showVal val="1"/>
            </c:dLbl>
            <c:dLbl>
              <c:idx val="5"/>
              <c:layout/>
              <c:tx>
                <c:strRef>
                  <c:f>Dashboard_Daten!$AV$129</c:f>
                  <c:strCache>
                    <c:ptCount val="1"/>
                    <c:pt idx="0">
                      <c:v>0</c:v>
                    </c:pt>
                  </c:strCache>
                </c:strRef>
              </c:tx>
              <c:dLblPos val="ctr"/>
              <c:showVal val="1"/>
            </c:dLbl>
            <c:dLbl>
              <c:idx val="6"/>
              <c:layout/>
              <c:tx>
                <c:strRef>
                  <c:f>Dashboard_Daten!$AW$129</c:f>
                  <c:strCache>
                    <c:ptCount val="1"/>
                    <c:pt idx="0">
                      <c:v>0</c:v>
                    </c:pt>
                  </c:strCache>
                </c:strRef>
              </c:tx>
              <c:dLblPos val="ctr"/>
              <c:showVal val="1"/>
            </c:dLbl>
            <c:dLbl>
              <c:idx val="7"/>
              <c:layout/>
              <c:tx>
                <c:strRef>
                  <c:f>Dashboard_Daten!$AX$129</c:f>
                  <c:strCache>
                    <c:ptCount val="1"/>
                    <c:pt idx="0">
                      <c:v>0</c:v>
                    </c:pt>
                  </c:strCache>
                </c:strRef>
              </c:tx>
              <c:dLblPos val="ctr"/>
              <c:showVal val="1"/>
            </c:dLbl>
            <c:dLbl>
              <c:idx val="8"/>
              <c:layout/>
              <c:tx>
                <c:strRef>
                  <c:f>Dashboard_Daten!$AY$129</c:f>
                  <c:strCache>
                    <c:ptCount val="1"/>
                    <c:pt idx="0">
                      <c:v>0</c:v>
                    </c:pt>
                  </c:strCache>
                </c:strRef>
              </c:tx>
              <c:dLblPos val="ctr"/>
              <c:showVal val="1"/>
            </c:dLbl>
            <c:dLbl>
              <c:idx val="9"/>
              <c:layout/>
              <c:tx>
                <c:strRef>
                  <c:f>Dashboard_Daten!$AZ$129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Dashboard_Daten!$AQ$127:$AZ$127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Dashboard_Daten!$AQ$129</c:f>
                  <c:strCache>
                    <c:ptCount val="1"/>
                    <c:pt idx="0">
                      <c:v>0</c:v>
                    </c:pt>
                  </c:strCache>
                </c:strRef>
              </c:tx>
              <c:dLblPos val="ctr"/>
              <c:showVal val="1"/>
            </c:dLbl>
            <c:dLbl>
              <c:idx val="1"/>
              <c:layout/>
              <c:tx>
                <c:strRef>
                  <c:f>Dashboard_Daten!$AR$129</c:f>
                  <c:strCache>
                    <c:ptCount val="1"/>
                    <c:pt idx="0">
                      <c:v>0</c:v>
                    </c:pt>
                  </c:strCache>
                </c:strRef>
              </c:tx>
              <c:dLblPos val="ctr"/>
              <c:showVal val="1"/>
            </c:dLbl>
            <c:dLbl>
              <c:idx val="2"/>
              <c:layout/>
              <c:tx>
                <c:strRef>
                  <c:f>Dashboard_Daten!$AS$129</c:f>
                  <c:strCache>
                    <c:ptCount val="1"/>
                    <c:pt idx="0">
                      <c:v>0</c:v>
                    </c:pt>
                  </c:strCache>
                </c:strRef>
              </c:tx>
              <c:dLblPos val="ctr"/>
              <c:showVal val="1"/>
            </c:dLbl>
            <c:dLbl>
              <c:idx val="3"/>
              <c:layout/>
              <c:tx>
                <c:strRef>
                  <c:f>Dashboard_Daten!$AT$129</c:f>
                  <c:strCache>
                    <c:ptCount val="1"/>
                    <c:pt idx="0">
                      <c:v>0</c:v>
                    </c:pt>
                  </c:strCache>
                </c:strRef>
              </c:tx>
              <c:dLblPos val="ctr"/>
              <c:showVal val="1"/>
            </c:dLbl>
            <c:dLbl>
              <c:idx val="4"/>
              <c:layout/>
              <c:tx>
                <c:strRef>
                  <c:f>Dashboard_Daten!$AU$129</c:f>
                  <c:strCache>
                    <c:ptCount val="1"/>
                    <c:pt idx="0">
                      <c:v>0</c:v>
                    </c:pt>
                  </c:strCache>
                </c:strRef>
              </c:tx>
              <c:dLblPos val="ctr"/>
              <c:showVal val="1"/>
            </c:dLbl>
            <c:dLbl>
              <c:idx val="5"/>
              <c:layout/>
              <c:tx>
                <c:strRef>
                  <c:f>Dashboard_Daten!$AV$129</c:f>
                  <c:strCache>
                    <c:ptCount val="1"/>
                    <c:pt idx="0">
                      <c:v>0</c:v>
                    </c:pt>
                  </c:strCache>
                </c:strRef>
              </c:tx>
              <c:dLblPos val="ctr"/>
              <c:showVal val="1"/>
            </c:dLbl>
            <c:dLbl>
              <c:idx val="6"/>
              <c:layout/>
              <c:tx>
                <c:strRef>
                  <c:f>Dashboard_Daten!$AW$129</c:f>
                  <c:strCache>
                    <c:ptCount val="1"/>
                    <c:pt idx="0">
                      <c:v>0</c:v>
                    </c:pt>
                  </c:strCache>
                </c:strRef>
              </c:tx>
              <c:dLblPos val="ctr"/>
              <c:showVal val="1"/>
            </c:dLbl>
            <c:dLbl>
              <c:idx val="7"/>
              <c:layout/>
              <c:tx>
                <c:strRef>
                  <c:f>Dashboard_Daten!$AX$129</c:f>
                  <c:strCache>
                    <c:ptCount val="1"/>
                    <c:pt idx="0">
                      <c:v>0</c:v>
                    </c:pt>
                  </c:strCache>
                </c:strRef>
              </c:tx>
              <c:dLblPos val="ctr"/>
              <c:showVal val="1"/>
            </c:dLbl>
            <c:dLbl>
              <c:idx val="8"/>
              <c:layout/>
              <c:tx>
                <c:strRef>
                  <c:f>Dashboard_Daten!$AY$129</c:f>
                  <c:strCache>
                    <c:ptCount val="1"/>
                    <c:pt idx="0">
                      <c:v>0</c:v>
                    </c:pt>
                  </c:strCache>
                </c:strRef>
              </c:tx>
              <c:dLblPos val="ctr"/>
              <c:showVal val="1"/>
            </c:dLbl>
            <c:dLbl>
              <c:idx val="9"/>
              <c:layout/>
              <c:tx>
                <c:strRef>
                  <c:f>Dashboard_Daten!$AZ$129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Dashboard_Daten!$AQ$128:$AZ$128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60001"/>
        <c:axId val="50060002"/>
      </c:lineChart>
      <c:catAx>
        <c:axId val="50060001"/>
        <c:scaling>
          <c:orientation val="minMax"/>
        </c:scaling>
        <c:axPos val="b"/>
        <c:numFmt formatCode="General" sourceLinked="1"/>
        <c:majorTickMark val="none"/>
        <c:minorTickMark val="none"/>
        <c:tickLblPos val="none"/>
        <c:spPr>
          <a:ln>
            <a:noFill/>
          </a:ln>
        </c:spPr>
        <c:crossAx val="50060002"/>
        <c:crosses val="autoZero"/>
        <c:auto val="1"/>
        <c:lblAlgn val="ctr"/>
        <c:lblOffset val="100"/>
      </c:catAx>
      <c:valAx>
        <c:axId val="50060002"/>
        <c:scaling>
          <c:orientation val="minMax"/>
          <c:max val="1"/>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Dashboard_Daten!$U$15:$AD$15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70002"/>
        <c:crosses val="autoZero"/>
        <c:auto val="1"/>
        <c:lblAlgn val="ctr"/>
        <c:lblOffset val="100"/>
        <c:tickLblSkip val="1"/>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808080"/>
            </a:solidFill>
            <a:ln>
              <a:noFill/>
            </a:ln>
          </c:spPr>
          <c:dLbls>
            <c:numFmt formatCode="#,##0;-#,##0;;" sourceLinked="0"/>
            <c:txPr>
              <a:bodyPr wrap="none" lIns="18000" tIns="0" rIns="18000" bIns="0" anchor="ctr" anchorCtr="1">
                <a:spAutoFit/>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Dashboard_Daten!$AJ$146:$AO$146</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Dashboard_Daten!$AJ$149</c:f>
                  <c:strCache>
                    <c:ptCount val="1"/>
                    <c:pt idx="0">
                      <c:v>0</c:v>
                    </c:pt>
                  </c:strCache>
                </c:strRef>
              </c:tx>
              <c:showVal val="1"/>
            </c:dLbl>
            <c:dLbl>
              <c:idx val="1"/>
              <c:layout/>
              <c:tx>
                <c:strRef>
                  <c:f>Dashboard_Daten!$AK$149</c:f>
                  <c:strCache>
                    <c:ptCount val="1"/>
                    <c:pt idx="0">
                      <c:v>0</c:v>
                    </c:pt>
                  </c:strCache>
                </c:strRef>
              </c:tx>
              <c:showVal val="1"/>
            </c:dLbl>
            <c:dLbl>
              <c:idx val="2"/>
              <c:layout/>
              <c:tx>
                <c:strRef>
                  <c:f>Dashboard_Daten!$AL$149</c:f>
                  <c:strCache>
                    <c:ptCount val="1"/>
                    <c:pt idx="0">
                      <c:v>0</c:v>
                    </c:pt>
                  </c:strCache>
                </c:strRef>
              </c:tx>
              <c:showVal val="1"/>
            </c:dLbl>
            <c:dLbl>
              <c:idx val="3"/>
              <c:layout/>
              <c:tx>
                <c:strRef>
                  <c:f>Dashboard_Daten!$AM$149</c:f>
                  <c:strCache>
                    <c:ptCount val="1"/>
                    <c:pt idx="0">
                      <c:v>0</c:v>
                    </c:pt>
                  </c:strCache>
                </c:strRef>
              </c:tx>
              <c:showVal val="1"/>
            </c:dLbl>
            <c:dLbl>
              <c:idx val="4"/>
              <c:layout/>
              <c:tx>
                <c:strRef>
                  <c:f>Dashboard_Daten!$AN$149</c:f>
                  <c:strCache>
                    <c:ptCount val="1"/>
                    <c:pt idx="0">
                      <c:v>0</c:v>
                    </c:pt>
                  </c:strCache>
                </c:strRef>
              </c:tx>
              <c:showVal val="1"/>
            </c:dLbl>
            <c:dLbl>
              <c:idx val="5"/>
              <c:layout/>
              <c:tx>
                <c:strRef>
                  <c:f>Dashboard_Daten!$AO$149</c:f>
                  <c:strCache>
                    <c:ptCount val="1"/>
                    <c:pt idx="0">
                      <c:v>0</c:v>
                    </c:pt>
                  </c:strCache>
                </c:strRef>
              </c:tx>
              <c:showVal val="1"/>
            </c:dLbl>
            <c:txPr>
              <a:bodyPr wrap="none" lIns="18000" tIns="0" rIns="18000" bIns="0" anchor="ctr" anchorCtr="1">
                <a:spAutoFit/>
              </a:bodyPr>
              <a:lstStyle/>
              <a:p>
                <a:pPr>
                  <a:defRPr sz="65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Dashboard_Daten!$AJ$146:$AO$146</c:f>
              <c:numCache>
                <c:formatCode>General</c:formatCode>
                <c:ptCount val="6"/>
                <c:pt idx="0">
                  <c:v>0</c:v>
                </c:pt>
                <c:pt idx="1">
                  <c:v>0</c:v>
                </c:pt>
                <c:pt idx="2">
                  <c:v>0</c:v>
                </c:pt>
                <c:pt idx="3">
                  <c:v>0</c:v>
                </c:pt>
                <c:pt idx="4">
                  <c:v>0</c:v>
                </c:pt>
                <c:pt idx="5">
                  <c:v>0</c:v>
                </c:pt>
              </c:numCache>
            </c:numRef>
          </c:val>
        </c:ser>
        <c:gapWidth val="70"/>
        <c:overlap val="100"/>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Dashboard_Daten!$U$9:$AD$9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Dashboard_Daten!$U$145:$AD$145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none"/>
        <c:spPr>
          <a:ln>
            <a:noFill/>
          </a:ln>
        </c:spPr>
        <c:crossAx val="50090002"/>
        <c:crosses val="autoZero"/>
        <c:auto val="1"/>
        <c:lblAlgn val="ctr"/>
        <c:lblOffset val="100"/>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680237489397783"/>
        </c:manualLayout>
      </c:layout>
      <c:barChart>
        <c:barDir val="col"/>
        <c:grouping val="clustered"/>
        <c:ser>
          <c:idx val="0"/>
          <c:order val="0"/>
          <c:tx>
            <c:v>Zunahmen</c:v>
          </c:tx>
          <c:spPr>
            <a:solidFill>
              <a:srgbClr val="BF1528"/>
            </a:solidFill>
            <a:ln>
              <a:noFill/>
            </a:ln>
          </c:spP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Dashboard_Daten!$U$155:$AD$155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Dashboard_Daten!$U$157:$AD$157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50100001"/>
        <c:axId val="50100002"/>
      </c:barChart>
      <c:barChart>
        <c:barDir val="col"/>
        <c:grouping val="clustered"/>
        <c:ser>
          <c:idx val="2"/>
          <c:order val="2"/>
          <c:tx>
            <c:v>Wert Zunahmen</c:v>
          </c:tx>
          <c:spPr>
            <a:noFill/>
            <a:ln>
              <a:noFill/>
            </a:ln>
          </c:spPr>
          <c:dLbls>
            <c:dLbl>
              <c:idx val="0"/>
              <c:layout/>
              <c:tx>
                <c:strRef>
                  <c:f>Dashboard_Daten!$U$156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Dashboard_Daten!$V$156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Dashboard_Daten!$W$156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Dashboard_Daten!$X$156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Dashboard_Daten!$Y$156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Dashboard_Daten!$Z$156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Dashboard_Daten!$AA$156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Dashboard_Daten!$AB$156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Dashboard_Daten!$AC$156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Dashboard_Daten!$AD$156</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Dashboard_Daten!$U$159:$AD$159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Dashboard_Daten!$U$158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Dashboard_Daten!$V$158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Dashboard_Daten!$W$158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Dashboard_Daten!$X$158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Dashboard_Daten!$Y$158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Dashboard_Daten!$Z$158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Dashboard_Daten!$AA$158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Dashboard_Daten!$AB$158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Dashboard_Daten!$AC$158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Dashboard_Daten!$AD$158</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Dashboard_Daten!$U$160:$AD$160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60100001"/>
        <c:axId val="60100002"/>
      </c:bar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ax val="1.610021786492375"/>
          <c:min val="0"/>
        </c:scaling>
        <c:delete val="1"/>
        <c:axPos val="l"/>
        <c:numFmt formatCode="General" sourceLinked="1"/>
        <c:tickLblPos val="nextTo"/>
        <c:crossAx val="50100001"/>
        <c:crosses val="autoZero"/>
        <c:crossBetween val="between"/>
      </c:valAx>
      <c:valAx>
        <c:axId val="60100002"/>
        <c:scaling>
          <c:orientation val="minMax"/>
          <c:max val="1.610021786492375"/>
          <c:min val="0"/>
        </c:scaling>
        <c:delete val="1"/>
        <c:axPos val="r"/>
        <c:numFmt formatCode="General" sourceLinked="1"/>
        <c:tickLblPos val="nextTo"/>
        <c:crossAx val="60100001"/>
        <c:crosses val="max"/>
        <c:crossBetween val="between"/>
      </c:valAx>
      <c:catAx>
        <c:axId val="60100001"/>
        <c:scaling>
          <c:orientation val="minMax"/>
        </c:scaling>
        <c:delete val="1"/>
        <c:axPos val="b"/>
        <c:numFmt formatCode="General" sourceLinked="1"/>
        <c:tickLblPos val="none"/>
        <c:crossAx val="601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Dashboard_Daten!$U$165</c:f>
                  <c:strCache>
                    <c:ptCount val="1"/>
                    <c:pt idx="0">
                      <c:v>0</c:v>
                    </c:pt>
                  </c:strCache>
                </c:strRef>
              </c:tx>
              <c:dLblPos val="ctr"/>
              <c:showVal val="1"/>
            </c:dLbl>
            <c:dLbl>
              <c:idx val="1"/>
              <c:layout/>
              <c:tx>
                <c:strRef>
                  <c:f>Dashboard_Daten!$V$165</c:f>
                  <c:strCache>
                    <c:ptCount val="1"/>
                    <c:pt idx="0">
                      <c:v>0</c:v>
                    </c:pt>
                  </c:strCache>
                </c:strRef>
              </c:tx>
              <c:dLblPos val="ctr"/>
              <c:showVal val="1"/>
            </c:dLbl>
            <c:dLbl>
              <c:idx val="2"/>
              <c:layout/>
              <c:tx>
                <c:strRef>
                  <c:f>Dashboard_Daten!$W$165</c:f>
                  <c:strCache>
                    <c:ptCount val="1"/>
                    <c:pt idx="0">
                      <c:v>0</c:v>
                    </c:pt>
                  </c:strCache>
                </c:strRef>
              </c:tx>
              <c:dLblPos val="ctr"/>
              <c:showVal val="1"/>
            </c:dLbl>
            <c:dLbl>
              <c:idx val="3"/>
              <c:layout/>
              <c:tx>
                <c:strRef>
                  <c:f>Dashboard_Daten!$X$165</c:f>
                  <c:strCache>
                    <c:ptCount val="1"/>
                    <c:pt idx="0">
                      <c:v>0</c:v>
                    </c:pt>
                  </c:strCache>
                </c:strRef>
              </c:tx>
              <c:dLblPos val="ctr"/>
              <c:showVal val="1"/>
            </c:dLbl>
            <c:dLbl>
              <c:idx val="4"/>
              <c:layout/>
              <c:tx>
                <c:strRef>
                  <c:f>Dashboard_Daten!$Y$165</c:f>
                  <c:strCache>
                    <c:ptCount val="1"/>
                    <c:pt idx="0">
                      <c:v>0</c:v>
                    </c:pt>
                  </c:strCache>
                </c:strRef>
              </c:tx>
              <c:dLblPos val="ctr"/>
              <c:showVal val="1"/>
            </c:dLbl>
            <c:dLbl>
              <c:idx val="5"/>
              <c:layout/>
              <c:tx>
                <c:strRef>
                  <c:f>Dashboard_Daten!$Z$165</c:f>
                  <c:strCache>
                    <c:ptCount val="1"/>
                    <c:pt idx="0">
                      <c:v>0</c:v>
                    </c:pt>
                  </c:strCache>
                </c:strRef>
              </c:tx>
              <c:dLblPos val="ctr"/>
              <c:showVal val="1"/>
            </c:dLbl>
            <c:dLbl>
              <c:idx val="6"/>
              <c:layout/>
              <c:tx>
                <c:strRef>
                  <c:f>Dashboard_Daten!$AA$165</c:f>
                  <c:strCache>
                    <c:ptCount val="1"/>
                    <c:pt idx="0">
                      <c:v>0</c:v>
                    </c:pt>
                  </c:strCache>
                </c:strRef>
              </c:tx>
              <c:dLblPos val="ctr"/>
              <c:showVal val="1"/>
            </c:dLbl>
            <c:dLbl>
              <c:idx val="7"/>
              <c:layout/>
              <c:tx>
                <c:strRef>
                  <c:f>Dashboard_Daten!$AB$165</c:f>
                  <c:strCache>
                    <c:ptCount val="1"/>
                    <c:pt idx="0">
                      <c:v>0</c:v>
                    </c:pt>
                  </c:strCache>
                </c:strRef>
              </c:tx>
              <c:dLblPos val="ctr"/>
              <c:showVal val="1"/>
            </c:dLbl>
            <c:dLbl>
              <c:idx val="8"/>
              <c:layout/>
              <c:tx>
                <c:strRef>
                  <c:f>Dashboard_Daten!$AC$165</c:f>
                  <c:strCache>
                    <c:ptCount val="1"/>
                    <c:pt idx="0">
                      <c:v>0</c:v>
                    </c:pt>
                  </c:strCache>
                </c:strRef>
              </c:tx>
              <c:dLblPos val="ctr"/>
              <c:showVal val="1"/>
            </c:dLbl>
            <c:dLbl>
              <c:idx val="9"/>
              <c:layout/>
              <c:tx>
                <c:strRef>
                  <c:f>Dashboard_Daten!$AD$165</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Dashboard_Daten!$U$162:$AD$162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Dashboard_Daten!$U$165</c:f>
                  <c:strCache>
                    <c:ptCount val="1"/>
                    <c:pt idx="0">
                      <c:v>0</c:v>
                    </c:pt>
                  </c:strCache>
                </c:strRef>
              </c:tx>
              <c:dLblPos val="ctr"/>
              <c:showVal val="1"/>
            </c:dLbl>
            <c:dLbl>
              <c:idx val="1"/>
              <c:layout/>
              <c:tx>
                <c:strRef>
                  <c:f>Dashboard_Daten!$V$165</c:f>
                  <c:strCache>
                    <c:ptCount val="1"/>
                    <c:pt idx="0">
                      <c:v>0</c:v>
                    </c:pt>
                  </c:strCache>
                </c:strRef>
              </c:tx>
              <c:dLblPos val="ctr"/>
              <c:showVal val="1"/>
            </c:dLbl>
            <c:dLbl>
              <c:idx val="2"/>
              <c:layout/>
              <c:tx>
                <c:strRef>
                  <c:f>Dashboard_Daten!$W$165</c:f>
                  <c:strCache>
                    <c:ptCount val="1"/>
                    <c:pt idx="0">
                      <c:v>0</c:v>
                    </c:pt>
                  </c:strCache>
                </c:strRef>
              </c:tx>
              <c:dLblPos val="ctr"/>
              <c:showVal val="1"/>
            </c:dLbl>
            <c:dLbl>
              <c:idx val="3"/>
              <c:layout/>
              <c:tx>
                <c:strRef>
                  <c:f>Dashboard_Daten!$X$165</c:f>
                  <c:strCache>
                    <c:ptCount val="1"/>
                    <c:pt idx="0">
                      <c:v>0</c:v>
                    </c:pt>
                  </c:strCache>
                </c:strRef>
              </c:tx>
              <c:dLblPos val="ctr"/>
              <c:showVal val="1"/>
            </c:dLbl>
            <c:dLbl>
              <c:idx val="4"/>
              <c:layout/>
              <c:tx>
                <c:strRef>
                  <c:f>Dashboard_Daten!$Y$165</c:f>
                  <c:strCache>
                    <c:ptCount val="1"/>
                    <c:pt idx="0">
                      <c:v>0</c:v>
                    </c:pt>
                  </c:strCache>
                </c:strRef>
              </c:tx>
              <c:dLblPos val="ctr"/>
              <c:showVal val="1"/>
            </c:dLbl>
            <c:dLbl>
              <c:idx val="5"/>
              <c:layout/>
              <c:tx>
                <c:strRef>
                  <c:f>Dashboard_Daten!$Z$165</c:f>
                  <c:strCache>
                    <c:ptCount val="1"/>
                    <c:pt idx="0">
                      <c:v>0</c:v>
                    </c:pt>
                  </c:strCache>
                </c:strRef>
              </c:tx>
              <c:dLblPos val="ctr"/>
              <c:showVal val="1"/>
            </c:dLbl>
            <c:dLbl>
              <c:idx val="6"/>
              <c:layout/>
              <c:tx>
                <c:strRef>
                  <c:f>Dashboard_Daten!$AA$165</c:f>
                  <c:strCache>
                    <c:ptCount val="1"/>
                    <c:pt idx="0">
                      <c:v>0</c:v>
                    </c:pt>
                  </c:strCache>
                </c:strRef>
              </c:tx>
              <c:dLblPos val="ctr"/>
              <c:showVal val="1"/>
            </c:dLbl>
            <c:dLbl>
              <c:idx val="7"/>
              <c:layout/>
              <c:tx>
                <c:strRef>
                  <c:f>Dashboard_Daten!$AB$165</c:f>
                  <c:strCache>
                    <c:ptCount val="1"/>
                    <c:pt idx="0">
                      <c:v>0</c:v>
                    </c:pt>
                  </c:strCache>
                </c:strRef>
              </c:tx>
              <c:dLblPos val="ctr"/>
              <c:showVal val="1"/>
            </c:dLbl>
            <c:dLbl>
              <c:idx val="8"/>
              <c:layout/>
              <c:tx>
                <c:strRef>
                  <c:f>Dashboard_Daten!$AC$165</c:f>
                  <c:strCache>
                    <c:ptCount val="1"/>
                    <c:pt idx="0">
                      <c:v>0</c:v>
                    </c:pt>
                  </c:strCache>
                </c:strRef>
              </c:tx>
              <c:dLblPos val="ctr"/>
              <c:showVal val="1"/>
            </c:dLbl>
            <c:dLbl>
              <c:idx val="9"/>
              <c:layout/>
              <c:tx>
                <c:strRef>
                  <c:f>Dashboard_Daten!$AD$165</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Dashboard_Daten!$U$163:$AD$163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Dashboard_Daten!$U$165</c:f>
                  <c:strCache>
                    <c:ptCount val="1"/>
                    <c:pt idx="0">
                      <c:v>0</c:v>
                    </c:pt>
                  </c:strCache>
                </c:strRef>
              </c:tx>
              <c:dLblPos val="ctr"/>
              <c:showVal val="1"/>
            </c:dLbl>
            <c:dLbl>
              <c:idx val="1"/>
              <c:layout/>
              <c:tx>
                <c:strRef>
                  <c:f>Dashboard_Daten!$V$165</c:f>
                  <c:strCache>
                    <c:ptCount val="1"/>
                    <c:pt idx="0">
                      <c:v>0</c:v>
                    </c:pt>
                  </c:strCache>
                </c:strRef>
              </c:tx>
              <c:dLblPos val="ctr"/>
              <c:showVal val="1"/>
            </c:dLbl>
            <c:dLbl>
              <c:idx val="2"/>
              <c:layout/>
              <c:tx>
                <c:strRef>
                  <c:f>Dashboard_Daten!$W$165</c:f>
                  <c:strCache>
                    <c:ptCount val="1"/>
                    <c:pt idx="0">
                      <c:v>0</c:v>
                    </c:pt>
                  </c:strCache>
                </c:strRef>
              </c:tx>
              <c:dLblPos val="ctr"/>
              <c:showVal val="1"/>
            </c:dLbl>
            <c:dLbl>
              <c:idx val="3"/>
              <c:layout/>
              <c:tx>
                <c:strRef>
                  <c:f>Dashboard_Daten!$X$165</c:f>
                  <c:strCache>
                    <c:ptCount val="1"/>
                    <c:pt idx="0">
                      <c:v>0</c:v>
                    </c:pt>
                  </c:strCache>
                </c:strRef>
              </c:tx>
              <c:dLblPos val="ctr"/>
              <c:showVal val="1"/>
            </c:dLbl>
            <c:dLbl>
              <c:idx val="4"/>
              <c:layout/>
              <c:tx>
                <c:strRef>
                  <c:f>Dashboard_Daten!$Y$165</c:f>
                  <c:strCache>
                    <c:ptCount val="1"/>
                    <c:pt idx="0">
                      <c:v>0</c:v>
                    </c:pt>
                  </c:strCache>
                </c:strRef>
              </c:tx>
              <c:dLblPos val="ctr"/>
              <c:showVal val="1"/>
            </c:dLbl>
            <c:dLbl>
              <c:idx val="5"/>
              <c:layout/>
              <c:tx>
                <c:strRef>
                  <c:f>Dashboard_Daten!$Z$165</c:f>
                  <c:strCache>
                    <c:ptCount val="1"/>
                    <c:pt idx="0">
                      <c:v>0</c:v>
                    </c:pt>
                  </c:strCache>
                </c:strRef>
              </c:tx>
              <c:dLblPos val="ctr"/>
              <c:showVal val="1"/>
            </c:dLbl>
            <c:dLbl>
              <c:idx val="6"/>
              <c:layout/>
              <c:tx>
                <c:strRef>
                  <c:f>Dashboard_Daten!$AA$165</c:f>
                  <c:strCache>
                    <c:ptCount val="1"/>
                    <c:pt idx="0">
                      <c:v>0</c:v>
                    </c:pt>
                  </c:strCache>
                </c:strRef>
              </c:tx>
              <c:dLblPos val="ctr"/>
              <c:showVal val="1"/>
            </c:dLbl>
            <c:dLbl>
              <c:idx val="7"/>
              <c:layout/>
              <c:tx>
                <c:strRef>
                  <c:f>Dashboard_Daten!$AB$165</c:f>
                  <c:strCache>
                    <c:ptCount val="1"/>
                    <c:pt idx="0">
                      <c:v>0</c:v>
                    </c:pt>
                  </c:strCache>
                </c:strRef>
              </c:tx>
              <c:dLblPos val="ctr"/>
              <c:showVal val="1"/>
            </c:dLbl>
            <c:dLbl>
              <c:idx val="8"/>
              <c:layout/>
              <c:tx>
                <c:strRef>
                  <c:f>Dashboard_Daten!$AC$165</c:f>
                  <c:strCache>
                    <c:ptCount val="1"/>
                    <c:pt idx="0">
                      <c:v>0</c:v>
                    </c:pt>
                  </c:strCache>
                </c:strRef>
              </c:tx>
              <c:dLblPos val="ctr"/>
              <c:showVal val="1"/>
            </c:dLbl>
            <c:dLbl>
              <c:idx val="9"/>
              <c:layout/>
              <c:tx>
                <c:strRef>
                  <c:f>Dashboard_Daten!$AD$165</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Dashboard_Daten!$U$164:$AD$164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none"/>
        <c:spPr>
          <a:ln>
            <a:noFill/>
          </a:ln>
        </c:spPr>
        <c:crossAx val="50110002"/>
        <c:crosses val="autoZero"/>
        <c:auto val="1"/>
        <c:lblAlgn val="ctr"/>
        <c:lblOffset val="100"/>
      </c:catAx>
      <c:valAx>
        <c:axId val="50110002"/>
        <c:scaling>
          <c:orientation val="minMax"/>
          <c:max val="1"/>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Dashboard_Daten!$U$12:$AD$12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Dashboard_Daten!$U$145:$AD$145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Dashboard_Daten!$U$13:$AD$13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30002"/>
        <c:crosses val="autoZero"/>
        <c:auto val="1"/>
        <c:lblAlgn val="ctr"/>
        <c:lblOffset val="100"/>
        <c:tickLblSkip val="1"/>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Dashboard_Daten!$U$14:$AD$14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Dashboard_Daten!$U$131:$AD$131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Dashboard_Daten!$U$132:$AD$132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63492063492063489"/>
          <c:w val="0.95999999999999996"/>
          <c:h val="0.58730158730158732"/>
        </c:manualLayout>
      </c:layout>
      <c:barChart>
        <c:barDir val="col"/>
        <c:grouping val="stacked"/>
        <c:ser>
          <c:idx val="0"/>
          <c:order val="0"/>
          <c:tx>
            <c:v>Treffer VNRs</c:v>
          </c:tx>
          <c:spPr>
            <a:noFill/>
            <a:ln>
              <a:noFill/>
            </a:ln>
          </c:spPr>
          <c:dLbls>
            <c:dLbl>
              <c:idx val="0"/>
              <c:layout/>
              <c:tx>
                <c:strRef>
                  <c:f>Dashboard_Daten!$U$134</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1"/>
              <c:layout/>
              <c:tx>
                <c:strRef>
                  <c:f>Dashboard_Daten!$V$134</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2"/>
              <c:layout/>
              <c:tx>
                <c:strRef>
                  <c:f>Dashboard_Daten!$W$134</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3"/>
              <c:layout/>
              <c:tx>
                <c:strRef>
                  <c:f>Dashboard_Daten!$X$134</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4"/>
              <c:layout/>
              <c:tx>
                <c:strRef>
                  <c:f>Dashboard_Daten!$Y$134</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5"/>
              <c:layout/>
              <c:tx>
                <c:strRef>
                  <c:f>Dashboard_Daten!$Z$134</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6"/>
              <c:layout/>
              <c:tx>
                <c:strRef>
                  <c:f>Dashboard_Daten!$AA$134</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7"/>
              <c:layout/>
              <c:tx>
                <c:strRef>
                  <c:f>Dashboard_Daten!$AB$134</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8"/>
              <c:layout/>
              <c:tx>
                <c:strRef>
                  <c:f>Dashboard_Daten!$AC$134</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9"/>
              <c:layout/>
              <c:tx>
                <c:strRef>
                  <c:f>Dashboard_Daten!$AD$134</c:f>
                  <c:strCache>
                    <c:ptCount val="1"/>
                    <c:pt idx="0">
                      <c:v>0</c:v>
                    </c:pt>
                  </c:strCache>
                </c:strRef>
              </c:tx>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Dashboard_Daten!$U$133:$AD$133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In Bearbeitung</c:v>
          </c:tx>
          <c:spPr>
            <a:noFill/>
            <a:ln>
              <a:noFill/>
            </a:ln>
          </c:spPr>
          <c:dLbls>
            <c:dLbl>
              <c:idx val="0"/>
              <c:layout/>
              <c:tx>
                <c:strRef>
                  <c:f>Dashboard_Daten!$U$136</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1"/>
              <c:layout/>
              <c:tx>
                <c:strRef>
                  <c:f>Dashboard_Daten!$V$136</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2"/>
              <c:layout/>
              <c:tx>
                <c:strRef>
                  <c:f>Dashboard_Daten!$W$136</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3"/>
              <c:layout/>
              <c:tx>
                <c:strRef>
                  <c:f>Dashboard_Daten!$X$136</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4"/>
              <c:layout/>
              <c:tx>
                <c:strRef>
                  <c:f>Dashboard_Daten!$Y$136</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5"/>
              <c:layout/>
              <c:tx>
                <c:strRef>
                  <c:f>Dashboard_Daten!$Z$136</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6"/>
              <c:layout/>
              <c:tx>
                <c:strRef>
                  <c:f>Dashboard_Daten!$AA$136</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7"/>
              <c:layout/>
              <c:tx>
                <c:strRef>
                  <c:f>Dashboard_Daten!$AB$136</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8"/>
              <c:layout/>
              <c:tx>
                <c:strRef>
                  <c:f>Dashboard_Daten!$AC$136</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9"/>
              <c:layout/>
              <c:tx>
                <c:strRef>
                  <c:f>Dashboard_Daten!$AD$136</c:f>
                  <c:strCache>
                    <c:ptCount val="1"/>
                    <c:pt idx="0">
                      <c:v>0</c:v>
                    </c:pt>
                  </c:strCache>
                </c:strRef>
              </c:tx>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Dashboard_Daten!$U$135:$AD$135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Erledigt</c:v>
          </c:tx>
          <c:spPr>
            <a:noFill/>
            <a:ln>
              <a:noFill/>
            </a:ln>
          </c:spPr>
          <c:dLbls>
            <c:dLbl>
              <c:idx val="0"/>
              <c:layout/>
              <c:tx>
                <c:strRef>
                  <c:f>Dashboard_Daten!$U$138</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1"/>
              <c:layout/>
              <c:tx>
                <c:strRef>
                  <c:f>Dashboard_Daten!$V$138</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2"/>
              <c:layout/>
              <c:tx>
                <c:strRef>
                  <c:f>Dashboard_Daten!$W$138</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3"/>
              <c:layout/>
              <c:tx>
                <c:strRef>
                  <c:f>Dashboard_Daten!$X$138</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4"/>
              <c:layout/>
              <c:tx>
                <c:strRef>
                  <c:f>Dashboard_Daten!$Y$138</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5"/>
              <c:layout/>
              <c:tx>
                <c:strRef>
                  <c:f>Dashboard_Daten!$Z$138</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6"/>
              <c:layout/>
              <c:tx>
                <c:strRef>
                  <c:f>Dashboard_Daten!$AA$138</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7"/>
              <c:layout/>
              <c:tx>
                <c:strRef>
                  <c:f>Dashboard_Daten!$AB$138</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8"/>
              <c:layout/>
              <c:tx>
                <c:strRef>
                  <c:f>Dashboard_Daten!$AC$138</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dLbl>
              <c:idx val="9"/>
              <c:layout/>
              <c:tx>
                <c:strRef>
                  <c:f>Dashboard_Daten!$AD$138</c:f>
                  <c:strCache>
                    <c:ptCount val="1"/>
                    <c:pt idx="0">
                      <c:v>0</c:v>
                    </c:pt>
                  </c:strCache>
                </c:strRef>
              </c:tx>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Dashboard_Daten!$U$137:$AD$137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30"/>
        <c:overlap val="100"/>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ax val="3"/>
          <c:min val="0"/>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Dashboard_Daten!$U$8:$AD$8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80002"/>
        <c:crosses val="autoZero"/>
        <c:auto val="1"/>
        <c:lblAlgn val="ctr"/>
        <c:lblOffset val="100"/>
        <c:tickLblSkip val="1"/>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Dashboard_Daten!$U$23:$AD$23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Dashboard_Daten!$U$22:$AD$22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Dashboard_Daten!$U$21:$AD$21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90001"/>
        <c:axId val="50190002"/>
      </c:barChart>
      <c:lineChart>
        <c:grouping val="standard"/>
        <c:ser>
          <c:idx val="3"/>
          <c:order val="3"/>
          <c:tx>
            <c:v>Summe</c:v>
          </c:tx>
          <c:spPr>
            <a:ln>
              <a:noFill/>
            </a:ln>
          </c:spPr>
          <c:marker>
            <c:symbol val="none"/>
          </c:marker>
          <c:dLbls>
            <c:dLbl>
              <c:idx val="0"/>
              <c:layout/>
              <c:tx>
                <c:strRef>
                  <c:f>Dashboard_Daten!$U$140</c:f>
                  <c:strCache>
                    <c:ptCount val="1"/>
                    <c:pt idx="0">
                      <c:v>0</c:v>
                    </c:pt>
                  </c:strCache>
                </c:strRef>
              </c:tx>
              <c:dLblPos val="t"/>
              <c:showVal val="1"/>
            </c:dLbl>
            <c:dLbl>
              <c:idx val="1"/>
              <c:layout/>
              <c:tx>
                <c:strRef>
                  <c:f>Dashboard_Daten!$V$140</c:f>
                  <c:strCache>
                    <c:ptCount val="1"/>
                    <c:pt idx="0">
                      <c:v>0</c:v>
                    </c:pt>
                  </c:strCache>
                </c:strRef>
              </c:tx>
              <c:dLblPos val="t"/>
              <c:showVal val="1"/>
            </c:dLbl>
            <c:dLbl>
              <c:idx val="2"/>
              <c:layout/>
              <c:tx>
                <c:strRef>
                  <c:f>Dashboard_Daten!$W$140</c:f>
                  <c:strCache>
                    <c:ptCount val="1"/>
                    <c:pt idx="0">
                      <c:v>0</c:v>
                    </c:pt>
                  </c:strCache>
                </c:strRef>
              </c:tx>
              <c:dLblPos val="t"/>
              <c:showVal val="1"/>
            </c:dLbl>
            <c:dLbl>
              <c:idx val="3"/>
              <c:layout/>
              <c:tx>
                <c:strRef>
                  <c:f>Dashboard_Daten!$X$140</c:f>
                  <c:strCache>
                    <c:ptCount val="1"/>
                    <c:pt idx="0">
                      <c:v>0</c:v>
                    </c:pt>
                  </c:strCache>
                </c:strRef>
              </c:tx>
              <c:dLblPos val="t"/>
              <c:showVal val="1"/>
            </c:dLbl>
            <c:dLbl>
              <c:idx val="4"/>
              <c:layout/>
              <c:tx>
                <c:strRef>
                  <c:f>Dashboard_Daten!$Y$140</c:f>
                  <c:strCache>
                    <c:ptCount val="1"/>
                    <c:pt idx="0">
                      <c:v>0</c:v>
                    </c:pt>
                  </c:strCache>
                </c:strRef>
              </c:tx>
              <c:dLblPos val="t"/>
              <c:showVal val="1"/>
            </c:dLbl>
            <c:dLbl>
              <c:idx val="5"/>
              <c:layout/>
              <c:tx>
                <c:strRef>
                  <c:f>Dashboard_Daten!$Z$140</c:f>
                  <c:strCache>
                    <c:ptCount val="1"/>
                    <c:pt idx="0">
                      <c:v>0</c:v>
                    </c:pt>
                  </c:strCache>
                </c:strRef>
              </c:tx>
              <c:dLblPos val="t"/>
              <c:showVal val="1"/>
            </c:dLbl>
            <c:dLbl>
              <c:idx val="6"/>
              <c:layout/>
              <c:tx>
                <c:strRef>
                  <c:f>Dashboard_Daten!$AA$140</c:f>
                  <c:strCache>
                    <c:ptCount val="1"/>
                    <c:pt idx="0">
                      <c:v>0</c:v>
                    </c:pt>
                  </c:strCache>
                </c:strRef>
              </c:tx>
              <c:dLblPos val="t"/>
              <c:showVal val="1"/>
            </c:dLbl>
            <c:dLbl>
              <c:idx val="7"/>
              <c:layout/>
              <c:tx>
                <c:strRef>
                  <c:f>Dashboard_Daten!$AB$140</c:f>
                  <c:strCache>
                    <c:ptCount val="1"/>
                    <c:pt idx="0">
                      <c:v>0</c:v>
                    </c:pt>
                  </c:strCache>
                </c:strRef>
              </c:tx>
              <c:dLblPos val="t"/>
              <c:showVal val="1"/>
            </c:dLbl>
            <c:dLbl>
              <c:idx val="8"/>
              <c:layout/>
              <c:tx>
                <c:strRef>
                  <c:f>Dashboard_Daten!$AC$140</c:f>
                  <c:strCache>
                    <c:ptCount val="1"/>
                    <c:pt idx="0">
                      <c:v>0</c:v>
                    </c:pt>
                  </c:strCache>
                </c:strRef>
              </c:tx>
              <c:dLblPos val="t"/>
              <c:showVal val="1"/>
            </c:dLbl>
            <c:dLbl>
              <c:idx val="9"/>
              <c:layout/>
              <c:tx>
                <c:strRef>
                  <c:f>Dashboard_Daten!$AD$140</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Dashboard_Daten!$U$141:$AD$141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none"/>
        <c:spPr>
          <a:ln w="9525">
            <a:solidFill>
              <a:srgbClr val="BFBFBF"/>
            </a:solidFill>
          </a:ln>
        </c:spPr>
        <c:crossAx val="50190002"/>
        <c:crosses val="autoZero"/>
        <c:auto val="1"/>
        <c:lblAlgn val="ctr"/>
        <c:lblOffset val="100"/>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Dashboard_Daten!$U$167:$AD$167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Dashboard_Daten!$U$169:$AD$169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00001"/>
        <c:axId val="50200002"/>
      </c:barChart>
      <c:barChart>
        <c:barDir val="col"/>
        <c:grouping val="clustered"/>
        <c:ser>
          <c:idx val="2"/>
          <c:order val="2"/>
          <c:tx>
            <c:v>Wert Zunahmen</c:v>
          </c:tx>
          <c:spPr>
            <a:noFill/>
            <a:ln>
              <a:noFill/>
            </a:ln>
          </c:spPr>
          <c:dLbls>
            <c:dLbl>
              <c:idx val="0"/>
              <c:layout/>
              <c:tx>
                <c:strRef>
                  <c:f>Dashboard_Daten!$U$168</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Dashboard_Daten!$V$168</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Dashboard_Daten!$W$168</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Dashboard_Daten!$X$168</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Dashboard_Daten!$Y$168</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Dashboard_Daten!$Z$168</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Dashboard_Daten!$AA$168</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Dashboard_Daten!$AB$168</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Dashboard_Daten!$AC$168</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Dashboard_Daten!$AD$168</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Dashboard_Daten!$U$171:$AD$171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Dashboard_Daten!$U$170</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Dashboard_Daten!$V$170</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Dashboard_Daten!$W$170</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Dashboard_Daten!$X$170</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Dashboard_Daten!$Y$170</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Dashboard_Daten!$Z$170</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Dashboard_Daten!$AA$170</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Dashboard_Daten!$AB$170</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Dashboard_Daten!$AC$170</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Dashboard_Daten!$AD$170</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Dashboard_Daten!$U$172:$AD$172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00001"/>
        <c:axId val="6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tickLblSkip val="1"/>
      </c:catAx>
      <c:valAx>
        <c:axId val="50200002"/>
        <c:scaling>
          <c:orientation val="minMax"/>
          <c:max val="1.614035087719298"/>
          <c:min val="0"/>
        </c:scaling>
        <c:delete val="1"/>
        <c:axPos val="l"/>
        <c:numFmt formatCode="General" sourceLinked="1"/>
        <c:tickLblPos val="nextTo"/>
        <c:crossAx val="50200001"/>
        <c:crosses val="autoZero"/>
        <c:crossBetween val="between"/>
      </c:valAx>
      <c:valAx>
        <c:axId val="60200002"/>
        <c:scaling>
          <c:orientation val="minMax"/>
          <c:max val="1.614035087719298"/>
          <c:min val="0"/>
        </c:scaling>
        <c:delete val="1"/>
        <c:axPos val="r"/>
        <c:numFmt formatCode="General" sourceLinked="1"/>
        <c:tickLblPos val="nextTo"/>
        <c:crossAx val="60200001"/>
        <c:crosses val="max"/>
        <c:crossBetween val="between"/>
      </c:valAx>
      <c:catAx>
        <c:axId val="60200001"/>
        <c:scaling>
          <c:orientation val="minMax"/>
        </c:scaling>
        <c:delete val="1"/>
        <c:axPos val="b"/>
        <c:numFmt formatCode="General" sourceLinked="1"/>
        <c:tickLblPos val="none"/>
        <c:crossAx val="602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Dashboard_Daten!$U$177</c:f>
                  <c:strCache>
                    <c:ptCount val="1"/>
                    <c:pt idx="0">
                      <c:v>0</c:v>
                    </c:pt>
                  </c:strCache>
                </c:strRef>
              </c:tx>
              <c:dLblPos val="ctr"/>
              <c:showVal val="1"/>
            </c:dLbl>
            <c:dLbl>
              <c:idx val="1"/>
              <c:layout/>
              <c:tx>
                <c:strRef>
                  <c:f>Dashboard_Daten!$V$177</c:f>
                  <c:strCache>
                    <c:ptCount val="1"/>
                    <c:pt idx="0">
                      <c:v>0</c:v>
                    </c:pt>
                  </c:strCache>
                </c:strRef>
              </c:tx>
              <c:dLblPos val="ctr"/>
              <c:showVal val="1"/>
            </c:dLbl>
            <c:dLbl>
              <c:idx val="2"/>
              <c:layout/>
              <c:tx>
                <c:strRef>
                  <c:f>Dashboard_Daten!$W$177</c:f>
                  <c:strCache>
                    <c:ptCount val="1"/>
                    <c:pt idx="0">
                      <c:v>0</c:v>
                    </c:pt>
                  </c:strCache>
                </c:strRef>
              </c:tx>
              <c:dLblPos val="ctr"/>
              <c:showVal val="1"/>
            </c:dLbl>
            <c:dLbl>
              <c:idx val="3"/>
              <c:layout/>
              <c:tx>
                <c:strRef>
                  <c:f>Dashboard_Daten!$X$177</c:f>
                  <c:strCache>
                    <c:ptCount val="1"/>
                    <c:pt idx="0">
                      <c:v>0</c:v>
                    </c:pt>
                  </c:strCache>
                </c:strRef>
              </c:tx>
              <c:dLblPos val="ctr"/>
              <c:showVal val="1"/>
            </c:dLbl>
            <c:dLbl>
              <c:idx val="4"/>
              <c:layout/>
              <c:tx>
                <c:strRef>
                  <c:f>Dashboard_Daten!$Y$177</c:f>
                  <c:strCache>
                    <c:ptCount val="1"/>
                    <c:pt idx="0">
                      <c:v>0</c:v>
                    </c:pt>
                  </c:strCache>
                </c:strRef>
              </c:tx>
              <c:dLblPos val="ctr"/>
              <c:showVal val="1"/>
            </c:dLbl>
            <c:dLbl>
              <c:idx val="5"/>
              <c:layout/>
              <c:tx>
                <c:strRef>
                  <c:f>Dashboard_Daten!$Z$177</c:f>
                  <c:strCache>
                    <c:ptCount val="1"/>
                    <c:pt idx="0">
                      <c:v>0</c:v>
                    </c:pt>
                  </c:strCache>
                </c:strRef>
              </c:tx>
              <c:dLblPos val="ctr"/>
              <c:showVal val="1"/>
            </c:dLbl>
            <c:dLbl>
              <c:idx val="6"/>
              <c:layout/>
              <c:tx>
                <c:strRef>
                  <c:f>Dashboard_Daten!$AA$177</c:f>
                  <c:strCache>
                    <c:ptCount val="1"/>
                    <c:pt idx="0">
                      <c:v>0</c:v>
                    </c:pt>
                  </c:strCache>
                </c:strRef>
              </c:tx>
              <c:dLblPos val="ctr"/>
              <c:showVal val="1"/>
            </c:dLbl>
            <c:dLbl>
              <c:idx val="7"/>
              <c:layout/>
              <c:tx>
                <c:strRef>
                  <c:f>Dashboard_Daten!$AB$177</c:f>
                  <c:strCache>
                    <c:ptCount val="1"/>
                    <c:pt idx="0">
                      <c:v>0</c:v>
                    </c:pt>
                  </c:strCache>
                </c:strRef>
              </c:tx>
              <c:dLblPos val="ctr"/>
              <c:showVal val="1"/>
            </c:dLbl>
            <c:dLbl>
              <c:idx val="8"/>
              <c:layout/>
              <c:tx>
                <c:strRef>
                  <c:f>Dashboard_Daten!$AC$177</c:f>
                  <c:strCache>
                    <c:ptCount val="1"/>
                    <c:pt idx="0">
                      <c:v>0</c:v>
                    </c:pt>
                  </c:strCache>
                </c:strRef>
              </c:tx>
              <c:dLblPos val="ctr"/>
              <c:showVal val="1"/>
            </c:dLbl>
            <c:dLbl>
              <c:idx val="9"/>
              <c:layout/>
              <c:tx>
                <c:strRef>
                  <c:f>Dashboard_Daten!$AD$177</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Dashboard_Daten!$U$174:$AD$174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Dashboard_Daten!$U$177</c:f>
                  <c:strCache>
                    <c:ptCount val="1"/>
                    <c:pt idx="0">
                      <c:v>0</c:v>
                    </c:pt>
                  </c:strCache>
                </c:strRef>
              </c:tx>
              <c:dLblPos val="ctr"/>
              <c:showVal val="1"/>
            </c:dLbl>
            <c:dLbl>
              <c:idx val="1"/>
              <c:layout/>
              <c:tx>
                <c:strRef>
                  <c:f>Dashboard_Daten!$V$177</c:f>
                  <c:strCache>
                    <c:ptCount val="1"/>
                    <c:pt idx="0">
                      <c:v>0</c:v>
                    </c:pt>
                  </c:strCache>
                </c:strRef>
              </c:tx>
              <c:dLblPos val="ctr"/>
              <c:showVal val="1"/>
            </c:dLbl>
            <c:dLbl>
              <c:idx val="2"/>
              <c:layout/>
              <c:tx>
                <c:strRef>
                  <c:f>Dashboard_Daten!$W$177</c:f>
                  <c:strCache>
                    <c:ptCount val="1"/>
                    <c:pt idx="0">
                      <c:v>0</c:v>
                    </c:pt>
                  </c:strCache>
                </c:strRef>
              </c:tx>
              <c:dLblPos val="ctr"/>
              <c:showVal val="1"/>
            </c:dLbl>
            <c:dLbl>
              <c:idx val="3"/>
              <c:layout/>
              <c:tx>
                <c:strRef>
                  <c:f>Dashboard_Daten!$X$177</c:f>
                  <c:strCache>
                    <c:ptCount val="1"/>
                    <c:pt idx="0">
                      <c:v>0</c:v>
                    </c:pt>
                  </c:strCache>
                </c:strRef>
              </c:tx>
              <c:dLblPos val="ctr"/>
              <c:showVal val="1"/>
            </c:dLbl>
            <c:dLbl>
              <c:idx val="4"/>
              <c:layout/>
              <c:tx>
                <c:strRef>
                  <c:f>Dashboard_Daten!$Y$177</c:f>
                  <c:strCache>
                    <c:ptCount val="1"/>
                    <c:pt idx="0">
                      <c:v>0</c:v>
                    </c:pt>
                  </c:strCache>
                </c:strRef>
              </c:tx>
              <c:dLblPos val="ctr"/>
              <c:showVal val="1"/>
            </c:dLbl>
            <c:dLbl>
              <c:idx val="5"/>
              <c:layout/>
              <c:tx>
                <c:strRef>
                  <c:f>Dashboard_Daten!$Z$177</c:f>
                  <c:strCache>
                    <c:ptCount val="1"/>
                    <c:pt idx="0">
                      <c:v>0</c:v>
                    </c:pt>
                  </c:strCache>
                </c:strRef>
              </c:tx>
              <c:dLblPos val="ctr"/>
              <c:showVal val="1"/>
            </c:dLbl>
            <c:dLbl>
              <c:idx val="6"/>
              <c:layout/>
              <c:tx>
                <c:strRef>
                  <c:f>Dashboard_Daten!$AA$177</c:f>
                  <c:strCache>
                    <c:ptCount val="1"/>
                    <c:pt idx="0">
                      <c:v>0</c:v>
                    </c:pt>
                  </c:strCache>
                </c:strRef>
              </c:tx>
              <c:dLblPos val="ctr"/>
              <c:showVal val="1"/>
            </c:dLbl>
            <c:dLbl>
              <c:idx val="7"/>
              <c:layout/>
              <c:tx>
                <c:strRef>
                  <c:f>Dashboard_Daten!$AB$177</c:f>
                  <c:strCache>
                    <c:ptCount val="1"/>
                    <c:pt idx="0">
                      <c:v>0</c:v>
                    </c:pt>
                  </c:strCache>
                </c:strRef>
              </c:tx>
              <c:dLblPos val="ctr"/>
              <c:showVal val="1"/>
            </c:dLbl>
            <c:dLbl>
              <c:idx val="8"/>
              <c:layout/>
              <c:tx>
                <c:strRef>
                  <c:f>Dashboard_Daten!$AC$177</c:f>
                  <c:strCache>
                    <c:ptCount val="1"/>
                    <c:pt idx="0">
                      <c:v>0</c:v>
                    </c:pt>
                  </c:strCache>
                </c:strRef>
              </c:tx>
              <c:dLblPos val="ctr"/>
              <c:showVal val="1"/>
            </c:dLbl>
            <c:dLbl>
              <c:idx val="9"/>
              <c:layout/>
              <c:tx>
                <c:strRef>
                  <c:f>Dashboard_Daten!$AD$177</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Dashboard_Daten!$U$175:$AD$175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Dashboard_Daten!$U$177</c:f>
                  <c:strCache>
                    <c:ptCount val="1"/>
                    <c:pt idx="0">
                      <c:v>0</c:v>
                    </c:pt>
                  </c:strCache>
                </c:strRef>
              </c:tx>
              <c:dLblPos val="ctr"/>
              <c:showVal val="1"/>
            </c:dLbl>
            <c:dLbl>
              <c:idx val="1"/>
              <c:layout/>
              <c:tx>
                <c:strRef>
                  <c:f>Dashboard_Daten!$V$177</c:f>
                  <c:strCache>
                    <c:ptCount val="1"/>
                    <c:pt idx="0">
                      <c:v>0</c:v>
                    </c:pt>
                  </c:strCache>
                </c:strRef>
              </c:tx>
              <c:dLblPos val="ctr"/>
              <c:showVal val="1"/>
            </c:dLbl>
            <c:dLbl>
              <c:idx val="2"/>
              <c:layout/>
              <c:tx>
                <c:strRef>
                  <c:f>Dashboard_Daten!$W$177</c:f>
                  <c:strCache>
                    <c:ptCount val="1"/>
                    <c:pt idx="0">
                      <c:v>0</c:v>
                    </c:pt>
                  </c:strCache>
                </c:strRef>
              </c:tx>
              <c:dLblPos val="ctr"/>
              <c:showVal val="1"/>
            </c:dLbl>
            <c:dLbl>
              <c:idx val="3"/>
              <c:layout/>
              <c:tx>
                <c:strRef>
                  <c:f>Dashboard_Daten!$X$177</c:f>
                  <c:strCache>
                    <c:ptCount val="1"/>
                    <c:pt idx="0">
                      <c:v>0</c:v>
                    </c:pt>
                  </c:strCache>
                </c:strRef>
              </c:tx>
              <c:dLblPos val="ctr"/>
              <c:showVal val="1"/>
            </c:dLbl>
            <c:dLbl>
              <c:idx val="4"/>
              <c:layout/>
              <c:tx>
                <c:strRef>
                  <c:f>Dashboard_Daten!$Y$177</c:f>
                  <c:strCache>
                    <c:ptCount val="1"/>
                    <c:pt idx="0">
                      <c:v>0</c:v>
                    </c:pt>
                  </c:strCache>
                </c:strRef>
              </c:tx>
              <c:dLblPos val="ctr"/>
              <c:showVal val="1"/>
            </c:dLbl>
            <c:dLbl>
              <c:idx val="5"/>
              <c:layout/>
              <c:tx>
                <c:strRef>
                  <c:f>Dashboard_Daten!$Z$177</c:f>
                  <c:strCache>
                    <c:ptCount val="1"/>
                    <c:pt idx="0">
                      <c:v>0</c:v>
                    </c:pt>
                  </c:strCache>
                </c:strRef>
              </c:tx>
              <c:dLblPos val="ctr"/>
              <c:showVal val="1"/>
            </c:dLbl>
            <c:dLbl>
              <c:idx val="6"/>
              <c:layout/>
              <c:tx>
                <c:strRef>
                  <c:f>Dashboard_Daten!$AA$177</c:f>
                  <c:strCache>
                    <c:ptCount val="1"/>
                    <c:pt idx="0">
                      <c:v>0</c:v>
                    </c:pt>
                  </c:strCache>
                </c:strRef>
              </c:tx>
              <c:dLblPos val="ctr"/>
              <c:showVal val="1"/>
            </c:dLbl>
            <c:dLbl>
              <c:idx val="7"/>
              <c:layout/>
              <c:tx>
                <c:strRef>
                  <c:f>Dashboard_Daten!$AB$177</c:f>
                  <c:strCache>
                    <c:ptCount val="1"/>
                    <c:pt idx="0">
                      <c:v>0</c:v>
                    </c:pt>
                  </c:strCache>
                </c:strRef>
              </c:tx>
              <c:dLblPos val="ctr"/>
              <c:showVal val="1"/>
            </c:dLbl>
            <c:dLbl>
              <c:idx val="8"/>
              <c:layout/>
              <c:tx>
                <c:strRef>
                  <c:f>Dashboard_Daten!$AC$177</c:f>
                  <c:strCache>
                    <c:ptCount val="1"/>
                    <c:pt idx="0">
                      <c:v>0</c:v>
                    </c:pt>
                  </c:strCache>
                </c:strRef>
              </c:tx>
              <c:dLblPos val="ctr"/>
              <c:showVal val="1"/>
            </c:dLbl>
            <c:dLbl>
              <c:idx val="9"/>
              <c:layout/>
              <c:tx>
                <c:strRef>
                  <c:f>Dashboard_Daten!$AD$177</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Dashboard_Daten!$U$176:$AD$176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none"/>
        <c:spPr>
          <a:ln>
            <a:noFill/>
          </a:ln>
        </c:spPr>
        <c:crossAx val="50210002"/>
        <c:crosses val="autoZero"/>
        <c:auto val="1"/>
        <c:lblAlgn val="ctr"/>
        <c:lblOffset val="100"/>
      </c:catAx>
      <c:valAx>
        <c:axId val="50210002"/>
        <c:scaling>
          <c:orientation val="minMax"/>
          <c:max val="1"/>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Dashboard_Daten!$U$29:$AD$29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Dashboard_Daten!$U$28:$AD$28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Dashboard_Daten!$U$27:$AD$27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220001"/>
        <c:axId val="50220002"/>
      </c:barChart>
      <c:lineChart>
        <c:grouping val="standard"/>
        <c:ser>
          <c:idx val="3"/>
          <c:order val="3"/>
          <c:tx>
            <c:v>Summe</c:v>
          </c:tx>
          <c:spPr>
            <a:ln>
              <a:noFill/>
            </a:ln>
          </c:spPr>
          <c:marker>
            <c:symbol val="none"/>
          </c:marker>
          <c:dLbls>
            <c:dLbl>
              <c:idx val="0"/>
              <c:layout/>
              <c:tx>
                <c:strRef>
                  <c:f>Dashboard_Daten!$U$143</c:f>
                  <c:strCache>
                    <c:ptCount val="1"/>
                    <c:pt idx="0">
                      <c:v>0</c:v>
                    </c:pt>
                  </c:strCache>
                </c:strRef>
              </c:tx>
              <c:dLblPos val="t"/>
              <c:showVal val="1"/>
            </c:dLbl>
            <c:dLbl>
              <c:idx val="1"/>
              <c:layout/>
              <c:tx>
                <c:strRef>
                  <c:f>Dashboard_Daten!$V$143</c:f>
                  <c:strCache>
                    <c:ptCount val="1"/>
                    <c:pt idx="0">
                      <c:v>0</c:v>
                    </c:pt>
                  </c:strCache>
                </c:strRef>
              </c:tx>
              <c:dLblPos val="t"/>
              <c:showVal val="1"/>
            </c:dLbl>
            <c:dLbl>
              <c:idx val="2"/>
              <c:layout/>
              <c:tx>
                <c:strRef>
                  <c:f>Dashboard_Daten!$W$143</c:f>
                  <c:strCache>
                    <c:ptCount val="1"/>
                    <c:pt idx="0">
                      <c:v>0</c:v>
                    </c:pt>
                  </c:strCache>
                </c:strRef>
              </c:tx>
              <c:dLblPos val="t"/>
              <c:showVal val="1"/>
            </c:dLbl>
            <c:dLbl>
              <c:idx val="3"/>
              <c:layout/>
              <c:tx>
                <c:strRef>
                  <c:f>Dashboard_Daten!$X$143</c:f>
                  <c:strCache>
                    <c:ptCount val="1"/>
                    <c:pt idx="0">
                      <c:v>0</c:v>
                    </c:pt>
                  </c:strCache>
                </c:strRef>
              </c:tx>
              <c:dLblPos val="t"/>
              <c:showVal val="1"/>
            </c:dLbl>
            <c:dLbl>
              <c:idx val="4"/>
              <c:layout/>
              <c:tx>
                <c:strRef>
                  <c:f>Dashboard_Daten!$Y$143</c:f>
                  <c:strCache>
                    <c:ptCount val="1"/>
                    <c:pt idx="0">
                      <c:v>0</c:v>
                    </c:pt>
                  </c:strCache>
                </c:strRef>
              </c:tx>
              <c:dLblPos val="t"/>
              <c:showVal val="1"/>
            </c:dLbl>
            <c:dLbl>
              <c:idx val="5"/>
              <c:layout/>
              <c:tx>
                <c:strRef>
                  <c:f>Dashboard_Daten!$Z$143</c:f>
                  <c:strCache>
                    <c:ptCount val="1"/>
                    <c:pt idx="0">
                      <c:v>0</c:v>
                    </c:pt>
                  </c:strCache>
                </c:strRef>
              </c:tx>
              <c:dLblPos val="t"/>
              <c:showVal val="1"/>
            </c:dLbl>
            <c:dLbl>
              <c:idx val="6"/>
              <c:layout/>
              <c:tx>
                <c:strRef>
                  <c:f>Dashboard_Daten!$AA$143</c:f>
                  <c:strCache>
                    <c:ptCount val="1"/>
                    <c:pt idx="0">
                      <c:v>0</c:v>
                    </c:pt>
                  </c:strCache>
                </c:strRef>
              </c:tx>
              <c:dLblPos val="t"/>
              <c:showVal val="1"/>
            </c:dLbl>
            <c:dLbl>
              <c:idx val="7"/>
              <c:layout/>
              <c:tx>
                <c:strRef>
                  <c:f>Dashboard_Daten!$AB$143</c:f>
                  <c:strCache>
                    <c:ptCount val="1"/>
                    <c:pt idx="0">
                      <c:v>0</c:v>
                    </c:pt>
                  </c:strCache>
                </c:strRef>
              </c:tx>
              <c:dLblPos val="t"/>
              <c:showVal val="1"/>
            </c:dLbl>
            <c:dLbl>
              <c:idx val="8"/>
              <c:layout/>
              <c:tx>
                <c:strRef>
                  <c:f>Dashboard_Daten!$AC$143</c:f>
                  <c:strCache>
                    <c:ptCount val="1"/>
                    <c:pt idx="0">
                      <c:v>0</c:v>
                    </c:pt>
                  </c:strCache>
                </c:strRef>
              </c:tx>
              <c:dLblPos val="t"/>
              <c:showVal val="1"/>
            </c:dLbl>
            <c:dLbl>
              <c:idx val="9"/>
              <c:layout/>
              <c:tx>
                <c:strRef>
                  <c:f>Dashboard_Daten!$AD$143</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Dashboard_Daten!$U$144:$AD$144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none"/>
        <c:spPr>
          <a:ln w="9525">
            <a:solidFill>
              <a:srgbClr val="BFBFBF"/>
            </a:solidFill>
          </a:ln>
        </c:spPr>
        <c:crossAx val="50220002"/>
        <c:crosses val="autoZero"/>
        <c:auto val="1"/>
        <c:lblAlgn val="ctr"/>
        <c:lblOffset val="100"/>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Dashboard_Daten!$U$179:$AD$179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Dashboard_Daten!$U$181:$AD$181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30001"/>
        <c:axId val="50230002"/>
      </c:barChart>
      <c:barChart>
        <c:barDir val="col"/>
        <c:grouping val="clustered"/>
        <c:ser>
          <c:idx val="2"/>
          <c:order val="2"/>
          <c:tx>
            <c:v>Wert Zunahmen</c:v>
          </c:tx>
          <c:spPr>
            <a:noFill/>
            <a:ln>
              <a:noFill/>
            </a:ln>
          </c:spPr>
          <c:dLbls>
            <c:dLbl>
              <c:idx val="0"/>
              <c:layout/>
              <c:tx>
                <c:strRef>
                  <c:f>Dashboard_Daten!$U$180</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Dashboard_Daten!$V$180</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Dashboard_Daten!$W$180</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Dashboard_Daten!$X$180</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Dashboard_Daten!$Y$180</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Dashboard_Daten!$Z$180</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Dashboard_Daten!$AA$180</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Dashboard_Daten!$AB$180</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Dashboard_Daten!$AC$180</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Dashboard_Daten!$AD$180</c:f>
                  <c:strCache>
                    <c:ptCount val="1"/>
                    <c:pt idx="0">
                      <c:v>0</c:v>
                    </c:pt>
                  </c:strCache>
                </c:strRef>
              </c:tx>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Dashboard_Daten!$U$183:$AD$183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Dashboard_Daten!$U$182</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Dashboard_Daten!$V$182</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Dashboard_Daten!$W$182</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Dashboard_Daten!$X$182</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Dashboard_Daten!$Y$182</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Dashboard_Daten!$Z$182</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Dashboard_Daten!$AA$182</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Dashboard_Daten!$AB$182</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Dashboard_Daten!$AC$182</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Dashboard_Daten!$AD$182</c:f>
                  <c:strCache>
                    <c:ptCount val="1"/>
                    <c:pt idx="0">
                      <c:v>0</c:v>
                    </c:pt>
                  </c:strCache>
                </c:strRef>
              </c:tx>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Dashboard_Daten!$U$184:$AD$184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30001"/>
        <c:axId val="60230002"/>
      </c:bar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ax val="1.614035087719298"/>
          <c:min val="0"/>
        </c:scaling>
        <c:delete val="1"/>
        <c:axPos val="l"/>
        <c:numFmt formatCode="General" sourceLinked="1"/>
        <c:tickLblPos val="nextTo"/>
        <c:crossAx val="50230001"/>
        <c:crosses val="autoZero"/>
        <c:crossBetween val="between"/>
      </c:valAx>
      <c:valAx>
        <c:axId val="60230002"/>
        <c:scaling>
          <c:orientation val="minMax"/>
          <c:max val="1.614035087719298"/>
          <c:min val="0"/>
        </c:scaling>
        <c:delete val="1"/>
        <c:axPos val="r"/>
        <c:numFmt formatCode="General" sourceLinked="1"/>
        <c:tickLblPos val="nextTo"/>
        <c:crossAx val="60230001"/>
        <c:crosses val="max"/>
        <c:crossBetween val="between"/>
      </c:valAx>
      <c:catAx>
        <c:axId val="60230001"/>
        <c:scaling>
          <c:orientation val="minMax"/>
        </c:scaling>
        <c:delete val="1"/>
        <c:axPos val="b"/>
        <c:numFmt formatCode="General" sourceLinked="1"/>
        <c:tickLblPos val="none"/>
        <c:crossAx val="6023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Dashboard_Daten!$U$189</c:f>
                  <c:strCache>
                    <c:ptCount val="1"/>
                    <c:pt idx="0">
                      <c:v>0</c:v>
                    </c:pt>
                  </c:strCache>
                </c:strRef>
              </c:tx>
              <c:dLblPos val="ctr"/>
              <c:showVal val="1"/>
            </c:dLbl>
            <c:dLbl>
              <c:idx val="1"/>
              <c:layout/>
              <c:tx>
                <c:strRef>
                  <c:f>Dashboard_Daten!$V$189</c:f>
                  <c:strCache>
                    <c:ptCount val="1"/>
                    <c:pt idx="0">
                      <c:v>0</c:v>
                    </c:pt>
                  </c:strCache>
                </c:strRef>
              </c:tx>
              <c:dLblPos val="ctr"/>
              <c:showVal val="1"/>
            </c:dLbl>
            <c:dLbl>
              <c:idx val="2"/>
              <c:layout/>
              <c:tx>
                <c:strRef>
                  <c:f>Dashboard_Daten!$W$189</c:f>
                  <c:strCache>
                    <c:ptCount val="1"/>
                    <c:pt idx="0">
                      <c:v>0</c:v>
                    </c:pt>
                  </c:strCache>
                </c:strRef>
              </c:tx>
              <c:dLblPos val="ctr"/>
              <c:showVal val="1"/>
            </c:dLbl>
            <c:dLbl>
              <c:idx val="3"/>
              <c:layout/>
              <c:tx>
                <c:strRef>
                  <c:f>Dashboard_Daten!$X$189</c:f>
                  <c:strCache>
                    <c:ptCount val="1"/>
                    <c:pt idx="0">
                      <c:v>0</c:v>
                    </c:pt>
                  </c:strCache>
                </c:strRef>
              </c:tx>
              <c:dLblPos val="ctr"/>
              <c:showVal val="1"/>
            </c:dLbl>
            <c:dLbl>
              <c:idx val="4"/>
              <c:layout/>
              <c:tx>
                <c:strRef>
                  <c:f>Dashboard_Daten!$Y$189</c:f>
                  <c:strCache>
                    <c:ptCount val="1"/>
                    <c:pt idx="0">
                      <c:v>0</c:v>
                    </c:pt>
                  </c:strCache>
                </c:strRef>
              </c:tx>
              <c:dLblPos val="ctr"/>
              <c:showVal val="1"/>
            </c:dLbl>
            <c:dLbl>
              <c:idx val="5"/>
              <c:layout/>
              <c:tx>
                <c:strRef>
                  <c:f>Dashboard_Daten!$Z$189</c:f>
                  <c:strCache>
                    <c:ptCount val="1"/>
                    <c:pt idx="0">
                      <c:v>0</c:v>
                    </c:pt>
                  </c:strCache>
                </c:strRef>
              </c:tx>
              <c:dLblPos val="ctr"/>
              <c:showVal val="1"/>
            </c:dLbl>
            <c:dLbl>
              <c:idx val="6"/>
              <c:layout/>
              <c:tx>
                <c:strRef>
                  <c:f>Dashboard_Daten!$AA$189</c:f>
                  <c:strCache>
                    <c:ptCount val="1"/>
                    <c:pt idx="0">
                      <c:v>0</c:v>
                    </c:pt>
                  </c:strCache>
                </c:strRef>
              </c:tx>
              <c:dLblPos val="ctr"/>
              <c:showVal val="1"/>
            </c:dLbl>
            <c:dLbl>
              <c:idx val="7"/>
              <c:layout/>
              <c:tx>
                <c:strRef>
                  <c:f>Dashboard_Daten!$AB$189</c:f>
                  <c:strCache>
                    <c:ptCount val="1"/>
                    <c:pt idx="0">
                      <c:v>0</c:v>
                    </c:pt>
                  </c:strCache>
                </c:strRef>
              </c:tx>
              <c:dLblPos val="ctr"/>
              <c:showVal val="1"/>
            </c:dLbl>
            <c:dLbl>
              <c:idx val="8"/>
              <c:layout/>
              <c:tx>
                <c:strRef>
                  <c:f>Dashboard_Daten!$AC$189</c:f>
                  <c:strCache>
                    <c:ptCount val="1"/>
                    <c:pt idx="0">
                      <c:v>0</c:v>
                    </c:pt>
                  </c:strCache>
                </c:strRef>
              </c:tx>
              <c:dLblPos val="ctr"/>
              <c:showVal val="1"/>
            </c:dLbl>
            <c:dLbl>
              <c:idx val="9"/>
              <c:layout/>
              <c:tx>
                <c:strRef>
                  <c:f>Dashboard_Daten!$AD$189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Dashboard_Daten!$U$186:$AD$186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Dashboard_Daten!$U$189</c:f>
                  <c:strCache>
                    <c:ptCount val="1"/>
                    <c:pt idx="0">
                      <c:v>0</c:v>
                    </c:pt>
                  </c:strCache>
                </c:strRef>
              </c:tx>
              <c:dLblPos val="ctr"/>
              <c:showVal val="1"/>
            </c:dLbl>
            <c:dLbl>
              <c:idx val="1"/>
              <c:layout/>
              <c:tx>
                <c:strRef>
                  <c:f>Dashboard_Daten!$V$189</c:f>
                  <c:strCache>
                    <c:ptCount val="1"/>
                    <c:pt idx="0">
                      <c:v>0</c:v>
                    </c:pt>
                  </c:strCache>
                </c:strRef>
              </c:tx>
              <c:dLblPos val="ctr"/>
              <c:showVal val="1"/>
            </c:dLbl>
            <c:dLbl>
              <c:idx val="2"/>
              <c:layout/>
              <c:tx>
                <c:strRef>
                  <c:f>Dashboard_Daten!$W$189</c:f>
                  <c:strCache>
                    <c:ptCount val="1"/>
                    <c:pt idx="0">
                      <c:v>0</c:v>
                    </c:pt>
                  </c:strCache>
                </c:strRef>
              </c:tx>
              <c:dLblPos val="ctr"/>
              <c:showVal val="1"/>
            </c:dLbl>
            <c:dLbl>
              <c:idx val="3"/>
              <c:layout/>
              <c:tx>
                <c:strRef>
                  <c:f>Dashboard_Daten!$X$189</c:f>
                  <c:strCache>
                    <c:ptCount val="1"/>
                    <c:pt idx="0">
                      <c:v>0</c:v>
                    </c:pt>
                  </c:strCache>
                </c:strRef>
              </c:tx>
              <c:dLblPos val="ctr"/>
              <c:showVal val="1"/>
            </c:dLbl>
            <c:dLbl>
              <c:idx val="4"/>
              <c:layout/>
              <c:tx>
                <c:strRef>
                  <c:f>Dashboard_Daten!$Y$189</c:f>
                  <c:strCache>
                    <c:ptCount val="1"/>
                    <c:pt idx="0">
                      <c:v>0</c:v>
                    </c:pt>
                  </c:strCache>
                </c:strRef>
              </c:tx>
              <c:dLblPos val="ctr"/>
              <c:showVal val="1"/>
            </c:dLbl>
            <c:dLbl>
              <c:idx val="5"/>
              <c:layout/>
              <c:tx>
                <c:strRef>
                  <c:f>Dashboard_Daten!$Z$189</c:f>
                  <c:strCache>
                    <c:ptCount val="1"/>
                    <c:pt idx="0">
                      <c:v>0</c:v>
                    </c:pt>
                  </c:strCache>
                </c:strRef>
              </c:tx>
              <c:dLblPos val="ctr"/>
              <c:showVal val="1"/>
            </c:dLbl>
            <c:dLbl>
              <c:idx val="6"/>
              <c:layout/>
              <c:tx>
                <c:strRef>
                  <c:f>Dashboard_Daten!$AA$189</c:f>
                  <c:strCache>
                    <c:ptCount val="1"/>
                    <c:pt idx="0">
                      <c:v>0</c:v>
                    </c:pt>
                  </c:strCache>
                </c:strRef>
              </c:tx>
              <c:dLblPos val="ctr"/>
              <c:showVal val="1"/>
            </c:dLbl>
            <c:dLbl>
              <c:idx val="7"/>
              <c:layout/>
              <c:tx>
                <c:strRef>
                  <c:f>Dashboard_Daten!$AB$189</c:f>
                  <c:strCache>
                    <c:ptCount val="1"/>
                    <c:pt idx="0">
                      <c:v>0</c:v>
                    </c:pt>
                  </c:strCache>
                </c:strRef>
              </c:tx>
              <c:dLblPos val="ctr"/>
              <c:showVal val="1"/>
            </c:dLbl>
            <c:dLbl>
              <c:idx val="8"/>
              <c:layout/>
              <c:tx>
                <c:strRef>
                  <c:f>Dashboard_Daten!$AC$189</c:f>
                  <c:strCache>
                    <c:ptCount val="1"/>
                    <c:pt idx="0">
                      <c:v>0</c:v>
                    </c:pt>
                  </c:strCache>
                </c:strRef>
              </c:tx>
              <c:dLblPos val="ctr"/>
              <c:showVal val="1"/>
            </c:dLbl>
            <c:dLbl>
              <c:idx val="9"/>
              <c:layout/>
              <c:tx>
                <c:strRef>
                  <c:f>Dashboard_Daten!$AD$189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Dashboard_Daten!$U$187:$AD$187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Dashboard_Daten!$U$189</c:f>
                  <c:strCache>
                    <c:ptCount val="1"/>
                    <c:pt idx="0">
                      <c:v>0</c:v>
                    </c:pt>
                  </c:strCache>
                </c:strRef>
              </c:tx>
              <c:dLblPos val="ctr"/>
              <c:showVal val="1"/>
            </c:dLbl>
            <c:dLbl>
              <c:idx val="1"/>
              <c:layout/>
              <c:tx>
                <c:strRef>
                  <c:f>Dashboard_Daten!$V$189</c:f>
                  <c:strCache>
                    <c:ptCount val="1"/>
                    <c:pt idx="0">
                      <c:v>0</c:v>
                    </c:pt>
                  </c:strCache>
                </c:strRef>
              </c:tx>
              <c:dLblPos val="ctr"/>
              <c:showVal val="1"/>
            </c:dLbl>
            <c:dLbl>
              <c:idx val="2"/>
              <c:layout/>
              <c:tx>
                <c:strRef>
                  <c:f>Dashboard_Daten!$W$189</c:f>
                  <c:strCache>
                    <c:ptCount val="1"/>
                    <c:pt idx="0">
                      <c:v>0</c:v>
                    </c:pt>
                  </c:strCache>
                </c:strRef>
              </c:tx>
              <c:dLblPos val="ctr"/>
              <c:showVal val="1"/>
            </c:dLbl>
            <c:dLbl>
              <c:idx val="3"/>
              <c:layout/>
              <c:tx>
                <c:strRef>
                  <c:f>Dashboard_Daten!$X$189</c:f>
                  <c:strCache>
                    <c:ptCount val="1"/>
                    <c:pt idx="0">
                      <c:v>0</c:v>
                    </c:pt>
                  </c:strCache>
                </c:strRef>
              </c:tx>
              <c:dLblPos val="ctr"/>
              <c:showVal val="1"/>
            </c:dLbl>
            <c:dLbl>
              <c:idx val="4"/>
              <c:layout/>
              <c:tx>
                <c:strRef>
                  <c:f>Dashboard_Daten!$Y$189</c:f>
                  <c:strCache>
                    <c:ptCount val="1"/>
                    <c:pt idx="0">
                      <c:v>0</c:v>
                    </c:pt>
                  </c:strCache>
                </c:strRef>
              </c:tx>
              <c:dLblPos val="ctr"/>
              <c:showVal val="1"/>
            </c:dLbl>
            <c:dLbl>
              <c:idx val="5"/>
              <c:layout/>
              <c:tx>
                <c:strRef>
                  <c:f>Dashboard_Daten!$Z$189</c:f>
                  <c:strCache>
                    <c:ptCount val="1"/>
                    <c:pt idx="0">
                      <c:v>0</c:v>
                    </c:pt>
                  </c:strCache>
                </c:strRef>
              </c:tx>
              <c:dLblPos val="ctr"/>
              <c:showVal val="1"/>
            </c:dLbl>
            <c:dLbl>
              <c:idx val="6"/>
              <c:layout/>
              <c:tx>
                <c:strRef>
                  <c:f>Dashboard_Daten!$AA$189</c:f>
                  <c:strCache>
                    <c:ptCount val="1"/>
                    <c:pt idx="0">
                      <c:v>0</c:v>
                    </c:pt>
                  </c:strCache>
                </c:strRef>
              </c:tx>
              <c:dLblPos val="ctr"/>
              <c:showVal val="1"/>
            </c:dLbl>
            <c:dLbl>
              <c:idx val="7"/>
              <c:layout/>
              <c:tx>
                <c:strRef>
                  <c:f>Dashboard_Daten!$AB$189</c:f>
                  <c:strCache>
                    <c:ptCount val="1"/>
                    <c:pt idx="0">
                      <c:v>0</c:v>
                    </c:pt>
                  </c:strCache>
                </c:strRef>
              </c:tx>
              <c:dLblPos val="ctr"/>
              <c:showVal val="1"/>
            </c:dLbl>
            <c:dLbl>
              <c:idx val="8"/>
              <c:layout/>
              <c:tx>
                <c:strRef>
                  <c:f>Dashboard_Daten!$AC$189</c:f>
                  <c:strCache>
                    <c:ptCount val="1"/>
                    <c:pt idx="0">
                      <c:v>0</c:v>
                    </c:pt>
                  </c:strCache>
                </c:strRef>
              </c:tx>
              <c:dLblPos val="ctr"/>
              <c:showVal val="1"/>
            </c:dLbl>
            <c:dLbl>
              <c:idx val="9"/>
              <c:layout/>
              <c:tx>
                <c:strRef>
                  <c:f>Dashboard_Daten!$AD$189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Dashboard_Daten!$U$188:$AD$188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none"/>
        <c:spPr>
          <a:ln>
            <a:noFill/>
          </a:ln>
        </c:spPr>
        <c:crossAx val="50240002"/>
        <c:crosses val="autoZero"/>
        <c:auto val="1"/>
        <c:lblAlgn val="ctr"/>
        <c:lblOffset val="100"/>
      </c:catAx>
      <c:valAx>
        <c:axId val="50240002"/>
        <c:scaling>
          <c:orientation val="minMax"/>
          <c:max val="1"/>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wrap="none" lIns="18000" tIns="0" rIns="18000" bIns="0" anchor="ctr" anchorCtr="1">
                <a:spAutoFit/>
              </a:bodyPr>
              <a:lstStyle/>
              <a:p>
                <a:pPr>
                  <a:defRPr sz="600" b="1" baseline="0">
                    <a:solidFill>
                      <a:srgbClr val="B31767"/>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Dashboard_Daten!$AJ$152:$AO$152</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wrap="none" lIns="18000" tIns="0" rIns="18000" bIns="0" anchor="ctr" anchorCtr="1">
                <a:spAutoFit/>
              </a:bodyPr>
              <a:lstStyle/>
              <a:p>
                <a:pPr>
                  <a:defRPr sz="60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Dashboard_Daten!$AJ$153:$AO$153</c:f>
              <c:numCache>
                <c:formatCode>General</c:formatCode>
                <c:ptCount val="6"/>
                <c:pt idx="0">
                  <c:v>0</c:v>
                </c:pt>
                <c:pt idx="1">
                  <c:v>0</c:v>
                </c:pt>
                <c:pt idx="2">
                  <c:v>0</c:v>
                </c:pt>
                <c:pt idx="3">
                  <c:v>0</c:v>
                </c:pt>
                <c:pt idx="4">
                  <c:v>0</c:v>
                </c:pt>
                <c:pt idx="5">
                  <c:v>0</c:v>
                </c:pt>
              </c:numCache>
            </c:numRef>
          </c:val>
        </c:ser>
        <c:gapWidth val="70"/>
        <c:overlap val="-5"/>
        <c:axId val="50250001"/>
        <c:axId val="50250002"/>
      </c:barChart>
      <c:catAx>
        <c:axId val="502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50002"/>
        <c:crosses val="autoZero"/>
        <c:auto val="1"/>
        <c:lblAlgn val="ctr"/>
        <c:lblOffset val="100"/>
      </c:catAx>
      <c:valAx>
        <c:axId val="50250002"/>
        <c:scaling>
          <c:orientation val="minMax"/>
          <c:min val="0"/>
        </c:scaling>
        <c:delete val="1"/>
        <c:axPos val="l"/>
        <c:numFmt formatCode="General" sourceLinked="1"/>
        <c:tickLblPos val="nextTo"/>
        <c:crossAx val="502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Dashboard_Daten!$U$32:$AD$32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60001"/>
        <c:axId val="50260002"/>
      </c:lineChart>
      <c:catAx>
        <c:axId val="502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60002"/>
        <c:crosses val="autoZero"/>
        <c:auto val="1"/>
        <c:lblAlgn val="ctr"/>
        <c:lblOffset val="100"/>
        <c:tickLblSkip val="1"/>
      </c:catAx>
      <c:valAx>
        <c:axId val="50260002"/>
        <c:scaling>
          <c:orientation val="minMax"/>
          <c:min val="0"/>
        </c:scaling>
        <c:delete val="1"/>
        <c:axPos val="l"/>
        <c:numFmt formatCode="General" sourceLinked="1"/>
        <c:tickLblPos val="nextTo"/>
        <c:crossAx val="502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Dashboard_Daten!$U$33:$AD$33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70001"/>
        <c:axId val="50270002"/>
      </c:lineChart>
      <c:catAx>
        <c:axId val="502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70002"/>
        <c:crosses val="autoZero"/>
        <c:auto val="1"/>
        <c:lblAlgn val="ctr"/>
        <c:lblOffset val="100"/>
        <c:tickLblSkip val="1"/>
      </c:catAx>
      <c:valAx>
        <c:axId val="50270002"/>
        <c:scaling>
          <c:orientation val="minMax"/>
          <c:min val="0"/>
        </c:scaling>
        <c:delete val="1"/>
        <c:axPos val="l"/>
        <c:numFmt formatCode="General" sourceLinked="1"/>
        <c:tickLblPos val="nextTo"/>
        <c:crossAx val="502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Dashboard_Daten!$U$34:$AD$34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80001"/>
        <c:axId val="50280002"/>
      </c:lineChart>
      <c:catAx>
        <c:axId val="502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80002"/>
        <c:crosses val="autoZero"/>
        <c:auto val="1"/>
        <c:lblAlgn val="ctr"/>
        <c:lblOffset val="100"/>
        <c:tickLblSkip val="1"/>
      </c:catAx>
      <c:valAx>
        <c:axId val="50280002"/>
        <c:scaling>
          <c:orientation val="minMax"/>
          <c:min val="0"/>
        </c:scaling>
        <c:delete val="1"/>
        <c:axPos val="l"/>
        <c:numFmt formatCode="General" sourceLinked="1"/>
        <c:tickLblPos val="nextTo"/>
        <c:crossAx val="502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wrap="none" lIns="18000" tIns="0" rIns="18000" bIns="0" anchor="ctr" anchorCtr="1">
                <a:spAutoFit/>
              </a:bodyPr>
              <a:lstStyle/>
              <a:p>
                <a:pPr>
                  <a:defRPr sz="650" b="1" baseline="0">
                    <a:solidFill>
                      <a:srgbClr val="0F94A7"/>
                    </a:solidFill>
                    <a:latin typeface="Liberation Sans"/>
                  </a:defRPr>
                </a:pPr>
                <a:endParaRPr lang="en-US"/>
              </a:p>
            </c:txPr>
            <c:dLblPos val="t"/>
            <c:showVal val="1"/>
          </c:dLbls>
          <c:cat>
            <c:numRef>
              <c:f>Dashboard_Daten!$U$3:$AD$3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Dashboard_Daten!$U$35:$AD$35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90001"/>
        <c:axId val="50290002"/>
      </c:lineChart>
      <c:catAx>
        <c:axId val="502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90002"/>
        <c:crosses val="autoZero"/>
        <c:auto val="1"/>
        <c:lblAlgn val="ctr"/>
        <c:lblOffset val="100"/>
        <c:tickLblSkip val="1"/>
      </c:catAx>
      <c:valAx>
        <c:axId val="50290002"/>
        <c:scaling>
          <c:orientation val="minMax"/>
          <c:min val="0"/>
        </c:scaling>
        <c:delete val="1"/>
        <c:axPos val="l"/>
        <c:numFmt formatCode="General" sourceLinked="1"/>
        <c:tickLblPos val="nextTo"/>
        <c:crossAx val="502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 Id="rId13" Type="http://schemas.openxmlformats.org/officeDocument/2006/relationships/chart" Target="../charts/chart12.xml"/><Relationship Id="rId14" Type="http://schemas.openxmlformats.org/officeDocument/2006/relationships/chart" Target="../charts/chart13.xml"/><Relationship Id="rId15"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5.xml"/><Relationship Id="rId3" Type="http://schemas.openxmlformats.org/officeDocument/2006/relationships/chart" Target="../charts/chart16.xml"/><Relationship Id="rId4" Type="http://schemas.openxmlformats.org/officeDocument/2006/relationships/chart" Target="../charts/chart17.xml"/><Relationship Id="rId5" Type="http://schemas.openxmlformats.org/officeDocument/2006/relationships/chart" Target="../charts/chart18.xml"/><Relationship Id="rId6" Type="http://schemas.openxmlformats.org/officeDocument/2006/relationships/chart" Target="../charts/chart19.xml"/><Relationship Id="rId7" Type="http://schemas.openxmlformats.org/officeDocument/2006/relationships/chart" Target="../charts/chart20.xml"/><Relationship Id="rId8" Type="http://schemas.openxmlformats.org/officeDocument/2006/relationships/chart" Target="../charts/chart21.xml"/><Relationship Id="rId9" Type="http://schemas.openxmlformats.org/officeDocument/2006/relationships/chart" Target="../charts/chart22.xml"/><Relationship Id="rId10" Type="http://schemas.openxmlformats.org/officeDocument/2006/relationships/chart" Target="../charts/chart23.xml"/><Relationship Id="rId11" Type="http://schemas.openxmlformats.org/officeDocument/2006/relationships/chart" Target="../charts/chart24.xml"/><Relationship Id="rId12" Type="http://schemas.openxmlformats.org/officeDocument/2006/relationships/chart" Target="../charts/chart25.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6.xml"/><Relationship Id="rId3" Type="http://schemas.openxmlformats.org/officeDocument/2006/relationships/chart" Target="../charts/chart27.xml"/><Relationship Id="rId4" Type="http://schemas.openxmlformats.org/officeDocument/2006/relationships/chart" Target="../charts/chart28.xml"/><Relationship Id="rId5"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219200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12192000" cy="6858000"/>
    <xdr:pic>
      <xdr:nvPicPr>
        <xdr:cNvPr id="2" name="TITEL_Bild"/>
        <xdr:cNvPicPr>
          <a:picLocks noChangeAspect="1"/>
        </xdr:cNvPicPr>
      </xdr:nvPicPr>
      <xdr:blipFill>
        <a:blip xmlns:r="http://schemas.openxmlformats.org/officeDocument/2006/relationships" r:embed="rId1"/>
        <a:srcRect t="2768" b="12943"/>
        <a:stretch>
          <a:fillRect/>
        </a:stretch>
      </xdr:blipFill>
      <xdr:spPr>
        <a:xfrm>
          <a:off x="228600" y="685800"/>
          <a:ext cx="12192000" cy="6858000"/>
        </a:xfrm>
        <a:prstGeom prst="rect">
          <a:avLst/>
        </a:prstGeom>
      </xdr:spPr>
    </xdr:pic>
    <xdr:clientData/>
  </xdr:absoluteAnchor>
  <xdr:absoluteAnchor>
    <xdr:pos x="4657725" y="2162175"/>
    <xdr:ext cx="7077075" cy="2200275"/>
    <xdr:sp macro="" textlink="">
      <xdr:nvSpPr>
        <xdr:cNvPr id="5" name="TITEL_Flaeche"/>
        <xdr:cNvSpPr txBox="1"/>
      </xdr:nvSpPr>
      <xdr:spPr>
        <a:xfrm>
          <a:off x="4657725" y="2162175"/>
          <a:ext cx="7077075" cy="22002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57725" y="4438650"/>
    <xdr:ext cx="5362575" cy="561975"/>
    <xdr:sp macro="" textlink="">
      <xdr:nvSpPr>
        <xdr:cNvPr id="8" name="TITEL_Flaeche2"/>
        <xdr:cNvSpPr txBox="1"/>
      </xdr:nvSpPr>
      <xdr:spPr>
        <a:xfrm>
          <a:off x="4657725" y="4438650"/>
          <a:ext cx="5362575" cy="5619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334625" y="1171575"/>
    <xdr:ext cx="1552575" cy="857250"/>
    <xdr:pic>
      <xdr:nvPicPr>
        <xdr:cNvPr id="3" name="DEKO_Logo"/>
        <xdr:cNvPicPr>
          <a:picLocks noChangeAspect="1"/>
        </xdr:cNvPicPr>
      </xdr:nvPicPr>
      <xdr:blipFill>
        <a:blip xmlns:r="http://schemas.openxmlformats.org/officeDocument/2006/relationships" r:embed="rId2"/>
        <a:stretch>
          <a:fillRect/>
        </a:stretch>
      </xdr:blipFill>
      <xdr:spPr>
        <a:xfrm>
          <a:off x="10334625" y="1171575"/>
          <a:ext cx="1552575" cy="857250"/>
        </a:xfrm>
        <a:prstGeom prst="rect">
          <a:avLst/>
        </a:prstGeom>
      </xdr:spPr>
    </xdr:pic>
    <xdr:clientData/>
  </xdr:absoluteAnchor>
  <xdr:absoluteAnchor>
    <xdr:pos x="4657725" y="2162175"/>
    <xdr:ext cx="7077075" cy="504825"/>
    <xdr:sp macro="" textlink="Konfiguration!$C$15">
      <xdr:nvSpPr>
        <xdr:cNvPr id="6" name="DEKO_Titel"/>
        <xdr:cNvSpPr txBox="1"/>
      </xdr:nvSpPr>
      <xdr:spPr>
        <a:xfrm>
          <a:off x="4657725" y="21621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Dashboard HR Sales</a:t>
          </a:fld>
          <a:endParaRPr lang="en-US" sz="3200" b="1">
            <a:solidFill>
              <a:srgbClr val="B31767"/>
            </a:solidFill>
            <a:latin typeface="Calibri"/>
            <a:cs typeface="Calibri"/>
          </a:endParaRPr>
        </a:p>
      </xdr:txBody>
    </xdr:sp>
    <xdr:clientData/>
  </xdr:absoluteAnchor>
  <xdr:absoluteAnchor>
    <xdr:pos x="4657725" y="3152775"/>
    <xdr:ext cx="7077075" cy="504825"/>
    <xdr:sp macro="" textlink="Konfiguration!$C$16">
      <xdr:nvSpPr>
        <xdr:cNvPr id="7" name="DEKO_Untertitel"/>
        <xdr:cNvSpPr txBox="1"/>
      </xdr:nvSpPr>
      <xdr:spPr>
        <a:xfrm>
          <a:off x="4657725" y="31527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Kennzahlen zur Stabilisierungsphase</a:t>
          </a:fld>
          <a:endParaRPr lang="en-US" sz="3200" b="1">
            <a:solidFill>
              <a:srgbClr val="B31767"/>
            </a:solidFill>
            <a:latin typeface="Calibri"/>
            <a:cs typeface="Calibri"/>
          </a:endParaRPr>
        </a:p>
      </xdr:txBody>
    </xdr:sp>
    <xdr:clientData/>
  </xdr:absoluteAnchor>
  <xdr:absoluteAnchor>
    <xdr:pos x="4657725" y="4438650"/>
    <xdr:ext cx="5362575" cy="276225"/>
    <xdr:sp macro="" textlink="Konfiguration!$C$17">
      <xdr:nvSpPr>
        <xdr:cNvPr id="9" name="DEKO_Stand"/>
        <xdr:cNvSpPr txBox="1"/>
      </xdr:nvSpPr>
      <xdr:spPr>
        <a:xfrm>
          <a:off x="4657725" y="4438650"/>
          <a:ext cx="5362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1600">
              <a:solidFill>
                <a:srgbClr val="B31767"/>
              </a:solidFill>
              <a:latin typeface="Calibri"/>
              <a:cs typeface="Calibri"/>
            </a:rPr>
            <a:t>Stand  09.10.2026</a:t>
          </a:fld>
          <a:endParaRPr lang="en-US" sz="1600">
            <a:solidFill>
              <a:srgbClr val="B31767"/>
            </a:solidFill>
            <a:latin typeface="Calibri"/>
            <a:cs typeface="Calibri"/>
          </a:endParaRPr>
        </a:p>
      </xdr:txBody>
    </xdr:sp>
    <xdr:clientData/>
  </xdr:absoluteAnchor>
  <xdr:absoluteAnchor>
    <xdr:pos x="9886950" y="4362450"/>
    <xdr:ext cx="2190750" cy="2038350"/>
    <xdr:sp macro="" textlink="">
      <xdr:nvSpPr>
        <xdr:cNvPr id="10" name="DEKO_Vertraulich"/>
        <xdr:cNvSpPr txBox="1"/>
      </xdr:nvSpPr>
      <xdr:spPr>
        <a:xfrm rot="20700000">
          <a:off x="9886950" y="4362450"/>
          <a:ext cx="2190750" cy="2038350"/>
        </a:xfrm>
        <a:prstGeom prst="ellipse">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2200" b="1">
              <a:solidFill>
                <a:srgbClr val="FFFFFF"/>
              </a:solidFill>
              <a:latin typeface="Calibri"/>
              <a:cs typeface="Calibri"/>
            </a:rPr>
            <a:t>Vertraulich</a:t>
          </a:r>
        </a:p>
      </xdr:txBody>
    </xdr:sp>
    <xdr:clientData/>
  </xdr:absoluteAnchor>
  <xdr:absoluteAnchor>
    <xdr:pos x="228600" y="152400"/>
    <xdr:ext cx="1905000"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247900" y="152400"/>
    <xdr:ext cx="142875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2192000" cy="6858000"/>
    <xdr:sp macro="" textlink="">
      <xdr:nvSpPr>
        <xdr:cNvPr id="1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8"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31"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49"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52"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70"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73"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1924050" cy="257175"/>
    <xdr:sp macro="" textlink="">
      <xdr:nvSpPr>
        <xdr:cNvPr id="79"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1924050" cy="2105025"/>
    <xdr:sp macro="" textlink="">
      <xdr:nvSpPr>
        <xdr:cNvPr id="82"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467225"/>
    <xdr:ext cx="1924050" cy="257175"/>
    <xdr:sp macro="" textlink="">
      <xdr:nvSpPr>
        <xdr:cNvPr id="93"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724400"/>
    <xdr:ext cx="1924050" cy="2105025"/>
    <xdr:sp macro="" textlink="">
      <xdr:nvSpPr>
        <xdr:cNvPr id="96"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1924050" cy="257175"/>
    <xdr:sp macro="" textlink="">
      <xdr:nvSpPr>
        <xdr:cNvPr id="103"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1924050" cy="2105025"/>
    <xdr:sp macro="" textlink="">
      <xdr:nvSpPr>
        <xdr:cNvPr id="106"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467225"/>
    <xdr:ext cx="1924050" cy="257175"/>
    <xdr:sp macro="" textlink="">
      <xdr:nvSpPr>
        <xdr:cNvPr id="109"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724400"/>
    <xdr:ext cx="1924050" cy="2105025"/>
    <xdr:sp macro="" textlink="">
      <xdr:nvSpPr>
        <xdr:cNvPr id="112"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514600"/>
    <xdr:ext cx="2552700" cy="8382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62000" y="3590925"/>
    <xdr:ext cx="2552700" cy="7524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219575"/>
    <xdr:ext cx="2552700" cy="142875"/>
    <xdr:graphicFrame macro="">
      <xdr:nvGraphicFramePr>
        <xdr:cNvPr id="5" name="K1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467100" y="2514600"/>
    <xdr:ext cx="2552700" cy="838200"/>
    <xdr:graphicFrame macro="">
      <xdr:nvGraphicFramePr>
        <xdr:cNvPr id="6"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3467100" y="3590925"/>
    <xdr:ext cx="2552700" cy="752475"/>
    <xdr:graphicFrame macro="">
      <xdr:nvGraphicFramePr>
        <xdr:cNvPr id="7"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3467100" y="4219575"/>
    <xdr:ext cx="2552700" cy="142875"/>
    <xdr:graphicFrame macro="">
      <xdr:nvGraphicFramePr>
        <xdr:cNvPr id="8" name="K2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6162675" y="2562225"/>
    <xdr:ext cx="2552700" cy="800100"/>
    <xdr:graphicFrame macro="">
      <xdr:nvGraphicFramePr>
        <xdr:cNvPr id="9"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162675" y="3362325"/>
    <xdr:ext cx="2552700" cy="981075"/>
    <xdr:graphicFrame macro="">
      <xdr:nvGraphicFramePr>
        <xdr:cNvPr id="10"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762000" y="5143500"/>
    <xdr:ext cx="1876425" cy="914400"/>
    <xdr:graphicFrame macro="">
      <xdr:nvGraphicFramePr>
        <xdr:cNvPr id="11"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62000" y="6057900"/>
    <xdr:ext cx="1876425" cy="752475"/>
    <xdr:graphicFrame macro="">
      <xdr:nvGraphicFramePr>
        <xdr:cNvPr id="12"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762000" y="6686550"/>
    <xdr:ext cx="1876425" cy="142875"/>
    <xdr:graphicFrame macro="">
      <xdr:nvGraphicFramePr>
        <xdr:cNvPr id="13"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2790825" y="5029200"/>
    <xdr:ext cx="1876425" cy="1781175"/>
    <xdr:graphicFrame macro="">
      <xdr:nvGraphicFramePr>
        <xdr:cNvPr id="14"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810125" y="4914900"/>
    <xdr:ext cx="1876425" cy="1895475"/>
    <xdr:graphicFrame macro="">
      <xdr:nvGraphicFramePr>
        <xdr:cNvPr id="15"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838950" y="4914900"/>
    <xdr:ext cx="1876425" cy="1895475"/>
    <xdr:graphicFrame macro="">
      <xdr:nvGraphicFramePr>
        <xdr:cNvPr id="16"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7953375" y="685800"/>
    <xdr:ext cx="2057400" cy="390525"/>
    <xdr:sp macro="" textlink="">
      <xdr:nvSpPr>
        <xdr:cNvPr id="1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2">
      <xdr:nvSpPr>
        <xdr:cNvPr id="2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2">
      <xdr:nvSpPr>
        <xdr:cNvPr id="2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2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1057275" y="2009775"/>
    <xdr:ext cx="2219325" cy="257175"/>
    <xdr:sp macro="" textlink="">
      <xdr:nvSpPr>
        <xdr:cNvPr id="29"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Verbund</a:t>
          </a:r>
        </a:p>
      </xdr:txBody>
    </xdr:sp>
    <xdr:clientData/>
  </xdr:absoluteAnchor>
  <xdr:absoluteAnchor>
    <xdr:pos x="809625" y="2047875"/>
    <xdr:ext cx="161925" cy="161925"/>
    <xdr:sp macro="" textlink="">
      <xdr:nvSpPr>
        <xdr:cNvPr id="30"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809625" y="2286000"/>
    <xdr:ext cx="2447925" cy="114300"/>
    <xdr:sp macro="" textlink="">
      <xdr:nvSpPr>
        <xdr:cNvPr id="32"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2705100" y="2324100"/>
    <xdr:ext cx="38100" cy="19050"/>
    <xdr:sp macro="" textlink="">
      <xdr:nvSpPr>
        <xdr:cNvPr id="33"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52725" y="2324100"/>
    <xdr:ext cx="38100" cy="19050"/>
    <xdr:sp macro="" textlink="">
      <xdr:nvSpPr>
        <xdr:cNvPr id="34"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0350" y="2324100"/>
    <xdr:ext cx="38100" cy="19050"/>
    <xdr:sp macro="" textlink="">
      <xdr:nvSpPr>
        <xdr:cNvPr id="35"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67025" y="2286000"/>
    <xdr:ext cx="390525" cy="104775"/>
    <xdr:sp macro="" textlink="Konfiguration!$G$9">
      <xdr:nvSpPr>
        <xdr:cNvPr id="36"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809625" y="2419350"/>
    <xdr:ext cx="66675" cy="66675"/>
    <xdr:sp macro="" textlink="">
      <xdr:nvSpPr>
        <xdr:cNvPr id="37" name="K1_Leg135_0S"/>
        <xdr:cNvSpPr txBox="1"/>
      </xdr:nvSpPr>
      <xdr:spPr>
        <a:xfrm>
          <a:off x="8096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400300"/>
    <xdr:ext cx="419100" cy="104775"/>
    <xdr:sp macro="" textlink="">
      <xdr:nvSpPr>
        <xdr:cNvPr id="38"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419225" y="2419350"/>
    <xdr:ext cx="66675" cy="66675"/>
    <xdr:sp macro="" textlink="">
      <xdr:nvSpPr>
        <xdr:cNvPr id="39" name="K1_Leg135_1S"/>
        <xdr:cNvSpPr txBox="1"/>
      </xdr:nvSpPr>
      <xdr:spPr>
        <a:xfrm>
          <a:off x="14192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524000" y="2400300"/>
    <xdr:ext cx="495300" cy="104775"/>
    <xdr:sp macro="" textlink="">
      <xdr:nvSpPr>
        <xdr:cNvPr id="40"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2114550" y="2419350"/>
    <xdr:ext cx="66675" cy="66675"/>
    <xdr:sp macro="" textlink="">
      <xdr:nvSpPr>
        <xdr:cNvPr id="41" name="K1_Leg135_2S"/>
        <xdr:cNvSpPr txBox="1"/>
      </xdr:nvSpPr>
      <xdr:spPr>
        <a:xfrm>
          <a:off x="2114550"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09800" y="2400300"/>
    <xdr:ext cx="304800" cy="104775"/>
    <xdr:sp macro="" textlink="">
      <xdr:nvSpPr>
        <xdr:cNvPr id="42"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809625" y="3362325"/>
    <xdr:ext cx="2447925" cy="114300"/>
    <xdr:sp macro="" textlink="">
      <xdr:nvSpPr>
        <xdr:cNvPr id="43"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1828800" y="3371850"/>
    <xdr:ext cx="409575" cy="104775"/>
    <xdr:sp macro="" textlink="">
      <xdr:nvSpPr>
        <xdr:cNvPr id="44" name="K1_UT2b"/>
        <xdr:cNvSpPr txBox="1"/>
      </xdr:nvSpPr>
      <xdr:spPr>
        <a:xfrm>
          <a:off x="18288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809625" y="3495675"/>
    <xdr:ext cx="66675" cy="66675"/>
    <xdr:sp macro="" textlink="">
      <xdr:nvSpPr>
        <xdr:cNvPr id="45"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3476625"/>
    <xdr:ext cx="1047750" cy="104775"/>
    <xdr:sp macro="" textlink="">
      <xdr:nvSpPr>
        <xdr:cNvPr id="46" name="K1_Leg220_0"/>
        <xdr:cNvSpPr txBox="1"/>
      </xdr:nvSpPr>
      <xdr:spPr>
        <a:xfrm>
          <a:off x="9144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3495675"/>
    <xdr:ext cx="66675" cy="66675"/>
    <xdr:sp macro="" textlink="">
      <xdr:nvSpPr>
        <xdr:cNvPr id="47" name="K1_Leg220_1S"/>
        <xdr:cNvSpPr txBox="1"/>
      </xdr:nvSpPr>
      <xdr:spPr>
        <a:xfrm>
          <a:off x="20478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3476625"/>
    <xdr:ext cx="1057275" cy="104775"/>
    <xdr:sp macro="" textlink="">
      <xdr:nvSpPr>
        <xdr:cNvPr id="48" name="K1_Leg220_1"/>
        <xdr:cNvSpPr txBox="1"/>
      </xdr:nvSpPr>
      <xdr:spPr>
        <a:xfrm>
          <a:off x="21526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3752850" y="2009775"/>
    <xdr:ext cx="2219325" cy="257175"/>
    <xdr:sp macro="" textlink="">
      <xdr:nvSpPr>
        <xdr:cNvPr id="50"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514725" y="2047875"/>
    <xdr:ext cx="161925" cy="161925"/>
    <xdr:sp macro="" textlink="">
      <xdr:nvSpPr>
        <xdr:cNvPr id="51"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514725" y="2286000"/>
    <xdr:ext cx="2447925" cy="114300"/>
    <xdr:sp macro="" textlink="">
      <xdr:nvSpPr>
        <xdr:cNvPr id="53"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4676775" y="2324100"/>
    <xdr:ext cx="38100" cy="19050"/>
    <xdr:sp macro="" textlink="">
      <xdr:nvSpPr>
        <xdr:cNvPr id="54" name="K2_SLA_S0"/>
        <xdr:cNvSpPr txBox="1"/>
      </xdr:nvSpPr>
      <xdr:spPr>
        <a:xfrm>
          <a:off x="4676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5" name="K2_SLA_S1"/>
        <xdr:cNvSpPr txBox="1"/>
      </xdr:nvSpPr>
      <xdr:spPr>
        <a:xfrm>
          <a:off x="47244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72025" y="2324100"/>
    <xdr:ext cx="38100" cy="19050"/>
    <xdr:sp macro="" textlink="">
      <xdr:nvSpPr>
        <xdr:cNvPr id="56" name="K2_SLA_S2"/>
        <xdr:cNvSpPr txBox="1"/>
      </xdr:nvSpPr>
      <xdr:spPr>
        <a:xfrm>
          <a:off x="47720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38700" y="2286000"/>
    <xdr:ext cx="1114425" cy="104775"/>
    <xdr:sp macro="" textlink="Konfiguration!$G$11">
      <xdr:nvSpPr>
        <xdr:cNvPr id="57" name="K2_SLA_T"/>
        <xdr:cNvSpPr txBox="1"/>
      </xdr:nvSpPr>
      <xdr:spPr>
        <a:xfrm>
          <a:off x="4838700" y="2286000"/>
          <a:ext cx="1114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12,3 (Faktor 2,24) TBC</a:t>
          </a:fld>
          <a:endParaRPr lang="en-US" sz="650">
            <a:solidFill>
              <a:srgbClr val="4A4A4A"/>
            </a:solidFill>
            <a:latin typeface="Liberation Sans"/>
            <a:cs typeface="Liberation Sans"/>
          </a:endParaRPr>
        </a:p>
      </xdr:txBody>
    </xdr:sp>
    <xdr:clientData/>
  </xdr:absoluteAnchor>
  <xdr:absoluteAnchor>
    <xdr:pos x="3514725" y="2419350"/>
    <xdr:ext cx="66675" cy="66675"/>
    <xdr:sp macro="" textlink="">
      <xdr:nvSpPr>
        <xdr:cNvPr id="58" name="K2_Leg135_0S"/>
        <xdr:cNvSpPr txBox="1"/>
      </xdr:nvSpPr>
      <xdr:spPr>
        <a:xfrm>
          <a:off x="35147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00300"/>
    <xdr:ext cx="419100" cy="104775"/>
    <xdr:sp macro="" textlink="">
      <xdr:nvSpPr>
        <xdr:cNvPr id="59"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4124325" y="2419350"/>
    <xdr:ext cx="66675" cy="66675"/>
    <xdr:sp macro="" textlink="">
      <xdr:nvSpPr>
        <xdr:cNvPr id="60" name="K2_Leg135_1S"/>
        <xdr:cNvSpPr txBox="1"/>
      </xdr:nvSpPr>
      <xdr:spPr>
        <a:xfrm>
          <a:off x="41243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229100" y="2400300"/>
    <xdr:ext cx="495300" cy="104775"/>
    <xdr:sp macro="" textlink="">
      <xdr:nvSpPr>
        <xdr:cNvPr id="61"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810125" y="2419350"/>
    <xdr:ext cx="66675" cy="66675"/>
    <xdr:sp macro="" textlink="">
      <xdr:nvSpPr>
        <xdr:cNvPr id="62" name="K2_Leg135_2S"/>
        <xdr:cNvSpPr txBox="1"/>
      </xdr:nvSpPr>
      <xdr:spPr>
        <a:xfrm>
          <a:off x="4810125"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914900" y="2400300"/>
    <xdr:ext cx="304800" cy="104775"/>
    <xdr:sp macro="" textlink="">
      <xdr:nvSpPr>
        <xdr:cNvPr id="63"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514725" y="3362325"/>
    <xdr:ext cx="2447925" cy="114300"/>
    <xdr:sp macro="" textlink="">
      <xdr:nvSpPr>
        <xdr:cNvPr id="64"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4533900" y="3371850"/>
    <xdr:ext cx="409575" cy="104775"/>
    <xdr:sp macro="" textlink="">
      <xdr:nvSpPr>
        <xdr:cNvPr id="65" name="K2_UT2b"/>
        <xdr:cNvSpPr txBox="1"/>
      </xdr:nvSpPr>
      <xdr:spPr>
        <a:xfrm>
          <a:off x="45339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3514725" y="3495675"/>
    <xdr:ext cx="66675" cy="66675"/>
    <xdr:sp macro="" textlink="">
      <xdr:nvSpPr>
        <xdr:cNvPr id="66"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3476625"/>
    <xdr:ext cx="1047750" cy="104775"/>
    <xdr:sp macro="" textlink="">
      <xdr:nvSpPr>
        <xdr:cNvPr id="67" name="K2_Leg220_0"/>
        <xdr:cNvSpPr txBox="1"/>
      </xdr:nvSpPr>
      <xdr:spPr>
        <a:xfrm>
          <a:off x="36195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3495675"/>
    <xdr:ext cx="66675" cy="66675"/>
    <xdr:sp macro="" textlink="">
      <xdr:nvSpPr>
        <xdr:cNvPr id="68" name="K2_Leg220_1S"/>
        <xdr:cNvSpPr txBox="1"/>
      </xdr:nvSpPr>
      <xdr:spPr>
        <a:xfrm>
          <a:off x="47529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3476625"/>
    <xdr:ext cx="1057275" cy="104775"/>
    <xdr:sp macro="" textlink="">
      <xdr:nvSpPr>
        <xdr:cNvPr id="69" name="K2_Leg220_1"/>
        <xdr:cNvSpPr txBox="1"/>
      </xdr:nvSpPr>
      <xdr:spPr>
        <a:xfrm>
          <a:off x="48577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2009775"/>
    <xdr:ext cx="2219325" cy="257175"/>
    <xdr:sp macro="" textlink="">
      <xdr:nvSpPr>
        <xdr:cNvPr id="71"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6210300" y="2047875"/>
    <xdr:ext cx="161925" cy="161925"/>
    <xdr:sp macro="" textlink="">
      <xdr:nvSpPr>
        <xdr:cNvPr id="72"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6210300" y="2352675"/>
    <xdr:ext cx="123825" cy="19050"/>
    <xdr:sp macro="" textlink="">
      <xdr:nvSpPr>
        <xdr:cNvPr id="74"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600075" cy="104775"/>
    <xdr:sp macro="" textlink="">
      <xdr:nvSpPr>
        <xdr:cNvPr id="75"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7077075" y="2333625"/>
    <xdr:ext cx="66675" cy="66675"/>
    <xdr:sp macro="" textlink="">
      <xdr:nvSpPr>
        <xdr:cNvPr id="76" name="K3_Leg128_1S"/>
        <xdr:cNvSpPr txBox="1"/>
      </xdr:nvSpPr>
      <xdr:spPr>
        <a:xfrm>
          <a:off x="7077075" y="23336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172325" y="2314575"/>
    <xdr:ext cx="981075" cy="104775"/>
    <xdr:sp macro="" textlink="">
      <xdr:nvSpPr>
        <xdr:cNvPr id="77"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6210300" y="2428875"/>
    <xdr:ext cx="2095500" cy="104775"/>
    <xdr:sp macro="" textlink="">
      <xdr:nvSpPr>
        <xdr:cNvPr id="78"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1057275" y="4467225"/>
    <xdr:ext cx="1543050" cy="257175"/>
    <xdr:sp macro="" textlink="">
      <xdr:nvSpPr>
        <xdr:cNvPr id="80"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AO</a:t>
          </a:r>
        </a:p>
      </xdr:txBody>
    </xdr:sp>
    <xdr:clientData/>
  </xdr:absoluteAnchor>
  <xdr:absoluteAnchor>
    <xdr:pos x="809625" y="4514850"/>
    <xdr:ext cx="161925" cy="161925"/>
    <xdr:sp macro="" textlink="">
      <xdr:nvSpPr>
        <xdr:cNvPr id="81"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809625" y="4819650"/>
    <xdr:ext cx="123825" cy="19050"/>
    <xdr:sp macro="" textlink="">
      <xdr:nvSpPr>
        <xdr:cNvPr id="83"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695325" cy="104775"/>
    <xdr:sp macro="" textlink="">
      <xdr:nvSpPr>
        <xdr:cNvPr id="84"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762125" y="4819650"/>
    <xdr:ext cx="38100" cy="19050"/>
    <xdr:sp macro="" textlink="">
      <xdr:nvSpPr>
        <xdr:cNvPr id="85"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09750" y="4819650"/>
    <xdr:ext cx="38100" cy="19050"/>
    <xdr:sp macro="" textlink="">
      <xdr:nvSpPr>
        <xdr:cNvPr id="86"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57375" y="4819650"/>
    <xdr:ext cx="38100" cy="19050"/>
    <xdr:sp macro="" textlink="">
      <xdr:nvSpPr>
        <xdr:cNvPr id="87"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33575" y="4772025"/>
    <xdr:ext cx="581025" cy="104775"/>
    <xdr:sp macro="" textlink="">
      <xdr:nvSpPr>
        <xdr:cNvPr id="88"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809625" y="4905375"/>
    <xdr:ext cx="66675" cy="66675"/>
    <xdr:sp macro="" textlink="">
      <xdr:nvSpPr>
        <xdr:cNvPr id="89"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90"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809625" y="5019675"/>
    <xdr:ext cx="66675" cy="66675"/>
    <xdr:sp macro="" textlink="">
      <xdr:nvSpPr>
        <xdr:cNvPr id="91"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5000625"/>
    <xdr:ext cx="1057275" cy="104775"/>
    <xdr:sp macro="" textlink="">
      <xdr:nvSpPr>
        <xdr:cNvPr id="92"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3076575" y="4467225"/>
    <xdr:ext cx="1543050" cy="257175"/>
    <xdr:sp macro="" textlink="">
      <xdr:nvSpPr>
        <xdr:cNvPr id="94"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Makler</a:t>
          </a:r>
        </a:p>
      </xdr:txBody>
    </xdr:sp>
    <xdr:clientData/>
  </xdr:absoluteAnchor>
  <xdr:absoluteAnchor>
    <xdr:pos x="2838450" y="4514850"/>
    <xdr:ext cx="161925" cy="161925"/>
    <xdr:sp macro="" textlink="">
      <xdr:nvSpPr>
        <xdr:cNvPr id="95"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838450" y="4819650"/>
    <xdr:ext cx="123825" cy="19050"/>
    <xdr:sp macro="" textlink="">
      <xdr:nvSpPr>
        <xdr:cNvPr id="97"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772025"/>
    <xdr:ext cx="838200" cy="104775"/>
    <xdr:sp macro="" textlink="">
      <xdr:nvSpPr>
        <xdr:cNvPr id="98"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838450" y="4933950"/>
    <xdr:ext cx="38100" cy="19050"/>
    <xdr:sp macro="" textlink="">
      <xdr:nvSpPr>
        <xdr:cNvPr id="99"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86075" y="4933950"/>
    <xdr:ext cx="38100" cy="19050"/>
    <xdr:sp macro="" textlink="">
      <xdr:nvSpPr>
        <xdr:cNvPr id="100"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933700" y="4933950"/>
    <xdr:ext cx="38100" cy="19050"/>
    <xdr:sp macro="" textlink="">
      <xdr:nvSpPr>
        <xdr:cNvPr id="101"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886325"/>
    <xdr:ext cx="962025" cy="104775"/>
    <xdr:sp macro="" textlink="">
      <xdr:nvSpPr>
        <xdr:cNvPr id="102"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5105400" y="4467225"/>
    <xdr:ext cx="1543050" cy="257175"/>
    <xdr:sp macro="" textlink="">
      <xdr:nvSpPr>
        <xdr:cNvPr id="104"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867275" y="4514850"/>
    <xdr:ext cx="161925" cy="161925"/>
    <xdr:sp macro="" textlink="">
      <xdr:nvSpPr>
        <xdr:cNvPr id="105"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867275" y="4819650"/>
    <xdr:ext cx="123825" cy="19050"/>
    <xdr:sp macro="" textlink="">
      <xdr:nvSpPr>
        <xdr:cNvPr id="107"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108"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7134225" y="4467225"/>
    <xdr:ext cx="1543050" cy="257175"/>
    <xdr:sp macro="" textlink="">
      <xdr:nvSpPr>
        <xdr:cNvPr id="110"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886575" y="4514850"/>
    <xdr:ext cx="161925" cy="161925"/>
    <xdr:sp macro="" textlink="">
      <xdr:nvSpPr>
        <xdr:cNvPr id="111"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886575" y="4819650"/>
    <xdr:ext cx="123825" cy="19050"/>
    <xdr:sp macro="" textlink="">
      <xdr:nvSpPr>
        <xdr:cNvPr id="113"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058025" y="4772025"/>
    <xdr:ext cx="695325" cy="104775"/>
    <xdr:sp macro="" textlink="">
      <xdr:nvSpPr>
        <xdr:cNvPr id="114"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115"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116"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117"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9448800" y="2209800"/>
    <xdr:ext cx="2771775" cy="161925"/>
    <xdr:sp macro="" textlink="">
      <xdr:nvSpPr>
        <xdr:cNvPr id="118"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9448800" y="2371725"/>
    <xdr:ext cx="2771775" cy="1514475"/>
    <xdr:sp macro="" textlink="">
      <xdr:nvSpPr>
        <xdr:cNvPr id="119"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9115425" y="3933825"/>
    <xdr:ext cx="276225" cy="161925"/>
    <xdr:sp macro="" textlink="">
      <xdr:nvSpPr>
        <xdr:cNvPr id="120"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933825"/>
    <xdr:ext cx="2771775" cy="161925"/>
    <xdr:sp macro="" textlink="">
      <xdr:nvSpPr>
        <xdr:cNvPr id="121"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9448800" y="4095750"/>
    <xdr:ext cx="2771775" cy="847725"/>
    <xdr:sp macro="" textlink="">
      <xdr:nvSpPr>
        <xdr:cNvPr id="122"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9115425" y="4981575"/>
    <xdr:ext cx="276225" cy="161925"/>
    <xdr:sp macro="" textlink="">
      <xdr:nvSpPr>
        <xdr:cNvPr id="123"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9448800" y="4981575"/>
    <xdr:ext cx="2771775" cy="161925"/>
    <xdr:sp macro="" textlink="">
      <xdr:nvSpPr>
        <xdr:cNvPr id="124"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9448800" y="5153025"/>
    <xdr:ext cx="2771775" cy="123825"/>
    <xdr:sp macro="" textlink="">
      <xdr:nvSpPr>
        <xdr:cNvPr id="125"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9115425" y="5314950"/>
    <xdr:ext cx="276225" cy="161925"/>
    <xdr:sp macro="" textlink="">
      <xdr:nvSpPr>
        <xdr:cNvPr id="126"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9448800" y="5314950"/>
    <xdr:ext cx="2771775" cy="161925"/>
    <xdr:sp macro="" textlink="">
      <xdr:nvSpPr>
        <xdr:cNvPr id="127"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9448800" y="5476875"/>
    <xdr:ext cx="2771775" cy="838200"/>
    <xdr:sp macro="" textlink="">
      <xdr:nvSpPr>
        <xdr:cNvPr id="128"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9115425" y="6353175"/>
    <xdr:ext cx="276225" cy="161925"/>
    <xdr:sp macro="" textlink="">
      <xdr:nvSpPr>
        <xdr:cNvPr id="129"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9448800" y="6353175"/>
    <xdr:ext cx="2771775" cy="161925"/>
    <xdr:sp macro="" textlink="">
      <xdr:nvSpPr>
        <xdr:cNvPr id="130"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9448800" y="6524625"/>
    <xdr:ext cx="2771775" cy="390525"/>
    <xdr:sp macro="" textlink="">
      <xdr:nvSpPr>
        <xdr:cNvPr id="131"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219200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5"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28"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31"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34"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43"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46"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2600325" cy="257175"/>
    <xdr:sp macro="" textlink="">
      <xdr:nvSpPr>
        <xdr:cNvPr id="49"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2600325" cy="2105025"/>
    <xdr:sp macro="" textlink="">
      <xdr:nvSpPr>
        <xdr:cNvPr id="52"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467225"/>
    <xdr:ext cx="2600325" cy="257175"/>
    <xdr:sp macro="" textlink="">
      <xdr:nvSpPr>
        <xdr:cNvPr id="63"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724400"/>
    <xdr:ext cx="2600325" cy="2105025"/>
    <xdr:sp macro="" textlink="">
      <xdr:nvSpPr>
        <xdr:cNvPr id="66"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467225"/>
    <xdr:ext cx="2600325" cy="257175"/>
    <xdr:sp macro="" textlink="">
      <xdr:nvSpPr>
        <xdr:cNvPr id="77"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724400"/>
    <xdr:ext cx="2600325" cy="2105025"/>
    <xdr:sp macro="" textlink="">
      <xdr:nvSpPr>
        <xdr:cNvPr id="80"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25527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467100" y="2562225"/>
    <xdr:ext cx="2552700" cy="9810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67100" y="3543300"/>
    <xdr:ext cx="2552700" cy="8001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6162675" y="2447925"/>
    <xdr:ext cx="25527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62000" y="5029200"/>
    <xdr:ext cx="25527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62000" y="6057900"/>
    <xdr:ext cx="25527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62000" y="6686550"/>
    <xdr:ext cx="2552700" cy="142875"/>
    <xdr:graphicFrame macro="">
      <xdr:nvGraphicFramePr>
        <xdr:cNvPr id="9"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67100" y="5029200"/>
    <xdr:ext cx="2552700" cy="1028700"/>
    <xdr:graphicFrame macro="">
      <xdr:nvGraphicFramePr>
        <xdr:cNvPr id="10"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3467100" y="6057900"/>
    <xdr:ext cx="2552700" cy="742950"/>
    <xdr:graphicFrame macro="">
      <xdr:nvGraphicFramePr>
        <xdr:cNvPr id="11"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3467100" y="6686550"/>
    <xdr:ext cx="2552700" cy="142875"/>
    <xdr:graphicFrame macro="">
      <xdr:nvGraphicFramePr>
        <xdr:cNvPr id="12" name="K5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162675" y="4914900"/>
    <xdr:ext cx="2552700" cy="1895475"/>
    <xdr:graphicFrame macro="">
      <xdr:nvGraphicFramePr>
        <xdr:cNvPr id="13"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953375" y="685800"/>
    <xdr:ext cx="2057400"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3">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3">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4"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1057275" y="2009775"/>
    <xdr:ext cx="2219325" cy="257175"/>
    <xdr:sp macro="" textlink="">
      <xdr:nvSpPr>
        <xdr:cNvPr id="26"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Schwebefallbearbeitung</a:t>
          </a:r>
        </a:p>
      </xdr:txBody>
    </xdr:sp>
    <xdr:clientData/>
  </xdr:absoluteAnchor>
  <xdr:absoluteAnchor>
    <xdr:pos x="809625" y="2047875"/>
    <xdr:ext cx="161925" cy="161925"/>
    <xdr:sp macro="" textlink="">
      <xdr:nvSpPr>
        <xdr:cNvPr id="27"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809625" y="2352675"/>
    <xdr:ext cx="123825" cy="19050"/>
    <xdr:sp macro="" textlink="">
      <xdr:nvSpPr>
        <xdr:cNvPr id="29"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1171575" cy="104775"/>
    <xdr:sp macro="" textlink="">
      <xdr:nvSpPr>
        <xdr:cNvPr id="30"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3752850" y="2009775"/>
    <xdr:ext cx="2219325" cy="257175"/>
    <xdr:sp macro="" textlink="">
      <xdr:nvSpPr>
        <xdr:cNvPr id="32"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514725" y="2047875"/>
    <xdr:ext cx="161925" cy="161925"/>
    <xdr:sp macro="" textlink="">
      <xdr:nvSpPr>
        <xdr:cNvPr id="33"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514725" y="2352675"/>
    <xdr:ext cx="123825" cy="19050"/>
    <xdr:sp macro="" textlink="">
      <xdr:nvSpPr>
        <xdr:cNvPr id="35"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76650" y="2314575"/>
    <xdr:ext cx="1228725" cy="104775"/>
    <xdr:sp macro="" textlink="">
      <xdr:nvSpPr>
        <xdr:cNvPr id="36"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5000625" y="2333625"/>
    <xdr:ext cx="66675" cy="66675"/>
    <xdr:sp macro="" textlink="">
      <xdr:nvSpPr>
        <xdr:cNvPr id="37" name="K2_Leg128_1S"/>
        <xdr:cNvSpPr txBox="1"/>
      </xdr:nvSpPr>
      <xdr:spPr>
        <a:xfrm>
          <a:off x="5000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95875" y="2314575"/>
    <xdr:ext cx="552450" cy="104775"/>
    <xdr:sp macro="" textlink="">
      <xdr:nvSpPr>
        <xdr:cNvPr id="38" name="K2_Leg128_1"/>
        <xdr:cNvSpPr txBox="1"/>
      </xdr:nvSpPr>
      <xdr:spPr>
        <a:xfrm>
          <a:off x="5095875" y="2314575"/>
          <a:ext cx="5524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VNRs</a:t>
          </a:r>
        </a:p>
      </xdr:txBody>
    </xdr:sp>
    <xdr:clientData/>
  </xdr:absoluteAnchor>
  <xdr:absoluteAnchor>
    <xdr:pos x="3514725" y="2447925"/>
    <xdr:ext cx="66675" cy="66675"/>
    <xdr:sp macro="" textlink="">
      <xdr:nvSpPr>
        <xdr:cNvPr id="39" name="K2_Leg137_2S"/>
        <xdr:cNvSpPr txBox="1"/>
      </xdr:nvSpPr>
      <xdr:spPr>
        <a:xfrm>
          <a:off x="3514725" y="24479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28875"/>
    <xdr:ext cx="609600" cy="104775"/>
    <xdr:sp macro="" textlink="">
      <xdr:nvSpPr>
        <xdr:cNvPr id="40" name="K2_Leg137_2"/>
        <xdr:cNvSpPr txBox="1"/>
      </xdr:nvSpPr>
      <xdr:spPr>
        <a:xfrm>
          <a:off x="3619500" y="2428875"/>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In Bearbeitung</a:t>
          </a:r>
        </a:p>
      </xdr:txBody>
    </xdr:sp>
    <xdr:clientData/>
  </xdr:absoluteAnchor>
  <xdr:absoluteAnchor>
    <xdr:pos x="4314825" y="2447925"/>
    <xdr:ext cx="66675" cy="66675"/>
    <xdr:sp macro="" textlink="">
      <xdr:nvSpPr>
        <xdr:cNvPr id="41" name="K2_Leg137_3S"/>
        <xdr:cNvSpPr txBox="1"/>
      </xdr:nvSpPr>
      <xdr:spPr>
        <a:xfrm>
          <a:off x="431482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19600" y="2428875"/>
    <xdr:ext cx="352425" cy="104775"/>
    <xdr:sp macro="" textlink="">
      <xdr:nvSpPr>
        <xdr:cNvPr id="42" name="K2_Leg137_3"/>
        <xdr:cNvSpPr txBox="1"/>
      </xdr:nvSpPr>
      <xdr:spPr>
        <a:xfrm>
          <a:off x="441960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6457950" y="2009775"/>
    <xdr:ext cx="2219325" cy="257175"/>
    <xdr:sp macro="" textlink="">
      <xdr:nvSpPr>
        <xdr:cNvPr id="44"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Technische Arbeitsanweisungen</a:t>
          </a:r>
        </a:p>
      </xdr:txBody>
    </xdr:sp>
    <xdr:clientData/>
  </xdr:absoluteAnchor>
  <xdr:absoluteAnchor>
    <xdr:pos x="6210300" y="2047875"/>
    <xdr:ext cx="161925" cy="161925"/>
    <xdr:sp macro="" textlink="">
      <xdr:nvSpPr>
        <xdr:cNvPr id="45"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6210300" y="2352675"/>
    <xdr:ext cx="123825" cy="19050"/>
    <xdr:sp macro="" textlink="">
      <xdr:nvSpPr>
        <xdr:cNvPr id="47"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1333500" cy="104775"/>
    <xdr:sp macro="" textlink="">
      <xdr:nvSpPr>
        <xdr:cNvPr id="48"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1057275" y="4467225"/>
    <xdr:ext cx="2219325" cy="257175"/>
    <xdr:sp macro="" textlink="">
      <xdr:nvSpPr>
        <xdr:cNvPr id="50"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809625" y="4514850"/>
    <xdr:ext cx="161925" cy="161925"/>
    <xdr:sp macro="" textlink="">
      <xdr:nvSpPr>
        <xdr:cNvPr id="51"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809625" y="4791075"/>
    <xdr:ext cx="66675" cy="66675"/>
    <xdr:sp macro="" textlink="">
      <xdr:nvSpPr>
        <xdr:cNvPr id="53"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772025"/>
    <xdr:ext cx="381000" cy="104775"/>
    <xdr:sp macro="" textlink="">
      <xdr:nvSpPr>
        <xdr:cNvPr id="54"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381125" y="4791075"/>
    <xdr:ext cx="66675" cy="66675"/>
    <xdr:sp macro="" textlink="">
      <xdr:nvSpPr>
        <xdr:cNvPr id="55"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85900" y="4772025"/>
    <xdr:ext cx="285750" cy="104775"/>
    <xdr:sp macro="" textlink="">
      <xdr:nvSpPr>
        <xdr:cNvPr id="56"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866900" y="4791075"/>
    <xdr:ext cx="66675" cy="66675"/>
    <xdr:sp macro="" textlink="">
      <xdr:nvSpPr>
        <xdr:cNvPr id="57"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62150" y="4772025"/>
    <xdr:ext cx="285750" cy="104775"/>
    <xdr:sp macro="" textlink="">
      <xdr:nvSpPr>
        <xdr:cNvPr id="58"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809625" y="4905375"/>
    <xdr:ext cx="66675" cy="66675"/>
    <xdr:sp macro="" textlink="">
      <xdr:nvSpPr>
        <xdr:cNvPr id="59"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60"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4905375"/>
    <xdr:ext cx="66675" cy="66675"/>
    <xdr:sp macro="" textlink="">
      <xdr:nvSpPr>
        <xdr:cNvPr id="61"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4886325"/>
    <xdr:ext cx="1057275" cy="104775"/>
    <xdr:sp macro="" textlink="">
      <xdr:nvSpPr>
        <xdr:cNvPr id="62"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3752850" y="4467225"/>
    <xdr:ext cx="2219325" cy="257175"/>
    <xdr:sp macro="" textlink="">
      <xdr:nvSpPr>
        <xdr:cNvPr id="64"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Defects im operativen Betrieb</a:t>
          </a:r>
        </a:p>
      </xdr:txBody>
    </xdr:sp>
    <xdr:clientData/>
  </xdr:absoluteAnchor>
  <xdr:absoluteAnchor>
    <xdr:pos x="3514725" y="4514850"/>
    <xdr:ext cx="161925" cy="161925"/>
    <xdr:sp macro="" textlink="">
      <xdr:nvSpPr>
        <xdr:cNvPr id="65"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514725" y="4791075"/>
    <xdr:ext cx="66675" cy="66675"/>
    <xdr:sp macro="" textlink="">
      <xdr:nvSpPr>
        <xdr:cNvPr id="67"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772025"/>
    <xdr:ext cx="381000" cy="104775"/>
    <xdr:sp macro="" textlink="">
      <xdr:nvSpPr>
        <xdr:cNvPr id="68"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4086225" y="4791075"/>
    <xdr:ext cx="66675" cy="66675"/>
    <xdr:sp macro="" textlink="">
      <xdr:nvSpPr>
        <xdr:cNvPr id="69"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191000" y="4772025"/>
    <xdr:ext cx="285750" cy="104775"/>
    <xdr:sp macro="" textlink="">
      <xdr:nvSpPr>
        <xdr:cNvPr id="70"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562475" y="4791075"/>
    <xdr:ext cx="66675" cy="66675"/>
    <xdr:sp macro="" textlink="">
      <xdr:nvSpPr>
        <xdr:cNvPr id="71"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4772025"/>
    <xdr:ext cx="285750" cy="104775"/>
    <xdr:sp macro="" textlink="">
      <xdr:nvSpPr>
        <xdr:cNvPr id="72"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514725" y="4905375"/>
    <xdr:ext cx="66675" cy="66675"/>
    <xdr:sp macro="" textlink="">
      <xdr:nvSpPr>
        <xdr:cNvPr id="73"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886325"/>
    <xdr:ext cx="1047750" cy="104775"/>
    <xdr:sp macro="" textlink="">
      <xdr:nvSpPr>
        <xdr:cNvPr id="74"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4905375"/>
    <xdr:ext cx="66675" cy="66675"/>
    <xdr:sp macro="" textlink="">
      <xdr:nvSpPr>
        <xdr:cNvPr id="75"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4886325"/>
    <xdr:ext cx="1057275" cy="104775"/>
    <xdr:sp macro="" textlink="">
      <xdr:nvSpPr>
        <xdr:cNvPr id="76"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4467225"/>
    <xdr:ext cx="2219325" cy="257175"/>
    <xdr:sp macro="" textlink="">
      <xdr:nvSpPr>
        <xdr:cNvPr id="78"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6210300" y="4514850"/>
    <xdr:ext cx="161925" cy="161925"/>
    <xdr:sp macro="" textlink="">
      <xdr:nvSpPr>
        <xdr:cNvPr id="79"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6210300" y="4791075"/>
    <xdr:ext cx="66675" cy="66675"/>
    <xdr:sp macro="" textlink="">
      <xdr:nvSpPr>
        <xdr:cNvPr id="81"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15075" y="4772025"/>
    <xdr:ext cx="485775" cy="104775"/>
    <xdr:sp macro="" textlink="">
      <xdr:nvSpPr>
        <xdr:cNvPr id="82"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886575" y="4791075"/>
    <xdr:ext cx="66675" cy="66675"/>
    <xdr:sp macro="" textlink="">
      <xdr:nvSpPr>
        <xdr:cNvPr id="83"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991350" y="4772025"/>
    <xdr:ext cx="514350" cy="104775"/>
    <xdr:sp macro="" textlink="">
      <xdr:nvSpPr>
        <xdr:cNvPr id="84"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9629775" y="1876425"/>
    <xdr:ext cx="2028825" cy="200025"/>
    <xdr:sp macro="" textlink="">
      <xdr:nvSpPr>
        <xdr:cNvPr id="85"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86"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87"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88"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9448800" y="2371725"/>
    <xdr:ext cx="2771775" cy="247650"/>
    <xdr:sp macro="" textlink="">
      <xdr:nvSpPr>
        <xdr:cNvPr id="89"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9115425" y="2686050"/>
    <xdr:ext cx="276225" cy="161925"/>
    <xdr:sp macro="" textlink="">
      <xdr:nvSpPr>
        <xdr:cNvPr id="90"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2686050"/>
    <xdr:ext cx="2771775" cy="161925"/>
    <xdr:sp macro="" textlink="">
      <xdr:nvSpPr>
        <xdr:cNvPr id="91"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9448800" y="2857500"/>
    <xdr:ext cx="2771775" cy="247650"/>
    <xdr:sp macro="" textlink="">
      <xdr:nvSpPr>
        <xdr:cNvPr id="92"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9115425" y="3171825"/>
    <xdr:ext cx="276225" cy="161925"/>
    <xdr:sp macro="" textlink="">
      <xdr:nvSpPr>
        <xdr:cNvPr id="93"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171825"/>
    <xdr:ext cx="2771775" cy="161925"/>
    <xdr:sp macro="" textlink="">
      <xdr:nvSpPr>
        <xdr:cNvPr id="94"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9448800" y="3333750"/>
    <xdr:ext cx="2771775" cy="142875"/>
    <xdr:sp macro="" textlink="">
      <xdr:nvSpPr>
        <xdr:cNvPr id="95"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9115425" y="3543300"/>
    <xdr:ext cx="276225" cy="161925"/>
    <xdr:sp macro="" textlink="">
      <xdr:nvSpPr>
        <xdr:cNvPr id="96"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9448800" y="3543300"/>
    <xdr:ext cx="2771775" cy="161925"/>
    <xdr:sp macro="" textlink="">
      <xdr:nvSpPr>
        <xdr:cNvPr id="97"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9448800" y="3705225"/>
    <xdr:ext cx="2771775" cy="247650"/>
    <xdr:sp macro="" textlink="">
      <xdr:nvSpPr>
        <xdr:cNvPr id="98"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9115425" y="4019550"/>
    <xdr:ext cx="276225" cy="161925"/>
    <xdr:sp macro="" textlink="">
      <xdr:nvSpPr>
        <xdr:cNvPr id="99"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9448800" y="4019550"/>
    <xdr:ext cx="2771775" cy="161925"/>
    <xdr:sp macro="" textlink="">
      <xdr:nvSpPr>
        <xdr:cNvPr id="100"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9448800" y="4191000"/>
    <xdr:ext cx="2771775" cy="485775"/>
    <xdr:sp macro="" textlink="">
      <xdr:nvSpPr>
        <xdr:cNvPr id="101"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228600" y="685800"/>
    <xdr:ext cx="12192000" cy="6858000"/>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3952875" cy="257175"/>
    <xdr:sp macro="" textlink="">
      <xdr:nvSpPr>
        <xdr:cNvPr id="18"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3952875" cy="2105025"/>
    <xdr:sp macro="" textlink="">
      <xdr:nvSpPr>
        <xdr:cNvPr id="21"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2009775"/>
    <xdr:ext cx="3952875" cy="257175"/>
    <xdr:sp macro="" textlink="">
      <xdr:nvSpPr>
        <xdr:cNvPr id="24"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2257425"/>
    <xdr:ext cx="3952875" cy="2105025"/>
    <xdr:sp macro="" textlink="">
      <xdr:nvSpPr>
        <xdr:cNvPr id="27"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3952875" cy="257175"/>
    <xdr:sp macro="" textlink="">
      <xdr:nvSpPr>
        <xdr:cNvPr id="30"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3952875" cy="2105025"/>
    <xdr:sp macro="" textlink="">
      <xdr:nvSpPr>
        <xdr:cNvPr id="33"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3952875" cy="257175"/>
    <xdr:sp macro="" textlink="">
      <xdr:nvSpPr>
        <xdr:cNvPr id="36"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3952875" cy="2105025"/>
    <xdr:sp macro="" textlink="">
      <xdr:nvSpPr>
        <xdr:cNvPr id="39"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3895725"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4810125" y="2447925"/>
    <xdr:ext cx="3895725" cy="18954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914900"/>
    <xdr:ext cx="3895725" cy="1895475"/>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810125" y="4914900"/>
    <xdr:ext cx="3895725" cy="1895475"/>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953375" y="685800"/>
    <xdr:ext cx="2057400" cy="390525"/>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32 bis KW 41 (Berichtstage 07.08.2026 bis 09.10.2026,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1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1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1057275" y="2009775"/>
    <xdr:ext cx="3571875" cy="257175"/>
    <xdr:sp macro="" textlink="">
      <xdr:nvSpPr>
        <xdr:cNvPr id="19"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ID-Kräfte An-/Abmeldung</a:t>
          </a:r>
        </a:p>
      </xdr:txBody>
    </xdr:sp>
    <xdr:clientData/>
  </xdr:absoluteAnchor>
  <xdr:absoluteAnchor>
    <xdr:pos x="809625" y="2047875"/>
    <xdr:ext cx="161925" cy="161925"/>
    <xdr:sp macro="" textlink="">
      <xdr:nvSpPr>
        <xdr:cNvPr id="20"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absoluteAnchor>
  <xdr:absoluteAnchor>
    <xdr:pos x="809625" y="2352675"/>
    <xdr:ext cx="123825" cy="19050"/>
    <xdr:sp macro="" textlink="">
      <xdr:nvSpPr>
        <xdr:cNvPr id="22"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523875" cy="104775"/>
    <xdr:sp macro="" textlink="">
      <xdr:nvSpPr>
        <xdr:cNvPr id="23"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absoluteAnchor>
  <xdr:absoluteAnchor>
    <xdr:pos x="5105400" y="2009775"/>
    <xdr:ext cx="3571875" cy="257175"/>
    <xdr:sp macro="" textlink="">
      <xdr:nvSpPr>
        <xdr:cNvPr id="25"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Bestandszugriffe</a:t>
          </a:r>
        </a:p>
      </xdr:txBody>
    </xdr:sp>
    <xdr:clientData/>
  </xdr:absoluteAnchor>
  <xdr:absoluteAnchor>
    <xdr:pos x="4867275" y="2047875"/>
    <xdr:ext cx="161925" cy="161925"/>
    <xdr:sp macro="" textlink="">
      <xdr:nvSpPr>
        <xdr:cNvPr id="26"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absoluteAnchor>
  <xdr:absoluteAnchor>
    <xdr:pos x="4867275" y="2352675"/>
    <xdr:ext cx="123825" cy="19050"/>
    <xdr:sp macro="" textlink="">
      <xdr:nvSpPr>
        <xdr:cNvPr id="28"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2314575"/>
    <xdr:ext cx="704850" cy="104775"/>
    <xdr:sp macro="" textlink="">
      <xdr:nvSpPr>
        <xdr:cNvPr id="29"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1057275" y="4467225"/>
    <xdr:ext cx="3571875" cy="257175"/>
    <xdr:sp macro="" textlink="">
      <xdr:nvSpPr>
        <xdr:cNvPr id="31"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Haftungsdach</a:t>
          </a:r>
        </a:p>
      </xdr:txBody>
    </xdr:sp>
    <xdr:clientData/>
  </xdr:absoluteAnchor>
  <xdr:absoluteAnchor>
    <xdr:pos x="809625" y="4514850"/>
    <xdr:ext cx="161925" cy="161925"/>
    <xdr:sp macro="" textlink="">
      <xdr:nvSpPr>
        <xdr:cNvPr id="32"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absoluteAnchor>
  <xdr:absoluteAnchor>
    <xdr:pos x="809625" y="4819650"/>
    <xdr:ext cx="123825" cy="19050"/>
    <xdr:sp macro="" textlink="">
      <xdr:nvSpPr>
        <xdr:cNvPr id="34"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704850" cy="104775"/>
    <xdr:sp macro="" textlink="">
      <xdr:nvSpPr>
        <xdr:cNvPr id="35"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5105400" y="4467225"/>
    <xdr:ext cx="3571875" cy="257175"/>
    <xdr:sp macro="" textlink="">
      <xdr:nvSpPr>
        <xdr:cNvPr id="37"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Sonderthema: Generalquittung</a:t>
          </a:r>
        </a:p>
      </xdr:txBody>
    </xdr:sp>
    <xdr:clientData/>
  </xdr:absoluteAnchor>
  <xdr:absoluteAnchor>
    <xdr:pos x="4867275" y="4514850"/>
    <xdr:ext cx="161925" cy="161925"/>
    <xdr:sp macro="" textlink="">
      <xdr:nvSpPr>
        <xdr:cNvPr id="38"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absoluteAnchor>
  <xdr:absoluteAnchor>
    <xdr:pos x="4867275" y="4819650"/>
    <xdr:ext cx="123825" cy="19050"/>
    <xdr:sp macro="" textlink="">
      <xdr:nvSpPr>
        <xdr:cNvPr id="40"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41"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42"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43"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986</v>
      </c>
    </row>
    <row r="3" spans="2:10" ht="16.5" customHeight="1">
      <c r="B3" s="2">
        <f>Konfiguration!C16</f>
        <v>0</v>
      </c>
    </row>
    <row r="5" spans="2:10" ht="16.5" customHeight="1">
      <c r="B5" s="3" t="s">
        <v>320</v>
      </c>
      <c r="G5" s="3" t="s">
        <v>993</v>
      </c>
    </row>
    <row r="6" spans="2:10" ht="16.5" customHeight="1">
      <c r="B6" s="4">
        <f>Berichtstag</f>
        <v>0</v>
      </c>
      <c r="C6" s="4"/>
      <c r="D6" s="5">
        <f>"KW "&amp;_xlfn.ISOWEEKNUM(Berichtstag)</f>
        <v>0</v>
      </c>
      <c r="G6" s="6" t="s">
        <v>994</v>
      </c>
      <c r="H6" s="7" t="s">
        <v>995</v>
      </c>
      <c r="I6" s="7" t="s">
        <v>996</v>
      </c>
      <c r="J6" s="7" t="s">
        <v>997</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987</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8">
        <f>IF(Konfiguration!C10="","Noch keine BÜ-Datei verknüpft.","BÜ-Datei: "&amp;Konfiguration!C10)</f>
        <v>0</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8">
        <f>IF(Konfiguration!C13="","PPT-Vorlage: Vorlage\ERGO_Vorlage.pptx neben dieser Datei","PPT-Vorlage: "&amp;Konfiguration!C13)</f>
        <v>0</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3" t="s">
        <v>988</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989</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B29" s="11" t="s">
        <v>990</v>
      </c>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B30" s="11" t="s">
        <v>991</v>
      </c>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B31" s="11" t="s">
        <v>992</v>
      </c>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998</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869</v>
      </c>
    </row>
    <row r="2" spans="2:8">
      <c r="B2" s="2">
        <f>"Letzter und davor liegender Eintrag je Kennzahl · Berichtstag "&amp;TEXT(DAY(Berichtstag),"00")&amp;"."&amp;TEXT(MONTH(Berichtstag),"00")&amp;"."&amp;YEAR(Berichtstag)</f>
        <v>0</v>
      </c>
    </row>
    <row r="4" spans="2:8" ht="22" customHeight="1">
      <c r="B4" s="6" t="s">
        <v>2</v>
      </c>
      <c r="C4" s="6" t="s">
        <v>3</v>
      </c>
      <c r="D4" s="7" t="s">
        <v>870</v>
      </c>
      <c r="E4" s="7" t="s">
        <v>871</v>
      </c>
      <c r="F4" s="7" t="s">
        <v>872</v>
      </c>
      <c r="G4" s="7" t="s">
        <v>871</v>
      </c>
      <c r="H4" s="7" t="s">
        <v>873</v>
      </c>
    </row>
    <row r="5" spans="2:8">
      <c r="B5" s="16" t="s">
        <v>86</v>
      </c>
      <c r="C5" s="17" t="s">
        <v>420</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874</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875</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876</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877</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878</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454</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879</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880</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881</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882</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883</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884</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885</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886</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887</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888</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889</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890</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891</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892</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474</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476</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482</v>
      </c>
      <c r="C28" s="17" t="s">
        <v>893</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484</v>
      </c>
      <c r="C29" s="17" t="s">
        <v>894</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895</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896</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897</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898</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899</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900</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901</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999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R2"/>
  <sheetViews>
    <sheetView showGridLines="0" zoomScale="90" zoomScaleNormal="90" workbookViewId="0"/>
  </sheetViews>
  <sheetFormatPr defaultRowHeight="15"/>
  <cols>
    <col min="1" max="61" width="9.85546875" customWidth="1"/>
  </cols>
  <sheetData>
    <row r="2" spans="18:18">
      <c r="R2" s="8" t="s">
        <v>1000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R2"/>
  <sheetViews>
    <sheetView showGridLines="0" zoomScale="90" zoomScaleNormal="90" workbookViewId="0"/>
  </sheetViews>
  <sheetFormatPr defaultRowHeight="15"/>
  <cols>
    <col min="1" max="61" width="9.85546875" customWidth="1"/>
  </cols>
  <sheetData>
    <row r="2" spans="18:18">
      <c r="R2" s="8" t="s">
        <v>1000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R2"/>
  <sheetViews>
    <sheetView showGridLines="0" zoomScale="90" zoomScaleNormal="90" workbookViewId="0"/>
  </sheetViews>
  <sheetFormatPr defaultRowHeight="15"/>
  <cols>
    <col min="1" max="61" width="9.85546875" customWidth="1"/>
  </cols>
  <sheetData>
    <row r="2" spans="18:18">
      <c r="R2" s="8" t="s">
        <v>1000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386</v>
      </c>
      <c r="B1" s="6" t="s">
        <v>387</v>
      </c>
      <c r="C1" s="6" t="s">
        <v>388</v>
      </c>
      <c r="D1" s="6" t="s">
        <v>389</v>
      </c>
      <c r="E1" s="6" t="s">
        <v>390</v>
      </c>
      <c r="F1" s="6" t="s">
        <v>391</v>
      </c>
      <c r="G1" s="6" t="s">
        <v>392</v>
      </c>
      <c r="H1" s="6" t="s">
        <v>393</v>
      </c>
      <c r="I1" s="20">
        <v>45324</v>
      </c>
      <c r="J1" s="21" t="s">
        <v>394</v>
      </c>
      <c r="K1" s="20">
        <v>45330</v>
      </c>
      <c r="L1" s="21" t="s">
        <v>394</v>
      </c>
      <c r="M1" s="20">
        <v>45337</v>
      </c>
      <c r="N1" s="21" t="s">
        <v>394</v>
      </c>
      <c r="O1" s="20">
        <v>45344</v>
      </c>
      <c r="P1" s="21" t="s">
        <v>394</v>
      </c>
      <c r="Q1" s="20">
        <v>45351</v>
      </c>
      <c r="R1" s="21" t="s">
        <v>394</v>
      </c>
      <c r="S1" s="20">
        <v>45358</v>
      </c>
      <c r="T1" s="21" t="s">
        <v>394</v>
      </c>
      <c r="U1" s="20">
        <v>45365</v>
      </c>
      <c r="V1" s="21" t="s">
        <v>394</v>
      </c>
      <c r="W1" s="20">
        <v>45372</v>
      </c>
      <c r="X1" s="21" t="s">
        <v>394</v>
      </c>
      <c r="Y1" s="20">
        <v>45379</v>
      </c>
      <c r="Z1" s="21" t="s">
        <v>394</v>
      </c>
      <c r="AA1" s="20">
        <v>45386</v>
      </c>
      <c r="AB1" s="21" t="s">
        <v>394</v>
      </c>
      <c r="AC1" s="20">
        <v>45393</v>
      </c>
      <c r="AD1" s="21" t="s">
        <v>394</v>
      </c>
      <c r="AE1" s="20">
        <v>45400</v>
      </c>
      <c r="AF1" s="21" t="s">
        <v>394</v>
      </c>
      <c r="AG1" s="20">
        <v>45407</v>
      </c>
      <c r="AH1" s="21" t="s">
        <v>394</v>
      </c>
      <c r="AI1" s="20">
        <v>45414</v>
      </c>
      <c r="AJ1" s="21" t="s">
        <v>394</v>
      </c>
      <c r="AK1" s="20">
        <v>45420</v>
      </c>
      <c r="AL1" s="21" t="s">
        <v>394</v>
      </c>
      <c r="AM1" s="20">
        <v>45428</v>
      </c>
      <c r="AN1" s="21" t="s">
        <v>394</v>
      </c>
      <c r="AO1" s="20">
        <v>45435</v>
      </c>
      <c r="AP1" s="21" t="s">
        <v>394</v>
      </c>
      <c r="AQ1" s="20">
        <v>45443</v>
      </c>
      <c r="AR1" s="21" t="s">
        <v>394</v>
      </c>
      <c r="AS1" s="20">
        <v>45456</v>
      </c>
      <c r="AT1" s="21" t="s">
        <v>394</v>
      </c>
      <c r="AU1" s="20">
        <v>45463</v>
      </c>
      <c r="AV1" s="21" t="s">
        <v>394</v>
      </c>
      <c r="AW1" s="20">
        <v>45470</v>
      </c>
      <c r="AX1" s="21" t="s">
        <v>394</v>
      </c>
      <c r="AY1" s="20">
        <v>45477</v>
      </c>
      <c r="AZ1" s="21" t="s">
        <v>394</v>
      </c>
      <c r="BA1" s="20">
        <v>45484</v>
      </c>
      <c r="BB1" s="21" t="s">
        <v>394</v>
      </c>
      <c r="BC1" s="20">
        <v>45491</v>
      </c>
      <c r="BD1" s="21" t="s">
        <v>394</v>
      </c>
      <c r="BE1" s="20">
        <v>45498</v>
      </c>
      <c r="BF1" s="21" t="s">
        <v>394</v>
      </c>
      <c r="BG1" s="20">
        <v>45505</v>
      </c>
      <c r="BH1" s="21" t="s">
        <v>394</v>
      </c>
      <c r="BI1" s="20">
        <v>45512</v>
      </c>
      <c r="BJ1" s="21" t="s">
        <v>394</v>
      </c>
      <c r="BK1" s="20">
        <v>45520</v>
      </c>
      <c r="BL1" s="21" t="s">
        <v>394</v>
      </c>
      <c r="BM1" s="20">
        <v>45526</v>
      </c>
      <c r="BN1" s="21" t="s">
        <v>394</v>
      </c>
      <c r="BO1" s="20">
        <v>45533</v>
      </c>
      <c r="BP1" s="21" t="s">
        <v>394</v>
      </c>
      <c r="BQ1" s="20">
        <v>45540</v>
      </c>
      <c r="BR1" s="21" t="s">
        <v>394</v>
      </c>
      <c r="BS1" s="20">
        <v>45547</v>
      </c>
      <c r="BT1" s="21" t="s">
        <v>394</v>
      </c>
      <c r="BU1" s="20">
        <v>45554</v>
      </c>
      <c r="BV1" s="21" t="s">
        <v>394</v>
      </c>
      <c r="BW1" s="20">
        <v>45561</v>
      </c>
      <c r="BX1" s="21" t="s">
        <v>394</v>
      </c>
      <c r="BY1" s="20">
        <v>45567</v>
      </c>
      <c r="BZ1" s="21" t="s">
        <v>394</v>
      </c>
      <c r="CA1" s="20">
        <v>45575</v>
      </c>
      <c r="CB1" s="21" t="s">
        <v>394</v>
      </c>
      <c r="CC1" s="20">
        <v>45582</v>
      </c>
      <c r="CD1" s="21" t="s">
        <v>394</v>
      </c>
      <c r="CE1" s="20">
        <v>45589</v>
      </c>
      <c r="CF1" s="21" t="s">
        <v>394</v>
      </c>
      <c r="CG1" s="20">
        <v>45596</v>
      </c>
      <c r="CH1" s="21" t="s">
        <v>394</v>
      </c>
      <c r="CI1" s="20">
        <v>45603</v>
      </c>
      <c r="CJ1" s="21" t="s">
        <v>394</v>
      </c>
      <c r="CK1" s="20">
        <v>45610</v>
      </c>
      <c r="CL1" s="21" t="s">
        <v>394</v>
      </c>
      <c r="CM1" s="20">
        <v>45617</v>
      </c>
      <c r="CN1" s="21" t="s">
        <v>394</v>
      </c>
      <c r="CO1" s="20">
        <v>45624</v>
      </c>
      <c r="CP1" s="21" t="s">
        <v>394</v>
      </c>
      <c r="CQ1" s="20">
        <v>45631</v>
      </c>
      <c r="CR1" s="21" t="s">
        <v>394</v>
      </c>
      <c r="CS1" s="20">
        <v>45638</v>
      </c>
      <c r="CT1" s="21" t="s">
        <v>394</v>
      </c>
      <c r="CU1" s="20">
        <v>45645</v>
      </c>
      <c r="CV1" s="21" t="s">
        <v>394</v>
      </c>
      <c r="CW1" s="20">
        <v>45660</v>
      </c>
      <c r="CX1" s="21" t="s">
        <v>394</v>
      </c>
      <c r="CY1" s="20">
        <v>45663</v>
      </c>
      <c r="CZ1" s="21" t="s">
        <v>394</v>
      </c>
      <c r="DA1" s="20">
        <v>45674</v>
      </c>
      <c r="DB1" s="21" t="s">
        <v>394</v>
      </c>
      <c r="DC1" s="20">
        <v>45681</v>
      </c>
      <c r="DD1" s="21" t="s">
        <v>394</v>
      </c>
      <c r="DE1" s="20">
        <v>45688</v>
      </c>
      <c r="DF1" s="21" t="s">
        <v>394</v>
      </c>
      <c r="DG1" s="20">
        <v>45695</v>
      </c>
      <c r="DH1" s="21" t="s">
        <v>394</v>
      </c>
      <c r="DI1" s="20">
        <v>45702</v>
      </c>
      <c r="DJ1" s="21" t="s">
        <v>394</v>
      </c>
      <c r="DK1" s="20">
        <v>45709</v>
      </c>
      <c r="DL1" s="21" t="s">
        <v>394</v>
      </c>
      <c r="DM1" s="20">
        <v>45716</v>
      </c>
      <c r="DN1" s="21" t="s">
        <v>394</v>
      </c>
      <c r="DO1" s="20">
        <v>45723</v>
      </c>
      <c r="DP1" s="21" t="s">
        <v>394</v>
      </c>
      <c r="DQ1" s="20">
        <v>45730</v>
      </c>
      <c r="DR1" s="21" t="s">
        <v>394</v>
      </c>
      <c r="DS1" s="20">
        <v>45737</v>
      </c>
      <c r="DT1" s="21" t="s">
        <v>394</v>
      </c>
      <c r="DU1" s="20">
        <v>45744</v>
      </c>
      <c r="DV1" s="21" t="s">
        <v>394</v>
      </c>
      <c r="DW1" s="20">
        <v>45751</v>
      </c>
      <c r="DX1" s="21" t="s">
        <v>394</v>
      </c>
      <c r="DY1" s="20">
        <v>45758</v>
      </c>
      <c r="DZ1" s="21" t="s">
        <v>394</v>
      </c>
      <c r="EA1" s="20">
        <v>45764</v>
      </c>
      <c r="EB1" s="21" t="s">
        <v>394</v>
      </c>
      <c r="EC1" s="20">
        <v>45772</v>
      </c>
      <c r="ED1" s="21" t="s">
        <v>394</v>
      </c>
      <c r="EE1" s="20">
        <v>45779</v>
      </c>
      <c r="EF1" s="21" t="s">
        <v>394</v>
      </c>
      <c r="EG1" s="20">
        <v>45786</v>
      </c>
      <c r="EH1" s="21" t="s">
        <v>394</v>
      </c>
      <c r="EI1" s="20">
        <v>45793</v>
      </c>
      <c r="EJ1" s="21" t="s">
        <v>394</v>
      </c>
      <c r="EK1" s="20">
        <v>45800</v>
      </c>
      <c r="EL1" s="21" t="s">
        <v>394</v>
      </c>
      <c r="EM1" s="20">
        <v>45807</v>
      </c>
      <c r="EN1" s="21" t="s">
        <v>394</v>
      </c>
      <c r="EO1" s="20">
        <v>45814</v>
      </c>
      <c r="EP1" s="21" t="s">
        <v>394</v>
      </c>
      <c r="EQ1" s="20">
        <v>45821</v>
      </c>
      <c r="ER1" s="21" t="s">
        <v>394</v>
      </c>
      <c r="ES1" s="20">
        <v>45828</v>
      </c>
      <c r="ET1" s="21" t="s">
        <v>394</v>
      </c>
      <c r="EU1" s="20">
        <v>45835</v>
      </c>
      <c r="EV1" s="21" t="s">
        <v>394</v>
      </c>
      <c r="EW1" s="20">
        <v>45842</v>
      </c>
      <c r="EX1" s="21" t="s">
        <v>394</v>
      </c>
      <c r="EY1" s="20">
        <v>45849</v>
      </c>
      <c r="EZ1" s="21" t="s">
        <v>394</v>
      </c>
      <c r="FA1" s="20">
        <v>45856</v>
      </c>
      <c r="FB1" s="21" t="s">
        <v>394</v>
      </c>
      <c r="FC1" s="20">
        <v>45863</v>
      </c>
      <c r="FD1" s="21" t="s">
        <v>394</v>
      </c>
      <c r="FE1" s="20">
        <v>45870</v>
      </c>
      <c r="FF1" s="21" t="s">
        <v>394</v>
      </c>
      <c r="FG1" s="20">
        <v>45877</v>
      </c>
      <c r="FH1" s="21" t="s">
        <v>394</v>
      </c>
      <c r="FI1" s="20">
        <v>45884</v>
      </c>
      <c r="FJ1" s="21" t="s">
        <v>394</v>
      </c>
      <c r="FK1" s="20">
        <v>45891</v>
      </c>
      <c r="FL1" s="21" t="s">
        <v>394</v>
      </c>
      <c r="FM1" s="20">
        <v>45898</v>
      </c>
      <c r="FN1" s="21" t="s">
        <v>394</v>
      </c>
      <c r="FO1" s="20">
        <v>45905</v>
      </c>
      <c r="FP1" s="21" t="s">
        <v>394</v>
      </c>
      <c r="FQ1" s="20">
        <v>45912</v>
      </c>
      <c r="FR1" s="21" t="s">
        <v>394</v>
      </c>
      <c r="FS1" s="20">
        <v>45919</v>
      </c>
      <c r="FT1" s="21" t="s">
        <v>394</v>
      </c>
      <c r="FU1" s="20">
        <v>45926</v>
      </c>
      <c r="FV1" s="21" t="s">
        <v>394</v>
      </c>
      <c r="FW1" s="20">
        <v>45933</v>
      </c>
      <c r="FX1" s="21" t="s">
        <v>394</v>
      </c>
      <c r="FY1" s="20">
        <v>45940</v>
      </c>
      <c r="FZ1" s="21" t="s">
        <v>394</v>
      </c>
      <c r="GA1" s="20">
        <v>45947</v>
      </c>
      <c r="GB1" s="21" t="s">
        <v>394</v>
      </c>
      <c r="GC1" s="20">
        <v>45954</v>
      </c>
      <c r="GD1" s="21" t="s">
        <v>394</v>
      </c>
      <c r="GE1" s="20">
        <v>45961</v>
      </c>
      <c r="GF1" s="21" t="s">
        <v>394</v>
      </c>
      <c r="GG1" s="20">
        <v>45968</v>
      </c>
      <c r="GH1" s="21" t="s">
        <v>394</v>
      </c>
      <c r="GI1" s="20">
        <v>45975</v>
      </c>
      <c r="GJ1" s="21" t="s">
        <v>394</v>
      </c>
      <c r="GK1" s="20">
        <v>45982</v>
      </c>
      <c r="GL1" s="21" t="s">
        <v>394</v>
      </c>
      <c r="GM1" s="20">
        <v>45989</v>
      </c>
      <c r="GN1" s="21" t="s">
        <v>394</v>
      </c>
      <c r="GO1" s="20">
        <v>45996</v>
      </c>
      <c r="GP1" s="21" t="s">
        <v>394</v>
      </c>
      <c r="GQ1" s="20">
        <v>46003</v>
      </c>
      <c r="GR1" s="21" t="s">
        <v>394</v>
      </c>
      <c r="GS1" s="20">
        <v>46010</v>
      </c>
      <c r="GT1" s="21" t="s">
        <v>394</v>
      </c>
      <c r="GU1" s="20">
        <v>46017</v>
      </c>
      <c r="GV1" s="21" t="s">
        <v>394</v>
      </c>
      <c r="GW1" s="20">
        <v>46024</v>
      </c>
      <c r="GX1" s="21" t="s">
        <v>394</v>
      </c>
      <c r="GY1" s="20">
        <v>46031</v>
      </c>
      <c r="GZ1" s="21" t="s">
        <v>394</v>
      </c>
      <c r="HA1" s="20">
        <v>46038</v>
      </c>
      <c r="HB1" s="21" t="s">
        <v>394</v>
      </c>
      <c r="HC1" s="20">
        <v>46045</v>
      </c>
      <c r="HD1" s="21" t="s">
        <v>394</v>
      </c>
      <c r="HE1" s="20">
        <v>46052</v>
      </c>
      <c r="HF1" s="21" t="s">
        <v>394</v>
      </c>
      <c r="HG1" s="20">
        <v>46059</v>
      </c>
      <c r="HH1" s="21" t="s">
        <v>394</v>
      </c>
      <c r="HI1" s="20">
        <v>46066</v>
      </c>
      <c r="HJ1" s="21" t="s">
        <v>394</v>
      </c>
      <c r="HK1" s="20">
        <v>46073</v>
      </c>
      <c r="HL1" s="21" t="s">
        <v>394</v>
      </c>
      <c r="HM1" s="20">
        <v>46080</v>
      </c>
      <c r="HN1" s="21" t="s">
        <v>394</v>
      </c>
      <c r="HO1" s="20">
        <v>46087</v>
      </c>
      <c r="HP1" s="21" t="s">
        <v>394</v>
      </c>
      <c r="HQ1" s="20">
        <v>46094</v>
      </c>
      <c r="HR1" s="21" t="s">
        <v>394</v>
      </c>
      <c r="HS1" s="20">
        <v>46101</v>
      </c>
      <c r="HT1" s="21" t="s">
        <v>394</v>
      </c>
      <c r="HU1" s="20">
        <v>46108</v>
      </c>
      <c r="HV1" s="21" t="s">
        <v>394</v>
      </c>
      <c r="HW1" s="20">
        <v>46115</v>
      </c>
      <c r="HX1" s="21" t="s">
        <v>394</v>
      </c>
      <c r="HY1" s="20">
        <v>46122</v>
      </c>
      <c r="HZ1" s="21" t="s">
        <v>394</v>
      </c>
      <c r="IA1" s="20">
        <v>46129</v>
      </c>
      <c r="IB1" s="21" t="s">
        <v>394</v>
      </c>
      <c r="IC1" s="20">
        <v>46136</v>
      </c>
      <c r="ID1" s="21" t="s">
        <v>394</v>
      </c>
      <c r="IE1" s="20">
        <v>46143</v>
      </c>
      <c r="IF1" s="21" t="s">
        <v>394</v>
      </c>
      <c r="IG1" s="20">
        <v>46150</v>
      </c>
      <c r="IH1" s="21" t="s">
        <v>394</v>
      </c>
      <c r="II1" s="20">
        <v>46157</v>
      </c>
      <c r="IJ1" s="21" t="s">
        <v>394</v>
      </c>
      <c r="IK1" s="20">
        <v>46164</v>
      </c>
      <c r="IL1" s="21" t="s">
        <v>394</v>
      </c>
      <c r="IM1" s="20">
        <v>46171</v>
      </c>
      <c r="IN1" s="21" t="s">
        <v>394</v>
      </c>
      <c r="IO1" s="20">
        <v>46178</v>
      </c>
      <c r="IP1" s="21" t="s">
        <v>394</v>
      </c>
      <c r="IQ1" s="20">
        <v>46185</v>
      </c>
      <c r="IR1" s="21" t="s">
        <v>394</v>
      </c>
      <c r="IS1" s="20">
        <v>46192</v>
      </c>
      <c r="IT1" s="21" t="s">
        <v>394</v>
      </c>
      <c r="IU1" s="20">
        <v>46199</v>
      </c>
      <c r="IV1" s="21" t="s">
        <v>394</v>
      </c>
      <c r="IW1" s="20">
        <v>46206</v>
      </c>
      <c r="IX1" s="21" t="s">
        <v>394</v>
      </c>
      <c r="IY1" s="20">
        <v>46213</v>
      </c>
      <c r="IZ1" s="21" t="s">
        <v>394</v>
      </c>
      <c r="JA1" s="20">
        <v>46220</v>
      </c>
      <c r="JB1" s="21" t="s">
        <v>394</v>
      </c>
      <c r="JC1" s="20">
        <v>46227</v>
      </c>
      <c r="JD1" s="21" t="s">
        <v>394</v>
      </c>
      <c r="JE1" s="20">
        <v>46234</v>
      </c>
      <c r="JF1" s="21" t="s">
        <v>394</v>
      </c>
      <c r="JG1" s="20">
        <v>46241</v>
      </c>
      <c r="JH1" s="21" t="s">
        <v>394</v>
      </c>
      <c r="JI1" s="20">
        <v>46248</v>
      </c>
      <c r="JJ1" s="21" t="s">
        <v>394</v>
      </c>
      <c r="JK1" s="20">
        <v>46255</v>
      </c>
      <c r="JL1" s="21" t="s">
        <v>394</v>
      </c>
      <c r="JM1" s="20">
        <v>46262</v>
      </c>
      <c r="JN1" s="21" t="s">
        <v>394</v>
      </c>
      <c r="JO1" s="20">
        <v>46269</v>
      </c>
      <c r="JP1" s="21" t="s">
        <v>394</v>
      </c>
      <c r="JQ1" s="20">
        <v>46276</v>
      </c>
      <c r="JR1" s="21" t="s">
        <v>394</v>
      </c>
      <c r="JS1" s="20">
        <v>46283</v>
      </c>
      <c r="JT1" s="21" t="s">
        <v>394</v>
      </c>
      <c r="JU1" s="20">
        <v>46290</v>
      </c>
      <c r="JV1" s="21" t="s">
        <v>394</v>
      </c>
      <c r="JW1" s="20">
        <v>46297</v>
      </c>
      <c r="JX1" s="21" t="s">
        <v>394</v>
      </c>
      <c r="JY1" s="20">
        <v>46304</v>
      </c>
      <c r="JZ1" s="21" t="s">
        <v>394</v>
      </c>
      <c r="KA1" s="20">
        <v>46311</v>
      </c>
      <c r="KB1" s="21" t="s">
        <v>394</v>
      </c>
      <c r="KC1" s="20">
        <v>46318</v>
      </c>
      <c r="KD1" s="21" t="s">
        <v>394</v>
      </c>
      <c r="KE1" s="20">
        <v>46325</v>
      </c>
      <c r="KF1" s="21" t="s">
        <v>394</v>
      </c>
      <c r="KG1" s="20">
        <v>46332</v>
      </c>
      <c r="KH1" s="21" t="s">
        <v>394</v>
      </c>
      <c r="KI1" s="20">
        <v>46339</v>
      </c>
      <c r="KJ1" s="21" t="s">
        <v>394</v>
      </c>
      <c r="KK1" s="20">
        <v>46346</v>
      </c>
      <c r="KL1" s="21" t="s">
        <v>394</v>
      </c>
      <c r="KM1" s="20">
        <v>46353</v>
      </c>
      <c r="KN1" s="21" t="s">
        <v>394</v>
      </c>
      <c r="KO1" s="20">
        <v>46360</v>
      </c>
      <c r="KP1" s="21" t="s">
        <v>394</v>
      </c>
      <c r="KQ1" s="20">
        <v>46367</v>
      </c>
      <c r="KR1" s="21" t="s">
        <v>394</v>
      </c>
      <c r="KS1" s="20">
        <v>46374</v>
      </c>
      <c r="KT1" s="21" t="s">
        <v>394</v>
      </c>
      <c r="KU1" s="20">
        <v>46381</v>
      </c>
      <c r="KV1" s="21" t="s">
        <v>394</v>
      </c>
      <c r="KW1" s="20">
        <v>46388</v>
      </c>
      <c r="KX1" s="21" t="s">
        <v>394</v>
      </c>
      <c r="KY1" s="20">
        <v>46395</v>
      </c>
      <c r="KZ1" s="21" t="s">
        <v>394</v>
      </c>
      <c r="LA1" s="20">
        <v>46402</v>
      </c>
      <c r="LB1" s="21" t="s">
        <v>394</v>
      </c>
      <c r="LC1" s="20">
        <v>46409</v>
      </c>
      <c r="LD1" s="21" t="s">
        <v>394</v>
      </c>
      <c r="LE1" s="20">
        <v>46416</v>
      </c>
      <c r="LF1" s="21" t="s">
        <v>394</v>
      </c>
      <c r="LG1" s="20">
        <v>46423</v>
      </c>
      <c r="LH1" s="21" t="s">
        <v>394</v>
      </c>
      <c r="LJ1" s="6" t="s">
        <v>396</v>
      </c>
    </row>
    <row r="2" spans="1:322" ht="12" customHeight="1">
      <c r="I2" s="22">
        <f>IF(COUNT(I3:I157)&gt;0,"Y","X")</f>
        <v>0</v>
      </c>
      <c r="J2" s="22" t="s">
        <v>395</v>
      </c>
      <c r="K2" s="22">
        <f>IF(COUNT(K3:K157)&gt;0,"Y","X")</f>
        <v>0</v>
      </c>
      <c r="L2" s="22" t="s">
        <v>395</v>
      </c>
      <c r="M2" s="22">
        <f>IF(COUNT(M3:M157)&gt;0,"Y","X")</f>
        <v>0</v>
      </c>
      <c r="N2" s="22" t="s">
        <v>395</v>
      </c>
      <c r="O2" s="22">
        <f>IF(COUNT(O3:O157)&gt;0,"Y","X")</f>
        <v>0</v>
      </c>
      <c r="P2" s="22" t="s">
        <v>395</v>
      </c>
      <c r="Q2" s="22">
        <f>IF(COUNT(Q3:Q157)&gt;0,"Y","X")</f>
        <v>0</v>
      </c>
      <c r="R2" s="22" t="s">
        <v>395</v>
      </c>
      <c r="S2" s="22">
        <f>IF(COUNT(S3:S157)&gt;0,"Y","X")</f>
        <v>0</v>
      </c>
      <c r="T2" s="22" t="s">
        <v>395</v>
      </c>
      <c r="U2" s="22">
        <f>IF(COUNT(U3:U157)&gt;0,"Y","X")</f>
        <v>0</v>
      </c>
      <c r="V2" s="22" t="s">
        <v>395</v>
      </c>
      <c r="W2" s="22">
        <f>IF(COUNT(W3:W157)&gt;0,"Y","X")</f>
        <v>0</v>
      </c>
      <c r="X2" s="22" t="s">
        <v>395</v>
      </c>
      <c r="Y2" s="22">
        <f>IF(COUNT(Y3:Y157)&gt;0,"Y","X")</f>
        <v>0</v>
      </c>
      <c r="Z2" s="22" t="s">
        <v>395</v>
      </c>
      <c r="AA2" s="22">
        <f>IF(COUNT(AA3:AA157)&gt;0,"Y","X")</f>
        <v>0</v>
      </c>
      <c r="AB2" s="22" t="s">
        <v>395</v>
      </c>
      <c r="AC2" s="22">
        <f>IF(COUNT(AC3:AC157)&gt;0,"Y","X")</f>
        <v>0</v>
      </c>
      <c r="AD2" s="22" t="s">
        <v>395</v>
      </c>
      <c r="AE2" s="22">
        <f>IF(COUNT(AE3:AE157)&gt;0,"Y","X")</f>
        <v>0</v>
      </c>
      <c r="AF2" s="22" t="s">
        <v>395</v>
      </c>
      <c r="AG2" s="22">
        <f>IF(COUNT(AG3:AG157)&gt;0,"Y","X")</f>
        <v>0</v>
      </c>
      <c r="AH2" s="22" t="s">
        <v>395</v>
      </c>
      <c r="AI2" s="22">
        <f>IF(COUNT(AI3:AI157)&gt;0,"Y","X")</f>
        <v>0</v>
      </c>
      <c r="AJ2" s="22" t="s">
        <v>395</v>
      </c>
      <c r="AK2" s="22">
        <f>IF(COUNT(AK3:AK157)&gt;0,"Y","X")</f>
        <v>0</v>
      </c>
      <c r="AL2" s="22" t="s">
        <v>395</v>
      </c>
      <c r="AM2" s="22">
        <f>IF(COUNT(AM3:AM157)&gt;0,"Y","X")</f>
        <v>0</v>
      </c>
      <c r="AN2" s="22" t="s">
        <v>395</v>
      </c>
      <c r="AO2" s="22">
        <f>IF(COUNT(AO3:AO157)&gt;0,"Y","X")</f>
        <v>0</v>
      </c>
      <c r="AP2" s="22" t="s">
        <v>395</v>
      </c>
      <c r="AQ2" s="22">
        <f>IF(COUNT(AQ3:AQ157)&gt;0,"Y","X")</f>
        <v>0</v>
      </c>
      <c r="AR2" s="22" t="s">
        <v>395</v>
      </c>
      <c r="AS2" s="22">
        <f>IF(COUNT(AS3:AS157)&gt;0,"Y","X")</f>
        <v>0</v>
      </c>
      <c r="AT2" s="22" t="s">
        <v>395</v>
      </c>
      <c r="AU2" s="22">
        <f>IF(COUNT(AU3:AU157)&gt;0,"Y","X")</f>
        <v>0</v>
      </c>
      <c r="AV2" s="22" t="s">
        <v>395</v>
      </c>
      <c r="AW2" s="22">
        <f>IF(COUNT(AW3:AW157)&gt;0,"Y","X")</f>
        <v>0</v>
      </c>
      <c r="AX2" s="22" t="s">
        <v>395</v>
      </c>
      <c r="AY2" s="22">
        <f>IF(COUNT(AY3:AY157)&gt;0,"Y","X")</f>
        <v>0</v>
      </c>
      <c r="AZ2" s="22" t="s">
        <v>395</v>
      </c>
      <c r="BA2" s="22">
        <f>IF(COUNT(BA3:BA157)&gt;0,"Y","X")</f>
        <v>0</v>
      </c>
      <c r="BB2" s="22" t="s">
        <v>395</v>
      </c>
      <c r="BC2" s="22">
        <f>IF(COUNT(BC3:BC157)&gt;0,"Y","X")</f>
        <v>0</v>
      </c>
      <c r="BD2" s="22" t="s">
        <v>395</v>
      </c>
      <c r="BE2" s="22">
        <f>IF(COUNT(BE3:BE157)&gt;0,"Y","X")</f>
        <v>0</v>
      </c>
      <c r="BF2" s="22" t="s">
        <v>395</v>
      </c>
      <c r="BG2" s="22">
        <f>IF(COUNT(BG3:BG157)&gt;0,"Y","X")</f>
        <v>0</v>
      </c>
      <c r="BH2" s="22" t="s">
        <v>395</v>
      </c>
      <c r="BI2" s="22">
        <f>IF(COUNT(BI3:BI157)&gt;0,"Y","X")</f>
        <v>0</v>
      </c>
      <c r="BJ2" s="22" t="s">
        <v>395</v>
      </c>
      <c r="BK2" s="22">
        <f>IF(COUNT(BK3:BK157)&gt;0,"Y","X")</f>
        <v>0</v>
      </c>
      <c r="BL2" s="22" t="s">
        <v>395</v>
      </c>
      <c r="BM2" s="22">
        <f>IF(COUNT(BM3:BM157)&gt;0,"Y","X")</f>
        <v>0</v>
      </c>
      <c r="BN2" s="22" t="s">
        <v>395</v>
      </c>
      <c r="BO2" s="22">
        <f>IF(COUNT(BO3:BO157)&gt;0,"Y","X")</f>
        <v>0</v>
      </c>
      <c r="BP2" s="22" t="s">
        <v>395</v>
      </c>
      <c r="BQ2" s="22">
        <f>IF(COUNT(BQ3:BQ157)&gt;0,"Y","X")</f>
        <v>0</v>
      </c>
      <c r="BR2" s="22" t="s">
        <v>395</v>
      </c>
      <c r="BS2" s="22">
        <f>IF(COUNT(BS3:BS157)&gt;0,"Y","X")</f>
        <v>0</v>
      </c>
      <c r="BT2" s="22" t="s">
        <v>395</v>
      </c>
      <c r="BU2" s="22">
        <f>IF(COUNT(BU3:BU157)&gt;0,"Y","X")</f>
        <v>0</v>
      </c>
      <c r="BV2" s="22" t="s">
        <v>395</v>
      </c>
      <c r="BW2" s="22">
        <f>IF(COUNT(BW3:BW157)&gt;0,"Y","X")</f>
        <v>0</v>
      </c>
      <c r="BX2" s="22" t="s">
        <v>395</v>
      </c>
      <c r="BY2" s="22">
        <f>IF(COUNT(BY3:BY157)&gt;0,"Y","X")</f>
        <v>0</v>
      </c>
      <c r="BZ2" s="22" t="s">
        <v>395</v>
      </c>
      <c r="CA2" s="22">
        <f>IF(COUNT(CA3:CA157)&gt;0,"Y","X")</f>
        <v>0</v>
      </c>
      <c r="CB2" s="22" t="s">
        <v>395</v>
      </c>
      <c r="CC2" s="22">
        <f>IF(COUNT(CC3:CC157)&gt;0,"Y","X")</f>
        <v>0</v>
      </c>
      <c r="CD2" s="22" t="s">
        <v>395</v>
      </c>
      <c r="CE2" s="22">
        <f>IF(COUNT(CE3:CE157)&gt;0,"Y","X")</f>
        <v>0</v>
      </c>
      <c r="CF2" s="22" t="s">
        <v>395</v>
      </c>
      <c r="CG2" s="22">
        <f>IF(COUNT(CG3:CG157)&gt;0,"Y","X")</f>
        <v>0</v>
      </c>
      <c r="CH2" s="22" t="s">
        <v>395</v>
      </c>
      <c r="CI2" s="22">
        <f>IF(COUNT(CI3:CI157)&gt;0,"Y","X")</f>
        <v>0</v>
      </c>
      <c r="CJ2" s="22" t="s">
        <v>395</v>
      </c>
      <c r="CK2" s="22">
        <f>IF(COUNT(CK3:CK157)&gt;0,"Y","X")</f>
        <v>0</v>
      </c>
      <c r="CL2" s="22" t="s">
        <v>395</v>
      </c>
      <c r="CM2" s="22">
        <f>IF(COUNT(CM3:CM157)&gt;0,"Y","X")</f>
        <v>0</v>
      </c>
      <c r="CN2" s="22" t="s">
        <v>395</v>
      </c>
      <c r="CO2" s="22">
        <f>IF(COUNT(CO3:CO157)&gt;0,"Y","X")</f>
        <v>0</v>
      </c>
      <c r="CP2" s="22" t="s">
        <v>395</v>
      </c>
      <c r="CQ2" s="22">
        <f>IF(COUNT(CQ3:CQ157)&gt;0,"Y","X")</f>
        <v>0</v>
      </c>
      <c r="CR2" s="22" t="s">
        <v>395</v>
      </c>
      <c r="CS2" s="22">
        <f>IF(COUNT(CS3:CS157)&gt;0,"Y","X")</f>
        <v>0</v>
      </c>
      <c r="CT2" s="22" t="s">
        <v>395</v>
      </c>
      <c r="CU2" s="22">
        <f>IF(COUNT(CU3:CU157)&gt;0,"Y","X")</f>
        <v>0</v>
      </c>
      <c r="CV2" s="22" t="s">
        <v>395</v>
      </c>
      <c r="CW2" s="22">
        <f>IF(COUNT(CW3:CW157)&gt;0,"Y","X")</f>
        <v>0</v>
      </c>
      <c r="CX2" s="22" t="s">
        <v>395</v>
      </c>
      <c r="CY2" s="22">
        <f>IF(COUNT(CY3:CY157)&gt;0,"Y","X")</f>
        <v>0</v>
      </c>
      <c r="CZ2" s="22" t="s">
        <v>395</v>
      </c>
      <c r="DA2" s="22">
        <f>IF(COUNT(DA3:DA157)&gt;0,"Y","X")</f>
        <v>0</v>
      </c>
      <c r="DB2" s="22" t="s">
        <v>395</v>
      </c>
      <c r="DC2" s="22">
        <f>IF(COUNT(DC3:DC157)&gt;0,"Y","X")</f>
        <v>0</v>
      </c>
      <c r="DD2" s="22" t="s">
        <v>395</v>
      </c>
      <c r="DE2" s="22">
        <f>IF(COUNT(DE3:DE157)&gt;0,"Y","X")</f>
        <v>0</v>
      </c>
      <c r="DF2" s="22" t="s">
        <v>395</v>
      </c>
      <c r="DG2" s="22">
        <f>IF(COUNT(DG3:DG157)&gt;0,"Y","X")</f>
        <v>0</v>
      </c>
      <c r="DH2" s="22" t="s">
        <v>395</v>
      </c>
      <c r="DI2" s="22">
        <f>IF(COUNT(DI3:DI157)&gt;0,"Y","X")</f>
        <v>0</v>
      </c>
      <c r="DJ2" s="22" t="s">
        <v>395</v>
      </c>
      <c r="DK2" s="22">
        <f>IF(COUNT(DK3:DK157)&gt;0,"Y","X")</f>
        <v>0</v>
      </c>
      <c r="DL2" s="22" t="s">
        <v>395</v>
      </c>
      <c r="DM2" s="22">
        <f>IF(COUNT(DM3:DM157)&gt;0,"Y","X")</f>
        <v>0</v>
      </c>
      <c r="DN2" s="22" t="s">
        <v>395</v>
      </c>
      <c r="DO2" s="22">
        <f>IF(COUNT(DO3:DO157)&gt;0,"Y","X")</f>
        <v>0</v>
      </c>
      <c r="DP2" s="22" t="s">
        <v>395</v>
      </c>
      <c r="DQ2" s="22">
        <f>IF(COUNT(DQ3:DQ157)&gt;0,"Y","X")</f>
        <v>0</v>
      </c>
      <c r="DR2" s="22" t="s">
        <v>395</v>
      </c>
      <c r="DS2" s="22">
        <f>IF(COUNT(DS3:DS157)&gt;0,"Y","X")</f>
        <v>0</v>
      </c>
      <c r="DT2" s="22" t="s">
        <v>395</v>
      </c>
      <c r="DU2" s="22">
        <f>IF(COUNT(DU3:DU157)&gt;0,"Y","X")</f>
        <v>0</v>
      </c>
      <c r="DV2" s="22" t="s">
        <v>395</v>
      </c>
      <c r="DW2" s="22">
        <f>IF(COUNT(DW3:DW157)&gt;0,"Y","X")</f>
        <v>0</v>
      </c>
      <c r="DX2" s="22" t="s">
        <v>395</v>
      </c>
      <c r="DY2" s="22">
        <f>IF(COUNT(DY3:DY157)&gt;0,"Y","X")</f>
        <v>0</v>
      </c>
      <c r="DZ2" s="22" t="s">
        <v>395</v>
      </c>
      <c r="EA2" s="22">
        <f>IF(COUNT(EA3:EA157)&gt;0,"Y","X")</f>
        <v>0</v>
      </c>
      <c r="EB2" s="22" t="s">
        <v>395</v>
      </c>
      <c r="EC2" s="22">
        <f>IF(COUNT(EC3:EC157)&gt;0,"Y","X")</f>
        <v>0</v>
      </c>
      <c r="ED2" s="22" t="s">
        <v>395</v>
      </c>
      <c r="EE2" s="22">
        <f>IF(COUNT(EE3:EE157)&gt;0,"Y","X")</f>
        <v>0</v>
      </c>
      <c r="EF2" s="22" t="s">
        <v>395</v>
      </c>
      <c r="EG2" s="22">
        <f>IF(COUNT(EG3:EG157)&gt;0,"Y","X")</f>
        <v>0</v>
      </c>
      <c r="EH2" s="22" t="s">
        <v>395</v>
      </c>
      <c r="EI2" s="22">
        <f>IF(COUNT(EI3:EI157)&gt;0,"Y","X")</f>
        <v>0</v>
      </c>
      <c r="EJ2" s="22" t="s">
        <v>395</v>
      </c>
      <c r="EK2" s="22">
        <f>IF(COUNT(EK3:EK157)&gt;0,"Y","X")</f>
        <v>0</v>
      </c>
      <c r="EL2" s="22" t="s">
        <v>395</v>
      </c>
      <c r="EM2" s="22">
        <f>IF(COUNT(EM3:EM157)&gt;0,"Y","X")</f>
        <v>0</v>
      </c>
      <c r="EN2" s="22" t="s">
        <v>395</v>
      </c>
      <c r="EO2" s="22">
        <f>IF(COUNT(EO3:EO157)&gt;0,"Y","X")</f>
        <v>0</v>
      </c>
      <c r="EP2" s="22" t="s">
        <v>395</v>
      </c>
      <c r="EQ2" s="22">
        <f>IF(COUNT(EQ3:EQ157)&gt;0,"Y","X")</f>
        <v>0</v>
      </c>
      <c r="ER2" s="22" t="s">
        <v>395</v>
      </c>
      <c r="ES2" s="22">
        <f>IF(COUNT(ES3:ES157)&gt;0,"Y","X")</f>
        <v>0</v>
      </c>
      <c r="ET2" s="22" t="s">
        <v>395</v>
      </c>
      <c r="EU2" s="22">
        <f>IF(COUNT(EU3:EU157)&gt;0,"Y","X")</f>
        <v>0</v>
      </c>
      <c r="EV2" s="22" t="s">
        <v>395</v>
      </c>
      <c r="EW2" s="22">
        <f>IF(COUNT(EW3:EW157)&gt;0,"Y","X")</f>
        <v>0</v>
      </c>
      <c r="EX2" s="22" t="s">
        <v>395</v>
      </c>
      <c r="EY2" s="22">
        <f>IF(COUNT(EY3:EY157)&gt;0,"Y","X")</f>
        <v>0</v>
      </c>
      <c r="EZ2" s="22" t="s">
        <v>395</v>
      </c>
      <c r="FA2" s="22">
        <f>IF(COUNT(FA3:FA157)&gt;0,"Y","X")</f>
        <v>0</v>
      </c>
      <c r="FB2" s="22" t="s">
        <v>395</v>
      </c>
      <c r="FC2" s="22">
        <f>IF(COUNT(FC3:FC157)&gt;0,"Y","X")</f>
        <v>0</v>
      </c>
      <c r="FD2" s="22" t="s">
        <v>395</v>
      </c>
      <c r="FE2" s="22">
        <f>IF(COUNT(FE3:FE157)&gt;0,"Y","X")</f>
        <v>0</v>
      </c>
      <c r="FF2" s="22" t="s">
        <v>395</v>
      </c>
      <c r="FG2" s="22">
        <f>IF(COUNT(FG3:FG157)&gt;0,"Y","X")</f>
        <v>0</v>
      </c>
      <c r="FH2" s="22" t="s">
        <v>395</v>
      </c>
      <c r="FI2" s="22">
        <f>IF(COUNT(FI3:FI157)&gt;0,"Y","X")</f>
        <v>0</v>
      </c>
      <c r="FJ2" s="22" t="s">
        <v>395</v>
      </c>
      <c r="FK2" s="22">
        <f>IF(COUNT(FK3:FK157)&gt;0,"Y","X")</f>
        <v>0</v>
      </c>
      <c r="FL2" s="22" t="s">
        <v>395</v>
      </c>
      <c r="FM2" s="22">
        <f>IF(COUNT(FM3:FM157)&gt;0,"Y","X")</f>
        <v>0</v>
      </c>
      <c r="FN2" s="22" t="s">
        <v>395</v>
      </c>
      <c r="FO2" s="22">
        <f>IF(COUNT(FO3:FO157)&gt;0,"Y","X")</f>
        <v>0</v>
      </c>
      <c r="FP2" s="22" t="s">
        <v>395</v>
      </c>
      <c r="FQ2" s="22">
        <f>IF(COUNT(FQ3:FQ157)&gt;0,"Y","X")</f>
        <v>0</v>
      </c>
      <c r="FR2" s="22" t="s">
        <v>395</v>
      </c>
      <c r="FS2" s="22">
        <f>IF(COUNT(FS3:FS157)&gt;0,"Y","X")</f>
        <v>0</v>
      </c>
      <c r="FT2" s="22" t="s">
        <v>395</v>
      </c>
      <c r="FU2" s="22">
        <f>IF(COUNT(FU3:FU157)&gt;0,"Y","X")</f>
        <v>0</v>
      </c>
      <c r="FV2" s="22" t="s">
        <v>395</v>
      </c>
      <c r="FW2" s="22">
        <f>IF(COUNT(FW3:FW157)&gt;0,"Y","X")</f>
        <v>0</v>
      </c>
      <c r="FX2" s="22" t="s">
        <v>395</v>
      </c>
      <c r="FY2" s="22">
        <f>IF(COUNT(FY3:FY157)&gt;0,"Y","X")</f>
        <v>0</v>
      </c>
      <c r="FZ2" s="22" t="s">
        <v>395</v>
      </c>
      <c r="GA2" s="22">
        <f>IF(COUNT(GA3:GA157)&gt;0,"Y","X")</f>
        <v>0</v>
      </c>
      <c r="GB2" s="22" t="s">
        <v>395</v>
      </c>
      <c r="GC2" s="22">
        <f>IF(COUNT(GC3:GC157)&gt;0,"Y","X")</f>
        <v>0</v>
      </c>
      <c r="GD2" s="22" t="s">
        <v>395</v>
      </c>
      <c r="GE2" s="22">
        <f>IF(COUNT(GE3:GE157)&gt;0,"Y","X")</f>
        <v>0</v>
      </c>
      <c r="GF2" s="22" t="s">
        <v>395</v>
      </c>
      <c r="GG2" s="22">
        <f>IF(COUNT(GG3:GG157)&gt;0,"Y","X")</f>
        <v>0</v>
      </c>
      <c r="GH2" s="22" t="s">
        <v>395</v>
      </c>
      <c r="GI2" s="22">
        <f>IF(COUNT(GI3:GI157)&gt;0,"Y","X")</f>
        <v>0</v>
      </c>
      <c r="GJ2" s="22" t="s">
        <v>395</v>
      </c>
      <c r="GK2" s="22">
        <f>IF(COUNT(GK3:GK157)&gt;0,"Y","X")</f>
        <v>0</v>
      </c>
      <c r="GL2" s="22" t="s">
        <v>395</v>
      </c>
      <c r="GM2" s="22">
        <f>IF(COUNT(GM3:GM157)&gt;0,"Y","X")</f>
        <v>0</v>
      </c>
      <c r="GN2" s="22" t="s">
        <v>395</v>
      </c>
      <c r="GO2" s="22">
        <f>IF(COUNT(GO3:GO157)&gt;0,"Y","X")</f>
        <v>0</v>
      </c>
      <c r="GP2" s="22" t="s">
        <v>395</v>
      </c>
      <c r="GQ2" s="22">
        <f>IF(COUNT(GQ3:GQ157)&gt;0,"Y","X")</f>
        <v>0</v>
      </c>
      <c r="GR2" s="22" t="s">
        <v>395</v>
      </c>
      <c r="GS2" s="22">
        <f>IF(COUNT(GS3:GS157)&gt;0,"Y","X")</f>
        <v>0</v>
      </c>
      <c r="GT2" s="22" t="s">
        <v>395</v>
      </c>
      <c r="GU2" s="22">
        <f>IF(COUNT(GU3:GU157)&gt;0,"Y","X")</f>
        <v>0</v>
      </c>
      <c r="GV2" s="22" t="s">
        <v>395</v>
      </c>
      <c r="GW2" s="22">
        <f>IF(COUNT(GW3:GW157)&gt;0,"Y","X")</f>
        <v>0</v>
      </c>
      <c r="GX2" s="22" t="s">
        <v>395</v>
      </c>
      <c r="GY2" s="22">
        <f>IF(COUNT(GY3:GY157)&gt;0,"Y","X")</f>
        <v>0</v>
      </c>
      <c r="GZ2" s="22" t="s">
        <v>395</v>
      </c>
      <c r="HA2" s="22">
        <f>IF(COUNT(HA3:HA157)&gt;0,"Y","X")</f>
        <v>0</v>
      </c>
      <c r="HB2" s="22" t="s">
        <v>395</v>
      </c>
      <c r="HC2" s="22">
        <f>IF(COUNT(HC3:HC157)&gt;0,"Y","X")</f>
        <v>0</v>
      </c>
      <c r="HD2" s="22" t="s">
        <v>395</v>
      </c>
      <c r="HE2" s="22">
        <f>IF(COUNT(HE3:HE157)&gt;0,"Y","X")</f>
        <v>0</v>
      </c>
      <c r="HF2" s="22" t="s">
        <v>395</v>
      </c>
      <c r="HG2" s="22">
        <f>IF(COUNT(HG3:HG157)&gt;0,"Y","X")</f>
        <v>0</v>
      </c>
      <c r="HH2" s="22" t="s">
        <v>395</v>
      </c>
      <c r="HI2" s="22">
        <f>IF(COUNT(HI3:HI157)&gt;0,"Y","X")</f>
        <v>0</v>
      </c>
      <c r="HJ2" s="22" t="s">
        <v>395</v>
      </c>
      <c r="HK2" s="22">
        <f>IF(COUNT(HK3:HK157)&gt;0,"Y","X")</f>
        <v>0</v>
      </c>
      <c r="HL2" s="22" t="s">
        <v>395</v>
      </c>
      <c r="HM2" s="22">
        <f>IF(COUNT(HM3:HM157)&gt;0,"Y","X")</f>
        <v>0</v>
      </c>
      <c r="HN2" s="22" t="s">
        <v>395</v>
      </c>
      <c r="HO2" s="22">
        <f>IF(COUNT(HO3:HO157)&gt;0,"Y","X")</f>
        <v>0</v>
      </c>
      <c r="HP2" s="22" t="s">
        <v>395</v>
      </c>
      <c r="HQ2" s="22">
        <f>IF(COUNT(HQ3:HQ157)&gt;0,"Y","X")</f>
        <v>0</v>
      </c>
      <c r="HR2" s="22" t="s">
        <v>395</v>
      </c>
      <c r="HS2" s="22">
        <f>IF(COUNT(HS3:HS157)&gt;0,"Y","X")</f>
        <v>0</v>
      </c>
      <c r="HT2" s="22" t="s">
        <v>395</v>
      </c>
      <c r="HU2" s="22">
        <f>IF(COUNT(HU3:HU157)&gt;0,"Y","X")</f>
        <v>0</v>
      </c>
      <c r="HV2" s="22" t="s">
        <v>395</v>
      </c>
      <c r="HW2" s="22">
        <f>IF(COUNT(HW3:HW157)&gt;0,"Y","X")</f>
        <v>0</v>
      </c>
      <c r="HX2" s="22" t="s">
        <v>395</v>
      </c>
      <c r="HY2" s="22">
        <f>IF(COUNT(HY3:HY157)&gt;0,"Y","X")</f>
        <v>0</v>
      </c>
      <c r="HZ2" s="22" t="s">
        <v>395</v>
      </c>
      <c r="IA2" s="22">
        <f>IF(COUNT(IA3:IA157)&gt;0,"Y","X")</f>
        <v>0</v>
      </c>
      <c r="IB2" s="22" t="s">
        <v>395</v>
      </c>
      <c r="IC2" s="22">
        <f>IF(COUNT(IC3:IC157)&gt;0,"Y","X")</f>
        <v>0</v>
      </c>
      <c r="ID2" s="22" t="s">
        <v>395</v>
      </c>
      <c r="IE2" s="22">
        <f>IF(COUNT(IE3:IE157)&gt;0,"Y","X")</f>
        <v>0</v>
      </c>
      <c r="IF2" s="22" t="s">
        <v>395</v>
      </c>
      <c r="IG2" s="22">
        <f>IF(COUNT(IG3:IG157)&gt;0,"Y","X")</f>
        <v>0</v>
      </c>
      <c r="IH2" s="22" t="s">
        <v>395</v>
      </c>
      <c r="II2" s="22">
        <f>IF(COUNT(II3:II157)&gt;0,"Y","X")</f>
        <v>0</v>
      </c>
      <c r="IJ2" s="22" t="s">
        <v>395</v>
      </c>
      <c r="IK2" s="22">
        <f>IF(COUNT(IK3:IK157)&gt;0,"Y","X")</f>
        <v>0</v>
      </c>
      <c r="IL2" s="22" t="s">
        <v>395</v>
      </c>
      <c r="IM2" s="22">
        <f>IF(COUNT(IM3:IM157)&gt;0,"Y","X")</f>
        <v>0</v>
      </c>
      <c r="IN2" s="22" t="s">
        <v>395</v>
      </c>
      <c r="IO2" s="22">
        <f>IF(COUNT(IO3:IO157)&gt;0,"Y","X")</f>
        <v>0</v>
      </c>
      <c r="IP2" s="22" t="s">
        <v>395</v>
      </c>
      <c r="IQ2" s="22">
        <f>IF(COUNT(IQ3:IQ157)&gt;0,"Y","X")</f>
        <v>0</v>
      </c>
      <c r="IR2" s="22" t="s">
        <v>395</v>
      </c>
      <c r="IS2" s="22">
        <f>IF(COUNT(IS3:IS157)&gt;0,"Y","X")</f>
        <v>0</v>
      </c>
      <c r="IT2" s="22" t="s">
        <v>395</v>
      </c>
      <c r="IU2" s="22">
        <f>IF(COUNT(IU3:IU157)&gt;0,"Y","X")</f>
        <v>0</v>
      </c>
      <c r="IV2" s="22" t="s">
        <v>395</v>
      </c>
      <c r="IW2" s="22">
        <f>IF(COUNT(IW3:IW157)&gt;0,"Y","X")</f>
        <v>0</v>
      </c>
      <c r="IX2" s="22" t="s">
        <v>395</v>
      </c>
      <c r="IY2" s="22">
        <f>IF(COUNT(IY3:IY157)&gt;0,"Y","X")</f>
        <v>0</v>
      </c>
      <c r="IZ2" s="22" t="s">
        <v>395</v>
      </c>
      <c r="JA2" s="22">
        <f>IF(COUNT(JA3:JA157)&gt;0,"Y","X")</f>
        <v>0</v>
      </c>
      <c r="JB2" s="22" t="s">
        <v>395</v>
      </c>
      <c r="JC2" s="22">
        <f>IF(COUNT(JC3:JC157)&gt;0,"Y","X")</f>
        <v>0</v>
      </c>
      <c r="JD2" s="22" t="s">
        <v>395</v>
      </c>
      <c r="JE2" s="22">
        <f>IF(COUNT(JE3:JE157)&gt;0,"Y","X")</f>
        <v>0</v>
      </c>
      <c r="JF2" s="22" t="s">
        <v>395</v>
      </c>
      <c r="JG2" s="22">
        <f>IF(COUNT(JG3:JG157)&gt;0,"Y","X")</f>
        <v>0</v>
      </c>
      <c r="JH2" s="22" t="s">
        <v>395</v>
      </c>
      <c r="JI2" s="22">
        <f>IF(COUNT(JI3:JI157)&gt;0,"Y","X")</f>
        <v>0</v>
      </c>
      <c r="JJ2" s="22" t="s">
        <v>395</v>
      </c>
      <c r="JK2" s="22">
        <f>IF(COUNT(JK3:JK157)&gt;0,"Y","X")</f>
        <v>0</v>
      </c>
      <c r="JL2" s="22" t="s">
        <v>395</v>
      </c>
      <c r="JM2" s="22">
        <f>IF(COUNT(JM3:JM157)&gt;0,"Y","X")</f>
        <v>0</v>
      </c>
      <c r="JN2" s="22" t="s">
        <v>395</v>
      </c>
      <c r="JO2" s="22">
        <f>IF(COUNT(JO3:JO157)&gt;0,"Y","X")</f>
        <v>0</v>
      </c>
      <c r="JP2" s="22" t="s">
        <v>395</v>
      </c>
      <c r="JQ2" s="22">
        <f>IF(COUNT(JQ3:JQ157)&gt;0,"Y","X")</f>
        <v>0</v>
      </c>
      <c r="JR2" s="22" t="s">
        <v>395</v>
      </c>
      <c r="JS2" s="22">
        <f>IF(COUNT(JS3:JS157)&gt;0,"Y","X")</f>
        <v>0</v>
      </c>
      <c r="JT2" s="22" t="s">
        <v>395</v>
      </c>
      <c r="JU2" s="22">
        <f>IF(COUNT(JU3:JU157)&gt;0,"Y","X")</f>
        <v>0</v>
      </c>
      <c r="JV2" s="22" t="s">
        <v>395</v>
      </c>
      <c r="JW2" s="22">
        <f>IF(COUNT(JW3:JW157)&gt;0,"Y","X")</f>
        <v>0</v>
      </c>
      <c r="JX2" s="22" t="s">
        <v>395</v>
      </c>
      <c r="JY2" s="22">
        <f>IF(COUNT(JY3:JY157)&gt;0,"Y","X")</f>
        <v>0</v>
      </c>
      <c r="JZ2" s="22" t="s">
        <v>395</v>
      </c>
      <c r="KA2" s="22">
        <f>IF(COUNT(KA3:KA157)&gt;0,"Y","X")</f>
        <v>0</v>
      </c>
      <c r="KB2" s="22" t="s">
        <v>395</v>
      </c>
      <c r="KC2" s="22">
        <f>IF(COUNT(KC3:KC157)&gt;0,"Y","X")</f>
        <v>0</v>
      </c>
      <c r="KD2" s="22" t="s">
        <v>395</v>
      </c>
      <c r="KE2" s="22">
        <f>IF(COUNT(KE3:KE157)&gt;0,"Y","X")</f>
        <v>0</v>
      </c>
      <c r="KF2" s="22" t="s">
        <v>395</v>
      </c>
      <c r="KG2" s="22">
        <f>IF(COUNT(KG3:KG157)&gt;0,"Y","X")</f>
        <v>0</v>
      </c>
      <c r="KH2" s="22" t="s">
        <v>395</v>
      </c>
      <c r="KI2" s="22">
        <f>IF(COUNT(KI3:KI157)&gt;0,"Y","X")</f>
        <v>0</v>
      </c>
      <c r="KJ2" s="22" t="s">
        <v>395</v>
      </c>
      <c r="KK2" s="22">
        <f>IF(COUNT(KK3:KK157)&gt;0,"Y","X")</f>
        <v>0</v>
      </c>
      <c r="KL2" s="22" t="s">
        <v>395</v>
      </c>
      <c r="KM2" s="22">
        <f>IF(COUNT(KM3:KM157)&gt;0,"Y","X")</f>
        <v>0</v>
      </c>
      <c r="KN2" s="22" t="s">
        <v>395</v>
      </c>
      <c r="KO2" s="22">
        <f>IF(COUNT(KO3:KO157)&gt;0,"Y","X")</f>
        <v>0</v>
      </c>
      <c r="KP2" s="22" t="s">
        <v>395</v>
      </c>
      <c r="KQ2" s="22">
        <f>IF(COUNT(KQ3:KQ157)&gt;0,"Y","X")</f>
        <v>0</v>
      </c>
      <c r="KR2" s="22" t="s">
        <v>395</v>
      </c>
      <c r="KS2" s="22">
        <f>IF(COUNT(KS3:KS157)&gt;0,"Y","X")</f>
        <v>0</v>
      </c>
      <c r="KT2" s="22" t="s">
        <v>395</v>
      </c>
      <c r="KU2" s="22">
        <f>IF(COUNT(KU3:KU157)&gt;0,"Y","X")</f>
        <v>0</v>
      </c>
      <c r="KV2" s="22" t="s">
        <v>395</v>
      </c>
      <c r="KW2" s="22">
        <f>IF(COUNT(KW3:KW157)&gt;0,"Y","X")</f>
        <v>0</v>
      </c>
      <c r="KX2" s="22" t="s">
        <v>395</v>
      </c>
      <c r="KY2" s="22">
        <f>IF(COUNT(KY3:KY157)&gt;0,"Y","X")</f>
        <v>0</v>
      </c>
      <c r="KZ2" s="22" t="s">
        <v>395</v>
      </c>
      <c r="LA2" s="22">
        <f>IF(COUNT(LA3:LA157)&gt;0,"Y","X")</f>
        <v>0</v>
      </c>
      <c r="LB2" s="22" t="s">
        <v>395</v>
      </c>
      <c r="LC2" s="22">
        <f>IF(COUNT(LC3:LC157)&gt;0,"Y","X")</f>
        <v>0</v>
      </c>
      <c r="LD2" s="22" t="s">
        <v>395</v>
      </c>
      <c r="LE2" s="22">
        <f>IF(COUNT(LE3:LE157)&gt;0,"Y","X")</f>
        <v>0</v>
      </c>
      <c r="LF2" s="22" t="s">
        <v>395</v>
      </c>
      <c r="LG2" s="22">
        <f>IF(COUNT(LG3:LG157)&gt;0,"Y","X")</f>
        <v>0</v>
      </c>
      <c r="LH2" s="22" t="s">
        <v>395</v>
      </c>
    </row>
    <row r="3" spans="1:322">
      <c r="A3" s="23" t="s">
        <v>11</v>
      </c>
      <c r="B3" s="24" t="s">
        <v>397</v>
      </c>
      <c r="C3" s="25" t="s">
        <v>12</v>
      </c>
      <c r="D3" s="25"/>
      <c r="E3" s="26" t="s">
        <v>398</v>
      </c>
      <c r="F3" s="27"/>
      <c r="G3" s="27"/>
      <c r="H3" s="27" t="s">
        <v>399</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400</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381</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370</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380</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401</v>
      </c>
    </row>
    <row r="8" spans="1:322">
      <c r="B8" s="24"/>
      <c r="D8" s="32" t="s">
        <v>23</v>
      </c>
      <c r="E8" s="33" t="s">
        <v>376</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374</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382</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402</v>
      </c>
    </row>
    <row r="11" spans="1:322">
      <c r="A11" s="37" t="s">
        <v>29</v>
      </c>
      <c r="B11" s="24"/>
      <c r="C11" s="38" t="s">
        <v>30</v>
      </c>
      <c r="E11" s="33" t="s">
        <v>398</v>
      </c>
      <c r="F11" s="39">
        <f>MIN(F15:F21)</f>
        <v>45689.0</v>
      </c>
      <c r="H11" s="39" t="s">
        <v>399</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395</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403</v>
      </c>
    </row>
    <row r="12" spans="1:322">
      <c r="B12" s="24"/>
    </row>
    <row r="13" spans="1:322">
      <c r="B13" s="24"/>
    </row>
    <row r="14" spans="1:322">
      <c r="B14" s="24"/>
    </row>
    <row r="15" spans="1:322">
      <c r="B15" s="24"/>
      <c r="D15" s="32" t="s">
        <v>13</v>
      </c>
      <c r="E15" s="33" t="s">
        <v>400</v>
      </c>
      <c r="F15" s="39" t="s">
        <v>404</v>
      </c>
      <c r="I15" s="41" t="s">
        <v>405</v>
      </c>
      <c r="J15" s="35">
        <f>IF(AND(ISNUMBER(K15),ISNUMBER(I15)),K15-I15,"")</f>
        <v>0</v>
      </c>
      <c r="K15" s="34">
        <v>5</v>
      </c>
      <c r="L15" s="35">
        <f>IF(AND(ISNUMBER(M15),ISNUMBER(K15)),M15-K15,"")</f>
        <v>0</v>
      </c>
      <c r="M15" s="41" t="s">
        <v>405</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381</v>
      </c>
      <c r="F16" s="39">
        <v>45689</v>
      </c>
      <c r="I16" s="41" t="s">
        <v>405</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370</v>
      </c>
      <c r="I17" s="41" t="s">
        <v>405</v>
      </c>
      <c r="J17" s="35">
        <f>IF(AND(ISNUMBER(K17),ISNUMBER(I17)),K17-I17,"")</f>
        <v>0</v>
      </c>
      <c r="K17" s="41" t="s">
        <v>405</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405</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380</v>
      </c>
      <c r="I18" s="41" t="s">
        <v>405</v>
      </c>
      <c r="J18" s="35">
        <f>IF(AND(ISNUMBER(K18),ISNUMBER(I18)),K18-I18,"")</f>
        <v>0</v>
      </c>
      <c r="K18" s="41" t="s">
        <v>405</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405</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401</v>
      </c>
    </row>
    <row r="19" spans="1:322">
      <c r="B19" s="24"/>
      <c r="D19" s="32" t="s">
        <v>23</v>
      </c>
      <c r="E19" s="33" t="s">
        <v>376</v>
      </c>
      <c r="F19" s="39">
        <v>45689</v>
      </c>
      <c r="I19" s="41" t="s">
        <v>405</v>
      </c>
      <c r="J19" s="35">
        <f>IF(AND(ISNUMBER(K19),ISNUMBER(I19)),K19-I19,"")</f>
        <v>0</v>
      </c>
      <c r="K19" s="41" t="s">
        <v>405</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374</v>
      </c>
      <c r="F20" s="39">
        <v>45689</v>
      </c>
      <c r="I20" s="34">
        <v>2</v>
      </c>
      <c r="J20" s="35">
        <f>IF(AND(ISNUMBER(K20),ISNUMBER(I20)),K20-I20,"")</f>
        <v>0</v>
      </c>
      <c r="K20" s="34">
        <v>0</v>
      </c>
      <c r="L20" s="35">
        <f>IF(AND(ISNUMBER(M20),ISNUMBER(K20)),M20-K20,"")</f>
        <v>0</v>
      </c>
      <c r="M20" s="34">
        <v>0</v>
      </c>
      <c r="N20" s="35">
        <f>IF(AND(ISNUMBER(O20),ISNUMBER(M20)),O20-M20,"")</f>
        <v>0</v>
      </c>
      <c r="O20" s="41" t="s">
        <v>405</v>
      </c>
      <c r="P20" s="35">
        <f>IF(AND(ISNUMBER(Q20),ISNUMBER(O20)),Q20-O20,"")</f>
        <v>0</v>
      </c>
      <c r="Q20" s="34">
        <v>0</v>
      </c>
      <c r="R20" s="35">
        <f>IF(AND(ISNUMBER(S20),ISNUMBER(Q20)),S20-Q20,"")</f>
        <v>0</v>
      </c>
      <c r="S20" s="34">
        <v>8</v>
      </c>
      <c r="T20" s="35">
        <f>IF(AND(ISNUMBER(U20),ISNUMBER(S20)),U20-S20,"")</f>
        <v>0</v>
      </c>
      <c r="U20" s="41" t="s">
        <v>405</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382</v>
      </c>
      <c r="F21" s="39">
        <v>45689</v>
      </c>
      <c r="I21" s="41" t="s">
        <v>405</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405</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405</v>
      </c>
      <c r="AP21" s="35">
        <f>IF(AND(ISNUMBER(AQ21),ISNUMBER(AO21)),AQ21-AO21,"")</f>
        <v>0</v>
      </c>
      <c r="AQ21" s="41" t="s">
        <v>405</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402</v>
      </c>
    </row>
    <row r="23" spans="1:322">
      <c r="A23" s="23" t="s">
        <v>39</v>
      </c>
      <c r="B23" s="24" t="s">
        <v>406</v>
      </c>
      <c r="C23" s="25" t="s">
        <v>12</v>
      </c>
      <c r="D23" s="25"/>
      <c r="E23" s="26" t="s">
        <v>398</v>
      </c>
      <c r="F23" s="27"/>
      <c r="G23" s="27"/>
      <c r="H23" s="27" t="s">
        <v>399</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403</v>
      </c>
    </row>
    <row r="24" spans="1:322">
      <c r="B24" s="24"/>
      <c r="D24" s="32" t="s">
        <v>13</v>
      </c>
      <c r="E24" s="33" t="s">
        <v>400</v>
      </c>
      <c r="F24" s="39" t="s">
        <v>407</v>
      </c>
      <c r="I24" s="41" t="s">
        <v>405</v>
      </c>
      <c r="J24" s="35">
        <f>IF(AND(ISNUMBER(K24),ISNUMBER(I24)),K24-I24,"")</f>
        <v>0</v>
      </c>
      <c r="K24" s="41" t="s">
        <v>405</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405</v>
      </c>
      <c r="Z24" s="35">
        <f>IF(AND(ISNUMBER(AA24),ISNUMBER(Y24)),AA24-Y24,"")</f>
        <v>0</v>
      </c>
      <c r="AA24" s="41" t="s">
        <v>405</v>
      </c>
      <c r="AB24" s="35">
        <f>IF(AND(ISNUMBER(AC24),ISNUMBER(AA24)),AC24-AA24,"")</f>
        <v>0</v>
      </c>
      <c r="AC24" s="41" t="s">
        <v>405</v>
      </c>
      <c r="AD24" s="35">
        <f>IF(AND(ISNUMBER(AE24),ISNUMBER(AC24)),AE24-AC24,"")</f>
        <v>0</v>
      </c>
      <c r="AE24" s="41" t="s">
        <v>405</v>
      </c>
      <c r="AF24" s="35">
        <f>IF(AND(ISNUMBER(AG24),ISNUMBER(AE24)),AG24-AE24,"")</f>
        <v>0</v>
      </c>
      <c r="AG24" s="41" t="s">
        <v>405</v>
      </c>
      <c r="AH24" s="35">
        <f>IF(AND(ISNUMBER(AI24),ISNUMBER(AG24)),AI24-AG24,"")</f>
        <v>0</v>
      </c>
      <c r="AI24" s="41" t="s">
        <v>405</v>
      </c>
      <c r="AJ24" s="35">
        <f>IF(AND(ISNUMBER(AK24),ISNUMBER(AI24)),AK24-AI24,"")</f>
        <v>0</v>
      </c>
      <c r="AK24" s="34">
        <v>0</v>
      </c>
      <c r="AL24" s="35">
        <f>IF(AND(ISNUMBER(AM24),ISNUMBER(AK24)),AM24-AK24,"")</f>
        <v>0</v>
      </c>
      <c r="AM24" s="41" t="s">
        <v>405</v>
      </c>
      <c r="AN24" s="35">
        <f>IF(AND(ISNUMBER(AO24),ISNUMBER(AM24)),AO24-AM24,"")</f>
        <v>0</v>
      </c>
      <c r="AO24" s="41" t="s">
        <v>405</v>
      </c>
      <c r="AP24" s="35">
        <f>IF(AND(ISNUMBER(AQ24),ISNUMBER(AO24)),AQ24-AO24,"")</f>
        <v>0</v>
      </c>
      <c r="AQ24" s="41" t="s">
        <v>405</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381</v>
      </c>
      <c r="I25" s="41" t="s">
        <v>405</v>
      </c>
      <c r="J25" s="35">
        <f>IF(AND(ISNUMBER(K25),ISNUMBER(I25)),K25-I25,"")</f>
        <v>0</v>
      </c>
      <c r="K25" s="34">
        <v>5</v>
      </c>
      <c r="L25" s="35">
        <f>IF(AND(ISNUMBER(M25),ISNUMBER(K25)),M25-K25,"")</f>
        <v>0</v>
      </c>
      <c r="M25" s="34">
        <v>0</v>
      </c>
      <c r="N25" s="35">
        <f>IF(AND(ISNUMBER(O25),ISNUMBER(M25)),O25-M25,"")</f>
        <v>0</v>
      </c>
      <c r="O25" s="41" t="s">
        <v>405</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405</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370</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380</v>
      </c>
      <c r="I27" s="41" t="s">
        <v>405</v>
      </c>
      <c r="J27" s="35">
        <f>IF(AND(ISNUMBER(K27),ISNUMBER(I27)),K27-I27,"")</f>
        <v>0</v>
      </c>
      <c r="K27" s="41" t="s">
        <v>405</v>
      </c>
      <c r="L27" s="35">
        <f>IF(AND(ISNUMBER(M27),ISNUMBER(K27)),M27-K27,"")</f>
        <v>0</v>
      </c>
      <c r="M27" s="34">
        <v>0</v>
      </c>
      <c r="N27" s="35">
        <f>IF(AND(ISNUMBER(O27),ISNUMBER(M27)),O27-M27,"")</f>
        <v>0</v>
      </c>
      <c r="O27" s="41" t="s">
        <v>405</v>
      </c>
      <c r="P27" s="35">
        <f>IF(AND(ISNUMBER(Q27),ISNUMBER(O27)),Q27-O27,"")</f>
        <v>0</v>
      </c>
      <c r="Q27" s="41" t="s">
        <v>405</v>
      </c>
      <c r="R27" s="35">
        <f>IF(AND(ISNUMBER(S27),ISNUMBER(Q27)),S27-Q27,"")</f>
        <v>0</v>
      </c>
      <c r="S27" s="34">
        <v>12</v>
      </c>
      <c r="T27" s="35">
        <f>IF(AND(ISNUMBER(U27),ISNUMBER(S27)),U27-S27,"")</f>
        <v>0</v>
      </c>
      <c r="U27" s="41" t="s">
        <v>405</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405</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408</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409</v>
      </c>
    </row>
    <row r="28" spans="1:322">
      <c r="B28" s="24"/>
      <c r="D28" s="32" t="s">
        <v>23</v>
      </c>
      <c r="E28" s="33" t="s">
        <v>376</v>
      </c>
      <c r="I28" s="41" t="s">
        <v>405</v>
      </c>
      <c r="J28" s="35">
        <f>IF(AND(ISNUMBER(K28),ISNUMBER(I28)),K28-I28,"")</f>
        <v>0</v>
      </c>
      <c r="K28" s="41" t="s">
        <v>405</v>
      </c>
      <c r="L28" s="35">
        <f>IF(AND(ISNUMBER(M28),ISNUMBER(K28)),M28-K28,"")</f>
        <v>0</v>
      </c>
      <c r="M28" s="41" t="s">
        <v>405</v>
      </c>
      <c r="N28" s="35">
        <f>IF(AND(ISNUMBER(O28),ISNUMBER(M28)),O28-M28,"")</f>
        <v>0</v>
      </c>
      <c r="O28" s="41" t="s">
        <v>405</v>
      </c>
      <c r="P28" s="35">
        <f>IF(AND(ISNUMBER(Q28),ISNUMBER(O28)),Q28-O28,"")</f>
        <v>0</v>
      </c>
      <c r="Q28" s="41" t="s">
        <v>405</v>
      </c>
      <c r="R28" s="35">
        <f>IF(AND(ISNUMBER(S28),ISNUMBER(Q28)),S28-Q28,"")</f>
        <v>0</v>
      </c>
      <c r="S28" s="41" t="s">
        <v>405</v>
      </c>
      <c r="T28" s="35">
        <f>IF(AND(ISNUMBER(U28),ISNUMBER(S28)),U28-S28,"")</f>
        <v>0</v>
      </c>
      <c r="U28" s="41" t="s">
        <v>405</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374</v>
      </c>
      <c r="I29" s="41" t="s">
        <v>405</v>
      </c>
      <c r="J29" s="35">
        <f>IF(AND(ISNUMBER(K29),ISNUMBER(I29)),K29-I29,"")</f>
        <v>0</v>
      </c>
      <c r="K29" s="41" t="s">
        <v>405</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405</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382</v>
      </c>
      <c r="I30" s="41" t="s">
        <v>405</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405</v>
      </c>
      <c r="AP30" s="35">
        <f>IF(AND(ISNUMBER(AQ30),ISNUMBER(AO30)),AQ30-AO30,"")</f>
        <v>0</v>
      </c>
      <c r="AQ30" s="41" t="s">
        <v>405</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402</v>
      </c>
    </row>
    <row r="31" spans="1:322">
      <c r="A31" s="37" t="s">
        <v>47</v>
      </c>
      <c r="B31" s="24"/>
      <c r="C31" s="38" t="s">
        <v>30</v>
      </c>
      <c r="E31" s="33" t="s">
        <v>398</v>
      </c>
      <c r="F31" s="39">
        <f>MIN(F32:F38)</f>
        <v>45689.0</v>
      </c>
      <c r="H31" s="39" t="s">
        <v>399</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395</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403</v>
      </c>
    </row>
    <row r="32" spans="1:322">
      <c r="B32" s="24"/>
      <c r="D32" s="32" t="s">
        <v>13</v>
      </c>
      <c r="E32" s="33" t="s">
        <v>400</v>
      </c>
      <c r="F32" s="39" t="s">
        <v>410</v>
      </c>
      <c r="I32" s="41" t="s">
        <v>405</v>
      </c>
      <c r="J32" s="35">
        <f>IF(AND(ISNUMBER(K32),ISNUMBER(I32)),K32-I32,"")</f>
        <v>0</v>
      </c>
      <c r="K32" s="41" t="s">
        <v>405</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405</v>
      </c>
      <c r="Z32" s="35">
        <f>IF(AND(ISNUMBER(AA32),ISNUMBER(Y32)),AA32-Y32,"")</f>
        <v>0</v>
      </c>
      <c r="AA32" s="41" t="s">
        <v>405</v>
      </c>
      <c r="AB32" s="35">
        <f>IF(AND(ISNUMBER(AC32),ISNUMBER(AA32)),AC32-AA32,"")</f>
        <v>0</v>
      </c>
      <c r="AC32" s="41" t="s">
        <v>405</v>
      </c>
      <c r="AD32" s="35">
        <f>IF(AND(ISNUMBER(AE32),ISNUMBER(AC32)),AE32-AC32,"")</f>
        <v>0</v>
      </c>
      <c r="AE32" s="41" t="s">
        <v>405</v>
      </c>
      <c r="AF32" s="35">
        <f>IF(AND(ISNUMBER(AG32),ISNUMBER(AE32)),AG32-AE32,"")</f>
        <v>0</v>
      </c>
      <c r="AG32" s="41" t="s">
        <v>405</v>
      </c>
      <c r="AH32" s="35">
        <f>IF(AND(ISNUMBER(AI32),ISNUMBER(AG32)),AI32-AG32,"")</f>
        <v>0</v>
      </c>
      <c r="AI32" s="41" t="s">
        <v>405</v>
      </c>
      <c r="AJ32" s="35">
        <f>IF(AND(ISNUMBER(AK32),ISNUMBER(AI32)),AK32-AI32,"")</f>
        <v>0</v>
      </c>
      <c r="AK32" s="34">
        <v>0</v>
      </c>
      <c r="AL32" s="35">
        <f>IF(AND(ISNUMBER(AM32),ISNUMBER(AK32)),AM32-AK32,"")</f>
        <v>0</v>
      </c>
      <c r="AM32" s="41" t="s">
        <v>405</v>
      </c>
      <c r="AN32" s="35">
        <f>IF(AND(ISNUMBER(AO32),ISNUMBER(AM32)),AO32-AM32,"")</f>
        <v>0</v>
      </c>
      <c r="AO32" s="41" t="s">
        <v>405</v>
      </c>
      <c r="AP32" s="35">
        <f>IF(AND(ISNUMBER(AQ32),ISNUMBER(AO32)),AQ32-AO32,"")</f>
        <v>0</v>
      </c>
      <c r="AQ32" s="41" t="s">
        <v>405</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381</v>
      </c>
      <c r="F33" s="39">
        <v>45689</v>
      </c>
      <c r="I33" s="41" t="s">
        <v>405</v>
      </c>
      <c r="J33" s="35">
        <f>IF(AND(ISNUMBER(K33),ISNUMBER(I33)),K33-I33,"")</f>
        <v>0</v>
      </c>
      <c r="K33" s="34">
        <v>5</v>
      </c>
      <c r="L33" s="35">
        <f>IF(AND(ISNUMBER(M33),ISNUMBER(K33)),M33-K33,"")</f>
        <v>0</v>
      </c>
      <c r="M33" s="34">
        <v>0</v>
      </c>
      <c r="N33" s="35">
        <f>IF(AND(ISNUMBER(O33),ISNUMBER(M33)),O33-M33,"")</f>
        <v>0</v>
      </c>
      <c r="O33" s="41" t="s">
        <v>405</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405</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370</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380</v>
      </c>
      <c r="F35" s="39">
        <v>45689</v>
      </c>
      <c r="I35" s="34">
        <v>3</v>
      </c>
      <c r="J35" s="35">
        <f>IF(AND(ISNUMBER(K35),ISNUMBER(I35)),K35-I35,"")</f>
        <v>0</v>
      </c>
      <c r="K35" s="34">
        <v>2</v>
      </c>
      <c r="L35" s="35">
        <f>IF(AND(ISNUMBER(M35),ISNUMBER(K35)),M35-K35,"")</f>
        <v>0</v>
      </c>
      <c r="M35" s="34">
        <v>0</v>
      </c>
      <c r="N35" s="35">
        <f>IF(AND(ISNUMBER(O35),ISNUMBER(M35)),O35-M35,"")</f>
        <v>0</v>
      </c>
      <c r="O35" s="41" t="s">
        <v>405</v>
      </c>
      <c r="P35" s="35">
        <f>IF(AND(ISNUMBER(Q35),ISNUMBER(O35)),Q35-O35,"")</f>
        <v>0</v>
      </c>
      <c r="Q35" s="41" t="s">
        <v>405</v>
      </c>
      <c r="R35" s="35">
        <f>IF(AND(ISNUMBER(S35),ISNUMBER(Q35)),S35-Q35,"")</f>
        <v>0</v>
      </c>
      <c r="S35" s="34">
        <v>12</v>
      </c>
      <c r="T35" s="35">
        <f>IF(AND(ISNUMBER(U35),ISNUMBER(S35)),U35-S35,"")</f>
        <v>0</v>
      </c>
      <c r="U35" s="41" t="s">
        <v>405</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405</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411</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409</v>
      </c>
    </row>
    <row r="36" spans="1:322">
      <c r="B36" s="24"/>
      <c r="D36" s="32" t="s">
        <v>23</v>
      </c>
      <c r="E36" s="33" t="s">
        <v>376</v>
      </c>
      <c r="F36" s="39">
        <v>45689</v>
      </c>
      <c r="I36" s="41" t="s">
        <v>405</v>
      </c>
      <c r="J36" s="35">
        <f>IF(AND(ISNUMBER(K36),ISNUMBER(I36)),K36-I36,"")</f>
        <v>0</v>
      </c>
      <c r="K36" s="41" t="s">
        <v>405</v>
      </c>
      <c r="L36" s="35">
        <f>IF(AND(ISNUMBER(M36),ISNUMBER(K36)),M36-K36,"")</f>
        <v>0</v>
      </c>
      <c r="M36" s="41" t="s">
        <v>405</v>
      </c>
      <c r="N36" s="35">
        <f>IF(AND(ISNUMBER(O36),ISNUMBER(M36)),O36-M36,"")</f>
        <v>0</v>
      </c>
      <c r="O36" s="41" t="s">
        <v>405</v>
      </c>
      <c r="P36" s="35">
        <f>IF(AND(ISNUMBER(Q36),ISNUMBER(O36)),Q36-O36,"")</f>
        <v>0</v>
      </c>
      <c r="Q36" s="41" t="s">
        <v>405</v>
      </c>
      <c r="R36" s="35">
        <f>IF(AND(ISNUMBER(S36),ISNUMBER(Q36)),S36-Q36,"")</f>
        <v>0</v>
      </c>
      <c r="S36" s="41" t="s">
        <v>405</v>
      </c>
      <c r="T36" s="35">
        <f>IF(AND(ISNUMBER(U36),ISNUMBER(S36)),U36-S36,"")</f>
        <v>0</v>
      </c>
      <c r="U36" s="41" t="s">
        <v>405</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374</v>
      </c>
      <c r="F37" s="39">
        <v>45689</v>
      </c>
      <c r="I37" s="41" t="s">
        <v>405</v>
      </c>
      <c r="J37" s="35">
        <f>IF(AND(ISNUMBER(K37),ISNUMBER(I37)),K37-I37,"")</f>
        <v>0</v>
      </c>
      <c r="K37" s="41" t="s">
        <v>405</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405</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382</v>
      </c>
      <c r="F38" s="39">
        <v>45689</v>
      </c>
      <c r="I38" s="41" t="s">
        <v>405</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405</v>
      </c>
      <c r="AP38" s="35">
        <f>IF(AND(ISNUMBER(AQ38),ISNUMBER(AO38)),AQ38-AO38,"")</f>
        <v>0</v>
      </c>
      <c r="AQ38" s="41" t="s">
        <v>405</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402</v>
      </c>
    </row>
    <row r="39" spans="1:322">
      <c r="A39" s="23">
        <v>3</v>
      </c>
      <c r="B39" s="24" t="s">
        <v>412</v>
      </c>
      <c r="C39" s="25" t="s">
        <v>30</v>
      </c>
      <c r="D39" s="25"/>
      <c r="E39" s="26" t="s">
        <v>398</v>
      </c>
      <c r="F39" s="27"/>
      <c r="G39" s="27"/>
      <c r="H39" s="27" t="s">
        <v>413</v>
      </c>
      <c r="I39" s="28">
        <v>375</v>
      </c>
      <c r="J39" s="29">
        <f>IF(AND(ISNUMBER(K39),ISNUMBER(I39)),K39-I39,"")</f>
        <v>0</v>
      </c>
      <c r="K39" s="43" t="s">
        <v>405</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405</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405</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395</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403</v>
      </c>
    </row>
    <row r="40" spans="1:322">
      <c r="B40" s="24"/>
      <c r="D40" s="32" t="s">
        <v>13</v>
      </c>
      <c r="E40" s="33" t="s">
        <v>400</v>
      </c>
      <c r="F40" s="39" t="s">
        <v>414</v>
      </c>
      <c r="I40" s="41" t="s">
        <v>395</v>
      </c>
      <c r="J40" s="35">
        <f>IF(AND(ISNUMBER(K40),ISNUMBER(I40)),K40-I40,"")</f>
        <v>0</v>
      </c>
      <c r="K40" s="41" t="s">
        <v>395</v>
      </c>
      <c r="L40" s="35">
        <f>IF(AND(ISNUMBER(M40),ISNUMBER(K40)),M40-K40,"")</f>
        <v>0</v>
      </c>
      <c r="M40" s="41" t="s">
        <v>395</v>
      </c>
      <c r="N40" s="35">
        <f>IF(AND(ISNUMBER(O40),ISNUMBER(M40)),O40-M40,"")</f>
        <v>0</v>
      </c>
      <c r="O40" s="41" t="s">
        <v>395</v>
      </c>
      <c r="P40" s="35">
        <f>IF(AND(ISNUMBER(Q40),ISNUMBER(O40)),Q40-O40,"")</f>
        <v>0</v>
      </c>
      <c r="Q40" s="41" t="s">
        <v>395</v>
      </c>
      <c r="R40" s="35">
        <f>IF(AND(ISNUMBER(S40),ISNUMBER(Q40)),S40-Q40,"")</f>
        <v>0</v>
      </c>
      <c r="S40" s="41" t="s">
        <v>395</v>
      </c>
      <c r="T40" s="35">
        <f>IF(AND(ISNUMBER(U40),ISNUMBER(S40)),U40-S40,"")</f>
        <v>0</v>
      </c>
      <c r="U40" s="41" t="s">
        <v>395</v>
      </c>
      <c r="V40" s="35">
        <f>IF(AND(ISNUMBER(W40),ISNUMBER(U40)),W40-U40,"")</f>
        <v>0</v>
      </c>
      <c r="W40" s="41" t="s">
        <v>395</v>
      </c>
      <c r="X40" s="35">
        <f>IF(AND(ISNUMBER(Y40),ISNUMBER(W40)),Y40-W40,"")</f>
        <v>0</v>
      </c>
      <c r="Y40" s="41" t="s">
        <v>395</v>
      </c>
      <c r="Z40" s="35">
        <f>IF(AND(ISNUMBER(AA40),ISNUMBER(Y40)),AA40-Y40,"")</f>
        <v>0</v>
      </c>
      <c r="AA40" s="41" t="s">
        <v>395</v>
      </c>
      <c r="AB40" s="35">
        <f>IF(AND(ISNUMBER(AC40),ISNUMBER(AA40)),AC40-AA40,"")</f>
        <v>0</v>
      </c>
      <c r="AC40" s="41" t="s">
        <v>395</v>
      </c>
      <c r="AD40" s="35">
        <f>IF(AND(ISNUMBER(AE40),ISNUMBER(AC40)),AE40-AC40,"")</f>
        <v>0</v>
      </c>
      <c r="AE40" s="41" t="s">
        <v>395</v>
      </c>
      <c r="AF40" s="35">
        <f>IF(AND(ISNUMBER(AG40),ISNUMBER(AE40)),AG40-AE40,"")</f>
        <v>0</v>
      </c>
      <c r="AG40" s="41" t="s">
        <v>395</v>
      </c>
      <c r="AH40" s="35">
        <f>IF(AND(ISNUMBER(AI40),ISNUMBER(AG40)),AI40-AG40,"")</f>
        <v>0</v>
      </c>
      <c r="AI40" s="41" t="s">
        <v>395</v>
      </c>
      <c r="AJ40" s="35">
        <f>IF(AND(ISNUMBER(AK40),ISNUMBER(AI40)),AK40-AI40,"")</f>
        <v>0</v>
      </c>
      <c r="AK40" s="41" t="s">
        <v>395</v>
      </c>
      <c r="AL40" s="35">
        <f>IF(AND(ISNUMBER(AM40),ISNUMBER(AK40)),AM40-AK40,"")</f>
        <v>0</v>
      </c>
      <c r="AM40" s="41" t="s">
        <v>395</v>
      </c>
      <c r="AN40" s="35">
        <f>IF(AND(ISNUMBER(AO40),ISNUMBER(AM40)),AO40-AM40,"")</f>
        <v>0</v>
      </c>
      <c r="AO40" s="41" t="s">
        <v>395</v>
      </c>
      <c r="AP40" s="35">
        <f>IF(AND(ISNUMBER(AQ40),ISNUMBER(AO40)),AQ40-AO40,"")</f>
        <v>0</v>
      </c>
      <c r="AQ40" s="41" t="s">
        <v>395</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381</v>
      </c>
      <c r="I41" s="41" t="s">
        <v>395</v>
      </c>
      <c r="J41" s="35">
        <f>IF(AND(ISNUMBER(K41),ISNUMBER(I41)),K41-I41,"")</f>
        <v>0</v>
      </c>
      <c r="K41" s="41" t="s">
        <v>395</v>
      </c>
      <c r="L41" s="35">
        <f>IF(AND(ISNUMBER(M41),ISNUMBER(K41)),M41-K41,"")</f>
        <v>0</v>
      </c>
      <c r="M41" s="41" t="s">
        <v>395</v>
      </c>
      <c r="N41" s="35">
        <f>IF(AND(ISNUMBER(O41),ISNUMBER(M41)),O41-M41,"")</f>
        <v>0</v>
      </c>
      <c r="O41" s="41" t="s">
        <v>395</v>
      </c>
      <c r="P41" s="35">
        <f>IF(AND(ISNUMBER(Q41),ISNUMBER(O41)),Q41-O41,"")</f>
        <v>0</v>
      </c>
      <c r="Q41" s="41" t="s">
        <v>395</v>
      </c>
      <c r="R41" s="35">
        <f>IF(AND(ISNUMBER(S41),ISNUMBER(Q41)),S41-Q41,"")</f>
        <v>0</v>
      </c>
      <c r="S41" s="41" t="s">
        <v>395</v>
      </c>
      <c r="T41" s="35">
        <f>IF(AND(ISNUMBER(U41),ISNUMBER(S41)),U41-S41,"")</f>
        <v>0</v>
      </c>
      <c r="U41" s="41" t="s">
        <v>395</v>
      </c>
      <c r="V41" s="35">
        <f>IF(AND(ISNUMBER(W41),ISNUMBER(U41)),W41-U41,"")</f>
        <v>0</v>
      </c>
      <c r="W41" s="41" t="s">
        <v>395</v>
      </c>
      <c r="X41" s="35">
        <f>IF(AND(ISNUMBER(Y41),ISNUMBER(W41)),Y41-W41,"")</f>
        <v>0</v>
      </c>
      <c r="Y41" s="41" t="s">
        <v>395</v>
      </c>
      <c r="Z41" s="35">
        <f>IF(AND(ISNUMBER(AA41),ISNUMBER(Y41)),AA41-Y41,"")</f>
        <v>0</v>
      </c>
      <c r="AA41" s="41" t="s">
        <v>395</v>
      </c>
      <c r="AB41" s="35">
        <f>IF(AND(ISNUMBER(AC41),ISNUMBER(AA41)),AC41-AA41,"")</f>
        <v>0</v>
      </c>
      <c r="AC41" s="41" t="s">
        <v>395</v>
      </c>
      <c r="AD41" s="35">
        <f>IF(AND(ISNUMBER(AE41),ISNUMBER(AC41)),AE41-AC41,"")</f>
        <v>0</v>
      </c>
      <c r="AE41" s="41" t="s">
        <v>395</v>
      </c>
      <c r="AF41" s="35">
        <f>IF(AND(ISNUMBER(AG41),ISNUMBER(AE41)),AG41-AE41,"")</f>
        <v>0</v>
      </c>
      <c r="AG41" s="41" t="s">
        <v>395</v>
      </c>
      <c r="AH41" s="35">
        <f>IF(AND(ISNUMBER(AI41),ISNUMBER(AG41)),AI41-AG41,"")</f>
        <v>0</v>
      </c>
      <c r="AI41" s="41" t="s">
        <v>395</v>
      </c>
      <c r="AJ41" s="35">
        <f>IF(AND(ISNUMBER(AK41),ISNUMBER(AI41)),AK41-AI41,"")</f>
        <v>0</v>
      </c>
      <c r="AK41" s="41" t="s">
        <v>395</v>
      </c>
      <c r="AL41" s="35">
        <f>IF(AND(ISNUMBER(AM41),ISNUMBER(AK41)),AM41-AK41,"")</f>
        <v>0</v>
      </c>
      <c r="AM41" s="41" t="s">
        <v>395</v>
      </c>
      <c r="AN41" s="35">
        <f>IF(AND(ISNUMBER(AO41),ISNUMBER(AM41)),AO41-AM41,"")</f>
        <v>0</v>
      </c>
      <c r="AO41" s="41" t="s">
        <v>395</v>
      </c>
      <c r="AP41" s="35">
        <f>IF(AND(ISNUMBER(AQ41),ISNUMBER(AO41)),AQ41-AO41,"")</f>
        <v>0</v>
      </c>
      <c r="AQ41" s="41" t="s">
        <v>395</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370</v>
      </c>
      <c r="I42" s="41" t="s">
        <v>395</v>
      </c>
      <c r="J42" s="35">
        <f>IF(AND(ISNUMBER(K42),ISNUMBER(I42)),K42-I42,"")</f>
        <v>0</v>
      </c>
      <c r="K42" s="41" t="s">
        <v>395</v>
      </c>
      <c r="L42" s="35">
        <f>IF(AND(ISNUMBER(M42),ISNUMBER(K42)),M42-K42,"")</f>
        <v>0</v>
      </c>
      <c r="M42" s="41" t="s">
        <v>395</v>
      </c>
      <c r="N42" s="35">
        <f>IF(AND(ISNUMBER(O42),ISNUMBER(M42)),O42-M42,"")</f>
        <v>0</v>
      </c>
      <c r="O42" s="41" t="s">
        <v>395</v>
      </c>
      <c r="P42" s="35">
        <f>IF(AND(ISNUMBER(Q42),ISNUMBER(O42)),Q42-O42,"")</f>
        <v>0</v>
      </c>
      <c r="Q42" s="41" t="s">
        <v>395</v>
      </c>
      <c r="R42" s="35">
        <f>IF(AND(ISNUMBER(S42),ISNUMBER(Q42)),S42-Q42,"")</f>
        <v>0</v>
      </c>
      <c r="S42" s="41" t="s">
        <v>395</v>
      </c>
      <c r="T42" s="35">
        <f>IF(AND(ISNUMBER(U42),ISNUMBER(S42)),U42-S42,"")</f>
        <v>0</v>
      </c>
      <c r="U42" s="41" t="s">
        <v>395</v>
      </c>
      <c r="V42" s="35">
        <f>IF(AND(ISNUMBER(W42),ISNUMBER(U42)),W42-U42,"")</f>
        <v>0</v>
      </c>
      <c r="W42" s="41" t="s">
        <v>395</v>
      </c>
      <c r="X42" s="35">
        <f>IF(AND(ISNUMBER(Y42),ISNUMBER(W42)),Y42-W42,"")</f>
        <v>0</v>
      </c>
      <c r="Y42" s="41" t="s">
        <v>395</v>
      </c>
      <c r="Z42" s="35">
        <f>IF(AND(ISNUMBER(AA42),ISNUMBER(Y42)),AA42-Y42,"")</f>
        <v>0</v>
      </c>
      <c r="AA42" s="41" t="s">
        <v>395</v>
      </c>
      <c r="AB42" s="35">
        <f>IF(AND(ISNUMBER(AC42),ISNUMBER(AA42)),AC42-AA42,"")</f>
        <v>0</v>
      </c>
      <c r="AC42" s="41" t="s">
        <v>395</v>
      </c>
      <c r="AD42" s="35">
        <f>IF(AND(ISNUMBER(AE42),ISNUMBER(AC42)),AE42-AC42,"")</f>
        <v>0</v>
      </c>
      <c r="AE42" s="41" t="s">
        <v>395</v>
      </c>
      <c r="AF42" s="35">
        <f>IF(AND(ISNUMBER(AG42),ISNUMBER(AE42)),AG42-AE42,"")</f>
        <v>0</v>
      </c>
      <c r="AG42" s="41" t="s">
        <v>395</v>
      </c>
      <c r="AH42" s="35">
        <f>IF(AND(ISNUMBER(AI42),ISNUMBER(AG42)),AI42-AG42,"")</f>
        <v>0</v>
      </c>
      <c r="AI42" s="41" t="s">
        <v>395</v>
      </c>
      <c r="AJ42" s="35">
        <f>IF(AND(ISNUMBER(AK42),ISNUMBER(AI42)),AK42-AI42,"")</f>
        <v>0</v>
      </c>
      <c r="AK42" s="41" t="s">
        <v>395</v>
      </c>
      <c r="AL42" s="35">
        <f>IF(AND(ISNUMBER(AM42),ISNUMBER(AK42)),AM42-AK42,"")</f>
        <v>0</v>
      </c>
      <c r="AM42" s="41" t="s">
        <v>395</v>
      </c>
      <c r="AN42" s="35">
        <f>IF(AND(ISNUMBER(AO42),ISNUMBER(AM42)),AO42-AM42,"")</f>
        <v>0</v>
      </c>
      <c r="AO42" s="41" t="s">
        <v>395</v>
      </c>
      <c r="AP42" s="35">
        <f>IF(AND(ISNUMBER(AQ42),ISNUMBER(AO42)),AQ42-AO42,"")</f>
        <v>0</v>
      </c>
      <c r="AQ42" s="41" t="s">
        <v>395</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380</v>
      </c>
      <c r="I43" s="41" t="s">
        <v>395</v>
      </c>
      <c r="J43" s="35">
        <f>IF(AND(ISNUMBER(K43),ISNUMBER(I43)),K43-I43,"")</f>
        <v>0</v>
      </c>
      <c r="K43" s="41" t="s">
        <v>395</v>
      </c>
      <c r="L43" s="35">
        <f>IF(AND(ISNUMBER(M43),ISNUMBER(K43)),M43-K43,"")</f>
        <v>0</v>
      </c>
      <c r="M43" s="34">
        <v>2</v>
      </c>
      <c r="N43" s="35">
        <f>IF(AND(ISNUMBER(O43),ISNUMBER(M43)),O43-M43,"")</f>
        <v>0</v>
      </c>
      <c r="O43" s="41" t="s">
        <v>395</v>
      </c>
      <c r="P43" s="35">
        <f>IF(AND(ISNUMBER(Q43),ISNUMBER(O43)),Q43-O43,"")</f>
        <v>0</v>
      </c>
      <c r="Q43" s="41" t="s">
        <v>395</v>
      </c>
      <c r="R43" s="35">
        <f>IF(AND(ISNUMBER(S43),ISNUMBER(Q43)),S43-Q43,"")</f>
        <v>0</v>
      </c>
      <c r="S43" s="41" t="s">
        <v>395</v>
      </c>
      <c r="T43" s="35">
        <f>IF(AND(ISNUMBER(U43),ISNUMBER(S43)),U43-S43,"")</f>
        <v>0</v>
      </c>
      <c r="U43" s="41" t="s">
        <v>395</v>
      </c>
      <c r="V43" s="35">
        <f>IF(AND(ISNUMBER(W43),ISNUMBER(U43)),W43-U43,"")</f>
        <v>0</v>
      </c>
      <c r="W43" s="41" t="s">
        <v>395</v>
      </c>
      <c r="X43" s="35">
        <f>IF(AND(ISNUMBER(Y43),ISNUMBER(W43)),Y43-W43,"")</f>
        <v>0</v>
      </c>
      <c r="Y43" s="41" t="s">
        <v>395</v>
      </c>
      <c r="Z43" s="35">
        <f>IF(AND(ISNUMBER(AA43),ISNUMBER(Y43)),AA43-Y43,"")</f>
        <v>0</v>
      </c>
      <c r="AA43" s="41" t="s">
        <v>395</v>
      </c>
      <c r="AB43" s="35">
        <f>IF(AND(ISNUMBER(AC43),ISNUMBER(AA43)),AC43-AA43,"")</f>
        <v>0</v>
      </c>
      <c r="AC43" s="41" t="s">
        <v>395</v>
      </c>
      <c r="AD43" s="35">
        <f>IF(AND(ISNUMBER(AE43),ISNUMBER(AC43)),AE43-AC43,"")</f>
        <v>0</v>
      </c>
      <c r="AE43" s="41" t="s">
        <v>395</v>
      </c>
      <c r="AF43" s="35">
        <f>IF(AND(ISNUMBER(AG43),ISNUMBER(AE43)),AG43-AE43,"")</f>
        <v>0</v>
      </c>
      <c r="AG43" s="41" t="s">
        <v>395</v>
      </c>
      <c r="AH43" s="35">
        <f>IF(AND(ISNUMBER(AI43),ISNUMBER(AG43)),AI43-AG43,"")</f>
        <v>0</v>
      </c>
      <c r="AI43" s="41" t="s">
        <v>395</v>
      </c>
      <c r="AJ43" s="35">
        <f>IF(AND(ISNUMBER(AK43),ISNUMBER(AI43)),AK43-AI43,"")</f>
        <v>0</v>
      </c>
      <c r="AK43" s="41" t="s">
        <v>395</v>
      </c>
      <c r="AL43" s="35">
        <f>IF(AND(ISNUMBER(AM43),ISNUMBER(AK43)),AM43-AK43,"")</f>
        <v>0</v>
      </c>
      <c r="AM43" s="41" t="s">
        <v>395</v>
      </c>
      <c r="AN43" s="35">
        <f>IF(AND(ISNUMBER(AO43),ISNUMBER(AM43)),AO43-AM43,"")</f>
        <v>0</v>
      </c>
      <c r="AO43" s="41" t="s">
        <v>395</v>
      </c>
      <c r="AP43" s="35">
        <f>IF(AND(ISNUMBER(AQ43),ISNUMBER(AO43)),AQ43-AO43,"")</f>
        <v>0</v>
      </c>
      <c r="AQ43" s="41" t="s">
        <v>395</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376</v>
      </c>
      <c r="I44" s="41" t="s">
        <v>395</v>
      </c>
      <c r="J44" s="35">
        <f>IF(AND(ISNUMBER(K44),ISNUMBER(I44)),K44-I44,"")</f>
        <v>0</v>
      </c>
      <c r="K44" s="41" t="s">
        <v>395</v>
      </c>
      <c r="L44" s="35">
        <f>IF(AND(ISNUMBER(M44),ISNUMBER(K44)),M44-K44,"")</f>
        <v>0</v>
      </c>
      <c r="M44" s="41" t="s">
        <v>395</v>
      </c>
      <c r="N44" s="35">
        <f>IF(AND(ISNUMBER(O44),ISNUMBER(M44)),O44-M44,"")</f>
        <v>0</v>
      </c>
      <c r="O44" s="41" t="s">
        <v>395</v>
      </c>
      <c r="P44" s="35">
        <f>IF(AND(ISNUMBER(Q44),ISNUMBER(O44)),Q44-O44,"")</f>
        <v>0</v>
      </c>
      <c r="Q44" s="41" t="s">
        <v>395</v>
      </c>
      <c r="R44" s="35">
        <f>IF(AND(ISNUMBER(S44),ISNUMBER(Q44)),S44-Q44,"")</f>
        <v>0</v>
      </c>
      <c r="S44" s="41" t="s">
        <v>395</v>
      </c>
      <c r="T44" s="35">
        <f>IF(AND(ISNUMBER(U44),ISNUMBER(S44)),U44-S44,"")</f>
        <v>0</v>
      </c>
      <c r="U44" s="41" t="s">
        <v>395</v>
      </c>
      <c r="V44" s="35">
        <f>IF(AND(ISNUMBER(W44),ISNUMBER(U44)),W44-U44,"")</f>
        <v>0</v>
      </c>
      <c r="W44" s="41" t="s">
        <v>395</v>
      </c>
      <c r="X44" s="35">
        <f>IF(AND(ISNUMBER(Y44),ISNUMBER(W44)),Y44-W44,"")</f>
        <v>0</v>
      </c>
      <c r="Y44" s="41" t="s">
        <v>395</v>
      </c>
      <c r="Z44" s="35">
        <f>IF(AND(ISNUMBER(AA44),ISNUMBER(Y44)),AA44-Y44,"")</f>
        <v>0</v>
      </c>
      <c r="AA44" s="41" t="s">
        <v>395</v>
      </c>
      <c r="AB44" s="35">
        <f>IF(AND(ISNUMBER(AC44),ISNUMBER(AA44)),AC44-AA44,"")</f>
        <v>0</v>
      </c>
      <c r="AC44" s="34">
        <v>3</v>
      </c>
      <c r="AD44" s="35">
        <f>IF(AND(ISNUMBER(AE44),ISNUMBER(AC44)),AE44-AC44,"")</f>
        <v>0</v>
      </c>
      <c r="AE44" s="41" t="s">
        <v>395</v>
      </c>
      <c r="AF44" s="35">
        <f>IF(AND(ISNUMBER(AG44),ISNUMBER(AE44)),AG44-AE44,"")</f>
        <v>0</v>
      </c>
      <c r="AG44" s="41" t="s">
        <v>395</v>
      </c>
      <c r="AH44" s="35">
        <f>IF(AND(ISNUMBER(AI44),ISNUMBER(AG44)),AI44-AG44,"")</f>
        <v>0</v>
      </c>
      <c r="AI44" s="41" t="s">
        <v>395</v>
      </c>
      <c r="AJ44" s="35">
        <f>IF(AND(ISNUMBER(AK44),ISNUMBER(AI44)),AK44-AI44,"")</f>
        <v>0</v>
      </c>
      <c r="AK44" s="41" t="s">
        <v>395</v>
      </c>
      <c r="AL44" s="35">
        <f>IF(AND(ISNUMBER(AM44),ISNUMBER(AK44)),AM44-AK44,"")</f>
        <v>0</v>
      </c>
      <c r="AM44" s="41" t="s">
        <v>395</v>
      </c>
      <c r="AN44" s="35">
        <f>IF(AND(ISNUMBER(AO44),ISNUMBER(AM44)),AO44-AM44,"")</f>
        <v>0</v>
      </c>
      <c r="AO44" s="41" t="s">
        <v>395</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374</v>
      </c>
      <c r="I45" s="41" t="s">
        <v>395</v>
      </c>
      <c r="J45" s="35">
        <f>IF(AND(ISNUMBER(K45),ISNUMBER(I45)),K45-I45,"")</f>
        <v>0</v>
      </c>
      <c r="K45" s="41" t="s">
        <v>395</v>
      </c>
      <c r="L45" s="35">
        <f>IF(AND(ISNUMBER(M45),ISNUMBER(K45)),M45-K45,"")</f>
        <v>0</v>
      </c>
      <c r="M45" s="41" t="s">
        <v>395</v>
      </c>
      <c r="N45" s="35">
        <f>IF(AND(ISNUMBER(O45),ISNUMBER(M45)),O45-M45,"")</f>
        <v>0</v>
      </c>
      <c r="O45" s="41" t="s">
        <v>395</v>
      </c>
      <c r="P45" s="35">
        <f>IF(AND(ISNUMBER(Q45),ISNUMBER(O45)),Q45-O45,"")</f>
        <v>0</v>
      </c>
      <c r="Q45" s="41" t="s">
        <v>395</v>
      </c>
      <c r="R45" s="35">
        <f>IF(AND(ISNUMBER(S45),ISNUMBER(Q45)),S45-Q45,"")</f>
        <v>0</v>
      </c>
      <c r="S45" s="41" t="s">
        <v>395</v>
      </c>
      <c r="T45" s="35">
        <f>IF(AND(ISNUMBER(U45),ISNUMBER(S45)),U45-S45,"")</f>
        <v>0</v>
      </c>
      <c r="U45" s="41" t="s">
        <v>395</v>
      </c>
      <c r="V45" s="35">
        <f>IF(AND(ISNUMBER(W45),ISNUMBER(U45)),W45-U45,"")</f>
        <v>0</v>
      </c>
      <c r="W45" s="41" t="s">
        <v>395</v>
      </c>
      <c r="X45" s="35">
        <f>IF(AND(ISNUMBER(Y45),ISNUMBER(W45)),Y45-W45,"")</f>
        <v>0</v>
      </c>
      <c r="Y45" s="41" t="s">
        <v>395</v>
      </c>
      <c r="Z45" s="35">
        <f>IF(AND(ISNUMBER(AA45),ISNUMBER(Y45)),AA45-Y45,"")</f>
        <v>0</v>
      </c>
      <c r="AA45" s="41" t="s">
        <v>395</v>
      </c>
      <c r="AB45" s="35">
        <f>IF(AND(ISNUMBER(AC45),ISNUMBER(AA45)),AC45-AA45,"")</f>
        <v>0</v>
      </c>
      <c r="AC45" s="34">
        <v>1</v>
      </c>
      <c r="AD45" s="35">
        <f>IF(AND(ISNUMBER(AE45),ISNUMBER(AC45)),AE45-AC45,"")</f>
        <v>0</v>
      </c>
      <c r="AE45" s="41" t="s">
        <v>395</v>
      </c>
      <c r="AF45" s="35">
        <f>IF(AND(ISNUMBER(AG45),ISNUMBER(AE45)),AG45-AE45,"")</f>
        <v>0</v>
      </c>
      <c r="AG45" s="41" t="s">
        <v>395</v>
      </c>
      <c r="AH45" s="35">
        <f>IF(AND(ISNUMBER(AI45),ISNUMBER(AG45)),AI45-AG45,"")</f>
        <v>0</v>
      </c>
      <c r="AI45" s="41" t="s">
        <v>395</v>
      </c>
      <c r="AJ45" s="35">
        <f>IF(AND(ISNUMBER(AK45),ISNUMBER(AI45)),AK45-AI45,"")</f>
        <v>0</v>
      </c>
      <c r="AK45" s="41" t="s">
        <v>395</v>
      </c>
      <c r="AL45" s="35">
        <f>IF(AND(ISNUMBER(AM45),ISNUMBER(AK45)),AM45-AK45,"")</f>
        <v>0</v>
      </c>
      <c r="AM45" s="41" t="s">
        <v>395</v>
      </c>
      <c r="AN45" s="35">
        <f>IF(AND(ISNUMBER(AO45),ISNUMBER(AM45)),AO45-AM45,"")</f>
        <v>0</v>
      </c>
      <c r="AO45" s="41" t="s">
        <v>395</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382</v>
      </c>
      <c r="I46" s="41" t="s">
        <v>395</v>
      </c>
      <c r="J46" s="35">
        <f>IF(AND(ISNUMBER(K46),ISNUMBER(I46)),K46-I46,"")</f>
        <v>0</v>
      </c>
      <c r="K46" s="41" t="s">
        <v>395</v>
      </c>
      <c r="L46" s="35">
        <f>IF(AND(ISNUMBER(M46),ISNUMBER(K46)),M46-K46,"")</f>
        <v>0</v>
      </c>
      <c r="M46" s="41" t="s">
        <v>395</v>
      </c>
      <c r="N46" s="35">
        <f>IF(AND(ISNUMBER(O46),ISNUMBER(M46)),O46-M46,"")</f>
        <v>0</v>
      </c>
      <c r="O46" s="41" t="s">
        <v>395</v>
      </c>
      <c r="P46" s="35">
        <f>IF(AND(ISNUMBER(Q46),ISNUMBER(O46)),Q46-O46,"")</f>
        <v>0</v>
      </c>
      <c r="Q46" s="41" t="s">
        <v>395</v>
      </c>
      <c r="R46" s="35">
        <f>IF(AND(ISNUMBER(S46),ISNUMBER(Q46)),S46-Q46,"")</f>
        <v>0</v>
      </c>
      <c r="S46" s="41" t="s">
        <v>395</v>
      </c>
      <c r="T46" s="35">
        <f>IF(AND(ISNUMBER(U46),ISNUMBER(S46)),U46-S46,"")</f>
        <v>0</v>
      </c>
      <c r="U46" s="41" t="s">
        <v>395</v>
      </c>
      <c r="V46" s="35">
        <f>IF(AND(ISNUMBER(W46),ISNUMBER(U46)),W46-U46,"")</f>
        <v>0</v>
      </c>
      <c r="W46" s="41" t="s">
        <v>395</v>
      </c>
      <c r="X46" s="35">
        <f>IF(AND(ISNUMBER(Y46),ISNUMBER(W46)),Y46-W46,"")</f>
        <v>0</v>
      </c>
      <c r="Y46" s="41" t="s">
        <v>395</v>
      </c>
      <c r="Z46" s="35">
        <f>IF(AND(ISNUMBER(AA46),ISNUMBER(Y46)),AA46-Y46,"")</f>
        <v>0</v>
      </c>
      <c r="AA46" s="41" t="s">
        <v>395</v>
      </c>
      <c r="AB46" s="35">
        <f>IF(AND(ISNUMBER(AC46),ISNUMBER(AA46)),AC46-AA46,"")</f>
        <v>0</v>
      </c>
      <c r="AC46" s="41" t="s">
        <v>395</v>
      </c>
      <c r="AD46" s="35">
        <f>IF(AND(ISNUMBER(AE46),ISNUMBER(AC46)),AE46-AC46,"")</f>
        <v>0</v>
      </c>
      <c r="AE46" s="41" t="s">
        <v>395</v>
      </c>
      <c r="AF46" s="35">
        <f>IF(AND(ISNUMBER(AG46),ISNUMBER(AE46)),AG46-AE46,"")</f>
        <v>0</v>
      </c>
      <c r="AG46" s="41" t="s">
        <v>395</v>
      </c>
      <c r="AH46" s="35">
        <f>IF(AND(ISNUMBER(AI46),ISNUMBER(AG46)),AI46-AG46,"")</f>
        <v>0</v>
      </c>
      <c r="AI46" s="41" t="s">
        <v>395</v>
      </c>
      <c r="AJ46" s="35">
        <f>IF(AND(ISNUMBER(AK46),ISNUMBER(AI46)),AK46-AI46,"")</f>
        <v>0</v>
      </c>
      <c r="AK46" s="41" t="s">
        <v>395</v>
      </c>
      <c r="AL46" s="35">
        <f>IF(AND(ISNUMBER(AM46),ISNUMBER(AK46)),AM46-AK46,"")</f>
        <v>0</v>
      </c>
      <c r="AM46" s="41" t="s">
        <v>395</v>
      </c>
      <c r="AN46" s="35">
        <f>IF(AND(ISNUMBER(AO46),ISNUMBER(AM46)),AO46-AM46,"")</f>
        <v>0</v>
      </c>
      <c r="AO46" s="41" t="s">
        <v>395</v>
      </c>
      <c r="AP46" s="35">
        <f>IF(AND(ISNUMBER(AQ46),ISNUMBER(AO46)),AQ46-AO46,"")</f>
        <v>0</v>
      </c>
      <c r="AQ46" s="41" t="s">
        <v>395</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402</v>
      </c>
    </row>
    <row r="47" spans="1:322">
      <c r="A47" s="23" t="s">
        <v>65</v>
      </c>
      <c r="B47" s="24" t="s">
        <v>415</v>
      </c>
      <c r="C47" s="25" t="s">
        <v>12</v>
      </c>
      <c r="D47" s="25"/>
      <c r="E47" s="26" t="s">
        <v>398</v>
      </c>
      <c r="F47" s="27"/>
      <c r="G47" s="27"/>
      <c r="H47" s="27" t="s">
        <v>399</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403</v>
      </c>
    </row>
    <row r="48" spans="1:322">
      <c r="B48" s="24"/>
      <c r="D48" s="32" t="s">
        <v>13</v>
      </c>
      <c r="E48" s="33" t="s">
        <v>416</v>
      </c>
      <c r="I48" s="41" t="s">
        <v>395</v>
      </c>
      <c r="J48" s="35">
        <f>IF(AND(ISNUMBER(K48),ISNUMBER(I48)),K48-I48,"")</f>
        <v>0</v>
      </c>
      <c r="K48" s="41" t="s">
        <v>395</v>
      </c>
      <c r="L48" s="35">
        <f>IF(AND(ISNUMBER(M48),ISNUMBER(K48)),M48-K48,"")</f>
        <v>0</v>
      </c>
      <c r="M48" s="41" t="s">
        <v>395</v>
      </c>
      <c r="N48" s="35">
        <f>IF(AND(ISNUMBER(O48),ISNUMBER(M48)),O48-M48,"")</f>
        <v>0</v>
      </c>
      <c r="O48" s="41" t="s">
        <v>395</v>
      </c>
      <c r="P48" s="35">
        <f>IF(AND(ISNUMBER(Q48),ISNUMBER(O48)),Q48-O48,"")</f>
        <v>0</v>
      </c>
      <c r="Q48" s="41" t="s">
        <v>395</v>
      </c>
      <c r="R48" s="35">
        <f>IF(AND(ISNUMBER(S48),ISNUMBER(Q48)),S48-Q48,"")</f>
        <v>0</v>
      </c>
      <c r="S48" s="41" t="s">
        <v>395</v>
      </c>
      <c r="T48" s="35">
        <f>IF(AND(ISNUMBER(U48),ISNUMBER(S48)),U48-S48,"")</f>
        <v>0</v>
      </c>
      <c r="U48" s="41" t="s">
        <v>395</v>
      </c>
      <c r="V48" s="35">
        <f>IF(AND(ISNUMBER(W48),ISNUMBER(U48)),W48-U48,"")</f>
        <v>0</v>
      </c>
      <c r="W48" s="41" t="s">
        <v>395</v>
      </c>
      <c r="X48" s="35">
        <f>IF(AND(ISNUMBER(Y48),ISNUMBER(W48)),Y48-W48,"")</f>
        <v>0</v>
      </c>
      <c r="Y48" s="41" t="s">
        <v>395</v>
      </c>
      <c r="Z48" s="35">
        <f>IF(AND(ISNUMBER(AA48),ISNUMBER(Y48)),AA48-Y48,"")</f>
        <v>0</v>
      </c>
      <c r="AA48" s="41" t="s">
        <v>395</v>
      </c>
      <c r="AB48" s="35">
        <f>IF(AND(ISNUMBER(AC48),ISNUMBER(AA48)),AC48-AA48,"")</f>
        <v>0</v>
      </c>
      <c r="AC48" s="41" t="s">
        <v>395</v>
      </c>
      <c r="AD48" s="35">
        <f>IF(AND(ISNUMBER(AE48),ISNUMBER(AC48)),AE48-AC48,"")</f>
        <v>0</v>
      </c>
      <c r="AE48" s="41" t="s">
        <v>395</v>
      </c>
      <c r="AF48" s="35">
        <f>IF(AND(ISNUMBER(AG48),ISNUMBER(AE48)),AG48-AE48,"")</f>
        <v>0</v>
      </c>
      <c r="AG48" s="41" t="s">
        <v>395</v>
      </c>
      <c r="AH48" s="35">
        <f>IF(AND(ISNUMBER(AI48),ISNUMBER(AG48)),AI48-AG48,"")</f>
        <v>0</v>
      </c>
      <c r="AI48" s="41" t="s">
        <v>395</v>
      </c>
      <c r="AJ48" s="35">
        <f>IF(AND(ISNUMBER(AK48),ISNUMBER(AI48)),AK48-AI48,"")</f>
        <v>0</v>
      </c>
      <c r="AK48" s="41" t="s">
        <v>395</v>
      </c>
      <c r="AL48" s="35">
        <f>IF(AND(ISNUMBER(AM48),ISNUMBER(AK48)),AM48-AK48,"")</f>
        <v>0</v>
      </c>
      <c r="AM48" s="41" t="s">
        <v>395</v>
      </c>
      <c r="AN48" s="35">
        <f>IF(AND(ISNUMBER(AO48),ISNUMBER(AM48)),AO48-AM48,"")</f>
        <v>0</v>
      </c>
      <c r="AO48" s="41" t="s">
        <v>395</v>
      </c>
      <c r="AP48" s="35">
        <f>IF(AND(ISNUMBER(AQ48),ISNUMBER(AO48)),AQ48-AO48,"")</f>
        <v>0</v>
      </c>
      <c r="AQ48" s="41" t="s">
        <v>395</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381</v>
      </c>
      <c r="I49" s="41" t="s">
        <v>395</v>
      </c>
      <c r="J49" s="35">
        <f>IF(AND(ISNUMBER(K49),ISNUMBER(I49)),K49-I49,"")</f>
        <v>0</v>
      </c>
      <c r="K49" s="41" t="s">
        <v>395</v>
      </c>
      <c r="L49" s="35">
        <f>IF(AND(ISNUMBER(M49),ISNUMBER(K49)),M49-K49,"")</f>
        <v>0</v>
      </c>
      <c r="M49" s="41" t="s">
        <v>395</v>
      </c>
      <c r="N49" s="35">
        <f>IF(AND(ISNUMBER(O49),ISNUMBER(M49)),O49-M49,"")</f>
        <v>0</v>
      </c>
      <c r="O49" s="41" t="s">
        <v>395</v>
      </c>
      <c r="P49" s="35">
        <f>IF(AND(ISNUMBER(Q49),ISNUMBER(O49)),Q49-O49,"")</f>
        <v>0</v>
      </c>
      <c r="Q49" s="41" t="s">
        <v>395</v>
      </c>
      <c r="R49" s="35">
        <f>IF(AND(ISNUMBER(S49),ISNUMBER(Q49)),S49-Q49,"")</f>
        <v>0</v>
      </c>
      <c r="S49" s="41" t="s">
        <v>395</v>
      </c>
      <c r="T49" s="35">
        <f>IF(AND(ISNUMBER(U49),ISNUMBER(S49)),U49-S49,"")</f>
        <v>0</v>
      </c>
      <c r="U49" s="41" t="s">
        <v>395</v>
      </c>
      <c r="V49" s="35">
        <f>IF(AND(ISNUMBER(W49),ISNUMBER(U49)),W49-U49,"")</f>
        <v>0</v>
      </c>
      <c r="W49" s="41" t="s">
        <v>395</v>
      </c>
      <c r="X49" s="35">
        <f>IF(AND(ISNUMBER(Y49),ISNUMBER(W49)),Y49-W49,"")</f>
        <v>0</v>
      </c>
      <c r="Y49" s="41" t="s">
        <v>395</v>
      </c>
      <c r="Z49" s="35">
        <f>IF(AND(ISNUMBER(AA49),ISNUMBER(Y49)),AA49-Y49,"")</f>
        <v>0</v>
      </c>
      <c r="AA49" s="41" t="s">
        <v>395</v>
      </c>
      <c r="AB49" s="35">
        <f>IF(AND(ISNUMBER(AC49),ISNUMBER(AA49)),AC49-AA49,"")</f>
        <v>0</v>
      </c>
      <c r="AC49" s="41" t="s">
        <v>395</v>
      </c>
      <c r="AD49" s="35">
        <f>IF(AND(ISNUMBER(AE49),ISNUMBER(AC49)),AE49-AC49,"")</f>
        <v>0</v>
      </c>
      <c r="AE49" s="41" t="s">
        <v>395</v>
      </c>
      <c r="AF49" s="35">
        <f>IF(AND(ISNUMBER(AG49),ISNUMBER(AE49)),AG49-AE49,"")</f>
        <v>0</v>
      </c>
      <c r="AG49" s="41" t="s">
        <v>395</v>
      </c>
      <c r="AH49" s="35">
        <f>IF(AND(ISNUMBER(AI49),ISNUMBER(AG49)),AI49-AG49,"")</f>
        <v>0</v>
      </c>
      <c r="AI49" s="41" t="s">
        <v>395</v>
      </c>
      <c r="AJ49" s="35">
        <f>IF(AND(ISNUMBER(AK49),ISNUMBER(AI49)),AK49-AI49,"")</f>
        <v>0</v>
      </c>
      <c r="AK49" s="41" t="s">
        <v>395</v>
      </c>
      <c r="AL49" s="35">
        <f>IF(AND(ISNUMBER(AM49),ISNUMBER(AK49)),AM49-AK49,"")</f>
        <v>0</v>
      </c>
      <c r="AM49" s="41" t="s">
        <v>395</v>
      </c>
      <c r="AN49" s="35">
        <f>IF(AND(ISNUMBER(AO49),ISNUMBER(AM49)),AO49-AM49,"")</f>
        <v>0</v>
      </c>
      <c r="AO49" s="41" t="s">
        <v>395</v>
      </c>
      <c r="AP49" s="35">
        <f>IF(AND(ISNUMBER(AQ49),ISNUMBER(AO49)),AQ49-AO49,"")</f>
        <v>0</v>
      </c>
      <c r="AQ49" s="41" t="s">
        <v>395</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370</v>
      </c>
      <c r="I50" s="41" t="s">
        <v>395</v>
      </c>
      <c r="J50" s="35">
        <f>IF(AND(ISNUMBER(K50),ISNUMBER(I50)),K50-I50,"")</f>
        <v>0</v>
      </c>
      <c r="K50" s="41" t="s">
        <v>395</v>
      </c>
      <c r="L50" s="35">
        <f>IF(AND(ISNUMBER(M50),ISNUMBER(K50)),M50-K50,"")</f>
        <v>0</v>
      </c>
      <c r="M50" s="41" t="s">
        <v>395</v>
      </c>
      <c r="N50" s="35">
        <f>IF(AND(ISNUMBER(O50),ISNUMBER(M50)),O50-M50,"")</f>
        <v>0</v>
      </c>
      <c r="O50" s="41" t="s">
        <v>395</v>
      </c>
      <c r="P50" s="35">
        <f>IF(AND(ISNUMBER(Q50),ISNUMBER(O50)),Q50-O50,"")</f>
        <v>0</v>
      </c>
      <c r="Q50" s="41" t="s">
        <v>395</v>
      </c>
      <c r="R50" s="35">
        <f>IF(AND(ISNUMBER(S50),ISNUMBER(Q50)),S50-Q50,"")</f>
        <v>0</v>
      </c>
      <c r="S50" s="41" t="s">
        <v>395</v>
      </c>
      <c r="T50" s="35">
        <f>IF(AND(ISNUMBER(U50),ISNUMBER(S50)),U50-S50,"")</f>
        <v>0</v>
      </c>
      <c r="U50" s="41" t="s">
        <v>395</v>
      </c>
      <c r="V50" s="35">
        <f>IF(AND(ISNUMBER(W50),ISNUMBER(U50)),W50-U50,"")</f>
        <v>0</v>
      </c>
      <c r="W50" s="41" t="s">
        <v>395</v>
      </c>
      <c r="X50" s="35">
        <f>IF(AND(ISNUMBER(Y50),ISNUMBER(W50)),Y50-W50,"")</f>
        <v>0</v>
      </c>
      <c r="Y50" s="41" t="s">
        <v>395</v>
      </c>
      <c r="Z50" s="35">
        <f>IF(AND(ISNUMBER(AA50),ISNUMBER(Y50)),AA50-Y50,"")</f>
        <v>0</v>
      </c>
      <c r="AA50" s="41" t="s">
        <v>395</v>
      </c>
      <c r="AB50" s="35">
        <f>IF(AND(ISNUMBER(AC50),ISNUMBER(AA50)),AC50-AA50,"")</f>
        <v>0</v>
      </c>
      <c r="AC50" s="41" t="s">
        <v>395</v>
      </c>
      <c r="AD50" s="35">
        <f>IF(AND(ISNUMBER(AE50),ISNUMBER(AC50)),AE50-AC50,"")</f>
        <v>0</v>
      </c>
      <c r="AE50" s="41" t="s">
        <v>395</v>
      </c>
      <c r="AF50" s="35">
        <f>IF(AND(ISNUMBER(AG50),ISNUMBER(AE50)),AG50-AE50,"")</f>
        <v>0</v>
      </c>
      <c r="AG50" s="41" t="s">
        <v>395</v>
      </c>
      <c r="AH50" s="35">
        <f>IF(AND(ISNUMBER(AI50),ISNUMBER(AG50)),AI50-AG50,"")</f>
        <v>0</v>
      </c>
      <c r="AI50" s="41" t="s">
        <v>395</v>
      </c>
      <c r="AJ50" s="35">
        <f>IF(AND(ISNUMBER(AK50),ISNUMBER(AI50)),AK50-AI50,"")</f>
        <v>0</v>
      </c>
      <c r="AK50" s="41" t="s">
        <v>395</v>
      </c>
      <c r="AL50" s="35">
        <f>IF(AND(ISNUMBER(AM50),ISNUMBER(AK50)),AM50-AK50,"")</f>
        <v>0</v>
      </c>
      <c r="AM50" s="41" t="s">
        <v>395</v>
      </c>
      <c r="AN50" s="35">
        <f>IF(AND(ISNUMBER(AO50),ISNUMBER(AM50)),AO50-AM50,"")</f>
        <v>0</v>
      </c>
      <c r="AO50" s="41" t="s">
        <v>395</v>
      </c>
      <c r="AP50" s="35">
        <f>IF(AND(ISNUMBER(AQ50),ISNUMBER(AO50)),AQ50-AO50,"")</f>
        <v>0</v>
      </c>
      <c r="AQ50" s="41" t="s">
        <v>395</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380</v>
      </c>
      <c r="I51" s="41" t="s">
        <v>395</v>
      </c>
      <c r="J51" s="35">
        <f>IF(AND(ISNUMBER(K51),ISNUMBER(I51)),K51-I51,"")</f>
        <v>0</v>
      </c>
      <c r="K51" s="41" t="s">
        <v>395</v>
      </c>
      <c r="L51" s="35">
        <f>IF(AND(ISNUMBER(M51),ISNUMBER(K51)),M51-K51,"")</f>
        <v>0</v>
      </c>
      <c r="M51" s="41" t="s">
        <v>395</v>
      </c>
      <c r="N51" s="35">
        <f>IF(AND(ISNUMBER(O51),ISNUMBER(M51)),O51-M51,"")</f>
        <v>0</v>
      </c>
      <c r="O51" s="41" t="s">
        <v>395</v>
      </c>
      <c r="P51" s="35">
        <f>IF(AND(ISNUMBER(Q51),ISNUMBER(O51)),Q51-O51,"")</f>
        <v>0</v>
      </c>
      <c r="Q51" s="41" t="s">
        <v>395</v>
      </c>
      <c r="R51" s="35">
        <f>IF(AND(ISNUMBER(S51),ISNUMBER(Q51)),S51-Q51,"")</f>
        <v>0</v>
      </c>
      <c r="S51" s="41" t="s">
        <v>395</v>
      </c>
      <c r="T51" s="35">
        <f>IF(AND(ISNUMBER(U51),ISNUMBER(S51)),U51-S51,"")</f>
        <v>0</v>
      </c>
      <c r="U51" s="41" t="s">
        <v>395</v>
      </c>
      <c r="V51" s="35">
        <f>IF(AND(ISNUMBER(W51),ISNUMBER(U51)),W51-U51,"")</f>
        <v>0</v>
      </c>
      <c r="W51" s="41" t="s">
        <v>395</v>
      </c>
      <c r="X51" s="35">
        <f>IF(AND(ISNUMBER(Y51),ISNUMBER(W51)),Y51-W51,"")</f>
        <v>0</v>
      </c>
      <c r="Y51" s="41" t="s">
        <v>395</v>
      </c>
      <c r="Z51" s="35">
        <f>IF(AND(ISNUMBER(AA51),ISNUMBER(Y51)),AA51-Y51,"")</f>
        <v>0</v>
      </c>
      <c r="AA51" s="41" t="s">
        <v>395</v>
      </c>
      <c r="AB51" s="35">
        <f>IF(AND(ISNUMBER(AC51),ISNUMBER(AA51)),AC51-AA51,"")</f>
        <v>0</v>
      </c>
      <c r="AC51" s="41" t="s">
        <v>395</v>
      </c>
      <c r="AD51" s="35">
        <f>IF(AND(ISNUMBER(AE51),ISNUMBER(AC51)),AE51-AC51,"")</f>
        <v>0</v>
      </c>
      <c r="AE51" s="41" t="s">
        <v>395</v>
      </c>
      <c r="AF51" s="35">
        <f>IF(AND(ISNUMBER(AG51),ISNUMBER(AE51)),AG51-AE51,"")</f>
        <v>0</v>
      </c>
      <c r="AG51" s="41" t="s">
        <v>395</v>
      </c>
      <c r="AH51" s="35">
        <f>IF(AND(ISNUMBER(AI51),ISNUMBER(AG51)),AI51-AG51,"")</f>
        <v>0</v>
      </c>
      <c r="AI51" s="41" t="s">
        <v>395</v>
      </c>
      <c r="AJ51" s="35">
        <f>IF(AND(ISNUMBER(AK51),ISNUMBER(AI51)),AK51-AI51,"")</f>
        <v>0</v>
      </c>
      <c r="AK51" s="41" t="s">
        <v>395</v>
      </c>
      <c r="AL51" s="35">
        <f>IF(AND(ISNUMBER(AM51),ISNUMBER(AK51)),AM51-AK51,"")</f>
        <v>0</v>
      </c>
      <c r="AM51" s="41" t="s">
        <v>395</v>
      </c>
      <c r="AN51" s="35">
        <f>IF(AND(ISNUMBER(AO51),ISNUMBER(AM51)),AO51-AM51,"")</f>
        <v>0</v>
      </c>
      <c r="AO51" s="41" t="s">
        <v>395</v>
      </c>
      <c r="AP51" s="35">
        <f>IF(AND(ISNUMBER(AQ51),ISNUMBER(AO51)),AQ51-AO51,"")</f>
        <v>0</v>
      </c>
      <c r="AQ51" s="41" t="s">
        <v>395</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417</v>
      </c>
    </row>
    <row r="52" spans="1:322">
      <c r="B52" s="24"/>
      <c r="D52" s="32" t="s">
        <v>23</v>
      </c>
      <c r="E52" s="33" t="s">
        <v>376</v>
      </c>
      <c r="I52" s="41" t="s">
        <v>395</v>
      </c>
      <c r="J52" s="35">
        <f>IF(AND(ISNUMBER(K52),ISNUMBER(I52)),K52-I52,"")</f>
        <v>0</v>
      </c>
      <c r="K52" s="41" t="s">
        <v>395</v>
      </c>
      <c r="L52" s="35">
        <f>IF(AND(ISNUMBER(M52),ISNUMBER(K52)),M52-K52,"")</f>
        <v>0</v>
      </c>
      <c r="M52" s="41" t="s">
        <v>395</v>
      </c>
      <c r="N52" s="35">
        <f>IF(AND(ISNUMBER(O52),ISNUMBER(M52)),O52-M52,"")</f>
        <v>0</v>
      </c>
      <c r="O52" s="41" t="s">
        <v>395</v>
      </c>
      <c r="P52" s="35">
        <f>IF(AND(ISNUMBER(Q52),ISNUMBER(O52)),Q52-O52,"")</f>
        <v>0</v>
      </c>
      <c r="Q52" s="41" t="s">
        <v>395</v>
      </c>
      <c r="R52" s="35">
        <f>IF(AND(ISNUMBER(S52),ISNUMBER(Q52)),S52-Q52,"")</f>
        <v>0</v>
      </c>
      <c r="S52" s="41" t="s">
        <v>395</v>
      </c>
      <c r="T52" s="35">
        <f>IF(AND(ISNUMBER(U52),ISNUMBER(S52)),U52-S52,"")</f>
        <v>0</v>
      </c>
      <c r="U52" s="41" t="s">
        <v>395</v>
      </c>
      <c r="V52" s="35">
        <f>IF(AND(ISNUMBER(W52),ISNUMBER(U52)),W52-U52,"")</f>
        <v>0</v>
      </c>
      <c r="W52" s="41" t="s">
        <v>395</v>
      </c>
      <c r="X52" s="35">
        <f>IF(AND(ISNUMBER(Y52),ISNUMBER(W52)),Y52-W52,"")</f>
        <v>0</v>
      </c>
      <c r="Y52" s="41" t="s">
        <v>395</v>
      </c>
      <c r="Z52" s="35">
        <f>IF(AND(ISNUMBER(AA52),ISNUMBER(Y52)),AA52-Y52,"")</f>
        <v>0</v>
      </c>
      <c r="AA52" s="41" t="s">
        <v>395</v>
      </c>
      <c r="AB52" s="35">
        <f>IF(AND(ISNUMBER(AC52),ISNUMBER(AA52)),AC52-AA52,"")</f>
        <v>0</v>
      </c>
      <c r="AC52" s="41" t="s">
        <v>395</v>
      </c>
      <c r="AD52" s="35">
        <f>IF(AND(ISNUMBER(AE52),ISNUMBER(AC52)),AE52-AC52,"")</f>
        <v>0</v>
      </c>
      <c r="AE52" s="41" t="s">
        <v>395</v>
      </c>
      <c r="AF52" s="35">
        <f>IF(AND(ISNUMBER(AG52),ISNUMBER(AE52)),AG52-AE52,"")</f>
        <v>0</v>
      </c>
      <c r="AG52" s="41" t="s">
        <v>395</v>
      </c>
      <c r="AH52" s="35">
        <f>IF(AND(ISNUMBER(AI52),ISNUMBER(AG52)),AI52-AG52,"")</f>
        <v>0</v>
      </c>
      <c r="AI52" s="41" t="s">
        <v>395</v>
      </c>
      <c r="AJ52" s="35">
        <f>IF(AND(ISNUMBER(AK52),ISNUMBER(AI52)),AK52-AI52,"")</f>
        <v>0</v>
      </c>
      <c r="AK52" s="41" t="s">
        <v>395</v>
      </c>
      <c r="AL52" s="35">
        <f>IF(AND(ISNUMBER(AM52),ISNUMBER(AK52)),AM52-AK52,"")</f>
        <v>0</v>
      </c>
      <c r="AM52" s="41" t="s">
        <v>395</v>
      </c>
      <c r="AN52" s="35">
        <f>IF(AND(ISNUMBER(AO52),ISNUMBER(AM52)),AO52-AM52,"")</f>
        <v>0</v>
      </c>
      <c r="AO52" s="41" t="s">
        <v>395</v>
      </c>
      <c r="AP52" s="35">
        <f>IF(AND(ISNUMBER(AQ52),ISNUMBER(AO52)),AQ52-AO52,"")</f>
        <v>0</v>
      </c>
      <c r="AQ52" s="41" t="s">
        <v>395</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374</v>
      </c>
      <c r="I53" s="41" t="s">
        <v>395</v>
      </c>
      <c r="J53" s="35">
        <f>IF(AND(ISNUMBER(K53),ISNUMBER(I53)),K53-I53,"")</f>
        <v>0</v>
      </c>
      <c r="K53" s="41" t="s">
        <v>395</v>
      </c>
      <c r="L53" s="35">
        <f>IF(AND(ISNUMBER(M53),ISNUMBER(K53)),M53-K53,"")</f>
        <v>0</v>
      </c>
      <c r="M53" s="41" t="s">
        <v>395</v>
      </c>
      <c r="N53" s="35">
        <f>IF(AND(ISNUMBER(O53),ISNUMBER(M53)),O53-M53,"")</f>
        <v>0</v>
      </c>
      <c r="O53" s="41" t="s">
        <v>395</v>
      </c>
      <c r="P53" s="35">
        <f>IF(AND(ISNUMBER(Q53),ISNUMBER(O53)),Q53-O53,"")</f>
        <v>0</v>
      </c>
      <c r="Q53" s="41" t="s">
        <v>395</v>
      </c>
      <c r="R53" s="35">
        <f>IF(AND(ISNUMBER(S53),ISNUMBER(Q53)),S53-Q53,"")</f>
        <v>0</v>
      </c>
      <c r="S53" s="41" t="s">
        <v>395</v>
      </c>
      <c r="T53" s="35">
        <f>IF(AND(ISNUMBER(U53),ISNUMBER(S53)),U53-S53,"")</f>
        <v>0</v>
      </c>
      <c r="U53" s="41" t="s">
        <v>395</v>
      </c>
      <c r="V53" s="35">
        <f>IF(AND(ISNUMBER(W53),ISNUMBER(U53)),W53-U53,"")</f>
        <v>0</v>
      </c>
      <c r="W53" s="41" t="s">
        <v>395</v>
      </c>
      <c r="X53" s="35">
        <f>IF(AND(ISNUMBER(Y53),ISNUMBER(W53)),Y53-W53,"")</f>
        <v>0</v>
      </c>
      <c r="Y53" s="41" t="s">
        <v>395</v>
      </c>
      <c r="Z53" s="35">
        <f>IF(AND(ISNUMBER(AA53),ISNUMBER(Y53)),AA53-Y53,"")</f>
        <v>0</v>
      </c>
      <c r="AA53" s="41" t="s">
        <v>395</v>
      </c>
      <c r="AB53" s="35">
        <f>IF(AND(ISNUMBER(AC53),ISNUMBER(AA53)),AC53-AA53,"")</f>
        <v>0</v>
      </c>
      <c r="AC53" s="41" t="s">
        <v>395</v>
      </c>
      <c r="AD53" s="35">
        <f>IF(AND(ISNUMBER(AE53),ISNUMBER(AC53)),AE53-AC53,"")</f>
        <v>0</v>
      </c>
      <c r="AE53" s="41" t="s">
        <v>395</v>
      </c>
      <c r="AF53" s="35">
        <f>IF(AND(ISNUMBER(AG53),ISNUMBER(AE53)),AG53-AE53,"")</f>
        <v>0</v>
      </c>
      <c r="AG53" s="41" t="s">
        <v>395</v>
      </c>
      <c r="AH53" s="35">
        <f>IF(AND(ISNUMBER(AI53),ISNUMBER(AG53)),AI53-AG53,"")</f>
        <v>0</v>
      </c>
      <c r="AI53" s="41" t="s">
        <v>395</v>
      </c>
      <c r="AJ53" s="35">
        <f>IF(AND(ISNUMBER(AK53),ISNUMBER(AI53)),AK53-AI53,"")</f>
        <v>0</v>
      </c>
      <c r="AK53" s="41" t="s">
        <v>395</v>
      </c>
      <c r="AL53" s="35">
        <f>IF(AND(ISNUMBER(AM53),ISNUMBER(AK53)),AM53-AK53,"")</f>
        <v>0</v>
      </c>
      <c r="AM53" s="41" t="s">
        <v>395</v>
      </c>
      <c r="AN53" s="35">
        <f>IF(AND(ISNUMBER(AO53),ISNUMBER(AM53)),AO53-AM53,"")</f>
        <v>0</v>
      </c>
      <c r="AO53" s="41" t="s">
        <v>395</v>
      </c>
      <c r="AP53" s="35">
        <f>IF(AND(ISNUMBER(AQ53),ISNUMBER(AO53)),AQ53-AO53,"")</f>
        <v>0</v>
      </c>
      <c r="AQ53" s="41" t="s">
        <v>395</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382</v>
      </c>
      <c r="I54" s="41" t="s">
        <v>395</v>
      </c>
      <c r="J54" s="35">
        <f>IF(AND(ISNUMBER(K54),ISNUMBER(I54)),K54-I54,"")</f>
        <v>0</v>
      </c>
      <c r="K54" s="41" t="s">
        <v>395</v>
      </c>
      <c r="L54" s="35">
        <f>IF(AND(ISNUMBER(M54),ISNUMBER(K54)),M54-K54,"")</f>
        <v>0</v>
      </c>
      <c r="M54" s="41" t="s">
        <v>395</v>
      </c>
      <c r="N54" s="35">
        <f>IF(AND(ISNUMBER(O54),ISNUMBER(M54)),O54-M54,"")</f>
        <v>0</v>
      </c>
      <c r="O54" s="41" t="s">
        <v>395</v>
      </c>
      <c r="P54" s="35">
        <f>IF(AND(ISNUMBER(Q54),ISNUMBER(O54)),Q54-O54,"")</f>
        <v>0</v>
      </c>
      <c r="Q54" s="41" t="s">
        <v>395</v>
      </c>
      <c r="R54" s="35">
        <f>IF(AND(ISNUMBER(S54),ISNUMBER(Q54)),S54-Q54,"")</f>
        <v>0</v>
      </c>
      <c r="S54" s="41" t="s">
        <v>395</v>
      </c>
      <c r="T54" s="35">
        <f>IF(AND(ISNUMBER(U54),ISNUMBER(S54)),U54-S54,"")</f>
        <v>0</v>
      </c>
      <c r="U54" s="41" t="s">
        <v>395</v>
      </c>
      <c r="V54" s="35">
        <f>IF(AND(ISNUMBER(W54),ISNUMBER(U54)),W54-U54,"")</f>
        <v>0</v>
      </c>
      <c r="W54" s="41" t="s">
        <v>395</v>
      </c>
      <c r="X54" s="35">
        <f>IF(AND(ISNUMBER(Y54),ISNUMBER(W54)),Y54-W54,"")</f>
        <v>0</v>
      </c>
      <c r="Y54" s="41" t="s">
        <v>395</v>
      </c>
      <c r="Z54" s="35">
        <f>IF(AND(ISNUMBER(AA54),ISNUMBER(Y54)),AA54-Y54,"")</f>
        <v>0</v>
      </c>
      <c r="AA54" s="41" t="s">
        <v>395</v>
      </c>
      <c r="AB54" s="35">
        <f>IF(AND(ISNUMBER(AC54),ISNUMBER(AA54)),AC54-AA54,"")</f>
        <v>0</v>
      </c>
      <c r="AC54" s="41" t="s">
        <v>395</v>
      </c>
      <c r="AD54" s="35">
        <f>IF(AND(ISNUMBER(AE54),ISNUMBER(AC54)),AE54-AC54,"")</f>
        <v>0</v>
      </c>
      <c r="AE54" s="41" t="s">
        <v>395</v>
      </c>
      <c r="AF54" s="35">
        <f>IF(AND(ISNUMBER(AG54),ISNUMBER(AE54)),AG54-AE54,"")</f>
        <v>0</v>
      </c>
      <c r="AG54" s="41" t="s">
        <v>395</v>
      </c>
      <c r="AH54" s="35">
        <f>IF(AND(ISNUMBER(AI54),ISNUMBER(AG54)),AI54-AG54,"")</f>
        <v>0</v>
      </c>
      <c r="AI54" s="41" t="s">
        <v>395</v>
      </c>
      <c r="AJ54" s="35">
        <f>IF(AND(ISNUMBER(AK54),ISNUMBER(AI54)),AK54-AI54,"")</f>
        <v>0</v>
      </c>
      <c r="AK54" s="41" t="s">
        <v>395</v>
      </c>
      <c r="AL54" s="35">
        <f>IF(AND(ISNUMBER(AM54),ISNUMBER(AK54)),AM54-AK54,"")</f>
        <v>0</v>
      </c>
      <c r="AM54" s="41" t="s">
        <v>395</v>
      </c>
      <c r="AN54" s="35">
        <f>IF(AND(ISNUMBER(AO54),ISNUMBER(AM54)),AO54-AM54,"")</f>
        <v>0</v>
      </c>
      <c r="AO54" s="41" t="s">
        <v>395</v>
      </c>
      <c r="AP54" s="35">
        <f>IF(AND(ISNUMBER(AQ54),ISNUMBER(AO54)),AQ54-AO54,"")</f>
        <v>0</v>
      </c>
      <c r="AQ54" s="41" t="s">
        <v>395</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402</v>
      </c>
    </row>
    <row r="55" spans="1:322">
      <c r="A55" s="37" t="s">
        <v>73</v>
      </c>
      <c r="B55" s="24"/>
      <c r="C55" s="38" t="s">
        <v>30</v>
      </c>
      <c r="E55" s="33" t="s">
        <v>398</v>
      </c>
      <c r="F55" s="39">
        <f>MIN(F56:F62)</f>
        <v>45689.0</v>
      </c>
      <c r="H55" s="39" t="s">
        <v>399</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405</v>
      </c>
      <c r="Z55" s="35">
        <f>IF(AND(ISNUMBER(AA55),ISNUMBER(Y55)),AA55-Y55,"")</f>
        <v>0</v>
      </c>
      <c r="AA55" s="41" t="s">
        <v>405</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395</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403</v>
      </c>
    </row>
    <row r="56" spans="1:322">
      <c r="B56" s="24"/>
      <c r="D56" s="32" t="s">
        <v>13</v>
      </c>
      <c r="E56" s="33" t="s">
        <v>400</v>
      </c>
      <c r="F56" s="39" t="s">
        <v>418</v>
      </c>
      <c r="I56" s="41" t="s">
        <v>395</v>
      </c>
      <c r="J56" s="35">
        <f>IF(AND(ISNUMBER(K56),ISNUMBER(I56)),K56-I56,"")</f>
        <v>0</v>
      </c>
      <c r="K56" s="41" t="s">
        <v>395</v>
      </c>
      <c r="L56" s="35">
        <f>IF(AND(ISNUMBER(M56),ISNUMBER(K56)),M56-K56,"")</f>
        <v>0</v>
      </c>
      <c r="M56" s="41" t="s">
        <v>395</v>
      </c>
      <c r="N56" s="35">
        <f>IF(AND(ISNUMBER(O56),ISNUMBER(M56)),O56-M56,"")</f>
        <v>0</v>
      </c>
      <c r="O56" s="41" t="s">
        <v>395</v>
      </c>
      <c r="P56" s="35">
        <f>IF(AND(ISNUMBER(Q56),ISNUMBER(O56)),Q56-O56,"")</f>
        <v>0</v>
      </c>
      <c r="Q56" s="41" t="s">
        <v>395</v>
      </c>
      <c r="R56" s="35">
        <f>IF(AND(ISNUMBER(S56),ISNUMBER(Q56)),S56-Q56,"")</f>
        <v>0</v>
      </c>
      <c r="S56" s="41" t="s">
        <v>395</v>
      </c>
      <c r="T56" s="35">
        <f>IF(AND(ISNUMBER(U56),ISNUMBER(S56)),U56-S56,"")</f>
        <v>0</v>
      </c>
      <c r="U56" s="41" t="s">
        <v>395</v>
      </c>
      <c r="V56" s="35">
        <f>IF(AND(ISNUMBER(W56),ISNUMBER(U56)),W56-U56,"")</f>
        <v>0</v>
      </c>
      <c r="W56" s="41" t="s">
        <v>395</v>
      </c>
      <c r="X56" s="35">
        <f>IF(AND(ISNUMBER(Y56),ISNUMBER(W56)),Y56-W56,"")</f>
        <v>0</v>
      </c>
      <c r="Y56" s="41" t="s">
        <v>395</v>
      </c>
      <c r="Z56" s="35">
        <f>IF(AND(ISNUMBER(AA56),ISNUMBER(Y56)),AA56-Y56,"")</f>
        <v>0</v>
      </c>
      <c r="AA56" s="41" t="s">
        <v>395</v>
      </c>
      <c r="AB56" s="35">
        <f>IF(AND(ISNUMBER(AC56),ISNUMBER(AA56)),AC56-AA56,"")</f>
        <v>0</v>
      </c>
      <c r="AC56" s="41" t="s">
        <v>395</v>
      </c>
      <c r="AD56" s="35">
        <f>IF(AND(ISNUMBER(AE56),ISNUMBER(AC56)),AE56-AC56,"")</f>
        <v>0</v>
      </c>
      <c r="AE56" s="41" t="s">
        <v>395</v>
      </c>
      <c r="AF56" s="35">
        <f>IF(AND(ISNUMBER(AG56),ISNUMBER(AE56)),AG56-AE56,"")</f>
        <v>0</v>
      </c>
      <c r="AG56" s="41" t="s">
        <v>395</v>
      </c>
      <c r="AH56" s="35">
        <f>IF(AND(ISNUMBER(AI56),ISNUMBER(AG56)),AI56-AG56,"")</f>
        <v>0</v>
      </c>
      <c r="AI56" s="41" t="s">
        <v>395</v>
      </c>
      <c r="AJ56" s="35">
        <f>IF(AND(ISNUMBER(AK56),ISNUMBER(AI56)),AK56-AI56,"")</f>
        <v>0</v>
      </c>
      <c r="AK56" s="41" t="s">
        <v>395</v>
      </c>
      <c r="AL56" s="35">
        <f>IF(AND(ISNUMBER(AM56),ISNUMBER(AK56)),AM56-AK56,"")</f>
        <v>0</v>
      </c>
      <c r="AM56" s="41" t="s">
        <v>395</v>
      </c>
      <c r="AN56" s="35">
        <f>IF(AND(ISNUMBER(AO56),ISNUMBER(AM56)),AO56-AM56,"")</f>
        <v>0</v>
      </c>
      <c r="AO56" s="41" t="s">
        <v>395</v>
      </c>
      <c r="AP56" s="35">
        <f>IF(AND(ISNUMBER(AQ56),ISNUMBER(AO56)),AQ56-AO56,"")</f>
        <v>0</v>
      </c>
      <c r="AQ56" s="41" t="s">
        <v>395</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381</v>
      </c>
      <c r="F57" s="39">
        <v>45689</v>
      </c>
      <c r="I57" s="41" t="s">
        <v>395</v>
      </c>
      <c r="J57" s="35">
        <f>IF(AND(ISNUMBER(K57),ISNUMBER(I57)),K57-I57,"")</f>
        <v>0</v>
      </c>
      <c r="K57" s="41" t="s">
        <v>395</v>
      </c>
      <c r="L57" s="35">
        <f>IF(AND(ISNUMBER(M57),ISNUMBER(K57)),M57-K57,"")</f>
        <v>0</v>
      </c>
      <c r="M57" s="41" t="s">
        <v>395</v>
      </c>
      <c r="N57" s="35">
        <f>IF(AND(ISNUMBER(O57),ISNUMBER(M57)),O57-M57,"")</f>
        <v>0</v>
      </c>
      <c r="O57" s="41" t="s">
        <v>395</v>
      </c>
      <c r="P57" s="35">
        <f>IF(AND(ISNUMBER(Q57),ISNUMBER(O57)),Q57-O57,"")</f>
        <v>0</v>
      </c>
      <c r="Q57" s="41" t="s">
        <v>395</v>
      </c>
      <c r="R57" s="35">
        <f>IF(AND(ISNUMBER(S57),ISNUMBER(Q57)),S57-Q57,"")</f>
        <v>0</v>
      </c>
      <c r="S57" s="41" t="s">
        <v>395</v>
      </c>
      <c r="T57" s="35">
        <f>IF(AND(ISNUMBER(U57),ISNUMBER(S57)),U57-S57,"")</f>
        <v>0</v>
      </c>
      <c r="U57" s="41" t="s">
        <v>395</v>
      </c>
      <c r="V57" s="35">
        <f>IF(AND(ISNUMBER(W57),ISNUMBER(U57)),W57-U57,"")</f>
        <v>0</v>
      </c>
      <c r="W57" s="41" t="s">
        <v>395</v>
      </c>
      <c r="X57" s="35">
        <f>IF(AND(ISNUMBER(Y57),ISNUMBER(W57)),Y57-W57,"")</f>
        <v>0</v>
      </c>
      <c r="Y57" s="41" t="s">
        <v>395</v>
      </c>
      <c r="Z57" s="35">
        <f>IF(AND(ISNUMBER(AA57),ISNUMBER(Y57)),AA57-Y57,"")</f>
        <v>0</v>
      </c>
      <c r="AA57" s="41" t="s">
        <v>395</v>
      </c>
      <c r="AB57" s="35">
        <f>IF(AND(ISNUMBER(AC57),ISNUMBER(AA57)),AC57-AA57,"")</f>
        <v>0</v>
      </c>
      <c r="AC57" s="41" t="s">
        <v>395</v>
      </c>
      <c r="AD57" s="35">
        <f>IF(AND(ISNUMBER(AE57),ISNUMBER(AC57)),AE57-AC57,"")</f>
        <v>0</v>
      </c>
      <c r="AE57" s="41" t="s">
        <v>395</v>
      </c>
      <c r="AF57" s="35">
        <f>IF(AND(ISNUMBER(AG57),ISNUMBER(AE57)),AG57-AE57,"")</f>
        <v>0</v>
      </c>
      <c r="AG57" s="41" t="s">
        <v>395</v>
      </c>
      <c r="AH57" s="35">
        <f>IF(AND(ISNUMBER(AI57),ISNUMBER(AG57)),AI57-AG57,"")</f>
        <v>0</v>
      </c>
      <c r="AI57" s="41" t="s">
        <v>395</v>
      </c>
      <c r="AJ57" s="35">
        <f>IF(AND(ISNUMBER(AK57),ISNUMBER(AI57)),AK57-AI57,"")</f>
        <v>0</v>
      </c>
      <c r="AK57" s="41" t="s">
        <v>395</v>
      </c>
      <c r="AL57" s="35">
        <f>IF(AND(ISNUMBER(AM57),ISNUMBER(AK57)),AM57-AK57,"")</f>
        <v>0</v>
      </c>
      <c r="AM57" s="41" t="s">
        <v>395</v>
      </c>
      <c r="AN57" s="35">
        <f>IF(AND(ISNUMBER(AO57),ISNUMBER(AM57)),AO57-AM57,"")</f>
        <v>0</v>
      </c>
      <c r="AO57" s="41" t="s">
        <v>395</v>
      </c>
      <c r="AP57" s="35">
        <f>IF(AND(ISNUMBER(AQ57),ISNUMBER(AO57)),AQ57-AO57,"")</f>
        <v>0</v>
      </c>
      <c r="AQ57" s="41" t="s">
        <v>395</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370</v>
      </c>
      <c r="I58" s="41" t="s">
        <v>395</v>
      </c>
      <c r="J58" s="35">
        <f>IF(AND(ISNUMBER(K58),ISNUMBER(I58)),K58-I58,"")</f>
        <v>0</v>
      </c>
      <c r="K58" s="41" t="s">
        <v>395</v>
      </c>
      <c r="L58" s="35">
        <f>IF(AND(ISNUMBER(M58),ISNUMBER(K58)),M58-K58,"")</f>
        <v>0</v>
      </c>
      <c r="M58" s="41" t="s">
        <v>395</v>
      </c>
      <c r="N58" s="35">
        <f>IF(AND(ISNUMBER(O58),ISNUMBER(M58)),O58-M58,"")</f>
        <v>0</v>
      </c>
      <c r="O58" s="41" t="s">
        <v>395</v>
      </c>
      <c r="P58" s="35">
        <f>IF(AND(ISNUMBER(Q58),ISNUMBER(O58)),Q58-O58,"")</f>
        <v>0</v>
      </c>
      <c r="Q58" s="41" t="s">
        <v>395</v>
      </c>
      <c r="R58" s="35">
        <f>IF(AND(ISNUMBER(S58),ISNUMBER(Q58)),S58-Q58,"")</f>
        <v>0</v>
      </c>
      <c r="S58" s="41" t="s">
        <v>395</v>
      </c>
      <c r="T58" s="35">
        <f>IF(AND(ISNUMBER(U58),ISNUMBER(S58)),U58-S58,"")</f>
        <v>0</v>
      </c>
      <c r="U58" s="41" t="s">
        <v>395</v>
      </c>
      <c r="V58" s="35">
        <f>IF(AND(ISNUMBER(W58),ISNUMBER(U58)),W58-U58,"")</f>
        <v>0</v>
      </c>
      <c r="W58" s="41" t="s">
        <v>395</v>
      </c>
      <c r="X58" s="35">
        <f>IF(AND(ISNUMBER(Y58),ISNUMBER(W58)),Y58-W58,"")</f>
        <v>0</v>
      </c>
      <c r="Y58" s="41" t="s">
        <v>395</v>
      </c>
      <c r="Z58" s="35">
        <f>IF(AND(ISNUMBER(AA58),ISNUMBER(Y58)),AA58-Y58,"")</f>
        <v>0</v>
      </c>
      <c r="AA58" s="41" t="s">
        <v>395</v>
      </c>
      <c r="AB58" s="35">
        <f>IF(AND(ISNUMBER(AC58),ISNUMBER(AA58)),AC58-AA58,"")</f>
        <v>0</v>
      </c>
      <c r="AC58" s="41" t="s">
        <v>395</v>
      </c>
      <c r="AD58" s="35">
        <f>IF(AND(ISNUMBER(AE58),ISNUMBER(AC58)),AE58-AC58,"")</f>
        <v>0</v>
      </c>
      <c r="AE58" s="41" t="s">
        <v>395</v>
      </c>
      <c r="AF58" s="35">
        <f>IF(AND(ISNUMBER(AG58),ISNUMBER(AE58)),AG58-AE58,"")</f>
        <v>0</v>
      </c>
      <c r="AG58" s="41" t="s">
        <v>395</v>
      </c>
      <c r="AH58" s="35">
        <f>IF(AND(ISNUMBER(AI58),ISNUMBER(AG58)),AI58-AG58,"")</f>
        <v>0</v>
      </c>
      <c r="AI58" s="41" t="s">
        <v>395</v>
      </c>
      <c r="AJ58" s="35">
        <f>IF(AND(ISNUMBER(AK58),ISNUMBER(AI58)),AK58-AI58,"")</f>
        <v>0</v>
      </c>
      <c r="AK58" s="41" t="s">
        <v>395</v>
      </c>
      <c r="AL58" s="35">
        <f>IF(AND(ISNUMBER(AM58),ISNUMBER(AK58)),AM58-AK58,"")</f>
        <v>0</v>
      </c>
      <c r="AM58" s="41" t="s">
        <v>395</v>
      </c>
      <c r="AN58" s="35">
        <f>IF(AND(ISNUMBER(AO58),ISNUMBER(AM58)),AO58-AM58,"")</f>
        <v>0</v>
      </c>
      <c r="AO58" s="41" t="s">
        <v>395</v>
      </c>
      <c r="AP58" s="35">
        <f>IF(AND(ISNUMBER(AQ58),ISNUMBER(AO58)),AQ58-AO58,"")</f>
        <v>0</v>
      </c>
      <c r="AQ58" s="41" t="s">
        <v>395</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380</v>
      </c>
      <c r="F59" s="39">
        <v>45689</v>
      </c>
      <c r="I59" s="41" t="s">
        <v>395</v>
      </c>
      <c r="J59" s="35">
        <f>IF(AND(ISNUMBER(K59),ISNUMBER(I59)),K59-I59,"")</f>
        <v>0</v>
      </c>
      <c r="K59" s="41" t="s">
        <v>395</v>
      </c>
      <c r="L59" s="35">
        <f>IF(AND(ISNUMBER(M59),ISNUMBER(K59)),M59-K59,"")</f>
        <v>0</v>
      </c>
      <c r="M59" s="41" t="s">
        <v>395</v>
      </c>
      <c r="N59" s="35">
        <f>IF(AND(ISNUMBER(O59),ISNUMBER(M59)),O59-M59,"")</f>
        <v>0</v>
      </c>
      <c r="O59" s="41" t="s">
        <v>395</v>
      </c>
      <c r="P59" s="35">
        <f>IF(AND(ISNUMBER(Q59),ISNUMBER(O59)),Q59-O59,"")</f>
        <v>0</v>
      </c>
      <c r="Q59" s="41" t="s">
        <v>395</v>
      </c>
      <c r="R59" s="35">
        <f>IF(AND(ISNUMBER(S59),ISNUMBER(Q59)),S59-Q59,"")</f>
        <v>0</v>
      </c>
      <c r="S59" s="41" t="s">
        <v>395</v>
      </c>
      <c r="T59" s="35">
        <f>IF(AND(ISNUMBER(U59),ISNUMBER(S59)),U59-S59,"")</f>
        <v>0</v>
      </c>
      <c r="U59" s="41" t="s">
        <v>395</v>
      </c>
      <c r="V59" s="35">
        <f>IF(AND(ISNUMBER(W59),ISNUMBER(U59)),W59-U59,"")</f>
        <v>0</v>
      </c>
      <c r="W59" s="41" t="s">
        <v>395</v>
      </c>
      <c r="X59" s="35">
        <f>IF(AND(ISNUMBER(Y59),ISNUMBER(W59)),Y59-W59,"")</f>
        <v>0</v>
      </c>
      <c r="Y59" s="41" t="s">
        <v>395</v>
      </c>
      <c r="Z59" s="35">
        <f>IF(AND(ISNUMBER(AA59),ISNUMBER(Y59)),AA59-Y59,"")</f>
        <v>0</v>
      </c>
      <c r="AA59" s="41" t="s">
        <v>395</v>
      </c>
      <c r="AB59" s="35">
        <f>IF(AND(ISNUMBER(AC59),ISNUMBER(AA59)),AC59-AA59,"")</f>
        <v>0</v>
      </c>
      <c r="AC59" s="41" t="s">
        <v>395</v>
      </c>
      <c r="AD59" s="35">
        <f>IF(AND(ISNUMBER(AE59),ISNUMBER(AC59)),AE59-AC59,"")</f>
        <v>0</v>
      </c>
      <c r="AE59" s="41" t="s">
        <v>395</v>
      </c>
      <c r="AF59" s="35">
        <f>IF(AND(ISNUMBER(AG59),ISNUMBER(AE59)),AG59-AE59,"")</f>
        <v>0</v>
      </c>
      <c r="AG59" s="41" t="s">
        <v>395</v>
      </c>
      <c r="AH59" s="35">
        <f>IF(AND(ISNUMBER(AI59),ISNUMBER(AG59)),AI59-AG59,"")</f>
        <v>0</v>
      </c>
      <c r="AI59" s="41" t="s">
        <v>395</v>
      </c>
      <c r="AJ59" s="35">
        <f>IF(AND(ISNUMBER(AK59),ISNUMBER(AI59)),AK59-AI59,"")</f>
        <v>0</v>
      </c>
      <c r="AK59" s="41" t="s">
        <v>395</v>
      </c>
      <c r="AL59" s="35">
        <f>IF(AND(ISNUMBER(AM59),ISNUMBER(AK59)),AM59-AK59,"")</f>
        <v>0</v>
      </c>
      <c r="AM59" s="41" t="s">
        <v>395</v>
      </c>
      <c r="AN59" s="35">
        <f>IF(AND(ISNUMBER(AO59),ISNUMBER(AM59)),AO59-AM59,"")</f>
        <v>0</v>
      </c>
      <c r="AO59" s="41" t="s">
        <v>395</v>
      </c>
      <c r="AP59" s="35">
        <f>IF(AND(ISNUMBER(AQ59),ISNUMBER(AO59)),AQ59-AO59,"")</f>
        <v>0</v>
      </c>
      <c r="AQ59" s="41" t="s">
        <v>395</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417</v>
      </c>
    </row>
    <row r="60" spans="1:322">
      <c r="B60" s="24"/>
      <c r="D60" s="32" t="s">
        <v>23</v>
      </c>
      <c r="E60" s="33" t="s">
        <v>376</v>
      </c>
      <c r="F60" s="39">
        <v>45689</v>
      </c>
      <c r="I60" s="41" t="s">
        <v>395</v>
      </c>
      <c r="J60" s="35">
        <f>IF(AND(ISNUMBER(K60),ISNUMBER(I60)),K60-I60,"")</f>
        <v>0</v>
      </c>
      <c r="K60" s="41" t="s">
        <v>395</v>
      </c>
      <c r="L60" s="35">
        <f>IF(AND(ISNUMBER(M60),ISNUMBER(K60)),M60-K60,"")</f>
        <v>0</v>
      </c>
      <c r="M60" s="41" t="s">
        <v>395</v>
      </c>
      <c r="N60" s="35">
        <f>IF(AND(ISNUMBER(O60),ISNUMBER(M60)),O60-M60,"")</f>
        <v>0</v>
      </c>
      <c r="O60" s="41" t="s">
        <v>395</v>
      </c>
      <c r="P60" s="35">
        <f>IF(AND(ISNUMBER(Q60),ISNUMBER(O60)),Q60-O60,"")</f>
        <v>0</v>
      </c>
      <c r="Q60" s="41" t="s">
        <v>395</v>
      </c>
      <c r="R60" s="35">
        <f>IF(AND(ISNUMBER(S60),ISNUMBER(Q60)),S60-Q60,"")</f>
        <v>0</v>
      </c>
      <c r="S60" s="41" t="s">
        <v>395</v>
      </c>
      <c r="T60" s="35">
        <f>IF(AND(ISNUMBER(U60),ISNUMBER(S60)),U60-S60,"")</f>
        <v>0</v>
      </c>
      <c r="U60" s="41" t="s">
        <v>395</v>
      </c>
      <c r="V60" s="35">
        <f>IF(AND(ISNUMBER(W60),ISNUMBER(U60)),W60-U60,"")</f>
        <v>0</v>
      </c>
      <c r="W60" s="41" t="s">
        <v>395</v>
      </c>
      <c r="X60" s="35">
        <f>IF(AND(ISNUMBER(Y60),ISNUMBER(W60)),Y60-W60,"")</f>
        <v>0</v>
      </c>
      <c r="Y60" s="41" t="s">
        <v>395</v>
      </c>
      <c r="Z60" s="35">
        <f>IF(AND(ISNUMBER(AA60),ISNUMBER(Y60)),AA60-Y60,"")</f>
        <v>0</v>
      </c>
      <c r="AA60" s="41" t="s">
        <v>395</v>
      </c>
      <c r="AB60" s="35">
        <f>IF(AND(ISNUMBER(AC60),ISNUMBER(AA60)),AC60-AA60,"")</f>
        <v>0</v>
      </c>
      <c r="AC60" s="34">
        <v>4</v>
      </c>
      <c r="AD60" s="35">
        <f>IF(AND(ISNUMBER(AE60),ISNUMBER(AC60)),AE60-AC60,"")</f>
        <v>0</v>
      </c>
      <c r="AE60" s="41" t="s">
        <v>395</v>
      </c>
      <c r="AF60" s="35">
        <f>IF(AND(ISNUMBER(AG60),ISNUMBER(AE60)),AG60-AE60,"")</f>
        <v>0</v>
      </c>
      <c r="AG60" s="41" t="s">
        <v>395</v>
      </c>
      <c r="AH60" s="35">
        <f>IF(AND(ISNUMBER(AI60),ISNUMBER(AG60)),AI60-AG60,"")</f>
        <v>0</v>
      </c>
      <c r="AI60" s="41" t="s">
        <v>395</v>
      </c>
      <c r="AJ60" s="35">
        <f>IF(AND(ISNUMBER(AK60),ISNUMBER(AI60)),AK60-AI60,"")</f>
        <v>0</v>
      </c>
      <c r="AK60" s="41" t="s">
        <v>395</v>
      </c>
      <c r="AL60" s="35">
        <f>IF(AND(ISNUMBER(AM60),ISNUMBER(AK60)),AM60-AK60,"")</f>
        <v>0</v>
      </c>
      <c r="AM60" s="41" t="s">
        <v>395</v>
      </c>
      <c r="AN60" s="35">
        <f>IF(AND(ISNUMBER(AO60),ISNUMBER(AM60)),AO60-AM60,"")</f>
        <v>0</v>
      </c>
      <c r="AO60" s="41" t="s">
        <v>395</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374</v>
      </c>
      <c r="F61" s="39">
        <v>45689</v>
      </c>
      <c r="I61" s="41" t="s">
        <v>395</v>
      </c>
      <c r="J61" s="35">
        <f>IF(AND(ISNUMBER(K61),ISNUMBER(I61)),K61-I61,"")</f>
        <v>0</v>
      </c>
      <c r="K61" s="41" t="s">
        <v>395</v>
      </c>
      <c r="L61" s="35">
        <f>IF(AND(ISNUMBER(M61),ISNUMBER(K61)),M61-K61,"")</f>
        <v>0</v>
      </c>
      <c r="M61" s="41" t="s">
        <v>395</v>
      </c>
      <c r="N61" s="35">
        <f>IF(AND(ISNUMBER(O61),ISNUMBER(M61)),O61-M61,"")</f>
        <v>0</v>
      </c>
      <c r="O61" s="41" t="s">
        <v>395</v>
      </c>
      <c r="P61" s="35">
        <f>IF(AND(ISNUMBER(Q61),ISNUMBER(O61)),Q61-O61,"")</f>
        <v>0</v>
      </c>
      <c r="Q61" s="41" t="s">
        <v>395</v>
      </c>
      <c r="R61" s="35">
        <f>IF(AND(ISNUMBER(S61),ISNUMBER(Q61)),S61-Q61,"")</f>
        <v>0</v>
      </c>
      <c r="S61" s="41" t="s">
        <v>395</v>
      </c>
      <c r="T61" s="35">
        <f>IF(AND(ISNUMBER(U61),ISNUMBER(S61)),U61-S61,"")</f>
        <v>0</v>
      </c>
      <c r="U61" s="41" t="s">
        <v>395</v>
      </c>
      <c r="V61" s="35">
        <f>IF(AND(ISNUMBER(W61),ISNUMBER(U61)),W61-U61,"")</f>
        <v>0</v>
      </c>
      <c r="W61" s="41" t="s">
        <v>395</v>
      </c>
      <c r="X61" s="35">
        <f>IF(AND(ISNUMBER(Y61),ISNUMBER(W61)),Y61-W61,"")</f>
        <v>0</v>
      </c>
      <c r="Y61" s="41" t="s">
        <v>395</v>
      </c>
      <c r="Z61" s="35">
        <f>IF(AND(ISNUMBER(AA61),ISNUMBER(Y61)),AA61-Y61,"")</f>
        <v>0</v>
      </c>
      <c r="AA61" s="41" t="s">
        <v>395</v>
      </c>
      <c r="AB61" s="35">
        <f>IF(AND(ISNUMBER(AC61),ISNUMBER(AA61)),AC61-AA61,"")</f>
        <v>0</v>
      </c>
      <c r="AC61" s="34">
        <v>0</v>
      </c>
      <c r="AD61" s="35">
        <f>IF(AND(ISNUMBER(AE61),ISNUMBER(AC61)),AE61-AC61,"")</f>
        <v>0</v>
      </c>
      <c r="AE61" s="41" t="s">
        <v>395</v>
      </c>
      <c r="AF61" s="35">
        <f>IF(AND(ISNUMBER(AG61),ISNUMBER(AE61)),AG61-AE61,"")</f>
        <v>0</v>
      </c>
      <c r="AG61" s="41" t="s">
        <v>395</v>
      </c>
      <c r="AH61" s="35">
        <f>IF(AND(ISNUMBER(AI61),ISNUMBER(AG61)),AI61-AG61,"")</f>
        <v>0</v>
      </c>
      <c r="AI61" s="41" t="s">
        <v>395</v>
      </c>
      <c r="AJ61" s="35">
        <f>IF(AND(ISNUMBER(AK61),ISNUMBER(AI61)),AK61-AI61,"")</f>
        <v>0</v>
      </c>
      <c r="AK61" s="41" t="s">
        <v>395</v>
      </c>
      <c r="AL61" s="35">
        <f>IF(AND(ISNUMBER(AM61),ISNUMBER(AK61)),AM61-AK61,"")</f>
        <v>0</v>
      </c>
      <c r="AM61" s="41" t="s">
        <v>395</v>
      </c>
      <c r="AN61" s="35">
        <f>IF(AND(ISNUMBER(AO61),ISNUMBER(AM61)),AO61-AM61,"")</f>
        <v>0</v>
      </c>
      <c r="AO61" s="41" t="s">
        <v>395</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382</v>
      </c>
      <c r="F62" s="39">
        <v>45689</v>
      </c>
      <c r="I62" s="41" t="s">
        <v>395</v>
      </c>
      <c r="J62" s="35">
        <f>IF(AND(ISNUMBER(K62),ISNUMBER(I62)),K62-I62,"")</f>
        <v>0</v>
      </c>
      <c r="K62" s="41" t="s">
        <v>395</v>
      </c>
      <c r="L62" s="35">
        <f>IF(AND(ISNUMBER(M62),ISNUMBER(K62)),M62-K62,"")</f>
        <v>0</v>
      </c>
      <c r="M62" s="41" t="s">
        <v>395</v>
      </c>
      <c r="N62" s="35">
        <f>IF(AND(ISNUMBER(O62),ISNUMBER(M62)),O62-M62,"")</f>
        <v>0</v>
      </c>
      <c r="O62" s="41" t="s">
        <v>395</v>
      </c>
      <c r="P62" s="35">
        <f>IF(AND(ISNUMBER(Q62),ISNUMBER(O62)),Q62-O62,"")</f>
        <v>0</v>
      </c>
      <c r="Q62" s="41" t="s">
        <v>395</v>
      </c>
      <c r="R62" s="35">
        <f>IF(AND(ISNUMBER(S62),ISNUMBER(Q62)),S62-Q62,"")</f>
        <v>0</v>
      </c>
      <c r="S62" s="41" t="s">
        <v>395</v>
      </c>
      <c r="T62" s="35">
        <f>IF(AND(ISNUMBER(U62),ISNUMBER(S62)),U62-S62,"")</f>
        <v>0</v>
      </c>
      <c r="U62" s="41" t="s">
        <v>395</v>
      </c>
      <c r="V62" s="35">
        <f>IF(AND(ISNUMBER(W62),ISNUMBER(U62)),W62-U62,"")</f>
        <v>0</v>
      </c>
      <c r="W62" s="41" t="s">
        <v>395</v>
      </c>
      <c r="X62" s="35">
        <f>IF(AND(ISNUMBER(Y62),ISNUMBER(W62)),Y62-W62,"")</f>
        <v>0</v>
      </c>
      <c r="Y62" s="41" t="s">
        <v>395</v>
      </c>
      <c r="Z62" s="35">
        <f>IF(AND(ISNUMBER(AA62),ISNUMBER(Y62)),AA62-Y62,"")</f>
        <v>0</v>
      </c>
      <c r="AA62" s="41" t="s">
        <v>395</v>
      </c>
      <c r="AB62" s="35">
        <f>IF(AND(ISNUMBER(AC62),ISNUMBER(AA62)),AC62-AA62,"")</f>
        <v>0</v>
      </c>
      <c r="AC62" s="41" t="s">
        <v>395</v>
      </c>
      <c r="AD62" s="35">
        <f>IF(AND(ISNUMBER(AE62),ISNUMBER(AC62)),AE62-AC62,"")</f>
        <v>0</v>
      </c>
      <c r="AE62" s="41" t="s">
        <v>395</v>
      </c>
      <c r="AF62" s="35">
        <f>IF(AND(ISNUMBER(AG62),ISNUMBER(AE62)),AG62-AE62,"")</f>
        <v>0</v>
      </c>
      <c r="AG62" s="41" t="s">
        <v>395</v>
      </c>
      <c r="AH62" s="35">
        <f>IF(AND(ISNUMBER(AI62),ISNUMBER(AG62)),AI62-AG62,"")</f>
        <v>0</v>
      </c>
      <c r="AI62" s="41" t="s">
        <v>395</v>
      </c>
      <c r="AJ62" s="35">
        <f>IF(AND(ISNUMBER(AK62),ISNUMBER(AI62)),AK62-AI62,"")</f>
        <v>0</v>
      </c>
      <c r="AK62" s="41" t="s">
        <v>395</v>
      </c>
      <c r="AL62" s="35">
        <f>IF(AND(ISNUMBER(AM62),ISNUMBER(AK62)),AM62-AK62,"")</f>
        <v>0</v>
      </c>
      <c r="AM62" s="41" t="s">
        <v>395</v>
      </c>
      <c r="AN62" s="35">
        <f>IF(AND(ISNUMBER(AO62),ISNUMBER(AM62)),AO62-AM62,"")</f>
        <v>0</v>
      </c>
      <c r="AO62" s="41" t="s">
        <v>395</v>
      </c>
      <c r="AP62" s="35">
        <f>IF(AND(ISNUMBER(AQ62),ISNUMBER(AO62)),AQ62-AO62,"")</f>
        <v>0</v>
      </c>
      <c r="AQ62" s="41" t="s">
        <v>395</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402</v>
      </c>
    </row>
    <row r="63" spans="1:322">
      <c r="A63" s="23">
        <v>5</v>
      </c>
      <c r="B63" s="24" t="s">
        <v>419</v>
      </c>
      <c r="C63" s="44" t="s">
        <v>30</v>
      </c>
      <c r="D63" s="44"/>
      <c r="E63" s="26" t="s">
        <v>364</v>
      </c>
      <c r="F63" s="27"/>
      <c r="G63" s="27"/>
      <c r="H63" s="27" t="s">
        <v>413</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405</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420</v>
      </c>
      <c r="C64" s="44" t="s">
        <v>30</v>
      </c>
      <c r="D64" s="44"/>
      <c r="E64" s="26" t="s">
        <v>421</v>
      </c>
      <c r="F64" s="27"/>
      <c r="G64" s="27"/>
      <c r="H64" s="27" t="s">
        <v>422</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405</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v>2635</v>
      </c>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423</v>
      </c>
    </row>
    <row r="65" spans="1:322">
      <c r="A65" s="37" t="s">
        <v>89</v>
      </c>
      <c r="B65" s="24"/>
      <c r="C65" s="32" t="s">
        <v>87</v>
      </c>
      <c r="E65" s="33" t="s">
        <v>421</v>
      </c>
      <c r="H65" s="39" t="s">
        <v>422</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405</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423</v>
      </c>
    </row>
    <row r="66" spans="1:322">
      <c r="A66" s="37" t="s">
        <v>92</v>
      </c>
      <c r="B66" s="24"/>
      <c r="C66" s="32" t="s">
        <v>90</v>
      </c>
      <c r="E66" s="33" t="s">
        <v>421</v>
      </c>
      <c r="H66" s="39" t="s">
        <v>422</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405</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423</v>
      </c>
    </row>
    <row r="67" spans="1:322">
      <c r="A67" s="23" t="s">
        <v>97</v>
      </c>
      <c r="B67" s="24" t="s">
        <v>424</v>
      </c>
      <c r="C67" s="44" t="s">
        <v>425</v>
      </c>
      <c r="D67" s="44" t="s">
        <v>426</v>
      </c>
      <c r="E67" s="26"/>
      <c r="F67" s="27"/>
      <c r="G67" s="27"/>
      <c r="H67" s="27" t="s">
        <v>399</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v>11516</v>
      </c>
      <c r="JR67" s="29">
        <f>IF(AND(ISNUMBER(JS67),ISNUMBER(JQ67)),JS67-JQ67,"")</f>
        <v>0</v>
      </c>
      <c r="JS67" s="28">
        <v>12615</v>
      </c>
      <c r="JT67" s="29">
        <f>IF(AND(ISNUMBER(JU67),ISNUMBER(JS67)),JU67-JS67,"")</f>
        <v>0</v>
      </c>
      <c r="JU67" s="28">
        <v>12187</v>
      </c>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359</v>
      </c>
      <c r="H68" s="39" t="s">
        <v>399</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v>1895</v>
      </c>
      <c r="JR68" s="35">
        <f>IF(AND(ISNUMBER(JS68),ISNUMBER(JQ68)),JS68-JQ68,"")</f>
        <v>0</v>
      </c>
      <c r="JS68" s="34">
        <v>2042</v>
      </c>
      <c r="JT68" s="35">
        <f>IF(AND(ISNUMBER(JU68),ISNUMBER(JS68)),JU68-JS68,"")</f>
        <v>0</v>
      </c>
      <c r="JU68" s="34">
        <v>2141</v>
      </c>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359</v>
      </c>
      <c r="H69" s="39" t="s">
        <v>399</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v>8128</v>
      </c>
      <c r="JR69" s="35">
        <f>IF(AND(ISNUMBER(JS69),ISNUMBER(JQ69)),JS69-JQ69,"")</f>
        <v>0</v>
      </c>
      <c r="JS69" s="34">
        <v>8934</v>
      </c>
      <c r="JT69" s="35">
        <f>IF(AND(ISNUMBER(JU69),ISNUMBER(JS69)),JU69-JS69,"")</f>
        <v>0</v>
      </c>
      <c r="JU69" s="34">
        <v>9001</v>
      </c>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359</v>
      </c>
      <c r="H70" s="39" t="s">
        <v>399</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v>1493</v>
      </c>
      <c r="JR70" s="35">
        <f>IF(AND(ISNUMBER(JS70),ISNUMBER(JQ70)),JS70-JQ70,"")</f>
        <v>0</v>
      </c>
      <c r="JS70" s="34">
        <v>1639</v>
      </c>
      <c r="JT70" s="35">
        <f>IF(AND(ISNUMBER(JU70),ISNUMBER(JS70)),JU70-JS70,"")</f>
        <v>0</v>
      </c>
      <c r="JU70" s="34">
        <v>1045</v>
      </c>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427</v>
      </c>
      <c r="D71" s="32" t="s">
        <v>426</v>
      </c>
      <c r="H71" s="39" t="s">
        <v>399</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v>5</v>
      </c>
      <c r="JR71" s="35">
        <f>IF(AND(ISNUMBER(JS71),ISNUMBER(JQ71)),JS71-JQ71,"")</f>
        <v>0</v>
      </c>
      <c r="JS71" s="34">
        <v>3438</v>
      </c>
      <c r="JT71" s="35">
        <f>IF(AND(ISNUMBER(JU71),ISNUMBER(JS71)),JU71-JS71,"")</f>
        <v>0</v>
      </c>
      <c r="JU71" s="34">
        <v>1415</v>
      </c>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359</v>
      </c>
      <c r="H72" s="39" t="s">
        <v>399</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v>5</v>
      </c>
      <c r="JR72" s="35">
        <f>IF(AND(ISNUMBER(JS72),ISNUMBER(JQ72)),JS72-JQ72,"")</f>
        <v>0</v>
      </c>
      <c r="JS72" s="34">
        <v>1023</v>
      </c>
      <c r="JT72" s="35">
        <f>IF(AND(ISNUMBER(JU72),ISNUMBER(JS72)),JU72-JS72,"")</f>
        <v>0</v>
      </c>
      <c r="JU72" s="34">
        <v>499</v>
      </c>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359</v>
      </c>
      <c r="H73" s="39" t="s">
        <v>399</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v>0</v>
      </c>
      <c r="JR73" s="35">
        <f>IF(AND(ISNUMBER(JS73),ISNUMBER(JQ73)),JS73-JQ73,"")</f>
        <v>0</v>
      </c>
      <c r="JS73" s="34">
        <v>1912</v>
      </c>
      <c r="JT73" s="35">
        <f>IF(AND(ISNUMBER(JU73),ISNUMBER(JS73)),JU73-JS73,"")</f>
        <v>0</v>
      </c>
      <c r="JU73" s="34">
        <v>549</v>
      </c>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359</v>
      </c>
      <c r="H74" s="39" t="s">
        <v>399</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v>0</v>
      </c>
      <c r="JR74" s="35">
        <f>IF(AND(ISNUMBER(JS74),ISNUMBER(JQ74)),JS74-JQ74,"")</f>
        <v>0</v>
      </c>
      <c r="JS74" s="34">
        <v>503</v>
      </c>
      <c r="JT74" s="35">
        <f>IF(AND(ISNUMBER(JU74),ISNUMBER(JS74)),JU74-JS74,"")</f>
        <v>0</v>
      </c>
      <c r="JU74" s="34">
        <v>367</v>
      </c>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428</v>
      </c>
      <c r="D75" s="32" t="s">
        <v>426</v>
      </c>
      <c r="H75" s="39" t="s">
        <v>399</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v>0</v>
      </c>
      <c r="JR75" s="35">
        <f>IF(AND(ISNUMBER(JS75),ISNUMBER(JQ75)),JS75-JQ75,"")</f>
        <v>0</v>
      </c>
      <c r="JS75" s="34">
        <v>2339</v>
      </c>
      <c r="JT75" s="35">
        <f>IF(AND(ISNUMBER(JU75),ISNUMBER(JS75)),JU75-JS75,"")</f>
        <v>0</v>
      </c>
      <c r="JU75" s="34">
        <v>1843</v>
      </c>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359</v>
      </c>
      <c r="H76" s="39" t="s">
        <v>399</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v>0</v>
      </c>
      <c r="JR76" s="35">
        <f>IF(AND(ISNUMBER(JS76),ISNUMBER(JQ76)),JS76-JQ76,"")</f>
        <v>0</v>
      </c>
      <c r="JS76" s="34">
        <v>876</v>
      </c>
      <c r="JT76" s="35">
        <f>IF(AND(ISNUMBER(JU76),ISNUMBER(JS76)),JU76-JS76,"")</f>
        <v>0</v>
      </c>
      <c r="JU76" s="34">
        <v>400</v>
      </c>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359</v>
      </c>
      <c r="H77" s="39" t="s">
        <v>399</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v>0</v>
      </c>
      <c r="JR77" s="35">
        <f>IF(AND(ISNUMBER(JS77),ISNUMBER(JQ77)),JS77-JQ77,"")</f>
        <v>0</v>
      </c>
      <c r="JS77" s="34">
        <v>1106</v>
      </c>
      <c r="JT77" s="35">
        <f>IF(AND(ISNUMBER(JU77),ISNUMBER(JS77)),JU77-JS77,"")</f>
        <v>0</v>
      </c>
      <c r="JU77" s="34">
        <v>482</v>
      </c>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359</v>
      </c>
      <c r="H78" s="39" t="s">
        <v>399</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v>0</v>
      </c>
      <c r="JR78" s="35">
        <f>IF(AND(ISNUMBER(JS78),ISNUMBER(JQ78)),JS78-JQ78,"")</f>
        <v>0</v>
      </c>
      <c r="JS78" s="34">
        <v>357</v>
      </c>
      <c r="JT78" s="35">
        <f>IF(AND(ISNUMBER(JU78),ISNUMBER(JS78)),JU78-JS78,"")</f>
        <v>0</v>
      </c>
      <c r="JU78" s="34">
        <v>961</v>
      </c>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429</v>
      </c>
      <c r="D79" s="32" t="s">
        <v>430</v>
      </c>
      <c r="H79" s="39" t="s">
        <v>399</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v>26964</v>
      </c>
      <c r="JT79" s="35">
        <f>IF(AND(ISNUMBER(JU79),ISNUMBER(JS79)),JU79-JS79,"")</f>
        <v>0</v>
      </c>
      <c r="JU79" s="34">
        <v>25748</v>
      </c>
      <c r="JV79" s="35">
        <f>IF(AND(ISNUMBER(JW79),ISNUMBER(JU79)),JW79-JU79,"")</f>
        <v>0</v>
      </c>
      <c r="JW79" s="34">
        <v>26600</v>
      </c>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359</v>
      </c>
      <c r="H80" s="39" t="s">
        <v>399</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v>4616</v>
      </c>
      <c r="JT80" s="35">
        <f>IF(AND(ISNUMBER(JU80),ISNUMBER(JS80)),JU80-JS80,"")</f>
        <v>0</v>
      </c>
      <c r="JU80" s="34">
        <v>4905</v>
      </c>
      <c r="JV80" s="35">
        <f>IF(AND(ISNUMBER(JW80),ISNUMBER(JU80)),JW80-JU80,"")</f>
        <v>0</v>
      </c>
      <c r="JW80" s="34">
        <v>4517</v>
      </c>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359</v>
      </c>
      <c r="H81" s="39" t="s">
        <v>399</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v>19629</v>
      </c>
      <c r="JT81" s="35">
        <f>IF(AND(ISNUMBER(JU81),ISNUMBER(JS81)),JU81-JS81,"")</f>
        <v>0</v>
      </c>
      <c r="JU81" s="34">
        <v>19444</v>
      </c>
      <c r="JV81" s="35">
        <f>IF(AND(ISNUMBER(JW81),ISNUMBER(JU81)),JW81-JU81,"")</f>
        <v>0</v>
      </c>
      <c r="JW81" s="34">
        <v>20368</v>
      </c>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359</v>
      </c>
      <c r="H82" s="39" t="s">
        <v>399</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v>2719</v>
      </c>
      <c r="JT82" s="35">
        <f>IF(AND(ISNUMBER(JU82),ISNUMBER(JS82)),JU82-JS82,"")</f>
        <v>0</v>
      </c>
      <c r="JU82" s="34">
        <v>1399</v>
      </c>
      <c r="JV82" s="35">
        <f>IF(AND(ISNUMBER(JW82),ISNUMBER(JU82)),JW82-JU82,"")</f>
        <v>0</v>
      </c>
      <c r="JW82" s="34">
        <v>1715</v>
      </c>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427</v>
      </c>
      <c r="D83" s="32" t="s">
        <v>430</v>
      </c>
      <c r="H83" s="39" t="s">
        <v>399</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v>2238</v>
      </c>
      <c r="JT83" s="35">
        <f>IF(AND(ISNUMBER(JU83),ISNUMBER(JS83)),JU83-JS83,"")</f>
        <v>0</v>
      </c>
      <c r="JU83" s="34">
        <v>3319</v>
      </c>
      <c r="JV83" s="35">
        <f>IF(AND(ISNUMBER(JW83),ISNUMBER(JU83)),JW83-JU83,"")</f>
        <v>0</v>
      </c>
      <c r="JW83" s="34">
        <v>4051</v>
      </c>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359</v>
      </c>
      <c r="H84" s="39" t="s">
        <v>399</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v>768</v>
      </c>
      <c r="JT84" s="35">
        <f>IF(AND(ISNUMBER(JU84),ISNUMBER(JS84)),JU84-JS84,"")</f>
        <v>0</v>
      </c>
      <c r="JU84" s="34">
        <v>1201</v>
      </c>
      <c r="JV84" s="35">
        <f>IF(AND(ISNUMBER(JW84),ISNUMBER(JU84)),JW84-JU84,"")</f>
        <v>0</v>
      </c>
      <c r="JW84" s="34">
        <v>894</v>
      </c>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359</v>
      </c>
      <c r="H85" s="39" t="s">
        <v>399</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v>1126</v>
      </c>
      <c r="JT85" s="35">
        <f>IF(AND(ISNUMBER(JU85),ISNUMBER(JS85)),JU85-JS85,"")</f>
        <v>0</v>
      </c>
      <c r="JU85" s="34">
        <v>1489</v>
      </c>
      <c r="JV85" s="35">
        <f>IF(AND(ISNUMBER(JW85),ISNUMBER(JU85)),JW85-JU85,"")</f>
        <v>0</v>
      </c>
      <c r="JW85" s="34">
        <v>2379</v>
      </c>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359</v>
      </c>
      <c r="H86" s="39" t="s">
        <v>399</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v>344</v>
      </c>
      <c r="JT86" s="35">
        <f>IF(AND(ISNUMBER(JU86),ISNUMBER(JS86)),JU86-JS86,"")</f>
        <v>0</v>
      </c>
      <c r="JU86" s="34">
        <v>629</v>
      </c>
      <c r="JV86" s="35">
        <f>IF(AND(ISNUMBER(JW86),ISNUMBER(JU86)),JW86-JU86,"")</f>
        <v>0</v>
      </c>
      <c r="JW86" s="34">
        <v>778</v>
      </c>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428</v>
      </c>
      <c r="D87" s="32" t="s">
        <v>430</v>
      </c>
      <c r="H87" s="39" t="s">
        <v>399</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v>2331</v>
      </c>
      <c r="JT87" s="35">
        <f>IF(AND(ISNUMBER(JU87),ISNUMBER(JS87)),JU87-JS87,"")</f>
        <v>0</v>
      </c>
      <c r="JU87" s="34">
        <v>4535</v>
      </c>
      <c r="JV87" s="35">
        <f>IF(AND(ISNUMBER(JW87),ISNUMBER(JU87)),JW87-JU87,"")</f>
        <v>0</v>
      </c>
      <c r="JW87" s="34">
        <v>3199</v>
      </c>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359</v>
      </c>
      <c r="H88" s="39" t="s">
        <v>399</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v>493</v>
      </c>
      <c r="JT88" s="35">
        <f>IF(AND(ISNUMBER(JU88),ISNUMBER(JS88)),JU88-JS88,"")</f>
        <v>0</v>
      </c>
      <c r="JU88" s="34">
        <v>912</v>
      </c>
      <c r="JV88" s="35">
        <f>IF(AND(ISNUMBER(JW88),ISNUMBER(JU88)),JW88-JU88,"")</f>
        <v>0</v>
      </c>
      <c r="JW88" s="34">
        <v>1282</v>
      </c>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359</v>
      </c>
      <c r="H89" s="39" t="s">
        <v>399</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v>1463</v>
      </c>
      <c r="JT89" s="35">
        <f>IF(AND(ISNUMBER(JU89),ISNUMBER(JS89)),JU89-JS89,"")</f>
        <v>0</v>
      </c>
      <c r="JU89" s="34">
        <v>1674</v>
      </c>
      <c r="JV89" s="35">
        <f>IF(AND(ISNUMBER(JW89),ISNUMBER(JU89)),JW89-JU89,"")</f>
        <v>0</v>
      </c>
      <c r="JW89" s="34">
        <v>1455</v>
      </c>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359</v>
      </c>
      <c r="H90" s="39" t="s">
        <v>399</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v>375</v>
      </c>
      <c r="JT90" s="35">
        <f>IF(AND(ISNUMBER(JU90),ISNUMBER(JS90)),JU90-JS90,"")</f>
        <v>0</v>
      </c>
      <c r="JU90" s="34">
        <v>1949</v>
      </c>
      <c r="JV90" s="35">
        <f>IF(AND(ISNUMBER(JW90),ISNUMBER(JU90)),JW90-JU90,"")</f>
        <v>0</v>
      </c>
      <c r="JW90" s="34">
        <v>462</v>
      </c>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424</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431</v>
      </c>
      <c r="E92" s="33" t="s">
        <v>359</v>
      </c>
      <c r="F92" s="39">
        <v>45597</v>
      </c>
      <c r="H92" s="39" t="s">
        <v>399</v>
      </c>
      <c r="I92" s="34">
        <v>8918</v>
      </c>
      <c r="J92" s="35">
        <f>IF(AND(ISNUMBER(K92),ISNUMBER(I92)),K92-I92,"")</f>
        <v>0</v>
      </c>
      <c r="K92" s="41" t="s">
        <v>405</v>
      </c>
      <c r="L92" s="35">
        <f>IF(AND(ISNUMBER(M92),ISNUMBER(K92)),M92-K92,"")</f>
        <v>0</v>
      </c>
      <c r="M92" s="41" t="s">
        <v>405</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v>2623</v>
      </c>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432</v>
      </c>
    </row>
    <row r="93" spans="1:322" hidden="1">
      <c r="A93" s="37" t="s">
        <v>164</v>
      </c>
      <c r="B93" s="24"/>
      <c r="C93" s="32" t="s">
        <v>30</v>
      </c>
      <c r="D93" s="32" t="s">
        <v>162</v>
      </c>
      <c r="E93" s="33" t="s">
        <v>359</v>
      </c>
      <c r="F93" s="39">
        <v>45627</v>
      </c>
      <c r="H93" s="39" t="s">
        <v>399</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433</v>
      </c>
      <c r="AZ93" s="35">
        <f>IF(AND(ISNUMBER(BA93),ISNUMBER(AY93)),BA93-AY93,"")</f>
        <v>0</v>
      </c>
      <c r="BA93" s="41" t="s">
        <v>433</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395</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v>9605</v>
      </c>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434</v>
      </c>
    </row>
    <row r="94" spans="1:322" hidden="1">
      <c r="A94" s="37" t="s">
        <v>167</v>
      </c>
      <c r="B94" s="24"/>
      <c r="C94" s="32" t="s">
        <v>30</v>
      </c>
      <c r="D94" s="32" t="s">
        <v>165</v>
      </c>
      <c r="E94" s="33" t="s">
        <v>435</v>
      </c>
      <c r="H94" s="39" t="s">
        <v>399</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427</v>
      </c>
      <c r="D95" s="38" t="s">
        <v>156</v>
      </c>
      <c r="H95" s="39" t="s">
        <v>399</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359</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436</v>
      </c>
      <c r="E97" s="33" t="s">
        <v>359</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437</v>
      </c>
      <c r="IT97" s="35">
        <f>IF(AND(ISNUMBER(IU97),ISNUMBER(IS97)),IU97-IS97,"")</f>
        <v>0</v>
      </c>
      <c r="IU97" s="34">
        <v>2535</v>
      </c>
      <c r="IV97" s="35">
        <f>IF(AND(ISNUMBER(IW97),ISNUMBER(IU97)),IW97-IU97,"")</f>
        <v>0</v>
      </c>
      <c r="IW97" s="41" t="s">
        <v>438</v>
      </c>
      <c r="IX97" s="35">
        <f>IF(AND(ISNUMBER(IY97),ISNUMBER(IW97)),IY97-IW97,"")</f>
        <v>0</v>
      </c>
      <c r="IY97" s="41" t="s">
        <v>438</v>
      </c>
      <c r="IZ97" s="35">
        <f>IF(AND(ISNUMBER(JA97),ISNUMBER(IY97)),JA97-IY97,"")</f>
        <v>0</v>
      </c>
      <c r="JA97" s="41" t="s">
        <v>438</v>
      </c>
      <c r="JB97" s="35">
        <f>IF(AND(ISNUMBER(JC97),ISNUMBER(JA97)),JC97-JA97,"")</f>
        <v>0</v>
      </c>
      <c r="JC97" s="41" t="s">
        <v>438</v>
      </c>
      <c r="JD97" s="35">
        <f>IF(AND(ISNUMBER(JE97),ISNUMBER(JC97)),JE97-JC97,"")</f>
        <v>0</v>
      </c>
      <c r="JE97" s="41" t="s">
        <v>438</v>
      </c>
      <c r="JF97" s="35">
        <f>IF(AND(ISNUMBER(JG97),ISNUMBER(JE97)),JG97-JE97,"")</f>
        <v>0</v>
      </c>
      <c r="JG97" s="41" t="s">
        <v>438</v>
      </c>
      <c r="JH97" s="35">
        <f>IF(AND(ISNUMBER(JI97),ISNUMBER(JG97)),JI97-JG97,"")</f>
        <v>0</v>
      </c>
      <c r="JI97" s="41" t="s">
        <v>438</v>
      </c>
      <c r="JJ97" s="35">
        <f>IF(AND(ISNUMBER(JK97),ISNUMBER(JI97)),JK97-JI97,"")</f>
        <v>0</v>
      </c>
      <c r="JK97" s="41" t="s">
        <v>438</v>
      </c>
      <c r="JL97" s="35">
        <f>IF(AND(ISNUMBER(JM97),ISNUMBER(JK97)),JM97-JK97,"")</f>
        <v>0</v>
      </c>
      <c r="JM97" s="41" t="s">
        <v>438</v>
      </c>
      <c r="JN97" s="35">
        <f>IF(AND(ISNUMBER(JO97),ISNUMBER(JM97)),JO97-JM97,"")</f>
        <v>0</v>
      </c>
      <c r="JO97" s="41" t="s">
        <v>438</v>
      </c>
      <c r="JP97" s="35">
        <f>IF(AND(ISNUMBER(JQ97),ISNUMBER(JO97)),JQ97-JO97,"")</f>
        <v>0</v>
      </c>
      <c r="JQ97" s="41" t="s">
        <v>438</v>
      </c>
      <c r="JR97" s="35">
        <f>IF(AND(ISNUMBER(JS97),ISNUMBER(JQ97)),JS97-JQ97,"")</f>
        <v>0</v>
      </c>
      <c r="JS97" s="41" t="s">
        <v>438</v>
      </c>
      <c r="JT97" s="35">
        <f>IF(AND(ISNUMBER(JU97),ISNUMBER(JS97)),JU97-JS97,"")</f>
        <v>0</v>
      </c>
      <c r="JU97" s="41" t="s">
        <v>438</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435</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428</v>
      </c>
      <c r="D99" s="38" t="s">
        <v>156</v>
      </c>
      <c r="H99" s="39" t="s">
        <v>399</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431</v>
      </c>
      <c r="E100" s="33" t="s">
        <v>359</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436</v>
      </c>
      <c r="E101" s="33" t="s">
        <v>359</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437</v>
      </c>
      <c r="IT101" s="35">
        <f>IF(AND(ISNUMBER(IU101),ISNUMBER(IS101)),IU101-IS101,"")</f>
        <v>0</v>
      </c>
      <c r="IU101" s="34">
        <v>2441</v>
      </c>
      <c r="IV101" s="35">
        <f>IF(AND(ISNUMBER(IW101),ISNUMBER(IU101)),IW101-IU101,"")</f>
        <v>0</v>
      </c>
      <c r="IW101" s="41" t="s">
        <v>438</v>
      </c>
      <c r="IX101" s="35">
        <f>IF(AND(ISNUMBER(IY101),ISNUMBER(IW101)),IY101-IW101,"")</f>
        <v>0</v>
      </c>
      <c r="IY101" s="41" t="s">
        <v>438</v>
      </c>
      <c r="IZ101" s="35">
        <f>IF(AND(ISNUMBER(JA101),ISNUMBER(IY101)),JA101-IY101,"")</f>
        <v>0</v>
      </c>
      <c r="JA101" s="41" t="s">
        <v>438</v>
      </c>
      <c r="JB101" s="35">
        <f>IF(AND(ISNUMBER(JC101),ISNUMBER(JA101)),JC101-JA101,"")</f>
        <v>0</v>
      </c>
      <c r="JC101" s="41" t="s">
        <v>438</v>
      </c>
      <c r="JD101" s="35">
        <f>IF(AND(ISNUMBER(JE101),ISNUMBER(JC101)),JE101-JC101,"")</f>
        <v>0</v>
      </c>
      <c r="JE101" s="41" t="s">
        <v>438</v>
      </c>
      <c r="JF101" s="35">
        <f>IF(AND(ISNUMBER(JG101),ISNUMBER(JE101)),JG101-JE101,"")</f>
        <v>0</v>
      </c>
      <c r="JG101" s="41" t="s">
        <v>438</v>
      </c>
      <c r="JH101" s="35">
        <f>IF(AND(ISNUMBER(JI101),ISNUMBER(JG101)),JI101-JG101,"")</f>
        <v>0</v>
      </c>
      <c r="JI101" s="41" t="s">
        <v>438</v>
      </c>
      <c r="JJ101" s="35">
        <f>IF(AND(ISNUMBER(JK101),ISNUMBER(JI101)),JK101-JI101,"")</f>
        <v>0</v>
      </c>
      <c r="JK101" s="41" t="s">
        <v>438</v>
      </c>
      <c r="JL101" s="35">
        <f>IF(AND(ISNUMBER(JM101),ISNUMBER(JK101)),JM101-JK101,"")</f>
        <v>0</v>
      </c>
      <c r="JM101" s="41" t="s">
        <v>438</v>
      </c>
      <c r="JN101" s="35">
        <f>IF(AND(ISNUMBER(JO101),ISNUMBER(JM101)),JO101-JM101,"")</f>
        <v>0</v>
      </c>
      <c r="JO101" s="41" t="s">
        <v>438</v>
      </c>
      <c r="JP101" s="35">
        <f>IF(AND(ISNUMBER(JQ101),ISNUMBER(JO101)),JQ101-JO101,"")</f>
        <v>0</v>
      </c>
      <c r="JQ101" s="41" t="s">
        <v>438</v>
      </c>
      <c r="JR101" s="35">
        <f>IF(AND(ISNUMBER(JS101),ISNUMBER(JQ101)),JS101-JQ101,"")</f>
        <v>0</v>
      </c>
      <c r="JS101" s="41" t="s">
        <v>438</v>
      </c>
      <c r="JT101" s="35">
        <f>IF(AND(ISNUMBER(JU101),ISNUMBER(JS101)),JU101-JS101,"")</f>
        <v>0</v>
      </c>
      <c r="JU101" s="41" t="s">
        <v>438</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435</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439</v>
      </c>
      <c r="C103" s="44" t="s">
        <v>30</v>
      </c>
      <c r="D103" s="44" t="s">
        <v>183</v>
      </c>
      <c r="E103" s="26" t="s">
        <v>440</v>
      </c>
      <c r="F103" s="27">
        <v>45388</v>
      </c>
      <c r="G103" s="27"/>
      <c r="H103" s="27" t="s">
        <v>422</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441</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v>83</v>
      </c>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422</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v>70</v>
      </c>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422</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v>91</v>
      </c>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442</v>
      </c>
      <c r="E112" s="33" t="s">
        <v>440</v>
      </c>
      <c r="F112" s="39">
        <v>45300</v>
      </c>
      <c r="H112" s="39" t="s">
        <v>422</v>
      </c>
      <c r="I112" s="41" t="s">
        <v>405</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405</v>
      </c>
      <c r="V112" s="35">
        <f>IF(AND(ISNUMBER(W112),ISNUMBER(U112)),W112-U112,"")</f>
        <v>0</v>
      </c>
      <c r="W112" s="34">
        <v>3078</v>
      </c>
      <c r="X112" s="35">
        <f>IF(AND(ISNUMBER(Y112),ISNUMBER(W112)),Y112-W112,"")</f>
        <v>0</v>
      </c>
      <c r="Y112" s="41" t="s">
        <v>405</v>
      </c>
      <c r="Z112" s="35">
        <f>IF(AND(ISNUMBER(AA112),ISNUMBER(Y112)),AA112-Y112,"")</f>
        <v>0</v>
      </c>
      <c r="AA112" s="41" t="s">
        <v>405</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405</v>
      </c>
      <c r="AP112" s="35">
        <f>IF(AND(ISNUMBER(AQ112),ISNUMBER(AO112)),AQ112-AO112,"")</f>
        <v>0</v>
      </c>
      <c r="AQ112" s="41" t="s">
        <v>405</v>
      </c>
      <c r="AR112" s="35">
        <f>IF(AND(ISNUMBER(AS112),ISNUMBER(AQ112)),AS112-AQ112,"")</f>
        <v>0</v>
      </c>
      <c r="AS112" s="41" t="s">
        <v>405</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v>0</v>
      </c>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443</v>
      </c>
    </row>
    <row r="113" spans="1:322">
      <c r="A113" s="23" t="s">
        <v>202</v>
      </c>
      <c r="B113" s="24" t="s">
        <v>444</v>
      </c>
      <c r="C113" s="44" t="s">
        <v>30</v>
      </c>
      <c r="D113" s="44"/>
      <c r="E113" s="26" t="s">
        <v>445</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v>368</v>
      </c>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446</v>
      </c>
      <c r="C114" s="44" t="s">
        <v>30</v>
      </c>
      <c r="D114" s="44"/>
      <c r="E114" s="26" t="s">
        <v>447</v>
      </c>
      <c r="F114" s="27"/>
      <c r="G114" s="27"/>
      <c r="H114" s="27" t="s">
        <v>413</v>
      </c>
      <c r="I114" s="43" t="s">
        <v>395</v>
      </c>
      <c r="J114" s="29">
        <f>IF(AND(ISNUMBER(K114),ISNUMBER(I114)),K114-I114,"")</f>
        <v>0</v>
      </c>
      <c r="K114" s="43" t="s">
        <v>395</v>
      </c>
      <c r="L114" s="29">
        <f>IF(AND(ISNUMBER(M114),ISNUMBER(K114)),M114-K114,"")</f>
        <v>0</v>
      </c>
      <c r="M114" s="43" t="s">
        <v>395</v>
      </c>
      <c r="N114" s="29">
        <f>IF(AND(ISNUMBER(O114),ISNUMBER(M114)),O114-M114,"")</f>
        <v>0</v>
      </c>
      <c r="O114" s="43" t="s">
        <v>395</v>
      </c>
      <c r="P114" s="29">
        <f>IF(AND(ISNUMBER(Q114),ISNUMBER(O114)),Q114-O114,"")</f>
        <v>0</v>
      </c>
      <c r="Q114" s="43" t="s">
        <v>395</v>
      </c>
      <c r="R114" s="29">
        <f>IF(AND(ISNUMBER(S114),ISNUMBER(Q114)),S114-Q114,"")</f>
        <v>0</v>
      </c>
      <c r="S114" s="43" t="s">
        <v>395</v>
      </c>
      <c r="T114" s="29">
        <f>IF(AND(ISNUMBER(U114),ISNUMBER(S114)),U114-S114,"")</f>
        <v>0</v>
      </c>
      <c r="U114" s="43" t="s">
        <v>395</v>
      </c>
      <c r="V114" s="29">
        <f>IF(AND(ISNUMBER(W114),ISNUMBER(U114)),W114-U114,"")</f>
        <v>0</v>
      </c>
      <c r="W114" s="43" t="s">
        <v>395</v>
      </c>
      <c r="X114" s="29">
        <f>IF(AND(ISNUMBER(Y114),ISNUMBER(W114)),Y114-W114,"")</f>
        <v>0</v>
      </c>
      <c r="Y114" s="43" t="s">
        <v>395</v>
      </c>
      <c r="Z114" s="29">
        <f>IF(AND(ISNUMBER(AA114),ISNUMBER(Y114)),AA114-Y114,"")</f>
        <v>0</v>
      </c>
      <c r="AA114" s="43" t="s">
        <v>395</v>
      </c>
      <c r="AB114" s="29">
        <f>IF(AND(ISNUMBER(AC114),ISNUMBER(AA114)),AC114-AA114,"")</f>
        <v>0</v>
      </c>
      <c r="AC114" s="28">
        <v>27</v>
      </c>
      <c r="AD114" s="29">
        <f>IF(AND(ISNUMBER(AE114),ISNUMBER(AC114)),AE114-AC114,"")</f>
        <v>0</v>
      </c>
      <c r="AE114" s="43" t="s">
        <v>395</v>
      </c>
      <c r="AF114" s="29">
        <f>IF(AND(ISNUMBER(AG114),ISNUMBER(AE114)),AG114-AE114,"")</f>
        <v>0</v>
      </c>
      <c r="AG114" s="43" t="s">
        <v>395</v>
      </c>
      <c r="AH114" s="29">
        <f>IF(AND(ISNUMBER(AI114),ISNUMBER(AG114)),AI114-AG114,"")</f>
        <v>0</v>
      </c>
      <c r="AI114" s="43" t="s">
        <v>395</v>
      </c>
      <c r="AJ114" s="29">
        <f>IF(AND(ISNUMBER(AK114),ISNUMBER(AI114)),AK114-AI114,"")</f>
        <v>0</v>
      </c>
      <c r="AK114" s="43" t="s">
        <v>395</v>
      </c>
      <c r="AL114" s="29">
        <f>IF(AND(ISNUMBER(AM114),ISNUMBER(AK114)),AM114-AK114,"")</f>
        <v>0</v>
      </c>
      <c r="AM114" s="43" t="s">
        <v>395</v>
      </c>
      <c r="AN114" s="29">
        <f>IF(AND(ISNUMBER(AO114),ISNUMBER(AM114)),AO114-AM114,"")</f>
        <v>0</v>
      </c>
      <c r="AO114" s="43" t="s">
        <v>395</v>
      </c>
      <c r="AP114" s="29">
        <f>IF(AND(ISNUMBER(AQ114),ISNUMBER(AO114)),AQ114-AO114,"")</f>
        <v>0</v>
      </c>
      <c r="AQ114" s="28">
        <v>45</v>
      </c>
      <c r="AR114" s="29">
        <f>IF(AND(ISNUMBER(AS114),ISNUMBER(AQ114)),AS114-AQ114,"")</f>
        <v>0</v>
      </c>
      <c r="AS114" s="43" t="s">
        <v>395</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448</v>
      </c>
    </row>
    <row r="115" spans="1:322">
      <c r="A115" s="23" t="s">
        <v>208</v>
      </c>
      <c r="B115" s="24" t="s">
        <v>449</v>
      </c>
      <c r="C115" s="44" t="s">
        <v>30</v>
      </c>
      <c r="D115" s="44"/>
      <c r="E115" s="26" t="s">
        <v>450</v>
      </c>
      <c r="F115" s="27"/>
      <c r="G115" s="27"/>
      <c r="H115" s="27" t="s">
        <v>451</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452</v>
      </c>
      <c r="BR115" s="29">
        <f>IF(AND(ISNUMBER(BS115),ISNUMBER(BQ115)),BS115-BQ115,"")</f>
        <v>0</v>
      </c>
      <c r="BS115" s="43" t="s">
        <v>452</v>
      </c>
      <c r="BT115" s="29">
        <f>IF(AND(ISNUMBER(BU115),ISNUMBER(BS115)),BU115-BS115,"")</f>
        <v>0</v>
      </c>
      <c r="BU115" s="43" t="s">
        <v>452</v>
      </c>
      <c r="BV115" s="29">
        <f>IF(AND(ISNUMBER(BW115),ISNUMBER(BU115)),BW115-BU115,"")</f>
        <v>0</v>
      </c>
      <c r="BW115" s="43" t="s">
        <v>452</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453</v>
      </c>
    </row>
    <row r="116" spans="1:322">
      <c r="A116" s="23" t="s">
        <v>211</v>
      </c>
      <c r="B116" s="24" t="s">
        <v>454</v>
      </c>
      <c r="C116" s="44" t="s">
        <v>30</v>
      </c>
      <c r="D116" s="44"/>
      <c r="E116" s="26" t="s">
        <v>450</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v>26</v>
      </c>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455</v>
      </c>
      <c r="C117" s="25" t="s">
        <v>30</v>
      </c>
      <c r="D117" s="25"/>
      <c r="E117" s="26" t="s">
        <v>456</v>
      </c>
      <c r="F117" s="27"/>
      <c r="G117" s="27"/>
      <c r="H117" s="27" t="s">
        <v>422</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456</v>
      </c>
      <c r="H118" s="39" t="s">
        <v>422</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456</v>
      </c>
      <c r="H119" s="39" t="s">
        <v>422</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456</v>
      </c>
      <c r="H120" s="39" t="s">
        <v>422</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456</v>
      </c>
      <c r="H121" s="39" t="s">
        <v>422</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456</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456</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456</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456</v>
      </c>
      <c r="H125" s="39" t="s">
        <v>422</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456</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456</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456</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457</v>
      </c>
      <c r="C129" s="25" t="s">
        <v>241</v>
      </c>
      <c r="D129" s="25"/>
      <c r="E129" s="26" t="s">
        <v>456</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456</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456</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456</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456</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456</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456</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456</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456</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456</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456</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456</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458</v>
      </c>
      <c r="C141" s="44" t="s">
        <v>272</v>
      </c>
      <c r="D141" s="44"/>
      <c r="E141" s="26" t="s">
        <v>459</v>
      </c>
      <c r="F141" s="27"/>
      <c r="G141" s="27"/>
      <c r="H141" s="27" t="s">
        <v>451</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460</v>
      </c>
      <c r="BR141" s="29">
        <f>IF(AND(ISNUMBER(BS141),ISNUMBER(BQ141)),BS141-BQ141,"")</f>
        <v>0</v>
      </c>
      <c r="BS141" s="43" t="s">
        <v>460</v>
      </c>
      <c r="BT141" s="29">
        <f>IF(AND(ISNUMBER(BU141),ISNUMBER(BS141)),BU141-BS141,"")</f>
        <v>0</v>
      </c>
      <c r="BU141" s="43" t="s">
        <v>460</v>
      </c>
      <c r="BV141" s="29">
        <f>IF(AND(ISNUMBER(BW141),ISNUMBER(BU141)),BW141-BU141,"")</f>
        <v>0</v>
      </c>
      <c r="BW141" s="43" t="s">
        <v>460</v>
      </c>
      <c r="BX141" s="29">
        <f>IF(AND(ISNUMBER(BY141),ISNUMBER(BW141)),BY141-BW141,"")</f>
        <v>0</v>
      </c>
      <c r="BY141" s="43" t="s">
        <v>460</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461</v>
      </c>
    </row>
    <row r="142" spans="1:322">
      <c r="A142" s="23" t="s">
        <v>278</v>
      </c>
      <c r="B142" s="24" t="s">
        <v>462</v>
      </c>
      <c r="C142" s="44" t="s">
        <v>276</v>
      </c>
      <c r="D142" s="44"/>
      <c r="E142" s="26" t="s">
        <v>463</v>
      </c>
      <c r="F142" s="27"/>
      <c r="G142" s="27"/>
      <c r="H142" s="27" t="s">
        <v>422</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v>55047</v>
      </c>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462</v>
      </c>
      <c r="C143" s="44" t="s">
        <v>279</v>
      </c>
      <c r="D143" s="44"/>
      <c r="E143" s="26" t="s">
        <v>463</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v>3439</v>
      </c>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462</v>
      </c>
      <c r="C144" s="44" t="s">
        <v>282</v>
      </c>
      <c r="D144" s="44"/>
      <c r="E144" s="26" t="s">
        <v>463</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v>782</v>
      </c>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462</v>
      </c>
      <c r="C145" s="44" t="s">
        <v>285</v>
      </c>
      <c r="D145" s="44"/>
      <c r="E145" s="26" t="s">
        <v>463</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v>2657</v>
      </c>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464</v>
      </c>
      <c r="C146" s="44" t="s">
        <v>30</v>
      </c>
      <c r="D146" s="44"/>
      <c r="E146" s="26" t="s">
        <v>465</v>
      </c>
      <c r="F146" s="27"/>
      <c r="G146" s="27"/>
      <c r="H146" s="27" t="s">
        <v>422</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v>23</v>
      </c>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466</v>
      </c>
    </row>
    <row r="147" spans="1:322">
      <c r="A147" s="23">
        <v>15</v>
      </c>
      <c r="B147" s="24" t="s">
        <v>467</v>
      </c>
      <c r="C147" s="44" t="s">
        <v>30</v>
      </c>
      <c r="D147" s="44"/>
      <c r="E147" s="26" t="s">
        <v>378</v>
      </c>
      <c r="F147" s="27"/>
      <c r="G147" s="27" t="s">
        <v>468</v>
      </c>
      <c r="H147" s="27" t="s">
        <v>469</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470</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471</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422</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472</v>
      </c>
      <c r="C150" s="44" t="s">
        <v>297</v>
      </c>
      <c r="D150" s="44"/>
      <c r="E150" s="26" t="s">
        <v>473</v>
      </c>
      <c r="F150" s="27"/>
      <c r="G150" s="27"/>
      <c r="H150" s="27" t="s">
        <v>422</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v>12</v>
      </c>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473</v>
      </c>
      <c r="F151" s="39">
        <v>45658</v>
      </c>
      <c r="H151" s="39" t="s">
        <v>422</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v>0</v>
      </c>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473</v>
      </c>
      <c r="H152" s="39" t="s">
        <v>422</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14</v>
      </c>
      <c r="JV152" s="35">
        <f>IF(AND(ISNUMBER(JW152),ISNUMBER(JU152)),JW152-JU152,"")</f>
        <v>0</v>
      </c>
      <c r="JW152" s="34">
        <v>10</v>
      </c>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422</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473</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v>18</v>
      </c>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473</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v>48</v>
      </c>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474</v>
      </c>
      <c r="C156" s="44" t="s">
        <v>30</v>
      </c>
      <c r="D156" s="44"/>
      <c r="E156" s="26" t="s">
        <v>475</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v>25</v>
      </c>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476</v>
      </c>
      <c r="C157" s="44" t="s">
        <v>30</v>
      </c>
      <c r="D157" s="44"/>
      <c r="E157" s="26" t="s">
        <v>477</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v>80</v>
      </c>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386</v>
      </c>
      <c r="B1" s="6" t="s">
        <v>387</v>
      </c>
      <c r="C1" s="6" t="s">
        <v>388</v>
      </c>
      <c r="D1" s="6" t="s">
        <v>389</v>
      </c>
      <c r="E1" s="6" t="s">
        <v>390</v>
      </c>
      <c r="F1" s="45">
        <v>45870</v>
      </c>
      <c r="G1" s="21" t="s">
        <v>394</v>
      </c>
      <c r="H1" s="45">
        <v>45901</v>
      </c>
      <c r="I1" s="21" t="s">
        <v>394</v>
      </c>
      <c r="J1" s="45">
        <v>45931</v>
      </c>
      <c r="K1" s="21" t="s">
        <v>394</v>
      </c>
      <c r="L1" s="45">
        <v>45962</v>
      </c>
      <c r="M1" s="21" t="s">
        <v>394</v>
      </c>
      <c r="N1" s="45">
        <v>45992</v>
      </c>
      <c r="O1" s="21" t="s">
        <v>394</v>
      </c>
      <c r="P1" s="45">
        <v>46023</v>
      </c>
      <c r="Q1" s="21" t="s">
        <v>394</v>
      </c>
      <c r="R1" s="45">
        <v>46054</v>
      </c>
      <c r="S1" s="21" t="s">
        <v>394</v>
      </c>
      <c r="T1" s="45">
        <v>46082</v>
      </c>
      <c r="U1" s="21" t="s">
        <v>394</v>
      </c>
      <c r="V1" s="45">
        <v>46113</v>
      </c>
      <c r="W1" s="21" t="s">
        <v>394</v>
      </c>
      <c r="X1" s="45">
        <v>46143</v>
      </c>
      <c r="Y1" s="21" t="s">
        <v>394</v>
      </c>
      <c r="Z1" s="45">
        <v>46174</v>
      </c>
      <c r="AA1" s="21" t="s">
        <v>394</v>
      </c>
      <c r="AB1" s="45">
        <v>46204</v>
      </c>
      <c r="AC1" s="21" t="s">
        <v>394</v>
      </c>
      <c r="AD1" s="45">
        <v>46235</v>
      </c>
      <c r="AE1" s="21" t="s">
        <v>394</v>
      </c>
      <c r="AF1" s="45">
        <v>46266</v>
      </c>
      <c r="AG1" s="21" t="s">
        <v>394</v>
      </c>
      <c r="AH1" s="45">
        <v>46296</v>
      </c>
      <c r="AI1" s="21" t="s">
        <v>394</v>
      </c>
      <c r="AJ1" s="45">
        <v>46327</v>
      </c>
      <c r="AK1" s="21" t="s">
        <v>394</v>
      </c>
      <c r="AL1" s="45">
        <v>46357</v>
      </c>
      <c r="AM1" s="21" t="s">
        <v>394</v>
      </c>
      <c r="AN1" s="45">
        <v>46388</v>
      </c>
      <c r="AO1" s="21" t="s">
        <v>394</v>
      </c>
      <c r="AP1" s="45">
        <v>46753</v>
      </c>
      <c r="AQ1" s="21" t="s">
        <v>394</v>
      </c>
    </row>
    <row r="2" spans="1:43" ht="12" customHeight="1">
      <c r="F2" s="22">
        <f>IF(COUNT(F3:F5)&gt;0,"Y","X")</f>
        <v>0</v>
      </c>
      <c r="G2" s="22" t="s">
        <v>395</v>
      </c>
      <c r="H2" s="22">
        <f>IF(COUNT(H3:H5)&gt;0,"Y","X")</f>
        <v>0</v>
      </c>
      <c r="I2" s="22" t="s">
        <v>395</v>
      </c>
      <c r="J2" s="22">
        <f>IF(COUNT(J3:J5)&gt;0,"Y","X")</f>
        <v>0</v>
      </c>
      <c r="K2" s="22" t="s">
        <v>395</v>
      </c>
      <c r="L2" s="22">
        <f>IF(COUNT(L3:L5)&gt;0,"Y","X")</f>
        <v>0</v>
      </c>
      <c r="M2" s="22" t="s">
        <v>395</v>
      </c>
      <c r="N2" s="22">
        <f>IF(COUNT(N3:N5)&gt;0,"Y","X")</f>
        <v>0</v>
      </c>
      <c r="O2" s="22" t="s">
        <v>395</v>
      </c>
      <c r="P2" s="22">
        <f>IF(COUNT(P3:P5)&gt;0,"Y","X")</f>
        <v>0</v>
      </c>
      <c r="Q2" s="22" t="s">
        <v>395</v>
      </c>
      <c r="R2" s="22">
        <f>IF(COUNT(R3:R5)&gt;0,"Y","X")</f>
        <v>0</v>
      </c>
      <c r="S2" s="22" t="s">
        <v>395</v>
      </c>
      <c r="T2" s="22">
        <f>IF(COUNT(T3:T5)&gt;0,"Y","X")</f>
        <v>0</v>
      </c>
      <c r="U2" s="22" t="s">
        <v>395</v>
      </c>
      <c r="V2" s="22">
        <f>IF(COUNT(V3:V5)&gt;0,"Y","X")</f>
        <v>0</v>
      </c>
      <c r="W2" s="22" t="s">
        <v>395</v>
      </c>
      <c r="X2" s="22">
        <f>IF(COUNT(X3:X5)&gt;0,"Y","X")</f>
        <v>0</v>
      </c>
      <c r="Y2" s="22" t="s">
        <v>395</v>
      </c>
      <c r="Z2" s="22">
        <f>IF(COUNT(Z3:Z5)&gt;0,"Y","X")</f>
        <v>0</v>
      </c>
      <c r="AA2" s="22" t="s">
        <v>395</v>
      </c>
      <c r="AB2" s="22">
        <f>IF(COUNT(AB3:AB5)&gt;0,"Y","X")</f>
        <v>0</v>
      </c>
      <c r="AC2" s="22" t="s">
        <v>395</v>
      </c>
      <c r="AD2" s="22">
        <f>IF(COUNT(AD3:AD5)&gt;0,"Y","X")</f>
        <v>0</v>
      </c>
      <c r="AE2" s="22" t="s">
        <v>395</v>
      </c>
      <c r="AF2" s="22">
        <f>IF(COUNT(AF3:AF5)&gt;0,"Y","X")</f>
        <v>0</v>
      </c>
      <c r="AG2" s="22" t="s">
        <v>395</v>
      </c>
      <c r="AH2" s="22">
        <f>IF(COUNT(AH3:AH5)&gt;0,"Y","X")</f>
        <v>0</v>
      </c>
      <c r="AI2" s="22" t="s">
        <v>395</v>
      </c>
      <c r="AJ2" s="22">
        <f>IF(COUNT(AJ3:AJ5)&gt;0,"Y","X")</f>
        <v>0</v>
      </c>
      <c r="AK2" s="22" t="s">
        <v>395</v>
      </c>
      <c r="AL2" s="22">
        <f>IF(COUNT(AL3:AL5)&gt;0,"Y","X")</f>
        <v>0</v>
      </c>
      <c r="AM2" s="22" t="s">
        <v>395</v>
      </c>
      <c r="AN2" s="22">
        <f>IF(COUNT(AN3:AN5)&gt;0,"Y","X")</f>
        <v>0</v>
      </c>
      <c r="AO2" s="22" t="s">
        <v>395</v>
      </c>
      <c r="AP2" s="22">
        <f>IF(COUNT(AP3:AP5)&gt;0,"Y","X")</f>
        <v>0</v>
      </c>
      <c r="AQ2" s="22" t="s">
        <v>395</v>
      </c>
    </row>
    <row r="3" spans="1:43">
      <c r="A3" s="23" t="s">
        <v>478</v>
      </c>
      <c r="B3" s="24" t="s">
        <v>479</v>
      </c>
      <c r="C3" s="44" t="s">
        <v>480</v>
      </c>
      <c r="D3" s="44" t="s">
        <v>481</v>
      </c>
      <c r="E3" s="26" t="s">
        <v>363</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482</v>
      </c>
      <c r="B4" s="24"/>
      <c r="C4" s="38" t="s">
        <v>483</v>
      </c>
      <c r="D4" s="38" t="s">
        <v>481</v>
      </c>
      <c r="E4" s="33" t="s">
        <v>363</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484</v>
      </c>
      <c r="B5" s="24"/>
      <c r="C5" s="38" t="s">
        <v>485</v>
      </c>
      <c r="D5" s="38" t="s">
        <v>481</v>
      </c>
      <c r="E5" s="33" t="s">
        <v>363</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386</v>
      </c>
      <c r="B1" s="6" t="s">
        <v>387</v>
      </c>
      <c r="C1" s="6" t="s">
        <v>388</v>
      </c>
      <c r="D1" s="6" t="s">
        <v>389</v>
      </c>
      <c r="E1" s="6" t="s">
        <v>390</v>
      </c>
      <c r="F1" s="45">
        <v>45870</v>
      </c>
      <c r="G1" s="21" t="s">
        <v>394</v>
      </c>
      <c r="H1" s="45">
        <v>45901</v>
      </c>
      <c r="I1" s="21" t="s">
        <v>394</v>
      </c>
      <c r="J1" s="45">
        <v>45931</v>
      </c>
      <c r="K1" s="21" t="s">
        <v>394</v>
      </c>
      <c r="L1" s="45">
        <v>45962</v>
      </c>
      <c r="M1" s="21" t="s">
        <v>394</v>
      </c>
      <c r="N1" s="45">
        <v>45992</v>
      </c>
      <c r="O1" s="21" t="s">
        <v>394</v>
      </c>
      <c r="P1" s="45">
        <v>46023</v>
      </c>
      <c r="Q1" s="21" t="s">
        <v>394</v>
      </c>
      <c r="R1" s="45">
        <v>46054</v>
      </c>
      <c r="S1" s="21" t="s">
        <v>394</v>
      </c>
      <c r="T1" s="45">
        <v>46082</v>
      </c>
      <c r="U1" s="21" t="s">
        <v>394</v>
      </c>
      <c r="V1" s="45">
        <v>46113</v>
      </c>
      <c r="W1" s="21" t="s">
        <v>394</v>
      </c>
      <c r="X1" s="45">
        <v>46143</v>
      </c>
      <c r="Y1" s="21" t="s">
        <v>394</v>
      </c>
      <c r="Z1" s="45">
        <v>46174</v>
      </c>
      <c r="AA1" s="21" t="s">
        <v>394</v>
      </c>
      <c r="AB1" s="45">
        <v>46204</v>
      </c>
      <c r="AC1" s="21" t="s">
        <v>394</v>
      </c>
      <c r="AD1" s="45">
        <v>46235</v>
      </c>
      <c r="AE1" s="21" t="s">
        <v>394</v>
      </c>
      <c r="AF1" s="45">
        <v>46266</v>
      </c>
      <c r="AG1" s="21" t="s">
        <v>394</v>
      </c>
      <c r="AH1" s="45">
        <v>46296</v>
      </c>
      <c r="AI1" s="21" t="s">
        <v>394</v>
      </c>
      <c r="AJ1" s="45">
        <v>46327</v>
      </c>
      <c r="AK1" s="21" t="s">
        <v>394</v>
      </c>
      <c r="AL1" s="45">
        <v>46357</v>
      </c>
      <c r="AM1" s="21" t="s">
        <v>394</v>
      </c>
    </row>
    <row r="2" spans="1:39" ht="12" customHeight="1">
      <c r="F2" s="22">
        <f>IF(COUNT(F3:F7)&gt;0,"Y","X")</f>
        <v>0</v>
      </c>
      <c r="G2" s="22" t="s">
        <v>395</v>
      </c>
      <c r="H2" s="22">
        <f>IF(COUNT(H3:H7)&gt;0,"Y","X")</f>
        <v>0</v>
      </c>
      <c r="I2" s="22" t="s">
        <v>395</v>
      </c>
      <c r="J2" s="22">
        <f>IF(COUNT(J3:J7)&gt;0,"Y","X")</f>
        <v>0</v>
      </c>
      <c r="K2" s="22" t="s">
        <v>395</v>
      </c>
      <c r="L2" s="22">
        <f>IF(COUNT(L3:L7)&gt;0,"Y","X")</f>
        <v>0</v>
      </c>
      <c r="M2" s="22" t="s">
        <v>395</v>
      </c>
      <c r="N2" s="22">
        <f>IF(COUNT(N3:N7)&gt;0,"Y","X")</f>
        <v>0</v>
      </c>
      <c r="O2" s="22" t="s">
        <v>395</v>
      </c>
      <c r="P2" s="22">
        <f>IF(COUNT(P3:P7)&gt;0,"Y","X")</f>
        <v>0</v>
      </c>
      <c r="Q2" s="22" t="s">
        <v>395</v>
      </c>
      <c r="R2" s="22">
        <f>IF(COUNT(R3:R7)&gt;0,"Y","X")</f>
        <v>0</v>
      </c>
      <c r="S2" s="22" t="s">
        <v>395</v>
      </c>
      <c r="T2" s="22">
        <f>IF(COUNT(T3:T7)&gt;0,"Y","X")</f>
        <v>0</v>
      </c>
      <c r="U2" s="22" t="s">
        <v>395</v>
      </c>
      <c r="V2" s="22">
        <f>IF(COUNT(V3:V7)&gt;0,"Y","X")</f>
        <v>0</v>
      </c>
      <c r="W2" s="22" t="s">
        <v>395</v>
      </c>
      <c r="X2" s="22">
        <f>IF(COUNT(X3:X7)&gt;0,"Y","X")</f>
        <v>0</v>
      </c>
      <c r="Y2" s="22" t="s">
        <v>395</v>
      </c>
      <c r="Z2" s="22">
        <f>IF(COUNT(Z3:Z7)&gt;0,"Y","X")</f>
        <v>0</v>
      </c>
      <c r="AA2" s="22" t="s">
        <v>395</v>
      </c>
      <c r="AB2" s="22">
        <f>IF(COUNT(AB3:AB7)&gt;0,"Y","X")</f>
        <v>0</v>
      </c>
      <c r="AC2" s="22" t="s">
        <v>395</v>
      </c>
      <c r="AD2" s="22">
        <f>IF(COUNT(AD3:AD7)&gt;0,"Y","X")</f>
        <v>0</v>
      </c>
      <c r="AE2" s="22" t="s">
        <v>395</v>
      </c>
      <c r="AF2" s="22">
        <f>IF(COUNT(AF3:AF7)&gt;0,"Y","X")</f>
        <v>0</v>
      </c>
      <c r="AG2" s="22" t="s">
        <v>395</v>
      </c>
      <c r="AH2" s="22">
        <f>IF(COUNT(AH3:AH7)&gt;0,"Y","X")</f>
        <v>0</v>
      </c>
      <c r="AI2" s="22" t="s">
        <v>395</v>
      </c>
      <c r="AJ2" s="22">
        <f>IF(COUNT(AJ3:AJ7)&gt;0,"Y","X")</f>
        <v>0</v>
      </c>
      <c r="AK2" s="22" t="s">
        <v>395</v>
      </c>
      <c r="AL2" s="22">
        <f>IF(COUNT(AL3:AL7)&gt;0,"Y","X")</f>
        <v>0</v>
      </c>
      <c r="AM2" s="22" t="s">
        <v>395</v>
      </c>
    </row>
    <row r="3" spans="1:39">
      <c r="A3" s="23" t="s">
        <v>486</v>
      </c>
      <c r="B3" s="24" t="s">
        <v>487</v>
      </c>
      <c r="C3" s="44" t="s">
        <v>488</v>
      </c>
      <c r="D3" s="44" t="s">
        <v>489</v>
      </c>
      <c r="E3" s="26" t="s">
        <v>473</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v>161</v>
      </c>
      <c r="AG3" s="29">
        <f>IF(AND(ISNUMBER(AH3),ISNUMBER(AF3)),AH3-AF3,"")</f>
        <v>0</v>
      </c>
      <c r="AH3" s="28"/>
      <c r="AI3" s="29">
        <f>IF(AND(ISNUMBER(AJ3),ISNUMBER(AH3)),AJ3-AH3,"")</f>
        <v>0</v>
      </c>
      <c r="AJ3" s="28"/>
      <c r="AK3" s="29">
        <f>IF(AND(ISNUMBER(AL3),ISNUMBER(AJ3)),AL3-AJ3,"")</f>
        <v>0</v>
      </c>
      <c r="AL3" s="28"/>
      <c r="AM3" s="31"/>
    </row>
    <row r="4" spans="1:39">
      <c r="B4" s="24"/>
      <c r="C4" s="38" t="s">
        <v>490</v>
      </c>
      <c r="D4" s="38" t="s">
        <v>489</v>
      </c>
      <c r="E4" s="33" t="s">
        <v>473</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40">
        <f>IF(COUNT(AF3,AF7)=0,"",AF3-AF7)</f>
        <v>0</v>
      </c>
      <c r="AG4" s="35">
        <f>IF(AND(ISNUMBER(AH4),ISNUMBER(AF4)),AH4-AF4,"")</f>
        <v>0</v>
      </c>
      <c r="AH4" s="34"/>
      <c r="AI4" s="35">
        <f>IF(AND(ISNUMBER(AJ4),ISNUMBER(AH4)),AJ4-AH4,"")</f>
        <v>0</v>
      </c>
      <c r="AJ4" s="34"/>
      <c r="AK4" s="35">
        <f>IF(AND(ISNUMBER(AL4),ISNUMBER(AJ4)),AL4-AJ4,"")</f>
        <v>0</v>
      </c>
      <c r="AL4" s="34"/>
    </row>
    <row r="5" spans="1:39">
      <c r="A5" s="37" t="s">
        <v>491</v>
      </c>
      <c r="B5" s="24"/>
      <c r="C5" s="38" t="s">
        <v>492</v>
      </c>
      <c r="D5" s="38" t="s">
        <v>489</v>
      </c>
      <c r="E5" s="33" t="s">
        <v>473</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40">
        <f>AF4/AF3</f>
        <v>0</v>
      </c>
      <c r="AG5" s="35">
        <f>IF(AND(ISNUMBER(AH5),ISNUMBER(AF5)),AH5-AF5,"")</f>
        <v>0</v>
      </c>
      <c r="AH5" s="34"/>
      <c r="AI5" s="35">
        <f>IF(AND(ISNUMBER(AJ5),ISNUMBER(AH5)),AJ5-AH5,"")</f>
        <v>0</v>
      </c>
      <c r="AJ5" s="34"/>
      <c r="AK5" s="35">
        <f>IF(AND(ISNUMBER(AL5),ISNUMBER(AJ5)),AL5-AJ5,"")</f>
        <v>0</v>
      </c>
      <c r="AL5" s="34"/>
    </row>
    <row r="6" spans="1:39">
      <c r="B6" s="24"/>
      <c r="C6" s="32" t="s">
        <v>493</v>
      </c>
      <c r="D6" s="32" t="s">
        <v>489</v>
      </c>
      <c r="E6" s="33" t="s">
        <v>473</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v>0</v>
      </c>
      <c r="AG6" s="35">
        <f>IF(AND(ISNUMBER(AH6),ISNUMBER(AF6)),AH6-AF6,"")</f>
        <v>0</v>
      </c>
      <c r="AH6" s="34"/>
      <c r="AI6" s="35">
        <f>IF(AND(ISNUMBER(AJ6),ISNUMBER(AH6)),AJ6-AH6,"")</f>
        <v>0</v>
      </c>
      <c r="AJ6" s="34"/>
      <c r="AK6" s="35">
        <f>IF(AND(ISNUMBER(AL6),ISNUMBER(AJ6)),AL6-AJ6,"")</f>
        <v>0</v>
      </c>
      <c r="AL6" s="34"/>
    </row>
    <row r="7" spans="1:39">
      <c r="B7" s="24"/>
      <c r="C7" s="32" t="s">
        <v>494</v>
      </c>
      <c r="D7" s="32" t="s">
        <v>489</v>
      </c>
      <c r="E7" s="33" t="s">
        <v>473</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v>10</v>
      </c>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836</v>
      </c>
    </row>
    <row r="2" spans="1:6">
      <c r="A2" s="8" t="s">
        <v>837</v>
      </c>
    </row>
    <row r="4" spans="1:6" ht="28" customHeight="1">
      <c r="A4" s="6" t="s">
        <v>342</v>
      </c>
      <c r="B4" s="6" t="s">
        <v>838</v>
      </c>
      <c r="C4" s="6" t="s">
        <v>839</v>
      </c>
      <c r="D4" s="6" t="s">
        <v>840</v>
      </c>
      <c r="E4" s="6" t="s">
        <v>841</v>
      </c>
      <c r="F4" s="6" t="s">
        <v>842</v>
      </c>
    </row>
    <row r="5" spans="1:6" ht="184" customHeight="1">
      <c r="A5" s="9" t="s">
        <v>348</v>
      </c>
      <c r="B5" s="9">
        <v>1</v>
      </c>
      <c r="C5" s="47" t="s">
        <v>843</v>
      </c>
      <c r="D5" s="48" t="s">
        <v>844</v>
      </c>
      <c r="E5" s="49" t="s">
        <v>845</v>
      </c>
      <c r="F5" s="9" t="s">
        <v>846</v>
      </c>
    </row>
    <row r="6" spans="1:6" ht="19" customHeight="1">
      <c r="A6" s="9" t="s">
        <v>348</v>
      </c>
      <c r="B6" s="9">
        <v>2</v>
      </c>
      <c r="C6" s="47" t="s">
        <v>411</v>
      </c>
      <c r="D6" s="48" t="s">
        <v>847</v>
      </c>
      <c r="E6" s="49"/>
      <c r="F6" s="9" t="s">
        <v>847</v>
      </c>
    </row>
    <row r="7" spans="1:6" ht="124" customHeight="1">
      <c r="A7" s="9" t="s">
        <v>348</v>
      </c>
      <c r="B7" s="9">
        <v>3</v>
      </c>
      <c r="C7" s="47" t="s">
        <v>56</v>
      </c>
      <c r="D7" s="48" t="s">
        <v>472</v>
      </c>
      <c r="E7" s="49" t="s">
        <v>848</v>
      </c>
      <c r="F7" s="9" t="s">
        <v>472</v>
      </c>
    </row>
    <row r="8" spans="1:6" ht="19" customHeight="1">
      <c r="A8" s="9" t="s">
        <v>348</v>
      </c>
      <c r="B8" s="9">
        <v>4</v>
      </c>
      <c r="C8" s="47" t="s">
        <v>849</v>
      </c>
      <c r="D8" s="48" t="s">
        <v>850</v>
      </c>
      <c r="E8" s="49" t="s">
        <v>851</v>
      </c>
      <c r="F8" s="9" t="s">
        <v>439</v>
      </c>
    </row>
    <row r="9" spans="1:6" ht="19" customHeight="1">
      <c r="A9" s="9" t="s">
        <v>348</v>
      </c>
      <c r="B9" s="9">
        <v>5</v>
      </c>
      <c r="C9" s="47" t="s">
        <v>83</v>
      </c>
      <c r="D9" s="48" t="s">
        <v>444</v>
      </c>
      <c r="E9" s="49"/>
      <c r="F9" s="9" t="s">
        <v>444</v>
      </c>
    </row>
    <row r="10" spans="1:6" ht="94" customHeight="1">
      <c r="A10" s="9" t="s">
        <v>348</v>
      </c>
      <c r="B10" s="9">
        <v>6</v>
      </c>
      <c r="C10" s="47" t="s">
        <v>852</v>
      </c>
      <c r="D10" s="48" t="s">
        <v>474</v>
      </c>
      <c r="E10" s="49" t="s">
        <v>853</v>
      </c>
      <c r="F10" s="9" t="s">
        <v>474</v>
      </c>
    </row>
    <row r="11" spans="1:6" ht="49" customHeight="1">
      <c r="A11" s="9" t="s">
        <v>348</v>
      </c>
      <c r="B11" s="9">
        <v>7</v>
      </c>
      <c r="C11" s="47" t="s">
        <v>854</v>
      </c>
      <c r="D11" s="48" t="s">
        <v>476</v>
      </c>
      <c r="E11" s="49" t="s">
        <v>855</v>
      </c>
      <c r="F11" s="9" t="s">
        <v>476</v>
      </c>
    </row>
    <row r="12" spans="1:6" ht="19" customHeight="1">
      <c r="A12" s="9" t="s">
        <v>351</v>
      </c>
      <c r="B12" s="9">
        <v>1</v>
      </c>
      <c r="C12" s="47" t="s">
        <v>856</v>
      </c>
      <c r="D12" s="48" t="s">
        <v>420</v>
      </c>
      <c r="E12" s="49" t="s">
        <v>857</v>
      </c>
      <c r="F12" s="9" t="s">
        <v>420</v>
      </c>
    </row>
    <row r="13" spans="1:6" ht="19" customHeight="1">
      <c r="A13" s="9" t="s">
        <v>351</v>
      </c>
      <c r="B13" s="9">
        <v>2</v>
      </c>
      <c r="C13" s="47" t="s">
        <v>411</v>
      </c>
      <c r="D13" s="48" t="s">
        <v>462</v>
      </c>
      <c r="E13" s="49" t="s">
        <v>858</v>
      </c>
      <c r="F13" s="9" t="s">
        <v>462</v>
      </c>
    </row>
    <row r="14" spans="1:6" ht="19" customHeight="1">
      <c r="A14" s="9" t="s">
        <v>351</v>
      </c>
      <c r="B14" s="9">
        <v>3</v>
      </c>
      <c r="C14" s="47" t="s">
        <v>56</v>
      </c>
      <c r="D14" s="48" t="s">
        <v>859</v>
      </c>
      <c r="E14" s="49" t="s">
        <v>860</v>
      </c>
      <c r="F14" s="9" t="s">
        <v>861</v>
      </c>
    </row>
    <row r="15" spans="1:6" ht="19" customHeight="1">
      <c r="A15" s="9" t="s">
        <v>351</v>
      </c>
      <c r="B15" s="9">
        <v>4</v>
      </c>
      <c r="C15" s="47" t="s">
        <v>862</v>
      </c>
      <c r="D15" s="48" t="s">
        <v>863</v>
      </c>
      <c r="E15" s="49" t="s">
        <v>864</v>
      </c>
      <c r="F15" s="9" t="s">
        <v>863</v>
      </c>
    </row>
    <row r="16" spans="1:6" ht="49" customHeight="1">
      <c r="A16" s="9" t="s">
        <v>351</v>
      </c>
      <c r="B16" s="9">
        <v>5</v>
      </c>
      <c r="C16" s="47" t="s">
        <v>83</v>
      </c>
      <c r="D16" s="48" t="s">
        <v>865</v>
      </c>
      <c r="E16" s="49" t="s">
        <v>866</v>
      </c>
      <c r="F16" s="9" t="s">
        <v>865</v>
      </c>
    </row>
    <row r="17" spans="1:6" ht="19" customHeight="1">
      <c r="A17" s="9" t="s">
        <v>351</v>
      </c>
      <c r="B17" s="9">
        <v>6</v>
      </c>
      <c r="C17" s="47" t="s">
        <v>852</v>
      </c>
      <c r="D17" s="48" t="s">
        <v>867</v>
      </c>
      <c r="E17" s="49"/>
      <c r="F17" s="9" t="s">
        <v>867</v>
      </c>
    </row>
    <row r="18" spans="1:6" ht="19" customHeight="1">
      <c r="A18" s="9" t="s">
        <v>353</v>
      </c>
      <c r="B18" s="9">
        <v>1</v>
      </c>
      <c r="C18" s="47" t="s">
        <v>856</v>
      </c>
      <c r="D18" s="48" t="s">
        <v>412</v>
      </c>
      <c r="E18" s="49"/>
      <c r="F18" s="9" t="s">
        <v>412</v>
      </c>
    </row>
    <row r="19" spans="1:6" ht="19" customHeight="1">
      <c r="A19" s="9" t="s">
        <v>353</v>
      </c>
      <c r="B19" s="9">
        <v>2</v>
      </c>
      <c r="C19" s="47" t="s">
        <v>411</v>
      </c>
      <c r="D19" s="48" t="s">
        <v>419</v>
      </c>
      <c r="E19" s="49"/>
      <c r="F19" s="9" t="s">
        <v>419</v>
      </c>
    </row>
    <row r="20" spans="1:6" ht="19" customHeight="1">
      <c r="A20" s="9" t="s">
        <v>353</v>
      </c>
      <c r="B20" s="9">
        <v>3</v>
      </c>
      <c r="C20" s="47" t="s">
        <v>56</v>
      </c>
      <c r="D20" s="48" t="s">
        <v>446</v>
      </c>
      <c r="E20" s="49"/>
      <c r="F20" s="9" t="s">
        <v>446</v>
      </c>
    </row>
    <row r="21" spans="1:6" ht="19" customHeight="1">
      <c r="A21" s="9" t="s">
        <v>353</v>
      </c>
      <c r="B21" s="9">
        <v>4</v>
      </c>
      <c r="C21" s="47" t="s">
        <v>862</v>
      </c>
      <c r="D21" s="48" t="s">
        <v>868</v>
      </c>
      <c r="E21" s="49"/>
      <c r="F21" s="9" t="s">
        <v>868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5" t="s">
        <v>318</v>
      </c>
    </row>
    <row r="2" spans="1:7">
      <c r="A2" s="8" t="s">
        <v>319</v>
      </c>
    </row>
    <row r="3" spans="1:7">
      <c r="B3" s="3" t="s">
        <v>320</v>
      </c>
    </row>
    <row r="4" spans="1:7">
      <c r="B4" s="11" t="s">
        <v>321</v>
      </c>
      <c r="C4" s="18">
        <f>TODAY()+MOD(5-WEEKDAY(TODAY(),2),7)</f>
        <v>0</v>
      </c>
    </row>
    <row r="5" spans="1:7">
      <c r="B5" s="11" t="s">
        <v>322</v>
      </c>
      <c r="C5" s="65"/>
    </row>
    <row r="6" spans="1:7">
      <c r="B6" s="11" t="s">
        <v>323</v>
      </c>
      <c r="C6" s="4">
        <f>IF(C5&lt;&gt;"",C5,C4)</f>
        <v>0</v>
      </c>
    </row>
    <row r="8" spans="1:7">
      <c r="B8" s="3" t="s">
        <v>324</v>
      </c>
      <c r="E8" s="3" t="s">
        <v>326</v>
      </c>
    </row>
    <row r="9" spans="1:7">
      <c r="B9" s="11" t="s">
        <v>325</v>
      </c>
      <c r="C9" s="66">
        <v>500</v>
      </c>
      <c r="E9" s="11" t="s">
        <v>327</v>
      </c>
      <c r="F9" s="66">
        <v>5500</v>
      </c>
      <c r="G9" s="9">
        <f>IF(N(F9)&gt;0,"SLA "&amp;FIXED(F9/1000,1),"SLA: kein Wert")</f>
        <v>0</v>
      </c>
    </row>
    <row r="10" spans="1:7">
      <c r="B10" s="11" t="s">
        <v>330</v>
      </c>
      <c r="C10" s="9" t="s">
        <v>331</v>
      </c>
      <c r="E10" s="11" t="s">
        <v>328</v>
      </c>
      <c r="F10" s="66"/>
    </row>
    <row r="11" spans="1:7">
      <c r="B11" s="3" t="s">
        <v>332</v>
      </c>
      <c r="E11" s="11" t="s">
        <v>329</v>
      </c>
      <c r="F11" s="10">
        <f>IF(N(F10)&gt;0,F10,IFERROR(ROUND(F9*_xlfn.AGGREGATE(1,6,Dashboard_Daten!$U$130:$AD$130),-2),""))</f>
        <v>0</v>
      </c>
      <c r="G11" s="9">
        <f>IF(N(F11)&gt;0,IF(N(F10)&gt;0,"SLA "&amp;FIXED(F11/1000,1),"SLA "&amp;FIXED(F11/1000,1)&amp;" (Faktor "&amp;FIXED(_xlfn.AGGREGATE(1,6,Dashboard_Daten!$U$130:$AD$130),2)&amp;") TBC"),"SLA OPAG: noch kein Vorschlag")</f>
        <v>0</v>
      </c>
    </row>
    <row r="12" spans="1:7">
      <c r="B12" s="11" t="s">
        <v>333</v>
      </c>
      <c r="C12" s="48"/>
    </row>
    <row r="13" spans="1:7">
      <c r="B13" s="11" t="s">
        <v>334</v>
      </c>
      <c r="C13" s="48"/>
    </row>
    <row r="14" spans="1:7">
      <c r="B14" s="3" t="s">
        <v>335</v>
      </c>
    </row>
    <row r="15" spans="1:7">
      <c r="B15" s="11" t="s">
        <v>336</v>
      </c>
      <c r="C15" s="48" t="s">
        <v>337</v>
      </c>
    </row>
    <row r="16" spans="1:7">
      <c r="B16" s="11" t="s">
        <v>338</v>
      </c>
      <c r="C16" s="48" t="s">
        <v>339</v>
      </c>
    </row>
    <row r="17" spans="2:7">
      <c r="B17" s="11" t="s">
        <v>340</v>
      </c>
      <c r="C17" s="9">
        <f>"Stand  "&amp;TEXT(DAY(Berichtstag),"00")&amp;"."&amp;TEXT(MONTH(Berichtstag),"00")&amp;"."&amp;YEAR(Berichtstag)</f>
        <v>0</v>
      </c>
    </row>
    <row r="19" spans="2:7">
      <c r="B19" s="3" t="s">
        <v>341</v>
      </c>
    </row>
    <row r="20" spans="2:7">
      <c r="B20" s="6" t="s">
        <v>342</v>
      </c>
      <c r="C20" s="6" t="s">
        <v>343</v>
      </c>
      <c r="E20" s="6" t="s">
        <v>344</v>
      </c>
      <c r="F20" s="6" t="s">
        <v>345</v>
      </c>
    </row>
    <row r="21" spans="2:7">
      <c r="B21" s="9" t="s">
        <v>346</v>
      </c>
      <c r="C21" s="9" t="s">
        <v>347</v>
      </c>
      <c r="E21" s="48"/>
      <c r="F21" s="47" t="s">
        <v>14</v>
      </c>
      <c r="G21" s="67">
        <f>E21&amp;IF(E21="","","  ·  ")&amp;"STAND "&amp;TEXT(DAY(Berichtstag),"00")&amp;"."&amp;TEXT(MONTH(Berichtstag),"00")&amp;"."&amp;YEAR(Berichtstag)</f>
        <v>0</v>
      </c>
    </row>
    <row r="22" spans="2:7">
      <c r="B22" s="9" t="s">
        <v>348</v>
      </c>
      <c r="C22" s="48" t="s">
        <v>349</v>
      </c>
      <c r="E22" s="48" t="s">
        <v>350</v>
      </c>
      <c r="F22" s="47" t="s">
        <v>14</v>
      </c>
      <c r="G22" s="67">
        <f>E22&amp;IF(E22="","","  ·  ")&amp;"STAND "&amp;TEXT(DAY(Berichtstag),"00")&amp;"."&amp;TEXT(MONTH(Berichtstag),"00")&amp;"."&amp;YEAR(Berichtstag)</f>
        <v>0</v>
      </c>
    </row>
    <row r="23" spans="2:7">
      <c r="B23" s="9" t="s">
        <v>351</v>
      </c>
      <c r="C23" s="48" t="s">
        <v>352</v>
      </c>
      <c r="E23" s="48" t="s">
        <v>350</v>
      </c>
      <c r="F23" s="47" t="s">
        <v>14</v>
      </c>
      <c r="G23" s="67">
        <f>E23&amp;IF(E23="","","  ·  ")&amp;"STAND "&amp;TEXT(DAY(Berichtstag),"00")&amp;"."&amp;TEXT(MONTH(Berichtstag),"00")&amp;"."&amp;YEAR(Berichtstag)</f>
        <v>0</v>
      </c>
    </row>
    <row r="24" spans="2:7">
      <c r="B24" s="9" t="s">
        <v>353</v>
      </c>
      <c r="C24" s="48" t="s">
        <v>354</v>
      </c>
      <c r="E24" s="48" t="s">
        <v>355</v>
      </c>
      <c r="F24" s="47" t="s">
        <v>95</v>
      </c>
      <c r="G24" s="67">
        <f>E24&amp;IF(E24="","","  ·  ")&amp;"STAND "&amp;TEXT(DAY(Berichtstag),"00")&amp;"."&amp;TEXT(MONTH(Berichtstag),"00")&amp;"."&amp;YEAR(Berichtstag)</f>
        <v>0</v>
      </c>
    </row>
    <row r="25" spans="2:7">
      <c r="B25" s="11" t="s">
        <v>356</v>
      </c>
      <c r="C25" s="9">
        <f>"Wochenwerte KW "&amp;_xlfn.ISOWEEKNUM((Berichtstag-7*(N(Dashboard_Daten!$B$3)-1)))&amp;" bis KW "&amp;_xlfn.ISOWEEKNUM(Berichtstag)&amp;" (Berichtstage "&amp;TEXT(DAY((Berichtstag-7*(N(Dashboard_Daten!$B$3)-1))),"00")&amp;"."&amp;TEXT(MONTH((Berichtstag-7*(N(Dashboard_Daten!$B$3)-1))),"00")&amp;"."&amp;YEAR((Berichtstag-7*(N(Dashboard_Daten!$B$3)-1)))&amp;" bis "&amp;TEXT(DAY(Berichtstag),"00")&amp;"."&amp;TEXT(MONTH(Berichtstag),"00")&amp;"."&amp;YEAR(Berichtstag)&amp;", jeweils freitags)  ·  Monatswerte bis "&amp;CHOOSE(MONTH(Dashboard_Daten!$AO$4),"Januar","Februar","März","April","Mai","Juni","Juli","August","September","Oktober","November","Dezember")&amp;" "&amp;YEAR(Dashboard_Daten!$AO$4)</f>
        <v>0</v>
      </c>
    </row>
    <row r="26" spans="2:7">
      <c r="B26" s="3" t="s">
        <v>357</v>
      </c>
    </row>
    <row r="27" spans="2:7">
      <c r="B27" s="8" t="s">
        <v>358</v>
      </c>
    </row>
    <row r="28" spans="2:7">
      <c r="B28" s="48" t="s">
        <v>359</v>
      </c>
    </row>
    <row r="29" spans="2:7">
      <c r="B29" s="48" t="s">
        <v>360</v>
      </c>
    </row>
    <row r="30" spans="2:7">
      <c r="B30" s="48" t="s">
        <v>361</v>
      </c>
    </row>
    <row r="31" spans="2:7">
      <c r="B31" s="48" t="s">
        <v>362</v>
      </c>
    </row>
    <row r="32" spans="2:7">
      <c r="B32" s="48" t="s">
        <v>363</v>
      </c>
    </row>
    <row r="33" spans="2:2">
      <c r="B33" s="48" t="s">
        <v>364</v>
      </c>
    </row>
    <row r="34" spans="2:2">
      <c r="B34" s="48" t="s">
        <v>365</v>
      </c>
    </row>
    <row r="35" spans="2:2">
      <c r="B35" s="48" t="s">
        <v>366</v>
      </c>
    </row>
    <row r="36" spans="2:2">
      <c r="B36" s="48" t="s">
        <v>367</v>
      </c>
    </row>
    <row r="37" spans="2:2">
      <c r="B37" s="48" t="s">
        <v>368</v>
      </c>
    </row>
    <row r="38" spans="2:2">
      <c r="B38" s="48" t="s">
        <v>369</v>
      </c>
    </row>
    <row r="39" spans="2:2">
      <c r="B39" s="48" t="s">
        <v>370</v>
      </c>
    </row>
    <row r="40" spans="2:2">
      <c r="B40" s="48" t="s">
        <v>371</v>
      </c>
    </row>
    <row r="41" spans="2:2">
      <c r="B41" s="48" t="s">
        <v>372</v>
      </c>
    </row>
    <row r="42" spans="2:2">
      <c r="B42" s="48" t="s">
        <v>373</v>
      </c>
    </row>
    <row r="43" spans="2:2">
      <c r="B43" s="48" t="s">
        <v>374</v>
      </c>
    </row>
    <row r="44" spans="2:2">
      <c r="B44" s="48" t="s">
        <v>375</v>
      </c>
    </row>
    <row r="45" spans="2:2">
      <c r="B45" s="48" t="s">
        <v>376</v>
      </c>
    </row>
    <row r="46" spans="2:2">
      <c r="B46" s="48" t="s">
        <v>377</v>
      </c>
    </row>
    <row r="47" spans="2:2">
      <c r="B47" s="48" t="s">
        <v>378</v>
      </c>
    </row>
    <row r="48" spans="2:2">
      <c r="B48" s="48" t="s">
        <v>379</v>
      </c>
    </row>
    <row r="49" spans="2:3">
      <c r="B49" s="48" t="s">
        <v>380</v>
      </c>
    </row>
    <row r="50" spans="2:3">
      <c r="B50" s="48" t="s">
        <v>381</v>
      </c>
    </row>
    <row r="51" spans="2:3">
      <c r="B51" s="48" t="s">
        <v>382</v>
      </c>
    </row>
    <row r="52" spans="2:3">
      <c r="B52" s="48" t="s">
        <v>383</v>
      </c>
    </row>
    <row r="53" spans="2:3">
      <c r="B53" s="48" t="s">
        <v>384</v>
      </c>
    </row>
    <row r="54" spans="2:3">
      <c r="B54" s="48"/>
    </row>
    <row r="55" spans="2:3">
      <c r="B55" s="48"/>
    </row>
    <row r="56" spans="2:3">
      <c r="B56" s="48"/>
    </row>
    <row r="57" spans="2:3">
      <c r="B57" s="48"/>
    </row>
    <row r="59" spans="2:3">
      <c r="B59" s="11" t="s">
        <v>385</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902</v>
      </c>
    </row>
    <row r="2" spans="2:12">
      <c r="B2" s="2">
        <f>"Werte aus Rohdaten (Zeilen 7VA bis 7OL) · Berichtstag "&amp;TEXT(DAY(Berichtstag),"00")&amp;"."&amp;TEXT(MONTH(Berichtstag),"00")&amp;"."&amp;YEAR(Berichtstag)</f>
        <v>0</v>
      </c>
    </row>
    <row r="4" spans="2:12">
      <c r="B4" s="3" t="s">
        <v>903</v>
      </c>
      <c r="H4" s="3" t="s">
        <v>910</v>
      </c>
    </row>
    <row r="5" spans="2:12">
      <c r="B5" s="6" t="s">
        <v>3</v>
      </c>
      <c r="C5" s="7" t="s">
        <v>156</v>
      </c>
      <c r="D5" s="7" t="s">
        <v>904</v>
      </c>
      <c r="E5" s="7" t="s">
        <v>905</v>
      </c>
      <c r="F5" s="7" t="s">
        <v>906</v>
      </c>
      <c r="H5" s="6" t="s">
        <v>3</v>
      </c>
      <c r="I5" s="7" t="s">
        <v>156</v>
      </c>
      <c r="J5" s="7" t="s">
        <v>904</v>
      </c>
      <c r="K5" s="7" t="s">
        <v>905</v>
      </c>
      <c r="L5" s="7" t="s">
        <v>906</v>
      </c>
    </row>
    <row r="6" spans="2:12">
      <c r="B6" s="9" t="s">
        <v>907</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907</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908</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908</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909</v>
      </c>
      <c r="C10" s="19">
        <f>IFERROR(C6-IFERROR(IF(ISNUMBER(INDEX(Rohdaten!$A$67:$LJ$67,MATCH(Berichtstag-7,RD_Kopf,0))),INDEX(Rohdaten!$A$67:$LJ$67,MATCH(Berichtstag-7,RD_Kopf,0)),"–"),"–"),"–")</f>
        <v>0</v>
      </c>
      <c r="H10" s="9" t="s">
        <v>909</v>
      </c>
      <c r="I10" s="19">
        <f>IFERROR(I6-IFERROR(IF(ISNUMBER(INDEX(Rohdaten!$A$79:$LJ$79,MATCH(Berichtstag-7,RD_Kopf,0))),INDEX(Rohdaten!$A$79:$LJ$79,MATCH(Berichtstag-7,RD_Kopf,0)),"–"),"–"),"–")</f>
        <v>0</v>
      </c>
    </row>
    <row r="12" spans="2:12">
      <c r="B12" s="8" t="s">
        <v>911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CC189"/>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68" width="8.7109375" customWidth="1"/>
    <col min="70" max="82" width="14.7109375" customWidth="1"/>
  </cols>
  <sheetData>
    <row r="1" spans="1:78">
      <c r="A1" s="15" t="s">
        <v>495</v>
      </c>
    </row>
    <row r="2" spans="1:78">
      <c r="A2" s="8" t="s">
        <v>496</v>
      </c>
      <c r="BR2" s="67" t="s">
        <v>1073</v>
      </c>
      <c r="BS2" s="67" t="s">
        <v>1074</v>
      </c>
      <c r="BT2" s="67" t="s">
        <v>1075</v>
      </c>
      <c r="BU2" s="67" t="s">
        <v>1076</v>
      </c>
      <c r="BV2" s="67" t="s">
        <v>1077</v>
      </c>
      <c r="BW2" s="67" t="s">
        <v>1078</v>
      </c>
      <c r="BX2" s="67" t="s">
        <v>1079</v>
      </c>
    </row>
    <row r="3" spans="1:78">
      <c r="A3" s="6" t="s">
        <v>499</v>
      </c>
      <c r="B3" s="68">
        <v>10</v>
      </c>
      <c r="C3" s="67" t="s">
        <v>566</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c r="N3" s="9">
        <f>""&amp;_xlfn.ISOWEEKNUM(N4)</f>
        <v>0</v>
      </c>
      <c r="O3" s="9">
        <f>""&amp;_xlfn.ISOWEEKNUM(O4)</f>
        <v>0</v>
      </c>
      <c r="P3" s="9">
        <f>""&amp;_xlfn.ISOWEEKNUM(P4)</f>
        <v>0</v>
      </c>
      <c r="Q3" s="9">
        <f>""&amp;_xlfn.ISOWEEKNUM(Q4)</f>
        <v>0</v>
      </c>
      <c r="R3" s="9">
        <f>""&amp;_xlfn.ISOWEEKNUM(R4)</f>
        <v>0</v>
      </c>
      <c r="S3" s="9">
        <f>""&amp;_xlfn.ISOWEEKNUM(S4)</f>
        <v>0</v>
      </c>
      <c r="T3" s="9">
        <f>""&amp;_xlfn.ISOWEEKNUM(T4)</f>
        <v>0</v>
      </c>
      <c r="U3" s="9">
        <f>""&amp;_xlfn.ISOWEEKNUM(U4)</f>
        <v>0</v>
      </c>
      <c r="V3" s="9">
        <f>""&amp;_xlfn.ISOWEEKNUM(V4)</f>
        <v>0</v>
      </c>
      <c r="W3" s="9">
        <f>""&amp;_xlfn.ISOWEEKNUM(W4)</f>
        <v>0</v>
      </c>
      <c r="X3" s="9">
        <f>""&amp;_xlfn.ISOWEEKNUM(X4)</f>
        <v>0</v>
      </c>
      <c r="Y3" s="9">
        <f>""&amp;_xlfn.ISOWEEKNUM(Y4)</f>
        <v>0</v>
      </c>
      <c r="Z3" s="9">
        <f>""&amp;_xlfn.ISOWEEKNUM(Z4)</f>
        <v>0</v>
      </c>
      <c r="AA3" s="9">
        <f>""&amp;_xlfn.ISOWEEKNUM(AA4)</f>
        <v>0</v>
      </c>
      <c r="AB3" s="9">
        <f>""&amp;_xlfn.ISOWEEKNUM(AB4)</f>
        <v>0</v>
      </c>
      <c r="AC3" s="9">
        <f>""&amp;_xlfn.ISOWEEKNUM(AC4)</f>
        <v>0</v>
      </c>
      <c r="AD3" s="9">
        <f>""&amp;_xlfn.ISOWEEKNUM(AD4)</f>
        <v>0</v>
      </c>
      <c r="BR3" s="68">
        <v>4</v>
      </c>
      <c r="BS3" s="68">
        <v>30</v>
      </c>
      <c r="BT3" s="68">
        <v>41</v>
      </c>
      <c r="BU3" s="68">
        <v>43</v>
      </c>
      <c r="BV3" s="68">
        <v>4</v>
      </c>
      <c r="BW3" s="68">
        <v>26</v>
      </c>
      <c r="BX3" s="68">
        <v>10</v>
      </c>
    </row>
    <row r="4" spans="1:78">
      <c r="A4" s="6" t="s">
        <v>497</v>
      </c>
      <c r="D4" s="18">
        <f>E4-7</f>
        <v>0</v>
      </c>
      <c r="E4" s="18">
        <f>F4-7</f>
        <v>0</v>
      </c>
      <c r="F4" s="18">
        <f>G4-7</f>
        <v>0</v>
      </c>
      <c r="G4" s="18">
        <f>H4-7</f>
        <v>0</v>
      </c>
      <c r="H4" s="18">
        <f>I4-7</f>
        <v>0</v>
      </c>
      <c r="I4" s="18">
        <f>J4-7</f>
        <v>0</v>
      </c>
      <c r="J4" s="18">
        <f>K4-7</f>
        <v>0</v>
      </c>
      <c r="K4" s="18">
        <f>L4-7</f>
        <v>0</v>
      </c>
      <c r="L4" s="18">
        <f>M4-7</f>
        <v>0</v>
      </c>
      <c r="M4" s="18">
        <f>N4-7</f>
        <v>0</v>
      </c>
      <c r="N4" s="18">
        <f>O4-7</f>
        <v>0</v>
      </c>
      <c r="O4" s="18">
        <f>P4-7</f>
        <v>0</v>
      </c>
      <c r="P4" s="18">
        <f>Q4-7</f>
        <v>0</v>
      </c>
      <c r="Q4" s="18">
        <f>R4-7</f>
        <v>0</v>
      </c>
      <c r="R4" s="18">
        <f>S4-7</f>
        <v>0</v>
      </c>
      <c r="S4" s="18">
        <f>T4-7</f>
        <v>0</v>
      </c>
      <c r="T4" s="18">
        <f>U4-7</f>
        <v>0</v>
      </c>
      <c r="U4" s="18">
        <f>V4-7</f>
        <v>0</v>
      </c>
      <c r="V4" s="18">
        <f>W4-7</f>
        <v>0</v>
      </c>
      <c r="W4" s="18">
        <f>X4-7</f>
        <v>0</v>
      </c>
      <c r="X4" s="18">
        <f>Y4-7</f>
        <v>0</v>
      </c>
      <c r="Y4" s="18">
        <f>Z4-7</f>
        <v>0</v>
      </c>
      <c r="Z4" s="18">
        <f>AA4-7</f>
        <v>0</v>
      </c>
      <c r="AA4" s="18">
        <f>AB4-7</f>
        <v>0</v>
      </c>
      <c r="AB4" s="18">
        <f>AC4-7</f>
        <v>0</v>
      </c>
      <c r="AC4" s="18">
        <f>AD4-7</f>
        <v>0</v>
      </c>
      <c r="AD4" s="18">
        <f>Berichtstag</f>
        <v>0</v>
      </c>
      <c r="AF4" s="18">
        <f>DATE(YEAR(AG4),MONTH(AG4)-1,1)</f>
        <v>0</v>
      </c>
      <c r="AG4" s="18">
        <f>DATE(YEAR(AH4),MONTH(AH4)-1,1)</f>
        <v>0</v>
      </c>
      <c r="AH4" s="18">
        <f>DATE(YEAR(AI4),MONTH(AI4)-1,1)</f>
        <v>0</v>
      </c>
      <c r="AI4" s="18">
        <f>DATE(YEAR(AJ4),MONTH(AJ4)-1,1)</f>
        <v>0</v>
      </c>
      <c r="AJ4" s="18">
        <f>DATE(YEAR(AK4),MONTH(AK4)-1,1)</f>
        <v>0</v>
      </c>
      <c r="AK4" s="18">
        <f>DATE(YEAR(AL4),MONTH(AL4)-1,1)</f>
        <v>0</v>
      </c>
      <c r="AL4" s="18">
        <f>DATE(YEAR(AM4),MONTH(AM4)-1,1)</f>
        <v>0</v>
      </c>
      <c r="AM4" s="18">
        <f>DATE(YEAR(AN4),MONTH(AN4)-1,1)</f>
        <v>0</v>
      </c>
      <c r="AN4" s="18">
        <f>DATE(YEAR(AO4),MONTH(AO4)-1,1)</f>
        <v>0</v>
      </c>
      <c r="AO4" s="18">
        <f>DATE(YEAR(Berichtstag),MONTH(Berichtstag)-1,1)</f>
        <v>0</v>
      </c>
    </row>
    <row r="5" spans="1:78">
      <c r="A5" s="6" t="s">
        <v>498</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N5" s="9">
        <f>"KW "&amp;_xlfn.ISOWEEKNUM(N4)</f>
        <v>0</v>
      </c>
      <c r="O5" s="9">
        <f>"KW "&amp;_xlfn.ISOWEEKNUM(O4)</f>
        <v>0</v>
      </c>
      <c r="P5" s="9">
        <f>"KW "&amp;_xlfn.ISOWEEKNUM(P4)</f>
        <v>0</v>
      </c>
      <c r="Q5" s="9">
        <f>"KW "&amp;_xlfn.ISOWEEKNUM(Q4)</f>
        <v>0</v>
      </c>
      <c r="R5" s="9">
        <f>"KW "&amp;_xlfn.ISOWEEKNUM(R4)</f>
        <v>0</v>
      </c>
      <c r="S5" s="9">
        <f>"KW "&amp;_xlfn.ISOWEEKNUM(S4)</f>
        <v>0</v>
      </c>
      <c r="T5" s="9">
        <f>"KW "&amp;_xlfn.ISOWEEKNUM(T4)</f>
        <v>0</v>
      </c>
      <c r="U5" s="9">
        <f>"KW "&amp;_xlfn.ISOWEEKNUM(U4)</f>
        <v>0</v>
      </c>
      <c r="V5" s="9">
        <f>"KW "&amp;_xlfn.ISOWEEKNUM(V4)</f>
        <v>0</v>
      </c>
      <c r="W5" s="9">
        <f>"KW "&amp;_xlfn.ISOWEEKNUM(W4)</f>
        <v>0</v>
      </c>
      <c r="X5" s="9">
        <f>"KW "&amp;_xlfn.ISOWEEKNUM(X4)</f>
        <v>0</v>
      </c>
      <c r="Y5" s="9">
        <f>"KW "&amp;_xlfn.ISOWEEKNUM(Y4)</f>
        <v>0</v>
      </c>
      <c r="Z5" s="9">
        <f>"KW "&amp;_xlfn.ISOWEEKNUM(Z4)</f>
        <v>0</v>
      </c>
      <c r="AA5" s="9">
        <f>"KW "&amp;_xlfn.ISOWEEKNUM(AA4)</f>
        <v>0</v>
      </c>
      <c r="AB5" s="9">
        <f>"KW "&amp;_xlfn.ISOWEEKNUM(AB4)</f>
        <v>0</v>
      </c>
      <c r="AC5" s="9">
        <f>"KW "&amp;_xlfn.ISOWEEKNUM(AC4)</f>
        <v>0</v>
      </c>
      <c r="AD5" s="9">
        <f>"KW "&amp;_xlfn.ISOWEEKNUM(AD4)</f>
        <v>0</v>
      </c>
      <c r="AF5" s="9">
        <f>CHOOSE(MONTH(AF4),"Jan","Feb","Mär","Apr","Mai","Jun","Jul","Aug","Sep","Okt","Nov","Dez")&amp;" "&amp;RIGHT(YEAR(AF4),2)</f>
        <v>0</v>
      </c>
      <c r="AG5" s="9">
        <f>CHOOSE(MONTH(AG4),"Jan","Feb","Mär","Apr","Mai","Jun","Jul","Aug","Sep","Okt","Nov","Dez")&amp;" "&amp;RIGHT(YEAR(AG4),2)</f>
        <v>0</v>
      </c>
      <c r="AH5" s="9">
        <f>CHOOSE(MONTH(AH4),"Jan","Feb","Mär","Apr","Mai","Jun","Jul","Aug","Sep","Okt","Nov","Dez")&amp;" "&amp;RIGHT(YEAR(AH4),2)</f>
        <v>0</v>
      </c>
      <c r="AI5" s="9">
        <f>CHOOSE(MONTH(AI4),"Jan","Feb","Mär","Apr","Mai","Jun","Jul","Aug","Sep","Okt","Nov","Dez")&amp;" "&amp;RIGHT(YEAR(AI4),2)</f>
        <v>0</v>
      </c>
      <c r="AJ5" s="9">
        <f>CHOOSE(MONTH(AJ4),"Jan","Feb","Mär","Apr","Mai","Jun","Jul","Aug","Sep","Okt","Nov","Dez")&amp;" "&amp;RIGHT(YEAR(AJ4),2)</f>
        <v>0</v>
      </c>
      <c r="AK5" s="9">
        <f>CHOOSE(MONTH(AK4),"Jan","Feb","Mär","Apr","Mai","Jun","Jul","Aug","Sep","Okt","Nov","Dez")&amp;" "&amp;RIGHT(YEAR(AK4),2)</f>
        <v>0</v>
      </c>
      <c r="AL5" s="9">
        <f>CHOOSE(MONTH(AL4),"Jan","Feb","Mär","Apr","Mai","Jun","Jul","Aug","Sep","Okt","Nov","Dez")&amp;" "&amp;RIGHT(YEAR(AL4),2)</f>
        <v>0</v>
      </c>
      <c r="AM5" s="9">
        <f>CHOOSE(MONTH(AM4),"Jan","Feb","Mär","Apr","Mai","Jun","Jul","Aug","Sep","Okt","Nov","Dez")&amp;" "&amp;RIGHT(YEAR(AM4),2)</f>
        <v>0</v>
      </c>
      <c r="AN5" s="9">
        <f>CHOOSE(MONTH(AN4),"Jan","Feb","Mär","Apr","Mai","Jun","Jul","Aug","Sep","Okt","Nov","Dez")&amp;" "&amp;RIGHT(YEAR(AN4),2)</f>
        <v>0</v>
      </c>
      <c r="AO5" s="9">
        <f>CHOOSE(MONTH(AO4),"Jan","Feb","Mär","Apr","Mai","Jun","Jul","Aug","Sep","Okt","Nov","Dez")&amp;" "&amp;RIGHT(YEAR(AO4),2)</f>
        <v>0</v>
      </c>
    </row>
    <row r="6" spans="1:78">
      <c r="A6" s="6" t="s">
        <v>500</v>
      </c>
      <c r="B6" s="6" t="s">
        <v>501</v>
      </c>
      <c r="C6" s="6" t="s">
        <v>502</v>
      </c>
      <c r="D6" s="7" t="s">
        <v>503</v>
      </c>
      <c r="E6" s="7" t="s">
        <v>504</v>
      </c>
      <c r="F6" s="7" t="s">
        <v>505</v>
      </c>
      <c r="G6" s="7" t="s">
        <v>506</v>
      </c>
      <c r="H6" s="7" t="s">
        <v>507</v>
      </c>
      <c r="I6" s="7" t="s">
        <v>508</v>
      </c>
      <c r="J6" s="7" t="s">
        <v>509</v>
      </c>
      <c r="K6" s="7" t="s">
        <v>510</v>
      </c>
      <c r="L6" s="7" t="s">
        <v>511</v>
      </c>
      <c r="M6" s="7" t="s">
        <v>512</v>
      </c>
      <c r="N6" s="7" t="s">
        <v>513</v>
      </c>
      <c r="O6" s="7" t="s">
        <v>514</v>
      </c>
      <c r="P6" s="7" t="s">
        <v>515</v>
      </c>
      <c r="Q6" s="7" t="s">
        <v>516</v>
      </c>
      <c r="R6" s="7" t="s">
        <v>517</v>
      </c>
      <c r="S6" s="7" t="s">
        <v>518</v>
      </c>
      <c r="T6" s="7" t="s">
        <v>519</v>
      </c>
      <c r="U6" s="7" t="s">
        <v>520</v>
      </c>
      <c r="V6" s="7" t="s">
        <v>521</v>
      </c>
      <c r="W6" s="7" t="s">
        <v>522</v>
      </c>
      <c r="X6" s="7" t="s">
        <v>523</v>
      </c>
      <c r="Y6" s="7" t="s">
        <v>524</v>
      </c>
      <c r="Z6" s="7" t="s">
        <v>525</v>
      </c>
      <c r="AA6" s="7" t="s">
        <v>526</v>
      </c>
      <c r="AB6" s="7" t="s">
        <v>527</v>
      </c>
      <c r="AC6" s="7" t="s">
        <v>528</v>
      </c>
      <c r="AD6" s="7" t="s">
        <v>529</v>
      </c>
      <c r="AF6" s="7" t="s">
        <v>530</v>
      </c>
      <c r="AG6" s="7" t="s">
        <v>531</v>
      </c>
      <c r="AH6" s="7" t="s">
        <v>532</v>
      </c>
      <c r="AI6" s="7" t="s">
        <v>533</v>
      </c>
      <c r="AJ6" s="7" t="s">
        <v>534</v>
      </c>
      <c r="AK6" s="7" t="s">
        <v>535</v>
      </c>
      <c r="AL6" s="7" t="s">
        <v>536</v>
      </c>
      <c r="AM6" s="7" t="s">
        <v>537</v>
      </c>
      <c r="AN6" s="7" t="s">
        <v>538</v>
      </c>
      <c r="AO6" s="7" t="s">
        <v>539</v>
      </c>
      <c r="AQ6" s="7" t="s">
        <v>540</v>
      </c>
      <c r="AR6" s="7" t="s">
        <v>541</v>
      </c>
      <c r="AS6" s="7" t="s">
        <v>542</v>
      </c>
      <c r="AT6" s="7" t="s">
        <v>543</v>
      </c>
      <c r="AU6" s="7" t="s">
        <v>544</v>
      </c>
      <c r="AV6" s="7" t="s">
        <v>545</v>
      </c>
      <c r="AW6" s="7" t="s">
        <v>546</v>
      </c>
      <c r="AX6" s="7" t="s">
        <v>547</v>
      </c>
      <c r="AY6" s="7" t="s">
        <v>548</v>
      </c>
      <c r="AZ6" s="7" t="s">
        <v>549</v>
      </c>
      <c r="BA6" s="7" t="s">
        <v>550</v>
      </c>
      <c r="BB6" s="7" t="s">
        <v>551</v>
      </c>
      <c r="BC6" s="7" t="s">
        <v>552</v>
      </c>
      <c r="BD6" s="7" t="s">
        <v>553</v>
      </c>
      <c r="BE6" s="7" t="s">
        <v>554</v>
      </c>
      <c r="BF6" s="7" t="s">
        <v>555</v>
      </c>
      <c r="BG6" s="7" t="s">
        <v>556</v>
      </c>
      <c r="BH6" s="7" t="s">
        <v>557</v>
      </c>
      <c r="BI6" s="7" t="s">
        <v>558</v>
      </c>
      <c r="BJ6" s="7" t="s">
        <v>559</v>
      </c>
      <c r="BK6" s="7" t="s">
        <v>560</v>
      </c>
      <c r="BL6" s="7" t="s">
        <v>561</v>
      </c>
      <c r="BM6" s="7" t="s">
        <v>562</v>
      </c>
      <c r="BN6" s="7" t="s">
        <v>563</v>
      </c>
      <c r="BO6" s="7" t="s">
        <v>564</v>
      </c>
      <c r="BP6" s="7" t="s">
        <v>565</v>
      </c>
      <c r="BQ6" s="6"/>
      <c r="BR6" s="6" t="s">
        <v>1080</v>
      </c>
      <c r="BS6" s="6" t="s">
        <v>838</v>
      </c>
      <c r="BT6" s="6" t="s">
        <v>336</v>
      </c>
      <c r="BU6" s="6" t="s">
        <v>1081</v>
      </c>
      <c r="BV6" s="6" t="s">
        <v>1082</v>
      </c>
      <c r="BW6" s="6" t="s">
        <v>1083</v>
      </c>
    </row>
    <row r="7" spans="1:78">
      <c r="A7" s="11" t="s">
        <v>86</v>
      </c>
      <c r="B7" s="11" t="s">
        <v>86</v>
      </c>
      <c r="C7" s="67" t="s">
        <v>567</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c r="N7" s="68">
        <f>IFERROR(IF(ISNUMBER(INDEX(Rohdaten!$A$64:$LJ$64,MATCH(N$4,RD_Kopf,0))),INDEX(Rohdaten!$A$64:$LJ$64,MATCH(N$4,RD_Kopf,0)),NA()),NA())</f>
        <v>0</v>
      </c>
      <c r="O7" s="68">
        <f>IFERROR(IF(ISNUMBER(INDEX(Rohdaten!$A$64:$LJ$64,MATCH(O$4,RD_Kopf,0))),INDEX(Rohdaten!$A$64:$LJ$64,MATCH(O$4,RD_Kopf,0)),NA()),NA())</f>
        <v>0</v>
      </c>
      <c r="P7" s="68">
        <f>IFERROR(IF(ISNUMBER(INDEX(Rohdaten!$A$64:$LJ$64,MATCH(P$4,RD_Kopf,0))),INDEX(Rohdaten!$A$64:$LJ$64,MATCH(P$4,RD_Kopf,0)),NA()),NA())</f>
        <v>0</v>
      </c>
      <c r="Q7" s="68">
        <f>IFERROR(IF(ISNUMBER(INDEX(Rohdaten!$A$64:$LJ$64,MATCH(Q$4,RD_Kopf,0))),INDEX(Rohdaten!$A$64:$LJ$64,MATCH(Q$4,RD_Kopf,0)),NA()),NA())</f>
        <v>0</v>
      </c>
      <c r="R7" s="68">
        <f>IFERROR(IF(ISNUMBER(INDEX(Rohdaten!$A$64:$LJ$64,MATCH(R$4,RD_Kopf,0))),INDEX(Rohdaten!$A$64:$LJ$64,MATCH(R$4,RD_Kopf,0)),NA()),NA())</f>
        <v>0</v>
      </c>
      <c r="S7" s="68">
        <f>IFERROR(IF(ISNUMBER(INDEX(Rohdaten!$A$64:$LJ$64,MATCH(S$4,RD_Kopf,0))),INDEX(Rohdaten!$A$64:$LJ$64,MATCH(S$4,RD_Kopf,0)),NA()),NA())</f>
        <v>0</v>
      </c>
      <c r="T7" s="68">
        <f>IFERROR(IF(ISNUMBER(INDEX(Rohdaten!$A$64:$LJ$64,MATCH(T$4,RD_Kopf,0))),INDEX(Rohdaten!$A$64:$LJ$64,MATCH(T$4,RD_Kopf,0)),NA()),NA())</f>
        <v>0</v>
      </c>
      <c r="U7" s="68">
        <f>IFERROR(IF(ISNUMBER(INDEX(Rohdaten!$A$64:$LJ$64,MATCH(U$4,RD_Kopf,0))),INDEX(Rohdaten!$A$64:$LJ$64,MATCH(U$4,RD_Kopf,0)),NA()),NA())</f>
        <v>0</v>
      </c>
      <c r="V7" s="68">
        <f>IFERROR(IF(ISNUMBER(INDEX(Rohdaten!$A$64:$LJ$64,MATCH(V$4,RD_Kopf,0))),INDEX(Rohdaten!$A$64:$LJ$64,MATCH(V$4,RD_Kopf,0)),NA()),NA())</f>
        <v>0</v>
      </c>
      <c r="W7" s="68">
        <f>IFERROR(IF(ISNUMBER(INDEX(Rohdaten!$A$64:$LJ$64,MATCH(W$4,RD_Kopf,0))),INDEX(Rohdaten!$A$64:$LJ$64,MATCH(W$4,RD_Kopf,0)),NA()),NA())</f>
        <v>0</v>
      </c>
      <c r="X7" s="68">
        <f>IFERROR(IF(ISNUMBER(INDEX(Rohdaten!$A$64:$LJ$64,MATCH(X$4,RD_Kopf,0))),INDEX(Rohdaten!$A$64:$LJ$64,MATCH(X$4,RD_Kopf,0)),NA()),NA())</f>
        <v>0</v>
      </c>
      <c r="Y7" s="68">
        <f>IFERROR(IF(ISNUMBER(INDEX(Rohdaten!$A$64:$LJ$64,MATCH(Y$4,RD_Kopf,0))),INDEX(Rohdaten!$A$64:$LJ$64,MATCH(Y$4,RD_Kopf,0)),NA()),NA())</f>
        <v>0</v>
      </c>
      <c r="Z7" s="68">
        <f>IFERROR(IF(ISNUMBER(INDEX(Rohdaten!$A$64:$LJ$64,MATCH(Z$4,RD_Kopf,0))),INDEX(Rohdaten!$A$64:$LJ$64,MATCH(Z$4,RD_Kopf,0)),NA()),NA())</f>
        <v>0</v>
      </c>
      <c r="AA7" s="68">
        <f>IFERROR(IF(ISNUMBER(INDEX(Rohdaten!$A$64:$LJ$64,MATCH(AA$4,RD_Kopf,0))),INDEX(Rohdaten!$A$64:$LJ$64,MATCH(AA$4,RD_Kopf,0)),NA()),NA())</f>
        <v>0</v>
      </c>
      <c r="AB7" s="68">
        <f>IFERROR(IF(ISNUMBER(INDEX(Rohdaten!$A$64:$LJ$64,MATCH(AB$4,RD_Kopf,0))),INDEX(Rohdaten!$A$64:$LJ$64,MATCH(AB$4,RD_Kopf,0)),NA()),NA())</f>
        <v>0</v>
      </c>
      <c r="AC7" s="68">
        <f>IFERROR(IF(ISNUMBER(INDEX(Rohdaten!$A$64:$LJ$64,MATCH(AC$4,RD_Kopf,0))),INDEX(Rohdaten!$A$64:$LJ$64,MATCH(AC$4,RD_Kopf,0)),NA()),NA())</f>
        <v>0</v>
      </c>
      <c r="AD7" s="68">
        <f>IFERROR(IF(ISNUMBER(INDEX(Rohdaten!$A$64:$LJ$64,MATCH(AD$4,RD_Kopf,0))),INDEX(Rohdaten!$A$64:$LJ$64,MATCH(AD$4,RD_Kopf,0)),NA()),NA())</f>
        <v>0</v>
      </c>
      <c r="BR7" s="11" t="s">
        <v>348</v>
      </c>
      <c r="BS7" s="68">
        <v>1</v>
      </c>
      <c r="BT7" s="11" t="s">
        <v>846</v>
      </c>
      <c r="BU7" s="11" t="s">
        <v>1084</v>
      </c>
      <c r="BV7" s="11" t="s">
        <v>1085</v>
      </c>
      <c r="BW7" s="11" t="s">
        <v>1086</v>
      </c>
      <c r="BX7" s="11" t="s">
        <v>1087</v>
      </c>
      <c r="BY7" s="11" t="s">
        <v>1088</v>
      </c>
      <c r="BZ7" s="11" t="s">
        <v>1089</v>
      </c>
    </row>
    <row r="8" spans="1:78">
      <c r="A8" s="11" t="s">
        <v>211</v>
      </c>
      <c r="B8" s="11" t="s">
        <v>211</v>
      </c>
      <c r="C8" s="67" t="s">
        <v>568</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c r="N8" s="68">
        <f>IFERROR(IF(ISNUMBER(INDEX(Rohdaten!$A$116:$LJ$116,MATCH(N$4,RD_Kopf,0))),INDEX(Rohdaten!$A$116:$LJ$116,MATCH(N$4,RD_Kopf,0)),NA()),NA())</f>
        <v>0</v>
      </c>
      <c r="O8" s="68">
        <f>IFERROR(IF(ISNUMBER(INDEX(Rohdaten!$A$116:$LJ$116,MATCH(O$4,RD_Kopf,0))),INDEX(Rohdaten!$A$116:$LJ$116,MATCH(O$4,RD_Kopf,0)),NA()),NA())</f>
        <v>0</v>
      </c>
      <c r="P8" s="68">
        <f>IFERROR(IF(ISNUMBER(INDEX(Rohdaten!$A$116:$LJ$116,MATCH(P$4,RD_Kopf,0))),INDEX(Rohdaten!$A$116:$LJ$116,MATCH(P$4,RD_Kopf,0)),NA()),NA())</f>
        <v>0</v>
      </c>
      <c r="Q8" s="68">
        <f>IFERROR(IF(ISNUMBER(INDEX(Rohdaten!$A$116:$LJ$116,MATCH(Q$4,RD_Kopf,0))),INDEX(Rohdaten!$A$116:$LJ$116,MATCH(Q$4,RD_Kopf,0)),NA()),NA())</f>
        <v>0</v>
      </c>
      <c r="R8" s="68">
        <f>IFERROR(IF(ISNUMBER(INDEX(Rohdaten!$A$116:$LJ$116,MATCH(R$4,RD_Kopf,0))),INDEX(Rohdaten!$A$116:$LJ$116,MATCH(R$4,RD_Kopf,0)),NA()),NA())</f>
        <v>0</v>
      </c>
      <c r="S8" s="68">
        <f>IFERROR(IF(ISNUMBER(INDEX(Rohdaten!$A$116:$LJ$116,MATCH(S$4,RD_Kopf,0))),INDEX(Rohdaten!$A$116:$LJ$116,MATCH(S$4,RD_Kopf,0)),NA()),NA())</f>
        <v>0</v>
      </c>
      <c r="T8" s="68">
        <f>IFERROR(IF(ISNUMBER(INDEX(Rohdaten!$A$116:$LJ$116,MATCH(T$4,RD_Kopf,0))),INDEX(Rohdaten!$A$116:$LJ$116,MATCH(T$4,RD_Kopf,0)),NA()),NA())</f>
        <v>0</v>
      </c>
      <c r="U8" s="68">
        <f>IFERROR(IF(ISNUMBER(INDEX(Rohdaten!$A$116:$LJ$116,MATCH(U$4,RD_Kopf,0))),INDEX(Rohdaten!$A$116:$LJ$116,MATCH(U$4,RD_Kopf,0)),NA()),NA())</f>
        <v>0</v>
      </c>
      <c r="V8" s="68">
        <f>IFERROR(IF(ISNUMBER(INDEX(Rohdaten!$A$116:$LJ$116,MATCH(V$4,RD_Kopf,0))),INDEX(Rohdaten!$A$116:$LJ$116,MATCH(V$4,RD_Kopf,0)),NA()),NA())</f>
        <v>0</v>
      </c>
      <c r="W8" s="68">
        <f>IFERROR(IF(ISNUMBER(INDEX(Rohdaten!$A$116:$LJ$116,MATCH(W$4,RD_Kopf,0))),INDEX(Rohdaten!$A$116:$LJ$116,MATCH(W$4,RD_Kopf,0)),NA()),NA())</f>
        <v>0</v>
      </c>
      <c r="X8" s="68">
        <f>IFERROR(IF(ISNUMBER(INDEX(Rohdaten!$A$116:$LJ$116,MATCH(X$4,RD_Kopf,0))),INDEX(Rohdaten!$A$116:$LJ$116,MATCH(X$4,RD_Kopf,0)),NA()),NA())</f>
        <v>0</v>
      </c>
      <c r="Y8" s="68">
        <f>IFERROR(IF(ISNUMBER(INDEX(Rohdaten!$A$116:$LJ$116,MATCH(Y$4,RD_Kopf,0))),INDEX(Rohdaten!$A$116:$LJ$116,MATCH(Y$4,RD_Kopf,0)),NA()),NA())</f>
        <v>0</v>
      </c>
      <c r="Z8" s="68">
        <f>IFERROR(IF(ISNUMBER(INDEX(Rohdaten!$A$116:$LJ$116,MATCH(Z$4,RD_Kopf,0))),INDEX(Rohdaten!$A$116:$LJ$116,MATCH(Z$4,RD_Kopf,0)),NA()),NA())</f>
        <v>0</v>
      </c>
      <c r="AA8" s="68">
        <f>IFERROR(IF(ISNUMBER(INDEX(Rohdaten!$A$116:$LJ$116,MATCH(AA$4,RD_Kopf,0))),INDEX(Rohdaten!$A$116:$LJ$116,MATCH(AA$4,RD_Kopf,0)),NA()),NA())</f>
        <v>0</v>
      </c>
      <c r="AB8" s="68">
        <f>IFERROR(IF(ISNUMBER(INDEX(Rohdaten!$A$116:$LJ$116,MATCH(AB$4,RD_Kopf,0))),INDEX(Rohdaten!$A$116:$LJ$116,MATCH(AB$4,RD_Kopf,0)),NA()),NA())</f>
        <v>0</v>
      </c>
      <c r="AC8" s="68">
        <f>IFERROR(IF(ISNUMBER(INDEX(Rohdaten!$A$116:$LJ$116,MATCH(AC$4,RD_Kopf,0))),INDEX(Rohdaten!$A$116:$LJ$116,MATCH(AC$4,RD_Kopf,0)),NA()),NA())</f>
        <v>0</v>
      </c>
      <c r="AD8" s="68">
        <f>IFERROR(IF(ISNUMBER(INDEX(Rohdaten!$A$116:$LJ$116,MATCH(AD$4,RD_Kopf,0))),INDEX(Rohdaten!$A$116:$LJ$116,MATCH(AD$4,RD_Kopf,0)),NA()),NA())</f>
        <v>0</v>
      </c>
      <c r="BR8" s="11" t="s">
        <v>348</v>
      </c>
      <c r="BS8" s="68">
        <v>2</v>
      </c>
      <c r="BT8" s="11" t="s">
        <v>847</v>
      </c>
      <c r="BU8" s="11" t="s">
        <v>1090</v>
      </c>
      <c r="BV8" s="11" t="s">
        <v>1091</v>
      </c>
      <c r="BW8" s="11" t="s">
        <v>1092</v>
      </c>
      <c r="BX8" s="11" t="s">
        <v>1093</v>
      </c>
      <c r="BY8" s="11" t="s">
        <v>1094</v>
      </c>
      <c r="BZ8" s="11" t="s">
        <v>1095</v>
      </c>
    </row>
    <row r="9" spans="1:78">
      <c r="A9" s="11" t="s">
        <v>188</v>
      </c>
      <c r="B9" s="11" t="s">
        <v>188</v>
      </c>
      <c r="C9" s="67" t="s">
        <v>569</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c r="N9" s="68">
        <f>IFERROR(IF(ISNUMBER(INDEX(Rohdaten!$A$105:$LJ$105,MATCH(N$4,RD_Kopf,0))),INDEX(Rohdaten!$A$105:$LJ$105,MATCH(N$4,RD_Kopf,0)),NA()),NA())</f>
        <v>0</v>
      </c>
      <c r="O9" s="68">
        <f>IFERROR(IF(ISNUMBER(INDEX(Rohdaten!$A$105:$LJ$105,MATCH(O$4,RD_Kopf,0))),INDEX(Rohdaten!$A$105:$LJ$105,MATCH(O$4,RD_Kopf,0)),NA()),NA())</f>
        <v>0</v>
      </c>
      <c r="P9" s="68">
        <f>IFERROR(IF(ISNUMBER(INDEX(Rohdaten!$A$105:$LJ$105,MATCH(P$4,RD_Kopf,0))),INDEX(Rohdaten!$A$105:$LJ$105,MATCH(P$4,RD_Kopf,0)),NA()),NA())</f>
        <v>0</v>
      </c>
      <c r="Q9" s="68">
        <f>IFERROR(IF(ISNUMBER(INDEX(Rohdaten!$A$105:$LJ$105,MATCH(Q$4,RD_Kopf,0))),INDEX(Rohdaten!$A$105:$LJ$105,MATCH(Q$4,RD_Kopf,0)),NA()),NA())</f>
        <v>0</v>
      </c>
      <c r="R9" s="68">
        <f>IFERROR(IF(ISNUMBER(INDEX(Rohdaten!$A$105:$LJ$105,MATCH(R$4,RD_Kopf,0))),INDEX(Rohdaten!$A$105:$LJ$105,MATCH(R$4,RD_Kopf,0)),NA()),NA())</f>
        <v>0</v>
      </c>
      <c r="S9" s="68">
        <f>IFERROR(IF(ISNUMBER(INDEX(Rohdaten!$A$105:$LJ$105,MATCH(S$4,RD_Kopf,0))),INDEX(Rohdaten!$A$105:$LJ$105,MATCH(S$4,RD_Kopf,0)),NA()),NA())</f>
        <v>0</v>
      </c>
      <c r="T9" s="68">
        <f>IFERROR(IF(ISNUMBER(INDEX(Rohdaten!$A$105:$LJ$105,MATCH(T$4,RD_Kopf,0))),INDEX(Rohdaten!$A$105:$LJ$105,MATCH(T$4,RD_Kopf,0)),NA()),NA())</f>
        <v>0</v>
      </c>
      <c r="U9" s="68">
        <f>IFERROR(IF(ISNUMBER(INDEX(Rohdaten!$A$105:$LJ$105,MATCH(U$4,RD_Kopf,0))),INDEX(Rohdaten!$A$105:$LJ$105,MATCH(U$4,RD_Kopf,0)),NA()),NA())</f>
        <v>0</v>
      </c>
      <c r="V9" s="68">
        <f>IFERROR(IF(ISNUMBER(INDEX(Rohdaten!$A$105:$LJ$105,MATCH(V$4,RD_Kopf,0))),INDEX(Rohdaten!$A$105:$LJ$105,MATCH(V$4,RD_Kopf,0)),NA()),NA())</f>
        <v>0</v>
      </c>
      <c r="W9" s="68">
        <f>IFERROR(IF(ISNUMBER(INDEX(Rohdaten!$A$105:$LJ$105,MATCH(W$4,RD_Kopf,0))),INDEX(Rohdaten!$A$105:$LJ$105,MATCH(W$4,RD_Kopf,0)),NA()),NA())</f>
        <v>0</v>
      </c>
      <c r="X9" s="68">
        <f>IFERROR(IF(ISNUMBER(INDEX(Rohdaten!$A$105:$LJ$105,MATCH(X$4,RD_Kopf,0))),INDEX(Rohdaten!$A$105:$LJ$105,MATCH(X$4,RD_Kopf,0)),NA()),NA())</f>
        <v>0</v>
      </c>
      <c r="Y9" s="68">
        <f>IFERROR(IF(ISNUMBER(INDEX(Rohdaten!$A$105:$LJ$105,MATCH(Y$4,RD_Kopf,0))),INDEX(Rohdaten!$A$105:$LJ$105,MATCH(Y$4,RD_Kopf,0)),NA()),NA())</f>
        <v>0</v>
      </c>
      <c r="Z9" s="68">
        <f>IFERROR(IF(ISNUMBER(INDEX(Rohdaten!$A$105:$LJ$105,MATCH(Z$4,RD_Kopf,0))),INDEX(Rohdaten!$A$105:$LJ$105,MATCH(Z$4,RD_Kopf,0)),NA()),NA())</f>
        <v>0</v>
      </c>
      <c r="AA9" s="68">
        <f>IFERROR(IF(ISNUMBER(INDEX(Rohdaten!$A$105:$LJ$105,MATCH(AA$4,RD_Kopf,0))),INDEX(Rohdaten!$A$105:$LJ$105,MATCH(AA$4,RD_Kopf,0)),NA()),NA())</f>
        <v>0</v>
      </c>
      <c r="AB9" s="68">
        <f>IFERROR(IF(ISNUMBER(INDEX(Rohdaten!$A$105:$LJ$105,MATCH(AB$4,RD_Kopf,0))),INDEX(Rohdaten!$A$105:$LJ$105,MATCH(AB$4,RD_Kopf,0)),NA()),NA())</f>
        <v>0</v>
      </c>
      <c r="AC9" s="68">
        <f>IFERROR(IF(ISNUMBER(INDEX(Rohdaten!$A$105:$LJ$105,MATCH(AC$4,RD_Kopf,0))),INDEX(Rohdaten!$A$105:$LJ$105,MATCH(AC$4,RD_Kopf,0)),NA()),NA())</f>
        <v>0</v>
      </c>
      <c r="AD9" s="68">
        <f>IFERROR(IF(ISNUMBER(INDEX(Rohdaten!$A$105:$LJ$105,MATCH(AD$4,RD_Kopf,0))),INDEX(Rohdaten!$A$105:$LJ$105,MATCH(AD$4,RD_Kopf,0)),NA()),NA())</f>
        <v>0</v>
      </c>
      <c r="BR9" s="11" t="s">
        <v>348</v>
      </c>
      <c r="BS9" s="68">
        <v>3</v>
      </c>
      <c r="BT9" s="11" t="s">
        <v>472</v>
      </c>
      <c r="BU9" s="11" t="s">
        <v>1096</v>
      </c>
      <c r="BV9" s="11"/>
      <c r="BW9" s="11" t="s">
        <v>1097</v>
      </c>
      <c r="BX9" s="11" t="s">
        <v>1098</v>
      </c>
      <c r="BY9" s="11" t="s">
        <v>1099</v>
      </c>
    </row>
    <row r="10" spans="1:78">
      <c r="A10" s="11" t="s">
        <v>192</v>
      </c>
      <c r="B10" s="11" t="s">
        <v>192</v>
      </c>
      <c r="C10" s="67" t="s">
        <v>570</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c r="N10" s="68">
        <f>IFERROR(IF(ISNUMBER(INDEX(Rohdaten!$A$108:$LJ$108,MATCH(N$4,RD_Kopf,0))),INDEX(Rohdaten!$A$108:$LJ$108,MATCH(N$4,RD_Kopf,0)),NA()),NA())</f>
        <v>0</v>
      </c>
      <c r="O10" s="68">
        <f>IFERROR(IF(ISNUMBER(INDEX(Rohdaten!$A$108:$LJ$108,MATCH(O$4,RD_Kopf,0))),INDEX(Rohdaten!$A$108:$LJ$108,MATCH(O$4,RD_Kopf,0)),NA()),NA())</f>
        <v>0</v>
      </c>
      <c r="P10" s="68">
        <f>IFERROR(IF(ISNUMBER(INDEX(Rohdaten!$A$108:$LJ$108,MATCH(P$4,RD_Kopf,0))),INDEX(Rohdaten!$A$108:$LJ$108,MATCH(P$4,RD_Kopf,0)),NA()),NA())</f>
        <v>0</v>
      </c>
      <c r="Q10" s="68">
        <f>IFERROR(IF(ISNUMBER(INDEX(Rohdaten!$A$108:$LJ$108,MATCH(Q$4,RD_Kopf,0))),INDEX(Rohdaten!$A$108:$LJ$108,MATCH(Q$4,RD_Kopf,0)),NA()),NA())</f>
        <v>0</v>
      </c>
      <c r="R10" s="68">
        <f>IFERROR(IF(ISNUMBER(INDEX(Rohdaten!$A$108:$LJ$108,MATCH(R$4,RD_Kopf,0))),INDEX(Rohdaten!$A$108:$LJ$108,MATCH(R$4,RD_Kopf,0)),NA()),NA())</f>
        <v>0</v>
      </c>
      <c r="S10" s="68">
        <f>IFERROR(IF(ISNUMBER(INDEX(Rohdaten!$A$108:$LJ$108,MATCH(S$4,RD_Kopf,0))),INDEX(Rohdaten!$A$108:$LJ$108,MATCH(S$4,RD_Kopf,0)),NA()),NA())</f>
        <v>0</v>
      </c>
      <c r="T10" s="68">
        <f>IFERROR(IF(ISNUMBER(INDEX(Rohdaten!$A$108:$LJ$108,MATCH(T$4,RD_Kopf,0))),INDEX(Rohdaten!$A$108:$LJ$108,MATCH(T$4,RD_Kopf,0)),NA()),NA())</f>
        <v>0</v>
      </c>
      <c r="U10" s="68">
        <f>IFERROR(IF(ISNUMBER(INDEX(Rohdaten!$A$108:$LJ$108,MATCH(U$4,RD_Kopf,0))),INDEX(Rohdaten!$A$108:$LJ$108,MATCH(U$4,RD_Kopf,0)),NA()),NA())</f>
        <v>0</v>
      </c>
      <c r="V10" s="68">
        <f>IFERROR(IF(ISNUMBER(INDEX(Rohdaten!$A$108:$LJ$108,MATCH(V$4,RD_Kopf,0))),INDEX(Rohdaten!$A$108:$LJ$108,MATCH(V$4,RD_Kopf,0)),NA()),NA())</f>
        <v>0</v>
      </c>
      <c r="W10" s="68">
        <f>IFERROR(IF(ISNUMBER(INDEX(Rohdaten!$A$108:$LJ$108,MATCH(W$4,RD_Kopf,0))),INDEX(Rohdaten!$A$108:$LJ$108,MATCH(W$4,RD_Kopf,0)),NA()),NA())</f>
        <v>0</v>
      </c>
      <c r="X10" s="68">
        <f>IFERROR(IF(ISNUMBER(INDEX(Rohdaten!$A$108:$LJ$108,MATCH(X$4,RD_Kopf,0))),INDEX(Rohdaten!$A$108:$LJ$108,MATCH(X$4,RD_Kopf,0)),NA()),NA())</f>
        <v>0</v>
      </c>
      <c r="Y10" s="68">
        <f>IFERROR(IF(ISNUMBER(INDEX(Rohdaten!$A$108:$LJ$108,MATCH(Y$4,RD_Kopf,0))),INDEX(Rohdaten!$A$108:$LJ$108,MATCH(Y$4,RD_Kopf,0)),NA()),NA())</f>
        <v>0</v>
      </c>
      <c r="Z10" s="68">
        <f>IFERROR(IF(ISNUMBER(INDEX(Rohdaten!$A$108:$LJ$108,MATCH(Z$4,RD_Kopf,0))),INDEX(Rohdaten!$A$108:$LJ$108,MATCH(Z$4,RD_Kopf,0)),NA()),NA())</f>
        <v>0</v>
      </c>
      <c r="AA10" s="68">
        <f>IFERROR(IF(ISNUMBER(INDEX(Rohdaten!$A$108:$LJ$108,MATCH(AA$4,RD_Kopf,0))),INDEX(Rohdaten!$A$108:$LJ$108,MATCH(AA$4,RD_Kopf,0)),NA()),NA())</f>
        <v>0</v>
      </c>
      <c r="AB10" s="68">
        <f>IFERROR(IF(ISNUMBER(INDEX(Rohdaten!$A$108:$LJ$108,MATCH(AB$4,RD_Kopf,0))),INDEX(Rohdaten!$A$108:$LJ$108,MATCH(AB$4,RD_Kopf,0)),NA()),NA())</f>
        <v>0</v>
      </c>
      <c r="AC10" s="68">
        <f>IFERROR(IF(ISNUMBER(INDEX(Rohdaten!$A$108:$LJ$108,MATCH(AC$4,RD_Kopf,0))),INDEX(Rohdaten!$A$108:$LJ$108,MATCH(AC$4,RD_Kopf,0)),NA()),NA())</f>
        <v>0</v>
      </c>
      <c r="AD10" s="68">
        <f>IFERROR(IF(ISNUMBER(INDEX(Rohdaten!$A$108:$LJ$108,MATCH(AD$4,RD_Kopf,0))),INDEX(Rohdaten!$A$108:$LJ$108,MATCH(AD$4,RD_Kopf,0)),NA()),NA())</f>
        <v>0</v>
      </c>
      <c r="BR10" s="11" t="s">
        <v>348</v>
      </c>
      <c r="BS10" s="68">
        <v>4</v>
      </c>
      <c r="BT10" s="11" t="s">
        <v>439</v>
      </c>
      <c r="BU10" s="11" t="s">
        <v>1100</v>
      </c>
      <c r="BV10" s="11" t="s">
        <v>1101</v>
      </c>
      <c r="BW10" s="11" t="s">
        <v>1102</v>
      </c>
      <c r="BX10" s="11" t="s">
        <v>1103</v>
      </c>
      <c r="BY10" s="11" t="s">
        <v>1104</v>
      </c>
      <c r="BZ10" s="11" t="s">
        <v>1105</v>
      </c>
    </row>
    <row r="11" spans="1:78">
      <c r="A11" s="11" t="s">
        <v>196</v>
      </c>
      <c r="B11" s="11" t="s">
        <v>196</v>
      </c>
      <c r="C11" s="67" t="s">
        <v>571</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c r="N11" s="68">
        <f>IFERROR(IF(ISNUMBER(INDEX(Rohdaten!$A$111:$LJ$111,MATCH(N$4,RD_Kopf,0))),INDEX(Rohdaten!$A$111:$LJ$111,MATCH(N$4,RD_Kopf,0)),NA()),NA())</f>
        <v>0</v>
      </c>
      <c r="O11" s="68">
        <f>IFERROR(IF(ISNUMBER(INDEX(Rohdaten!$A$111:$LJ$111,MATCH(O$4,RD_Kopf,0))),INDEX(Rohdaten!$A$111:$LJ$111,MATCH(O$4,RD_Kopf,0)),NA()),NA())</f>
        <v>0</v>
      </c>
      <c r="P11" s="68">
        <f>IFERROR(IF(ISNUMBER(INDEX(Rohdaten!$A$111:$LJ$111,MATCH(P$4,RD_Kopf,0))),INDEX(Rohdaten!$A$111:$LJ$111,MATCH(P$4,RD_Kopf,0)),NA()),NA())</f>
        <v>0</v>
      </c>
      <c r="Q11" s="68">
        <f>IFERROR(IF(ISNUMBER(INDEX(Rohdaten!$A$111:$LJ$111,MATCH(Q$4,RD_Kopf,0))),INDEX(Rohdaten!$A$111:$LJ$111,MATCH(Q$4,RD_Kopf,0)),NA()),NA())</f>
        <v>0</v>
      </c>
      <c r="R11" s="68">
        <f>IFERROR(IF(ISNUMBER(INDEX(Rohdaten!$A$111:$LJ$111,MATCH(R$4,RD_Kopf,0))),INDEX(Rohdaten!$A$111:$LJ$111,MATCH(R$4,RD_Kopf,0)),NA()),NA())</f>
        <v>0</v>
      </c>
      <c r="S11" s="68">
        <f>IFERROR(IF(ISNUMBER(INDEX(Rohdaten!$A$111:$LJ$111,MATCH(S$4,RD_Kopf,0))),INDEX(Rohdaten!$A$111:$LJ$111,MATCH(S$4,RD_Kopf,0)),NA()),NA())</f>
        <v>0</v>
      </c>
      <c r="T11" s="68">
        <f>IFERROR(IF(ISNUMBER(INDEX(Rohdaten!$A$111:$LJ$111,MATCH(T$4,RD_Kopf,0))),INDEX(Rohdaten!$A$111:$LJ$111,MATCH(T$4,RD_Kopf,0)),NA()),NA())</f>
        <v>0</v>
      </c>
      <c r="U11" s="68">
        <f>IFERROR(IF(ISNUMBER(INDEX(Rohdaten!$A$111:$LJ$111,MATCH(U$4,RD_Kopf,0))),INDEX(Rohdaten!$A$111:$LJ$111,MATCH(U$4,RD_Kopf,0)),NA()),NA())</f>
        <v>0</v>
      </c>
      <c r="V11" s="68">
        <f>IFERROR(IF(ISNUMBER(INDEX(Rohdaten!$A$111:$LJ$111,MATCH(V$4,RD_Kopf,0))),INDEX(Rohdaten!$A$111:$LJ$111,MATCH(V$4,RD_Kopf,0)),NA()),NA())</f>
        <v>0</v>
      </c>
      <c r="W11" s="68">
        <f>IFERROR(IF(ISNUMBER(INDEX(Rohdaten!$A$111:$LJ$111,MATCH(W$4,RD_Kopf,0))),INDEX(Rohdaten!$A$111:$LJ$111,MATCH(W$4,RD_Kopf,0)),NA()),NA())</f>
        <v>0</v>
      </c>
      <c r="X11" s="68">
        <f>IFERROR(IF(ISNUMBER(INDEX(Rohdaten!$A$111:$LJ$111,MATCH(X$4,RD_Kopf,0))),INDEX(Rohdaten!$A$111:$LJ$111,MATCH(X$4,RD_Kopf,0)),NA()),NA())</f>
        <v>0</v>
      </c>
      <c r="Y11" s="68">
        <f>IFERROR(IF(ISNUMBER(INDEX(Rohdaten!$A$111:$LJ$111,MATCH(Y$4,RD_Kopf,0))),INDEX(Rohdaten!$A$111:$LJ$111,MATCH(Y$4,RD_Kopf,0)),NA()),NA())</f>
        <v>0</v>
      </c>
      <c r="Z11" s="68">
        <f>IFERROR(IF(ISNUMBER(INDEX(Rohdaten!$A$111:$LJ$111,MATCH(Z$4,RD_Kopf,0))),INDEX(Rohdaten!$A$111:$LJ$111,MATCH(Z$4,RD_Kopf,0)),NA()),NA())</f>
        <v>0</v>
      </c>
      <c r="AA11" s="68">
        <f>IFERROR(IF(ISNUMBER(INDEX(Rohdaten!$A$111:$LJ$111,MATCH(AA$4,RD_Kopf,0))),INDEX(Rohdaten!$A$111:$LJ$111,MATCH(AA$4,RD_Kopf,0)),NA()),NA())</f>
        <v>0</v>
      </c>
      <c r="AB11" s="68">
        <f>IFERROR(IF(ISNUMBER(INDEX(Rohdaten!$A$111:$LJ$111,MATCH(AB$4,RD_Kopf,0))),INDEX(Rohdaten!$A$111:$LJ$111,MATCH(AB$4,RD_Kopf,0)),NA()),NA())</f>
        <v>0</v>
      </c>
      <c r="AC11" s="68">
        <f>IFERROR(IF(ISNUMBER(INDEX(Rohdaten!$A$111:$LJ$111,MATCH(AC$4,RD_Kopf,0))),INDEX(Rohdaten!$A$111:$LJ$111,MATCH(AC$4,RD_Kopf,0)),NA()),NA())</f>
        <v>0</v>
      </c>
      <c r="AD11" s="68">
        <f>IFERROR(IF(ISNUMBER(INDEX(Rohdaten!$A$111:$LJ$111,MATCH(AD$4,RD_Kopf,0))),INDEX(Rohdaten!$A$111:$LJ$111,MATCH(AD$4,RD_Kopf,0)),NA()),NA())</f>
        <v>0</v>
      </c>
      <c r="BR11" s="11" t="s">
        <v>348</v>
      </c>
      <c r="BS11" s="68">
        <v>5</v>
      </c>
      <c r="BT11" s="11" t="s">
        <v>444</v>
      </c>
      <c r="BU11" s="11" t="s">
        <v>1106</v>
      </c>
      <c r="BV11" s="11"/>
      <c r="BW11" s="11" t="s">
        <v>1107</v>
      </c>
    </row>
    <row r="12" spans="1:78">
      <c r="A12" s="11" t="s">
        <v>202</v>
      </c>
      <c r="B12" s="11" t="s">
        <v>202</v>
      </c>
      <c r="C12" s="67" t="s">
        <v>572</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c r="N12" s="68">
        <f>IFERROR(IF(ISNUMBER(INDEX(Rohdaten!$A$113:$LJ$113,MATCH(N$4,RD_Kopf,0))),INDEX(Rohdaten!$A$113:$LJ$113,MATCH(N$4,RD_Kopf,0)),NA()),NA())</f>
        <v>0</v>
      </c>
      <c r="O12" s="68">
        <f>IFERROR(IF(ISNUMBER(INDEX(Rohdaten!$A$113:$LJ$113,MATCH(O$4,RD_Kopf,0))),INDEX(Rohdaten!$A$113:$LJ$113,MATCH(O$4,RD_Kopf,0)),NA()),NA())</f>
        <v>0</v>
      </c>
      <c r="P12" s="68">
        <f>IFERROR(IF(ISNUMBER(INDEX(Rohdaten!$A$113:$LJ$113,MATCH(P$4,RD_Kopf,0))),INDEX(Rohdaten!$A$113:$LJ$113,MATCH(P$4,RD_Kopf,0)),NA()),NA())</f>
        <v>0</v>
      </c>
      <c r="Q12" s="68">
        <f>IFERROR(IF(ISNUMBER(INDEX(Rohdaten!$A$113:$LJ$113,MATCH(Q$4,RD_Kopf,0))),INDEX(Rohdaten!$A$113:$LJ$113,MATCH(Q$4,RD_Kopf,0)),NA()),NA())</f>
        <v>0</v>
      </c>
      <c r="R12" s="68">
        <f>IFERROR(IF(ISNUMBER(INDEX(Rohdaten!$A$113:$LJ$113,MATCH(R$4,RD_Kopf,0))),INDEX(Rohdaten!$A$113:$LJ$113,MATCH(R$4,RD_Kopf,0)),NA()),NA())</f>
        <v>0</v>
      </c>
      <c r="S12" s="68">
        <f>IFERROR(IF(ISNUMBER(INDEX(Rohdaten!$A$113:$LJ$113,MATCH(S$4,RD_Kopf,0))),INDEX(Rohdaten!$A$113:$LJ$113,MATCH(S$4,RD_Kopf,0)),NA()),NA())</f>
        <v>0</v>
      </c>
      <c r="T12" s="68">
        <f>IFERROR(IF(ISNUMBER(INDEX(Rohdaten!$A$113:$LJ$113,MATCH(T$4,RD_Kopf,0))),INDEX(Rohdaten!$A$113:$LJ$113,MATCH(T$4,RD_Kopf,0)),NA()),NA())</f>
        <v>0</v>
      </c>
      <c r="U12" s="68">
        <f>IFERROR(IF(ISNUMBER(INDEX(Rohdaten!$A$113:$LJ$113,MATCH(U$4,RD_Kopf,0))),INDEX(Rohdaten!$A$113:$LJ$113,MATCH(U$4,RD_Kopf,0)),NA()),NA())</f>
        <v>0</v>
      </c>
      <c r="V12" s="68">
        <f>IFERROR(IF(ISNUMBER(INDEX(Rohdaten!$A$113:$LJ$113,MATCH(V$4,RD_Kopf,0))),INDEX(Rohdaten!$A$113:$LJ$113,MATCH(V$4,RD_Kopf,0)),NA()),NA())</f>
        <v>0</v>
      </c>
      <c r="W12" s="68">
        <f>IFERROR(IF(ISNUMBER(INDEX(Rohdaten!$A$113:$LJ$113,MATCH(W$4,RD_Kopf,0))),INDEX(Rohdaten!$A$113:$LJ$113,MATCH(W$4,RD_Kopf,0)),NA()),NA())</f>
        <v>0</v>
      </c>
      <c r="X12" s="68">
        <f>IFERROR(IF(ISNUMBER(INDEX(Rohdaten!$A$113:$LJ$113,MATCH(X$4,RD_Kopf,0))),INDEX(Rohdaten!$A$113:$LJ$113,MATCH(X$4,RD_Kopf,0)),NA()),NA())</f>
        <v>0</v>
      </c>
      <c r="Y12" s="68">
        <f>IFERROR(IF(ISNUMBER(INDEX(Rohdaten!$A$113:$LJ$113,MATCH(Y$4,RD_Kopf,0))),INDEX(Rohdaten!$A$113:$LJ$113,MATCH(Y$4,RD_Kopf,0)),NA()),NA())</f>
        <v>0</v>
      </c>
      <c r="Z12" s="68">
        <f>IFERROR(IF(ISNUMBER(INDEX(Rohdaten!$A$113:$LJ$113,MATCH(Z$4,RD_Kopf,0))),INDEX(Rohdaten!$A$113:$LJ$113,MATCH(Z$4,RD_Kopf,0)),NA()),NA())</f>
        <v>0</v>
      </c>
      <c r="AA12" s="68">
        <f>IFERROR(IF(ISNUMBER(INDEX(Rohdaten!$A$113:$LJ$113,MATCH(AA$4,RD_Kopf,0))),INDEX(Rohdaten!$A$113:$LJ$113,MATCH(AA$4,RD_Kopf,0)),NA()),NA())</f>
        <v>0</v>
      </c>
      <c r="AB12" s="68">
        <f>IFERROR(IF(ISNUMBER(INDEX(Rohdaten!$A$113:$LJ$113,MATCH(AB$4,RD_Kopf,0))),INDEX(Rohdaten!$A$113:$LJ$113,MATCH(AB$4,RD_Kopf,0)),NA()),NA())</f>
        <v>0</v>
      </c>
      <c r="AC12" s="68">
        <f>IFERROR(IF(ISNUMBER(INDEX(Rohdaten!$A$113:$LJ$113,MATCH(AC$4,RD_Kopf,0))),INDEX(Rohdaten!$A$113:$LJ$113,MATCH(AC$4,RD_Kopf,0)),NA()),NA())</f>
        <v>0</v>
      </c>
      <c r="AD12" s="68">
        <f>IFERROR(IF(ISNUMBER(INDEX(Rohdaten!$A$113:$LJ$113,MATCH(AD$4,RD_Kopf,0))),INDEX(Rohdaten!$A$113:$LJ$113,MATCH(AD$4,RD_Kopf,0)),NA()),NA())</f>
        <v>0</v>
      </c>
      <c r="BR12" s="11" t="s">
        <v>348</v>
      </c>
      <c r="BS12" s="68">
        <v>6</v>
      </c>
      <c r="BT12" s="11" t="s">
        <v>474</v>
      </c>
      <c r="BU12" s="11" t="s">
        <v>1108</v>
      </c>
      <c r="BV12" s="11"/>
      <c r="BW12" s="11" t="s">
        <v>1109</v>
      </c>
    </row>
    <row r="13" spans="1:78">
      <c r="A13" s="11" t="s">
        <v>314</v>
      </c>
      <c r="B13" s="11" t="s">
        <v>314</v>
      </c>
      <c r="C13" s="67" t="s">
        <v>573</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c r="N13" s="68">
        <f>IFERROR(IF(ISNUMBER(INDEX(Rohdaten!$A$156:$LJ$156,MATCH(N$4,RD_Kopf,0))),INDEX(Rohdaten!$A$156:$LJ$156,MATCH(N$4,RD_Kopf,0)),NA()),NA())</f>
        <v>0</v>
      </c>
      <c r="O13" s="68">
        <f>IFERROR(IF(ISNUMBER(INDEX(Rohdaten!$A$156:$LJ$156,MATCH(O$4,RD_Kopf,0))),INDEX(Rohdaten!$A$156:$LJ$156,MATCH(O$4,RD_Kopf,0)),NA()),NA())</f>
        <v>0</v>
      </c>
      <c r="P13" s="68">
        <f>IFERROR(IF(ISNUMBER(INDEX(Rohdaten!$A$156:$LJ$156,MATCH(P$4,RD_Kopf,0))),INDEX(Rohdaten!$A$156:$LJ$156,MATCH(P$4,RD_Kopf,0)),NA()),NA())</f>
        <v>0</v>
      </c>
      <c r="Q13" s="68">
        <f>IFERROR(IF(ISNUMBER(INDEX(Rohdaten!$A$156:$LJ$156,MATCH(Q$4,RD_Kopf,0))),INDEX(Rohdaten!$A$156:$LJ$156,MATCH(Q$4,RD_Kopf,0)),NA()),NA())</f>
        <v>0</v>
      </c>
      <c r="R13" s="68">
        <f>IFERROR(IF(ISNUMBER(INDEX(Rohdaten!$A$156:$LJ$156,MATCH(R$4,RD_Kopf,0))),INDEX(Rohdaten!$A$156:$LJ$156,MATCH(R$4,RD_Kopf,0)),NA()),NA())</f>
        <v>0</v>
      </c>
      <c r="S13" s="68">
        <f>IFERROR(IF(ISNUMBER(INDEX(Rohdaten!$A$156:$LJ$156,MATCH(S$4,RD_Kopf,0))),INDEX(Rohdaten!$A$156:$LJ$156,MATCH(S$4,RD_Kopf,0)),NA()),NA())</f>
        <v>0</v>
      </c>
      <c r="T13" s="68">
        <f>IFERROR(IF(ISNUMBER(INDEX(Rohdaten!$A$156:$LJ$156,MATCH(T$4,RD_Kopf,0))),INDEX(Rohdaten!$A$156:$LJ$156,MATCH(T$4,RD_Kopf,0)),NA()),NA())</f>
        <v>0</v>
      </c>
      <c r="U13" s="68">
        <f>IFERROR(IF(ISNUMBER(INDEX(Rohdaten!$A$156:$LJ$156,MATCH(U$4,RD_Kopf,0))),INDEX(Rohdaten!$A$156:$LJ$156,MATCH(U$4,RD_Kopf,0)),NA()),NA())</f>
        <v>0</v>
      </c>
      <c r="V13" s="68">
        <f>IFERROR(IF(ISNUMBER(INDEX(Rohdaten!$A$156:$LJ$156,MATCH(V$4,RD_Kopf,0))),INDEX(Rohdaten!$A$156:$LJ$156,MATCH(V$4,RD_Kopf,0)),NA()),NA())</f>
        <v>0</v>
      </c>
      <c r="W13" s="68">
        <f>IFERROR(IF(ISNUMBER(INDEX(Rohdaten!$A$156:$LJ$156,MATCH(W$4,RD_Kopf,0))),INDEX(Rohdaten!$A$156:$LJ$156,MATCH(W$4,RD_Kopf,0)),NA()),NA())</f>
        <v>0</v>
      </c>
      <c r="X13" s="68">
        <f>IFERROR(IF(ISNUMBER(INDEX(Rohdaten!$A$156:$LJ$156,MATCH(X$4,RD_Kopf,0))),INDEX(Rohdaten!$A$156:$LJ$156,MATCH(X$4,RD_Kopf,0)),NA()),NA())</f>
        <v>0</v>
      </c>
      <c r="Y13" s="68">
        <f>IFERROR(IF(ISNUMBER(INDEX(Rohdaten!$A$156:$LJ$156,MATCH(Y$4,RD_Kopf,0))),INDEX(Rohdaten!$A$156:$LJ$156,MATCH(Y$4,RD_Kopf,0)),NA()),NA())</f>
        <v>0</v>
      </c>
      <c r="Z13" s="68">
        <f>IFERROR(IF(ISNUMBER(INDEX(Rohdaten!$A$156:$LJ$156,MATCH(Z$4,RD_Kopf,0))),INDEX(Rohdaten!$A$156:$LJ$156,MATCH(Z$4,RD_Kopf,0)),NA()),NA())</f>
        <v>0</v>
      </c>
      <c r="AA13" s="68">
        <f>IFERROR(IF(ISNUMBER(INDEX(Rohdaten!$A$156:$LJ$156,MATCH(AA$4,RD_Kopf,0))),INDEX(Rohdaten!$A$156:$LJ$156,MATCH(AA$4,RD_Kopf,0)),NA()),NA())</f>
        <v>0</v>
      </c>
      <c r="AB13" s="68">
        <f>IFERROR(IF(ISNUMBER(INDEX(Rohdaten!$A$156:$LJ$156,MATCH(AB$4,RD_Kopf,0))),INDEX(Rohdaten!$A$156:$LJ$156,MATCH(AB$4,RD_Kopf,0)),NA()),NA())</f>
        <v>0</v>
      </c>
      <c r="AC13" s="68">
        <f>IFERROR(IF(ISNUMBER(INDEX(Rohdaten!$A$156:$LJ$156,MATCH(AC$4,RD_Kopf,0))),INDEX(Rohdaten!$A$156:$LJ$156,MATCH(AC$4,RD_Kopf,0)),NA()),NA())</f>
        <v>0</v>
      </c>
      <c r="AD13" s="68">
        <f>IFERROR(IF(ISNUMBER(INDEX(Rohdaten!$A$156:$LJ$156,MATCH(AD$4,RD_Kopf,0))),INDEX(Rohdaten!$A$156:$LJ$156,MATCH(AD$4,RD_Kopf,0)),NA()),NA())</f>
        <v>0</v>
      </c>
      <c r="BR13" s="11" t="s">
        <v>348</v>
      </c>
      <c r="BS13" s="68">
        <v>7</v>
      </c>
      <c r="BT13" s="11" t="s">
        <v>476</v>
      </c>
      <c r="BU13" s="11" t="s">
        <v>1110</v>
      </c>
      <c r="BV13" s="11"/>
      <c r="BW13" s="11" t="s">
        <v>1111</v>
      </c>
    </row>
    <row r="14" spans="1:78">
      <c r="A14" s="11" t="s">
        <v>317</v>
      </c>
      <c r="B14" s="11" t="s">
        <v>317</v>
      </c>
      <c r="C14" s="67" t="s">
        <v>574</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c r="N14" s="68">
        <f>IFERROR(IF(ISNUMBER(INDEX(Rohdaten!$A$157:$LJ$157,MATCH(N$4,RD_Kopf,0))),INDEX(Rohdaten!$A$157:$LJ$157,MATCH(N$4,RD_Kopf,0)),NA()),NA())</f>
        <v>0</v>
      </c>
      <c r="O14" s="68">
        <f>IFERROR(IF(ISNUMBER(INDEX(Rohdaten!$A$157:$LJ$157,MATCH(O$4,RD_Kopf,0))),INDEX(Rohdaten!$A$157:$LJ$157,MATCH(O$4,RD_Kopf,0)),NA()),NA())</f>
        <v>0</v>
      </c>
      <c r="P14" s="68">
        <f>IFERROR(IF(ISNUMBER(INDEX(Rohdaten!$A$157:$LJ$157,MATCH(P$4,RD_Kopf,0))),INDEX(Rohdaten!$A$157:$LJ$157,MATCH(P$4,RD_Kopf,0)),NA()),NA())</f>
        <v>0</v>
      </c>
      <c r="Q14" s="68">
        <f>IFERROR(IF(ISNUMBER(INDEX(Rohdaten!$A$157:$LJ$157,MATCH(Q$4,RD_Kopf,0))),INDEX(Rohdaten!$A$157:$LJ$157,MATCH(Q$4,RD_Kopf,0)),NA()),NA())</f>
        <v>0</v>
      </c>
      <c r="R14" s="68">
        <f>IFERROR(IF(ISNUMBER(INDEX(Rohdaten!$A$157:$LJ$157,MATCH(R$4,RD_Kopf,0))),INDEX(Rohdaten!$A$157:$LJ$157,MATCH(R$4,RD_Kopf,0)),NA()),NA())</f>
        <v>0</v>
      </c>
      <c r="S14" s="68">
        <f>IFERROR(IF(ISNUMBER(INDEX(Rohdaten!$A$157:$LJ$157,MATCH(S$4,RD_Kopf,0))),INDEX(Rohdaten!$A$157:$LJ$157,MATCH(S$4,RD_Kopf,0)),NA()),NA())</f>
        <v>0</v>
      </c>
      <c r="T14" s="68">
        <f>IFERROR(IF(ISNUMBER(INDEX(Rohdaten!$A$157:$LJ$157,MATCH(T$4,RD_Kopf,0))),INDEX(Rohdaten!$A$157:$LJ$157,MATCH(T$4,RD_Kopf,0)),NA()),NA())</f>
        <v>0</v>
      </c>
      <c r="U14" s="68">
        <f>IFERROR(IF(ISNUMBER(INDEX(Rohdaten!$A$157:$LJ$157,MATCH(U$4,RD_Kopf,0))),INDEX(Rohdaten!$A$157:$LJ$157,MATCH(U$4,RD_Kopf,0)),NA()),NA())</f>
        <v>0</v>
      </c>
      <c r="V14" s="68">
        <f>IFERROR(IF(ISNUMBER(INDEX(Rohdaten!$A$157:$LJ$157,MATCH(V$4,RD_Kopf,0))),INDEX(Rohdaten!$A$157:$LJ$157,MATCH(V$4,RD_Kopf,0)),NA()),NA())</f>
        <v>0</v>
      </c>
      <c r="W14" s="68">
        <f>IFERROR(IF(ISNUMBER(INDEX(Rohdaten!$A$157:$LJ$157,MATCH(W$4,RD_Kopf,0))),INDEX(Rohdaten!$A$157:$LJ$157,MATCH(W$4,RD_Kopf,0)),NA()),NA())</f>
        <v>0</v>
      </c>
      <c r="X14" s="68">
        <f>IFERROR(IF(ISNUMBER(INDEX(Rohdaten!$A$157:$LJ$157,MATCH(X$4,RD_Kopf,0))),INDEX(Rohdaten!$A$157:$LJ$157,MATCH(X$4,RD_Kopf,0)),NA()),NA())</f>
        <v>0</v>
      </c>
      <c r="Y14" s="68">
        <f>IFERROR(IF(ISNUMBER(INDEX(Rohdaten!$A$157:$LJ$157,MATCH(Y$4,RD_Kopf,0))),INDEX(Rohdaten!$A$157:$LJ$157,MATCH(Y$4,RD_Kopf,0)),NA()),NA())</f>
        <v>0</v>
      </c>
      <c r="Z14" s="68">
        <f>IFERROR(IF(ISNUMBER(INDEX(Rohdaten!$A$157:$LJ$157,MATCH(Z$4,RD_Kopf,0))),INDEX(Rohdaten!$A$157:$LJ$157,MATCH(Z$4,RD_Kopf,0)),NA()),NA())</f>
        <v>0</v>
      </c>
      <c r="AA14" s="68">
        <f>IFERROR(IF(ISNUMBER(INDEX(Rohdaten!$A$157:$LJ$157,MATCH(AA$4,RD_Kopf,0))),INDEX(Rohdaten!$A$157:$LJ$157,MATCH(AA$4,RD_Kopf,0)),NA()),NA())</f>
        <v>0</v>
      </c>
      <c r="AB14" s="68">
        <f>IFERROR(IF(ISNUMBER(INDEX(Rohdaten!$A$157:$LJ$157,MATCH(AB$4,RD_Kopf,0))),INDEX(Rohdaten!$A$157:$LJ$157,MATCH(AB$4,RD_Kopf,0)),NA()),NA())</f>
        <v>0</v>
      </c>
      <c r="AC14" s="68">
        <f>IFERROR(IF(ISNUMBER(INDEX(Rohdaten!$A$157:$LJ$157,MATCH(AC$4,RD_Kopf,0))),INDEX(Rohdaten!$A$157:$LJ$157,MATCH(AC$4,RD_Kopf,0)),NA()),NA())</f>
        <v>0</v>
      </c>
      <c r="AD14" s="68">
        <f>IFERROR(IF(ISNUMBER(INDEX(Rohdaten!$A$157:$LJ$157,MATCH(AD$4,RD_Kopf,0))),INDEX(Rohdaten!$A$157:$LJ$157,MATCH(AD$4,RD_Kopf,0)),NA()),NA())</f>
        <v>0</v>
      </c>
      <c r="BR14" s="11" t="s">
        <v>351</v>
      </c>
      <c r="BS14" s="68">
        <v>1</v>
      </c>
      <c r="BT14" s="11" t="s">
        <v>420</v>
      </c>
      <c r="BU14" s="11" t="s">
        <v>1112</v>
      </c>
      <c r="BV14" s="11"/>
      <c r="BW14" s="11" t="s">
        <v>1113</v>
      </c>
    </row>
    <row r="15" spans="1:78">
      <c r="A15" s="11" t="s">
        <v>304</v>
      </c>
      <c r="B15" s="11" t="s">
        <v>304</v>
      </c>
      <c r="C15" s="67" t="s">
        <v>575</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c r="N15" s="68">
        <f>IFERROR(IF(ISNUMBER(INDEX(Rohdaten!$A$152:$LJ$152,MATCH(N$4,RD_Kopf,0))),INDEX(Rohdaten!$A$152:$LJ$152,MATCH(N$4,RD_Kopf,0)),NA()),NA())</f>
        <v>0</v>
      </c>
      <c r="O15" s="68">
        <f>IFERROR(IF(ISNUMBER(INDEX(Rohdaten!$A$152:$LJ$152,MATCH(O$4,RD_Kopf,0))),INDEX(Rohdaten!$A$152:$LJ$152,MATCH(O$4,RD_Kopf,0)),NA()),NA())</f>
        <v>0</v>
      </c>
      <c r="P15" s="68">
        <f>IFERROR(IF(ISNUMBER(INDEX(Rohdaten!$A$152:$LJ$152,MATCH(P$4,RD_Kopf,0))),INDEX(Rohdaten!$A$152:$LJ$152,MATCH(P$4,RD_Kopf,0)),NA()),NA())</f>
        <v>0</v>
      </c>
      <c r="Q15" s="68">
        <f>IFERROR(IF(ISNUMBER(INDEX(Rohdaten!$A$152:$LJ$152,MATCH(Q$4,RD_Kopf,0))),INDEX(Rohdaten!$A$152:$LJ$152,MATCH(Q$4,RD_Kopf,0)),NA()),NA())</f>
        <v>0</v>
      </c>
      <c r="R15" s="68">
        <f>IFERROR(IF(ISNUMBER(INDEX(Rohdaten!$A$152:$LJ$152,MATCH(R$4,RD_Kopf,0))),INDEX(Rohdaten!$A$152:$LJ$152,MATCH(R$4,RD_Kopf,0)),NA()),NA())</f>
        <v>0</v>
      </c>
      <c r="S15" s="68">
        <f>IFERROR(IF(ISNUMBER(INDEX(Rohdaten!$A$152:$LJ$152,MATCH(S$4,RD_Kopf,0))),INDEX(Rohdaten!$A$152:$LJ$152,MATCH(S$4,RD_Kopf,0)),NA()),NA())</f>
        <v>0</v>
      </c>
      <c r="T15" s="68">
        <f>IFERROR(IF(ISNUMBER(INDEX(Rohdaten!$A$152:$LJ$152,MATCH(T$4,RD_Kopf,0))),INDEX(Rohdaten!$A$152:$LJ$152,MATCH(T$4,RD_Kopf,0)),NA()),NA())</f>
        <v>0</v>
      </c>
      <c r="U15" s="68">
        <f>IFERROR(IF(ISNUMBER(INDEX(Rohdaten!$A$152:$LJ$152,MATCH(U$4,RD_Kopf,0))),INDEX(Rohdaten!$A$152:$LJ$152,MATCH(U$4,RD_Kopf,0)),NA()),NA())</f>
        <v>0</v>
      </c>
      <c r="V15" s="68">
        <f>IFERROR(IF(ISNUMBER(INDEX(Rohdaten!$A$152:$LJ$152,MATCH(V$4,RD_Kopf,0))),INDEX(Rohdaten!$A$152:$LJ$152,MATCH(V$4,RD_Kopf,0)),NA()),NA())</f>
        <v>0</v>
      </c>
      <c r="W15" s="68">
        <f>IFERROR(IF(ISNUMBER(INDEX(Rohdaten!$A$152:$LJ$152,MATCH(W$4,RD_Kopf,0))),INDEX(Rohdaten!$A$152:$LJ$152,MATCH(W$4,RD_Kopf,0)),NA()),NA())</f>
        <v>0</v>
      </c>
      <c r="X15" s="68">
        <f>IFERROR(IF(ISNUMBER(INDEX(Rohdaten!$A$152:$LJ$152,MATCH(X$4,RD_Kopf,0))),INDEX(Rohdaten!$A$152:$LJ$152,MATCH(X$4,RD_Kopf,0)),NA()),NA())</f>
        <v>0</v>
      </c>
      <c r="Y15" s="68">
        <f>IFERROR(IF(ISNUMBER(INDEX(Rohdaten!$A$152:$LJ$152,MATCH(Y$4,RD_Kopf,0))),INDEX(Rohdaten!$A$152:$LJ$152,MATCH(Y$4,RD_Kopf,0)),NA()),NA())</f>
        <v>0</v>
      </c>
      <c r="Z15" s="68">
        <f>IFERROR(IF(ISNUMBER(INDEX(Rohdaten!$A$152:$LJ$152,MATCH(Z$4,RD_Kopf,0))),INDEX(Rohdaten!$A$152:$LJ$152,MATCH(Z$4,RD_Kopf,0)),NA()),NA())</f>
        <v>0</v>
      </c>
      <c r="AA15" s="68">
        <f>IFERROR(IF(ISNUMBER(INDEX(Rohdaten!$A$152:$LJ$152,MATCH(AA$4,RD_Kopf,0))),INDEX(Rohdaten!$A$152:$LJ$152,MATCH(AA$4,RD_Kopf,0)),NA()),NA())</f>
        <v>0</v>
      </c>
      <c r="AB15" s="68">
        <f>IFERROR(IF(ISNUMBER(INDEX(Rohdaten!$A$152:$LJ$152,MATCH(AB$4,RD_Kopf,0))),INDEX(Rohdaten!$A$152:$LJ$152,MATCH(AB$4,RD_Kopf,0)),NA()),NA())</f>
        <v>0</v>
      </c>
      <c r="AC15" s="68">
        <f>IFERROR(IF(ISNUMBER(INDEX(Rohdaten!$A$152:$LJ$152,MATCH(AC$4,RD_Kopf,0))),INDEX(Rohdaten!$A$152:$LJ$152,MATCH(AC$4,RD_Kopf,0)),NA()),NA())</f>
        <v>0</v>
      </c>
      <c r="AD15" s="68">
        <f>IFERROR(IF(ISNUMBER(INDEX(Rohdaten!$A$152:$LJ$152,MATCH(AD$4,RD_Kopf,0))),INDEX(Rohdaten!$A$152:$LJ$152,MATCH(AD$4,RD_Kopf,0)),NA()),NA())</f>
        <v>0</v>
      </c>
      <c r="BR15" s="11" t="s">
        <v>351</v>
      </c>
      <c r="BS15" s="68">
        <v>2</v>
      </c>
      <c r="BT15" s="11" t="s">
        <v>462</v>
      </c>
      <c r="BU15" s="11" t="s">
        <v>1114</v>
      </c>
      <c r="BV15" s="11"/>
      <c r="BW15" s="11" t="s">
        <v>1115</v>
      </c>
      <c r="BX15" s="11" t="s">
        <v>1116</v>
      </c>
      <c r="BY15" s="11" t="s">
        <v>1117</v>
      </c>
      <c r="BZ15" s="11" t="s">
        <v>1118</v>
      </c>
    </row>
    <row r="16" spans="1:78">
      <c r="A16" s="11" t="s">
        <v>278</v>
      </c>
      <c r="B16" s="11" t="s">
        <v>278</v>
      </c>
      <c r="C16" s="67" t="s">
        <v>576</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c r="N16" s="68">
        <f>IFERROR(IF(ISNUMBER(INDEX(Rohdaten!$A$142:$LJ$142,MATCH(N$4,RD_Kopf,0))),INDEX(Rohdaten!$A$142:$LJ$142,MATCH(N$4,RD_Kopf,0)),NA()),NA())</f>
        <v>0</v>
      </c>
      <c r="O16" s="68">
        <f>IFERROR(IF(ISNUMBER(INDEX(Rohdaten!$A$142:$LJ$142,MATCH(O$4,RD_Kopf,0))),INDEX(Rohdaten!$A$142:$LJ$142,MATCH(O$4,RD_Kopf,0)),NA()),NA())</f>
        <v>0</v>
      </c>
      <c r="P16" s="68">
        <f>IFERROR(IF(ISNUMBER(INDEX(Rohdaten!$A$142:$LJ$142,MATCH(P$4,RD_Kopf,0))),INDEX(Rohdaten!$A$142:$LJ$142,MATCH(P$4,RD_Kopf,0)),NA()),NA())</f>
        <v>0</v>
      </c>
      <c r="Q16" s="68">
        <f>IFERROR(IF(ISNUMBER(INDEX(Rohdaten!$A$142:$LJ$142,MATCH(Q$4,RD_Kopf,0))),INDEX(Rohdaten!$A$142:$LJ$142,MATCH(Q$4,RD_Kopf,0)),NA()),NA())</f>
        <v>0</v>
      </c>
      <c r="R16" s="68">
        <f>IFERROR(IF(ISNUMBER(INDEX(Rohdaten!$A$142:$LJ$142,MATCH(R$4,RD_Kopf,0))),INDEX(Rohdaten!$A$142:$LJ$142,MATCH(R$4,RD_Kopf,0)),NA()),NA())</f>
        <v>0</v>
      </c>
      <c r="S16" s="68">
        <f>IFERROR(IF(ISNUMBER(INDEX(Rohdaten!$A$142:$LJ$142,MATCH(S$4,RD_Kopf,0))),INDEX(Rohdaten!$A$142:$LJ$142,MATCH(S$4,RD_Kopf,0)),NA()),NA())</f>
        <v>0</v>
      </c>
      <c r="T16" s="68">
        <f>IFERROR(IF(ISNUMBER(INDEX(Rohdaten!$A$142:$LJ$142,MATCH(T$4,RD_Kopf,0))),INDEX(Rohdaten!$A$142:$LJ$142,MATCH(T$4,RD_Kopf,0)),NA()),NA())</f>
        <v>0</v>
      </c>
      <c r="U16" s="68">
        <f>IFERROR(IF(ISNUMBER(INDEX(Rohdaten!$A$142:$LJ$142,MATCH(U$4,RD_Kopf,0))),INDEX(Rohdaten!$A$142:$LJ$142,MATCH(U$4,RD_Kopf,0)),NA()),NA())</f>
        <v>0</v>
      </c>
      <c r="V16" s="68">
        <f>IFERROR(IF(ISNUMBER(INDEX(Rohdaten!$A$142:$LJ$142,MATCH(V$4,RD_Kopf,0))),INDEX(Rohdaten!$A$142:$LJ$142,MATCH(V$4,RD_Kopf,0)),NA()),NA())</f>
        <v>0</v>
      </c>
      <c r="W16" s="68">
        <f>IFERROR(IF(ISNUMBER(INDEX(Rohdaten!$A$142:$LJ$142,MATCH(W$4,RD_Kopf,0))),INDEX(Rohdaten!$A$142:$LJ$142,MATCH(W$4,RD_Kopf,0)),NA()),NA())</f>
        <v>0</v>
      </c>
      <c r="X16" s="68">
        <f>IFERROR(IF(ISNUMBER(INDEX(Rohdaten!$A$142:$LJ$142,MATCH(X$4,RD_Kopf,0))),INDEX(Rohdaten!$A$142:$LJ$142,MATCH(X$4,RD_Kopf,0)),NA()),NA())</f>
        <v>0</v>
      </c>
      <c r="Y16" s="68">
        <f>IFERROR(IF(ISNUMBER(INDEX(Rohdaten!$A$142:$LJ$142,MATCH(Y$4,RD_Kopf,0))),INDEX(Rohdaten!$A$142:$LJ$142,MATCH(Y$4,RD_Kopf,0)),NA()),NA())</f>
        <v>0</v>
      </c>
      <c r="Z16" s="68">
        <f>IFERROR(IF(ISNUMBER(INDEX(Rohdaten!$A$142:$LJ$142,MATCH(Z$4,RD_Kopf,0))),INDEX(Rohdaten!$A$142:$LJ$142,MATCH(Z$4,RD_Kopf,0)),NA()),NA())</f>
        <v>0</v>
      </c>
      <c r="AA16" s="68">
        <f>IFERROR(IF(ISNUMBER(INDEX(Rohdaten!$A$142:$LJ$142,MATCH(AA$4,RD_Kopf,0))),INDEX(Rohdaten!$A$142:$LJ$142,MATCH(AA$4,RD_Kopf,0)),NA()),NA())</f>
        <v>0</v>
      </c>
      <c r="AB16" s="68">
        <f>IFERROR(IF(ISNUMBER(INDEX(Rohdaten!$A$142:$LJ$142,MATCH(AB$4,RD_Kopf,0))),INDEX(Rohdaten!$A$142:$LJ$142,MATCH(AB$4,RD_Kopf,0)),NA()),NA())</f>
        <v>0</v>
      </c>
      <c r="AC16" s="68">
        <f>IFERROR(IF(ISNUMBER(INDEX(Rohdaten!$A$142:$LJ$142,MATCH(AC$4,RD_Kopf,0))),INDEX(Rohdaten!$A$142:$LJ$142,MATCH(AC$4,RD_Kopf,0)),NA()),NA())</f>
        <v>0</v>
      </c>
      <c r="AD16" s="68">
        <f>IFERROR(IF(ISNUMBER(INDEX(Rohdaten!$A$142:$LJ$142,MATCH(AD$4,RD_Kopf,0))),INDEX(Rohdaten!$A$142:$LJ$142,MATCH(AD$4,RD_Kopf,0)),NA()),NA())</f>
        <v>0</v>
      </c>
      <c r="BR16" s="11" t="s">
        <v>351</v>
      </c>
      <c r="BS16" s="68">
        <v>3</v>
      </c>
      <c r="BT16" s="11" t="s">
        <v>861</v>
      </c>
      <c r="BU16" s="11" t="s">
        <v>1119</v>
      </c>
      <c r="BV16" s="11"/>
      <c r="BW16" s="11" t="s">
        <v>1120</v>
      </c>
    </row>
    <row r="17" spans="1:81">
      <c r="A17" s="11" t="s">
        <v>281</v>
      </c>
      <c r="B17" s="11" t="s">
        <v>281</v>
      </c>
      <c r="C17" s="67" t="s">
        <v>577</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c r="N17" s="68">
        <f>IFERROR(IF(ISNUMBER(INDEX(Rohdaten!$A$143:$LJ$143,MATCH(N$4,RD_Kopf,0))),INDEX(Rohdaten!$A$143:$LJ$143,MATCH(N$4,RD_Kopf,0)),NA()),NA())</f>
        <v>0</v>
      </c>
      <c r="O17" s="68">
        <f>IFERROR(IF(ISNUMBER(INDEX(Rohdaten!$A$143:$LJ$143,MATCH(O$4,RD_Kopf,0))),INDEX(Rohdaten!$A$143:$LJ$143,MATCH(O$4,RD_Kopf,0)),NA()),NA())</f>
        <v>0</v>
      </c>
      <c r="P17" s="68">
        <f>IFERROR(IF(ISNUMBER(INDEX(Rohdaten!$A$143:$LJ$143,MATCH(P$4,RD_Kopf,0))),INDEX(Rohdaten!$A$143:$LJ$143,MATCH(P$4,RD_Kopf,0)),NA()),NA())</f>
        <v>0</v>
      </c>
      <c r="Q17" s="68">
        <f>IFERROR(IF(ISNUMBER(INDEX(Rohdaten!$A$143:$LJ$143,MATCH(Q$4,RD_Kopf,0))),INDEX(Rohdaten!$A$143:$LJ$143,MATCH(Q$4,RD_Kopf,0)),NA()),NA())</f>
        <v>0</v>
      </c>
      <c r="R17" s="68">
        <f>IFERROR(IF(ISNUMBER(INDEX(Rohdaten!$A$143:$LJ$143,MATCH(R$4,RD_Kopf,0))),INDEX(Rohdaten!$A$143:$LJ$143,MATCH(R$4,RD_Kopf,0)),NA()),NA())</f>
        <v>0</v>
      </c>
      <c r="S17" s="68">
        <f>IFERROR(IF(ISNUMBER(INDEX(Rohdaten!$A$143:$LJ$143,MATCH(S$4,RD_Kopf,0))),INDEX(Rohdaten!$A$143:$LJ$143,MATCH(S$4,RD_Kopf,0)),NA()),NA())</f>
        <v>0</v>
      </c>
      <c r="T17" s="68">
        <f>IFERROR(IF(ISNUMBER(INDEX(Rohdaten!$A$143:$LJ$143,MATCH(T$4,RD_Kopf,0))),INDEX(Rohdaten!$A$143:$LJ$143,MATCH(T$4,RD_Kopf,0)),NA()),NA())</f>
        <v>0</v>
      </c>
      <c r="U17" s="68">
        <f>IFERROR(IF(ISNUMBER(INDEX(Rohdaten!$A$143:$LJ$143,MATCH(U$4,RD_Kopf,0))),INDEX(Rohdaten!$A$143:$LJ$143,MATCH(U$4,RD_Kopf,0)),NA()),NA())</f>
        <v>0</v>
      </c>
      <c r="V17" s="68">
        <f>IFERROR(IF(ISNUMBER(INDEX(Rohdaten!$A$143:$LJ$143,MATCH(V$4,RD_Kopf,0))),INDEX(Rohdaten!$A$143:$LJ$143,MATCH(V$4,RD_Kopf,0)),NA()),NA())</f>
        <v>0</v>
      </c>
      <c r="W17" s="68">
        <f>IFERROR(IF(ISNUMBER(INDEX(Rohdaten!$A$143:$LJ$143,MATCH(W$4,RD_Kopf,0))),INDEX(Rohdaten!$A$143:$LJ$143,MATCH(W$4,RD_Kopf,0)),NA()),NA())</f>
        <v>0</v>
      </c>
      <c r="X17" s="68">
        <f>IFERROR(IF(ISNUMBER(INDEX(Rohdaten!$A$143:$LJ$143,MATCH(X$4,RD_Kopf,0))),INDEX(Rohdaten!$A$143:$LJ$143,MATCH(X$4,RD_Kopf,0)),NA()),NA())</f>
        <v>0</v>
      </c>
      <c r="Y17" s="68">
        <f>IFERROR(IF(ISNUMBER(INDEX(Rohdaten!$A$143:$LJ$143,MATCH(Y$4,RD_Kopf,0))),INDEX(Rohdaten!$A$143:$LJ$143,MATCH(Y$4,RD_Kopf,0)),NA()),NA())</f>
        <v>0</v>
      </c>
      <c r="Z17" s="68">
        <f>IFERROR(IF(ISNUMBER(INDEX(Rohdaten!$A$143:$LJ$143,MATCH(Z$4,RD_Kopf,0))),INDEX(Rohdaten!$A$143:$LJ$143,MATCH(Z$4,RD_Kopf,0)),NA()),NA())</f>
        <v>0</v>
      </c>
      <c r="AA17" s="68">
        <f>IFERROR(IF(ISNUMBER(INDEX(Rohdaten!$A$143:$LJ$143,MATCH(AA$4,RD_Kopf,0))),INDEX(Rohdaten!$A$143:$LJ$143,MATCH(AA$4,RD_Kopf,0)),NA()),NA())</f>
        <v>0</v>
      </c>
      <c r="AB17" s="68">
        <f>IFERROR(IF(ISNUMBER(INDEX(Rohdaten!$A$143:$LJ$143,MATCH(AB$4,RD_Kopf,0))),INDEX(Rohdaten!$A$143:$LJ$143,MATCH(AB$4,RD_Kopf,0)),NA()),NA())</f>
        <v>0</v>
      </c>
      <c r="AC17" s="68">
        <f>IFERROR(IF(ISNUMBER(INDEX(Rohdaten!$A$143:$LJ$143,MATCH(AC$4,RD_Kopf,0))),INDEX(Rohdaten!$A$143:$LJ$143,MATCH(AC$4,RD_Kopf,0)),NA()),NA())</f>
        <v>0</v>
      </c>
      <c r="AD17" s="68">
        <f>IFERROR(IF(ISNUMBER(INDEX(Rohdaten!$A$143:$LJ$143,MATCH(AD$4,RD_Kopf,0))),INDEX(Rohdaten!$A$143:$LJ$143,MATCH(AD$4,RD_Kopf,0)),NA()),NA())</f>
        <v>0</v>
      </c>
      <c r="BR17" s="11" t="s">
        <v>351</v>
      </c>
      <c r="BS17" s="68">
        <v>4</v>
      </c>
      <c r="BT17" s="11" t="s">
        <v>863</v>
      </c>
      <c r="BU17" s="11" t="s">
        <v>1121</v>
      </c>
      <c r="BV17" s="11" t="s">
        <v>1122</v>
      </c>
      <c r="BW17" s="11" t="s">
        <v>1123</v>
      </c>
      <c r="BX17" s="11" t="s">
        <v>1124</v>
      </c>
      <c r="BY17" s="11" t="s">
        <v>1125</v>
      </c>
      <c r="BZ17" s="11" t="s">
        <v>1126</v>
      </c>
      <c r="CA17" s="11" t="s">
        <v>1127</v>
      </c>
      <c r="CB17" s="11" t="s">
        <v>1128</v>
      </c>
      <c r="CC17" s="11" t="s">
        <v>1129</v>
      </c>
    </row>
    <row r="18" spans="1:81">
      <c r="A18" s="11" t="s">
        <v>284</v>
      </c>
      <c r="B18" s="11" t="s">
        <v>284</v>
      </c>
      <c r="C18" s="67" t="s">
        <v>578</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c r="N18" s="68">
        <f>IFERROR(IF(ISNUMBER(INDEX(Rohdaten!$A$144:$LJ$144,MATCH(N$4,RD_Kopf,0))),INDEX(Rohdaten!$A$144:$LJ$144,MATCH(N$4,RD_Kopf,0)),NA()),NA())</f>
        <v>0</v>
      </c>
      <c r="O18" s="68">
        <f>IFERROR(IF(ISNUMBER(INDEX(Rohdaten!$A$144:$LJ$144,MATCH(O$4,RD_Kopf,0))),INDEX(Rohdaten!$A$144:$LJ$144,MATCH(O$4,RD_Kopf,0)),NA()),NA())</f>
        <v>0</v>
      </c>
      <c r="P18" s="68">
        <f>IFERROR(IF(ISNUMBER(INDEX(Rohdaten!$A$144:$LJ$144,MATCH(P$4,RD_Kopf,0))),INDEX(Rohdaten!$A$144:$LJ$144,MATCH(P$4,RD_Kopf,0)),NA()),NA())</f>
        <v>0</v>
      </c>
      <c r="Q18" s="68">
        <f>IFERROR(IF(ISNUMBER(INDEX(Rohdaten!$A$144:$LJ$144,MATCH(Q$4,RD_Kopf,0))),INDEX(Rohdaten!$A$144:$LJ$144,MATCH(Q$4,RD_Kopf,0)),NA()),NA())</f>
        <v>0</v>
      </c>
      <c r="R18" s="68">
        <f>IFERROR(IF(ISNUMBER(INDEX(Rohdaten!$A$144:$LJ$144,MATCH(R$4,RD_Kopf,0))),INDEX(Rohdaten!$A$144:$LJ$144,MATCH(R$4,RD_Kopf,0)),NA()),NA())</f>
        <v>0</v>
      </c>
      <c r="S18" s="68">
        <f>IFERROR(IF(ISNUMBER(INDEX(Rohdaten!$A$144:$LJ$144,MATCH(S$4,RD_Kopf,0))),INDEX(Rohdaten!$A$144:$LJ$144,MATCH(S$4,RD_Kopf,0)),NA()),NA())</f>
        <v>0</v>
      </c>
      <c r="T18" s="68">
        <f>IFERROR(IF(ISNUMBER(INDEX(Rohdaten!$A$144:$LJ$144,MATCH(T$4,RD_Kopf,0))),INDEX(Rohdaten!$A$144:$LJ$144,MATCH(T$4,RD_Kopf,0)),NA()),NA())</f>
        <v>0</v>
      </c>
      <c r="U18" s="68">
        <f>IFERROR(IF(ISNUMBER(INDEX(Rohdaten!$A$144:$LJ$144,MATCH(U$4,RD_Kopf,0))),INDEX(Rohdaten!$A$144:$LJ$144,MATCH(U$4,RD_Kopf,0)),NA()),NA())</f>
        <v>0</v>
      </c>
      <c r="V18" s="68">
        <f>IFERROR(IF(ISNUMBER(INDEX(Rohdaten!$A$144:$LJ$144,MATCH(V$4,RD_Kopf,0))),INDEX(Rohdaten!$A$144:$LJ$144,MATCH(V$4,RD_Kopf,0)),NA()),NA())</f>
        <v>0</v>
      </c>
      <c r="W18" s="68">
        <f>IFERROR(IF(ISNUMBER(INDEX(Rohdaten!$A$144:$LJ$144,MATCH(W$4,RD_Kopf,0))),INDEX(Rohdaten!$A$144:$LJ$144,MATCH(W$4,RD_Kopf,0)),NA()),NA())</f>
        <v>0</v>
      </c>
      <c r="X18" s="68">
        <f>IFERROR(IF(ISNUMBER(INDEX(Rohdaten!$A$144:$LJ$144,MATCH(X$4,RD_Kopf,0))),INDEX(Rohdaten!$A$144:$LJ$144,MATCH(X$4,RD_Kopf,0)),NA()),NA())</f>
        <v>0</v>
      </c>
      <c r="Y18" s="68">
        <f>IFERROR(IF(ISNUMBER(INDEX(Rohdaten!$A$144:$LJ$144,MATCH(Y$4,RD_Kopf,0))),INDEX(Rohdaten!$A$144:$LJ$144,MATCH(Y$4,RD_Kopf,0)),NA()),NA())</f>
        <v>0</v>
      </c>
      <c r="Z18" s="68">
        <f>IFERROR(IF(ISNUMBER(INDEX(Rohdaten!$A$144:$LJ$144,MATCH(Z$4,RD_Kopf,0))),INDEX(Rohdaten!$A$144:$LJ$144,MATCH(Z$4,RD_Kopf,0)),NA()),NA())</f>
        <v>0</v>
      </c>
      <c r="AA18" s="68">
        <f>IFERROR(IF(ISNUMBER(INDEX(Rohdaten!$A$144:$LJ$144,MATCH(AA$4,RD_Kopf,0))),INDEX(Rohdaten!$A$144:$LJ$144,MATCH(AA$4,RD_Kopf,0)),NA()),NA())</f>
        <v>0</v>
      </c>
      <c r="AB18" s="68">
        <f>IFERROR(IF(ISNUMBER(INDEX(Rohdaten!$A$144:$LJ$144,MATCH(AB$4,RD_Kopf,0))),INDEX(Rohdaten!$A$144:$LJ$144,MATCH(AB$4,RD_Kopf,0)),NA()),NA())</f>
        <v>0</v>
      </c>
      <c r="AC18" s="68">
        <f>IFERROR(IF(ISNUMBER(INDEX(Rohdaten!$A$144:$LJ$144,MATCH(AC$4,RD_Kopf,0))),INDEX(Rohdaten!$A$144:$LJ$144,MATCH(AC$4,RD_Kopf,0)),NA()),NA())</f>
        <v>0</v>
      </c>
      <c r="AD18" s="68">
        <f>IFERROR(IF(ISNUMBER(INDEX(Rohdaten!$A$144:$LJ$144,MATCH(AD$4,RD_Kopf,0))),INDEX(Rohdaten!$A$144:$LJ$144,MATCH(AD$4,RD_Kopf,0)),NA()),NA())</f>
        <v>0</v>
      </c>
      <c r="BR18" s="11" t="s">
        <v>351</v>
      </c>
      <c r="BS18" s="68">
        <v>5</v>
      </c>
      <c r="BT18" s="11" t="s">
        <v>865</v>
      </c>
      <c r="BU18" s="11" t="s">
        <v>1130</v>
      </c>
      <c r="BV18" s="11" t="s">
        <v>1131</v>
      </c>
      <c r="BW18" s="11" t="s">
        <v>1132</v>
      </c>
      <c r="BX18" s="11" t="s">
        <v>1133</v>
      </c>
      <c r="BY18" s="11" t="s">
        <v>1134</v>
      </c>
      <c r="BZ18" s="11" t="s">
        <v>1135</v>
      </c>
      <c r="CA18" s="11" t="s">
        <v>1136</v>
      </c>
      <c r="CB18" s="11" t="s">
        <v>1137</v>
      </c>
      <c r="CC18" s="11" t="s">
        <v>1138</v>
      </c>
    </row>
    <row r="19" spans="1:81">
      <c r="A19" s="11" t="s">
        <v>287</v>
      </c>
      <c r="B19" s="11" t="s">
        <v>287</v>
      </c>
      <c r="C19" s="67" t="s">
        <v>579</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c r="N19" s="68">
        <f>IFERROR(IF(ISNUMBER(INDEX(Rohdaten!$A$145:$LJ$145,MATCH(N$4,RD_Kopf,0))),INDEX(Rohdaten!$A$145:$LJ$145,MATCH(N$4,RD_Kopf,0)),NA()),NA())</f>
        <v>0</v>
      </c>
      <c r="O19" s="68">
        <f>IFERROR(IF(ISNUMBER(INDEX(Rohdaten!$A$145:$LJ$145,MATCH(O$4,RD_Kopf,0))),INDEX(Rohdaten!$A$145:$LJ$145,MATCH(O$4,RD_Kopf,0)),NA()),NA())</f>
        <v>0</v>
      </c>
      <c r="P19" s="68">
        <f>IFERROR(IF(ISNUMBER(INDEX(Rohdaten!$A$145:$LJ$145,MATCH(P$4,RD_Kopf,0))),INDEX(Rohdaten!$A$145:$LJ$145,MATCH(P$4,RD_Kopf,0)),NA()),NA())</f>
        <v>0</v>
      </c>
      <c r="Q19" s="68">
        <f>IFERROR(IF(ISNUMBER(INDEX(Rohdaten!$A$145:$LJ$145,MATCH(Q$4,RD_Kopf,0))),INDEX(Rohdaten!$A$145:$LJ$145,MATCH(Q$4,RD_Kopf,0)),NA()),NA())</f>
        <v>0</v>
      </c>
      <c r="R19" s="68">
        <f>IFERROR(IF(ISNUMBER(INDEX(Rohdaten!$A$145:$LJ$145,MATCH(R$4,RD_Kopf,0))),INDEX(Rohdaten!$A$145:$LJ$145,MATCH(R$4,RD_Kopf,0)),NA()),NA())</f>
        <v>0</v>
      </c>
      <c r="S19" s="68">
        <f>IFERROR(IF(ISNUMBER(INDEX(Rohdaten!$A$145:$LJ$145,MATCH(S$4,RD_Kopf,0))),INDEX(Rohdaten!$A$145:$LJ$145,MATCH(S$4,RD_Kopf,0)),NA()),NA())</f>
        <v>0</v>
      </c>
      <c r="T19" s="68">
        <f>IFERROR(IF(ISNUMBER(INDEX(Rohdaten!$A$145:$LJ$145,MATCH(T$4,RD_Kopf,0))),INDEX(Rohdaten!$A$145:$LJ$145,MATCH(T$4,RD_Kopf,0)),NA()),NA())</f>
        <v>0</v>
      </c>
      <c r="U19" s="68">
        <f>IFERROR(IF(ISNUMBER(INDEX(Rohdaten!$A$145:$LJ$145,MATCH(U$4,RD_Kopf,0))),INDEX(Rohdaten!$A$145:$LJ$145,MATCH(U$4,RD_Kopf,0)),NA()),NA())</f>
        <v>0</v>
      </c>
      <c r="V19" s="68">
        <f>IFERROR(IF(ISNUMBER(INDEX(Rohdaten!$A$145:$LJ$145,MATCH(V$4,RD_Kopf,0))),INDEX(Rohdaten!$A$145:$LJ$145,MATCH(V$4,RD_Kopf,0)),NA()),NA())</f>
        <v>0</v>
      </c>
      <c r="W19" s="68">
        <f>IFERROR(IF(ISNUMBER(INDEX(Rohdaten!$A$145:$LJ$145,MATCH(W$4,RD_Kopf,0))),INDEX(Rohdaten!$A$145:$LJ$145,MATCH(W$4,RD_Kopf,0)),NA()),NA())</f>
        <v>0</v>
      </c>
      <c r="X19" s="68">
        <f>IFERROR(IF(ISNUMBER(INDEX(Rohdaten!$A$145:$LJ$145,MATCH(X$4,RD_Kopf,0))),INDEX(Rohdaten!$A$145:$LJ$145,MATCH(X$4,RD_Kopf,0)),NA()),NA())</f>
        <v>0</v>
      </c>
      <c r="Y19" s="68">
        <f>IFERROR(IF(ISNUMBER(INDEX(Rohdaten!$A$145:$LJ$145,MATCH(Y$4,RD_Kopf,0))),INDEX(Rohdaten!$A$145:$LJ$145,MATCH(Y$4,RD_Kopf,0)),NA()),NA())</f>
        <v>0</v>
      </c>
      <c r="Z19" s="68">
        <f>IFERROR(IF(ISNUMBER(INDEX(Rohdaten!$A$145:$LJ$145,MATCH(Z$4,RD_Kopf,0))),INDEX(Rohdaten!$A$145:$LJ$145,MATCH(Z$4,RD_Kopf,0)),NA()),NA())</f>
        <v>0</v>
      </c>
      <c r="AA19" s="68">
        <f>IFERROR(IF(ISNUMBER(INDEX(Rohdaten!$A$145:$LJ$145,MATCH(AA$4,RD_Kopf,0))),INDEX(Rohdaten!$A$145:$LJ$145,MATCH(AA$4,RD_Kopf,0)),NA()),NA())</f>
        <v>0</v>
      </c>
      <c r="AB19" s="68">
        <f>IFERROR(IF(ISNUMBER(INDEX(Rohdaten!$A$145:$LJ$145,MATCH(AB$4,RD_Kopf,0))),INDEX(Rohdaten!$A$145:$LJ$145,MATCH(AB$4,RD_Kopf,0)),NA()),NA())</f>
        <v>0</v>
      </c>
      <c r="AC19" s="68">
        <f>IFERROR(IF(ISNUMBER(INDEX(Rohdaten!$A$145:$LJ$145,MATCH(AC$4,RD_Kopf,0))),INDEX(Rohdaten!$A$145:$LJ$145,MATCH(AC$4,RD_Kopf,0)),NA()),NA())</f>
        <v>0</v>
      </c>
      <c r="AD19" s="68">
        <f>IFERROR(IF(ISNUMBER(INDEX(Rohdaten!$A$145:$LJ$145,MATCH(AD$4,RD_Kopf,0))),INDEX(Rohdaten!$A$145:$LJ$145,MATCH(AD$4,RD_Kopf,0)),NA()),NA())</f>
        <v>0</v>
      </c>
      <c r="BR19" s="11" t="s">
        <v>351</v>
      </c>
      <c r="BS19" s="68">
        <v>6</v>
      </c>
      <c r="BT19" s="11" t="s">
        <v>867</v>
      </c>
      <c r="BU19" s="11" t="s">
        <v>1139</v>
      </c>
      <c r="BV19" s="11"/>
      <c r="BW19" s="11" t="s">
        <v>1140</v>
      </c>
      <c r="BX19" s="11" t="s">
        <v>1141</v>
      </c>
    </row>
    <row r="20" spans="1:81">
      <c r="A20" s="11" t="s">
        <v>214</v>
      </c>
      <c r="B20" s="11" t="s">
        <v>214</v>
      </c>
      <c r="C20" s="67" t="s">
        <v>580</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c r="N20" s="68">
        <f>IFERROR(IF(ISNUMBER(INDEX(Rohdaten!$A$117:$LJ$117,MATCH(N$4,RD_Kopf,0))),INDEX(Rohdaten!$A$117:$LJ$117,MATCH(N$4,RD_Kopf,0)),NA()),NA())</f>
        <v>0</v>
      </c>
      <c r="O20" s="68">
        <f>IFERROR(IF(ISNUMBER(INDEX(Rohdaten!$A$117:$LJ$117,MATCH(O$4,RD_Kopf,0))),INDEX(Rohdaten!$A$117:$LJ$117,MATCH(O$4,RD_Kopf,0)),NA()),NA())</f>
        <v>0</v>
      </c>
      <c r="P20" s="68">
        <f>IFERROR(IF(ISNUMBER(INDEX(Rohdaten!$A$117:$LJ$117,MATCH(P$4,RD_Kopf,0))),INDEX(Rohdaten!$A$117:$LJ$117,MATCH(P$4,RD_Kopf,0)),NA()),NA())</f>
        <v>0</v>
      </c>
      <c r="Q20" s="68">
        <f>IFERROR(IF(ISNUMBER(INDEX(Rohdaten!$A$117:$LJ$117,MATCH(Q$4,RD_Kopf,0))),INDEX(Rohdaten!$A$117:$LJ$117,MATCH(Q$4,RD_Kopf,0)),NA()),NA())</f>
        <v>0</v>
      </c>
      <c r="R20" s="68">
        <f>IFERROR(IF(ISNUMBER(INDEX(Rohdaten!$A$117:$LJ$117,MATCH(R$4,RD_Kopf,0))),INDEX(Rohdaten!$A$117:$LJ$117,MATCH(R$4,RD_Kopf,0)),NA()),NA())</f>
        <v>0</v>
      </c>
      <c r="S20" s="68">
        <f>IFERROR(IF(ISNUMBER(INDEX(Rohdaten!$A$117:$LJ$117,MATCH(S$4,RD_Kopf,0))),INDEX(Rohdaten!$A$117:$LJ$117,MATCH(S$4,RD_Kopf,0)),NA()),NA())</f>
        <v>0</v>
      </c>
      <c r="T20" s="68">
        <f>IFERROR(IF(ISNUMBER(INDEX(Rohdaten!$A$117:$LJ$117,MATCH(T$4,RD_Kopf,0))),INDEX(Rohdaten!$A$117:$LJ$117,MATCH(T$4,RD_Kopf,0)),NA()),NA())</f>
        <v>0</v>
      </c>
      <c r="U20" s="68">
        <f>IFERROR(IF(ISNUMBER(INDEX(Rohdaten!$A$117:$LJ$117,MATCH(U$4,RD_Kopf,0))),INDEX(Rohdaten!$A$117:$LJ$117,MATCH(U$4,RD_Kopf,0)),NA()),NA())</f>
        <v>0</v>
      </c>
      <c r="V20" s="68">
        <f>IFERROR(IF(ISNUMBER(INDEX(Rohdaten!$A$117:$LJ$117,MATCH(V$4,RD_Kopf,0))),INDEX(Rohdaten!$A$117:$LJ$117,MATCH(V$4,RD_Kopf,0)),NA()),NA())</f>
        <v>0</v>
      </c>
      <c r="W20" s="68">
        <f>IFERROR(IF(ISNUMBER(INDEX(Rohdaten!$A$117:$LJ$117,MATCH(W$4,RD_Kopf,0))),INDEX(Rohdaten!$A$117:$LJ$117,MATCH(W$4,RD_Kopf,0)),NA()),NA())</f>
        <v>0</v>
      </c>
      <c r="X20" s="68">
        <f>IFERROR(IF(ISNUMBER(INDEX(Rohdaten!$A$117:$LJ$117,MATCH(X$4,RD_Kopf,0))),INDEX(Rohdaten!$A$117:$LJ$117,MATCH(X$4,RD_Kopf,0)),NA()),NA())</f>
        <v>0</v>
      </c>
      <c r="Y20" s="68">
        <f>IFERROR(IF(ISNUMBER(INDEX(Rohdaten!$A$117:$LJ$117,MATCH(Y$4,RD_Kopf,0))),INDEX(Rohdaten!$A$117:$LJ$117,MATCH(Y$4,RD_Kopf,0)),NA()),NA())</f>
        <v>0</v>
      </c>
      <c r="Z20" s="68">
        <f>IFERROR(IF(ISNUMBER(INDEX(Rohdaten!$A$117:$LJ$117,MATCH(Z$4,RD_Kopf,0))),INDEX(Rohdaten!$A$117:$LJ$117,MATCH(Z$4,RD_Kopf,0)),NA()),NA())</f>
        <v>0</v>
      </c>
      <c r="AA20" s="68">
        <f>IFERROR(IF(ISNUMBER(INDEX(Rohdaten!$A$117:$LJ$117,MATCH(AA$4,RD_Kopf,0))),INDEX(Rohdaten!$A$117:$LJ$117,MATCH(AA$4,RD_Kopf,0)),NA()),NA())</f>
        <v>0</v>
      </c>
      <c r="AB20" s="68">
        <f>IFERROR(IF(ISNUMBER(INDEX(Rohdaten!$A$117:$LJ$117,MATCH(AB$4,RD_Kopf,0))),INDEX(Rohdaten!$A$117:$LJ$117,MATCH(AB$4,RD_Kopf,0)),NA()),NA())</f>
        <v>0</v>
      </c>
      <c r="AC20" s="68">
        <f>IFERROR(IF(ISNUMBER(INDEX(Rohdaten!$A$117:$LJ$117,MATCH(AC$4,RD_Kopf,0))),INDEX(Rohdaten!$A$117:$LJ$117,MATCH(AC$4,RD_Kopf,0)),NA()),NA())</f>
        <v>0</v>
      </c>
      <c r="AD20" s="68">
        <f>IFERROR(IF(ISNUMBER(INDEX(Rohdaten!$A$117:$LJ$117,MATCH(AD$4,RD_Kopf,0))),INDEX(Rohdaten!$A$117:$LJ$117,MATCH(AD$4,RD_Kopf,0)),NA()),NA())</f>
        <v>0</v>
      </c>
      <c r="BR20" s="11" t="s">
        <v>353</v>
      </c>
      <c r="BS20" s="68">
        <v>1</v>
      </c>
      <c r="BT20" s="11" t="s">
        <v>412</v>
      </c>
      <c r="BU20" s="11" t="s">
        <v>1112</v>
      </c>
      <c r="BV20" s="11"/>
      <c r="BW20" s="11" t="s">
        <v>1142</v>
      </c>
    </row>
    <row r="21" spans="1:81">
      <c r="A21" s="11" t="s">
        <v>217</v>
      </c>
      <c r="B21" s="11" t="s">
        <v>217</v>
      </c>
      <c r="C21" s="67" t="s">
        <v>581</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c r="N21" s="68">
        <f>IFERROR(IF(ISNUMBER(INDEX(Rohdaten!$A$118:$LJ$118,MATCH(N$4,RD_Kopf,0))),INDEX(Rohdaten!$A$118:$LJ$118,MATCH(N$4,RD_Kopf,0)),NA()),NA())</f>
        <v>0</v>
      </c>
      <c r="O21" s="68">
        <f>IFERROR(IF(ISNUMBER(INDEX(Rohdaten!$A$118:$LJ$118,MATCH(O$4,RD_Kopf,0))),INDEX(Rohdaten!$A$118:$LJ$118,MATCH(O$4,RD_Kopf,0)),NA()),NA())</f>
        <v>0</v>
      </c>
      <c r="P21" s="68">
        <f>IFERROR(IF(ISNUMBER(INDEX(Rohdaten!$A$118:$LJ$118,MATCH(P$4,RD_Kopf,0))),INDEX(Rohdaten!$A$118:$LJ$118,MATCH(P$4,RD_Kopf,0)),NA()),NA())</f>
        <v>0</v>
      </c>
      <c r="Q21" s="68">
        <f>IFERROR(IF(ISNUMBER(INDEX(Rohdaten!$A$118:$LJ$118,MATCH(Q$4,RD_Kopf,0))),INDEX(Rohdaten!$A$118:$LJ$118,MATCH(Q$4,RD_Kopf,0)),NA()),NA())</f>
        <v>0</v>
      </c>
      <c r="R21" s="68">
        <f>IFERROR(IF(ISNUMBER(INDEX(Rohdaten!$A$118:$LJ$118,MATCH(R$4,RD_Kopf,0))),INDEX(Rohdaten!$A$118:$LJ$118,MATCH(R$4,RD_Kopf,0)),NA()),NA())</f>
        <v>0</v>
      </c>
      <c r="S21" s="68">
        <f>IFERROR(IF(ISNUMBER(INDEX(Rohdaten!$A$118:$LJ$118,MATCH(S$4,RD_Kopf,0))),INDEX(Rohdaten!$A$118:$LJ$118,MATCH(S$4,RD_Kopf,0)),NA()),NA())</f>
        <v>0</v>
      </c>
      <c r="T21" s="68">
        <f>IFERROR(IF(ISNUMBER(INDEX(Rohdaten!$A$118:$LJ$118,MATCH(T$4,RD_Kopf,0))),INDEX(Rohdaten!$A$118:$LJ$118,MATCH(T$4,RD_Kopf,0)),NA()),NA())</f>
        <v>0</v>
      </c>
      <c r="U21" s="68">
        <f>IFERROR(IF(ISNUMBER(INDEX(Rohdaten!$A$118:$LJ$118,MATCH(U$4,RD_Kopf,0))),INDEX(Rohdaten!$A$118:$LJ$118,MATCH(U$4,RD_Kopf,0)),NA()),NA())</f>
        <v>0</v>
      </c>
      <c r="V21" s="68">
        <f>IFERROR(IF(ISNUMBER(INDEX(Rohdaten!$A$118:$LJ$118,MATCH(V$4,RD_Kopf,0))),INDEX(Rohdaten!$A$118:$LJ$118,MATCH(V$4,RD_Kopf,0)),NA()),NA())</f>
        <v>0</v>
      </c>
      <c r="W21" s="68">
        <f>IFERROR(IF(ISNUMBER(INDEX(Rohdaten!$A$118:$LJ$118,MATCH(W$4,RD_Kopf,0))),INDEX(Rohdaten!$A$118:$LJ$118,MATCH(W$4,RD_Kopf,0)),NA()),NA())</f>
        <v>0</v>
      </c>
      <c r="X21" s="68">
        <f>IFERROR(IF(ISNUMBER(INDEX(Rohdaten!$A$118:$LJ$118,MATCH(X$4,RD_Kopf,0))),INDEX(Rohdaten!$A$118:$LJ$118,MATCH(X$4,RD_Kopf,0)),NA()),NA())</f>
        <v>0</v>
      </c>
      <c r="Y21" s="68">
        <f>IFERROR(IF(ISNUMBER(INDEX(Rohdaten!$A$118:$LJ$118,MATCH(Y$4,RD_Kopf,0))),INDEX(Rohdaten!$A$118:$LJ$118,MATCH(Y$4,RD_Kopf,0)),NA()),NA())</f>
        <v>0</v>
      </c>
      <c r="Z21" s="68">
        <f>IFERROR(IF(ISNUMBER(INDEX(Rohdaten!$A$118:$LJ$118,MATCH(Z$4,RD_Kopf,0))),INDEX(Rohdaten!$A$118:$LJ$118,MATCH(Z$4,RD_Kopf,0)),NA()),NA())</f>
        <v>0</v>
      </c>
      <c r="AA21" s="68">
        <f>IFERROR(IF(ISNUMBER(INDEX(Rohdaten!$A$118:$LJ$118,MATCH(AA$4,RD_Kopf,0))),INDEX(Rohdaten!$A$118:$LJ$118,MATCH(AA$4,RD_Kopf,0)),NA()),NA())</f>
        <v>0</v>
      </c>
      <c r="AB21" s="68">
        <f>IFERROR(IF(ISNUMBER(INDEX(Rohdaten!$A$118:$LJ$118,MATCH(AB$4,RD_Kopf,0))),INDEX(Rohdaten!$A$118:$LJ$118,MATCH(AB$4,RD_Kopf,0)),NA()),NA())</f>
        <v>0</v>
      </c>
      <c r="AC21" s="68">
        <f>IFERROR(IF(ISNUMBER(INDEX(Rohdaten!$A$118:$LJ$118,MATCH(AC$4,RD_Kopf,0))),INDEX(Rohdaten!$A$118:$LJ$118,MATCH(AC$4,RD_Kopf,0)),NA()),NA())</f>
        <v>0</v>
      </c>
      <c r="AD21" s="68">
        <f>IFERROR(IF(ISNUMBER(INDEX(Rohdaten!$A$118:$LJ$118,MATCH(AD$4,RD_Kopf,0))),INDEX(Rohdaten!$A$118:$LJ$118,MATCH(AD$4,RD_Kopf,0)),NA()),NA())</f>
        <v>0</v>
      </c>
      <c r="BR21" s="11" t="s">
        <v>353</v>
      </c>
      <c r="BS21" s="68">
        <v>2</v>
      </c>
      <c r="BT21" s="11" t="s">
        <v>419</v>
      </c>
      <c r="BU21" s="11" t="s">
        <v>1143</v>
      </c>
      <c r="BV21" s="11"/>
      <c r="BW21" s="11" t="s">
        <v>1144</v>
      </c>
    </row>
    <row r="22" spans="1:81">
      <c r="A22" s="11" t="s">
        <v>220</v>
      </c>
      <c r="B22" s="11" t="s">
        <v>220</v>
      </c>
      <c r="C22" s="67" t="s">
        <v>582</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c r="N22" s="68">
        <f>IFERROR(IF(ISNUMBER(INDEX(Rohdaten!$A$119:$LJ$119,MATCH(N$4,RD_Kopf,0))),INDEX(Rohdaten!$A$119:$LJ$119,MATCH(N$4,RD_Kopf,0)),NA()),NA())</f>
        <v>0</v>
      </c>
      <c r="O22" s="68">
        <f>IFERROR(IF(ISNUMBER(INDEX(Rohdaten!$A$119:$LJ$119,MATCH(O$4,RD_Kopf,0))),INDEX(Rohdaten!$A$119:$LJ$119,MATCH(O$4,RD_Kopf,0)),NA()),NA())</f>
        <v>0</v>
      </c>
      <c r="P22" s="68">
        <f>IFERROR(IF(ISNUMBER(INDEX(Rohdaten!$A$119:$LJ$119,MATCH(P$4,RD_Kopf,0))),INDEX(Rohdaten!$A$119:$LJ$119,MATCH(P$4,RD_Kopf,0)),NA()),NA())</f>
        <v>0</v>
      </c>
      <c r="Q22" s="68">
        <f>IFERROR(IF(ISNUMBER(INDEX(Rohdaten!$A$119:$LJ$119,MATCH(Q$4,RD_Kopf,0))),INDEX(Rohdaten!$A$119:$LJ$119,MATCH(Q$4,RD_Kopf,0)),NA()),NA())</f>
        <v>0</v>
      </c>
      <c r="R22" s="68">
        <f>IFERROR(IF(ISNUMBER(INDEX(Rohdaten!$A$119:$LJ$119,MATCH(R$4,RD_Kopf,0))),INDEX(Rohdaten!$A$119:$LJ$119,MATCH(R$4,RD_Kopf,0)),NA()),NA())</f>
        <v>0</v>
      </c>
      <c r="S22" s="68">
        <f>IFERROR(IF(ISNUMBER(INDEX(Rohdaten!$A$119:$LJ$119,MATCH(S$4,RD_Kopf,0))),INDEX(Rohdaten!$A$119:$LJ$119,MATCH(S$4,RD_Kopf,0)),NA()),NA())</f>
        <v>0</v>
      </c>
      <c r="T22" s="68">
        <f>IFERROR(IF(ISNUMBER(INDEX(Rohdaten!$A$119:$LJ$119,MATCH(T$4,RD_Kopf,0))),INDEX(Rohdaten!$A$119:$LJ$119,MATCH(T$4,RD_Kopf,0)),NA()),NA())</f>
        <v>0</v>
      </c>
      <c r="U22" s="68">
        <f>IFERROR(IF(ISNUMBER(INDEX(Rohdaten!$A$119:$LJ$119,MATCH(U$4,RD_Kopf,0))),INDEX(Rohdaten!$A$119:$LJ$119,MATCH(U$4,RD_Kopf,0)),NA()),NA())</f>
        <v>0</v>
      </c>
      <c r="V22" s="68">
        <f>IFERROR(IF(ISNUMBER(INDEX(Rohdaten!$A$119:$LJ$119,MATCH(V$4,RD_Kopf,0))),INDEX(Rohdaten!$A$119:$LJ$119,MATCH(V$4,RD_Kopf,0)),NA()),NA())</f>
        <v>0</v>
      </c>
      <c r="W22" s="68">
        <f>IFERROR(IF(ISNUMBER(INDEX(Rohdaten!$A$119:$LJ$119,MATCH(W$4,RD_Kopf,0))),INDEX(Rohdaten!$A$119:$LJ$119,MATCH(W$4,RD_Kopf,0)),NA()),NA())</f>
        <v>0</v>
      </c>
      <c r="X22" s="68">
        <f>IFERROR(IF(ISNUMBER(INDEX(Rohdaten!$A$119:$LJ$119,MATCH(X$4,RD_Kopf,0))),INDEX(Rohdaten!$A$119:$LJ$119,MATCH(X$4,RD_Kopf,0)),NA()),NA())</f>
        <v>0</v>
      </c>
      <c r="Y22" s="68">
        <f>IFERROR(IF(ISNUMBER(INDEX(Rohdaten!$A$119:$LJ$119,MATCH(Y$4,RD_Kopf,0))),INDEX(Rohdaten!$A$119:$LJ$119,MATCH(Y$4,RD_Kopf,0)),NA()),NA())</f>
        <v>0</v>
      </c>
      <c r="Z22" s="68">
        <f>IFERROR(IF(ISNUMBER(INDEX(Rohdaten!$A$119:$LJ$119,MATCH(Z$4,RD_Kopf,0))),INDEX(Rohdaten!$A$119:$LJ$119,MATCH(Z$4,RD_Kopf,0)),NA()),NA())</f>
        <v>0</v>
      </c>
      <c r="AA22" s="68">
        <f>IFERROR(IF(ISNUMBER(INDEX(Rohdaten!$A$119:$LJ$119,MATCH(AA$4,RD_Kopf,0))),INDEX(Rohdaten!$A$119:$LJ$119,MATCH(AA$4,RD_Kopf,0)),NA()),NA())</f>
        <v>0</v>
      </c>
      <c r="AB22" s="68">
        <f>IFERROR(IF(ISNUMBER(INDEX(Rohdaten!$A$119:$LJ$119,MATCH(AB$4,RD_Kopf,0))),INDEX(Rohdaten!$A$119:$LJ$119,MATCH(AB$4,RD_Kopf,0)),NA()),NA())</f>
        <v>0</v>
      </c>
      <c r="AC22" s="68">
        <f>IFERROR(IF(ISNUMBER(INDEX(Rohdaten!$A$119:$LJ$119,MATCH(AC$4,RD_Kopf,0))),INDEX(Rohdaten!$A$119:$LJ$119,MATCH(AC$4,RD_Kopf,0)),NA()),NA())</f>
        <v>0</v>
      </c>
      <c r="AD22" s="68">
        <f>IFERROR(IF(ISNUMBER(INDEX(Rohdaten!$A$119:$LJ$119,MATCH(AD$4,RD_Kopf,0))),INDEX(Rohdaten!$A$119:$LJ$119,MATCH(AD$4,RD_Kopf,0)),NA()),NA())</f>
        <v>0</v>
      </c>
      <c r="BR22" s="11" t="s">
        <v>353</v>
      </c>
      <c r="BS22" s="68">
        <v>3</v>
      </c>
      <c r="BT22" s="11" t="s">
        <v>446</v>
      </c>
      <c r="BU22" s="11" t="s">
        <v>1119</v>
      </c>
      <c r="BV22" s="11"/>
      <c r="BW22" s="11" t="s">
        <v>1145</v>
      </c>
    </row>
    <row r="23" spans="1:81">
      <c r="A23" s="11" t="s">
        <v>223</v>
      </c>
      <c r="B23" s="11" t="s">
        <v>223</v>
      </c>
      <c r="C23" s="67" t="s">
        <v>583</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c r="N23" s="68">
        <f>IFERROR(IF(ISNUMBER(INDEX(Rohdaten!$A$120:$LJ$120,MATCH(N$4,RD_Kopf,0))),INDEX(Rohdaten!$A$120:$LJ$120,MATCH(N$4,RD_Kopf,0)),NA()),NA())</f>
        <v>0</v>
      </c>
      <c r="O23" s="68">
        <f>IFERROR(IF(ISNUMBER(INDEX(Rohdaten!$A$120:$LJ$120,MATCH(O$4,RD_Kopf,0))),INDEX(Rohdaten!$A$120:$LJ$120,MATCH(O$4,RD_Kopf,0)),NA()),NA())</f>
        <v>0</v>
      </c>
      <c r="P23" s="68">
        <f>IFERROR(IF(ISNUMBER(INDEX(Rohdaten!$A$120:$LJ$120,MATCH(P$4,RD_Kopf,0))),INDEX(Rohdaten!$A$120:$LJ$120,MATCH(P$4,RD_Kopf,0)),NA()),NA())</f>
        <v>0</v>
      </c>
      <c r="Q23" s="68">
        <f>IFERROR(IF(ISNUMBER(INDEX(Rohdaten!$A$120:$LJ$120,MATCH(Q$4,RD_Kopf,0))),INDEX(Rohdaten!$A$120:$LJ$120,MATCH(Q$4,RD_Kopf,0)),NA()),NA())</f>
        <v>0</v>
      </c>
      <c r="R23" s="68">
        <f>IFERROR(IF(ISNUMBER(INDEX(Rohdaten!$A$120:$LJ$120,MATCH(R$4,RD_Kopf,0))),INDEX(Rohdaten!$A$120:$LJ$120,MATCH(R$4,RD_Kopf,0)),NA()),NA())</f>
        <v>0</v>
      </c>
      <c r="S23" s="68">
        <f>IFERROR(IF(ISNUMBER(INDEX(Rohdaten!$A$120:$LJ$120,MATCH(S$4,RD_Kopf,0))),INDEX(Rohdaten!$A$120:$LJ$120,MATCH(S$4,RD_Kopf,0)),NA()),NA())</f>
        <v>0</v>
      </c>
      <c r="T23" s="68">
        <f>IFERROR(IF(ISNUMBER(INDEX(Rohdaten!$A$120:$LJ$120,MATCH(T$4,RD_Kopf,0))),INDEX(Rohdaten!$A$120:$LJ$120,MATCH(T$4,RD_Kopf,0)),NA()),NA())</f>
        <v>0</v>
      </c>
      <c r="U23" s="68">
        <f>IFERROR(IF(ISNUMBER(INDEX(Rohdaten!$A$120:$LJ$120,MATCH(U$4,RD_Kopf,0))),INDEX(Rohdaten!$A$120:$LJ$120,MATCH(U$4,RD_Kopf,0)),NA()),NA())</f>
        <v>0</v>
      </c>
      <c r="V23" s="68">
        <f>IFERROR(IF(ISNUMBER(INDEX(Rohdaten!$A$120:$LJ$120,MATCH(V$4,RD_Kopf,0))),INDEX(Rohdaten!$A$120:$LJ$120,MATCH(V$4,RD_Kopf,0)),NA()),NA())</f>
        <v>0</v>
      </c>
      <c r="W23" s="68">
        <f>IFERROR(IF(ISNUMBER(INDEX(Rohdaten!$A$120:$LJ$120,MATCH(W$4,RD_Kopf,0))),INDEX(Rohdaten!$A$120:$LJ$120,MATCH(W$4,RD_Kopf,0)),NA()),NA())</f>
        <v>0</v>
      </c>
      <c r="X23" s="68">
        <f>IFERROR(IF(ISNUMBER(INDEX(Rohdaten!$A$120:$LJ$120,MATCH(X$4,RD_Kopf,0))),INDEX(Rohdaten!$A$120:$LJ$120,MATCH(X$4,RD_Kopf,0)),NA()),NA())</f>
        <v>0</v>
      </c>
      <c r="Y23" s="68">
        <f>IFERROR(IF(ISNUMBER(INDEX(Rohdaten!$A$120:$LJ$120,MATCH(Y$4,RD_Kopf,0))),INDEX(Rohdaten!$A$120:$LJ$120,MATCH(Y$4,RD_Kopf,0)),NA()),NA())</f>
        <v>0</v>
      </c>
      <c r="Z23" s="68">
        <f>IFERROR(IF(ISNUMBER(INDEX(Rohdaten!$A$120:$LJ$120,MATCH(Z$4,RD_Kopf,0))),INDEX(Rohdaten!$A$120:$LJ$120,MATCH(Z$4,RD_Kopf,0)),NA()),NA())</f>
        <v>0</v>
      </c>
      <c r="AA23" s="68">
        <f>IFERROR(IF(ISNUMBER(INDEX(Rohdaten!$A$120:$LJ$120,MATCH(AA$4,RD_Kopf,0))),INDEX(Rohdaten!$A$120:$LJ$120,MATCH(AA$4,RD_Kopf,0)),NA()),NA())</f>
        <v>0</v>
      </c>
      <c r="AB23" s="68">
        <f>IFERROR(IF(ISNUMBER(INDEX(Rohdaten!$A$120:$LJ$120,MATCH(AB$4,RD_Kopf,0))),INDEX(Rohdaten!$A$120:$LJ$120,MATCH(AB$4,RD_Kopf,0)),NA()),NA())</f>
        <v>0</v>
      </c>
      <c r="AC23" s="68">
        <f>IFERROR(IF(ISNUMBER(INDEX(Rohdaten!$A$120:$LJ$120,MATCH(AC$4,RD_Kopf,0))),INDEX(Rohdaten!$A$120:$LJ$120,MATCH(AC$4,RD_Kopf,0)),NA()),NA())</f>
        <v>0</v>
      </c>
      <c r="AD23" s="68">
        <f>IFERROR(IF(ISNUMBER(INDEX(Rohdaten!$A$120:$LJ$120,MATCH(AD$4,RD_Kopf,0))),INDEX(Rohdaten!$A$120:$LJ$120,MATCH(AD$4,RD_Kopf,0)),NA()),NA())</f>
        <v>0</v>
      </c>
      <c r="BR23" s="11" t="s">
        <v>353</v>
      </c>
      <c r="BS23" s="68">
        <v>4</v>
      </c>
      <c r="BT23" s="11" t="s">
        <v>868</v>
      </c>
      <c r="BU23" s="11" t="s">
        <v>1146</v>
      </c>
      <c r="BV23" s="11"/>
      <c r="BW23" s="11" t="s">
        <v>1102</v>
      </c>
    </row>
    <row r="24" spans="1:81">
      <c r="A24" s="11" t="s">
        <v>225</v>
      </c>
      <c r="B24" s="11" t="s">
        <v>225</v>
      </c>
      <c r="C24" s="67" t="s">
        <v>584</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c r="N24" s="68">
        <f>IFERROR(IF(ISNUMBER(INDEX(Rohdaten!$A$121:$LJ$121,MATCH(N$4,RD_Kopf,0))),INDEX(Rohdaten!$A$121:$LJ$121,MATCH(N$4,RD_Kopf,0)),NA()),NA())</f>
        <v>0</v>
      </c>
      <c r="O24" s="68">
        <f>IFERROR(IF(ISNUMBER(INDEX(Rohdaten!$A$121:$LJ$121,MATCH(O$4,RD_Kopf,0))),INDEX(Rohdaten!$A$121:$LJ$121,MATCH(O$4,RD_Kopf,0)),NA()),NA())</f>
        <v>0</v>
      </c>
      <c r="P24" s="68">
        <f>IFERROR(IF(ISNUMBER(INDEX(Rohdaten!$A$121:$LJ$121,MATCH(P$4,RD_Kopf,0))),INDEX(Rohdaten!$A$121:$LJ$121,MATCH(P$4,RD_Kopf,0)),NA()),NA())</f>
        <v>0</v>
      </c>
      <c r="Q24" s="68">
        <f>IFERROR(IF(ISNUMBER(INDEX(Rohdaten!$A$121:$LJ$121,MATCH(Q$4,RD_Kopf,0))),INDEX(Rohdaten!$A$121:$LJ$121,MATCH(Q$4,RD_Kopf,0)),NA()),NA())</f>
        <v>0</v>
      </c>
      <c r="R24" s="68">
        <f>IFERROR(IF(ISNUMBER(INDEX(Rohdaten!$A$121:$LJ$121,MATCH(R$4,RD_Kopf,0))),INDEX(Rohdaten!$A$121:$LJ$121,MATCH(R$4,RD_Kopf,0)),NA()),NA())</f>
        <v>0</v>
      </c>
      <c r="S24" s="68">
        <f>IFERROR(IF(ISNUMBER(INDEX(Rohdaten!$A$121:$LJ$121,MATCH(S$4,RD_Kopf,0))),INDEX(Rohdaten!$A$121:$LJ$121,MATCH(S$4,RD_Kopf,0)),NA()),NA())</f>
        <v>0</v>
      </c>
      <c r="T24" s="68">
        <f>IFERROR(IF(ISNUMBER(INDEX(Rohdaten!$A$121:$LJ$121,MATCH(T$4,RD_Kopf,0))),INDEX(Rohdaten!$A$121:$LJ$121,MATCH(T$4,RD_Kopf,0)),NA()),NA())</f>
        <v>0</v>
      </c>
      <c r="U24" s="68">
        <f>IFERROR(IF(ISNUMBER(INDEX(Rohdaten!$A$121:$LJ$121,MATCH(U$4,RD_Kopf,0))),INDEX(Rohdaten!$A$121:$LJ$121,MATCH(U$4,RD_Kopf,0)),NA()),NA())</f>
        <v>0</v>
      </c>
      <c r="V24" s="68">
        <f>IFERROR(IF(ISNUMBER(INDEX(Rohdaten!$A$121:$LJ$121,MATCH(V$4,RD_Kopf,0))),INDEX(Rohdaten!$A$121:$LJ$121,MATCH(V$4,RD_Kopf,0)),NA()),NA())</f>
        <v>0</v>
      </c>
      <c r="W24" s="68">
        <f>IFERROR(IF(ISNUMBER(INDEX(Rohdaten!$A$121:$LJ$121,MATCH(W$4,RD_Kopf,0))),INDEX(Rohdaten!$A$121:$LJ$121,MATCH(W$4,RD_Kopf,0)),NA()),NA())</f>
        <v>0</v>
      </c>
      <c r="X24" s="68">
        <f>IFERROR(IF(ISNUMBER(INDEX(Rohdaten!$A$121:$LJ$121,MATCH(X$4,RD_Kopf,0))),INDEX(Rohdaten!$A$121:$LJ$121,MATCH(X$4,RD_Kopf,0)),NA()),NA())</f>
        <v>0</v>
      </c>
      <c r="Y24" s="68">
        <f>IFERROR(IF(ISNUMBER(INDEX(Rohdaten!$A$121:$LJ$121,MATCH(Y$4,RD_Kopf,0))),INDEX(Rohdaten!$A$121:$LJ$121,MATCH(Y$4,RD_Kopf,0)),NA()),NA())</f>
        <v>0</v>
      </c>
      <c r="Z24" s="68">
        <f>IFERROR(IF(ISNUMBER(INDEX(Rohdaten!$A$121:$LJ$121,MATCH(Z$4,RD_Kopf,0))),INDEX(Rohdaten!$A$121:$LJ$121,MATCH(Z$4,RD_Kopf,0)),NA()),NA())</f>
        <v>0</v>
      </c>
      <c r="AA24" s="68">
        <f>IFERROR(IF(ISNUMBER(INDEX(Rohdaten!$A$121:$LJ$121,MATCH(AA$4,RD_Kopf,0))),INDEX(Rohdaten!$A$121:$LJ$121,MATCH(AA$4,RD_Kopf,0)),NA()),NA())</f>
        <v>0</v>
      </c>
      <c r="AB24" s="68">
        <f>IFERROR(IF(ISNUMBER(INDEX(Rohdaten!$A$121:$LJ$121,MATCH(AB$4,RD_Kopf,0))),INDEX(Rohdaten!$A$121:$LJ$121,MATCH(AB$4,RD_Kopf,0)),NA()),NA())</f>
        <v>0</v>
      </c>
      <c r="AC24" s="68">
        <f>IFERROR(IF(ISNUMBER(INDEX(Rohdaten!$A$121:$LJ$121,MATCH(AC$4,RD_Kopf,0))),INDEX(Rohdaten!$A$121:$LJ$121,MATCH(AC$4,RD_Kopf,0)),NA()),NA())</f>
        <v>0</v>
      </c>
      <c r="AD24" s="68">
        <f>IFERROR(IF(ISNUMBER(INDEX(Rohdaten!$A$121:$LJ$121,MATCH(AD$4,RD_Kopf,0))),INDEX(Rohdaten!$A$121:$LJ$121,MATCH(AD$4,RD_Kopf,0)),NA()),NA())</f>
        <v>0</v>
      </c>
    </row>
    <row r="25" spans="1:81">
      <c r="A25" s="11" t="s">
        <v>233</v>
      </c>
      <c r="B25" s="11" t="s">
        <v>233</v>
      </c>
      <c r="C25" s="67" t="s">
        <v>585</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c r="N25" s="68">
        <f>IFERROR(IF(ISNUMBER(INDEX(Rohdaten!$A$125:$LJ$125,MATCH(N$4,RD_Kopf,0))),INDEX(Rohdaten!$A$125:$LJ$125,MATCH(N$4,RD_Kopf,0)),NA()),NA())</f>
        <v>0</v>
      </c>
      <c r="O25" s="68">
        <f>IFERROR(IF(ISNUMBER(INDEX(Rohdaten!$A$125:$LJ$125,MATCH(O$4,RD_Kopf,0))),INDEX(Rohdaten!$A$125:$LJ$125,MATCH(O$4,RD_Kopf,0)),NA()),NA())</f>
        <v>0</v>
      </c>
      <c r="P25" s="68">
        <f>IFERROR(IF(ISNUMBER(INDEX(Rohdaten!$A$125:$LJ$125,MATCH(P$4,RD_Kopf,0))),INDEX(Rohdaten!$A$125:$LJ$125,MATCH(P$4,RD_Kopf,0)),NA()),NA())</f>
        <v>0</v>
      </c>
      <c r="Q25" s="68">
        <f>IFERROR(IF(ISNUMBER(INDEX(Rohdaten!$A$125:$LJ$125,MATCH(Q$4,RD_Kopf,0))),INDEX(Rohdaten!$A$125:$LJ$125,MATCH(Q$4,RD_Kopf,0)),NA()),NA())</f>
        <v>0</v>
      </c>
      <c r="R25" s="68">
        <f>IFERROR(IF(ISNUMBER(INDEX(Rohdaten!$A$125:$LJ$125,MATCH(R$4,RD_Kopf,0))),INDEX(Rohdaten!$A$125:$LJ$125,MATCH(R$4,RD_Kopf,0)),NA()),NA())</f>
        <v>0</v>
      </c>
      <c r="S25" s="68">
        <f>IFERROR(IF(ISNUMBER(INDEX(Rohdaten!$A$125:$LJ$125,MATCH(S$4,RD_Kopf,0))),INDEX(Rohdaten!$A$125:$LJ$125,MATCH(S$4,RD_Kopf,0)),NA()),NA())</f>
        <v>0</v>
      </c>
      <c r="T25" s="68">
        <f>IFERROR(IF(ISNUMBER(INDEX(Rohdaten!$A$125:$LJ$125,MATCH(T$4,RD_Kopf,0))),INDEX(Rohdaten!$A$125:$LJ$125,MATCH(T$4,RD_Kopf,0)),NA()),NA())</f>
        <v>0</v>
      </c>
      <c r="U25" s="68">
        <f>IFERROR(IF(ISNUMBER(INDEX(Rohdaten!$A$125:$LJ$125,MATCH(U$4,RD_Kopf,0))),INDEX(Rohdaten!$A$125:$LJ$125,MATCH(U$4,RD_Kopf,0)),NA()),NA())</f>
        <v>0</v>
      </c>
      <c r="V25" s="68">
        <f>IFERROR(IF(ISNUMBER(INDEX(Rohdaten!$A$125:$LJ$125,MATCH(V$4,RD_Kopf,0))),INDEX(Rohdaten!$A$125:$LJ$125,MATCH(V$4,RD_Kopf,0)),NA()),NA())</f>
        <v>0</v>
      </c>
      <c r="W25" s="68">
        <f>IFERROR(IF(ISNUMBER(INDEX(Rohdaten!$A$125:$LJ$125,MATCH(W$4,RD_Kopf,0))),INDEX(Rohdaten!$A$125:$LJ$125,MATCH(W$4,RD_Kopf,0)),NA()),NA())</f>
        <v>0</v>
      </c>
      <c r="X25" s="68">
        <f>IFERROR(IF(ISNUMBER(INDEX(Rohdaten!$A$125:$LJ$125,MATCH(X$4,RD_Kopf,0))),INDEX(Rohdaten!$A$125:$LJ$125,MATCH(X$4,RD_Kopf,0)),NA()),NA())</f>
        <v>0</v>
      </c>
      <c r="Y25" s="68">
        <f>IFERROR(IF(ISNUMBER(INDEX(Rohdaten!$A$125:$LJ$125,MATCH(Y$4,RD_Kopf,0))),INDEX(Rohdaten!$A$125:$LJ$125,MATCH(Y$4,RD_Kopf,0)),NA()),NA())</f>
        <v>0</v>
      </c>
      <c r="Z25" s="68">
        <f>IFERROR(IF(ISNUMBER(INDEX(Rohdaten!$A$125:$LJ$125,MATCH(Z$4,RD_Kopf,0))),INDEX(Rohdaten!$A$125:$LJ$125,MATCH(Z$4,RD_Kopf,0)),NA()),NA())</f>
        <v>0</v>
      </c>
      <c r="AA25" s="68">
        <f>IFERROR(IF(ISNUMBER(INDEX(Rohdaten!$A$125:$LJ$125,MATCH(AA$4,RD_Kopf,0))),INDEX(Rohdaten!$A$125:$LJ$125,MATCH(AA$4,RD_Kopf,0)),NA()),NA())</f>
        <v>0</v>
      </c>
      <c r="AB25" s="68">
        <f>IFERROR(IF(ISNUMBER(INDEX(Rohdaten!$A$125:$LJ$125,MATCH(AB$4,RD_Kopf,0))),INDEX(Rohdaten!$A$125:$LJ$125,MATCH(AB$4,RD_Kopf,0)),NA()),NA())</f>
        <v>0</v>
      </c>
      <c r="AC25" s="68">
        <f>IFERROR(IF(ISNUMBER(INDEX(Rohdaten!$A$125:$LJ$125,MATCH(AC$4,RD_Kopf,0))),INDEX(Rohdaten!$A$125:$LJ$125,MATCH(AC$4,RD_Kopf,0)),NA()),NA())</f>
        <v>0</v>
      </c>
      <c r="AD25" s="68">
        <f>IFERROR(IF(ISNUMBER(INDEX(Rohdaten!$A$125:$LJ$125,MATCH(AD$4,RD_Kopf,0))),INDEX(Rohdaten!$A$125:$LJ$125,MATCH(AD$4,RD_Kopf,0)),NA()),NA())</f>
        <v>0</v>
      </c>
    </row>
    <row r="26" spans="1:81">
      <c r="A26" s="11" t="s">
        <v>243</v>
      </c>
      <c r="B26" s="11" t="s">
        <v>243</v>
      </c>
      <c r="C26" s="67" t="s">
        <v>586</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c r="N26" s="68">
        <f>IFERROR(IF(ISNUMBER(INDEX(Rohdaten!$A$129:$LJ$129,MATCH(N$4,RD_Kopf,0))),INDEX(Rohdaten!$A$129:$LJ$129,MATCH(N$4,RD_Kopf,0)),NA()),NA())</f>
        <v>0</v>
      </c>
      <c r="O26" s="68">
        <f>IFERROR(IF(ISNUMBER(INDEX(Rohdaten!$A$129:$LJ$129,MATCH(O$4,RD_Kopf,0))),INDEX(Rohdaten!$A$129:$LJ$129,MATCH(O$4,RD_Kopf,0)),NA()),NA())</f>
        <v>0</v>
      </c>
      <c r="P26" s="68">
        <f>IFERROR(IF(ISNUMBER(INDEX(Rohdaten!$A$129:$LJ$129,MATCH(P$4,RD_Kopf,0))),INDEX(Rohdaten!$A$129:$LJ$129,MATCH(P$4,RD_Kopf,0)),NA()),NA())</f>
        <v>0</v>
      </c>
      <c r="Q26" s="68">
        <f>IFERROR(IF(ISNUMBER(INDEX(Rohdaten!$A$129:$LJ$129,MATCH(Q$4,RD_Kopf,0))),INDEX(Rohdaten!$A$129:$LJ$129,MATCH(Q$4,RD_Kopf,0)),NA()),NA())</f>
        <v>0</v>
      </c>
      <c r="R26" s="68">
        <f>IFERROR(IF(ISNUMBER(INDEX(Rohdaten!$A$129:$LJ$129,MATCH(R$4,RD_Kopf,0))),INDEX(Rohdaten!$A$129:$LJ$129,MATCH(R$4,RD_Kopf,0)),NA()),NA())</f>
        <v>0</v>
      </c>
      <c r="S26" s="68">
        <f>IFERROR(IF(ISNUMBER(INDEX(Rohdaten!$A$129:$LJ$129,MATCH(S$4,RD_Kopf,0))),INDEX(Rohdaten!$A$129:$LJ$129,MATCH(S$4,RD_Kopf,0)),NA()),NA())</f>
        <v>0</v>
      </c>
      <c r="T26" s="68">
        <f>IFERROR(IF(ISNUMBER(INDEX(Rohdaten!$A$129:$LJ$129,MATCH(T$4,RD_Kopf,0))),INDEX(Rohdaten!$A$129:$LJ$129,MATCH(T$4,RD_Kopf,0)),NA()),NA())</f>
        <v>0</v>
      </c>
      <c r="U26" s="68">
        <f>IFERROR(IF(ISNUMBER(INDEX(Rohdaten!$A$129:$LJ$129,MATCH(U$4,RD_Kopf,0))),INDEX(Rohdaten!$A$129:$LJ$129,MATCH(U$4,RD_Kopf,0)),NA()),NA())</f>
        <v>0</v>
      </c>
      <c r="V26" s="68">
        <f>IFERROR(IF(ISNUMBER(INDEX(Rohdaten!$A$129:$LJ$129,MATCH(V$4,RD_Kopf,0))),INDEX(Rohdaten!$A$129:$LJ$129,MATCH(V$4,RD_Kopf,0)),NA()),NA())</f>
        <v>0</v>
      </c>
      <c r="W26" s="68">
        <f>IFERROR(IF(ISNUMBER(INDEX(Rohdaten!$A$129:$LJ$129,MATCH(W$4,RD_Kopf,0))),INDEX(Rohdaten!$A$129:$LJ$129,MATCH(W$4,RD_Kopf,0)),NA()),NA())</f>
        <v>0</v>
      </c>
      <c r="X26" s="68">
        <f>IFERROR(IF(ISNUMBER(INDEX(Rohdaten!$A$129:$LJ$129,MATCH(X$4,RD_Kopf,0))),INDEX(Rohdaten!$A$129:$LJ$129,MATCH(X$4,RD_Kopf,0)),NA()),NA())</f>
        <v>0</v>
      </c>
      <c r="Y26" s="68">
        <f>IFERROR(IF(ISNUMBER(INDEX(Rohdaten!$A$129:$LJ$129,MATCH(Y$4,RD_Kopf,0))),INDEX(Rohdaten!$A$129:$LJ$129,MATCH(Y$4,RD_Kopf,0)),NA()),NA())</f>
        <v>0</v>
      </c>
      <c r="Z26" s="68">
        <f>IFERROR(IF(ISNUMBER(INDEX(Rohdaten!$A$129:$LJ$129,MATCH(Z$4,RD_Kopf,0))),INDEX(Rohdaten!$A$129:$LJ$129,MATCH(Z$4,RD_Kopf,0)),NA()),NA())</f>
        <v>0</v>
      </c>
      <c r="AA26" s="68">
        <f>IFERROR(IF(ISNUMBER(INDEX(Rohdaten!$A$129:$LJ$129,MATCH(AA$4,RD_Kopf,0))),INDEX(Rohdaten!$A$129:$LJ$129,MATCH(AA$4,RD_Kopf,0)),NA()),NA())</f>
        <v>0</v>
      </c>
      <c r="AB26" s="68">
        <f>IFERROR(IF(ISNUMBER(INDEX(Rohdaten!$A$129:$LJ$129,MATCH(AB$4,RD_Kopf,0))),INDEX(Rohdaten!$A$129:$LJ$129,MATCH(AB$4,RD_Kopf,0)),NA()),NA())</f>
        <v>0</v>
      </c>
      <c r="AC26" s="68">
        <f>IFERROR(IF(ISNUMBER(INDEX(Rohdaten!$A$129:$LJ$129,MATCH(AC$4,RD_Kopf,0))),INDEX(Rohdaten!$A$129:$LJ$129,MATCH(AC$4,RD_Kopf,0)),NA()),NA())</f>
        <v>0</v>
      </c>
      <c r="AD26" s="68">
        <f>IFERROR(IF(ISNUMBER(INDEX(Rohdaten!$A$129:$LJ$129,MATCH(AD$4,RD_Kopf,0))),INDEX(Rohdaten!$A$129:$LJ$129,MATCH(AD$4,RD_Kopf,0)),NA()),NA())</f>
        <v>0</v>
      </c>
    </row>
    <row r="27" spans="1:81">
      <c r="A27" s="11" t="s">
        <v>246</v>
      </c>
      <c r="B27" s="11" t="s">
        <v>246</v>
      </c>
      <c r="C27" s="67" t="s">
        <v>587</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c r="N27" s="68">
        <f>IFERROR(IF(ISNUMBER(INDEX(Rohdaten!$A$130:$LJ$130,MATCH(N$4,RD_Kopf,0))),INDEX(Rohdaten!$A$130:$LJ$130,MATCH(N$4,RD_Kopf,0)),NA()),NA())</f>
        <v>0</v>
      </c>
      <c r="O27" s="68">
        <f>IFERROR(IF(ISNUMBER(INDEX(Rohdaten!$A$130:$LJ$130,MATCH(O$4,RD_Kopf,0))),INDEX(Rohdaten!$A$130:$LJ$130,MATCH(O$4,RD_Kopf,0)),NA()),NA())</f>
        <v>0</v>
      </c>
      <c r="P27" s="68">
        <f>IFERROR(IF(ISNUMBER(INDEX(Rohdaten!$A$130:$LJ$130,MATCH(P$4,RD_Kopf,0))),INDEX(Rohdaten!$A$130:$LJ$130,MATCH(P$4,RD_Kopf,0)),NA()),NA())</f>
        <v>0</v>
      </c>
      <c r="Q27" s="68">
        <f>IFERROR(IF(ISNUMBER(INDEX(Rohdaten!$A$130:$LJ$130,MATCH(Q$4,RD_Kopf,0))),INDEX(Rohdaten!$A$130:$LJ$130,MATCH(Q$4,RD_Kopf,0)),NA()),NA())</f>
        <v>0</v>
      </c>
      <c r="R27" s="68">
        <f>IFERROR(IF(ISNUMBER(INDEX(Rohdaten!$A$130:$LJ$130,MATCH(R$4,RD_Kopf,0))),INDEX(Rohdaten!$A$130:$LJ$130,MATCH(R$4,RD_Kopf,0)),NA()),NA())</f>
        <v>0</v>
      </c>
      <c r="S27" s="68">
        <f>IFERROR(IF(ISNUMBER(INDEX(Rohdaten!$A$130:$LJ$130,MATCH(S$4,RD_Kopf,0))),INDEX(Rohdaten!$A$130:$LJ$130,MATCH(S$4,RD_Kopf,0)),NA()),NA())</f>
        <v>0</v>
      </c>
      <c r="T27" s="68">
        <f>IFERROR(IF(ISNUMBER(INDEX(Rohdaten!$A$130:$LJ$130,MATCH(T$4,RD_Kopf,0))),INDEX(Rohdaten!$A$130:$LJ$130,MATCH(T$4,RD_Kopf,0)),NA()),NA())</f>
        <v>0</v>
      </c>
      <c r="U27" s="68">
        <f>IFERROR(IF(ISNUMBER(INDEX(Rohdaten!$A$130:$LJ$130,MATCH(U$4,RD_Kopf,0))),INDEX(Rohdaten!$A$130:$LJ$130,MATCH(U$4,RD_Kopf,0)),NA()),NA())</f>
        <v>0</v>
      </c>
      <c r="V27" s="68">
        <f>IFERROR(IF(ISNUMBER(INDEX(Rohdaten!$A$130:$LJ$130,MATCH(V$4,RD_Kopf,0))),INDEX(Rohdaten!$A$130:$LJ$130,MATCH(V$4,RD_Kopf,0)),NA()),NA())</f>
        <v>0</v>
      </c>
      <c r="W27" s="68">
        <f>IFERROR(IF(ISNUMBER(INDEX(Rohdaten!$A$130:$LJ$130,MATCH(W$4,RD_Kopf,0))),INDEX(Rohdaten!$A$130:$LJ$130,MATCH(W$4,RD_Kopf,0)),NA()),NA())</f>
        <v>0</v>
      </c>
      <c r="X27" s="68">
        <f>IFERROR(IF(ISNUMBER(INDEX(Rohdaten!$A$130:$LJ$130,MATCH(X$4,RD_Kopf,0))),INDEX(Rohdaten!$A$130:$LJ$130,MATCH(X$4,RD_Kopf,0)),NA()),NA())</f>
        <v>0</v>
      </c>
      <c r="Y27" s="68">
        <f>IFERROR(IF(ISNUMBER(INDEX(Rohdaten!$A$130:$LJ$130,MATCH(Y$4,RD_Kopf,0))),INDEX(Rohdaten!$A$130:$LJ$130,MATCH(Y$4,RD_Kopf,0)),NA()),NA())</f>
        <v>0</v>
      </c>
      <c r="Z27" s="68">
        <f>IFERROR(IF(ISNUMBER(INDEX(Rohdaten!$A$130:$LJ$130,MATCH(Z$4,RD_Kopf,0))),INDEX(Rohdaten!$A$130:$LJ$130,MATCH(Z$4,RD_Kopf,0)),NA()),NA())</f>
        <v>0</v>
      </c>
      <c r="AA27" s="68">
        <f>IFERROR(IF(ISNUMBER(INDEX(Rohdaten!$A$130:$LJ$130,MATCH(AA$4,RD_Kopf,0))),INDEX(Rohdaten!$A$130:$LJ$130,MATCH(AA$4,RD_Kopf,0)),NA()),NA())</f>
        <v>0</v>
      </c>
      <c r="AB27" s="68">
        <f>IFERROR(IF(ISNUMBER(INDEX(Rohdaten!$A$130:$LJ$130,MATCH(AB$4,RD_Kopf,0))),INDEX(Rohdaten!$A$130:$LJ$130,MATCH(AB$4,RD_Kopf,0)),NA()),NA())</f>
        <v>0</v>
      </c>
      <c r="AC27" s="68">
        <f>IFERROR(IF(ISNUMBER(INDEX(Rohdaten!$A$130:$LJ$130,MATCH(AC$4,RD_Kopf,0))),INDEX(Rohdaten!$A$130:$LJ$130,MATCH(AC$4,RD_Kopf,0)),NA()),NA())</f>
        <v>0</v>
      </c>
      <c r="AD27" s="68">
        <f>IFERROR(IF(ISNUMBER(INDEX(Rohdaten!$A$130:$LJ$130,MATCH(AD$4,RD_Kopf,0))),INDEX(Rohdaten!$A$130:$LJ$130,MATCH(AD$4,RD_Kopf,0)),NA()),NA())</f>
        <v>0</v>
      </c>
    </row>
    <row r="28" spans="1:81">
      <c r="A28" s="11" t="s">
        <v>249</v>
      </c>
      <c r="B28" s="11" t="s">
        <v>249</v>
      </c>
      <c r="C28" s="67" t="s">
        <v>588</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c r="N28" s="68">
        <f>IFERROR(IF(ISNUMBER(INDEX(Rohdaten!$A$131:$LJ$131,MATCH(N$4,RD_Kopf,0))),INDEX(Rohdaten!$A$131:$LJ$131,MATCH(N$4,RD_Kopf,0)),NA()),NA())</f>
        <v>0</v>
      </c>
      <c r="O28" s="68">
        <f>IFERROR(IF(ISNUMBER(INDEX(Rohdaten!$A$131:$LJ$131,MATCH(O$4,RD_Kopf,0))),INDEX(Rohdaten!$A$131:$LJ$131,MATCH(O$4,RD_Kopf,0)),NA()),NA())</f>
        <v>0</v>
      </c>
      <c r="P28" s="68">
        <f>IFERROR(IF(ISNUMBER(INDEX(Rohdaten!$A$131:$LJ$131,MATCH(P$4,RD_Kopf,0))),INDEX(Rohdaten!$A$131:$LJ$131,MATCH(P$4,RD_Kopf,0)),NA()),NA())</f>
        <v>0</v>
      </c>
      <c r="Q28" s="68">
        <f>IFERROR(IF(ISNUMBER(INDEX(Rohdaten!$A$131:$LJ$131,MATCH(Q$4,RD_Kopf,0))),INDEX(Rohdaten!$A$131:$LJ$131,MATCH(Q$4,RD_Kopf,0)),NA()),NA())</f>
        <v>0</v>
      </c>
      <c r="R28" s="68">
        <f>IFERROR(IF(ISNUMBER(INDEX(Rohdaten!$A$131:$LJ$131,MATCH(R$4,RD_Kopf,0))),INDEX(Rohdaten!$A$131:$LJ$131,MATCH(R$4,RD_Kopf,0)),NA()),NA())</f>
        <v>0</v>
      </c>
      <c r="S28" s="68">
        <f>IFERROR(IF(ISNUMBER(INDEX(Rohdaten!$A$131:$LJ$131,MATCH(S$4,RD_Kopf,0))),INDEX(Rohdaten!$A$131:$LJ$131,MATCH(S$4,RD_Kopf,0)),NA()),NA())</f>
        <v>0</v>
      </c>
      <c r="T28" s="68">
        <f>IFERROR(IF(ISNUMBER(INDEX(Rohdaten!$A$131:$LJ$131,MATCH(T$4,RD_Kopf,0))),INDEX(Rohdaten!$A$131:$LJ$131,MATCH(T$4,RD_Kopf,0)),NA()),NA())</f>
        <v>0</v>
      </c>
      <c r="U28" s="68">
        <f>IFERROR(IF(ISNUMBER(INDEX(Rohdaten!$A$131:$LJ$131,MATCH(U$4,RD_Kopf,0))),INDEX(Rohdaten!$A$131:$LJ$131,MATCH(U$4,RD_Kopf,0)),NA()),NA())</f>
        <v>0</v>
      </c>
      <c r="V28" s="68">
        <f>IFERROR(IF(ISNUMBER(INDEX(Rohdaten!$A$131:$LJ$131,MATCH(V$4,RD_Kopf,0))),INDEX(Rohdaten!$A$131:$LJ$131,MATCH(V$4,RD_Kopf,0)),NA()),NA())</f>
        <v>0</v>
      </c>
      <c r="W28" s="68">
        <f>IFERROR(IF(ISNUMBER(INDEX(Rohdaten!$A$131:$LJ$131,MATCH(W$4,RD_Kopf,0))),INDEX(Rohdaten!$A$131:$LJ$131,MATCH(W$4,RD_Kopf,0)),NA()),NA())</f>
        <v>0</v>
      </c>
      <c r="X28" s="68">
        <f>IFERROR(IF(ISNUMBER(INDEX(Rohdaten!$A$131:$LJ$131,MATCH(X$4,RD_Kopf,0))),INDEX(Rohdaten!$A$131:$LJ$131,MATCH(X$4,RD_Kopf,0)),NA()),NA())</f>
        <v>0</v>
      </c>
      <c r="Y28" s="68">
        <f>IFERROR(IF(ISNUMBER(INDEX(Rohdaten!$A$131:$LJ$131,MATCH(Y$4,RD_Kopf,0))),INDEX(Rohdaten!$A$131:$LJ$131,MATCH(Y$4,RD_Kopf,0)),NA()),NA())</f>
        <v>0</v>
      </c>
      <c r="Z28" s="68">
        <f>IFERROR(IF(ISNUMBER(INDEX(Rohdaten!$A$131:$LJ$131,MATCH(Z$4,RD_Kopf,0))),INDEX(Rohdaten!$A$131:$LJ$131,MATCH(Z$4,RD_Kopf,0)),NA()),NA())</f>
        <v>0</v>
      </c>
      <c r="AA28" s="68">
        <f>IFERROR(IF(ISNUMBER(INDEX(Rohdaten!$A$131:$LJ$131,MATCH(AA$4,RD_Kopf,0))),INDEX(Rohdaten!$A$131:$LJ$131,MATCH(AA$4,RD_Kopf,0)),NA()),NA())</f>
        <v>0</v>
      </c>
      <c r="AB28" s="68">
        <f>IFERROR(IF(ISNUMBER(INDEX(Rohdaten!$A$131:$LJ$131,MATCH(AB$4,RD_Kopf,0))),INDEX(Rohdaten!$A$131:$LJ$131,MATCH(AB$4,RD_Kopf,0)),NA()),NA())</f>
        <v>0</v>
      </c>
      <c r="AC28" s="68">
        <f>IFERROR(IF(ISNUMBER(INDEX(Rohdaten!$A$131:$LJ$131,MATCH(AC$4,RD_Kopf,0))),INDEX(Rohdaten!$A$131:$LJ$131,MATCH(AC$4,RD_Kopf,0)),NA()),NA())</f>
        <v>0</v>
      </c>
      <c r="AD28" s="68">
        <f>IFERROR(IF(ISNUMBER(INDEX(Rohdaten!$A$131:$LJ$131,MATCH(AD$4,RD_Kopf,0))),INDEX(Rohdaten!$A$131:$LJ$131,MATCH(AD$4,RD_Kopf,0)),NA()),NA())</f>
        <v>0</v>
      </c>
    </row>
    <row r="29" spans="1:81">
      <c r="A29" s="11" t="s">
        <v>252</v>
      </c>
      <c r="B29" s="11" t="s">
        <v>252</v>
      </c>
      <c r="C29" s="67" t="s">
        <v>589</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c r="N29" s="68">
        <f>IFERROR(IF(ISNUMBER(INDEX(Rohdaten!$A$132:$LJ$132,MATCH(N$4,RD_Kopf,0))),INDEX(Rohdaten!$A$132:$LJ$132,MATCH(N$4,RD_Kopf,0)),NA()),NA())</f>
        <v>0</v>
      </c>
      <c r="O29" s="68">
        <f>IFERROR(IF(ISNUMBER(INDEX(Rohdaten!$A$132:$LJ$132,MATCH(O$4,RD_Kopf,0))),INDEX(Rohdaten!$A$132:$LJ$132,MATCH(O$4,RD_Kopf,0)),NA()),NA())</f>
        <v>0</v>
      </c>
      <c r="P29" s="68">
        <f>IFERROR(IF(ISNUMBER(INDEX(Rohdaten!$A$132:$LJ$132,MATCH(P$4,RD_Kopf,0))),INDEX(Rohdaten!$A$132:$LJ$132,MATCH(P$4,RD_Kopf,0)),NA()),NA())</f>
        <v>0</v>
      </c>
      <c r="Q29" s="68">
        <f>IFERROR(IF(ISNUMBER(INDEX(Rohdaten!$A$132:$LJ$132,MATCH(Q$4,RD_Kopf,0))),INDEX(Rohdaten!$A$132:$LJ$132,MATCH(Q$4,RD_Kopf,0)),NA()),NA())</f>
        <v>0</v>
      </c>
      <c r="R29" s="68">
        <f>IFERROR(IF(ISNUMBER(INDEX(Rohdaten!$A$132:$LJ$132,MATCH(R$4,RD_Kopf,0))),INDEX(Rohdaten!$A$132:$LJ$132,MATCH(R$4,RD_Kopf,0)),NA()),NA())</f>
        <v>0</v>
      </c>
      <c r="S29" s="68">
        <f>IFERROR(IF(ISNUMBER(INDEX(Rohdaten!$A$132:$LJ$132,MATCH(S$4,RD_Kopf,0))),INDEX(Rohdaten!$A$132:$LJ$132,MATCH(S$4,RD_Kopf,0)),NA()),NA())</f>
        <v>0</v>
      </c>
      <c r="T29" s="68">
        <f>IFERROR(IF(ISNUMBER(INDEX(Rohdaten!$A$132:$LJ$132,MATCH(T$4,RD_Kopf,0))),INDEX(Rohdaten!$A$132:$LJ$132,MATCH(T$4,RD_Kopf,0)),NA()),NA())</f>
        <v>0</v>
      </c>
      <c r="U29" s="68">
        <f>IFERROR(IF(ISNUMBER(INDEX(Rohdaten!$A$132:$LJ$132,MATCH(U$4,RD_Kopf,0))),INDEX(Rohdaten!$A$132:$LJ$132,MATCH(U$4,RD_Kopf,0)),NA()),NA())</f>
        <v>0</v>
      </c>
      <c r="V29" s="68">
        <f>IFERROR(IF(ISNUMBER(INDEX(Rohdaten!$A$132:$LJ$132,MATCH(V$4,RD_Kopf,0))),INDEX(Rohdaten!$A$132:$LJ$132,MATCH(V$4,RD_Kopf,0)),NA()),NA())</f>
        <v>0</v>
      </c>
      <c r="W29" s="68">
        <f>IFERROR(IF(ISNUMBER(INDEX(Rohdaten!$A$132:$LJ$132,MATCH(W$4,RD_Kopf,0))),INDEX(Rohdaten!$A$132:$LJ$132,MATCH(W$4,RD_Kopf,0)),NA()),NA())</f>
        <v>0</v>
      </c>
      <c r="X29" s="68">
        <f>IFERROR(IF(ISNUMBER(INDEX(Rohdaten!$A$132:$LJ$132,MATCH(X$4,RD_Kopf,0))),INDEX(Rohdaten!$A$132:$LJ$132,MATCH(X$4,RD_Kopf,0)),NA()),NA())</f>
        <v>0</v>
      </c>
      <c r="Y29" s="68">
        <f>IFERROR(IF(ISNUMBER(INDEX(Rohdaten!$A$132:$LJ$132,MATCH(Y$4,RD_Kopf,0))),INDEX(Rohdaten!$A$132:$LJ$132,MATCH(Y$4,RD_Kopf,0)),NA()),NA())</f>
        <v>0</v>
      </c>
      <c r="Z29" s="68">
        <f>IFERROR(IF(ISNUMBER(INDEX(Rohdaten!$A$132:$LJ$132,MATCH(Z$4,RD_Kopf,0))),INDEX(Rohdaten!$A$132:$LJ$132,MATCH(Z$4,RD_Kopf,0)),NA()),NA())</f>
        <v>0</v>
      </c>
      <c r="AA29" s="68">
        <f>IFERROR(IF(ISNUMBER(INDEX(Rohdaten!$A$132:$LJ$132,MATCH(AA$4,RD_Kopf,0))),INDEX(Rohdaten!$A$132:$LJ$132,MATCH(AA$4,RD_Kopf,0)),NA()),NA())</f>
        <v>0</v>
      </c>
      <c r="AB29" s="68">
        <f>IFERROR(IF(ISNUMBER(INDEX(Rohdaten!$A$132:$LJ$132,MATCH(AB$4,RD_Kopf,0))),INDEX(Rohdaten!$A$132:$LJ$132,MATCH(AB$4,RD_Kopf,0)),NA()),NA())</f>
        <v>0</v>
      </c>
      <c r="AC29" s="68">
        <f>IFERROR(IF(ISNUMBER(INDEX(Rohdaten!$A$132:$LJ$132,MATCH(AC$4,RD_Kopf,0))),INDEX(Rohdaten!$A$132:$LJ$132,MATCH(AC$4,RD_Kopf,0)),NA()),NA())</f>
        <v>0</v>
      </c>
      <c r="AD29" s="68">
        <f>IFERROR(IF(ISNUMBER(INDEX(Rohdaten!$A$132:$LJ$132,MATCH(AD$4,RD_Kopf,0))),INDEX(Rohdaten!$A$132:$LJ$132,MATCH(AD$4,RD_Kopf,0)),NA()),NA())</f>
        <v>0</v>
      </c>
    </row>
    <row r="30" spans="1:81">
      <c r="A30" s="11" t="s">
        <v>255</v>
      </c>
      <c r="B30" s="11" t="s">
        <v>255</v>
      </c>
      <c r="C30" s="67" t="s">
        <v>590</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c r="N30" s="68">
        <f>IFERROR(IF(ISNUMBER(INDEX(Rohdaten!$A$133:$LJ$133,MATCH(N$4,RD_Kopf,0))),INDEX(Rohdaten!$A$133:$LJ$133,MATCH(N$4,RD_Kopf,0)),NA()),NA())</f>
        <v>0</v>
      </c>
      <c r="O30" s="68">
        <f>IFERROR(IF(ISNUMBER(INDEX(Rohdaten!$A$133:$LJ$133,MATCH(O$4,RD_Kopf,0))),INDEX(Rohdaten!$A$133:$LJ$133,MATCH(O$4,RD_Kopf,0)),NA()),NA())</f>
        <v>0</v>
      </c>
      <c r="P30" s="68">
        <f>IFERROR(IF(ISNUMBER(INDEX(Rohdaten!$A$133:$LJ$133,MATCH(P$4,RD_Kopf,0))),INDEX(Rohdaten!$A$133:$LJ$133,MATCH(P$4,RD_Kopf,0)),NA()),NA())</f>
        <v>0</v>
      </c>
      <c r="Q30" s="68">
        <f>IFERROR(IF(ISNUMBER(INDEX(Rohdaten!$A$133:$LJ$133,MATCH(Q$4,RD_Kopf,0))),INDEX(Rohdaten!$A$133:$LJ$133,MATCH(Q$4,RD_Kopf,0)),NA()),NA())</f>
        <v>0</v>
      </c>
      <c r="R30" s="68">
        <f>IFERROR(IF(ISNUMBER(INDEX(Rohdaten!$A$133:$LJ$133,MATCH(R$4,RD_Kopf,0))),INDEX(Rohdaten!$A$133:$LJ$133,MATCH(R$4,RD_Kopf,0)),NA()),NA())</f>
        <v>0</v>
      </c>
      <c r="S30" s="68">
        <f>IFERROR(IF(ISNUMBER(INDEX(Rohdaten!$A$133:$LJ$133,MATCH(S$4,RD_Kopf,0))),INDEX(Rohdaten!$A$133:$LJ$133,MATCH(S$4,RD_Kopf,0)),NA()),NA())</f>
        <v>0</v>
      </c>
      <c r="T30" s="68">
        <f>IFERROR(IF(ISNUMBER(INDEX(Rohdaten!$A$133:$LJ$133,MATCH(T$4,RD_Kopf,0))),INDEX(Rohdaten!$A$133:$LJ$133,MATCH(T$4,RD_Kopf,0)),NA()),NA())</f>
        <v>0</v>
      </c>
      <c r="U30" s="68">
        <f>IFERROR(IF(ISNUMBER(INDEX(Rohdaten!$A$133:$LJ$133,MATCH(U$4,RD_Kopf,0))),INDEX(Rohdaten!$A$133:$LJ$133,MATCH(U$4,RD_Kopf,0)),NA()),NA())</f>
        <v>0</v>
      </c>
      <c r="V30" s="68">
        <f>IFERROR(IF(ISNUMBER(INDEX(Rohdaten!$A$133:$LJ$133,MATCH(V$4,RD_Kopf,0))),INDEX(Rohdaten!$A$133:$LJ$133,MATCH(V$4,RD_Kopf,0)),NA()),NA())</f>
        <v>0</v>
      </c>
      <c r="W30" s="68">
        <f>IFERROR(IF(ISNUMBER(INDEX(Rohdaten!$A$133:$LJ$133,MATCH(W$4,RD_Kopf,0))),INDEX(Rohdaten!$A$133:$LJ$133,MATCH(W$4,RD_Kopf,0)),NA()),NA())</f>
        <v>0</v>
      </c>
      <c r="X30" s="68">
        <f>IFERROR(IF(ISNUMBER(INDEX(Rohdaten!$A$133:$LJ$133,MATCH(X$4,RD_Kopf,0))),INDEX(Rohdaten!$A$133:$LJ$133,MATCH(X$4,RD_Kopf,0)),NA()),NA())</f>
        <v>0</v>
      </c>
      <c r="Y30" s="68">
        <f>IFERROR(IF(ISNUMBER(INDEX(Rohdaten!$A$133:$LJ$133,MATCH(Y$4,RD_Kopf,0))),INDEX(Rohdaten!$A$133:$LJ$133,MATCH(Y$4,RD_Kopf,0)),NA()),NA())</f>
        <v>0</v>
      </c>
      <c r="Z30" s="68">
        <f>IFERROR(IF(ISNUMBER(INDEX(Rohdaten!$A$133:$LJ$133,MATCH(Z$4,RD_Kopf,0))),INDEX(Rohdaten!$A$133:$LJ$133,MATCH(Z$4,RD_Kopf,0)),NA()),NA())</f>
        <v>0</v>
      </c>
      <c r="AA30" s="68">
        <f>IFERROR(IF(ISNUMBER(INDEX(Rohdaten!$A$133:$LJ$133,MATCH(AA$4,RD_Kopf,0))),INDEX(Rohdaten!$A$133:$LJ$133,MATCH(AA$4,RD_Kopf,0)),NA()),NA())</f>
        <v>0</v>
      </c>
      <c r="AB30" s="68">
        <f>IFERROR(IF(ISNUMBER(INDEX(Rohdaten!$A$133:$LJ$133,MATCH(AB$4,RD_Kopf,0))),INDEX(Rohdaten!$A$133:$LJ$133,MATCH(AB$4,RD_Kopf,0)),NA()),NA())</f>
        <v>0</v>
      </c>
      <c r="AC30" s="68">
        <f>IFERROR(IF(ISNUMBER(INDEX(Rohdaten!$A$133:$LJ$133,MATCH(AC$4,RD_Kopf,0))),INDEX(Rohdaten!$A$133:$LJ$133,MATCH(AC$4,RD_Kopf,0)),NA()),NA())</f>
        <v>0</v>
      </c>
      <c r="AD30" s="68">
        <f>IFERROR(IF(ISNUMBER(INDEX(Rohdaten!$A$133:$LJ$133,MATCH(AD$4,RD_Kopf,0))),INDEX(Rohdaten!$A$133:$LJ$133,MATCH(AD$4,RD_Kopf,0)),NA()),NA())</f>
        <v>0</v>
      </c>
    </row>
    <row r="31" spans="1:81">
      <c r="A31" s="11" t="s">
        <v>264</v>
      </c>
      <c r="B31" s="11" t="s">
        <v>264</v>
      </c>
      <c r="C31" s="67" t="s">
        <v>591</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c r="N31" s="68">
        <f>IFERROR(IF(ISNUMBER(INDEX(Rohdaten!$A$137:$LJ$137,MATCH(N$4,RD_Kopf,0))),INDEX(Rohdaten!$A$137:$LJ$137,MATCH(N$4,RD_Kopf,0)),NA()),NA())</f>
        <v>0</v>
      </c>
      <c r="O31" s="68">
        <f>IFERROR(IF(ISNUMBER(INDEX(Rohdaten!$A$137:$LJ$137,MATCH(O$4,RD_Kopf,0))),INDEX(Rohdaten!$A$137:$LJ$137,MATCH(O$4,RD_Kopf,0)),NA()),NA())</f>
        <v>0</v>
      </c>
      <c r="P31" s="68">
        <f>IFERROR(IF(ISNUMBER(INDEX(Rohdaten!$A$137:$LJ$137,MATCH(P$4,RD_Kopf,0))),INDEX(Rohdaten!$A$137:$LJ$137,MATCH(P$4,RD_Kopf,0)),NA()),NA())</f>
        <v>0</v>
      </c>
      <c r="Q31" s="68">
        <f>IFERROR(IF(ISNUMBER(INDEX(Rohdaten!$A$137:$LJ$137,MATCH(Q$4,RD_Kopf,0))),INDEX(Rohdaten!$A$137:$LJ$137,MATCH(Q$4,RD_Kopf,0)),NA()),NA())</f>
        <v>0</v>
      </c>
      <c r="R31" s="68">
        <f>IFERROR(IF(ISNUMBER(INDEX(Rohdaten!$A$137:$LJ$137,MATCH(R$4,RD_Kopf,0))),INDEX(Rohdaten!$A$137:$LJ$137,MATCH(R$4,RD_Kopf,0)),NA()),NA())</f>
        <v>0</v>
      </c>
      <c r="S31" s="68">
        <f>IFERROR(IF(ISNUMBER(INDEX(Rohdaten!$A$137:$LJ$137,MATCH(S$4,RD_Kopf,0))),INDEX(Rohdaten!$A$137:$LJ$137,MATCH(S$4,RD_Kopf,0)),NA()),NA())</f>
        <v>0</v>
      </c>
      <c r="T31" s="68">
        <f>IFERROR(IF(ISNUMBER(INDEX(Rohdaten!$A$137:$LJ$137,MATCH(T$4,RD_Kopf,0))),INDEX(Rohdaten!$A$137:$LJ$137,MATCH(T$4,RD_Kopf,0)),NA()),NA())</f>
        <v>0</v>
      </c>
      <c r="U31" s="68">
        <f>IFERROR(IF(ISNUMBER(INDEX(Rohdaten!$A$137:$LJ$137,MATCH(U$4,RD_Kopf,0))),INDEX(Rohdaten!$A$137:$LJ$137,MATCH(U$4,RD_Kopf,0)),NA()),NA())</f>
        <v>0</v>
      </c>
      <c r="V31" s="68">
        <f>IFERROR(IF(ISNUMBER(INDEX(Rohdaten!$A$137:$LJ$137,MATCH(V$4,RD_Kopf,0))),INDEX(Rohdaten!$A$137:$LJ$137,MATCH(V$4,RD_Kopf,0)),NA()),NA())</f>
        <v>0</v>
      </c>
      <c r="W31" s="68">
        <f>IFERROR(IF(ISNUMBER(INDEX(Rohdaten!$A$137:$LJ$137,MATCH(W$4,RD_Kopf,0))),INDEX(Rohdaten!$A$137:$LJ$137,MATCH(W$4,RD_Kopf,0)),NA()),NA())</f>
        <v>0</v>
      </c>
      <c r="X31" s="68">
        <f>IFERROR(IF(ISNUMBER(INDEX(Rohdaten!$A$137:$LJ$137,MATCH(X$4,RD_Kopf,0))),INDEX(Rohdaten!$A$137:$LJ$137,MATCH(X$4,RD_Kopf,0)),NA()),NA())</f>
        <v>0</v>
      </c>
      <c r="Y31" s="68">
        <f>IFERROR(IF(ISNUMBER(INDEX(Rohdaten!$A$137:$LJ$137,MATCH(Y$4,RD_Kopf,0))),INDEX(Rohdaten!$A$137:$LJ$137,MATCH(Y$4,RD_Kopf,0)),NA()),NA())</f>
        <v>0</v>
      </c>
      <c r="Z31" s="68">
        <f>IFERROR(IF(ISNUMBER(INDEX(Rohdaten!$A$137:$LJ$137,MATCH(Z$4,RD_Kopf,0))),INDEX(Rohdaten!$A$137:$LJ$137,MATCH(Z$4,RD_Kopf,0)),NA()),NA())</f>
        <v>0</v>
      </c>
      <c r="AA31" s="68">
        <f>IFERROR(IF(ISNUMBER(INDEX(Rohdaten!$A$137:$LJ$137,MATCH(AA$4,RD_Kopf,0))),INDEX(Rohdaten!$A$137:$LJ$137,MATCH(AA$4,RD_Kopf,0)),NA()),NA())</f>
        <v>0</v>
      </c>
      <c r="AB31" s="68">
        <f>IFERROR(IF(ISNUMBER(INDEX(Rohdaten!$A$137:$LJ$137,MATCH(AB$4,RD_Kopf,0))),INDEX(Rohdaten!$A$137:$LJ$137,MATCH(AB$4,RD_Kopf,0)),NA()),NA())</f>
        <v>0</v>
      </c>
      <c r="AC31" s="68">
        <f>IFERROR(IF(ISNUMBER(INDEX(Rohdaten!$A$137:$LJ$137,MATCH(AC$4,RD_Kopf,0))),INDEX(Rohdaten!$A$137:$LJ$137,MATCH(AC$4,RD_Kopf,0)),NA()),NA())</f>
        <v>0</v>
      </c>
      <c r="AD31" s="68">
        <f>IFERROR(IF(ISNUMBER(INDEX(Rohdaten!$A$137:$LJ$137,MATCH(AD$4,RD_Kopf,0))),INDEX(Rohdaten!$A$137:$LJ$137,MATCH(AD$4,RD_Kopf,0)),NA()),NA())</f>
        <v>0</v>
      </c>
    </row>
    <row r="32" spans="1:81">
      <c r="A32" s="11" t="s">
        <v>56</v>
      </c>
      <c r="B32" s="11" t="s">
        <v>56</v>
      </c>
      <c r="C32" s="67" t="s">
        <v>592</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c r="N32" s="68">
        <f>IFERROR(IF(ISNUMBER(INDEX(Rohdaten!$A$39:$LJ$39,MATCH(N$4,RD_Kopf,0))),INDEX(Rohdaten!$A$39:$LJ$39,MATCH(N$4,RD_Kopf,0)),NA()),NA())</f>
        <v>0</v>
      </c>
      <c r="O32" s="68">
        <f>IFERROR(IF(ISNUMBER(INDEX(Rohdaten!$A$39:$LJ$39,MATCH(O$4,RD_Kopf,0))),INDEX(Rohdaten!$A$39:$LJ$39,MATCH(O$4,RD_Kopf,0)),NA()),NA())</f>
        <v>0</v>
      </c>
      <c r="P32" s="68">
        <f>IFERROR(IF(ISNUMBER(INDEX(Rohdaten!$A$39:$LJ$39,MATCH(P$4,RD_Kopf,0))),INDEX(Rohdaten!$A$39:$LJ$39,MATCH(P$4,RD_Kopf,0)),NA()),NA())</f>
        <v>0</v>
      </c>
      <c r="Q32" s="68">
        <f>IFERROR(IF(ISNUMBER(INDEX(Rohdaten!$A$39:$LJ$39,MATCH(Q$4,RD_Kopf,0))),INDEX(Rohdaten!$A$39:$LJ$39,MATCH(Q$4,RD_Kopf,0)),NA()),NA())</f>
        <v>0</v>
      </c>
      <c r="R32" s="68">
        <f>IFERROR(IF(ISNUMBER(INDEX(Rohdaten!$A$39:$LJ$39,MATCH(R$4,RD_Kopf,0))),INDEX(Rohdaten!$A$39:$LJ$39,MATCH(R$4,RD_Kopf,0)),NA()),NA())</f>
        <v>0</v>
      </c>
      <c r="S32" s="68">
        <f>IFERROR(IF(ISNUMBER(INDEX(Rohdaten!$A$39:$LJ$39,MATCH(S$4,RD_Kopf,0))),INDEX(Rohdaten!$A$39:$LJ$39,MATCH(S$4,RD_Kopf,0)),NA()),NA())</f>
        <v>0</v>
      </c>
      <c r="T32" s="68">
        <f>IFERROR(IF(ISNUMBER(INDEX(Rohdaten!$A$39:$LJ$39,MATCH(T$4,RD_Kopf,0))),INDEX(Rohdaten!$A$39:$LJ$39,MATCH(T$4,RD_Kopf,0)),NA()),NA())</f>
        <v>0</v>
      </c>
      <c r="U32" s="68">
        <f>IFERROR(IF(ISNUMBER(INDEX(Rohdaten!$A$39:$LJ$39,MATCH(U$4,RD_Kopf,0))),INDEX(Rohdaten!$A$39:$LJ$39,MATCH(U$4,RD_Kopf,0)),NA()),NA())</f>
        <v>0</v>
      </c>
      <c r="V32" s="68">
        <f>IFERROR(IF(ISNUMBER(INDEX(Rohdaten!$A$39:$LJ$39,MATCH(V$4,RD_Kopf,0))),INDEX(Rohdaten!$A$39:$LJ$39,MATCH(V$4,RD_Kopf,0)),NA()),NA())</f>
        <v>0</v>
      </c>
      <c r="W32" s="68">
        <f>IFERROR(IF(ISNUMBER(INDEX(Rohdaten!$A$39:$LJ$39,MATCH(W$4,RD_Kopf,0))),INDEX(Rohdaten!$A$39:$LJ$39,MATCH(W$4,RD_Kopf,0)),NA()),NA())</f>
        <v>0</v>
      </c>
      <c r="X32" s="68">
        <f>IFERROR(IF(ISNUMBER(INDEX(Rohdaten!$A$39:$LJ$39,MATCH(X$4,RD_Kopf,0))),INDEX(Rohdaten!$A$39:$LJ$39,MATCH(X$4,RD_Kopf,0)),NA()),NA())</f>
        <v>0</v>
      </c>
      <c r="Y32" s="68">
        <f>IFERROR(IF(ISNUMBER(INDEX(Rohdaten!$A$39:$LJ$39,MATCH(Y$4,RD_Kopf,0))),INDEX(Rohdaten!$A$39:$LJ$39,MATCH(Y$4,RD_Kopf,0)),NA()),NA())</f>
        <v>0</v>
      </c>
      <c r="Z32" s="68">
        <f>IFERROR(IF(ISNUMBER(INDEX(Rohdaten!$A$39:$LJ$39,MATCH(Z$4,RD_Kopf,0))),INDEX(Rohdaten!$A$39:$LJ$39,MATCH(Z$4,RD_Kopf,0)),NA()),NA())</f>
        <v>0</v>
      </c>
      <c r="AA32" s="68">
        <f>IFERROR(IF(ISNUMBER(INDEX(Rohdaten!$A$39:$LJ$39,MATCH(AA$4,RD_Kopf,0))),INDEX(Rohdaten!$A$39:$LJ$39,MATCH(AA$4,RD_Kopf,0)),NA()),NA())</f>
        <v>0</v>
      </c>
      <c r="AB32" s="68">
        <f>IFERROR(IF(ISNUMBER(INDEX(Rohdaten!$A$39:$LJ$39,MATCH(AB$4,RD_Kopf,0))),INDEX(Rohdaten!$A$39:$LJ$39,MATCH(AB$4,RD_Kopf,0)),NA()),NA())</f>
        <v>0</v>
      </c>
      <c r="AC32" s="68">
        <f>IFERROR(IF(ISNUMBER(INDEX(Rohdaten!$A$39:$LJ$39,MATCH(AC$4,RD_Kopf,0))),INDEX(Rohdaten!$A$39:$LJ$39,MATCH(AC$4,RD_Kopf,0)),NA()),NA())</f>
        <v>0</v>
      </c>
      <c r="AD32" s="68">
        <f>IFERROR(IF(ISNUMBER(INDEX(Rohdaten!$A$39:$LJ$39,MATCH(AD$4,RD_Kopf,0))),INDEX(Rohdaten!$A$39:$LJ$39,MATCH(AD$4,RD_Kopf,0)),NA()),NA())</f>
        <v>0</v>
      </c>
    </row>
    <row r="33" spans="1:68">
      <c r="A33" s="11" t="s">
        <v>83</v>
      </c>
      <c r="B33" s="11" t="s">
        <v>83</v>
      </c>
      <c r="C33" s="67" t="s">
        <v>593</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c r="N33" s="68">
        <f>IFERROR(IF(ISNUMBER(INDEX(Rohdaten!$A$63:$LJ$63,MATCH(N$4,RD_Kopf,0))),INDEX(Rohdaten!$A$63:$LJ$63,MATCH(N$4,RD_Kopf,0)),NA()),NA())</f>
        <v>0</v>
      </c>
      <c r="O33" s="68">
        <f>IFERROR(IF(ISNUMBER(INDEX(Rohdaten!$A$63:$LJ$63,MATCH(O$4,RD_Kopf,0))),INDEX(Rohdaten!$A$63:$LJ$63,MATCH(O$4,RD_Kopf,0)),NA()),NA())</f>
        <v>0</v>
      </c>
      <c r="P33" s="68">
        <f>IFERROR(IF(ISNUMBER(INDEX(Rohdaten!$A$63:$LJ$63,MATCH(P$4,RD_Kopf,0))),INDEX(Rohdaten!$A$63:$LJ$63,MATCH(P$4,RD_Kopf,0)),NA()),NA())</f>
        <v>0</v>
      </c>
      <c r="Q33" s="68">
        <f>IFERROR(IF(ISNUMBER(INDEX(Rohdaten!$A$63:$LJ$63,MATCH(Q$4,RD_Kopf,0))),INDEX(Rohdaten!$A$63:$LJ$63,MATCH(Q$4,RD_Kopf,0)),NA()),NA())</f>
        <v>0</v>
      </c>
      <c r="R33" s="68">
        <f>IFERROR(IF(ISNUMBER(INDEX(Rohdaten!$A$63:$LJ$63,MATCH(R$4,RD_Kopf,0))),INDEX(Rohdaten!$A$63:$LJ$63,MATCH(R$4,RD_Kopf,0)),NA()),NA())</f>
        <v>0</v>
      </c>
      <c r="S33" s="68">
        <f>IFERROR(IF(ISNUMBER(INDEX(Rohdaten!$A$63:$LJ$63,MATCH(S$4,RD_Kopf,0))),INDEX(Rohdaten!$A$63:$LJ$63,MATCH(S$4,RD_Kopf,0)),NA()),NA())</f>
        <v>0</v>
      </c>
      <c r="T33" s="68">
        <f>IFERROR(IF(ISNUMBER(INDEX(Rohdaten!$A$63:$LJ$63,MATCH(T$4,RD_Kopf,0))),INDEX(Rohdaten!$A$63:$LJ$63,MATCH(T$4,RD_Kopf,0)),NA()),NA())</f>
        <v>0</v>
      </c>
      <c r="U33" s="68">
        <f>IFERROR(IF(ISNUMBER(INDEX(Rohdaten!$A$63:$LJ$63,MATCH(U$4,RD_Kopf,0))),INDEX(Rohdaten!$A$63:$LJ$63,MATCH(U$4,RD_Kopf,0)),NA()),NA())</f>
        <v>0</v>
      </c>
      <c r="V33" s="68">
        <f>IFERROR(IF(ISNUMBER(INDEX(Rohdaten!$A$63:$LJ$63,MATCH(V$4,RD_Kopf,0))),INDEX(Rohdaten!$A$63:$LJ$63,MATCH(V$4,RD_Kopf,0)),NA()),NA())</f>
        <v>0</v>
      </c>
      <c r="W33" s="68">
        <f>IFERROR(IF(ISNUMBER(INDEX(Rohdaten!$A$63:$LJ$63,MATCH(W$4,RD_Kopf,0))),INDEX(Rohdaten!$A$63:$LJ$63,MATCH(W$4,RD_Kopf,0)),NA()),NA())</f>
        <v>0</v>
      </c>
      <c r="X33" s="68">
        <f>IFERROR(IF(ISNUMBER(INDEX(Rohdaten!$A$63:$LJ$63,MATCH(X$4,RD_Kopf,0))),INDEX(Rohdaten!$A$63:$LJ$63,MATCH(X$4,RD_Kopf,0)),NA()),NA())</f>
        <v>0</v>
      </c>
      <c r="Y33" s="68">
        <f>IFERROR(IF(ISNUMBER(INDEX(Rohdaten!$A$63:$LJ$63,MATCH(Y$4,RD_Kopf,0))),INDEX(Rohdaten!$A$63:$LJ$63,MATCH(Y$4,RD_Kopf,0)),NA()),NA())</f>
        <v>0</v>
      </c>
      <c r="Z33" s="68">
        <f>IFERROR(IF(ISNUMBER(INDEX(Rohdaten!$A$63:$LJ$63,MATCH(Z$4,RD_Kopf,0))),INDEX(Rohdaten!$A$63:$LJ$63,MATCH(Z$4,RD_Kopf,0)),NA()),NA())</f>
        <v>0</v>
      </c>
      <c r="AA33" s="68">
        <f>IFERROR(IF(ISNUMBER(INDEX(Rohdaten!$A$63:$LJ$63,MATCH(AA$4,RD_Kopf,0))),INDEX(Rohdaten!$A$63:$LJ$63,MATCH(AA$4,RD_Kopf,0)),NA()),NA())</f>
        <v>0</v>
      </c>
      <c r="AB33" s="68">
        <f>IFERROR(IF(ISNUMBER(INDEX(Rohdaten!$A$63:$LJ$63,MATCH(AB$4,RD_Kopf,0))),INDEX(Rohdaten!$A$63:$LJ$63,MATCH(AB$4,RD_Kopf,0)),NA()),NA())</f>
        <v>0</v>
      </c>
      <c r="AC33" s="68">
        <f>IFERROR(IF(ISNUMBER(INDEX(Rohdaten!$A$63:$LJ$63,MATCH(AC$4,RD_Kopf,0))),INDEX(Rohdaten!$A$63:$LJ$63,MATCH(AC$4,RD_Kopf,0)),NA()),NA())</f>
        <v>0</v>
      </c>
      <c r="AD33" s="68">
        <f>IFERROR(IF(ISNUMBER(INDEX(Rohdaten!$A$63:$LJ$63,MATCH(AD$4,RD_Kopf,0))),INDEX(Rohdaten!$A$63:$LJ$63,MATCH(AD$4,RD_Kopf,0)),NA()),NA())</f>
        <v>0</v>
      </c>
    </row>
    <row r="34" spans="1:68">
      <c r="A34" s="11" t="s">
        <v>205</v>
      </c>
      <c r="B34" s="11" t="s">
        <v>205</v>
      </c>
      <c r="C34" s="67" t="s">
        <v>594</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c r="N34" s="68">
        <f>IFERROR(IF(ISNUMBER(INDEX(Rohdaten!$A$114:$LJ$114,MATCH(N$4,RD_Kopf,0))),INDEX(Rohdaten!$A$114:$LJ$114,MATCH(N$4,RD_Kopf,0)),NA()),NA())</f>
        <v>0</v>
      </c>
      <c r="O34" s="68">
        <f>IFERROR(IF(ISNUMBER(INDEX(Rohdaten!$A$114:$LJ$114,MATCH(O$4,RD_Kopf,0))),INDEX(Rohdaten!$A$114:$LJ$114,MATCH(O$4,RD_Kopf,0)),NA()),NA())</f>
        <v>0</v>
      </c>
      <c r="P34" s="68">
        <f>IFERROR(IF(ISNUMBER(INDEX(Rohdaten!$A$114:$LJ$114,MATCH(P$4,RD_Kopf,0))),INDEX(Rohdaten!$A$114:$LJ$114,MATCH(P$4,RD_Kopf,0)),NA()),NA())</f>
        <v>0</v>
      </c>
      <c r="Q34" s="68">
        <f>IFERROR(IF(ISNUMBER(INDEX(Rohdaten!$A$114:$LJ$114,MATCH(Q$4,RD_Kopf,0))),INDEX(Rohdaten!$A$114:$LJ$114,MATCH(Q$4,RD_Kopf,0)),NA()),NA())</f>
        <v>0</v>
      </c>
      <c r="R34" s="68">
        <f>IFERROR(IF(ISNUMBER(INDEX(Rohdaten!$A$114:$LJ$114,MATCH(R$4,RD_Kopf,0))),INDEX(Rohdaten!$A$114:$LJ$114,MATCH(R$4,RD_Kopf,0)),NA()),NA())</f>
        <v>0</v>
      </c>
      <c r="S34" s="68">
        <f>IFERROR(IF(ISNUMBER(INDEX(Rohdaten!$A$114:$LJ$114,MATCH(S$4,RD_Kopf,0))),INDEX(Rohdaten!$A$114:$LJ$114,MATCH(S$4,RD_Kopf,0)),NA()),NA())</f>
        <v>0</v>
      </c>
      <c r="T34" s="68">
        <f>IFERROR(IF(ISNUMBER(INDEX(Rohdaten!$A$114:$LJ$114,MATCH(T$4,RD_Kopf,0))),INDEX(Rohdaten!$A$114:$LJ$114,MATCH(T$4,RD_Kopf,0)),NA()),NA())</f>
        <v>0</v>
      </c>
      <c r="U34" s="68">
        <f>IFERROR(IF(ISNUMBER(INDEX(Rohdaten!$A$114:$LJ$114,MATCH(U$4,RD_Kopf,0))),INDEX(Rohdaten!$A$114:$LJ$114,MATCH(U$4,RD_Kopf,0)),NA()),NA())</f>
        <v>0</v>
      </c>
      <c r="V34" s="68">
        <f>IFERROR(IF(ISNUMBER(INDEX(Rohdaten!$A$114:$LJ$114,MATCH(V$4,RD_Kopf,0))),INDEX(Rohdaten!$A$114:$LJ$114,MATCH(V$4,RD_Kopf,0)),NA()),NA())</f>
        <v>0</v>
      </c>
      <c r="W34" s="68">
        <f>IFERROR(IF(ISNUMBER(INDEX(Rohdaten!$A$114:$LJ$114,MATCH(W$4,RD_Kopf,0))),INDEX(Rohdaten!$A$114:$LJ$114,MATCH(W$4,RD_Kopf,0)),NA()),NA())</f>
        <v>0</v>
      </c>
      <c r="X34" s="68">
        <f>IFERROR(IF(ISNUMBER(INDEX(Rohdaten!$A$114:$LJ$114,MATCH(X$4,RD_Kopf,0))),INDEX(Rohdaten!$A$114:$LJ$114,MATCH(X$4,RD_Kopf,0)),NA()),NA())</f>
        <v>0</v>
      </c>
      <c r="Y34" s="68">
        <f>IFERROR(IF(ISNUMBER(INDEX(Rohdaten!$A$114:$LJ$114,MATCH(Y$4,RD_Kopf,0))),INDEX(Rohdaten!$A$114:$LJ$114,MATCH(Y$4,RD_Kopf,0)),NA()),NA())</f>
        <v>0</v>
      </c>
      <c r="Z34" s="68">
        <f>IFERROR(IF(ISNUMBER(INDEX(Rohdaten!$A$114:$LJ$114,MATCH(Z$4,RD_Kopf,0))),INDEX(Rohdaten!$A$114:$LJ$114,MATCH(Z$4,RD_Kopf,0)),NA()),NA())</f>
        <v>0</v>
      </c>
      <c r="AA34" s="68">
        <f>IFERROR(IF(ISNUMBER(INDEX(Rohdaten!$A$114:$LJ$114,MATCH(AA$4,RD_Kopf,0))),INDEX(Rohdaten!$A$114:$LJ$114,MATCH(AA$4,RD_Kopf,0)),NA()),NA())</f>
        <v>0</v>
      </c>
      <c r="AB34" s="68">
        <f>IFERROR(IF(ISNUMBER(INDEX(Rohdaten!$A$114:$LJ$114,MATCH(AB$4,RD_Kopf,0))),INDEX(Rohdaten!$A$114:$LJ$114,MATCH(AB$4,RD_Kopf,0)),NA()),NA())</f>
        <v>0</v>
      </c>
      <c r="AC34" s="68">
        <f>IFERROR(IF(ISNUMBER(INDEX(Rohdaten!$A$114:$LJ$114,MATCH(AC$4,RD_Kopf,0))),INDEX(Rohdaten!$A$114:$LJ$114,MATCH(AC$4,RD_Kopf,0)),NA()),NA())</f>
        <v>0</v>
      </c>
      <c r="AD34" s="68">
        <f>IFERROR(IF(ISNUMBER(INDEX(Rohdaten!$A$114:$LJ$114,MATCH(AD$4,RD_Kopf,0))),INDEX(Rohdaten!$A$114:$LJ$114,MATCH(AD$4,RD_Kopf,0)),NA()),NA())</f>
        <v>0</v>
      </c>
    </row>
    <row r="35" spans="1:68">
      <c r="A35" s="11" t="s">
        <v>293</v>
      </c>
      <c r="B35" s="11" t="s">
        <v>293</v>
      </c>
      <c r="C35" s="67" t="s">
        <v>595</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c r="N35" s="68">
        <f>IFERROR(IF(ISNUMBER(INDEX(Rohdaten!$A$147:$LJ$147,MATCH(N$4,RD_Kopf,0))),INDEX(Rohdaten!$A$147:$LJ$147,MATCH(N$4,RD_Kopf,0)),NA()),NA())</f>
        <v>0</v>
      </c>
      <c r="O35" s="68">
        <f>IFERROR(IF(ISNUMBER(INDEX(Rohdaten!$A$147:$LJ$147,MATCH(O$4,RD_Kopf,0))),INDEX(Rohdaten!$A$147:$LJ$147,MATCH(O$4,RD_Kopf,0)),NA()),NA())</f>
        <v>0</v>
      </c>
      <c r="P35" s="68">
        <f>IFERROR(IF(ISNUMBER(INDEX(Rohdaten!$A$147:$LJ$147,MATCH(P$4,RD_Kopf,0))),INDEX(Rohdaten!$A$147:$LJ$147,MATCH(P$4,RD_Kopf,0)),NA()),NA())</f>
        <v>0</v>
      </c>
      <c r="Q35" s="68">
        <f>IFERROR(IF(ISNUMBER(INDEX(Rohdaten!$A$147:$LJ$147,MATCH(Q$4,RD_Kopf,0))),INDEX(Rohdaten!$A$147:$LJ$147,MATCH(Q$4,RD_Kopf,0)),NA()),NA())</f>
        <v>0</v>
      </c>
      <c r="R35" s="68">
        <f>IFERROR(IF(ISNUMBER(INDEX(Rohdaten!$A$147:$LJ$147,MATCH(R$4,RD_Kopf,0))),INDEX(Rohdaten!$A$147:$LJ$147,MATCH(R$4,RD_Kopf,0)),NA()),NA())</f>
        <v>0</v>
      </c>
      <c r="S35" s="68">
        <f>IFERROR(IF(ISNUMBER(INDEX(Rohdaten!$A$147:$LJ$147,MATCH(S$4,RD_Kopf,0))),INDEX(Rohdaten!$A$147:$LJ$147,MATCH(S$4,RD_Kopf,0)),NA()),NA())</f>
        <v>0</v>
      </c>
      <c r="T35" s="68">
        <f>IFERROR(IF(ISNUMBER(INDEX(Rohdaten!$A$147:$LJ$147,MATCH(T$4,RD_Kopf,0))),INDEX(Rohdaten!$A$147:$LJ$147,MATCH(T$4,RD_Kopf,0)),NA()),NA())</f>
        <v>0</v>
      </c>
      <c r="U35" s="68">
        <f>IFERROR(IF(ISNUMBER(INDEX(Rohdaten!$A$147:$LJ$147,MATCH(U$4,RD_Kopf,0))),INDEX(Rohdaten!$A$147:$LJ$147,MATCH(U$4,RD_Kopf,0)),NA()),NA())</f>
        <v>0</v>
      </c>
      <c r="V35" s="68">
        <f>IFERROR(IF(ISNUMBER(INDEX(Rohdaten!$A$147:$LJ$147,MATCH(V$4,RD_Kopf,0))),INDEX(Rohdaten!$A$147:$LJ$147,MATCH(V$4,RD_Kopf,0)),NA()),NA())</f>
        <v>0</v>
      </c>
      <c r="W35" s="68">
        <f>IFERROR(IF(ISNUMBER(INDEX(Rohdaten!$A$147:$LJ$147,MATCH(W$4,RD_Kopf,0))),INDEX(Rohdaten!$A$147:$LJ$147,MATCH(W$4,RD_Kopf,0)),NA()),NA())</f>
        <v>0</v>
      </c>
      <c r="X35" s="68">
        <f>IFERROR(IF(ISNUMBER(INDEX(Rohdaten!$A$147:$LJ$147,MATCH(X$4,RD_Kopf,0))),INDEX(Rohdaten!$A$147:$LJ$147,MATCH(X$4,RD_Kopf,0)),NA()),NA())</f>
        <v>0</v>
      </c>
      <c r="Y35" s="68">
        <f>IFERROR(IF(ISNUMBER(INDEX(Rohdaten!$A$147:$LJ$147,MATCH(Y$4,RD_Kopf,0))),INDEX(Rohdaten!$A$147:$LJ$147,MATCH(Y$4,RD_Kopf,0)),NA()),NA())</f>
        <v>0</v>
      </c>
      <c r="Z35" s="68">
        <f>IFERROR(IF(ISNUMBER(INDEX(Rohdaten!$A$147:$LJ$147,MATCH(Z$4,RD_Kopf,0))),INDEX(Rohdaten!$A$147:$LJ$147,MATCH(Z$4,RD_Kopf,0)),NA()),NA())</f>
        <v>0</v>
      </c>
      <c r="AA35" s="68">
        <f>IFERROR(IF(ISNUMBER(INDEX(Rohdaten!$A$147:$LJ$147,MATCH(AA$4,RD_Kopf,0))),INDEX(Rohdaten!$A$147:$LJ$147,MATCH(AA$4,RD_Kopf,0)),NA()),NA())</f>
        <v>0</v>
      </c>
      <c r="AB35" s="68">
        <f>IFERROR(IF(ISNUMBER(INDEX(Rohdaten!$A$147:$LJ$147,MATCH(AB$4,RD_Kopf,0))),INDEX(Rohdaten!$A$147:$LJ$147,MATCH(AB$4,RD_Kopf,0)),NA()),NA())</f>
        <v>0</v>
      </c>
      <c r="AC35" s="68">
        <f>IFERROR(IF(ISNUMBER(INDEX(Rohdaten!$A$147:$LJ$147,MATCH(AC$4,RD_Kopf,0))),INDEX(Rohdaten!$A$147:$LJ$147,MATCH(AC$4,RD_Kopf,0)),NA()),NA())</f>
        <v>0</v>
      </c>
      <c r="AD35" s="68">
        <f>IFERROR(IF(ISNUMBER(INDEX(Rohdaten!$A$147:$LJ$147,MATCH(AD$4,RD_Kopf,0))),INDEX(Rohdaten!$A$147:$LJ$147,MATCH(AD$4,RD_Kopf,0)),NA()),NA())</f>
        <v>0</v>
      </c>
    </row>
    <row r="36" spans="1:68">
      <c r="A36" s="11" t="s">
        <v>596</v>
      </c>
      <c r="B36" s="11" t="s">
        <v>597</v>
      </c>
      <c r="C36" s="67" t="s">
        <v>598</v>
      </c>
      <c r="D36" s="68">
        <v>10</v>
      </c>
    </row>
    <row r="37" spans="1:68">
      <c r="A37" s="11" t="s">
        <v>599</v>
      </c>
      <c r="B37" s="11" t="s">
        <v>600</v>
      </c>
      <c r="C37" s="67" t="s">
        <v>601</v>
      </c>
      <c r="AQ37" s="68">
        <f>IF(0&lt;$D$36,28-$D$36+0,0)</f>
        <v>0</v>
      </c>
      <c r="AR37" s="68">
        <f>IF(1&lt;$D$36,28-$D$36+1,0)</f>
        <v>0</v>
      </c>
      <c r="AS37" s="68">
        <f>IF(2&lt;$D$36,28-$D$36+2,0)</f>
        <v>0</v>
      </c>
      <c r="AT37" s="68">
        <f>IF(3&lt;$D$36,28-$D$36+3,0)</f>
        <v>0</v>
      </c>
      <c r="AU37" s="68">
        <f>IF(4&lt;$D$36,28-$D$36+4,0)</f>
        <v>0</v>
      </c>
      <c r="AV37" s="68">
        <f>IF(5&lt;$D$36,28-$D$36+5,0)</f>
        <v>0</v>
      </c>
      <c r="AW37" s="68">
        <f>IF(6&lt;$D$36,28-$D$36+6,0)</f>
        <v>0</v>
      </c>
      <c r="AX37" s="68">
        <f>IF(7&lt;$D$36,28-$D$36+7,0)</f>
        <v>0</v>
      </c>
      <c r="AY37" s="68">
        <f>IF(8&lt;$D$36,28-$D$36+8,0)</f>
        <v>0</v>
      </c>
      <c r="AZ37" s="68">
        <f>IF(9&lt;$D$36,28-$D$36+9,0)</f>
        <v>0</v>
      </c>
      <c r="BA37" s="68">
        <f>IF(10&lt;$D$36,28-$D$36+10,0)</f>
        <v>0</v>
      </c>
      <c r="BB37" s="68">
        <f>IF(11&lt;$D$36,28-$D$36+11,0)</f>
        <v>0</v>
      </c>
      <c r="BC37" s="68">
        <f>IF(12&lt;$D$36,28-$D$36+12,0)</f>
        <v>0</v>
      </c>
      <c r="BD37" s="68">
        <f>IF(13&lt;$D$36,28-$D$36+13,0)</f>
        <v>0</v>
      </c>
      <c r="BE37" s="68">
        <f>IF(14&lt;$D$36,28-$D$36+14,0)</f>
        <v>0</v>
      </c>
      <c r="BF37" s="68">
        <f>IF(15&lt;$D$36,28-$D$36+15,0)</f>
        <v>0</v>
      </c>
      <c r="BG37" s="68">
        <f>IF(16&lt;$D$36,28-$D$36+16,0)</f>
        <v>0</v>
      </c>
      <c r="BH37" s="68">
        <f>IF(17&lt;$D$36,28-$D$36+17,0)</f>
        <v>0</v>
      </c>
      <c r="BI37" s="68">
        <f>IF(18&lt;$D$36,28-$D$36+18,0)</f>
        <v>0</v>
      </c>
      <c r="BJ37" s="68">
        <f>IF(19&lt;$D$36,28-$D$36+19,0)</f>
        <v>0</v>
      </c>
      <c r="BK37" s="68">
        <f>IF(20&lt;$D$36,28-$D$36+20,0)</f>
        <v>0</v>
      </c>
      <c r="BL37" s="68">
        <f>IF(21&lt;$D$36,28-$D$36+21,0)</f>
        <v>0</v>
      </c>
      <c r="BM37" s="68">
        <f>IF(22&lt;$D$36,28-$D$36+22,0)</f>
        <v>0</v>
      </c>
      <c r="BN37" s="68">
        <f>IF(23&lt;$D$36,28-$D$36+23,0)</f>
        <v>0</v>
      </c>
      <c r="BO37" s="68">
        <f>IF(24&lt;$D$36,28-$D$36+24,0)</f>
        <v>0</v>
      </c>
      <c r="BP37" s="68">
        <f>IF(25&lt;$D$36,28-$D$36+25,0)</f>
        <v>0</v>
      </c>
    </row>
    <row r="38" spans="1:68">
      <c r="A38" s="11" t="s">
        <v>602</v>
      </c>
      <c r="B38" s="11" t="s">
        <v>603</v>
      </c>
      <c r="C38" s="67" t="s">
        <v>604</v>
      </c>
      <c r="AQ38" s="11">
        <f>IF(AQ$37=0,"",""&amp;_xlfn.ISOWEEKNUM(INDEX($D$4:$AD$4,AQ$37)))</f>
        <v>0</v>
      </c>
      <c r="AR38" s="11">
        <f>IF(AR$37=0,"",""&amp;_xlfn.ISOWEEKNUM(INDEX($D$4:$AD$4,AR$37)))</f>
        <v>0</v>
      </c>
      <c r="AS38" s="11">
        <f>IF(AS$37=0,"",""&amp;_xlfn.ISOWEEKNUM(INDEX($D$4:$AD$4,AS$37)))</f>
        <v>0</v>
      </c>
      <c r="AT38" s="11">
        <f>IF(AT$37=0,"",""&amp;_xlfn.ISOWEEKNUM(INDEX($D$4:$AD$4,AT$37)))</f>
        <v>0</v>
      </c>
      <c r="AU38" s="11">
        <f>IF(AU$37=0,"",""&amp;_xlfn.ISOWEEKNUM(INDEX($D$4:$AD$4,AU$37)))</f>
        <v>0</v>
      </c>
      <c r="AV38" s="11">
        <f>IF(AV$37=0,"",""&amp;_xlfn.ISOWEEKNUM(INDEX($D$4:$AD$4,AV$37)))</f>
        <v>0</v>
      </c>
      <c r="AW38" s="11">
        <f>IF(AW$37=0,"",""&amp;_xlfn.ISOWEEKNUM(INDEX($D$4:$AD$4,AW$37)))</f>
        <v>0</v>
      </c>
      <c r="AX38" s="11">
        <f>IF(AX$37=0,"",""&amp;_xlfn.ISOWEEKNUM(INDEX($D$4:$AD$4,AX$37)))</f>
        <v>0</v>
      </c>
      <c r="AY38" s="11">
        <f>IF(AY$37=0,"",""&amp;_xlfn.ISOWEEKNUM(INDEX($D$4:$AD$4,AY$37)))</f>
        <v>0</v>
      </c>
      <c r="AZ38" s="11">
        <f>IF(AZ$37=0,"",""&amp;_xlfn.ISOWEEKNUM(INDEX($D$4:$AD$4,AZ$37)))</f>
        <v>0</v>
      </c>
      <c r="BA38" s="11">
        <f>IF(BA$37=0,"",""&amp;_xlfn.ISOWEEKNUM(INDEX($D$4:$AD$4,BA$37)))</f>
        <v>0</v>
      </c>
      <c r="BB38" s="11">
        <f>IF(BB$37=0,"",""&amp;_xlfn.ISOWEEKNUM(INDEX($D$4:$AD$4,BB$37)))</f>
        <v>0</v>
      </c>
      <c r="BC38" s="11">
        <f>IF(BC$37=0,"",""&amp;_xlfn.ISOWEEKNUM(INDEX($D$4:$AD$4,BC$37)))</f>
        <v>0</v>
      </c>
      <c r="BD38" s="11">
        <f>IF(BD$37=0,"",""&amp;_xlfn.ISOWEEKNUM(INDEX($D$4:$AD$4,BD$37)))</f>
        <v>0</v>
      </c>
      <c r="BE38" s="11">
        <f>IF(BE$37=0,"",""&amp;_xlfn.ISOWEEKNUM(INDEX($D$4:$AD$4,BE$37)))</f>
        <v>0</v>
      </c>
      <c r="BF38" s="11">
        <f>IF(BF$37=0,"",""&amp;_xlfn.ISOWEEKNUM(INDEX($D$4:$AD$4,BF$37)))</f>
        <v>0</v>
      </c>
      <c r="BG38" s="11">
        <f>IF(BG$37=0,"",""&amp;_xlfn.ISOWEEKNUM(INDEX($D$4:$AD$4,BG$37)))</f>
        <v>0</v>
      </c>
      <c r="BH38" s="11">
        <f>IF(BH$37=0,"",""&amp;_xlfn.ISOWEEKNUM(INDEX($D$4:$AD$4,BH$37)))</f>
        <v>0</v>
      </c>
      <c r="BI38" s="11">
        <f>IF(BI$37=0,"",""&amp;_xlfn.ISOWEEKNUM(INDEX($D$4:$AD$4,BI$37)))</f>
        <v>0</v>
      </c>
      <c r="BJ38" s="11">
        <f>IF(BJ$37=0,"",""&amp;_xlfn.ISOWEEKNUM(INDEX($D$4:$AD$4,BJ$37)))</f>
        <v>0</v>
      </c>
      <c r="BK38" s="11">
        <f>IF(BK$37=0,"",""&amp;_xlfn.ISOWEEKNUM(INDEX($D$4:$AD$4,BK$37)))</f>
        <v>0</v>
      </c>
      <c r="BL38" s="11">
        <f>IF(BL$37=0,"",""&amp;_xlfn.ISOWEEKNUM(INDEX($D$4:$AD$4,BL$37)))</f>
        <v>0</v>
      </c>
      <c r="BM38" s="11">
        <f>IF(BM$37=0,"",""&amp;_xlfn.ISOWEEKNUM(INDEX($D$4:$AD$4,BM$37)))</f>
        <v>0</v>
      </c>
      <c r="BN38" s="11">
        <f>IF(BN$37=0,"",""&amp;_xlfn.ISOWEEKNUM(INDEX($D$4:$AD$4,BN$37)))</f>
        <v>0</v>
      </c>
      <c r="BO38" s="11">
        <f>IF(BO$37=0,"",""&amp;_xlfn.ISOWEEKNUM(INDEX($D$4:$AD$4,BO$37)))</f>
        <v>0</v>
      </c>
      <c r="BP38" s="11">
        <f>IF(BP$37=0,"",""&amp;_xlfn.ISOWEEKNUM(INDEX($D$4:$AD$4,BP$37)))</f>
        <v>0</v>
      </c>
    </row>
    <row r="39" spans="1:68">
      <c r="A39" s="11" t="s">
        <v>97</v>
      </c>
      <c r="B39" s="11" t="s">
        <v>605</v>
      </c>
      <c r="C39" s="67" t="s">
        <v>606</v>
      </c>
      <c r="D39" s="68">
        <f>IFERROR(IF(ISNUMBER(INDEX(Rohdaten!$A$67:$LJ$67,MATCH(D$4,RD_Kopf,0))),INDEX(Rohdaten!$A$67:$LJ$67,MATCH(D$4,RD_Kopf,0)),NA()),NA())</f>
        <v>0</v>
      </c>
      <c r="E39" s="68">
        <f>IFERROR(IF(ISNUMBER(INDEX(Rohdaten!$A$67:$LJ$67,MATCH(E$4,RD_Kopf,0))),INDEX(Rohdaten!$A$67:$LJ$67,MATCH(E$4,RD_Kopf,0)),NA()),NA())</f>
        <v>0</v>
      </c>
      <c r="F39" s="68">
        <f>IFERROR(IF(ISNUMBER(INDEX(Rohdaten!$A$67:$LJ$67,MATCH(F$4,RD_Kopf,0))),INDEX(Rohdaten!$A$67:$LJ$67,MATCH(F$4,RD_Kopf,0)),NA()),NA())</f>
        <v>0</v>
      </c>
      <c r="G39" s="68">
        <f>IFERROR(IF(ISNUMBER(INDEX(Rohdaten!$A$67:$LJ$67,MATCH(G$4,RD_Kopf,0))),INDEX(Rohdaten!$A$67:$LJ$67,MATCH(G$4,RD_Kopf,0)),NA()),NA())</f>
        <v>0</v>
      </c>
      <c r="H39" s="68">
        <f>IFERROR(IF(ISNUMBER(INDEX(Rohdaten!$A$67:$LJ$67,MATCH(H$4,RD_Kopf,0))),INDEX(Rohdaten!$A$67:$LJ$67,MATCH(H$4,RD_Kopf,0)),NA()),NA())</f>
        <v>0</v>
      </c>
      <c r="I39" s="68">
        <f>IFERROR(IF(ISNUMBER(INDEX(Rohdaten!$A$67:$LJ$67,MATCH(I$4,RD_Kopf,0))),INDEX(Rohdaten!$A$67:$LJ$67,MATCH(I$4,RD_Kopf,0)),NA()),NA())</f>
        <v>0</v>
      </c>
      <c r="J39" s="68">
        <f>IFERROR(IF(ISNUMBER(INDEX(Rohdaten!$A$67:$LJ$67,MATCH(J$4,RD_Kopf,0))),INDEX(Rohdaten!$A$67:$LJ$67,MATCH(J$4,RD_Kopf,0)),NA()),NA())</f>
        <v>0</v>
      </c>
      <c r="K39" s="68">
        <f>IFERROR(IF(ISNUMBER(INDEX(Rohdaten!$A$67:$LJ$67,MATCH(K$4,RD_Kopf,0))),INDEX(Rohdaten!$A$67:$LJ$67,MATCH(K$4,RD_Kopf,0)),NA()),NA())</f>
        <v>0</v>
      </c>
      <c r="L39" s="68">
        <f>IFERROR(IF(ISNUMBER(INDEX(Rohdaten!$A$67:$LJ$67,MATCH(L$4,RD_Kopf,0))),INDEX(Rohdaten!$A$67:$LJ$67,MATCH(L$4,RD_Kopf,0)),NA()),NA())</f>
        <v>0</v>
      </c>
      <c r="M39" s="68">
        <f>IFERROR(IF(ISNUMBER(INDEX(Rohdaten!$A$67:$LJ$67,MATCH(M$4,RD_Kopf,0))),INDEX(Rohdaten!$A$67:$LJ$67,MATCH(M$4,RD_Kopf,0)),NA()),NA())</f>
        <v>0</v>
      </c>
      <c r="N39" s="68">
        <f>IFERROR(IF(ISNUMBER(INDEX(Rohdaten!$A$67:$LJ$67,MATCH(N$4,RD_Kopf,0))),INDEX(Rohdaten!$A$67:$LJ$67,MATCH(N$4,RD_Kopf,0)),NA()),NA())</f>
        <v>0</v>
      </c>
      <c r="O39" s="68">
        <f>IFERROR(IF(ISNUMBER(INDEX(Rohdaten!$A$67:$LJ$67,MATCH(O$4,RD_Kopf,0))),INDEX(Rohdaten!$A$67:$LJ$67,MATCH(O$4,RD_Kopf,0)),NA()),NA())</f>
        <v>0</v>
      </c>
      <c r="P39" s="68">
        <f>IFERROR(IF(ISNUMBER(INDEX(Rohdaten!$A$67:$LJ$67,MATCH(P$4,RD_Kopf,0))),INDEX(Rohdaten!$A$67:$LJ$67,MATCH(P$4,RD_Kopf,0)),NA()),NA())</f>
        <v>0</v>
      </c>
      <c r="Q39" s="68">
        <f>IFERROR(IF(ISNUMBER(INDEX(Rohdaten!$A$67:$LJ$67,MATCH(Q$4,RD_Kopf,0))),INDEX(Rohdaten!$A$67:$LJ$67,MATCH(Q$4,RD_Kopf,0)),NA()),NA())</f>
        <v>0</v>
      </c>
      <c r="R39" s="68">
        <f>IFERROR(IF(ISNUMBER(INDEX(Rohdaten!$A$67:$LJ$67,MATCH(R$4,RD_Kopf,0))),INDEX(Rohdaten!$A$67:$LJ$67,MATCH(R$4,RD_Kopf,0)),NA()),NA())</f>
        <v>0</v>
      </c>
      <c r="S39" s="68">
        <f>IFERROR(IF(ISNUMBER(INDEX(Rohdaten!$A$67:$LJ$67,MATCH(S$4,RD_Kopf,0))),INDEX(Rohdaten!$A$67:$LJ$67,MATCH(S$4,RD_Kopf,0)),NA()),NA())</f>
        <v>0</v>
      </c>
      <c r="T39" s="68">
        <f>IFERROR(IF(ISNUMBER(INDEX(Rohdaten!$A$67:$LJ$67,MATCH(T$4,RD_Kopf,0))),INDEX(Rohdaten!$A$67:$LJ$67,MATCH(T$4,RD_Kopf,0)),NA()),NA())</f>
        <v>0</v>
      </c>
      <c r="U39" s="68">
        <f>IFERROR(IF(ISNUMBER(INDEX(Rohdaten!$A$67:$LJ$67,MATCH(U$4,RD_Kopf,0))),INDEX(Rohdaten!$A$67:$LJ$67,MATCH(U$4,RD_Kopf,0)),NA()),NA())</f>
        <v>0</v>
      </c>
      <c r="V39" s="68">
        <f>IFERROR(IF(ISNUMBER(INDEX(Rohdaten!$A$67:$LJ$67,MATCH(V$4,RD_Kopf,0))),INDEX(Rohdaten!$A$67:$LJ$67,MATCH(V$4,RD_Kopf,0)),NA()),NA())</f>
        <v>0</v>
      </c>
      <c r="W39" s="68">
        <f>IFERROR(IF(ISNUMBER(INDEX(Rohdaten!$A$67:$LJ$67,MATCH(W$4,RD_Kopf,0))),INDEX(Rohdaten!$A$67:$LJ$67,MATCH(W$4,RD_Kopf,0)),NA()),NA())</f>
        <v>0</v>
      </c>
      <c r="X39" s="68">
        <f>IFERROR(IF(ISNUMBER(INDEX(Rohdaten!$A$67:$LJ$67,MATCH(X$4,RD_Kopf,0))),INDEX(Rohdaten!$A$67:$LJ$67,MATCH(X$4,RD_Kopf,0)),NA()),NA())</f>
        <v>0</v>
      </c>
      <c r="Y39" s="68">
        <f>IFERROR(IF(ISNUMBER(INDEX(Rohdaten!$A$67:$LJ$67,MATCH(Y$4,RD_Kopf,0))),INDEX(Rohdaten!$A$67:$LJ$67,MATCH(Y$4,RD_Kopf,0)),NA()),NA())</f>
        <v>0</v>
      </c>
      <c r="Z39" s="68">
        <f>IFERROR(IF(ISNUMBER(INDEX(Rohdaten!$A$67:$LJ$67,MATCH(Z$4,RD_Kopf,0))),INDEX(Rohdaten!$A$67:$LJ$67,MATCH(Z$4,RD_Kopf,0)),NA()),NA())</f>
        <v>0</v>
      </c>
      <c r="AA39" s="68">
        <f>IFERROR(IF(ISNUMBER(INDEX(Rohdaten!$A$67:$LJ$67,MATCH(AA$4,RD_Kopf,0))),INDEX(Rohdaten!$A$67:$LJ$67,MATCH(AA$4,RD_Kopf,0)),NA()),NA())</f>
        <v>0</v>
      </c>
      <c r="AB39" s="68">
        <f>IFERROR(IF(ISNUMBER(INDEX(Rohdaten!$A$67:$LJ$67,MATCH(AB$4,RD_Kopf,0))),INDEX(Rohdaten!$A$67:$LJ$67,MATCH(AB$4,RD_Kopf,0)),NA()),NA())</f>
        <v>0</v>
      </c>
      <c r="AC39" s="68">
        <f>IFERROR(IF(ISNUMBER(INDEX(Rohdaten!$A$67:$LJ$67,MATCH(AC$4,RD_Kopf,0))),INDEX(Rohdaten!$A$67:$LJ$67,MATCH(AC$4,RD_Kopf,0)),NA()),NA())</f>
        <v>0</v>
      </c>
      <c r="AD39" s="68">
        <f>IFERROR(IF(ISNUMBER(INDEX(Rohdaten!$A$67:$LJ$67,MATCH(AD$4,RD_Kopf,0))),INDEX(Rohdaten!$A$67:$LJ$67,MATCH(AD$4,RD_Kopf,0)),NA()),NA())</f>
        <v>0</v>
      </c>
    </row>
    <row r="40" spans="1:68">
      <c r="A40" s="11" t="s">
        <v>100</v>
      </c>
      <c r="B40" s="11" t="s">
        <v>607</v>
      </c>
      <c r="C40" s="67" t="s">
        <v>608</v>
      </c>
      <c r="D40" s="68">
        <f>IFERROR(IF(ISNUMBER(INDEX(Rohdaten!$A$68:$LJ$68,MATCH(D$4,RD_Kopf,0))),INDEX(Rohdaten!$A$68:$LJ$68,MATCH(D$4,RD_Kopf,0)),NA()),NA())</f>
        <v>0</v>
      </c>
      <c r="E40" s="68">
        <f>IFERROR(IF(ISNUMBER(INDEX(Rohdaten!$A$68:$LJ$68,MATCH(E$4,RD_Kopf,0))),INDEX(Rohdaten!$A$68:$LJ$68,MATCH(E$4,RD_Kopf,0)),NA()),NA())</f>
        <v>0</v>
      </c>
      <c r="F40" s="68">
        <f>IFERROR(IF(ISNUMBER(INDEX(Rohdaten!$A$68:$LJ$68,MATCH(F$4,RD_Kopf,0))),INDEX(Rohdaten!$A$68:$LJ$68,MATCH(F$4,RD_Kopf,0)),NA()),NA())</f>
        <v>0</v>
      </c>
      <c r="G40" s="68">
        <f>IFERROR(IF(ISNUMBER(INDEX(Rohdaten!$A$68:$LJ$68,MATCH(G$4,RD_Kopf,0))),INDEX(Rohdaten!$A$68:$LJ$68,MATCH(G$4,RD_Kopf,0)),NA()),NA())</f>
        <v>0</v>
      </c>
      <c r="H40" s="68">
        <f>IFERROR(IF(ISNUMBER(INDEX(Rohdaten!$A$68:$LJ$68,MATCH(H$4,RD_Kopf,0))),INDEX(Rohdaten!$A$68:$LJ$68,MATCH(H$4,RD_Kopf,0)),NA()),NA())</f>
        <v>0</v>
      </c>
      <c r="I40" s="68">
        <f>IFERROR(IF(ISNUMBER(INDEX(Rohdaten!$A$68:$LJ$68,MATCH(I$4,RD_Kopf,0))),INDEX(Rohdaten!$A$68:$LJ$68,MATCH(I$4,RD_Kopf,0)),NA()),NA())</f>
        <v>0</v>
      </c>
      <c r="J40" s="68">
        <f>IFERROR(IF(ISNUMBER(INDEX(Rohdaten!$A$68:$LJ$68,MATCH(J$4,RD_Kopf,0))),INDEX(Rohdaten!$A$68:$LJ$68,MATCH(J$4,RD_Kopf,0)),NA()),NA())</f>
        <v>0</v>
      </c>
      <c r="K40" s="68">
        <f>IFERROR(IF(ISNUMBER(INDEX(Rohdaten!$A$68:$LJ$68,MATCH(K$4,RD_Kopf,0))),INDEX(Rohdaten!$A$68:$LJ$68,MATCH(K$4,RD_Kopf,0)),NA()),NA())</f>
        <v>0</v>
      </c>
      <c r="L40" s="68">
        <f>IFERROR(IF(ISNUMBER(INDEX(Rohdaten!$A$68:$LJ$68,MATCH(L$4,RD_Kopf,0))),INDEX(Rohdaten!$A$68:$LJ$68,MATCH(L$4,RD_Kopf,0)),NA()),NA())</f>
        <v>0</v>
      </c>
      <c r="M40" s="68">
        <f>IFERROR(IF(ISNUMBER(INDEX(Rohdaten!$A$68:$LJ$68,MATCH(M$4,RD_Kopf,0))),INDEX(Rohdaten!$A$68:$LJ$68,MATCH(M$4,RD_Kopf,0)),NA()),NA())</f>
        <v>0</v>
      </c>
      <c r="N40" s="68">
        <f>IFERROR(IF(ISNUMBER(INDEX(Rohdaten!$A$68:$LJ$68,MATCH(N$4,RD_Kopf,0))),INDEX(Rohdaten!$A$68:$LJ$68,MATCH(N$4,RD_Kopf,0)),NA()),NA())</f>
        <v>0</v>
      </c>
      <c r="O40" s="68">
        <f>IFERROR(IF(ISNUMBER(INDEX(Rohdaten!$A$68:$LJ$68,MATCH(O$4,RD_Kopf,0))),INDEX(Rohdaten!$A$68:$LJ$68,MATCH(O$4,RD_Kopf,0)),NA()),NA())</f>
        <v>0</v>
      </c>
      <c r="P40" s="68">
        <f>IFERROR(IF(ISNUMBER(INDEX(Rohdaten!$A$68:$LJ$68,MATCH(P$4,RD_Kopf,0))),INDEX(Rohdaten!$A$68:$LJ$68,MATCH(P$4,RD_Kopf,0)),NA()),NA())</f>
        <v>0</v>
      </c>
      <c r="Q40" s="68">
        <f>IFERROR(IF(ISNUMBER(INDEX(Rohdaten!$A$68:$LJ$68,MATCH(Q$4,RD_Kopf,0))),INDEX(Rohdaten!$A$68:$LJ$68,MATCH(Q$4,RD_Kopf,0)),NA()),NA())</f>
        <v>0</v>
      </c>
      <c r="R40" s="68">
        <f>IFERROR(IF(ISNUMBER(INDEX(Rohdaten!$A$68:$LJ$68,MATCH(R$4,RD_Kopf,0))),INDEX(Rohdaten!$A$68:$LJ$68,MATCH(R$4,RD_Kopf,0)),NA()),NA())</f>
        <v>0</v>
      </c>
      <c r="S40" s="68">
        <f>IFERROR(IF(ISNUMBER(INDEX(Rohdaten!$A$68:$LJ$68,MATCH(S$4,RD_Kopf,0))),INDEX(Rohdaten!$A$68:$LJ$68,MATCH(S$4,RD_Kopf,0)),NA()),NA())</f>
        <v>0</v>
      </c>
      <c r="T40" s="68">
        <f>IFERROR(IF(ISNUMBER(INDEX(Rohdaten!$A$68:$LJ$68,MATCH(T$4,RD_Kopf,0))),INDEX(Rohdaten!$A$68:$LJ$68,MATCH(T$4,RD_Kopf,0)),NA()),NA())</f>
        <v>0</v>
      </c>
      <c r="U40" s="68">
        <f>IFERROR(IF(ISNUMBER(INDEX(Rohdaten!$A$68:$LJ$68,MATCH(U$4,RD_Kopf,0))),INDEX(Rohdaten!$A$68:$LJ$68,MATCH(U$4,RD_Kopf,0)),NA()),NA())</f>
        <v>0</v>
      </c>
      <c r="V40" s="68">
        <f>IFERROR(IF(ISNUMBER(INDEX(Rohdaten!$A$68:$LJ$68,MATCH(V$4,RD_Kopf,0))),INDEX(Rohdaten!$A$68:$LJ$68,MATCH(V$4,RD_Kopf,0)),NA()),NA())</f>
        <v>0</v>
      </c>
      <c r="W40" s="68">
        <f>IFERROR(IF(ISNUMBER(INDEX(Rohdaten!$A$68:$LJ$68,MATCH(W$4,RD_Kopf,0))),INDEX(Rohdaten!$A$68:$LJ$68,MATCH(W$4,RD_Kopf,0)),NA()),NA())</f>
        <v>0</v>
      </c>
      <c r="X40" s="68">
        <f>IFERROR(IF(ISNUMBER(INDEX(Rohdaten!$A$68:$LJ$68,MATCH(X$4,RD_Kopf,0))),INDEX(Rohdaten!$A$68:$LJ$68,MATCH(X$4,RD_Kopf,0)),NA()),NA())</f>
        <v>0</v>
      </c>
      <c r="Y40" s="68">
        <f>IFERROR(IF(ISNUMBER(INDEX(Rohdaten!$A$68:$LJ$68,MATCH(Y$4,RD_Kopf,0))),INDEX(Rohdaten!$A$68:$LJ$68,MATCH(Y$4,RD_Kopf,0)),NA()),NA())</f>
        <v>0</v>
      </c>
      <c r="Z40" s="68">
        <f>IFERROR(IF(ISNUMBER(INDEX(Rohdaten!$A$68:$LJ$68,MATCH(Z$4,RD_Kopf,0))),INDEX(Rohdaten!$A$68:$LJ$68,MATCH(Z$4,RD_Kopf,0)),NA()),NA())</f>
        <v>0</v>
      </c>
      <c r="AA40" s="68">
        <f>IFERROR(IF(ISNUMBER(INDEX(Rohdaten!$A$68:$LJ$68,MATCH(AA$4,RD_Kopf,0))),INDEX(Rohdaten!$A$68:$LJ$68,MATCH(AA$4,RD_Kopf,0)),NA()),NA())</f>
        <v>0</v>
      </c>
      <c r="AB40" s="68">
        <f>IFERROR(IF(ISNUMBER(INDEX(Rohdaten!$A$68:$LJ$68,MATCH(AB$4,RD_Kopf,0))),INDEX(Rohdaten!$A$68:$LJ$68,MATCH(AB$4,RD_Kopf,0)),NA()),NA())</f>
        <v>0</v>
      </c>
      <c r="AC40" s="68">
        <f>IFERROR(IF(ISNUMBER(INDEX(Rohdaten!$A$68:$LJ$68,MATCH(AC$4,RD_Kopf,0))),INDEX(Rohdaten!$A$68:$LJ$68,MATCH(AC$4,RD_Kopf,0)),NA()),NA())</f>
        <v>0</v>
      </c>
      <c r="AD40" s="68">
        <f>IFERROR(IF(ISNUMBER(INDEX(Rohdaten!$A$68:$LJ$68,MATCH(AD$4,RD_Kopf,0))),INDEX(Rohdaten!$A$68:$LJ$68,MATCH(AD$4,RD_Kopf,0)),NA()),NA())</f>
        <v>0</v>
      </c>
    </row>
    <row r="41" spans="1:68">
      <c r="A41" s="11" t="s">
        <v>103</v>
      </c>
      <c r="B41" s="11" t="s">
        <v>609</v>
      </c>
      <c r="C41" s="67" t="s">
        <v>610</v>
      </c>
      <c r="D41" s="68">
        <f>IFERROR(IF(ISNUMBER(INDEX(Rohdaten!$A$69:$LJ$69,MATCH(D$4,RD_Kopf,0))),INDEX(Rohdaten!$A$69:$LJ$69,MATCH(D$4,RD_Kopf,0)),NA()),NA())</f>
        <v>0</v>
      </c>
      <c r="E41" s="68">
        <f>IFERROR(IF(ISNUMBER(INDEX(Rohdaten!$A$69:$LJ$69,MATCH(E$4,RD_Kopf,0))),INDEX(Rohdaten!$A$69:$LJ$69,MATCH(E$4,RD_Kopf,0)),NA()),NA())</f>
        <v>0</v>
      </c>
      <c r="F41" s="68">
        <f>IFERROR(IF(ISNUMBER(INDEX(Rohdaten!$A$69:$LJ$69,MATCH(F$4,RD_Kopf,0))),INDEX(Rohdaten!$A$69:$LJ$69,MATCH(F$4,RD_Kopf,0)),NA()),NA())</f>
        <v>0</v>
      </c>
      <c r="G41" s="68">
        <f>IFERROR(IF(ISNUMBER(INDEX(Rohdaten!$A$69:$LJ$69,MATCH(G$4,RD_Kopf,0))),INDEX(Rohdaten!$A$69:$LJ$69,MATCH(G$4,RD_Kopf,0)),NA()),NA())</f>
        <v>0</v>
      </c>
      <c r="H41" s="68">
        <f>IFERROR(IF(ISNUMBER(INDEX(Rohdaten!$A$69:$LJ$69,MATCH(H$4,RD_Kopf,0))),INDEX(Rohdaten!$A$69:$LJ$69,MATCH(H$4,RD_Kopf,0)),NA()),NA())</f>
        <v>0</v>
      </c>
      <c r="I41" s="68">
        <f>IFERROR(IF(ISNUMBER(INDEX(Rohdaten!$A$69:$LJ$69,MATCH(I$4,RD_Kopf,0))),INDEX(Rohdaten!$A$69:$LJ$69,MATCH(I$4,RD_Kopf,0)),NA()),NA())</f>
        <v>0</v>
      </c>
      <c r="J41" s="68">
        <f>IFERROR(IF(ISNUMBER(INDEX(Rohdaten!$A$69:$LJ$69,MATCH(J$4,RD_Kopf,0))),INDEX(Rohdaten!$A$69:$LJ$69,MATCH(J$4,RD_Kopf,0)),NA()),NA())</f>
        <v>0</v>
      </c>
      <c r="K41" s="68">
        <f>IFERROR(IF(ISNUMBER(INDEX(Rohdaten!$A$69:$LJ$69,MATCH(K$4,RD_Kopf,0))),INDEX(Rohdaten!$A$69:$LJ$69,MATCH(K$4,RD_Kopf,0)),NA()),NA())</f>
        <v>0</v>
      </c>
      <c r="L41" s="68">
        <f>IFERROR(IF(ISNUMBER(INDEX(Rohdaten!$A$69:$LJ$69,MATCH(L$4,RD_Kopf,0))),INDEX(Rohdaten!$A$69:$LJ$69,MATCH(L$4,RD_Kopf,0)),NA()),NA())</f>
        <v>0</v>
      </c>
      <c r="M41" s="68">
        <f>IFERROR(IF(ISNUMBER(INDEX(Rohdaten!$A$69:$LJ$69,MATCH(M$4,RD_Kopf,0))),INDEX(Rohdaten!$A$69:$LJ$69,MATCH(M$4,RD_Kopf,0)),NA()),NA())</f>
        <v>0</v>
      </c>
      <c r="N41" s="68">
        <f>IFERROR(IF(ISNUMBER(INDEX(Rohdaten!$A$69:$LJ$69,MATCH(N$4,RD_Kopf,0))),INDEX(Rohdaten!$A$69:$LJ$69,MATCH(N$4,RD_Kopf,0)),NA()),NA())</f>
        <v>0</v>
      </c>
      <c r="O41" s="68">
        <f>IFERROR(IF(ISNUMBER(INDEX(Rohdaten!$A$69:$LJ$69,MATCH(O$4,RD_Kopf,0))),INDEX(Rohdaten!$A$69:$LJ$69,MATCH(O$4,RD_Kopf,0)),NA()),NA())</f>
        <v>0</v>
      </c>
      <c r="P41" s="68">
        <f>IFERROR(IF(ISNUMBER(INDEX(Rohdaten!$A$69:$LJ$69,MATCH(P$4,RD_Kopf,0))),INDEX(Rohdaten!$A$69:$LJ$69,MATCH(P$4,RD_Kopf,0)),NA()),NA())</f>
        <v>0</v>
      </c>
      <c r="Q41" s="68">
        <f>IFERROR(IF(ISNUMBER(INDEX(Rohdaten!$A$69:$LJ$69,MATCH(Q$4,RD_Kopf,0))),INDEX(Rohdaten!$A$69:$LJ$69,MATCH(Q$4,RD_Kopf,0)),NA()),NA())</f>
        <v>0</v>
      </c>
      <c r="R41" s="68">
        <f>IFERROR(IF(ISNUMBER(INDEX(Rohdaten!$A$69:$LJ$69,MATCH(R$4,RD_Kopf,0))),INDEX(Rohdaten!$A$69:$LJ$69,MATCH(R$4,RD_Kopf,0)),NA()),NA())</f>
        <v>0</v>
      </c>
      <c r="S41" s="68">
        <f>IFERROR(IF(ISNUMBER(INDEX(Rohdaten!$A$69:$LJ$69,MATCH(S$4,RD_Kopf,0))),INDEX(Rohdaten!$A$69:$LJ$69,MATCH(S$4,RD_Kopf,0)),NA()),NA())</f>
        <v>0</v>
      </c>
      <c r="T41" s="68">
        <f>IFERROR(IF(ISNUMBER(INDEX(Rohdaten!$A$69:$LJ$69,MATCH(T$4,RD_Kopf,0))),INDEX(Rohdaten!$A$69:$LJ$69,MATCH(T$4,RD_Kopf,0)),NA()),NA())</f>
        <v>0</v>
      </c>
      <c r="U41" s="68">
        <f>IFERROR(IF(ISNUMBER(INDEX(Rohdaten!$A$69:$LJ$69,MATCH(U$4,RD_Kopf,0))),INDEX(Rohdaten!$A$69:$LJ$69,MATCH(U$4,RD_Kopf,0)),NA()),NA())</f>
        <v>0</v>
      </c>
      <c r="V41" s="68">
        <f>IFERROR(IF(ISNUMBER(INDEX(Rohdaten!$A$69:$LJ$69,MATCH(V$4,RD_Kopf,0))),INDEX(Rohdaten!$A$69:$LJ$69,MATCH(V$4,RD_Kopf,0)),NA()),NA())</f>
        <v>0</v>
      </c>
      <c r="W41" s="68">
        <f>IFERROR(IF(ISNUMBER(INDEX(Rohdaten!$A$69:$LJ$69,MATCH(W$4,RD_Kopf,0))),INDEX(Rohdaten!$A$69:$LJ$69,MATCH(W$4,RD_Kopf,0)),NA()),NA())</f>
        <v>0</v>
      </c>
      <c r="X41" s="68">
        <f>IFERROR(IF(ISNUMBER(INDEX(Rohdaten!$A$69:$LJ$69,MATCH(X$4,RD_Kopf,0))),INDEX(Rohdaten!$A$69:$LJ$69,MATCH(X$4,RD_Kopf,0)),NA()),NA())</f>
        <v>0</v>
      </c>
      <c r="Y41" s="68">
        <f>IFERROR(IF(ISNUMBER(INDEX(Rohdaten!$A$69:$LJ$69,MATCH(Y$4,RD_Kopf,0))),INDEX(Rohdaten!$A$69:$LJ$69,MATCH(Y$4,RD_Kopf,0)),NA()),NA())</f>
        <v>0</v>
      </c>
      <c r="Z41" s="68">
        <f>IFERROR(IF(ISNUMBER(INDEX(Rohdaten!$A$69:$LJ$69,MATCH(Z$4,RD_Kopf,0))),INDEX(Rohdaten!$A$69:$LJ$69,MATCH(Z$4,RD_Kopf,0)),NA()),NA())</f>
        <v>0</v>
      </c>
      <c r="AA41" s="68">
        <f>IFERROR(IF(ISNUMBER(INDEX(Rohdaten!$A$69:$LJ$69,MATCH(AA$4,RD_Kopf,0))),INDEX(Rohdaten!$A$69:$LJ$69,MATCH(AA$4,RD_Kopf,0)),NA()),NA())</f>
        <v>0</v>
      </c>
      <c r="AB41" s="68">
        <f>IFERROR(IF(ISNUMBER(INDEX(Rohdaten!$A$69:$LJ$69,MATCH(AB$4,RD_Kopf,0))),INDEX(Rohdaten!$A$69:$LJ$69,MATCH(AB$4,RD_Kopf,0)),NA()),NA())</f>
        <v>0</v>
      </c>
      <c r="AC41" s="68">
        <f>IFERROR(IF(ISNUMBER(INDEX(Rohdaten!$A$69:$LJ$69,MATCH(AC$4,RD_Kopf,0))),INDEX(Rohdaten!$A$69:$LJ$69,MATCH(AC$4,RD_Kopf,0)),NA()),NA())</f>
        <v>0</v>
      </c>
      <c r="AD41" s="68">
        <f>IFERROR(IF(ISNUMBER(INDEX(Rohdaten!$A$69:$LJ$69,MATCH(AD$4,RD_Kopf,0))),INDEX(Rohdaten!$A$69:$LJ$69,MATCH(AD$4,RD_Kopf,0)),NA()),NA())</f>
        <v>0</v>
      </c>
    </row>
    <row r="42" spans="1:68">
      <c r="A42" s="11" t="s">
        <v>106</v>
      </c>
      <c r="B42" s="11" t="s">
        <v>611</v>
      </c>
      <c r="C42" s="67" t="s">
        <v>612</v>
      </c>
      <c r="D42" s="68">
        <f>IFERROR(IF(ISNUMBER(INDEX(Rohdaten!$A$70:$LJ$70,MATCH(D$4,RD_Kopf,0))),INDEX(Rohdaten!$A$70:$LJ$70,MATCH(D$4,RD_Kopf,0)),NA()),NA())</f>
        <v>0</v>
      </c>
      <c r="E42" s="68">
        <f>IFERROR(IF(ISNUMBER(INDEX(Rohdaten!$A$70:$LJ$70,MATCH(E$4,RD_Kopf,0))),INDEX(Rohdaten!$A$70:$LJ$70,MATCH(E$4,RD_Kopf,0)),NA()),NA())</f>
        <v>0</v>
      </c>
      <c r="F42" s="68">
        <f>IFERROR(IF(ISNUMBER(INDEX(Rohdaten!$A$70:$LJ$70,MATCH(F$4,RD_Kopf,0))),INDEX(Rohdaten!$A$70:$LJ$70,MATCH(F$4,RD_Kopf,0)),NA()),NA())</f>
        <v>0</v>
      </c>
      <c r="G42" s="68">
        <f>IFERROR(IF(ISNUMBER(INDEX(Rohdaten!$A$70:$LJ$70,MATCH(G$4,RD_Kopf,0))),INDEX(Rohdaten!$A$70:$LJ$70,MATCH(G$4,RD_Kopf,0)),NA()),NA())</f>
        <v>0</v>
      </c>
      <c r="H42" s="68">
        <f>IFERROR(IF(ISNUMBER(INDEX(Rohdaten!$A$70:$LJ$70,MATCH(H$4,RD_Kopf,0))),INDEX(Rohdaten!$A$70:$LJ$70,MATCH(H$4,RD_Kopf,0)),NA()),NA())</f>
        <v>0</v>
      </c>
      <c r="I42" s="68">
        <f>IFERROR(IF(ISNUMBER(INDEX(Rohdaten!$A$70:$LJ$70,MATCH(I$4,RD_Kopf,0))),INDEX(Rohdaten!$A$70:$LJ$70,MATCH(I$4,RD_Kopf,0)),NA()),NA())</f>
        <v>0</v>
      </c>
      <c r="J42" s="68">
        <f>IFERROR(IF(ISNUMBER(INDEX(Rohdaten!$A$70:$LJ$70,MATCH(J$4,RD_Kopf,0))),INDEX(Rohdaten!$A$70:$LJ$70,MATCH(J$4,RD_Kopf,0)),NA()),NA())</f>
        <v>0</v>
      </c>
      <c r="K42" s="68">
        <f>IFERROR(IF(ISNUMBER(INDEX(Rohdaten!$A$70:$LJ$70,MATCH(K$4,RD_Kopf,0))),INDEX(Rohdaten!$A$70:$LJ$70,MATCH(K$4,RD_Kopf,0)),NA()),NA())</f>
        <v>0</v>
      </c>
      <c r="L42" s="68">
        <f>IFERROR(IF(ISNUMBER(INDEX(Rohdaten!$A$70:$LJ$70,MATCH(L$4,RD_Kopf,0))),INDEX(Rohdaten!$A$70:$LJ$70,MATCH(L$4,RD_Kopf,0)),NA()),NA())</f>
        <v>0</v>
      </c>
      <c r="M42" s="68">
        <f>IFERROR(IF(ISNUMBER(INDEX(Rohdaten!$A$70:$LJ$70,MATCH(M$4,RD_Kopf,0))),INDEX(Rohdaten!$A$70:$LJ$70,MATCH(M$4,RD_Kopf,0)),NA()),NA())</f>
        <v>0</v>
      </c>
      <c r="N42" s="68">
        <f>IFERROR(IF(ISNUMBER(INDEX(Rohdaten!$A$70:$LJ$70,MATCH(N$4,RD_Kopf,0))),INDEX(Rohdaten!$A$70:$LJ$70,MATCH(N$4,RD_Kopf,0)),NA()),NA())</f>
        <v>0</v>
      </c>
      <c r="O42" s="68">
        <f>IFERROR(IF(ISNUMBER(INDEX(Rohdaten!$A$70:$LJ$70,MATCH(O$4,RD_Kopf,0))),INDEX(Rohdaten!$A$70:$LJ$70,MATCH(O$4,RD_Kopf,0)),NA()),NA())</f>
        <v>0</v>
      </c>
      <c r="P42" s="68">
        <f>IFERROR(IF(ISNUMBER(INDEX(Rohdaten!$A$70:$LJ$70,MATCH(P$4,RD_Kopf,0))),INDEX(Rohdaten!$A$70:$LJ$70,MATCH(P$4,RD_Kopf,0)),NA()),NA())</f>
        <v>0</v>
      </c>
      <c r="Q42" s="68">
        <f>IFERROR(IF(ISNUMBER(INDEX(Rohdaten!$A$70:$LJ$70,MATCH(Q$4,RD_Kopf,0))),INDEX(Rohdaten!$A$70:$LJ$70,MATCH(Q$4,RD_Kopf,0)),NA()),NA())</f>
        <v>0</v>
      </c>
      <c r="R42" s="68">
        <f>IFERROR(IF(ISNUMBER(INDEX(Rohdaten!$A$70:$LJ$70,MATCH(R$4,RD_Kopf,0))),INDEX(Rohdaten!$A$70:$LJ$70,MATCH(R$4,RD_Kopf,0)),NA()),NA())</f>
        <v>0</v>
      </c>
      <c r="S42" s="68">
        <f>IFERROR(IF(ISNUMBER(INDEX(Rohdaten!$A$70:$LJ$70,MATCH(S$4,RD_Kopf,0))),INDEX(Rohdaten!$A$70:$LJ$70,MATCH(S$4,RD_Kopf,0)),NA()),NA())</f>
        <v>0</v>
      </c>
      <c r="T42" s="68">
        <f>IFERROR(IF(ISNUMBER(INDEX(Rohdaten!$A$70:$LJ$70,MATCH(T$4,RD_Kopf,0))),INDEX(Rohdaten!$A$70:$LJ$70,MATCH(T$4,RD_Kopf,0)),NA()),NA())</f>
        <v>0</v>
      </c>
      <c r="U42" s="68">
        <f>IFERROR(IF(ISNUMBER(INDEX(Rohdaten!$A$70:$LJ$70,MATCH(U$4,RD_Kopf,0))),INDEX(Rohdaten!$A$70:$LJ$70,MATCH(U$4,RD_Kopf,0)),NA()),NA())</f>
        <v>0</v>
      </c>
      <c r="V42" s="68">
        <f>IFERROR(IF(ISNUMBER(INDEX(Rohdaten!$A$70:$LJ$70,MATCH(V$4,RD_Kopf,0))),INDEX(Rohdaten!$A$70:$LJ$70,MATCH(V$4,RD_Kopf,0)),NA()),NA())</f>
        <v>0</v>
      </c>
      <c r="W42" s="68">
        <f>IFERROR(IF(ISNUMBER(INDEX(Rohdaten!$A$70:$LJ$70,MATCH(W$4,RD_Kopf,0))),INDEX(Rohdaten!$A$70:$LJ$70,MATCH(W$4,RD_Kopf,0)),NA()),NA())</f>
        <v>0</v>
      </c>
      <c r="X42" s="68">
        <f>IFERROR(IF(ISNUMBER(INDEX(Rohdaten!$A$70:$LJ$70,MATCH(X$4,RD_Kopf,0))),INDEX(Rohdaten!$A$70:$LJ$70,MATCH(X$4,RD_Kopf,0)),NA()),NA())</f>
        <v>0</v>
      </c>
      <c r="Y42" s="68">
        <f>IFERROR(IF(ISNUMBER(INDEX(Rohdaten!$A$70:$LJ$70,MATCH(Y$4,RD_Kopf,0))),INDEX(Rohdaten!$A$70:$LJ$70,MATCH(Y$4,RD_Kopf,0)),NA()),NA())</f>
        <v>0</v>
      </c>
      <c r="Z42" s="68">
        <f>IFERROR(IF(ISNUMBER(INDEX(Rohdaten!$A$70:$LJ$70,MATCH(Z$4,RD_Kopf,0))),INDEX(Rohdaten!$A$70:$LJ$70,MATCH(Z$4,RD_Kopf,0)),NA()),NA())</f>
        <v>0</v>
      </c>
      <c r="AA42" s="68">
        <f>IFERROR(IF(ISNUMBER(INDEX(Rohdaten!$A$70:$LJ$70,MATCH(AA$4,RD_Kopf,0))),INDEX(Rohdaten!$A$70:$LJ$70,MATCH(AA$4,RD_Kopf,0)),NA()),NA())</f>
        <v>0</v>
      </c>
      <c r="AB42" s="68">
        <f>IFERROR(IF(ISNUMBER(INDEX(Rohdaten!$A$70:$LJ$70,MATCH(AB$4,RD_Kopf,0))),INDEX(Rohdaten!$A$70:$LJ$70,MATCH(AB$4,RD_Kopf,0)),NA()),NA())</f>
        <v>0</v>
      </c>
      <c r="AC42" s="68">
        <f>IFERROR(IF(ISNUMBER(INDEX(Rohdaten!$A$70:$LJ$70,MATCH(AC$4,RD_Kopf,0))),INDEX(Rohdaten!$A$70:$LJ$70,MATCH(AC$4,RD_Kopf,0)),NA()),NA())</f>
        <v>0</v>
      </c>
      <c r="AD42" s="68">
        <f>IFERROR(IF(ISNUMBER(INDEX(Rohdaten!$A$70:$LJ$70,MATCH(AD$4,RD_Kopf,0))),INDEX(Rohdaten!$A$70:$LJ$70,MATCH(AD$4,RD_Kopf,0)),NA()),NA())</f>
        <v>0</v>
      </c>
    </row>
    <row r="43" spans="1:68">
      <c r="A43" s="11" t="s">
        <v>111</v>
      </c>
      <c r="B43" s="11" t="s">
        <v>613</v>
      </c>
      <c r="C43" s="67" t="s">
        <v>614</v>
      </c>
      <c r="D43" s="68">
        <f>IFERROR(IF(ISNUMBER(INDEX(Rohdaten!$A$72:$LJ$72,MATCH(D$4,RD_Kopf,0))),INDEX(Rohdaten!$A$72:$LJ$72,MATCH(D$4,RD_Kopf,0)),NA()),NA())</f>
        <v>0</v>
      </c>
      <c r="E43" s="68">
        <f>IFERROR(IF(ISNUMBER(INDEX(Rohdaten!$A$72:$LJ$72,MATCH(E$4,RD_Kopf,0))),INDEX(Rohdaten!$A$72:$LJ$72,MATCH(E$4,RD_Kopf,0)),NA()),NA())</f>
        <v>0</v>
      </c>
      <c r="F43" s="68">
        <f>IFERROR(IF(ISNUMBER(INDEX(Rohdaten!$A$72:$LJ$72,MATCH(F$4,RD_Kopf,0))),INDEX(Rohdaten!$A$72:$LJ$72,MATCH(F$4,RD_Kopf,0)),NA()),NA())</f>
        <v>0</v>
      </c>
      <c r="G43" s="68">
        <f>IFERROR(IF(ISNUMBER(INDEX(Rohdaten!$A$72:$LJ$72,MATCH(G$4,RD_Kopf,0))),INDEX(Rohdaten!$A$72:$LJ$72,MATCH(G$4,RD_Kopf,0)),NA()),NA())</f>
        <v>0</v>
      </c>
      <c r="H43" s="68">
        <f>IFERROR(IF(ISNUMBER(INDEX(Rohdaten!$A$72:$LJ$72,MATCH(H$4,RD_Kopf,0))),INDEX(Rohdaten!$A$72:$LJ$72,MATCH(H$4,RD_Kopf,0)),NA()),NA())</f>
        <v>0</v>
      </c>
      <c r="I43" s="68">
        <f>IFERROR(IF(ISNUMBER(INDEX(Rohdaten!$A$72:$LJ$72,MATCH(I$4,RD_Kopf,0))),INDEX(Rohdaten!$A$72:$LJ$72,MATCH(I$4,RD_Kopf,0)),NA()),NA())</f>
        <v>0</v>
      </c>
      <c r="J43" s="68">
        <f>IFERROR(IF(ISNUMBER(INDEX(Rohdaten!$A$72:$LJ$72,MATCH(J$4,RD_Kopf,0))),INDEX(Rohdaten!$A$72:$LJ$72,MATCH(J$4,RD_Kopf,0)),NA()),NA())</f>
        <v>0</v>
      </c>
      <c r="K43" s="68">
        <f>IFERROR(IF(ISNUMBER(INDEX(Rohdaten!$A$72:$LJ$72,MATCH(K$4,RD_Kopf,0))),INDEX(Rohdaten!$A$72:$LJ$72,MATCH(K$4,RD_Kopf,0)),NA()),NA())</f>
        <v>0</v>
      </c>
      <c r="L43" s="68">
        <f>IFERROR(IF(ISNUMBER(INDEX(Rohdaten!$A$72:$LJ$72,MATCH(L$4,RD_Kopf,0))),INDEX(Rohdaten!$A$72:$LJ$72,MATCH(L$4,RD_Kopf,0)),NA()),NA())</f>
        <v>0</v>
      </c>
      <c r="M43" s="68">
        <f>IFERROR(IF(ISNUMBER(INDEX(Rohdaten!$A$72:$LJ$72,MATCH(M$4,RD_Kopf,0))),INDEX(Rohdaten!$A$72:$LJ$72,MATCH(M$4,RD_Kopf,0)),NA()),NA())</f>
        <v>0</v>
      </c>
      <c r="N43" s="68">
        <f>IFERROR(IF(ISNUMBER(INDEX(Rohdaten!$A$72:$LJ$72,MATCH(N$4,RD_Kopf,0))),INDEX(Rohdaten!$A$72:$LJ$72,MATCH(N$4,RD_Kopf,0)),NA()),NA())</f>
        <v>0</v>
      </c>
      <c r="O43" s="68">
        <f>IFERROR(IF(ISNUMBER(INDEX(Rohdaten!$A$72:$LJ$72,MATCH(O$4,RD_Kopf,0))),INDEX(Rohdaten!$A$72:$LJ$72,MATCH(O$4,RD_Kopf,0)),NA()),NA())</f>
        <v>0</v>
      </c>
      <c r="P43" s="68">
        <f>IFERROR(IF(ISNUMBER(INDEX(Rohdaten!$A$72:$LJ$72,MATCH(P$4,RD_Kopf,0))),INDEX(Rohdaten!$A$72:$LJ$72,MATCH(P$4,RD_Kopf,0)),NA()),NA())</f>
        <v>0</v>
      </c>
      <c r="Q43" s="68">
        <f>IFERROR(IF(ISNUMBER(INDEX(Rohdaten!$A$72:$LJ$72,MATCH(Q$4,RD_Kopf,0))),INDEX(Rohdaten!$A$72:$LJ$72,MATCH(Q$4,RD_Kopf,0)),NA()),NA())</f>
        <v>0</v>
      </c>
      <c r="R43" s="68">
        <f>IFERROR(IF(ISNUMBER(INDEX(Rohdaten!$A$72:$LJ$72,MATCH(R$4,RD_Kopf,0))),INDEX(Rohdaten!$A$72:$LJ$72,MATCH(R$4,RD_Kopf,0)),NA()),NA())</f>
        <v>0</v>
      </c>
      <c r="S43" s="68">
        <f>IFERROR(IF(ISNUMBER(INDEX(Rohdaten!$A$72:$LJ$72,MATCH(S$4,RD_Kopf,0))),INDEX(Rohdaten!$A$72:$LJ$72,MATCH(S$4,RD_Kopf,0)),NA()),NA())</f>
        <v>0</v>
      </c>
      <c r="T43" s="68">
        <f>IFERROR(IF(ISNUMBER(INDEX(Rohdaten!$A$72:$LJ$72,MATCH(T$4,RD_Kopf,0))),INDEX(Rohdaten!$A$72:$LJ$72,MATCH(T$4,RD_Kopf,0)),NA()),NA())</f>
        <v>0</v>
      </c>
      <c r="U43" s="68">
        <f>IFERROR(IF(ISNUMBER(INDEX(Rohdaten!$A$72:$LJ$72,MATCH(U$4,RD_Kopf,0))),INDEX(Rohdaten!$A$72:$LJ$72,MATCH(U$4,RD_Kopf,0)),NA()),NA())</f>
        <v>0</v>
      </c>
      <c r="V43" s="68">
        <f>IFERROR(IF(ISNUMBER(INDEX(Rohdaten!$A$72:$LJ$72,MATCH(V$4,RD_Kopf,0))),INDEX(Rohdaten!$A$72:$LJ$72,MATCH(V$4,RD_Kopf,0)),NA()),NA())</f>
        <v>0</v>
      </c>
      <c r="W43" s="68">
        <f>IFERROR(IF(ISNUMBER(INDEX(Rohdaten!$A$72:$LJ$72,MATCH(W$4,RD_Kopf,0))),INDEX(Rohdaten!$A$72:$LJ$72,MATCH(W$4,RD_Kopf,0)),NA()),NA())</f>
        <v>0</v>
      </c>
      <c r="X43" s="68">
        <f>IFERROR(IF(ISNUMBER(INDEX(Rohdaten!$A$72:$LJ$72,MATCH(X$4,RD_Kopf,0))),INDEX(Rohdaten!$A$72:$LJ$72,MATCH(X$4,RD_Kopf,0)),NA()),NA())</f>
        <v>0</v>
      </c>
      <c r="Y43" s="68">
        <f>IFERROR(IF(ISNUMBER(INDEX(Rohdaten!$A$72:$LJ$72,MATCH(Y$4,RD_Kopf,0))),INDEX(Rohdaten!$A$72:$LJ$72,MATCH(Y$4,RD_Kopf,0)),NA()),NA())</f>
        <v>0</v>
      </c>
      <c r="Z43" s="68">
        <f>IFERROR(IF(ISNUMBER(INDEX(Rohdaten!$A$72:$LJ$72,MATCH(Z$4,RD_Kopf,0))),INDEX(Rohdaten!$A$72:$LJ$72,MATCH(Z$4,RD_Kopf,0)),NA()),NA())</f>
        <v>0</v>
      </c>
      <c r="AA43" s="68">
        <f>IFERROR(IF(ISNUMBER(INDEX(Rohdaten!$A$72:$LJ$72,MATCH(AA$4,RD_Kopf,0))),INDEX(Rohdaten!$A$72:$LJ$72,MATCH(AA$4,RD_Kopf,0)),NA()),NA())</f>
        <v>0</v>
      </c>
      <c r="AB43" s="68">
        <f>IFERROR(IF(ISNUMBER(INDEX(Rohdaten!$A$72:$LJ$72,MATCH(AB$4,RD_Kopf,0))),INDEX(Rohdaten!$A$72:$LJ$72,MATCH(AB$4,RD_Kopf,0)),NA()),NA())</f>
        <v>0</v>
      </c>
      <c r="AC43" s="68">
        <f>IFERROR(IF(ISNUMBER(INDEX(Rohdaten!$A$72:$LJ$72,MATCH(AC$4,RD_Kopf,0))),INDEX(Rohdaten!$A$72:$LJ$72,MATCH(AC$4,RD_Kopf,0)),NA()),NA())</f>
        <v>0</v>
      </c>
      <c r="AD43" s="68">
        <f>IFERROR(IF(ISNUMBER(INDEX(Rohdaten!$A$72:$LJ$72,MATCH(AD$4,RD_Kopf,0))),INDEX(Rohdaten!$A$72:$LJ$72,MATCH(AD$4,RD_Kopf,0)),NA()),NA())</f>
        <v>0</v>
      </c>
    </row>
    <row r="44" spans="1:68">
      <c r="A44" s="11" t="s">
        <v>120</v>
      </c>
      <c r="B44" s="11" t="s">
        <v>615</v>
      </c>
      <c r="C44" s="67" t="s">
        <v>616</v>
      </c>
      <c r="D44" s="68">
        <f>IFERROR(IF(ISNUMBER(INDEX(Rohdaten!$A$76:$LJ$76,MATCH(D$4,RD_Kopf,0))),INDEX(Rohdaten!$A$76:$LJ$76,MATCH(D$4,RD_Kopf,0)),NA()),NA())</f>
        <v>0</v>
      </c>
      <c r="E44" s="68">
        <f>IFERROR(IF(ISNUMBER(INDEX(Rohdaten!$A$76:$LJ$76,MATCH(E$4,RD_Kopf,0))),INDEX(Rohdaten!$A$76:$LJ$76,MATCH(E$4,RD_Kopf,0)),NA()),NA())</f>
        <v>0</v>
      </c>
      <c r="F44" s="68">
        <f>IFERROR(IF(ISNUMBER(INDEX(Rohdaten!$A$76:$LJ$76,MATCH(F$4,RD_Kopf,0))),INDEX(Rohdaten!$A$76:$LJ$76,MATCH(F$4,RD_Kopf,0)),NA()),NA())</f>
        <v>0</v>
      </c>
      <c r="G44" s="68">
        <f>IFERROR(IF(ISNUMBER(INDEX(Rohdaten!$A$76:$LJ$76,MATCH(G$4,RD_Kopf,0))),INDEX(Rohdaten!$A$76:$LJ$76,MATCH(G$4,RD_Kopf,0)),NA()),NA())</f>
        <v>0</v>
      </c>
      <c r="H44" s="68">
        <f>IFERROR(IF(ISNUMBER(INDEX(Rohdaten!$A$76:$LJ$76,MATCH(H$4,RD_Kopf,0))),INDEX(Rohdaten!$A$76:$LJ$76,MATCH(H$4,RD_Kopf,0)),NA()),NA())</f>
        <v>0</v>
      </c>
      <c r="I44" s="68">
        <f>IFERROR(IF(ISNUMBER(INDEX(Rohdaten!$A$76:$LJ$76,MATCH(I$4,RD_Kopf,0))),INDEX(Rohdaten!$A$76:$LJ$76,MATCH(I$4,RD_Kopf,0)),NA()),NA())</f>
        <v>0</v>
      </c>
      <c r="J44" s="68">
        <f>IFERROR(IF(ISNUMBER(INDEX(Rohdaten!$A$76:$LJ$76,MATCH(J$4,RD_Kopf,0))),INDEX(Rohdaten!$A$76:$LJ$76,MATCH(J$4,RD_Kopf,0)),NA()),NA())</f>
        <v>0</v>
      </c>
      <c r="K44" s="68">
        <f>IFERROR(IF(ISNUMBER(INDEX(Rohdaten!$A$76:$LJ$76,MATCH(K$4,RD_Kopf,0))),INDEX(Rohdaten!$A$76:$LJ$76,MATCH(K$4,RD_Kopf,0)),NA()),NA())</f>
        <v>0</v>
      </c>
      <c r="L44" s="68">
        <f>IFERROR(IF(ISNUMBER(INDEX(Rohdaten!$A$76:$LJ$76,MATCH(L$4,RD_Kopf,0))),INDEX(Rohdaten!$A$76:$LJ$76,MATCH(L$4,RD_Kopf,0)),NA()),NA())</f>
        <v>0</v>
      </c>
      <c r="M44" s="68">
        <f>IFERROR(IF(ISNUMBER(INDEX(Rohdaten!$A$76:$LJ$76,MATCH(M$4,RD_Kopf,0))),INDEX(Rohdaten!$A$76:$LJ$76,MATCH(M$4,RD_Kopf,0)),NA()),NA())</f>
        <v>0</v>
      </c>
      <c r="N44" s="68">
        <f>IFERROR(IF(ISNUMBER(INDEX(Rohdaten!$A$76:$LJ$76,MATCH(N$4,RD_Kopf,0))),INDEX(Rohdaten!$A$76:$LJ$76,MATCH(N$4,RD_Kopf,0)),NA()),NA())</f>
        <v>0</v>
      </c>
      <c r="O44" s="68">
        <f>IFERROR(IF(ISNUMBER(INDEX(Rohdaten!$A$76:$LJ$76,MATCH(O$4,RD_Kopf,0))),INDEX(Rohdaten!$A$76:$LJ$76,MATCH(O$4,RD_Kopf,0)),NA()),NA())</f>
        <v>0</v>
      </c>
      <c r="P44" s="68">
        <f>IFERROR(IF(ISNUMBER(INDEX(Rohdaten!$A$76:$LJ$76,MATCH(P$4,RD_Kopf,0))),INDEX(Rohdaten!$A$76:$LJ$76,MATCH(P$4,RD_Kopf,0)),NA()),NA())</f>
        <v>0</v>
      </c>
      <c r="Q44" s="68">
        <f>IFERROR(IF(ISNUMBER(INDEX(Rohdaten!$A$76:$LJ$76,MATCH(Q$4,RD_Kopf,0))),INDEX(Rohdaten!$A$76:$LJ$76,MATCH(Q$4,RD_Kopf,0)),NA()),NA())</f>
        <v>0</v>
      </c>
      <c r="R44" s="68">
        <f>IFERROR(IF(ISNUMBER(INDEX(Rohdaten!$A$76:$LJ$76,MATCH(R$4,RD_Kopf,0))),INDEX(Rohdaten!$A$76:$LJ$76,MATCH(R$4,RD_Kopf,0)),NA()),NA())</f>
        <v>0</v>
      </c>
      <c r="S44" s="68">
        <f>IFERROR(IF(ISNUMBER(INDEX(Rohdaten!$A$76:$LJ$76,MATCH(S$4,RD_Kopf,0))),INDEX(Rohdaten!$A$76:$LJ$76,MATCH(S$4,RD_Kopf,0)),NA()),NA())</f>
        <v>0</v>
      </c>
      <c r="T44" s="68">
        <f>IFERROR(IF(ISNUMBER(INDEX(Rohdaten!$A$76:$LJ$76,MATCH(T$4,RD_Kopf,0))),INDEX(Rohdaten!$A$76:$LJ$76,MATCH(T$4,RD_Kopf,0)),NA()),NA())</f>
        <v>0</v>
      </c>
      <c r="U44" s="68">
        <f>IFERROR(IF(ISNUMBER(INDEX(Rohdaten!$A$76:$LJ$76,MATCH(U$4,RD_Kopf,0))),INDEX(Rohdaten!$A$76:$LJ$76,MATCH(U$4,RD_Kopf,0)),NA()),NA())</f>
        <v>0</v>
      </c>
      <c r="V44" s="68">
        <f>IFERROR(IF(ISNUMBER(INDEX(Rohdaten!$A$76:$LJ$76,MATCH(V$4,RD_Kopf,0))),INDEX(Rohdaten!$A$76:$LJ$76,MATCH(V$4,RD_Kopf,0)),NA()),NA())</f>
        <v>0</v>
      </c>
      <c r="W44" s="68">
        <f>IFERROR(IF(ISNUMBER(INDEX(Rohdaten!$A$76:$LJ$76,MATCH(W$4,RD_Kopf,0))),INDEX(Rohdaten!$A$76:$LJ$76,MATCH(W$4,RD_Kopf,0)),NA()),NA())</f>
        <v>0</v>
      </c>
      <c r="X44" s="68">
        <f>IFERROR(IF(ISNUMBER(INDEX(Rohdaten!$A$76:$LJ$76,MATCH(X$4,RD_Kopf,0))),INDEX(Rohdaten!$A$76:$LJ$76,MATCH(X$4,RD_Kopf,0)),NA()),NA())</f>
        <v>0</v>
      </c>
      <c r="Y44" s="68">
        <f>IFERROR(IF(ISNUMBER(INDEX(Rohdaten!$A$76:$LJ$76,MATCH(Y$4,RD_Kopf,0))),INDEX(Rohdaten!$A$76:$LJ$76,MATCH(Y$4,RD_Kopf,0)),NA()),NA())</f>
        <v>0</v>
      </c>
      <c r="Z44" s="68">
        <f>IFERROR(IF(ISNUMBER(INDEX(Rohdaten!$A$76:$LJ$76,MATCH(Z$4,RD_Kopf,0))),INDEX(Rohdaten!$A$76:$LJ$76,MATCH(Z$4,RD_Kopf,0)),NA()),NA())</f>
        <v>0</v>
      </c>
      <c r="AA44" s="68">
        <f>IFERROR(IF(ISNUMBER(INDEX(Rohdaten!$A$76:$LJ$76,MATCH(AA$4,RD_Kopf,0))),INDEX(Rohdaten!$A$76:$LJ$76,MATCH(AA$4,RD_Kopf,0)),NA()),NA())</f>
        <v>0</v>
      </c>
      <c r="AB44" s="68">
        <f>IFERROR(IF(ISNUMBER(INDEX(Rohdaten!$A$76:$LJ$76,MATCH(AB$4,RD_Kopf,0))),INDEX(Rohdaten!$A$76:$LJ$76,MATCH(AB$4,RD_Kopf,0)),NA()),NA())</f>
        <v>0</v>
      </c>
      <c r="AC44" s="68">
        <f>IFERROR(IF(ISNUMBER(INDEX(Rohdaten!$A$76:$LJ$76,MATCH(AC$4,RD_Kopf,0))),INDEX(Rohdaten!$A$76:$LJ$76,MATCH(AC$4,RD_Kopf,0)),NA()),NA())</f>
        <v>0</v>
      </c>
      <c r="AD44" s="68">
        <f>IFERROR(IF(ISNUMBER(INDEX(Rohdaten!$A$76:$LJ$76,MATCH(AD$4,RD_Kopf,0))),INDEX(Rohdaten!$A$76:$LJ$76,MATCH(AD$4,RD_Kopf,0)),NA()),NA())</f>
        <v>0</v>
      </c>
    </row>
    <row r="45" spans="1:68">
      <c r="A45" s="11" t="s">
        <v>113</v>
      </c>
      <c r="B45" s="11" t="s">
        <v>617</v>
      </c>
      <c r="C45" s="67" t="s">
        <v>618</v>
      </c>
      <c r="D45" s="68">
        <f>IFERROR(IF(ISNUMBER(INDEX(Rohdaten!$A$73:$LJ$73,MATCH(D$4,RD_Kopf,0))),INDEX(Rohdaten!$A$73:$LJ$73,MATCH(D$4,RD_Kopf,0)),NA()),NA())</f>
        <v>0</v>
      </c>
      <c r="E45" s="68">
        <f>IFERROR(IF(ISNUMBER(INDEX(Rohdaten!$A$73:$LJ$73,MATCH(E$4,RD_Kopf,0))),INDEX(Rohdaten!$A$73:$LJ$73,MATCH(E$4,RD_Kopf,0)),NA()),NA())</f>
        <v>0</v>
      </c>
      <c r="F45" s="68">
        <f>IFERROR(IF(ISNUMBER(INDEX(Rohdaten!$A$73:$LJ$73,MATCH(F$4,RD_Kopf,0))),INDEX(Rohdaten!$A$73:$LJ$73,MATCH(F$4,RD_Kopf,0)),NA()),NA())</f>
        <v>0</v>
      </c>
      <c r="G45" s="68">
        <f>IFERROR(IF(ISNUMBER(INDEX(Rohdaten!$A$73:$LJ$73,MATCH(G$4,RD_Kopf,0))),INDEX(Rohdaten!$A$73:$LJ$73,MATCH(G$4,RD_Kopf,0)),NA()),NA())</f>
        <v>0</v>
      </c>
      <c r="H45" s="68">
        <f>IFERROR(IF(ISNUMBER(INDEX(Rohdaten!$A$73:$LJ$73,MATCH(H$4,RD_Kopf,0))),INDEX(Rohdaten!$A$73:$LJ$73,MATCH(H$4,RD_Kopf,0)),NA()),NA())</f>
        <v>0</v>
      </c>
      <c r="I45" s="68">
        <f>IFERROR(IF(ISNUMBER(INDEX(Rohdaten!$A$73:$LJ$73,MATCH(I$4,RD_Kopf,0))),INDEX(Rohdaten!$A$73:$LJ$73,MATCH(I$4,RD_Kopf,0)),NA()),NA())</f>
        <v>0</v>
      </c>
      <c r="J45" s="68">
        <f>IFERROR(IF(ISNUMBER(INDEX(Rohdaten!$A$73:$LJ$73,MATCH(J$4,RD_Kopf,0))),INDEX(Rohdaten!$A$73:$LJ$73,MATCH(J$4,RD_Kopf,0)),NA()),NA())</f>
        <v>0</v>
      </c>
      <c r="K45" s="68">
        <f>IFERROR(IF(ISNUMBER(INDEX(Rohdaten!$A$73:$LJ$73,MATCH(K$4,RD_Kopf,0))),INDEX(Rohdaten!$A$73:$LJ$73,MATCH(K$4,RD_Kopf,0)),NA()),NA())</f>
        <v>0</v>
      </c>
      <c r="L45" s="68">
        <f>IFERROR(IF(ISNUMBER(INDEX(Rohdaten!$A$73:$LJ$73,MATCH(L$4,RD_Kopf,0))),INDEX(Rohdaten!$A$73:$LJ$73,MATCH(L$4,RD_Kopf,0)),NA()),NA())</f>
        <v>0</v>
      </c>
      <c r="M45" s="68">
        <f>IFERROR(IF(ISNUMBER(INDEX(Rohdaten!$A$73:$LJ$73,MATCH(M$4,RD_Kopf,0))),INDEX(Rohdaten!$A$73:$LJ$73,MATCH(M$4,RD_Kopf,0)),NA()),NA())</f>
        <v>0</v>
      </c>
      <c r="N45" s="68">
        <f>IFERROR(IF(ISNUMBER(INDEX(Rohdaten!$A$73:$LJ$73,MATCH(N$4,RD_Kopf,0))),INDEX(Rohdaten!$A$73:$LJ$73,MATCH(N$4,RD_Kopf,0)),NA()),NA())</f>
        <v>0</v>
      </c>
      <c r="O45" s="68">
        <f>IFERROR(IF(ISNUMBER(INDEX(Rohdaten!$A$73:$LJ$73,MATCH(O$4,RD_Kopf,0))),INDEX(Rohdaten!$A$73:$LJ$73,MATCH(O$4,RD_Kopf,0)),NA()),NA())</f>
        <v>0</v>
      </c>
      <c r="P45" s="68">
        <f>IFERROR(IF(ISNUMBER(INDEX(Rohdaten!$A$73:$LJ$73,MATCH(P$4,RD_Kopf,0))),INDEX(Rohdaten!$A$73:$LJ$73,MATCH(P$4,RD_Kopf,0)),NA()),NA())</f>
        <v>0</v>
      </c>
      <c r="Q45" s="68">
        <f>IFERROR(IF(ISNUMBER(INDEX(Rohdaten!$A$73:$LJ$73,MATCH(Q$4,RD_Kopf,0))),INDEX(Rohdaten!$A$73:$LJ$73,MATCH(Q$4,RD_Kopf,0)),NA()),NA())</f>
        <v>0</v>
      </c>
      <c r="R45" s="68">
        <f>IFERROR(IF(ISNUMBER(INDEX(Rohdaten!$A$73:$LJ$73,MATCH(R$4,RD_Kopf,0))),INDEX(Rohdaten!$A$73:$LJ$73,MATCH(R$4,RD_Kopf,0)),NA()),NA())</f>
        <v>0</v>
      </c>
      <c r="S45" s="68">
        <f>IFERROR(IF(ISNUMBER(INDEX(Rohdaten!$A$73:$LJ$73,MATCH(S$4,RD_Kopf,0))),INDEX(Rohdaten!$A$73:$LJ$73,MATCH(S$4,RD_Kopf,0)),NA()),NA())</f>
        <v>0</v>
      </c>
      <c r="T45" s="68">
        <f>IFERROR(IF(ISNUMBER(INDEX(Rohdaten!$A$73:$LJ$73,MATCH(T$4,RD_Kopf,0))),INDEX(Rohdaten!$A$73:$LJ$73,MATCH(T$4,RD_Kopf,0)),NA()),NA())</f>
        <v>0</v>
      </c>
      <c r="U45" s="68">
        <f>IFERROR(IF(ISNUMBER(INDEX(Rohdaten!$A$73:$LJ$73,MATCH(U$4,RD_Kopf,0))),INDEX(Rohdaten!$A$73:$LJ$73,MATCH(U$4,RD_Kopf,0)),NA()),NA())</f>
        <v>0</v>
      </c>
      <c r="V45" s="68">
        <f>IFERROR(IF(ISNUMBER(INDEX(Rohdaten!$A$73:$LJ$73,MATCH(V$4,RD_Kopf,0))),INDEX(Rohdaten!$A$73:$LJ$73,MATCH(V$4,RD_Kopf,0)),NA()),NA())</f>
        <v>0</v>
      </c>
      <c r="W45" s="68">
        <f>IFERROR(IF(ISNUMBER(INDEX(Rohdaten!$A$73:$LJ$73,MATCH(W$4,RD_Kopf,0))),INDEX(Rohdaten!$A$73:$LJ$73,MATCH(W$4,RD_Kopf,0)),NA()),NA())</f>
        <v>0</v>
      </c>
      <c r="X45" s="68">
        <f>IFERROR(IF(ISNUMBER(INDEX(Rohdaten!$A$73:$LJ$73,MATCH(X$4,RD_Kopf,0))),INDEX(Rohdaten!$A$73:$LJ$73,MATCH(X$4,RD_Kopf,0)),NA()),NA())</f>
        <v>0</v>
      </c>
      <c r="Y45" s="68">
        <f>IFERROR(IF(ISNUMBER(INDEX(Rohdaten!$A$73:$LJ$73,MATCH(Y$4,RD_Kopf,0))),INDEX(Rohdaten!$A$73:$LJ$73,MATCH(Y$4,RD_Kopf,0)),NA()),NA())</f>
        <v>0</v>
      </c>
      <c r="Z45" s="68">
        <f>IFERROR(IF(ISNUMBER(INDEX(Rohdaten!$A$73:$LJ$73,MATCH(Z$4,RD_Kopf,0))),INDEX(Rohdaten!$A$73:$LJ$73,MATCH(Z$4,RD_Kopf,0)),NA()),NA())</f>
        <v>0</v>
      </c>
      <c r="AA45" s="68">
        <f>IFERROR(IF(ISNUMBER(INDEX(Rohdaten!$A$73:$LJ$73,MATCH(AA$4,RD_Kopf,0))),INDEX(Rohdaten!$A$73:$LJ$73,MATCH(AA$4,RD_Kopf,0)),NA()),NA())</f>
        <v>0</v>
      </c>
      <c r="AB45" s="68">
        <f>IFERROR(IF(ISNUMBER(INDEX(Rohdaten!$A$73:$LJ$73,MATCH(AB$4,RD_Kopf,0))),INDEX(Rohdaten!$A$73:$LJ$73,MATCH(AB$4,RD_Kopf,0)),NA()),NA())</f>
        <v>0</v>
      </c>
      <c r="AC45" s="68">
        <f>IFERROR(IF(ISNUMBER(INDEX(Rohdaten!$A$73:$LJ$73,MATCH(AC$4,RD_Kopf,0))),INDEX(Rohdaten!$A$73:$LJ$73,MATCH(AC$4,RD_Kopf,0)),NA()),NA())</f>
        <v>0</v>
      </c>
      <c r="AD45" s="68">
        <f>IFERROR(IF(ISNUMBER(INDEX(Rohdaten!$A$73:$LJ$73,MATCH(AD$4,RD_Kopf,0))),INDEX(Rohdaten!$A$73:$LJ$73,MATCH(AD$4,RD_Kopf,0)),NA()),NA())</f>
        <v>0</v>
      </c>
    </row>
    <row r="46" spans="1:68">
      <c r="A46" s="11" t="s">
        <v>122</v>
      </c>
      <c r="B46" s="11" t="s">
        <v>619</v>
      </c>
      <c r="C46" s="67" t="s">
        <v>620</v>
      </c>
      <c r="D46" s="68">
        <f>IFERROR(IF(ISNUMBER(INDEX(Rohdaten!$A$77:$LJ$77,MATCH(D$4,RD_Kopf,0))),INDEX(Rohdaten!$A$77:$LJ$77,MATCH(D$4,RD_Kopf,0)),NA()),NA())</f>
        <v>0</v>
      </c>
      <c r="E46" s="68">
        <f>IFERROR(IF(ISNUMBER(INDEX(Rohdaten!$A$77:$LJ$77,MATCH(E$4,RD_Kopf,0))),INDEX(Rohdaten!$A$77:$LJ$77,MATCH(E$4,RD_Kopf,0)),NA()),NA())</f>
        <v>0</v>
      </c>
      <c r="F46" s="68">
        <f>IFERROR(IF(ISNUMBER(INDEX(Rohdaten!$A$77:$LJ$77,MATCH(F$4,RD_Kopf,0))),INDEX(Rohdaten!$A$77:$LJ$77,MATCH(F$4,RD_Kopf,0)),NA()),NA())</f>
        <v>0</v>
      </c>
      <c r="G46" s="68">
        <f>IFERROR(IF(ISNUMBER(INDEX(Rohdaten!$A$77:$LJ$77,MATCH(G$4,RD_Kopf,0))),INDEX(Rohdaten!$A$77:$LJ$77,MATCH(G$4,RD_Kopf,0)),NA()),NA())</f>
        <v>0</v>
      </c>
      <c r="H46" s="68">
        <f>IFERROR(IF(ISNUMBER(INDEX(Rohdaten!$A$77:$LJ$77,MATCH(H$4,RD_Kopf,0))),INDEX(Rohdaten!$A$77:$LJ$77,MATCH(H$4,RD_Kopf,0)),NA()),NA())</f>
        <v>0</v>
      </c>
      <c r="I46" s="68">
        <f>IFERROR(IF(ISNUMBER(INDEX(Rohdaten!$A$77:$LJ$77,MATCH(I$4,RD_Kopf,0))),INDEX(Rohdaten!$A$77:$LJ$77,MATCH(I$4,RD_Kopf,0)),NA()),NA())</f>
        <v>0</v>
      </c>
      <c r="J46" s="68">
        <f>IFERROR(IF(ISNUMBER(INDEX(Rohdaten!$A$77:$LJ$77,MATCH(J$4,RD_Kopf,0))),INDEX(Rohdaten!$A$77:$LJ$77,MATCH(J$4,RD_Kopf,0)),NA()),NA())</f>
        <v>0</v>
      </c>
      <c r="K46" s="68">
        <f>IFERROR(IF(ISNUMBER(INDEX(Rohdaten!$A$77:$LJ$77,MATCH(K$4,RD_Kopf,0))),INDEX(Rohdaten!$A$77:$LJ$77,MATCH(K$4,RD_Kopf,0)),NA()),NA())</f>
        <v>0</v>
      </c>
      <c r="L46" s="68">
        <f>IFERROR(IF(ISNUMBER(INDEX(Rohdaten!$A$77:$LJ$77,MATCH(L$4,RD_Kopf,0))),INDEX(Rohdaten!$A$77:$LJ$77,MATCH(L$4,RD_Kopf,0)),NA()),NA())</f>
        <v>0</v>
      </c>
      <c r="M46" s="68">
        <f>IFERROR(IF(ISNUMBER(INDEX(Rohdaten!$A$77:$LJ$77,MATCH(M$4,RD_Kopf,0))),INDEX(Rohdaten!$A$77:$LJ$77,MATCH(M$4,RD_Kopf,0)),NA()),NA())</f>
        <v>0</v>
      </c>
      <c r="N46" s="68">
        <f>IFERROR(IF(ISNUMBER(INDEX(Rohdaten!$A$77:$LJ$77,MATCH(N$4,RD_Kopf,0))),INDEX(Rohdaten!$A$77:$LJ$77,MATCH(N$4,RD_Kopf,0)),NA()),NA())</f>
        <v>0</v>
      </c>
      <c r="O46" s="68">
        <f>IFERROR(IF(ISNUMBER(INDEX(Rohdaten!$A$77:$LJ$77,MATCH(O$4,RD_Kopf,0))),INDEX(Rohdaten!$A$77:$LJ$77,MATCH(O$4,RD_Kopf,0)),NA()),NA())</f>
        <v>0</v>
      </c>
      <c r="P46" s="68">
        <f>IFERROR(IF(ISNUMBER(INDEX(Rohdaten!$A$77:$LJ$77,MATCH(P$4,RD_Kopf,0))),INDEX(Rohdaten!$A$77:$LJ$77,MATCH(P$4,RD_Kopf,0)),NA()),NA())</f>
        <v>0</v>
      </c>
      <c r="Q46" s="68">
        <f>IFERROR(IF(ISNUMBER(INDEX(Rohdaten!$A$77:$LJ$77,MATCH(Q$4,RD_Kopf,0))),INDEX(Rohdaten!$A$77:$LJ$77,MATCH(Q$4,RD_Kopf,0)),NA()),NA())</f>
        <v>0</v>
      </c>
      <c r="R46" s="68">
        <f>IFERROR(IF(ISNUMBER(INDEX(Rohdaten!$A$77:$LJ$77,MATCH(R$4,RD_Kopf,0))),INDEX(Rohdaten!$A$77:$LJ$77,MATCH(R$4,RD_Kopf,0)),NA()),NA())</f>
        <v>0</v>
      </c>
      <c r="S46" s="68">
        <f>IFERROR(IF(ISNUMBER(INDEX(Rohdaten!$A$77:$LJ$77,MATCH(S$4,RD_Kopf,0))),INDEX(Rohdaten!$A$77:$LJ$77,MATCH(S$4,RD_Kopf,0)),NA()),NA())</f>
        <v>0</v>
      </c>
      <c r="T46" s="68">
        <f>IFERROR(IF(ISNUMBER(INDEX(Rohdaten!$A$77:$LJ$77,MATCH(T$4,RD_Kopf,0))),INDEX(Rohdaten!$A$77:$LJ$77,MATCH(T$4,RD_Kopf,0)),NA()),NA())</f>
        <v>0</v>
      </c>
      <c r="U46" s="68">
        <f>IFERROR(IF(ISNUMBER(INDEX(Rohdaten!$A$77:$LJ$77,MATCH(U$4,RD_Kopf,0))),INDEX(Rohdaten!$A$77:$LJ$77,MATCH(U$4,RD_Kopf,0)),NA()),NA())</f>
        <v>0</v>
      </c>
      <c r="V46" s="68">
        <f>IFERROR(IF(ISNUMBER(INDEX(Rohdaten!$A$77:$LJ$77,MATCH(V$4,RD_Kopf,0))),INDEX(Rohdaten!$A$77:$LJ$77,MATCH(V$4,RD_Kopf,0)),NA()),NA())</f>
        <v>0</v>
      </c>
      <c r="W46" s="68">
        <f>IFERROR(IF(ISNUMBER(INDEX(Rohdaten!$A$77:$LJ$77,MATCH(W$4,RD_Kopf,0))),INDEX(Rohdaten!$A$77:$LJ$77,MATCH(W$4,RD_Kopf,0)),NA()),NA())</f>
        <v>0</v>
      </c>
      <c r="X46" s="68">
        <f>IFERROR(IF(ISNUMBER(INDEX(Rohdaten!$A$77:$LJ$77,MATCH(X$4,RD_Kopf,0))),INDEX(Rohdaten!$A$77:$LJ$77,MATCH(X$4,RD_Kopf,0)),NA()),NA())</f>
        <v>0</v>
      </c>
      <c r="Y46" s="68">
        <f>IFERROR(IF(ISNUMBER(INDEX(Rohdaten!$A$77:$LJ$77,MATCH(Y$4,RD_Kopf,0))),INDEX(Rohdaten!$A$77:$LJ$77,MATCH(Y$4,RD_Kopf,0)),NA()),NA())</f>
        <v>0</v>
      </c>
      <c r="Z46" s="68">
        <f>IFERROR(IF(ISNUMBER(INDEX(Rohdaten!$A$77:$LJ$77,MATCH(Z$4,RD_Kopf,0))),INDEX(Rohdaten!$A$77:$LJ$77,MATCH(Z$4,RD_Kopf,0)),NA()),NA())</f>
        <v>0</v>
      </c>
      <c r="AA46" s="68">
        <f>IFERROR(IF(ISNUMBER(INDEX(Rohdaten!$A$77:$LJ$77,MATCH(AA$4,RD_Kopf,0))),INDEX(Rohdaten!$A$77:$LJ$77,MATCH(AA$4,RD_Kopf,0)),NA()),NA())</f>
        <v>0</v>
      </c>
      <c r="AB46" s="68">
        <f>IFERROR(IF(ISNUMBER(INDEX(Rohdaten!$A$77:$LJ$77,MATCH(AB$4,RD_Kopf,0))),INDEX(Rohdaten!$A$77:$LJ$77,MATCH(AB$4,RD_Kopf,0)),NA()),NA())</f>
        <v>0</v>
      </c>
      <c r="AC46" s="68">
        <f>IFERROR(IF(ISNUMBER(INDEX(Rohdaten!$A$77:$LJ$77,MATCH(AC$4,RD_Kopf,0))),INDEX(Rohdaten!$A$77:$LJ$77,MATCH(AC$4,RD_Kopf,0)),NA()),NA())</f>
        <v>0</v>
      </c>
      <c r="AD46" s="68">
        <f>IFERROR(IF(ISNUMBER(INDEX(Rohdaten!$A$77:$LJ$77,MATCH(AD$4,RD_Kopf,0))),INDEX(Rohdaten!$A$77:$LJ$77,MATCH(AD$4,RD_Kopf,0)),NA()),NA())</f>
        <v>0</v>
      </c>
    </row>
    <row r="47" spans="1:68">
      <c r="A47" s="11" t="s">
        <v>115</v>
      </c>
      <c r="B47" s="11" t="s">
        <v>621</v>
      </c>
      <c r="C47" s="67" t="s">
        <v>622</v>
      </c>
      <c r="D47" s="68">
        <f>IFERROR(IF(ISNUMBER(INDEX(Rohdaten!$A$74:$LJ$74,MATCH(D$4,RD_Kopf,0))),INDEX(Rohdaten!$A$74:$LJ$74,MATCH(D$4,RD_Kopf,0)),NA()),NA())</f>
        <v>0</v>
      </c>
      <c r="E47" s="68">
        <f>IFERROR(IF(ISNUMBER(INDEX(Rohdaten!$A$74:$LJ$74,MATCH(E$4,RD_Kopf,0))),INDEX(Rohdaten!$A$74:$LJ$74,MATCH(E$4,RD_Kopf,0)),NA()),NA())</f>
        <v>0</v>
      </c>
      <c r="F47" s="68">
        <f>IFERROR(IF(ISNUMBER(INDEX(Rohdaten!$A$74:$LJ$74,MATCH(F$4,RD_Kopf,0))),INDEX(Rohdaten!$A$74:$LJ$74,MATCH(F$4,RD_Kopf,0)),NA()),NA())</f>
        <v>0</v>
      </c>
      <c r="G47" s="68">
        <f>IFERROR(IF(ISNUMBER(INDEX(Rohdaten!$A$74:$LJ$74,MATCH(G$4,RD_Kopf,0))),INDEX(Rohdaten!$A$74:$LJ$74,MATCH(G$4,RD_Kopf,0)),NA()),NA())</f>
        <v>0</v>
      </c>
      <c r="H47" s="68">
        <f>IFERROR(IF(ISNUMBER(INDEX(Rohdaten!$A$74:$LJ$74,MATCH(H$4,RD_Kopf,0))),INDEX(Rohdaten!$A$74:$LJ$74,MATCH(H$4,RD_Kopf,0)),NA()),NA())</f>
        <v>0</v>
      </c>
      <c r="I47" s="68">
        <f>IFERROR(IF(ISNUMBER(INDEX(Rohdaten!$A$74:$LJ$74,MATCH(I$4,RD_Kopf,0))),INDEX(Rohdaten!$A$74:$LJ$74,MATCH(I$4,RD_Kopf,0)),NA()),NA())</f>
        <v>0</v>
      </c>
      <c r="J47" s="68">
        <f>IFERROR(IF(ISNUMBER(INDEX(Rohdaten!$A$74:$LJ$74,MATCH(J$4,RD_Kopf,0))),INDEX(Rohdaten!$A$74:$LJ$74,MATCH(J$4,RD_Kopf,0)),NA()),NA())</f>
        <v>0</v>
      </c>
      <c r="K47" s="68">
        <f>IFERROR(IF(ISNUMBER(INDEX(Rohdaten!$A$74:$LJ$74,MATCH(K$4,RD_Kopf,0))),INDEX(Rohdaten!$A$74:$LJ$74,MATCH(K$4,RD_Kopf,0)),NA()),NA())</f>
        <v>0</v>
      </c>
      <c r="L47" s="68">
        <f>IFERROR(IF(ISNUMBER(INDEX(Rohdaten!$A$74:$LJ$74,MATCH(L$4,RD_Kopf,0))),INDEX(Rohdaten!$A$74:$LJ$74,MATCH(L$4,RD_Kopf,0)),NA()),NA())</f>
        <v>0</v>
      </c>
      <c r="M47" s="68">
        <f>IFERROR(IF(ISNUMBER(INDEX(Rohdaten!$A$74:$LJ$74,MATCH(M$4,RD_Kopf,0))),INDEX(Rohdaten!$A$74:$LJ$74,MATCH(M$4,RD_Kopf,0)),NA()),NA())</f>
        <v>0</v>
      </c>
      <c r="N47" s="68">
        <f>IFERROR(IF(ISNUMBER(INDEX(Rohdaten!$A$74:$LJ$74,MATCH(N$4,RD_Kopf,0))),INDEX(Rohdaten!$A$74:$LJ$74,MATCH(N$4,RD_Kopf,0)),NA()),NA())</f>
        <v>0</v>
      </c>
      <c r="O47" s="68">
        <f>IFERROR(IF(ISNUMBER(INDEX(Rohdaten!$A$74:$LJ$74,MATCH(O$4,RD_Kopf,0))),INDEX(Rohdaten!$A$74:$LJ$74,MATCH(O$4,RD_Kopf,0)),NA()),NA())</f>
        <v>0</v>
      </c>
      <c r="P47" s="68">
        <f>IFERROR(IF(ISNUMBER(INDEX(Rohdaten!$A$74:$LJ$74,MATCH(P$4,RD_Kopf,0))),INDEX(Rohdaten!$A$74:$LJ$74,MATCH(P$4,RD_Kopf,0)),NA()),NA())</f>
        <v>0</v>
      </c>
      <c r="Q47" s="68">
        <f>IFERROR(IF(ISNUMBER(INDEX(Rohdaten!$A$74:$LJ$74,MATCH(Q$4,RD_Kopf,0))),INDEX(Rohdaten!$A$74:$LJ$74,MATCH(Q$4,RD_Kopf,0)),NA()),NA())</f>
        <v>0</v>
      </c>
      <c r="R47" s="68">
        <f>IFERROR(IF(ISNUMBER(INDEX(Rohdaten!$A$74:$LJ$74,MATCH(R$4,RD_Kopf,0))),INDEX(Rohdaten!$A$74:$LJ$74,MATCH(R$4,RD_Kopf,0)),NA()),NA())</f>
        <v>0</v>
      </c>
      <c r="S47" s="68">
        <f>IFERROR(IF(ISNUMBER(INDEX(Rohdaten!$A$74:$LJ$74,MATCH(S$4,RD_Kopf,0))),INDEX(Rohdaten!$A$74:$LJ$74,MATCH(S$4,RD_Kopf,0)),NA()),NA())</f>
        <v>0</v>
      </c>
      <c r="T47" s="68">
        <f>IFERROR(IF(ISNUMBER(INDEX(Rohdaten!$A$74:$LJ$74,MATCH(T$4,RD_Kopf,0))),INDEX(Rohdaten!$A$74:$LJ$74,MATCH(T$4,RD_Kopf,0)),NA()),NA())</f>
        <v>0</v>
      </c>
      <c r="U47" s="68">
        <f>IFERROR(IF(ISNUMBER(INDEX(Rohdaten!$A$74:$LJ$74,MATCH(U$4,RD_Kopf,0))),INDEX(Rohdaten!$A$74:$LJ$74,MATCH(U$4,RD_Kopf,0)),NA()),NA())</f>
        <v>0</v>
      </c>
      <c r="V47" s="68">
        <f>IFERROR(IF(ISNUMBER(INDEX(Rohdaten!$A$74:$LJ$74,MATCH(V$4,RD_Kopf,0))),INDEX(Rohdaten!$A$74:$LJ$74,MATCH(V$4,RD_Kopf,0)),NA()),NA())</f>
        <v>0</v>
      </c>
      <c r="W47" s="68">
        <f>IFERROR(IF(ISNUMBER(INDEX(Rohdaten!$A$74:$LJ$74,MATCH(W$4,RD_Kopf,0))),INDEX(Rohdaten!$A$74:$LJ$74,MATCH(W$4,RD_Kopf,0)),NA()),NA())</f>
        <v>0</v>
      </c>
      <c r="X47" s="68">
        <f>IFERROR(IF(ISNUMBER(INDEX(Rohdaten!$A$74:$LJ$74,MATCH(X$4,RD_Kopf,0))),INDEX(Rohdaten!$A$74:$LJ$74,MATCH(X$4,RD_Kopf,0)),NA()),NA())</f>
        <v>0</v>
      </c>
      <c r="Y47" s="68">
        <f>IFERROR(IF(ISNUMBER(INDEX(Rohdaten!$A$74:$LJ$74,MATCH(Y$4,RD_Kopf,0))),INDEX(Rohdaten!$A$74:$LJ$74,MATCH(Y$4,RD_Kopf,0)),NA()),NA())</f>
        <v>0</v>
      </c>
      <c r="Z47" s="68">
        <f>IFERROR(IF(ISNUMBER(INDEX(Rohdaten!$A$74:$LJ$74,MATCH(Z$4,RD_Kopf,0))),INDEX(Rohdaten!$A$74:$LJ$74,MATCH(Z$4,RD_Kopf,0)),NA()),NA())</f>
        <v>0</v>
      </c>
      <c r="AA47" s="68">
        <f>IFERROR(IF(ISNUMBER(INDEX(Rohdaten!$A$74:$LJ$74,MATCH(AA$4,RD_Kopf,0))),INDEX(Rohdaten!$A$74:$LJ$74,MATCH(AA$4,RD_Kopf,0)),NA()),NA())</f>
        <v>0</v>
      </c>
      <c r="AB47" s="68">
        <f>IFERROR(IF(ISNUMBER(INDEX(Rohdaten!$A$74:$LJ$74,MATCH(AB$4,RD_Kopf,0))),INDEX(Rohdaten!$A$74:$LJ$74,MATCH(AB$4,RD_Kopf,0)),NA()),NA())</f>
        <v>0</v>
      </c>
      <c r="AC47" s="68">
        <f>IFERROR(IF(ISNUMBER(INDEX(Rohdaten!$A$74:$LJ$74,MATCH(AC$4,RD_Kopf,0))),INDEX(Rohdaten!$A$74:$LJ$74,MATCH(AC$4,RD_Kopf,0)),NA()),NA())</f>
        <v>0</v>
      </c>
      <c r="AD47" s="68">
        <f>IFERROR(IF(ISNUMBER(INDEX(Rohdaten!$A$74:$LJ$74,MATCH(AD$4,RD_Kopf,0))),INDEX(Rohdaten!$A$74:$LJ$74,MATCH(AD$4,RD_Kopf,0)),NA()),NA())</f>
        <v>0</v>
      </c>
    </row>
    <row r="48" spans="1:68">
      <c r="A48" s="11" t="s">
        <v>124</v>
      </c>
      <c r="B48" s="11" t="s">
        <v>623</v>
      </c>
      <c r="C48" s="67" t="s">
        <v>624</v>
      </c>
      <c r="D48" s="68">
        <f>IFERROR(IF(ISNUMBER(INDEX(Rohdaten!$A$78:$LJ$78,MATCH(D$4,RD_Kopf,0))),INDEX(Rohdaten!$A$78:$LJ$78,MATCH(D$4,RD_Kopf,0)),NA()),NA())</f>
        <v>0</v>
      </c>
      <c r="E48" s="68">
        <f>IFERROR(IF(ISNUMBER(INDEX(Rohdaten!$A$78:$LJ$78,MATCH(E$4,RD_Kopf,0))),INDEX(Rohdaten!$A$78:$LJ$78,MATCH(E$4,RD_Kopf,0)),NA()),NA())</f>
        <v>0</v>
      </c>
      <c r="F48" s="68">
        <f>IFERROR(IF(ISNUMBER(INDEX(Rohdaten!$A$78:$LJ$78,MATCH(F$4,RD_Kopf,0))),INDEX(Rohdaten!$A$78:$LJ$78,MATCH(F$4,RD_Kopf,0)),NA()),NA())</f>
        <v>0</v>
      </c>
      <c r="G48" s="68">
        <f>IFERROR(IF(ISNUMBER(INDEX(Rohdaten!$A$78:$LJ$78,MATCH(G$4,RD_Kopf,0))),INDEX(Rohdaten!$A$78:$LJ$78,MATCH(G$4,RD_Kopf,0)),NA()),NA())</f>
        <v>0</v>
      </c>
      <c r="H48" s="68">
        <f>IFERROR(IF(ISNUMBER(INDEX(Rohdaten!$A$78:$LJ$78,MATCH(H$4,RD_Kopf,0))),INDEX(Rohdaten!$A$78:$LJ$78,MATCH(H$4,RD_Kopf,0)),NA()),NA())</f>
        <v>0</v>
      </c>
      <c r="I48" s="68">
        <f>IFERROR(IF(ISNUMBER(INDEX(Rohdaten!$A$78:$LJ$78,MATCH(I$4,RD_Kopf,0))),INDEX(Rohdaten!$A$78:$LJ$78,MATCH(I$4,RD_Kopf,0)),NA()),NA())</f>
        <v>0</v>
      </c>
      <c r="J48" s="68">
        <f>IFERROR(IF(ISNUMBER(INDEX(Rohdaten!$A$78:$LJ$78,MATCH(J$4,RD_Kopf,0))),INDEX(Rohdaten!$A$78:$LJ$78,MATCH(J$4,RD_Kopf,0)),NA()),NA())</f>
        <v>0</v>
      </c>
      <c r="K48" s="68">
        <f>IFERROR(IF(ISNUMBER(INDEX(Rohdaten!$A$78:$LJ$78,MATCH(K$4,RD_Kopf,0))),INDEX(Rohdaten!$A$78:$LJ$78,MATCH(K$4,RD_Kopf,0)),NA()),NA())</f>
        <v>0</v>
      </c>
      <c r="L48" s="68">
        <f>IFERROR(IF(ISNUMBER(INDEX(Rohdaten!$A$78:$LJ$78,MATCH(L$4,RD_Kopf,0))),INDEX(Rohdaten!$A$78:$LJ$78,MATCH(L$4,RD_Kopf,0)),NA()),NA())</f>
        <v>0</v>
      </c>
      <c r="M48" s="68">
        <f>IFERROR(IF(ISNUMBER(INDEX(Rohdaten!$A$78:$LJ$78,MATCH(M$4,RD_Kopf,0))),INDEX(Rohdaten!$A$78:$LJ$78,MATCH(M$4,RD_Kopf,0)),NA()),NA())</f>
        <v>0</v>
      </c>
      <c r="N48" s="68">
        <f>IFERROR(IF(ISNUMBER(INDEX(Rohdaten!$A$78:$LJ$78,MATCH(N$4,RD_Kopf,0))),INDEX(Rohdaten!$A$78:$LJ$78,MATCH(N$4,RD_Kopf,0)),NA()),NA())</f>
        <v>0</v>
      </c>
      <c r="O48" s="68">
        <f>IFERROR(IF(ISNUMBER(INDEX(Rohdaten!$A$78:$LJ$78,MATCH(O$4,RD_Kopf,0))),INDEX(Rohdaten!$A$78:$LJ$78,MATCH(O$4,RD_Kopf,0)),NA()),NA())</f>
        <v>0</v>
      </c>
      <c r="P48" s="68">
        <f>IFERROR(IF(ISNUMBER(INDEX(Rohdaten!$A$78:$LJ$78,MATCH(P$4,RD_Kopf,0))),INDEX(Rohdaten!$A$78:$LJ$78,MATCH(P$4,RD_Kopf,0)),NA()),NA())</f>
        <v>0</v>
      </c>
      <c r="Q48" s="68">
        <f>IFERROR(IF(ISNUMBER(INDEX(Rohdaten!$A$78:$LJ$78,MATCH(Q$4,RD_Kopf,0))),INDEX(Rohdaten!$A$78:$LJ$78,MATCH(Q$4,RD_Kopf,0)),NA()),NA())</f>
        <v>0</v>
      </c>
      <c r="R48" s="68">
        <f>IFERROR(IF(ISNUMBER(INDEX(Rohdaten!$A$78:$LJ$78,MATCH(R$4,RD_Kopf,0))),INDEX(Rohdaten!$A$78:$LJ$78,MATCH(R$4,RD_Kopf,0)),NA()),NA())</f>
        <v>0</v>
      </c>
      <c r="S48" s="68">
        <f>IFERROR(IF(ISNUMBER(INDEX(Rohdaten!$A$78:$LJ$78,MATCH(S$4,RD_Kopf,0))),INDEX(Rohdaten!$A$78:$LJ$78,MATCH(S$4,RD_Kopf,0)),NA()),NA())</f>
        <v>0</v>
      </c>
      <c r="T48" s="68">
        <f>IFERROR(IF(ISNUMBER(INDEX(Rohdaten!$A$78:$LJ$78,MATCH(T$4,RD_Kopf,0))),INDEX(Rohdaten!$A$78:$LJ$78,MATCH(T$4,RD_Kopf,0)),NA()),NA())</f>
        <v>0</v>
      </c>
      <c r="U48" s="68">
        <f>IFERROR(IF(ISNUMBER(INDEX(Rohdaten!$A$78:$LJ$78,MATCH(U$4,RD_Kopf,0))),INDEX(Rohdaten!$A$78:$LJ$78,MATCH(U$4,RD_Kopf,0)),NA()),NA())</f>
        <v>0</v>
      </c>
      <c r="V48" s="68">
        <f>IFERROR(IF(ISNUMBER(INDEX(Rohdaten!$A$78:$LJ$78,MATCH(V$4,RD_Kopf,0))),INDEX(Rohdaten!$A$78:$LJ$78,MATCH(V$4,RD_Kopf,0)),NA()),NA())</f>
        <v>0</v>
      </c>
      <c r="W48" s="68">
        <f>IFERROR(IF(ISNUMBER(INDEX(Rohdaten!$A$78:$LJ$78,MATCH(W$4,RD_Kopf,0))),INDEX(Rohdaten!$A$78:$LJ$78,MATCH(W$4,RD_Kopf,0)),NA()),NA())</f>
        <v>0</v>
      </c>
      <c r="X48" s="68">
        <f>IFERROR(IF(ISNUMBER(INDEX(Rohdaten!$A$78:$LJ$78,MATCH(X$4,RD_Kopf,0))),INDEX(Rohdaten!$A$78:$LJ$78,MATCH(X$4,RD_Kopf,0)),NA()),NA())</f>
        <v>0</v>
      </c>
      <c r="Y48" s="68">
        <f>IFERROR(IF(ISNUMBER(INDEX(Rohdaten!$A$78:$LJ$78,MATCH(Y$4,RD_Kopf,0))),INDEX(Rohdaten!$A$78:$LJ$78,MATCH(Y$4,RD_Kopf,0)),NA()),NA())</f>
        <v>0</v>
      </c>
      <c r="Z48" s="68">
        <f>IFERROR(IF(ISNUMBER(INDEX(Rohdaten!$A$78:$LJ$78,MATCH(Z$4,RD_Kopf,0))),INDEX(Rohdaten!$A$78:$LJ$78,MATCH(Z$4,RD_Kopf,0)),NA()),NA())</f>
        <v>0</v>
      </c>
      <c r="AA48" s="68">
        <f>IFERROR(IF(ISNUMBER(INDEX(Rohdaten!$A$78:$LJ$78,MATCH(AA$4,RD_Kopf,0))),INDEX(Rohdaten!$A$78:$LJ$78,MATCH(AA$4,RD_Kopf,0)),NA()),NA())</f>
        <v>0</v>
      </c>
      <c r="AB48" s="68">
        <f>IFERROR(IF(ISNUMBER(INDEX(Rohdaten!$A$78:$LJ$78,MATCH(AB$4,RD_Kopf,0))),INDEX(Rohdaten!$A$78:$LJ$78,MATCH(AB$4,RD_Kopf,0)),NA()),NA())</f>
        <v>0</v>
      </c>
      <c r="AC48" s="68">
        <f>IFERROR(IF(ISNUMBER(INDEX(Rohdaten!$A$78:$LJ$78,MATCH(AC$4,RD_Kopf,0))),INDEX(Rohdaten!$A$78:$LJ$78,MATCH(AC$4,RD_Kopf,0)),NA()),NA())</f>
        <v>0</v>
      </c>
      <c r="AD48" s="68">
        <f>IFERROR(IF(ISNUMBER(INDEX(Rohdaten!$A$78:$LJ$78,MATCH(AD$4,RD_Kopf,0))),INDEX(Rohdaten!$A$78:$LJ$78,MATCH(AD$4,RD_Kopf,0)),NA()),NA())</f>
        <v>0</v>
      </c>
    </row>
    <row r="49" spans="1:68">
      <c r="A49" s="11" t="s">
        <v>625</v>
      </c>
      <c r="B49" s="11" t="s">
        <v>626</v>
      </c>
      <c r="C49" s="67" t="s">
        <v>601</v>
      </c>
      <c r="D49" s="68">
        <f>IF(COUNT(D43,D45,D47)=0,NA(),SUM(D43,D45,D47))</f>
        <v>0</v>
      </c>
      <c r="E49" s="68">
        <f>IF(COUNT(E43,E45,E47)=0,NA(),SUM(E43,E45,E47))</f>
        <v>0</v>
      </c>
      <c r="F49" s="68">
        <f>IF(COUNT(F43,F45,F47)=0,NA(),SUM(F43,F45,F47))</f>
        <v>0</v>
      </c>
      <c r="G49" s="68">
        <f>IF(COUNT(G43,G45,G47)=0,NA(),SUM(G43,G45,G47))</f>
        <v>0</v>
      </c>
      <c r="H49" s="68">
        <f>IF(COUNT(H43,H45,H47)=0,NA(),SUM(H43,H45,H47))</f>
        <v>0</v>
      </c>
      <c r="I49" s="68">
        <f>IF(COUNT(I43,I45,I47)=0,NA(),SUM(I43,I45,I47))</f>
        <v>0</v>
      </c>
      <c r="J49" s="68">
        <f>IF(COUNT(J43,J45,J47)=0,NA(),SUM(J43,J45,J47))</f>
        <v>0</v>
      </c>
      <c r="K49" s="68">
        <f>IF(COUNT(K43,K45,K47)=0,NA(),SUM(K43,K45,K47))</f>
        <v>0</v>
      </c>
      <c r="L49" s="68">
        <f>IF(COUNT(L43,L45,L47)=0,NA(),SUM(L43,L45,L47))</f>
        <v>0</v>
      </c>
      <c r="M49" s="68">
        <f>IF(COUNT(M43,M45,M47)=0,NA(),SUM(M43,M45,M47))</f>
        <v>0</v>
      </c>
      <c r="N49" s="68">
        <f>IF(COUNT(N43,N45,N47)=0,NA(),SUM(N43,N45,N47))</f>
        <v>0</v>
      </c>
      <c r="O49" s="68">
        <f>IF(COUNT(O43,O45,O47)=0,NA(),SUM(O43,O45,O47))</f>
        <v>0</v>
      </c>
      <c r="P49" s="68">
        <f>IF(COUNT(P43,P45,P47)=0,NA(),SUM(P43,P45,P47))</f>
        <v>0</v>
      </c>
      <c r="Q49" s="68">
        <f>IF(COUNT(Q43,Q45,Q47)=0,NA(),SUM(Q43,Q45,Q47))</f>
        <v>0</v>
      </c>
      <c r="R49" s="68">
        <f>IF(COUNT(R43,R45,R47)=0,NA(),SUM(R43,R45,R47))</f>
        <v>0</v>
      </c>
      <c r="S49" s="68">
        <f>IF(COUNT(S43,S45,S47)=0,NA(),SUM(S43,S45,S47))</f>
        <v>0</v>
      </c>
      <c r="T49" s="68">
        <f>IF(COUNT(T43,T45,T47)=0,NA(),SUM(T43,T45,T47))</f>
        <v>0</v>
      </c>
      <c r="U49" s="68">
        <f>IF(COUNT(U43,U45,U47)=0,NA(),SUM(U43,U45,U47))</f>
        <v>0</v>
      </c>
      <c r="V49" s="68">
        <f>IF(COUNT(V43,V45,V47)=0,NA(),SUM(V43,V45,V47))</f>
        <v>0</v>
      </c>
      <c r="W49" s="68">
        <f>IF(COUNT(W43,W45,W47)=0,NA(),SUM(W43,W45,W47))</f>
        <v>0</v>
      </c>
      <c r="X49" s="68">
        <f>IF(COUNT(X43,X45,X47)=0,NA(),SUM(X43,X45,X47))</f>
        <v>0</v>
      </c>
      <c r="Y49" s="68">
        <f>IF(COUNT(Y43,Y45,Y47)=0,NA(),SUM(Y43,Y45,Y47))</f>
        <v>0</v>
      </c>
      <c r="Z49" s="68">
        <f>IF(COUNT(Z43,Z45,Z47)=0,NA(),SUM(Z43,Z45,Z47))</f>
        <v>0</v>
      </c>
      <c r="AA49" s="68">
        <f>IF(COUNT(AA43,AA45,AA47)=0,NA(),SUM(AA43,AA45,AA47))</f>
        <v>0</v>
      </c>
      <c r="AB49" s="68">
        <f>IF(COUNT(AB43,AB45,AB47)=0,NA(),SUM(AB43,AB45,AB47))</f>
        <v>0</v>
      </c>
      <c r="AC49" s="68">
        <f>IF(COUNT(AC43,AC45,AC47)=0,NA(),SUM(AC43,AC45,AC47))</f>
        <v>0</v>
      </c>
      <c r="AD49" s="68">
        <f>IF(COUNT(AD43,AD45,AD47)=0,NA(),SUM(AD43,AD45,AD47))</f>
        <v>0</v>
      </c>
    </row>
    <row r="50" spans="1:68">
      <c r="A50" s="11" t="s">
        <v>627</v>
      </c>
      <c r="B50" s="11" t="s">
        <v>628</v>
      </c>
      <c r="C50" s="67" t="s">
        <v>601</v>
      </c>
      <c r="D50" s="68">
        <f>IF(COUNT(D44,D46,D48)=0,NA(),SUM(D44,D46,D48))</f>
        <v>0</v>
      </c>
      <c r="E50" s="68">
        <f>IF(COUNT(E44,E46,E48)=0,NA(),SUM(E44,E46,E48))</f>
        <v>0</v>
      </c>
      <c r="F50" s="68">
        <f>IF(COUNT(F44,F46,F48)=0,NA(),SUM(F44,F46,F48))</f>
        <v>0</v>
      </c>
      <c r="G50" s="68">
        <f>IF(COUNT(G44,G46,G48)=0,NA(),SUM(G44,G46,G48))</f>
        <v>0</v>
      </c>
      <c r="H50" s="68">
        <f>IF(COUNT(H44,H46,H48)=0,NA(),SUM(H44,H46,H48))</f>
        <v>0</v>
      </c>
      <c r="I50" s="68">
        <f>IF(COUNT(I44,I46,I48)=0,NA(),SUM(I44,I46,I48))</f>
        <v>0</v>
      </c>
      <c r="J50" s="68">
        <f>IF(COUNT(J44,J46,J48)=0,NA(),SUM(J44,J46,J48))</f>
        <v>0</v>
      </c>
      <c r="K50" s="68">
        <f>IF(COUNT(K44,K46,K48)=0,NA(),SUM(K44,K46,K48))</f>
        <v>0</v>
      </c>
      <c r="L50" s="68">
        <f>IF(COUNT(L44,L46,L48)=0,NA(),SUM(L44,L46,L48))</f>
        <v>0</v>
      </c>
      <c r="M50" s="68">
        <f>IF(COUNT(M44,M46,M48)=0,NA(),SUM(M44,M46,M48))</f>
        <v>0</v>
      </c>
      <c r="N50" s="68">
        <f>IF(COUNT(N44,N46,N48)=0,NA(),SUM(N44,N46,N48))</f>
        <v>0</v>
      </c>
      <c r="O50" s="68">
        <f>IF(COUNT(O44,O46,O48)=0,NA(),SUM(O44,O46,O48))</f>
        <v>0</v>
      </c>
      <c r="P50" s="68">
        <f>IF(COUNT(P44,P46,P48)=0,NA(),SUM(P44,P46,P48))</f>
        <v>0</v>
      </c>
      <c r="Q50" s="68">
        <f>IF(COUNT(Q44,Q46,Q48)=0,NA(),SUM(Q44,Q46,Q48))</f>
        <v>0</v>
      </c>
      <c r="R50" s="68">
        <f>IF(COUNT(R44,R46,R48)=0,NA(),SUM(R44,R46,R48))</f>
        <v>0</v>
      </c>
      <c r="S50" s="68">
        <f>IF(COUNT(S44,S46,S48)=0,NA(),SUM(S44,S46,S48))</f>
        <v>0</v>
      </c>
      <c r="T50" s="68">
        <f>IF(COUNT(T44,T46,T48)=0,NA(),SUM(T44,T46,T48))</f>
        <v>0</v>
      </c>
      <c r="U50" s="68">
        <f>IF(COUNT(U44,U46,U48)=0,NA(),SUM(U44,U46,U48))</f>
        <v>0</v>
      </c>
      <c r="V50" s="68">
        <f>IF(COUNT(V44,V46,V48)=0,NA(),SUM(V44,V46,V48))</f>
        <v>0</v>
      </c>
      <c r="W50" s="68">
        <f>IF(COUNT(W44,W46,W48)=0,NA(),SUM(W44,W46,W48))</f>
        <v>0</v>
      </c>
      <c r="X50" s="68">
        <f>IF(COUNT(X44,X46,X48)=0,NA(),SUM(X44,X46,X48))</f>
        <v>0</v>
      </c>
      <c r="Y50" s="68">
        <f>IF(COUNT(Y44,Y46,Y48)=0,NA(),SUM(Y44,Y46,Y48))</f>
        <v>0</v>
      </c>
      <c r="Z50" s="68">
        <f>IF(COUNT(Z44,Z46,Z48)=0,NA(),SUM(Z44,Z46,Z48))</f>
        <v>0</v>
      </c>
      <c r="AA50" s="68">
        <f>IF(COUNT(AA44,AA46,AA48)=0,NA(),SUM(AA44,AA46,AA48))</f>
        <v>0</v>
      </c>
      <c r="AB50" s="68">
        <f>IF(COUNT(AB44,AB46,AB48)=0,NA(),SUM(AB44,AB46,AB48))</f>
        <v>0</v>
      </c>
      <c r="AC50" s="68">
        <f>IF(COUNT(AC44,AC46,AC48)=0,NA(),SUM(AC44,AC46,AC48))</f>
        <v>0</v>
      </c>
      <c r="AD50" s="68">
        <f>IF(COUNT(AD44,AD46,AD48)=0,NA(),SUM(AD44,AD46,AD48))</f>
        <v>0</v>
      </c>
    </row>
    <row r="51" spans="1:68">
      <c r="A51" s="11" t="s">
        <v>629</v>
      </c>
      <c r="B51" s="11" t="s">
        <v>630</v>
      </c>
      <c r="C51" s="67" t="s">
        <v>601</v>
      </c>
      <c r="D51" s="68">
        <f>IF(COUNT(D40,D41,D42)=0,NA(),SUM(D40,D41,D42))</f>
        <v>0</v>
      </c>
      <c r="E51" s="68">
        <f>IF(COUNT(E40,E41,E42)=0,NA(),SUM(E40,E41,E42))</f>
        <v>0</v>
      </c>
      <c r="F51" s="68">
        <f>IF(COUNT(F40,F41,F42)=0,NA(),SUM(F40,F41,F42))</f>
        <v>0</v>
      </c>
      <c r="G51" s="68">
        <f>IF(COUNT(G40,G41,G42)=0,NA(),SUM(G40,G41,G42))</f>
        <v>0</v>
      </c>
      <c r="H51" s="68">
        <f>IF(COUNT(H40,H41,H42)=0,NA(),SUM(H40,H41,H42))</f>
        <v>0</v>
      </c>
      <c r="I51" s="68">
        <f>IF(COUNT(I40,I41,I42)=0,NA(),SUM(I40,I41,I42))</f>
        <v>0</v>
      </c>
      <c r="J51" s="68">
        <f>IF(COUNT(J40,J41,J42)=0,NA(),SUM(J40,J41,J42))</f>
        <v>0</v>
      </c>
      <c r="K51" s="68">
        <f>IF(COUNT(K40,K41,K42)=0,NA(),SUM(K40,K41,K42))</f>
        <v>0</v>
      </c>
      <c r="L51" s="68">
        <f>IF(COUNT(L40,L41,L42)=0,NA(),SUM(L40,L41,L42))</f>
        <v>0</v>
      </c>
      <c r="M51" s="68">
        <f>IF(COUNT(M40,M41,M42)=0,NA(),SUM(M40,M41,M42))</f>
        <v>0</v>
      </c>
      <c r="N51" s="68">
        <f>IF(COUNT(N40,N41,N42)=0,NA(),SUM(N40,N41,N42))</f>
        <v>0</v>
      </c>
      <c r="O51" s="68">
        <f>IF(COUNT(O40,O41,O42)=0,NA(),SUM(O40,O41,O42))</f>
        <v>0</v>
      </c>
      <c r="P51" s="68">
        <f>IF(COUNT(P40,P41,P42)=0,NA(),SUM(P40,P41,P42))</f>
        <v>0</v>
      </c>
      <c r="Q51" s="68">
        <f>IF(COUNT(Q40,Q41,Q42)=0,NA(),SUM(Q40,Q41,Q42))</f>
        <v>0</v>
      </c>
      <c r="R51" s="68">
        <f>IF(COUNT(R40,R41,R42)=0,NA(),SUM(R40,R41,R42))</f>
        <v>0</v>
      </c>
      <c r="S51" s="68">
        <f>IF(COUNT(S40,S41,S42)=0,NA(),SUM(S40,S41,S42))</f>
        <v>0</v>
      </c>
      <c r="T51" s="68">
        <f>IF(COUNT(T40,T41,T42)=0,NA(),SUM(T40,T41,T42))</f>
        <v>0</v>
      </c>
      <c r="U51" s="68">
        <f>IF(COUNT(U40,U41,U42)=0,NA(),SUM(U40,U41,U42))</f>
        <v>0</v>
      </c>
      <c r="V51" s="68">
        <f>IF(COUNT(V40,V41,V42)=0,NA(),SUM(V40,V41,V42))</f>
        <v>0</v>
      </c>
      <c r="W51" s="68">
        <f>IF(COUNT(W40,W41,W42)=0,NA(),SUM(W40,W41,W42))</f>
        <v>0</v>
      </c>
      <c r="X51" s="68">
        <f>IF(COUNT(X40,X41,X42)=0,NA(),SUM(X40,X41,X42))</f>
        <v>0</v>
      </c>
      <c r="Y51" s="68">
        <f>IF(COUNT(Y40,Y41,Y42)=0,NA(),SUM(Y40,Y41,Y42))</f>
        <v>0</v>
      </c>
      <c r="Z51" s="68">
        <f>IF(COUNT(Z40,Z41,Z42)=0,NA(),SUM(Z40,Z41,Z42))</f>
        <v>0</v>
      </c>
      <c r="AA51" s="68">
        <f>IF(COUNT(AA40,AA41,AA42)=0,NA(),SUM(AA40,AA41,AA42))</f>
        <v>0</v>
      </c>
      <c r="AB51" s="68">
        <f>IF(COUNT(AB40,AB41,AB42)=0,NA(),SUM(AB40,AB41,AB42))</f>
        <v>0</v>
      </c>
      <c r="AC51" s="68">
        <f>IF(COUNT(AC40,AC41,AC42)=0,NA(),SUM(AC40,AC41,AC42))</f>
        <v>0</v>
      </c>
      <c r="AD51" s="68">
        <f>IF(COUNT(AD40,AD41,AD42)=0,NA(),SUM(AD40,AD41,AD42))</f>
        <v>0</v>
      </c>
    </row>
    <row r="52" spans="1:68">
      <c r="A52" s="11" t="s">
        <v>631</v>
      </c>
      <c r="B52" s="11" t="s">
        <v>632</v>
      </c>
      <c r="C52" s="67" t="s">
        <v>601</v>
      </c>
      <c r="D52" s="68">
        <f>IF(AND(ISNUMBER(D49),ISNUMBER(D50)),D49-D50,NA())</f>
        <v>0</v>
      </c>
      <c r="E52" s="68">
        <f>IF(AND(ISNUMBER(E49),ISNUMBER(E50)),E49-E50,NA())</f>
        <v>0</v>
      </c>
      <c r="F52" s="68">
        <f>IF(AND(ISNUMBER(F49),ISNUMBER(F50)),F49-F50,NA())</f>
        <v>0</v>
      </c>
      <c r="G52" s="68">
        <f>IF(AND(ISNUMBER(G49),ISNUMBER(G50)),G49-G50,NA())</f>
        <v>0</v>
      </c>
      <c r="H52" s="68">
        <f>IF(AND(ISNUMBER(H49),ISNUMBER(H50)),H49-H50,NA())</f>
        <v>0</v>
      </c>
      <c r="I52" s="68">
        <f>IF(AND(ISNUMBER(I49),ISNUMBER(I50)),I49-I50,NA())</f>
        <v>0</v>
      </c>
      <c r="J52" s="68">
        <f>IF(AND(ISNUMBER(J49),ISNUMBER(J50)),J49-J50,NA())</f>
        <v>0</v>
      </c>
      <c r="K52" s="68">
        <f>IF(AND(ISNUMBER(K49),ISNUMBER(K50)),K49-K50,NA())</f>
        <v>0</v>
      </c>
      <c r="L52" s="68">
        <f>IF(AND(ISNUMBER(L49),ISNUMBER(L50)),L49-L50,NA())</f>
        <v>0</v>
      </c>
      <c r="M52" s="68">
        <f>IF(AND(ISNUMBER(M49),ISNUMBER(M50)),M49-M50,NA())</f>
        <v>0</v>
      </c>
      <c r="N52" s="68">
        <f>IF(AND(ISNUMBER(N49),ISNUMBER(N50)),N49-N50,NA())</f>
        <v>0</v>
      </c>
      <c r="O52" s="68">
        <f>IF(AND(ISNUMBER(O49),ISNUMBER(O50)),O49-O50,NA())</f>
        <v>0</v>
      </c>
      <c r="P52" s="68">
        <f>IF(AND(ISNUMBER(P49),ISNUMBER(P50)),P49-P50,NA())</f>
        <v>0</v>
      </c>
      <c r="Q52" s="68">
        <f>IF(AND(ISNUMBER(Q49),ISNUMBER(Q50)),Q49-Q50,NA())</f>
        <v>0</v>
      </c>
      <c r="R52" s="68">
        <f>IF(AND(ISNUMBER(R49),ISNUMBER(R50)),R49-R50,NA())</f>
        <v>0</v>
      </c>
      <c r="S52" s="68">
        <f>IF(AND(ISNUMBER(S49),ISNUMBER(S50)),S49-S50,NA())</f>
        <v>0</v>
      </c>
      <c r="T52" s="68">
        <f>IF(AND(ISNUMBER(T49),ISNUMBER(T50)),T49-T50,NA())</f>
        <v>0</v>
      </c>
      <c r="U52" s="68">
        <f>IF(AND(ISNUMBER(U49),ISNUMBER(U50)),U49-U50,NA())</f>
        <v>0</v>
      </c>
      <c r="V52" s="68">
        <f>IF(AND(ISNUMBER(V49),ISNUMBER(V50)),V49-V50,NA())</f>
        <v>0</v>
      </c>
      <c r="W52" s="68">
        <f>IF(AND(ISNUMBER(W49),ISNUMBER(W50)),W49-W50,NA())</f>
        <v>0</v>
      </c>
      <c r="X52" s="68">
        <f>IF(AND(ISNUMBER(X49),ISNUMBER(X50)),X49-X50,NA())</f>
        <v>0</v>
      </c>
      <c r="Y52" s="68">
        <f>IF(AND(ISNUMBER(Y49),ISNUMBER(Y50)),Y49-Y50,NA())</f>
        <v>0</v>
      </c>
      <c r="Z52" s="68">
        <f>IF(AND(ISNUMBER(Z49),ISNUMBER(Z50)),Z49-Z50,NA())</f>
        <v>0</v>
      </c>
      <c r="AA52" s="68">
        <f>IF(AND(ISNUMBER(AA49),ISNUMBER(AA50)),AA49-AA50,NA())</f>
        <v>0</v>
      </c>
      <c r="AB52" s="68">
        <f>IF(AND(ISNUMBER(AB49),ISNUMBER(AB50)),AB49-AB50,NA())</f>
        <v>0</v>
      </c>
      <c r="AC52" s="68">
        <f>IF(AND(ISNUMBER(AC49),ISNUMBER(AC50)),AC49-AC50,NA())</f>
        <v>0</v>
      </c>
      <c r="AD52" s="68">
        <f>IF(AND(ISNUMBER(AD49),ISNUMBER(AD50)),AD49-AD50,NA())</f>
        <v>0</v>
      </c>
    </row>
    <row r="53" spans="1:68">
      <c r="A53" s="11" t="s">
        <v>633</v>
      </c>
      <c r="B53" s="11" t="s">
        <v>634</v>
      </c>
      <c r="C53" s="67" t="s">
        <v>604</v>
      </c>
      <c r="AQ53" s="68">
        <f>IF(AQ$37=0,NA(),MAX(1,_xlfn.AGGREGATE(4,6,INDEX($D$51:$AD$51,28-$D$36):$AD$51),N(Konfiguration!$F$9)))</f>
        <v>0</v>
      </c>
      <c r="AR53" s="68">
        <f>IF(AR$37=0,NA(),MAX(1,_xlfn.AGGREGATE(4,6,INDEX($D$51:$AD$51,28-$D$36):$AD$51),N(Konfiguration!$F$9)))</f>
        <v>0</v>
      </c>
      <c r="AS53" s="68">
        <f>IF(AS$37=0,NA(),MAX(1,_xlfn.AGGREGATE(4,6,INDEX($D$51:$AD$51,28-$D$36):$AD$51),N(Konfiguration!$F$9)))</f>
        <v>0</v>
      </c>
      <c r="AT53" s="68">
        <f>IF(AT$37=0,NA(),MAX(1,_xlfn.AGGREGATE(4,6,INDEX($D$51:$AD$51,28-$D$36):$AD$51),N(Konfiguration!$F$9)))</f>
        <v>0</v>
      </c>
      <c r="AU53" s="68">
        <f>IF(AU$37=0,NA(),MAX(1,_xlfn.AGGREGATE(4,6,INDEX($D$51:$AD$51,28-$D$36):$AD$51),N(Konfiguration!$F$9)))</f>
        <v>0</v>
      </c>
      <c r="AV53" s="68">
        <f>IF(AV$37=0,NA(),MAX(1,_xlfn.AGGREGATE(4,6,INDEX($D$51:$AD$51,28-$D$36):$AD$51),N(Konfiguration!$F$9)))</f>
        <v>0</v>
      </c>
      <c r="AW53" s="68">
        <f>IF(AW$37=0,NA(),MAX(1,_xlfn.AGGREGATE(4,6,INDEX($D$51:$AD$51,28-$D$36):$AD$51),N(Konfiguration!$F$9)))</f>
        <v>0</v>
      </c>
      <c r="AX53" s="68">
        <f>IF(AX$37=0,NA(),MAX(1,_xlfn.AGGREGATE(4,6,INDEX($D$51:$AD$51,28-$D$36):$AD$51),N(Konfiguration!$F$9)))</f>
        <v>0</v>
      </c>
      <c r="AY53" s="68">
        <f>IF(AY$37=0,NA(),MAX(1,_xlfn.AGGREGATE(4,6,INDEX($D$51:$AD$51,28-$D$36):$AD$51),N(Konfiguration!$F$9)))</f>
        <v>0</v>
      </c>
      <c r="AZ53" s="68">
        <f>IF(AZ$37=0,NA(),MAX(1,_xlfn.AGGREGATE(4,6,INDEX($D$51:$AD$51,28-$D$36):$AD$51),N(Konfiguration!$F$9)))</f>
        <v>0</v>
      </c>
      <c r="BA53" s="68">
        <f>IF(BA$37=0,NA(),MAX(1,_xlfn.AGGREGATE(4,6,INDEX($D$51:$AD$51,28-$D$36):$AD$51),N(Konfiguration!$F$9)))</f>
        <v>0</v>
      </c>
      <c r="BB53" s="68">
        <f>IF(BB$37=0,NA(),MAX(1,_xlfn.AGGREGATE(4,6,INDEX($D$51:$AD$51,28-$D$36):$AD$51),N(Konfiguration!$F$9)))</f>
        <v>0</v>
      </c>
      <c r="BC53" s="68">
        <f>IF(BC$37=0,NA(),MAX(1,_xlfn.AGGREGATE(4,6,INDEX($D$51:$AD$51,28-$D$36):$AD$51),N(Konfiguration!$F$9)))</f>
        <v>0</v>
      </c>
      <c r="BD53" s="68">
        <f>IF(BD$37=0,NA(),MAX(1,_xlfn.AGGREGATE(4,6,INDEX($D$51:$AD$51,28-$D$36):$AD$51),N(Konfiguration!$F$9)))</f>
        <v>0</v>
      </c>
      <c r="BE53" s="68">
        <f>IF(BE$37=0,NA(),MAX(1,_xlfn.AGGREGATE(4,6,INDEX($D$51:$AD$51,28-$D$36):$AD$51),N(Konfiguration!$F$9)))</f>
        <v>0</v>
      </c>
      <c r="BF53" s="68">
        <f>IF(BF$37=0,NA(),MAX(1,_xlfn.AGGREGATE(4,6,INDEX($D$51:$AD$51,28-$D$36):$AD$51),N(Konfiguration!$F$9)))</f>
        <v>0</v>
      </c>
      <c r="BG53" s="68">
        <f>IF(BG$37=0,NA(),MAX(1,_xlfn.AGGREGATE(4,6,INDEX($D$51:$AD$51,28-$D$36):$AD$51),N(Konfiguration!$F$9)))</f>
        <v>0</v>
      </c>
      <c r="BH53" s="68">
        <f>IF(BH$37=0,NA(),MAX(1,_xlfn.AGGREGATE(4,6,INDEX($D$51:$AD$51,28-$D$36):$AD$51),N(Konfiguration!$F$9)))</f>
        <v>0</v>
      </c>
      <c r="BI53" s="68">
        <f>IF(BI$37=0,NA(),MAX(1,_xlfn.AGGREGATE(4,6,INDEX($D$51:$AD$51,28-$D$36):$AD$51),N(Konfiguration!$F$9)))</f>
        <v>0</v>
      </c>
      <c r="BJ53" s="68">
        <f>IF(BJ$37=0,NA(),MAX(1,_xlfn.AGGREGATE(4,6,INDEX($D$51:$AD$51,28-$D$36):$AD$51),N(Konfiguration!$F$9)))</f>
        <v>0</v>
      </c>
      <c r="BK53" s="68">
        <f>IF(BK$37=0,NA(),MAX(1,_xlfn.AGGREGATE(4,6,INDEX($D$51:$AD$51,28-$D$36):$AD$51),N(Konfiguration!$F$9)))</f>
        <v>0</v>
      </c>
      <c r="BL53" s="68">
        <f>IF(BL$37=0,NA(),MAX(1,_xlfn.AGGREGATE(4,6,INDEX($D$51:$AD$51,28-$D$36):$AD$51),N(Konfiguration!$F$9)))</f>
        <v>0</v>
      </c>
      <c r="BM53" s="68">
        <f>IF(BM$37=0,NA(),MAX(1,_xlfn.AGGREGATE(4,6,INDEX($D$51:$AD$51,28-$D$36):$AD$51),N(Konfiguration!$F$9)))</f>
        <v>0</v>
      </c>
      <c r="BN53" s="68">
        <f>IF(BN$37=0,NA(),MAX(1,_xlfn.AGGREGATE(4,6,INDEX($D$51:$AD$51,28-$D$36):$AD$51),N(Konfiguration!$F$9)))</f>
        <v>0</v>
      </c>
      <c r="BO53" s="68">
        <f>IF(BO$37=0,NA(),MAX(1,_xlfn.AGGREGATE(4,6,INDEX($D$51:$AD$51,28-$D$36):$AD$51),N(Konfiguration!$F$9)))</f>
        <v>0</v>
      </c>
      <c r="BP53" s="68">
        <f>IF(BP$37=0,NA(),MAX(1,_xlfn.AGGREGATE(4,6,INDEX($D$51:$AD$51,28-$D$36):$AD$51),N(Konfiguration!$F$9)))</f>
        <v>0</v>
      </c>
    </row>
    <row r="54" spans="1:68">
      <c r="A54" s="11" t="s">
        <v>635</v>
      </c>
      <c r="B54" s="11" t="s">
        <v>636</v>
      </c>
      <c r="C54" s="67" t="s">
        <v>604</v>
      </c>
      <c r="AQ54" s="68">
        <f>IF(AQ$37=0,NA(),IF(ISNUMBER(INDEX($D$41:$AD$41,AQ$37)),INDEX($D$41:$AD$41,AQ$37)/AQ53,NA()))</f>
        <v>0</v>
      </c>
      <c r="AR54" s="68">
        <f>IF(AR$37=0,NA(),IF(ISNUMBER(INDEX($D$41:$AD$41,AR$37)),INDEX($D$41:$AD$41,AR$37)/AR53,NA()))</f>
        <v>0</v>
      </c>
      <c r="AS54" s="68">
        <f>IF(AS$37=0,NA(),IF(ISNUMBER(INDEX($D$41:$AD$41,AS$37)),INDEX($D$41:$AD$41,AS$37)/AS53,NA()))</f>
        <v>0</v>
      </c>
      <c r="AT54" s="68">
        <f>IF(AT$37=0,NA(),IF(ISNUMBER(INDEX($D$41:$AD$41,AT$37)),INDEX($D$41:$AD$41,AT$37)/AT53,NA()))</f>
        <v>0</v>
      </c>
      <c r="AU54" s="68">
        <f>IF(AU$37=0,NA(),IF(ISNUMBER(INDEX($D$41:$AD$41,AU$37)),INDEX($D$41:$AD$41,AU$37)/AU53,NA()))</f>
        <v>0</v>
      </c>
      <c r="AV54" s="68">
        <f>IF(AV$37=0,NA(),IF(ISNUMBER(INDEX($D$41:$AD$41,AV$37)),INDEX($D$41:$AD$41,AV$37)/AV53,NA()))</f>
        <v>0</v>
      </c>
      <c r="AW54" s="68">
        <f>IF(AW$37=0,NA(),IF(ISNUMBER(INDEX($D$41:$AD$41,AW$37)),INDEX($D$41:$AD$41,AW$37)/AW53,NA()))</f>
        <v>0</v>
      </c>
      <c r="AX54" s="68">
        <f>IF(AX$37=0,NA(),IF(ISNUMBER(INDEX($D$41:$AD$41,AX$37)),INDEX($D$41:$AD$41,AX$37)/AX53,NA()))</f>
        <v>0</v>
      </c>
      <c r="AY54" s="68">
        <f>IF(AY$37=0,NA(),IF(ISNUMBER(INDEX($D$41:$AD$41,AY$37)),INDEX($D$41:$AD$41,AY$37)/AY53,NA()))</f>
        <v>0</v>
      </c>
      <c r="AZ54" s="68">
        <f>IF(AZ$37=0,NA(),IF(ISNUMBER(INDEX($D$41:$AD$41,AZ$37)),INDEX($D$41:$AD$41,AZ$37)/AZ53,NA()))</f>
        <v>0</v>
      </c>
      <c r="BA54" s="68">
        <f>IF(BA$37=0,NA(),IF(ISNUMBER(INDEX($D$41:$AD$41,BA$37)),INDEX($D$41:$AD$41,BA$37)/BA53,NA()))</f>
        <v>0</v>
      </c>
      <c r="BB54" s="68">
        <f>IF(BB$37=0,NA(),IF(ISNUMBER(INDEX($D$41:$AD$41,BB$37)),INDEX($D$41:$AD$41,BB$37)/BB53,NA()))</f>
        <v>0</v>
      </c>
      <c r="BC54" s="68">
        <f>IF(BC$37=0,NA(),IF(ISNUMBER(INDEX($D$41:$AD$41,BC$37)),INDEX($D$41:$AD$41,BC$37)/BC53,NA()))</f>
        <v>0</v>
      </c>
      <c r="BD54" s="68">
        <f>IF(BD$37=0,NA(),IF(ISNUMBER(INDEX($D$41:$AD$41,BD$37)),INDEX($D$41:$AD$41,BD$37)/BD53,NA()))</f>
        <v>0</v>
      </c>
      <c r="BE54" s="68">
        <f>IF(BE$37=0,NA(),IF(ISNUMBER(INDEX($D$41:$AD$41,BE$37)),INDEX($D$41:$AD$41,BE$37)/BE53,NA()))</f>
        <v>0</v>
      </c>
      <c r="BF54" s="68">
        <f>IF(BF$37=0,NA(),IF(ISNUMBER(INDEX($D$41:$AD$41,BF$37)),INDEX($D$41:$AD$41,BF$37)/BF53,NA()))</f>
        <v>0</v>
      </c>
      <c r="BG54" s="68">
        <f>IF(BG$37=0,NA(),IF(ISNUMBER(INDEX($D$41:$AD$41,BG$37)),INDEX($D$41:$AD$41,BG$37)/BG53,NA()))</f>
        <v>0</v>
      </c>
      <c r="BH54" s="68">
        <f>IF(BH$37=0,NA(),IF(ISNUMBER(INDEX($D$41:$AD$41,BH$37)),INDEX($D$41:$AD$41,BH$37)/BH53,NA()))</f>
        <v>0</v>
      </c>
      <c r="BI54" s="68">
        <f>IF(BI$37=0,NA(),IF(ISNUMBER(INDEX($D$41:$AD$41,BI$37)),INDEX($D$41:$AD$41,BI$37)/BI53,NA()))</f>
        <v>0</v>
      </c>
      <c r="BJ54" s="68">
        <f>IF(BJ$37=0,NA(),IF(ISNUMBER(INDEX($D$41:$AD$41,BJ$37)),INDEX($D$41:$AD$41,BJ$37)/BJ53,NA()))</f>
        <v>0</v>
      </c>
      <c r="BK54" s="68">
        <f>IF(BK$37=0,NA(),IF(ISNUMBER(INDEX($D$41:$AD$41,BK$37)),INDEX($D$41:$AD$41,BK$37)/BK53,NA()))</f>
        <v>0</v>
      </c>
      <c r="BL54" s="68">
        <f>IF(BL$37=0,NA(),IF(ISNUMBER(INDEX($D$41:$AD$41,BL$37)),INDEX($D$41:$AD$41,BL$37)/BL53,NA()))</f>
        <v>0</v>
      </c>
      <c r="BM54" s="68">
        <f>IF(BM$37=0,NA(),IF(ISNUMBER(INDEX($D$41:$AD$41,BM$37)),INDEX($D$41:$AD$41,BM$37)/BM53,NA()))</f>
        <v>0</v>
      </c>
      <c r="BN54" s="68">
        <f>IF(BN$37=0,NA(),IF(ISNUMBER(INDEX($D$41:$AD$41,BN$37)),INDEX($D$41:$AD$41,BN$37)/BN53,NA()))</f>
        <v>0</v>
      </c>
      <c r="BO54" s="68">
        <f>IF(BO$37=0,NA(),IF(ISNUMBER(INDEX($D$41:$AD$41,BO$37)),INDEX($D$41:$AD$41,BO$37)/BO53,NA()))</f>
        <v>0</v>
      </c>
      <c r="BP54" s="68">
        <f>IF(BP$37=0,NA(),IF(ISNUMBER(INDEX($D$41:$AD$41,BP$37)),INDEX($D$41:$AD$41,BP$37)/BP53,NA()))</f>
        <v>0</v>
      </c>
    </row>
    <row r="55" spans="1:68">
      <c r="A55" s="11" t="s">
        <v>637</v>
      </c>
      <c r="B55" s="11" t="s">
        <v>638</v>
      </c>
      <c r="C55" s="67" t="s">
        <v>604</v>
      </c>
      <c r="AQ55" s="68">
        <f>IF(AQ$37=0,NA(),IF(ISNUMBER(INDEX($D$40:$AD$40,AQ$37)),INDEX($D$40:$AD$40,AQ$37)/AQ53,NA()))</f>
        <v>0</v>
      </c>
      <c r="AR55" s="68">
        <f>IF(AR$37=0,NA(),IF(ISNUMBER(INDEX($D$40:$AD$40,AR$37)),INDEX($D$40:$AD$40,AR$37)/AR53,NA()))</f>
        <v>0</v>
      </c>
      <c r="AS55" s="68">
        <f>IF(AS$37=0,NA(),IF(ISNUMBER(INDEX($D$40:$AD$40,AS$37)),INDEX($D$40:$AD$40,AS$37)/AS53,NA()))</f>
        <v>0</v>
      </c>
      <c r="AT55" s="68">
        <f>IF(AT$37=0,NA(),IF(ISNUMBER(INDEX($D$40:$AD$40,AT$37)),INDEX($D$40:$AD$40,AT$37)/AT53,NA()))</f>
        <v>0</v>
      </c>
      <c r="AU55" s="68">
        <f>IF(AU$37=0,NA(),IF(ISNUMBER(INDEX($D$40:$AD$40,AU$37)),INDEX($D$40:$AD$40,AU$37)/AU53,NA()))</f>
        <v>0</v>
      </c>
      <c r="AV55" s="68">
        <f>IF(AV$37=0,NA(),IF(ISNUMBER(INDEX($D$40:$AD$40,AV$37)),INDEX($D$40:$AD$40,AV$37)/AV53,NA()))</f>
        <v>0</v>
      </c>
      <c r="AW55" s="68">
        <f>IF(AW$37=0,NA(),IF(ISNUMBER(INDEX($D$40:$AD$40,AW$37)),INDEX($D$40:$AD$40,AW$37)/AW53,NA()))</f>
        <v>0</v>
      </c>
      <c r="AX55" s="68">
        <f>IF(AX$37=0,NA(),IF(ISNUMBER(INDEX($D$40:$AD$40,AX$37)),INDEX($D$40:$AD$40,AX$37)/AX53,NA()))</f>
        <v>0</v>
      </c>
      <c r="AY55" s="68">
        <f>IF(AY$37=0,NA(),IF(ISNUMBER(INDEX($D$40:$AD$40,AY$37)),INDEX($D$40:$AD$40,AY$37)/AY53,NA()))</f>
        <v>0</v>
      </c>
      <c r="AZ55" s="68">
        <f>IF(AZ$37=0,NA(),IF(ISNUMBER(INDEX($D$40:$AD$40,AZ$37)),INDEX($D$40:$AD$40,AZ$37)/AZ53,NA()))</f>
        <v>0</v>
      </c>
      <c r="BA55" s="68">
        <f>IF(BA$37=0,NA(),IF(ISNUMBER(INDEX($D$40:$AD$40,BA$37)),INDEX($D$40:$AD$40,BA$37)/BA53,NA()))</f>
        <v>0</v>
      </c>
      <c r="BB55" s="68">
        <f>IF(BB$37=0,NA(),IF(ISNUMBER(INDEX($D$40:$AD$40,BB$37)),INDEX($D$40:$AD$40,BB$37)/BB53,NA()))</f>
        <v>0</v>
      </c>
      <c r="BC55" s="68">
        <f>IF(BC$37=0,NA(),IF(ISNUMBER(INDEX($D$40:$AD$40,BC$37)),INDEX($D$40:$AD$40,BC$37)/BC53,NA()))</f>
        <v>0</v>
      </c>
      <c r="BD55" s="68">
        <f>IF(BD$37=0,NA(),IF(ISNUMBER(INDEX($D$40:$AD$40,BD$37)),INDEX($D$40:$AD$40,BD$37)/BD53,NA()))</f>
        <v>0</v>
      </c>
      <c r="BE55" s="68">
        <f>IF(BE$37=0,NA(),IF(ISNUMBER(INDEX($D$40:$AD$40,BE$37)),INDEX($D$40:$AD$40,BE$37)/BE53,NA()))</f>
        <v>0</v>
      </c>
      <c r="BF55" s="68">
        <f>IF(BF$37=0,NA(),IF(ISNUMBER(INDEX($D$40:$AD$40,BF$37)),INDEX($D$40:$AD$40,BF$37)/BF53,NA()))</f>
        <v>0</v>
      </c>
      <c r="BG55" s="68">
        <f>IF(BG$37=0,NA(),IF(ISNUMBER(INDEX($D$40:$AD$40,BG$37)),INDEX($D$40:$AD$40,BG$37)/BG53,NA()))</f>
        <v>0</v>
      </c>
      <c r="BH55" s="68">
        <f>IF(BH$37=0,NA(),IF(ISNUMBER(INDEX($D$40:$AD$40,BH$37)),INDEX($D$40:$AD$40,BH$37)/BH53,NA()))</f>
        <v>0</v>
      </c>
      <c r="BI55" s="68">
        <f>IF(BI$37=0,NA(),IF(ISNUMBER(INDEX($D$40:$AD$40,BI$37)),INDEX($D$40:$AD$40,BI$37)/BI53,NA()))</f>
        <v>0</v>
      </c>
      <c r="BJ55" s="68">
        <f>IF(BJ$37=0,NA(),IF(ISNUMBER(INDEX($D$40:$AD$40,BJ$37)),INDEX($D$40:$AD$40,BJ$37)/BJ53,NA()))</f>
        <v>0</v>
      </c>
      <c r="BK55" s="68">
        <f>IF(BK$37=0,NA(),IF(ISNUMBER(INDEX($D$40:$AD$40,BK$37)),INDEX($D$40:$AD$40,BK$37)/BK53,NA()))</f>
        <v>0</v>
      </c>
      <c r="BL55" s="68">
        <f>IF(BL$37=0,NA(),IF(ISNUMBER(INDEX($D$40:$AD$40,BL$37)),INDEX($D$40:$AD$40,BL$37)/BL53,NA()))</f>
        <v>0</v>
      </c>
      <c r="BM55" s="68">
        <f>IF(BM$37=0,NA(),IF(ISNUMBER(INDEX($D$40:$AD$40,BM$37)),INDEX($D$40:$AD$40,BM$37)/BM53,NA()))</f>
        <v>0</v>
      </c>
      <c r="BN55" s="68">
        <f>IF(BN$37=0,NA(),IF(ISNUMBER(INDEX($D$40:$AD$40,BN$37)),INDEX($D$40:$AD$40,BN$37)/BN53,NA()))</f>
        <v>0</v>
      </c>
      <c r="BO55" s="68">
        <f>IF(BO$37=0,NA(),IF(ISNUMBER(INDEX($D$40:$AD$40,BO$37)),INDEX($D$40:$AD$40,BO$37)/BO53,NA()))</f>
        <v>0</v>
      </c>
      <c r="BP55" s="68">
        <f>IF(BP$37=0,NA(),IF(ISNUMBER(INDEX($D$40:$AD$40,BP$37)),INDEX($D$40:$AD$40,BP$37)/BP53,NA()))</f>
        <v>0</v>
      </c>
    </row>
    <row r="56" spans="1:68">
      <c r="A56" s="11" t="s">
        <v>639</v>
      </c>
      <c r="B56" s="11" t="s">
        <v>640</v>
      </c>
      <c r="C56" s="67" t="s">
        <v>604</v>
      </c>
      <c r="AQ56" s="68">
        <f>IF(AQ$37=0,NA(),IF(ISNUMBER(INDEX($D$42:$AD$42,AQ$37)),INDEX($D$42:$AD$42,AQ$37)/AQ53,NA()))</f>
        <v>0</v>
      </c>
      <c r="AR56" s="68">
        <f>IF(AR$37=0,NA(),IF(ISNUMBER(INDEX($D$42:$AD$42,AR$37)),INDEX($D$42:$AD$42,AR$37)/AR53,NA()))</f>
        <v>0</v>
      </c>
      <c r="AS56" s="68">
        <f>IF(AS$37=0,NA(),IF(ISNUMBER(INDEX($D$42:$AD$42,AS$37)),INDEX($D$42:$AD$42,AS$37)/AS53,NA()))</f>
        <v>0</v>
      </c>
      <c r="AT56" s="68">
        <f>IF(AT$37=0,NA(),IF(ISNUMBER(INDEX($D$42:$AD$42,AT$37)),INDEX($D$42:$AD$42,AT$37)/AT53,NA()))</f>
        <v>0</v>
      </c>
      <c r="AU56" s="68">
        <f>IF(AU$37=0,NA(),IF(ISNUMBER(INDEX($D$42:$AD$42,AU$37)),INDEX($D$42:$AD$42,AU$37)/AU53,NA()))</f>
        <v>0</v>
      </c>
      <c r="AV56" s="68">
        <f>IF(AV$37=0,NA(),IF(ISNUMBER(INDEX($D$42:$AD$42,AV$37)),INDEX($D$42:$AD$42,AV$37)/AV53,NA()))</f>
        <v>0</v>
      </c>
      <c r="AW56" s="68">
        <f>IF(AW$37=0,NA(),IF(ISNUMBER(INDEX($D$42:$AD$42,AW$37)),INDEX($D$42:$AD$42,AW$37)/AW53,NA()))</f>
        <v>0</v>
      </c>
      <c r="AX56" s="68">
        <f>IF(AX$37=0,NA(),IF(ISNUMBER(INDEX($D$42:$AD$42,AX$37)),INDEX($D$42:$AD$42,AX$37)/AX53,NA()))</f>
        <v>0</v>
      </c>
      <c r="AY56" s="68">
        <f>IF(AY$37=0,NA(),IF(ISNUMBER(INDEX($D$42:$AD$42,AY$37)),INDEX($D$42:$AD$42,AY$37)/AY53,NA()))</f>
        <v>0</v>
      </c>
      <c r="AZ56" s="68">
        <f>IF(AZ$37=0,NA(),IF(ISNUMBER(INDEX($D$42:$AD$42,AZ$37)),INDEX($D$42:$AD$42,AZ$37)/AZ53,NA()))</f>
        <v>0</v>
      </c>
      <c r="BA56" s="68">
        <f>IF(BA$37=0,NA(),IF(ISNUMBER(INDEX($D$42:$AD$42,BA$37)),INDEX($D$42:$AD$42,BA$37)/BA53,NA()))</f>
        <v>0</v>
      </c>
      <c r="BB56" s="68">
        <f>IF(BB$37=0,NA(),IF(ISNUMBER(INDEX($D$42:$AD$42,BB$37)),INDEX($D$42:$AD$42,BB$37)/BB53,NA()))</f>
        <v>0</v>
      </c>
      <c r="BC56" s="68">
        <f>IF(BC$37=0,NA(),IF(ISNUMBER(INDEX($D$42:$AD$42,BC$37)),INDEX($D$42:$AD$42,BC$37)/BC53,NA()))</f>
        <v>0</v>
      </c>
      <c r="BD56" s="68">
        <f>IF(BD$37=0,NA(),IF(ISNUMBER(INDEX($D$42:$AD$42,BD$37)),INDEX($D$42:$AD$42,BD$37)/BD53,NA()))</f>
        <v>0</v>
      </c>
      <c r="BE56" s="68">
        <f>IF(BE$37=0,NA(),IF(ISNUMBER(INDEX($D$42:$AD$42,BE$37)),INDEX($D$42:$AD$42,BE$37)/BE53,NA()))</f>
        <v>0</v>
      </c>
      <c r="BF56" s="68">
        <f>IF(BF$37=0,NA(),IF(ISNUMBER(INDEX($D$42:$AD$42,BF$37)),INDEX($D$42:$AD$42,BF$37)/BF53,NA()))</f>
        <v>0</v>
      </c>
      <c r="BG56" s="68">
        <f>IF(BG$37=0,NA(),IF(ISNUMBER(INDEX($D$42:$AD$42,BG$37)),INDEX($D$42:$AD$42,BG$37)/BG53,NA()))</f>
        <v>0</v>
      </c>
      <c r="BH56" s="68">
        <f>IF(BH$37=0,NA(),IF(ISNUMBER(INDEX($D$42:$AD$42,BH$37)),INDEX($D$42:$AD$42,BH$37)/BH53,NA()))</f>
        <v>0</v>
      </c>
      <c r="BI56" s="68">
        <f>IF(BI$37=0,NA(),IF(ISNUMBER(INDEX($D$42:$AD$42,BI$37)),INDEX($D$42:$AD$42,BI$37)/BI53,NA()))</f>
        <v>0</v>
      </c>
      <c r="BJ56" s="68">
        <f>IF(BJ$37=0,NA(),IF(ISNUMBER(INDEX($D$42:$AD$42,BJ$37)),INDEX($D$42:$AD$42,BJ$37)/BJ53,NA()))</f>
        <v>0</v>
      </c>
      <c r="BK56" s="68">
        <f>IF(BK$37=0,NA(),IF(ISNUMBER(INDEX($D$42:$AD$42,BK$37)),INDEX($D$42:$AD$42,BK$37)/BK53,NA()))</f>
        <v>0</v>
      </c>
      <c r="BL56" s="68">
        <f>IF(BL$37=0,NA(),IF(ISNUMBER(INDEX($D$42:$AD$42,BL$37)),INDEX($D$42:$AD$42,BL$37)/BL53,NA()))</f>
        <v>0</v>
      </c>
      <c r="BM56" s="68">
        <f>IF(BM$37=0,NA(),IF(ISNUMBER(INDEX($D$42:$AD$42,BM$37)),INDEX($D$42:$AD$42,BM$37)/BM53,NA()))</f>
        <v>0</v>
      </c>
      <c r="BN56" s="68">
        <f>IF(BN$37=0,NA(),IF(ISNUMBER(INDEX($D$42:$AD$42,BN$37)),INDEX($D$42:$AD$42,BN$37)/BN53,NA()))</f>
        <v>0</v>
      </c>
      <c r="BO56" s="68">
        <f>IF(BO$37=0,NA(),IF(ISNUMBER(INDEX($D$42:$AD$42,BO$37)),INDEX($D$42:$AD$42,BO$37)/BO53,NA()))</f>
        <v>0</v>
      </c>
      <c r="BP56" s="68">
        <f>IF(BP$37=0,NA(),IF(ISNUMBER(INDEX($D$42:$AD$42,BP$37)),INDEX($D$42:$AD$42,BP$37)/BP53,NA()))</f>
        <v>0</v>
      </c>
    </row>
    <row r="57" spans="1:68">
      <c r="A57" s="11" t="s">
        <v>641</v>
      </c>
      <c r="B57" s="11" t="s">
        <v>642</v>
      </c>
      <c r="C57" s="67" t="s">
        <v>604</v>
      </c>
      <c r="AQ57" s="68">
        <f>IF(AQ$37=0,NA(),(_xlfn.AGGREGATE(9,6,INDEX($D$41:$AD$41,28-$D$36):$AD$41)&gt;_xlfn.AGGREGATE(9,6,INDEX($D$40:$AD$40,28-$D$36):$AD$40))+(_xlfn.AGGREGATE(9,6,INDEX($D$41:$AD$41,28-$D$36):$AD$41)&gt;_xlfn.AGGREGATE(9,6,INDEX($D$42:$AD$42,28-$D$36):$AD$42))+(_xlfn.AGGREGATE(9,6,INDEX($D$41:$AD$41,28-$D$36):$AD$41)=_xlfn.AGGREGATE(9,6,INDEX($D$42:$AD$42,28-$D$36):$AD$42)))</f>
        <v>0</v>
      </c>
      <c r="AR57" s="68">
        <f>IF(AR$37=0,NA(),(_xlfn.AGGREGATE(9,6,INDEX($D$41:$AD$41,28-$D$36):$AD$41)&gt;_xlfn.AGGREGATE(9,6,INDEX($D$40:$AD$40,28-$D$36):$AD$40))+(_xlfn.AGGREGATE(9,6,INDEX($D$41:$AD$41,28-$D$36):$AD$41)&gt;_xlfn.AGGREGATE(9,6,INDEX($D$42:$AD$42,28-$D$36):$AD$42))+(_xlfn.AGGREGATE(9,6,INDEX($D$41:$AD$41,28-$D$36):$AD$41)=_xlfn.AGGREGATE(9,6,INDEX($D$42:$AD$42,28-$D$36):$AD$42)))</f>
        <v>0</v>
      </c>
      <c r="AS57" s="68">
        <f>IF(AS$37=0,NA(),(_xlfn.AGGREGATE(9,6,INDEX($D$41:$AD$41,28-$D$36):$AD$41)&gt;_xlfn.AGGREGATE(9,6,INDEX($D$40:$AD$40,28-$D$36):$AD$40))+(_xlfn.AGGREGATE(9,6,INDEX($D$41:$AD$41,28-$D$36):$AD$41)&gt;_xlfn.AGGREGATE(9,6,INDEX($D$42:$AD$42,28-$D$36):$AD$42))+(_xlfn.AGGREGATE(9,6,INDEX($D$41:$AD$41,28-$D$36):$AD$41)=_xlfn.AGGREGATE(9,6,INDEX($D$42:$AD$42,28-$D$36):$AD$42)))</f>
        <v>0</v>
      </c>
      <c r="AT57" s="68">
        <f>IF(AT$37=0,NA(),(_xlfn.AGGREGATE(9,6,INDEX($D$41:$AD$41,28-$D$36):$AD$41)&gt;_xlfn.AGGREGATE(9,6,INDEX($D$40:$AD$40,28-$D$36):$AD$40))+(_xlfn.AGGREGATE(9,6,INDEX($D$41:$AD$41,28-$D$36):$AD$41)&gt;_xlfn.AGGREGATE(9,6,INDEX($D$42:$AD$42,28-$D$36):$AD$42))+(_xlfn.AGGREGATE(9,6,INDEX($D$41:$AD$41,28-$D$36):$AD$41)=_xlfn.AGGREGATE(9,6,INDEX($D$42:$AD$42,28-$D$36):$AD$42)))</f>
        <v>0</v>
      </c>
      <c r="AU57" s="68">
        <f>IF(AU$37=0,NA(),(_xlfn.AGGREGATE(9,6,INDEX($D$41:$AD$41,28-$D$36):$AD$41)&gt;_xlfn.AGGREGATE(9,6,INDEX($D$40:$AD$40,28-$D$36):$AD$40))+(_xlfn.AGGREGATE(9,6,INDEX($D$41:$AD$41,28-$D$36):$AD$41)&gt;_xlfn.AGGREGATE(9,6,INDEX($D$42:$AD$42,28-$D$36):$AD$42))+(_xlfn.AGGREGATE(9,6,INDEX($D$41:$AD$41,28-$D$36):$AD$41)=_xlfn.AGGREGATE(9,6,INDEX($D$42:$AD$42,28-$D$36):$AD$42)))</f>
        <v>0</v>
      </c>
      <c r="AV57" s="68">
        <f>IF(AV$37=0,NA(),(_xlfn.AGGREGATE(9,6,INDEX($D$41:$AD$41,28-$D$36):$AD$41)&gt;_xlfn.AGGREGATE(9,6,INDEX($D$40:$AD$40,28-$D$36):$AD$40))+(_xlfn.AGGREGATE(9,6,INDEX($D$41:$AD$41,28-$D$36):$AD$41)&gt;_xlfn.AGGREGATE(9,6,INDEX($D$42:$AD$42,28-$D$36):$AD$42))+(_xlfn.AGGREGATE(9,6,INDEX($D$41:$AD$41,28-$D$36):$AD$41)=_xlfn.AGGREGATE(9,6,INDEX($D$42:$AD$42,28-$D$36):$AD$42)))</f>
        <v>0</v>
      </c>
      <c r="AW57" s="68">
        <f>IF(AW$37=0,NA(),(_xlfn.AGGREGATE(9,6,INDEX($D$41:$AD$41,28-$D$36):$AD$41)&gt;_xlfn.AGGREGATE(9,6,INDEX($D$40:$AD$40,28-$D$36):$AD$40))+(_xlfn.AGGREGATE(9,6,INDEX($D$41:$AD$41,28-$D$36):$AD$41)&gt;_xlfn.AGGREGATE(9,6,INDEX($D$42:$AD$42,28-$D$36):$AD$42))+(_xlfn.AGGREGATE(9,6,INDEX($D$41:$AD$41,28-$D$36):$AD$41)=_xlfn.AGGREGATE(9,6,INDEX($D$42:$AD$42,28-$D$36):$AD$42)))</f>
        <v>0</v>
      </c>
      <c r="AX57" s="68">
        <f>IF(AX$37=0,NA(),(_xlfn.AGGREGATE(9,6,INDEX($D$41:$AD$41,28-$D$36):$AD$41)&gt;_xlfn.AGGREGATE(9,6,INDEX($D$40:$AD$40,28-$D$36):$AD$40))+(_xlfn.AGGREGATE(9,6,INDEX($D$41:$AD$41,28-$D$36):$AD$41)&gt;_xlfn.AGGREGATE(9,6,INDEX($D$42:$AD$42,28-$D$36):$AD$42))+(_xlfn.AGGREGATE(9,6,INDEX($D$41:$AD$41,28-$D$36):$AD$41)=_xlfn.AGGREGATE(9,6,INDEX($D$42:$AD$42,28-$D$36):$AD$42)))</f>
        <v>0</v>
      </c>
      <c r="AY57" s="68">
        <f>IF(AY$37=0,NA(),(_xlfn.AGGREGATE(9,6,INDEX($D$41:$AD$41,28-$D$36):$AD$41)&gt;_xlfn.AGGREGATE(9,6,INDEX($D$40:$AD$40,28-$D$36):$AD$40))+(_xlfn.AGGREGATE(9,6,INDEX($D$41:$AD$41,28-$D$36):$AD$41)&gt;_xlfn.AGGREGATE(9,6,INDEX($D$42:$AD$42,28-$D$36):$AD$42))+(_xlfn.AGGREGATE(9,6,INDEX($D$41:$AD$41,28-$D$36):$AD$41)=_xlfn.AGGREGATE(9,6,INDEX($D$42:$AD$42,28-$D$36):$AD$42)))</f>
        <v>0</v>
      </c>
      <c r="AZ57" s="68">
        <f>IF(AZ$37=0,NA(),(_xlfn.AGGREGATE(9,6,INDEX($D$41:$AD$41,28-$D$36):$AD$41)&gt;_xlfn.AGGREGATE(9,6,INDEX($D$40:$AD$40,28-$D$36):$AD$40))+(_xlfn.AGGREGATE(9,6,INDEX($D$41:$AD$41,28-$D$36):$AD$41)&gt;_xlfn.AGGREGATE(9,6,INDEX($D$42:$AD$42,28-$D$36):$AD$42))+(_xlfn.AGGREGATE(9,6,INDEX($D$41:$AD$41,28-$D$36):$AD$41)=_xlfn.AGGREGATE(9,6,INDEX($D$42:$AD$42,28-$D$36):$AD$42)))</f>
        <v>0</v>
      </c>
      <c r="BA57" s="68">
        <f>IF(BA$37=0,NA(),(_xlfn.AGGREGATE(9,6,INDEX($D$41:$AD$41,28-$D$36):$AD$41)&gt;_xlfn.AGGREGATE(9,6,INDEX($D$40:$AD$40,28-$D$36):$AD$40))+(_xlfn.AGGREGATE(9,6,INDEX($D$41:$AD$41,28-$D$36):$AD$41)&gt;_xlfn.AGGREGATE(9,6,INDEX($D$42:$AD$42,28-$D$36):$AD$42))+(_xlfn.AGGREGATE(9,6,INDEX($D$41:$AD$41,28-$D$36):$AD$41)=_xlfn.AGGREGATE(9,6,INDEX($D$42:$AD$42,28-$D$36):$AD$42)))</f>
        <v>0</v>
      </c>
      <c r="BB57" s="68">
        <f>IF(BB$37=0,NA(),(_xlfn.AGGREGATE(9,6,INDEX($D$41:$AD$41,28-$D$36):$AD$41)&gt;_xlfn.AGGREGATE(9,6,INDEX($D$40:$AD$40,28-$D$36):$AD$40))+(_xlfn.AGGREGATE(9,6,INDEX($D$41:$AD$41,28-$D$36):$AD$41)&gt;_xlfn.AGGREGATE(9,6,INDEX($D$42:$AD$42,28-$D$36):$AD$42))+(_xlfn.AGGREGATE(9,6,INDEX($D$41:$AD$41,28-$D$36):$AD$41)=_xlfn.AGGREGATE(9,6,INDEX($D$42:$AD$42,28-$D$36):$AD$42)))</f>
        <v>0</v>
      </c>
      <c r="BC57" s="68">
        <f>IF(BC$37=0,NA(),(_xlfn.AGGREGATE(9,6,INDEX($D$41:$AD$41,28-$D$36):$AD$41)&gt;_xlfn.AGGREGATE(9,6,INDEX($D$40:$AD$40,28-$D$36):$AD$40))+(_xlfn.AGGREGATE(9,6,INDEX($D$41:$AD$41,28-$D$36):$AD$41)&gt;_xlfn.AGGREGATE(9,6,INDEX($D$42:$AD$42,28-$D$36):$AD$42))+(_xlfn.AGGREGATE(9,6,INDEX($D$41:$AD$41,28-$D$36):$AD$41)=_xlfn.AGGREGATE(9,6,INDEX($D$42:$AD$42,28-$D$36):$AD$42)))</f>
        <v>0</v>
      </c>
      <c r="BD57" s="68">
        <f>IF(BD$37=0,NA(),(_xlfn.AGGREGATE(9,6,INDEX($D$41:$AD$41,28-$D$36):$AD$41)&gt;_xlfn.AGGREGATE(9,6,INDEX($D$40:$AD$40,28-$D$36):$AD$40))+(_xlfn.AGGREGATE(9,6,INDEX($D$41:$AD$41,28-$D$36):$AD$41)&gt;_xlfn.AGGREGATE(9,6,INDEX($D$42:$AD$42,28-$D$36):$AD$42))+(_xlfn.AGGREGATE(9,6,INDEX($D$41:$AD$41,28-$D$36):$AD$41)=_xlfn.AGGREGATE(9,6,INDEX($D$42:$AD$42,28-$D$36):$AD$42)))</f>
        <v>0</v>
      </c>
      <c r="BE57" s="68">
        <f>IF(BE$37=0,NA(),(_xlfn.AGGREGATE(9,6,INDEX($D$41:$AD$41,28-$D$36):$AD$41)&gt;_xlfn.AGGREGATE(9,6,INDEX($D$40:$AD$40,28-$D$36):$AD$40))+(_xlfn.AGGREGATE(9,6,INDEX($D$41:$AD$41,28-$D$36):$AD$41)&gt;_xlfn.AGGREGATE(9,6,INDEX($D$42:$AD$42,28-$D$36):$AD$42))+(_xlfn.AGGREGATE(9,6,INDEX($D$41:$AD$41,28-$D$36):$AD$41)=_xlfn.AGGREGATE(9,6,INDEX($D$42:$AD$42,28-$D$36):$AD$42)))</f>
        <v>0</v>
      </c>
      <c r="BF57" s="68">
        <f>IF(BF$37=0,NA(),(_xlfn.AGGREGATE(9,6,INDEX($D$41:$AD$41,28-$D$36):$AD$41)&gt;_xlfn.AGGREGATE(9,6,INDEX($D$40:$AD$40,28-$D$36):$AD$40))+(_xlfn.AGGREGATE(9,6,INDEX($D$41:$AD$41,28-$D$36):$AD$41)&gt;_xlfn.AGGREGATE(9,6,INDEX($D$42:$AD$42,28-$D$36):$AD$42))+(_xlfn.AGGREGATE(9,6,INDEX($D$41:$AD$41,28-$D$36):$AD$41)=_xlfn.AGGREGATE(9,6,INDEX($D$42:$AD$42,28-$D$36):$AD$42)))</f>
        <v>0</v>
      </c>
      <c r="BG57" s="68">
        <f>IF(BG$37=0,NA(),(_xlfn.AGGREGATE(9,6,INDEX($D$41:$AD$41,28-$D$36):$AD$41)&gt;_xlfn.AGGREGATE(9,6,INDEX($D$40:$AD$40,28-$D$36):$AD$40))+(_xlfn.AGGREGATE(9,6,INDEX($D$41:$AD$41,28-$D$36):$AD$41)&gt;_xlfn.AGGREGATE(9,6,INDEX($D$42:$AD$42,28-$D$36):$AD$42))+(_xlfn.AGGREGATE(9,6,INDEX($D$41:$AD$41,28-$D$36):$AD$41)=_xlfn.AGGREGATE(9,6,INDEX($D$42:$AD$42,28-$D$36):$AD$42)))</f>
        <v>0</v>
      </c>
      <c r="BH57" s="68">
        <f>IF(BH$37=0,NA(),(_xlfn.AGGREGATE(9,6,INDEX($D$41:$AD$41,28-$D$36):$AD$41)&gt;_xlfn.AGGREGATE(9,6,INDEX($D$40:$AD$40,28-$D$36):$AD$40))+(_xlfn.AGGREGATE(9,6,INDEX($D$41:$AD$41,28-$D$36):$AD$41)&gt;_xlfn.AGGREGATE(9,6,INDEX($D$42:$AD$42,28-$D$36):$AD$42))+(_xlfn.AGGREGATE(9,6,INDEX($D$41:$AD$41,28-$D$36):$AD$41)=_xlfn.AGGREGATE(9,6,INDEX($D$42:$AD$42,28-$D$36):$AD$42)))</f>
        <v>0</v>
      </c>
      <c r="BI57" s="68">
        <f>IF(BI$37=0,NA(),(_xlfn.AGGREGATE(9,6,INDEX($D$41:$AD$41,28-$D$36):$AD$41)&gt;_xlfn.AGGREGATE(9,6,INDEX($D$40:$AD$40,28-$D$36):$AD$40))+(_xlfn.AGGREGATE(9,6,INDEX($D$41:$AD$41,28-$D$36):$AD$41)&gt;_xlfn.AGGREGATE(9,6,INDEX($D$42:$AD$42,28-$D$36):$AD$42))+(_xlfn.AGGREGATE(9,6,INDEX($D$41:$AD$41,28-$D$36):$AD$41)=_xlfn.AGGREGATE(9,6,INDEX($D$42:$AD$42,28-$D$36):$AD$42)))</f>
        <v>0</v>
      </c>
      <c r="BJ57" s="68">
        <f>IF(BJ$37=0,NA(),(_xlfn.AGGREGATE(9,6,INDEX($D$41:$AD$41,28-$D$36):$AD$41)&gt;_xlfn.AGGREGATE(9,6,INDEX($D$40:$AD$40,28-$D$36):$AD$40))+(_xlfn.AGGREGATE(9,6,INDEX($D$41:$AD$41,28-$D$36):$AD$41)&gt;_xlfn.AGGREGATE(9,6,INDEX($D$42:$AD$42,28-$D$36):$AD$42))+(_xlfn.AGGREGATE(9,6,INDEX($D$41:$AD$41,28-$D$36):$AD$41)=_xlfn.AGGREGATE(9,6,INDEX($D$42:$AD$42,28-$D$36):$AD$42)))</f>
        <v>0</v>
      </c>
      <c r="BK57" s="68">
        <f>IF(BK$37=0,NA(),(_xlfn.AGGREGATE(9,6,INDEX($D$41:$AD$41,28-$D$36):$AD$41)&gt;_xlfn.AGGREGATE(9,6,INDEX($D$40:$AD$40,28-$D$36):$AD$40))+(_xlfn.AGGREGATE(9,6,INDEX($D$41:$AD$41,28-$D$36):$AD$41)&gt;_xlfn.AGGREGATE(9,6,INDEX($D$42:$AD$42,28-$D$36):$AD$42))+(_xlfn.AGGREGATE(9,6,INDEX($D$41:$AD$41,28-$D$36):$AD$41)=_xlfn.AGGREGATE(9,6,INDEX($D$42:$AD$42,28-$D$36):$AD$42)))</f>
        <v>0</v>
      </c>
      <c r="BL57" s="68">
        <f>IF(BL$37=0,NA(),(_xlfn.AGGREGATE(9,6,INDEX($D$41:$AD$41,28-$D$36):$AD$41)&gt;_xlfn.AGGREGATE(9,6,INDEX($D$40:$AD$40,28-$D$36):$AD$40))+(_xlfn.AGGREGATE(9,6,INDEX($D$41:$AD$41,28-$D$36):$AD$41)&gt;_xlfn.AGGREGATE(9,6,INDEX($D$42:$AD$42,28-$D$36):$AD$42))+(_xlfn.AGGREGATE(9,6,INDEX($D$41:$AD$41,28-$D$36):$AD$41)=_xlfn.AGGREGATE(9,6,INDEX($D$42:$AD$42,28-$D$36):$AD$42)))</f>
        <v>0</v>
      </c>
      <c r="BM57" s="68">
        <f>IF(BM$37=0,NA(),(_xlfn.AGGREGATE(9,6,INDEX($D$41:$AD$41,28-$D$36):$AD$41)&gt;_xlfn.AGGREGATE(9,6,INDEX($D$40:$AD$40,28-$D$36):$AD$40))+(_xlfn.AGGREGATE(9,6,INDEX($D$41:$AD$41,28-$D$36):$AD$41)&gt;_xlfn.AGGREGATE(9,6,INDEX($D$42:$AD$42,28-$D$36):$AD$42))+(_xlfn.AGGREGATE(9,6,INDEX($D$41:$AD$41,28-$D$36):$AD$41)=_xlfn.AGGREGATE(9,6,INDEX($D$42:$AD$42,28-$D$36):$AD$42)))</f>
        <v>0</v>
      </c>
      <c r="BN57" s="68">
        <f>IF(BN$37=0,NA(),(_xlfn.AGGREGATE(9,6,INDEX($D$41:$AD$41,28-$D$36):$AD$41)&gt;_xlfn.AGGREGATE(9,6,INDEX($D$40:$AD$40,28-$D$36):$AD$40))+(_xlfn.AGGREGATE(9,6,INDEX($D$41:$AD$41,28-$D$36):$AD$41)&gt;_xlfn.AGGREGATE(9,6,INDEX($D$42:$AD$42,28-$D$36):$AD$42))+(_xlfn.AGGREGATE(9,6,INDEX($D$41:$AD$41,28-$D$36):$AD$41)=_xlfn.AGGREGATE(9,6,INDEX($D$42:$AD$42,28-$D$36):$AD$42)))</f>
        <v>0</v>
      </c>
      <c r="BO57" s="68">
        <f>IF(BO$37=0,NA(),(_xlfn.AGGREGATE(9,6,INDEX($D$41:$AD$41,28-$D$36):$AD$41)&gt;_xlfn.AGGREGATE(9,6,INDEX($D$40:$AD$40,28-$D$36):$AD$40))+(_xlfn.AGGREGATE(9,6,INDEX($D$41:$AD$41,28-$D$36):$AD$41)&gt;_xlfn.AGGREGATE(9,6,INDEX($D$42:$AD$42,28-$D$36):$AD$42))+(_xlfn.AGGREGATE(9,6,INDEX($D$41:$AD$41,28-$D$36):$AD$41)=_xlfn.AGGREGATE(9,6,INDEX($D$42:$AD$42,28-$D$36):$AD$42)))</f>
        <v>0</v>
      </c>
      <c r="BP57" s="68">
        <f>IF(BP$37=0,NA(),(_xlfn.AGGREGATE(9,6,INDEX($D$41:$AD$41,28-$D$36):$AD$41)&gt;_xlfn.AGGREGATE(9,6,INDEX($D$40:$AD$40,28-$D$36):$AD$40))+(_xlfn.AGGREGATE(9,6,INDEX($D$41:$AD$41,28-$D$36):$AD$41)&gt;_xlfn.AGGREGATE(9,6,INDEX($D$42:$AD$42,28-$D$36):$AD$42))+(_xlfn.AGGREGATE(9,6,INDEX($D$41:$AD$41,28-$D$36):$AD$41)=_xlfn.AGGREGATE(9,6,INDEX($D$42:$AD$42,28-$D$36):$AD$42)))</f>
        <v>0</v>
      </c>
    </row>
    <row r="58" spans="1:68">
      <c r="A58" s="11" t="s">
        <v>643</v>
      </c>
      <c r="B58" s="11" t="s">
        <v>644</v>
      </c>
      <c r="C58" s="67" t="s">
        <v>604</v>
      </c>
      <c r="AQ58" s="11">
        <f>IF(AQ$37=0,"",IF(ISNUMBER(INDEX($D$41:$AD$41,AQ$37)),FIXED(INDEX($D$41:$AD$41,AQ$37)/1000,1),""))</f>
        <v>0</v>
      </c>
      <c r="AR58" s="11">
        <f>IF(AR$37=0,"",IF(ISNUMBER(INDEX($D$41:$AD$41,AR$37)),FIXED(INDEX($D$41:$AD$41,AR$37)/1000,1),""))</f>
        <v>0</v>
      </c>
      <c r="AS58" s="11">
        <f>IF(AS$37=0,"",IF(ISNUMBER(INDEX($D$41:$AD$41,AS$37)),FIXED(INDEX($D$41:$AD$41,AS$37)/1000,1),""))</f>
        <v>0</v>
      </c>
      <c r="AT58" s="11">
        <f>IF(AT$37=0,"",IF(ISNUMBER(INDEX($D$41:$AD$41,AT$37)),FIXED(INDEX($D$41:$AD$41,AT$37)/1000,1),""))</f>
        <v>0</v>
      </c>
      <c r="AU58" s="11">
        <f>IF(AU$37=0,"",IF(ISNUMBER(INDEX($D$41:$AD$41,AU$37)),FIXED(INDEX($D$41:$AD$41,AU$37)/1000,1),""))</f>
        <v>0</v>
      </c>
      <c r="AV58" s="11">
        <f>IF(AV$37=0,"",IF(ISNUMBER(INDEX($D$41:$AD$41,AV$37)),FIXED(INDEX($D$41:$AD$41,AV$37)/1000,1),""))</f>
        <v>0</v>
      </c>
      <c r="AW58" s="11">
        <f>IF(AW$37=0,"",IF(ISNUMBER(INDEX($D$41:$AD$41,AW$37)),FIXED(INDEX($D$41:$AD$41,AW$37)/1000,1),""))</f>
        <v>0</v>
      </c>
      <c r="AX58" s="11">
        <f>IF(AX$37=0,"",IF(ISNUMBER(INDEX($D$41:$AD$41,AX$37)),FIXED(INDEX($D$41:$AD$41,AX$37)/1000,1),""))</f>
        <v>0</v>
      </c>
      <c r="AY58" s="11">
        <f>IF(AY$37=0,"",IF(ISNUMBER(INDEX($D$41:$AD$41,AY$37)),FIXED(INDEX($D$41:$AD$41,AY$37)/1000,1),""))</f>
        <v>0</v>
      </c>
      <c r="AZ58" s="11">
        <f>IF(AZ$37=0,"",IF(ISNUMBER(INDEX($D$41:$AD$41,AZ$37)),FIXED(INDEX($D$41:$AD$41,AZ$37)/1000,1),""))</f>
        <v>0</v>
      </c>
      <c r="BA58" s="11">
        <f>IF(BA$37=0,"",IF(ISNUMBER(INDEX($D$41:$AD$41,BA$37)),FIXED(INDEX($D$41:$AD$41,BA$37)/1000,1),""))</f>
        <v>0</v>
      </c>
      <c r="BB58" s="11">
        <f>IF(BB$37=0,"",IF(ISNUMBER(INDEX($D$41:$AD$41,BB$37)),FIXED(INDEX($D$41:$AD$41,BB$37)/1000,1),""))</f>
        <v>0</v>
      </c>
      <c r="BC58" s="11">
        <f>IF(BC$37=0,"",IF(ISNUMBER(INDEX($D$41:$AD$41,BC$37)),FIXED(INDEX($D$41:$AD$41,BC$37)/1000,1),""))</f>
        <v>0</v>
      </c>
      <c r="BD58" s="11">
        <f>IF(BD$37=0,"",IF(ISNUMBER(INDEX($D$41:$AD$41,BD$37)),FIXED(INDEX($D$41:$AD$41,BD$37)/1000,1),""))</f>
        <v>0</v>
      </c>
      <c r="BE58" s="11">
        <f>IF(BE$37=0,"",IF(ISNUMBER(INDEX($D$41:$AD$41,BE$37)),FIXED(INDEX($D$41:$AD$41,BE$37)/1000,1),""))</f>
        <v>0</v>
      </c>
      <c r="BF58" s="11">
        <f>IF(BF$37=0,"",IF(ISNUMBER(INDEX($D$41:$AD$41,BF$37)),FIXED(INDEX($D$41:$AD$41,BF$37)/1000,1),""))</f>
        <v>0</v>
      </c>
      <c r="BG58" s="11">
        <f>IF(BG$37=0,"",IF(ISNUMBER(INDEX($D$41:$AD$41,BG$37)),FIXED(INDEX($D$41:$AD$41,BG$37)/1000,1),""))</f>
        <v>0</v>
      </c>
      <c r="BH58" s="11">
        <f>IF(BH$37=0,"",IF(ISNUMBER(INDEX($D$41:$AD$41,BH$37)),FIXED(INDEX($D$41:$AD$41,BH$37)/1000,1),""))</f>
        <v>0</v>
      </c>
      <c r="BI58" s="11">
        <f>IF(BI$37=0,"",IF(ISNUMBER(INDEX($D$41:$AD$41,BI$37)),FIXED(INDEX($D$41:$AD$41,BI$37)/1000,1),""))</f>
        <v>0</v>
      </c>
      <c r="BJ58" s="11">
        <f>IF(BJ$37=0,"",IF(ISNUMBER(INDEX($D$41:$AD$41,BJ$37)),FIXED(INDEX($D$41:$AD$41,BJ$37)/1000,1),""))</f>
        <v>0</v>
      </c>
      <c r="BK58" s="11">
        <f>IF(BK$37=0,"",IF(ISNUMBER(INDEX($D$41:$AD$41,BK$37)),FIXED(INDEX($D$41:$AD$41,BK$37)/1000,1),""))</f>
        <v>0</v>
      </c>
      <c r="BL58" s="11">
        <f>IF(BL$37=0,"",IF(ISNUMBER(INDEX($D$41:$AD$41,BL$37)),FIXED(INDEX($D$41:$AD$41,BL$37)/1000,1),""))</f>
        <v>0</v>
      </c>
      <c r="BM58" s="11">
        <f>IF(BM$37=0,"",IF(ISNUMBER(INDEX($D$41:$AD$41,BM$37)),FIXED(INDEX($D$41:$AD$41,BM$37)/1000,1),""))</f>
        <v>0</v>
      </c>
      <c r="BN58" s="11">
        <f>IF(BN$37=0,"",IF(ISNUMBER(INDEX($D$41:$AD$41,BN$37)),FIXED(INDEX($D$41:$AD$41,BN$37)/1000,1),""))</f>
        <v>0</v>
      </c>
      <c r="BO58" s="11">
        <f>IF(BO$37=0,"",IF(ISNUMBER(INDEX($D$41:$AD$41,BO$37)),FIXED(INDEX($D$41:$AD$41,BO$37)/1000,1),""))</f>
        <v>0</v>
      </c>
      <c r="BP58" s="11">
        <f>IF(BP$37=0,"",IF(ISNUMBER(INDEX($D$41:$AD$41,BP$37)),FIXED(INDEX($D$41:$AD$41,BP$37)/1000,1),""))</f>
        <v>0</v>
      </c>
    </row>
    <row r="59" spans="1:68">
      <c r="A59" s="11" t="s">
        <v>645</v>
      </c>
      <c r="B59" s="11" t="s">
        <v>646</v>
      </c>
      <c r="C59" s="67" t="s">
        <v>604</v>
      </c>
      <c r="AQ59" s="68">
        <f>IF(AQ$37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AR59" s="68">
        <f>IF(AR$37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AS59" s="68">
        <f>IF(AS$37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AT59" s="68">
        <f>IF(AT$37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AU59" s="68">
        <f>IF(AU$37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AV59" s="68">
        <f>IF(AV$37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AW59" s="68">
        <f>IF(AW$37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AX59" s="68">
        <f>IF(AX$37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AY59" s="68">
        <f>IF(AY$37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AZ59" s="68">
        <f>IF(AZ$37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A59" s="68">
        <f>IF(BA$37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B59" s="68">
        <f>IF(BB$37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C59" s="68">
        <f>IF(BC$37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D59" s="68">
        <f>IF(BD$37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E59" s="68">
        <f>IF(BE$37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F59" s="68">
        <f>IF(BF$37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G59" s="68">
        <f>IF(BG$37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H59" s="68">
        <f>IF(BH$37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I59" s="68">
        <f>IF(BI$37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J59" s="68">
        <f>IF(BJ$37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K59" s="68">
        <f>IF(BK$37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L59" s="68">
        <f>IF(BL$37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M59" s="68">
        <f>IF(BM$37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N59" s="68">
        <f>IF(BN$37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O59" s="68">
        <f>IF(BO$37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c r="BP59" s="68">
        <f>IF(BP$37=0,NA(),(_xlfn.AGGREGATE(9,6,INDEX($D$40:$AD$40,28-$D$36):$AD$40)&gt;_xlfn.AGGREGATE(9,6,INDEX($D$41:$AD$41,28-$D$36):$AD$41))+(_xlfn.AGGREGATE(9,6,INDEX($D$40:$AD$40,28-$D$36):$AD$40)=_xlfn.AGGREGATE(9,6,INDEX($D$41:$AD$41,28-$D$36):$AD$41))+(_xlfn.AGGREGATE(9,6,INDEX($D$40:$AD$40,28-$D$36):$AD$40)&gt;_xlfn.AGGREGATE(9,6,INDEX($D$42:$AD$42,28-$D$36):$AD$42))+(_xlfn.AGGREGATE(9,6,INDEX($D$40:$AD$40,28-$D$36):$AD$40)=_xlfn.AGGREGATE(9,6,INDEX($D$42:$AD$42,28-$D$36):$AD$42)))</f>
        <v>0</v>
      </c>
    </row>
    <row r="60" spans="1:68">
      <c r="A60" s="11" t="s">
        <v>647</v>
      </c>
      <c r="B60" s="11" t="s">
        <v>648</v>
      </c>
      <c r="C60" s="67" t="s">
        <v>604</v>
      </c>
      <c r="AQ60" s="11">
        <f>IF(AQ$37=0,"",IF(ISNUMBER(INDEX($D$40:$AD$40,AQ$37)),FIXED(INDEX($D$40:$AD$40,AQ$37)/1000,1),""))</f>
        <v>0</v>
      </c>
      <c r="AR60" s="11">
        <f>IF(AR$37=0,"",IF(ISNUMBER(INDEX($D$40:$AD$40,AR$37)),FIXED(INDEX($D$40:$AD$40,AR$37)/1000,1),""))</f>
        <v>0</v>
      </c>
      <c r="AS60" s="11">
        <f>IF(AS$37=0,"",IF(ISNUMBER(INDEX($D$40:$AD$40,AS$37)),FIXED(INDEX($D$40:$AD$40,AS$37)/1000,1),""))</f>
        <v>0</v>
      </c>
      <c r="AT60" s="11">
        <f>IF(AT$37=0,"",IF(ISNUMBER(INDEX($D$40:$AD$40,AT$37)),FIXED(INDEX($D$40:$AD$40,AT$37)/1000,1),""))</f>
        <v>0</v>
      </c>
      <c r="AU60" s="11">
        <f>IF(AU$37=0,"",IF(ISNUMBER(INDEX($D$40:$AD$40,AU$37)),FIXED(INDEX($D$40:$AD$40,AU$37)/1000,1),""))</f>
        <v>0</v>
      </c>
      <c r="AV60" s="11">
        <f>IF(AV$37=0,"",IF(ISNUMBER(INDEX($D$40:$AD$40,AV$37)),FIXED(INDEX($D$40:$AD$40,AV$37)/1000,1),""))</f>
        <v>0</v>
      </c>
      <c r="AW60" s="11">
        <f>IF(AW$37=0,"",IF(ISNUMBER(INDEX($D$40:$AD$40,AW$37)),FIXED(INDEX($D$40:$AD$40,AW$37)/1000,1),""))</f>
        <v>0</v>
      </c>
      <c r="AX60" s="11">
        <f>IF(AX$37=0,"",IF(ISNUMBER(INDEX($D$40:$AD$40,AX$37)),FIXED(INDEX($D$40:$AD$40,AX$37)/1000,1),""))</f>
        <v>0</v>
      </c>
      <c r="AY60" s="11">
        <f>IF(AY$37=0,"",IF(ISNUMBER(INDEX($D$40:$AD$40,AY$37)),FIXED(INDEX($D$40:$AD$40,AY$37)/1000,1),""))</f>
        <v>0</v>
      </c>
      <c r="AZ60" s="11">
        <f>IF(AZ$37=0,"",IF(ISNUMBER(INDEX($D$40:$AD$40,AZ$37)),FIXED(INDEX($D$40:$AD$40,AZ$37)/1000,1),""))</f>
        <v>0</v>
      </c>
      <c r="BA60" s="11">
        <f>IF(BA$37=0,"",IF(ISNUMBER(INDEX($D$40:$AD$40,BA$37)),FIXED(INDEX($D$40:$AD$40,BA$37)/1000,1),""))</f>
        <v>0</v>
      </c>
      <c r="BB60" s="11">
        <f>IF(BB$37=0,"",IF(ISNUMBER(INDEX($D$40:$AD$40,BB$37)),FIXED(INDEX($D$40:$AD$40,BB$37)/1000,1),""))</f>
        <v>0</v>
      </c>
      <c r="BC60" s="11">
        <f>IF(BC$37=0,"",IF(ISNUMBER(INDEX($D$40:$AD$40,BC$37)),FIXED(INDEX($D$40:$AD$40,BC$37)/1000,1),""))</f>
        <v>0</v>
      </c>
      <c r="BD60" s="11">
        <f>IF(BD$37=0,"",IF(ISNUMBER(INDEX($D$40:$AD$40,BD$37)),FIXED(INDEX($D$40:$AD$40,BD$37)/1000,1),""))</f>
        <v>0</v>
      </c>
      <c r="BE60" s="11">
        <f>IF(BE$37=0,"",IF(ISNUMBER(INDEX($D$40:$AD$40,BE$37)),FIXED(INDEX($D$40:$AD$40,BE$37)/1000,1),""))</f>
        <v>0</v>
      </c>
      <c r="BF60" s="11">
        <f>IF(BF$37=0,"",IF(ISNUMBER(INDEX($D$40:$AD$40,BF$37)),FIXED(INDEX($D$40:$AD$40,BF$37)/1000,1),""))</f>
        <v>0</v>
      </c>
      <c r="BG60" s="11">
        <f>IF(BG$37=0,"",IF(ISNUMBER(INDEX($D$40:$AD$40,BG$37)),FIXED(INDEX($D$40:$AD$40,BG$37)/1000,1),""))</f>
        <v>0</v>
      </c>
      <c r="BH60" s="11">
        <f>IF(BH$37=0,"",IF(ISNUMBER(INDEX($D$40:$AD$40,BH$37)),FIXED(INDEX($D$40:$AD$40,BH$37)/1000,1),""))</f>
        <v>0</v>
      </c>
      <c r="BI60" s="11">
        <f>IF(BI$37=0,"",IF(ISNUMBER(INDEX($D$40:$AD$40,BI$37)),FIXED(INDEX($D$40:$AD$40,BI$37)/1000,1),""))</f>
        <v>0</v>
      </c>
      <c r="BJ60" s="11">
        <f>IF(BJ$37=0,"",IF(ISNUMBER(INDEX($D$40:$AD$40,BJ$37)),FIXED(INDEX($D$40:$AD$40,BJ$37)/1000,1),""))</f>
        <v>0</v>
      </c>
      <c r="BK60" s="11">
        <f>IF(BK$37=0,"",IF(ISNUMBER(INDEX($D$40:$AD$40,BK$37)),FIXED(INDEX($D$40:$AD$40,BK$37)/1000,1),""))</f>
        <v>0</v>
      </c>
      <c r="BL60" s="11">
        <f>IF(BL$37=0,"",IF(ISNUMBER(INDEX($D$40:$AD$40,BL$37)),FIXED(INDEX($D$40:$AD$40,BL$37)/1000,1),""))</f>
        <v>0</v>
      </c>
      <c r="BM60" s="11">
        <f>IF(BM$37=0,"",IF(ISNUMBER(INDEX($D$40:$AD$40,BM$37)),FIXED(INDEX($D$40:$AD$40,BM$37)/1000,1),""))</f>
        <v>0</v>
      </c>
      <c r="BN60" s="11">
        <f>IF(BN$37=0,"",IF(ISNUMBER(INDEX($D$40:$AD$40,BN$37)),FIXED(INDEX($D$40:$AD$40,BN$37)/1000,1),""))</f>
        <v>0</v>
      </c>
      <c r="BO60" s="11">
        <f>IF(BO$37=0,"",IF(ISNUMBER(INDEX($D$40:$AD$40,BO$37)),FIXED(INDEX($D$40:$AD$40,BO$37)/1000,1),""))</f>
        <v>0</v>
      </c>
      <c r="BP60" s="11">
        <f>IF(BP$37=0,"",IF(ISNUMBER(INDEX($D$40:$AD$40,BP$37)),FIXED(INDEX($D$40:$AD$40,BP$37)/1000,1),""))</f>
        <v>0</v>
      </c>
    </row>
    <row r="61" spans="1:68">
      <c r="A61" s="11" t="s">
        <v>649</v>
      </c>
      <c r="B61" s="11" t="s">
        <v>650</v>
      </c>
      <c r="C61" s="67" t="s">
        <v>604</v>
      </c>
      <c r="AQ61" s="68">
        <f>IF(AQ$37=0,NA(),(_xlfn.AGGREGATE(9,6,INDEX($D$42:$AD$42,28-$D$36):$AD$42)&gt;_xlfn.AGGREGATE(9,6,INDEX($D$40:$AD$40,28-$D$36):$AD$40))+(_xlfn.AGGREGATE(9,6,INDEX($D$42:$AD$42,28-$D$36):$AD$42)&gt;_xlfn.AGGREGATE(9,6,INDEX($D$41:$AD$41,28-$D$36):$AD$41)))</f>
        <v>0</v>
      </c>
      <c r="AR61" s="68">
        <f>IF(AR$37=0,NA(),(_xlfn.AGGREGATE(9,6,INDEX($D$42:$AD$42,28-$D$36):$AD$42)&gt;_xlfn.AGGREGATE(9,6,INDEX($D$40:$AD$40,28-$D$36):$AD$40))+(_xlfn.AGGREGATE(9,6,INDEX($D$42:$AD$42,28-$D$36):$AD$42)&gt;_xlfn.AGGREGATE(9,6,INDEX($D$41:$AD$41,28-$D$36):$AD$41)))</f>
        <v>0</v>
      </c>
      <c r="AS61" s="68">
        <f>IF(AS$37=0,NA(),(_xlfn.AGGREGATE(9,6,INDEX($D$42:$AD$42,28-$D$36):$AD$42)&gt;_xlfn.AGGREGATE(9,6,INDEX($D$40:$AD$40,28-$D$36):$AD$40))+(_xlfn.AGGREGATE(9,6,INDEX($D$42:$AD$42,28-$D$36):$AD$42)&gt;_xlfn.AGGREGATE(9,6,INDEX($D$41:$AD$41,28-$D$36):$AD$41)))</f>
        <v>0</v>
      </c>
      <c r="AT61" s="68">
        <f>IF(AT$37=0,NA(),(_xlfn.AGGREGATE(9,6,INDEX($D$42:$AD$42,28-$D$36):$AD$42)&gt;_xlfn.AGGREGATE(9,6,INDEX($D$40:$AD$40,28-$D$36):$AD$40))+(_xlfn.AGGREGATE(9,6,INDEX($D$42:$AD$42,28-$D$36):$AD$42)&gt;_xlfn.AGGREGATE(9,6,INDEX($D$41:$AD$41,28-$D$36):$AD$41)))</f>
        <v>0</v>
      </c>
      <c r="AU61" s="68">
        <f>IF(AU$37=0,NA(),(_xlfn.AGGREGATE(9,6,INDEX($D$42:$AD$42,28-$D$36):$AD$42)&gt;_xlfn.AGGREGATE(9,6,INDEX($D$40:$AD$40,28-$D$36):$AD$40))+(_xlfn.AGGREGATE(9,6,INDEX($D$42:$AD$42,28-$D$36):$AD$42)&gt;_xlfn.AGGREGATE(9,6,INDEX($D$41:$AD$41,28-$D$36):$AD$41)))</f>
        <v>0</v>
      </c>
      <c r="AV61" s="68">
        <f>IF(AV$37=0,NA(),(_xlfn.AGGREGATE(9,6,INDEX($D$42:$AD$42,28-$D$36):$AD$42)&gt;_xlfn.AGGREGATE(9,6,INDEX($D$40:$AD$40,28-$D$36):$AD$40))+(_xlfn.AGGREGATE(9,6,INDEX($D$42:$AD$42,28-$D$36):$AD$42)&gt;_xlfn.AGGREGATE(9,6,INDEX($D$41:$AD$41,28-$D$36):$AD$41)))</f>
        <v>0</v>
      </c>
      <c r="AW61" s="68">
        <f>IF(AW$37=0,NA(),(_xlfn.AGGREGATE(9,6,INDEX($D$42:$AD$42,28-$D$36):$AD$42)&gt;_xlfn.AGGREGATE(9,6,INDEX($D$40:$AD$40,28-$D$36):$AD$40))+(_xlfn.AGGREGATE(9,6,INDEX($D$42:$AD$42,28-$D$36):$AD$42)&gt;_xlfn.AGGREGATE(9,6,INDEX($D$41:$AD$41,28-$D$36):$AD$41)))</f>
        <v>0</v>
      </c>
      <c r="AX61" s="68">
        <f>IF(AX$37=0,NA(),(_xlfn.AGGREGATE(9,6,INDEX($D$42:$AD$42,28-$D$36):$AD$42)&gt;_xlfn.AGGREGATE(9,6,INDEX($D$40:$AD$40,28-$D$36):$AD$40))+(_xlfn.AGGREGATE(9,6,INDEX($D$42:$AD$42,28-$D$36):$AD$42)&gt;_xlfn.AGGREGATE(9,6,INDEX($D$41:$AD$41,28-$D$36):$AD$41)))</f>
        <v>0</v>
      </c>
      <c r="AY61" s="68">
        <f>IF(AY$37=0,NA(),(_xlfn.AGGREGATE(9,6,INDEX($D$42:$AD$42,28-$D$36):$AD$42)&gt;_xlfn.AGGREGATE(9,6,INDEX($D$40:$AD$40,28-$D$36):$AD$40))+(_xlfn.AGGREGATE(9,6,INDEX($D$42:$AD$42,28-$D$36):$AD$42)&gt;_xlfn.AGGREGATE(9,6,INDEX($D$41:$AD$41,28-$D$36):$AD$41)))</f>
        <v>0</v>
      </c>
      <c r="AZ61" s="68">
        <f>IF(AZ$37=0,NA(),(_xlfn.AGGREGATE(9,6,INDEX($D$42:$AD$42,28-$D$36):$AD$42)&gt;_xlfn.AGGREGATE(9,6,INDEX($D$40:$AD$40,28-$D$36):$AD$40))+(_xlfn.AGGREGATE(9,6,INDEX($D$42:$AD$42,28-$D$36):$AD$42)&gt;_xlfn.AGGREGATE(9,6,INDEX($D$41:$AD$41,28-$D$36):$AD$41)))</f>
        <v>0</v>
      </c>
      <c r="BA61" s="68">
        <f>IF(BA$37=0,NA(),(_xlfn.AGGREGATE(9,6,INDEX($D$42:$AD$42,28-$D$36):$AD$42)&gt;_xlfn.AGGREGATE(9,6,INDEX($D$40:$AD$40,28-$D$36):$AD$40))+(_xlfn.AGGREGATE(9,6,INDEX($D$42:$AD$42,28-$D$36):$AD$42)&gt;_xlfn.AGGREGATE(9,6,INDEX($D$41:$AD$41,28-$D$36):$AD$41)))</f>
        <v>0</v>
      </c>
      <c r="BB61" s="68">
        <f>IF(BB$37=0,NA(),(_xlfn.AGGREGATE(9,6,INDEX($D$42:$AD$42,28-$D$36):$AD$42)&gt;_xlfn.AGGREGATE(9,6,INDEX($D$40:$AD$40,28-$D$36):$AD$40))+(_xlfn.AGGREGATE(9,6,INDEX($D$42:$AD$42,28-$D$36):$AD$42)&gt;_xlfn.AGGREGATE(9,6,INDEX($D$41:$AD$41,28-$D$36):$AD$41)))</f>
        <v>0</v>
      </c>
      <c r="BC61" s="68">
        <f>IF(BC$37=0,NA(),(_xlfn.AGGREGATE(9,6,INDEX($D$42:$AD$42,28-$D$36):$AD$42)&gt;_xlfn.AGGREGATE(9,6,INDEX($D$40:$AD$40,28-$D$36):$AD$40))+(_xlfn.AGGREGATE(9,6,INDEX($D$42:$AD$42,28-$D$36):$AD$42)&gt;_xlfn.AGGREGATE(9,6,INDEX($D$41:$AD$41,28-$D$36):$AD$41)))</f>
        <v>0</v>
      </c>
      <c r="BD61" s="68">
        <f>IF(BD$37=0,NA(),(_xlfn.AGGREGATE(9,6,INDEX($D$42:$AD$42,28-$D$36):$AD$42)&gt;_xlfn.AGGREGATE(9,6,INDEX($D$40:$AD$40,28-$D$36):$AD$40))+(_xlfn.AGGREGATE(9,6,INDEX($D$42:$AD$42,28-$D$36):$AD$42)&gt;_xlfn.AGGREGATE(9,6,INDEX($D$41:$AD$41,28-$D$36):$AD$41)))</f>
        <v>0</v>
      </c>
      <c r="BE61" s="68">
        <f>IF(BE$37=0,NA(),(_xlfn.AGGREGATE(9,6,INDEX($D$42:$AD$42,28-$D$36):$AD$42)&gt;_xlfn.AGGREGATE(9,6,INDEX($D$40:$AD$40,28-$D$36):$AD$40))+(_xlfn.AGGREGATE(9,6,INDEX($D$42:$AD$42,28-$D$36):$AD$42)&gt;_xlfn.AGGREGATE(9,6,INDEX($D$41:$AD$41,28-$D$36):$AD$41)))</f>
        <v>0</v>
      </c>
      <c r="BF61" s="68">
        <f>IF(BF$37=0,NA(),(_xlfn.AGGREGATE(9,6,INDEX($D$42:$AD$42,28-$D$36):$AD$42)&gt;_xlfn.AGGREGATE(9,6,INDEX($D$40:$AD$40,28-$D$36):$AD$40))+(_xlfn.AGGREGATE(9,6,INDEX($D$42:$AD$42,28-$D$36):$AD$42)&gt;_xlfn.AGGREGATE(9,6,INDEX($D$41:$AD$41,28-$D$36):$AD$41)))</f>
        <v>0</v>
      </c>
      <c r="BG61" s="68">
        <f>IF(BG$37=0,NA(),(_xlfn.AGGREGATE(9,6,INDEX($D$42:$AD$42,28-$D$36):$AD$42)&gt;_xlfn.AGGREGATE(9,6,INDEX($D$40:$AD$40,28-$D$36):$AD$40))+(_xlfn.AGGREGATE(9,6,INDEX($D$42:$AD$42,28-$D$36):$AD$42)&gt;_xlfn.AGGREGATE(9,6,INDEX($D$41:$AD$41,28-$D$36):$AD$41)))</f>
        <v>0</v>
      </c>
      <c r="BH61" s="68">
        <f>IF(BH$37=0,NA(),(_xlfn.AGGREGATE(9,6,INDEX($D$42:$AD$42,28-$D$36):$AD$42)&gt;_xlfn.AGGREGATE(9,6,INDEX($D$40:$AD$40,28-$D$36):$AD$40))+(_xlfn.AGGREGATE(9,6,INDEX($D$42:$AD$42,28-$D$36):$AD$42)&gt;_xlfn.AGGREGATE(9,6,INDEX($D$41:$AD$41,28-$D$36):$AD$41)))</f>
        <v>0</v>
      </c>
      <c r="BI61" s="68">
        <f>IF(BI$37=0,NA(),(_xlfn.AGGREGATE(9,6,INDEX($D$42:$AD$42,28-$D$36):$AD$42)&gt;_xlfn.AGGREGATE(9,6,INDEX($D$40:$AD$40,28-$D$36):$AD$40))+(_xlfn.AGGREGATE(9,6,INDEX($D$42:$AD$42,28-$D$36):$AD$42)&gt;_xlfn.AGGREGATE(9,6,INDEX($D$41:$AD$41,28-$D$36):$AD$41)))</f>
        <v>0</v>
      </c>
      <c r="BJ61" s="68">
        <f>IF(BJ$37=0,NA(),(_xlfn.AGGREGATE(9,6,INDEX($D$42:$AD$42,28-$D$36):$AD$42)&gt;_xlfn.AGGREGATE(9,6,INDEX($D$40:$AD$40,28-$D$36):$AD$40))+(_xlfn.AGGREGATE(9,6,INDEX($D$42:$AD$42,28-$D$36):$AD$42)&gt;_xlfn.AGGREGATE(9,6,INDEX($D$41:$AD$41,28-$D$36):$AD$41)))</f>
        <v>0</v>
      </c>
      <c r="BK61" s="68">
        <f>IF(BK$37=0,NA(),(_xlfn.AGGREGATE(9,6,INDEX($D$42:$AD$42,28-$D$36):$AD$42)&gt;_xlfn.AGGREGATE(9,6,INDEX($D$40:$AD$40,28-$D$36):$AD$40))+(_xlfn.AGGREGATE(9,6,INDEX($D$42:$AD$42,28-$D$36):$AD$42)&gt;_xlfn.AGGREGATE(9,6,INDEX($D$41:$AD$41,28-$D$36):$AD$41)))</f>
        <v>0</v>
      </c>
      <c r="BL61" s="68">
        <f>IF(BL$37=0,NA(),(_xlfn.AGGREGATE(9,6,INDEX($D$42:$AD$42,28-$D$36):$AD$42)&gt;_xlfn.AGGREGATE(9,6,INDEX($D$40:$AD$40,28-$D$36):$AD$40))+(_xlfn.AGGREGATE(9,6,INDEX($D$42:$AD$42,28-$D$36):$AD$42)&gt;_xlfn.AGGREGATE(9,6,INDEX($D$41:$AD$41,28-$D$36):$AD$41)))</f>
        <v>0</v>
      </c>
      <c r="BM61" s="68">
        <f>IF(BM$37=0,NA(),(_xlfn.AGGREGATE(9,6,INDEX($D$42:$AD$42,28-$D$36):$AD$42)&gt;_xlfn.AGGREGATE(9,6,INDEX($D$40:$AD$40,28-$D$36):$AD$40))+(_xlfn.AGGREGATE(9,6,INDEX($D$42:$AD$42,28-$D$36):$AD$42)&gt;_xlfn.AGGREGATE(9,6,INDEX($D$41:$AD$41,28-$D$36):$AD$41)))</f>
        <v>0</v>
      </c>
      <c r="BN61" s="68">
        <f>IF(BN$37=0,NA(),(_xlfn.AGGREGATE(9,6,INDEX($D$42:$AD$42,28-$D$36):$AD$42)&gt;_xlfn.AGGREGATE(9,6,INDEX($D$40:$AD$40,28-$D$36):$AD$40))+(_xlfn.AGGREGATE(9,6,INDEX($D$42:$AD$42,28-$D$36):$AD$42)&gt;_xlfn.AGGREGATE(9,6,INDEX($D$41:$AD$41,28-$D$36):$AD$41)))</f>
        <v>0</v>
      </c>
      <c r="BO61" s="68">
        <f>IF(BO$37=0,NA(),(_xlfn.AGGREGATE(9,6,INDEX($D$42:$AD$42,28-$D$36):$AD$42)&gt;_xlfn.AGGREGATE(9,6,INDEX($D$40:$AD$40,28-$D$36):$AD$40))+(_xlfn.AGGREGATE(9,6,INDEX($D$42:$AD$42,28-$D$36):$AD$42)&gt;_xlfn.AGGREGATE(9,6,INDEX($D$41:$AD$41,28-$D$36):$AD$41)))</f>
        <v>0</v>
      </c>
      <c r="BP61" s="68">
        <f>IF(BP$37=0,NA(),(_xlfn.AGGREGATE(9,6,INDEX($D$42:$AD$42,28-$D$36):$AD$42)&gt;_xlfn.AGGREGATE(9,6,INDEX($D$40:$AD$40,28-$D$36):$AD$40))+(_xlfn.AGGREGATE(9,6,INDEX($D$42:$AD$42,28-$D$36):$AD$42)&gt;_xlfn.AGGREGATE(9,6,INDEX($D$41:$AD$41,28-$D$36):$AD$41)))</f>
        <v>0</v>
      </c>
    </row>
    <row r="62" spans="1:68">
      <c r="A62" s="11" t="s">
        <v>651</v>
      </c>
      <c r="B62" s="11" t="s">
        <v>652</v>
      </c>
      <c r="C62" s="67" t="s">
        <v>604</v>
      </c>
      <c r="AQ62" s="11">
        <f>IF(AQ$37=0,"",IF(ISNUMBER(INDEX($D$42:$AD$42,AQ$37)),FIXED(INDEX($D$42:$AD$42,AQ$37)/1000,1),""))</f>
        <v>0</v>
      </c>
      <c r="AR62" s="11">
        <f>IF(AR$37=0,"",IF(ISNUMBER(INDEX($D$42:$AD$42,AR$37)),FIXED(INDEX($D$42:$AD$42,AR$37)/1000,1),""))</f>
        <v>0</v>
      </c>
      <c r="AS62" s="11">
        <f>IF(AS$37=0,"",IF(ISNUMBER(INDEX($D$42:$AD$42,AS$37)),FIXED(INDEX($D$42:$AD$42,AS$37)/1000,1),""))</f>
        <v>0</v>
      </c>
      <c r="AT62" s="11">
        <f>IF(AT$37=0,"",IF(ISNUMBER(INDEX($D$42:$AD$42,AT$37)),FIXED(INDEX($D$42:$AD$42,AT$37)/1000,1),""))</f>
        <v>0</v>
      </c>
      <c r="AU62" s="11">
        <f>IF(AU$37=0,"",IF(ISNUMBER(INDEX($D$42:$AD$42,AU$37)),FIXED(INDEX($D$42:$AD$42,AU$37)/1000,1),""))</f>
        <v>0</v>
      </c>
      <c r="AV62" s="11">
        <f>IF(AV$37=0,"",IF(ISNUMBER(INDEX($D$42:$AD$42,AV$37)),FIXED(INDEX($D$42:$AD$42,AV$37)/1000,1),""))</f>
        <v>0</v>
      </c>
      <c r="AW62" s="11">
        <f>IF(AW$37=0,"",IF(ISNUMBER(INDEX($D$42:$AD$42,AW$37)),FIXED(INDEX($D$42:$AD$42,AW$37)/1000,1),""))</f>
        <v>0</v>
      </c>
      <c r="AX62" s="11">
        <f>IF(AX$37=0,"",IF(ISNUMBER(INDEX($D$42:$AD$42,AX$37)),FIXED(INDEX($D$42:$AD$42,AX$37)/1000,1),""))</f>
        <v>0</v>
      </c>
      <c r="AY62" s="11">
        <f>IF(AY$37=0,"",IF(ISNUMBER(INDEX($D$42:$AD$42,AY$37)),FIXED(INDEX($D$42:$AD$42,AY$37)/1000,1),""))</f>
        <v>0</v>
      </c>
      <c r="AZ62" s="11">
        <f>IF(AZ$37=0,"",IF(ISNUMBER(INDEX($D$42:$AD$42,AZ$37)),FIXED(INDEX($D$42:$AD$42,AZ$37)/1000,1),""))</f>
        <v>0</v>
      </c>
      <c r="BA62" s="11">
        <f>IF(BA$37=0,"",IF(ISNUMBER(INDEX($D$42:$AD$42,BA$37)),FIXED(INDEX($D$42:$AD$42,BA$37)/1000,1),""))</f>
        <v>0</v>
      </c>
      <c r="BB62" s="11">
        <f>IF(BB$37=0,"",IF(ISNUMBER(INDEX($D$42:$AD$42,BB$37)),FIXED(INDEX($D$42:$AD$42,BB$37)/1000,1),""))</f>
        <v>0</v>
      </c>
      <c r="BC62" s="11">
        <f>IF(BC$37=0,"",IF(ISNUMBER(INDEX($D$42:$AD$42,BC$37)),FIXED(INDEX($D$42:$AD$42,BC$37)/1000,1),""))</f>
        <v>0</v>
      </c>
      <c r="BD62" s="11">
        <f>IF(BD$37=0,"",IF(ISNUMBER(INDEX($D$42:$AD$42,BD$37)),FIXED(INDEX($D$42:$AD$42,BD$37)/1000,1),""))</f>
        <v>0</v>
      </c>
      <c r="BE62" s="11">
        <f>IF(BE$37=0,"",IF(ISNUMBER(INDEX($D$42:$AD$42,BE$37)),FIXED(INDEX($D$42:$AD$42,BE$37)/1000,1),""))</f>
        <v>0</v>
      </c>
      <c r="BF62" s="11">
        <f>IF(BF$37=0,"",IF(ISNUMBER(INDEX($D$42:$AD$42,BF$37)),FIXED(INDEX($D$42:$AD$42,BF$37)/1000,1),""))</f>
        <v>0</v>
      </c>
      <c r="BG62" s="11">
        <f>IF(BG$37=0,"",IF(ISNUMBER(INDEX($D$42:$AD$42,BG$37)),FIXED(INDEX($D$42:$AD$42,BG$37)/1000,1),""))</f>
        <v>0</v>
      </c>
      <c r="BH62" s="11">
        <f>IF(BH$37=0,"",IF(ISNUMBER(INDEX($D$42:$AD$42,BH$37)),FIXED(INDEX($D$42:$AD$42,BH$37)/1000,1),""))</f>
        <v>0</v>
      </c>
      <c r="BI62" s="11">
        <f>IF(BI$37=0,"",IF(ISNUMBER(INDEX($D$42:$AD$42,BI$37)),FIXED(INDEX($D$42:$AD$42,BI$37)/1000,1),""))</f>
        <v>0</v>
      </c>
      <c r="BJ62" s="11">
        <f>IF(BJ$37=0,"",IF(ISNUMBER(INDEX($D$42:$AD$42,BJ$37)),FIXED(INDEX($D$42:$AD$42,BJ$37)/1000,1),""))</f>
        <v>0</v>
      </c>
      <c r="BK62" s="11">
        <f>IF(BK$37=0,"",IF(ISNUMBER(INDEX($D$42:$AD$42,BK$37)),FIXED(INDEX($D$42:$AD$42,BK$37)/1000,1),""))</f>
        <v>0</v>
      </c>
      <c r="BL62" s="11">
        <f>IF(BL$37=0,"",IF(ISNUMBER(INDEX($D$42:$AD$42,BL$37)),FIXED(INDEX($D$42:$AD$42,BL$37)/1000,1),""))</f>
        <v>0</v>
      </c>
      <c r="BM62" s="11">
        <f>IF(BM$37=0,"",IF(ISNUMBER(INDEX($D$42:$AD$42,BM$37)),FIXED(INDEX($D$42:$AD$42,BM$37)/1000,1),""))</f>
        <v>0</v>
      </c>
      <c r="BN62" s="11">
        <f>IF(BN$37=0,"",IF(ISNUMBER(INDEX($D$42:$AD$42,BN$37)),FIXED(INDEX($D$42:$AD$42,BN$37)/1000,1),""))</f>
        <v>0</v>
      </c>
      <c r="BO62" s="11">
        <f>IF(BO$37=0,"",IF(ISNUMBER(INDEX($D$42:$AD$42,BO$37)),FIXED(INDEX($D$42:$AD$42,BO$37)/1000,1),""))</f>
        <v>0</v>
      </c>
      <c r="BP62" s="11">
        <f>IF(BP$37=0,"",IF(ISNUMBER(INDEX($D$42:$AD$42,BP$37)),FIXED(INDEX($D$42:$AD$42,BP$37)/1000,1),""))</f>
        <v>0</v>
      </c>
    </row>
    <row r="63" spans="1:68">
      <c r="A63" s="11" t="s">
        <v>653</v>
      </c>
      <c r="B63" s="11" t="s">
        <v>654</v>
      </c>
      <c r="C63" s="67" t="s">
        <v>604</v>
      </c>
      <c r="AQ63" s="68">
        <f>IF(AQ$37=0,NA(),IF(ISNUMBER(INDEX($D$41:$AD$41,AQ$37)),(IF(AQ59&gt;AQ57,N(INDEX($D$40:$AD$40,AQ$37)),0)+IF(AQ61&gt;AQ57,N(INDEX($D$42:$AD$42,AQ$37)),0)+INDEX($D$41:$AD$41,AQ$37)/2)/AQ53,NA()))</f>
        <v>0</v>
      </c>
      <c r="AR63" s="68">
        <f>IF(AR$37=0,NA(),IF(ISNUMBER(INDEX($D$41:$AD$41,AR$37)),(IF(AR59&gt;AR57,N(INDEX($D$40:$AD$40,AR$37)),0)+IF(AR61&gt;AR57,N(INDEX($D$42:$AD$42,AR$37)),0)+INDEX($D$41:$AD$41,AR$37)/2)/AR53,NA()))</f>
        <v>0</v>
      </c>
      <c r="AS63" s="68">
        <f>IF(AS$37=0,NA(),IF(ISNUMBER(INDEX($D$41:$AD$41,AS$37)),(IF(AS59&gt;AS57,N(INDEX($D$40:$AD$40,AS$37)),0)+IF(AS61&gt;AS57,N(INDEX($D$42:$AD$42,AS$37)),0)+INDEX($D$41:$AD$41,AS$37)/2)/AS53,NA()))</f>
        <v>0</v>
      </c>
      <c r="AT63" s="68">
        <f>IF(AT$37=0,NA(),IF(ISNUMBER(INDEX($D$41:$AD$41,AT$37)),(IF(AT59&gt;AT57,N(INDEX($D$40:$AD$40,AT$37)),0)+IF(AT61&gt;AT57,N(INDEX($D$42:$AD$42,AT$37)),0)+INDEX($D$41:$AD$41,AT$37)/2)/AT53,NA()))</f>
        <v>0</v>
      </c>
      <c r="AU63" s="68">
        <f>IF(AU$37=0,NA(),IF(ISNUMBER(INDEX($D$41:$AD$41,AU$37)),(IF(AU59&gt;AU57,N(INDEX($D$40:$AD$40,AU$37)),0)+IF(AU61&gt;AU57,N(INDEX($D$42:$AD$42,AU$37)),0)+INDEX($D$41:$AD$41,AU$37)/2)/AU53,NA()))</f>
        <v>0</v>
      </c>
      <c r="AV63" s="68">
        <f>IF(AV$37=0,NA(),IF(ISNUMBER(INDEX($D$41:$AD$41,AV$37)),(IF(AV59&gt;AV57,N(INDEX($D$40:$AD$40,AV$37)),0)+IF(AV61&gt;AV57,N(INDEX($D$42:$AD$42,AV$37)),0)+INDEX($D$41:$AD$41,AV$37)/2)/AV53,NA()))</f>
        <v>0</v>
      </c>
      <c r="AW63" s="68">
        <f>IF(AW$37=0,NA(),IF(ISNUMBER(INDEX($D$41:$AD$41,AW$37)),(IF(AW59&gt;AW57,N(INDEX($D$40:$AD$40,AW$37)),0)+IF(AW61&gt;AW57,N(INDEX($D$42:$AD$42,AW$37)),0)+INDEX($D$41:$AD$41,AW$37)/2)/AW53,NA()))</f>
        <v>0</v>
      </c>
      <c r="AX63" s="68">
        <f>IF(AX$37=0,NA(),IF(ISNUMBER(INDEX($D$41:$AD$41,AX$37)),(IF(AX59&gt;AX57,N(INDEX($D$40:$AD$40,AX$37)),0)+IF(AX61&gt;AX57,N(INDEX($D$42:$AD$42,AX$37)),0)+INDEX($D$41:$AD$41,AX$37)/2)/AX53,NA()))</f>
        <v>0</v>
      </c>
      <c r="AY63" s="68">
        <f>IF(AY$37=0,NA(),IF(ISNUMBER(INDEX($D$41:$AD$41,AY$37)),(IF(AY59&gt;AY57,N(INDEX($D$40:$AD$40,AY$37)),0)+IF(AY61&gt;AY57,N(INDEX($D$42:$AD$42,AY$37)),0)+INDEX($D$41:$AD$41,AY$37)/2)/AY53,NA()))</f>
        <v>0</v>
      </c>
      <c r="AZ63" s="68">
        <f>IF(AZ$37=0,NA(),IF(ISNUMBER(INDEX($D$41:$AD$41,AZ$37)),(IF(AZ59&gt;AZ57,N(INDEX($D$40:$AD$40,AZ$37)),0)+IF(AZ61&gt;AZ57,N(INDEX($D$42:$AD$42,AZ$37)),0)+INDEX($D$41:$AD$41,AZ$37)/2)/AZ53,NA()))</f>
        <v>0</v>
      </c>
      <c r="BA63" s="68">
        <f>IF(BA$37=0,NA(),IF(ISNUMBER(INDEX($D$41:$AD$41,BA$37)),(IF(BA59&gt;BA57,N(INDEX($D$40:$AD$40,BA$37)),0)+IF(BA61&gt;BA57,N(INDEX($D$42:$AD$42,BA$37)),0)+INDEX($D$41:$AD$41,BA$37)/2)/BA53,NA()))</f>
        <v>0</v>
      </c>
      <c r="BB63" s="68">
        <f>IF(BB$37=0,NA(),IF(ISNUMBER(INDEX($D$41:$AD$41,BB$37)),(IF(BB59&gt;BB57,N(INDEX($D$40:$AD$40,BB$37)),0)+IF(BB61&gt;BB57,N(INDEX($D$42:$AD$42,BB$37)),0)+INDEX($D$41:$AD$41,BB$37)/2)/BB53,NA()))</f>
        <v>0</v>
      </c>
      <c r="BC63" s="68">
        <f>IF(BC$37=0,NA(),IF(ISNUMBER(INDEX($D$41:$AD$41,BC$37)),(IF(BC59&gt;BC57,N(INDEX($D$40:$AD$40,BC$37)),0)+IF(BC61&gt;BC57,N(INDEX($D$42:$AD$42,BC$37)),0)+INDEX($D$41:$AD$41,BC$37)/2)/BC53,NA()))</f>
        <v>0</v>
      </c>
      <c r="BD63" s="68">
        <f>IF(BD$37=0,NA(),IF(ISNUMBER(INDEX($D$41:$AD$41,BD$37)),(IF(BD59&gt;BD57,N(INDEX($D$40:$AD$40,BD$37)),0)+IF(BD61&gt;BD57,N(INDEX($D$42:$AD$42,BD$37)),0)+INDEX($D$41:$AD$41,BD$37)/2)/BD53,NA()))</f>
        <v>0</v>
      </c>
      <c r="BE63" s="68">
        <f>IF(BE$37=0,NA(),IF(ISNUMBER(INDEX($D$41:$AD$41,BE$37)),(IF(BE59&gt;BE57,N(INDEX($D$40:$AD$40,BE$37)),0)+IF(BE61&gt;BE57,N(INDEX($D$42:$AD$42,BE$37)),0)+INDEX($D$41:$AD$41,BE$37)/2)/BE53,NA()))</f>
        <v>0</v>
      </c>
      <c r="BF63" s="68">
        <f>IF(BF$37=0,NA(),IF(ISNUMBER(INDEX($D$41:$AD$41,BF$37)),(IF(BF59&gt;BF57,N(INDEX($D$40:$AD$40,BF$37)),0)+IF(BF61&gt;BF57,N(INDEX($D$42:$AD$42,BF$37)),0)+INDEX($D$41:$AD$41,BF$37)/2)/BF53,NA()))</f>
        <v>0</v>
      </c>
      <c r="BG63" s="68">
        <f>IF(BG$37=0,NA(),IF(ISNUMBER(INDEX($D$41:$AD$41,BG$37)),(IF(BG59&gt;BG57,N(INDEX($D$40:$AD$40,BG$37)),0)+IF(BG61&gt;BG57,N(INDEX($D$42:$AD$42,BG$37)),0)+INDEX($D$41:$AD$41,BG$37)/2)/BG53,NA()))</f>
        <v>0</v>
      </c>
      <c r="BH63" s="68">
        <f>IF(BH$37=0,NA(),IF(ISNUMBER(INDEX($D$41:$AD$41,BH$37)),(IF(BH59&gt;BH57,N(INDEX($D$40:$AD$40,BH$37)),0)+IF(BH61&gt;BH57,N(INDEX($D$42:$AD$42,BH$37)),0)+INDEX($D$41:$AD$41,BH$37)/2)/BH53,NA()))</f>
        <v>0</v>
      </c>
      <c r="BI63" s="68">
        <f>IF(BI$37=0,NA(),IF(ISNUMBER(INDEX($D$41:$AD$41,BI$37)),(IF(BI59&gt;BI57,N(INDEX($D$40:$AD$40,BI$37)),0)+IF(BI61&gt;BI57,N(INDEX($D$42:$AD$42,BI$37)),0)+INDEX($D$41:$AD$41,BI$37)/2)/BI53,NA()))</f>
        <v>0</v>
      </c>
      <c r="BJ63" s="68">
        <f>IF(BJ$37=0,NA(),IF(ISNUMBER(INDEX($D$41:$AD$41,BJ$37)),(IF(BJ59&gt;BJ57,N(INDEX($D$40:$AD$40,BJ$37)),0)+IF(BJ61&gt;BJ57,N(INDEX($D$42:$AD$42,BJ$37)),0)+INDEX($D$41:$AD$41,BJ$37)/2)/BJ53,NA()))</f>
        <v>0</v>
      </c>
      <c r="BK63" s="68">
        <f>IF(BK$37=0,NA(),IF(ISNUMBER(INDEX($D$41:$AD$41,BK$37)),(IF(BK59&gt;BK57,N(INDEX($D$40:$AD$40,BK$37)),0)+IF(BK61&gt;BK57,N(INDEX($D$42:$AD$42,BK$37)),0)+INDEX($D$41:$AD$41,BK$37)/2)/BK53,NA()))</f>
        <v>0</v>
      </c>
      <c r="BL63" s="68">
        <f>IF(BL$37=0,NA(),IF(ISNUMBER(INDEX($D$41:$AD$41,BL$37)),(IF(BL59&gt;BL57,N(INDEX($D$40:$AD$40,BL$37)),0)+IF(BL61&gt;BL57,N(INDEX($D$42:$AD$42,BL$37)),0)+INDEX($D$41:$AD$41,BL$37)/2)/BL53,NA()))</f>
        <v>0</v>
      </c>
      <c r="BM63" s="68">
        <f>IF(BM$37=0,NA(),IF(ISNUMBER(INDEX($D$41:$AD$41,BM$37)),(IF(BM59&gt;BM57,N(INDEX($D$40:$AD$40,BM$37)),0)+IF(BM61&gt;BM57,N(INDEX($D$42:$AD$42,BM$37)),0)+INDEX($D$41:$AD$41,BM$37)/2)/BM53,NA()))</f>
        <v>0</v>
      </c>
      <c r="BN63" s="68">
        <f>IF(BN$37=0,NA(),IF(ISNUMBER(INDEX($D$41:$AD$41,BN$37)),(IF(BN59&gt;BN57,N(INDEX($D$40:$AD$40,BN$37)),0)+IF(BN61&gt;BN57,N(INDEX($D$42:$AD$42,BN$37)),0)+INDEX($D$41:$AD$41,BN$37)/2)/BN53,NA()))</f>
        <v>0</v>
      </c>
      <c r="BO63" s="68">
        <f>IF(BO$37=0,NA(),IF(ISNUMBER(INDEX($D$41:$AD$41,BO$37)),(IF(BO59&gt;BO57,N(INDEX($D$40:$AD$40,BO$37)),0)+IF(BO61&gt;BO57,N(INDEX($D$42:$AD$42,BO$37)),0)+INDEX($D$41:$AD$41,BO$37)/2)/BO53,NA()))</f>
        <v>0</v>
      </c>
      <c r="BP63" s="68">
        <f>IF(BP$37=0,NA(),IF(ISNUMBER(INDEX($D$41:$AD$41,BP$37)),(IF(BP59&gt;BP57,N(INDEX($D$40:$AD$40,BP$37)),0)+IF(BP61&gt;BP57,N(INDEX($D$42:$AD$42,BP$37)),0)+INDEX($D$41:$AD$41,BP$37)/2)/BP53,NA()))</f>
        <v>0</v>
      </c>
    </row>
    <row r="64" spans="1:68">
      <c r="A64" s="11" t="s">
        <v>655</v>
      </c>
      <c r="B64" s="11" t="s">
        <v>656</v>
      </c>
      <c r="C64" s="67" t="s">
        <v>604</v>
      </c>
      <c r="AQ64" s="68">
        <f>IF(AQ$37=0,NA(),IF(ISNUMBER(INDEX($D$40:$AD$40,AQ$37)),(IF(AQ57&gt;AQ59,N(INDEX($D$41:$AD$41,AQ$37)),0)+IF(AQ61&gt;AQ59,N(INDEX($D$42:$AD$42,AQ$37)),0)+INDEX($D$40:$AD$40,AQ$37)/2)/AQ53,NA()))</f>
        <v>0</v>
      </c>
      <c r="AR64" s="68">
        <f>IF(AR$37=0,NA(),IF(ISNUMBER(INDEX($D$40:$AD$40,AR$37)),(IF(AR57&gt;AR59,N(INDEX($D$41:$AD$41,AR$37)),0)+IF(AR61&gt;AR59,N(INDEX($D$42:$AD$42,AR$37)),0)+INDEX($D$40:$AD$40,AR$37)/2)/AR53,NA()))</f>
        <v>0</v>
      </c>
      <c r="AS64" s="68">
        <f>IF(AS$37=0,NA(),IF(ISNUMBER(INDEX($D$40:$AD$40,AS$37)),(IF(AS57&gt;AS59,N(INDEX($D$41:$AD$41,AS$37)),0)+IF(AS61&gt;AS59,N(INDEX($D$42:$AD$42,AS$37)),0)+INDEX($D$40:$AD$40,AS$37)/2)/AS53,NA()))</f>
        <v>0</v>
      </c>
      <c r="AT64" s="68">
        <f>IF(AT$37=0,NA(),IF(ISNUMBER(INDEX($D$40:$AD$40,AT$37)),(IF(AT57&gt;AT59,N(INDEX($D$41:$AD$41,AT$37)),0)+IF(AT61&gt;AT59,N(INDEX($D$42:$AD$42,AT$37)),0)+INDEX($D$40:$AD$40,AT$37)/2)/AT53,NA()))</f>
        <v>0</v>
      </c>
      <c r="AU64" s="68">
        <f>IF(AU$37=0,NA(),IF(ISNUMBER(INDEX($D$40:$AD$40,AU$37)),(IF(AU57&gt;AU59,N(INDEX($D$41:$AD$41,AU$37)),0)+IF(AU61&gt;AU59,N(INDEX($D$42:$AD$42,AU$37)),0)+INDEX($D$40:$AD$40,AU$37)/2)/AU53,NA()))</f>
        <v>0</v>
      </c>
      <c r="AV64" s="68">
        <f>IF(AV$37=0,NA(),IF(ISNUMBER(INDEX($D$40:$AD$40,AV$37)),(IF(AV57&gt;AV59,N(INDEX($D$41:$AD$41,AV$37)),0)+IF(AV61&gt;AV59,N(INDEX($D$42:$AD$42,AV$37)),0)+INDEX($D$40:$AD$40,AV$37)/2)/AV53,NA()))</f>
        <v>0</v>
      </c>
      <c r="AW64" s="68">
        <f>IF(AW$37=0,NA(),IF(ISNUMBER(INDEX($D$40:$AD$40,AW$37)),(IF(AW57&gt;AW59,N(INDEX($D$41:$AD$41,AW$37)),0)+IF(AW61&gt;AW59,N(INDEX($D$42:$AD$42,AW$37)),0)+INDEX($D$40:$AD$40,AW$37)/2)/AW53,NA()))</f>
        <v>0</v>
      </c>
      <c r="AX64" s="68">
        <f>IF(AX$37=0,NA(),IF(ISNUMBER(INDEX($D$40:$AD$40,AX$37)),(IF(AX57&gt;AX59,N(INDEX($D$41:$AD$41,AX$37)),0)+IF(AX61&gt;AX59,N(INDEX($D$42:$AD$42,AX$37)),0)+INDEX($D$40:$AD$40,AX$37)/2)/AX53,NA()))</f>
        <v>0</v>
      </c>
      <c r="AY64" s="68">
        <f>IF(AY$37=0,NA(),IF(ISNUMBER(INDEX($D$40:$AD$40,AY$37)),(IF(AY57&gt;AY59,N(INDEX($D$41:$AD$41,AY$37)),0)+IF(AY61&gt;AY59,N(INDEX($D$42:$AD$42,AY$37)),0)+INDEX($D$40:$AD$40,AY$37)/2)/AY53,NA()))</f>
        <v>0</v>
      </c>
      <c r="AZ64" s="68">
        <f>IF(AZ$37=0,NA(),IF(ISNUMBER(INDEX($D$40:$AD$40,AZ$37)),(IF(AZ57&gt;AZ59,N(INDEX($D$41:$AD$41,AZ$37)),0)+IF(AZ61&gt;AZ59,N(INDEX($D$42:$AD$42,AZ$37)),0)+INDEX($D$40:$AD$40,AZ$37)/2)/AZ53,NA()))</f>
        <v>0</v>
      </c>
      <c r="BA64" s="68">
        <f>IF(BA$37=0,NA(),IF(ISNUMBER(INDEX($D$40:$AD$40,BA$37)),(IF(BA57&gt;BA59,N(INDEX($D$41:$AD$41,BA$37)),0)+IF(BA61&gt;BA59,N(INDEX($D$42:$AD$42,BA$37)),0)+INDEX($D$40:$AD$40,BA$37)/2)/BA53,NA()))</f>
        <v>0</v>
      </c>
      <c r="BB64" s="68">
        <f>IF(BB$37=0,NA(),IF(ISNUMBER(INDEX($D$40:$AD$40,BB$37)),(IF(BB57&gt;BB59,N(INDEX($D$41:$AD$41,BB$37)),0)+IF(BB61&gt;BB59,N(INDEX($D$42:$AD$42,BB$37)),0)+INDEX($D$40:$AD$40,BB$37)/2)/BB53,NA()))</f>
        <v>0</v>
      </c>
      <c r="BC64" s="68">
        <f>IF(BC$37=0,NA(),IF(ISNUMBER(INDEX($D$40:$AD$40,BC$37)),(IF(BC57&gt;BC59,N(INDEX($D$41:$AD$41,BC$37)),0)+IF(BC61&gt;BC59,N(INDEX($D$42:$AD$42,BC$37)),0)+INDEX($D$40:$AD$40,BC$37)/2)/BC53,NA()))</f>
        <v>0</v>
      </c>
      <c r="BD64" s="68">
        <f>IF(BD$37=0,NA(),IF(ISNUMBER(INDEX($D$40:$AD$40,BD$37)),(IF(BD57&gt;BD59,N(INDEX($D$41:$AD$41,BD$37)),0)+IF(BD61&gt;BD59,N(INDEX($D$42:$AD$42,BD$37)),0)+INDEX($D$40:$AD$40,BD$37)/2)/BD53,NA()))</f>
        <v>0</v>
      </c>
      <c r="BE64" s="68">
        <f>IF(BE$37=0,NA(),IF(ISNUMBER(INDEX($D$40:$AD$40,BE$37)),(IF(BE57&gt;BE59,N(INDEX($D$41:$AD$41,BE$37)),0)+IF(BE61&gt;BE59,N(INDEX($D$42:$AD$42,BE$37)),0)+INDEX($D$40:$AD$40,BE$37)/2)/BE53,NA()))</f>
        <v>0</v>
      </c>
      <c r="BF64" s="68">
        <f>IF(BF$37=0,NA(),IF(ISNUMBER(INDEX($D$40:$AD$40,BF$37)),(IF(BF57&gt;BF59,N(INDEX($D$41:$AD$41,BF$37)),0)+IF(BF61&gt;BF59,N(INDEX($D$42:$AD$42,BF$37)),0)+INDEX($D$40:$AD$40,BF$37)/2)/BF53,NA()))</f>
        <v>0</v>
      </c>
      <c r="BG64" s="68">
        <f>IF(BG$37=0,NA(),IF(ISNUMBER(INDEX($D$40:$AD$40,BG$37)),(IF(BG57&gt;BG59,N(INDEX($D$41:$AD$41,BG$37)),0)+IF(BG61&gt;BG59,N(INDEX($D$42:$AD$42,BG$37)),0)+INDEX($D$40:$AD$40,BG$37)/2)/BG53,NA()))</f>
        <v>0</v>
      </c>
      <c r="BH64" s="68">
        <f>IF(BH$37=0,NA(),IF(ISNUMBER(INDEX($D$40:$AD$40,BH$37)),(IF(BH57&gt;BH59,N(INDEX($D$41:$AD$41,BH$37)),0)+IF(BH61&gt;BH59,N(INDEX($D$42:$AD$42,BH$37)),0)+INDEX($D$40:$AD$40,BH$37)/2)/BH53,NA()))</f>
        <v>0</v>
      </c>
      <c r="BI64" s="68">
        <f>IF(BI$37=0,NA(),IF(ISNUMBER(INDEX($D$40:$AD$40,BI$37)),(IF(BI57&gt;BI59,N(INDEX($D$41:$AD$41,BI$37)),0)+IF(BI61&gt;BI59,N(INDEX($D$42:$AD$42,BI$37)),0)+INDEX($D$40:$AD$40,BI$37)/2)/BI53,NA()))</f>
        <v>0</v>
      </c>
      <c r="BJ64" s="68">
        <f>IF(BJ$37=0,NA(),IF(ISNUMBER(INDEX($D$40:$AD$40,BJ$37)),(IF(BJ57&gt;BJ59,N(INDEX($D$41:$AD$41,BJ$37)),0)+IF(BJ61&gt;BJ59,N(INDEX($D$42:$AD$42,BJ$37)),0)+INDEX($D$40:$AD$40,BJ$37)/2)/BJ53,NA()))</f>
        <v>0</v>
      </c>
      <c r="BK64" s="68">
        <f>IF(BK$37=0,NA(),IF(ISNUMBER(INDEX($D$40:$AD$40,BK$37)),(IF(BK57&gt;BK59,N(INDEX($D$41:$AD$41,BK$37)),0)+IF(BK61&gt;BK59,N(INDEX($D$42:$AD$42,BK$37)),0)+INDEX($D$40:$AD$40,BK$37)/2)/BK53,NA()))</f>
        <v>0</v>
      </c>
      <c r="BL64" s="68">
        <f>IF(BL$37=0,NA(),IF(ISNUMBER(INDEX($D$40:$AD$40,BL$37)),(IF(BL57&gt;BL59,N(INDEX($D$41:$AD$41,BL$37)),0)+IF(BL61&gt;BL59,N(INDEX($D$42:$AD$42,BL$37)),0)+INDEX($D$40:$AD$40,BL$37)/2)/BL53,NA()))</f>
        <v>0</v>
      </c>
      <c r="BM64" s="68">
        <f>IF(BM$37=0,NA(),IF(ISNUMBER(INDEX($D$40:$AD$40,BM$37)),(IF(BM57&gt;BM59,N(INDEX($D$41:$AD$41,BM$37)),0)+IF(BM61&gt;BM59,N(INDEX($D$42:$AD$42,BM$37)),0)+INDEX($D$40:$AD$40,BM$37)/2)/BM53,NA()))</f>
        <v>0</v>
      </c>
      <c r="BN64" s="68">
        <f>IF(BN$37=0,NA(),IF(ISNUMBER(INDEX($D$40:$AD$40,BN$37)),(IF(BN57&gt;BN59,N(INDEX($D$41:$AD$41,BN$37)),0)+IF(BN61&gt;BN59,N(INDEX($D$42:$AD$42,BN$37)),0)+INDEX($D$40:$AD$40,BN$37)/2)/BN53,NA()))</f>
        <v>0</v>
      </c>
      <c r="BO64" s="68">
        <f>IF(BO$37=0,NA(),IF(ISNUMBER(INDEX($D$40:$AD$40,BO$37)),(IF(BO57&gt;BO59,N(INDEX($D$41:$AD$41,BO$37)),0)+IF(BO61&gt;BO59,N(INDEX($D$42:$AD$42,BO$37)),0)+INDEX($D$40:$AD$40,BO$37)/2)/BO53,NA()))</f>
        <v>0</v>
      </c>
      <c r="BP64" s="68">
        <f>IF(BP$37=0,NA(),IF(ISNUMBER(INDEX($D$40:$AD$40,BP$37)),(IF(BP57&gt;BP59,N(INDEX($D$41:$AD$41,BP$37)),0)+IF(BP61&gt;BP59,N(INDEX($D$42:$AD$42,BP$37)),0)+INDEX($D$40:$AD$40,BP$37)/2)/BP53,NA()))</f>
        <v>0</v>
      </c>
    </row>
    <row r="65" spans="1:68">
      <c r="A65" s="11" t="s">
        <v>657</v>
      </c>
      <c r="B65" s="11" t="s">
        <v>658</v>
      </c>
      <c r="C65" s="67" t="s">
        <v>604</v>
      </c>
      <c r="AQ65" s="68">
        <f>IF(AQ$37=0,NA(),IF(ISNUMBER(INDEX($D$42:$AD$42,AQ$37)),(IF(AQ59&gt;AQ61,N(INDEX($D$40:$AD$40,AQ$37)),0)+IF(AQ57&gt;AQ61,N(INDEX($D$41:$AD$41,AQ$37)),0)+INDEX($D$42:$AD$42,AQ$37)/2)/AQ53,NA()))</f>
        <v>0</v>
      </c>
      <c r="AR65" s="68">
        <f>IF(AR$37=0,NA(),IF(ISNUMBER(INDEX($D$42:$AD$42,AR$37)),(IF(AR59&gt;AR61,N(INDEX($D$40:$AD$40,AR$37)),0)+IF(AR57&gt;AR61,N(INDEX($D$41:$AD$41,AR$37)),0)+INDEX($D$42:$AD$42,AR$37)/2)/AR53,NA()))</f>
        <v>0</v>
      </c>
      <c r="AS65" s="68">
        <f>IF(AS$37=0,NA(),IF(ISNUMBER(INDEX($D$42:$AD$42,AS$37)),(IF(AS59&gt;AS61,N(INDEX($D$40:$AD$40,AS$37)),0)+IF(AS57&gt;AS61,N(INDEX($D$41:$AD$41,AS$37)),0)+INDEX($D$42:$AD$42,AS$37)/2)/AS53,NA()))</f>
        <v>0</v>
      </c>
      <c r="AT65" s="68">
        <f>IF(AT$37=0,NA(),IF(ISNUMBER(INDEX($D$42:$AD$42,AT$37)),(IF(AT59&gt;AT61,N(INDEX($D$40:$AD$40,AT$37)),0)+IF(AT57&gt;AT61,N(INDEX($D$41:$AD$41,AT$37)),0)+INDEX($D$42:$AD$42,AT$37)/2)/AT53,NA()))</f>
        <v>0</v>
      </c>
      <c r="AU65" s="68">
        <f>IF(AU$37=0,NA(),IF(ISNUMBER(INDEX($D$42:$AD$42,AU$37)),(IF(AU59&gt;AU61,N(INDEX($D$40:$AD$40,AU$37)),0)+IF(AU57&gt;AU61,N(INDEX($D$41:$AD$41,AU$37)),0)+INDEX($D$42:$AD$42,AU$37)/2)/AU53,NA()))</f>
        <v>0</v>
      </c>
      <c r="AV65" s="68">
        <f>IF(AV$37=0,NA(),IF(ISNUMBER(INDEX($D$42:$AD$42,AV$37)),(IF(AV59&gt;AV61,N(INDEX($D$40:$AD$40,AV$37)),0)+IF(AV57&gt;AV61,N(INDEX($D$41:$AD$41,AV$37)),0)+INDEX($D$42:$AD$42,AV$37)/2)/AV53,NA()))</f>
        <v>0</v>
      </c>
      <c r="AW65" s="68">
        <f>IF(AW$37=0,NA(),IF(ISNUMBER(INDEX($D$42:$AD$42,AW$37)),(IF(AW59&gt;AW61,N(INDEX($D$40:$AD$40,AW$37)),0)+IF(AW57&gt;AW61,N(INDEX($D$41:$AD$41,AW$37)),0)+INDEX($D$42:$AD$42,AW$37)/2)/AW53,NA()))</f>
        <v>0</v>
      </c>
      <c r="AX65" s="68">
        <f>IF(AX$37=0,NA(),IF(ISNUMBER(INDEX($D$42:$AD$42,AX$37)),(IF(AX59&gt;AX61,N(INDEX($D$40:$AD$40,AX$37)),0)+IF(AX57&gt;AX61,N(INDEX($D$41:$AD$41,AX$37)),0)+INDEX($D$42:$AD$42,AX$37)/2)/AX53,NA()))</f>
        <v>0</v>
      </c>
      <c r="AY65" s="68">
        <f>IF(AY$37=0,NA(),IF(ISNUMBER(INDEX($D$42:$AD$42,AY$37)),(IF(AY59&gt;AY61,N(INDEX($D$40:$AD$40,AY$37)),0)+IF(AY57&gt;AY61,N(INDEX($D$41:$AD$41,AY$37)),0)+INDEX($D$42:$AD$42,AY$37)/2)/AY53,NA()))</f>
        <v>0</v>
      </c>
      <c r="AZ65" s="68">
        <f>IF(AZ$37=0,NA(),IF(ISNUMBER(INDEX($D$42:$AD$42,AZ$37)),(IF(AZ59&gt;AZ61,N(INDEX($D$40:$AD$40,AZ$37)),0)+IF(AZ57&gt;AZ61,N(INDEX($D$41:$AD$41,AZ$37)),0)+INDEX($D$42:$AD$42,AZ$37)/2)/AZ53,NA()))</f>
        <v>0</v>
      </c>
      <c r="BA65" s="68">
        <f>IF(BA$37=0,NA(),IF(ISNUMBER(INDEX($D$42:$AD$42,BA$37)),(IF(BA59&gt;BA61,N(INDEX($D$40:$AD$40,BA$37)),0)+IF(BA57&gt;BA61,N(INDEX($D$41:$AD$41,BA$37)),0)+INDEX($D$42:$AD$42,BA$37)/2)/BA53,NA()))</f>
        <v>0</v>
      </c>
      <c r="BB65" s="68">
        <f>IF(BB$37=0,NA(),IF(ISNUMBER(INDEX($D$42:$AD$42,BB$37)),(IF(BB59&gt;BB61,N(INDEX($D$40:$AD$40,BB$37)),0)+IF(BB57&gt;BB61,N(INDEX($D$41:$AD$41,BB$37)),0)+INDEX($D$42:$AD$42,BB$37)/2)/BB53,NA()))</f>
        <v>0</v>
      </c>
      <c r="BC65" s="68">
        <f>IF(BC$37=0,NA(),IF(ISNUMBER(INDEX($D$42:$AD$42,BC$37)),(IF(BC59&gt;BC61,N(INDEX($D$40:$AD$40,BC$37)),0)+IF(BC57&gt;BC61,N(INDEX($D$41:$AD$41,BC$37)),0)+INDEX($D$42:$AD$42,BC$37)/2)/BC53,NA()))</f>
        <v>0</v>
      </c>
      <c r="BD65" s="68">
        <f>IF(BD$37=0,NA(),IF(ISNUMBER(INDEX($D$42:$AD$42,BD$37)),(IF(BD59&gt;BD61,N(INDEX($D$40:$AD$40,BD$37)),0)+IF(BD57&gt;BD61,N(INDEX($D$41:$AD$41,BD$37)),0)+INDEX($D$42:$AD$42,BD$37)/2)/BD53,NA()))</f>
        <v>0</v>
      </c>
      <c r="BE65" s="68">
        <f>IF(BE$37=0,NA(),IF(ISNUMBER(INDEX($D$42:$AD$42,BE$37)),(IF(BE59&gt;BE61,N(INDEX($D$40:$AD$40,BE$37)),0)+IF(BE57&gt;BE61,N(INDEX($D$41:$AD$41,BE$37)),0)+INDEX($D$42:$AD$42,BE$37)/2)/BE53,NA()))</f>
        <v>0</v>
      </c>
      <c r="BF65" s="68">
        <f>IF(BF$37=0,NA(),IF(ISNUMBER(INDEX($D$42:$AD$42,BF$37)),(IF(BF59&gt;BF61,N(INDEX($D$40:$AD$40,BF$37)),0)+IF(BF57&gt;BF61,N(INDEX($D$41:$AD$41,BF$37)),0)+INDEX($D$42:$AD$42,BF$37)/2)/BF53,NA()))</f>
        <v>0</v>
      </c>
      <c r="BG65" s="68">
        <f>IF(BG$37=0,NA(),IF(ISNUMBER(INDEX($D$42:$AD$42,BG$37)),(IF(BG59&gt;BG61,N(INDEX($D$40:$AD$40,BG$37)),0)+IF(BG57&gt;BG61,N(INDEX($D$41:$AD$41,BG$37)),0)+INDEX($D$42:$AD$42,BG$37)/2)/BG53,NA()))</f>
        <v>0</v>
      </c>
      <c r="BH65" s="68">
        <f>IF(BH$37=0,NA(),IF(ISNUMBER(INDEX($D$42:$AD$42,BH$37)),(IF(BH59&gt;BH61,N(INDEX($D$40:$AD$40,BH$37)),0)+IF(BH57&gt;BH61,N(INDEX($D$41:$AD$41,BH$37)),0)+INDEX($D$42:$AD$42,BH$37)/2)/BH53,NA()))</f>
        <v>0</v>
      </c>
      <c r="BI65" s="68">
        <f>IF(BI$37=0,NA(),IF(ISNUMBER(INDEX($D$42:$AD$42,BI$37)),(IF(BI59&gt;BI61,N(INDEX($D$40:$AD$40,BI$37)),0)+IF(BI57&gt;BI61,N(INDEX($D$41:$AD$41,BI$37)),0)+INDEX($D$42:$AD$42,BI$37)/2)/BI53,NA()))</f>
        <v>0</v>
      </c>
      <c r="BJ65" s="68">
        <f>IF(BJ$37=0,NA(),IF(ISNUMBER(INDEX($D$42:$AD$42,BJ$37)),(IF(BJ59&gt;BJ61,N(INDEX($D$40:$AD$40,BJ$37)),0)+IF(BJ57&gt;BJ61,N(INDEX($D$41:$AD$41,BJ$37)),0)+INDEX($D$42:$AD$42,BJ$37)/2)/BJ53,NA()))</f>
        <v>0</v>
      </c>
      <c r="BK65" s="68">
        <f>IF(BK$37=0,NA(),IF(ISNUMBER(INDEX($D$42:$AD$42,BK$37)),(IF(BK59&gt;BK61,N(INDEX($D$40:$AD$40,BK$37)),0)+IF(BK57&gt;BK61,N(INDEX($D$41:$AD$41,BK$37)),0)+INDEX($D$42:$AD$42,BK$37)/2)/BK53,NA()))</f>
        <v>0</v>
      </c>
      <c r="BL65" s="68">
        <f>IF(BL$37=0,NA(),IF(ISNUMBER(INDEX($D$42:$AD$42,BL$37)),(IF(BL59&gt;BL61,N(INDEX($D$40:$AD$40,BL$37)),0)+IF(BL57&gt;BL61,N(INDEX($D$41:$AD$41,BL$37)),0)+INDEX($D$42:$AD$42,BL$37)/2)/BL53,NA()))</f>
        <v>0</v>
      </c>
      <c r="BM65" s="68">
        <f>IF(BM$37=0,NA(),IF(ISNUMBER(INDEX($D$42:$AD$42,BM$37)),(IF(BM59&gt;BM61,N(INDEX($D$40:$AD$40,BM$37)),0)+IF(BM57&gt;BM61,N(INDEX($D$41:$AD$41,BM$37)),0)+INDEX($D$42:$AD$42,BM$37)/2)/BM53,NA()))</f>
        <v>0</v>
      </c>
      <c r="BN65" s="68">
        <f>IF(BN$37=0,NA(),IF(ISNUMBER(INDEX($D$42:$AD$42,BN$37)),(IF(BN59&gt;BN61,N(INDEX($D$40:$AD$40,BN$37)),0)+IF(BN57&gt;BN61,N(INDEX($D$41:$AD$41,BN$37)),0)+INDEX($D$42:$AD$42,BN$37)/2)/BN53,NA()))</f>
        <v>0</v>
      </c>
      <c r="BO65" s="68">
        <f>IF(BO$37=0,NA(),IF(ISNUMBER(INDEX($D$42:$AD$42,BO$37)),(IF(BO59&gt;BO61,N(INDEX($D$40:$AD$40,BO$37)),0)+IF(BO57&gt;BO61,N(INDEX($D$41:$AD$41,BO$37)),0)+INDEX($D$42:$AD$42,BO$37)/2)/BO53,NA()))</f>
        <v>0</v>
      </c>
      <c r="BP65" s="68">
        <f>IF(BP$37=0,NA(),IF(ISNUMBER(INDEX($D$42:$AD$42,BP$37)),(IF(BP59&gt;BP61,N(INDEX($D$40:$AD$40,BP$37)),0)+IF(BP57&gt;BP61,N(INDEX($D$41:$AD$41,BP$37)),0)+INDEX($D$42:$AD$42,BP$37)/2)/BP53,NA()))</f>
        <v>0</v>
      </c>
    </row>
    <row r="66" spans="1:68">
      <c r="A66" s="11" t="s">
        <v>659</v>
      </c>
      <c r="B66" s="11" t="s">
        <v>660</v>
      </c>
      <c r="C66" s="67" t="s">
        <v>604</v>
      </c>
      <c r="AQ66" s="68">
        <f>IF(AQ$37=0,NA(),IF(ISNUMBER(INDEX($D$41:$AD$41,AQ$37)),MAX(MIN(AQ63,IFERROR(INDEX($D$51:$AD$51,AQ$37)/AQ53,1)-0.08721-AQ57*0.17442,IF(AQ59&lt;AQ57,IFERROR(AQ64,9)-(AQ57-AQ59)*0.17442,9),IF(AQ61&lt;AQ57,IFERROR(AQ65,9)-(AQ57-AQ61)*0.17442,9)),0.08721+(2-AQ57)*0.17442),NA()))</f>
        <v>0</v>
      </c>
      <c r="AR66" s="68">
        <f>IF(AR$37=0,NA(),IF(ISNUMBER(INDEX($D$41:$AD$41,AR$37)),MAX(MIN(AR63,IFERROR(INDEX($D$51:$AD$51,AR$37)/AR53,1)-0.08721-AR57*0.17442,IF(AR59&lt;AR57,IFERROR(AR64,9)-(AR57-AR59)*0.17442,9),IF(AR61&lt;AR57,IFERROR(AR65,9)-(AR57-AR61)*0.17442,9)),0.08721+(2-AR57)*0.17442),NA()))</f>
        <v>0</v>
      </c>
      <c r="AS66" s="68">
        <f>IF(AS$37=0,NA(),IF(ISNUMBER(INDEX($D$41:$AD$41,AS$37)),MAX(MIN(AS63,IFERROR(INDEX($D$51:$AD$51,AS$37)/AS53,1)-0.08721-AS57*0.17442,IF(AS59&lt;AS57,IFERROR(AS64,9)-(AS57-AS59)*0.17442,9),IF(AS61&lt;AS57,IFERROR(AS65,9)-(AS57-AS61)*0.17442,9)),0.08721+(2-AS57)*0.17442),NA()))</f>
        <v>0</v>
      </c>
      <c r="AT66" s="68">
        <f>IF(AT$37=0,NA(),IF(ISNUMBER(INDEX($D$41:$AD$41,AT$37)),MAX(MIN(AT63,IFERROR(INDEX($D$51:$AD$51,AT$37)/AT53,1)-0.08721-AT57*0.17442,IF(AT59&lt;AT57,IFERROR(AT64,9)-(AT57-AT59)*0.17442,9),IF(AT61&lt;AT57,IFERROR(AT65,9)-(AT57-AT61)*0.17442,9)),0.08721+(2-AT57)*0.17442),NA()))</f>
        <v>0</v>
      </c>
      <c r="AU66" s="68">
        <f>IF(AU$37=0,NA(),IF(ISNUMBER(INDEX($D$41:$AD$41,AU$37)),MAX(MIN(AU63,IFERROR(INDEX($D$51:$AD$51,AU$37)/AU53,1)-0.08721-AU57*0.17442,IF(AU59&lt;AU57,IFERROR(AU64,9)-(AU57-AU59)*0.17442,9),IF(AU61&lt;AU57,IFERROR(AU65,9)-(AU57-AU61)*0.17442,9)),0.08721+(2-AU57)*0.17442),NA()))</f>
        <v>0</v>
      </c>
      <c r="AV66" s="68">
        <f>IF(AV$37=0,NA(),IF(ISNUMBER(INDEX($D$41:$AD$41,AV$37)),MAX(MIN(AV63,IFERROR(INDEX($D$51:$AD$51,AV$37)/AV53,1)-0.08721-AV57*0.17442,IF(AV59&lt;AV57,IFERROR(AV64,9)-(AV57-AV59)*0.17442,9),IF(AV61&lt;AV57,IFERROR(AV65,9)-(AV57-AV61)*0.17442,9)),0.08721+(2-AV57)*0.17442),NA()))</f>
        <v>0</v>
      </c>
      <c r="AW66" s="68">
        <f>IF(AW$37=0,NA(),IF(ISNUMBER(INDEX($D$41:$AD$41,AW$37)),MAX(MIN(AW63,IFERROR(INDEX($D$51:$AD$51,AW$37)/AW53,1)-0.08721-AW57*0.17442,IF(AW59&lt;AW57,IFERROR(AW64,9)-(AW57-AW59)*0.17442,9),IF(AW61&lt;AW57,IFERROR(AW65,9)-(AW57-AW61)*0.17442,9)),0.08721+(2-AW57)*0.17442),NA()))</f>
        <v>0</v>
      </c>
      <c r="AX66" s="68">
        <f>IF(AX$37=0,NA(),IF(ISNUMBER(INDEX($D$41:$AD$41,AX$37)),MAX(MIN(AX63,IFERROR(INDEX($D$51:$AD$51,AX$37)/AX53,1)-0.08721-AX57*0.17442,IF(AX59&lt;AX57,IFERROR(AX64,9)-(AX57-AX59)*0.17442,9),IF(AX61&lt;AX57,IFERROR(AX65,9)-(AX57-AX61)*0.17442,9)),0.08721+(2-AX57)*0.17442),NA()))</f>
        <v>0</v>
      </c>
      <c r="AY66" s="68">
        <f>IF(AY$37=0,NA(),IF(ISNUMBER(INDEX($D$41:$AD$41,AY$37)),MAX(MIN(AY63,IFERROR(INDEX($D$51:$AD$51,AY$37)/AY53,1)-0.08721-AY57*0.17442,IF(AY59&lt;AY57,IFERROR(AY64,9)-(AY57-AY59)*0.17442,9),IF(AY61&lt;AY57,IFERROR(AY65,9)-(AY57-AY61)*0.17442,9)),0.08721+(2-AY57)*0.17442),NA()))</f>
        <v>0</v>
      </c>
      <c r="AZ66" s="68">
        <f>IF(AZ$37=0,NA(),IF(ISNUMBER(INDEX($D$41:$AD$41,AZ$37)),MAX(MIN(AZ63,IFERROR(INDEX($D$51:$AD$51,AZ$37)/AZ53,1)-0.08721-AZ57*0.17442,IF(AZ59&lt;AZ57,IFERROR(AZ64,9)-(AZ57-AZ59)*0.17442,9),IF(AZ61&lt;AZ57,IFERROR(AZ65,9)-(AZ57-AZ61)*0.17442,9)),0.08721+(2-AZ57)*0.17442),NA()))</f>
        <v>0</v>
      </c>
      <c r="BA66" s="68">
        <f>IF(BA$37=0,NA(),IF(ISNUMBER(INDEX($D$41:$AD$41,BA$37)),MAX(MIN(BA63,IFERROR(INDEX($D$51:$AD$51,BA$37)/BA53,1)-0.08721-BA57*0.17442,IF(BA59&lt;BA57,IFERROR(BA64,9)-(BA57-BA59)*0.17442,9),IF(BA61&lt;BA57,IFERROR(BA65,9)-(BA57-BA61)*0.17442,9)),0.08721+(2-BA57)*0.17442),NA()))</f>
        <v>0</v>
      </c>
      <c r="BB66" s="68">
        <f>IF(BB$37=0,NA(),IF(ISNUMBER(INDEX($D$41:$AD$41,BB$37)),MAX(MIN(BB63,IFERROR(INDEX($D$51:$AD$51,BB$37)/BB53,1)-0.08721-BB57*0.17442,IF(BB59&lt;BB57,IFERROR(BB64,9)-(BB57-BB59)*0.17442,9),IF(BB61&lt;BB57,IFERROR(BB65,9)-(BB57-BB61)*0.17442,9)),0.08721+(2-BB57)*0.17442),NA()))</f>
        <v>0</v>
      </c>
      <c r="BC66" s="68">
        <f>IF(BC$37=0,NA(),IF(ISNUMBER(INDEX($D$41:$AD$41,BC$37)),MAX(MIN(BC63,IFERROR(INDEX($D$51:$AD$51,BC$37)/BC53,1)-0.08721-BC57*0.17442,IF(BC59&lt;BC57,IFERROR(BC64,9)-(BC57-BC59)*0.17442,9),IF(BC61&lt;BC57,IFERROR(BC65,9)-(BC57-BC61)*0.17442,9)),0.08721+(2-BC57)*0.17442),NA()))</f>
        <v>0</v>
      </c>
      <c r="BD66" s="68">
        <f>IF(BD$37=0,NA(),IF(ISNUMBER(INDEX($D$41:$AD$41,BD$37)),MAX(MIN(BD63,IFERROR(INDEX($D$51:$AD$51,BD$37)/BD53,1)-0.08721-BD57*0.17442,IF(BD59&lt;BD57,IFERROR(BD64,9)-(BD57-BD59)*0.17442,9),IF(BD61&lt;BD57,IFERROR(BD65,9)-(BD57-BD61)*0.17442,9)),0.08721+(2-BD57)*0.17442),NA()))</f>
        <v>0</v>
      </c>
      <c r="BE66" s="68">
        <f>IF(BE$37=0,NA(),IF(ISNUMBER(INDEX($D$41:$AD$41,BE$37)),MAX(MIN(BE63,IFERROR(INDEX($D$51:$AD$51,BE$37)/BE53,1)-0.08721-BE57*0.17442,IF(BE59&lt;BE57,IFERROR(BE64,9)-(BE57-BE59)*0.17442,9),IF(BE61&lt;BE57,IFERROR(BE65,9)-(BE57-BE61)*0.17442,9)),0.08721+(2-BE57)*0.17442),NA()))</f>
        <v>0</v>
      </c>
      <c r="BF66" s="68">
        <f>IF(BF$37=0,NA(),IF(ISNUMBER(INDEX($D$41:$AD$41,BF$37)),MAX(MIN(BF63,IFERROR(INDEX($D$51:$AD$51,BF$37)/BF53,1)-0.08721-BF57*0.17442,IF(BF59&lt;BF57,IFERROR(BF64,9)-(BF57-BF59)*0.17442,9),IF(BF61&lt;BF57,IFERROR(BF65,9)-(BF57-BF61)*0.17442,9)),0.08721+(2-BF57)*0.17442),NA()))</f>
        <v>0</v>
      </c>
      <c r="BG66" s="68">
        <f>IF(BG$37=0,NA(),IF(ISNUMBER(INDEX($D$41:$AD$41,BG$37)),MAX(MIN(BG63,IFERROR(INDEX($D$51:$AD$51,BG$37)/BG53,1)-0.08721-BG57*0.17442,IF(BG59&lt;BG57,IFERROR(BG64,9)-(BG57-BG59)*0.17442,9),IF(BG61&lt;BG57,IFERROR(BG65,9)-(BG57-BG61)*0.17442,9)),0.08721+(2-BG57)*0.17442),NA()))</f>
        <v>0</v>
      </c>
      <c r="BH66" s="68">
        <f>IF(BH$37=0,NA(),IF(ISNUMBER(INDEX($D$41:$AD$41,BH$37)),MAX(MIN(BH63,IFERROR(INDEX($D$51:$AD$51,BH$37)/BH53,1)-0.08721-BH57*0.17442,IF(BH59&lt;BH57,IFERROR(BH64,9)-(BH57-BH59)*0.17442,9),IF(BH61&lt;BH57,IFERROR(BH65,9)-(BH57-BH61)*0.17442,9)),0.08721+(2-BH57)*0.17442),NA()))</f>
        <v>0</v>
      </c>
      <c r="BI66" s="68">
        <f>IF(BI$37=0,NA(),IF(ISNUMBER(INDEX($D$41:$AD$41,BI$37)),MAX(MIN(BI63,IFERROR(INDEX($D$51:$AD$51,BI$37)/BI53,1)-0.08721-BI57*0.17442,IF(BI59&lt;BI57,IFERROR(BI64,9)-(BI57-BI59)*0.17442,9),IF(BI61&lt;BI57,IFERROR(BI65,9)-(BI57-BI61)*0.17442,9)),0.08721+(2-BI57)*0.17442),NA()))</f>
        <v>0</v>
      </c>
      <c r="BJ66" s="68">
        <f>IF(BJ$37=0,NA(),IF(ISNUMBER(INDEX($D$41:$AD$41,BJ$37)),MAX(MIN(BJ63,IFERROR(INDEX($D$51:$AD$51,BJ$37)/BJ53,1)-0.08721-BJ57*0.17442,IF(BJ59&lt;BJ57,IFERROR(BJ64,9)-(BJ57-BJ59)*0.17442,9),IF(BJ61&lt;BJ57,IFERROR(BJ65,9)-(BJ57-BJ61)*0.17442,9)),0.08721+(2-BJ57)*0.17442),NA()))</f>
        <v>0</v>
      </c>
      <c r="BK66" s="68">
        <f>IF(BK$37=0,NA(),IF(ISNUMBER(INDEX($D$41:$AD$41,BK$37)),MAX(MIN(BK63,IFERROR(INDEX($D$51:$AD$51,BK$37)/BK53,1)-0.08721-BK57*0.17442,IF(BK59&lt;BK57,IFERROR(BK64,9)-(BK57-BK59)*0.17442,9),IF(BK61&lt;BK57,IFERROR(BK65,9)-(BK57-BK61)*0.17442,9)),0.08721+(2-BK57)*0.17442),NA()))</f>
        <v>0</v>
      </c>
      <c r="BL66" s="68">
        <f>IF(BL$37=0,NA(),IF(ISNUMBER(INDEX($D$41:$AD$41,BL$37)),MAX(MIN(BL63,IFERROR(INDEX($D$51:$AD$51,BL$37)/BL53,1)-0.08721-BL57*0.17442,IF(BL59&lt;BL57,IFERROR(BL64,9)-(BL57-BL59)*0.17442,9),IF(BL61&lt;BL57,IFERROR(BL65,9)-(BL57-BL61)*0.17442,9)),0.08721+(2-BL57)*0.17442),NA()))</f>
        <v>0</v>
      </c>
      <c r="BM66" s="68">
        <f>IF(BM$37=0,NA(),IF(ISNUMBER(INDEX($D$41:$AD$41,BM$37)),MAX(MIN(BM63,IFERROR(INDEX($D$51:$AD$51,BM$37)/BM53,1)-0.08721-BM57*0.17442,IF(BM59&lt;BM57,IFERROR(BM64,9)-(BM57-BM59)*0.17442,9),IF(BM61&lt;BM57,IFERROR(BM65,9)-(BM57-BM61)*0.17442,9)),0.08721+(2-BM57)*0.17442),NA()))</f>
        <v>0</v>
      </c>
      <c r="BN66" s="68">
        <f>IF(BN$37=0,NA(),IF(ISNUMBER(INDEX($D$41:$AD$41,BN$37)),MAX(MIN(BN63,IFERROR(INDEX($D$51:$AD$51,BN$37)/BN53,1)-0.08721-BN57*0.17442,IF(BN59&lt;BN57,IFERROR(BN64,9)-(BN57-BN59)*0.17442,9),IF(BN61&lt;BN57,IFERROR(BN65,9)-(BN57-BN61)*0.17442,9)),0.08721+(2-BN57)*0.17442),NA()))</f>
        <v>0</v>
      </c>
      <c r="BO66" s="68">
        <f>IF(BO$37=0,NA(),IF(ISNUMBER(INDEX($D$41:$AD$41,BO$37)),MAX(MIN(BO63,IFERROR(INDEX($D$51:$AD$51,BO$37)/BO53,1)-0.08721-BO57*0.17442,IF(BO59&lt;BO57,IFERROR(BO64,9)-(BO57-BO59)*0.17442,9),IF(BO61&lt;BO57,IFERROR(BO65,9)-(BO57-BO61)*0.17442,9)),0.08721+(2-BO57)*0.17442),NA()))</f>
        <v>0</v>
      </c>
      <c r="BP66" s="68">
        <f>IF(BP$37=0,NA(),IF(ISNUMBER(INDEX($D$41:$AD$41,BP$37)),MAX(MIN(BP63,IFERROR(INDEX($D$51:$AD$51,BP$37)/BP53,1)-0.08721-BP57*0.17442,IF(BP59&lt;BP57,IFERROR(BP64,9)-(BP57-BP59)*0.17442,9),IF(BP61&lt;BP57,IFERROR(BP65,9)-(BP57-BP61)*0.17442,9)),0.08721+(2-BP57)*0.17442),NA()))</f>
        <v>0</v>
      </c>
    </row>
    <row r="67" spans="1:68">
      <c r="A67" s="11" t="s">
        <v>661</v>
      </c>
      <c r="B67" s="11" t="s">
        <v>662</v>
      </c>
      <c r="C67" s="67" t="s">
        <v>604</v>
      </c>
      <c r="AQ67" s="68">
        <f>IF(AQ$37=0,NA(),IF(ISNUMBER(INDEX($D$40:$AD$40,AQ$37)),MAX(MIN(AQ64,IFERROR(INDEX($D$51:$AD$51,AQ$37)/AQ53,1)-0.08721-AQ59*0.17442,IF(AQ57&lt;AQ59,IFERROR(AQ63,9)-(AQ59-AQ57)*0.17442,9),IF(AQ61&lt;AQ59,IFERROR(AQ65,9)-(AQ59-AQ61)*0.17442,9)),0.08721+(2-AQ59)*0.17442),NA()))</f>
        <v>0</v>
      </c>
      <c r="AR67" s="68">
        <f>IF(AR$37=0,NA(),IF(ISNUMBER(INDEX($D$40:$AD$40,AR$37)),MAX(MIN(AR64,IFERROR(INDEX($D$51:$AD$51,AR$37)/AR53,1)-0.08721-AR59*0.17442,IF(AR57&lt;AR59,IFERROR(AR63,9)-(AR59-AR57)*0.17442,9),IF(AR61&lt;AR59,IFERROR(AR65,9)-(AR59-AR61)*0.17442,9)),0.08721+(2-AR59)*0.17442),NA()))</f>
        <v>0</v>
      </c>
      <c r="AS67" s="68">
        <f>IF(AS$37=0,NA(),IF(ISNUMBER(INDEX($D$40:$AD$40,AS$37)),MAX(MIN(AS64,IFERROR(INDEX($D$51:$AD$51,AS$37)/AS53,1)-0.08721-AS59*0.17442,IF(AS57&lt;AS59,IFERROR(AS63,9)-(AS59-AS57)*0.17442,9),IF(AS61&lt;AS59,IFERROR(AS65,9)-(AS59-AS61)*0.17442,9)),0.08721+(2-AS59)*0.17442),NA()))</f>
        <v>0</v>
      </c>
      <c r="AT67" s="68">
        <f>IF(AT$37=0,NA(),IF(ISNUMBER(INDEX($D$40:$AD$40,AT$37)),MAX(MIN(AT64,IFERROR(INDEX($D$51:$AD$51,AT$37)/AT53,1)-0.08721-AT59*0.17442,IF(AT57&lt;AT59,IFERROR(AT63,9)-(AT59-AT57)*0.17442,9),IF(AT61&lt;AT59,IFERROR(AT65,9)-(AT59-AT61)*0.17442,9)),0.08721+(2-AT59)*0.17442),NA()))</f>
        <v>0</v>
      </c>
      <c r="AU67" s="68">
        <f>IF(AU$37=0,NA(),IF(ISNUMBER(INDEX($D$40:$AD$40,AU$37)),MAX(MIN(AU64,IFERROR(INDEX($D$51:$AD$51,AU$37)/AU53,1)-0.08721-AU59*0.17442,IF(AU57&lt;AU59,IFERROR(AU63,9)-(AU59-AU57)*0.17442,9),IF(AU61&lt;AU59,IFERROR(AU65,9)-(AU59-AU61)*0.17442,9)),0.08721+(2-AU59)*0.17442),NA()))</f>
        <v>0</v>
      </c>
      <c r="AV67" s="68">
        <f>IF(AV$37=0,NA(),IF(ISNUMBER(INDEX($D$40:$AD$40,AV$37)),MAX(MIN(AV64,IFERROR(INDEX($D$51:$AD$51,AV$37)/AV53,1)-0.08721-AV59*0.17442,IF(AV57&lt;AV59,IFERROR(AV63,9)-(AV59-AV57)*0.17442,9),IF(AV61&lt;AV59,IFERROR(AV65,9)-(AV59-AV61)*0.17442,9)),0.08721+(2-AV59)*0.17442),NA()))</f>
        <v>0</v>
      </c>
      <c r="AW67" s="68">
        <f>IF(AW$37=0,NA(),IF(ISNUMBER(INDEX($D$40:$AD$40,AW$37)),MAX(MIN(AW64,IFERROR(INDEX($D$51:$AD$51,AW$37)/AW53,1)-0.08721-AW59*0.17442,IF(AW57&lt;AW59,IFERROR(AW63,9)-(AW59-AW57)*0.17442,9),IF(AW61&lt;AW59,IFERROR(AW65,9)-(AW59-AW61)*0.17442,9)),0.08721+(2-AW59)*0.17442),NA()))</f>
        <v>0</v>
      </c>
      <c r="AX67" s="68">
        <f>IF(AX$37=0,NA(),IF(ISNUMBER(INDEX($D$40:$AD$40,AX$37)),MAX(MIN(AX64,IFERROR(INDEX($D$51:$AD$51,AX$37)/AX53,1)-0.08721-AX59*0.17442,IF(AX57&lt;AX59,IFERROR(AX63,9)-(AX59-AX57)*0.17442,9),IF(AX61&lt;AX59,IFERROR(AX65,9)-(AX59-AX61)*0.17442,9)),0.08721+(2-AX59)*0.17442),NA()))</f>
        <v>0</v>
      </c>
      <c r="AY67" s="68">
        <f>IF(AY$37=0,NA(),IF(ISNUMBER(INDEX($D$40:$AD$40,AY$37)),MAX(MIN(AY64,IFERROR(INDEX($D$51:$AD$51,AY$37)/AY53,1)-0.08721-AY59*0.17442,IF(AY57&lt;AY59,IFERROR(AY63,9)-(AY59-AY57)*0.17442,9),IF(AY61&lt;AY59,IFERROR(AY65,9)-(AY59-AY61)*0.17442,9)),0.08721+(2-AY59)*0.17442),NA()))</f>
        <v>0</v>
      </c>
      <c r="AZ67" s="68">
        <f>IF(AZ$37=0,NA(),IF(ISNUMBER(INDEX($D$40:$AD$40,AZ$37)),MAX(MIN(AZ64,IFERROR(INDEX($D$51:$AD$51,AZ$37)/AZ53,1)-0.08721-AZ59*0.17442,IF(AZ57&lt;AZ59,IFERROR(AZ63,9)-(AZ59-AZ57)*0.17442,9),IF(AZ61&lt;AZ59,IFERROR(AZ65,9)-(AZ59-AZ61)*0.17442,9)),0.08721+(2-AZ59)*0.17442),NA()))</f>
        <v>0</v>
      </c>
      <c r="BA67" s="68">
        <f>IF(BA$37=0,NA(),IF(ISNUMBER(INDEX($D$40:$AD$40,BA$37)),MAX(MIN(BA64,IFERROR(INDEX($D$51:$AD$51,BA$37)/BA53,1)-0.08721-BA59*0.17442,IF(BA57&lt;BA59,IFERROR(BA63,9)-(BA59-BA57)*0.17442,9),IF(BA61&lt;BA59,IFERROR(BA65,9)-(BA59-BA61)*0.17442,9)),0.08721+(2-BA59)*0.17442),NA()))</f>
        <v>0</v>
      </c>
      <c r="BB67" s="68">
        <f>IF(BB$37=0,NA(),IF(ISNUMBER(INDEX($D$40:$AD$40,BB$37)),MAX(MIN(BB64,IFERROR(INDEX($D$51:$AD$51,BB$37)/BB53,1)-0.08721-BB59*0.17442,IF(BB57&lt;BB59,IFERROR(BB63,9)-(BB59-BB57)*0.17442,9),IF(BB61&lt;BB59,IFERROR(BB65,9)-(BB59-BB61)*0.17442,9)),0.08721+(2-BB59)*0.17442),NA()))</f>
        <v>0</v>
      </c>
      <c r="BC67" s="68">
        <f>IF(BC$37=0,NA(),IF(ISNUMBER(INDEX($D$40:$AD$40,BC$37)),MAX(MIN(BC64,IFERROR(INDEX($D$51:$AD$51,BC$37)/BC53,1)-0.08721-BC59*0.17442,IF(BC57&lt;BC59,IFERROR(BC63,9)-(BC59-BC57)*0.17442,9),IF(BC61&lt;BC59,IFERROR(BC65,9)-(BC59-BC61)*0.17442,9)),0.08721+(2-BC59)*0.17442),NA()))</f>
        <v>0</v>
      </c>
      <c r="BD67" s="68">
        <f>IF(BD$37=0,NA(),IF(ISNUMBER(INDEX($D$40:$AD$40,BD$37)),MAX(MIN(BD64,IFERROR(INDEX($D$51:$AD$51,BD$37)/BD53,1)-0.08721-BD59*0.17442,IF(BD57&lt;BD59,IFERROR(BD63,9)-(BD59-BD57)*0.17442,9),IF(BD61&lt;BD59,IFERROR(BD65,9)-(BD59-BD61)*0.17442,9)),0.08721+(2-BD59)*0.17442),NA()))</f>
        <v>0</v>
      </c>
      <c r="BE67" s="68">
        <f>IF(BE$37=0,NA(),IF(ISNUMBER(INDEX($D$40:$AD$40,BE$37)),MAX(MIN(BE64,IFERROR(INDEX($D$51:$AD$51,BE$37)/BE53,1)-0.08721-BE59*0.17442,IF(BE57&lt;BE59,IFERROR(BE63,9)-(BE59-BE57)*0.17442,9),IF(BE61&lt;BE59,IFERROR(BE65,9)-(BE59-BE61)*0.17442,9)),0.08721+(2-BE59)*0.17442),NA()))</f>
        <v>0</v>
      </c>
      <c r="BF67" s="68">
        <f>IF(BF$37=0,NA(),IF(ISNUMBER(INDEX($D$40:$AD$40,BF$37)),MAX(MIN(BF64,IFERROR(INDEX($D$51:$AD$51,BF$37)/BF53,1)-0.08721-BF59*0.17442,IF(BF57&lt;BF59,IFERROR(BF63,9)-(BF59-BF57)*0.17442,9),IF(BF61&lt;BF59,IFERROR(BF65,9)-(BF59-BF61)*0.17442,9)),0.08721+(2-BF59)*0.17442),NA()))</f>
        <v>0</v>
      </c>
      <c r="BG67" s="68">
        <f>IF(BG$37=0,NA(),IF(ISNUMBER(INDEX($D$40:$AD$40,BG$37)),MAX(MIN(BG64,IFERROR(INDEX($D$51:$AD$51,BG$37)/BG53,1)-0.08721-BG59*0.17442,IF(BG57&lt;BG59,IFERROR(BG63,9)-(BG59-BG57)*0.17442,9),IF(BG61&lt;BG59,IFERROR(BG65,9)-(BG59-BG61)*0.17442,9)),0.08721+(2-BG59)*0.17442),NA()))</f>
        <v>0</v>
      </c>
      <c r="BH67" s="68">
        <f>IF(BH$37=0,NA(),IF(ISNUMBER(INDEX($D$40:$AD$40,BH$37)),MAX(MIN(BH64,IFERROR(INDEX($D$51:$AD$51,BH$37)/BH53,1)-0.08721-BH59*0.17442,IF(BH57&lt;BH59,IFERROR(BH63,9)-(BH59-BH57)*0.17442,9),IF(BH61&lt;BH59,IFERROR(BH65,9)-(BH59-BH61)*0.17442,9)),0.08721+(2-BH59)*0.17442),NA()))</f>
        <v>0</v>
      </c>
      <c r="BI67" s="68">
        <f>IF(BI$37=0,NA(),IF(ISNUMBER(INDEX($D$40:$AD$40,BI$37)),MAX(MIN(BI64,IFERROR(INDEX($D$51:$AD$51,BI$37)/BI53,1)-0.08721-BI59*0.17442,IF(BI57&lt;BI59,IFERROR(BI63,9)-(BI59-BI57)*0.17442,9),IF(BI61&lt;BI59,IFERROR(BI65,9)-(BI59-BI61)*0.17442,9)),0.08721+(2-BI59)*0.17442),NA()))</f>
        <v>0</v>
      </c>
      <c r="BJ67" s="68">
        <f>IF(BJ$37=0,NA(),IF(ISNUMBER(INDEX($D$40:$AD$40,BJ$37)),MAX(MIN(BJ64,IFERROR(INDEX($D$51:$AD$51,BJ$37)/BJ53,1)-0.08721-BJ59*0.17442,IF(BJ57&lt;BJ59,IFERROR(BJ63,9)-(BJ59-BJ57)*0.17442,9),IF(BJ61&lt;BJ59,IFERROR(BJ65,9)-(BJ59-BJ61)*0.17442,9)),0.08721+(2-BJ59)*0.17442),NA()))</f>
        <v>0</v>
      </c>
      <c r="BK67" s="68">
        <f>IF(BK$37=0,NA(),IF(ISNUMBER(INDEX($D$40:$AD$40,BK$37)),MAX(MIN(BK64,IFERROR(INDEX($D$51:$AD$51,BK$37)/BK53,1)-0.08721-BK59*0.17442,IF(BK57&lt;BK59,IFERROR(BK63,9)-(BK59-BK57)*0.17442,9),IF(BK61&lt;BK59,IFERROR(BK65,9)-(BK59-BK61)*0.17442,9)),0.08721+(2-BK59)*0.17442),NA()))</f>
        <v>0</v>
      </c>
      <c r="BL67" s="68">
        <f>IF(BL$37=0,NA(),IF(ISNUMBER(INDEX($D$40:$AD$40,BL$37)),MAX(MIN(BL64,IFERROR(INDEX($D$51:$AD$51,BL$37)/BL53,1)-0.08721-BL59*0.17442,IF(BL57&lt;BL59,IFERROR(BL63,9)-(BL59-BL57)*0.17442,9),IF(BL61&lt;BL59,IFERROR(BL65,9)-(BL59-BL61)*0.17442,9)),0.08721+(2-BL59)*0.17442),NA()))</f>
        <v>0</v>
      </c>
      <c r="BM67" s="68">
        <f>IF(BM$37=0,NA(),IF(ISNUMBER(INDEX($D$40:$AD$40,BM$37)),MAX(MIN(BM64,IFERROR(INDEX($D$51:$AD$51,BM$37)/BM53,1)-0.08721-BM59*0.17442,IF(BM57&lt;BM59,IFERROR(BM63,9)-(BM59-BM57)*0.17442,9),IF(BM61&lt;BM59,IFERROR(BM65,9)-(BM59-BM61)*0.17442,9)),0.08721+(2-BM59)*0.17442),NA()))</f>
        <v>0</v>
      </c>
      <c r="BN67" s="68">
        <f>IF(BN$37=0,NA(),IF(ISNUMBER(INDEX($D$40:$AD$40,BN$37)),MAX(MIN(BN64,IFERROR(INDEX($D$51:$AD$51,BN$37)/BN53,1)-0.08721-BN59*0.17442,IF(BN57&lt;BN59,IFERROR(BN63,9)-(BN59-BN57)*0.17442,9),IF(BN61&lt;BN59,IFERROR(BN65,9)-(BN59-BN61)*0.17442,9)),0.08721+(2-BN59)*0.17442),NA()))</f>
        <v>0</v>
      </c>
      <c r="BO67" s="68">
        <f>IF(BO$37=0,NA(),IF(ISNUMBER(INDEX($D$40:$AD$40,BO$37)),MAX(MIN(BO64,IFERROR(INDEX($D$51:$AD$51,BO$37)/BO53,1)-0.08721-BO59*0.17442,IF(BO57&lt;BO59,IFERROR(BO63,9)-(BO59-BO57)*0.17442,9),IF(BO61&lt;BO59,IFERROR(BO65,9)-(BO59-BO61)*0.17442,9)),0.08721+(2-BO59)*0.17442),NA()))</f>
        <v>0</v>
      </c>
      <c r="BP67" s="68">
        <f>IF(BP$37=0,NA(),IF(ISNUMBER(INDEX($D$40:$AD$40,BP$37)),MAX(MIN(BP64,IFERROR(INDEX($D$51:$AD$51,BP$37)/BP53,1)-0.08721-BP59*0.17442,IF(BP57&lt;BP59,IFERROR(BP63,9)-(BP59-BP57)*0.17442,9),IF(BP61&lt;BP59,IFERROR(BP65,9)-(BP59-BP61)*0.17442,9)),0.08721+(2-BP59)*0.17442),NA()))</f>
        <v>0</v>
      </c>
    </row>
    <row r="68" spans="1:68">
      <c r="A68" s="11" t="s">
        <v>663</v>
      </c>
      <c r="B68" s="11" t="s">
        <v>664</v>
      </c>
      <c r="C68" s="67" t="s">
        <v>604</v>
      </c>
      <c r="AQ68" s="68">
        <f>IF(AQ$37=0,NA(),IF(ISNUMBER(INDEX($D$42:$AD$42,AQ$37)),MAX(MIN(AQ65,IFERROR(INDEX($D$51:$AD$51,AQ$37)/AQ53,1)-0.08721-AQ61*0.17442,IF(AQ59&lt;AQ61,IFERROR(AQ64,9)-(AQ61-AQ59)*0.17442,9),IF(AQ57&lt;AQ61,IFERROR(AQ63,9)-(AQ61-AQ57)*0.17442,9)),0.08721+(2-AQ61)*0.17442),NA()))</f>
        <v>0</v>
      </c>
      <c r="AR68" s="68">
        <f>IF(AR$37=0,NA(),IF(ISNUMBER(INDEX($D$42:$AD$42,AR$37)),MAX(MIN(AR65,IFERROR(INDEX($D$51:$AD$51,AR$37)/AR53,1)-0.08721-AR61*0.17442,IF(AR59&lt;AR61,IFERROR(AR64,9)-(AR61-AR59)*0.17442,9),IF(AR57&lt;AR61,IFERROR(AR63,9)-(AR61-AR57)*0.17442,9)),0.08721+(2-AR61)*0.17442),NA()))</f>
        <v>0</v>
      </c>
      <c r="AS68" s="68">
        <f>IF(AS$37=0,NA(),IF(ISNUMBER(INDEX($D$42:$AD$42,AS$37)),MAX(MIN(AS65,IFERROR(INDEX($D$51:$AD$51,AS$37)/AS53,1)-0.08721-AS61*0.17442,IF(AS59&lt;AS61,IFERROR(AS64,9)-(AS61-AS59)*0.17442,9),IF(AS57&lt;AS61,IFERROR(AS63,9)-(AS61-AS57)*0.17442,9)),0.08721+(2-AS61)*0.17442),NA()))</f>
        <v>0</v>
      </c>
      <c r="AT68" s="68">
        <f>IF(AT$37=0,NA(),IF(ISNUMBER(INDEX($D$42:$AD$42,AT$37)),MAX(MIN(AT65,IFERROR(INDEX($D$51:$AD$51,AT$37)/AT53,1)-0.08721-AT61*0.17442,IF(AT59&lt;AT61,IFERROR(AT64,9)-(AT61-AT59)*0.17442,9),IF(AT57&lt;AT61,IFERROR(AT63,9)-(AT61-AT57)*0.17442,9)),0.08721+(2-AT61)*0.17442),NA()))</f>
        <v>0</v>
      </c>
      <c r="AU68" s="68">
        <f>IF(AU$37=0,NA(),IF(ISNUMBER(INDEX($D$42:$AD$42,AU$37)),MAX(MIN(AU65,IFERROR(INDEX($D$51:$AD$51,AU$37)/AU53,1)-0.08721-AU61*0.17442,IF(AU59&lt;AU61,IFERROR(AU64,9)-(AU61-AU59)*0.17442,9),IF(AU57&lt;AU61,IFERROR(AU63,9)-(AU61-AU57)*0.17442,9)),0.08721+(2-AU61)*0.17442),NA()))</f>
        <v>0</v>
      </c>
      <c r="AV68" s="68">
        <f>IF(AV$37=0,NA(),IF(ISNUMBER(INDEX($D$42:$AD$42,AV$37)),MAX(MIN(AV65,IFERROR(INDEX($D$51:$AD$51,AV$37)/AV53,1)-0.08721-AV61*0.17442,IF(AV59&lt;AV61,IFERROR(AV64,9)-(AV61-AV59)*0.17442,9),IF(AV57&lt;AV61,IFERROR(AV63,9)-(AV61-AV57)*0.17442,9)),0.08721+(2-AV61)*0.17442),NA()))</f>
        <v>0</v>
      </c>
      <c r="AW68" s="68">
        <f>IF(AW$37=0,NA(),IF(ISNUMBER(INDEX($D$42:$AD$42,AW$37)),MAX(MIN(AW65,IFERROR(INDEX($D$51:$AD$51,AW$37)/AW53,1)-0.08721-AW61*0.17442,IF(AW59&lt;AW61,IFERROR(AW64,9)-(AW61-AW59)*0.17442,9),IF(AW57&lt;AW61,IFERROR(AW63,9)-(AW61-AW57)*0.17442,9)),0.08721+(2-AW61)*0.17442),NA()))</f>
        <v>0</v>
      </c>
      <c r="AX68" s="68">
        <f>IF(AX$37=0,NA(),IF(ISNUMBER(INDEX($D$42:$AD$42,AX$37)),MAX(MIN(AX65,IFERROR(INDEX($D$51:$AD$51,AX$37)/AX53,1)-0.08721-AX61*0.17442,IF(AX59&lt;AX61,IFERROR(AX64,9)-(AX61-AX59)*0.17442,9),IF(AX57&lt;AX61,IFERROR(AX63,9)-(AX61-AX57)*0.17442,9)),0.08721+(2-AX61)*0.17442),NA()))</f>
        <v>0</v>
      </c>
      <c r="AY68" s="68">
        <f>IF(AY$37=0,NA(),IF(ISNUMBER(INDEX($D$42:$AD$42,AY$37)),MAX(MIN(AY65,IFERROR(INDEX($D$51:$AD$51,AY$37)/AY53,1)-0.08721-AY61*0.17442,IF(AY59&lt;AY61,IFERROR(AY64,9)-(AY61-AY59)*0.17442,9),IF(AY57&lt;AY61,IFERROR(AY63,9)-(AY61-AY57)*0.17442,9)),0.08721+(2-AY61)*0.17442),NA()))</f>
        <v>0</v>
      </c>
      <c r="AZ68" s="68">
        <f>IF(AZ$37=0,NA(),IF(ISNUMBER(INDEX($D$42:$AD$42,AZ$37)),MAX(MIN(AZ65,IFERROR(INDEX($D$51:$AD$51,AZ$37)/AZ53,1)-0.08721-AZ61*0.17442,IF(AZ59&lt;AZ61,IFERROR(AZ64,9)-(AZ61-AZ59)*0.17442,9),IF(AZ57&lt;AZ61,IFERROR(AZ63,9)-(AZ61-AZ57)*0.17442,9)),0.08721+(2-AZ61)*0.17442),NA()))</f>
        <v>0</v>
      </c>
      <c r="BA68" s="68">
        <f>IF(BA$37=0,NA(),IF(ISNUMBER(INDEX($D$42:$AD$42,BA$37)),MAX(MIN(BA65,IFERROR(INDEX($D$51:$AD$51,BA$37)/BA53,1)-0.08721-BA61*0.17442,IF(BA59&lt;BA61,IFERROR(BA64,9)-(BA61-BA59)*0.17442,9),IF(BA57&lt;BA61,IFERROR(BA63,9)-(BA61-BA57)*0.17442,9)),0.08721+(2-BA61)*0.17442),NA()))</f>
        <v>0</v>
      </c>
      <c r="BB68" s="68">
        <f>IF(BB$37=0,NA(),IF(ISNUMBER(INDEX($D$42:$AD$42,BB$37)),MAX(MIN(BB65,IFERROR(INDEX($D$51:$AD$51,BB$37)/BB53,1)-0.08721-BB61*0.17442,IF(BB59&lt;BB61,IFERROR(BB64,9)-(BB61-BB59)*0.17442,9),IF(BB57&lt;BB61,IFERROR(BB63,9)-(BB61-BB57)*0.17442,9)),0.08721+(2-BB61)*0.17442),NA()))</f>
        <v>0</v>
      </c>
      <c r="BC68" s="68">
        <f>IF(BC$37=0,NA(),IF(ISNUMBER(INDEX($D$42:$AD$42,BC$37)),MAX(MIN(BC65,IFERROR(INDEX($D$51:$AD$51,BC$37)/BC53,1)-0.08721-BC61*0.17442,IF(BC59&lt;BC61,IFERROR(BC64,9)-(BC61-BC59)*0.17442,9),IF(BC57&lt;BC61,IFERROR(BC63,9)-(BC61-BC57)*0.17442,9)),0.08721+(2-BC61)*0.17442),NA()))</f>
        <v>0</v>
      </c>
      <c r="BD68" s="68">
        <f>IF(BD$37=0,NA(),IF(ISNUMBER(INDEX($D$42:$AD$42,BD$37)),MAX(MIN(BD65,IFERROR(INDEX($D$51:$AD$51,BD$37)/BD53,1)-0.08721-BD61*0.17442,IF(BD59&lt;BD61,IFERROR(BD64,9)-(BD61-BD59)*0.17442,9),IF(BD57&lt;BD61,IFERROR(BD63,9)-(BD61-BD57)*0.17442,9)),0.08721+(2-BD61)*0.17442),NA()))</f>
        <v>0</v>
      </c>
      <c r="BE68" s="68">
        <f>IF(BE$37=0,NA(),IF(ISNUMBER(INDEX($D$42:$AD$42,BE$37)),MAX(MIN(BE65,IFERROR(INDEX($D$51:$AD$51,BE$37)/BE53,1)-0.08721-BE61*0.17442,IF(BE59&lt;BE61,IFERROR(BE64,9)-(BE61-BE59)*0.17442,9),IF(BE57&lt;BE61,IFERROR(BE63,9)-(BE61-BE57)*0.17442,9)),0.08721+(2-BE61)*0.17442),NA()))</f>
        <v>0</v>
      </c>
      <c r="BF68" s="68">
        <f>IF(BF$37=0,NA(),IF(ISNUMBER(INDEX($D$42:$AD$42,BF$37)),MAX(MIN(BF65,IFERROR(INDEX($D$51:$AD$51,BF$37)/BF53,1)-0.08721-BF61*0.17442,IF(BF59&lt;BF61,IFERROR(BF64,9)-(BF61-BF59)*0.17442,9),IF(BF57&lt;BF61,IFERROR(BF63,9)-(BF61-BF57)*0.17442,9)),0.08721+(2-BF61)*0.17442),NA()))</f>
        <v>0</v>
      </c>
      <c r="BG68" s="68">
        <f>IF(BG$37=0,NA(),IF(ISNUMBER(INDEX($D$42:$AD$42,BG$37)),MAX(MIN(BG65,IFERROR(INDEX($D$51:$AD$51,BG$37)/BG53,1)-0.08721-BG61*0.17442,IF(BG59&lt;BG61,IFERROR(BG64,9)-(BG61-BG59)*0.17442,9),IF(BG57&lt;BG61,IFERROR(BG63,9)-(BG61-BG57)*0.17442,9)),0.08721+(2-BG61)*0.17442),NA()))</f>
        <v>0</v>
      </c>
      <c r="BH68" s="68">
        <f>IF(BH$37=0,NA(),IF(ISNUMBER(INDEX($D$42:$AD$42,BH$37)),MAX(MIN(BH65,IFERROR(INDEX($D$51:$AD$51,BH$37)/BH53,1)-0.08721-BH61*0.17442,IF(BH59&lt;BH61,IFERROR(BH64,9)-(BH61-BH59)*0.17442,9),IF(BH57&lt;BH61,IFERROR(BH63,9)-(BH61-BH57)*0.17442,9)),0.08721+(2-BH61)*0.17442),NA()))</f>
        <v>0</v>
      </c>
      <c r="BI68" s="68">
        <f>IF(BI$37=0,NA(),IF(ISNUMBER(INDEX($D$42:$AD$42,BI$37)),MAX(MIN(BI65,IFERROR(INDEX($D$51:$AD$51,BI$37)/BI53,1)-0.08721-BI61*0.17442,IF(BI59&lt;BI61,IFERROR(BI64,9)-(BI61-BI59)*0.17442,9),IF(BI57&lt;BI61,IFERROR(BI63,9)-(BI61-BI57)*0.17442,9)),0.08721+(2-BI61)*0.17442),NA()))</f>
        <v>0</v>
      </c>
      <c r="BJ68" s="68">
        <f>IF(BJ$37=0,NA(),IF(ISNUMBER(INDEX($D$42:$AD$42,BJ$37)),MAX(MIN(BJ65,IFERROR(INDEX($D$51:$AD$51,BJ$37)/BJ53,1)-0.08721-BJ61*0.17442,IF(BJ59&lt;BJ61,IFERROR(BJ64,9)-(BJ61-BJ59)*0.17442,9),IF(BJ57&lt;BJ61,IFERROR(BJ63,9)-(BJ61-BJ57)*0.17442,9)),0.08721+(2-BJ61)*0.17442),NA()))</f>
        <v>0</v>
      </c>
      <c r="BK68" s="68">
        <f>IF(BK$37=0,NA(),IF(ISNUMBER(INDEX($D$42:$AD$42,BK$37)),MAX(MIN(BK65,IFERROR(INDEX($D$51:$AD$51,BK$37)/BK53,1)-0.08721-BK61*0.17442,IF(BK59&lt;BK61,IFERROR(BK64,9)-(BK61-BK59)*0.17442,9),IF(BK57&lt;BK61,IFERROR(BK63,9)-(BK61-BK57)*0.17442,9)),0.08721+(2-BK61)*0.17442),NA()))</f>
        <v>0</v>
      </c>
      <c r="BL68" s="68">
        <f>IF(BL$37=0,NA(),IF(ISNUMBER(INDEX($D$42:$AD$42,BL$37)),MAX(MIN(BL65,IFERROR(INDEX($D$51:$AD$51,BL$37)/BL53,1)-0.08721-BL61*0.17442,IF(BL59&lt;BL61,IFERROR(BL64,9)-(BL61-BL59)*0.17442,9),IF(BL57&lt;BL61,IFERROR(BL63,9)-(BL61-BL57)*0.17442,9)),0.08721+(2-BL61)*0.17442),NA()))</f>
        <v>0</v>
      </c>
      <c r="BM68" s="68">
        <f>IF(BM$37=0,NA(),IF(ISNUMBER(INDEX($D$42:$AD$42,BM$37)),MAX(MIN(BM65,IFERROR(INDEX($D$51:$AD$51,BM$37)/BM53,1)-0.08721-BM61*0.17442,IF(BM59&lt;BM61,IFERROR(BM64,9)-(BM61-BM59)*0.17442,9),IF(BM57&lt;BM61,IFERROR(BM63,9)-(BM61-BM57)*0.17442,9)),0.08721+(2-BM61)*0.17442),NA()))</f>
        <v>0</v>
      </c>
      <c r="BN68" s="68">
        <f>IF(BN$37=0,NA(),IF(ISNUMBER(INDEX($D$42:$AD$42,BN$37)),MAX(MIN(BN65,IFERROR(INDEX($D$51:$AD$51,BN$37)/BN53,1)-0.08721-BN61*0.17442,IF(BN59&lt;BN61,IFERROR(BN64,9)-(BN61-BN59)*0.17442,9),IF(BN57&lt;BN61,IFERROR(BN63,9)-(BN61-BN57)*0.17442,9)),0.08721+(2-BN61)*0.17442),NA()))</f>
        <v>0</v>
      </c>
      <c r="BO68" s="68">
        <f>IF(BO$37=0,NA(),IF(ISNUMBER(INDEX($D$42:$AD$42,BO$37)),MAX(MIN(BO65,IFERROR(INDEX($D$51:$AD$51,BO$37)/BO53,1)-0.08721-BO61*0.17442,IF(BO59&lt;BO61,IFERROR(BO64,9)-(BO61-BO59)*0.17442,9),IF(BO57&lt;BO61,IFERROR(BO63,9)-(BO61-BO57)*0.17442,9)),0.08721+(2-BO61)*0.17442),NA()))</f>
        <v>0</v>
      </c>
      <c r="BP68" s="68">
        <f>IF(BP$37=0,NA(),IF(ISNUMBER(INDEX($D$42:$AD$42,BP$37)),MAX(MIN(BP65,IFERROR(INDEX($D$51:$AD$51,BP$37)/BP53,1)-0.08721-BP61*0.17442,IF(BP59&lt;BP61,IFERROR(BP64,9)-(BP61-BP59)*0.17442,9),IF(BP57&lt;BP61,IFERROR(BP63,9)-(BP61-BP57)*0.17442,9)),0.08721+(2-BP61)*0.17442),NA()))</f>
        <v>0</v>
      </c>
    </row>
    <row r="69" spans="1:68">
      <c r="A69" s="11" t="s">
        <v>665</v>
      </c>
      <c r="B69" s="11" t="s">
        <v>666</v>
      </c>
      <c r="C69" s="67" t="s">
        <v>604</v>
      </c>
      <c r="AQ69" s="68">
        <f>IF(AQ$37=0,NA(),IF(ISNUMBER(INDEX($D$51:$AD$51,AQ$37)),MAX(INDEX($D$51:$AD$51,AQ$37)/AQ53,IFERROR(_xlfn.AGGREGATE(4,6,AQ67,AQ66,AQ68),0)+0.08721),NA()))</f>
        <v>0</v>
      </c>
      <c r="AR69" s="68">
        <f>IF(AR$37=0,NA(),IF(ISNUMBER(INDEX($D$51:$AD$51,AR$37)),MAX(INDEX($D$51:$AD$51,AR$37)/AR53,IFERROR(_xlfn.AGGREGATE(4,6,AR67,AR66,AR68),0)+0.08721),NA()))</f>
        <v>0</v>
      </c>
      <c r="AS69" s="68">
        <f>IF(AS$37=0,NA(),IF(ISNUMBER(INDEX($D$51:$AD$51,AS$37)),MAX(INDEX($D$51:$AD$51,AS$37)/AS53,IFERROR(_xlfn.AGGREGATE(4,6,AS67,AS66,AS68),0)+0.08721),NA()))</f>
        <v>0</v>
      </c>
      <c r="AT69" s="68">
        <f>IF(AT$37=0,NA(),IF(ISNUMBER(INDEX($D$51:$AD$51,AT$37)),MAX(INDEX($D$51:$AD$51,AT$37)/AT53,IFERROR(_xlfn.AGGREGATE(4,6,AT67,AT66,AT68),0)+0.08721),NA()))</f>
        <v>0</v>
      </c>
      <c r="AU69" s="68">
        <f>IF(AU$37=0,NA(),IF(ISNUMBER(INDEX($D$51:$AD$51,AU$37)),MAX(INDEX($D$51:$AD$51,AU$37)/AU53,IFERROR(_xlfn.AGGREGATE(4,6,AU67,AU66,AU68),0)+0.08721),NA()))</f>
        <v>0</v>
      </c>
      <c r="AV69" s="68">
        <f>IF(AV$37=0,NA(),IF(ISNUMBER(INDEX($D$51:$AD$51,AV$37)),MAX(INDEX($D$51:$AD$51,AV$37)/AV53,IFERROR(_xlfn.AGGREGATE(4,6,AV67,AV66,AV68),0)+0.08721),NA()))</f>
        <v>0</v>
      </c>
      <c r="AW69" s="68">
        <f>IF(AW$37=0,NA(),IF(ISNUMBER(INDEX($D$51:$AD$51,AW$37)),MAX(INDEX($D$51:$AD$51,AW$37)/AW53,IFERROR(_xlfn.AGGREGATE(4,6,AW67,AW66,AW68),0)+0.08721),NA()))</f>
        <v>0</v>
      </c>
      <c r="AX69" s="68">
        <f>IF(AX$37=0,NA(),IF(ISNUMBER(INDEX($D$51:$AD$51,AX$37)),MAX(INDEX($D$51:$AD$51,AX$37)/AX53,IFERROR(_xlfn.AGGREGATE(4,6,AX67,AX66,AX68),0)+0.08721),NA()))</f>
        <v>0</v>
      </c>
      <c r="AY69" s="68">
        <f>IF(AY$37=0,NA(),IF(ISNUMBER(INDEX($D$51:$AD$51,AY$37)),MAX(INDEX($D$51:$AD$51,AY$37)/AY53,IFERROR(_xlfn.AGGREGATE(4,6,AY67,AY66,AY68),0)+0.08721),NA()))</f>
        <v>0</v>
      </c>
      <c r="AZ69" s="68">
        <f>IF(AZ$37=0,NA(),IF(ISNUMBER(INDEX($D$51:$AD$51,AZ$37)),MAX(INDEX($D$51:$AD$51,AZ$37)/AZ53,IFERROR(_xlfn.AGGREGATE(4,6,AZ67,AZ66,AZ68),0)+0.08721),NA()))</f>
        <v>0</v>
      </c>
      <c r="BA69" s="68">
        <f>IF(BA$37=0,NA(),IF(ISNUMBER(INDEX($D$51:$AD$51,BA$37)),MAX(INDEX($D$51:$AD$51,BA$37)/BA53,IFERROR(_xlfn.AGGREGATE(4,6,BA67,BA66,BA68),0)+0.08721),NA()))</f>
        <v>0</v>
      </c>
      <c r="BB69" s="68">
        <f>IF(BB$37=0,NA(),IF(ISNUMBER(INDEX($D$51:$AD$51,BB$37)),MAX(INDEX($D$51:$AD$51,BB$37)/BB53,IFERROR(_xlfn.AGGREGATE(4,6,BB67,BB66,BB68),0)+0.08721),NA()))</f>
        <v>0</v>
      </c>
      <c r="BC69" s="68">
        <f>IF(BC$37=0,NA(),IF(ISNUMBER(INDEX($D$51:$AD$51,BC$37)),MAX(INDEX($D$51:$AD$51,BC$37)/BC53,IFERROR(_xlfn.AGGREGATE(4,6,BC67,BC66,BC68),0)+0.08721),NA()))</f>
        <v>0</v>
      </c>
      <c r="BD69" s="68">
        <f>IF(BD$37=0,NA(),IF(ISNUMBER(INDEX($D$51:$AD$51,BD$37)),MAX(INDEX($D$51:$AD$51,BD$37)/BD53,IFERROR(_xlfn.AGGREGATE(4,6,BD67,BD66,BD68),0)+0.08721),NA()))</f>
        <v>0</v>
      </c>
      <c r="BE69" s="68">
        <f>IF(BE$37=0,NA(),IF(ISNUMBER(INDEX($D$51:$AD$51,BE$37)),MAX(INDEX($D$51:$AD$51,BE$37)/BE53,IFERROR(_xlfn.AGGREGATE(4,6,BE67,BE66,BE68),0)+0.08721),NA()))</f>
        <v>0</v>
      </c>
      <c r="BF69" s="68">
        <f>IF(BF$37=0,NA(),IF(ISNUMBER(INDEX($D$51:$AD$51,BF$37)),MAX(INDEX($D$51:$AD$51,BF$37)/BF53,IFERROR(_xlfn.AGGREGATE(4,6,BF67,BF66,BF68),0)+0.08721),NA()))</f>
        <v>0</v>
      </c>
      <c r="BG69" s="68">
        <f>IF(BG$37=0,NA(),IF(ISNUMBER(INDEX($D$51:$AD$51,BG$37)),MAX(INDEX($D$51:$AD$51,BG$37)/BG53,IFERROR(_xlfn.AGGREGATE(4,6,BG67,BG66,BG68),0)+0.08721),NA()))</f>
        <v>0</v>
      </c>
      <c r="BH69" s="68">
        <f>IF(BH$37=0,NA(),IF(ISNUMBER(INDEX($D$51:$AD$51,BH$37)),MAX(INDEX($D$51:$AD$51,BH$37)/BH53,IFERROR(_xlfn.AGGREGATE(4,6,BH67,BH66,BH68),0)+0.08721),NA()))</f>
        <v>0</v>
      </c>
      <c r="BI69" s="68">
        <f>IF(BI$37=0,NA(),IF(ISNUMBER(INDEX($D$51:$AD$51,BI$37)),MAX(INDEX($D$51:$AD$51,BI$37)/BI53,IFERROR(_xlfn.AGGREGATE(4,6,BI67,BI66,BI68),0)+0.08721),NA()))</f>
        <v>0</v>
      </c>
      <c r="BJ69" s="68">
        <f>IF(BJ$37=0,NA(),IF(ISNUMBER(INDEX($D$51:$AD$51,BJ$37)),MAX(INDEX($D$51:$AD$51,BJ$37)/BJ53,IFERROR(_xlfn.AGGREGATE(4,6,BJ67,BJ66,BJ68),0)+0.08721),NA()))</f>
        <v>0</v>
      </c>
      <c r="BK69" s="68">
        <f>IF(BK$37=0,NA(),IF(ISNUMBER(INDEX($D$51:$AD$51,BK$37)),MAX(INDEX($D$51:$AD$51,BK$37)/BK53,IFERROR(_xlfn.AGGREGATE(4,6,BK67,BK66,BK68),0)+0.08721),NA()))</f>
        <v>0</v>
      </c>
      <c r="BL69" s="68">
        <f>IF(BL$37=0,NA(),IF(ISNUMBER(INDEX($D$51:$AD$51,BL$37)),MAX(INDEX($D$51:$AD$51,BL$37)/BL53,IFERROR(_xlfn.AGGREGATE(4,6,BL67,BL66,BL68),0)+0.08721),NA()))</f>
        <v>0</v>
      </c>
      <c r="BM69" s="68">
        <f>IF(BM$37=0,NA(),IF(ISNUMBER(INDEX($D$51:$AD$51,BM$37)),MAX(INDEX($D$51:$AD$51,BM$37)/BM53,IFERROR(_xlfn.AGGREGATE(4,6,BM67,BM66,BM68),0)+0.08721),NA()))</f>
        <v>0</v>
      </c>
      <c r="BN69" s="68">
        <f>IF(BN$37=0,NA(),IF(ISNUMBER(INDEX($D$51:$AD$51,BN$37)),MAX(INDEX($D$51:$AD$51,BN$37)/BN53,IFERROR(_xlfn.AGGREGATE(4,6,BN67,BN66,BN68),0)+0.08721),NA()))</f>
        <v>0</v>
      </c>
      <c r="BO69" s="68">
        <f>IF(BO$37=0,NA(),IF(ISNUMBER(INDEX($D$51:$AD$51,BO$37)),MAX(INDEX($D$51:$AD$51,BO$37)/BO53,IFERROR(_xlfn.AGGREGATE(4,6,BO67,BO66,BO68),0)+0.08721),NA()))</f>
        <v>0</v>
      </c>
      <c r="BP69" s="68">
        <f>IF(BP$37=0,NA(),IF(ISNUMBER(INDEX($D$51:$AD$51,BP$37)),MAX(INDEX($D$51:$AD$51,BP$37)/BP53,IFERROR(_xlfn.AGGREGATE(4,6,BP67,BP66,BP68),0)+0.08721),NA()))</f>
        <v>0</v>
      </c>
    </row>
    <row r="70" spans="1:68">
      <c r="A70" s="11" t="s">
        <v>667</v>
      </c>
      <c r="B70" s="11" t="s">
        <v>668</v>
      </c>
      <c r="C70" s="67" t="s">
        <v>604</v>
      </c>
      <c r="AQ70" s="11">
        <f>IF(AQ$37=0,"",IF(ISNUMBER(INDEX($D$51:$AD$51,AQ$37)),FIXED(INDEX($D$51:$AD$51,AQ$37)/1000,1),""))</f>
        <v>0</v>
      </c>
      <c r="AR70" s="11">
        <f>IF(AR$37=0,"",IF(ISNUMBER(INDEX($D$51:$AD$51,AR$37)),FIXED(INDEX($D$51:$AD$51,AR$37)/1000,1),""))</f>
        <v>0</v>
      </c>
      <c r="AS70" s="11">
        <f>IF(AS$37=0,"",IF(ISNUMBER(INDEX($D$51:$AD$51,AS$37)),FIXED(INDEX($D$51:$AD$51,AS$37)/1000,1),""))</f>
        <v>0</v>
      </c>
      <c r="AT70" s="11">
        <f>IF(AT$37=0,"",IF(ISNUMBER(INDEX($D$51:$AD$51,AT$37)),FIXED(INDEX($D$51:$AD$51,AT$37)/1000,1),""))</f>
        <v>0</v>
      </c>
      <c r="AU70" s="11">
        <f>IF(AU$37=0,"",IF(ISNUMBER(INDEX($D$51:$AD$51,AU$37)),FIXED(INDEX($D$51:$AD$51,AU$37)/1000,1),""))</f>
        <v>0</v>
      </c>
      <c r="AV70" s="11">
        <f>IF(AV$37=0,"",IF(ISNUMBER(INDEX($D$51:$AD$51,AV$37)),FIXED(INDEX($D$51:$AD$51,AV$37)/1000,1),""))</f>
        <v>0</v>
      </c>
      <c r="AW70" s="11">
        <f>IF(AW$37=0,"",IF(ISNUMBER(INDEX($D$51:$AD$51,AW$37)),FIXED(INDEX($D$51:$AD$51,AW$37)/1000,1),""))</f>
        <v>0</v>
      </c>
      <c r="AX70" s="11">
        <f>IF(AX$37=0,"",IF(ISNUMBER(INDEX($D$51:$AD$51,AX$37)),FIXED(INDEX($D$51:$AD$51,AX$37)/1000,1),""))</f>
        <v>0</v>
      </c>
      <c r="AY70" s="11">
        <f>IF(AY$37=0,"",IF(ISNUMBER(INDEX($D$51:$AD$51,AY$37)),FIXED(INDEX($D$51:$AD$51,AY$37)/1000,1),""))</f>
        <v>0</v>
      </c>
      <c r="AZ70" s="11">
        <f>IF(AZ$37=0,"",IF(ISNUMBER(INDEX($D$51:$AD$51,AZ$37)),FIXED(INDEX($D$51:$AD$51,AZ$37)/1000,1),""))</f>
        <v>0</v>
      </c>
      <c r="BA70" s="11">
        <f>IF(BA$37=0,"",IF(ISNUMBER(INDEX($D$51:$AD$51,BA$37)),FIXED(INDEX($D$51:$AD$51,BA$37)/1000,1),""))</f>
        <v>0</v>
      </c>
      <c r="BB70" s="11">
        <f>IF(BB$37=0,"",IF(ISNUMBER(INDEX($D$51:$AD$51,BB$37)),FIXED(INDEX($D$51:$AD$51,BB$37)/1000,1),""))</f>
        <v>0</v>
      </c>
      <c r="BC70" s="11">
        <f>IF(BC$37=0,"",IF(ISNUMBER(INDEX($D$51:$AD$51,BC$37)),FIXED(INDEX($D$51:$AD$51,BC$37)/1000,1),""))</f>
        <v>0</v>
      </c>
      <c r="BD70" s="11">
        <f>IF(BD$37=0,"",IF(ISNUMBER(INDEX($D$51:$AD$51,BD$37)),FIXED(INDEX($D$51:$AD$51,BD$37)/1000,1),""))</f>
        <v>0</v>
      </c>
      <c r="BE70" s="11">
        <f>IF(BE$37=0,"",IF(ISNUMBER(INDEX($D$51:$AD$51,BE$37)),FIXED(INDEX($D$51:$AD$51,BE$37)/1000,1),""))</f>
        <v>0</v>
      </c>
      <c r="BF70" s="11">
        <f>IF(BF$37=0,"",IF(ISNUMBER(INDEX($D$51:$AD$51,BF$37)),FIXED(INDEX($D$51:$AD$51,BF$37)/1000,1),""))</f>
        <v>0</v>
      </c>
      <c r="BG70" s="11">
        <f>IF(BG$37=0,"",IF(ISNUMBER(INDEX($D$51:$AD$51,BG$37)),FIXED(INDEX($D$51:$AD$51,BG$37)/1000,1),""))</f>
        <v>0</v>
      </c>
      <c r="BH70" s="11">
        <f>IF(BH$37=0,"",IF(ISNUMBER(INDEX($D$51:$AD$51,BH$37)),FIXED(INDEX($D$51:$AD$51,BH$37)/1000,1),""))</f>
        <v>0</v>
      </c>
      <c r="BI70" s="11">
        <f>IF(BI$37=0,"",IF(ISNUMBER(INDEX($D$51:$AD$51,BI$37)),FIXED(INDEX($D$51:$AD$51,BI$37)/1000,1),""))</f>
        <v>0</v>
      </c>
      <c r="BJ70" s="11">
        <f>IF(BJ$37=0,"",IF(ISNUMBER(INDEX($D$51:$AD$51,BJ$37)),FIXED(INDEX($D$51:$AD$51,BJ$37)/1000,1),""))</f>
        <v>0</v>
      </c>
      <c r="BK70" s="11">
        <f>IF(BK$37=0,"",IF(ISNUMBER(INDEX($D$51:$AD$51,BK$37)),FIXED(INDEX($D$51:$AD$51,BK$37)/1000,1),""))</f>
        <v>0</v>
      </c>
      <c r="BL70" s="11">
        <f>IF(BL$37=0,"",IF(ISNUMBER(INDEX($D$51:$AD$51,BL$37)),FIXED(INDEX($D$51:$AD$51,BL$37)/1000,1),""))</f>
        <v>0</v>
      </c>
      <c r="BM70" s="11">
        <f>IF(BM$37=0,"",IF(ISNUMBER(INDEX($D$51:$AD$51,BM$37)),FIXED(INDEX($D$51:$AD$51,BM$37)/1000,1),""))</f>
        <v>0</v>
      </c>
      <c r="BN70" s="11">
        <f>IF(BN$37=0,"",IF(ISNUMBER(INDEX($D$51:$AD$51,BN$37)),FIXED(INDEX($D$51:$AD$51,BN$37)/1000,1),""))</f>
        <v>0</v>
      </c>
      <c r="BO70" s="11">
        <f>IF(BO$37=0,"",IF(ISNUMBER(INDEX($D$51:$AD$51,BO$37)),FIXED(INDEX($D$51:$AD$51,BO$37)/1000,1),""))</f>
        <v>0</v>
      </c>
      <c r="BP70" s="11">
        <f>IF(BP$37=0,"",IF(ISNUMBER(INDEX($D$51:$AD$51,BP$37)),FIXED(INDEX($D$51:$AD$51,BP$37)/1000,1),""))</f>
        <v>0</v>
      </c>
    </row>
    <row r="71" spans="1:68">
      <c r="A71" s="11" t="s">
        <v>669</v>
      </c>
      <c r="B71" s="11" t="s">
        <v>670</v>
      </c>
      <c r="C71" s="67" t="s">
        <v>604</v>
      </c>
      <c r="AQ71" s="68">
        <f>IF(AQ$37=0,NA(),IF(N(Konfiguration!$F$9)&gt;0,N(Konfiguration!$F$9)/AQ53,NA()))</f>
        <v>0</v>
      </c>
      <c r="AR71" s="68">
        <f>IF(AR$37=0,NA(),IF(N(Konfiguration!$F$9)&gt;0,N(Konfiguration!$F$9)/AR53,NA()))</f>
        <v>0</v>
      </c>
      <c r="AS71" s="68">
        <f>IF(AS$37=0,NA(),IF(N(Konfiguration!$F$9)&gt;0,N(Konfiguration!$F$9)/AS53,NA()))</f>
        <v>0</v>
      </c>
      <c r="AT71" s="68">
        <f>IF(AT$37=0,NA(),IF(N(Konfiguration!$F$9)&gt;0,N(Konfiguration!$F$9)/AT53,NA()))</f>
        <v>0</v>
      </c>
      <c r="AU71" s="68">
        <f>IF(AU$37=0,NA(),IF(N(Konfiguration!$F$9)&gt;0,N(Konfiguration!$F$9)/AU53,NA()))</f>
        <v>0</v>
      </c>
      <c r="AV71" s="68">
        <f>IF(AV$37=0,NA(),IF(N(Konfiguration!$F$9)&gt;0,N(Konfiguration!$F$9)/AV53,NA()))</f>
        <v>0</v>
      </c>
      <c r="AW71" s="68">
        <f>IF(AW$37=0,NA(),IF(N(Konfiguration!$F$9)&gt;0,N(Konfiguration!$F$9)/AW53,NA()))</f>
        <v>0</v>
      </c>
      <c r="AX71" s="68">
        <f>IF(AX$37=0,NA(),IF(N(Konfiguration!$F$9)&gt;0,N(Konfiguration!$F$9)/AX53,NA()))</f>
        <v>0</v>
      </c>
      <c r="AY71" s="68">
        <f>IF(AY$37=0,NA(),IF(N(Konfiguration!$F$9)&gt;0,N(Konfiguration!$F$9)/AY53,NA()))</f>
        <v>0</v>
      </c>
      <c r="AZ71" s="68">
        <f>IF(AZ$37=0,NA(),IF(N(Konfiguration!$F$9)&gt;0,N(Konfiguration!$F$9)/AZ53,NA()))</f>
        <v>0</v>
      </c>
      <c r="BA71" s="68">
        <f>IF(BA$37=0,NA(),IF(N(Konfiguration!$F$9)&gt;0,N(Konfiguration!$F$9)/BA53,NA()))</f>
        <v>0</v>
      </c>
      <c r="BB71" s="68">
        <f>IF(BB$37=0,NA(),IF(N(Konfiguration!$F$9)&gt;0,N(Konfiguration!$F$9)/BB53,NA()))</f>
        <v>0</v>
      </c>
      <c r="BC71" s="68">
        <f>IF(BC$37=0,NA(),IF(N(Konfiguration!$F$9)&gt;0,N(Konfiguration!$F$9)/BC53,NA()))</f>
        <v>0</v>
      </c>
      <c r="BD71" s="68">
        <f>IF(BD$37=0,NA(),IF(N(Konfiguration!$F$9)&gt;0,N(Konfiguration!$F$9)/BD53,NA()))</f>
        <v>0</v>
      </c>
      <c r="BE71" s="68">
        <f>IF(BE$37=0,NA(),IF(N(Konfiguration!$F$9)&gt;0,N(Konfiguration!$F$9)/BE53,NA()))</f>
        <v>0</v>
      </c>
      <c r="BF71" s="68">
        <f>IF(BF$37=0,NA(),IF(N(Konfiguration!$F$9)&gt;0,N(Konfiguration!$F$9)/BF53,NA()))</f>
        <v>0</v>
      </c>
      <c r="BG71" s="68">
        <f>IF(BG$37=0,NA(),IF(N(Konfiguration!$F$9)&gt;0,N(Konfiguration!$F$9)/BG53,NA()))</f>
        <v>0</v>
      </c>
      <c r="BH71" s="68">
        <f>IF(BH$37=0,NA(),IF(N(Konfiguration!$F$9)&gt;0,N(Konfiguration!$F$9)/BH53,NA()))</f>
        <v>0</v>
      </c>
      <c r="BI71" s="68">
        <f>IF(BI$37=0,NA(),IF(N(Konfiguration!$F$9)&gt;0,N(Konfiguration!$F$9)/BI53,NA()))</f>
        <v>0</v>
      </c>
      <c r="BJ71" s="68">
        <f>IF(BJ$37=0,NA(),IF(N(Konfiguration!$F$9)&gt;0,N(Konfiguration!$F$9)/BJ53,NA()))</f>
        <v>0</v>
      </c>
      <c r="BK71" s="68">
        <f>IF(BK$37=0,NA(),IF(N(Konfiguration!$F$9)&gt;0,N(Konfiguration!$F$9)/BK53,NA()))</f>
        <v>0</v>
      </c>
      <c r="BL71" s="68">
        <f>IF(BL$37=0,NA(),IF(N(Konfiguration!$F$9)&gt;0,N(Konfiguration!$F$9)/BL53,NA()))</f>
        <v>0</v>
      </c>
      <c r="BM71" s="68">
        <f>IF(BM$37=0,NA(),IF(N(Konfiguration!$F$9)&gt;0,N(Konfiguration!$F$9)/BM53,NA()))</f>
        <v>0</v>
      </c>
      <c r="BN71" s="68">
        <f>IF(BN$37=0,NA(),IF(N(Konfiguration!$F$9)&gt;0,N(Konfiguration!$F$9)/BN53,NA()))</f>
        <v>0</v>
      </c>
      <c r="BO71" s="68">
        <f>IF(BO$37=0,NA(),IF(N(Konfiguration!$F$9)&gt;0,N(Konfiguration!$F$9)/BO53,NA()))</f>
        <v>0</v>
      </c>
      <c r="BP71" s="68">
        <f>IF(BP$37=0,NA(),IF(N(Konfiguration!$F$9)&gt;0,N(Konfiguration!$F$9)/BP53,NA()))</f>
        <v>0</v>
      </c>
    </row>
    <row r="72" spans="1:68">
      <c r="A72" s="11" t="s">
        <v>671</v>
      </c>
      <c r="B72" s="11" t="s">
        <v>672</v>
      </c>
      <c r="C72" s="67" t="s">
        <v>604</v>
      </c>
      <c r="AQ72" s="68">
        <f>IF(AQ$37=0,NA(),MAX(1,_xlfn.AGGREGATE(4,6,INDEX($D$49:$AD$49,28-$D$36):$AD$49),_xlfn.AGGREGATE(4,6,INDEX($D$50:$AD$50,28-$D$36):$AD$50)))</f>
        <v>0</v>
      </c>
      <c r="AR72" s="68">
        <f>IF(AR$37=0,NA(),MAX(1,_xlfn.AGGREGATE(4,6,INDEX($D$49:$AD$49,28-$D$36):$AD$49),_xlfn.AGGREGATE(4,6,INDEX($D$50:$AD$50,28-$D$36):$AD$50)))</f>
        <v>0</v>
      </c>
      <c r="AS72" s="68">
        <f>IF(AS$37=0,NA(),MAX(1,_xlfn.AGGREGATE(4,6,INDEX($D$49:$AD$49,28-$D$36):$AD$49),_xlfn.AGGREGATE(4,6,INDEX($D$50:$AD$50,28-$D$36):$AD$50)))</f>
        <v>0</v>
      </c>
      <c r="AT72" s="68">
        <f>IF(AT$37=0,NA(),MAX(1,_xlfn.AGGREGATE(4,6,INDEX($D$49:$AD$49,28-$D$36):$AD$49),_xlfn.AGGREGATE(4,6,INDEX($D$50:$AD$50,28-$D$36):$AD$50)))</f>
        <v>0</v>
      </c>
      <c r="AU72" s="68">
        <f>IF(AU$37=0,NA(),MAX(1,_xlfn.AGGREGATE(4,6,INDEX($D$49:$AD$49,28-$D$36):$AD$49),_xlfn.AGGREGATE(4,6,INDEX($D$50:$AD$50,28-$D$36):$AD$50)))</f>
        <v>0</v>
      </c>
      <c r="AV72" s="68">
        <f>IF(AV$37=0,NA(),MAX(1,_xlfn.AGGREGATE(4,6,INDEX($D$49:$AD$49,28-$D$36):$AD$49),_xlfn.AGGREGATE(4,6,INDEX($D$50:$AD$50,28-$D$36):$AD$50)))</f>
        <v>0</v>
      </c>
      <c r="AW72" s="68">
        <f>IF(AW$37=0,NA(),MAX(1,_xlfn.AGGREGATE(4,6,INDEX($D$49:$AD$49,28-$D$36):$AD$49),_xlfn.AGGREGATE(4,6,INDEX($D$50:$AD$50,28-$D$36):$AD$50)))</f>
        <v>0</v>
      </c>
      <c r="AX72" s="68">
        <f>IF(AX$37=0,NA(),MAX(1,_xlfn.AGGREGATE(4,6,INDEX($D$49:$AD$49,28-$D$36):$AD$49),_xlfn.AGGREGATE(4,6,INDEX($D$50:$AD$50,28-$D$36):$AD$50)))</f>
        <v>0</v>
      </c>
      <c r="AY72" s="68">
        <f>IF(AY$37=0,NA(),MAX(1,_xlfn.AGGREGATE(4,6,INDEX($D$49:$AD$49,28-$D$36):$AD$49),_xlfn.AGGREGATE(4,6,INDEX($D$50:$AD$50,28-$D$36):$AD$50)))</f>
        <v>0</v>
      </c>
      <c r="AZ72" s="68">
        <f>IF(AZ$37=0,NA(),MAX(1,_xlfn.AGGREGATE(4,6,INDEX($D$49:$AD$49,28-$D$36):$AD$49),_xlfn.AGGREGATE(4,6,INDEX($D$50:$AD$50,28-$D$36):$AD$50)))</f>
        <v>0</v>
      </c>
      <c r="BA72" s="68">
        <f>IF(BA$37=0,NA(),MAX(1,_xlfn.AGGREGATE(4,6,INDEX($D$49:$AD$49,28-$D$36):$AD$49),_xlfn.AGGREGATE(4,6,INDEX($D$50:$AD$50,28-$D$36):$AD$50)))</f>
        <v>0</v>
      </c>
      <c r="BB72" s="68">
        <f>IF(BB$37=0,NA(),MAX(1,_xlfn.AGGREGATE(4,6,INDEX($D$49:$AD$49,28-$D$36):$AD$49),_xlfn.AGGREGATE(4,6,INDEX($D$50:$AD$50,28-$D$36):$AD$50)))</f>
        <v>0</v>
      </c>
      <c r="BC72" s="68">
        <f>IF(BC$37=0,NA(),MAX(1,_xlfn.AGGREGATE(4,6,INDEX($D$49:$AD$49,28-$D$36):$AD$49),_xlfn.AGGREGATE(4,6,INDEX($D$50:$AD$50,28-$D$36):$AD$50)))</f>
        <v>0</v>
      </c>
      <c r="BD72" s="68">
        <f>IF(BD$37=0,NA(),MAX(1,_xlfn.AGGREGATE(4,6,INDEX($D$49:$AD$49,28-$D$36):$AD$49),_xlfn.AGGREGATE(4,6,INDEX($D$50:$AD$50,28-$D$36):$AD$50)))</f>
        <v>0</v>
      </c>
      <c r="BE72" s="68">
        <f>IF(BE$37=0,NA(),MAX(1,_xlfn.AGGREGATE(4,6,INDEX($D$49:$AD$49,28-$D$36):$AD$49),_xlfn.AGGREGATE(4,6,INDEX($D$50:$AD$50,28-$D$36):$AD$50)))</f>
        <v>0</v>
      </c>
      <c r="BF72" s="68">
        <f>IF(BF$37=0,NA(),MAX(1,_xlfn.AGGREGATE(4,6,INDEX($D$49:$AD$49,28-$D$36):$AD$49),_xlfn.AGGREGATE(4,6,INDEX($D$50:$AD$50,28-$D$36):$AD$50)))</f>
        <v>0</v>
      </c>
      <c r="BG72" s="68">
        <f>IF(BG$37=0,NA(),MAX(1,_xlfn.AGGREGATE(4,6,INDEX($D$49:$AD$49,28-$D$36):$AD$49),_xlfn.AGGREGATE(4,6,INDEX($D$50:$AD$50,28-$D$36):$AD$50)))</f>
        <v>0</v>
      </c>
      <c r="BH72" s="68">
        <f>IF(BH$37=0,NA(),MAX(1,_xlfn.AGGREGATE(4,6,INDEX($D$49:$AD$49,28-$D$36):$AD$49),_xlfn.AGGREGATE(4,6,INDEX($D$50:$AD$50,28-$D$36):$AD$50)))</f>
        <v>0</v>
      </c>
      <c r="BI72" s="68">
        <f>IF(BI$37=0,NA(),MAX(1,_xlfn.AGGREGATE(4,6,INDEX($D$49:$AD$49,28-$D$36):$AD$49),_xlfn.AGGREGATE(4,6,INDEX($D$50:$AD$50,28-$D$36):$AD$50)))</f>
        <v>0</v>
      </c>
      <c r="BJ72" s="68">
        <f>IF(BJ$37=0,NA(),MAX(1,_xlfn.AGGREGATE(4,6,INDEX($D$49:$AD$49,28-$D$36):$AD$49),_xlfn.AGGREGATE(4,6,INDEX($D$50:$AD$50,28-$D$36):$AD$50)))</f>
        <v>0</v>
      </c>
      <c r="BK72" s="68">
        <f>IF(BK$37=0,NA(),MAX(1,_xlfn.AGGREGATE(4,6,INDEX($D$49:$AD$49,28-$D$36):$AD$49),_xlfn.AGGREGATE(4,6,INDEX($D$50:$AD$50,28-$D$36):$AD$50)))</f>
        <v>0</v>
      </c>
      <c r="BL72" s="68">
        <f>IF(BL$37=0,NA(),MAX(1,_xlfn.AGGREGATE(4,6,INDEX($D$49:$AD$49,28-$D$36):$AD$49),_xlfn.AGGREGATE(4,6,INDEX($D$50:$AD$50,28-$D$36):$AD$50)))</f>
        <v>0</v>
      </c>
      <c r="BM72" s="68">
        <f>IF(BM$37=0,NA(),MAX(1,_xlfn.AGGREGATE(4,6,INDEX($D$49:$AD$49,28-$D$36):$AD$49),_xlfn.AGGREGATE(4,6,INDEX($D$50:$AD$50,28-$D$36):$AD$50)))</f>
        <v>0</v>
      </c>
      <c r="BN72" s="68">
        <f>IF(BN$37=0,NA(),MAX(1,_xlfn.AGGREGATE(4,6,INDEX($D$49:$AD$49,28-$D$36):$AD$49),_xlfn.AGGREGATE(4,6,INDEX($D$50:$AD$50,28-$D$36):$AD$50)))</f>
        <v>0</v>
      </c>
      <c r="BO72" s="68">
        <f>IF(BO$37=0,NA(),MAX(1,_xlfn.AGGREGATE(4,6,INDEX($D$49:$AD$49,28-$D$36):$AD$49),_xlfn.AGGREGATE(4,6,INDEX($D$50:$AD$50,28-$D$36):$AD$50)))</f>
        <v>0</v>
      </c>
      <c r="BP72" s="68">
        <f>IF(BP$37=0,NA(),MAX(1,_xlfn.AGGREGATE(4,6,INDEX($D$49:$AD$49,28-$D$36):$AD$49),_xlfn.AGGREGATE(4,6,INDEX($D$50:$AD$50,28-$D$36):$AD$50)))</f>
        <v>0</v>
      </c>
    </row>
    <row r="73" spans="1:68">
      <c r="A73" s="11" t="s">
        <v>673</v>
      </c>
      <c r="B73" s="11" t="s">
        <v>674</v>
      </c>
      <c r="C73" s="67" t="s">
        <v>604</v>
      </c>
      <c r="AQ73" s="68">
        <f>IF(AQ$37=0,NA(),IF(ISNUMBER(INDEX($D$49:$AD$49,AQ$37)),INDEX($D$49:$AD$49,AQ$37)/AQ72,NA()))</f>
        <v>0</v>
      </c>
      <c r="AR73" s="68">
        <f>IF(AR$37=0,NA(),IF(ISNUMBER(INDEX($D$49:$AD$49,AR$37)),INDEX($D$49:$AD$49,AR$37)/AR72,NA()))</f>
        <v>0</v>
      </c>
      <c r="AS73" s="68">
        <f>IF(AS$37=0,NA(),IF(ISNUMBER(INDEX($D$49:$AD$49,AS$37)),INDEX($D$49:$AD$49,AS$37)/AS72,NA()))</f>
        <v>0</v>
      </c>
      <c r="AT73" s="68">
        <f>IF(AT$37=0,NA(),IF(ISNUMBER(INDEX($D$49:$AD$49,AT$37)),INDEX($D$49:$AD$49,AT$37)/AT72,NA()))</f>
        <v>0</v>
      </c>
      <c r="AU73" s="68">
        <f>IF(AU$37=0,NA(),IF(ISNUMBER(INDEX($D$49:$AD$49,AU$37)),INDEX($D$49:$AD$49,AU$37)/AU72,NA()))</f>
        <v>0</v>
      </c>
      <c r="AV73" s="68">
        <f>IF(AV$37=0,NA(),IF(ISNUMBER(INDEX($D$49:$AD$49,AV$37)),INDEX($D$49:$AD$49,AV$37)/AV72,NA()))</f>
        <v>0</v>
      </c>
      <c r="AW73" s="68">
        <f>IF(AW$37=0,NA(),IF(ISNUMBER(INDEX($D$49:$AD$49,AW$37)),INDEX($D$49:$AD$49,AW$37)/AW72,NA()))</f>
        <v>0</v>
      </c>
      <c r="AX73" s="68">
        <f>IF(AX$37=0,NA(),IF(ISNUMBER(INDEX($D$49:$AD$49,AX$37)),INDEX($D$49:$AD$49,AX$37)/AX72,NA()))</f>
        <v>0</v>
      </c>
      <c r="AY73" s="68">
        <f>IF(AY$37=0,NA(),IF(ISNUMBER(INDEX($D$49:$AD$49,AY$37)),INDEX($D$49:$AD$49,AY$37)/AY72,NA()))</f>
        <v>0</v>
      </c>
      <c r="AZ73" s="68">
        <f>IF(AZ$37=0,NA(),IF(ISNUMBER(INDEX($D$49:$AD$49,AZ$37)),INDEX($D$49:$AD$49,AZ$37)/AZ72,NA()))</f>
        <v>0</v>
      </c>
      <c r="BA73" s="68">
        <f>IF(BA$37=0,NA(),IF(ISNUMBER(INDEX($D$49:$AD$49,BA$37)),INDEX($D$49:$AD$49,BA$37)/BA72,NA()))</f>
        <v>0</v>
      </c>
      <c r="BB73" s="68">
        <f>IF(BB$37=0,NA(),IF(ISNUMBER(INDEX($D$49:$AD$49,BB$37)),INDEX($D$49:$AD$49,BB$37)/BB72,NA()))</f>
        <v>0</v>
      </c>
      <c r="BC73" s="68">
        <f>IF(BC$37=0,NA(),IF(ISNUMBER(INDEX($D$49:$AD$49,BC$37)),INDEX($D$49:$AD$49,BC$37)/BC72,NA()))</f>
        <v>0</v>
      </c>
      <c r="BD73" s="68">
        <f>IF(BD$37=0,NA(),IF(ISNUMBER(INDEX($D$49:$AD$49,BD$37)),INDEX($D$49:$AD$49,BD$37)/BD72,NA()))</f>
        <v>0</v>
      </c>
      <c r="BE73" s="68">
        <f>IF(BE$37=0,NA(),IF(ISNUMBER(INDEX($D$49:$AD$49,BE$37)),INDEX($D$49:$AD$49,BE$37)/BE72,NA()))</f>
        <v>0</v>
      </c>
      <c r="BF73" s="68">
        <f>IF(BF$37=0,NA(),IF(ISNUMBER(INDEX($D$49:$AD$49,BF$37)),INDEX($D$49:$AD$49,BF$37)/BF72,NA()))</f>
        <v>0</v>
      </c>
      <c r="BG73" s="68">
        <f>IF(BG$37=0,NA(),IF(ISNUMBER(INDEX($D$49:$AD$49,BG$37)),INDEX($D$49:$AD$49,BG$37)/BG72,NA()))</f>
        <v>0</v>
      </c>
      <c r="BH73" s="68">
        <f>IF(BH$37=0,NA(),IF(ISNUMBER(INDEX($D$49:$AD$49,BH$37)),INDEX($D$49:$AD$49,BH$37)/BH72,NA()))</f>
        <v>0</v>
      </c>
      <c r="BI73" s="68">
        <f>IF(BI$37=0,NA(),IF(ISNUMBER(INDEX($D$49:$AD$49,BI$37)),INDEX($D$49:$AD$49,BI$37)/BI72,NA()))</f>
        <v>0</v>
      </c>
      <c r="BJ73" s="68">
        <f>IF(BJ$37=0,NA(),IF(ISNUMBER(INDEX($D$49:$AD$49,BJ$37)),INDEX($D$49:$AD$49,BJ$37)/BJ72,NA()))</f>
        <v>0</v>
      </c>
      <c r="BK73" s="68">
        <f>IF(BK$37=0,NA(),IF(ISNUMBER(INDEX($D$49:$AD$49,BK$37)),INDEX($D$49:$AD$49,BK$37)/BK72,NA()))</f>
        <v>0</v>
      </c>
      <c r="BL73" s="68">
        <f>IF(BL$37=0,NA(),IF(ISNUMBER(INDEX($D$49:$AD$49,BL$37)),INDEX($D$49:$AD$49,BL$37)/BL72,NA()))</f>
        <v>0</v>
      </c>
      <c r="BM73" s="68">
        <f>IF(BM$37=0,NA(),IF(ISNUMBER(INDEX($D$49:$AD$49,BM$37)),INDEX($D$49:$AD$49,BM$37)/BM72,NA()))</f>
        <v>0</v>
      </c>
      <c r="BN73" s="68">
        <f>IF(BN$37=0,NA(),IF(ISNUMBER(INDEX($D$49:$AD$49,BN$37)),INDEX($D$49:$AD$49,BN$37)/BN72,NA()))</f>
        <v>0</v>
      </c>
      <c r="BO73" s="68">
        <f>IF(BO$37=0,NA(),IF(ISNUMBER(INDEX($D$49:$AD$49,BO$37)),INDEX($D$49:$AD$49,BO$37)/BO72,NA()))</f>
        <v>0</v>
      </c>
      <c r="BP73" s="68">
        <f>IF(BP$37=0,NA(),IF(ISNUMBER(INDEX($D$49:$AD$49,BP$37)),INDEX($D$49:$AD$49,BP$37)/BP72,NA()))</f>
        <v>0</v>
      </c>
    </row>
    <row r="74" spans="1:68">
      <c r="A74" s="11" t="s">
        <v>675</v>
      </c>
      <c r="B74" s="11" t="s">
        <v>676</v>
      </c>
      <c r="C74" s="67" t="s">
        <v>604</v>
      </c>
      <c r="AQ74" s="11">
        <f>IF(AQ$37=0,"",IF(ISNUMBER(INDEX($D$49:$AD$49,AQ$37)),FIXED(INDEX($D$49:$AD$49,AQ$37)/1000,1),""))</f>
        <v>0</v>
      </c>
      <c r="AR74" s="11">
        <f>IF(AR$37=0,"",IF(ISNUMBER(INDEX($D$49:$AD$49,AR$37)),FIXED(INDEX($D$49:$AD$49,AR$37)/1000,1),""))</f>
        <v>0</v>
      </c>
      <c r="AS74" s="11">
        <f>IF(AS$37=0,"",IF(ISNUMBER(INDEX($D$49:$AD$49,AS$37)),FIXED(INDEX($D$49:$AD$49,AS$37)/1000,1),""))</f>
        <v>0</v>
      </c>
      <c r="AT74" s="11">
        <f>IF(AT$37=0,"",IF(ISNUMBER(INDEX($D$49:$AD$49,AT$37)),FIXED(INDEX($D$49:$AD$49,AT$37)/1000,1),""))</f>
        <v>0</v>
      </c>
      <c r="AU74" s="11">
        <f>IF(AU$37=0,"",IF(ISNUMBER(INDEX($D$49:$AD$49,AU$37)),FIXED(INDEX($D$49:$AD$49,AU$37)/1000,1),""))</f>
        <v>0</v>
      </c>
      <c r="AV74" s="11">
        <f>IF(AV$37=0,"",IF(ISNUMBER(INDEX($D$49:$AD$49,AV$37)),FIXED(INDEX($D$49:$AD$49,AV$37)/1000,1),""))</f>
        <v>0</v>
      </c>
      <c r="AW74" s="11">
        <f>IF(AW$37=0,"",IF(ISNUMBER(INDEX($D$49:$AD$49,AW$37)),FIXED(INDEX($D$49:$AD$49,AW$37)/1000,1),""))</f>
        <v>0</v>
      </c>
      <c r="AX74" s="11">
        <f>IF(AX$37=0,"",IF(ISNUMBER(INDEX($D$49:$AD$49,AX$37)),FIXED(INDEX($D$49:$AD$49,AX$37)/1000,1),""))</f>
        <v>0</v>
      </c>
      <c r="AY74" s="11">
        <f>IF(AY$37=0,"",IF(ISNUMBER(INDEX($D$49:$AD$49,AY$37)),FIXED(INDEX($D$49:$AD$49,AY$37)/1000,1),""))</f>
        <v>0</v>
      </c>
      <c r="AZ74" s="11">
        <f>IF(AZ$37=0,"",IF(ISNUMBER(INDEX($D$49:$AD$49,AZ$37)),FIXED(INDEX($D$49:$AD$49,AZ$37)/1000,1),""))</f>
        <v>0</v>
      </c>
      <c r="BA74" s="11">
        <f>IF(BA$37=0,"",IF(ISNUMBER(INDEX($D$49:$AD$49,BA$37)),FIXED(INDEX($D$49:$AD$49,BA$37)/1000,1),""))</f>
        <v>0</v>
      </c>
      <c r="BB74" s="11">
        <f>IF(BB$37=0,"",IF(ISNUMBER(INDEX($D$49:$AD$49,BB$37)),FIXED(INDEX($D$49:$AD$49,BB$37)/1000,1),""))</f>
        <v>0</v>
      </c>
      <c r="BC74" s="11">
        <f>IF(BC$37=0,"",IF(ISNUMBER(INDEX($D$49:$AD$49,BC$37)),FIXED(INDEX($D$49:$AD$49,BC$37)/1000,1),""))</f>
        <v>0</v>
      </c>
      <c r="BD74" s="11">
        <f>IF(BD$37=0,"",IF(ISNUMBER(INDEX($D$49:$AD$49,BD$37)),FIXED(INDEX($D$49:$AD$49,BD$37)/1000,1),""))</f>
        <v>0</v>
      </c>
      <c r="BE74" s="11">
        <f>IF(BE$37=0,"",IF(ISNUMBER(INDEX($D$49:$AD$49,BE$37)),FIXED(INDEX($D$49:$AD$49,BE$37)/1000,1),""))</f>
        <v>0</v>
      </c>
      <c r="BF74" s="11">
        <f>IF(BF$37=0,"",IF(ISNUMBER(INDEX($D$49:$AD$49,BF$37)),FIXED(INDEX($D$49:$AD$49,BF$37)/1000,1),""))</f>
        <v>0</v>
      </c>
      <c r="BG74" s="11">
        <f>IF(BG$37=0,"",IF(ISNUMBER(INDEX($D$49:$AD$49,BG$37)),FIXED(INDEX($D$49:$AD$49,BG$37)/1000,1),""))</f>
        <v>0</v>
      </c>
      <c r="BH74" s="11">
        <f>IF(BH$37=0,"",IF(ISNUMBER(INDEX($D$49:$AD$49,BH$37)),FIXED(INDEX($D$49:$AD$49,BH$37)/1000,1),""))</f>
        <v>0</v>
      </c>
      <c r="BI74" s="11">
        <f>IF(BI$37=0,"",IF(ISNUMBER(INDEX($D$49:$AD$49,BI$37)),FIXED(INDEX($D$49:$AD$49,BI$37)/1000,1),""))</f>
        <v>0</v>
      </c>
      <c r="BJ74" s="11">
        <f>IF(BJ$37=0,"",IF(ISNUMBER(INDEX($D$49:$AD$49,BJ$37)),FIXED(INDEX($D$49:$AD$49,BJ$37)/1000,1),""))</f>
        <v>0</v>
      </c>
      <c r="BK74" s="11">
        <f>IF(BK$37=0,"",IF(ISNUMBER(INDEX($D$49:$AD$49,BK$37)),FIXED(INDEX($D$49:$AD$49,BK$37)/1000,1),""))</f>
        <v>0</v>
      </c>
      <c r="BL74" s="11">
        <f>IF(BL$37=0,"",IF(ISNUMBER(INDEX($D$49:$AD$49,BL$37)),FIXED(INDEX($D$49:$AD$49,BL$37)/1000,1),""))</f>
        <v>0</v>
      </c>
      <c r="BM74" s="11">
        <f>IF(BM$37=0,"",IF(ISNUMBER(INDEX($D$49:$AD$49,BM$37)),FIXED(INDEX($D$49:$AD$49,BM$37)/1000,1),""))</f>
        <v>0</v>
      </c>
      <c r="BN74" s="11">
        <f>IF(BN$37=0,"",IF(ISNUMBER(INDEX($D$49:$AD$49,BN$37)),FIXED(INDEX($D$49:$AD$49,BN$37)/1000,1),""))</f>
        <v>0</v>
      </c>
      <c r="BO74" s="11">
        <f>IF(BO$37=0,"",IF(ISNUMBER(INDEX($D$49:$AD$49,BO$37)),FIXED(INDEX($D$49:$AD$49,BO$37)/1000,1),""))</f>
        <v>0</v>
      </c>
      <c r="BP74" s="11">
        <f>IF(BP$37=0,"",IF(ISNUMBER(INDEX($D$49:$AD$49,BP$37)),FIXED(INDEX($D$49:$AD$49,BP$37)/1000,1),""))</f>
        <v>0</v>
      </c>
    </row>
    <row r="75" spans="1:68">
      <c r="A75" s="11" t="s">
        <v>677</v>
      </c>
      <c r="B75" s="11" t="s">
        <v>678</v>
      </c>
      <c r="C75" s="67" t="s">
        <v>604</v>
      </c>
      <c r="AQ75" s="68">
        <f>IF(AQ$37=0,NA(),IF(ISNUMBER(INDEX($D$50:$AD$50,AQ$37)),INDEX($D$50:$AD$50,AQ$37)/AQ72,NA()))</f>
        <v>0</v>
      </c>
      <c r="AR75" s="68">
        <f>IF(AR$37=0,NA(),IF(ISNUMBER(INDEX($D$50:$AD$50,AR$37)),INDEX($D$50:$AD$50,AR$37)/AR72,NA()))</f>
        <v>0</v>
      </c>
      <c r="AS75" s="68">
        <f>IF(AS$37=0,NA(),IF(ISNUMBER(INDEX($D$50:$AD$50,AS$37)),INDEX($D$50:$AD$50,AS$37)/AS72,NA()))</f>
        <v>0</v>
      </c>
      <c r="AT75" s="68">
        <f>IF(AT$37=0,NA(),IF(ISNUMBER(INDEX($D$50:$AD$50,AT$37)),INDEX($D$50:$AD$50,AT$37)/AT72,NA()))</f>
        <v>0</v>
      </c>
      <c r="AU75" s="68">
        <f>IF(AU$37=0,NA(),IF(ISNUMBER(INDEX($D$50:$AD$50,AU$37)),INDEX($D$50:$AD$50,AU$37)/AU72,NA()))</f>
        <v>0</v>
      </c>
      <c r="AV75" s="68">
        <f>IF(AV$37=0,NA(),IF(ISNUMBER(INDEX($D$50:$AD$50,AV$37)),INDEX($D$50:$AD$50,AV$37)/AV72,NA()))</f>
        <v>0</v>
      </c>
      <c r="AW75" s="68">
        <f>IF(AW$37=0,NA(),IF(ISNUMBER(INDEX($D$50:$AD$50,AW$37)),INDEX($D$50:$AD$50,AW$37)/AW72,NA()))</f>
        <v>0</v>
      </c>
      <c r="AX75" s="68">
        <f>IF(AX$37=0,NA(),IF(ISNUMBER(INDEX($D$50:$AD$50,AX$37)),INDEX($D$50:$AD$50,AX$37)/AX72,NA()))</f>
        <v>0</v>
      </c>
      <c r="AY75" s="68">
        <f>IF(AY$37=0,NA(),IF(ISNUMBER(INDEX($D$50:$AD$50,AY$37)),INDEX($D$50:$AD$50,AY$37)/AY72,NA()))</f>
        <v>0</v>
      </c>
      <c r="AZ75" s="68">
        <f>IF(AZ$37=0,NA(),IF(ISNUMBER(INDEX($D$50:$AD$50,AZ$37)),INDEX($D$50:$AD$50,AZ$37)/AZ72,NA()))</f>
        <v>0</v>
      </c>
      <c r="BA75" s="68">
        <f>IF(BA$37=0,NA(),IF(ISNUMBER(INDEX($D$50:$AD$50,BA$37)),INDEX($D$50:$AD$50,BA$37)/BA72,NA()))</f>
        <v>0</v>
      </c>
      <c r="BB75" s="68">
        <f>IF(BB$37=0,NA(),IF(ISNUMBER(INDEX($D$50:$AD$50,BB$37)),INDEX($D$50:$AD$50,BB$37)/BB72,NA()))</f>
        <v>0</v>
      </c>
      <c r="BC75" s="68">
        <f>IF(BC$37=0,NA(),IF(ISNUMBER(INDEX($D$50:$AD$50,BC$37)),INDEX($D$50:$AD$50,BC$37)/BC72,NA()))</f>
        <v>0</v>
      </c>
      <c r="BD75" s="68">
        <f>IF(BD$37=0,NA(),IF(ISNUMBER(INDEX($D$50:$AD$50,BD$37)),INDEX($D$50:$AD$50,BD$37)/BD72,NA()))</f>
        <v>0</v>
      </c>
      <c r="BE75" s="68">
        <f>IF(BE$37=0,NA(),IF(ISNUMBER(INDEX($D$50:$AD$50,BE$37)),INDEX($D$50:$AD$50,BE$37)/BE72,NA()))</f>
        <v>0</v>
      </c>
      <c r="BF75" s="68">
        <f>IF(BF$37=0,NA(),IF(ISNUMBER(INDEX($D$50:$AD$50,BF$37)),INDEX($D$50:$AD$50,BF$37)/BF72,NA()))</f>
        <v>0</v>
      </c>
      <c r="BG75" s="68">
        <f>IF(BG$37=0,NA(),IF(ISNUMBER(INDEX($D$50:$AD$50,BG$37)),INDEX($D$50:$AD$50,BG$37)/BG72,NA()))</f>
        <v>0</v>
      </c>
      <c r="BH75" s="68">
        <f>IF(BH$37=0,NA(),IF(ISNUMBER(INDEX($D$50:$AD$50,BH$37)),INDEX($D$50:$AD$50,BH$37)/BH72,NA()))</f>
        <v>0</v>
      </c>
      <c r="BI75" s="68">
        <f>IF(BI$37=0,NA(),IF(ISNUMBER(INDEX($D$50:$AD$50,BI$37)),INDEX($D$50:$AD$50,BI$37)/BI72,NA()))</f>
        <v>0</v>
      </c>
      <c r="BJ75" s="68">
        <f>IF(BJ$37=0,NA(),IF(ISNUMBER(INDEX($D$50:$AD$50,BJ$37)),INDEX($D$50:$AD$50,BJ$37)/BJ72,NA()))</f>
        <v>0</v>
      </c>
      <c r="BK75" s="68">
        <f>IF(BK$37=0,NA(),IF(ISNUMBER(INDEX($D$50:$AD$50,BK$37)),INDEX($D$50:$AD$50,BK$37)/BK72,NA()))</f>
        <v>0</v>
      </c>
      <c r="BL75" s="68">
        <f>IF(BL$37=0,NA(),IF(ISNUMBER(INDEX($D$50:$AD$50,BL$37)),INDEX($D$50:$AD$50,BL$37)/BL72,NA()))</f>
        <v>0</v>
      </c>
      <c r="BM75" s="68">
        <f>IF(BM$37=0,NA(),IF(ISNUMBER(INDEX($D$50:$AD$50,BM$37)),INDEX($D$50:$AD$50,BM$37)/BM72,NA()))</f>
        <v>0</v>
      </c>
      <c r="BN75" s="68">
        <f>IF(BN$37=0,NA(),IF(ISNUMBER(INDEX($D$50:$AD$50,BN$37)),INDEX($D$50:$AD$50,BN$37)/BN72,NA()))</f>
        <v>0</v>
      </c>
      <c r="BO75" s="68">
        <f>IF(BO$37=0,NA(),IF(ISNUMBER(INDEX($D$50:$AD$50,BO$37)),INDEX($D$50:$AD$50,BO$37)/BO72,NA()))</f>
        <v>0</v>
      </c>
      <c r="BP75" s="68">
        <f>IF(BP$37=0,NA(),IF(ISNUMBER(INDEX($D$50:$AD$50,BP$37)),INDEX($D$50:$AD$50,BP$37)/BP72,NA()))</f>
        <v>0</v>
      </c>
    </row>
    <row r="76" spans="1:68">
      <c r="A76" s="11" t="s">
        <v>679</v>
      </c>
      <c r="B76" s="11" t="s">
        <v>680</v>
      </c>
      <c r="C76" s="67" t="s">
        <v>604</v>
      </c>
      <c r="AQ76" s="11">
        <f>IF(AQ$37=0,"",IF(ISNUMBER(INDEX($D$50:$AD$50,AQ$37)),FIXED(INDEX($D$50:$AD$50,AQ$37)/1000,1),""))</f>
        <v>0</v>
      </c>
      <c r="AR76" s="11">
        <f>IF(AR$37=0,"",IF(ISNUMBER(INDEX($D$50:$AD$50,AR$37)),FIXED(INDEX($D$50:$AD$50,AR$37)/1000,1),""))</f>
        <v>0</v>
      </c>
      <c r="AS76" s="11">
        <f>IF(AS$37=0,"",IF(ISNUMBER(INDEX($D$50:$AD$50,AS$37)),FIXED(INDEX($D$50:$AD$50,AS$37)/1000,1),""))</f>
        <v>0</v>
      </c>
      <c r="AT76" s="11">
        <f>IF(AT$37=0,"",IF(ISNUMBER(INDEX($D$50:$AD$50,AT$37)),FIXED(INDEX($D$50:$AD$50,AT$37)/1000,1),""))</f>
        <v>0</v>
      </c>
      <c r="AU76" s="11">
        <f>IF(AU$37=0,"",IF(ISNUMBER(INDEX($D$50:$AD$50,AU$37)),FIXED(INDEX($D$50:$AD$50,AU$37)/1000,1),""))</f>
        <v>0</v>
      </c>
      <c r="AV76" s="11">
        <f>IF(AV$37=0,"",IF(ISNUMBER(INDEX($D$50:$AD$50,AV$37)),FIXED(INDEX($D$50:$AD$50,AV$37)/1000,1),""))</f>
        <v>0</v>
      </c>
      <c r="AW76" s="11">
        <f>IF(AW$37=0,"",IF(ISNUMBER(INDEX($D$50:$AD$50,AW$37)),FIXED(INDEX($D$50:$AD$50,AW$37)/1000,1),""))</f>
        <v>0</v>
      </c>
      <c r="AX76" s="11">
        <f>IF(AX$37=0,"",IF(ISNUMBER(INDEX($D$50:$AD$50,AX$37)),FIXED(INDEX($D$50:$AD$50,AX$37)/1000,1),""))</f>
        <v>0</v>
      </c>
      <c r="AY76" s="11">
        <f>IF(AY$37=0,"",IF(ISNUMBER(INDEX($D$50:$AD$50,AY$37)),FIXED(INDEX($D$50:$AD$50,AY$37)/1000,1),""))</f>
        <v>0</v>
      </c>
      <c r="AZ76" s="11">
        <f>IF(AZ$37=0,"",IF(ISNUMBER(INDEX($D$50:$AD$50,AZ$37)),FIXED(INDEX($D$50:$AD$50,AZ$37)/1000,1),""))</f>
        <v>0</v>
      </c>
      <c r="BA76" s="11">
        <f>IF(BA$37=0,"",IF(ISNUMBER(INDEX($D$50:$AD$50,BA$37)),FIXED(INDEX($D$50:$AD$50,BA$37)/1000,1),""))</f>
        <v>0</v>
      </c>
      <c r="BB76" s="11">
        <f>IF(BB$37=0,"",IF(ISNUMBER(INDEX($D$50:$AD$50,BB$37)),FIXED(INDEX($D$50:$AD$50,BB$37)/1000,1),""))</f>
        <v>0</v>
      </c>
      <c r="BC76" s="11">
        <f>IF(BC$37=0,"",IF(ISNUMBER(INDEX($D$50:$AD$50,BC$37)),FIXED(INDEX($D$50:$AD$50,BC$37)/1000,1),""))</f>
        <v>0</v>
      </c>
      <c r="BD76" s="11">
        <f>IF(BD$37=0,"",IF(ISNUMBER(INDEX($D$50:$AD$50,BD$37)),FIXED(INDEX($D$50:$AD$50,BD$37)/1000,1),""))</f>
        <v>0</v>
      </c>
      <c r="BE76" s="11">
        <f>IF(BE$37=0,"",IF(ISNUMBER(INDEX($D$50:$AD$50,BE$37)),FIXED(INDEX($D$50:$AD$50,BE$37)/1000,1),""))</f>
        <v>0</v>
      </c>
      <c r="BF76" s="11">
        <f>IF(BF$37=0,"",IF(ISNUMBER(INDEX($D$50:$AD$50,BF$37)),FIXED(INDEX($D$50:$AD$50,BF$37)/1000,1),""))</f>
        <v>0</v>
      </c>
      <c r="BG76" s="11">
        <f>IF(BG$37=0,"",IF(ISNUMBER(INDEX($D$50:$AD$50,BG$37)),FIXED(INDEX($D$50:$AD$50,BG$37)/1000,1),""))</f>
        <v>0</v>
      </c>
      <c r="BH76" s="11">
        <f>IF(BH$37=0,"",IF(ISNUMBER(INDEX($D$50:$AD$50,BH$37)),FIXED(INDEX($D$50:$AD$50,BH$37)/1000,1),""))</f>
        <v>0</v>
      </c>
      <c r="BI76" s="11">
        <f>IF(BI$37=0,"",IF(ISNUMBER(INDEX($D$50:$AD$50,BI$37)),FIXED(INDEX($D$50:$AD$50,BI$37)/1000,1),""))</f>
        <v>0</v>
      </c>
      <c r="BJ76" s="11">
        <f>IF(BJ$37=0,"",IF(ISNUMBER(INDEX($D$50:$AD$50,BJ$37)),FIXED(INDEX($D$50:$AD$50,BJ$37)/1000,1),""))</f>
        <v>0</v>
      </c>
      <c r="BK76" s="11">
        <f>IF(BK$37=0,"",IF(ISNUMBER(INDEX($D$50:$AD$50,BK$37)),FIXED(INDEX($D$50:$AD$50,BK$37)/1000,1),""))</f>
        <v>0</v>
      </c>
      <c r="BL76" s="11">
        <f>IF(BL$37=0,"",IF(ISNUMBER(INDEX($D$50:$AD$50,BL$37)),FIXED(INDEX($D$50:$AD$50,BL$37)/1000,1),""))</f>
        <v>0</v>
      </c>
      <c r="BM76" s="11">
        <f>IF(BM$37=0,"",IF(ISNUMBER(INDEX($D$50:$AD$50,BM$37)),FIXED(INDEX($D$50:$AD$50,BM$37)/1000,1),""))</f>
        <v>0</v>
      </c>
      <c r="BN76" s="11">
        <f>IF(BN$37=0,"",IF(ISNUMBER(INDEX($D$50:$AD$50,BN$37)),FIXED(INDEX($D$50:$AD$50,BN$37)/1000,1),""))</f>
        <v>0</v>
      </c>
      <c r="BO76" s="11">
        <f>IF(BO$37=0,"",IF(ISNUMBER(INDEX($D$50:$AD$50,BO$37)),FIXED(INDEX($D$50:$AD$50,BO$37)/1000,1),""))</f>
        <v>0</v>
      </c>
      <c r="BP76" s="11">
        <f>IF(BP$37=0,"",IF(ISNUMBER(INDEX($D$50:$AD$50,BP$37)),FIXED(INDEX($D$50:$AD$50,BP$37)/1000,1),""))</f>
        <v>0</v>
      </c>
    </row>
    <row r="77" spans="1:68">
      <c r="A77" s="11" t="s">
        <v>681</v>
      </c>
      <c r="B77" s="11" t="s">
        <v>682</v>
      </c>
      <c r="C77" s="67" t="s">
        <v>604</v>
      </c>
      <c r="AQ77" s="68">
        <f>IF(AQ$37=0,NA(),IF(ISNUMBER(INDEX($D$49:$AD$49,AQ$37)),IF(AND(AQ73&gt;=IFERROR(AQ75,-9),AQ73-IFERROR(AQ75,-9)&lt;0.28261),AQ75+0.28261,AQ73),NA()))</f>
        <v>0</v>
      </c>
      <c r="AR77" s="68">
        <f>IF(AR$37=0,NA(),IF(ISNUMBER(INDEX($D$49:$AD$49,AR$37)),IF(AND(AR73&gt;=IFERROR(AR75,-9),AR73-IFERROR(AR75,-9)&lt;0.28261),AR75+0.28261,AR73),NA()))</f>
        <v>0</v>
      </c>
      <c r="AS77" s="68">
        <f>IF(AS$37=0,NA(),IF(ISNUMBER(INDEX($D$49:$AD$49,AS$37)),IF(AND(AS73&gt;=IFERROR(AS75,-9),AS73-IFERROR(AS75,-9)&lt;0.28261),AS75+0.28261,AS73),NA()))</f>
        <v>0</v>
      </c>
      <c r="AT77" s="68">
        <f>IF(AT$37=0,NA(),IF(ISNUMBER(INDEX($D$49:$AD$49,AT$37)),IF(AND(AT73&gt;=IFERROR(AT75,-9),AT73-IFERROR(AT75,-9)&lt;0.28261),AT75+0.28261,AT73),NA()))</f>
        <v>0</v>
      </c>
      <c r="AU77" s="68">
        <f>IF(AU$37=0,NA(),IF(ISNUMBER(INDEX($D$49:$AD$49,AU$37)),IF(AND(AU73&gt;=IFERROR(AU75,-9),AU73-IFERROR(AU75,-9)&lt;0.28261),AU75+0.28261,AU73),NA()))</f>
        <v>0</v>
      </c>
      <c r="AV77" s="68">
        <f>IF(AV$37=0,NA(),IF(ISNUMBER(INDEX($D$49:$AD$49,AV$37)),IF(AND(AV73&gt;=IFERROR(AV75,-9),AV73-IFERROR(AV75,-9)&lt;0.28261),AV75+0.28261,AV73),NA()))</f>
        <v>0</v>
      </c>
      <c r="AW77" s="68">
        <f>IF(AW$37=0,NA(),IF(ISNUMBER(INDEX($D$49:$AD$49,AW$37)),IF(AND(AW73&gt;=IFERROR(AW75,-9),AW73-IFERROR(AW75,-9)&lt;0.28261),AW75+0.28261,AW73),NA()))</f>
        <v>0</v>
      </c>
      <c r="AX77" s="68">
        <f>IF(AX$37=0,NA(),IF(ISNUMBER(INDEX($D$49:$AD$49,AX$37)),IF(AND(AX73&gt;=IFERROR(AX75,-9),AX73-IFERROR(AX75,-9)&lt;0.28261),AX75+0.28261,AX73),NA()))</f>
        <v>0</v>
      </c>
      <c r="AY77" s="68">
        <f>IF(AY$37=0,NA(),IF(ISNUMBER(INDEX($D$49:$AD$49,AY$37)),IF(AND(AY73&gt;=IFERROR(AY75,-9),AY73-IFERROR(AY75,-9)&lt;0.28261),AY75+0.28261,AY73),NA()))</f>
        <v>0</v>
      </c>
      <c r="AZ77" s="68">
        <f>IF(AZ$37=0,NA(),IF(ISNUMBER(INDEX($D$49:$AD$49,AZ$37)),IF(AND(AZ73&gt;=IFERROR(AZ75,-9),AZ73-IFERROR(AZ75,-9)&lt;0.28261),AZ75+0.28261,AZ73),NA()))</f>
        <v>0</v>
      </c>
      <c r="BA77" s="68">
        <f>IF(BA$37=0,NA(),IF(ISNUMBER(INDEX($D$49:$AD$49,BA$37)),IF(AND(BA73&gt;=IFERROR(BA75,-9),BA73-IFERROR(BA75,-9)&lt;0.28261),BA75+0.28261,BA73),NA()))</f>
        <v>0</v>
      </c>
      <c r="BB77" s="68">
        <f>IF(BB$37=0,NA(),IF(ISNUMBER(INDEX($D$49:$AD$49,BB$37)),IF(AND(BB73&gt;=IFERROR(BB75,-9),BB73-IFERROR(BB75,-9)&lt;0.28261),BB75+0.28261,BB73),NA()))</f>
        <v>0</v>
      </c>
      <c r="BC77" s="68">
        <f>IF(BC$37=0,NA(),IF(ISNUMBER(INDEX($D$49:$AD$49,BC$37)),IF(AND(BC73&gt;=IFERROR(BC75,-9),BC73-IFERROR(BC75,-9)&lt;0.28261),BC75+0.28261,BC73),NA()))</f>
        <v>0</v>
      </c>
      <c r="BD77" s="68">
        <f>IF(BD$37=0,NA(),IF(ISNUMBER(INDEX($D$49:$AD$49,BD$37)),IF(AND(BD73&gt;=IFERROR(BD75,-9),BD73-IFERROR(BD75,-9)&lt;0.28261),BD75+0.28261,BD73),NA()))</f>
        <v>0</v>
      </c>
      <c r="BE77" s="68">
        <f>IF(BE$37=0,NA(),IF(ISNUMBER(INDEX($D$49:$AD$49,BE$37)),IF(AND(BE73&gt;=IFERROR(BE75,-9),BE73-IFERROR(BE75,-9)&lt;0.28261),BE75+0.28261,BE73),NA()))</f>
        <v>0</v>
      </c>
      <c r="BF77" s="68">
        <f>IF(BF$37=0,NA(),IF(ISNUMBER(INDEX($D$49:$AD$49,BF$37)),IF(AND(BF73&gt;=IFERROR(BF75,-9),BF73-IFERROR(BF75,-9)&lt;0.28261),BF75+0.28261,BF73),NA()))</f>
        <v>0</v>
      </c>
      <c r="BG77" s="68">
        <f>IF(BG$37=0,NA(),IF(ISNUMBER(INDEX($D$49:$AD$49,BG$37)),IF(AND(BG73&gt;=IFERROR(BG75,-9),BG73-IFERROR(BG75,-9)&lt;0.28261),BG75+0.28261,BG73),NA()))</f>
        <v>0</v>
      </c>
      <c r="BH77" s="68">
        <f>IF(BH$37=0,NA(),IF(ISNUMBER(INDEX($D$49:$AD$49,BH$37)),IF(AND(BH73&gt;=IFERROR(BH75,-9),BH73-IFERROR(BH75,-9)&lt;0.28261),BH75+0.28261,BH73),NA()))</f>
        <v>0</v>
      </c>
      <c r="BI77" s="68">
        <f>IF(BI$37=0,NA(),IF(ISNUMBER(INDEX($D$49:$AD$49,BI$37)),IF(AND(BI73&gt;=IFERROR(BI75,-9),BI73-IFERROR(BI75,-9)&lt;0.28261),BI75+0.28261,BI73),NA()))</f>
        <v>0</v>
      </c>
      <c r="BJ77" s="68">
        <f>IF(BJ$37=0,NA(),IF(ISNUMBER(INDEX($D$49:$AD$49,BJ$37)),IF(AND(BJ73&gt;=IFERROR(BJ75,-9),BJ73-IFERROR(BJ75,-9)&lt;0.28261),BJ75+0.28261,BJ73),NA()))</f>
        <v>0</v>
      </c>
      <c r="BK77" s="68">
        <f>IF(BK$37=0,NA(),IF(ISNUMBER(INDEX($D$49:$AD$49,BK$37)),IF(AND(BK73&gt;=IFERROR(BK75,-9),BK73-IFERROR(BK75,-9)&lt;0.28261),BK75+0.28261,BK73),NA()))</f>
        <v>0</v>
      </c>
      <c r="BL77" s="68">
        <f>IF(BL$37=0,NA(),IF(ISNUMBER(INDEX($D$49:$AD$49,BL$37)),IF(AND(BL73&gt;=IFERROR(BL75,-9),BL73-IFERROR(BL75,-9)&lt;0.28261),BL75+0.28261,BL73),NA()))</f>
        <v>0</v>
      </c>
      <c r="BM77" s="68">
        <f>IF(BM$37=0,NA(),IF(ISNUMBER(INDEX($D$49:$AD$49,BM$37)),IF(AND(BM73&gt;=IFERROR(BM75,-9),BM73-IFERROR(BM75,-9)&lt;0.28261),BM75+0.28261,BM73),NA()))</f>
        <v>0</v>
      </c>
      <c r="BN77" s="68">
        <f>IF(BN$37=0,NA(),IF(ISNUMBER(INDEX($D$49:$AD$49,BN$37)),IF(AND(BN73&gt;=IFERROR(BN75,-9),BN73-IFERROR(BN75,-9)&lt;0.28261),BN75+0.28261,BN73),NA()))</f>
        <v>0</v>
      </c>
      <c r="BO77" s="68">
        <f>IF(BO$37=0,NA(),IF(ISNUMBER(INDEX($D$49:$AD$49,BO$37)),IF(AND(BO73&gt;=IFERROR(BO75,-9),BO73-IFERROR(BO75,-9)&lt;0.28261),BO75+0.28261,BO73),NA()))</f>
        <v>0</v>
      </c>
      <c r="BP77" s="68">
        <f>IF(BP$37=0,NA(),IF(ISNUMBER(INDEX($D$49:$AD$49,BP$37)),IF(AND(BP73&gt;=IFERROR(BP75,-9),BP73-IFERROR(BP75,-9)&lt;0.28261),BP75+0.28261,BP73),NA()))</f>
        <v>0</v>
      </c>
    </row>
    <row r="78" spans="1:68">
      <c r="A78" s="11" t="s">
        <v>683</v>
      </c>
      <c r="B78" s="11" t="s">
        <v>684</v>
      </c>
      <c r="C78" s="67" t="s">
        <v>604</v>
      </c>
      <c r="AQ78" s="68">
        <f>IF(AQ$37=0,NA(),IF(ISNUMBER(INDEX($D$50:$AD$50,AQ$37)),IF(AND(AQ75&gt;IFERROR(AQ73,-9),AQ75-IFERROR(AQ73,-9)&lt;0.28261),AQ73+0.28261,AQ75),NA()))</f>
        <v>0</v>
      </c>
      <c r="AR78" s="68">
        <f>IF(AR$37=0,NA(),IF(ISNUMBER(INDEX($D$50:$AD$50,AR$37)),IF(AND(AR75&gt;IFERROR(AR73,-9),AR75-IFERROR(AR73,-9)&lt;0.28261),AR73+0.28261,AR75),NA()))</f>
        <v>0</v>
      </c>
      <c r="AS78" s="68">
        <f>IF(AS$37=0,NA(),IF(ISNUMBER(INDEX($D$50:$AD$50,AS$37)),IF(AND(AS75&gt;IFERROR(AS73,-9),AS75-IFERROR(AS73,-9)&lt;0.28261),AS73+0.28261,AS75),NA()))</f>
        <v>0</v>
      </c>
      <c r="AT78" s="68">
        <f>IF(AT$37=0,NA(),IF(ISNUMBER(INDEX($D$50:$AD$50,AT$37)),IF(AND(AT75&gt;IFERROR(AT73,-9),AT75-IFERROR(AT73,-9)&lt;0.28261),AT73+0.28261,AT75),NA()))</f>
        <v>0</v>
      </c>
      <c r="AU78" s="68">
        <f>IF(AU$37=0,NA(),IF(ISNUMBER(INDEX($D$50:$AD$50,AU$37)),IF(AND(AU75&gt;IFERROR(AU73,-9),AU75-IFERROR(AU73,-9)&lt;0.28261),AU73+0.28261,AU75),NA()))</f>
        <v>0</v>
      </c>
      <c r="AV78" s="68">
        <f>IF(AV$37=0,NA(),IF(ISNUMBER(INDEX($D$50:$AD$50,AV$37)),IF(AND(AV75&gt;IFERROR(AV73,-9),AV75-IFERROR(AV73,-9)&lt;0.28261),AV73+0.28261,AV75),NA()))</f>
        <v>0</v>
      </c>
      <c r="AW78" s="68">
        <f>IF(AW$37=0,NA(),IF(ISNUMBER(INDEX($D$50:$AD$50,AW$37)),IF(AND(AW75&gt;IFERROR(AW73,-9),AW75-IFERROR(AW73,-9)&lt;0.28261),AW73+0.28261,AW75),NA()))</f>
        <v>0</v>
      </c>
      <c r="AX78" s="68">
        <f>IF(AX$37=0,NA(),IF(ISNUMBER(INDEX($D$50:$AD$50,AX$37)),IF(AND(AX75&gt;IFERROR(AX73,-9),AX75-IFERROR(AX73,-9)&lt;0.28261),AX73+0.28261,AX75),NA()))</f>
        <v>0</v>
      </c>
      <c r="AY78" s="68">
        <f>IF(AY$37=0,NA(),IF(ISNUMBER(INDEX($D$50:$AD$50,AY$37)),IF(AND(AY75&gt;IFERROR(AY73,-9),AY75-IFERROR(AY73,-9)&lt;0.28261),AY73+0.28261,AY75),NA()))</f>
        <v>0</v>
      </c>
      <c r="AZ78" s="68">
        <f>IF(AZ$37=0,NA(),IF(ISNUMBER(INDEX($D$50:$AD$50,AZ$37)),IF(AND(AZ75&gt;IFERROR(AZ73,-9),AZ75-IFERROR(AZ73,-9)&lt;0.28261),AZ73+0.28261,AZ75),NA()))</f>
        <v>0</v>
      </c>
      <c r="BA78" s="68">
        <f>IF(BA$37=0,NA(),IF(ISNUMBER(INDEX($D$50:$AD$50,BA$37)),IF(AND(BA75&gt;IFERROR(BA73,-9),BA75-IFERROR(BA73,-9)&lt;0.28261),BA73+0.28261,BA75),NA()))</f>
        <v>0</v>
      </c>
      <c r="BB78" s="68">
        <f>IF(BB$37=0,NA(),IF(ISNUMBER(INDEX($D$50:$AD$50,BB$37)),IF(AND(BB75&gt;IFERROR(BB73,-9),BB75-IFERROR(BB73,-9)&lt;0.28261),BB73+0.28261,BB75),NA()))</f>
        <v>0</v>
      </c>
      <c r="BC78" s="68">
        <f>IF(BC$37=0,NA(),IF(ISNUMBER(INDEX($D$50:$AD$50,BC$37)),IF(AND(BC75&gt;IFERROR(BC73,-9),BC75-IFERROR(BC73,-9)&lt;0.28261),BC73+0.28261,BC75),NA()))</f>
        <v>0</v>
      </c>
      <c r="BD78" s="68">
        <f>IF(BD$37=0,NA(),IF(ISNUMBER(INDEX($D$50:$AD$50,BD$37)),IF(AND(BD75&gt;IFERROR(BD73,-9),BD75-IFERROR(BD73,-9)&lt;0.28261),BD73+0.28261,BD75),NA()))</f>
        <v>0</v>
      </c>
      <c r="BE78" s="68">
        <f>IF(BE$37=0,NA(),IF(ISNUMBER(INDEX($D$50:$AD$50,BE$37)),IF(AND(BE75&gt;IFERROR(BE73,-9),BE75-IFERROR(BE73,-9)&lt;0.28261),BE73+0.28261,BE75),NA()))</f>
        <v>0</v>
      </c>
      <c r="BF78" s="68">
        <f>IF(BF$37=0,NA(),IF(ISNUMBER(INDEX($D$50:$AD$50,BF$37)),IF(AND(BF75&gt;IFERROR(BF73,-9),BF75-IFERROR(BF73,-9)&lt;0.28261),BF73+0.28261,BF75),NA()))</f>
        <v>0</v>
      </c>
      <c r="BG78" s="68">
        <f>IF(BG$37=0,NA(),IF(ISNUMBER(INDEX($D$50:$AD$50,BG$37)),IF(AND(BG75&gt;IFERROR(BG73,-9),BG75-IFERROR(BG73,-9)&lt;0.28261),BG73+0.28261,BG75),NA()))</f>
        <v>0</v>
      </c>
      <c r="BH78" s="68">
        <f>IF(BH$37=0,NA(),IF(ISNUMBER(INDEX($D$50:$AD$50,BH$37)),IF(AND(BH75&gt;IFERROR(BH73,-9),BH75-IFERROR(BH73,-9)&lt;0.28261),BH73+0.28261,BH75),NA()))</f>
        <v>0</v>
      </c>
      <c r="BI78" s="68">
        <f>IF(BI$37=0,NA(),IF(ISNUMBER(INDEX($D$50:$AD$50,BI$37)),IF(AND(BI75&gt;IFERROR(BI73,-9),BI75-IFERROR(BI73,-9)&lt;0.28261),BI73+0.28261,BI75),NA()))</f>
        <v>0</v>
      </c>
      <c r="BJ78" s="68">
        <f>IF(BJ$37=0,NA(),IF(ISNUMBER(INDEX($D$50:$AD$50,BJ$37)),IF(AND(BJ75&gt;IFERROR(BJ73,-9),BJ75-IFERROR(BJ73,-9)&lt;0.28261),BJ73+0.28261,BJ75),NA()))</f>
        <v>0</v>
      </c>
      <c r="BK78" s="68">
        <f>IF(BK$37=0,NA(),IF(ISNUMBER(INDEX($D$50:$AD$50,BK$37)),IF(AND(BK75&gt;IFERROR(BK73,-9),BK75-IFERROR(BK73,-9)&lt;0.28261),BK73+0.28261,BK75),NA()))</f>
        <v>0</v>
      </c>
      <c r="BL78" s="68">
        <f>IF(BL$37=0,NA(),IF(ISNUMBER(INDEX($D$50:$AD$50,BL$37)),IF(AND(BL75&gt;IFERROR(BL73,-9),BL75-IFERROR(BL73,-9)&lt;0.28261),BL73+0.28261,BL75),NA()))</f>
        <v>0</v>
      </c>
      <c r="BM78" s="68">
        <f>IF(BM$37=0,NA(),IF(ISNUMBER(INDEX($D$50:$AD$50,BM$37)),IF(AND(BM75&gt;IFERROR(BM73,-9),BM75-IFERROR(BM73,-9)&lt;0.28261),BM73+0.28261,BM75),NA()))</f>
        <v>0</v>
      </c>
      <c r="BN78" s="68">
        <f>IF(BN$37=0,NA(),IF(ISNUMBER(INDEX($D$50:$AD$50,BN$37)),IF(AND(BN75&gt;IFERROR(BN73,-9),BN75-IFERROR(BN73,-9)&lt;0.28261),BN73+0.28261,BN75),NA()))</f>
        <v>0</v>
      </c>
      <c r="BO78" s="68">
        <f>IF(BO$37=0,NA(),IF(ISNUMBER(INDEX($D$50:$AD$50,BO$37)),IF(AND(BO75&gt;IFERROR(BO73,-9),BO75-IFERROR(BO73,-9)&lt;0.28261),BO73+0.28261,BO75),NA()))</f>
        <v>0</v>
      </c>
      <c r="BP78" s="68">
        <f>IF(BP$37=0,NA(),IF(ISNUMBER(INDEX($D$50:$AD$50,BP$37)),IF(AND(BP75&gt;IFERROR(BP73,-9),BP75-IFERROR(BP73,-9)&lt;0.28261),BP73+0.28261,BP75),NA()))</f>
        <v>0</v>
      </c>
    </row>
    <row r="79" spans="1:68">
      <c r="A79" s="11" t="s">
        <v>685</v>
      </c>
      <c r="B79" s="11" t="s">
        <v>686</v>
      </c>
      <c r="C79" s="67" t="s">
        <v>604</v>
      </c>
      <c r="AQ79" s="68">
        <f>IF(AQ$37=0,NA(),IF(ISNUMBER(INDEX($D$52:$AD$52,AQ$37)),IF(ROUND(INDEX($D$52:$AD$52,AQ$37)/1000,1)&gt;0,0.5,NA()),NA()))</f>
        <v>0</v>
      </c>
      <c r="AR79" s="68">
        <f>IF(AR$37=0,NA(),IF(ISNUMBER(INDEX($D$52:$AD$52,AR$37)),IF(ROUND(INDEX($D$52:$AD$52,AR$37)/1000,1)&gt;0,0.5,NA()),NA()))</f>
        <v>0</v>
      </c>
      <c r="AS79" s="68">
        <f>IF(AS$37=0,NA(),IF(ISNUMBER(INDEX($D$52:$AD$52,AS$37)),IF(ROUND(INDEX($D$52:$AD$52,AS$37)/1000,1)&gt;0,0.5,NA()),NA()))</f>
        <v>0</v>
      </c>
      <c r="AT79" s="68">
        <f>IF(AT$37=0,NA(),IF(ISNUMBER(INDEX($D$52:$AD$52,AT$37)),IF(ROUND(INDEX($D$52:$AD$52,AT$37)/1000,1)&gt;0,0.5,NA()),NA()))</f>
        <v>0</v>
      </c>
      <c r="AU79" s="68">
        <f>IF(AU$37=0,NA(),IF(ISNUMBER(INDEX($D$52:$AD$52,AU$37)),IF(ROUND(INDEX($D$52:$AD$52,AU$37)/1000,1)&gt;0,0.5,NA()),NA()))</f>
        <v>0</v>
      </c>
      <c r="AV79" s="68">
        <f>IF(AV$37=0,NA(),IF(ISNUMBER(INDEX($D$52:$AD$52,AV$37)),IF(ROUND(INDEX($D$52:$AD$52,AV$37)/1000,1)&gt;0,0.5,NA()),NA()))</f>
        <v>0</v>
      </c>
      <c r="AW79" s="68">
        <f>IF(AW$37=0,NA(),IF(ISNUMBER(INDEX($D$52:$AD$52,AW$37)),IF(ROUND(INDEX($D$52:$AD$52,AW$37)/1000,1)&gt;0,0.5,NA()),NA()))</f>
        <v>0</v>
      </c>
      <c r="AX79" s="68">
        <f>IF(AX$37=0,NA(),IF(ISNUMBER(INDEX($D$52:$AD$52,AX$37)),IF(ROUND(INDEX($D$52:$AD$52,AX$37)/1000,1)&gt;0,0.5,NA()),NA()))</f>
        <v>0</v>
      </c>
      <c r="AY79" s="68">
        <f>IF(AY$37=0,NA(),IF(ISNUMBER(INDEX($D$52:$AD$52,AY$37)),IF(ROUND(INDEX($D$52:$AD$52,AY$37)/1000,1)&gt;0,0.5,NA()),NA()))</f>
        <v>0</v>
      </c>
      <c r="AZ79" s="68">
        <f>IF(AZ$37=0,NA(),IF(ISNUMBER(INDEX($D$52:$AD$52,AZ$37)),IF(ROUND(INDEX($D$52:$AD$52,AZ$37)/1000,1)&gt;0,0.5,NA()),NA()))</f>
        <v>0</v>
      </c>
      <c r="BA79" s="68">
        <f>IF(BA$37=0,NA(),IF(ISNUMBER(INDEX($D$52:$AD$52,BA$37)),IF(ROUND(INDEX($D$52:$AD$52,BA$37)/1000,1)&gt;0,0.5,NA()),NA()))</f>
        <v>0</v>
      </c>
      <c r="BB79" s="68">
        <f>IF(BB$37=0,NA(),IF(ISNUMBER(INDEX($D$52:$AD$52,BB$37)),IF(ROUND(INDEX($D$52:$AD$52,BB$37)/1000,1)&gt;0,0.5,NA()),NA()))</f>
        <v>0</v>
      </c>
      <c r="BC79" s="68">
        <f>IF(BC$37=0,NA(),IF(ISNUMBER(INDEX($D$52:$AD$52,BC$37)),IF(ROUND(INDEX($D$52:$AD$52,BC$37)/1000,1)&gt;0,0.5,NA()),NA()))</f>
        <v>0</v>
      </c>
      <c r="BD79" s="68">
        <f>IF(BD$37=0,NA(),IF(ISNUMBER(INDEX($D$52:$AD$52,BD$37)),IF(ROUND(INDEX($D$52:$AD$52,BD$37)/1000,1)&gt;0,0.5,NA()),NA()))</f>
        <v>0</v>
      </c>
      <c r="BE79" s="68">
        <f>IF(BE$37=0,NA(),IF(ISNUMBER(INDEX($D$52:$AD$52,BE$37)),IF(ROUND(INDEX($D$52:$AD$52,BE$37)/1000,1)&gt;0,0.5,NA()),NA()))</f>
        <v>0</v>
      </c>
      <c r="BF79" s="68">
        <f>IF(BF$37=0,NA(),IF(ISNUMBER(INDEX($D$52:$AD$52,BF$37)),IF(ROUND(INDEX($D$52:$AD$52,BF$37)/1000,1)&gt;0,0.5,NA()),NA()))</f>
        <v>0</v>
      </c>
      <c r="BG79" s="68">
        <f>IF(BG$37=0,NA(),IF(ISNUMBER(INDEX($D$52:$AD$52,BG$37)),IF(ROUND(INDEX($D$52:$AD$52,BG$37)/1000,1)&gt;0,0.5,NA()),NA()))</f>
        <v>0</v>
      </c>
      <c r="BH79" s="68">
        <f>IF(BH$37=0,NA(),IF(ISNUMBER(INDEX($D$52:$AD$52,BH$37)),IF(ROUND(INDEX($D$52:$AD$52,BH$37)/1000,1)&gt;0,0.5,NA()),NA()))</f>
        <v>0</v>
      </c>
      <c r="BI79" s="68">
        <f>IF(BI$37=0,NA(),IF(ISNUMBER(INDEX($D$52:$AD$52,BI$37)),IF(ROUND(INDEX($D$52:$AD$52,BI$37)/1000,1)&gt;0,0.5,NA()),NA()))</f>
        <v>0</v>
      </c>
      <c r="BJ79" s="68">
        <f>IF(BJ$37=0,NA(),IF(ISNUMBER(INDEX($D$52:$AD$52,BJ$37)),IF(ROUND(INDEX($D$52:$AD$52,BJ$37)/1000,1)&gt;0,0.5,NA()),NA()))</f>
        <v>0</v>
      </c>
      <c r="BK79" s="68">
        <f>IF(BK$37=0,NA(),IF(ISNUMBER(INDEX($D$52:$AD$52,BK$37)),IF(ROUND(INDEX($D$52:$AD$52,BK$37)/1000,1)&gt;0,0.5,NA()),NA()))</f>
        <v>0</v>
      </c>
      <c r="BL79" s="68">
        <f>IF(BL$37=0,NA(),IF(ISNUMBER(INDEX($D$52:$AD$52,BL$37)),IF(ROUND(INDEX($D$52:$AD$52,BL$37)/1000,1)&gt;0,0.5,NA()),NA()))</f>
        <v>0</v>
      </c>
      <c r="BM79" s="68">
        <f>IF(BM$37=0,NA(),IF(ISNUMBER(INDEX($D$52:$AD$52,BM$37)),IF(ROUND(INDEX($D$52:$AD$52,BM$37)/1000,1)&gt;0,0.5,NA()),NA()))</f>
        <v>0</v>
      </c>
      <c r="BN79" s="68">
        <f>IF(BN$37=0,NA(),IF(ISNUMBER(INDEX($D$52:$AD$52,BN$37)),IF(ROUND(INDEX($D$52:$AD$52,BN$37)/1000,1)&gt;0,0.5,NA()),NA()))</f>
        <v>0</v>
      </c>
      <c r="BO79" s="68">
        <f>IF(BO$37=0,NA(),IF(ISNUMBER(INDEX($D$52:$AD$52,BO$37)),IF(ROUND(INDEX($D$52:$AD$52,BO$37)/1000,1)&gt;0,0.5,NA()),NA()))</f>
        <v>0</v>
      </c>
      <c r="BP79" s="68">
        <f>IF(BP$37=0,NA(),IF(ISNUMBER(INDEX($D$52:$AD$52,BP$37)),IF(ROUND(INDEX($D$52:$AD$52,BP$37)/1000,1)&gt;0,0.5,NA()),NA()))</f>
        <v>0</v>
      </c>
    </row>
    <row r="80" spans="1:68">
      <c r="A80" s="11" t="s">
        <v>687</v>
      </c>
      <c r="B80" s="11" t="s">
        <v>688</v>
      </c>
      <c r="C80" s="67" t="s">
        <v>604</v>
      </c>
      <c r="AQ80" s="68">
        <f>IF(AQ$37=0,NA(),IF(ISNUMBER(INDEX($D$52:$AD$52,AQ$37)),IF(ROUND(INDEX($D$52:$AD$52,AQ$37)/1000,1)&lt;0,0.5,NA()),NA()))</f>
        <v>0</v>
      </c>
      <c r="AR80" s="68">
        <f>IF(AR$37=0,NA(),IF(ISNUMBER(INDEX($D$52:$AD$52,AR$37)),IF(ROUND(INDEX($D$52:$AD$52,AR$37)/1000,1)&lt;0,0.5,NA()),NA()))</f>
        <v>0</v>
      </c>
      <c r="AS80" s="68">
        <f>IF(AS$37=0,NA(),IF(ISNUMBER(INDEX($D$52:$AD$52,AS$37)),IF(ROUND(INDEX($D$52:$AD$52,AS$37)/1000,1)&lt;0,0.5,NA()),NA()))</f>
        <v>0</v>
      </c>
      <c r="AT80" s="68">
        <f>IF(AT$37=0,NA(),IF(ISNUMBER(INDEX($D$52:$AD$52,AT$37)),IF(ROUND(INDEX($D$52:$AD$52,AT$37)/1000,1)&lt;0,0.5,NA()),NA()))</f>
        <v>0</v>
      </c>
      <c r="AU80" s="68">
        <f>IF(AU$37=0,NA(),IF(ISNUMBER(INDEX($D$52:$AD$52,AU$37)),IF(ROUND(INDEX($D$52:$AD$52,AU$37)/1000,1)&lt;0,0.5,NA()),NA()))</f>
        <v>0</v>
      </c>
      <c r="AV80" s="68">
        <f>IF(AV$37=0,NA(),IF(ISNUMBER(INDEX($D$52:$AD$52,AV$37)),IF(ROUND(INDEX($D$52:$AD$52,AV$37)/1000,1)&lt;0,0.5,NA()),NA()))</f>
        <v>0</v>
      </c>
      <c r="AW80" s="68">
        <f>IF(AW$37=0,NA(),IF(ISNUMBER(INDEX($D$52:$AD$52,AW$37)),IF(ROUND(INDEX($D$52:$AD$52,AW$37)/1000,1)&lt;0,0.5,NA()),NA()))</f>
        <v>0</v>
      </c>
      <c r="AX80" s="68">
        <f>IF(AX$37=0,NA(),IF(ISNUMBER(INDEX($D$52:$AD$52,AX$37)),IF(ROUND(INDEX($D$52:$AD$52,AX$37)/1000,1)&lt;0,0.5,NA()),NA()))</f>
        <v>0</v>
      </c>
      <c r="AY80" s="68">
        <f>IF(AY$37=0,NA(),IF(ISNUMBER(INDEX($D$52:$AD$52,AY$37)),IF(ROUND(INDEX($D$52:$AD$52,AY$37)/1000,1)&lt;0,0.5,NA()),NA()))</f>
        <v>0</v>
      </c>
      <c r="AZ80" s="68">
        <f>IF(AZ$37=0,NA(),IF(ISNUMBER(INDEX($D$52:$AD$52,AZ$37)),IF(ROUND(INDEX($D$52:$AD$52,AZ$37)/1000,1)&lt;0,0.5,NA()),NA()))</f>
        <v>0</v>
      </c>
      <c r="BA80" s="68">
        <f>IF(BA$37=0,NA(),IF(ISNUMBER(INDEX($D$52:$AD$52,BA$37)),IF(ROUND(INDEX($D$52:$AD$52,BA$37)/1000,1)&lt;0,0.5,NA()),NA()))</f>
        <v>0</v>
      </c>
      <c r="BB80" s="68">
        <f>IF(BB$37=0,NA(),IF(ISNUMBER(INDEX($D$52:$AD$52,BB$37)),IF(ROUND(INDEX($D$52:$AD$52,BB$37)/1000,1)&lt;0,0.5,NA()),NA()))</f>
        <v>0</v>
      </c>
      <c r="BC80" s="68">
        <f>IF(BC$37=0,NA(),IF(ISNUMBER(INDEX($D$52:$AD$52,BC$37)),IF(ROUND(INDEX($D$52:$AD$52,BC$37)/1000,1)&lt;0,0.5,NA()),NA()))</f>
        <v>0</v>
      </c>
      <c r="BD80" s="68">
        <f>IF(BD$37=0,NA(),IF(ISNUMBER(INDEX($D$52:$AD$52,BD$37)),IF(ROUND(INDEX($D$52:$AD$52,BD$37)/1000,1)&lt;0,0.5,NA()),NA()))</f>
        <v>0</v>
      </c>
      <c r="BE80" s="68">
        <f>IF(BE$37=0,NA(),IF(ISNUMBER(INDEX($D$52:$AD$52,BE$37)),IF(ROUND(INDEX($D$52:$AD$52,BE$37)/1000,1)&lt;0,0.5,NA()),NA()))</f>
        <v>0</v>
      </c>
      <c r="BF80" s="68">
        <f>IF(BF$37=0,NA(),IF(ISNUMBER(INDEX($D$52:$AD$52,BF$37)),IF(ROUND(INDEX($D$52:$AD$52,BF$37)/1000,1)&lt;0,0.5,NA()),NA()))</f>
        <v>0</v>
      </c>
      <c r="BG80" s="68">
        <f>IF(BG$37=0,NA(),IF(ISNUMBER(INDEX($D$52:$AD$52,BG$37)),IF(ROUND(INDEX($D$52:$AD$52,BG$37)/1000,1)&lt;0,0.5,NA()),NA()))</f>
        <v>0</v>
      </c>
      <c r="BH80" s="68">
        <f>IF(BH$37=0,NA(),IF(ISNUMBER(INDEX($D$52:$AD$52,BH$37)),IF(ROUND(INDEX($D$52:$AD$52,BH$37)/1000,1)&lt;0,0.5,NA()),NA()))</f>
        <v>0</v>
      </c>
      <c r="BI80" s="68">
        <f>IF(BI$37=0,NA(),IF(ISNUMBER(INDEX($D$52:$AD$52,BI$37)),IF(ROUND(INDEX($D$52:$AD$52,BI$37)/1000,1)&lt;0,0.5,NA()),NA()))</f>
        <v>0</v>
      </c>
      <c r="BJ80" s="68">
        <f>IF(BJ$37=0,NA(),IF(ISNUMBER(INDEX($D$52:$AD$52,BJ$37)),IF(ROUND(INDEX($D$52:$AD$52,BJ$37)/1000,1)&lt;0,0.5,NA()),NA()))</f>
        <v>0</v>
      </c>
      <c r="BK80" s="68">
        <f>IF(BK$37=0,NA(),IF(ISNUMBER(INDEX($D$52:$AD$52,BK$37)),IF(ROUND(INDEX($D$52:$AD$52,BK$37)/1000,1)&lt;0,0.5,NA()),NA()))</f>
        <v>0</v>
      </c>
      <c r="BL80" s="68">
        <f>IF(BL$37=0,NA(),IF(ISNUMBER(INDEX($D$52:$AD$52,BL$37)),IF(ROUND(INDEX($D$52:$AD$52,BL$37)/1000,1)&lt;0,0.5,NA()),NA()))</f>
        <v>0</v>
      </c>
      <c r="BM80" s="68">
        <f>IF(BM$37=0,NA(),IF(ISNUMBER(INDEX($D$52:$AD$52,BM$37)),IF(ROUND(INDEX($D$52:$AD$52,BM$37)/1000,1)&lt;0,0.5,NA()),NA()))</f>
        <v>0</v>
      </c>
      <c r="BN80" s="68">
        <f>IF(BN$37=0,NA(),IF(ISNUMBER(INDEX($D$52:$AD$52,BN$37)),IF(ROUND(INDEX($D$52:$AD$52,BN$37)/1000,1)&lt;0,0.5,NA()),NA()))</f>
        <v>0</v>
      </c>
      <c r="BO80" s="68">
        <f>IF(BO$37=0,NA(),IF(ISNUMBER(INDEX($D$52:$AD$52,BO$37)),IF(ROUND(INDEX($D$52:$AD$52,BO$37)/1000,1)&lt;0,0.5,NA()),NA()))</f>
        <v>0</v>
      </c>
      <c r="BP80" s="68">
        <f>IF(BP$37=0,NA(),IF(ISNUMBER(INDEX($D$52:$AD$52,BP$37)),IF(ROUND(INDEX($D$52:$AD$52,BP$37)/1000,1)&lt;0,0.5,NA()),NA()))</f>
        <v>0</v>
      </c>
    </row>
    <row r="81" spans="1:68">
      <c r="A81" s="11" t="s">
        <v>689</v>
      </c>
      <c r="B81" s="11" t="s">
        <v>690</v>
      </c>
      <c r="C81" s="67" t="s">
        <v>604</v>
      </c>
      <c r="AQ81" s="68">
        <f>IF(AQ$37=0,NA(),IF(ISNUMBER(INDEX($D$52:$AD$52,AQ$37)),IF(ROUND(INDEX($D$52:$AD$52,AQ$37)/1000,1)=0,0.5,NA()),NA()))</f>
        <v>0</v>
      </c>
      <c r="AR81" s="68">
        <f>IF(AR$37=0,NA(),IF(ISNUMBER(INDEX($D$52:$AD$52,AR$37)),IF(ROUND(INDEX($D$52:$AD$52,AR$37)/1000,1)=0,0.5,NA()),NA()))</f>
        <v>0</v>
      </c>
      <c r="AS81" s="68">
        <f>IF(AS$37=0,NA(),IF(ISNUMBER(INDEX($D$52:$AD$52,AS$37)),IF(ROUND(INDEX($D$52:$AD$52,AS$37)/1000,1)=0,0.5,NA()),NA()))</f>
        <v>0</v>
      </c>
      <c r="AT81" s="68">
        <f>IF(AT$37=0,NA(),IF(ISNUMBER(INDEX($D$52:$AD$52,AT$37)),IF(ROUND(INDEX($D$52:$AD$52,AT$37)/1000,1)=0,0.5,NA()),NA()))</f>
        <v>0</v>
      </c>
      <c r="AU81" s="68">
        <f>IF(AU$37=0,NA(),IF(ISNUMBER(INDEX($D$52:$AD$52,AU$37)),IF(ROUND(INDEX($D$52:$AD$52,AU$37)/1000,1)=0,0.5,NA()),NA()))</f>
        <v>0</v>
      </c>
      <c r="AV81" s="68">
        <f>IF(AV$37=0,NA(),IF(ISNUMBER(INDEX($D$52:$AD$52,AV$37)),IF(ROUND(INDEX($D$52:$AD$52,AV$37)/1000,1)=0,0.5,NA()),NA()))</f>
        <v>0</v>
      </c>
      <c r="AW81" s="68">
        <f>IF(AW$37=0,NA(),IF(ISNUMBER(INDEX($D$52:$AD$52,AW$37)),IF(ROUND(INDEX($D$52:$AD$52,AW$37)/1000,1)=0,0.5,NA()),NA()))</f>
        <v>0</v>
      </c>
      <c r="AX81" s="68">
        <f>IF(AX$37=0,NA(),IF(ISNUMBER(INDEX($D$52:$AD$52,AX$37)),IF(ROUND(INDEX($D$52:$AD$52,AX$37)/1000,1)=0,0.5,NA()),NA()))</f>
        <v>0</v>
      </c>
      <c r="AY81" s="68">
        <f>IF(AY$37=0,NA(),IF(ISNUMBER(INDEX($D$52:$AD$52,AY$37)),IF(ROUND(INDEX($D$52:$AD$52,AY$37)/1000,1)=0,0.5,NA()),NA()))</f>
        <v>0</v>
      </c>
      <c r="AZ81" s="68">
        <f>IF(AZ$37=0,NA(),IF(ISNUMBER(INDEX($D$52:$AD$52,AZ$37)),IF(ROUND(INDEX($D$52:$AD$52,AZ$37)/1000,1)=0,0.5,NA()),NA()))</f>
        <v>0</v>
      </c>
      <c r="BA81" s="68">
        <f>IF(BA$37=0,NA(),IF(ISNUMBER(INDEX($D$52:$AD$52,BA$37)),IF(ROUND(INDEX($D$52:$AD$52,BA$37)/1000,1)=0,0.5,NA()),NA()))</f>
        <v>0</v>
      </c>
      <c r="BB81" s="68">
        <f>IF(BB$37=0,NA(),IF(ISNUMBER(INDEX($D$52:$AD$52,BB$37)),IF(ROUND(INDEX($D$52:$AD$52,BB$37)/1000,1)=0,0.5,NA()),NA()))</f>
        <v>0</v>
      </c>
      <c r="BC81" s="68">
        <f>IF(BC$37=0,NA(),IF(ISNUMBER(INDEX($D$52:$AD$52,BC$37)),IF(ROUND(INDEX($D$52:$AD$52,BC$37)/1000,1)=0,0.5,NA()),NA()))</f>
        <v>0</v>
      </c>
      <c r="BD81" s="68">
        <f>IF(BD$37=0,NA(),IF(ISNUMBER(INDEX($D$52:$AD$52,BD$37)),IF(ROUND(INDEX($D$52:$AD$52,BD$37)/1000,1)=0,0.5,NA()),NA()))</f>
        <v>0</v>
      </c>
      <c r="BE81" s="68">
        <f>IF(BE$37=0,NA(),IF(ISNUMBER(INDEX($D$52:$AD$52,BE$37)),IF(ROUND(INDEX($D$52:$AD$52,BE$37)/1000,1)=0,0.5,NA()),NA()))</f>
        <v>0</v>
      </c>
      <c r="BF81" s="68">
        <f>IF(BF$37=0,NA(),IF(ISNUMBER(INDEX($D$52:$AD$52,BF$37)),IF(ROUND(INDEX($D$52:$AD$52,BF$37)/1000,1)=0,0.5,NA()),NA()))</f>
        <v>0</v>
      </c>
      <c r="BG81" s="68">
        <f>IF(BG$37=0,NA(),IF(ISNUMBER(INDEX($D$52:$AD$52,BG$37)),IF(ROUND(INDEX($D$52:$AD$52,BG$37)/1000,1)=0,0.5,NA()),NA()))</f>
        <v>0</v>
      </c>
      <c r="BH81" s="68">
        <f>IF(BH$37=0,NA(),IF(ISNUMBER(INDEX($D$52:$AD$52,BH$37)),IF(ROUND(INDEX($D$52:$AD$52,BH$37)/1000,1)=0,0.5,NA()),NA()))</f>
        <v>0</v>
      </c>
      <c r="BI81" s="68">
        <f>IF(BI$37=0,NA(),IF(ISNUMBER(INDEX($D$52:$AD$52,BI$37)),IF(ROUND(INDEX($D$52:$AD$52,BI$37)/1000,1)=0,0.5,NA()),NA()))</f>
        <v>0</v>
      </c>
      <c r="BJ81" s="68">
        <f>IF(BJ$37=0,NA(),IF(ISNUMBER(INDEX($D$52:$AD$52,BJ$37)),IF(ROUND(INDEX($D$52:$AD$52,BJ$37)/1000,1)=0,0.5,NA()),NA()))</f>
        <v>0</v>
      </c>
      <c r="BK81" s="68">
        <f>IF(BK$37=0,NA(),IF(ISNUMBER(INDEX($D$52:$AD$52,BK$37)),IF(ROUND(INDEX($D$52:$AD$52,BK$37)/1000,1)=0,0.5,NA()),NA()))</f>
        <v>0</v>
      </c>
      <c r="BL81" s="68">
        <f>IF(BL$37=0,NA(),IF(ISNUMBER(INDEX($D$52:$AD$52,BL$37)),IF(ROUND(INDEX($D$52:$AD$52,BL$37)/1000,1)=0,0.5,NA()),NA()))</f>
        <v>0</v>
      </c>
      <c r="BM81" s="68">
        <f>IF(BM$37=0,NA(),IF(ISNUMBER(INDEX($D$52:$AD$52,BM$37)),IF(ROUND(INDEX($D$52:$AD$52,BM$37)/1000,1)=0,0.5,NA()),NA()))</f>
        <v>0</v>
      </c>
      <c r="BN81" s="68">
        <f>IF(BN$37=0,NA(),IF(ISNUMBER(INDEX($D$52:$AD$52,BN$37)),IF(ROUND(INDEX($D$52:$AD$52,BN$37)/1000,1)=0,0.5,NA()),NA()))</f>
        <v>0</v>
      </c>
      <c r="BO81" s="68">
        <f>IF(BO$37=0,NA(),IF(ISNUMBER(INDEX($D$52:$AD$52,BO$37)),IF(ROUND(INDEX($D$52:$AD$52,BO$37)/1000,1)=0,0.5,NA()),NA()))</f>
        <v>0</v>
      </c>
      <c r="BP81" s="68">
        <f>IF(BP$37=0,NA(),IF(ISNUMBER(INDEX($D$52:$AD$52,BP$37)),IF(ROUND(INDEX($D$52:$AD$52,BP$37)/1000,1)=0,0.5,NA()),NA()))</f>
        <v>0</v>
      </c>
    </row>
    <row r="82" spans="1:68">
      <c r="A82" s="11" t="s">
        <v>691</v>
      </c>
      <c r="B82" s="11" t="s">
        <v>692</v>
      </c>
      <c r="C82" s="67" t="s">
        <v>604</v>
      </c>
      <c r="AQ82" s="11">
        <f>IF(AQ$37=0,"",IF(ISNUMBER(INDEX($D$52:$AD$52,AQ$37)),IF(ROUND(INDEX($D$52:$AD$52,AQ$37)/1000,1)&gt;0,"+"&amp;FIXED(ROUND(INDEX($D$52:$AD$52,AQ$37)/1000,1),1),IF(ROUND(INDEX($D$52:$AD$52,AQ$37)/1000,1)&lt;0,"−"&amp;FIXED(-ROUND(INDEX($D$52:$AD$52,AQ$37)/1000,1),1),"±0")),""))</f>
        <v>0</v>
      </c>
      <c r="AR82" s="11">
        <f>IF(AR$37=0,"",IF(ISNUMBER(INDEX($D$52:$AD$52,AR$37)),IF(ROUND(INDEX($D$52:$AD$52,AR$37)/1000,1)&gt;0,"+"&amp;FIXED(ROUND(INDEX($D$52:$AD$52,AR$37)/1000,1),1),IF(ROUND(INDEX($D$52:$AD$52,AR$37)/1000,1)&lt;0,"−"&amp;FIXED(-ROUND(INDEX($D$52:$AD$52,AR$37)/1000,1),1),"±0")),""))</f>
        <v>0</v>
      </c>
      <c r="AS82" s="11">
        <f>IF(AS$37=0,"",IF(ISNUMBER(INDEX($D$52:$AD$52,AS$37)),IF(ROUND(INDEX($D$52:$AD$52,AS$37)/1000,1)&gt;0,"+"&amp;FIXED(ROUND(INDEX($D$52:$AD$52,AS$37)/1000,1),1),IF(ROUND(INDEX($D$52:$AD$52,AS$37)/1000,1)&lt;0,"−"&amp;FIXED(-ROUND(INDEX($D$52:$AD$52,AS$37)/1000,1),1),"±0")),""))</f>
        <v>0</v>
      </c>
      <c r="AT82" s="11">
        <f>IF(AT$37=0,"",IF(ISNUMBER(INDEX($D$52:$AD$52,AT$37)),IF(ROUND(INDEX($D$52:$AD$52,AT$37)/1000,1)&gt;0,"+"&amp;FIXED(ROUND(INDEX($D$52:$AD$52,AT$37)/1000,1),1),IF(ROUND(INDEX($D$52:$AD$52,AT$37)/1000,1)&lt;0,"−"&amp;FIXED(-ROUND(INDEX($D$52:$AD$52,AT$37)/1000,1),1),"±0")),""))</f>
        <v>0</v>
      </c>
      <c r="AU82" s="11">
        <f>IF(AU$37=0,"",IF(ISNUMBER(INDEX($D$52:$AD$52,AU$37)),IF(ROUND(INDEX($D$52:$AD$52,AU$37)/1000,1)&gt;0,"+"&amp;FIXED(ROUND(INDEX($D$52:$AD$52,AU$37)/1000,1),1),IF(ROUND(INDEX($D$52:$AD$52,AU$37)/1000,1)&lt;0,"−"&amp;FIXED(-ROUND(INDEX($D$52:$AD$52,AU$37)/1000,1),1),"±0")),""))</f>
        <v>0</v>
      </c>
      <c r="AV82" s="11">
        <f>IF(AV$37=0,"",IF(ISNUMBER(INDEX($D$52:$AD$52,AV$37)),IF(ROUND(INDEX($D$52:$AD$52,AV$37)/1000,1)&gt;0,"+"&amp;FIXED(ROUND(INDEX($D$52:$AD$52,AV$37)/1000,1),1),IF(ROUND(INDEX($D$52:$AD$52,AV$37)/1000,1)&lt;0,"−"&amp;FIXED(-ROUND(INDEX($D$52:$AD$52,AV$37)/1000,1),1),"±0")),""))</f>
        <v>0</v>
      </c>
      <c r="AW82" s="11">
        <f>IF(AW$37=0,"",IF(ISNUMBER(INDEX($D$52:$AD$52,AW$37)),IF(ROUND(INDEX($D$52:$AD$52,AW$37)/1000,1)&gt;0,"+"&amp;FIXED(ROUND(INDEX($D$52:$AD$52,AW$37)/1000,1),1),IF(ROUND(INDEX($D$52:$AD$52,AW$37)/1000,1)&lt;0,"−"&amp;FIXED(-ROUND(INDEX($D$52:$AD$52,AW$37)/1000,1),1),"±0")),""))</f>
        <v>0</v>
      </c>
      <c r="AX82" s="11">
        <f>IF(AX$37=0,"",IF(ISNUMBER(INDEX($D$52:$AD$52,AX$37)),IF(ROUND(INDEX($D$52:$AD$52,AX$37)/1000,1)&gt;0,"+"&amp;FIXED(ROUND(INDEX($D$52:$AD$52,AX$37)/1000,1),1),IF(ROUND(INDEX($D$52:$AD$52,AX$37)/1000,1)&lt;0,"−"&amp;FIXED(-ROUND(INDEX($D$52:$AD$52,AX$37)/1000,1),1),"±0")),""))</f>
        <v>0</v>
      </c>
      <c r="AY82" s="11">
        <f>IF(AY$37=0,"",IF(ISNUMBER(INDEX($D$52:$AD$52,AY$37)),IF(ROUND(INDEX($D$52:$AD$52,AY$37)/1000,1)&gt;0,"+"&amp;FIXED(ROUND(INDEX($D$52:$AD$52,AY$37)/1000,1),1),IF(ROUND(INDEX($D$52:$AD$52,AY$37)/1000,1)&lt;0,"−"&amp;FIXED(-ROUND(INDEX($D$52:$AD$52,AY$37)/1000,1),1),"±0")),""))</f>
        <v>0</v>
      </c>
      <c r="AZ82" s="11">
        <f>IF(AZ$37=0,"",IF(ISNUMBER(INDEX($D$52:$AD$52,AZ$37)),IF(ROUND(INDEX($D$52:$AD$52,AZ$37)/1000,1)&gt;0,"+"&amp;FIXED(ROUND(INDEX($D$52:$AD$52,AZ$37)/1000,1),1),IF(ROUND(INDEX($D$52:$AD$52,AZ$37)/1000,1)&lt;0,"−"&amp;FIXED(-ROUND(INDEX($D$52:$AD$52,AZ$37)/1000,1),1),"±0")),""))</f>
        <v>0</v>
      </c>
      <c r="BA82" s="11">
        <f>IF(BA$37=0,"",IF(ISNUMBER(INDEX($D$52:$AD$52,BA$37)),IF(ROUND(INDEX($D$52:$AD$52,BA$37)/1000,1)&gt;0,"+"&amp;FIXED(ROUND(INDEX($D$52:$AD$52,BA$37)/1000,1),1),IF(ROUND(INDEX($D$52:$AD$52,BA$37)/1000,1)&lt;0,"−"&amp;FIXED(-ROUND(INDEX($D$52:$AD$52,BA$37)/1000,1),1),"±0")),""))</f>
        <v>0</v>
      </c>
      <c r="BB82" s="11">
        <f>IF(BB$37=0,"",IF(ISNUMBER(INDEX($D$52:$AD$52,BB$37)),IF(ROUND(INDEX($D$52:$AD$52,BB$37)/1000,1)&gt;0,"+"&amp;FIXED(ROUND(INDEX($D$52:$AD$52,BB$37)/1000,1),1),IF(ROUND(INDEX($D$52:$AD$52,BB$37)/1000,1)&lt;0,"−"&amp;FIXED(-ROUND(INDEX($D$52:$AD$52,BB$37)/1000,1),1),"±0")),""))</f>
        <v>0</v>
      </c>
      <c r="BC82" s="11">
        <f>IF(BC$37=0,"",IF(ISNUMBER(INDEX($D$52:$AD$52,BC$37)),IF(ROUND(INDEX($D$52:$AD$52,BC$37)/1000,1)&gt;0,"+"&amp;FIXED(ROUND(INDEX($D$52:$AD$52,BC$37)/1000,1),1),IF(ROUND(INDEX($D$52:$AD$52,BC$37)/1000,1)&lt;0,"−"&amp;FIXED(-ROUND(INDEX($D$52:$AD$52,BC$37)/1000,1),1),"±0")),""))</f>
        <v>0</v>
      </c>
      <c r="BD82" s="11">
        <f>IF(BD$37=0,"",IF(ISNUMBER(INDEX($D$52:$AD$52,BD$37)),IF(ROUND(INDEX($D$52:$AD$52,BD$37)/1000,1)&gt;0,"+"&amp;FIXED(ROUND(INDEX($D$52:$AD$52,BD$37)/1000,1),1),IF(ROUND(INDEX($D$52:$AD$52,BD$37)/1000,1)&lt;0,"−"&amp;FIXED(-ROUND(INDEX($D$52:$AD$52,BD$37)/1000,1),1),"±0")),""))</f>
        <v>0</v>
      </c>
      <c r="BE82" s="11">
        <f>IF(BE$37=0,"",IF(ISNUMBER(INDEX($D$52:$AD$52,BE$37)),IF(ROUND(INDEX($D$52:$AD$52,BE$37)/1000,1)&gt;0,"+"&amp;FIXED(ROUND(INDEX($D$52:$AD$52,BE$37)/1000,1),1),IF(ROUND(INDEX($D$52:$AD$52,BE$37)/1000,1)&lt;0,"−"&amp;FIXED(-ROUND(INDEX($D$52:$AD$52,BE$37)/1000,1),1),"±0")),""))</f>
        <v>0</v>
      </c>
      <c r="BF82" s="11">
        <f>IF(BF$37=0,"",IF(ISNUMBER(INDEX($D$52:$AD$52,BF$37)),IF(ROUND(INDEX($D$52:$AD$52,BF$37)/1000,1)&gt;0,"+"&amp;FIXED(ROUND(INDEX($D$52:$AD$52,BF$37)/1000,1),1),IF(ROUND(INDEX($D$52:$AD$52,BF$37)/1000,1)&lt;0,"−"&amp;FIXED(-ROUND(INDEX($D$52:$AD$52,BF$37)/1000,1),1),"±0")),""))</f>
        <v>0</v>
      </c>
      <c r="BG82" s="11">
        <f>IF(BG$37=0,"",IF(ISNUMBER(INDEX($D$52:$AD$52,BG$37)),IF(ROUND(INDEX($D$52:$AD$52,BG$37)/1000,1)&gt;0,"+"&amp;FIXED(ROUND(INDEX($D$52:$AD$52,BG$37)/1000,1),1),IF(ROUND(INDEX($D$52:$AD$52,BG$37)/1000,1)&lt;0,"−"&amp;FIXED(-ROUND(INDEX($D$52:$AD$52,BG$37)/1000,1),1),"±0")),""))</f>
        <v>0</v>
      </c>
      <c r="BH82" s="11">
        <f>IF(BH$37=0,"",IF(ISNUMBER(INDEX($D$52:$AD$52,BH$37)),IF(ROUND(INDEX($D$52:$AD$52,BH$37)/1000,1)&gt;0,"+"&amp;FIXED(ROUND(INDEX($D$52:$AD$52,BH$37)/1000,1),1),IF(ROUND(INDEX($D$52:$AD$52,BH$37)/1000,1)&lt;0,"−"&amp;FIXED(-ROUND(INDEX($D$52:$AD$52,BH$37)/1000,1),1),"±0")),""))</f>
        <v>0</v>
      </c>
      <c r="BI82" s="11">
        <f>IF(BI$37=0,"",IF(ISNUMBER(INDEX($D$52:$AD$52,BI$37)),IF(ROUND(INDEX($D$52:$AD$52,BI$37)/1000,1)&gt;0,"+"&amp;FIXED(ROUND(INDEX($D$52:$AD$52,BI$37)/1000,1),1),IF(ROUND(INDEX($D$52:$AD$52,BI$37)/1000,1)&lt;0,"−"&amp;FIXED(-ROUND(INDEX($D$52:$AD$52,BI$37)/1000,1),1),"±0")),""))</f>
        <v>0</v>
      </c>
      <c r="BJ82" s="11">
        <f>IF(BJ$37=0,"",IF(ISNUMBER(INDEX($D$52:$AD$52,BJ$37)),IF(ROUND(INDEX($D$52:$AD$52,BJ$37)/1000,1)&gt;0,"+"&amp;FIXED(ROUND(INDEX($D$52:$AD$52,BJ$37)/1000,1),1),IF(ROUND(INDEX($D$52:$AD$52,BJ$37)/1000,1)&lt;0,"−"&amp;FIXED(-ROUND(INDEX($D$52:$AD$52,BJ$37)/1000,1),1),"±0")),""))</f>
        <v>0</v>
      </c>
      <c r="BK82" s="11">
        <f>IF(BK$37=0,"",IF(ISNUMBER(INDEX($D$52:$AD$52,BK$37)),IF(ROUND(INDEX($D$52:$AD$52,BK$37)/1000,1)&gt;0,"+"&amp;FIXED(ROUND(INDEX($D$52:$AD$52,BK$37)/1000,1),1),IF(ROUND(INDEX($D$52:$AD$52,BK$37)/1000,1)&lt;0,"−"&amp;FIXED(-ROUND(INDEX($D$52:$AD$52,BK$37)/1000,1),1),"±0")),""))</f>
        <v>0</v>
      </c>
      <c r="BL82" s="11">
        <f>IF(BL$37=0,"",IF(ISNUMBER(INDEX($D$52:$AD$52,BL$37)),IF(ROUND(INDEX($D$52:$AD$52,BL$37)/1000,1)&gt;0,"+"&amp;FIXED(ROUND(INDEX($D$52:$AD$52,BL$37)/1000,1),1),IF(ROUND(INDEX($D$52:$AD$52,BL$37)/1000,1)&lt;0,"−"&amp;FIXED(-ROUND(INDEX($D$52:$AD$52,BL$37)/1000,1),1),"±0")),""))</f>
        <v>0</v>
      </c>
      <c r="BM82" s="11">
        <f>IF(BM$37=0,"",IF(ISNUMBER(INDEX($D$52:$AD$52,BM$37)),IF(ROUND(INDEX($D$52:$AD$52,BM$37)/1000,1)&gt;0,"+"&amp;FIXED(ROUND(INDEX($D$52:$AD$52,BM$37)/1000,1),1),IF(ROUND(INDEX($D$52:$AD$52,BM$37)/1000,1)&lt;0,"−"&amp;FIXED(-ROUND(INDEX($D$52:$AD$52,BM$37)/1000,1),1),"±0")),""))</f>
        <v>0</v>
      </c>
      <c r="BN82" s="11">
        <f>IF(BN$37=0,"",IF(ISNUMBER(INDEX($D$52:$AD$52,BN$37)),IF(ROUND(INDEX($D$52:$AD$52,BN$37)/1000,1)&gt;0,"+"&amp;FIXED(ROUND(INDEX($D$52:$AD$52,BN$37)/1000,1),1),IF(ROUND(INDEX($D$52:$AD$52,BN$37)/1000,1)&lt;0,"−"&amp;FIXED(-ROUND(INDEX($D$52:$AD$52,BN$37)/1000,1),1),"±0")),""))</f>
        <v>0</v>
      </c>
      <c r="BO82" s="11">
        <f>IF(BO$37=0,"",IF(ISNUMBER(INDEX($D$52:$AD$52,BO$37)),IF(ROUND(INDEX($D$52:$AD$52,BO$37)/1000,1)&gt;0,"+"&amp;FIXED(ROUND(INDEX($D$52:$AD$52,BO$37)/1000,1),1),IF(ROUND(INDEX($D$52:$AD$52,BO$37)/1000,1)&lt;0,"−"&amp;FIXED(-ROUND(INDEX($D$52:$AD$52,BO$37)/1000,1),1),"±0")),""))</f>
        <v>0</v>
      </c>
      <c r="BP82" s="11">
        <f>IF(BP$37=0,"",IF(ISNUMBER(INDEX($D$52:$AD$52,BP$37)),IF(ROUND(INDEX($D$52:$AD$52,BP$37)/1000,1)&gt;0,"+"&amp;FIXED(ROUND(INDEX($D$52:$AD$52,BP$37)/1000,1),1),IF(ROUND(INDEX($D$52:$AD$52,BP$37)/1000,1)&lt;0,"−"&amp;FIXED(-ROUND(INDEX($D$52:$AD$52,BP$37)/1000,1),1),"±0")),""))</f>
        <v>0</v>
      </c>
    </row>
    <row r="83" spans="1:68">
      <c r="A83" s="11" t="s">
        <v>693</v>
      </c>
      <c r="B83" s="11" t="s">
        <v>694</v>
      </c>
      <c r="C83" s="67" t="s">
        <v>598</v>
      </c>
      <c r="D83" s="68">
        <v>10</v>
      </c>
    </row>
    <row r="84" spans="1:68">
      <c r="A84" s="11" t="s">
        <v>695</v>
      </c>
      <c r="B84" s="11" t="s">
        <v>696</v>
      </c>
      <c r="C84" s="67" t="s">
        <v>601</v>
      </c>
      <c r="AQ84" s="68">
        <f>IF(0&lt;$D$83,28-$D$83+0,0)</f>
        <v>0</v>
      </c>
      <c r="AR84" s="68">
        <f>IF(1&lt;$D$83,28-$D$83+1,0)</f>
        <v>0</v>
      </c>
      <c r="AS84" s="68">
        <f>IF(2&lt;$D$83,28-$D$83+2,0)</f>
        <v>0</v>
      </c>
      <c r="AT84" s="68">
        <f>IF(3&lt;$D$83,28-$D$83+3,0)</f>
        <v>0</v>
      </c>
      <c r="AU84" s="68">
        <f>IF(4&lt;$D$83,28-$D$83+4,0)</f>
        <v>0</v>
      </c>
      <c r="AV84" s="68">
        <f>IF(5&lt;$D$83,28-$D$83+5,0)</f>
        <v>0</v>
      </c>
      <c r="AW84" s="68">
        <f>IF(6&lt;$D$83,28-$D$83+6,0)</f>
        <v>0</v>
      </c>
      <c r="AX84" s="68">
        <f>IF(7&lt;$D$83,28-$D$83+7,0)</f>
        <v>0</v>
      </c>
      <c r="AY84" s="68">
        <f>IF(8&lt;$D$83,28-$D$83+8,0)</f>
        <v>0</v>
      </c>
      <c r="AZ84" s="68">
        <f>IF(9&lt;$D$83,28-$D$83+9,0)</f>
        <v>0</v>
      </c>
      <c r="BA84" s="68">
        <f>IF(10&lt;$D$83,28-$D$83+10,0)</f>
        <v>0</v>
      </c>
      <c r="BB84" s="68">
        <f>IF(11&lt;$D$83,28-$D$83+11,0)</f>
        <v>0</v>
      </c>
      <c r="BC84" s="68">
        <f>IF(12&lt;$D$83,28-$D$83+12,0)</f>
        <v>0</v>
      </c>
      <c r="BD84" s="68">
        <f>IF(13&lt;$D$83,28-$D$83+13,0)</f>
        <v>0</v>
      </c>
      <c r="BE84" s="68">
        <f>IF(14&lt;$D$83,28-$D$83+14,0)</f>
        <v>0</v>
      </c>
      <c r="BF84" s="68">
        <f>IF(15&lt;$D$83,28-$D$83+15,0)</f>
        <v>0</v>
      </c>
      <c r="BG84" s="68">
        <f>IF(16&lt;$D$83,28-$D$83+16,0)</f>
        <v>0</v>
      </c>
      <c r="BH84" s="68">
        <f>IF(17&lt;$D$83,28-$D$83+17,0)</f>
        <v>0</v>
      </c>
      <c r="BI84" s="68">
        <f>IF(18&lt;$D$83,28-$D$83+18,0)</f>
        <v>0</v>
      </c>
      <c r="BJ84" s="68">
        <f>IF(19&lt;$D$83,28-$D$83+19,0)</f>
        <v>0</v>
      </c>
      <c r="BK84" s="68">
        <f>IF(20&lt;$D$83,28-$D$83+20,0)</f>
        <v>0</v>
      </c>
      <c r="BL84" s="68">
        <f>IF(21&lt;$D$83,28-$D$83+21,0)</f>
        <v>0</v>
      </c>
      <c r="BM84" s="68">
        <f>IF(22&lt;$D$83,28-$D$83+22,0)</f>
        <v>0</v>
      </c>
      <c r="BN84" s="68">
        <f>IF(23&lt;$D$83,28-$D$83+23,0)</f>
        <v>0</v>
      </c>
      <c r="BO84" s="68">
        <f>IF(24&lt;$D$83,28-$D$83+24,0)</f>
        <v>0</v>
      </c>
      <c r="BP84" s="68">
        <f>IF(25&lt;$D$83,28-$D$83+25,0)</f>
        <v>0</v>
      </c>
    </row>
    <row r="85" spans="1:68">
      <c r="A85" s="11" t="s">
        <v>697</v>
      </c>
      <c r="B85" s="11" t="s">
        <v>698</v>
      </c>
      <c r="C85" s="67" t="s">
        <v>604</v>
      </c>
      <c r="AQ85" s="11">
        <f>IF(AQ$84=0,"",""&amp;_xlfn.ISOWEEKNUM(INDEX($D$4:$AD$4,AQ$84)))</f>
        <v>0</v>
      </c>
      <c r="AR85" s="11">
        <f>IF(AR$84=0,"",""&amp;_xlfn.ISOWEEKNUM(INDEX($D$4:$AD$4,AR$84)))</f>
        <v>0</v>
      </c>
      <c r="AS85" s="11">
        <f>IF(AS$84=0,"",""&amp;_xlfn.ISOWEEKNUM(INDEX($D$4:$AD$4,AS$84)))</f>
        <v>0</v>
      </c>
      <c r="AT85" s="11">
        <f>IF(AT$84=0,"",""&amp;_xlfn.ISOWEEKNUM(INDEX($D$4:$AD$4,AT$84)))</f>
        <v>0</v>
      </c>
      <c r="AU85" s="11">
        <f>IF(AU$84=0,"",""&amp;_xlfn.ISOWEEKNUM(INDEX($D$4:$AD$4,AU$84)))</f>
        <v>0</v>
      </c>
      <c r="AV85" s="11">
        <f>IF(AV$84=0,"",""&amp;_xlfn.ISOWEEKNUM(INDEX($D$4:$AD$4,AV$84)))</f>
        <v>0</v>
      </c>
      <c r="AW85" s="11">
        <f>IF(AW$84=0,"",""&amp;_xlfn.ISOWEEKNUM(INDEX($D$4:$AD$4,AW$84)))</f>
        <v>0</v>
      </c>
      <c r="AX85" s="11">
        <f>IF(AX$84=0,"",""&amp;_xlfn.ISOWEEKNUM(INDEX($D$4:$AD$4,AX$84)))</f>
        <v>0</v>
      </c>
      <c r="AY85" s="11">
        <f>IF(AY$84=0,"",""&amp;_xlfn.ISOWEEKNUM(INDEX($D$4:$AD$4,AY$84)))</f>
        <v>0</v>
      </c>
      <c r="AZ85" s="11">
        <f>IF(AZ$84=0,"",""&amp;_xlfn.ISOWEEKNUM(INDEX($D$4:$AD$4,AZ$84)))</f>
        <v>0</v>
      </c>
      <c r="BA85" s="11">
        <f>IF(BA$84=0,"",""&amp;_xlfn.ISOWEEKNUM(INDEX($D$4:$AD$4,BA$84)))</f>
        <v>0</v>
      </c>
      <c r="BB85" s="11">
        <f>IF(BB$84=0,"",""&amp;_xlfn.ISOWEEKNUM(INDEX($D$4:$AD$4,BB$84)))</f>
        <v>0</v>
      </c>
      <c r="BC85" s="11">
        <f>IF(BC$84=0,"",""&amp;_xlfn.ISOWEEKNUM(INDEX($D$4:$AD$4,BC$84)))</f>
        <v>0</v>
      </c>
      <c r="BD85" s="11">
        <f>IF(BD$84=0,"",""&amp;_xlfn.ISOWEEKNUM(INDEX($D$4:$AD$4,BD$84)))</f>
        <v>0</v>
      </c>
      <c r="BE85" s="11">
        <f>IF(BE$84=0,"",""&amp;_xlfn.ISOWEEKNUM(INDEX($D$4:$AD$4,BE$84)))</f>
        <v>0</v>
      </c>
      <c r="BF85" s="11">
        <f>IF(BF$84=0,"",""&amp;_xlfn.ISOWEEKNUM(INDEX($D$4:$AD$4,BF$84)))</f>
        <v>0</v>
      </c>
      <c r="BG85" s="11">
        <f>IF(BG$84=0,"",""&amp;_xlfn.ISOWEEKNUM(INDEX($D$4:$AD$4,BG$84)))</f>
        <v>0</v>
      </c>
      <c r="BH85" s="11">
        <f>IF(BH$84=0,"",""&amp;_xlfn.ISOWEEKNUM(INDEX($D$4:$AD$4,BH$84)))</f>
        <v>0</v>
      </c>
      <c r="BI85" s="11">
        <f>IF(BI$84=0,"",""&amp;_xlfn.ISOWEEKNUM(INDEX($D$4:$AD$4,BI$84)))</f>
        <v>0</v>
      </c>
      <c r="BJ85" s="11">
        <f>IF(BJ$84=0,"",""&amp;_xlfn.ISOWEEKNUM(INDEX($D$4:$AD$4,BJ$84)))</f>
        <v>0</v>
      </c>
      <c r="BK85" s="11">
        <f>IF(BK$84=0,"",""&amp;_xlfn.ISOWEEKNUM(INDEX($D$4:$AD$4,BK$84)))</f>
        <v>0</v>
      </c>
      <c r="BL85" s="11">
        <f>IF(BL$84=0,"",""&amp;_xlfn.ISOWEEKNUM(INDEX($D$4:$AD$4,BL$84)))</f>
        <v>0</v>
      </c>
      <c r="BM85" s="11">
        <f>IF(BM$84=0,"",""&amp;_xlfn.ISOWEEKNUM(INDEX($D$4:$AD$4,BM$84)))</f>
        <v>0</v>
      </c>
      <c r="BN85" s="11">
        <f>IF(BN$84=0,"",""&amp;_xlfn.ISOWEEKNUM(INDEX($D$4:$AD$4,BN$84)))</f>
        <v>0</v>
      </c>
      <c r="BO85" s="11">
        <f>IF(BO$84=0,"",""&amp;_xlfn.ISOWEEKNUM(INDEX($D$4:$AD$4,BO$84)))</f>
        <v>0</v>
      </c>
      <c r="BP85" s="11">
        <f>IF(BP$84=0,"",""&amp;_xlfn.ISOWEEKNUM(INDEX($D$4:$AD$4,BP$84)))</f>
        <v>0</v>
      </c>
    </row>
    <row r="86" spans="1:68">
      <c r="A86" s="11" t="s">
        <v>127</v>
      </c>
      <c r="B86" s="11" t="s">
        <v>699</v>
      </c>
      <c r="C86" s="67" t="s">
        <v>700</v>
      </c>
      <c r="D86" s="68">
        <f>IFERROR(IF(ISNUMBER(INDEX(Rohdaten!$A$79:$LJ$79,MATCH(D$4,RD_Kopf,0))),INDEX(Rohdaten!$A$79:$LJ$79,MATCH(D$4,RD_Kopf,0)),NA()),NA())</f>
        <v>0</v>
      </c>
      <c r="E86" s="68">
        <f>IFERROR(IF(ISNUMBER(INDEX(Rohdaten!$A$79:$LJ$79,MATCH(E$4,RD_Kopf,0))),INDEX(Rohdaten!$A$79:$LJ$79,MATCH(E$4,RD_Kopf,0)),NA()),NA())</f>
        <v>0</v>
      </c>
      <c r="F86" s="68">
        <f>IFERROR(IF(ISNUMBER(INDEX(Rohdaten!$A$79:$LJ$79,MATCH(F$4,RD_Kopf,0))),INDEX(Rohdaten!$A$79:$LJ$79,MATCH(F$4,RD_Kopf,0)),NA()),NA())</f>
        <v>0</v>
      </c>
      <c r="G86" s="68">
        <f>IFERROR(IF(ISNUMBER(INDEX(Rohdaten!$A$79:$LJ$79,MATCH(G$4,RD_Kopf,0))),INDEX(Rohdaten!$A$79:$LJ$79,MATCH(G$4,RD_Kopf,0)),NA()),NA())</f>
        <v>0</v>
      </c>
      <c r="H86" s="68">
        <f>IFERROR(IF(ISNUMBER(INDEX(Rohdaten!$A$79:$LJ$79,MATCH(H$4,RD_Kopf,0))),INDEX(Rohdaten!$A$79:$LJ$79,MATCH(H$4,RD_Kopf,0)),NA()),NA())</f>
        <v>0</v>
      </c>
      <c r="I86" s="68">
        <f>IFERROR(IF(ISNUMBER(INDEX(Rohdaten!$A$79:$LJ$79,MATCH(I$4,RD_Kopf,0))),INDEX(Rohdaten!$A$79:$LJ$79,MATCH(I$4,RD_Kopf,0)),NA()),NA())</f>
        <v>0</v>
      </c>
      <c r="J86" s="68">
        <f>IFERROR(IF(ISNUMBER(INDEX(Rohdaten!$A$79:$LJ$79,MATCH(J$4,RD_Kopf,0))),INDEX(Rohdaten!$A$79:$LJ$79,MATCH(J$4,RD_Kopf,0)),NA()),NA())</f>
        <v>0</v>
      </c>
      <c r="K86" s="68">
        <f>IFERROR(IF(ISNUMBER(INDEX(Rohdaten!$A$79:$LJ$79,MATCH(K$4,RD_Kopf,0))),INDEX(Rohdaten!$A$79:$LJ$79,MATCH(K$4,RD_Kopf,0)),NA()),NA())</f>
        <v>0</v>
      </c>
      <c r="L86" s="68">
        <f>IFERROR(IF(ISNUMBER(INDEX(Rohdaten!$A$79:$LJ$79,MATCH(L$4,RD_Kopf,0))),INDEX(Rohdaten!$A$79:$LJ$79,MATCH(L$4,RD_Kopf,0)),NA()),NA())</f>
        <v>0</v>
      </c>
      <c r="M86" s="68">
        <f>IFERROR(IF(ISNUMBER(INDEX(Rohdaten!$A$79:$LJ$79,MATCH(M$4,RD_Kopf,0))),INDEX(Rohdaten!$A$79:$LJ$79,MATCH(M$4,RD_Kopf,0)),NA()),NA())</f>
        <v>0</v>
      </c>
      <c r="N86" s="68">
        <f>IFERROR(IF(ISNUMBER(INDEX(Rohdaten!$A$79:$LJ$79,MATCH(N$4,RD_Kopf,0))),INDEX(Rohdaten!$A$79:$LJ$79,MATCH(N$4,RD_Kopf,0)),NA()),NA())</f>
        <v>0</v>
      </c>
      <c r="O86" s="68">
        <f>IFERROR(IF(ISNUMBER(INDEX(Rohdaten!$A$79:$LJ$79,MATCH(O$4,RD_Kopf,0))),INDEX(Rohdaten!$A$79:$LJ$79,MATCH(O$4,RD_Kopf,0)),NA()),NA())</f>
        <v>0</v>
      </c>
      <c r="P86" s="68">
        <f>IFERROR(IF(ISNUMBER(INDEX(Rohdaten!$A$79:$LJ$79,MATCH(P$4,RD_Kopf,0))),INDEX(Rohdaten!$A$79:$LJ$79,MATCH(P$4,RD_Kopf,0)),NA()),NA())</f>
        <v>0</v>
      </c>
      <c r="Q86" s="68">
        <f>IFERROR(IF(ISNUMBER(INDEX(Rohdaten!$A$79:$LJ$79,MATCH(Q$4,RD_Kopf,0))),INDEX(Rohdaten!$A$79:$LJ$79,MATCH(Q$4,RD_Kopf,0)),NA()),NA())</f>
        <v>0</v>
      </c>
      <c r="R86" s="68">
        <f>IFERROR(IF(ISNUMBER(INDEX(Rohdaten!$A$79:$LJ$79,MATCH(R$4,RD_Kopf,0))),INDEX(Rohdaten!$A$79:$LJ$79,MATCH(R$4,RD_Kopf,0)),NA()),NA())</f>
        <v>0</v>
      </c>
      <c r="S86" s="68">
        <f>IFERROR(IF(ISNUMBER(INDEX(Rohdaten!$A$79:$LJ$79,MATCH(S$4,RD_Kopf,0))),INDEX(Rohdaten!$A$79:$LJ$79,MATCH(S$4,RD_Kopf,0)),NA()),NA())</f>
        <v>0</v>
      </c>
      <c r="T86" s="68">
        <f>IFERROR(IF(ISNUMBER(INDEX(Rohdaten!$A$79:$LJ$79,MATCH(T$4,RD_Kopf,0))),INDEX(Rohdaten!$A$79:$LJ$79,MATCH(T$4,RD_Kopf,0)),NA()),NA())</f>
        <v>0</v>
      </c>
      <c r="U86" s="68">
        <f>IFERROR(IF(ISNUMBER(INDEX(Rohdaten!$A$79:$LJ$79,MATCH(U$4,RD_Kopf,0))),INDEX(Rohdaten!$A$79:$LJ$79,MATCH(U$4,RD_Kopf,0)),NA()),NA())</f>
        <v>0</v>
      </c>
      <c r="V86" s="68">
        <f>IFERROR(IF(ISNUMBER(INDEX(Rohdaten!$A$79:$LJ$79,MATCH(V$4,RD_Kopf,0))),INDEX(Rohdaten!$A$79:$LJ$79,MATCH(V$4,RD_Kopf,0)),NA()),NA())</f>
        <v>0</v>
      </c>
      <c r="W86" s="68">
        <f>IFERROR(IF(ISNUMBER(INDEX(Rohdaten!$A$79:$LJ$79,MATCH(W$4,RD_Kopf,0))),INDEX(Rohdaten!$A$79:$LJ$79,MATCH(W$4,RD_Kopf,0)),NA()),NA())</f>
        <v>0</v>
      </c>
      <c r="X86" s="68">
        <f>IFERROR(IF(ISNUMBER(INDEX(Rohdaten!$A$79:$LJ$79,MATCH(X$4,RD_Kopf,0))),INDEX(Rohdaten!$A$79:$LJ$79,MATCH(X$4,RD_Kopf,0)),NA()),NA())</f>
        <v>0</v>
      </c>
      <c r="Y86" s="68">
        <f>IFERROR(IF(ISNUMBER(INDEX(Rohdaten!$A$79:$LJ$79,MATCH(Y$4,RD_Kopf,0))),INDEX(Rohdaten!$A$79:$LJ$79,MATCH(Y$4,RD_Kopf,0)),NA()),NA())</f>
        <v>0</v>
      </c>
      <c r="Z86" s="68">
        <f>IFERROR(IF(ISNUMBER(INDEX(Rohdaten!$A$79:$LJ$79,MATCH(Z$4,RD_Kopf,0))),INDEX(Rohdaten!$A$79:$LJ$79,MATCH(Z$4,RD_Kopf,0)),NA()),NA())</f>
        <v>0</v>
      </c>
      <c r="AA86" s="68">
        <f>IFERROR(IF(ISNUMBER(INDEX(Rohdaten!$A$79:$LJ$79,MATCH(AA$4,RD_Kopf,0))),INDEX(Rohdaten!$A$79:$LJ$79,MATCH(AA$4,RD_Kopf,0)),NA()),NA())</f>
        <v>0</v>
      </c>
      <c r="AB86" s="68">
        <f>IFERROR(IF(ISNUMBER(INDEX(Rohdaten!$A$79:$LJ$79,MATCH(AB$4,RD_Kopf,0))),INDEX(Rohdaten!$A$79:$LJ$79,MATCH(AB$4,RD_Kopf,0)),NA()),NA())</f>
        <v>0</v>
      </c>
      <c r="AC86" s="68">
        <f>IFERROR(IF(ISNUMBER(INDEX(Rohdaten!$A$79:$LJ$79,MATCH(AC$4,RD_Kopf,0))),INDEX(Rohdaten!$A$79:$LJ$79,MATCH(AC$4,RD_Kopf,0)),NA()),NA())</f>
        <v>0</v>
      </c>
      <c r="AD86" s="68">
        <f>IFERROR(IF(ISNUMBER(INDEX(Rohdaten!$A$79:$LJ$79,MATCH(AD$4,RD_Kopf,0))),INDEX(Rohdaten!$A$79:$LJ$79,MATCH(AD$4,RD_Kopf,0)),NA()),NA())</f>
        <v>0</v>
      </c>
    </row>
    <row r="87" spans="1:68">
      <c r="A87" s="11" t="s">
        <v>131</v>
      </c>
      <c r="B87" s="11" t="s">
        <v>701</v>
      </c>
      <c r="C87" s="67" t="s">
        <v>702</v>
      </c>
      <c r="D87" s="68">
        <f>IFERROR(IF(ISNUMBER(INDEX(Rohdaten!$A$80:$LJ$80,MATCH(D$4,RD_Kopf,0))),INDEX(Rohdaten!$A$80:$LJ$80,MATCH(D$4,RD_Kopf,0)),NA()),NA())</f>
        <v>0</v>
      </c>
      <c r="E87" s="68">
        <f>IFERROR(IF(ISNUMBER(INDEX(Rohdaten!$A$80:$LJ$80,MATCH(E$4,RD_Kopf,0))),INDEX(Rohdaten!$A$80:$LJ$80,MATCH(E$4,RD_Kopf,0)),NA()),NA())</f>
        <v>0</v>
      </c>
      <c r="F87" s="68">
        <f>IFERROR(IF(ISNUMBER(INDEX(Rohdaten!$A$80:$LJ$80,MATCH(F$4,RD_Kopf,0))),INDEX(Rohdaten!$A$80:$LJ$80,MATCH(F$4,RD_Kopf,0)),NA()),NA())</f>
        <v>0</v>
      </c>
      <c r="G87" s="68">
        <f>IFERROR(IF(ISNUMBER(INDEX(Rohdaten!$A$80:$LJ$80,MATCH(G$4,RD_Kopf,0))),INDEX(Rohdaten!$A$80:$LJ$80,MATCH(G$4,RD_Kopf,0)),NA()),NA())</f>
        <v>0</v>
      </c>
      <c r="H87" s="68">
        <f>IFERROR(IF(ISNUMBER(INDEX(Rohdaten!$A$80:$LJ$80,MATCH(H$4,RD_Kopf,0))),INDEX(Rohdaten!$A$80:$LJ$80,MATCH(H$4,RD_Kopf,0)),NA()),NA())</f>
        <v>0</v>
      </c>
      <c r="I87" s="68">
        <f>IFERROR(IF(ISNUMBER(INDEX(Rohdaten!$A$80:$LJ$80,MATCH(I$4,RD_Kopf,0))),INDEX(Rohdaten!$A$80:$LJ$80,MATCH(I$4,RD_Kopf,0)),NA()),NA())</f>
        <v>0</v>
      </c>
      <c r="J87" s="68">
        <f>IFERROR(IF(ISNUMBER(INDEX(Rohdaten!$A$80:$LJ$80,MATCH(J$4,RD_Kopf,0))),INDEX(Rohdaten!$A$80:$LJ$80,MATCH(J$4,RD_Kopf,0)),NA()),NA())</f>
        <v>0</v>
      </c>
      <c r="K87" s="68">
        <f>IFERROR(IF(ISNUMBER(INDEX(Rohdaten!$A$80:$LJ$80,MATCH(K$4,RD_Kopf,0))),INDEX(Rohdaten!$A$80:$LJ$80,MATCH(K$4,RD_Kopf,0)),NA()),NA())</f>
        <v>0</v>
      </c>
      <c r="L87" s="68">
        <f>IFERROR(IF(ISNUMBER(INDEX(Rohdaten!$A$80:$LJ$80,MATCH(L$4,RD_Kopf,0))),INDEX(Rohdaten!$A$80:$LJ$80,MATCH(L$4,RD_Kopf,0)),NA()),NA())</f>
        <v>0</v>
      </c>
      <c r="M87" s="68">
        <f>IFERROR(IF(ISNUMBER(INDEX(Rohdaten!$A$80:$LJ$80,MATCH(M$4,RD_Kopf,0))),INDEX(Rohdaten!$A$80:$LJ$80,MATCH(M$4,RD_Kopf,0)),NA()),NA())</f>
        <v>0</v>
      </c>
      <c r="N87" s="68">
        <f>IFERROR(IF(ISNUMBER(INDEX(Rohdaten!$A$80:$LJ$80,MATCH(N$4,RD_Kopf,0))),INDEX(Rohdaten!$A$80:$LJ$80,MATCH(N$4,RD_Kopf,0)),NA()),NA())</f>
        <v>0</v>
      </c>
      <c r="O87" s="68">
        <f>IFERROR(IF(ISNUMBER(INDEX(Rohdaten!$A$80:$LJ$80,MATCH(O$4,RD_Kopf,0))),INDEX(Rohdaten!$A$80:$LJ$80,MATCH(O$4,RD_Kopf,0)),NA()),NA())</f>
        <v>0</v>
      </c>
      <c r="P87" s="68">
        <f>IFERROR(IF(ISNUMBER(INDEX(Rohdaten!$A$80:$LJ$80,MATCH(P$4,RD_Kopf,0))),INDEX(Rohdaten!$A$80:$LJ$80,MATCH(P$4,RD_Kopf,0)),NA()),NA())</f>
        <v>0</v>
      </c>
      <c r="Q87" s="68">
        <f>IFERROR(IF(ISNUMBER(INDEX(Rohdaten!$A$80:$LJ$80,MATCH(Q$4,RD_Kopf,0))),INDEX(Rohdaten!$A$80:$LJ$80,MATCH(Q$4,RD_Kopf,0)),NA()),NA())</f>
        <v>0</v>
      </c>
      <c r="R87" s="68">
        <f>IFERROR(IF(ISNUMBER(INDEX(Rohdaten!$A$80:$LJ$80,MATCH(R$4,RD_Kopf,0))),INDEX(Rohdaten!$A$80:$LJ$80,MATCH(R$4,RD_Kopf,0)),NA()),NA())</f>
        <v>0</v>
      </c>
      <c r="S87" s="68">
        <f>IFERROR(IF(ISNUMBER(INDEX(Rohdaten!$A$80:$LJ$80,MATCH(S$4,RD_Kopf,0))),INDEX(Rohdaten!$A$80:$LJ$80,MATCH(S$4,RD_Kopf,0)),NA()),NA())</f>
        <v>0</v>
      </c>
      <c r="T87" s="68">
        <f>IFERROR(IF(ISNUMBER(INDEX(Rohdaten!$A$80:$LJ$80,MATCH(T$4,RD_Kopf,0))),INDEX(Rohdaten!$A$80:$LJ$80,MATCH(T$4,RD_Kopf,0)),NA()),NA())</f>
        <v>0</v>
      </c>
      <c r="U87" s="68">
        <f>IFERROR(IF(ISNUMBER(INDEX(Rohdaten!$A$80:$LJ$80,MATCH(U$4,RD_Kopf,0))),INDEX(Rohdaten!$A$80:$LJ$80,MATCH(U$4,RD_Kopf,0)),NA()),NA())</f>
        <v>0</v>
      </c>
      <c r="V87" s="68">
        <f>IFERROR(IF(ISNUMBER(INDEX(Rohdaten!$A$80:$LJ$80,MATCH(V$4,RD_Kopf,0))),INDEX(Rohdaten!$A$80:$LJ$80,MATCH(V$4,RD_Kopf,0)),NA()),NA())</f>
        <v>0</v>
      </c>
      <c r="W87" s="68">
        <f>IFERROR(IF(ISNUMBER(INDEX(Rohdaten!$A$80:$LJ$80,MATCH(W$4,RD_Kopf,0))),INDEX(Rohdaten!$A$80:$LJ$80,MATCH(W$4,RD_Kopf,0)),NA()),NA())</f>
        <v>0</v>
      </c>
      <c r="X87" s="68">
        <f>IFERROR(IF(ISNUMBER(INDEX(Rohdaten!$A$80:$LJ$80,MATCH(X$4,RD_Kopf,0))),INDEX(Rohdaten!$A$80:$LJ$80,MATCH(X$4,RD_Kopf,0)),NA()),NA())</f>
        <v>0</v>
      </c>
      <c r="Y87" s="68">
        <f>IFERROR(IF(ISNUMBER(INDEX(Rohdaten!$A$80:$LJ$80,MATCH(Y$4,RD_Kopf,0))),INDEX(Rohdaten!$A$80:$LJ$80,MATCH(Y$4,RD_Kopf,0)),NA()),NA())</f>
        <v>0</v>
      </c>
      <c r="Z87" s="68">
        <f>IFERROR(IF(ISNUMBER(INDEX(Rohdaten!$A$80:$LJ$80,MATCH(Z$4,RD_Kopf,0))),INDEX(Rohdaten!$A$80:$LJ$80,MATCH(Z$4,RD_Kopf,0)),NA()),NA())</f>
        <v>0</v>
      </c>
      <c r="AA87" s="68">
        <f>IFERROR(IF(ISNUMBER(INDEX(Rohdaten!$A$80:$LJ$80,MATCH(AA$4,RD_Kopf,0))),INDEX(Rohdaten!$A$80:$LJ$80,MATCH(AA$4,RD_Kopf,0)),NA()),NA())</f>
        <v>0</v>
      </c>
      <c r="AB87" s="68">
        <f>IFERROR(IF(ISNUMBER(INDEX(Rohdaten!$A$80:$LJ$80,MATCH(AB$4,RD_Kopf,0))),INDEX(Rohdaten!$A$80:$LJ$80,MATCH(AB$4,RD_Kopf,0)),NA()),NA())</f>
        <v>0</v>
      </c>
      <c r="AC87" s="68">
        <f>IFERROR(IF(ISNUMBER(INDEX(Rohdaten!$A$80:$LJ$80,MATCH(AC$4,RD_Kopf,0))),INDEX(Rohdaten!$A$80:$LJ$80,MATCH(AC$4,RD_Kopf,0)),NA()),NA())</f>
        <v>0</v>
      </c>
      <c r="AD87" s="68">
        <f>IFERROR(IF(ISNUMBER(INDEX(Rohdaten!$A$80:$LJ$80,MATCH(AD$4,RD_Kopf,0))),INDEX(Rohdaten!$A$80:$LJ$80,MATCH(AD$4,RD_Kopf,0)),NA()),NA())</f>
        <v>0</v>
      </c>
    </row>
    <row r="88" spans="1:68">
      <c r="A88" s="11" t="s">
        <v>134</v>
      </c>
      <c r="B88" s="11" t="s">
        <v>703</v>
      </c>
      <c r="C88" s="67" t="s">
        <v>704</v>
      </c>
      <c r="D88" s="68">
        <f>IFERROR(IF(ISNUMBER(INDEX(Rohdaten!$A$81:$LJ$81,MATCH(D$4,RD_Kopf,0))),INDEX(Rohdaten!$A$81:$LJ$81,MATCH(D$4,RD_Kopf,0)),NA()),NA())</f>
        <v>0</v>
      </c>
      <c r="E88" s="68">
        <f>IFERROR(IF(ISNUMBER(INDEX(Rohdaten!$A$81:$LJ$81,MATCH(E$4,RD_Kopf,0))),INDEX(Rohdaten!$A$81:$LJ$81,MATCH(E$4,RD_Kopf,0)),NA()),NA())</f>
        <v>0</v>
      </c>
      <c r="F88" s="68">
        <f>IFERROR(IF(ISNUMBER(INDEX(Rohdaten!$A$81:$LJ$81,MATCH(F$4,RD_Kopf,0))),INDEX(Rohdaten!$A$81:$LJ$81,MATCH(F$4,RD_Kopf,0)),NA()),NA())</f>
        <v>0</v>
      </c>
      <c r="G88" s="68">
        <f>IFERROR(IF(ISNUMBER(INDEX(Rohdaten!$A$81:$LJ$81,MATCH(G$4,RD_Kopf,0))),INDEX(Rohdaten!$A$81:$LJ$81,MATCH(G$4,RD_Kopf,0)),NA()),NA())</f>
        <v>0</v>
      </c>
      <c r="H88" s="68">
        <f>IFERROR(IF(ISNUMBER(INDEX(Rohdaten!$A$81:$LJ$81,MATCH(H$4,RD_Kopf,0))),INDEX(Rohdaten!$A$81:$LJ$81,MATCH(H$4,RD_Kopf,0)),NA()),NA())</f>
        <v>0</v>
      </c>
      <c r="I88" s="68">
        <f>IFERROR(IF(ISNUMBER(INDEX(Rohdaten!$A$81:$LJ$81,MATCH(I$4,RD_Kopf,0))),INDEX(Rohdaten!$A$81:$LJ$81,MATCH(I$4,RD_Kopf,0)),NA()),NA())</f>
        <v>0</v>
      </c>
      <c r="J88" s="68">
        <f>IFERROR(IF(ISNUMBER(INDEX(Rohdaten!$A$81:$LJ$81,MATCH(J$4,RD_Kopf,0))),INDEX(Rohdaten!$A$81:$LJ$81,MATCH(J$4,RD_Kopf,0)),NA()),NA())</f>
        <v>0</v>
      </c>
      <c r="K88" s="68">
        <f>IFERROR(IF(ISNUMBER(INDEX(Rohdaten!$A$81:$LJ$81,MATCH(K$4,RD_Kopf,0))),INDEX(Rohdaten!$A$81:$LJ$81,MATCH(K$4,RD_Kopf,0)),NA()),NA())</f>
        <v>0</v>
      </c>
      <c r="L88" s="68">
        <f>IFERROR(IF(ISNUMBER(INDEX(Rohdaten!$A$81:$LJ$81,MATCH(L$4,RD_Kopf,0))),INDEX(Rohdaten!$A$81:$LJ$81,MATCH(L$4,RD_Kopf,0)),NA()),NA())</f>
        <v>0</v>
      </c>
      <c r="M88" s="68">
        <f>IFERROR(IF(ISNUMBER(INDEX(Rohdaten!$A$81:$LJ$81,MATCH(M$4,RD_Kopf,0))),INDEX(Rohdaten!$A$81:$LJ$81,MATCH(M$4,RD_Kopf,0)),NA()),NA())</f>
        <v>0</v>
      </c>
      <c r="N88" s="68">
        <f>IFERROR(IF(ISNUMBER(INDEX(Rohdaten!$A$81:$LJ$81,MATCH(N$4,RD_Kopf,0))),INDEX(Rohdaten!$A$81:$LJ$81,MATCH(N$4,RD_Kopf,0)),NA()),NA())</f>
        <v>0</v>
      </c>
      <c r="O88" s="68">
        <f>IFERROR(IF(ISNUMBER(INDEX(Rohdaten!$A$81:$LJ$81,MATCH(O$4,RD_Kopf,0))),INDEX(Rohdaten!$A$81:$LJ$81,MATCH(O$4,RD_Kopf,0)),NA()),NA())</f>
        <v>0</v>
      </c>
      <c r="P88" s="68">
        <f>IFERROR(IF(ISNUMBER(INDEX(Rohdaten!$A$81:$LJ$81,MATCH(P$4,RD_Kopf,0))),INDEX(Rohdaten!$A$81:$LJ$81,MATCH(P$4,RD_Kopf,0)),NA()),NA())</f>
        <v>0</v>
      </c>
      <c r="Q88" s="68">
        <f>IFERROR(IF(ISNUMBER(INDEX(Rohdaten!$A$81:$LJ$81,MATCH(Q$4,RD_Kopf,0))),INDEX(Rohdaten!$A$81:$LJ$81,MATCH(Q$4,RD_Kopf,0)),NA()),NA())</f>
        <v>0</v>
      </c>
      <c r="R88" s="68">
        <f>IFERROR(IF(ISNUMBER(INDEX(Rohdaten!$A$81:$LJ$81,MATCH(R$4,RD_Kopf,0))),INDEX(Rohdaten!$A$81:$LJ$81,MATCH(R$4,RD_Kopf,0)),NA()),NA())</f>
        <v>0</v>
      </c>
      <c r="S88" s="68">
        <f>IFERROR(IF(ISNUMBER(INDEX(Rohdaten!$A$81:$LJ$81,MATCH(S$4,RD_Kopf,0))),INDEX(Rohdaten!$A$81:$LJ$81,MATCH(S$4,RD_Kopf,0)),NA()),NA())</f>
        <v>0</v>
      </c>
      <c r="T88" s="68">
        <f>IFERROR(IF(ISNUMBER(INDEX(Rohdaten!$A$81:$LJ$81,MATCH(T$4,RD_Kopf,0))),INDEX(Rohdaten!$A$81:$LJ$81,MATCH(T$4,RD_Kopf,0)),NA()),NA())</f>
        <v>0</v>
      </c>
      <c r="U88" s="68">
        <f>IFERROR(IF(ISNUMBER(INDEX(Rohdaten!$A$81:$LJ$81,MATCH(U$4,RD_Kopf,0))),INDEX(Rohdaten!$A$81:$LJ$81,MATCH(U$4,RD_Kopf,0)),NA()),NA())</f>
        <v>0</v>
      </c>
      <c r="V88" s="68">
        <f>IFERROR(IF(ISNUMBER(INDEX(Rohdaten!$A$81:$LJ$81,MATCH(V$4,RD_Kopf,0))),INDEX(Rohdaten!$A$81:$LJ$81,MATCH(V$4,RD_Kopf,0)),NA()),NA())</f>
        <v>0</v>
      </c>
      <c r="W88" s="68">
        <f>IFERROR(IF(ISNUMBER(INDEX(Rohdaten!$A$81:$LJ$81,MATCH(W$4,RD_Kopf,0))),INDEX(Rohdaten!$A$81:$LJ$81,MATCH(W$4,RD_Kopf,0)),NA()),NA())</f>
        <v>0</v>
      </c>
      <c r="X88" s="68">
        <f>IFERROR(IF(ISNUMBER(INDEX(Rohdaten!$A$81:$LJ$81,MATCH(X$4,RD_Kopf,0))),INDEX(Rohdaten!$A$81:$LJ$81,MATCH(X$4,RD_Kopf,0)),NA()),NA())</f>
        <v>0</v>
      </c>
      <c r="Y88" s="68">
        <f>IFERROR(IF(ISNUMBER(INDEX(Rohdaten!$A$81:$LJ$81,MATCH(Y$4,RD_Kopf,0))),INDEX(Rohdaten!$A$81:$LJ$81,MATCH(Y$4,RD_Kopf,0)),NA()),NA())</f>
        <v>0</v>
      </c>
      <c r="Z88" s="68">
        <f>IFERROR(IF(ISNUMBER(INDEX(Rohdaten!$A$81:$LJ$81,MATCH(Z$4,RD_Kopf,0))),INDEX(Rohdaten!$A$81:$LJ$81,MATCH(Z$4,RD_Kopf,0)),NA()),NA())</f>
        <v>0</v>
      </c>
      <c r="AA88" s="68">
        <f>IFERROR(IF(ISNUMBER(INDEX(Rohdaten!$A$81:$LJ$81,MATCH(AA$4,RD_Kopf,0))),INDEX(Rohdaten!$A$81:$LJ$81,MATCH(AA$4,RD_Kopf,0)),NA()),NA())</f>
        <v>0</v>
      </c>
      <c r="AB88" s="68">
        <f>IFERROR(IF(ISNUMBER(INDEX(Rohdaten!$A$81:$LJ$81,MATCH(AB$4,RD_Kopf,0))),INDEX(Rohdaten!$A$81:$LJ$81,MATCH(AB$4,RD_Kopf,0)),NA()),NA())</f>
        <v>0</v>
      </c>
      <c r="AC88" s="68">
        <f>IFERROR(IF(ISNUMBER(INDEX(Rohdaten!$A$81:$LJ$81,MATCH(AC$4,RD_Kopf,0))),INDEX(Rohdaten!$A$81:$LJ$81,MATCH(AC$4,RD_Kopf,0)),NA()),NA())</f>
        <v>0</v>
      </c>
      <c r="AD88" s="68">
        <f>IFERROR(IF(ISNUMBER(INDEX(Rohdaten!$A$81:$LJ$81,MATCH(AD$4,RD_Kopf,0))),INDEX(Rohdaten!$A$81:$LJ$81,MATCH(AD$4,RD_Kopf,0)),NA()),NA())</f>
        <v>0</v>
      </c>
    </row>
    <row r="89" spans="1:68">
      <c r="A89" s="11" t="s">
        <v>137</v>
      </c>
      <c r="B89" s="11" t="s">
        <v>705</v>
      </c>
      <c r="C89" s="67" t="s">
        <v>706</v>
      </c>
      <c r="D89" s="68">
        <f>IFERROR(IF(ISNUMBER(INDEX(Rohdaten!$A$82:$LJ$82,MATCH(D$4,RD_Kopf,0))),INDEX(Rohdaten!$A$82:$LJ$82,MATCH(D$4,RD_Kopf,0)),NA()),NA())</f>
        <v>0</v>
      </c>
      <c r="E89" s="68">
        <f>IFERROR(IF(ISNUMBER(INDEX(Rohdaten!$A$82:$LJ$82,MATCH(E$4,RD_Kopf,0))),INDEX(Rohdaten!$A$82:$LJ$82,MATCH(E$4,RD_Kopf,0)),NA()),NA())</f>
        <v>0</v>
      </c>
      <c r="F89" s="68">
        <f>IFERROR(IF(ISNUMBER(INDEX(Rohdaten!$A$82:$LJ$82,MATCH(F$4,RD_Kopf,0))),INDEX(Rohdaten!$A$82:$LJ$82,MATCH(F$4,RD_Kopf,0)),NA()),NA())</f>
        <v>0</v>
      </c>
      <c r="G89" s="68">
        <f>IFERROR(IF(ISNUMBER(INDEX(Rohdaten!$A$82:$LJ$82,MATCH(G$4,RD_Kopf,0))),INDEX(Rohdaten!$A$82:$LJ$82,MATCH(G$4,RD_Kopf,0)),NA()),NA())</f>
        <v>0</v>
      </c>
      <c r="H89" s="68">
        <f>IFERROR(IF(ISNUMBER(INDEX(Rohdaten!$A$82:$LJ$82,MATCH(H$4,RD_Kopf,0))),INDEX(Rohdaten!$A$82:$LJ$82,MATCH(H$4,RD_Kopf,0)),NA()),NA())</f>
        <v>0</v>
      </c>
      <c r="I89" s="68">
        <f>IFERROR(IF(ISNUMBER(INDEX(Rohdaten!$A$82:$LJ$82,MATCH(I$4,RD_Kopf,0))),INDEX(Rohdaten!$A$82:$LJ$82,MATCH(I$4,RD_Kopf,0)),NA()),NA())</f>
        <v>0</v>
      </c>
      <c r="J89" s="68">
        <f>IFERROR(IF(ISNUMBER(INDEX(Rohdaten!$A$82:$LJ$82,MATCH(J$4,RD_Kopf,0))),INDEX(Rohdaten!$A$82:$LJ$82,MATCH(J$4,RD_Kopf,0)),NA()),NA())</f>
        <v>0</v>
      </c>
      <c r="K89" s="68">
        <f>IFERROR(IF(ISNUMBER(INDEX(Rohdaten!$A$82:$LJ$82,MATCH(K$4,RD_Kopf,0))),INDEX(Rohdaten!$A$82:$LJ$82,MATCH(K$4,RD_Kopf,0)),NA()),NA())</f>
        <v>0</v>
      </c>
      <c r="L89" s="68">
        <f>IFERROR(IF(ISNUMBER(INDEX(Rohdaten!$A$82:$LJ$82,MATCH(L$4,RD_Kopf,0))),INDEX(Rohdaten!$A$82:$LJ$82,MATCH(L$4,RD_Kopf,0)),NA()),NA())</f>
        <v>0</v>
      </c>
      <c r="M89" s="68">
        <f>IFERROR(IF(ISNUMBER(INDEX(Rohdaten!$A$82:$LJ$82,MATCH(M$4,RD_Kopf,0))),INDEX(Rohdaten!$A$82:$LJ$82,MATCH(M$4,RD_Kopf,0)),NA()),NA())</f>
        <v>0</v>
      </c>
      <c r="N89" s="68">
        <f>IFERROR(IF(ISNUMBER(INDEX(Rohdaten!$A$82:$LJ$82,MATCH(N$4,RD_Kopf,0))),INDEX(Rohdaten!$A$82:$LJ$82,MATCH(N$4,RD_Kopf,0)),NA()),NA())</f>
        <v>0</v>
      </c>
      <c r="O89" s="68">
        <f>IFERROR(IF(ISNUMBER(INDEX(Rohdaten!$A$82:$LJ$82,MATCH(O$4,RD_Kopf,0))),INDEX(Rohdaten!$A$82:$LJ$82,MATCH(O$4,RD_Kopf,0)),NA()),NA())</f>
        <v>0</v>
      </c>
      <c r="P89" s="68">
        <f>IFERROR(IF(ISNUMBER(INDEX(Rohdaten!$A$82:$LJ$82,MATCH(P$4,RD_Kopf,0))),INDEX(Rohdaten!$A$82:$LJ$82,MATCH(P$4,RD_Kopf,0)),NA()),NA())</f>
        <v>0</v>
      </c>
      <c r="Q89" s="68">
        <f>IFERROR(IF(ISNUMBER(INDEX(Rohdaten!$A$82:$LJ$82,MATCH(Q$4,RD_Kopf,0))),INDEX(Rohdaten!$A$82:$LJ$82,MATCH(Q$4,RD_Kopf,0)),NA()),NA())</f>
        <v>0</v>
      </c>
      <c r="R89" s="68">
        <f>IFERROR(IF(ISNUMBER(INDEX(Rohdaten!$A$82:$LJ$82,MATCH(R$4,RD_Kopf,0))),INDEX(Rohdaten!$A$82:$LJ$82,MATCH(R$4,RD_Kopf,0)),NA()),NA())</f>
        <v>0</v>
      </c>
      <c r="S89" s="68">
        <f>IFERROR(IF(ISNUMBER(INDEX(Rohdaten!$A$82:$LJ$82,MATCH(S$4,RD_Kopf,0))),INDEX(Rohdaten!$A$82:$LJ$82,MATCH(S$4,RD_Kopf,0)),NA()),NA())</f>
        <v>0</v>
      </c>
      <c r="T89" s="68">
        <f>IFERROR(IF(ISNUMBER(INDEX(Rohdaten!$A$82:$LJ$82,MATCH(T$4,RD_Kopf,0))),INDEX(Rohdaten!$A$82:$LJ$82,MATCH(T$4,RD_Kopf,0)),NA()),NA())</f>
        <v>0</v>
      </c>
      <c r="U89" s="68">
        <f>IFERROR(IF(ISNUMBER(INDEX(Rohdaten!$A$82:$LJ$82,MATCH(U$4,RD_Kopf,0))),INDEX(Rohdaten!$A$82:$LJ$82,MATCH(U$4,RD_Kopf,0)),NA()),NA())</f>
        <v>0</v>
      </c>
      <c r="V89" s="68">
        <f>IFERROR(IF(ISNUMBER(INDEX(Rohdaten!$A$82:$LJ$82,MATCH(V$4,RD_Kopf,0))),INDEX(Rohdaten!$A$82:$LJ$82,MATCH(V$4,RD_Kopf,0)),NA()),NA())</f>
        <v>0</v>
      </c>
      <c r="W89" s="68">
        <f>IFERROR(IF(ISNUMBER(INDEX(Rohdaten!$A$82:$LJ$82,MATCH(W$4,RD_Kopf,0))),INDEX(Rohdaten!$A$82:$LJ$82,MATCH(W$4,RD_Kopf,0)),NA()),NA())</f>
        <v>0</v>
      </c>
      <c r="X89" s="68">
        <f>IFERROR(IF(ISNUMBER(INDEX(Rohdaten!$A$82:$LJ$82,MATCH(X$4,RD_Kopf,0))),INDEX(Rohdaten!$A$82:$LJ$82,MATCH(X$4,RD_Kopf,0)),NA()),NA())</f>
        <v>0</v>
      </c>
      <c r="Y89" s="68">
        <f>IFERROR(IF(ISNUMBER(INDEX(Rohdaten!$A$82:$LJ$82,MATCH(Y$4,RD_Kopf,0))),INDEX(Rohdaten!$A$82:$LJ$82,MATCH(Y$4,RD_Kopf,0)),NA()),NA())</f>
        <v>0</v>
      </c>
      <c r="Z89" s="68">
        <f>IFERROR(IF(ISNUMBER(INDEX(Rohdaten!$A$82:$LJ$82,MATCH(Z$4,RD_Kopf,0))),INDEX(Rohdaten!$A$82:$LJ$82,MATCH(Z$4,RD_Kopf,0)),NA()),NA())</f>
        <v>0</v>
      </c>
      <c r="AA89" s="68">
        <f>IFERROR(IF(ISNUMBER(INDEX(Rohdaten!$A$82:$LJ$82,MATCH(AA$4,RD_Kopf,0))),INDEX(Rohdaten!$A$82:$LJ$82,MATCH(AA$4,RD_Kopf,0)),NA()),NA())</f>
        <v>0</v>
      </c>
      <c r="AB89" s="68">
        <f>IFERROR(IF(ISNUMBER(INDEX(Rohdaten!$A$82:$LJ$82,MATCH(AB$4,RD_Kopf,0))),INDEX(Rohdaten!$A$82:$LJ$82,MATCH(AB$4,RD_Kopf,0)),NA()),NA())</f>
        <v>0</v>
      </c>
      <c r="AC89" s="68">
        <f>IFERROR(IF(ISNUMBER(INDEX(Rohdaten!$A$82:$LJ$82,MATCH(AC$4,RD_Kopf,0))),INDEX(Rohdaten!$A$82:$LJ$82,MATCH(AC$4,RD_Kopf,0)),NA()),NA())</f>
        <v>0</v>
      </c>
      <c r="AD89" s="68">
        <f>IFERROR(IF(ISNUMBER(INDEX(Rohdaten!$A$82:$LJ$82,MATCH(AD$4,RD_Kopf,0))),INDEX(Rohdaten!$A$82:$LJ$82,MATCH(AD$4,RD_Kopf,0)),NA()),NA())</f>
        <v>0</v>
      </c>
    </row>
    <row r="90" spans="1:68">
      <c r="A90" s="11" t="s">
        <v>142</v>
      </c>
      <c r="B90" s="11" t="s">
        <v>707</v>
      </c>
      <c r="C90" s="67" t="s">
        <v>708</v>
      </c>
      <c r="D90" s="68">
        <f>IFERROR(IF(ISNUMBER(INDEX(Rohdaten!$A$84:$LJ$84,MATCH(D$4,RD_Kopf,0))),INDEX(Rohdaten!$A$84:$LJ$84,MATCH(D$4,RD_Kopf,0)),NA()),NA())</f>
        <v>0</v>
      </c>
      <c r="E90" s="68">
        <f>IFERROR(IF(ISNUMBER(INDEX(Rohdaten!$A$84:$LJ$84,MATCH(E$4,RD_Kopf,0))),INDEX(Rohdaten!$A$84:$LJ$84,MATCH(E$4,RD_Kopf,0)),NA()),NA())</f>
        <v>0</v>
      </c>
      <c r="F90" s="68">
        <f>IFERROR(IF(ISNUMBER(INDEX(Rohdaten!$A$84:$LJ$84,MATCH(F$4,RD_Kopf,0))),INDEX(Rohdaten!$A$84:$LJ$84,MATCH(F$4,RD_Kopf,0)),NA()),NA())</f>
        <v>0</v>
      </c>
      <c r="G90" s="68">
        <f>IFERROR(IF(ISNUMBER(INDEX(Rohdaten!$A$84:$LJ$84,MATCH(G$4,RD_Kopf,0))),INDEX(Rohdaten!$A$84:$LJ$84,MATCH(G$4,RD_Kopf,0)),NA()),NA())</f>
        <v>0</v>
      </c>
      <c r="H90" s="68">
        <f>IFERROR(IF(ISNUMBER(INDEX(Rohdaten!$A$84:$LJ$84,MATCH(H$4,RD_Kopf,0))),INDEX(Rohdaten!$A$84:$LJ$84,MATCH(H$4,RD_Kopf,0)),NA()),NA())</f>
        <v>0</v>
      </c>
      <c r="I90" s="68">
        <f>IFERROR(IF(ISNUMBER(INDEX(Rohdaten!$A$84:$LJ$84,MATCH(I$4,RD_Kopf,0))),INDEX(Rohdaten!$A$84:$LJ$84,MATCH(I$4,RD_Kopf,0)),NA()),NA())</f>
        <v>0</v>
      </c>
      <c r="J90" s="68">
        <f>IFERROR(IF(ISNUMBER(INDEX(Rohdaten!$A$84:$LJ$84,MATCH(J$4,RD_Kopf,0))),INDEX(Rohdaten!$A$84:$LJ$84,MATCH(J$4,RD_Kopf,0)),NA()),NA())</f>
        <v>0</v>
      </c>
      <c r="K90" s="68">
        <f>IFERROR(IF(ISNUMBER(INDEX(Rohdaten!$A$84:$LJ$84,MATCH(K$4,RD_Kopf,0))),INDEX(Rohdaten!$A$84:$LJ$84,MATCH(K$4,RD_Kopf,0)),NA()),NA())</f>
        <v>0</v>
      </c>
      <c r="L90" s="68">
        <f>IFERROR(IF(ISNUMBER(INDEX(Rohdaten!$A$84:$LJ$84,MATCH(L$4,RD_Kopf,0))),INDEX(Rohdaten!$A$84:$LJ$84,MATCH(L$4,RD_Kopf,0)),NA()),NA())</f>
        <v>0</v>
      </c>
      <c r="M90" s="68">
        <f>IFERROR(IF(ISNUMBER(INDEX(Rohdaten!$A$84:$LJ$84,MATCH(M$4,RD_Kopf,0))),INDEX(Rohdaten!$A$84:$LJ$84,MATCH(M$4,RD_Kopf,0)),NA()),NA())</f>
        <v>0</v>
      </c>
      <c r="N90" s="68">
        <f>IFERROR(IF(ISNUMBER(INDEX(Rohdaten!$A$84:$LJ$84,MATCH(N$4,RD_Kopf,0))),INDEX(Rohdaten!$A$84:$LJ$84,MATCH(N$4,RD_Kopf,0)),NA()),NA())</f>
        <v>0</v>
      </c>
      <c r="O90" s="68">
        <f>IFERROR(IF(ISNUMBER(INDEX(Rohdaten!$A$84:$LJ$84,MATCH(O$4,RD_Kopf,0))),INDEX(Rohdaten!$A$84:$LJ$84,MATCH(O$4,RD_Kopf,0)),NA()),NA())</f>
        <v>0</v>
      </c>
      <c r="P90" s="68">
        <f>IFERROR(IF(ISNUMBER(INDEX(Rohdaten!$A$84:$LJ$84,MATCH(P$4,RD_Kopf,0))),INDEX(Rohdaten!$A$84:$LJ$84,MATCH(P$4,RD_Kopf,0)),NA()),NA())</f>
        <v>0</v>
      </c>
      <c r="Q90" s="68">
        <f>IFERROR(IF(ISNUMBER(INDEX(Rohdaten!$A$84:$LJ$84,MATCH(Q$4,RD_Kopf,0))),INDEX(Rohdaten!$A$84:$LJ$84,MATCH(Q$4,RD_Kopf,0)),NA()),NA())</f>
        <v>0</v>
      </c>
      <c r="R90" s="68">
        <f>IFERROR(IF(ISNUMBER(INDEX(Rohdaten!$A$84:$LJ$84,MATCH(R$4,RD_Kopf,0))),INDEX(Rohdaten!$A$84:$LJ$84,MATCH(R$4,RD_Kopf,0)),NA()),NA())</f>
        <v>0</v>
      </c>
      <c r="S90" s="68">
        <f>IFERROR(IF(ISNUMBER(INDEX(Rohdaten!$A$84:$LJ$84,MATCH(S$4,RD_Kopf,0))),INDEX(Rohdaten!$A$84:$LJ$84,MATCH(S$4,RD_Kopf,0)),NA()),NA())</f>
        <v>0</v>
      </c>
      <c r="T90" s="68">
        <f>IFERROR(IF(ISNUMBER(INDEX(Rohdaten!$A$84:$LJ$84,MATCH(T$4,RD_Kopf,0))),INDEX(Rohdaten!$A$84:$LJ$84,MATCH(T$4,RD_Kopf,0)),NA()),NA())</f>
        <v>0</v>
      </c>
      <c r="U90" s="68">
        <f>IFERROR(IF(ISNUMBER(INDEX(Rohdaten!$A$84:$LJ$84,MATCH(U$4,RD_Kopf,0))),INDEX(Rohdaten!$A$84:$LJ$84,MATCH(U$4,RD_Kopf,0)),NA()),NA())</f>
        <v>0</v>
      </c>
      <c r="V90" s="68">
        <f>IFERROR(IF(ISNUMBER(INDEX(Rohdaten!$A$84:$LJ$84,MATCH(V$4,RD_Kopf,0))),INDEX(Rohdaten!$A$84:$LJ$84,MATCH(V$4,RD_Kopf,0)),NA()),NA())</f>
        <v>0</v>
      </c>
      <c r="W90" s="68">
        <f>IFERROR(IF(ISNUMBER(INDEX(Rohdaten!$A$84:$LJ$84,MATCH(W$4,RD_Kopf,0))),INDEX(Rohdaten!$A$84:$LJ$84,MATCH(W$4,RD_Kopf,0)),NA()),NA())</f>
        <v>0</v>
      </c>
      <c r="X90" s="68">
        <f>IFERROR(IF(ISNUMBER(INDEX(Rohdaten!$A$84:$LJ$84,MATCH(X$4,RD_Kopf,0))),INDEX(Rohdaten!$A$84:$LJ$84,MATCH(X$4,RD_Kopf,0)),NA()),NA())</f>
        <v>0</v>
      </c>
      <c r="Y90" s="68">
        <f>IFERROR(IF(ISNUMBER(INDEX(Rohdaten!$A$84:$LJ$84,MATCH(Y$4,RD_Kopf,0))),INDEX(Rohdaten!$A$84:$LJ$84,MATCH(Y$4,RD_Kopf,0)),NA()),NA())</f>
        <v>0</v>
      </c>
      <c r="Z90" s="68">
        <f>IFERROR(IF(ISNUMBER(INDEX(Rohdaten!$A$84:$LJ$84,MATCH(Z$4,RD_Kopf,0))),INDEX(Rohdaten!$A$84:$LJ$84,MATCH(Z$4,RD_Kopf,0)),NA()),NA())</f>
        <v>0</v>
      </c>
      <c r="AA90" s="68">
        <f>IFERROR(IF(ISNUMBER(INDEX(Rohdaten!$A$84:$LJ$84,MATCH(AA$4,RD_Kopf,0))),INDEX(Rohdaten!$A$84:$LJ$84,MATCH(AA$4,RD_Kopf,0)),NA()),NA())</f>
        <v>0</v>
      </c>
      <c r="AB90" s="68">
        <f>IFERROR(IF(ISNUMBER(INDEX(Rohdaten!$A$84:$LJ$84,MATCH(AB$4,RD_Kopf,0))),INDEX(Rohdaten!$A$84:$LJ$84,MATCH(AB$4,RD_Kopf,0)),NA()),NA())</f>
        <v>0</v>
      </c>
      <c r="AC90" s="68">
        <f>IFERROR(IF(ISNUMBER(INDEX(Rohdaten!$A$84:$LJ$84,MATCH(AC$4,RD_Kopf,0))),INDEX(Rohdaten!$A$84:$LJ$84,MATCH(AC$4,RD_Kopf,0)),NA()),NA())</f>
        <v>0</v>
      </c>
      <c r="AD90" s="68">
        <f>IFERROR(IF(ISNUMBER(INDEX(Rohdaten!$A$84:$LJ$84,MATCH(AD$4,RD_Kopf,0))),INDEX(Rohdaten!$A$84:$LJ$84,MATCH(AD$4,RD_Kopf,0)),NA()),NA())</f>
        <v>0</v>
      </c>
    </row>
    <row r="91" spans="1:68">
      <c r="A91" s="11" t="s">
        <v>151</v>
      </c>
      <c r="B91" s="11" t="s">
        <v>709</v>
      </c>
      <c r="C91" s="67" t="s">
        <v>710</v>
      </c>
      <c r="D91" s="68">
        <f>IFERROR(IF(ISNUMBER(INDEX(Rohdaten!$A$88:$LJ$88,MATCH(D$4,RD_Kopf,0))),INDEX(Rohdaten!$A$88:$LJ$88,MATCH(D$4,RD_Kopf,0)),NA()),NA())</f>
        <v>0</v>
      </c>
      <c r="E91" s="68">
        <f>IFERROR(IF(ISNUMBER(INDEX(Rohdaten!$A$88:$LJ$88,MATCH(E$4,RD_Kopf,0))),INDEX(Rohdaten!$A$88:$LJ$88,MATCH(E$4,RD_Kopf,0)),NA()),NA())</f>
        <v>0</v>
      </c>
      <c r="F91" s="68">
        <f>IFERROR(IF(ISNUMBER(INDEX(Rohdaten!$A$88:$LJ$88,MATCH(F$4,RD_Kopf,0))),INDEX(Rohdaten!$A$88:$LJ$88,MATCH(F$4,RD_Kopf,0)),NA()),NA())</f>
        <v>0</v>
      </c>
      <c r="G91" s="68">
        <f>IFERROR(IF(ISNUMBER(INDEX(Rohdaten!$A$88:$LJ$88,MATCH(G$4,RD_Kopf,0))),INDEX(Rohdaten!$A$88:$LJ$88,MATCH(G$4,RD_Kopf,0)),NA()),NA())</f>
        <v>0</v>
      </c>
      <c r="H91" s="68">
        <f>IFERROR(IF(ISNUMBER(INDEX(Rohdaten!$A$88:$LJ$88,MATCH(H$4,RD_Kopf,0))),INDEX(Rohdaten!$A$88:$LJ$88,MATCH(H$4,RD_Kopf,0)),NA()),NA())</f>
        <v>0</v>
      </c>
      <c r="I91" s="68">
        <f>IFERROR(IF(ISNUMBER(INDEX(Rohdaten!$A$88:$LJ$88,MATCH(I$4,RD_Kopf,0))),INDEX(Rohdaten!$A$88:$LJ$88,MATCH(I$4,RD_Kopf,0)),NA()),NA())</f>
        <v>0</v>
      </c>
      <c r="J91" s="68">
        <f>IFERROR(IF(ISNUMBER(INDEX(Rohdaten!$A$88:$LJ$88,MATCH(J$4,RD_Kopf,0))),INDEX(Rohdaten!$A$88:$LJ$88,MATCH(J$4,RD_Kopf,0)),NA()),NA())</f>
        <v>0</v>
      </c>
      <c r="K91" s="68">
        <f>IFERROR(IF(ISNUMBER(INDEX(Rohdaten!$A$88:$LJ$88,MATCH(K$4,RD_Kopf,0))),INDEX(Rohdaten!$A$88:$LJ$88,MATCH(K$4,RD_Kopf,0)),NA()),NA())</f>
        <v>0</v>
      </c>
      <c r="L91" s="68">
        <f>IFERROR(IF(ISNUMBER(INDEX(Rohdaten!$A$88:$LJ$88,MATCH(L$4,RD_Kopf,0))),INDEX(Rohdaten!$A$88:$LJ$88,MATCH(L$4,RD_Kopf,0)),NA()),NA())</f>
        <v>0</v>
      </c>
      <c r="M91" s="68">
        <f>IFERROR(IF(ISNUMBER(INDEX(Rohdaten!$A$88:$LJ$88,MATCH(M$4,RD_Kopf,0))),INDEX(Rohdaten!$A$88:$LJ$88,MATCH(M$4,RD_Kopf,0)),NA()),NA())</f>
        <v>0</v>
      </c>
      <c r="N91" s="68">
        <f>IFERROR(IF(ISNUMBER(INDEX(Rohdaten!$A$88:$LJ$88,MATCH(N$4,RD_Kopf,0))),INDEX(Rohdaten!$A$88:$LJ$88,MATCH(N$4,RD_Kopf,0)),NA()),NA())</f>
        <v>0</v>
      </c>
      <c r="O91" s="68">
        <f>IFERROR(IF(ISNUMBER(INDEX(Rohdaten!$A$88:$LJ$88,MATCH(O$4,RD_Kopf,0))),INDEX(Rohdaten!$A$88:$LJ$88,MATCH(O$4,RD_Kopf,0)),NA()),NA())</f>
        <v>0</v>
      </c>
      <c r="P91" s="68">
        <f>IFERROR(IF(ISNUMBER(INDEX(Rohdaten!$A$88:$LJ$88,MATCH(P$4,RD_Kopf,0))),INDEX(Rohdaten!$A$88:$LJ$88,MATCH(P$4,RD_Kopf,0)),NA()),NA())</f>
        <v>0</v>
      </c>
      <c r="Q91" s="68">
        <f>IFERROR(IF(ISNUMBER(INDEX(Rohdaten!$A$88:$LJ$88,MATCH(Q$4,RD_Kopf,0))),INDEX(Rohdaten!$A$88:$LJ$88,MATCH(Q$4,RD_Kopf,0)),NA()),NA())</f>
        <v>0</v>
      </c>
      <c r="R91" s="68">
        <f>IFERROR(IF(ISNUMBER(INDEX(Rohdaten!$A$88:$LJ$88,MATCH(R$4,RD_Kopf,0))),INDEX(Rohdaten!$A$88:$LJ$88,MATCH(R$4,RD_Kopf,0)),NA()),NA())</f>
        <v>0</v>
      </c>
      <c r="S91" s="68">
        <f>IFERROR(IF(ISNUMBER(INDEX(Rohdaten!$A$88:$LJ$88,MATCH(S$4,RD_Kopf,0))),INDEX(Rohdaten!$A$88:$LJ$88,MATCH(S$4,RD_Kopf,0)),NA()),NA())</f>
        <v>0</v>
      </c>
      <c r="T91" s="68">
        <f>IFERROR(IF(ISNUMBER(INDEX(Rohdaten!$A$88:$LJ$88,MATCH(T$4,RD_Kopf,0))),INDEX(Rohdaten!$A$88:$LJ$88,MATCH(T$4,RD_Kopf,0)),NA()),NA())</f>
        <v>0</v>
      </c>
      <c r="U91" s="68">
        <f>IFERROR(IF(ISNUMBER(INDEX(Rohdaten!$A$88:$LJ$88,MATCH(U$4,RD_Kopf,0))),INDEX(Rohdaten!$A$88:$LJ$88,MATCH(U$4,RD_Kopf,0)),NA()),NA())</f>
        <v>0</v>
      </c>
      <c r="V91" s="68">
        <f>IFERROR(IF(ISNUMBER(INDEX(Rohdaten!$A$88:$LJ$88,MATCH(V$4,RD_Kopf,0))),INDEX(Rohdaten!$A$88:$LJ$88,MATCH(V$4,RD_Kopf,0)),NA()),NA())</f>
        <v>0</v>
      </c>
      <c r="W91" s="68">
        <f>IFERROR(IF(ISNUMBER(INDEX(Rohdaten!$A$88:$LJ$88,MATCH(W$4,RD_Kopf,0))),INDEX(Rohdaten!$A$88:$LJ$88,MATCH(W$4,RD_Kopf,0)),NA()),NA())</f>
        <v>0</v>
      </c>
      <c r="X91" s="68">
        <f>IFERROR(IF(ISNUMBER(INDEX(Rohdaten!$A$88:$LJ$88,MATCH(X$4,RD_Kopf,0))),INDEX(Rohdaten!$A$88:$LJ$88,MATCH(X$4,RD_Kopf,0)),NA()),NA())</f>
        <v>0</v>
      </c>
      <c r="Y91" s="68">
        <f>IFERROR(IF(ISNUMBER(INDEX(Rohdaten!$A$88:$LJ$88,MATCH(Y$4,RD_Kopf,0))),INDEX(Rohdaten!$A$88:$LJ$88,MATCH(Y$4,RD_Kopf,0)),NA()),NA())</f>
        <v>0</v>
      </c>
      <c r="Z91" s="68">
        <f>IFERROR(IF(ISNUMBER(INDEX(Rohdaten!$A$88:$LJ$88,MATCH(Z$4,RD_Kopf,0))),INDEX(Rohdaten!$A$88:$LJ$88,MATCH(Z$4,RD_Kopf,0)),NA()),NA())</f>
        <v>0</v>
      </c>
      <c r="AA91" s="68">
        <f>IFERROR(IF(ISNUMBER(INDEX(Rohdaten!$A$88:$LJ$88,MATCH(AA$4,RD_Kopf,0))),INDEX(Rohdaten!$A$88:$LJ$88,MATCH(AA$4,RD_Kopf,0)),NA()),NA())</f>
        <v>0</v>
      </c>
      <c r="AB91" s="68">
        <f>IFERROR(IF(ISNUMBER(INDEX(Rohdaten!$A$88:$LJ$88,MATCH(AB$4,RD_Kopf,0))),INDEX(Rohdaten!$A$88:$LJ$88,MATCH(AB$4,RD_Kopf,0)),NA()),NA())</f>
        <v>0</v>
      </c>
      <c r="AC91" s="68">
        <f>IFERROR(IF(ISNUMBER(INDEX(Rohdaten!$A$88:$LJ$88,MATCH(AC$4,RD_Kopf,0))),INDEX(Rohdaten!$A$88:$LJ$88,MATCH(AC$4,RD_Kopf,0)),NA()),NA())</f>
        <v>0</v>
      </c>
      <c r="AD91" s="68">
        <f>IFERROR(IF(ISNUMBER(INDEX(Rohdaten!$A$88:$LJ$88,MATCH(AD$4,RD_Kopf,0))),INDEX(Rohdaten!$A$88:$LJ$88,MATCH(AD$4,RD_Kopf,0)),NA()),NA())</f>
        <v>0</v>
      </c>
    </row>
    <row r="92" spans="1:68">
      <c r="A92" s="11" t="s">
        <v>144</v>
      </c>
      <c r="B92" s="11" t="s">
        <v>711</v>
      </c>
      <c r="C92" s="67" t="s">
        <v>712</v>
      </c>
      <c r="D92" s="68">
        <f>IFERROR(IF(ISNUMBER(INDEX(Rohdaten!$A$85:$LJ$85,MATCH(D$4,RD_Kopf,0))),INDEX(Rohdaten!$A$85:$LJ$85,MATCH(D$4,RD_Kopf,0)),NA()),NA())</f>
        <v>0</v>
      </c>
      <c r="E92" s="68">
        <f>IFERROR(IF(ISNUMBER(INDEX(Rohdaten!$A$85:$LJ$85,MATCH(E$4,RD_Kopf,0))),INDEX(Rohdaten!$A$85:$LJ$85,MATCH(E$4,RD_Kopf,0)),NA()),NA())</f>
        <v>0</v>
      </c>
      <c r="F92" s="68">
        <f>IFERROR(IF(ISNUMBER(INDEX(Rohdaten!$A$85:$LJ$85,MATCH(F$4,RD_Kopf,0))),INDEX(Rohdaten!$A$85:$LJ$85,MATCH(F$4,RD_Kopf,0)),NA()),NA())</f>
        <v>0</v>
      </c>
      <c r="G92" s="68">
        <f>IFERROR(IF(ISNUMBER(INDEX(Rohdaten!$A$85:$LJ$85,MATCH(G$4,RD_Kopf,0))),INDEX(Rohdaten!$A$85:$LJ$85,MATCH(G$4,RD_Kopf,0)),NA()),NA())</f>
        <v>0</v>
      </c>
      <c r="H92" s="68">
        <f>IFERROR(IF(ISNUMBER(INDEX(Rohdaten!$A$85:$LJ$85,MATCH(H$4,RD_Kopf,0))),INDEX(Rohdaten!$A$85:$LJ$85,MATCH(H$4,RD_Kopf,0)),NA()),NA())</f>
        <v>0</v>
      </c>
      <c r="I92" s="68">
        <f>IFERROR(IF(ISNUMBER(INDEX(Rohdaten!$A$85:$LJ$85,MATCH(I$4,RD_Kopf,0))),INDEX(Rohdaten!$A$85:$LJ$85,MATCH(I$4,RD_Kopf,0)),NA()),NA())</f>
        <v>0</v>
      </c>
      <c r="J92" s="68">
        <f>IFERROR(IF(ISNUMBER(INDEX(Rohdaten!$A$85:$LJ$85,MATCH(J$4,RD_Kopf,0))),INDEX(Rohdaten!$A$85:$LJ$85,MATCH(J$4,RD_Kopf,0)),NA()),NA())</f>
        <v>0</v>
      </c>
      <c r="K92" s="68">
        <f>IFERROR(IF(ISNUMBER(INDEX(Rohdaten!$A$85:$LJ$85,MATCH(K$4,RD_Kopf,0))),INDEX(Rohdaten!$A$85:$LJ$85,MATCH(K$4,RD_Kopf,0)),NA()),NA())</f>
        <v>0</v>
      </c>
      <c r="L92" s="68">
        <f>IFERROR(IF(ISNUMBER(INDEX(Rohdaten!$A$85:$LJ$85,MATCH(L$4,RD_Kopf,0))),INDEX(Rohdaten!$A$85:$LJ$85,MATCH(L$4,RD_Kopf,0)),NA()),NA())</f>
        <v>0</v>
      </c>
      <c r="M92" s="68">
        <f>IFERROR(IF(ISNUMBER(INDEX(Rohdaten!$A$85:$LJ$85,MATCH(M$4,RD_Kopf,0))),INDEX(Rohdaten!$A$85:$LJ$85,MATCH(M$4,RD_Kopf,0)),NA()),NA())</f>
        <v>0</v>
      </c>
      <c r="N92" s="68">
        <f>IFERROR(IF(ISNUMBER(INDEX(Rohdaten!$A$85:$LJ$85,MATCH(N$4,RD_Kopf,0))),INDEX(Rohdaten!$A$85:$LJ$85,MATCH(N$4,RD_Kopf,0)),NA()),NA())</f>
        <v>0</v>
      </c>
      <c r="O92" s="68">
        <f>IFERROR(IF(ISNUMBER(INDEX(Rohdaten!$A$85:$LJ$85,MATCH(O$4,RD_Kopf,0))),INDEX(Rohdaten!$A$85:$LJ$85,MATCH(O$4,RD_Kopf,0)),NA()),NA())</f>
        <v>0</v>
      </c>
      <c r="P92" s="68">
        <f>IFERROR(IF(ISNUMBER(INDEX(Rohdaten!$A$85:$LJ$85,MATCH(P$4,RD_Kopf,0))),INDEX(Rohdaten!$A$85:$LJ$85,MATCH(P$4,RD_Kopf,0)),NA()),NA())</f>
        <v>0</v>
      </c>
      <c r="Q92" s="68">
        <f>IFERROR(IF(ISNUMBER(INDEX(Rohdaten!$A$85:$LJ$85,MATCH(Q$4,RD_Kopf,0))),INDEX(Rohdaten!$A$85:$LJ$85,MATCH(Q$4,RD_Kopf,0)),NA()),NA())</f>
        <v>0</v>
      </c>
      <c r="R92" s="68">
        <f>IFERROR(IF(ISNUMBER(INDEX(Rohdaten!$A$85:$LJ$85,MATCH(R$4,RD_Kopf,0))),INDEX(Rohdaten!$A$85:$LJ$85,MATCH(R$4,RD_Kopf,0)),NA()),NA())</f>
        <v>0</v>
      </c>
      <c r="S92" s="68">
        <f>IFERROR(IF(ISNUMBER(INDEX(Rohdaten!$A$85:$LJ$85,MATCH(S$4,RD_Kopf,0))),INDEX(Rohdaten!$A$85:$LJ$85,MATCH(S$4,RD_Kopf,0)),NA()),NA())</f>
        <v>0</v>
      </c>
      <c r="T92" s="68">
        <f>IFERROR(IF(ISNUMBER(INDEX(Rohdaten!$A$85:$LJ$85,MATCH(T$4,RD_Kopf,0))),INDEX(Rohdaten!$A$85:$LJ$85,MATCH(T$4,RD_Kopf,0)),NA()),NA())</f>
        <v>0</v>
      </c>
      <c r="U92" s="68">
        <f>IFERROR(IF(ISNUMBER(INDEX(Rohdaten!$A$85:$LJ$85,MATCH(U$4,RD_Kopf,0))),INDEX(Rohdaten!$A$85:$LJ$85,MATCH(U$4,RD_Kopf,0)),NA()),NA())</f>
        <v>0</v>
      </c>
      <c r="V92" s="68">
        <f>IFERROR(IF(ISNUMBER(INDEX(Rohdaten!$A$85:$LJ$85,MATCH(V$4,RD_Kopf,0))),INDEX(Rohdaten!$A$85:$LJ$85,MATCH(V$4,RD_Kopf,0)),NA()),NA())</f>
        <v>0</v>
      </c>
      <c r="W92" s="68">
        <f>IFERROR(IF(ISNUMBER(INDEX(Rohdaten!$A$85:$LJ$85,MATCH(W$4,RD_Kopf,0))),INDEX(Rohdaten!$A$85:$LJ$85,MATCH(W$4,RD_Kopf,0)),NA()),NA())</f>
        <v>0</v>
      </c>
      <c r="X92" s="68">
        <f>IFERROR(IF(ISNUMBER(INDEX(Rohdaten!$A$85:$LJ$85,MATCH(X$4,RD_Kopf,0))),INDEX(Rohdaten!$A$85:$LJ$85,MATCH(X$4,RD_Kopf,0)),NA()),NA())</f>
        <v>0</v>
      </c>
      <c r="Y92" s="68">
        <f>IFERROR(IF(ISNUMBER(INDEX(Rohdaten!$A$85:$LJ$85,MATCH(Y$4,RD_Kopf,0))),INDEX(Rohdaten!$A$85:$LJ$85,MATCH(Y$4,RD_Kopf,0)),NA()),NA())</f>
        <v>0</v>
      </c>
      <c r="Z92" s="68">
        <f>IFERROR(IF(ISNUMBER(INDEX(Rohdaten!$A$85:$LJ$85,MATCH(Z$4,RD_Kopf,0))),INDEX(Rohdaten!$A$85:$LJ$85,MATCH(Z$4,RD_Kopf,0)),NA()),NA())</f>
        <v>0</v>
      </c>
      <c r="AA92" s="68">
        <f>IFERROR(IF(ISNUMBER(INDEX(Rohdaten!$A$85:$LJ$85,MATCH(AA$4,RD_Kopf,0))),INDEX(Rohdaten!$A$85:$LJ$85,MATCH(AA$4,RD_Kopf,0)),NA()),NA())</f>
        <v>0</v>
      </c>
      <c r="AB92" s="68">
        <f>IFERROR(IF(ISNUMBER(INDEX(Rohdaten!$A$85:$LJ$85,MATCH(AB$4,RD_Kopf,0))),INDEX(Rohdaten!$A$85:$LJ$85,MATCH(AB$4,RD_Kopf,0)),NA()),NA())</f>
        <v>0</v>
      </c>
      <c r="AC92" s="68">
        <f>IFERROR(IF(ISNUMBER(INDEX(Rohdaten!$A$85:$LJ$85,MATCH(AC$4,RD_Kopf,0))),INDEX(Rohdaten!$A$85:$LJ$85,MATCH(AC$4,RD_Kopf,0)),NA()),NA())</f>
        <v>0</v>
      </c>
      <c r="AD92" s="68">
        <f>IFERROR(IF(ISNUMBER(INDEX(Rohdaten!$A$85:$LJ$85,MATCH(AD$4,RD_Kopf,0))),INDEX(Rohdaten!$A$85:$LJ$85,MATCH(AD$4,RD_Kopf,0)),NA()),NA())</f>
        <v>0</v>
      </c>
    </row>
    <row r="93" spans="1:68">
      <c r="A93" s="11" t="s">
        <v>153</v>
      </c>
      <c r="B93" s="11" t="s">
        <v>713</v>
      </c>
      <c r="C93" s="67" t="s">
        <v>714</v>
      </c>
      <c r="D93" s="68">
        <f>IFERROR(IF(ISNUMBER(INDEX(Rohdaten!$A$89:$LJ$89,MATCH(D$4,RD_Kopf,0))),INDEX(Rohdaten!$A$89:$LJ$89,MATCH(D$4,RD_Kopf,0)),NA()),NA())</f>
        <v>0</v>
      </c>
      <c r="E93" s="68">
        <f>IFERROR(IF(ISNUMBER(INDEX(Rohdaten!$A$89:$LJ$89,MATCH(E$4,RD_Kopf,0))),INDEX(Rohdaten!$A$89:$LJ$89,MATCH(E$4,RD_Kopf,0)),NA()),NA())</f>
        <v>0</v>
      </c>
      <c r="F93" s="68">
        <f>IFERROR(IF(ISNUMBER(INDEX(Rohdaten!$A$89:$LJ$89,MATCH(F$4,RD_Kopf,0))),INDEX(Rohdaten!$A$89:$LJ$89,MATCH(F$4,RD_Kopf,0)),NA()),NA())</f>
        <v>0</v>
      </c>
      <c r="G93" s="68">
        <f>IFERROR(IF(ISNUMBER(INDEX(Rohdaten!$A$89:$LJ$89,MATCH(G$4,RD_Kopf,0))),INDEX(Rohdaten!$A$89:$LJ$89,MATCH(G$4,RD_Kopf,0)),NA()),NA())</f>
        <v>0</v>
      </c>
      <c r="H93" s="68">
        <f>IFERROR(IF(ISNUMBER(INDEX(Rohdaten!$A$89:$LJ$89,MATCH(H$4,RD_Kopf,0))),INDEX(Rohdaten!$A$89:$LJ$89,MATCH(H$4,RD_Kopf,0)),NA()),NA())</f>
        <v>0</v>
      </c>
      <c r="I93" s="68">
        <f>IFERROR(IF(ISNUMBER(INDEX(Rohdaten!$A$89:$LJ$89,MATCH(I$4,RD_Kopf,0))),INDEX(Rohdaten!$A$89:$LJ$89,MATCH(I$4,RD_Kopf,0)),NA()),NA())</f>
        <v>0</v>
      </c>
      <c r="J93" s="68">
        <f>IFERROR(IF(ISNUMBER(INDEX(Rohdaten!$A$89:$LJ$89,MATCH(J$4,RD_Kopf,0))),INDEX(Rohdaten!$A$89:$LJ$89,MATCH(J$4,RD_Kopf,0)),NA()),NA())</f>
        <v>0</v>
      </c>
      <c r="K93" s="68">
        <f>IFERROR(IF(ISNUMBER(INDEX(Rohdaten!$A$89:$LJ$89,MATCH(K$4,RD_Kopf,0))),INDEX(Rohdaten!$A$89:$LJ$89,MATCH(K$4,RD_Kopf,0)),NA()),NA())</f>
        <v>0</v>
      </c>
      <c r="L93" s="68">
        <f>IFERROR(IF(ISNUMBER(INDEX(Rohdaten!$A$89:$LJ$89,MATCH(L$4,RD_Kopf,0))),INDEX(Rohdaten!$A$89:$LJ$89,MATCH(L$4,RD_Kopf,0)),NA()),NA())</f>
        <v>0</v>
      </c>
      <c r="M93" s="68">
        <f>IFERROR(IF(ISNUMBER(INDEX(Rohdaten!$A$89:$LJ$89,MATCH(M$4,RD_Kopf,0))),INDEX(Rohdaten!$A$89:$LJ$89,MATCH(M$4,RD_Kopf,0)),NA()),NA())</f>
        <v>0</v>
      </c>
      <c r="N93" s="68">
        <f>IFERROR(IF(ISNUMBER(INDEX(Rohdaten!$A$89:$LJ$89,MATCH(N$4,RD_Kopf,0))),INDEX(Rohdaten!$A$89:$LJ$89,MATCH(N$4,RD_Kopf,0)),NA()),NA())</f>
        <v>0</v>
      </c>
      <c r="O93" s="68">
        <f>IFERROR(IF(ISNUMBER(INDEX(Rohdaten!$A$89:$LJ$89,MATCH(O$4,RD_Kopf,0))),INDEX(Rohdaten!$A$89:$LJ$89,MATCH(O$4,RD_Kopf,0)),NA()),NA())</f>
        <v>0</v>
      </c>
      <c r="P93" s="68">
        <f>IFERROR(IF(ISNUMBER(INDEX(Rohdaten!$A$89:$LJ$89,MATCH(P$4,RD_Kopf,0))),INDEX(Rohdaten!$A$89:$LJ$89,MATCH(P$4,RD_Kopf,0)),NA()),NA())</f>
        <v>0</v>
      </c>
      <c r="Q93" s="68">
        <f>IFERROR(IF(ISNUMBER(INDEX(Rohdaten!$A$89:$LJ$89,MATCH(Q$4,RD_Kopf,0))),INDEX(Rohdaten!$A$89:$LJ$89,MATCH(Q$4,RD_Kopf,0)),NA()),NA())</f>
        <v>0</v>
      </c>
      <c r="R93" s="68">
        <f>IFERROR(IF(ISNUMBER(INDEX(Rohdaten!$A$89:$LJ$89,MATCH(R$4,RD_Kopf,0))),INDEX(Rohdaten!$A$89:$LJ$89,MATCH(R$4,RD_Kopf,0)),NA()),NA())</f>
        <v>0</v>
      </c>
      <c r="S93" s="68">
        <f>IFERROR(IF(ISNUMBER(INDEX(Rohdaten!$A$89:$LJ$89,MATCH(S$4,RD_Kopf,0))),INDEX(Rohdaten!$A$89:$LJ$89,MATCH(S$4,RD_Kopf,0)),NA()),NA())</f>
        <v>0</v>
      </c>
      <c r="T93" s="68">
        <f>IFERROR(IF(ISNUMBER(INDEX(Rohdaten!$A$89:$LJ$89,MATCH(T$4,RD_Kopf,0))),INDEX(Rohdaten!$A$89:$LJ$89,MATCH(T$4,RD_Kopf,0)),NA()),NA())</f>
        <v>0</v>
      </c>
      <c r="U93" s="68">
        <f>IFERROR(IF(ISNUMBER(INDEX(Rohdaten!$A$89:$LJ$89,MATCH(U$4,RD_Kopf,0))),INDEX(Rohdaten!$A$89:$LJ$89,MATCH(U$4,RD_Kopf,0)),NA()),NA())</f>
        <v>0</v>
      </c>
      <c r="V93" s="68">
        <f>IFERROR(IF(ISNUMBER(INDEX(Rohdaten!$A$89:$LJ$89,MATCH(V$4,RD_Kopf,0))),INDEX(Rohdaten!$A$89:$LJ$89,MATCH(V$4,RD_Kopf,0)),NA()),NA())</f>
        <v>0</v>
      </c>
      <c r="W93" s="68">
        <f>IFERROR(IF(ISNUMBER(INDEX(Rohdaten!$A$89:$LJ$89,MATCH(W$4,RD_Kopf,0))),INDEX(Rohdaten!$A$89:$LJ$89,MATCH(W$4,RD_Kopf,0)),NA()),NA())</f>
        <v>0</v>
      </c>
      <c r="X93" s="68">
        <f>IFERROR(IF(ISNUMBER(INDEX(Rohdaten!$A$89:$LJ$89,MATCH(X$4,RD_Kopf,0))),INDEX(Rohdaten!$A$89:$LJ$89,MATCH(X$4,RD_Kopf,0)),NA()),NA())</f>
        <v>0</v>
      </c>
      <c r="Y93" s="68">
        <f>IFERROR(IF(ISNUMBER(INDEX(Rohdaten!$A$89:$LJ$89,MATCH(Y$4,RD_Kopf,0))),INDEX(Rohdaten!$A$89:$LJ$89,MATCH(Y$4,RD_Kopf,0)),NA()),NA())</f>
        <v>0</v>
      </c>
      <c r="Z93" s="68">
        <f>IFERROR(IF(ISNUMBER(INDEX(Rohdaten!$A$89:$LJ$89,MATCH(Z$4,RD_Kopf,0))),INDEX(Rohdaten!$A$89:$LJ$89,MATCH(Z$4,RD_Kopf,0)),NA()),NA())</f>
        <v>0</v>
      </c>
      <c r="AA93" s="68">
        <f>IFERROR(IF(ISNUMBER(INDEX(Rohdaten!$A$89:$LJ$89,MATCH(AA$4,RD_Kopf,0))),INDEX(Rohdaten!$A$89:$LJ$89,MATCH(AA$4,RD_Kopf,0)),NA()),NA())</f>
        <v>0</v>
      </c>
      <c r="AB93" s="68">
        <f>IFERROR(IF(ISNUMBER(INDEX(Rohdaten!$A$89:$LJ$89,MATCH(AB$4,RD_Kopf,0))),INDEX(Rohdaten!$A$89:$LJ$89,MATCH(AB$4,RD_Kopf,0)),NA()),NA())</f>
        <v>0</v>
      </c>
      <c r="AC93" s="68">
        <f>IFERROR(IF(ISNUMBER(INDEX(Rohdaten!$A$89:$LJ$89,MATCH(AC$4,RD_Kopf,0))),INDEX(Rohdaten!$A$89:$LJ$89,MATCH(AC$4,RD_Kopf,0)),NA()),NA())</f>
        <v>0</v>
      </c>
      <c r="AD93" s="68">
        <f>IFERROR(IF(ISNUMBER(INDEX(Rohdaten!$A$89:$LJ$89,MATCH(AD$4,RD_Kopf,0))),INDEX(Rohdaten!$A$89:$LJ$89,MATCH(AD$4,RD_Kopf,0)),NA()),NA())</f>
        <v>0</v>
      </c>
    </row>
    <row r="94" spans="1:68">
      <c r="A94" s="11" t="s">
        <v>146</v>
      </c>
      <c r="B94" s="11" t="s">
        <v>715</v>
      </c>
      <c r="C94" s="67" t="s">
        <v>716</v>
      </c>
      <c r="D94" s="68">
        <f>IFERROR(IF(ISNUMBER(INDEX(Rohdaten!$A$86:$LJ$86,MATCH(D$4,RD_Kopf,0))),INDEX(Rohdaten!$A$86:$LJ$86,MATCH(D$4,RD_Kopf,0)),NA()),NA())</f>
        <v>0</v>
      </c>
      <c r="E94" s="68">
        <f>IFERROR(IF(ISNUMBER(INDEX(Rohdaten!$A$86:$LJ$86,MATCH(E$4,RD_Kopf,0))),INDEX(Rohdaten!$A$86:$LJ$86,MATCH(E$4,RD_Kopf,0)),NA()),NA())</f>
        <v>0</v>
      </c>
      <c r="F94" s="68">
        <f>IFERROR(IF(ISNUMBER(INDEX(Rohdaten!$A$86:$LJ$86,MATCH(F$4,RD_Kopf,0))),INDEX(Rohdaten!$A$86:$LJ$86,MATCH(F$4,RD_Kopf,0)),NA()),NA())</f>
        <v>0</v>
      </c>
      <c r="G94" s="68">
        <f>IFERROR(IF(ISNUMBER(INDEX(Rohdaten!$A$86:$LJ$86,MATCH(G$4,RD_Kopf,0))),INDEX(Rohdaten!$A$86:$LJ$86,MATCH(G$4,RD_Kopf,0)),NA()),NA())</f>
        <v>0</v>
      </c>
      <c r="H94" s="68">
        <f>IFERROR(IF(ISNUMBER(INDEX(Rohdaten!$A$86:$LJ$86,MATCH(H$4,RD_Kopf,0))),INDEX(Rohdaten!$A$86:$LJ$86,MATCH(H$4,RD_Kopf,0)),NA()),NA())</f>
        <v>0</v>
      </c>
      <c r="I94" s="68">
        <f>IFERROR(IF(ISNUMBER(INDEX(Rohdaten!$A$86:$LJ$86,MATCH(I$4,RD_Kopf,0))),INDEX(Rohdaten!$A$86:$LJ$86,MATCH(I$4,RD_Kopf,0)),NA()),NA())</f>
        <v>0</v>
      </c>
      <c r="J94" s="68">
        <f>IFERROR(IF(ISNUMBER(INDEX(Rohdaten!$A$86:$LJ$86,MATCH(J$4,RD_Kopf,0))),INDEX(Rohdaten!$A$86:$LJ$86,MATCH(J$4,RD_Kopf,0)),NA()),NA())</f>
        <v>0</v>
      </c>
      <c r="K94" s="68">
        <f>IFERROR(IF(ISNUMBER(INDEX(Rohdaten!$A$86:$LJ$86,MATCH(K$4,RD_Kopf,0))),INDEX(Rohdaten!$A$86:$LJ$86,MATCH(K$4,RD_Kopf,0)),NA()),NA())</f>
        <v>0</v>
      </c>
      <c r="L94" s="68">
        <f>IFERROR(IF(ISNUMBER(INDEX(Rohdaten!$A$86:$LJ$86,MATCH(L$4,RD_Kopf,0))),INDEX(Rohdaten!$A$86:$LJ$86,MATCH(L$4,RD_Kopf,0)),NA()),NA())</f>
        <v>0</v>
      </c>
      <c r="M94" s="68">
        <f>IFERROR(IF(ISNUMBER(INDEX(Rohdaten!$A$86:$LJ$86,MATCH(M$4,RD_Kopf,0))),INDEX(Rohdaten!$A$86:$LJ$86,MATCH(M$4,RD_Kopf,0)),NA()),NA())</f>
        <v>0</v>
      </c>
      <c r="N94" s="68">
        <f>IFERROR(IF(ISNUMBER(INDEX(Rohdaten!$A$86:$LJ$86,MATCH(N$4,RD_Kopf,0))),INDEX(Rohdaten!$A$86:$LJ$86,MATCH(N$4,RD_Kopf,0)),NA()),NA())</f>
        <v>0</v>
      </c>
      <c r="O94" s="68">
        <f>IFERROR(IF(ISNUMBER(INDEX(Rohdaten!$A$86:$LJ$86,MATCH(O$4,RD_Kopf,0))),INDEX(Rohdaten!$A$86:$LJ$86,MATCH(O$4,RD_Kopf,0)),NA()),NA())</f>
        <v>0</v>
      </c>
      <c r="P94" s="68">
        <f>IFERROR(IF(ISNUMBER(INDEX(Rohdaten!$A$86:$LJ$86,MATCH(P$4,RD_Kopf,0))),INDEX(Rohdaten!$A$86:$LJ$86,MATCH(P$4,RD_Kopf,0)),NA()),NA())</f>
        <v>0</v>
      </c>
      <c r="Q94" s="68">
        <f>IFERROR(IF(ISNUMBER(INDEX(Rohdaten!$A$86:$LJ$86,MATCH(Q$4,RD_Kopf,0))),INDEX(Rohdaten!$A$86:$LJ$86,MATCH(Q$4,RD_Kopf,0)),NA()),NA())</f>
        <v>0</v>
      </c>
      <c r="R94" s="68">
        <f>IFERROR(IF(ISNUMBER(INDEX(Rohdaten!$A$86:$LJ$86,MATCH(R$4,RD_Kopf,0))),INDEX(Rohdaten!$A$86:$LJ$86,MATCH(R$4,RD_Kopf,0)),NA()),NA())</f>
        <v>0</v>
      </c>
      <c r="S94" s="68">
        <f>IFERROR(IF(ISNUMBER(INDEX(Rohdaten!$A$86:$LJ$86,MATCH(S$4,RD_Kopf,0))),INDEX(Rohdaten!$A$86:$LJ$86,MATCH(S$4,RD_Kopf,0)),NA()),NA())</f>
        <v>0</v>
      </c>
      <c r="T94" s="68">
        <f>IFERROR(IF(ISNUMBER(INDEX(Rohdaten!$A$86:$LJ$86,MATCH(T$4,RD_Kopf,0))),INDEX(Rohdaten!$A$86:$LJ$86,MATCH(T$4,RD_Kopf,0)),NA()),NA())</f>
        <v>0</v>
      </c>
      <c r="U94" s="68">
        <f>IFERROR(IF(ISNUMBER(INDEX(Rohdaten!$A$86:$LJ$86,MATCH(U$4,RD_Kopf,0))),INDEX(Rohdaten!$A$86:$LJ$86,MATCH(U$4,RD_Kopf,0)),NA()),NA())</f>
        <v>0</v>
      </c>
      <c r="V94" s="68">
        <f>IFERROR(IF(ISNUMBER(INDEX(Rohdaten!$A$86:$LJ$86,MATCH(V$4,RD_Kopf,0))),INDEX(Rohdaten!$A$86:$LJ$86,MATCH(V$4,RD_Kopf,0)),NA()),NA())</f>
        <v>0</v>
      </c>
      <c r="W94" s="68">
        <f>IFERROR(IF(ISNUMBER(INDEX(Rohdaten!$A$86:$LJ$86,MATCH(W$4,RD_Kopf,0))),INDEX(Rohdaten!$A$86:$LJ$86,MATCH(W$4,RD_Kopf,0)),NA()),NA())</f>
        <v>0</v>
      </c>
      <c r="X94" s="68">
        <f>IFERROR(IF(ISNUMBER(INDEX(Rohdaten!$A$86:$LJ$86,MATCH(X$4,RD_Kopf,0))),INDEX(Rohdaten!$A$86:$LJ$86,MATCH(X$4,RD_Kopf,0)),NA()),NA())</f>
        <v>0</v>
      </c>
      <c r="Y94" s="68">
        <f>IFERROR(IF(ISNUMBER(INDEX(Rohdaten!$A$86:$LJ$86,MATCH(Y$4,RD_Kopf,0))),INDEX(Rohdaten!$A$86:$LJ$86,MATCH(Y$4,RD_Kopf,0)),NA()),NA())</f>
        <v>0</v>
      </c>
      <c r="Z94" s="68">
        <f>IFERROR(IF(ISNUMBER(INDEX(Rohdaten!$A$86:$LJ$86,MATCH(Z$4,RD_Kopf,0))),INDEX(Rohdaten!$A$86:$LJ$86,MATCH(Z$4,RD_Kopf,0)),NA()),NA())</f>
        <v>0</v>
      </c>
      <c r="AA94" s="68">
        <f>IFERROR(IF(ISNUMBER(INDEX(Rohdaten!$A$86:$LJ$86,MATCH(AA$4,RD_Kopf,0))),INDEX(Rohdaten!$A$86:$LJ$86,MATCH(AA$4,RD_Kopf,0)),NA()),NA())</f>
        <v>0</v>
      </c>
      <c r="AB94" s="68">
        <f>IFERROR(IF(ISNUMBER(INDEX(Rohdaten!$A$86:$LJ$86,MATCH(AB$4,RD_Kopf,0))),INDEX(Rohdaten!$A$86:$LJ$86,MATCH(AB$4,RD_Kopf,0)),NA()),NA())</f>
        <v>0</v>
      </c>
      <c r="AC94" s="68">
        <f>IFERROR(IF(ISNUMBER(INDEX(Rohdaten!$A$86:$LJ$86,MATCH(AC$4,RD_Kopf,0))),INDEX(Rohdaten!$A$86:$LJ$86,MATCH(AC$4,RD_Kopf,0)),NA()),NA())</f>
        <v>0</v>
      </c>
      <c r="AD94" s="68">
        <f>IFERROR(IF(ISNUMBER(INDEX(Rohdaten!$A$86:$LJ$86,MATCH(AD$4,RD_Kopf,0))),INDEX(Rohdaten!$A$86:$LJ$86,MATCH(AD$4,RD_Kopf,0)),NA()),NA())</f>
        <v>0</v>
      </c>
    </row>
    <row r="95" spans="1:68">
      <c r="A95" s="11" t="s">
        <v>155</v>
      </c>
      <c r="B95" s="11" t="s">
        <v>717</v>
      </c>
      <c r="C95" s="67" t="s">
        <v>718</v>
      </c>
      <c r="D95" s="68">
        <f>IFERROR(IF(ISNUMBER(INDEX(Rohdaten!$A$90:$LJ$90,MATCH(D$4,RD_Kopf,0))),INDEX(Rohdaten!$A$90:$LJ$90,MATCH(D$4,RD_Kopf,0)),NA()),NA())</f>
        <v>0</v>
      </c>
      <c r="E95" s="68">
        <f>IFERROR(IF(ISNUMBER(INDEX(Rohdaten!$A$90:$LJ$90,MATCH(E$4,RD_Kopf,0))),INDEX(Rohdaten!$A$90:$LJ$90,MATCH(E$4,RD_Kopf,0)),NA()),NA())</f>
        <v>0</v>
      </c>
      <c r="F95" s="68">
        <f>IFERROR(IF(ISNUMBER(INDEX(Rohdaten!$A$90:$LJ$90,MATCH(F$4,RD_Kopf,0))),INDEX(Rohdaten!$A$90:$LJ$90,MATCH(F$4,RD_Kopf,0)),NA()),NA())</f>
        <v>0</v>
      </c>
      <c r="G95" s="68">
        <f>IFERROR(IF(ISNUMBER(INDEX(Rohdaten!$A$90:$LJ$90,MATCH(G$4,RD_Kopf,0))),INDEX(Rohdaten!$A$90:$LJ$90,MATCH(G$4,RD_Kopf,0)),NA()),NA())</f>
        <v>0</v>
      </c>
      <c r="H95" s="68">
        <f>IFERROR(IF(ISNUMBER(INDEX(Rohdaten!$A$90:$LJ$90,MATCH(H$4,RD_Kopf,0))),INDEX(Rohdaten!$A$90:$LJ$90,MATCH(H$4,RD_Kopf,0)),NA()),NA())</f>
        <v>0</v>
      </c>
      <c r="I95" s="68">
        <f>IFERROR(IF(ISNUMBER(INDEX(Rohdaten!$A$90:$LJ$90,MATCH(I$4,RD_Kopf,0))),INDEX(Rohdaten!$A$90:$LJ$90,MATCH(I$4,RD_Kopf,0)),NA()),NA())</f>
        <v>0</v>
      </c>
      <c r="J95" s="68">
        <f>IFERROR(IF(ISNUMBER(INDEX(Rohdaten!$A$90:$LJ$90,MATCH(J$4,RD_Kopf,0))),INDEX(Rohdaten!$A$90:$LJ$90,MATCH(J$4,RD_Kopf,0)),NA()),NA())</f>
        <v>0</v>
      </c>
      <c r="K95" s="68">
        <f>IFERROR(IF(ISNUMBER(INDEX(Rohdaten!$A$90:$LJ$90,MATCH(K$4,RD_Kopf,0))),INDEX(Rohdaten!$A$90:$LJ$90,MATCH(K$4,RD_Kopf,0)),NA()),NA())</f>
        <v>0</v>
      </c>
      <c r="L95" s="68">
        <f>IFERROR(IF(ISNUMBER(INDEX(Rohdaten!$A$90:$LJ$90,MATCH(L$4,RD_Kopf,0))),INDEX(Rohdaten!$A$90:$LJ$90,MATCH(L$4,RD_Kopf,0)),NA()),NA())</f>
        <v>0</v>
      </c>
      <c r="M95" s="68">
        <f>IFERROR(IF(ISNUMBER(INDEX(Rohdaten!$A$90:$LJ$90,MATCH(M$4,RD_Kopf,0))),INDEX(Rohdaten!$A$90:$LJ$90,MATCH(M$4,RD_Kopf,0)),NA()),NA())</f>
        <v>0</v>
      </c>
      <c r="N95" s="68">
        <f>IFERROR(IF(ISNUMBER(INDEX(Rohdaten!$A$90:$LJ$90,MATCH(N$4,RD_Kopf,0))),INDEX(Rohdaten!$A$90:$LJ$90,MATCH(N$4,RD_Kopf,0)),NA()),NA())</f>
        <v>0</v>
      </c>
      <c r="O95" s="68">
        <f>IFERROR(IF(ISNUMBER(INDEX(Rohdaten!$A$90:$LJ$90,MATCH(O$4,RD_Kopf,0))),INDEX(Rohdaten!$A$90:$LJ$90,MATCH(O$4,RD_Kopf,0)),NA()),NA())</f>
        <v>0</v>
      </c>
      <c r="P95" s="68">
        <f>IFERROR(IF(ISNUMBER(INDEX(Rohdaten!$A$90:$LJ$90,MATCH(P$4,RD_Kopf,0))),INDEX(Rohdaten!$A$90:$LJ$90,MATCH(P$4,RD_Kopf,0)),NA()),NA())</f>
        <v>0</v>
      </c>
      <c r="Q95" s="68">
        <f>IFERROR(IF(ISNUMBER(INDEX(Rohdaten!$A$90:$LJ$90,MATCH(Q$4,RD_Kopf,0))),INDEX(Rohdaten!$A$90:$LJ$90,MATCH(Q$4,RD_Kopf,0)),NA()),NA())</f>
        <v>0</v>
      </c>
      <c r="R95" s="68">
        <f>IFERROR(IF(ISNUMBER(INDEX(Rohdaten!$A$90:$LJ$90,MATCH(R$4,RD_Kopf,0))),INDEX(Rohdaten!$A$90:$LJ$90,MATCH(R$4,RD_Kopf,0)),NA()),NA())</f>
        <v>0</v>
      </c>
      <c r="S95" s="68">
        <f>IFERROR(IF(ISNUMBER(INDEX(Rohdaten!$A$90:$LJ$90,MATCH(S$4,RD_Kopf,0))),INDEX(Rohdaten!$A$90:$LJ$90,MATCH(S$4,RD_Kopf,0)),NA()),NA())</f>
        <v>0</v>
      </c>
      <c r="T95" s="68">
        <f>IFERROR(IF(ISNUMBER(INDEX(Rohdaten!$A$90:$LJ$90,MATCH(T$4,RD_Kopf,0))),INDEX(Rohdaten!$A$90:$LJ$90,MATCH(T$4,RD_Kopf,0)),NA()),NA())</f>
        <v>0</v>
      </c>
      <c r="U95" s="68">
        <f>IFERROR(IF(ISNUMBER(INDEX(Rohdaten!$A$90:$LJ$90,MATCH(U$4,RD_Kopf,0))),INDEX(Rohdaten!$A$90:$LJ$90,MATCH(U$4,RD_Kopf,0)),NA()),NA())</f>
        <v>0</v>
      </c>
      <c r="V95" s="68">
        <f>IFERROR(IF(ISNUMBER(INDEX(Rohdaten!$A$90:$LJ$90,MATCH(V$4,RD_Kopf,0))),INDEX(Rohdaten!$A$90:$LJ$90,MATCH(V$4,RD_Kopf,0)),NA()),NA())</f>
        <v>0</v>
      </c>
      <c r="W95" s="68">
        <f>IFERROR(IF(ISNUMBER(INDEX(Rohdaten!$A$90:$LJ$90,MATCH(W$4,RD_Kopf,0))),INDEX(Rohdaten!$A$90:$LJ$90,MATCH(W$4,RD_Kopf,0)),NA()),NA())</f>
        <v>0</v>
      </c>
      <c r="X95" s="68">
        <f>IFERROR(IF(ISNUMBER(INDEX(Rohdaten!$A$90:$LJ$90,MATCH(X$4,RD_Kopf,0))),INDEX(Rohdaten!$A$90:$LJ$90,MATCH(X$4,RD_Kopf,0)),NA()),NA())</f>
        <v>0</v>
      </c>
      <c r="Y95" s="68">
        <f>IFERROR(IF(ISNUMBER(INDEX(Rohdaten!$A$90:$LJ$90,MATCH(Y$4,RD_Kopf,0))),INDEX(Rohdaten!$A$90:$LJ$90,MATCH(Y$4,RD_Kopf,0)),NA()),NA())</f>
        <v>0</v>
      </c>
      <c r="Z95" s="68">
        <f>IFERROR(IF(ISNUMBER(INDEX(Rohdaten!$A$90:$LJ$90,MATCH(Z$4,RD_Kopf,0))),INDEX(Rohdaten!$A$90:$LJ$90,MATCH(Z$4,RD_Kopf,0)),NA()),NA())</f>
        <v>0</v>
      </c>
      <c r="AA95" s="68">
        <f>IFERROR(IF(ISNUMBER(INDEX(Rohdaten!$A$90:$LJ$90,MATCH(AA$4,RD_Kopf,0))),INDEX(Rohdaten!$A$90:$LJ$90,MATCH(AA$4,RD_Kopf,0)),NA()),NA())</f>
        <v>0</v>
      </c>
      <c r="AB95" s="68">
        <f>IFERROR(IF(ISNUMBER(INDEX(Rohdaten!$A$90:$LJ$90,MATCH(AB$4,RD_Kopf,0))),INDEX(Rohdaten!$A$90:$LJ$90,MATCH(AB$4,RD_Kopf,0)),NA()),NA())</f>
        <v>0</v>
      </c>
      <c r="AC95" s="68">
        <f>IFERROR(IF(ISNUMBER(INDEX(Rohdaten!$A$90:$LJ$90,MATCH(AC$4,RD_Kopf,0))),INDEX(Rohdaten!$A$90:$LJ$90,MATCH(AC$4,RD_Kopf,0)),NA()),NA())</f>
        <v>0</v>
      </c>
      <c r="AD95" s="68">
        <f>IFERROR(IF(ISNUMBER(INDEX(Rohdaten!$A$90:$LJ$90,MATCH(AD$4,RD_Kopf,0))),INDEX(Rohdaten!$A$90:$LJ$90,MATCH(AD$4,RD_Kopf,0)),NA()),NA())</f>
        <v>0</v>
      </c>
    </row>
    <row r="96" spans="1:68">
      <c r="A96" s="11" t="s">
        <v>719</v>
      </c>
      <c r="B96" s="11" t="s">
        <v>720</v>
      </c>
      <c r="C96" s="67" t="s">
        <v>601</v>
      </c>
      <c r="D96" s="68">
        <f>IF(COUNT(D90,D92,D94)=0,NA(),SUM(D90,D92,D94))</f>
        <v>0</v>
      </c>
      <c r="E96" s="68">
        <f>IF(COUNT(E90,E92,E94)=0,NA(),SUM(E90,E92,E94))</f>
        <v>0</v>
      </c>
      <c r="F96" s="68">
        <f>IF(COUNT(F90,F92,F94)=0,NA(),SUM(F90,F92,F94))</f>
        <v>0</v>
      </c>
      <c r="G96" s="68">
        <f>IF(COUNT(G90,G92,G94)=0,NA(),SUM(G90,G92,G94))</f>
        <v>0</v>
      </c>
      <c r="H96" s="68">
        <f>IF(COUNT(H90,H92,H94)=0,NA(),SUM(H90,H92,H94))</f>
        <v>0</v>
      </c>
      <c r="I96" s="68">
        <f>IF(COUNT(I90,I92,I94)=0,NA(),SUM(I90,I92,I94))</f>
        <v>0</v>
      </c>
      <c r="J96" s="68">
        <f>IF(COUNT(J90,J92,J94)=0,NA(),SUM(J90,J92,J94))</f>
        <v>0</v>
      </c>
      <c r="K96" s="68">
        <f>IF(COUNT(K90,K92,K94)=0,NA(),SUM(K90,K92,K94))</f>
        <v>0</v>
      </c>
      <c r="L96" s="68">
        <f>IF(COUNT(L90,L92,L94)=0,NA(),SUM(L90,L92,L94))</f>
        <v>0</v>
      </c>
      <c r="M96" s="68">
        <f>IF(COUNT(M90,M92,M94)=0,NA(),SUM(M90,M92,M94))</f>
        <v>0</v>
      </c>
      <c r="N96" s="68">
        <f>IF(COUNT(N90,N92,N94)=0,NA(),SUM(N90,N92,N94))</f>
        <v>0</v>
      </c>
      <c r="O96" s="68">
        <f>IF(COUNT(O90,O92,O94)=0,NA(),SUM(O90,O92,O94))</f>
        <v>0</v>
      </c>
      <c r="P96" s="68">
        <f>IF(COUNT(P90,P92,P94)=0,NA(),SUM(P90,P92,P94))</f>
        <v>0</v>
      </c>
      <c r="Q96" s="68">
        <f>IF(COUNT(Q90,Q92,Q94)=0,NA(),SUM(Q90,Q92,Q94))</f>
        <v>0</v>
      </c>
      <c r="R96" s="68">
        <f>IF(COUNT(R90,R92,R94)=0,NA(),SUM(R90,R92,R94))</f>
        <v>0</v>
      </c>
      <c r="S96" s="68">
        <f>IF(COUNT(S90,S92,S94)=0,NA(),SUM(S90,S92,S94))</f>
        <v>0</v>
      </c>
      <c r="T96" s="68">
        <f>IF(COUNT(T90,T92,T94)=0,NA(),SUM(T90,T92,T94))</f>
        <v>0</v>
      </c>
      <c r="U96" s="68">
        <f>IF(COUNT(U90,U92,U94)=0,NA(),SUM(U90,U92,U94))</f>
        <v>0</v>
      </c>
      <c r="V96" s="68">
        <f>IF(COUNT(V90,V92,V94)=0,NA(),SUM(V90,V92,V94))</f>
        <v>0</v>
      </c>
      <c r="W96" s="68">
        <f>IF(COUNT(W90,W92,W94)=0,NA(),SUM(W90,W92,W94))</f>
        <v>0</v>
      </c>
      <c r="X96" s="68">
        <f>IF(COUNT(X90,X92,X94)=0,NA(),SUM(X90,X92,X94))</f>
        <v>0</v>
      </c>
      <c r="Y96" s="68">
        <f>IF(COUNT(Y90,Y92,Y94)=0,NA(),SUM(Y90,Y92,Y94))</f>
        <v>0</v>
      </c>
      <c r="Z96" s="68">
        <f>IF(COUNT(Z90,Z92,Z94)=0,NA(),SUM(Z90,Z92,Z94))</f>
        <v>0</v>
      </c>
      <c r="AA96" s="68">
        <f>IF(COUNT(AA90,AA92,AA94)=0,NA(),SUM(AA90,AA92,AA94))</f>
        <v>0</v>
      </c>
      <c r="AB96" s="68">
        <f>IF(COUNT(AB90,AB92,AB94)=0,NA(),SUM(AB90,AB92,AB94))</f>
        <v>0</v>
      </c>
      <c r="AC96" s="68">
        <f>IF(COUNT(AC90,AC92,AC94)=0,NA(),SUM(AC90,AC92,AC94))</f>
        <v>0</v>
      </c>
      <c r="AD96" s="68">
        <f>IF(COUNT(AD90,AD92,AD94)=0,NA(),SUM(AD90,AD92,AD94))</f>
        <v>0</v>
      </c>
    </row>
    <row r="97" spans="1:68">
      <c r="A97" s="11" t="s">
        <v>721</v>
      </c>
      <c r="B97" s="11" t="s">
        <v>722</v>
      </c>
      <c r="C97" s="67" t="s">
        <v>601</v>
      </c>
      <c r="D97" s="68">
        <f>IF(COUNT(D91,D93,D95)=0,NA(),SUM(D91,D93,D95))</f>
        <v>0</v>
      </c>
      <c r="E97" s="68">
        <f>IF(COUNT(E91,E93,E95)=0,NA(),SUM(E91,E93,E95))</f>
        <v>0</v>
      </c>
      <c r="F97" s="68">
        <f>IF(COUNT(F91,F93,F95)=0,NA(),SUM(F91,F93,F95))</f>
        <v>0</v>
      </c>
      <c r="G97" s="68">
        <f>IF(COUNT(G91,G93,G95)=0,NA(),SUM(G91,G93,G95))</f>
        <v>0</v>
      </c>
      <c r="H97" s="68">
        <f>IF(COUNT(H91,H93,H95)=0,NA(),SUM(H91,H93,H95))</f>
        <v>0</v>
      </c>
      <c r="I97" s="68">
        <f>IF(COUNT(I91,I93,I95)=0,NA(),SUM(I91,I93,I95))</f>
        <v>0</v>
      </c>
      <c r="J97" s="68">
        <f>IF(COUNT(J91,J93,J95)=0,NA(),SUM(J91,J93,J95))</f>
        <v>0</v>
      </c>
      <c r="K97" s="68">
        <f>IF(COUNT(K91,K93,K95)=0,NA(),SUM(K91,K93,K95))</f>
        <v>0</v>
      </c>
      <c r="L97" s="68">
        <f>IF(COUNT(L91,L93,L95)=0,NA(),SUM(L91,L93,L95))</f>
        <v>0</v>
      </c>
      <c r="M97" s="68">
        <f>IF(COUNT(M91,M93,M95)=0,NA(),SUM(M91,M93,M95))</f>
        <v>0</v>
      </c>
      <c r="N97" s="68">
        <f>IF(COUNT(N91,N93,N95)=0,NA(),SUM(N91,N93,N95))</f>
        <v>0</v>
      </c>
      <c r="O97" s="68">
        <f>IF(COUNT(O91,O93,O95)=0,NA(),SUM(O91,O93,O95))</f>
        <v>0</v>
      </c>
      <c r="P97" s="68">
        <f>IF(COUNT(P91,P93,P95)=0,NA(),SUM(P91,P93,P95))</f>
        <v>0</v>
      </c>
      <c r="Q97" s="68">
        <f>IF(COUNT(Q91,Q93,Q95)=0,NA(),SUM(Q91,Q93,Q95))</f>
        <v>0</v>
      </c>
      <c r="R97" s="68">
        <f>IF(COUNT(R91,R93,R95)=0,NA(),SUM(R91,R93,R95))</f>
        <v>0</v>
      </c>
      <c r="S97" s="68">
        <f>IF(COUNT(S91,S93,S95)=0,NA(),SUM(S91,S93,S95))</f>
        <v>0</v>
      </c>
      <c r="T97" s="68">
        <f>IF(COUNT(T91,T93,T95)=0,NA(),SUM(T91,T93,T95))</f>
        <v>0</v>
      </c>
      <c r="U97" s="68">
        <f>IF(COUNT(U91,U93,U95)=0,NA(),SUM(U91,U93,U95))</f>
        <v>0</v>
      </c>
      <c r="V97" s="68">
        <f>IF(COUNT(V91,V93,V95)=0,NA(),SUM(V91,V93,V95))</f>
        <v>0</v>
      </c>
      <c r="W97" s="68">
        <f>IF(COUNT(W91,W93,W95)=0,NA(),SUM(W91,W93,W95))</f>
        <v>0</v>
      </c>
      <c r="X97" s="68">
        <f>IF(COUNT(X91,X93,X95)=0,NA(),SUM(X91,X93,X95))</f>
        <v>0</v>
      </c>
      <c r="Y97" s="68">
        <f>IF(COUNT(Y91,Y93,Y95)=0,NA(),SUM(Y91,Y93,Y95))</f>
        <v>0</v>
      </c>
      <c r="Z97" s="68">
        <f>IF(COUNT(Z91,Z93,Z95)=0,NA(),SUM(Z91,Z93,Z95))</f>
        <v>0</v>
      </c>
      <c r="AA97" s="68">
        <f>IF(COUNT(AA91,AA93,AA95)=0,NA(),SUM(AA91,AA93,AA95))</f>
        <v>0</v>
      </c>
      <c r="AB97" s="68">
        <f>IF(COUNT(AB91,AB93,AB95)=0,NA(),SUM(AB91,AB93,AB95))</f>
        <v>0</v>
      </c>
      <c r="AC97" s="68">
        <f>IF(COUNT(AC91,AC93,AC95)=0,NA(),SUM(AC91,AC93,AC95))</f>
        <v>0</v>
      </c>
      <c r="AD97" s="68">
        <f>IF(COUNT(AD91,AD93,AD95)=0,NA(),SUM(AD91,AD93,AD95))</f>
        <v>0</v>
      </c>
    </row>
    <row r="98" spans="1:68">
      <c r="A98" s="11" t="s">
        <v>723</v>
      </c>
      <c r="B98" s="11" t="s">
        <v>724</v>
      </c>
      <c r="C98" s="67" t="s">
        <v>601</v>
      </c>
      <c r="D98" s="68">
        <f>IF(COUNT(D87,D88,D89)=0,NA(),SUM(D87,D88,D89))</f>
        <v>0</v>
      </c>
      <c r="E98" s="68">
        <f>IF(COUNT(E87,E88,E89)=0,NA(),SUM(E87,E88,E89))</f>
        <v>0</v>
      </c>
      <c r="F98" s="68">
        <f>IF(COUNT(F87,F88,F89)=0,NA(),SUM(F87,F88,F89))</f>
        <v>0</v>
      </c>
      <c r="G98" s="68">
        <f>IF(COUNT(G87,G88,G89)=0,NA(),SUM(G87,G88,G89))</f>
        <v>0</v>
      </c>
      <c r="H98" s="68">
        <f>IF(COUNT(H87,H88,H89)=0,NA(),SUM(H87,H88,H89))</f>
        <v>0</v>
      </c>
      <c r="I98" s="68">
        <f>IF(COUNT(I87,I88,I89)=0,NA(),SUM(I87,I88,I89))</f>
        <v>0</v>
      </c>
      <c r="J98" s="68">
        <f>IF(COUNT(J87,J88,J89)=0,NA(),SUM(J87,J88,J89))</f>
        <v>0</v>
      </c>
      <c r="K98" s="68">
        <f>IF(COUNT(K87,K88,K89)=0,NA(),SUM(K87,K88,K89))</f>
        <v>0</v>
      </c>
      <c r="L98" s="68">
        <f>IF(COUNT(L87,L88,L89)=0,NA(),SUM(L87,L88,L89))</f>
        <v>0</v>
      </c>
      <c r="M98" s="68">
        <f>IF(COUNT(M87,M88,M89)=0,NA(),SUM(M87,M88,M89))</f>
        <v>0</v>
      </c>
      <c r="N98" s="68">
        <f>IF(COUNT(N87,N88,N89)=0,NA(),SUM(N87,N88,N89))</f>
        <v>0</v>
      </c>
      <c r="O98" s="68">
        <f>IF(COUNT(O87,O88,O89)=0,NA(),SUM(O87,O88,O89))</f>
        <v>0</v>
      </c>
      <c r="P98" s="68">
        <f>IF(COUNT(P87,P88,P89)=0,NA(),SUM(P87,P88,P89))</f>
        <v>0</v>
      </c>
      <c r="Q98" s="68">
        <f>IF(COUNT(Q87,Q88,Q89)=0,NA(),SUM(Q87,Q88,Q89))</f>
        <v>0</v>
      </c>
      <c r="R98" s="68">
        <f>IF(COUNT(R87,R88,R89)=0,NA(),SUM(R87,R88,R89))</f>
        <v>0</v>
      </c>
      <c r="S98" s="68">
        <f>IF(COUNT(S87,S88,S89)=0,NA(),SUM(S87,S88,S89))</f>
        <v>0</v>
      </c>
      <c r="T98" s="68">
        <f>IF(COUNT(T87,T88,T89)=0,NA(),SUM(T87,T88,T89))</f>
        <v>0</v>
      </c>
      <c r="U98" s="68">
        <f>IF(COUNT(U87,U88,U89)=0,NA(),SUM(U87,U88,U89))</f>
        <v>0</v>
      </c>
      <c r="V98" s="68">
        <f>IF(COUNT(V87,V88,V89)=0,NA(),SUM(V87,V88,V89))</f>
        <v>0</v>
      </c>
      <c r="W98" s="68">
        <f>IF(COUNT(W87,W88,W89)=0,NA(),SUM(W87,W88,W89))</f>
        <v>0</v>
      </c>
      <c r="X98" s="68">
        <f>IF(COUNT(X87,X88,X89)=0,NA(),SUM(X87,X88,X89))</f>
        <v>0</v>
      </c>
      <c r="Y98" s="68">
        <f>IF(COUNT(Y87,Y88,Y89)=0,NA(),SUM(Y87,Y88,Y89))</f>
        <v>0</v>
      </c>
      <c r="Z98" s="68">
        <f>IF(COUNT(Z87,Z88,Z89)=0,NA(),SUM(Z87,Z88,Z89))</f>
        <v>0</v>
      </c>
      <c r="AA98" s="68">
        <f>IF(COUNT(AA87,AA88,AA89)=0,NA(),SUM(AA87,AA88,AA89))</f>
        <v>0</v>
      </c>
      <c r="AB98" s="68">
        <f>IF(COUNT(AB87,AB88,AB89)=0,NA(),SUM(AB87,AB88,AB89))</f>
        <v>0</v>
      </c>
      <c r="AC98" s="68">
        <f>IF(COUNT(AC87,AC88,AC89)=0,NA(),SUM(AC87,AC88,AC89))</f>
        <v>0</v>
      </c>
      <c r="AD98" s="68">
        <f>IF(COUNT(AD87,AD88,AD89)=0,NA(),SUM(AD87,AD88,AD89))</f>
        <v>0</v>
      </c>
    </row>
    <row r="99" spans="1:68">
      <c r="A99" s="11" t="s">
        <v>725</v>
      </c>
      <c r="B99" s="11" t="s">
        <v>726</v>
      </c>
      <c r="C99" s="67" t="s">
        <v>601</v>
      </c>
      <c r="D99" s="68">
        <f>IF(AND(ISNUMBER(D96),ISNUMBER(D97)),D96-D97,NA())</f>
        <v>0</v>
      </c>
      <c r="E99" s="68">
        <f>IF(AND(ISNUMBER(E96),ISNUMBER(E97)),E96-E97,NA())</f>
        <v>0</v>
      </c>
      <c r="F99" s="68">
        <f>IF(AND(ISNUMBER(F96),ISNUMBER(F97)),F96-F97,NA())</f>
        <v>0</v>
      </c>
      <c r="G99" s="68">
        <f>IF(AND(ISNUMBER(G96),ISNUMBER(G97)),G96-G97,NA())</f>
        <v>0</v>
      </c>
      <c r="H99" s="68">
        <f>IF(AND(ISNUMBER(H96),ISNUMBER(H97)),H96-H97,NA())</f>
        <v>0</v>
      </c>
      <c r="I99" s="68">
        <f>IF(AND(ISNUMBER(I96),ISNUMBER(I97)),I96-I97,NA())</f>
        <v>0</v>
      </c>
      <c r="J99" s="68">
        <f>IF(AND(ISNUMBER(J96),ISNUMBER(J97)),J96-J97,NA())</f>
        <v>0</v>
      </c>
      <c r="K99" s="68">
        <f>IF(AND(ISNUMBER(K96),ISNUMBER(K97)),K96-K97,NA())</f>
        <v>0</v>
      </c>
      <c r="L99" s="68">
        <f>IF(AND(ISNUMBER(L96),ISNUMBER(L97)),L96-L97,NA())</f>
        <v>0</v>
      </c>
      <c r="M99" s="68">
        <f>IF(AND(ISNUMBER(M96),ISNUMBER(M97)),M96-M97,NA())</f>
        <v>0</v>
      </c>
      <c r="N99" s="68">
        <f>IF(AND(ISNUMBER(N96),ISNUMBER(N97)),N96-N97,NA())</f>
        <v>0</v>
      </c>
      <c r="O99" s="68">
        <f>IF(AND(ISNUMBER(O96),ISNUMBER(O97)),O96-O97,NA())</f>
        <v>0</v>
      </c>
      <c r="P99" s="68">
        <f>IF(AND(ISNUMBER(P96),ISNUMBER(P97)),P96-P97,NA())</f>
        <v>0</v>
      </c>
      <c r="Q99" s="68">
        <f>IF(AND(ISNUMBER(Q96),ISNUMBER(Q97)),Q96-Q97,NA())</f>
        <v>0</v>
      </c>
      <c r="R99" s="68">
        <f>IF(AND(ISNUMBER(R96),ISNUMBER(R97)),R96-R97,NA())</f>
        <v>0</v>
      </c>
      <c r="S99" s="68">
        <f>IF(AND(ISNUMBER(S96),ISNUMBER(S97)),S96-S97,NA())</f>
        <v>0</v>
      </c>
      <c r="T99" s="68">
        <f>IF(AND(ISNUMBER(T96),ISNUMBER(T97)),T96-T97,NA())</f>
        <v>0</v>
      </c>
      <c r="U99" s="68">
        <f>IF(AND(ISNUMBER(U96),ISNUMBER(U97)),U96-U97,NA())</f>
        <v>0</v>
      </c>
      <c r="V99" s="68">
        <f>IF(AND(ISNUMBER(V96),ISNUMBER(V97)),V96-V97,NA())</f>
        <v>0</v>
      </c>
      <c r="W99" s="68">
        <f>IF(AND(ISNUMBER(W96),ISNUMBER(W97)),W96-W97,NA())</f>
        <v>0</v>
      </c>
      <c r="X99" s="68">
        <f>IF(AND(ISNUMBER(X96),ISNUMBER(X97)),X96-X97,NA())</f>
        <v>0</v>
      </c>
      <c r="Y99" s="68">
        <f>IF(AND(ISNUMBER(Y96),ISNUMBER(Y97)),Y96-Y97,NA())</f>
        <v>0</v>
      </c>
      <c r="Z99" s="68">
        <f>IF(AND(ISNUMBER(Z96),ISNUMBER(Z97)),Z96-Z97,NA())</f>
        <v>0</v>
      </c>
      <c r="AA99" s="68">
        <f>IF(AND(ISNUMBER(AA96),ISNUMBER(AA97)),AA96-AA97,NA())</f>
        <v>0</v>
      </c>
      <c r="AB99" s="68">
        <f>IF(AND(ISNUMBER(AB96),ISNUMBER(AB97)),AB96-AB97,NA())</f>
        <v>0</v>
      </c>
      <c r="AC99" s="68">
        <f>IF(AND(ISNUMBER(AC96),ISNUMBER(AC97)),AC96-AC97,NA())</f>
        <v>0</v>
      </c>
      <c r="AD99" s="68">
        <f>IF(AND(ISNUMBER(AD96),ISNUMBER(AD97)),AD96-AD97,NA())</f>
        <v>0</v>
      </c>
    </row>
    <row r="100" spans="1:68">
      <c r="A100" s="11" t="s">
        <v>727</v>
      </c>
      <c r="B100" s="11" t="s">
        <v>728</v>
      </c>
      <c r="C100" s="67" t="s">
        <v>604</v>
      </c>
      <c r="AQ100" s="68">
        <f>IF(AQ$84=0,NA(),MAX(1,_xlfn.AGGREGATE(4,6,INDEX($D$98:$AD$98,28-$D$83):$AD$98),N(Konfiguration!$F$11)))</f>
        <v>0</v>
      </c>
      <c r="AR100" s="68">
        <f>IF(AR$84=0,NA(),MAX(1,_xlfn.AGGREGATE(4,6,INDEX($D$98:$AD$98,28-$D$83):$AD$98),N(Konfiguration!$F$11)))</f>
        <v>0</v>
      </c>
      <c r="AS100" s="68">
        <f>IF(AS$84=0,NA(),MAX(1,_xlfn.AGGREGATE(4,6,INDEX($D$98:$AD$98,28-$D$83):$AD$98),N(Konfiguration!$F$11)))</f>
        <v>0</v>
      </c>
      <c r="AT100" s="68">
        <f>IF(AT$84=0,NA(),MAX(1,_xlfn.AGGREGATE(4,6,INDEX($D$98:$AD$98,28-$D$83):$AD$98),N(Konfiguration!$F$11)))</f>
        <v>0</v>
      </c>
      <c r="AU100" s="68">
        <f>IF(AU$84=0,NA(),MAX(1,_xlfn.AGGREGATE(4,6,INDEX($D$98:$AD$98,28-$D$83):$AD$98),N(Konfiguration!$F$11)))</f>
        <v>0</v>
      </c>
      <c r="AV100" s="68">
        <f>IF(AV$84=0,NA(),MAX(1,_xlfn.AGGREGATE(4,6,INDEX($D$98:$AD$98,28-$D$83):$AD$98),N(Konfiguration!$F$11)))</f>
        <v>0</v>
      </c>
      <c r="AW100" s="68">
        <f>IF(AW$84=0,NA(),MAX(1,_xlfn.AGGREGATE(4,6,INDEX($D$98:$AD$98,28-$D$83):$AD$98),N(Konfiguration!$F$11)))</f>
        <v>0</v>
      </c>
      <c r="AX100" s="68">
        <f>IF(AX$84=0,NA(),MAX(1,_xlfn.AGGREGATE(4,6,INDEX($D$98:$AD$98,28-$D$83):$AD$98),N(Konfiguration!$F$11)))</f>
        <v>0</v>
      </c>
      <c r="AY100" s="68">
        <f>IF(AY$84=0,NA(),MAX(1,_xlfn.AGGREGATE(4,6,INDEX($D$98:$AD$98,28-$D$83):$AD$98),N(Konfiguration!$F$11)))</f>
        <v>0</v>
      </c>
      <c r="AZ100" s="68">
        <f>IF(AZ$84=0,NA(),MAX(1,_xlfn.AGGREGATE(4,6,INDEX($D$98:$AD$98,28-$D$83):$AD$98),N(Konfiguration!$F$11)))</f>
        <v>0</v>
      </c>
      <c r="BA100" s="68">
        <f>IF(BA$84=0,NA(),MAX(1,_xlfn.AGGREGATE(4,6,INDEX($D$98:$AD$98,28-$D$83):$AD$98),N(Konfiguration!$F$11)))</f>
        <v>0</v>
      </c>
      <c r="BB100" s="68">
        <f>IF(BB$84=0,NA(),MAX(1,_xlfn.AGGREGATE(4,6,INDEX($D$98:$AD$98,28-$D$83):$AD$98),N(Konfiguration!$F$11)))</f>
        <v>0</v>
      </c>
      <c r="BC100" s="68">
        <f>IF(BC$84=0,NA(),MAX(1,_xlfn.AGGREGATE(4,6,INDEX($D$98:$AD$98,28-$D$83):$AD$98),N(Konfiguration!$F$11)))</f>
        <v>0</v>
      </c>
      <c r="BD100" s="68">
        <f>IF(BD$84=0,NA(),MAX(1,_xlfn.AGGREGATE(4,6,INDEX($D$98:$AD$98,28-$D$83):$AD$98),N(Konfiguration!$F$11)))</f>
        <v>0</v>
      </c>
      <c r="BE100" s="68">
        <f>IF(BE$84=0,NA(),MAX(1,_xlfn.AGGREGATE(4,6,INDEX($D$98:$AD$98,28-$D$83):$AD$98),N(Konfiguration!$F$11)))</f>
        <v>0</v>
      </c>
      <c r="BF100" s="68">
        <f>IF(BF$84=0,NA(),MAX(1,_xlfn.AGGREGATE(4,6,INDEX($D$98:$AD$98,28-$D$83):$AD$98),N(Konfiguration!$F$11)))</f>
        <v>0</v>
      </c>
      <c r="BG100" s="68">
        <f>IF(BG$84=0,NA(),MAX(1,_xlfn.AGGREGATE(4,6,INDEX($D$98:$AD$98,28-$D$83):$AD$98),N(Konfiguration!$F$11)))</f>
        <v>0</v>
      </c>
      <c r="BH100" s="68">
        <f>IF(BH$84=0,NA(),MAX(1,_xlfn.AGGREGATE(4,6,INDEX($D$98:$AD$98,28-$D$83):$AD$98),N(Konfiguration!$F$11)))</f>
        <v>0</v>
      </c>
      <c r="BI100" s="68">
        <f>IF(BI$84=0,NA(),MAX(1,_xlfn.AGGREGATE(4,6,INDEX($D$98:$AD$98,28-$D$83):$AD$98),N(Konfiguration!$F$11)))</f>
        <v>0</v>
      </c>
      <c r="BJ100" s="68">
        <f>IF(BJ$84=0,NA(),MAX(1,_xlfn.AGGREGATE(4,6,INDEX($D$98:$AD$98,28-$D$83):$AD$98),N(Konfiguration!$F$11)))</f>
        <v>0</v>
      </c>
      <c r="BK100" s="68">
        <f>IF(BK$84=0,NA(),MAX(1,_xlfn.AGGREGATE(4,6,INDEX($D$98:$AD$98,28-$D$83):$AD$98),N(Konfiguration!$F$11)))</f>
        <v>0</v>
      </c>
      <c r="BL100" s="68">
        <f>IF(BL$84=0,NA(),MAX(1,_xlfn.AGGREGATE(4,6,INDEX($D$98:$AD$98,28-$D$83):$AD$98),N(Konfiguration!$F$11)))</f>
        <v>0</v>
      </c>
      <c r="BM100" s="68">
        <f>IF(BM$84=0,NA(),MAX(1,_xlfn.AGGREGATE(4,6,INDEX($D$98:$AD$98,28-$D$83):$AD$98),N(Konfiguration!$F$11)))</f>
        <v>0</v>
      </c>
      <c r="BN100" s="68">
        <f>IF(BN$84=0,NA(),MAX(1,_xlfn.AGGREGATE(4,6,INDEX($D$98:$AD$98,28-$D$83):$AD$98),N(Konfiguration!$F$11)))</f>
        <v>0</v>
      </c>
      <c r="BO100" s="68">
        <f>IF(BO$84=0,NA(),MAX(1,_xlfn.AGGREGATE(4,6,INDEX($D$98:$AD$98,28-$D$83):$AD$98),N(Konfiguration!$F$11)))</f>
        <v>0</v>
      </c>
      <c r="BP100" s="68">
        <f>IF(BP$84=0,NA(),MAX(1,_xlfn.AGGREGATE(4,6,INDEX($D$98:$AD$98,28-$D$83):$AD$98),N(Konfiguration!$F$11)))</f>
        <v>0</v>
      </c>
    </row>
    <row r="101" spans="1:68">
      <c r="A101" s="11" t="s">
        <v>729</v>
      </c>
      <c r="B101" s="11" t="s">
        <v>730</v>
      </c>
      <c r="C101" s="67" t="s">
        <v>604</v>
      </c>
      <c r="AQ101" s="68">
        <f>IF(AQ$84=0,NA(),IF(ISNUMBER(INDEX($D$88:$AD$88,AQ$84)),INDEX($D$88:$AD$88,AQ$84)/AQ100,NA()))</f>
        <v>0</v>
      </c>
      <c r="AR101" s="68">
        <f>IF(AR$84=0,NA(),IF(ISNUMBER(INDEX($D$88:$AD$88,AR$84)),INDEX($D$88:$AD$88,AR$84)/AR100,NA()))</f>
        <v>0</v>
      </c>
      <c r="AS101" s="68">
        <f>IF(AS$84=0,NA(),IF(ISNUMBER(INDEX($D$88:$AD$88,AS$84)),INDEX($D$88:$AD$88,AS$84)/AS100,NA()))</f>
        <v>0</v>
      </c>
      <c r="AT101" s="68">
        <f>IF(AT$84=0,NA(),IF(ISNUMBER(INDEX($D$88:$AD$88,AT$84)),INDEX($D$88:$AD$88,AT$84)/AT100,NA()))</f>
        <v>0</v>
      </c>
      <c r="AU101" s="68">
        <f>IF(AU$84=0,NA(),IF(ISNUMBER(INDEX($D$88:$AD$88,AU$84)),INDEX($D$88:$AD$88,AU$84)/AU100,NA()))</f>
        <v>0</v>
      </c>
      <c r="AV101" s="68">
        <f>IF(AV$84=0,NA(),IF(ISNUMBER(INDEX($D$88:$AD$88,AV$84)),INDEX($D$88:$AD$88,AV$84)/AV100,NA()))</f>
        <v>0</v>
      </c>
      <c r="AW101" s="68">
        <f>IF(AW$84=0,NA(),IF(ISNUMBER(INDEX($D$88:$AD$88,AW$84)),INDEX($D$88:$AD$88,AW$84)/AW100,NA()))</f>
        <v>0</v>
      </c>
      <c r="AX101" s="68">
        <f>IF(AX$84=0,NA(),IF(ISNUMBER(INDEX($D$88:$AD$88,AX$84)),INDEX($D$88:$AD$88,AX$84)/AX100,NA()))</f>
        <v>0</v>
      </c>
      <c r="AY101" s="68">
        <f>IF(AY$84=0,NA(),IF(ISNUMBER(INDEX($D$88:$AD$88,AY$84)),INDEX($D$88:$AD$88,AY$84)/AY100,NA()))</f>
        <v>0</v>
      </c>
      <c r="AZ101" s="68">
        <f>IF(AZ$84=0,NA(),IF(ISNUMBER(INDEX($D$88:$AD$88,AZ$84)),INDEX($D$88:$AD$88,AZ$84)/AZ100,NA()))</f>
        <v>0</v>
      </c>
      <c r="BA101" s="68">
        <f>IF(BA$84=0,NA(),IF(ISNUMBER(INDEX($D$88:$AD$88,BA$84)),INDEX($D$88:$AD$88,BA$84)/BA100,NA()))</f>
        <v>0</v>
      </c>
      <c r="BB101" s="68">
        <f>IF(BB$84=0,NA(),IF(ISNUMBER(INDEX($D$88:$AD$88,BB$84)),INDEX($D$88:$AD$88,BB$84)/BB100,NA()))</f>
        <v>0</v>
      </c>
      <c r="BC101" s="68">
        <f>IF(BC$84=0,NA(),IF(ISNUMBER(INDEX($D$88:$AD$88,BC$84)),INDEX($D$88:$AD$88,BC$84)/BC100,NA()))</f>
        <v>0</v>
      </c>
      <c r="BD101" s="68">
        <f>IF(BD$84=0,NA(),IF(ISNUMBER(INDEX($D$88:$AD$88,BD$84)),INDEX($D$88:$AD$88,BD$84)/BD100,NA()))</f>
        <v>0</v>
      </c>
      <c r="BE101" s="68">
        <f>IF(BE$84=0,NA(),IF(ISNUMBER(INDEX($D$88:$AD$88,BE$84)),INDEX($D$88:$AD$88,BE$84)/BE100,NA()))</f>
        <v>0</v>
      </c>
      <c r="BF101" s="68">
        <f>IF(BF$84=0,NA(),IF(ISNUMBER(INDEX($D$88:$AD$88,BF$84)),INDEX($D$88:$AD$88,BF$84)/BF100,NA()))</f>
        <v>0</v>
      </c>
      <c r="BG101" s="68">
        <f>IF(BG$84=0,NA(),IF(ISNUMBER(INDEX($D$88:$AD$88,BG$84)),INDEX($D$88:$AD$88,BG$84)/BG100,NA()))</f>
        <v>0</v>
      </c>
      <c r="BH101" s="68">
        <f>IF(BH$84=0,NA(),IF(ISNUMBER(INDEX($D$88:$AD$88,BH$84)),INDEX($D$88:$AD$88,BH$84)/BH100,NA()))</f>
        <v>0</v>
      </c>
      <c r="BI101" s="68">
        <f>IF(BI$84=0,NA(),IF(ISNUMBER(INDEX($D$88:$AD$88,BI$84)),INDEX($D$88:$AD$88,BI$84)/BI100,NA()))</f>
        <v>0</v>
      </c>
      <c r="BJ101" s="68">
        <f>IF(BJ$84=0,NA(),IF(ISNUMBER(INDEX($D$88:$AD$88,BJ$84)),INDEX($D$88:$AD$88,BJ$84)/BJ100,NA()))</f>
        <v>0</v>
      </c>
      <c r="BK101" s="68">
        <f>IF(BK$84=0,NA(),IF(ISNUMBER(INDEX($D$88:$AD$88,BK$84)),INDEX($D$88:$AD$88,BK$84)/BK100,NA()))</f>
        <v>0</v>
      </c>
      <c r="BL101" s="68">
        <f>IF(BL$84=0,NA(),IF(ISNUMBER(INDEX($D$88:$AD$88,BL$84)),INDEX($D$88:$AD$88,BL$84)/BL100,NA()))</f>
        <v>0</v>
      </c>
      <c r="BM101" s="68">
        <f>IF(BM$84=0,NA(),IF(ISNUMBER(INDEX($D$88:$AD$88,BM$84)),INDEX($D$88:$AD$88,BM$84)/BM100,NA()))</f>
        <v>0</v>
      </c>
      <c r="BN101" s="68">
        <f>IF(BN$84=0,NA(),IF(ISNUMBER(INDEX($D$88:$AD$88,BN$84)),INDEX($D$88:$AD$88,BN$84)/BN100,NA()))</f>
        <v>0</v>
      </c>
      <c r="BO101" s="68">
        <f>IF(BO$84=0,NA(),IF(ISNUMBER(INDEX($D$88:$AD$88,BO$84)),INDEX($D$88:$AD$88,BO$84)/BO100,NA()))</f>
        <v>0</v>
      </c>
      <c r="BP101" s="68">
        <f>IF(BP$84=0,NA(),IF(ISNUMBER(INDEX($D$88:$AD$88,BP$84)),INDEX($D$88:$AD$88,BP$84)/BP100,NA()))</f>
        <v>0</v>
      </c>
    </row>
    <row r="102" spans="1:68">
      <c r="A102" s="11" t="s">
        <v>731</v>
      </c>
      <c r="B102" s="11" t="s">
        <v>732</v>
      </c>
      <c r="C102" s="67" t="s">
        <v>604</v>
      </c>
      <c r="AQ102" s="68">
        <f>IF(AQ$84=0,NA(),IF(ISNUMBER(INDEX($D$87:$AD$87,AQ$84)),INDEX($D$87:$AD$87,AQ$84)/AQ100,NA()))</f>
        <v>0</v>
      </c>
      <c r="AR102" s="68">
        <f>IF(AR$84=0,NA(),IF(ISNUMBER(INDEX($D$87:$AD$87,AR$84)),INDEX($D$87:$AD$87,AR$84)/AR100,NA()))</f>
        <v>0</v>
      </c>
      <c r="AS102" s="68">
        <f>IF(AS$84=0,NA(),IF(ISNUMBER(INDEX($D$87:$AD$87,AS$84)),INDEX($D$87:$AD$87,AS$84)/AS100,NA()))</f>
        <v>0</v>
      </c>
      <c r="AT102" s="68">
        <f>IF(AT$84=0,NA(),IF(ISNUMBER(INDEX($D$87:$AD$87,AT$84)),INDEX($D$87:$AD$87,AT$84)/AT100,NA()))</f>
        <v>0</v>
      </c>
      <c r="AU102" s="68">
        <f>IF(AU$84=0,NA(),IF(ISNUMBER(INDEX($D$87:$AD$87,AU$84)),INDEX($D$87:$AD$87,AU$84)/AU100,NA()))</f>
        <v>0</v>
      </c>
      <c r="AV102" s="68">
        <f>IF(AV$84=0,NA(),IF(ISNUMBER(INDEX($D$87:$AD$87,AV$84)),INDEX($D$87:$AD$87,AV$84)/AV100,NA()))</f>
        <v>0</v>
      </c>
      <c r="AW102" s="68">
        <f>IF(AW$84=0,NA(),IF(ISNUMBER(INDEX($D$87:$AD$87,AW$84)),INDEX($D$87:$AD$87,AW$84)/AW100,NA()))</f>
        <v>0</v>
      </c>
      <c r="AX102" s="68">
        <f>IF(AX$84=0,NA(),IF(ISNUMBER(INDEX($D$87:$AD$87,AX$84)),INDEX($D$87:$AD$87,AX$84)/AX100,NA()))</f>
        <v>0</v>
      </c>
      <c r="AY102" s="68">
        <f>IF(AY$84=0,NA(),IF(ISNUMBER(INDEX($D$87:$AD$87,AY$84)),INDEX($D$87:$AD$87,AY$84)/AY100,NA()))</f>
        <v>0</v>
      </c>
      <c r="AZ102" s="68">
        <f>IF(AZ$84=0,NA(),IF(ISNUMBER(INDEX($D$87:$AD$87,AZ$84)),INDEX($D$87:$AD$87,AZ$84)/AZ100,NA()))</f>
        <v>0</v>
      </c>
      <c r="BA102" s="68">
        <f>IF(BA$84=0,NA(),IF(ISNUMBER(INDEX($D$87:$AD$87,BA$84)),INDEX($D$87:$AD$87,BA$84)/BA100,NA()))</f>
        <v>0</v>
      </c>
      <c r="BB102" s="68">
        <f>IF(BB$84=0,NA(),IF(ISNUMBER(INDEX($D$87:$AD$87,BB$84)),INDEX($D$87:$AD$87,BB$84)/BB100,NA()))</f>
        <v>0</v>
      </c>
      <c r="BC102" s="68">
        <f>IF(BC$84=0,NA(),IF(ISNUMBER(INDEX($D$87:$AD$87,BC$84)),INDEX($D$87:$AD$87,BC$84)/BC100,NA()))</f>
        <v>0</v>
      </c>
      <c r="BD102" s="68">
        <f>IF(BD$84=0,NA(),IF(ISNUMBER(INDEX($D$87:$AD$87,BD$84)),INDEX($D$87:$AD$87,BD$84)/BD100,NA()))</f>
        <v>0</v>
      </c>
      <c r="BE102" s="68">
        <f>IF(BE$84=0,NA(),IF(ISNUMBER(INDEX($D$87:$AD$87,BE$84)),INDEX($D$87:$AD$87,BE$84)/BE100,NA()))</f>
        <v>0</v>
      </c>
      <c r="BF102" s="68">
        <f>IF(BF$84=0,NA(),IF(ISNUMBER(INDEX($D$87:$AD$87,BF$84)),INDEX($D$87:$AD$87,BF$84)/BF100,NA()))</f>
        <v>0</v>
      </c>
      <c r="BG102" s="68">
        <f>IF(BG$84=0,NA(),IF(ISNUMBER(INDEX($D$87:$AD$87,BG$84)),INDEX($D$87:$AD$87,BG$84)/BG100,NA()))</f>
        <v>0</v>
      </c>
      <c r="BH102" s="68">
        <f>IF(BH$84=0,NA(),IF(ISNUMBER(INDEX($D$87:$AD$87,BH$84)),INDEX($D$87:$AD$87,BH$84)/BH100,NA()))</f>
        <v>0</v>
      </c>
      <c r="BI102" s="68">
        <f>IF(BI$84=0,NA(),IF(ISNUMBER(INDEX($D$87:$AD$87,BI$84)),INDEX($D$87:$AD$87,BI$84)/BI100,NA()))</f>
        <v>0</v>
      </c>
      <c r="BJ102" s="68">
        <f>IF(BJ$84=0,NA(),IF(ISNUMBER(INDEX($D$87:$AD$87,BJ$84)),INDEX($D$87:$AD$87,BJ$84)/BJ100,NA()))</f>
        <v>0</v>
      </c>
      <c r="BK102" s="68">
        <f>IF(BK$84=0,NA(),IF(ISNUMBER(INDEX($D$87:$AD$87,BK$84)),INDEX($D$87:$AD$87,BK$84)/BK100,NA()))</f>
        <v>0</v>
      </c>
      <c r="BL102" s="68">
        <f>IF(BL$84=0,NA(),IF(ISNUMBER(INDEX($D$87:$AD$87,BL$84)),INDEX($D$87:$AD$87,BL$84)/BL100,NA()))</f>
        <v>0</v>
      </c>
      <c r="BM102" s="68">
        <f>IF(BM$84=0,NA(),IF(ISNUMBER(INDEX($D$87:$AD$87,BM$84)),INDEX($D$87:$AD$87,BM$84)/BM100,NA()))</f>
        <v>0</v>
      </c>
      <c r="BN102" s="68">
        <f>IF(BN$84=0,NA(),IF(ISNUMBER(INDEX($D$87:$AD$87,BN$84)),INDEX($D$87:$AD$87,BN$84)/BN100,NA()))</f>
        <v>0</v>
      </c>
      <c r="BO102" s="68">
        <f>IF(BO$84=0,NA(),IF(ISNUMBER(INDEX($D$87:$AD$87,BO$84)),INDEX($D$87:$AD$87,BO$84)/BO100,NA()))</f>
        <v>0</v>
      </c>
      <c r="BP102" s="68">
        <f>IF(BP$84=0,NA(),IF(ISNUMBER(INDEX($D$87:$AD$87,BP$84)),INDEX($D$87:$AD$87,BP$84)/BP100,NA()))</f>
        <v>0</v>
      </c>
    </row>
    <row r="103" spans="1:68">
      <c r="A103" s="11" t="s">
        <v>733</v>
      </c>
      <c r="B103" s="11" t="s">
        <v>734</v>
      </c>
      <c r="C103" s="67" t="s">
        <v>604</v>
      </c>
      <c r="AQ103" s="68">
        <f>IF(AQ$84=0,NA(),IF(ISNUMBER(INDEX($D$89:$AD$89,AQ$84)),INDEX($D$89:$AD$89,AQ$84)/AQ100,NA()))</f>
        <v>0</v>
      </c>
      <c r="AR103" s="68">
        <f>IF(AR$84=0,NA(),IF(ISNUMBER(INDEX($D$89:$AD$89,AR$84)),INDEX($D$89:$AD$89,AR$84)/AR100,NA()))</f>
        <v>0</v>
      </c>
      <c r="AS103" s="68">
        <f>IF(AS$84=0,NA(),IF(ISNUMBER(INDEX($D$89:$AD$89,AS$84)),INDEX($D$89:$AD$89,AS$84)/AS100,NA()))</f>
        <v>0</v>
      </c>
      <c r="AT103" s="68">
        <f>IF(AT$84=0,NA(),IF(ISNUMBER(INDEX($D$89:$AD$89,AT$84)),INDEX($D$89:$AD$89,AT$84)/AT100,NA()))</f>
        <v>0</v>
      </c>
      <c r="AU103" s="68">
        <f>IF(AU$84=0,NA(),IF(ISNUMBER(INDEX($D$89:$AD$89,AU$84)),INDEX($D$89:$AD$89,AU$84)/AU100,NA()))</f>
        <v>0</v>
      </c>
      <c r="AV103" s="68">
        <f>IF(AV$84=0,NA(),IF(ISNUMBER(INDEX($D$89:$AD$89,AV$84)),INDEX($D$89:$AD$89,AV$84)/AV100,NA()))</f>
        <v>0</v>
      </c>
      <c r="AW103" s="68">
        <f>IF(AW$84=0,NA(),IF(ISNUMBER(INDEX($D$89:$AD$89,AW$84)),INDEX($D$89:$AD$89,AW$84)/AW100,NA()))</f>
        <v>0</v>
      </c>
      <c r="AX103" s="68">
        <f>IF(AX$84=0,NA(),IF(ISNUMBER(INDEX($D$89:$AD$89,AX$84)),INDEX($D$89:$AD$89,AX$84)/AX100,NA()))</f>
        <v>0</v>
      </c>
      <c r="AY103" s="68">
        <f>IF(AY$84=0,NA(),IF(ISNUMBER(INDEX($D$89:$AD$89,AY$84)),INDEX($D$89:$AD$89,AY$84)/AY100,NA()))</f>
        <v>0</v>
      </c>
      <c r="AZ103" s="68">
        <f>IF(AZ$84=0,NA(),IF(ISNUMBER(INDEX($D$89:$AD$89,AZ$84)),INDEX($D$89:$AD$89,AZ$84)/AZ100,NA()))</f>
        <v>0</v>
      </c>
      <c r="BA103" s="68">
        <f>IF(BA$84=0,NA(),IF(ISNUMBER(INDEX($D$89:$AD$89,BA$84)),INDEX($D$89:$AD$89,BA$84)/BA100,NA()))</f>
        <v>0</v>
      </c>
      <c r="BB103" s="68">
        <f>IF(BB$84=0,NA(),IF(ISNUMBER(INDEX($D$89:$AD$89,BB$84)),INDEX($D$89:$AD$89,BB$84)/BB100,NA()))</f>
        <v>0</v>
      </c>
      <c r="BC103" s="68">
        <f>IF(BC$84=0,NA(),IF(ISNUMBER(INDEX($D$89:$AD$89,BC$84)),INDEX($D$89:$AD$89,BC$84)/BC100,NA()))</f>
        <v>0</v>
      </c>
      <c r="BD103" s="68">
        <f>IF(BD$84=0,NA(),IF(ISNUMBER(INDEX($D$89:$AD$89,BD$84)),INDEX($D$89:$AD$89,BD$84)/BD100,NA()))</f>
        <v>0</v>
      </c>
      <c r="BE103" s="68">
        <f>IF(BE$84=0,NA(),IF(ISNUMBER(INDEX($D$89:$AD$89,BE$84)),INDEX($D$89:$AD$89,BE$84)/BE100,NA()))</f>
        <v>0</v>
      </c>
      <c r="BF103" s="68">
        <f>IF(BF$84=0,NA(),IF(ISNUMBER(INDEX($D$89:$AD$89,BF$84)),INDEX($D$89:$AD$89,BF$84)/BF100,NA()))</f>
        <v>0</v>
      </c>
      <c r="BG103" s="68">
        <f>IF(BG$84=0,NA(),IF(ISNUMBER(INDEX($D$89:$AD$89,BG$84)),INDEX($D$89:$AD$89,BG$84)/BG100,NA()))</f>
        <v>0</v>
      </c>
      <c r="BH103" s="68">
        <f>IF(BH$84=0,NA(),IF(ISNUMBER(INDEX($D$89:$AD$89,BH$84)),INDEX($D$89:$AD$89,BH$84)/BH100,NA()))</f>
        <v>0</v>
      </c>
      <c r="BI103" s="68">
        <f>IF(BI$84=0,NA(),IF(ISNUMBER(INDEX($D$89:$AD$89,BI$84)),INDEX($D$89:$AD$89,BI$84)/BI100,NA()))</f>
        <v>0</v>
      </c>
      <c r="BJ103" s="68">
        <f>IF(BJ$84=0,NA(),IF(ISNUMBER(INDEX($D$89:$AD$89,BJ$84)),INDEX($D$89:$AD$89,BJ$84)/BJ100,NA()))</f>
        <v>0</v>
      </c>
      <c r="BK103" s="68">
        <f>IF(BK$84=0,NA(),IF(ISNUMBER(INDEX($D$89:$AD$89,BK$84)),INDEX($D$89:$AD$89,BK$84)/BK100,NA()))</f>
        <v>0</v>
      </c>
      <c r="BL103" s="68">
        <f>IF(BL$84=0,NA(),IF(ISNUMBER(INDEX($D$89:$AD$89,BL$84)),INDEX($D$89:$AD$89,BL$84)/BL100,NA()))</f>
        <v>0</v>
      </c>
      <c r="BM103" s="68">
        <f>IF(BM$84=0,NA(),IF(ISNUMBER(INDEX($D$89:$AD$89,BM$84)),INDEX($D$89:$AD$89,BM$84)/BM100,NA()))</f>
        <v>0</v>
      </c>
      <c r="BN103" s="68">
        <f>IF(BN$84=0,NA(),IF(ISNUMBER(INDEX($D$89:$AD$89,BN$84)),INDEX($D$89:$AD$89,BN$84)/BN100,NA()))</f>
        <v>0</v>
      </c>
      <c r="BO103" s="68">
        <f>IF(BO$84=0,NA(),IF(ISNUMBER(INDEX($D$89:$AD$89,BO$84)),INDEX($D$89:$AD$89,BO$84)/BO100,NA()))</f>
        <v>0</v>
      </c>
      <c r="BP103" s="68">
        <f>IF(BP$84=0,NA(),IF(ISNUMBER(INDEX($D$89:$AD$89,BP$84)),INDEX($D$89:$AD$89,BP$84)/BP100,NA()))</f>
        <v>0</v>
      </c>
    </row>
    <row r="104" spans="1:68">
      <c r="A104" s="11" t="s">
        <v>735</v>
      </c>
      <c r="B104" s="11" t="s">
        <v>736</v>
      </c>
      <c r="C104" s="67" t="s">
        <v>604</v>
      </c>
      <c r="AQ104" s="68">
        <f>IF(AQ$84=0,NA(),(_xlfn.AGGREGATE(9,6,INDEX($D$88:$AD$88,28-$D$83):$AD$88)&gt;_xlfn.AGGREGATE(9,6,INDEX($D$87:$AD$87,28-$D$83):$AD$87))+(_xlfn.AGGREGATE(9,6,INDEX($D$88:$AD$88,28-$D$83):$AD$88)&gt;_xlfn.AGGREGATE(9,6,INDEX($D$89:$AD$89,28-$D$83):$AD$89))+(_xlfn.AGGREGATE(9,6,INDEX($D$88:$AD$88,28-$D$83):$AD$88)=_xlfn.AGGREGATE(9,6,INDEX($D$89:$AD$89,28-$D$83):$AD$89)))</f>
        <v>0</v>
      </c>
      <c r="AR104" s="68">
        <f>IF(AR$84=0,NA(),(_xlfn.AGGREGATE(9,6,INDEX($D$88:$AD$88,28-$D$83):$AD$88)&gt;_xlfn.AGGREGATE(9,6,INDEX($D$87:$AD$87,28-$D$83):$AD$87))+(_xlfn.AGGREGATE(9,6,INDEX($D$88:$AD$88,28-$D$83):$AD$88)&gt;_xlfn.AGGREGATE(9,6,INDEX($D$89:$AD$89,28-$D$83):$AD$89))+(_xlfn.AGGREGATE(9,6,INDEX($D$88:$AD$88,28-$D$83):$AD$88)=_xlfn.AGGREGATE(9,6,INDEX($D$89:$AD$89,28-$D$83):$AD$89)))</f>
        <v>0</v>
      </c>
      <c r="AS104" s="68">
        <f>IF(AS$84=0,NA(),(_xlfn.AGGREGATE(9,6,INDEX($D$88:$AD$88,28-$D$83):$AD$88)&gt;_xlfn.AGGREGATE(9,6,INDEX($D$87:$AD$87,28-$D$83):$AD$87))+(_xlfn.AGGREGATE(9,6,INDEX($D$88:$AD$88,28-$D$83):$AD$88)&gt;_xlfn.AGGREGATE(9,6,INDEX($D$89:$AD$89,28-$D$83):$AD$89))+(_xlfn.AGGREGATE(9,6,INDEX($D$88:$AD$88,28-$D$83):$AD$88)=_xlfn.AGGREGATE(9,6,INDEX($D$89:$AD$89,28-$D$83):$AD$89)))</f>
        <v>0</v>
      </c>
      <c r="AT104" s="68">
        <f>IF(AT$84=0,NA(),(_xlfn.AGGREGATE(9,6,INDEX($D$88:$AD$88,28-$D$83):$AD$88)&gt;_xlfn.AGGREGATE(9,6,INDEX($D$87:$AD$87,28-$D$83):$AD$87))+(_xlfn.AGGREGATE(9,6,INDEX($D$88:$AD$88,28-$D$83):$AD$88)&gt;_xlfn.AGGREGATE(9,6,INDEX($D$89:$AD$89,28-$D$83):$AD$89))+(_xlfn.AGGREGATE(9,6,INDEX($D$88:$AD$88,28-$D$83):$AD$88)=_xlfn.AGGREGATE(9,6,INDEX($D$89:$AD$89,28-$D$83):$AD$89)))</f>
        <v>0</v>
      </c>
      <c r="AU104" s="68">
        <f>IF(AU$84=0,NA(),(_xlfn.AGGREGATE(9,6,INDEX($D$88:$AD$88,28-$D$83):$AD$88)&gt;_xlfn.AGGREGATE(9,6,INDEX($D$87:$AD$87,28-$D$83):$AD$87))+(_xlfn.AGGREGATE(9,6,INDEX($D$88:$AD$88,28-$D$83):$AD$88)&gt;_xlfn.AGGREGATE(9,6,INDEX($D$89:$AD$89,28-$D$83):$AD$89))+(_xlfn.AGGREGATE(9,6,INDEX($D$88:$AD$88,28-$D$83):$AD$88)=_xlfn.AGGREGATE(9,6,INDEX($D$89:$AD$89,28-$D$83):$AD$89)))</f>
        <v>0</v>
      </c>
      <c r="AV104" s="68">
        <f>IF(AV$84=0,NA(),(_xlfn.AGGREGATE(9,6,INDEX($D$88:$AD$88,28-$D$83):$AD$88)&gt;_xlfn.AGGREGATE(9,6,INDEX($D$87:$AD$87,28-$D$83):$AD$87))+(_xlfn.AGGREGATE(9,6,INDEX($D$88:$AD$88,28-$D$83):$AD$88)&gt;_xlfn.AGGREGATE(9,6,INDEX($D$89:$AD$89,28-$D$83):$AD$89))+(_xlfn.AGGREGATE(9,6,INDEX($D$88:$AD$88,28-$D$83):$AD$88)=_xlfn.AGGREGATE(9,6,INDEX($D$89:$AD$89,28-$D$83):$AD$89)))</f>
        <v>0</v>
      </c>
      <c r="AW104" s="68">
        <f>IF(AW$84=0,NA(),(_xlfn.AGGREGATE(9,6,INDEX($D$88:$AD$88,28-$D$83):$AD$88)&gt;_xlfn.AGGREGATE(9,6,INDEX($D$87:$AD$87,28-$D$83):$AD$87))+(_xlfn.AGGREGATE(9,6,INDEX($D$88:$AD$88,28-$D$83):$AD$88)&gt;_xlfn.AGGREGATE(9,6,INDEX($D$89:$AD$89,28-$D$83):$AD$89))+(_xlfn.AGGREGATE(9,6,INDEX($D$88:$AD$88,28-$D$83):$AD$88)=_xlfn.AGGREGATE(9,6,INDEX($D$89:$AD$89,28-$D$83):$AD$89)))</f>
        <v>0</v>
      </c>
      <c r="AX104" s="68">
        <f>IF(AX$84=0,NA(),(_xlfn.AGGREGATE(9,6,INDEX($D$88:$AD$88,28-$D$83):$AD$88)&gt;_xlfn.AGGREGATE(9,6,INDEX($D$87:$AD$87,28-$D$83):$AD$87))+(_xlfn.AGGREGATE(9,6,INDEX($D$88:$AD$88,28-$D$83):$AD$88)&gt;_xlfn.AGGREGATE(9,6,INDEX($D$89:$AD$89,28-$D$83):$AD$89))+(_xlfn.AGGREGATE(9,6,INDEX($D$88:$AD$88,28-$D$83):$AD$88)=_xlfn.AGGREGATE(9,6,INDEX($D$89:$AD$89,28-$D$83):$AD$89)))</f>
        <v>0</v>
      </c>
      <c r="AY104" s="68">
        <f>IF(AY$84=0,NA(),(_xlfn.AGGREGATE(9,6,INDEX($D$88:$AD$88,28-$D$83):$AD$88)&gt;_xlfn.AGGREGATE(9,6,INDEX($D$87:$AD$87,28-$D$83):$AD$87))+(_xlfn.AGGREGATE(9,6,INDEX($D$88:$AD$88,28-$D$83):$AD$88)&gt;_xlfn.AGGREGATE(9,6,INDEX($D$89:$AD$89,28-$D$83):$AD$89))+(_xlfn.AGGREGATE(9,6,INDEX($D$88:$AD$88,28-$D$83):$AD$88)=_xlfn.AGGREGATE(9,6,INDEX($D$89:$AD$89,28-$D$83):$AD$89)))</f>
        <v>0</v>
      </c>
      <c r="AZ104" s="68">
        <f>IF(AZ$84=0,NA(),(_xlfn.AGGREGATE(9,6,INDEX($D$88:$AD$88,28-$D$83):$AD$88)&gt;_xlfn.AGGREGATE(9,6,INDEX($D$87:$AD$87,28-$D$83):$AD$87))+(_xlfn.AGGREGATE(9,6,INDEX($D$88:$AD$88,28-$D$83):$AD$88)&gt;_xlfn.AGGREGATE(9,6,INDEX($D$89:$AD$89,28-$D$83):$AD$89))+(_xlfn.AGGREGATE(9,6,INDEX($D$88:$AD$88,28-$D$83):$AD$88)=_xlfn.AGGREGATE(9,6,INDEX($D$89:$AD$89,28-$D$83):$AD$89)))</f>
        <v>0</v>
      </c>
      <c r="BA104" s="68">
        <f>IF(BA$84=0,NA(),(_xlfn.AGGREGATE(9,6,INDEX($D$88:$AD$88,28-$D$83):$AD$88)&gt;_xlfn.AGGREGATE(9,6,INDEX($D$87:$AD$87,28-$D$83):$AD$87))+(_xlfn.AGGREGATE(9,6,INDEX($D$88:$AD$88,28-$D$83):$AD$88)&gt;_xlfn.AGGREGATE(9,6,INDEX($D$89:$AD$89,28-$D$83):$AD$89))+(_xlfn.AGGREGATE(9,6,INDEX($D$88:$AD$88,28-$D$83):$AD$88)=_xlfn.AGGREGATE(9,6,INDEX($D$89:$AD$89,28-$D$83):$AD$89)))</f>
        <v>0</v>
      </c>
      <c r="BB104" s="68">
        <f>IF(BB$84=0,NA(),(_xlfn.AGGREGATE(9,6,INDEX($D$88:$AD$88,28-$D$83):$AD$88)&gt;_xlfn.AGGREGATE(9,6,INDEX($D$87:$AD$87,28-$D$83):$AD$87))+(_xlfn.AGGREGATE(9,6,INDEX($D$88:$AD$88,28-$D$83):$AD$88)&gt;_xlfn.AGGREGATE(9,6,INDEX($D$89:$AD$89,28-$D$83):$AD$89))+(_xlfn.AGGREGATE(9,6,INDEX($D$88:$AD$88,28-$D$83):$AD$88)=_xlfn.AGGREGATE(9,6,INDEX($D$89:$AD$89,28-$D$83):$AD$89)))</f>
        <v>0</v>
      </c>
      <c r="BC104" s="68">
        <f>IF(BC$84=0,NA(),(_xlfn.AGGREGATE(9,6,INDEX($D$88:$AD$88,28-$D$83):$AD$88)&gt;_xlfn.AGGREGATE(9,6,INDEX($D$87:$AD$87,28-$D$83):$AD$87))+(_xlfn.AGGREGATE(9,6,INDEX($D$88:$AD$88,28-$D$83):$AD$88)&gt;_xlfn.AGGREGATE(9,6,INDEX($D$89:$AD$89,28-$D$83):$AD$89))+(_xlfn.AGGREGATE(9,6,INDEX($D$88:$AD$88,28-$D$83):$AD$88)=_xlfn.AGGREGATE(9,6,INDEX($D$89:$AD$89,28-$D$83):$AD$89)))</f>
        <v>0</v>
      </c>
      <c r="BD104" s="68">
        <f>IF(BD$84=0,NA(),(_xlfn.AGGREGATE(9,6,INDEX($D$88:$AD$88,28-$D$83):$AD$88)&gt;_xlfn.AGGREGATE(9,6,INDEX($D$87:$AD$87,28-$D$83):$AD$87))+(_xlfn.AGGREGATE(9,6,INDEX($D$88:$AD$88,28-$D$83):$AD$88)&gt;_xlfn.AGGREGATE(9,6,INDEX($D$89:$AD$89,28-$D$83):$AD$89))+(_xlfn.AGGREGATE(9,6,INDEX($D$88:$AD$88,28-$D$83):$AD$88)=_xlfn.AGGREGATE(9,6,INDEX($D$89:$AD$89,28-$D$83):$AD$89)))</f>
        <v>0</v>
      </c>
      <c r="BE104" s="68">
        <f>IF(BE$84=0,NA(),(_xlfn.AGGREGATE(9,6,INDEX($D$88:$AD$88,28-$D$83):$AD$88)&gt;_xlfn.AGGREGATE(9,6,INDEX($D$87:$AD$87,28-$D$83):$AD$87))+(_xlfn.AGGREGATE(9,6,INDEX($D$88:$AD$88,28-$D$83):$AD$88)&gt;_xlfn.AGGREGATE(9,6,INDEX($D$89:$AD$89,28-$D$83):$AD$89))+(_xlfn.AGGREGATE(9,6,INDEX($D$88:$AD$88,28-$D$83):$AD$88)=_xlfn.AGGREGATE(9,6,INDEX($D$89:$AD$89,28-$D$83):$AD$89)))</f>
        <v>0</v>
      </c>
      <c r="BF104" s="68">
        <f>IF(BF$84=0,NA(),(_xlfn.AGGREGATE(9,6,INDEX($D$88:$AD$88,28-$D$83):$AD$88)&gt;_xlfn.AGGREGATE(9,6,INDEX($D$87:$AD$87,28-$D$83):$AD$87))+(_xlfn.AGGREGATE(9,6,INDEX($D$88:$AD$88,28-$D$83):$AD$88)&gt;_xlfn.AGGREGATE(9,6,INDEX($D$89:$AD$89,28-$D$83):$AD$89))+(_xlfn.AGGREGATE(9,6,INDEX($D$88:$AD$88,28-$D$83):$AD$88)=_xlfn.AGGREGATE(9,6,INDEX($D$89:$AD$89,28-$D$83):$AD$89)))</f>
        <v>0</v>
      </c>
      <c r="BG104" s="68">
        <f>IF(BG$84=0,NA(),(_xlfn.AGGREGATE(9,6,INDEX($D$88:$AD$88,28-$D$83):$AD$88)&gt;_xlfn.AGGREGATE(9,6,INDEX($D$87:$AD$87,28-$D$83):$AD$87))+(_xlfn.AGGREGATE(9,6,INDEX($D$88:$AD$88,28-$D$83):$AD$88)&gt;_xlfn.AGGREGATE(9,6,INDEX($D$89:$AD$89,28-$D$83):$AD$89))+(_xlfn.AGGREGATE(9,6,INDEX($D$88:$AD$88,28-$D$83):$AD$88)=_xlfn.AGGREGATE(9,6,INDEX($D$89:$AD$89,28-$D$83):$AD$89)))</f>
        <v>0</v>
      </c>
      <c r="BH104" s="68">
        <f>IF(BH$84=0,NA(),(_xlfn.AGGREGATE(9,6,INDEX($D$88:$AD$88,28-$D$83):$AD$88)&gt;_xlfn.AGGREGATE(9,6,INDEX($D$87:$AD$87,28-$D$83):$AD$87))+(_xlfn.AGGREGATE(9,6,INDEX($D$88:$AD$88,28-$D$83):$AD$88)&gt;_xlfn.AGGREGATE(9,6,INDEX($D$89:$AD$89,28-$D$83):$AD$89))+(_xlfn.AGGREGATE(9,6,INDEX($D$88:$AD$88,28-$D$83):$AD$88)=_xlfn.AGGREGATE(9,6,INDEX($D$89:$AD$89,28-$D$83):$AD$89)))</f>
        <v>0</v>
      </c>
      <c r="BI104" s="68">
        <f>IF(BI$84=0,NA(),(_xlfn.AGGREGATE(9,6,INDEX($D$88:$AD$88,28-$D$83):$AD$88)&gt;_xlfn.AGGREGATE(9,6,INDEX($D$87:$AD$87,28-$D$83):$AD$87))+(_xlfn.AGGREGATE(9,6,INDEX($D$88:$AD$88,28-$D$83):$AD$88)&gt;_xlfn.AGGREGATE(9,6,INDEX($D$89:$AD$89,28-$D$83):$AD$89))+(_xlfn.AGGREGATE(9,6,INDEX($D$88:$AD$88,28-$D$83):$AD$88)=_xlfn.AGGREGATE(9,6,INDEX($D$89:$AD$89,28-$D$83):$AD$89)))</f>
        <v>0</v>
      </c>
      <c r="BJ104" s="68">
        <f>IF(BJ$84=0,NA(),(_xlfn.AGGREGATE(9,6,INDEX($D$88:$AD$88,28-$D$83):$AD$88)&gt;_xlfn.AGGREGATE(9,6,INDEX($D$87:$AD$87,28-$D$83):$AD$87))+(_xlfn.AGGREGATE(9,6,INDEX($D$88:$AD$88,28-$D$83):$AD$88)&gt;_xlfn.AGGREGATE(9,6,INDEX($D$89:$AD$89,28-$D$83):$AD$89))+(_xlfn.AGGREGATE(9,6,INDEX($D$88:$AD$88,28-$D$83):$AD$88)=_xlfn.AGGREGATE(9,6,INDEX($D$89:$AD$89,28-$D$83):$AD$89)))</f>
        <v>0</v>
      </c>
      <c r="BK104" s="68">
        <f>IF(BK$84=0,NA(),(_xlfn.AGGREGATE(9,6,INDEX($D$88:$AD$88,28-$D$83):$AD$88)&gt;_xlfn.AGGREGATE(9,6,INDEX($D$87:$AD$87,28-$D$83):$AD$87))+(_xlfn.AGGREGATE(9,6,INDEX($D$88:$AD$88,28-$D$83):$AD$88)&gt;_xlfn.AGGREGATE(9,6,INDEX($D$89:$AD$89,28-$D$83):$AD$89))+(_xlfn.AGGREGATE(9,6,INDEX($D$88:$AD$88,28-$D$83):$AD$88)=_xlfn.AGGREGATE(9,6,INDEX($D$89:$AD$89,28-$D$83):$AD$89)))</f>
        <v>0</v>
      </c>
      <c r="BL104" s="68">
        <f>IF(BL$84=0,NA(),(_xlfn.AGGREGATE(9,6,INDEX($D$88:$AD$88,28-$D$83):$AD$88)&gt;_xlfn.AGGREGATE(9,6,INDEX($D$87:$AD$87,28-$D$83):$AD$87))+(_xlfn.AGGREGATE(9,6,INDEX($D$88:$AD$88,28-$D$83):$AD$88)&gt;_xlfn.AGGREGATE(9,6,INDEX($D$89:$AD$89,28-$D$83):$AD$89))+(_xlfn.AGGREGATE(9,6,INDEX($D$88:$AD$88,28-$D$83):$AD$88)=_xlfn.AGGREGATE(9,6,INDEX($D$89:$AD$89,28-$D$83):$AD$89)))</f>
        <v>0</v>
      </c>
      <c r="BM104" s="68">
        <f>IF(BM$84=0,NA(),(_xlfn.AGGREGATE(9,6,INDEX($D$88:$AD$88,28-$D$83):$AD$88)&gt;_xlfn.AGGREGATE(9,6,INDEX($D$87:$AD$87,28-$D$83):$AD$87))+(_xlfn.AGGREGATE(9,6,INDEX($D$88:$AD$88,28-$D$83):$AD$88)&gt;_xlfn.AGGREGATE(9,6,INDEX($D$89:$AD$89,28-$D$83):$AD$89))+(_xlfn.AGGREGATE(9,6,INDEX($D$88:$AD$88,28-$D$83):$AD$88)=_xlfn.AGGREGATE(9,6,INDEX($D$89:$AD$89,28-$D$83):$AD$89)))</f>
        <v>0</v>
      </c>
      <c r="BN104" s="68">
        <f>IF(BN$84=0,NA(),(_xlfn.AGGREGATE(9,6,INDEX($D$88:$AD$88,28-$D$83):$AD$88)&gt;_xlfn.AGGREGATE(9,6,INDEX($D$87:$AD$87,28-$D$83):$AD$87))+(_xlfn.AGGREGATE(9,6,INDEX($D$88:$AD$88,28-$D$83):$AD$88)&gt;_xlfn.AGGREGATE(9,6,INDEX($D$89:$AD$89,28-$D$83):$AD$89))+(_xlfn.AGGREGATE(9,6,INDEX($D$88:$AD$88,28-$D$83):$AD$88)=_xlfn.AGGREGATE(9,6,INDEX($D$89:$AD$89,28-$D$83):$AD$89)))</f>
        <v>0</v>
      </c>
      <c r="BO104" s="68">
        <f>IF(BO$84=0,NA(),(_xlfn.AGGREGATE(9,6,INDEX($D$88:$AD$88,28-$D$83):$AD$88)&gt;_xlfn.AGGREGATE(9,6,INDEX($D$87:$AD$87,28-$D$83):$AD$87))+(_xlfn.AGGREGATE(9,6,INDEX($D$88:$AD$88,28-$D$83):$AD$88)&gt;_xlfn.AGGREGATE(9,6,INDEX($D$89:$AD$89,28-$D$83):$AD$89))+(_xlfn.AGGREGATE(9,6,INDEX($D$88:$AD$88,28-$D$83):$AD$88)=_xlfn.AGGREGATE(9,6,INDEX($D$89:$AD$89,28-$D$83):$AD$89)))</f>
        <v>0</v>
      </c>
      <c r="BP104" s="68">
        <f>IF(BP$84=0,NA(),(_xlfn.AGGREGATE(9,6,INDEX($D$88:$AD$88,28-$D$83):$AD$88)&gt;_xlfn.AGGREGATE(9,6,INDEX($D$87:$AD$87,28-$D$83):$AD$87))+(_xlfn.AGGREGATE(9,6,INDEX($D$88:$AD$88,28-$D$83):$AD$88)&gt;_xlfn.AGGREGATE(9,6,INDEX($D$89:$AD$89,28-$D$83):$AD$89))+(_xlfn.AGGREGATE(9,6,INDEX($D$88:$AD$88,28-$D$83):$AD$88)=_xlfn.AGGREGATE(9,6,INDEX($D$89:$AD$89,28-$D$83):$AD$89)))</f>
        <v>0</v>
      </c>
    </row>
    <row r="105" spans="1:68">
      <c r="A105" s="11" t="s">
        <v>737</v>
      </c>
      <c r="B105" s="11" t="s">
        <v>738</v>
      </c>
      <c r="C105" s="67" t="s">
        <v>604</v>
      </c>
      <c r="AQ105" s="11">
        <f>IF(AQ$84=0,"",IF(ISNUMBER(INDEX($D$88:$AD$88,AQ$84)),FIXED(INDEX($D$88:$AD$88,AQ$84)/1000,1),""))</f>
        <v>0</v>
      </c>
      <c r="AR105" s="11">
        <f>IF(AR$84=0,"",IF(ISNUMBER(INDEX($D$88:$AD$88,AR$84)),FIXED(INDEX($D$88:$AD$88,AR$84)/1000,1),""))</f>
        <v>0</v>
      </c>
      <c r="AS105" s="11">
        <f>IF(AS$84=0,"",IF(ISNUMBER(INDEX($D$88:$AD$88,AS$84)),FIXED(INDEX($D$88:$AD$88,AS$84)/1000,1),""))</f>
        <v>0</v>
      </c>
      <c r="AT105" s="11">
        <f>IF(AT$84=0,"",IF(ISNUMBER(INDEX($D$88:$AD$88,AT$84)),FIXED(INDEX($D$88:$AD$88,AT$84)/1000,1),""))</f>
        <v>0</v>
      </c>
      <c r="AU105" s="11">
        <f>IF(AU$84=0,"",IF(ISNUMBER(INDEX($D$88:$AD$88,AU$84)),FIXED(INDEX($D$88:$AD$88,AU$84)/1000,1),""))</f>
        <v>0</v>
      </c>
      <c r="AV105" s="11">
        <f>IF(AV$84=0,"",IF(ISNUMBER(INDEX($D$88:$AD$88,AV$84)),FIXED(INDEX($D$88:$AD$88,AV$84)/1000,1),""))</f>
        <v>0</v>
      </c>
      <c r="AW105" s="11">
        <f>IF(AW$84=0,"",IF(ISNUMBER(INDEX($D$88:$AD$88,AW$84)),FIXED(INDEX($D$88:$AD$88,AW$84)/1000,1),""))</f>
        <v>0</v>
      </c>
      <c r="AX105" s="11">
        <f>IF(AX$84=0,"",IF(ISNUMBER(INDEX($D$88:$AD$88,AX$84)),FIXED(INDEX($D$88:$AD$88,AX$84)/1000,1),""))</f>
        <v>0</v>
      </c>
      <c r="AY105" s="11">
        <f>IF(AY$84=0,"",IF(ISNUMBER(INDEX($D$88:$AD$88,AY$84)),FIXED(INDEX($D$88:$AD$88,AY$84)/1000,1),""))</f>
        <v>0</v>
      </c>
      <c r="AZ105" s="11">
        <f>IF(AZ$84=0,"",IF(ISNUMBER(INDEX($D$88:$AD$88,AZ$84)),FIXED(INDEX($D$88:$AD$88,AZ$84)/1000,1),""))</f>
        <v>0</v>
      </c>
      <c r="BA105" s="11">
        <f>IF(BA$84=0,"",IF(ISNUMBER(INDEX($D$88:$AD$88,BA$84)),FIXED(INDEX($D$88:$AD$88,BA$84)/1000,1),""))</f>
        <v>0</v>
      </c>
      <c r="BB105" s="11">
        <f>IF(BB$84=0,"",IF(ISNUMBER(INDEX($D$88:$AD$88,BB$84)),FIXED(INDEX($D$88:$AD$88,BB$84)/1000,1),""))</f>
        <v>0</v>
      </c>
      <c r="BC105" s="11">
        <f>IF(BC$84=0,"",IF(ISNUMBER(INDEX($D$88:$AD$88,BC$84)),FIXED(INDEX($D$88:$AD$88,BC$84)/1000,1),""))</f>
        <v>0</v>
      </c>
      <c r="BD105" s="11">
        <f>IF(BD$84=0,"",IF(ISNUMBER(INDEX($D$88:$AD$88,BD$84)),FIXED(INDEX($D$88:$AD$88,BD$84)/1000,1),""))</f>
        <v>0</v>
      </c>
      <c r="BE105" s="11">
        <f>IF(BE$84=0,"",IF(ISNUMBER(INDEX($D$88:$AD$88,BE$84)),FIXED(INDEX($D$88:$AD$88,BE$84)/1000,1),""))</f>
        <v>0</v>
      </c>
      <c r="BF105" s="11">
        <f>IF(BF$84=0,"",IF(ISNUMBER(INDEX($D$88:$AD$88,BF$84)),FIXED(INDEX($D$88:$AD$88,BF$84)/1000,1),""))</f>
        <v>0</v>
      </c>
      <c r="BG105" s="11">
        <f>IF(BG$84=0,"",IF(ISNUMBER(INDEX($D$88:$AD$88,BG$84)),FIXED(INDEX($D$88:$AD$88,BG$84)/1000,1),""))</f>
        <v>0</v>
      </c>
      <c r="BH105" s="11">
        <f>IF(BH$84=0,"",IF(ISNUMBER(INDEX($D$88:$AD$88,BH$84)),FIXED(INDEX($D$88:$AD$88,BH$84)/1000,1),""))</f>
        <v>0</v>
      </c>
      <c r="BI105" s="11">
        <f>IF(BI$84=0,"",IF(ISNUMBER(INDEX($D$88:$AD$88,BI$84)),FIXED(INDEX($D$88:$AD$88,BI$84)/1000,1),""))</f>
        <v>0</v>
      </c>
      <c r="BJ105" s="11">
        <f>IF(BJ$84=0,"",IF(ISNUMBER(INDEX($D$88:$AD$88,BJ$84)),FIXED(INDEX($D$88:$AD$88,BJ$84)/1000,1),""))</f>
        <v>0</v>
      </c>
      <c r="BK105" s="11">
        <f>IF(BK$84=0,"",IF(ISNUMBER(INDEX($D$88:$AD$88,BK$84)),FIXED(INDEX($D$88:$AD$88,BK$84)/1000,1),""))</f>
        <v>0</v>
      </c>
      <c r="BL105" s="11">
        <f>IF(BL$84=0,"",IF(ISNUMBER(INDEX($D$88:$AD$88,BL$84)),FIXED(INDEX($D$88:$AD$88,BL$84)/1000,1),""))</f>
        <v>0</v>
      </c>
      <c r="BM105" s="11">
        <f>IF(BM$84=0,"",IF(ISNUMBER(INDEX($D$88:$AD$88,BM$84)),FIXED(INDEX($D$88:$AD$88,BM$84)/1000,1),""))</f>
        <v>0</v>
      </c>
      <c r="BN105" s="11">
        <f>IF(BN$84=0,"",IF(ISNUMBER(INDEX($D$88:$AD$88,BN$84)),FIXED(INDEX($D$88:$AD$88,BN$84)/1000,1),""))</f>
        <v>0</v>
      </c>
      <c r="BO105" s="11">
        <f>IF(BO$84=0,"",IF(ISNUMBER(INDEX($D$88:$AD$88,BO$84)),FIXED(INDEX($D$88:$AD$88,BO$84)/1000,1),""))</f>
        <v>0</v>
      </c>
      <c r="BP105" s="11">
        <f>IF(BP$84=0,"",IF(ISNUMBER(INDEX($D$88:$AD$88,BP$84)),FIXED(INDEX($D$88:$AD$88,BP$84)/1000,1),""))</f>
        <v>0</v>
      </c>
    </row>
    <row r="106" spans="1:68">
      <c r="A106" s="11" t="s">
        <v>739</v>
      </c>
      <c r="B106" s="11" t="s">
        <v>740</v>
      </c>
      <c r="C106" s="67" t="s">
        <v>604</v>
      </c>
      <c r="AQ106" s="68">
        <f>IF(AQ$84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AR106" s="68">
        <f>IF(AR$84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AS106" s="68">
        <f>IF(AS$84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AT106" s="68">
        <f>IF(AT$84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AU106" s="68">
        <f>IF(AU$84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AV106" s="68">
        <f>IF(AV$84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AW106" s="68">
        <f>IF(AW$84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AX106" s="68">
        <f>IF(AX$84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AY106" s="68">
        <f>IF(AY$84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AZ106" s="68">
        <f>IF(AZ$84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A106" s="68">
        <f>IF(BA$84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B106" s="68">
        <f>IF(BB$84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C106" s="68">
        <f>IF(BC$84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D106" s="68">
        <f>IF(BD$84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E106" s="68">
        <f>IF(BE$84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F106" s="68">
        <f>IF(BF$84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G106" s="68">
        <f>IF(BG$84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H106" s="68">
        <f>IF(BH$84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I106" s="68">
        <f>IF(BI$84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J106" s="68">
        <f>IF(BJ$84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K106" s="68">
        <f>IF(BK$84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L106" s="68">
        <f>IF(BL$84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M106" s="68">
        <f>IF(BM$84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N106" s="68">
        <f>IF(BN$84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O106" s="68">
        <f>IF(BO$84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c r="BP106" s="68">
        <f>IF(BP$84=0,NA(),(_xlfn.AGGREGATE(9,6,INDEX($D$87:$AD$87,28-$D$83):$AD$87)&gt;_xlfn.AGGREGATE(9,6,INDEX($D$88:$AD$88,28-$D$83):$AD$88))+(_xlfn.AGGREGATE(9,6,INDEX($D$87:$AD$87,28-$D$83):$AD$87)=_xlfn.AGGREGATE(9,6,INDEX($D$88:$AD$88,28-$D$83):$AD$88))+(_xlfn.AGGREGATE(9,6,INDEX($D$87:$AD$87,28-$D$83):$AD$87)&gt;_xlfn.AGGREGATE(9,6,INDEX($D$89:$AD$89,28-$D$83):$AD$89))+(_xlfn.AGGREGATE(9,6,INDEX($D$87:$AD$87,28-$D$83):$AD$87)=_xlfn.AGGREGATE(9,6,INDEX($D$89:$AD$89,28-$D$83):$AD$89)))</f>
        <v>0</v>
      </c>
    </row>
    <row r="107" spans="1:68">
      <c r="A107" s="11" t="s">
        <v>741</v>
      </c>
      <c r="B107" s="11" t="s">
        <v>742</v>
      </c>
      <c r="C107" s="67" t="s">
        <v>604</v>
      </c>
      <c r="AQ107" s="11">
        <f>IF(AQ$84=0,"",IF(ISNUMBER(INDEX($D$87:$AD$87,AQ$84)),FIXED(INDEX($D$87:$AD$87,AQ$84)/1000,1),""))</f>
        <v>0</v>
      </c>
      <c r="AR107" s="11">
        <f>IF(AR$84=0,"",IF(ISNUMBER(INDEX($D$87:$AD$87,AR$84)),FIXED(INDEX($D$87:$AD$87,AR$84)/1000,1),""))</f>
        <v>0</v>
      </c>
      <c r="AS107" s="11">
        <f>IF(AS$84=0,"",IF(ISNUMBER(INDEX($D$87:$AD$87,AS$84)),FIXED(INDEX($D$87:$AD$87,AS$84)/1000,1),""))</f>
        <v>0</v>
      </c>
      <c r="AT107" s="11">
        <f>IF(AT$84=0,"",IF(ISNUMBER(INDEX($D$87:$AD$87,AT$84)),FIXED(INDEX($D$87:$AD$87,AT$84)/1000,1),""))</f>
        <v>0</v>
      </c>
      <c r="AU107" s="11">
        <f>IF(AU$84=0,"",IF(ISNUMBER(INDEX($D$87:$AD$87,AU$84)),FIXED(INDEX($D$87:$AD$87,AU$84)/1000,1),""))</f>
        <v>0</v>
      </c>
      <c r="AV107" s="11">
        <f>IF(AV$84=0,"",IF(ISNUMBER(INDEX($D$87:$AD$87,AV$84)),FIXED(INDEX($D$87:$AD$87,AV$84)/1000,1),""))</f>
        <v>0</v>
      </c>
      <c r="AW107" s="11">
        <f>IF(AW$84=0,"",IF(ISNUMBER(INDEX($D$87:$AD$87,AW$84)),FIXED(INDEX($D$87:$AD$87,AW$84)/1000,1),""))</f>
        <v>0</v>
      </c>
      <c r="AX107" s="11">
        <f>IF(AX$84=0,"",IF(ISNUMBER(INDEX($D$87:$AD$87,AX$84)),FIXED(INDEX($D$87:$AD$87,AX$84)/1000,1),""))</f>
        <v>0</v>
      </c>
      <c r="AY107" s="11">
        <f>IF(AY$84=0,"",IF(ISNUMBER(INDEX($D$87:$AD$87,AY$84)),FIXED(INDEX($D$87:$AD$87,AY$84)/1000,1),""))</f>
        <v>0</v>
      </c>
      <c r="AZ107" s="11">
        <f>IF(AZ$84=0,"",IF(ISNUMBER(INDEX($D$87:$AD$87,AZ$84)),FIXED(INDEX($D$87:$AD$87,AZ$84)/1000,1),""))</f>
        <v>0</v>
      </c>
      <c r="BA107" s="11">
        <f>IF(BA$84=0,"",IF(ISNUMBER(INDEX($D$87:$AD$87,BA$84)),FIXED(INDEX($D$87:$AD$87,BA$84)/1000,1),""))</f>
        <v>0</v>
      </c>
      <c r="BB107" s="11">
        <f>IF(BB$84=0,"",IF(ISNUMBER(INDEX($D$87:$AD$87,BB$84)),FIXED(INDEX($D$87:$AD$87,BB$84)/1000,1),""))</f>
        <v>0</v>
      </c>
      <c r="BC107" s="11">
        <f>IF(BC$84=0,"",IF(ISNUMBER(INDEX($D$87:$AD$87,BC$84)),FIXED(INDEX($D$87:$AD$87,BC$84)/1000,1),""))</f>
        <v>0</v>
      </c>
      <c r="BD107" s="11">
        <f>IF(BD$84=0,"",IF(ISNUMBER(INDEX($D$87:$AD$87,BD$84)),FIXED(INDEX($D$87:$AD$87,BD$84)/1000,1),""))</f>
        <v>0</v>
      </c>
      <c r="BE107" s="11">
        <f>IF(BE$84=0,"",IF(ISNUMBER(INDEX($D$87:$AD$87,BE$84)),FIXED(INDEX($D$87:$AD$87,BE$84)/1000,1),""))</f>
        <v>0</v>
      </c>
      <c r="BF107" s="11">
        <f>IF(BF$84=0,"",IF(ISNUMBER(INDEX($D$87:$AD$87,BF$84)),FIXED(INDEX($D$87:$AD$87,BF$84)/1000,1),""))</f>
        <v>0</v>
      </c>
      <c r="BG107" s="11">
        <f>IF(BG$84=0,"",IF(ISNUMBER(INDEX($D$87:$AD$87,BG$84)),FIXED(INDEX($D$87:$AD$87,BG$84)/1000,1),""))</f>
        <v>0</v>
      </c>
      <c r="BH107" s="11">
        <f>IF(BH$84=0,"",IF(ISNUMBER(INDEX($D$87:$AD$87,BH$84)),FIXED(INDEX($D$87:$AD$87,BH$84)/1000,1),""))</f>
        <v>0</v>
      </c>
      <c r="BI107" s="11">
        <f>IF(BI$84=0,"",IF(ISNUMBER(INDEX($D$87:$AD$87,BI$84)),FIXED(INDEX($D$87:$AD$87,BI$84)/1000,1),""))</f>
        <v>0</v>
      </c>
      <c r="BJ107" s="11">
        <f>IF(BJ$84=0,"",IF(ISNUMBER(INDEX($D$87:$AD$87,BJ$84)),FIXED(INDEX($D$87:$AD$87,BJ$84)/1000,1),""))</f>
        <v>0</v>
      </c>
      <c r="BK107" s="11">
        <f>IF(BK$84=0,"",IF(ISNUMBER(INDEX($D$87:$AD$87,BK$84)),FIXED(INDEX($D$87:$AD$87,BK$84)/1000,1),""))</f>
        <v>0</v>
      </c>
      <c r="BL107" s="11">
        <f>IF(BL$84=0,"",IF(ISNUMBER(INDEX($D$87:$AD$87,BL$84)),FIXED(INDEX($D$87:$AD$87,BL$84)/1000,1),""))</f>
        <v>0</v>
      </c>
      <c r="BM107" s="11">
        <f>IF(BM$84=0,"",IF(ISNUMBER(INDEX($D$87:$AD$87,BM$84)),FIXED(INDEX($D$87:$AD$87,BM$84)/1000,1),""))</f>
        <v>0</v>
      </c>
      <c r="BN107" s="11">
        <f>IF(BN$84=0,"",IF(ISNUMBER(INDEX($D$87:$AD$87,BN$84)),FIXED(INDEX($D$87:$AD$87,BN$84)/1000,1),""))</f>
        <v>0</v>
      </c>
      <c r="BO107" s="11">
        <f>IF(BO$84=0,"",IF(ISNUMBER(INDEX($D$87:$AD$87,BO$84)),FIXED(INDEX($D$87:$AD$87,BO$84)/1000,1),""))</f>
        <v>0</v>
      </c>
      <c r="BP107" s="11">
        <f>IF(BP$84=0,"",IF(ISNUMBER(INDEX($D$87:$AD$87,BP$84)),FIXED(INDEX($D$87:$AD$87,BP$84)/1000,1),""))</f>
        <v>0</v>
      </c>
    </row>
    <row r="108" spans="1:68">
      <c r="A108" s="11" t="s">
        <v>743</v>
      </c>
      <c r="B108" s="11" t="s">
        <v>744</v>
      </c>
      <c r="C108" s="67" t="s">
        <v>604</v>
      </c>
      <c r="AQ108" s="68">
        <f>IF(AQ$84=0,NA(),(_xlfn.AGGREGATE(9,6,INDEX($D$89:$AD$89,28-$D$83):$AD$89)&gt;_xlfn.AGGREGATE(9,6,INDEX($D$87:$AD$87,28-$D$83):$AD$87))+(_xlfn.AGGREGATE(9,6,INDEX($D$89:$AD$89,28-$D$83):$AD$89)&gt;_xlfn.AGGREGATE(9,6,INDEX($D$88:$AD$88,28-$D$83):$AD$88)))</f>
        <v>0</v>
      </c>
      <c r="AR108" s="68">
        <f>IF(AR$84=0,NA(),(_xlfn.AGGREGATE(9,6,INDEX($D$89:$AD$89,28-$D$83):$AD$89)&gt;_xlfn.AGGREGATE(9,6,INDEX($D$87:$AD$87,28-$D$83):$AD$87))+(_xlfn.AGGREGATE(9,6,INDEX($D$89:$AD$89,28-$D$83):$AD$89)&gt;_xlfn.AGGREGATE(9,6,INDEX($D$88:$AD$88,28-$D$83):$AD$88)))</f>
        <v>0</v>
      </c>
      <c r="AS108" s="68">
        <f>IF(AS$84=0,NA(),(_xlfn.AGGREGATE(9,6,INDEX($D$89:$AD$89,28-$D$83):$AD$89)&gt;_xlfn.AGGREGATE(9,6,INDEX($D$87:$AD$87,28-$D$83):$AD$87))+(_xlfn.AGGREGATE(9,6,INDEX($D$89:$AD$89,28-$D$83):$AD$89)&gt;_xlfn.AGGREGATE(9,6,INDEX($D$88:$AD$88,28-$D$83):$AD$88)))</f>
        <v>0</v>
      </c>
      <c r="AT108" s="68">
        <f>IF(AT$84=0,NA(),(_xlfn.AGGREGATE(9,6,INDEX($D$89:$AD$89,28-$D$83):$AD$89)&gt;_xlfn.AGGREGATE(9,6,INDEX($D$87:$AD$87,28-$D$83):$AD$87))+(_xlfn.AGGREGATE(9,6,INDEX($D$89:$AD$89,28-$D$83):$AD$89)&gt;_xlfn.AGGREGATE(9,6,INDEX($D$88:$AD$88,28-$D$83):$AD$88)))</f>
        <v>0</v>
      </c>
      <c r="AU108" s="68">
        <f>IF(AU$84=0,NA(),(_xlfn.AGGREGATE(9,6,INDEX($D$89:$AD$89,28-$D$83):$AD$89)&gt;_xlfn.AGGREGATE(9,6,INDEX($D$87:$AD$87,28-$D$83):$AD$87))+(_xlfn.AGGREGATE(9,6,INDEX($D$89:$AD$89,28-$D$83):$AD$89)&gt;_xlfn.AGGREGATE(9,6,INDEX($D$88:$AD$88,28-$D$83):$AD$88)))</f>
        <v>0</v>
      </c>
      <c r="AV108" s="68">
        <f>IF(AV$84=0,NA(),(_xlfn.AGGREGATE(9,6,INDEX($D$89:$AD$89,28-$D$83):$AD$89)&gt;_xlfn.AGGREGATE(9,6,INDEX($D$87:$AD$87,28-$D$83):$AD$87))+(_xlfn.AGGREGATE(9,6,INDEX($D$89:$AD$89,28-$D$83):$AD$89)&gt;_xlfn.AGGREGATE(9,6,INDEX($D$88:$AD$88,28-$D$83):$AD$88)))</f>
        <v>0</v>
      </c>
      <c r="AW108" s="68">
        <f>IF(AW$84=0,NA(),(_xlfn.AGGREGATE(9,6,INDEX($D$89:$AD$89,28-$D$83):$AD$89)&gt;_xlfn.AGGREGATE(9,6,INDEX($D$87:$AD$87,28-$D$83):$AD$87))+(_xlfn.AGGREGATE(9,6,INDEX($D$89:$AD$89,28-$D$83):$AD$89)&gt;_xlfn.AGGREGATE(9,6,INDEX($D$88:$AD$88,28-$D$83):$AD$88)))</f>
        <v>0</v>
      </c>
      <c r="AX108" s="68">
        <f>IF(AX$84=0,NA(),(_xlfn.AGGREGATE(9,6,INDEX($D$89:$AD$89,28-$D$83):$AD$89)&gt;_xlfn.AGGREGATE(9,6,INDEX($D$87:$AD$87,28-$D$83):$AD$87))+(_xlfn.AGGREGATE(9,6,INDEX($D$89:$AD$89,28-$D$83):$AD$89)&gt;_xlfn.AGGREGATE(9,6,INDEX($D$88:$AD$88,28-$D$83):$AD$88)))</f>
        <v>0</v>
      </c>
      <c r="AY108" s="68">
        <f>IF(AY$84=0,NA(),(_xlfn.AGGREGATE(9,6,INDEX($D$89:$AD$89,28-$D$83):$AD$89)&gt;_xlfn.AGGREGATE(9,6,INDEX($D$87:$AD$87,28-$D$83):$AD$87))+(_xlfn.AGGREGATE(9,6,INDEX($D$89:$AD$89,28-$D$83):$AD$89)&gt;_xlfn.AGGREGATE(9,6,INDEX($D$88:$AD$88,28-$D$83):$AD$88)))</f>
        <v>0</v>
      </c>
      <c r="AZ108" s="68">
        <f>IF(AZ$84=0,NA(),(_xlfn.AGGREGATE(9,6,INDEX($D$89:$AD$89,28-$D$83):$AD$89)&gt;_xlfn.AGGREGATE(9,6,INDEX($D$87:$AD$87,28-$D$83):$AD$87))+(_xlfn.AGGREGATE(9,6,INDEX($D$89:$AD$89,28-$D$83):$AD$89)&gt;_xlfn.AGGREGATE(9,6,INDEX($D$88:$AD$88,28-$D$83):$AD$88)))</f>
        <v>0</v>
      </c>
      <c r="BA108" s="68">
        <f>IF(BA$84=0,NA(),(_xlfn.AGGREGATE(9,6,INDEX($D$89:$AD$89,28-$D$83):$AD$89)&gt;_xlfn.AGGREGATE(9,6,INDEX($D$87:$AD$87,28-$D$83):$AD$87))+(_xlfn.AGGREGATE(9,6,INDEX($D$89:$AD$89,28-$D$83):$AD$89)&gt;_xlfn.AGGREGATE(9,6,INDEX($D$88:$AD$88,28-$D$83):$AD$88)))</f>
        <v>0</v>
      </c>
      <c r="BB108" s="68">
        <f>IF(BB$84=0,NA(),(_xlfn.AGGREGATE(9,6,INDEX($D$89:$AD$89,28-$D$83):$AD$89)&gt;_xlfn.AGGREGATE(9,6,INDEX($D$87:$AD$87,28-$D$83):$AD$87))+(_xlfn.AGGREGATE(9,6,INDEX($D$89:$AD$89,28-$D$83):$AD$89)&gt;_xlfn.AGGREGATE(9,6,INDEX($D$88:$AD$88,28-$D$83):$AD$88)))</f>
        <v>0</v>
      </c>
      <c r="BC108" s="68">
        <f>IF(BC$84=0,NA(),(_xlfn.AGGREGATE(9,6,INDEX($D$89:$AD$89,28-$D$83):$AD$89)&gt;_xlfn.AGGREGATE(9,6,INDEX($D$87:$AD$87,28-$D$83):$AD$87))+(_xlfn.AGGREGATE(9,6,INDEX($D$89:$AD$89,28-$D$83):$AD$89)&gt;_xlfn.AGGREGATE(9,6,INDEX($D$88:$AD$88,28-$D$83):$AD$88)))</f>
        <v>0</v>
      </c>
      <c r="BD108" s="68">
        <f>IF(BD$84=0,NA(),(_xlfn.AGGREGATE(9,6,INDEX($D$89:$AD$89,28-$D$83):$AD$89)&gt;_xlfn.AGGREGATE(9,6,INDEX($D$87:$AD$87,28-$D$83):$AD$87))+(_xlfn.AGGREGATE(9,6,INDEX($D$89:$AD$89,28-$D$83):$AD$89)&gt;_xlfn.AGGREGATE(9,6,INDEX($D$88:$AD$88,28-$D$83):$AD$88)))</f>
        <v>0</v>
      </c>
      <c r="BE108" s="68">
        <f>IF(BE$84=0,NA(),(_xlfn.AGGREGATE(9,6,INDEX($D$89:$AD$89,28-$D$83):$AD$89)&gt;_xlfn.AGGREGATE(9,6,INDEX($D$87:$AD$87,28-$D$83):$AD$87))+(_xlfn.AGGREGATE(9,6,INDEX($D$89:$AD$89,28-$D$83):$AD$89)&gt;_xlfn.AGGREGATE(9,6,INDEX($D$88:$AD$88,28-$D$83):$AD$88)))</f>
        <v>0</v>
      </c>
      <c r="BF108" s="68">
        <f>IF(BF$84=0,NA(),(_xlfn.AGGREGATE(9,6,INDEX($D$89:$AD$89,28-$D$83):$AD$89)&gt;_xlfn.AGGREGATE(9,6,INDEX($D$87:$AD$87,28-$D$83):$AD$87))+(_xlfn.AGGREGATE(9,6,INDEX($D$89:$AD$89,28-$D$83):$AD$89)&gt;_xlfn.AGGREGATE(9,6,INDEX($D$88:$AD$88,28-$D$83):$AD$88)))</f>
        <v>0</v>
      </c>
      <c r="BG108" s="68">
        <f>IF(BG$84=0,NA(),(_xlfn.AGGREGATE(9,6,INDEX($D$89:$AD$89,28-$D$83):$AD$89)&gt;_xlfn.AGGREGATE(9,6,INDEX($D$87:$AD$87,28-$D$83):$AD$87))+(_xlfn.AGGREGATE(9,6,INDEX($D$89:$AD$89,28-$D$83):$AD$89)&gt;_xlfn.AGGREGATE(9,6,INDEX($D$88:$AD$88,28-$D$83):$AD$88)))</f>
        <v>0</v>
      </c>
      <c r="BH108" s="68">
        <f>IF(BH$84=0,NA(),(_xlfn.AGGREGATE(9,6,INDEX($D$89:$AD$89,28-$D$83):$AD$89)&gt;_xlfn.AGGREGATE(9,6,INDEX($D$87:$AD$87,28-$D$83):$AD$87))+(_xlfn.AGGREGATE(9,6,INDEX($D$89:$AD$89,28-$D$83):$AD$89)&gt;_xlfn.AGGREGATE(9,6,INDEX($D$88:$AD$88,28-$D$83):$AD$88)))</f>
        <v>0</v>
      </c>
      <c r="BI108" s="68">
        <f>IF(BI$84=0,NA(),(_xlfn.AGGREGATE(9,6,INDEX($D$89:$AD$89,28-$D$83):$AD$89)&gt;_xlfn.AGGREGATE(9,6,INDEX($D$87:$AD$87,28-$D$83):$AD$87))+(_xlfn.AGGREGATE(9,6,INDEX($D$89:$AD$89,28-$D$83):$AD$89)&gt;_xlfn.AGGREGATE(9,6,INDEX($D$88:$AD$88,28-$D$83):$AD$88)))</f>
        <v>0</v>
      </c>
      <c r="BJ108" s="68">
        <f>IF(BJ$84=0,NA(),(_xlfn.AGGREGATE(9,6,INDEX($D$89:$AD$89,28-$D$83):$AD$89)&gt;_xlfn.AGGREGATE(9,6,INDEX($D$87:$AD$87,28-$D$83):$AD$87))+(_xlfn.AGGREGATE(9,6,INDEX($D$89:$AD$89,28-$D$83):$AD$89)&gt;_xlfn.AGGREGATE(9,6,INDEX($D$88:$AD$88,28-$D$83):$AD$88)))</f>
        <v>0</v>
      </c>
      <c r="BK108" s="68">
        <f>IF(BK$84=0,NA(),(_xlfn.AGGREGATE(9,6,INDEX($D$89:$AD$89,28-$D$83):$AD$89)&gt;_xlfn.AGGREGATE(9,6,INDEX($D$87:$AD$87,28-$D$83):$AD$87))+(_xlfn.AGGREGATE(9,6,INDEX($D$89:$AD$89,28-$D$83):$AD$89)&gt;_xlfn.AGGREGATE(9,6,INDEX($D$88:$AD$88,28-$D$83):$AD$88)))</f>
        <v>0</v>
      </c>
      <c r="BL108" s="68">
        <f>IF(BL$84=0,NA(),(_xlfn.AGGREGATE(9,6,INDEX($D$89:$AD$89,28-$D$83):$AD$89)&gt;_xlfn.AGGREGATE(9,6,INDEX($D$87:$AD$87,28-$D$83):$AD$87))+(_xlfn.AGGREGATE(9,6,INDEX($D$89:$AD$89,28-$D$83):$AD$89)&gt;_xlfn.AGGREGATE(9,6,INDEX($D$88:$AD$88,28-$D$83):$AD$88)))</f>
        <v>0</v>
      </c>
      <c r="BM108" s="68">
        <f>IF(BM$84=0,NA(),(_xlfn.AGGREGATE(9,6,INDEX($D$89:$AD$89,28-$D$83):$AD$89)&gt;_xlfn.AGGREGATE(9,6,INDEX($D$87:$AD$87,28-$D$83):$AD$87))+(_xlfn.AGGREGATE(9,6,INDEX($D$89:$AD$89,28-$D$83):$AD$89)&gt;_xlfn.AGGREGATE(9,6,INDEX($D$88:$AD$88,28-$D$83):$AD$88)))</f>
        <v>0</v>
      </c>
      <c r="BN108" s="68">
        <f>IF(BN$84=0,NA(),(_xlfn.AGGREGATE(9,6,INDEX($D$89:$AD$89,28-$D$83):$AD$89)&gt;_xlfn.AGGREGATE(9,6,INDEX($D$87:$AD$87,28-$D$83):$AD$87))+(_xlfn.AGGREGATE(9,6,INDEX($D$89:$AD$89,28-$D$83):$AD$89)&gt;_xlfn.AGGREGATE(9,6,INDEX($D$88:$AD$88,28-$D$83):$AD$88)))</f>
        <v>0</v>
      </c>
      <c r="BO108" s="68">
        <f>IF(BO$84=0,NA(),(_xlfn.AGGREGATE(9,6,INDEX($D$89:$AD$89,28-$D$83):$AD$89)&gt;_xlfn.AGGREGATE(9,6,INDEX($D$87:$AD$87,28-$D$83):$AD$87))+(_xlfn.AGGREGATE(9,6,INDEX($D$89:$AD$89,28-$D$83):$AD$89)&gt;_xlfn.AGGREGATE(9,6,INDEX($D$88:$AD$88,28-$D$83):$AD$88)))</f>
        <v>0</v>
      </c>
      <c r="BP108" s="68">
        <f>IF(BP$84=0,NA(),(_xlfn.AGGREGATE(9,6,INDEX($D$89:$AD$89,28-$D$83):$AD$89)&gt;_xlfn.AGGREGATE(9,6,INDEX($D$87:$AD$87,28-$D$83):$AD$87))+(_xlfn.AGGREGATE(9,6,INDEX($D$89:$AD$89,28-$D$83):$AD$89)&gt;_xlfn.AGGREGATE(9,6,INDEX($D$88:$AD$88,28-$D$83):$AD$88)))</f>
        <v>0</v>
      </c>
    </row>
    <row r="109" spans="1:68">
      <c r="A109" s="11" t="s">
        <v>745</v>
      </c>
      <c r="B109" s="11" t="s">
        <v>746</v>
      </c>
      <c r="C109" s="67" t="s">
        <v>604</v>
      </c>
      <c r="AQ109" s="11">
        <f>IF(AQ$84=0,"",IF(ISNUMBER(INDEX($D$89:$AD$89,AQ$84)),FIXED(INDEX($D$89:$AD$89,AQ$84)/1000,1),""))</f>
        <v>0</v>
      </c>
      <c r="AR109" s="11">
        <f>IF(AR$84=0,"",IF(ISNUMBER(INDEX($D$89:$AD$89,AR$84)),FIXED(INDEX($D$89:$AD$89,AR$84)/1000,1),""))</f>
        <v>0</v>
      </c>
      <c r="AS109" s="11">
        <f>IF(AS$84=0,"",IF(ISNUMBER(INDEX($D$89:$AD$89,AS$84)),FIXED(INDEX($D$89:$AD$89,AS$84)/1000,1),""))</f>
        <v>0</v>
      </c>
      <c r="AT109" s="11">
        <f>IF(AT$84=0,"",IF(ISNUMBER(INDEX($D$89:$AD$89,AT$84)),FIXED(INDEX($D$89:$AD$89,AT$84)/1000,1),""))</f>
        <v>0</v>
      </c>
      <c r="AU109" s="11">
        <f>IF(AU$84=0,"",IF(ISNUMBER(INDEX($D$89:$AD$89,AU$84)),FIXED(INDEX($D$89:$AD$89,AU$84)/1000,1),""))</f>
        <v>0</v>
      </c>
      <c r="AV109" s="11">
        <f>IF(AV$84=0,"",IF(ISNUMBER(INDEX($D$89:$AD$89,AV$84)),FIXED(INDEX($D$89:$AD$89,AV$84)/1000,1),""))</f>
        <v>0</v>
      </c>
      <c r="AW109" s="11">
        <f>IF(AW$84=0,"",IF(ISNUMBER(INDEX($D$89:$AD$89,AW$84)),FIXED(INDEX($D$89:$AD$89,AW$84)/1000,1),""))</f>
        <v>0</v>
      </c>
      <c r="AX109" s="11">
        <f>IF(AX$84=0,"",IF(ISNUMBER(INDEX($D$89:$AD$89,AX$84)),FIXED(INDEX($D$89:$AD$89,AX$84)/1000,1),""))</f>
        <v>0</v>
      </c>
      <c r="AY109" s="11">
        <f>IF(AY$84=0,"",IF(ISNUMBER(INDEX($D$89:$AD$89,AY$84)),FIXED(INDEX($D$89:$AD$89,AY$84)/1000,1),""))</f>
        <v>0</v>
      </c>
      <c r="AZ109" s="11">
        <f>IF(AZ$84=0,"",IF(ISNUMBER(INDEX($D$89:$AD$89,AZ$84)),FIXED(INDEX($D$89:$AD$89,AZ$84)/1000,1),""))</f>
        <v>0</v>
      </c>
      <c r="BA109" s="11">
        <f>IF(BA$84=0,"",IF(ISNUMBER(INDEX($D$89:$AD$89,BA$84)),FIXED(INDEX($D$89:$AD$89,BA$84)/1000,1),""))</f>
        <v>0</v>
      </c>
      <c r="BB109" s="11">
        <f>IF(BB$84=0,"",IF(ISNUMBER(INDEX($D$89:$AD$89,BB$84)),FIXED(INDEX($D$89:$AD$89,BB$84)/1000,1),""))</f>
        <v>0</v>
      </c>
      <c r="BC109" s="11">
        <f>IF(BC$84=0,"",IF(ISNUMBER(INDEX($D$89:$AD$89,BC$84)),FIXED(INDEX($D$89:$AD$89,BC$84)/1000,1),""))</f>
        <v>0</v>
      </c>
      <c r="BD109" s="11">
        <f>IF(BD$84=0,"",IF(ISNUMBER(INDEX($D$89:$AD$89,BD$84)),FIXED(INDEX($D$89:$AD$89,BD$84)/1000,1),""))</f>
        <v>0</v>
      </c>
      <c r="BE109" s="11">
        <f>IF(BE$84=0,"",IF(ISNUMBER(INDEX($D$89:$AD$89,BE$84)),FIXED(INDEX($D$89:$AD$89,BE$84)/1000,1),""))</f>
        <v>0</v>
      </c>
      <c r="BF109" s="11">
        <f>IF(BF$84=0,"",IF(ISNUMBER(INDEX($D$89:$AD$89,BF$84)),FIXED(INDEX($D$89:$AD$89,BF$84)/1000,1),""))</f>
        <v>0</v>
      </c>
      <c r="BG109" s="11">
        <f>IF(BG$84=0,"",IF(ISNUMBER(INDEX($D$89:$AD$89,BG$84)),FIXED(INDEX($D$89:$AD$89,BG$84)/1000,1),""))</f>
        <v>0</v>
      </c>
      <c r="BH109" s="11">
        <f>IF(BH$84=0,"",IF(ISNUMBER(INDEX($D$89:$AD$89,BH$84)),FIXED(INDEX($D$89:$AD$89,BH$84)/1000,1),""))</f>
        <v>0</v>
      </c>
      <c r="BI109" s="11">
        <f>IF(BI$84=0,"",IF(ISNUMBER(INDEX($D$89:$AD$89,BI$84)),FIXED(INDEX($D$89:$AD$89,BI$84)/1000,1),""))</f>
        <v>0</v>
      </c>
      <c r="BJ109" s="11">
        <f>IF(BJ$84=0,"",IF(ISNUMBER(INDEX($D$89:$AD$89,BJ$84)),FIXED(INDEX($D$89:$AD$89,BJ$84)/1000,1),""))</f>
        <v>0</v>
      </c>
      <c r="BK109" s="11">
        <f>IF(BK$84=0,"",IF(ISNUMBER(INDEX($D$89:$AD$89,BK$84)),FIXED(INDEX($D$89:$AD$89,BK$84)/1000,1),""))</f>
        <v>0</v>
      </c>
      <c r="BL109" s="11">
        <f>IF(BL$84=0,"",IF(ISNUMBER(INDEX($D$89:$AD$89,BL$84)),FIXED(INDEX($D$89:$AD$89,BL$84)/1000,1),""))</f>
        <v>0</v>
      </c>
      <c r="BM109" s="11">
        <f>IF(BM$84=0,"",IF(ISNUMBER(INDEX($D$89:$AD$89,BM$84)),FIXED(INDEX($D$89:$AD$89,BM$84)/1000,1),""))</f>
        <v>0</v>
      </c>
      <c r="BN109" s="11">
        <f>IF(BN$84=0,"",IF(ISNUMBER(INDEX($D$89:$AD$89,BN$84)),FIXED(INDEX($D$89:$AD$89,BN$84)/1000,1),""))</f>
        <v>0</v>
      </c>
      <c r="BO109" s="11">
        <f>IF(BO$84=0,"",IF(ISNUMBER(INDEX($D$89:$AD$89,BO$84)),FIXED(INDEX($D$89:$AD$89,BO$84)/1000,1),""))</f>
        <v>0</v>
      </c>
      <c r="BP109" s="11">
        <f>IF(BP$84=0,"",IF(ISNUMBER(INDEX($D$89:$AD$89,BP$84)),FIXED(INDEX($D$89:$AD$89,BP$84)/1000,1),""))</f>
        <v>0</v>
      </c>
    </row>
    <row r="110" spans="1:68">
      <c r="A110" s="11" t="s">
        <v>747</v>
      </c>
      <c r="B110" s="11" t="s">
        <v>748</v>
      </c>
      <c r="C110" s="67" t="s">
        <v>604</v>
      </c>
      <c r="AQ110" s="68">
        <f>IF(AQ$84=0,NA(),IF(ISNUMBER(INDEX($D$88:$AD$88,AQ$84)),(IF(AQ106&gt;AQ104,N(INDEX($D$87:$AD$87,AQ$84)),0)+IF(AQ108&gt;AQ104,N(INDEX($D$89:$AD$89,AQ$84)),0)+INDEX($D$88:$AD$88,AQ$84)/2)/AQ100,NA()))</f>
        <v>0</v>
      </c>
      <c r="AR110" s="68">
        <f>IF(AR$84=0,NA(),IF(ISNUMBER(INDEX($D$88:$AD$88,AR$84)),(IF(AR106&gt;AR104,N(INDEX($D$87:$AD$87,AR$84)),0)+IF(AR108&gt;AR104,N(INDEX($D$89:$AD$89,AR$84)),0)+INDEX($D$88:$AD$88,AR$84)/2)/AR100,NA()))</f>
        <v>0</v>
      </c>
      <c r="AS110" s="68">
        <f>IF(AS$84=0,NA(),IF(ISNUMBER(INDEX($D$88:$AD$88,AS$84)),(IF(AS106&gt;AS104,N(INDEX($D$87:$AD$87,AS$84)),0)+IF(AS108&gt;AS104,N(INDEX($D$89:$AD$89,AS$84)),0)+INDEX($D$88:$AD$88,AS$84)/2)/AS100,NA()))</f>
        <v>0</v>
      </c>
      <c r="AT110" s="68">
        <f>IF(AT$84=0,NA(),IF(ISNUMBER(INDEX($D$88:$AD$88,AT$84)),(IF(AT106&gt;AT104,N(INDEX($D$87:$AD$87,AT$84)),0)+IF(AT108&gt;AT104,N(INDEX($D$89:$AD$89,AT$84)),0)+INDEX($D$88:$AD$88,AT$84)/2)/AT100,NA()))</f>
        <v>0</v>
      </c>
      <c r="AU110" s="68">
        <f>IF(AU$84=0,NA(),IF(ISNUMBER(INDEX($D$88:$AD$88,AU$84)),(IF(AU106&gt;AU104,N(INDEX($D$87:$AD$87,AU$84)),0)+IF(AU108&gt;AU104,N(INDEX($D$89:$AD$89,AU$84)),0)+INDEX($D$88:$AD$88,AU$84)/2)/AU100,NA()))</f>
        <v>0</v>
      </c>
      <c r="AV110" s="68">
        <f>IF(AV$84=0,NA(),IF(ISNUMBER(INDEX($D$88:$AD$88,AV$84)),(IF(AV106&gt;AV104,N(INDEX($D$87:$AD$87,AV$84)),0)+IF(AV108&gt;AV104,N(INDEX($D$89:$AD$89,AV$84)),0)+INDEX($D$88:$AD$88,AV$84)/2)/AV100,NA()))</f>
        <v>0</v>
      </c>
      <c r="AW110" s="68">
        <f>IF(AW$84=0,NA(),IF(ISNUMBER(INDEX($D$88:$AD$88,AW$84)),(IF(AW106&gt;AW104,N(INDEX($D$87:$AD$87,AW$84)),0)+IF(AW108&gt;AW104,N(INDEX($D$89:$AD$89,AW$84)),0)+INDEX($D$88:$AD$88,AW$84)/2)/AW100,NA()))</f>
        <v>0</v>
      </c>
      <c r="AX110" s="68">
        <f>IF(AX$84=0,NA(),IF(ISNUMBER(INDEX($D$88:$AD$88,AX$84)),(IF(AX106&gt;AX104,N(INDEX($D$87:$AD$87,AX$84)),0)+IF(AX108&gt;AX104,N(INDEX($D$89:$AD$89,AX$84)),0)+INDEX($D$88:$AD$88,AX$84)/2)/AX100,NA()))</f>
        <v>0</v>
      </c>
      <c r="AY110" s="68">
        <f>IF(AY$84=0,NA(),IF(ISNUMBER(INDEX($D$88:$AD$88,AY$84)),(IF(AY106&gt;AY104,N(INDEX($D$87:$AD$87,AY$84)),0)+IF(AY108&gt;AY104,N(INDEX($D$89:$AD$89,AY$84)),0)+INDEX($D$88:$AD$88,AY$84)/2)/AY100,NA()))</f>
        <v>0</v>
      </c>
      <c r="AZ110" s="68">
        <f>IF(AZ$84=0,NA(),IF(ISNUMBER(INDEX($D$88:$AD$88,AZ$84)),(IF(AZ106&gt;AZ104,N(INDEX($D$87:$AD$87,AZ$84)),0)+IF(AZ108&gt;AZ104,N(INDEX($D$89:$AD$89,AZ$84)),0)+INDEX($D$88:$AD$88,AZ$84)/2)/AZ100,NA()))</f>
        <v>0</v>
      </c>
      <c r="BA110" s="68">
        <f>IF(BA$84=0,NA(),IF(ISNUMBER(INDEX($D$88:$AD$88,BA$84)),(IF(BA106&gt;BA104,N(INDEX($D$87:$AD$87,BA$84)),0)+IF(BA108&gt;BA104,N(INDEX($D$89:$AD$89,BA$84)),0)+INDEX($D$88:$AD$88,BA$84)/2)/BA100,NA()))</f>
        <v>0</v>
      </c>
      <c r="BB110" s="68">
        <f>IF(BB$84=0,NA(),IF(ISNUMBER(INDEX($D$88:$AD$88,BB$84)),(IF(BB106&gt;BB104,N(INDEX($D$87:$AD$87,BB$84)),0)+IF(BB108&gt;BB104,N(INDEX($D$89:$AD$89,BB$84)),0)+INDEX($D$88:$AD$88,BB$84)/2)/BB100,NA()))</f>
        <v>0</v>
      </c>
      <c r="BC110" s="68">
        <f>IF(BC$84=0,NA(),IF(ISNUMBER(INDEX($D$88:$AD$88,BC$84)),(IF(BC106&gt;BC104,N(INDEX($D$87:$AD$87,BC$84)),0)+IF(BC108&gt;BC104,N(INDEX($D$89:$AD$89,BC$84)),0)+INDEX($D$88:$AD$88,BC$84)/2)/BC100,NA()))</f>
        <v>0</v>
      </c>
      <c r="BD110" s="68">
        <f>IF(BD$84=0,NA(),IF(ISNUMBER(INDEX($D$88:$AD$88,BD$84)),(IF(BD106&gt;BD104,N(INDEX($D$87:$AD$87,BD$84)),0)+IF(BD108&gt;BD104,N(INDEX($D$89:$AD$89,BD$84)),0)+INDEX($D$88:$AD$88,BD$84)/2)/BD100,NA()))</f>
        <v>0</v>
      </c>
      <c r="BE110" s="68">
        <f>IF(BE$84=0,NA(),IF(ISNUMBER(INDEX($D$88:$AD$88,BE$84)),(IF(BE106&gt;BE104,N(INDEX($D$87:$AD$87,BE$84)),0)+IF(BE108&gt;BE104,N(INDEX($D$89:$AD$89,BE$84)),0)+INDEX($D$88:$AD$88,BE$84)/2)/BE100,NA()))</f>
        <v>0</v>
      </c>
      <c r="BF110" s="68">
        <f>IF(BF$84=0,NA(),IF(ISNUMBER(INDEX($D$88:$AD$88,BF$84)),(IF(BF106&gt;BF104,N(INDEX($D$87:$AD$87,BF$84)),0)+IF(BF108&gt;BF104,N(INDEX($D$89:$AD$89,BF$84)),0)+INDEX($D$88:$AD$88,BF$84)/2)/BF100,NA()))</f>
        <v>0</v>
      </c>
      <c r="BG110" s="68">
        <f>IF(BG$84=0,NA(),IF(ISNUMBER(INDEX($D$88:$AD$88,BG$84)),(IF(BG106&gt;BG104,N(INDEX($D$87:$AD$87,BG$84)),0)+IF(BG108&gt;BG104,N(INDEX($D$89:$AD$89,BG$84)),0)+INDEX($D$88:$AD$88,BG$84)/2)/BG100,NA()))</f>
        <v>0</v>
      </c>
      <c r="BH110" s="68">
        <f>IF(BH$84=0,NA(),IF(ISNUMBER(INDEX($D$88:$AD$88,BH$84)),(IF(BH106&gt;BH104,N(INDEX($D$87:$AD$87,BH$84)),0)+IF(BH108&gt;BH104,N(INDEX($D$89:$AD$89,BH$84)),0)+INDEX($D$88:$AD$88,BH$84)/2)/BH100,NA()))</f>
        <v>0</v>
      </c>
      <c r="BI110" s="68">
        <f>IF(BI$84=0,NA(),IF(ISNUMBER(INDEX($D$88:$AD$88,BI$84)),(IF(BI106&gt;BI104,N(INDEX($D$87:$AD$87,BI$84)),0)+IF(BI108&gt;BI104,N(INDEX($D$89:$AD$89,BI$84)),0)+INDEX($D$88:$AD$88,BI$84)/2)/BI100,NA()))</f>
        <v>0</v>
      </c>
      <c r="BJ110" s="68">
        <f>IF(BJ$84=0,NA(),IF(ISNUMBER(INDEX($D$88:$AD$88,BJ$84)),(IF(BJ106&gt;BJ104,N(INDEX($D$87:$AD$87,BJ$84)),0)+IF(BJ108&gt;BJ104,N(INDEX($D$89:$AD$89,BJ$84)),0)+INDEX($D$88:$AD$88,BJ$84)/2)/BJ100,NA()))</f>
        <v>0</v>
      </c>
      <c r="BK110" s="68">
        <f>IF(BK$84=0,NA(),IF(ISNUMBER(INDEX($D$88:$AD$88,BK$84)),(IF(BK106&gt;BK104,N(INDEX($D$87:$AD$87,BK$84)),0)+IF(BK108&gt;BK104,N(INDEX($D$89:$AD$89,BK$84)),0)+INDEX($D$88:$AD$88,BK$84)/2)/BK100,NA()))</f>
        <v>0</v>
      </c>
      <c r="BL110" s="68">
        <f>IF(BL$84=0,NA(),IF(ISNUMBER(INDEX($D$88:$AD$88,BL$84)),(IF(BL106&gt;BL104,N(INDEX($D$87:$AD$87,BL$84)),0)+IF(BL108&gt;BL104,N(INDEX($D$89:$AD$89,BL$84)),0)+INDEX($D$88:$AD$88,BL$84)/2)/BL100,NA()))</f>
        <v>0</v>
      </c>
      <c r="BM110" s="68">
        <f>IF(BM$84=0,NA(),IF(ISNUMBER(INDEX($D$88:$AD$88,BM$84)),(IF(BM106&gt;BM104,N(INDEX($D$87:$AD$87,BM$84)),0)+IF(BM108&gt;BM104,N(INDEX($D$89:$AD$89,BM$84)),0)+INDEX($D$88:$AD$88,BM$84)/2)/BM100,NA()))</f>
        <v>0</v>
      </c>
      <c r="BN110" s="68">
        <f>IF(BN$84=0,NA(),IF(ISNUMBER(INDEX($D$88:$AD$88,BN$84)),(IF(BN106&gt;BN104,N(INDEX($D$87:$AD$87,BN$84)),0)+IF(BN108&gt;BN104,N(INDEX($D$89:$AD$89,BN$84)),0)+INDEX($D$88:$AD$88,BN$84)/2)/BN100,NA()))</f>
        <v>0</v>
      </c>
      <c r="BO110" s="68">
        <f>IF(BO$84=0,NA(),IF(ISNUMBER(INDEX($D$88:$AD$88,BO$84)),(IF(BO106&gt;BO104,N(INDEX($D$87:$AD$87,BO$84)),0)+IF(BO108&gt;BO104,N(INDEX($D$89:$AD$89,BO$84)),0)+INDEX($D$88:$AD$88,BO$84)/2)/BO100,NA()))</f>
        <v>0</v>
      </c>
      <c r="BP110" s="68">
        <f>IF(BP$84=0,NA(),IF(ISNUMBER(INDEX($D$88:$AD$88,BP$84)),(IF(BP106&gt;BP104,N(INDEX($D$87:$AD$87,BP$84)),0)+IF(BP108&gt;BP104,N(INDEX($D$89:$AD$89,BP$84)),0)+INDEX($D$88:$AD$88,BP$84)/2)/BP100,NA()))</f>
        <v>0</v>
      </c>
    </row>
    <row r="111" spans="1:68">
      <c r="A111" s="11" t="s">
        <v>749</v>
      </c>
      <c r="B111" s="11" t="s">
        <v>750</v>
      </c>
      <c r="C111" s="67" t="s">
        <v>604</v>
      </c>
      <c r="AQ111" s="68">
        <f>IF(AQ$84=0,NA(),IF(ISNUMBER(INDEX($D$87:$AD$87,AQ$84)),(IF(AQ104&gt;AQ106,N(INDEX($D$88:$AD$88,AQ$84)),0)+IF(AQ108&gt;AQ106,N(INDEX($D$89:$AD$89,AQ$84)),0)+INDEX($D$87:$AD$87,AQ$84)/2)/AQ100,NA()))</f>
        <v>0</v>
      </c>
      <c r="AR111" s="68">
        <f>IF(AR$84=0,NA(),IF(ISNUMBER(INDEX($D$87:$AD$87,AR$84)),(IF(AR104&gt;AR106,N(INDEX($D$88:$AD$88,AR$84)),0)+IF(AR108&gt;AR106,N(INDEX($D$89:$AD$89,AR$84)),0)+INDEX($D$87:$AD$87,AR$84)/2)/AR100,NA()))</f>
        <v>0</v>
      </c>
      <c r="AS111" s="68">
        <f>IF(AS$84=0,NA(),IF(ISNUMBER(INDEX($D$87:$AD$87,AS$84)),(IF(AS104&gt;AS106,N(INDEX($D$88:$AD$88,AS$84)),0)+IF(AS108&gt;AS106,N(INDEX($D$89:$AD$89,AS$84)),0)+INDEX($D$87:$AD$87,AS$84)/2)/AS100,NA()))</f>
        <v>0</v>
      </c>
      <c r="AT111" s="68">
        <f>IF(AT$84=0,NA(),IF(ISNUMBER(INDEX($D$87:$AD$87,AT$84)),(IF(AT104&gt;AT106,N(INDEX($D$88:$AD$88,AT$84)),0)+IF(AT108&gt;AT106,N(INDEX($D$89:$AD$89,AT$84)),0)+INDEX($D$87:$AD$87,AT$84)/2)/AT100,NA()))</f>
        <v>0</v>
      </c>
      <c r="AU111" s="68">
        <f>IF(AU$84=0,NA(),IF(ISNUMBER(INDEX($D$87:$AD$87,AU$84)),(IF(AU104&gt;AU106,N(INDEX($D$88:$AD$88,AU$84)),0)+IF(AU108&gt;AU106,N(INDEX($D$89:$AD$89,AU$84)),0)+INDEX($D$87:$AD$87,AU$84)/2)/AU100,NA()))</f>
        <v>0</v>
      </c>
      <c r="AV111" s="68">
        <f>IF(AV$84=0,NA(),IF(ISNUMBER(INDEX($D$87:$AD$87,AV$84)),(IF(AV104&gt;AV106,N(INDEX($D$88:$AD$88,AV$84)),0)+IF(AV108&gt;AV106,N(INDEX($D$89:$AD$89,AV$84)),0)+INDEX($D$87:$AD$87,AV$84)/2)/AV100,NA()))</f>
        <v>0</v>
      </c>
      <c r="AW111" s="68">
        <f>IF(AW$84=0,NA(),IF(ISNUMBER(INDEX($D$87:$AD$87,AW$84)),(IF(AW104&gt;AW106,N(INDEX($D$88:$AD$88,AW$84)),0)+IF(AW108&gt;AW106,N(INDEX($D$89:$AD$89,AW$84)),0)+INDEX($D$87:$AD$87,AW$84)/2)/AW100,NA()))</f>
        <v>0</v>
      </c>
      <c r="AX111" s="68">
        <f>IF(AX$84=0,NA(),IF(ISNUMBER(INDEX($D$87:$AD$87,AX$84)),(IF(AX104&gt;AX106,N(INDEX($D$88:$AD$88,AX$84)),0)+IF(AX108&gt;AX106,N(INDEX($D$89:$AD$89,AX$84)),0)+INDEX($D$87:$AD$87,AX$84)/2)/AX100,NA()))</f>
        <v>0</v>
      </c>
      <c r="AY111" s="68">
        <f>IF(AY$84=0,NA(),IF(ISNUMBER(INDEX($D$87:$AD$87,AY$84)),(IF(AY104&gt;AY106,N(INDEX($D$88:$AD$88,AY$84)),0)+IF(AY108&gt;AY106,N(INDEX($D$89:$AD$89,AY$84)),0)+INDEX($D$87:$AD$87,AY$84)/2)/AY100,NA()))</f>
        <v>0</v>
      </c>
      <c r="AZ111" s="68">
        <f>IF(AZ$84=0,NA(),IF(ISNUMBER(INDEX($D$87:$AD$87,AZ$84)),(IF(AZ104&gt;AZ106,N(INDEX($D$88:$AD$88,AZ$84)),0)+IF(AZ108&gt;AZ106,N(INDEX($D$89:$AD$89,AZ$84)),0)+INDEX($D$87:$AD$87,AZ$84)/2)/AZ100,NA()))</f>
        <v>0</v>
      </c>
      <c r="BA111" s="68">
        <f>IF(BA$84=0,NA(),IF(ISNUMBER(INDEX($D$87:$AD$87,BA$84)),(IF(BA104&gt;BA106,N(INDEX($D$88:$AD$88,BA$84)),0)+IF(BA108&gt;BA106,N(INDEX($D$89:$AD$89,BA$84)),0)+INDEX($D$87:$AD$87,BA$84)/2)/BA100,NA()))</f>
        <v>0</v>
      </c>
      <c r="BB111" s="68">
        <f>IF(BB$84=0,NA(),IF(ISNUMBER(INDEX($D$87:$AD$87,BB$84)),(IF(BB104&gt;BB106,N(INDEX($D$88:$AD$88,BB$84)),0)+IF(BB108&gt;BB106,N(INDEX($D$89:$AD$89,BB$84)),0)+INDEX($D$87:$AD$87,BB$84)/2)/BB100,NA()))</f>
        <v>0</v>
      </c>
      <c r="BC111" s="68">
        <f>IF(BC$84=0,NA(),IF(ISNUMBER(INDEX($D$87:$AD$87,BC$84)),(IF(BC104&gt;BC106,N(INDEX($D$88:$AD$88,BC$84)),0)+IF(BC108&gt;BC106,N(INDEX($D$89:$AD$89,BC$84)),0)+INDEX($D$87:$AD$87,BC$84)/2)/BC100,NA()))</f>
        <v>0</v>
      </c>
      <c r="BD111" s="68">
        <f>IF(BD$84=0,NA(),IF(ISNUMBER(INDEX($D$87:$AD$87,BD$84)),(IF(BD104&gt;BD106,N(INDEX($D$88:$AD$88,BD$84)),0)+IF(BD108&gt;BD106,N(INDEX($D$89:$AD$89,BD$84)),0)+INDEX($D$87:$AD$87,BD$84)/2)/BD100,NA()))</f>
        <v>0</v>
      </c>
      <c r="BE111" s="68">
        <f>IF(BE$84=0,NA(),IF(ISNUMBER(INDEX($D$87:$AD$87,BE$84)),(IF(BE104&gt;BE106,N(INDEX($D$88:$AD$88,BE$84)),0)+IF(BE108&gt;BE106,N(INDEX($D$89:$AD$89,BE$84)),0)+INDEX($D$87:$AD$87,BE$84)/2)/BE100,NA()))</f>
        <v>0</v>
      </c>
      <c r="BF111" s="68">
        <f>IF(BF$84=0,NA(),IF(ISNUMBER(INDEX($D$87:$AD$87,BF$84)),(IF(BF104&gt;BF106,N(INDEX($D$88:$AD$88,BF$84)),0)+IF(BF108&gt;BF106,N(INDEX($D$89:$AD$89,BF$84)),0)+INDEX($D$87:$AD$87,BF$84)/2)/BF100,NA()))</f>
        <v>0</v>
      </c>
      <c r="BG111" s="68">
        <f>IF(BG$84=0,NA(),IF(ISNUMBER(INDEX($D$87:$AD$87,BG$84)),(IF(BG104&gt;BG106,N(INDEX($D$88:$AD$88,BG$84)),0)+IF(BG108&gt;BG106,N(INDEX($D$89:$AD$89,BG$84)),0)+INDEX($D$87:$AD$87,BG$84)/2)/BG100,NA()))</f>
        <v>0</v>
      </c>
      <c r="BH111" s="68">
        <f>IF(BH$84=0,NA(),IF(ISNUMBER(INDEX($D$87:$AD$87,BH$84)),(IF(BH104&gt;BH106,N(INDEX($D$88:$AD$88,BH$84)),0)+IF(BH108&gt;BH106,N(INDEX($D$89:$AD$89,BH$84)),0)+INDEX($D$87:$AD$87,BH$84)/2)/BH100,NA()))</f>
        <v>0</v>
      </c>
      <c r="BI111" s="68">
        <f>IF(BI$84=0,NA(),IF(ISNUMBER(INDEX($D$87:$AD$87,BI$84)),(IF(BI104&gt;BI106,N(INDEX($D$88:$AD$88,BI$84)),0)+IF(BI108&gt;BI106,N(INDEX($D$89:$AD$89,BI$84)),0)+INDEX($D$87:$AD$87,BI$84)/2)/BI100,NA()))</f>
        <v>0</v>
      </c>
      <c r="BJ111" s="68">
        <f>IF(BJ$84=0,NA(),IF(ISNUMBER(INDEX($D$87:$AD$87,BJ$84)),(IF(BJ104&gt;BJ106,N(INDEX($D$88:$AD$88,BJ$84)),0)+IF(BJ108&gt;BJ106,N(INDEX($D$89:$AD$89,BJ$84)),0)+INDEX($D$87:$AD$87,BJ$84)/2)/BJ100,NA()))</f>
        <v>0</v>
      </c>
      <c r="BK111" s="68">
        <f>IF(BK$84=0,NA(),IF(ISNUMBER(INDEX($D$87:$AD$87,BK$84)),(IF(BK104&gt;BK106,N(INDEX($D$88:$AD$88,BK$84)),0)+IF(BK108&gt;BK106,N(INDEX($D$89:$AD$89,BK$84)),0)+INDEX($D$87:$AD$87,BK$84)/2)/BK100,NA()))</f>
        <v>0</v>
      </c>
      <c r="BL111" s="68">
        <f>IF(BL$84=0,NA(),IF(ISNUMBER(INDEX($D$87:$AD$87,BL$84)),(IF(BL104&gt;BL106,N(INDEX($D$88:$AD$88,BL$84)),0)+IF(BL108&gt;BL106,N(INDEX($D$89:$AD$89,BL$84)),0)+INDEX($D$87:$AD$87,BL$84)/2)/BL100,NA()))</f>
        <v>0</v>
      </c>
      <c r="BM111" s="68">
        <f>IF(BM$84=0,NA(),IF(ISNUMBER(INDEX($D$87:$AD$87,BM$84)),(IF(BM104&gt;BM106,N(INDEX($D$88:$AD$88,BM$84)),0)+IF(BM108&gt;BM106,N(INDEX($D$89:$AD$89,BM$84)),0)+INDEX($D$87:$AD$87,BM$84)/2)/BM100,NA()))</f>
        <v>0</v>
      </c>
      <c r="BN111" s="68">
        <f>IF(BN$84=0,NA(),IF(ISNUMBER(INDEX($D$87:$AD$87,BN$84)),(IF(BN104&gt;BN106,N(INDEX($D$88:$AD$88,BN$84)),0)+IF(BN108&gt;BN106,N(INDEX($D$89:$AD$89,BN$84)),0)+INDEX($D$87:$AD$87,BN$84)/2)/BN100,NA()))</f>
        <v>0</v>
      </c>
      <c r="BO111" s="68">
        <f>IF(BO$84=0,NA(),IF(ISNUMBER(INDEX($D$87:$AD$87,BO$84)),(IF(BO104&gt;BO106,N(INDEX($D$88:$AD$88,BO$84)),0)+IF(BO108&gt;BO106,N(INDEX($D$89:$AD$89,BO$84)),0)+INDEX($D$87:$AD$87,BO$84)/2)/BO100,NA()))</f>
        <v>0</v>
      </c>
      <c r="BP111" s="68">
        <f>IF(BP$84=0,NA(),IF(ISNUMBER(INDEX($D$87:$AD$87,BP$84)),(IF(BP104&gt;BP106,N(INDEX($D$88:$AD$88,BP$84)),0)+IF(BP108&gt;BP106,N(INDEX($D$89:$AD$89,BP$84)),0)+INDEX($D$87:$AD$87,BP$84)/2)/BP100,NA()))</f>
        <v>0</v>
      </c>
    </row>
    <row r="112" spans="1:68">
      <c r="A112" s="11" t="s">
        <v>751</v>
      </c>
      <c r="B112" s="11" t="s">
        <v>752</v>
      </c>
      <c r="C112" s="67" t="s">
        <v>604</v>
      </c>
      <c r="AQ112" s="68">
        <f>IF(AQ$84=0,NA(),IF(ISNUMBER(INDEX($D$89:$AD$89,AQ$84)),(IF(AQ106&gt;AQ108,N(INDEX($D$87:$AD$87,AQ$84)),0)+IF(AQ104&gt;AQ108,N(INDEX($D$88:$AD$88,AQ$84)),0)+INDEX($D$89:$AD$89,AQ$84)/2)/AQ100,NA()))</f>
        <v>0</v>
      </c>
      <c r="AR112" s="68">
        <f>IF(AR$84=0,NA(),IF(ISNUMBER(INDEX($D$89:$AD$89,AR$84)),(IF(AR106&gt;AR108,N(INDEX($D$87:$AD$87,AR$84)),0)+IF(AR104&gt;AR108,N(INDEX($D$88:$AD$88,AR$84)),0)+INDEX($D$89:$AD$89,AR$84)/2)/AR100,NA()))</f>
        <v>0</v>
      </c>
      <c r="AS112" s="68">
        <f>IF(AS$84=0,NA(),IF(ISNUMBER(INDEX($D$89:$AD$89,AS$84)),(IF(AS106&gt;AS108,N(INDEX($D$87:$AD$87,AS$84)),0)+IF(AS104&gt;AS108,N(INDEX($D$88:$AD$88,AS$84)),0)+INDEX($D$89:$AD$89,AS$84)/2)/AS100,NA()))</f>
        <v>0</v>
      </c>
      <c r="AT112" s="68">
        <f>IF(AT$84=0,NA(),IF(ISNUMBER(INDEX($D$89:$AD$89,AT$84)),(IF(AT106&gt;AT108,N(INDEX($D$87:$AD$87,AT$84)),0)+IF(AT104&gt;AT108,N(INDEX($D$88:$AD$88,AT$84)),0)+INDEX($D$89:$AD$89,AT$84)/2)/AT100,NA()))</f>
        <v>0</v>
      </c>
      <c r="AU112" s="68">
        <f>IF(AU$84=0,NA(),IF(ISNUMBER(INDEX($D$89:$AD$89,AU$84)),(IF(AU106&gt;AU108,N(INDEX($D$87:$AD$87,AU$84)),0)+IF(AU104&gt;AU108,N(INDEX($D$88:$AD$88,AU$84)),0)+INDEX($D$89:$AD$89,AU$84)/2)/AU100,NA()))</f>
        <v>0</v>
      </c>
      <c r="AV112" s="68">
        <f>IF(AV$84=0,NA(),IF(ISNUMBER(INDEX($D$89:$AD$89,AV$84)),(IF(AV106&gt;AV108,N(INDEX($D$87:$AD$87,AV$84)),0)+IF(AV104&gt;AV108,N(INDEX($D$88:$AD$88,AV$84)),0)+INDEX($D$89:$AD$89,AV$84)/2)/AV100,NA()))</f>
        <v>0</v>
      </c>
      <c r="AW112" s="68">
        <f>IF(AW$84=0,NA(),IF(ISNUMBER(INDEX($D$89:$AD$89,AW$84)),(IF(AW106&gt;AW108,N(INDEX($D$87:$AD$87,AW$84)),0)+IF(AW104&gt;AW108,N(INDEX($D$88:$AD$88,AW$84)),0)+INDEX($D$89:$AD$89,AW$84)/2)/AW100,NA()))</f>
        <v>0</v>
      </c>
      <c r="AX112" s="68">
        <f>IF(AX$84=0,NA(),IF(ISNUMBER(INDEX($D$89:$AD$89,AX$84)),(IF(AX106&gt;AX108,N(INDEX($D$87:$AD$87,AX$84)),0)+IF(AX104&gt;AX108,N(INDEX($D$88:$AD$88,AX$84)),0)+INDEX($D$89:$AD$89,AX$84)/2)/AX100,NA()))</f>
        <v>0</v>
      </c>
      <c r="AY112" s="68">
        <f>IF(AY$84=0,NA(),IF(ISNUMBER(INDEX($D$89:$AD$89,AY$84)),(IF(AY106&gt;AY108,N(INDEX($D$87:$AD$87,AY$84)),0)+IF(AY104&gt;AY108,N(INDEX($D$88:$AD$88,AY$84)),0)+INDEX($D$89:$AD$89,AY$84)/2)/AY100,NA()))</f>
        <v>0</v>
      </c>
      <c r="AZ112" s="68">
        <f>IF(AZ$84=0,NA(),IF(ISNUMBER(INDEX($D$89:$AD$89,AZ$84)),(IF(AZ106&gt;AZ108,N(INDEX($D$87:$AD$87,AZ$84)),0)+IF(AZ104&gt;AZ108,N(INDEX($D$88:$AD$88,AZ$84)),0)+INDEX($D$89:$AD$89,AZ$84)/2)/AZ100,NA()))</f>
        <v>0</v>
      </c>
      <c r="BA112" s="68">
        <f>IF(BA$84=0,NA(),IF(ISNUMBER(INDEX($D$89:$AD$89,BA$84)),(IF(BA106&gt;BA108,N(INDEX($D$87:$AD$87,BA$84)),0)+IF(BA104&gt;BA108,N(INDEX($D$88:$AD$88,BA$84)),0)+INDEX($D$89:$AD$89,BA$84)/2)/BA100,NA()))</f>
        <v>0</v>
      </c>
      <c r="BB112" s="68">
        <f>IF(BB$84=0,NA(),IF(ISNUMBER(INDEX($D$89:$AD$89,BB$84)),(IF(BB106&gt;BB108,N(INDEX($D$87:$AD$87,BB$84)),0)+IF(BB104&gt;BB108,N(INDEX($D$88:$AD$88,BB$84)),0)+INDEX($D$89:$AD$89,BB$84)/2)/BB100,NA()))</f>
        <v>0</v>
      </c>
      <c r="BC112" s="68">
        <f>IF(BC$84=0,NA(),IF(ISNUMBER(INDEX($D$89:$AD$89,BC$84)),(IF(BC106&gt;BC108,N(INDEX($D$87:$AD$87,BC$84)),0)+IF(BC104&gt;BC108,N(INDEX($D$88:$AD$88,BC$84)),0)+INDEX($D$89:$AD$89,BC$84)/2)/BC100,NA()))</f>
        <v>0</v>
      </c>
      <c r="BD112" s="68">
        <f>IF(BD$84=0,NA(),IF(ISNUMBER(INDEX($D$89:$AD$89,BD$84)),(IF(BD106&gt;BD108,N(INDEX($D$87:$AD$87,BD$84)),0)+IF(BD104&gt;BD108,N(INDEX($D$88:$AD$88,BD$84)),0)+INDEX($D$89:$AD$89,BD$84)/2)/BD100,NA()))</f>
        <v>0</v>
      </c>
      <c r="BE112" s="68">
        <f>IF(BE$84=0,NA(),IF(ISNUMBER(INDEX($D$89:$AD$89,BE$84)),(IF(BE106&gt;BE108,N(INDEX($D$87:$AD$87,BE$84)),0)+IF(BE104&gt;BE108,N(INDEX($D$88:$AD$88,BE$84)),0)+INDEX($D$89:$AD$89,BE$84)/2)/BE100,NA()))</f>
        <v>0</v>
      </c>
      <c r="BF112" s="68">
        <f>IF(BF$84=0,NA(),IF(ISNUMBER(INDEX($D$89:$AD$89,BF$84)),(IF(BF106&gt;BF108,N(INDEX($D$87:$AD$87,BF$84)),0)+IF(BF104&gt;BF108,N(INDEX($D$88:$AD$88,BF$84)),0)+INDEX($D$89:$AD$89,BF$84)/2)/BF100,NA()))</f>
        <v>0</v>
      </c>
      <c r="BG112" s="68">
        <f>IF(BG$84=0,NA(),IF(ISNUMBER(INDEX($D$89:$AD$89,BG$84)),(IF(BG106&gt;BG108,N(INDEX($D$87:$AD$87,BG$84)),0)+IF(BG104&gt;BG108,N(INDEX($D$88:$AD$88,BG$84)),0)+INDEX($D$89:$AD$89,BG$84)/2)/BG100,NA()))</f>
        <v>0</v>
      </c>
      <c r="BH112" s="68">
        <f>IF(BH$84=0,NA(),IF(ISNUMBER(INDEX($D$89:$AD$89,BH$84)),(IF(BH106&gt;BH108,N(INDEX($D$87:$AD$87,BH$84)),0)+IF(BH104&gt;BH108,N(INDEX($D$88:$AD$88,BH$84)),0)+INDEX($D$89:$AD$89,BH$84)/2)/BH100,NA()))</f>
        <v>0</v>
      </c>
      <c r="BI112" s="68">
        <f>IF(BI$84=0,NA(),IF(ISNUMBER(INDEX($D$89:$AD$89,BI$84)),(IF(BI106&gt;BI108,N(INDEX($D$87:$AD$87,BI$84)),0)+IF(BI104&gt;BI108,N(INDEX($D$88:$AD$88,BI$84)),0)+INDEX($D$89:$AD$89,BI$84)/2)/BI100,NA()))</f>
        <v>0</v>
      </c>
      <c r="BJ112" s="68">
        <f>IF(BJ$84=0,NA(),IF(ISNUMBER(INDEX($D$89:$AD$89,BJ$84)),(IF(BJ106&gt;BJ108,N(INDEX($D$87:$AD$87,BJ$84)),0)+IF(BJ104&gt;BJ108,N(INDEX($D$88:$AD$88,BJ$84)),0)+INDEX($D$89:$AD$89,BJ$84)/2)/BJ100,NA()))</f>
        <v>0</v>
      </c>
      <c r="BK112" s="68">
        <f>IF(BK$84=0,NA(),IF(ISNUMBER(INDEX($D$89:$AD$89,BK$84)),(IF(BK106&gt;BK108,N(INDEX($D$87:$AD$87,BK$84)),0)+IF(BK104&gt;BK108,N(INDEX($D$88:$AD$88,BK$84)),0)+INDEX($D$89:$AD$89,BK$84)/2)/BK100,NA()))</f>
        <v>0</v>
      </c>
      <c r="BL112" s="68">
        <f>IF(BL$84=0,NA(),IF(ISNUMBER(INDEX($D$89:$AD$89,BL$84)),(IF(BL106&gt;BL108,N(INDEX($D$87:$AD$87,BL$84)),0)+IF(BL104&gt;BL108,N(INDEX($D$88:$AD$88,BL$84)),0)+INDEX($D$89:$AD$89,BL$84)/2)/BL100,NA()))</f>
        <v>0</v>
      </c>
      <c r="BM112" s="68">
        <f>IF(BM$84=0,NA(),IF(ISNUMBER(INDEX($D$89:$AD$89,BM$84)),(IF(BM106&gt;BM108,N(INDEX($D$87:$AD$87,BM$84)),0)+IF(BM104&gt;BM108,N(INDEX($D$88:$AD$88,BM$84)),0)+INDEX($D$89:$AD$89,BM$84)/2)/BM100,NA()))</f>
        <v>0</v>
      </c>
      <c r="BN112" s="68">
        <f>IF(BN$84=0,NA(),IF(ISNUMBER(INDEX($D$89:$AD$89,BN$84)),(IF(BN106&gt;BN108,N(INDEX($D$87:$AD$87,BN$84)),0)+IF(BN104&gt;BN108,N(INDEX($D$88:$AD$88,BN$84)),0)+INDEX($D$89:$AD$89,BN$84)/2)/BN100,NA()))</f>
        <v>0</v>
      </c>
      <c r="BO112" s="68">
        <f>IF(BO$84=0,NA(),IF(ISNUMBER(INDEX($D$89:$AD$89,BO$84)),(IF(BO106&gt;BO108,N(INDEX($D$87:$AD$87,BO$84)),0)+IF(BO104&gt;BO108,N(INDEX($D$88:$AD$88,BO$84)),0)+INDEX($D$89:$AD$89,BO$84)/2)/BO100,NA()))</f>
        <v>0</v>
      </c>
      <c r="BP112" s="68">
        <f>IF(BP$84=0,NA(),IF(ISNUMBER(INDEX($D$89:$AD$89,BP$84)),(IF(BP106&gt;BP108,N(INDEX($D$87:$AD$87,BP$84)),0)+IF(BP104&gt;BP108,N(INDEX($D$88:$AD$88,BP$84)),0)+INDEX($D$89:$AD$89,BP$84)/2)/BP100,NA()))</f>
        <v>0</v>
      </c>
    </row>
    <row r="113" spans="1:68">
      <c r="A113" s="11" t="s">
        <v>753</v>
      </c>
      <c r="B113" s="11" t="s">
        <v>754</v>
      </c>
      <c r="C113" s="67" t="s">
        <v>604</v>
      </c>
      <c r="AQ113" s="68">
        <f>IF(AQ$84=0,NA(),IF(ISNUMBER(INDEX($D$88:$AD$88,AQ$84)),MAX(MIN(AQ110,IFERROR(INDEX($D$98:$AD$98,AQ$84)/AQ100,1)-0.08721-AQ104*0.17442,IF(AQ106&lt;AQ104,IFERROR(AQ111,9)-(AQ104-AQ106)*0.17442,9),IF(AQ108&lt;AQ104,IFERROR(AQ112,9)-(AQ104-AQ108)*0.17442,9)),0.08721+(2-AQ104)*0.17442),NA()))</f>
        <v>0</v>
      </c>
      <c r="AR113" s="68">
        <f>IF(AR$84=0,NA(),IF(ISNUMBER(INDEX($D$88:$AD$88,AR$84)),MAX(MIN(AR110,IFERROR(INDEX($D$98:$AD$98,AR$84)/AR100,1)-0.08721-AR104*0.17442,IF(AR106&lt;AR104,IFERROR(AR111,9)-(AR104-AR106)*0.17442,9),IF(AR108&lt;AR104,IFERROR(AR112,9)-(AR104-AR108)*0.17442,9)),0.08721+(2-AR104)*0.17442),NA()))</f>
        <v>0</v>
      </c>
      <c r="AS113" s="68">
        <f>IF(AS$84=0,NA(),IF(ISNUMBER(INDEX($D$88:$AD$88,AS$84)),MAX(MIN(AS110,IFERROR(INDEX($D$98:$AD$98,AS$84)/AS100,1)-0.08721-AS104*0.17442,IF(AS106&lt;AS104,IFERROR(AS111,9)-(AS104-AS106)*0.17442,9),IF(AS108&lt;AS104,IFERROR(AS112,9)-(AS104-AS108)*0.17442,9)),0.08721+(2-AS104)*0.17442),NA()))</f>
        <v>0</v>
      </c>
      <c r="AT113" s="68">
        <f>IF(AT$84=0,NA(),IF(ISNUMBER(INDEX($D$88:$AD$88,AT$84)),MAX(MIN(AT110,IFERROR(INDEX($D$98:$AD$98,AT$84)/AT100,1)-0.08721-AT104*0.17442,IF(AT106&lt;AT104,IFERROR(AT111,9)-(AT104-AT106)*0.17442,9),IF(AT108&lt;AT104,IFERROR(AT112,9)-(AT104-AT108)*0.17442,9)),0.08721+(2-AT104)*0.17442),NA()))</f>
        <v>0</v>
      </c>
      <c r="AU113" s="68">
        <f>IF(AU$84=0,NA(),IF(ISNUMBER(INDEX($D$88:$AD$88,AU$84)),MAX(MIN(AU110,IFERROR(INDEX($D$98:$AD$98,AU$84)/AU100,1)-0.08721-AU104*0.17442,IF(AU106&lt;AU104,IFERROR(AU111,9)-(AU104-AU106)*0.17442,9),IF(AU108&lt;AU104,IFERROR(AU112,9)-(AU104-AU108)*0.17442,9)),0.08721+(2-AU104)*0.17442),NA()))</f>
        <v>0</v>
      </c>
      <c r="AV113" s="68">
        <f>IF(AV$84=0,NA(),IF(ISNUMBER(INDEX($D$88:$AD$88,AV$84)),MAX(MIN(AV110,IFERROR(INDEX($D$98:$AD$98,AV$84)/AV100,1)-0.08721-AV104*0.17442,IF(AV106&lt;AV104,IFERROR(AV111,9)-(AV104-AV106)*0.17442,9),IF(AV108&lt;AV104,IFERROR(AV112,9)-(AV104-AV108)*0.17442,9)),0.08721+(2-AV104)*0.17442),NA()))</f>
        <v>0</v>
      </c>
      <c r="AW113" s="68">
        <f>IF(AW$84=0,NA(),IF(ISNUMBER(INDEX($D$88:$AD$88,AW$84)),MAX(MIN(AW110,IFERROR(INDEX($D$98:$AD$98,AW$84)/AW100,1)-0.08721-AW104*0.17442,IF(AW106&lt;AW104,IFERROR(AW111,9)-(AW104-AW106)*0.17442,9),IF(AW108&lt;AW104,IFERROR(AW112,9)-(AW104-AW108)*0.17442,9)),0.08721+(2-AW104)*0.17442),NA()))</f>
        <v>0</v>
      </c>
      <c r="AX113" s="68">
        <f>IF(AX$84=0,NA(),IF(ISNUMBER(INDEX($D$88:$AD$88,AX$84)),MAX(MIN(AX110,IFERROR(INDEX($D$98:$AD$98,AX$84)/AX100,1)-0.08721-AX104*0.17442,IF(AX106&lt;AX104,IFERROR(AX111,9)-(AX104-AX106)*0.17442,9),IF(AX108&lt;AX104,IFERROR(AX112,9)-(AX104-AX108)*0.17442,9)),0.08721+(2-AX104)*0.17442),NA()))</f>
        <v>0</v>
      </c>
      <c r="AY113" s="68">
        <f>IF(AY$84=0,NA(),IF(ISNUMBER(INDEX($D$88:$AD$88,AY$84)),MAX(MIN(AY110,IFERROR(INDEX($D$98:$AD$98,AY$84)/AY100,1)-0.08721-AY104*0.17442,IF(AY106&lt;AY104,IFERROR(AY111,9)-(AY104-AY106)*0.17442,9),IF(AY108&lt;AY104,IFERROR(AY112,9)-(AY104-AY108)*0.17442,9)),0.08721+(2-AY104)*0.17442),NA()))</f>
        <v>0</v>
      </c>
      <c r="AZ113" s="68">
        <f>IF(AZ$84=0,NA(),IF(ISNUMBER(INDEX($D$88:$AD$88,AZ$84)),MAX(MIN(AZ110,IFERROR(INDEX($D$98:$AD$98,AZ$84)/AZ100,1)-0.08721-AZ104*0.17442,IF(AZ106&lt;AZ104,IFERROR(AZ111,9)-(AZ104-AZ106)*0.17442,9),IF(AZ108&lt;AZ104,IFERROR(AZ112,9)-(AZ104-AZ108)*0.17442,9)),0.08721+(2-AZ104)*0.17442),NA()))</f>
        <v>0</v>
      </c>
      <c r="BA113" s="68">
        <f>IF(BA$84=0,NA(),IF(ISNUMBER(INDEX($D$88:$AD$88,BA$84)),MAX(MIN(BA110,IFERROR(INDEX($D$98:$AD$98,BA$84)/BA100,1)-0.08721-BA104*0.17442,IF(BA106&lt;BA104,IFERROR(BA111,9)-(BA104-BA106)*0.17442,9),IF(BA108&lt;BA104,IFERROR(BA112,9)-(BA104-BA108)*0.17442,9)),0.08721+(2-BA104)*0.17442),NA()))</f>
        <v>0</v>
      </c>
      <c r="BB113" s="68">
        <f>IF(BB$84=0,NA(),IF(ISNUMBER(INDEX($D$88:$AD$88,BB$84)),MAX(MIN(BB110,IFERROR(INDEX($D$98:$AD$98,BB$84)/BB100,1)-0.08721-BB104*0.17442,IF(BB106&lt;BB104,IFERROR(BB111,9)-(BB104-BB106)*0.17442,9),IF(BB108&lt;BB104,IFERROR(BB112,9)-(BB104-BB108)*0.17442,9)),0.08721+(2-BB104)*0.17442),NA()))</f>
        <v>0</v>
      </c>
      <c r="BC113" s="68">
        <f>IF(BC$84=0,NA(),IF(ISNUMBER(INDEX($D$88:$AD$88,BC$84)),MAX(MIN(BC110,IFERROR(INDEX($D$98:$AD$98,BC$84)/BC100,1)-0.08721-BC104*0.17442,IF(BC106&lt;BC104,IFERROR(BC111,9)-(BC104-BC106)*0.17442,9),IF(BC108&lt;BC104,IFERROR(BC112,9)-(BC104-BC108)*0.17442,9)),0.08721+(2-BC104)*0.17442),NA()))</f>
        <v>0</v>
      </c>
      <c r="BD113" s="68">
        <f>IF(BD$84=0,NA(),IF(ISNUMBER(INDEX($D$88:$AD$88,BD$84)),MAX(MIN(BD110,IFERROR(INDEX($D$98:$AD$98,BD$84)/BD100,1)-0.08721-BD104*0.17442,IF(BD106&lt;BD104,IFERROR(BD111,9)-(BD104-BD106)*0.17442,9),IF(BD108&lt;BD104,IFERROR(BD112,9)-(BD104-BD108)*0.17442,9)),0.08721+(2-BD104)*0.17442),NA()))</f>
        <v>0</v>
      </c>
      <c r="BE113" s="68">
        <f>IF(BE$84=0,NA(),IF(ISNUMBER(INDEX($D$88:$AD$88,BE$84)),MAX(MIN(BE110,IFERROR(INDEX($D$98:$AD$98,BE$84)/BE100,1)-0.08721-BE104*0.17442,IF(BE106&lt;BE104,IFERROR(BE111,9)-(BE104-BE106)*0.17442,9),IF(BE108&lt;BE104,IFERROR(BE112,9)-(BE104-BE108)*0.17442,9)),0.08721+(2-BE104)*0.17442),NA()))</f>
        <v>0</v>
      </c>
      <c r="BF113" s="68">
        <f>IF(BF$84=0,NA(),IF(ISNUMBER(INDEX($D$88:$AD$88,BF$84)),MAX(MIN(BF110,IFERROR(INDEX($D$98:$AD$98,BF$84)/BF100,1)-0.08721-BF104*0.17442,IF(BF106&lt;BF104,IFERROR(BF111,9)-(BF104-BF106)*0.17442,9),IF(BF108&lt;BF104,IFERROR(BF112,9)-(BF104-BF108)*0.17442,9)),0.08721+(2-BF104)*0.17442),NA()))</f>
        <v>0</v>
      </c>
      <c r="BG113" s="68">
        <f>IF(BG$84=0,NA(),IF(ISNUMBER(INDEX($D$88:$AD$88,BG$84)),MAX(MIN(BG110,IFERROR(INDEX($D$98:$AD$98,BG$84)/BG100,1)-0.08721-BG104*0.17442,IF(BG106&lt;BG104,IFERROR(BG111,9)-(BG104-BG106)*0.17442,9),IF(BG108&lt;BG104,IFERROR(BG112,9)-(BG104-BG108)*0.17442,9)),0.08721+(2-BG104)*0.17442),NA()))</f>
        <v>0</v>
      </c>
      <c r="BH113" s="68">
        <f>IF(BH$84=0,NA(),IF(ISNUMBER(INDEX($D$88:$AD$88,BH$84)),MAX(MIN(BH110,IFERROR(INDEX($D$98:$AD$98,BH$84)/BH100,1)-0.08721-BH104*0.17442,IF(BH106&lt;BH104,IFERROR(BH111,9)-(BH104-BH106)*0.17442,9),IF(BH108&lt;BH104,IFERROR(BH112,9)-(BH104-BH108)*0.17442,9)),0.08721+(2-BH104)*0.17442),NA()))</f>
        <v>0</v>
      </c>
      <c r="BI113" s="68">
        <f>IF(BI$84=0,NA(),IF(ISNUMBER(INDEX($D$88:$AD$88,BI$84)),MAX(MIN(BI110,IFERROR(INDEX($D$98:$AD$98,BI$84)/BI100,1)-0.08721-BI104*0.17442,IF(BI106&lt;BI104,IFERROR(BI111,9)-(BI104-BI106)*0.17442,9),IF(BI108&lt;BI104,IFERROR(BI112,9)-(BI104-BI108)*0.17442,9)),0.08721+(2-BI104)*0.17442),NA()))</f>
        <v>0</v>
      </c>
      <c r="BJ113" s="68">
        <f>IF(BJ$84=0,NA(),IF(ISNUMBER(INDEX($D$88:$AD$88,BJ$84)),MAX(MIN(BJ110,IFERROR(INDEX($D$98:$AD$98,BJ$84)/BJ100,1)-0.08721-BJ104*0.17442,IF(BJ106&lt;BJ104,IFERROR(BJ111,9)-(BJ104-BJ106)*0.17442,9),IF(BJ108&lt;BJ104,IFERROR(BJ112,9)-(BJ104-BJ108)*0.17442,9)),0.08721+(2-BJ104)*0.17442),NA()))</f>
        <v>0</v>
      </c>
      <c r="BK113" s="68">
        <f>IF(BK$84=0,NA(),IF(ISNUMBER(INDEX($D$88:$AD$88,BK$84)),MAX(MIN(BK110,IFERROR(INDEX($D$98:$AD$98,BK$84)/BK100,1)-0.08721-BK104*0.17442,IF(BK106&lt;BK104,IFERROR(BK111,9)-(BK104-BK106)*0.17442,9),IF(BK108&lt;BK104,IFERROR(BK112,9)-(BK104-BK108)*0.17442,9)),0.08721+(2-BK104)*0.17442),NA()))</f>
        <v>0</v>
      </c>
      <c r="BL113" s="68">
        <f>IF(BL$84=0,NA(),IF(ISNUMBER(INDEX($D$88:$AD$88,BL$84)),MAX(MIN(BL110,IFERROR(INDEX($D$98:$AD$98,BL$84)/BL100,1)-0.08721-BL104*0.17442,IF(BL106&lt;BL104,IFERROR(BL111,9)-(BL104-BL106)*0.17442,9),IF(BL108&lt;BL104,IFERROR(BL112,9)-(BL104-BL108)*0.17442,9)),0.08721+(2-BL104)*0.17442),NA()))</f>
        <v>0</v>
      </c>
      <c r="BM113" s="68">
        <f>IF(BM$84=0,NA(),IF(ISNUMBER(INDEX($D$88:$AD$88,BM$84)),MAX(MIN(BM110,IFERROR(INDEX($D$98:$AD$98,BM$84)/BM100,1)-0.08721-BM104*0.17442,IF(BM106&lt;BM104,IFERROR(BM111,9)-(BM104-BM106)*0.17442,9),IF(BM108&lt;BM104,IFERROR(BM112,9)-(BM104-BM108)*0.17442,9)),0.08721+(2-BM104)*0.17442),NA()))</f>
        <v>0</v>
      </c>
      <c r="BN113" s="68">
        <f>IF(BN$84=0,NA(),IF(ISNUMBER(INDEX($D$88:$AD$88,BN$84)),MAX(MIN(BN110,IFERROR(INDEX($D$98:$AD$98,BN$84)/BN100,1)-0.08721-BN104*0.17442,IF(BN106&lt;BN104,IFERROR(BN111,9)-(BN104-BN106)*0.17442,9),IF(BN108&lt;BN104,IFERROR(BN112,9)-(BN104-BN108)*0.17442,9)),0.08721+(2-BN104)*0.17442),NA()))</f>
        <v>0</v>
      </c>
      <c r="BO113" s="68">
        <f>IF(BO$84=0,NA(),IF(ISNUMBER(INDEX($D$88:$AD$88,BO$84)),MAX(MIN(BO110,IFERROR(INDEX($D$98:$AD$98,BO$84)/BO100,1)-0.08721-BO104*0.17442,IF(BO106&lt;BO104,IFERROR(BO111,9)-(BO104-BO106)*0.17442,9),IF(BO108&lt;BO104,IFERROR(BO112,9)-(BO104-BO108)*0.17442,9)),0.08721+(2-BO104)*0.17442),NA()))</f>
        <v>0</v>
      </c>
      <c r="BP113" s="68">
        <f>IF(BP$84=0,NA(),IF(ISNUMBER(INDEX($D$88:$AD$88,BP$84)),MAX(MIN(BP110,IFERROR(INDEX($D$98:$AD$98,BP$84)/BP100,1)-0.08721-BP104*0.17442,IF(BP106&lt;BP104,IFERROR(BP111,9)-(BP104-BP106)*0.17442,9),IF(BP108&lt;BP104,IFERROR(BP112,9)-(BP104-BP108)*0.17442,9)),0.08721+(2-BP104)*0.17442),NA()))</f>
        <v>0</v>
      </c>
    </row>
    <row r="114" spans="1:68">
      <c r="A114" s="11" t="s">
        <v>755</v>
      </c>
      <c r="B114" s="11" t="s">
        <v>756</v>
      </c>
      <c r="C114" s="67" t="s">
        <v>604</v>
      </c>
      <c r="AQ114" s="68">
        <f>IF(AQ$84=0,NA(),IF(ISNUMBER(INDEX($D$87:$AD$87,AQ$84)),MAX(MIN(AQ111,IFERROR(INDEX($D$98:$AD$98,AQ$84)/AQ100,1)-0.08721-AQ106*0.17442,IF(AQ104&lt;AQ106,IFERROR(AQ110,9)-(AQ106-AQ104)*0.17442,9),IF(AQ108&lt;AQ106,IFERROR(AQ112,9)-(AQ106-AQ108)*0.17442,9)),0.08721+(2-AQ106)*0.17442),NA()))</f>
        <v>0</v>
      </c>
      <c r="AR114" s="68">
        <f>IF(AR$84=0,NA(),IF(ISNUMBER(INDEX($D$87:$AD$87,AR$84)),MAX(MIN(AR111,IFERROR(INDEX($D$98:$AD$98,AR$84)/AR100,1)-0.08721-AR106*0.17442,IF(AR104&lt;AR106,IFERROR(AR110,9)-(AR106-AR104)*0.17442,9),IF(AR108&lt;AR106,IFERROR(AR112,9)-(AR106-AR108)*0.17442,9)),0.08721+(2-AR106)*0.17442),NA()))</f>
        <v>0</v>
      </c>
      <c r="AS114" s="68">
        <f>IF(AS$84=0,NA(),IF(ISNUMBER(INDEX($D$87:$AD$87,AS$84)),MAX(MIN(AS111,IFERROR(INDEX($D$98:$AD$98,AS$84)/AS100,1)-0.08721-AS106*0.17442,IF(AS104&lt;AS106,IFERROR(AS110,9)-(AS106-AS104)*0.17442,9),IF(AS108&lt;AS106,IFERROR(AS112,9)-(AS106-AS108)*0.17442,9)),0.08721+(2-AS106)*0.17442),NA()))</f>
        <v>0</v>
      </c>
      <c r="AT114" s="68">
        <f>IF(AT$84=0,NA(),IF(ISNUMBER(INDEX($D$87:$AD$87,AT$84)),MAX(MIN(AT111,IFERROR(INDEX($D$98:$AD$98,AT$84)/AT100,1)-0.08721-AT106*0.17442,IF(AT104&lt;AT106,IFERROR(AT110,9)-(AT106-AT104)*0.17442,9),IF(AT108&lt;AT106,IFERROR(AT112,9)-(AT106-AT108)*0.17442,9)),0.08721+(2-AT106)*0.17442),NA()))</f>
        <v>0</v>
      </c>
      <c r="AU114" s="68">
        <f>IF(AU$84=0,NA(),IF(ISNUMBER(INDEX($D$87:$AD$87,AU$84)),MAX(MIN(AU111,IFERROR(INDEX($D$98:$AD$98,AU$84)/AU100,1)-0.08721-AU106*0.17442,IF(AU104&lt;AU106,IFERROR(AU110,9)-(AU106-AU104)*0.17442,9),IF(AU108&lt;AU106,IFERROR(AU112,9)-(AU106-AU108)*0.17442,9)),0.08721+(2-AU106)*0.17442),NA()))</f>
        <v>0</v>
      </c>
      <c r="AV114" s="68">
        <f>IF(AV$84=0,NA(),IF(ISNUMBER(INDEX($D$87:$AD$87,AV$84)),MAX(MIN(AV111,IFERROR(INDEX($D$98:$AD$98,AV$84)/AV100,1)-0.08721-AV106*0.17442,IF(AV104&lt;AV106,IFERROR(AV110,9)-(AV106-AV104)*0.17442,9),IF(AV108&lt;AV106,IFERROR(AV112,9)-(AV106-AV108)*0.17442,9)),0.08721+(2-AV106)*0.17442),NA()))</f>
        <v>0</v>
      </c>
      <c r="AW114" s="68">
        <f>IF(AW$84=0,NA(),IF(ISNUMBER(INDEX($D$87:$AD$87,AW$84)),MAX(MIN(AW111,IFERROR(INDEX($D$98:$AD$98,AW$84)/AW100,1)-0.08721-AW106*0.17442,IF(AW104&lt;AW106,IFERROR(AW110,9)-(AW106-AW104)*0.17442,9),IF(AW108&lt;AW106,IFERROR(AW112,9)-(AW106-AW108)*0.17442,9)),0.08721+(2-AW106)*0.17442),NA()))</f>
        <v>0</v>
      </c>
      <c r="AX114" s="68">
        <f>IF(AX$84=0,NA(),IF(ISNUMBER(INDEX($D$87:$AD$87,AX$84)),MAX(MIN(AX111,IFERROR(INDEX($D$98:$AD$98,AX$84)/AX100,1)-0.08721-AX106*0.17442,IF(AX104&lt;AX106,IFERROR(AX110,9)-(AX106-AX104)*0.17442,9),IF(AX108&lt;AX106,IFERROR(AX112,9)-(AX106-AX108)*0.17442,9)),0.08721+(2-AX106)*0.17442),NA()))</f>
        <v>0</v>
      </c>
      <c r="AY114" s="68">
        <f>IF(AY$84=0,NA(),IF(ISNUMBER(INDEX($D$87:$AD$87,AY$84)),MAX(MIN(AY111,IFERROR(INDEX($D$98:$AD$98,AY$84)/AY100,1)-0.08721-AY106*0.17442,IF(AY104&lt;AY106,IFERROR(AY110,9)-(AY106-AY104)*0.17442,9),IF(AY108&lt;AY106,IFERROR(AY112,9)-(AY106-AY108)*0.17442,9)),0.08721+(2-AY106)*0.17442),NA()))</f>
        <v>0</v>
      </c>
      <c r="AZ114" s="68">
        <f>IF(AZ$84=0,NA(),IF(ISNUMBER(INDEX($D$87:$AD$87,AZ$84)),MAX(MIN(AZ111,IFERROR(INDEX($D$98:$AD$98,AZ$84)/AZ100,1)-0.08721-AZ106*0.17442,IF(AZ104&lt;AZ106,IFERROR(AZ110,9)-(AZ106-AZ104)*0.17442,9),IF(AZ108&lt;AZ106,IFERROR(AZ112,9)-(AZ106-AZ108)*0.17442,9)),0.08721+(2-AZ106)*0.17442),NA()))</f>
        <v>0</v>
      </c>
      <c r="BA114" s="68">
        <f>IF(BA$84=0,NA(),IF(ISNUMBER(INDEX($D$87:$AD$87,BA$84)),MAX(MIN(BA111,IFERROR(INDEX($D$98:$AD$98,BA$84)/BA100,1)-0.08721-BA106*0.17442,IF(BA104&lt;BA106,IFERROR(BA110,9)-(BA106-BA104)*0.17442,9),IF(BA108&lt;BA106,IFERROR(BA112,9)-(BA106-BA108)*0.17442,9)),0.08721+(2-BA106)*0.17442),NA()))</f>
        <v>0</v>
      </c>
      <c r="BB114" s="68">
        <f>IF(BB$84=0,NA(),IF(ISNUMBER(INDEX($D$87:$AD$87,BB$84)),MAX(MIN(BB111,IFERROR(INDEX($D$98:$AD$98,BB$84)/BB100,1)-0.08721-BB106*0.17442,IF(BB104&lt;BB106,IFERROR(BB110,9)-(BB106-BB104)*0.17442,9),IF(BB108&lt;BB106,IFERROR(BB112,9)-(BB106-BB108)*0.17442,9)),0.08721+(2-BB106)*0.17442),NA()))</f>
        <v>0</v>
      </c>
      <c r="BC114" s="68">
        <f>IF(BC$84=0,NA(),IF(ISNUMBER(INDEX($D$87:$AD$87,BC$84)),MAX(MIN(BC111,IFERROR(INDEX($D$98:$AD$98,BC$84)/BC100,1)-0.08721-BC106*0.17442,IF(BC104&lt;BC106,IFERROR(BC110,9)-(BC106-BC104)*0.17442,9),IF(BC108&lt;BC106,IFERROR(BC112,9)-(BC106-BC108)*0.17442,9)),0.08721+(2-BC106)*0.17442),NA()))</f>
        <v>0</v>
      </c>
      <c r="BD114" s="68">
        <f>IF(BD$84=0,NA(),IF(ISNUMBER(INDEX($D$87:$AD$87,BD$84)),MAX(MIN(BD111,IFERROR(INDEX($D$98:$AD$98,BD$84)/BD100,1)-0.08721-BD106*0.17442,IF(BD104&lt;BD106,IFERROR(BD110,9)-(BD106-BD104)*0.17442,9),IF(BD108&lt;BD106,IFERROR(BD112,9)-(BD106-BD108)*0.17442,9)),0.08721+(2-BD106)*0.17442),NA()))</f>
        <v>0</v>
      </c>
      <c r="BE114" s="68">
        <f>IF(BE$84=0,NA(),IF(ISNUMBER(INDEX($D$87:$AD$87,BE$84)),MAX(MIN(BE111,IFERROR(INDEX($D$98:$AD$98,BE$84)/BE100,1)-0.08721-BE106*0.17442,IF(BE104&lt;BE106,IFERROR(BE110,9)-(BE106-BE104)*0.17442,9),IF(BE108&lt;BE106,IFERROR(BE112,9)-(BE106-BE108)*0.17442,9)),0.08721+(2-BE106)*0.17442),NA()))</f>
        <v>0</v>
      </c>
      <c r="BF114" s="68">
        <f>IF(BF$84=0,NA(),IF(ISNUMBER(INDEX($D$87:$AD$87,BF$84)),MAX(MIN(BF111,IFERROR(INDEX($D$98:$AD$98,BF$84)/BF100,1)-0.08721-BF106*0.17442,IF(BF104&lt;BF106,IFERROR(BF110,9)-(BF106-BF104)*0.17442,9),IF(BF108&lt;BF106,IFERROR(BF112,9)-(BF106-BF108)*0.17442,9)),0.08721+(2-BF106)*0.17442),NA()))</f>
        <v>0</v>
      </c>
      <c r="BG114" s="68">
        <f>IF(BG$84=0,NA(),IF(ISNUMBER(INDEX($D$87:$AD$87,BG$84)),MAX(MIN(BG111,IFERROR(INDEX($D$98:$AD$98,BG$84)/BG100,1)-0.08721-BG106*0.17442,IF(BG104&lt;BG106,IFERROR(BG110,9)-(BG106-BG104)*0.17442,9),IF(BG108&lt;BG106,IFERROR(BG112,9)-(BG106-BG108)*0.17442,9)),0.08721+(2-BG106)*0.17442),NA()))</f>
        <v>0</v>
      </c>
      <c r="BH114" s="68">
        <f>IF(BH$84=0,NA(),IF(ISNUMBER(INDEX($D$87:$AD$87,BH$84)),MAX(MIN(BH111,IFERROR(INDEX($D$98:$AD$98,BH$84)/BH100,1)-0.08721-BH106*0.17442,IF(BH104&lt;BH106,IFERROR(BH110,9)-(BH106-BH104)*0.17442,9),IF(BH108&lt;BH106,IFERROR(BH112,9)-(BH106-BH108)*0.17442,9)),0.08721+(2-BH106)*0.17442),NA()))</f>
        <v>0</v>
      </c>
      <c r="BI114" s="68">
        <f>IF(BI$84=0,NA(),IF(ISNUMBER(INDEX($D$87:$AD$87,BI$84)),MAX(MIN(BI111,IFERROR(INDEX($D$98:$AD$98,BI$84)/BI100,1)-0.08721-BI106*0.17442,IF(BI104&lt;BI106,IFERROR(BI110,9)-(BI106-BI104)*0.17442,9),IF(BI108&lt;BI106,IFERROR(BI112,9)-(BI106-BI108)*0.17442,9)),0.08721+(2-BI106)*0.17442),NA()))</f>
        <v>0</v>
      </c>
      <c r="BJ114" s="68">
        <f>IF(BJ$84=0,NA(),IF(ISNUMBER(INDEX($D$87:$AD$87,BJ$84)),MAX(MIN(BJ111,IFERROR(INDEX($D$98:$AD$98,BJ$84)/BJ100,1)-0.08721-BJ106*0.17442,IF(BJ104&lt;BJ106,IFERROR(BJ110,9)-(BJ106-BJ104)*0.17442,9),IF(BJ108&lt;BJ106,IFERROR(BJ112,9)-(BJ106-BJ108)*0.17442,9)),0.08721+(2-BJ106)*0.17442),NA()))</f>
        <v>0</v>
      </c>
      <c r="BK114" s="68">
        <f>IF(BK$84=0,NA(),IF(ISNUMBER(INDEX($D$87:$AD$87,BK$84)),MAX(MIN(BK111,IFERROR(INDEX($D$98:$AD$98,BK$84)/BK100,1)-0.08721-BK106*0.17442,IF(BK104&lt;BK106,IFERROR(BK110,9)-(BK106-BK104)*0.17442,9),IF(BK108&lt;BK106,IFERROR(BK112,9)-(BK106-BK108)*0.17442,9)),0.08721+(2-BK106)*0.17442),NA()))</f>
        <v>0</v>
      </c>
      <c r="BL114" s="68">
        <f>IF(BL$84=0,NA(),IF(ISNUMBER(INDEX($D$87:$AD$87,BL$84)),MAX(MIN(BL111,IFERROR(INDEX($D$98:$AD$98,BL$84)/BL100,1)-0.08721-BL106*0.17442,IF(BL104&lt;BL106,IFERROR(BL110,9)-(BL106-BL104)*0.17442,9),IF(BL108&lt;BL106,IFERROR(BL112,9)-(BL106-BL108)*0.17442,9)),0.08721+(2-BL106)*0.17442),NA()))</f>
        <v>0</v>
      </c>
      <c r="BM114" s="68">
        <f>IF(BM$84=0,NA(),IF(ISNUMBER(INDEX($D$87:$AD$87,BM$84)),MAX(MIN(BM111,IFERROR(INDEX($D$98:$AD$98,BM$84)/BM100,1)-0.08721-BM106*0.17442,IF(BM104&lt;BM106,IFERROR(BM110,9)-(BM106-BM104)*0.17442,9),IF(BM108&lt;BM106,IFERROR(BM112,9)-(BM106-BM108)*0.17442,9)),0.08721+(2-BM106)*0.17442),NA()))</f>
        <v>0</v>
      </c>
      <c r="BN114" s="68">
        <f>IF(BN$84=0,NA(),IF(ISNUMBER(INDEX($D$87:$AD$87,BN$84)),MAX(MIN(BN111,IFERROR(INDEX($D$98:$AD$98,BN$84)/BN100,1)-0.08721-BN106*0.17442,IF(BN104&lt;BN106,IFERROR(BN110,9)-(BN106-BN104)*0.17442,9),IF(BN108&lt;BN106,IFERROR(BN112,9)-(BN106-BN108)*0.17442,9)),0.08721+(2-BN106)*0.17442),NA()))</f>
        <v>0</v>
      </c>
      <c r="BO114" s="68">
        <f>IF(BO$84=0,NA(),IF(ISNUMBER(INDEX($D$87:$AD$87,BO$84)),MAX(MIN(BO111,IFERROR(INDEX($D$98:$AD$98,BO$84)/BO100,1)-0.08721-BO106*0.17442,IF(BO104&lt;BO106,IFERROR(BO110,9)-(BO106-BO104)*0.17442,9),IF(BO108&lt;BO106,IFERROR(BO112,9)-(BO106-BO108)*0.17442,9)),0.08721+(2-BO106)*0.17442),NA()))</f>
        <v>0</v>
      </c>
      <c r="BP114" s="68">
        <f>IF(BP$84=0,NA(),IF(ISNUMBER(INDEX($D$87:$AD$87,BP$84)),MAX(MIN(BP111,IFERROR(INDEX($D$98:$AD$98,BP$84)/BP100,1)-0.08721-BP106*0.17442,IF(BP104&lt;BP106,IFERROR(BP110,9)-(BP106-BP104)*0.17442,9),IF(BP108&lt;BP106,IFERROR(BP112,9)-(BP106-BP108)*0.17442,9)),0.08721+(2-BP106)*0.17442),NA()))</f>
        <v>0</v>
      </c>
    </row>
    <row r="115" spans="1:68">
      <c r="A115" s="11" t="s">
        <v>757</v>
      </c>
      <c r="B115" s="11" t="s">
        <v>758</v>
      </c>
      <c r="C115" s="67" t="s">
        <v>604</v>
      </c>
      <c r="AQ115" s="68">
        <f>IF(AQ$84=0,NA(),IF(ISNUMBER(INDEX($D$89:$AD$89,AQ$84)),MAX(MIN(AQ112,IFERROR(INDEX($D$98:$AD$98,AQ$84)/AQ100,1)-0.08721-AQ108*0.17442,IF(AQ106&lt;AQ108,IFERROR(AQ111,9)-(AQ108-AQ106)*0.17442,9),IF(AQ104&lt;AQ108,IFERROR(AQ110,9)-(AQ108-AQ104)*0.17442,9)),0.08721+(2-AQ108)*0.17442),NA()))</f>
        <v>0</v>
      </c>
      <c r="AR115" s="68">
        <f>IF(AR$84=0,NA(),IF(ISNUMBER(INDEX($D$89:$AD$89,AR$84)),MAX(MIN(AR112,IFERROR(INDEX($D$98:$AD$98,AR$84)/AR100,1)-0.08721-AR108*0.17442,IF(AR106&lt;AR108,IFERROR(AR111,9)-(AR108-AR106)*0.17442,9),IF(AR104&lt;AR108,IFERROR(AR110,9)-(AR108-AR104)*0.17442,9)),0.08721+(2-AR108)*0.17442),NA()))</f>
        <v>0</v>
      </c>
      <c r="AS115" s="68">
        <f>IF(AS$84=0,NA(),IF(ISNUMBER(INDEX($D$89:$AD$89,AS$84)),MAX(MIN(AS112,IFERROR(INDEX($D$98:$AD$98,AS$84)/AS100,1)-0.08721-AS108*0.17442,IF(AS106&lt;AS108,IFERROR(AS111,9)-(AS108-AS106)*0.17442,9),IF(AS104&lt;AS108,IFERROR(AS110,9)-(AS108-AS104)*0.17442,9)),0.08721+(2-AS108)*0.17442),NA()))</f>
        <v>0</v>
      </c>
      <c r="AT115" s="68">
        <f>IF(AT$84=0,NA(),IF(ISNUMBER(INDEX($D$89:$AD$89,AT$84)),MAX(MIN(AT112,IFERROR(INDEX($D$98:$AD$98,AT$84)/AT100,1)-0.08721-AT108*0.17442,IF(AT106&lt;AT108,IFERROR(AT111,9)-(AT108-AT106)*0.17442,9),IF(AT104&lt;AT108,IFERROR(AT110,9)-(AT108-AT104)*0.17442,9)),0.08721+(2-AT108)*0.17442),NA()))</f>
        <v>0</v>
      </c>
      <c r="AU115" s="68">
        <f>IF(AU$84=0,NA(),IF(ISNUMBER(INDEX($D$89:$AD$89,AU$84)),MAX(MIN(AU112,IFERROR(INDEX($D$98:$AD$98,AU$84)/AU100,1)-0.08721-AU108*0.17442,IF(AU106&lt;AU108,IFERROR(AU111,9)-(AU108-AU106)*0.17442,9),IF(AU104&lt;AU108,IFERROR(AU110,9)-(AU108-AU104)*0.17442,9)),0.08721+(2-AU108)*0.17442),NA()))</f>
        <v>0</v>
      </c>
      <c r="AV115" s="68">
        <f>IF(AV$84=0,NA(),IF(ISNUMBER(INDEX($D$89:$AD$89,AV$84)),MAX(MIN(AV112,IFERROR(INDEX($D$98:$AD$98,AV$84)/AV100,1)-0.08721-AV108*0.17442,IF(AV106&lt;AV108,IFERROR(AV111,9)-(AV108-AV106)*0.17442,9),IF(AV104&lt;AV108,IFERROR(AV110,9)-(AV108-AV104)*0.17442,9)),0.08721+(2-AV108)*0.17442),NA()))</f>
        <v>0</v>
      </c>
      <c r="AW115" s="68">
        <f>IF(AW$84=0,NA(),IF(ISNUMBER(INDEX($D$89:$AD$89,AW$84)),MAX(MIN(AW112,IFERROR(INDEX($D$98:$AD$98,AW$84)/AW100,1)-0.08721-AW108*0.17442,IF(AW106&lt;AW108,IFERROR(AW111,9)-(AW108-AW106)*0.17442,9),IF(AW104&lt;AW108,IFERROR(AW110,9)-(AW108-AW104)*0.17442,9)),0.08721+(2-AW108)*0.17442),NA()))</f>
        <v>0</v>
      </c>
      <c r="AX115" s="68">
        <f>IF(AX$84=0,NA(),IF(ISNUMBER(INDEX($D$89:$AD$89,AX$84)),MAX(MIN(AX112,IFERROR(INDEX($D$98:$AD$98,AX$84)/AX100,1)-0.08721-AX108*0.17442,IF(AX106&lt;AX108,IFERROR(AX111,9)-(AX108-AX106)*0.17442,9),IF(AX104&lt;AX108,IFERROR(AX110,9)-(AX108-AX104)*0.17442,9)),0.08721+(2-AX108)*0.17442),NA()))</f>
        <v>0</v>
      </c>
      <c r="AY115" s="68">
        <f>IF(AY$84=0,NA(),IF(ISNUMBER(INDEX($D$89:$AD$89,AY$84)),MAX(MIN(AY112,IFERROR(INDEX($D$98:$AD$98,AY$84)/AY100,1)-0.08721-AY108*0.17442,IF(AY106&lt;AY108,IFERROR(AY111,9)-(AY108-AY106)*0.17442,9),IF(AY104&lt;AY108,IFERROR(AY110,9)-(AY108-AY104)*0.17442,9)),0.08721+(2-AY108)*0.17442),NA()))</f>
        <v>0</v>
      </c>
      <c r="AZ115" s="68">
        <f>IF(AZ$84=0,NA(),IF(ISNUMBER(INDEX($D$89:$AD$89,AZ$84)),MAX(MIN(AZ112,IFERROR(INDEX($D$98:$AD$98,AZ$84)/AZ100,1)-0.08721-AZ108*0.17442,IF(AZ106&lt;AZ108,IFERROR(AZ111,9)-(AZ108-AZ106)*0.17442,9),IF(AZ104&lt;AZ108,IFERROR(AZ110,9)-(AZ108-AZ104)*0.17442,9)),0.08721+(2-AZ108)*0.17442),NA()))</f>
        <v>0</v>
      </c>
      <c r="BA115" s="68">
        <f>IF(BA$84=0,NA(),IF(ISNUMBER(INDEX($D$89:$AD$89,BA$84)),MAX(MIN(BA112,IFERROR(INDEX($D$98:$AD$98,BA$84)/BA100,1)-0.08721-BA108*0.17442,IF(BA106&lt;BA108,IFERROR(BA111,9)-(BA108-BA106)*0.17442,9),IF(BA104&lt;BA108,IFERROR(BA110,9)-(BA108-BA104)*0.17442,9)),0.08721+(2-BA108)*0.17442),NA()))</f>
        <v>0</v>
      </c>
      <c r="BB115" s="68">
        <f>IF(BB$84=0,NA(),IF(ISNUMBER(INDEX($D$89:$AD$89,BB$84)),MAX(MIN(BB112,IFERROR(INDEX($D$98:$AD$98,BB$84)/BB100,1)-0.08721-BB108*0.17442,IF(BB106&lt;BB108,IFERROR(BB111,9)-(BB108-BB106)*0.17442,9),IF(BB104&lt;BB108,IFERROR(BB110,9)-(BB108-BB104)*0.17442,9)),0.08721+(2-BB108)*0.17442),NA()))</f>
        <v>0</v>
      </c>
      <c r="BC115" s="68">
        <f>IF(BC$84=0,NA(),IF(ISNUMBER(INDEX($D$89:$AD$89,BC$84)),MAX(MIN(BC112,IFERROR(INDEX($D$98:$AD$98,BC$84)/BC100,1)-0.08721-BC108*0.17442,IF(BC106&lt;BC108,IFERROR(BC111,9)-(BC108-BC106)*0.17442,9),IF(BC104&lt;BC108,IFERROR(BC110,9)-(BC108-BC104)*0.17442,9)),0.08721+(2-BC108)*0.17442),NA()))</f>
        <v>0</v>
      </c>
      <c r="BD115" s="68">
        <f>IF(BD$84=0,NA(),IF(ISNUMBER(INDEX($D$89:$AD$89,BD$84)),MAX(MIN(BD112,IFERROR(INDEX($D$98:$AD$98,BD$84)/BD100,1)-0.08721-BD108*0.17442,IF(BD106&lt;BD108,IFERROR(BD111,9)-(BD108-BD106)*0.17442,9),IF(BD104&lt;BD108,IFERROR(BD110,9)-(BD108-BD104)*0.17442,9)),0.08721+(2-BD108)*0.17442),NA()))</f>
        <v>0</v>
      </c>
      <c r="BE115" s="68">
        <f>IF(BE$84=0,NA(),IF(ISNUMBER(INDEX($D$89:$AD$89,BE$84)),MAX(MIN(BE112,IFERROR(INDEX($D$98:$AD$98,BE$84)/BE100,1)-0.08721-BE108*0.17442,IF(BE106&lt;BE108,IFERROR(BE111,9)-(BE108-BE106)*0.17442,9),IF(BE104&lt;BE108,IFERROR(BE110,9)-(BE108-BE104)*0.17442,9)),0.08721+(2-BE108)*0.17442),NA()))</f>
        <v>0</v>
      </c>
      <c r="BF115" s="68">
        <f>IF(BF$84=0,NA(),IF(ISNUMBER(INDEX($D$89:$AD$89,BF$84)),MAX(MIN(BF112,IFERROR(INDEX($D$98:$AD$98,BF$84)/BF100,1)-0.08721-BF108*0.17442,IF(BF106&lt;BF108,IFERROR(BF111,9)-(BF108-BF106)*0.17442,9),IF(BF104&lt;BF108,IFERROR(BF110,9)-(BF108-BF104)*0.17442,9)),0.08721+(2-BF108)*0.17442),NA()))</f>
        <v>0</v>
      </c>
      <c r="BG115" s="68">
        <f>IF(BG$84=0,NA(),IF(ISNUMBER(INDEX($D$89:$AD$89,BG$84)),MAX(MIN(BG112,IFERROR(INDEX($D$98:$AD$98,BG$84)/BG100,1)-0.08721-BG108*0.17442,IF(BG106&lt;BG108,IFERROR(BG111,9)-(BG108-BG106)*0.17442,9),IF(BG104&lt;BG108,IFERROR(BG110,9)-(BG108-BG104)*0.17442,9)),0.08721+(2-BG108)*0.17442),NA()))</f>
        <v>0</v>
      </c>
      <c r="BH115" s="68">
        <f>IF(BH$84=0,NA(),IF(ISNUMBER(INDEX($D$89:$AD$89,BH$84)),MAX(MIN(BH112,IFERROR(INDEX($D$98:$AD$98,BH$84)/BH100,1)-0.08721-BH108*0.17442,IF(BH106&lt;BH108,IFERROR(BH111,9)-(BH108-BH106)*0.17442,9),IF(BH104&lt;BH108,IFERROR(BH110,9)-(BH108-BH104)*0.17442,9)),0.08721+(2-BH108)*0.17442),NA()))</f>
        <v>0</v>
      </c>
      <c r="BI115" s="68">
        <f>IF(BI$84=0,NA(),IF(ISNUMBER(INDEX($D$89:$AD$89,BI$84)),MAX(MIN(BI112,IFERROR(INDEX($D$98:$AD$98,BI$84)/BI100,1)-0.08721-BI108*0.17442,IF(BI106&lt;BI108,IFERROR(BI111,9)-(BI108-BI106)*0.17442,9),IF(BI104&lt;BI108,IFERROR(BI110,9)-(BI108-BI104)*0.17442,9)),0.08721+(2-BI108)*0.17442),NA()))</f>
        <v>0</v>
      </c>
      <c r="BJ115" s="68">
        <f>IF(BJ$84=0,NA(),IF(ISNUMBER(INDEX($D$89:$AD$89,BJ$84)),MAX(MIN(BJ112,IFERROR(INDEX($D$98:$AD$98,BJ$84)/BJ100,1)-0.08721-BJ108*0.17442,IF(BJ106&lt;BJ108,IFERROR(BJ111,9)-(BJ108-BJ106)*0.17442,9),IF(BJ104&lt;BJ108,IFERROR(BJ110,9)-(BJ108-BJ104)*0.17442,9)),0.08721+(2-BJ108)*0.17442),NA()))</f>
        <v>0</v>
      </c>
      <c r="BK115" s="68">
        <f>IF(BK$84=0,NA(),IF(ISNUMBER(INDEX($D$89:$AD$89,BK$84)),MAX(MIN(BK112,IFERROR(INDEX($D$98:$AD$98,BK$84)/BK100,1)-0.08721-BK108*0.17442,IF(BK106&lt;BK108,IFERROR(BK111,9)-(BK108-BK106)*0.17442,9),IF(BK104&lt;BK108,IFERROR(BK110,9)-(BK108-BK104)*0.17442,9)),0.08721+(2-BK108)*0.17442),NA()))</f>
        <v>0</v>
      </c>
      <c r="BL115" s="68">
        <f>IF(BL$84=0,NA(),IF(ISNUMBER(INDEX($D$89:$AD$89,BL$84)),MAX(MIN(BL112,IFERROR(INDEX($D$98:$AD$98,BL$84)/BL100,1)-0.08721-BL108*0.17442,IF(BL106&lt;BL108,IFERROR(BL111,9)-(BL108-BL106)*0.17442,9),IF(BL104&lt;BL108,IFERROR(BL110,9)-(BL108-BL104)*0.17442,9)),0.08721+(2-BL108)*0.17442),NA()))</f>
        <v>0</v>
      </c>
      <c r="BM115" s="68">
        <f>IF(BM$84=0,NA(),IF(ISNUMBER(INDEX($D$89:$AD$89,BM$84)),MAX(MIN(BM112,IFERROR(INDEX($D$98:$AD$98,BM$84)/BM100,1)-0.08721-BM108*0.17442,IF(BM106&lt;BM108,IFERROR(BM111,9)-(BM108-BM106)*0.17442,9),IF(BM104&lt;BM108,IFERROR(BM110,9)-(BM108-BM104)*0.17442,9)),0.08721+(2-BM108)*0.17442),NA()))</f>
        <v>0</v>
      </c>
      <c r="BN115" s="68">
        <f>IF(BN$84=0,NA(),IF(ISNUMBER(INDEX($D$89:$AD$89,BN$84)),MAX(MIN(BN112,IFERROR(INDEX($D$98:$AD$98,BN$84)/BN100,1)-0.08721-BN108*0.17442,IF(BN106&lt;BN108,IFERROR(BN111,9)-(BN108-BN106)*0.17442,9),IF(BN104&lt;BN108,IFERROR(BN110,9)-(BN108-BN104)*0.17442,9)),0.08721+(2-BN108)*0.17442),NA()))</f>
        <v>0</v>
      </c>
      <c r="BO115" s="68">
        <f>IF(BO$84=0,NA(),IF(ISNUMBER(INDEX($D$89:$AD$89,BO$84)),MAX(MIN(BO112,IFERROR(INDEX($D$98:$AD$98,BO$84)/BO100,1)-0.08721-BO108*0.17442,IF(BO106&lt;BO108,IFERROR(BO111,9)-(BO108-BO106)*0.17442,9),IF(BO104&lt;BO108,IFERROR(BO110,9)-(BO108-BO104)*0.17442,9)),0.08721+(2-BO108)*0.17442),NA()))</f>
        <v>0</v>
      </c>
      <c r="BP115" s="68">
        <f>IF(BP$84=0,NA(),IF(ISNUMBER(INDEX($D$89:$AD$89,BP$84)),MAX(MIN(BP112,IFERROR(INDEX($D$98:$AD$98,BP$84)/BP100,1)-0.08721-BP108*0.17442,IF(BP106&lt;BP108,IFERROR(BP111,9)-(BP108-BP106)*0.17442,9),IF(BP104&lt;BP108,IFERROR(BP110,9)-(BP108-BP104)*0.17442,9)),0.08721+(2-BP108)*0.17442),NA()))</f>
        <v>0</v>
      </c>
    </row>
    <row r="116" spans="1:68">
      <c r="A116" s="11" t="s">
        <v>759</v>
      </c>
      <c r="B116" s="11" t="s">
        <v>760</v>
      </c>
      <c r="C116" s="67" t="s">
        <v>604</v>
      </c>
      <c r="AQ116" s="68">
        <f>IF(AQ$84=0,NA(),IF(ISNUMBER(INDEX($D$98:$AD$98,AQ$84)),MAX(INDEX($D$98:$AD$98,AQ$84)/AQ100,IFERROR(_xlfn.AGGREGATE(4,6,AQ114,AQ113,AQ115),0)+0.08721),NA()))</f>
        <v>0</v>
      </c>
      <c r="AR116" s="68">
        <f>IF(AR$84=0,NA(),IF(ISNUMBER(INDEX($D$98:$AD$98,AR$84)),MAX(INDEX($D$98:$AD$98,AR$84)/AR100,IFERROR(_xlfn.AGGREGATE(4,6,AR114,AR113,AR115),0)+0.08721),NA()))</f>
        <v>0</v>
      </c>
      <c r="AS116" s="68">
        <f>IF(AS$84=0,NA(),IF(ISNUMBER(INDEX($D$98:$AD$98,AS$84)),MAX(INDEX($D$98:$AD$98,AS$84)/AS100,IFERROR(_xlfn.AGGREGATE(4,6,AS114,AS113,AS115),0)+0.08721),NA()))</f>
        <v>0</v>
      </c>
      <c r="AT116" s="68">
        <f>IF(AT$84=0,NA(),IF(ISNUMBER(INDEX($D$98:$AD$98,AT$84)),MAX(INDEX($D$98:$AD$98,AT$84)/AT100,IFERROR(_xlfn.AGGREGATE(4,6,AT114,AT113,AT115),0)+0.08721),NA()))</f>
        <v>0</v>
      </c>
      <c r="AU116" s="68">
        <f>IF(AU$84=0,NA(),IF(ISNUMBER(INDEX($D$98:$AD$98,AU$84)),MAX(INDEX($D$98:$AD$98,AU$84)/AU100,IFERROR(_xlfn.AGGREGATE(4,6,AU114,AU113,AU115),0)+0.08721),NA()))</f>
        <v>0</v>
      </c>
      <c r="AV116" s="68">
        <f>IF(AV$84=0,NA(),IF(ISNUMBER(INDEX($D$98:$AD$98,AV$84)),MAX(INDEX($D$98:$AD$98,AV$84)/AV100,IFERROR(_xlfn.AGGREGATE(4,6,AV114,AV113,AV115),0)+0.08721),NA()))</f>
        <v>0</v>
      </c>
      <c r="AW116" s="68">
        <f>IF(AW$84=0,NA(),IF(ISNUMBER(INDEX($D$98:$AD$98,AW$84)),MAX(INDEX($D$98:$AD$98,AW$84)/AW100,IFERROR(_xlfn.AGGREGATE(4,6,AW114,AW113,AW115),0)+0.08721),NA()))</f>
        <v>0</v>
      </c>
      <c r="AX116" s="68">
        <f>IF(AX$84=0,NA(),IF(ISNUMBER(INDEX($D$98:$AD$98,AX$84)),MAX(INDEX($D$98:$AD$98,AX$84)/AX100,IFERROR(_xlfn.AGGREGATE(4,6,AX114,AX113,AX115),0)+0.08721),NA()))</f>
        <v>0</v>
      </c>
      <c r="AY116" s="68">
        <f>IF(AY$84=0,NA(),IF(ISNUMBER(INDEX($D$98:$AD$98,AY$84)),MAX(INDEX($D$98:$AD$98,AY$84)/AY100,IFERROR(_xlfn.AGGREGATE(4,6,AY114,AY113,AY115),0)+0.08721),NA()))</f>
        <v>0</v>
      </c>
      <c r="AZ116" s="68">
        <f>IF(AZ$84=0,NA(),IF(ISNUMBER(INDEX($D$98:$AD$98,AZ$84)),MAX(INDEX($D$98:$AD$98,AZ$84)/AZ100,IFERROR(_xlfn.AGGREGATE(4,6,AZ114,AZ113,AZ115),0)+0.08721),NA()))</f>
        <v>0</v>
      </c>
      <c r="BA116" s="68">
        <f>IF(BA$84=0,NA(),IF(ISNUMBER(INDEX($D$98:$AD$98,BA$84)),MAX(INDEX($D$98:$AD$98,BA$84)/BA100,IFERROR(_xlfn.AGGREGATE(4,6,BA114,BA113,BA115),0)+0.08721),NA()))</f>
        <v>0</v>
      </c>
      <c r="BB116" s="68">
        <f>IF(BB$84=0,NA(),IF(ISNUMBER(INDEX($D$98:$AD$98,BB$84)),MAX(INDEX($D$98:$AD$98,BB$84)/BB100,IFERROR(_xlfn.AGGREGATE(4,6,BB114,BB113,BB115),0)+0.08721),NA()))</f>
        <v>0</v>
      </c>
      <c r="BC116" s="68">
        <f>IF(BC$84=0,NA(),IF(ISNUMBER(INDEX($D$98:$AD$98,BC$84)),MAX(INDEX($D$98:$AD$98,BC$84)/BC100,IFERROR(_xlfn.AGGREGATE(4,6,BC114,BC113,BC115),0)+0.08721),NA()))</f>
        <v>0</v>
      </c>
      <c r="BD116" s="68">
        <f>IF(BD$84=0,NA(),IF(ISNUMBER(INDEX($D$98:$AD$98,BD$84)),MAX(INDEX($D$98:$AD$98,BD$84)/BD100,IFERROR(_xlfn.AGGREGATE(4,6,BD114,BD113,BD115),0)+0.08721),NA()))</f>
        <v>0</v>
      </c>
      <c r="BE116" s="68">
        <f>IF(BE$84=0,NA(),IF(ISNUMBER(INDEX($D$98:$AD$98,BE$84)),MAX(INDEX($D$98:$AD$98,BE$84)/BE100,IFERROR(_xlfn.AGGREGATE(4,6,BE114,BE113,BE115),0)+0.08721),NA()))</f>
        <v>0</v>
      </c>
      <c r="BF116" s="68">
        <f>IF(BF$84=0,NA(),IF(ISNUMBER(INDEX($D$98:$AD$98,BF$84)),MAX(INDEX($D$98:$AD$98,BF$84)/BF100,IFERROR(_xlfn.AGGREGATE(4,6,BF114,BF113,BF115),0)+0.08721),NA()))</f>
        <v>0</v>
      </c>
      <c r="BG116" s="68">
        <f>IF(BG$84=0,NA(),IF(ISNUMBER(INDEX($D$98:$AD$98,BG$84)),MAX(INDEX($D$98:$AD$98,BG$84)/BG100,IFERROR(_xlfn.AGGREGATE(4,6,BG114,BG113,BG115),0)+0.08721),NA()))</f>
        <v>0</v>
      </c>
      <c r="BH116" s="68">
        <f>IF(BH$84=0,NA(),IF(ISNUMBER(INDEX($D$98:$AD$98,BH$84)),MAX(INDEX($D$98:$AD$98,BH$84)/BH100,IFERROR(_xlfn.AGGREGATE(4,6,BH114,BH113,BH115),0)+0.08721),NA()))</f>
        <v>0</v>
      </c>
      <c r="BI116" s="68">
        <f>IF(BI$84=0,NA(),IF(ISNUMBER(INDEX($D$98:$AD$98,BI$84)),MAX(INDEX($D$98:$AD$98,BI$84)/BI100,IFERROR(_xlfn.AGGREGATE(4,6,BI114,BI113,BI115),0)+0.08721),NA()))</f>
        <v>0</v>
      </c>
      <c r="BJ116" s="68">
        <f>IF(BJ$84=0,NA(),IF(ISNUMBER(INDEX($D$98:$AD$98,BJ$84)),MAX(INDEX($D$98:$AD$98,BJ$84)/BJ100,IFERROR(_xlfn.AGGREGATE(4,6,BJ114,BJ113,BJ115),0)+0.08721),NA()))</f>
        <v>0</v>
      </c>
      <c r="BK116" s="68">
        <f>IF(BK$84=0,NA(),IF(ISNUMBER(INDEX($D$98:$AD$98,BK$84)),MAX(INDEX($D$98:$AD$98,BK$84)/BK100,IFERROR(_xlfn.AGGREGATE(4,6,BK114,BK113,BK115),0)+0.08721),NA()))</f>
        <v>0</v>
      </c>
      <c r="BL116" s="68">
        <f>IF(BL$84=0,NA(),IF(ISNUMBER(INDEX($D$98:$AD$98,BL$84)),MAX(INDEX($D$98:$AD$98,BL$84)/BL100,IFERROR(_xlfn.AGGREGATE(4,6,BL114,BL113,BL115),0)+0.08721),NA()))</f>
        <v>0</v>
      </c>
      <c r="BM116" s="68">
        <f>IF(BM$84=0,NA(),IF(ISNUMBER(INDEX($D$98:$AD$98,BM$84)),MAX(INDEX($D$98:$AD$98,BM$84)/BM100,IFERROR(_xlfn.AGGREGATE(4,6,BM114,BM113,BM115),0)+0.08721),NA()))</f>
        <v>0</v>
      </c>
      <c r="BN116" s="68">
        <f>IF(BN$84=0,NA(),IF(ISNUMBER(INDEX($D$98:$AD$98,BN$84)),MAX(INDEX($D$98:$AD$98,BN$84)/BN100,IFERROR(_xlfn.AGGREGATE(4,6,BN114,BN113,BN115),0)+0.08721),NA()))</f>
        <v>0</v>
      </c>
      <c r="BO116" s="68">
        <f>IF(BO$84=0,NA(),IF(ISNUMBER(INDEX($D$98:$AD$98,BO$84)),MAX(INDEX($D$98:$AD$98,BO$84)/BO100,IFERROR(_xlfn.AGGREGATE(4,6,BO114,BO113,BO115),0)+0.08721),NA()))</f>
        <v>0</v>
      </c>
      <c r="BP116" s="68">
        <f>IF(BP$84=0,NA(),IF(ISNUMBER(INDEX($D$98:$AD$98,BP$84)),MAX(INDEX($D$98:$AD$98,BP$84)/BP100,IFERROR(_xlfn.AGGREGATE(4,6,BP114,BP113,BP115),0)+0.08721),NA()))</f>
        <v>0</v>
      </c>
    </row>
    <row r="117" spans="1:68">
      <c r="A117" s="11" t="s">
        <v>761</v>
      </c>
      <c r="B117" s="11" t="s">
        <v>762</v>
      </c>
      <c r="C117" s="67" t="s">
        <v>604</v>
      </c>
      <c r="AQ117" s="11">
        <f>IF(AQ$84=0,"",IF(ISNUMBER(INDEX($D$98:$AD$98,AQ$84)),FIXED(INDEX($D$98:$AD$98,AQ$84)/1000,1),""))</f>
        <v>0</v>
      </c>
      <c r="AR117" s="11">
        <f>IF(AR$84=0,"",IF(ISNUMBER(INDEX($D$98:$AD$98,AR$84)),FIXED(INDEX($D$98:$AD$98,AR$84)/1000,1),""))</f>
        <v>0</v>
      </c>
      <c r="AS117" s="11">
        <f>IF(AS$84=0,"",IF(ISNUMBER(INDEX($D$98:$AD$98,AS$84)),FIXED(INDEX($D$98:$AD$98,AS$84)/1000,1),""))</f>
        <v>0</v>
      </c>
      <c r="AT117" s="11">
        <f>IF(AT$84=0,"",IF(ISNUMBER(INDEX($D$98:$AD$98,AT$84)),FIXED(INDEX($D$98:$AD$98,AT$84)/1000,1),""))</f>
        <v>0</v>
      </c>
      <c r="AU117" s="11">
        <f>IF(AU$84=0,"",IF(ISNUMBER(INDEX($D$98:$AD$98,AU$84)),FIXED(INDEX($D$98:$AD$98,AU$84)/1000,1),""))</f>
        <v>0</v>
      </c>
      <c r="AV117" s="11">
        <f>IF(AV$84=0,"",IF(ISNUMBER(INDEX($D$98:$AD$98,AV$84)),FIXED(INDEX($D$98:$AD$98,AV$84)/1000,1),""))</f>
        <v>0</v>
      </c>
      <c r="AW117" s="11">
        <f>IF(AW$84=0,"",IF(ISNUMBER(INDEX($D$98:$AD$98,AW$84)),FIXED(INDEX($D$98:$AD$98,AW$84)/1000,1),""))</f>
        <v>0</v>
      </c>
      <c r="AX117" s="11">
        <f>IF(AX$84=0,"",IF(ISNUMBER(INDEX($D$98:$AD$98,AX$84)),FIXED(INDEX($D$98:$AD$98,AX$84)/1000,1),""))</f>
        <v>0</v>
      </c>
      <c r="AY117" s="11">
        <f>IF(AY$84=0,"",IF(ISNUMBER(INDEX($D$98:$AD$98,AY$84)),FIXED(INDEX($D$98:$AD$98,AY$84)/1000,1),""))</f>
        <v>0</v>
      </c>
      <c r="AZ117" s="11">
        <f>IF(AZ$84=0,"",IF(ISNUMBER(INDEX($D$98:$AD$98,AZ$84)),FIXED(INDEX($D$98:$AD$98,AZ$84)/1000,1),""))</f>
        <v>0</v>
      </c>
      <c r="BA117" s="11">
        <f>IF(BA$84=0,"",IF(ISNUMBER(INDEX($D$98:$AD$98,BA$84)),FIXED(INDEX($D$98:$AD$98,BA$84)/1000,1),""))</f>
        <v>0</v>
      </c>
      <c r="BB117" s="11">
        <f>IF(BB$84=0,"",IF(ISNUMBER(INDEX($D$98:$AD$98,BB$84)),FIXED(INDEX($D$98:$AD$98,BB$84)/1000,1),""))</f>
        <v>0</v>
      </c>
      <c r="BC117" s="11">
        <f>IF(BC$84=0,"",IF(ISNUMBER(INDEX($D$98:$AD$98,BC$84)),FIXED(INDEX($D$98:$AD$98,BC$84)/1000,1),""))</f>
        <v>0</v>
      </c>
      <c r="BD117" s="11">
        <f>IF(BD$84=0,"",IF(ISNUMBER(INDEX($D$98:$AD$98,BD$84)),FIXED(INDEX($D$98:$AD$98,BD$84)/1000,1),""))</f>
        <v>0</v>
      </c>
      <c r="BE117" s="11">
        <f>IF(BE$84=0,"",IF(ISNUMBER(INDEX($D$98:$AD$98,BE$84)),FIXED(INDEX($D$98:$AD$98,BE$84)/1000,1),""))</f>
        <v>0</v>
      </c>
      <c r="BF117" s="11">
        <f>IF(BF$84=0,"",IF(ISNUMBER(INDEX($D$98:$AD$98,BF$84)),FIXED(INDEX($D$98:$AD$98,BF$84)/1000,1),""))</f>
        <v>0</v>
      </c>
      <c r="BG117" s="11">
        <f>IF(BG$84=0,"",IF(ISNUMBER(INDEX($D$98:$AD$98,BG$84)),FIXED(INDEX($D$98:$AD$98,BG$84)/1000,1),""))</f>
        <v>0</v>
      </c>
      <c r="BH117" s="11">
        <f>IF(BH$84=0,"",IF(ISNUMBER(INDEX($D$98:$AD$98,BH$84)),FIXED(INDEX($D$98:$AD$98,BH$84)/1000,1),""))</f>
        <v>0</v>
      </c>
      <c r="BI117" s="11">
        <f>IF(BI$84=0,"",IF(ISNUMBER(INDEX($D$98:$AD$98,BI$84)),FIXED(INDEX($D$98:$AD$98,BI$84)/1000,1),""))</f>
        <v>0</v>
      </c>
      <c r="BJ117" s="11">
        <f>IF(BJ$84=0,"",IF(ISNUMBER(INDEX($D$98:$AD$98,BJ$84)),FIXED(INDEX($D$98:$AD$98,BJ$84)/1000,1),""))</f>
        <v>0</v>
      </c>
      <c r="BK117" s="11">
        <f>IF(BK$84=0,"",IF(ISNUMBER(INDEX($D$98:$AD$98,BK$84)),FIXED(INDEX($D$98:$AD$98,BK$84)/1000,1),""))</f>
        <v>0</v>
      </c>
      <c r="BL117" s="11">
        <f>IF(BL$84=0,"",IF(ISNUMBER(INDEX($D$98:$AD$98,BL$84)),FIXED(INDEX($D$98:$AD$98,BL$84)/1000,1),""))</f>
        <v>0</v>
      </c>
      <c r="BM117" s="11">
        <f>IF(BM$84=0,"",IF(ISNUMBER(INDEX($D$98:$AD$98,BM$84)),FIXED(INDEX($D$98:$AD$98,BM$84)/1000,1),""))</f>
        <v>0</v>
      </c>
      <c r="BN117" s="11">
        <f>IF(BN$84=0,"",IF(ISNUMBER(INDEX($D$98:$AD$98,BN$84)),FIXED(INDEX($D$98:$AD$98,BN$84)/1000,1),""))</f>
        <v>0</v>
      </c>
      <c r="BO117" s="11">
        <f>IF(BO$84=0,"",IF(ISNUMBER(INDEX($D$98:$AD$98,BO$84)),FIXED(INDEX($D$98:$AD$98,BO$84)/1000,1),""))</f>
        <v>0</v>
      </c>
      <c r="BP117" s="11">
        <f>IF(BP$84=0,"",IF(ISNUMBER(INDEX($D$98:$AD$98,BP$84)),FIXED(INDEX($D$98:$AD$98,BP$84)/1000,1),""))</f>
        <v>0</v>
      </c>
    </row>
    <row r="118" spans="1:68">
      <c r="A118" s="11" t="s">
        <v>763</v>
      </c>
      <c r="B118" s="11" t="s">
        <v>764</v>
      </c>
      <c r="C118" s="67" t="s">
        <v>604</v>
      </c>
      <c r="AQ118" s="68">
        <f>IF(AQ$84=0,NA(),IF(N(Konfiguration!$F$11)&gt;0,N(Konfiguration!$F$11)/AQ100,NA()))</f>
        <v>0</v>
      </c>
      <c r="AR118" s="68">
        <f>IF(AR$84=0,NA(),IF(N(Konfiguration!$F$11)&gt;0,N(Konfiguration!$F$11)/AR100,NA()))</f>
        <v>0</v>
      </c>
      <c r="AS118" s="68">
        <f>IF(AS$84=0,NA(),IF(N(Konfiguration!$F$11)&gt;0,N(Konfiguration!$F$11)/AS100,NA()))</f>
        <v>0</v>
      </c>
      <c r="AT118" s="68">
        <f>IF(AT$84=0,NA(),IF(N(Konfiguration!$F$11)&gt;0,N(Konfiguration!$F$11)/AT100,NA()))</f>
        <v>0</v>
      </c>
      <c r="AU118" s="68">
        <f>IF(AU$84=0,NA(),IF(N(Konfiguration!$F$11)&gt;0,N(Konfiguration!$F$11)/AU100,NA()))</f>
        <v>0</v>
      </c>
      <c r="AV118" s="68">
        <f>IF(AV$84=0,NA(),IF(N(Konfiguration!$F$11)&gt;0,N(Konfiguration!$F$11)/AV100,NA()))</f>
        <v>0</v>
      </c>
      <c r="AW118" s="68">
        <f>IF(AW$84=0,NA(),IF(N(Konfiguration!$F$11)&gt;0,N(Konfiguration!$F$11)/AW100,NA()))</f>
        <v>0</v>
      </c>
      <c r="AX118" s="68">
        <f>IF(AX$84=0,NA(),IF(N(Konfiguration!$F$11)&gt;0,N(Konfiguration!$F$11)/AX100,NA()))</f>
        <v>0</v>
      </c>
      <c r="AY118" s="68">
        <f>IF(AY$84=0,NA(),IF(N(Konfiguration!$F$11)&gt;0,N(Konfiguration!$F$11)/AY100,NA()))</f>
        <v>0</v>
      </c>
      <c r="AZ118" s="68">
        <f>IF(AZ$84=0,NA(),IF(N(Konfiguration!$F$11)&gt;0,N(Konfiguration!$F$11)/AZ100,NA()))</f>
        <v>0</v>
      </c>
      <c r="BA118" s="68">
        <f>IF(BA$84=0,NA(),IF(N(Konfiguration!$F$11)&gt;0,N(Konfiguration!$F$11)/BA100,NA()))</f>
        <v>0</v>
      </c>
      <c r="BB118" s="68">
        <f>IF(BB$84=0,NA(),IF(N(Konfiguration!$F$11)&gt;0,N(Konfiguration!$F$11)/BB100,NA()))</f>
        <v>0</v>
      </c>
      <c r="BC118" s="68">
        <f>IF(BC$84=0,NA(),IF(N(Konfiguration!$F$11)&gt;0,N(Konfiguration!$F$11)/BC100,NA()))</f>
        <v>0</v>
      </c>
      <c r="BD118" s="68">
        <f>IF(BD$84=0,NA(),IF(N(Konfiguration!$F$11)&gt;0,N(Konfiguration!$F$11)/BD100,NA()))</f>
        <v>0</v>
      </c>
      <c r="BE118" s="68">
        <f>IF(BE$84=0,NA(),IF(N(Konfiguration!$F$11)&gt;0,N(Konfiguration!$F$11)/BE100,NA()))</f>
        <v>0</v>
      </c>
      <c r="BF118" s="68">
        <f>IF(BF$84=0,NA(),IF(N(Konfiguration!$F$11)&gt;0,N(Konfiguration!$F$11)/BF100,NA()))</f>
        <v>0</v>
      </c>
      <c r="BG118" s="68">
        <f>IF(BG$84=0,NA(),IF(N(Konfiguration!$F$11)&gt;0,N(Konfiguration!$F$11)/BG100,NA()))</f>
        <v>0</v>
      </c>
      <c r="BH118" s="68">
        <f>IF(BH$84=0,NA(),IF(N(Konfiguration!$F$11)&gt;0,N(Konfiguration!$F$11)/BH100,NA()))</f>
        <v>0</v>
      </c>
      <c r="BI118" s="68">
        <f>IF(BI$84=0,NA(),IF(N(Konfiguration!$F$11)&gt;0,N(Konfiguration!$F$11)/BI100,NA()))</f>
        <v>0</v>
      </c>
      <c r="BJ118" s="68">
        <f>IF(BJ$84=0,NA(),IF(N(Konfiguration!$F$11)&gt;0,N(Konfiguration!$F$11)/BJ100,NA()))</f>
        <v>0</v>
      </c>
      <c r="BK118" s="68">
        <f>IF(BK$84=0,NA(),IF(N(Konfiguration!$F$11)&gt;0,N(Konfiguration!$F$11)/BK100,NA()))</f>
        <v>0</v>
      </c>
      <c r="BL118" s="68">
        <f>IF(BL$84=0,NA(),IF(N(Konfiguration!$F$11)&gt;0,N(Konfiguration!$F$11)/BL100,NA()))</f>
        <v>0</v>
      </c>
      <c r="BM118" s="68">
        <f>IF(BM$84=0,NA(),IF(N(Konfiguration!$F$11)&gt;0,N(Konfiguration!$F$11)/BM100,NA()))</f>
        <v>0</v>
      </c>
      <c r="BN118" s="68">
        <f>IF(BN$84=0,NA(),IF(N(Konfiguration!$F$11)&gt;0,N(Konfiguration!$F$11)/BN100,NA()))</f>
        <v>0</v>
      </c>
      <c r="BO118" s="68">
        <f>IF(BO$84=0,NA(),IF(N(Konfiguration!$F$11)&gt;0,N(Konfiguration!$F$11)/BO100,NA()))</f>
        <v>0</v>
      </c>
      <c r="BP118" s="68">
        <f>IF(BP$84=0,NA(),IF(N(Konfiguration!$F$11)&gt;0,N(Konfiguration!$F$11)/BP100,NA()))</f>
        <v>0</v>
      </c>
    </row>
    <row r="119" spans="1:68">
      <c r="A119" s="11" t="s">
        <v>765</v>
      </c>
      <c r="B119" s="11" t="s">
        <v>766</v>
      </c>
      <c r="C119" s="67" t="s">
        <v>604</v>
      </c>
      <c r="AQ119" s="68">
        <f>IF(AQ$84=0,NA(),MAX(1,_xlfn.AGGREGATE(4,6,INDEX($D$96:$AD$96,28-$D$83):$AD$96),_xlfn.AGGREGATE(4,6,INDEX($D$97:$AD$97,28-$D$83):$AD$97)))</f>
        <v>0</v>
      </c>
      <c r="AR119" s="68">
        <f>IF(AR$84=0,NA(),MAX(1,_xlfn.AGGREGATE(4,6,INDEX($D$96:$AD$96,28-$D$83):$AD$96),_xlfn.AGGREGATE(4,6,INDEX($D$97:$AD$97,28-$D$83):$AD$97)))</f>
        <v>0</v>
      </c>
      <c r="AS119" s="68">
        <f>IF(AS$84=0,NA(),MAX(1,_xlfn.AGGREGATE(4,6,INDEX($D$96:$AD$96,28-$D$83):$AD$96),_xlfn.AGGREGATE(4,6,INDEX($D$97:$AD$97,28-$D$83):$AD$97)))</f>
        <v>0</v>
      </c>
      <c r="AT119" s="68">
        <f>IF(AT$84=0,NA(),MAX(1,_xlfn.AGGREGATE(4,6,INDEX($D$96:$AD$96,28-$D$83):$AD$96),_xlfn.AGGREGATE(4,6,INDEX($D$97:$AD$97,28-$D$83):$AD$97)))</f>
        <v>0</v>
      </c>
      <c r="AU119" s="68">
        <f>IF(AU$84=0,NA(),MAX(1,_xlfn.AGGREGATE(4,6,INDEX($D$96:$AD$96,28-$D$83):$AD$96),_xlfn.AGGREGATE(4,6,INDEX($D$97:$AD$97,28-$D$83):$AD$97)))</f>
        <v>0</v>
      </c>
      <c r="AV119" s="68">
        <f>IF(AV$84=0,NA(),MAX(1,_xlfn.AGGREGATE(4,6,INDEX($D$96:$AD$96,28-$D$83):$AD$96),_xlfn.AGGREGATE(4,6,INDEX($D$97:$AD$97,28-$D$83):$AD$97)))</f>
        <v>0</v>
      </c>
      <c r="AW119" s="68">
        <f>IF(AW$84=0,NA(),MAX(1,_xlfn.AGGREGATE(4,6,INDEX($D$96:$AD$96,28-$D$83):$AD$96),_xlfn.AGGREGATE(4,6,INDEX($D$97:$AD$97,28-$D$83):$AD$97)))</f>
        <v>0</v>
      </c>
      <c r="AX119" s="68">
        <f>IF(AX$84=0,NA(),MAX(1,_xlfn.AGGREGATE(4,6,INDEX($D$96:$AD$96,28-$D$83):$AD$96),_xlfn.AGGREGATE(4,6,INDEX($D$97:$AD$97,28-$D$83):$AD$97)))</f>
        <v>0</v>
      </c>
      <c r="AY119" s="68">
        <f>IF(AY$84=0,NA(),MAX(1,_xlfn.AGGREGATE(4,6,INDEX($D$96:$AD$96,28-$D$83):$AD$96),_xlfn.AGGREGATE(4,6,INDEX($D$97:$AD$97,28-$D$83):$AD$97)))</f>
        <v>0</v>
      </c>
      <c r="AZ119" s="68">
        <f>IF(AZ$84=0,NA(),MAX(1,_xlfn.AGGREGATE(4,6,INDEX($D$96:$AD$96,28-$D$83):$AD$96),_xlfn.AGGREGATE(4,6,INDEX($D$97:$AD$97,28-$D$83):$AD$97)))</f>
        <v>0</v>
      </c>
      <c r="BA119" s="68">
        <f>IF(BA$84=0,NA(),MAX(1,_xlfn.AGGREGATE(4,6,INDEX($D$96:$AD$96,28-$D$83):$AD$96),_xlfn.AGGREGATE(4,6,INDEX($D$97:$AD$97,28-$D$83):$AD$97)))</f>
        <v>0</v>
      </c>
      <c r="BB119" s="68">
        <f>IF(BB$84=0,NA(),MAX(1,_xlfn.AGGREGATE(4,6,INDEX($D$96:$AD$96,28-$D$83):$AD$96),_xlfn.AGGREGATE(4,6,INDEX($D$97:$AD$97,28-$D$83):$AD$97)))</f>
        <v>0</v>
      </c>
      <c r="BC119" s="68">
        <f>IF(BC$84=0,NA(),MAX(1,_xlfn.AGGREGATE(4,6,INDEX($D$96:$AD$96,28-$D$83):$AD$96),_xlfn.AGGREGATE(4,6,INDEX($D$97:$AD$97,28-$D$83):$AD$97)))</f>
        <v>0</v>
      </c>
      <c r="BD119" s="68">
        <f>IF(BD$84=0,NA(),MAX(1,_xlfn.AGGREGATE(4,6,INDEX($D$96:$AD$96,28-$D$83):$AD$96),_xlfn.AGGREGATE(4,6,INDEX($D$97:$AD$97,28-$D$83):$AD$97)))</f>
        <v>0</v>
      </c>
      <c r="BE119" s="68">
        <f>IF(BE$84=0,NA(),MAX(1,_xlfn.AGGREGATE(4,6,INDEX($D$96:$AD$96,28-$D$83):$AD$96),_xlfn.AGGREGATE(4,6,INDEX($D$97:$AD$97,28-$D$83):$AD$97)))</f>
        <v>0</v>
      </c>
      <c r="BF119" s="68">
        <f>IF(BF$84=0,NA(),MAX(1,_xlfn.AGGREGATE(4,6,INDEX($D$96:$AD$96,28-$D$83):$AD$96),_xlfn.AGGREGATE(4,6,INDEX($D$97:$AD$97,28-$D$83):$AD$97)))</f>
        <v>0</v>
      </c>
      <c r="BG119" s="68">
        <f>IF(BG$84=0,NA(),MAX(1,_xlfn.AGGREGATE(4,6,INDEX($D$96:$AD$96,28-$D$83):$AD$96),_xlfn.AGGREGATE(4,6,INDEX($D$97:$AD$97,28-$D$83):$AD$97)))</f>
        <v>0</v>
      </c>
      <c r="BH119" s="68">
        <f>IF(BH$84=0,NA(),MAX(1,_xlfn.AGGREGATE(4,6,INDEX($D$96:$AD$96,28-$D$83):$AD$96),_xlfn.AGGREGATE(4,6,INDEX($D$97:$AD$97,28-$D$83):$AD$97)))</f>
        <v>0</v>
      </c>
      <c r="BI119" s="68">
        <f>IF(BI$84=0,NA(),MAX(1,_xlfn.AGGREGATE(4,6,INDEX($D$96:$AD$96,28-$D$83):$AD$96),_xlfn.AGGREGATE(4,6,INDEX($D$97:$AD$97,28-$D$83):$AD$97)))</f>
        <v>0</v>
      </c>
      <c r="BJ119" s="68">
        <f>IF(BJ$84=0,NA(),MAX(1,_xlfn.AGGREGATE(4,6,INDEX($D$96:$AD$96,28-$D$83):$AD$96),_xlfn.AGGREGATE(4,6,INDEX($D$97:$AD$97,28-$D$83):$AD$97)))</f>
        <v>0</v>
      </c>
      <c r="BK119" s="68">
        <f>IF(BK$84=0,NA(),MAX(1,_xlfn.AGGREGATE(4,6,INDEX($D$96:$AD$96,28-$D$83):$AD$96),_xlfn.AGGREGATE(4,6,INDEX($D$97:$AD$97,28-$D$83):$AD$97)))</f>
        <v>0</v>
      </c>
      <c r="BL119" s="68">
        <f>IF(BL$84=0,NA(),MAX(1,_xlfn.AGGREGATE(4,6,INDEX($D$96:$AD$96,28-$D$83):$AD$96),_xlfn.AGGREGATE(4,6,INDEX($D$97:$AD$97,28-$D$83):$AD$97)))</f>
        <v>0</v>
      </c>
      <c r="BM119" s="68">
        <f>IF(BM$84=0,NA(),MAX(1,_xlfn.AGGREGATE(4,6,INDEX($D$96:$AD$96,28-$D$83):$AD$96),_xlfn.AGGREGATE(4,6,INDEX($D$97:$AD$97,28-$D$83):$AD$97)))</f>
        <v>0</v>
      </c>
      <c r="BN119" s="68">
        <f>IF(BN$84=0,NA(),MAX(1,_xlfn.AGGREGATE(4,6,INDEX($D$96:$AD$96,28-$D$83):$AD$96),_xlfn.AGGREGATE(4,6,INDEX($D$97:$AD$97,28-$D$83):$AD$97)))</f>
        <v>0</v>
      </c>
      <c r="BO119" s="68">
        <f>IF(BO$84=0,NA(),MAX(1,_xlfn.AGGREGATE(4,6,INDEX($D$96:$AD$96,28-$D$83):$AD$96),_xlfn.AGGREGATE(4,6,INDEX($D$97:$AD$97,28-$D$83):$AD$97)))</f>
        <v>0</v>
      </c>
      <c r="BP119" s="68">
        <f>IF(BP$84=0,NA(),MAX(1,_xlfn.AGGREGATE(4,6,INDEX($D$96:$AD$96,28-$D$83):$AD$96),_xlfn.AGGREGATE(4,6,INDEX($D$97:$AD$97,28-$D$83):$AD$97)))</f>
        <v>0</v>
      </c>
    </row>
    <row r="120" spans="1:68">
      <c r="A120" s="11" t="s">
        <v>767</v>
      </c>
      <c r="B120" s="11" t="s">
        <v>768</v>
      </c>
      <c r="C120" s="67" t="s">
        <v>604</v>
      </c>
      <c r="AQ120" s="68">
        <f>IF(AQ$84=0,NA(),IF(ISNUMBER(INDEX($D$96:$AD$96,AQ$84)),INDEX($D$96:$AD$96,AQ$84)/AQ119,NA()))</f>
        <v>0</v>
      </c>
      <c r="AR120" s="68">
        <f>IF(AR$84=0,NA(),IF(ISNUMBER(INDEX($D$96:$AD$96,AR$84)),INDEX($D$96:$AD$96,AR$84)/AR119,NA()))</f>
        <v>0</v>
      </c>
      <c r="AS120" s="68">
        <f>IF(AS$84=0,NA(),IF(ISNUMBER(INDEX($D$96:$AD$96,AS$84)),INDEX($D$96:$AD$96,AS$84)/AS119,NA()))</f>
        <v>0</v>
      </c>
      <c r="AT120" s="68">
        <f>IF(AT$84=0,NA(),IF(ISNUMBER(INDEX($D$96:$AD$96,AT$84)),INDEX($D$96:$AD$96,AT$84)/AT119,NA()))</f>
        <v>0</v>
      </c>
      <c r="AU120" s="68">
        <f>IF(AU$84=0,NA(),IF(ISNUMBER(INDEX($D$96:$AD$96,AU$84)),INDEX($D$96:$AD$96,AU$84)/AU119,NA()))</f>
        <v>0</v>
      </c>
      <c r="AV120" s="68">
        <f>IF(AV$84=0,NA(),IF(ISNUMBER(INDEX($D$96:$AD$96,AV$84)),INDEX($D$96:$AD$96,AV$84)/AV119,NA()))</f>
        <v>0</v>
      </c>
      <c r="AW120" s="68">
        <f>IF(AW$84=0,NA(),IF(ISNUMBER(INDEX($D$96:$AD$96,AW$84)),INDEX($D$96:$AD$96,AW$84)/AW119,NA()))</f>
        <v>0</v>
      </c>
      <c r="AX120" s="68">
        <f>IF(AX$84=0,NA(),IF(ISNUMBER(INDEX($D$96:$AD$96,AX$84)),INDEX($D$96:$AD$96,AX$84)/AX119,NA()))</f>
        <v>0</v>
      </c>
      <c r="AY120" s="68">
        <f>IF(AY$84=0,NA(),IF(ISNUMBER(INDEX($D$96:$AD$96,AY$84)),INDEX($D$96:$AD$96,AY$84)/AY119,NA()))</f>
        <v>0</v>
      </c>
      <c r="AZ120" s="68">
        <f>IF(AZ$84=0,NA(),IF(ISNUMBER(INDEX($D$96:$AD$96,AZ$84)),INDEX($D$96:$AD$96,AZ$84)/AZ119,NA()))</f>
        <v>0</v>
      </c>
      <c r="BA120" s="68">
        <f>IF(BA$84=0,NA(),IF(ISNUMBER(INDEX($D$96:$AD$96,BA$84)),INDEX($D$96:$AD$96,BA$84)/BA119,NA()))</f>
        <v>0</v>
      </c>
      <c r="BB120" s="68">
        <f>IF(BB$84=0,NA(),IF(ISNUMBER(INDEX($D$96:$AD$96,BB$84)),INDEX($D$96:$AD$96,BB$84)/BB119,NA()))</f>
        <v>0</v>
      </c>
      <c r="BC120" s="68">
        <f>IF(BC$84=0,NA(),IF(ISNUMBER(INDEX($D$96:$AD$96,BC$84)),INDEX($D$96:$AD$96,BC$84)/BC119,NA()))</f>
        <v>0</v>
      </c>
      <c r="BD120" s="68">
        <f>IF(BD$84=0,NA(),IF(ISNUMBER(INDEX($D$96:$AD$96,BD$84)),INDEX($D$96:$AD$96,BD$84)/BD119,NA()))</f>
        <v>0</v>
      </c>
      <c r="BE120" s="68">
        <f>IF(BE$84=0,NA(),IF(ISNUMBER(INDEX($D$96:$AD$96,BE$84)),INDEX($D$96:$AD$96,BE$84)/BE119,NA()))</f>
        <v>0</v>
      </c>
      <c r="BF120" s="68">
        <f>IF(BF$84=0,NA(),IF(ISNUMBER(INDEX($D$96:$AD$96,BF$84)),INDEX($D$96:$AD$96,BF$84)/BF119,NA()))</f>
        <v>0</v>
      </c>
      <c r="BG120" s="68">
        <f>IF(BG$84=0,NA(),IF(ISNUMBER(INDEX($D$96:$AD$96,BG$84)),INDEX($D$96:$AD$96,BG$84)/BG119,NA()))</f>
        <v>0</v>
      </c>
      <c r="BH120" s="68">
        <f>IF(BH$84=0,NA(),IF(ISNUMBER(INDEX($D$96:$AD$96,BH$84)),INDEX($D$96:$AD$96,BH$84)/BH119,NA()))</f>
        <v>0</v>
      </c>
      <c r="BI120" s="68">
        <f>IF(BI$84=0,NA(),IF(ISNUMBER(INDEX($D$96:$AD$96,BI$84)),INDEX($D$96:$AD$96,BI$84)/BI119,NA()))</f>
        <v>0</v>
      </c>
      <c r="BJ120" s="68">
        <f>IF(BJ$84=0,NA(),IF(ISNUMBER(INDEX($D$96:$AD$96,BJ$84)),INDEX($D$96:$AD$96,BJ$84)/BJ119,NA()))</f>
        <v>0</v>
      </c>
      <c r="BK120" s="68">
        <f>IF(BK$84=0,NA(),IF(ISNUMBER(INDEX($D$96:$AD$96,BK$84)),INDEX($D$96:$AD$96,BK$84)/BK119,NA()))</f>
        <v>0</v>
      </c>
      <c r="BL120" s="68">
        <f>IF(BL$84=0,NA(),IF(ISNUMBER(INDEX($D$96:$AD$96,BL$84)),INDEX($D$96:$AD$96,BL$84)/BL119,NA()))</f>
        <v>0</v>
      </c>
      <c r="BM120" s="68">
        <f>IF(BM$84=0,NA(),IF(ISNUMBER(INDEX($D$96:$AD$96,BM$84)),INDEX($D$96:$AD$96,BM$84)/BM119,NA()))</f>
        <v>0</v>
      </c>
      <c r="BN120" s="68">
        <f>IF(BN$84=0,NA(),IF(ISNUMBER(INDEX($D$96:$AD$96,BN$84)),INDEX($D$96:$AD$96,BN$84)/BN119,NA()))</f>
        <v>0</v>
      </c>
      <c r="BO120" s="68">
        <f>IF(BO$84=0,NA(),IF(ISNUMBER(INDEX($D$96:$AD$96,BO$84)),INDEX($D$96:$AD$96,BO$84)/BO119,NA()))</f>
        <v>0</v>
      </c>
      <c r="BP120" s="68">
        <f>IF(BP$84=0,NA(),IF(ISNUMBER(INDEX($D$96:$AD$96,BP$84)),INDEX($D$96:$AD$96,BP$84)/BP119,NA()))</f>
        <v>0</v>
      </c>
    </row>
    <row r="121" spans="1:68">
      <c r="A121" s="11" t="s">
        <v>769</v>
      </c>
      <c r="B121" s="11" t="s">
        <v>770</v>
      </c>
      <c r="C121" s="67" t="s">
        <v>604</v>
      </c>
      <c r="AQ121" s="11">
        <f>IF(AQ$84=0,"",IF(ISNUMBER(INDEX($D$96:$AD$96,AQ$84)),FIXED(INDEX($D$96:$AD$96,AQ$84)/1000,1),""))</f>
        <v>0</v>
      </c>
      <c r="AR121" s="11">
        <f>IF(AR$84=0,"",IF(ISNUMBER(INDEX($D$96:$AD$96,AR$84)),FIXED(INDEX($D$96:$AD$96,AR$84)/1000,1),""))</f>
        <v>0</v>
      </c>
      <c r="AS121" s="11">
        <f>IF(AS$84=0,"",IF(ISNUMBER(INDEX($D$96:$AD$96,AS$84)),FIXED(INDEX($D$96:$AD$96,AS$84)/1000,1),""))</f>
        <v>0</v>
      </c>
      <c r="AT121" s="11">
        <f>IF(AT$84=0,"",IF(ISNUMBER(INDEX($D$96:$AD$96,AT$84)),FIXED(INDEX($D$96:$AD$96,AT$84)/1000,1),""))</f>
        <v>0</v>
      </c>
      <c r="AU121" s="11">
        <f>IF(AU$84=0,"",IF(ISNUMBER(INDEX($D$96:$AD$96,AU$84)),FIXED(INDEX($D$96:$AD$96,AU$84)/1000,1),""))</f>
        <v>0</v>
      </c>
      <c r="AV121" s="11">
        <f>IF(AV$84=0,"",IF(ISNUMBER(INDEX($D$96:$AD$96,AV$84)),FIXED(INDEX($D$96:$AD$96,AV$84)/1000,1),""))</f>
        <v>0</v>
      </c>
      <c r="AW121" s="11">
        <f>IF(AW$84=0,"",IF(ISNUMBER(INDEX($D$96:$AD$96,AW$84)),FIXED(INDEX($D$96:$AD$96,AW$84)/1000,1),""))</f>
        <v>0</v>
      </c>
      <c r="AX121" s="11">
        <f>IF(AX$84=0,"",IF(ISNUMBER(INDEX($D$96:$AD$96,AX$84)),FIXED(INDEX($D$96:$AD$96,AX$84)/1000,1),""))</f>
        <v>0</v>
      </c>
      <c r="AY121" s="11">
        <f>IF(AY$84=0,"",IF(ISNUMBER(INDEX($D$96:$AD$96,AY$84)),FIXED(INDEX($D$96:$AD$96,AY$84)/1000,1),""))</f>
        <v>0</v>
      </c>
      <c r="AZ121" s="11">
        <f>IF(AZ$84=0,"",IF(ISNUMBER(INDEX($D$96:$AD$96,AZ$84)),FIXED(INDEX($D$96:$AD$96,AZ$84)/1000,1),""))</f>
        <v>0</v>
      </c>
      <c r="BA121" s="11">
        <f>IF(BA$84=0,"",IF(ISNUMBER(INDEX($D$96:$AD$96,BA$84)),FIXED(INDEX($D$96:$AD$96,BA$84)/1000,1),""))</f>
        <v>0</v>
      </c>
      <c r="BB121" s="11">
        <f>IF(BB$84=0,"",IF(ISNUMBER(INDEX($D$96:$AD$96,BB$84)),FIXED(INDEX($D$96:$AD$96,BB$84)/1000,1),""))</f>
        <v>0</v>
      </c>
      <c r="BC121" s="11">
        <f>IF(BC$84=0,"",IF(ISNUMBER(INDEX($D$96:$AD$96,BC$84)),FIXED(INDEX($D$96:$AD$96,BC$84)/1000,1),""))</f>
        <v>0</v>
      </c>
      <c r="BD121" s="11">
        <f>IF(BD$84=0,"",IF(ISNUMBER(INDEX($D$96:$AD$96,BD$84)),FIXED(INDEX($D$96:$AD$96,BD$84)/1000,1),""))</f>
        <v>0</v>
      </c>
      <c r="BE121" s="11">
        <f>IF(BE$84=0,"",IF(ISNUMBER(INDEX($D$96:$AD$96,BE$84)),FIXED(INDEX($D$96:$AD$96,BE$84)/1000,1),""))</f>
        <v>0</v>
      </c>
      <c r="BF121" s="11">
        <f>IF(BF$84=0,"",IF(ISNUMBER(INDEX($D$96:$AD$96,BF$84)),FIXED(INDEX($D$96:$AD$96,BF$84)/1000,1),""))</f>
        <v>0</v>
      </c>
      <c r="BG121" s="11">
        <f>IF(BG$84=0,"",IF(ISNUMBER(INDEX($D$96:$AD$96,BG$84)),FIXED(INDEX($D$96:$AD$96,BG$84)/1000,1),""))</f>
        <v>0</v>
      </c>
      <c r="BH121" s="11">
        <f>IF(BH$84=0,"",IF(ISNUMBER(INDEX($D$96:$AD$96,BH$84)),FIXED(INDEX($D$96:$AD$96,BH$84)/1000,1),""))</f>
        <v>0</v>
      </c>
      <c r="BI121" s="11">
        <f>IF(BI$84=0,"",IF(ISNUMBER(INDEX($D$96:$AD$96,BI$84)),FIXED(INDEX($D$96:$AD$96,BI$84)/1000,1),""))</f>
        <v>0</v>
      </c>
      <c r="BJ121" s="11">
        <f>IF(BJ$84=0,"",IF(ISNUMBER(INDEX($D$96:$AD$96,BJ$84)),FIXED(INDEX($D$96:$AD$96,BJ$84)/1000,1),""))</f>
        <v>0</v>
      </c>
      <c r="BK121" s="11">
        <f>IF(BK$84=0,"",IF(ISNUMBER(INDEX($D$96:$AD$96,BK$84)),FIXED(INDEX($D$96:$AD$96,BK$84)/1000,1),""))</f>
        <v>0</v>
      </c>
      <c r="BL121" s="11">
        <f>IF(BL$84=0,"",IF(ISNUMBER(INDEX($D$96:$AD$96,BL$84)),FIXED(INDEX($D$96:$AD$96,BL$84)/1000,1),""))</f>
        <v>0</v>
      </c>
      <c r="BM121" s="11">
        <f>IF(BM$84=0,"",IF(ISNUMBER(INDEX($D$96:$AD$96,BM$84)),FIXED(INDEX($D$96:$AD$96,BM$84)/1000,1),""))</f>
        <v>0</v>
      </c>
      <c r="BN121" s="11">
        <f>IF(BN$84=0,"",IF(ISNUMBER(INDEX($D$96:$AD$96,BN$84)),FIXED(INDEX($D$96:$AD$96,BN$84)/1000,1),""))</f>
        <v>0</v>
      </c>
      <c r="BO121" s="11">
        <f>IF(BO$84=0,"",IF(ISNUMBER(INDEX($D$96:$AD$96,BO$84)),FIXED(INDEX($D$96:$AD$96,BO$84)/1000,1),""))</f>
        <v>0</v>
      </c>
      <c r="BP121" s="11">
        <f>IF(BP$84=0,"",IF(ISNUMBER(INDEX($D$96:$AD$96,BP$84)),FIXED(INDEX($D$96:$AD$96,BP$84)/1000,1),""))</f>
        <v>0</v>
      </c>
    </row>
    <row r="122" spans="1:68">
      <c r="A122" s="11" t="s">
        <v>771</v>
      </c>
      <c r="B122" s="11" t="s">
        <v>772</v>
      </c>
      <c r="C122" s="67" t="s">
        <v>604</v>
      </c>
      <c r="AQ122" s="68">
        <f>IF(AQ$84=0,NA(),IF(ISNUMBER(INDEX($D$97:$AD$97,AQ$84)),INDEX($D$97:$AD$97,AQ$84)/AQ119,NA()))</f>
        <v>0</v>
      </c>
      <c r="AR122" s="68">
        <f>IF(AR$84=0,NA(),IF(ISNUMBER(INDEX($D$97:$AD$97,AR$84)),INDEX($D$97:$AD$97,AR$84)/AR119,NA()))</f>
        <v>0</v>
      </c>
      <c r="AS122" s="68">
        <f>IF(AS$84=0,NA(),IF(ISNUMBER(INDEX($D$97:$AD$97,AS$84)),INDEX($D$97:$AD$97,AS$84)/AS119,NA()))</f>
        <v>0</v>
      </c>
      <c r="AT122" s="68">
        <f>IF(AT$84=0,NA(),IF(ISNUMBER(INDEX($D$97:$AD$97,AT$84)),INDEX($D$97:$AD$97,AT$84)/AT119,NA()))</f>
        <v>0</v>
      </c>
      <c r="AU122" s="68">
        <f>IF(AU$84=0,NA(),IF(ISNUMBER(INDEX($D$97:$AD$97,AU$84)),INDEX($D$97:$AD$97,AU$84)/AU119,NA()))</f>
        <v>0</v>
      </c>
      <c r="AV122" s="68">
        <f>IF(AV$84=0,NA(),IF(ISNUMBER(INDEX($D$97:$AD$97,AV$84)),INDEX($D$97:$AD$97,AV$84)/AV119,NA()))</f>
        <v>0</v>
      </c>
      <c r="AW122" s="68">
        <f>IF(AW$84=0,NA(),IF(ISNUMBER(INDEX($D$97:$AD$97,AW$84)),INDEX($D$97:$AD$97,AW$84)/AW119,NA()))</f>
        <v>0</v>
      </c>
      <c r="AX122" s="68">
        <f>IF(AX$84=0,NA(),IF(ISNUMBER(INDEX($D$97:$AD$97,AX$84)),INDEX($D$97:$AD$97,AX$84)/AX119,NA()))</f>
        <v>0</v>
      </c>
      <c r="AY122" s="68">
        <f>IF(AY$84=0,NA(),IF(ISNUMBER(INDEX($D$97:$AD$97,AY$84)),INDEX($D$97:$AD$97,AY$84)/AY119,NA()))</f>
        <v>0</v>
      </c>
      <c r="AZ122" s="68">
        <f>IF(AZ$84=0,NA(),IF(ISNUMBER(INDEX($D$97:$AD$97,AZ$84)),INDEX($D$97:$AD$97,AZ$84)/AZ119,NA()))</f>
        <v>0</v>
      </c>
      <c r="BA122" s="68">
        <f>IF(BA$84=0,NA(),IF(ISNUMBER(INDEX($D$97:$AD$97,BA$84)),INDEX($D$97:$AD$97,BA$84)/BA119,NA()))</f>
        <v>0</v>
      </c>
      <c r="BB122" s="68">
        <f>IF(BB$84=0,NA(),IF(ISNUMBER(INDEX($D$97:$AD$97,BB$84)),INDEX($D$97:$AD$97,BB$84)/BB119,NA()))</f>
        <v>0</v>
      </c>
      <c r="BC122" s="68">
        <f>IF(BC$84=0,NA(),IF(ISNUMBER(INDEX($D$97:$AD$97,BC$84)),INDEX($D$97:$AD$97,BC$84)/BC119,NA()))</f>
        <v>0</v>
      </c>
      <c r="BD122" s="68">
        <f>IF(BD$84=0,NA(),IF(ISNUMBER(INDEX($D$97:$AD$97,BD$84)),INDEX($D$97:$AD$97,BD$84)/BD119,NA()))</f>
        <v>0</v>
      </c>
      <c r="BE122" s="68">
        <f>IF(BE$84=0,NA(),IF(ISNUMBER(INDEX($D$97:$AD$97,BE$84)),INDEX($D$97:$AD$97,BE$84)/BE119,NA()))</f>
        <v>0</v>
      </c>
      <c r="BF122" s="68">
        <f>IF(BF$84=0,NA(),IF(ISNUMBER(INDEX($D$97:$AD$97,BF$84)),INDEX($D$97:$AD$97,BF$84)/BF119,NA()))</f>
        <v>0</v>
      </c>
      <c r="BG122" s="68">
        <f>IF(BG$84=0,NA(),IF(ISNUMBER(INDEX($D$97:$AD$97,BG$84)),INDEX($D$97:$AD$97,BG$84)/BG119,NA()))</f>
        <v>0</v>
      </c>
      <c r="BH122" s="68">
        <f>IF(BH$84=0,NA(),IF(ISNUMBER(INDEX($D$97:$AD$97,BH$84)),INDEX($D$97:$AD$97,BH$84)/BH119,NA()))</f>
        <v>0</v>
      </c>
      <c r="BI122" s="68">
        <f>IF(BI$84=0,NA(),IF(ISNUMBER(INDEX($D$97:$AD$97,BI$84)),INDEX($D$97:$AD$97,BI$84)/BI119,NA()))</f>
        <v>0</v>
      </c>
      <c r="BJ122" s="68">
        <f>IF(BJ$84=0,NA(),IF(ISNUMBER(INDEX($D$97:$AD$97,BJ$84)),INDEX($D$97:$AD$97,BJ$84)/BJ119,NA()))</f>
        <v>0</v>
      </c>
      <c r="BK122" s="68">
        <f>IF(BK$84=0,NA(),IF(ISNUMBER(INDEX($D$97:$AD$97,BK$84)),INDEX($D$97:$AD$97,BK$84)/BK119,NA()))</f>
        <v>0</v>
      </c>
      <c r="BL122" s="68">
        <f>IF(BL$84=0,NA(),IF(ISNUMBER(INDEX($D$97:$AD$97,BL$84)),INDEX($D$97:$AD$97,BL$84)/BL119,NA()))</f>
        <v>0</v>
      </c>
      <c r="BM122" s="68">
        <f>IF(BM$84=0,NA(),IF(ISNUMBER(INDEX($D$97:$AD$97,BM$84)),INDEX($D$97:$AD$97,BM$84)/BM119,NA()))</f>
        <v>0</v>
      </c>
      <c r="BN122" s="68">
        <f>IF(BN$84=0,NA(),IF(ISNUMBER(INDEX($D$97:$AD$97,BN$84)),INDEX($D$97:$AD$97,BN$84)/BN119,NA()))</f>
        <v>0</v>
      </c>
      <c r="BO122" s="68">
        <f>IF(BO$84=0,NA(),IF(ISNUMBER(INDEX($D$97:$AD$97,BO$84)),INDEX($D$97:$AD$97,BO$84)/BO119,NA()))</f>
        <v>0</v>
      </c>
      <c r="BP122" s="68">
        <f>IF(BP$84=0,NA(),IF(ISNUMBER(INDEX($D$97:$AD$97,BP$84)),INDEX($D$97:$AD$97,BP$84)/BP119,NA()))</f>
        <v>0</v>
      </c>
    </row>
    <row r="123" spans="1:68">
      <c r="A123" s="11" t="s">
        <v>773</v>
      </c>
      <c r="B123" s="11" t="s">
        <v>774</v>
      </c>
      <c r="C123" s="67" t="s">
        <v>604</v>
      </c>
      <c r="AQ123" s="11">
        <f>IF(AQ$84=0,"",IF(ISNUMBER(INDEX($D$97:$AD$97,AQ$84)),FIXED(INDEX($D$97:$AD$97,AQ$84)/1000,1),""))</f>
        <v>0</v>
      </c>
      <c r="AR123" s="11">
        <f>IF(AR$84=0,"",IF(ISNUMBER(INDEX($D$97:$AD$97,AR$84)),FIXED(INDEX($D$97:$AD$97,AR$84)/1000,1),""))</f>
        <v>0</v>
      </c>
      <c r="AS123" s="11">
        <f>IF(AS$84=0,"",IF(ISNUMBER(INDEX($D$97:$AD$97,AS$84)),FIXED(INDEX($D$97:$AD$97,AS$84)/1000,1),""))</f>
        <v>0</v>
      </c>
      <c r="AT123" s="11">
        <f>IF(AT$84=0,"",IF(ISNUMBER(INDEX($D$97:$AD$97,AT$84)),FIXED(INDEX($D$97:$AD$97,AT$84)/1000,1),""))</f>
        <v>0</v>
      </c>
      <c r="AU123" s="11">
        <f>IF(AU$84=0,"",IF(ISNUMBER(INDEX($D$97:$AD$97,AU$84)),FIXED(INDEX($D$97:$AD$97,AU$84)/1000,1),""))</f>
        <v>0</v>
      </c>
      <c r="AV123" s="11">
        <f>IF(AV$84=0,"",IF(ISNUMBER(INDEX($D$97:$AD$97,AV$84)),FIXED(INDEX($D$97:$AD$97,AV$84)/1000,1),""))</f>
        <v>0</v>
      </c>
      <c r="AW123" s="11">
        <f>IF(AW$84=0,"",IF(ISNUMBER(INDEX($D$97:$AD$97,AW$84)),FIXED(INDEX($D$97:$AD$97,AW$84)/1000,1),""))</f>
        <v>0</v>
      </c>
      <c r="AX123" s="11">
        <f>IF(AX$84=0,"",IF(ISNUMBER(INDEX($D$97:$AD$97,AX$84)),FIXED(INDEX($D$97:$AD$97,AX$84)/1000,1),""))</f>
        <v>0</v>
      </c>
      <c r="AY123" s="11">
        <f>IF(AY$84=0,"",IF(ISNUMBER(INDEX($D$97:$AD$97,AY$84)),FIXED(INDEX($D$97:$AD$97,AY$84)/1000,1),""))</f>
        <v>0</v>
      </c>
      <c r="AZ123" s="11">
        <f>IF(AZ$84=0,"",IF(ISNUMBER(INDEX($D$97:$AD$97,AZ$84)),FIXED(INDEX($D$97:$AD$97,AZ$84)/1000,1),""))</f>
        <v>0</v>
      </c>
      <c r="BA123" s="11">
        <f>IF(BA$84=0,"",IF(ISNUMBER(INDEX($D$97:$AD$97,BA$84)),FIXED(INDEX($D$97:$AD$97,BA$84)/1000,1),""))</f>
        <v>0</v>
      </c>
      <c r="BB123" s="11">
        <f>IF(BB$84=0,"",IF(ISNUMBER(INDEX($D$97:$AD$97,BB$84)),FIXED(INDEX($D$97:$AD$97,BB$84)/1000,1),""))</f>
        <v>0</v>
      </c>
      <c r="BC123" s="11">
        <f>IF(BC$84=0,"",IF(ISNUMBER(INDEX($D$97:$AD$97,BC$84)),FIXED(INDEX($D$97:$AD$97,BC$84)/1000,1),""))</f>
        <v>0</v>
      </c>
      <c r="BD123" s="11">
        <f>IF(BD$84=0,"",IF(ISNUMBER(INDEX($D$97:$AD$97,BD$84)),FIXED(INDEX($D$97:$AD$97,BD$84)/1000,1),""))</f>
        <v>0</v>
      </c>
      <c r="BE123" s="11">
        <f>IF(BE$84=0,"",IF(ISNUMBER(INDEX($D$97:$AD$97,BE$84)),FIXED(INDEX($D$97:$AD$97,BE$84)/1000,1),""))</f>
        <v>0</v>
      </c>
      <c r="BF123" s="11">
        <f>IF(BF$84=0,"",IF(ISNUMBER(INDEX($D$97:$AD$97,BF$84)),FIXED(INDEX($D$97:$AD$97,BF$84)/1000,1),""))</f>
        <v>0</v>
      </c>
      <c r="BG123" s="11">
        <f>IF(BG$84=0,"",IF(ISNUMBER(INDEX($D$97:$AD$97,BG$84)),FIXED(INDEX($D$97:$AD$97,BG$84)/1000,1),""))</f>
        <v>0</v>
      </c>
      <c r="BH123" s="11">
        <f>IF(BH$84=0,"",IF(ISNUMBER(INDEX($D$97:$AD$97,BH$84)),FIXED(INDEX($D$97:$AD$97,BH$84)/1000,1),""))</f>
        <v>0</v>
      </c>
      <c r="BI123" s="11">
        <f>IF(BI$84=0,"",IF(ISNUMBER(INDEX($D$97:$AD$97,BI$84)),FIXED(INDEX($D$97:$AD$97,BI$84)/1000,1),""))</f>
        <v>0</v>
      </c>
      <c r="BJ123" s="11">
        <f>IF(BJ$84=0,"",IF(ISNUMBER(INDEX($D$97:$AD$97,BJ$84)),FIXED(INDEX($D$97:$AD$97,BJ$84)/1000,1),""))</f>
        <v>0</v>
      </c>
      <c r="BK123" s="11">
        <f>IF(BK$84=0,"",IF(ISNUMBER(INDEX($D$97:$AD$97,BK$84)),FIXED(INDEX($D$97:$AD$97,BK$84)/1000,1),""))</f>
        <v>0</v>
      </c>
      <c r="BL123" s="11">
        <f>IF(BL$84=0,"",IF(ISNUMBER(INDEX($D$97:$AD$97,BL$84)),FIXED(INDEX($D$97:$AD$97,BL$84)/1000,1),""))</f>
        <v>0</v>
      </c>
      <c r="BM123" s="11">
        <f>IF(BM$84=0,"",IF(ISNUMBER(INDEX($D$97:$AD$97,BM$84)),FIXED(INDEX($D$97:$AD$97,BM$84)/1000,1),""))</f>
        <v>0</v>
      </c>
      <c r="BN123" s="11">
        <f>IF(BN$84=0,"",IF(ISNUMBER(INDEX($D$97:$AD$97,BN$84)),FIXED(INDEX($D$97:$AD$97,BN$84)/1000,1),""))</f>
        <v>0</v>
      </c>
      <c r="BO123" s="11">
        <f>IF(BO$84=0,"",IF(ISNUMBER(INDEX($D$97:$AD$97,BO$84)),FIXED(INDEX($D$97:$AD$97,BO$84)/1000,1),""))</f>
        <v>0</v>
      </c>
      <c r="BP123" s="11">
        <f>IF(BP$84=0,"",IF(ISNUMBER(INDEX($D$97:$AD$97,BP$84)),FIXED(INDEX($D$97:$AD$97,BP$84)/1000,1),""))</f>
        <v>0</v>
      </c>
    </row>
    <row r="124" spans="1:68">
      <c r="A124" s="11" t="s">
        <v>775</v>
      </c>
      <c r="B124" s="11" t="s">
        <v>776</v>
      </c>
      <c r="C124" s="67" t="s">
        <v>604</v>
      </c>
      <c r="AQ124" s="68">
        <f>IF(AQ$84=0,NA(),IF(ISNUMBER(INDEX($D$96:$AD$96,AQ$84)),IF(AND(AQ120&gt;=IFERROR(AQ122,-9),AQ120-IFERROR(AQ122,-9)&lt;0.28261),AQ122+0.28261,AQ120),NA()))</f>
        <v>0</v>
      </c>
      <c r="AR124" s="68">
        <f>IF(AR$84=0,NA(),IF(ISNUMBER(INDEX($D$96:$AD$96,AR$84)),IF(AND(AR120&gt;=IFERROR(AR122,-9),AR120-IFERROR(AR122,-9)&lt;0.28261),AR122+0.28261,AR120),NA()))</f>
        <v>0</v>
      </c>
      <c r="AS124" s="68">
        <f>IF(AS$84=0,NA(),IF(ISNUMBER(INDEX($D$96:$AD$96,AS$84)),IF(AND(AS120&gt;=IFERROR(AS122,-9),AS120-IFERROR(AS122,-9)&lt;0.28261),AS122+0.28261,AS120),NA()))</f>
        <v>0</v>
      </c>
      <c r="AT124" s="68">
        <f>IF(AT$84=0,NA(),IF(ISNUMBER(INDEX($D$96:$AD$96,AT$84)),IF(AND(AT120&gt;=IFERROR(AT122,-9),AT120-IFERROR(AT122,-9)&lt;0.28261),AT122+0.28261,AT120),NA()))</f>
        <v>0</v>
      </c>
      <c r="AU124" s="68">
        <f>IF(AU$84=0,NA(),IF(ISNUMBER(INDEX($D$96:$AD$96,AU$84)),IF(AND(AU120&gt;=IFERROR(AU122,-9),AU120-IFERROR(AU122,-9)&lt;0.28261),AU122+0.28261,AU120),NA()))</f>
        <v>0</v>
      </c>
      <c r="AV124" s="68">
        <f>IF(AV$84=0,NA(),IF(ISNUMBER(INDEX($D$96:$AD$96,AV$84)),IF(AND(AV120&gt;=IFERROR(AV122,-9),AV120-IFERROR(AV122,-9)&lt;0.28261),AV122+0.28261,AV120),NA()))</f>
        <v>0</v>
      </c>
      <c r="AW124" s="68">
        <f>IF(AW$84=0,NA(),IF(ISNUMBER(INDEX($D$96:$AD$96,AW$84)),IF(AND(AW120&gt;=IFERROR(AW122,-9),AW120-IFERROR(AW122,-9)&lt;0.28261),AW122+0.28261,AW120),NA()))</f>
        <v>0</v>
      </c>
      <c r="AX124" s="68">
        <f>IF(AX$84=0,NA(),IF(ISNUMBER(INDEX($D$96:$AD$96,AX$84)),IF(AND(AX120&gt;=IFERROR(AX122,-9),AX120-IFERROR(AX122,-9)&lt;0.28261),AX122+0.28261,AX120),NA()))</f>
        <v>0</v>
      </c>
      <c r="AY124" s="68">
        <f>IF(AY$84=0,NA(),IF(ISNUMBER(INDEX($D$96:$AD$96,AY$84)),IF(AND(AY120&gt;=IFERROR(AY122,-9),AY120-IFERROR(AY122,-9)&lt;0.28261),AY122+0.28261,AY120),NA()))</f>
        <v>0</v>
      </c>
      <c r="AZ124" s="68">
        <f>IF(AZ$84=0,NA(),IF(ISNUMBER(INDEX($D$96:$AD$96,AZ$84)),IF(AND(AZ120&gt;=IFERROR(AZ122,-9),AZ120-IFERROR(AZ122,-9)&lt;0.28261),AZ122+0.28261,AZ120),NA()))</f>
        <v>0</v>
      </c>
      <c r="BA124" s="68">
        <f>IF(BA$84=0,NA(),IF(ISNUMBER(INDEX($D$96:$AD$96,BA$84)),IF(AND(BA120&gt;=IFERROR(BA122,-9),BA120-IFERROR(BA122,-9)&lt;0.28261),BA122+0.28261,BA120),NA()))</f>
        <v>0</v>
      </c>
      <c r="BB124" s="68">
        <f>IF(BB$84=0,NA(),IF(ISNUMBER(INDEX($D$96:$AD$96,BB$84)),IF(AND(BB120&gt;=IFERROR(BB122,-9),BB120-IFERROR(BB122,-9)&lt;0.28261),BB122+0.28261,BB120),NA()))</f>
        <v>0</v>
      </c>
      <c r="BC124" s="68">
        <f>IF(BC$84=0,NA(),IF(ISNUMBER(INDEX($D$96:$AD$96,BC$84)),IF(AND(BC120&gt;=IFERROR(BC122,-9),BC120-IFERROR(BC122,-9)&lt;0.28261),BC122+0.28261,BC120),NA()))</f>
        <v>0</v>
      </c>
      <c r="BD124" s="68">
        <f>IF(BD$84=0,NA(),IF(ISNUMBER(INDEX($D$96:$AD$96,BD$84)),IF(AND(BD120&gt;=IFERROR(BD122,-9),BD120-IFERROR(BD122,-9)&lt;0.28261),BD122+0.28261,BD120),NA()))</f>
        <v>0</v>
      </c>
      <c r="BE124" s="68">
        <f>IF(BE$84=0,NA(),IF(ISNUMBER(INDEX($D$96:$AD$96,BE$84)),IF(AND(BE120&gt;=IFERROR(BE122,-9),BE120-IFERROR(BE122,-9)&lt;0.28261),BE122+0.28261,BE120),NA()))</f>
        <v>0</v>
      </c>
      <c r="BF124" s="68">
        <f>IF(BF$84=0,NA(),IF(ISNUMBER(INDEX($D$96:$AD$96,BF$84)),IF(AND(BF120&gt;=IFERROR(BF122,-9),BF120-IFERROR(BF122,-9)&lt;0.28261),BF122+0.28261,BF120),NA()))</f>
        <v>0</v>
      </c>
      <c r="BG124" s="68">
        <f>IF(BG$84=0,NA(),IF(ISNUMBER(INDEX($D$96:$AD$96,BG$84)),IF(AND(BG120&gt;=IFERROR(BG122,-9),BG120-IFERROR(BG122,-9)&lt;0.28261),BG122+0.28261,BG120),NA()))</f>
        <v>0</v>
      </c>
      <c r="BH124" s="68">
        <f>IF(BH$84=0,NA(),IF(ISNUMBER(INDEX($D$96:$AD$96,BH$84)),IF(AND(BH120&gt;=IFERROR(BH122,-9),BH120-IFERROR(BH122,-9)&lt;0.28261),BH122+0.28261,BH120),NA()))</f>
        <v>0</v>
      </c>
      <c r="BI124" s="68">
        <f>IF(BI$84=0,NA(),IF(ISNUMBER(INDEX($D$96:$AD$96,BI$84)),IF(AND(BI120&gt;=IFERROR(BI122,-9),BI120-IFERROR(BI122,-9)&lt;0.28261),BI122+0.28261,BI120),NA()))</f>
        <v>0</v>
      </c>
      <c r="BJ124" s="68">
        <f>IF(BJ$84=0,NA(),IF(ISNUMBER(INDEX($D$96:$AD$96,BJ$84)),IF(AND(BJ120&gt;=IFERROR(BJ122,-9),BJ120-IFERROR(BJ122,-9)&lt;0.28261),BJ122+0.28261,BJ120),NA()))</f>
        <v>0</v>
      </c>
      <c r="BK124" s="68">
        <f>IF(BK$84=0,NA(),IF(ISNUMBER(INDEX($D$96:$AD$96,BK$84)),IF(AND(BK120&gt;=IFERROR(BK122,-9),BK120-IFERROR(BK122,-9)&lt;0.28261),BK122+0.28261,BK120),NA()))</f>
        <v>0</v>
      </c>
      <c r="BL124" s="68">
        <f>IF(BL$84=0,NA(),IF(ISNUMBER(INDEX($D$96:$AD$96,BL$84)),IF(AND(BL120&gt;=IFERROR(BL122,-9),BL120-IFERROR(BL122,-9)&lt;0.28261),BL122+0.28261,BL120),NA()))</f>
        <v>0</v>
      </c>
      <c r="BM124" s="68">
        <f>IF(BM$84=0,NA(),IF(ISNUMBER(INDEX($D$96:$AD$96,BM$84)),IF(AND(BM120&gt;=IFERROR(BM122,-9),BM120-IFERROR(BM122,-9)&lt;0.28261),BM122+0.28261,BM120),NA()))</f>
        <v>0</v>
      </c>
      <c r="BN124" s="68">
        <f>IF(BN$84=0,NA(),IF(ISNUMBER(INDEX($D$96:$AD$96,BN$84)),IF(AND(BN120&gt;=IFERROR(BN122,-9),BN120-IFERROR(BN122,-9)&lt;0.28261),BN122+0.28261,BN120),NA()))</f>
        <v>0</v>
      </c>
      <c r="BO124" s="68">
        <f>IF(BO$84=0,NA(),IF(ISNUMBER(INDEX($D$96:$AD$96,BO$84)),IF(AND(BO120&gt;=IFERROR(BO122,-9),BO120-IFERROR(BO122,-9)&lt;0.28261),BO122+0.28261,BO120),NA()))</f>
        <v>0</v>
      </c>
      <c r="BP124" s="68">
        <f>IF(BP$84=0,NA(),IF(ISNUMBER(INDEX($D$96:$AD$96,BP$84)),IF(AND(BP120&gt;=IFERROR(BP122,-9),BP120-IFERROR(BP122,-9)&lt;0.28261),BP122+0.28261,BP120),NA()))</f>
        <v>0</v>
      </c>
    </row>
    <row r="125" spans="1:68">
      <c r="A125" s="11" t="s">
        <v>777</v>
      </c>
      <c r="B125" s="11" t="s">
        <v>778</v>
      </c>
      <c r="C125" s="67" t="s">
        <v>604</v>
      </c>
      <c r="AQ125" s="68">
        <f>IF(AQ$84=0,NA(),IF(ISNUMBER(INDEX($D$97:$AD$97,AQ$84)),IF(AND(AQ122&gt;IFERROR(AQ120,-9),AQ122-IFERROR(AQ120,-9)&lt;0.28261),AQ120+0.28261,AQ122),NA()))</f>
        <v>0</v>
      </c>
      <c r="AR125" s="68">
        <f>IF(AR$84=0,NA(),IF(ISNUMBER(INDEX($D$97:$AD$97,AR$84)),IF(AND(AR122&gt;IFERROR(AR120,-9),AR122-IFERROR(AR120,-9)&lt;0.28261),AR120+0.28261,AR122),NA()))</f>
        <v>0</v>
      </c>
      <c r="AS125" s="68">
        <f>IF(AS$84=0,NA(),IF(ISNUMBER(INDEX($D$97:$AD$97,AS$84)),IF(AND(AS122&gt;IFERROR(AS120,-9),AS122-IFERROR(AS120,-9)&lt;0.28261),AS120+0.28261,AS122),NA()))</f>
        <v>0</v>
      </c>
      <c r="AT125" s="68">
        <f>IF(AT$84=0,NA(),IF(ISNUMBER(INDEX($D$97:$AD$97,AT$84)),IF(AND(AT122&gt;IFERROR(AT120,-9),AT122-IFERROR(AT120,-9)&lt;0.28261),AT120+0.28261,AT122),NA()))</f>
        <v>0</v>
      </c>
      <c r="AU125" s="68">
        <f>IF(AU$84=0,NA(),IF(ISNUMBER(INDEX($D$97:$AD$97,AU$84)),IF(AND(AU122&gt;IFERROR(AU120,-9),AU122-IFERROR(AU120,-9)&lt;0.28261),AU120+0.28261,AU122),NA()))</f>
        <v>0</v>
      </c>
      <c r="AV125" s="68">
        <f>IF(AV$84=0,NA(),IF(ISNUMBER(INDEX($D$97:$AD$97,AV$84)),IF(AND(AV122&gt;IFERROR(AV120,-9),AV122-IFERROR(AV120,-9)&lt;0.28261),AV120+0.28261,AV122),NA()))</f>
        <v>0</v>
      </c>
      <c r="AW125" s="68">
        <f>IF(AW$84=0,NA(),IF(ISNUMBER(INDEX($D$97:$AD$97,AW$84)),IF(AND(AW122&gt;IFERROR(AW120,-9),AW122-IFERROR(AW120,-9)&lt;0.28261),AW120+0.28261,AW122),NA()))</f>
        <v>0</v>
      </c>
      <c r="AX125" s="68">
        <f>IF(AX$84=0,NA(),IF(ISNUMBER(INDEX($D$97:$AD$97,AX$84)),IF(AND(AX122&gt;IFERROR(AX120,-9),AX122-IFERROR(AX120,-9)&lt;0.28261),AX120+0.28261,AX122),NA()))</f>
        <v>0</v>
      </c>
      <c r="AY125" s="68">
        <f>IF(AY$84=0,NA(),IF(ISNUMBER(INDEX($D$97:$AD$97,AY$84)),IF(AND(AY122&gt;IFERROR(AY120,-9),AY122-IFERROR(AY120,-9)&lt;0.28261),AY120+0.28261,AY122),NA()))</f>
        <v>0</v>
      </c>
      <c r="AZ125" s="68">
        <f>IF(AZ$84=0,NA(),IF(ISNUMBER(INDEX($D$97:$AD$97,AZ$84)),IF(AND(AZ122&gt;IFERROR(AZ120,-9),AZ122-IFERROR(AZ120,-9)&lt;0.28261),AZ120+0.28261,AZ122),NA()))</f>
        <v>0</v>
      </c>
      <c r="BA125" s="68">
        <f>IF(BA$84=0,NA(),IF(ISNUMBER(INDEX($D$97:$AD$97,BA$84)),IF(AND(BA122&gt;IFERROR(BA120,-9),BA122-IFERROR(BA120,-9)&lt;0.28261),BA120+0.28261,BA122),NA()))</f>
        <v>0</v>
      </c>
      <c r="BB125" s="68">
        <f>IF(BB$84=0,NA(),IF(ISNUMBER(INDEX($D$97:$AD$97,BB$84)),IF(AND(BB122&gt;IFERROR(BB120,-9),BB122-IFERROR(BB120,-9)&lt;0.28261),BB120+0.28261,BB122),NA()))</f>
        <v>0</v>
      </c>
      <c r="BC125" s="68">
        <f>IF(BC$84=0,NA(),IF(ISNUMBER(INDEX($D$97:$AD$97,BC$84)),IF(AND(BC122&gt;IFERROR(BC120,-9),BC122-IFERROR(BC120,-9)&lt;0.28261),BC120+0.28261,BC122),NA()))</f>
        <v>0</v>
      </c>
      <c r="BD125" s="68">
        <f>IF(BD$84=0,NA(),IF(ISNUMBER(INDEX($D$97:$AD$97,BD$84)),IF(AND(BD122&gt;IFERROR(BD120,-9),BD122-IFERROR(BD120,-9)&lt;0.28261),BD120+0.28261,BD122),NA()))</f>
        <v>0</v>
      </c>
      <c r="BE125" s="68">
        <f>IF(BE$84=0,NA(),IF(ISNUMBER(INDEX($D$97:$AD$97,BE$84)),IF(AND(BE122&gt;IFERROR(BE120,-9),BE122-IFERROR(BE120,-9)&lt;0.28261),BE120+0.28261,BE122),NA()))</f>
        <v>0</v>
      </c>
      <c r="BF125" s="68">
        <f>IF(BF$84=0,NA(),IF(ISNUMBER(INDEX($D$97:$AD$97,BF$84)),IF(AND(BF122&gt;IFERROR(BF120,-9),BF122-IFERROR(BF120,-9)&lt;0.28261),BF120+0.28261,BF122),NA()))</f>
        <v>0</v>
      </c>
      <c r="BG125" s="68">
        <f>IF(BG$84=0,NA(),IF(ISNUMBER(INDEX($D$97:$AD$97,BG$84)),IF(AND(BG122&gt;IFERROR(BG120,-9),BG122-IFERROR(BG120,-9)&lt;0.28261),BG120+0.28261,BG122),NA()))</f>
        <v>0</v>
      </c>
      <c r="BH125" s="68">
        <f>IF(BH$84=0,NA(),IF(ISNUMBER(INDEX($D$97:$AD$97,BH$84)),IF(AND(BH122&gt;IFERROR(BH120,-9),BH122-IFERROR(BH120,-9)&lt;0.28261),BH120+0.28261,BH122),NA()))</f>
        <v>0</v>
      </c>
      <c r="BI125" s="68">
        <f>IF(BI$84=0,NA(),IF(ISNUMBER(INDEX($D$97:$AD$97,BI$84)),IF(AND(BI122&gt;IFERROR(BI120,-9),BI122-IFERROR(BI120,-9)&lt;0.28261),BI120+0.28261,BI122),NA()))</f>
        <v>0</v>
      </c>
      <c r="BJ125" s="68">
        <f>IF(BJ$84=0,NA(),IF(ISNUMBER(INDEX($D$97:$AD$97,BJ$84)),IF(AND(BJ122&gt;IFERROR(BJ120,-9),BJ122-IFERROR(BJ120,-9)&lt;0.28261),BJ120+0.28261,BJ122),NA()))</f>
        <v>0</v>
      </c>
      <c r="BK125" s="68">
        <f>IF(BK$84=0,NA(),IF(ISNUMBER(INDEX($D$97:$AD$97,BK$84)),IF(AND(BK122&gt;IFERROR(BK120,-9),BK122-IFERROR(BK120,-9)&lt;0.28261),BK120+0.28261,BK122),NA()))</f>
        <v>0</v>
      </c>
      <c r="BL125" s="68">
        <f>IF(BL$84=0,NA(),IF(ISNUMBER(INDEX($D$97:$AD$97,BL$84)),IF(AND(BL122&gt;IFERROR(BL120,-9),BL122-IFERROR(BL120,-9)&lt;0.28261),BL120+0.28261,BL122),NA()))</f>
        <v>0</v>
      </c>
      <c r="BM125" s="68">
        <f>IF(BM$84=0,NA(),IF(ISNUMBER(INDEX($D$97:$AD$97,BM$84)),IF(AND(BM122&gt;IFERROR(BM120,-9),BM122-IFERROR(BM120,-9)&lt;0.28261),BM120+0.28261,BM122),NA()))</f>
        <v>0</v>
      </c>
      <c r="BN125" s="68">
        <f>IF(BN$84=0,NA(),IF(ISNUMBER(INDEX($D$97:$AD$97,BN$84)),IF(AND(BN122&gt;IFERROR(BN120,-9),BN122-IFERROR(BN120,-9)&lt;0.28261),BN120+0.28261,BN122),NA()))</f>
        <v>0</v>
      </c>
      <c r="BO125" s="68">
        <f>IF(BO$84=0,NA(),IF(ISNUMBER(INDEX($D$97:$AD$97,BO$84)),IF(AND(BO122&gt;IFERROR(BO120,-9),BO122-IFERROR(BO120,-9)&lt;0.28261),BO120+0.28261,BO122),NA()))</f>
        <v>0</v>
      </c>
      <c r="BP125" s="68">
        <f>IF(BP$84=0,NA(),IF(ISNUMBER(INDEX($D$97:$AD$97,BP$84)),IF(AND(BP122&gt;IFERROR(BP120,-9),BP122-IFERROR(BP120,-9)&lt;0.28261),BP120+0.28261,BP122),NA()))</f>
        <v>0</v>
      </c>
    </row>
    <row r="126" spans="1:68">
      <c r="A126" s="11" t="s">
        <v>779</v>
      </c>
      <c r="B126" s="11" t="s">
        <v>780</v>
      </c>
      <c r="C126" s="67" t="s">
        <v>604</v>
      </c>
      <c r="AQ126" s="68">
        <f>IF(AQ$84=0,NA(),IF(ISNUMBER(INDEX($D$99:$AD$99,AQ$84)),IF(ROUND(INDEX($D$99:$AD$99,AQ$84)/1000,1)&gt;0,0.5,NA()),NA()))</f>
        <v>0</v>
      </c>
      <c r="AR126" s="68">
        <f>IF(AR$84=0,NA(),IF(ISNUMBER(INDEX($D$99:$AD$99,AR$84)),IF(ROUND(INDEX($D$99:$AD$99,AR$84)/1000,1)&gt;0,0.5,NA()),NA()))</f>
        <v>0</v>
      </c>
      <c r="AS126" s="68">
        <f>IF(AS$84=0,NA(),IF(ISNUMBER(INDEX($D$99:$AD$99,AS$84)),IF(ROUND(INDEX($D$99:$AD$99,AS$84)/1000,1)&gt;0,0.5,NA()),NA()))</f>
        <v>0</v>
      </c>
      <c r="AT126" s="68">
        <f>IF(AT$84=0,NA(),IF(ISNUMBER(INDEX($D$99:$AD$99,AT$84)),IF(ROUND(INDEX($D$99:$AD$99,AT$84)/1000,1)&gt;0,0.5,NA()),NA()))</f>
        <v>0</v>
      </c>
      <c r="AU126" s="68">
        <f>IF(AU$84=0,NA(),IF(ISNUMBER(INDEX($D$99:$AD$99,AU$84)),IF(ROUND(INDEX($D$99:$AD$99,AU$84)/1000,1)&gt;0,0.5,NA()),NA()))</f>
        <v>0</v>
      </c>
      <c r="AV126" s="68">
        <f>IF(AV$84=0,NA(),IF(ISNUMBER(INDEX($D$99:$AD$99,AV$84)),IF(ROUND(INDEX($D$99:$AD$99,AV$84)/1000,1)&gt;0,0.5,NA()),NA()))</f>
        <v>0</v>
      </c>
      <c r="AW126" s="68">
        <f>IF(AW$84=0,NA(),IF(ISNUMBER(INDEX($D$99:$AD$99,AW$84)),IF(ROUND(INDEX($D$99:$AD$99,AW$84)/1000,1)&gt;0,0.5,NA()),NA()))</f>
        <v>0</v>
      </c>
      <c r="AX126" s="68">
        <f>IF(AX$84=0,NA(),IF(ISNUMBER(INDEX($D$99:$AD$99,AX$84)),IF(ROUND(INDEX($D$99:$AD$99,AX$84)/1000,1)&gt;0,0.5,NA()),NA()))</f>
        <v>0</v>
      </c>
      <c r="AY126" s="68">
        <f>IF(AY$84=0,NA(),IF(ISNUMBER(INDEX($D$99:$AD$99,AY$84)),IF(ROUND(INDEX($D$99:$AD$99,AY$84)/1000,1)&gt;0,0.5,NA()),NA()))</f>
        <v>0</v>
      </c>
      <c r="AZ126" s="68">
        <f>IF(AZ$84=0,NA(),IF(ISNUMBER(INDEX($D$99:$AD$99,AZ$84)),IF(ROUND(INDEX($D$99:$AD$99,AZ$84)/1000,1)&gt;0,0.5,NA()),NA()))</f>
        <v>0</v>
      </c>
      <c r="BA126" s="68">
        <f>IF(BA$84=0,NA(),IF(ISNUMBER(INDEX($D$99:$AD$99,BA$84)),IF(ROUND(INDEX($D$99:$AD$99,BA$84)/1000,1)&gt;0,0.5,NA()),NA()))</f>
        <v>0</v>
      </c>
      <c r="BB126" s="68">
        <f>IF(BB$84=0,NA(),IF(ISNUMBER(INDEX($D$99:$AD$99,BB$84)),IF(ROUND(INDEX($D$99:$AD$99,BB$84)/1000,1)&gt;0,0.5,NA()),NA()))</f>
        <v>0</v>
      </c>
      <c r="BC126" s="68">
        <f>IF(BC$84=0,NA(),IF(ISNUMBER(INDEX($D$99:$AD$99,BC$84)),IF(ROUND(INDEX($D$99:$AD$99,BC$84)/1000,1)&gt;0,0.5,NA()),NA()))</f>
        <v>0</v>
      </c>
      <c r="BD126" s="68">
        <f>IF(BD$84=0,NA(),IF(ISNUMBER(INDEX($D$99:$AD$99,BD$84)),IF(ROUND(INDEX($D$99:$AD$99,BD$84)/1000,1)&gt;0,0.5,NA()),NA()))</f>
        <v>0</v>
      </c>
      <c r="BE126" s="68">
        <f>IF(BE$84=0,NA(),IF(ISNUMBER(INDEX($D$99:$AD$99,BE$84)),IF(ROUND(INDEX($D$99:$AD$99,BE$84)/1000,1)&gt;0,0.5,NA()),NA()))</f>
        <v>0</v>
      </c>
      <c r="BF126" s="68">
        <f>IF(BF$84=0,NA(),IF(ISNUMBER(INDEX($D$99:$AD$99,BF$84)),IF(ROUND(INDEX($D$99:$AD$99,BF$84)/1000,1)&gt;0,0.5,NA()),NA()))</f>
        <v>0</v>
      </c>
      <c r="BG126" s="68">
        <f>IF(BG$84=0,NA(),IF(ISNUMBER(INDEX($D$99:$AD$99,BG$84)),IF(ROUND(INDEX($D$99:$AD$99,BG$84)/1000,1)&gt;0,0.5,NA()),NA()))</f>
        <v>0</v>
      </c>
      <c r="BH126" s="68">
        <f>IF(BH$84=0,NA(),IF(ISNUMBER(INDEX($D$99:$AD$99,BH$84)),IF(ROUND(INDEX($D$99:$AD$99,BH$84)/1000,1)&gt;0,0.5,NA()),NA()))</f>
        <v>0</v>
      </c>
      <c r="BI126" s="68">
        <f>IF(BI$84=0,NA(),IF(ISNUMBER(INDEX($D$99:$AD$99,BI$84)),IF(ROUND(INDEX($D$99:$AD$99,BI$84)/1000,1)&gt;0,0.5,NA()),NA()))</f>
        <v>0</v>
      </c>
      <c r="BJ126" s="68">
        <f>IF(BJ$84=0,NA(),IF(ISNUMBER(INDEX($D$99:$AD$99,BJ$84)),IF(ROUND(INDEX($D$99:$AD$99,BJ$84)/1000,1)&gt;0,0.5,NA()),NA()))</f>
        <v>0</v>
      </c>
      <c r="BK126" s="68">
        <f>IF(BK$84=0,NA(),IF(ISNUMBER(INDEX($D$99:$AD$99,BK$84)),IF(ROUND(INDEX($D$99:$AD$99,BK$84)/1000,1)&gt;0,0.5,NA()),NA()))</f>
        <v>0</v>
      </c>
      <c r="BL126" s="68">
        <f>IF(BL$84=0,NA(),IF(ISNUMBER(INDEX($D$99:$AD$99,BL$84)),IF(ROUND(INDEX($D$99:$AD$99,BL$84)/1000,1)&gt;0,0.5,NA()),NA()))</f>
        <v>0</v>
      </c>
      <c r="BM126" s="68">
        <f>IF(BM$84=0,NA(),IF(ISNUMBER(INDEX($D$99:$AD$99,BM$84)),IF(ROUND(INDEX($D$99:$AD$99,BM$84)/1000,1)&gt;0,0.5,NA()),NA()))</f>
        <v>0</v>
      </c>
      <c r="BN126" s="68">
        <f>IF(BN$84=0,NA(),IF(ISNUMBER(INDEX($D$99:$AD$99,BN$84)),IF(ROUND(INDEX($D$99:$AD$99,BN$84)/1000,1)&gt;0,0.5,NA()),NA()))</f>
        <v>0</v>
      </c>
      <c r="BO126" s="68">
        <f>IF(BO$84=0,NA(),IF(ISNUMBER(INDEX($D$99:$AD$99,BO$84)),IF(ROUND(INDEX($D$99:$AD$99,BO$84)/1000,1)&gt;0,0.5,NA()),NA()))</f>
        <v>0</v>
      </c>
      <c r="BP126" s="68">
        <f>IF(BP$84=0,NA(),IF(ISNUMBER(INDEX($D$99:$AD$99,BP$84)),IF(ROUND(INDEX($D$99:$AD$99,BP$84)/1000,1)&gt;0,0.5,NA()),NA()))</f>
        <v>0</v>
      </c>
    </row>
    <row r="127" spans="1:68">
      <c r="A127" s="11" t="s">
        <v>781</v>
      </c>
      <c r="B127" s="11" t="s">
        <v>782</v>
      </c>
      <c r="C127" s="67" t="s">
        <v>604</v>
      </c>
      <c r="AQ127" s="68">
        <f>IF(AQ$84=0,NA(),IF(ISNUMBER(INDEX($D$99:$AD$99,AQ$84)),IF(ROUND(INDEX($D$99:$AD$99,AQ$84)/1000,1)&lt;0,0.5,NA()),NA()))</f>
        <v>0</v>
      </c>
      <c r="AR127" s="68">
        <f>IF(AR$84=0,NA(),IF(ISNUMBER(INDEX($D$99:$AD$99,AR$84)),IF(ROUND(INDEX($D$99:$AD$99,AR$84)/1000,1)&lt;0,0.5,NA()),NA()))</f>
        <v>0</v>
      </c>
      <c r="AS127" s="68">
        <f>IF(AS$84=0,NA(),IF(ISNUMBER(INDEX($D$99:$AD$99,AS$84)),IF(ROUND(INDEX($D$99:$AD$99,AS$84)/1000,1)&lt;0,0.5,NA()),NA()))</f>
        <v>0</v>
      </c>
      <c r="AT127" s="68">
        <f>IF(AT$84=0,NA(),IF(ISNUMBER(INDEX($D$99:$AD$99,AT$84)),IF(ROUND(INDEX($D$99:$AD$99,AT$84)/1000,1)&lt;0,0.5,NA()),NA()))</f>
        <v>0</v>
      </c>
      <c r="AU127" s="68">
        <f>IF(AU$84=0,NA(),IF(ISNUMBER(INDEX($D$99:$AD$99,AU$84)),IF(ROUND(INDEX($D$99:$AD$99,AU$84)/1000,1)&lt;0,0.5,NA()),NA()))</f>
        <v>0</v>
      </c>
      <c r="AV127" s="68">
        <f>IF(AV$84=0,NA(),IF(ISNUMBER(INDEX($D$99:$AD$99,AV$84)),IF(ROUND(INDEX($D$99:$AD$99,AV$84)/1000,1)&lt;0,0.5,NA()),NA()))</f>
        <v>0</v>
      </c>
      <c r="AW127" s="68">
        <f>IF(AW$84=0,NA(),IF(ISNUMBER(INDEX($D$99:$AD$99,AW$84)),IF(ROUND(INDEX($D$99:$AD$99,AW$84)/1000,1)&lt;0,0.5,NA()),NA()))</f>
        <v>0</v>
      </c>
      <c r="AX127" s="68">
        <f>IF(AX$84=0,NA(),IF(ISNUMBER(INDEX($D$99:$AD$99,AX$84)),IF(ROUND(INDEX($D$99:$AD$99,AX$84)/1000,1)&lt;0,0.5,NA()),NA()))</f>
        <v>0</v>
      </c>
      <c r="AY127" s="68">
        <f>IF(AY$84=0,NA(),IF(ISNUMBER(INDEX($D$99:$AD$99,AY$84)),IF(ROUND(INDEX($D$99:$AD$99,AY$84)/1000,1)&lt;0,0.5,NA()),NA()))</f>
        <v>0</v>
      </c>
      <c r="AZ127" s="68">
        <f>IF(AZ$84=0,NA(),IF(ISNUMBER(INDEX($D$99:$AD$99,AZ$84)),IF(ROUND(INDEX($D$99:$AD$99,AZ$84)/1000,1)&lt;0,0.5,NA()),NA()))</f>
        <v>0</v>
      </c>
      <c r="BA127" s="68">
        <f>IF(BA$84=0,NA(),IF(ISNUMBER(INDEX($D$99:$AD$99,BA$84)),IF(ROUND(INDEX($D$99:$AD$99,BA$84)/1000,1)&lt;0,0.5,NA()),NA()))</f>
        <v>0</v>
      </c>
      <c r="BB127" s="68">
        <f>IF(BB$84=0,NA(),IF(ISNUMBER(INDEX($D$99:$AD$99,BB$84)),IF(ROUND(INDEX($D$99:$AD$99,BB$84)/1000,1)&lt;0,0.5,NA()),NA()))</f>
        <v>0</v>
      </c>
      <c r="BC127" s="68">
        <f>IF(BC$84=0,NA(),IF(ISNUMBER(INDEX($D$99:$AD$99,BC$84)),IF(ROUND(INDEX($D$99:$AD$99,BC$84)/1000,1)&lt;0,0.5,NA()),NA()))</f>
        <v>0</v>
      </c>
      <c r="BD127" s="68">
        <f>IF(BD$84=0,NA(),IF(ISNUMBER(INDEX($D$99:$AD$99,BD$84)),IF(ROUND(INDEX($D$99:$AD$99,BD$84)/1000,1)&lt;0,0.5,NA()),NA()))</f>
        <v>0</v>
      </c>
      <c r="BE127" s="68">
        <f>IF(BE$84=0,NA(),IF(ISNUMBER(INDEX($D$99:$AD$99,BE$84)),IF(ROUND(INDEX($D$99:$AD$99,BE$84)/1000,1)&lt;0,0.5,NA()),NA()))</f>
        <v>0</v>
      </c>
      <c r="BF127" s="68">
        <f>IF(BF$84=0,NA(),IF(ISNUMBER(INDEX($D$99:$AD$99,BF$84)),IF(ROUND(INDEX($D$99:$AD$99,BF$84)/1000,1)&lt;0,0.5,NA()),NA()))</f>
        <v>0</v>
      </c>
      <c r="BG127" s="68">
        <f>IF(BG$84=0,NA(),IF(ISNUMBER(INDEX($D$99:$AD$99,BG$84)),IF(ROUND(INDEX($D$99:$AD$99,BG$84)/1000,1)&lt;0,0.5,NA()),NA()))</f>
        <v>0</v>
      </c>
      <c r="BH127" s="68">
        <f>IF(BH$84=0,NA(),IF(ISNUMBER(INDEX($D$99:$AD$99,BH$84)),IF(ROUND(INDEX($D$99:$AD$99,BH$84)/1000,1)&lt;0,0.5,NA()),NA()))</f>
        <v>0</v>
      </c>
      <c r="BI127" s="68">
        <f>IF(BI$84=0,NA(),IF(ISNUMBER(INDEX($D$99:$AD$99,BI$84)),IF(ROUND(INDEX($D$99:$AD$99,BI$84)/1000,1)&lt;0,0.5,NA()),NA()))</f>
        <v>0</v>
      </c>
      <c r="BJ127" s="68">
        <f>IF(BJ$84=0,NA(),IF(ISNUMBER(INDEX($D$99:$AD$99,BJ$84)),IF(ROUND(INDEX($D$99:$AD$99,BJ$84)/1000,1)&lt;0,0.5,NA()),NA()))</f>
        <v>0</v>
      </c>
      <c r="BK127" s="68">
        <f>IF(BK$84=0,NA(),IF(ISNUMBER(INDEX($D$99:$AD$99,BK$84)),IF(ROUND(INDEX($D$99:$AD$99,BK$84)/1000,1)&lt;0,0.5,NA()),NA()))</f>
        <v>0</v>
      </c>
      <c r="BL127" s="68">
        <f>IF(BL$84=0,NA(),IF(ISNUMBER(INDEX($D$99:$AD$99,BL$84)),IF(ROUND(INDEX($D$99:$AD$99,BL$84)/1000,1)&lt;0,0.5,NA()),NA()))</f>
        <v>0</v>
      </c>
      <c r="BM127" s="68">
        <f>IF(BM$84=0,NA(),IF(ISNUMBER(INDEX($D$99:$AD$99,BM$84)),IF(ROUND(INDEX($D$99:$AD$99,BM$84)/1000,1)&lt;0,0.5,NA()),NA()))</f>
        <v>0</v>
      </c>
      <c r="BN127" s="68">
        <f>IF(BN$84=0,NA(),IF(ISNUMBER(INDEX($D$99:$AD$99,BN$84)),IF(ROUND(INDEX($D$99:$AD$99,BN$84)/1000,1)&lt;0,0.5,NA()),NA()))</f>
        <v>0</v>
      </c>
      <c r="BO127" s="68">
        <f>IF(BO$84=0,NA(),IF(ISNUMBER(INDEX($D$99:$AD$99,BO$84)),IF(ROUND(INDEX($D$99:$AD$99,BO$84)/1000,1)&lt;0,0.5,NA()),NA()))</f>
        <v>0</v>
      </c>
      <c r="BP127" s="68">
        <f>IF(BP$84=0,NA(),IF(ISNUMBER(INDEX($D$99:$AD$99,BP$84)),IF(ROUND(INDEX($D$99:$AD$99,BP$84)/1000,1)&lt;0,0.5,NA()),NA()))</f>
        <v>0</v>
      </c>
    </row>
    <row r="128" spans="1:68">
      <c r="A128" s="11" t="s">
        <v>783</v>
      </c>
      <c r="B128" s="11" t="s">
        <v>784</v>
      </c>
      <c r="C128" s="67" t="s">
        <v>604</v>
      </c>
      <c r="AQ128" s="68">
        <f>IF(AQ$84=0,NA(),IF(ISNUMBER(INDEX($D$99:$AD$99,AQ$84)),IF(ROUND(INDEX($D$99:$AD$99,AQ$84)/1000,1)=0,0.5,NA()),NA()))</f>
        <v>0</v>
      </c>
      <c r="AR128" s="68">
        <f>IF(AR$84=0,NA(),IF(ISNUMBER(INDEX($D$99:$AD$99,AR$84)),IF(ROUND(INDEX($D$99:$AD$99,AR$84)/1000,1)=0,0.5,NA()),NA()))</f>
        <v>0</v>
      </c>
      <c r="AS128" s="68">
        <f>IF(AS$84=0,NA(),IF(ISNUMBER(INDEX($D$99:$AD$99,AS$84)),IF(ROUND(INDEX($D$99:$AD$99,AS$84)/1000,1)=0,0.5,NA()),NA()))</f>
        <v>0</v>
      </c>
      <c r="AT128" s="68">
        <f>IF(AT$84=0,NA(),IF(ISNUMBER(INDEX($D$99:$AD$99,AT$84)),IF(ROUND(INDEX($D$99:$AD$99,AT$84)/1000,1)=0,0.5,NA()),NA()))</f>
        <v>0</v>
      </c>
      <c r="AU128" s="68">
        <f>IF(AU$84=0,NA(),IF(ISNUMBER(INDEX($D$99:$AD$99,AU$84)),IF(ROUND(INDEX($D$99:$AD$99,AU$84)/1000,1)=0,0.5,NA()),NA()))</f>
        <v>0</v>
      </c>
      <c r="AV128" s="68">
        <f>IF(AV$84=0,NA(),IF(ISNUMBER(INDEX($D$99:$AD$99,AV$84)),IF(ROUND(INDEX($D$99:$AD$99,AV$84)/1000,1)=0,0.5,NA()),NA()))</f>
        <v>0</v>
      </c>
      <c r="AW128" s="68">
        <f>IF(AW$84=0,NA(),IF(ISNUMBER(INDEX($D$99:$AD$99,AW$84)),IF(ROUND(INDEX($D$99:$AD$99,AW$84)/1000,1)=0,0.5,NA()),NA()))</f>
        <v>0</v>
      </c>
      <c r="AX128" s="68">
        <f>IF(AX$84=0,NA(),IF(ISNUMBER(INDEX($D$99:$AD$99,AX$84)),IF(ROUND(INDEX($D$99:$AD$99,AX$84)/1000,1)=0,0.5,NA()),NA()))</f>
        <v>0</v>
      </c>
      <c r="AY128" s="68">
        <f>IF(AY$84=0,NA(),IF(ISNUMBER(INDEX($D$99:$AD$99,AY$84)),IF(ROUND(INDEX($D$99:$AD$99,AY$84)/1000,1)=0,0.5,NA()),NA()))</f>
        <v>0</v>
      </c>
      <c r="AZ128" s="68">
        <f>IF(AZ$84=0,NA(),IF(ISNUMBER(INDEX($D$99:$AD$99,AZ$84)),IF(ROUND(INDEX($D$99:$AD$99,AZ$84)/1000,1)=0,0.5,NA()),NA()))</f>
        <v>0</v>
      </c>
      <c r="BA128" s="68">
        <f>IF(BA$84=0,NA(),IF(ISNUMBER(INDEX($D$99:$AD$99,BA$84)),IF(ROUND(INDEX($D$99:$AD$99,BA$84)/1000,1)=0,0.5,NA()),NA()))</f>
        <v>0</v>
      </c>
      <c r="BB128" s="68">
        <f>IF(BB$84=0,NA(),IF(ISNUMBER(INDEX($D$99:$AD$99,BB$84)),IF(ROUND(INDEX($D$99:$AD$99,BB$84)/1000,1)=0,0.5,NA()),NA()))</f>
        <v>0</v>
      </c>
      <c r="BC128" s="68">
        <f>IF(BC$84=0,NA(),IF(ISNUMBER(INDEX($D$99:$AD$99,BC$84)),IF(ROUND(INDEX($D$99:$AD$99,BC$84)/1000,1)=0,0.5,NA()),NA()))</f>
        <v>0</v>
      </c>
      <c r="BD128" s="68">
        <f>IF(BD$84=0,NA(),IF(ISNUMBER(INDEX($D$99:$AD$99,BD$84)),IF(ROUND(INDEX($D$99:$AD$99,BD$84)/1000,1)=0,0.5,NA()),NA()))</f>
        <v>0</v>
      </c>
      <c r="BE128" s="68">
        <f>IF(BE$84=0,NA(),IF(ISNUMBER(INDEX($D$99:$AD$99,BE$84)),IF(ROUND(INDEX($D$99:$AD$99,BE$84)/1000,1)=0,0.5,NA()),NA()))</f>
        <v>0</v>
      </c>
      <c r="BF128" s="68">
        <f>IF(BF$84=0,NA(),IF(ISNUMBER(INDEX($D$99:$AD$99,BF$84)),IF(ROUND(INDEX($D$99:$AD$99,BF$84)/1000,1)=0,0.5,NA()),NA()))</f>
        <v>0</v>
      </c>
      <c r="BG128" s="68">
        <f>IF(BG$84=0,NA(),IF(ISNUMBER(INDEX($D$99:$AD$99,BG$84)),IF(ROUND(INDEX($D$99:$AD$99,BG$84)/1000,1)=0,0.5,NA()),NA()))</f>
        <v>0</v>
      </c>
      <c r="BH128" s="68">
        <f>IF(BH$84=0,NA(),IF(ISNUMBER(INDEX($D$99:$AD$99,BH$84)),IF(ROUND(INDEX($D$99:$AD$99,BH$84)/1000,1)=0,0.5,NA()),NA()))</f>
        <v>0</v>
      </c>
      <c r="BI128" s="68">
        <f>IF(BI$84=0,NA(),IF(ISNUMBER(INDEX($D$99:$AD$99,BI$84)),IF(ROUND(INDEX($D$99:$AD$99,BI$84)/1000,1)=0,0.5,NA()),NA()))</f>
        <v>0</v>
      </c>
      <c r="BJ128" s="68">
        <f>IF(BJ$84=0,NA(),IF(ISNUMBER(INDEX($D$99:$AD$99,BJ$84)),IF(ROUND(INDEX($D$99:$AD$99,BJ$84)/1000,1)=0,0.5,NA()),NA()))</f>
        <v>0</v>
      </c>
      <c r="BK128" s="68">
        <f>IF(BK$84=0,NA(),IF(ISNUMBER(INDEX($D$99:$AD$99,BK$84)),IF(ROUND(INDEX($D$99:$AD$99,BK$84)/1000,1)=0,0.5,NA()),NA()))</f>
        <v>0</v>
      </c>
      <c r="BL128" s="68">
        <f>IF(BL$84=0,NA(),IF(ISNUMBER(INDEX($D$99:$AD$99,BL$84)),IF(ROUND(INDEX($D$99:$AD$99,BL$84)/1000,1)=0,0.5,NA()),NA()))</f>
        <v>0</v>
      </c>
      <c r="BM128" s="68">
        <f>IF(BM$84=0,NA(),IF(ISNUMBER(INDEX($D$99:$AD$99,BM$84)),IF(ROUND(INDEX($D$99:$AD$99,BM$84)/1000,1)=0,0.5,NA()),NA()))</f>
        <v>0</v>
      </c>
      <c r="BN128" s="68">
        <f>IF(BN$84=0,NA(),IF(ISNUMBER(INDEX($D$99:$AD$99,BN$84)),IF(ROUND(INDEX($D$99:$AD$99,BN$84)/1000,1)=0,0.5,NA()),NA()))</f>
        <v>0</v>
      </c>
      <c r="BO128" s="68">
        <f>IF(BO$84=0,NA(),IF(ISNUMBER(INDEX($D$99:$AD$99,BO$84)),IF(ROUND(INDEX($D$99:$AD$99,BO$84)/1000,1)=0,0.5,NA()),NA()))</f>
        <v>0</v>
      </c>
      <c r="BP128" s="68">
        <f>IF(BP$84=0,NA(),IF(ISNUMBER(INDEX($D$99:$AD$99,BP$84)),IF(ROUND(INDEX($D$99:$AD$99,BP$84)/1000,1)=0,0.5,NA()),NA()))</f>
        <v>0</v>
      </c>
    </row>
    <row r="129" spans="1:68">
      <c r="A129" s="11" t="s">
        <v>785</v>
      </c>
      <c r="B129" s="11" t="s">
        <v>786</v>
      </c>
      <c r="C129" s="67" t="s">
        <v>604</v>
      </c>
      <c r="AQ129" s="11">
        <f>IF(AQ$84=0,"",IF(ISNUMBER(INDEX($D$99:$AD$99,AQ$84)),IF(ROUND(INDEX($D$99:$AD$99,AQ$84)/1000,1)&gt;0,"+"&amp;FIXED(ROUND(INDEX($D$99:$AD$99,AQ$84)/1000,1),1),IF(ROUND(INDEX($D$99:$AD$99,AQ$84)/1000,1)&lt;0,"−"&amp;FIXED(-ROUND(INDEX($D$99:$AD$99,AQ$84)/1000,1),1),"±0")),""))</f>
        <v>0</v>
      </c>
      <c r="AR129" s="11">
        <f>IF(AR$84=0,"",IF(ISNUMBER(INDEX($D$99:$AD$99,AR$84)),IF(ROUND(INDEX($D$99:$AD$99,AR$84)/1000,1)&gt;0,"+"&amp;FIXED(ROUND(INDEX($D$99:$AD$99,AR$84)/1000,1),1),IF(ROUND(INDEX($D$99:$AD$99,AR$84)/1000,1)&lt;0,"−"&amp;FIXED(-ROUND(INDEX($D$99:$AD$99,AR$84)/1000,1),1),"±0")),""))</f>
        <v>0</v>
      </c>
      <c r="AS129" s="11">
        <f>IF(AS$84=0,"",IF(ISNUMBER(INDEX($D$99:$AD$99,AS$84)),IF(ROUND(INDEX($D$99:$AD$99,AS$84)/1000,1)&gt;0,"+"&amp;FIXED(ROUND(INDEX($D$99:$AD$99,AS$84)/1000,1),1),IF(ROUND(INDEX($D$99:$AD$99,AS$84)/1000,1)&lt;0,"−"&amp;FIXED(-ROUND(INDEX($D$99:$AD$99,AS$84)/1000,1),1),"±0")),""))</f>
        <v>0</v>
      </c>
      <c r="AT129" s="11">
        <f>IF(AT$84=0,"",IF(ISNUMBER(INDEX($D$99:$AD$99,AT$84)),IF(ROUND(INDEX($D$99:$AD$99,AT$84)/1000,1)&gt;0,"+"&amp;FIXED(ROUND(INDEX($D$99:$AD$99,AT$84)/1000,1),1),IF(ROUND(INDEX($D$99:$AD$99,AT$84)/1000,1)&lt;0,"−"&amp;FIXED(-ROUND(INDEX($D$99:$AD$99,AT$84)/1000,1),1),"±0")),""))</f>
        <v>0</v>
      </c>
      <c r="AU129" s="11">
        <f>IF(AU$84=0,"",IF(ISNUMBER(INDEX($D$99:$AD$99,AU$84)),IF(ROUND(INDEX($D$99:$AD$99,AU$84)/1000,1)&gt;0,"+"&amp;FIXED(ROUND(INDEX($D$99:$AD$99,AU$84)/1000,1),1),IF(ROUND(INDEX($D$99:$AD$99,AU$84)/1000,1)&lt;0,"−"&amp;FIXED(-ROUND(INDEX($D$99:$AD$99,AU$84)/1000,1),1),"±0")),""))</f>
        <v>0</v>
      </c>
      <c r="AV129" s="11">
        <f>IF(AV$84=0,"",IF(ISNUMBER(INDEX($D$99:$AD$99,AV$84)),IF(ROUND(INDEX($D$99:$AD$99,AV$84)/1000,1)&gt;0,"+"&amp;FIXED(ROUND(INDEX($D$99:$AD$99,AV$84)/1000,1),1),IF(ROUND(INDEX($D$99:$AD$99,AV$84)/1000,1)&lt;0,"−"&amp;FIXED(-ROUND(INDEX($D$99:$AD$99,AV$84)/1000,1),1),"±0")),""))</f>
        <v>0</v>
      </c>
      <c r="AW129" s="11">
        <f>IF(AW$84=0,"",IF(ISNUMBER(INDEX($D$99:$AD$99,AW$84)),IF(ROUND(INDEX($D$99:$AD$99,AW$84)/1000,1)&gt;0,"+"&amp;FIXED(ROUND(INDEX($D$99:$AD$99,AW$84)/1000,1),1),IF(ROUND(INDEX($D$99:$AD$99,AW$84)/1000,1)&lt;0,"−"&amp;FIXED(-ROUND(INDEX($D$99:$AD$99,AW$84)/1000,1),1),"±0")),""))</f>
        <v>0</v>
      </c>
      <c r="AX129" s="11">
        <f>IF(AX$84=0,"",IF(ISNUMBER(INDEX($D$99:$AD$99,AX$84)),IF(ROUND(INDEX($D$99:$AD$99,AX$84)/1000,1)&gt;0,"+"&amp;FIXED(ROUND(INDEX($D$99:$AD$99,AX$84)/1000,1),1),IF(ROUND(INDEX($D$99:$AD$99,AX$84)/1000,1)&lt;0,"−"&amp;FIXED(-ROUND(INDEX($D$99:$AD$99,AX$84)/1000,1),1),"±0")),""))</f>
        <v>0</v>
      </c>
      <c r="AY129" s="11">
        <f>IF(AY$84=0,"",IF(ISNUMBER(INDEX($D$99:$AD$99,AY$84)),IF(ROUND(INDEX($D$99:$AD$99,AY$84)/1000,1)&gt;0,"+"&amp;FIXED(ROUND(INDEX($D$99:$AD$99,AY$84)/1000,1),1),IF(ROUND(INDEX($D$99:$AD$99,AY$84)/1000,1)&lt;0,"−"&amp;FIXED(-ROUND(INDEX($D$99:$AD$99,AY$84)/1000,1),1),"±0")),""))</f>
        <v>0</v>
      </c>
      <c r="AZ129" s="11">
        <f>IF(AZ$84=0,"",IF(ISNUMBER(INDEX($D$99:$AD$99,AZ$84)),IF(ROUND(INDEX($D$99:$AD$99,AZ$84)/1000,1)&gt;0,"+"&amp;FIXED(ROUND(INDEX($D$99:$AD$99,AZ$84)/1000,1),1),IF(ROUND(INDEX($D$99:$AD$99,AZ$84)/1000,1)&lt;0,"−"&amp;FIXED(-ROUND(INDEX($D$99:$AD$99,AZ$84)/1000,1),1),"±0")),""))</f>
        <v>0</v>
      </c>
      <c r="BA129" s="11">
        <f>IF(BA$84=0,"",IF(ISNUMBER(INDEX($D$99:$AD$99,BA$84)),IF(ROUND(INDEX($D$99:$AD$99,BA$84)/1000,1)&gt;0,"+"&amp;FIXED(ROUND(INDEX($D$99:$AD$99,BA$84)/1000,1),1),IF(ROUND(INDEX($D$99:$AD$99,BA$84)/1000,1)&lt;0,"−"&amp;FIXED(-ROUND(INDEX($D$99:$AD$99,BA$84)/1000,1),1),"±0")),""))</f>
        <v>0</v>
      </c>
      <c r="BB129" s="11">
        <f>IF(BB$84=0,"",IF(ISNUMBER(INDEX($D$99:$AD$99,BB$84)),IF(ROUND(INDEX($D$99:$AD$99,BB$84)/1000,1)&gt;0,"+"&amp;FIXED(ROUND(INDEX($D$99:$AD$99,BB$84)/1000,1),1),IF(ROUND(INDEX($D$99:$AD$99,BB$84)/1000,1)&lt;0,"−"&amp;FIXED(-ROUND(INDEX($D$99:$AD$99,BB$84)/1000,1),1),"±0")),""))</f>
        <v>0</v>
      </c>
      <c r="BC129" s="11">
        <f>IF(BC$84=0,"",IF(ISNUMBER(INDEX($D$99:$AD$99,BC$84)),IF(ROUND(INDEX($D$99:$AD$99,BC$84)/1000,1)&gt;0,"+"&amp;FIXED(ROUND(INDEX($D$99:$AD$99,BC$84)/1000,1),1),IF(ROUND(INDEX($D$99:$AD$99,BC$84)/1000,1)&lt;0,"−"&amp;FIXED(-ROUND(INDEX($D$99:$AD$99,BC$84)/1000,1),1),"±0")),""))</f>
        <v>0</v>
      </c>
      <c r="BD129" s="11">
        <f>IF(BD$84=0,"",IF(ISNUMBER(INDEX($D$99:$AD$99,BD$84)),IF(ROUND(INDEX($D$99:$AD$99,BD$84)/1000,1)&gt;0,"+"&amp;FIXED(ROUND(INDEX($D$99:$AD$99,BD$84)/1000,1),1),IF(ROUND(INDEX($D$99:$AD$99,BD$84)/1000,1)&lt;0,"−"&amp;FIXED(-ROUND(INDEX($D$99:$AD$99,BD$84)/1000,1),1),"±0")),""))</f>
        <v>0</v>
      </c>
      <c r="BE129" s="11">
        <f>IF(BE$84=0,"",IF(ISNUMBER(INDEX($D$99:$AD$99,BE$84)),IF(ROUND(INDEX($D$99:$AD$99,BE$84)/1000,1)&gt;0,"+"&amp;FIXED(ROUND(INDEX($D$99:$AD$99,BE$84)/1000,1),1),IF(ROUND(INDEX($D$99:$AD$99,BE$84)/1000,1)&lt;0,"−"&amp;FIXED(-ROUND(INDEX($D$99:$AD$99,BE$84)/1000,1),1),"±0")),""))</f>
        <v>0</v>
      </c>
      <c r="BF129" s="11">
        <f>IF(BF$84=0,"",IF(ISNUMBER(INDEX($D$99:$AD$99,BF$84)),IF(ROUND(INDEX($D$99:$AD$99,BF$84)/1000,1)&gt;0,"+"&amp;FIXED(ROUND(INDEX($D$99:$AD$99,BF$84)/1000,1),1),IF(ROUND(INDEX($D$99:$AD$99,BF$84)/1000,1)&lt;0,"−"&amp;FIXED(-ROUND(INDEX($D$99:$AD$99,BF$84)/1000,1),1),"±0")),""))</f>
        <v>0</v>
      </c>
      <c r="BG129" s="11">
        <f>IF(BG$84=0,"",IF(ISNUMBER(INDEX($D$99:$AD$99,BG$84)),IF(ROUND(INDEX($D$99:$AD$99,BG$84)/1000,1)&gt;0,"+"&amp;FIXED(ROUND(INDEX($D$99:$AD$99,BG$84)/1000,1),1),IF(ROUND(INDEX($D$99:$AD$99,BG$84)/1000,1)&lt;0,"−"&amp;FIXED(-ROUND(INDEX($D$99:$AD$99,BG$84)/1000,1),1),"±0")),""))</f>
        <v>0</v>
      </c>
      <c r="BH129" s="11">
        <f>IF(BH$84=0,"",IF(ISNUMBER(INDEX($D$99:$AD$99,BH$84)),IF(ROUND(INDEX($D$99:$AD$99,BH$84)/1000,1)&gt;0,"+"&amp;FIXED(ROUND(INDEX($D$99:$AD$99,BH$84)/1000,1),1),IF(ROUND(INDEX($D$99:$AD$99,BH$84)/1000,1)&lt;0,"−"&amp;FIXED(-ROUND(INDEX($D$99:$AD$99,BH$84)/1000,1),1),"±0")),""))</f>
        <v>0</v>
      </c>
      <c r="BI129" s="11">
        <f>IF(BI$84=0,"",IF(ISNUMBER(INDEX($D$99:$AD$99,BI$84)),IF(ROUND(INDEX($D$99:$AD$99,BI$84)/1000,1)&gt;0,"+"&amp;FIXED(ROUND(INDEX($D$99:$AD$99,BI$84)/1000,1),1),IF(ROUND(INDEX($D$99:$AD$99,BI$84)/1000,1)&lt;0,"−"&amp;FIXED(-ROUND(INDEX($D$99:$AD$99,BI$84)/1000,1),1),"±0")),""))</f>
        <v>0</v>
      </c>
      <c r="BJ129" s="11">
        <f>IF(BJ$84=0,"",IF(ISNUMBER(INDEX($D$99:$AD$99,BJ$84)),IF(ROUND(INDEX($D$99:$AD$99,BJ$84)/1000,1)&gt;0,"+"&amp;FIXED(ROUND(INDEX($D$99:$AD$99,BJ$84)/1000,1),1),IF(ROUND(INDEX($D$99:$AD$99,BJ$84)/1000,1)&lt;0,"−"&amp;FIXED(-ROUND(INDEX($D$99:$AD$99,BJ$84)/1000,1),1),"±0")),""))</f>
        <v>0</v>
      </c>
      <c r="BK129" s="11">
        <f>IF(BK$84=0,"",IF(ISNUMBER(INDEX($D$99:$AD$99,BK$84)),IF(ROUND(INDEX($D$99:$AD$99,BK$84)/1000,1)&gt;0,"+"&amp;FIXED(ROUND(INDEX($D$99:$AD$99,BK$84)/1000,1),1),IF(ROUND(INDEX($D$99:$AD$99,BK$84)/1000,1)&lt;0,"−"&amp;FIXED(-ROUND(INDEX($D$99:$AD$99,BK$84)/1000,1),1),"±0")),""))</f>
        <v>0</v>
      </c>
      <c r="BL129" s="11">
        <f>IF(BL$84=0,"",IF(ISNUMBER(INDEX($D$99:$AD$99,BL$84)),IF(ROUND(INDEX($D$99:$AD$99,BL$84)/1000,1)&gt;0,"+"&amp;FIXED(ROUND(INDEX($D$99:$AD$99,BL$84)/1000,1),1),IF(ROUND(INDEX($D$99:$AD$99,BL$84)/1000,1)&lt;0,"−"&amp;FIXED(-ROUND(INDEX($D$99:$AD$99,BL$84)/1000,1),1),"±0")),""))</f>
        <v>0</v>
      </c>
      <c r="BM129" s="11">
        <f>IF(BM$84=0,"",IF(ISNUMBER(INDEX($D$99:$AD$99,BM$84)),IF(ROUND(INDEX($D$99:$AD$99,BM$84)/1000,1)&gt;0,"+"&amp;FIXED(ROUND(INDEX($D$99:$AD$99,BM$84)/1000,1),1),IF(ROUND(INDEX($D$99:$AD$99,BM$84)/1000,1)&lt;0,"−"&amp;FIXED(-ROUND(INDEX($D$99:$AD$99,BM$84)/1000,1),1),"±0")),""))</f>
        <v>0</v>
      </c>
      <c r="BN129" s="11">
        <f>IF(BN$84=0,"",IF(ISNUMBER(INDEX($D$99:$AD$99,BN$84)),IF(ROUND(INDEX($D$99:$AD$99,BN$84)/1000,1)&gt;0,"+"&amp;FIXED(ROUND(INDEX($D$99:$AD$99,BN$84)/1000,1),1),IF(ROUND(INDEX($D$99:$AD$99,BN$84)/1000,1)&lt;0,"−"&amp;FIXED(-ROUND(INDEX($D$99:$AD$99,BN$84)/1000,1),1),"±0")),""))</f>
        <v>0</v>
      </c>
      <c r="BO129" s="11">
        <f>IF(BO$84=0,"",IF(ISNUMBER(INDEX($D$99:$AD$99,BO$84)),IF(ROUND(INDEX($D$99:$AD$99,BO$84)/1000,1)&gt;0,"+"&amp;FIXED(ROUND(INDEX($D$99:$AD$99,BO$84)/1000,1),1),IF(ROUND(INDEX($D$99:$AD$99,BO$84)/1000,1)&lt;0,"−"&amp;FIXED(-ROUND(INDEX($D$99:$AD$99,BO$84)/1000,1),1),"±0")),""))</f>
        <v>0</v>
      </c>
      <c r="BP129" s="11">
        <f>IF(BP$84=0,"",IF(ISNUMBER(INDEX($D$99:$AD$99,BP$84)),IF(ROUND(INDEX($D$99:$AD$99,BP$84)/1000,1)&gt;0,"+"&amp;FIXED(ROUND(INDEX($D$99:$AD$99,BP$84)/1000,1),1),IF(ROUND(INDEX($D$99:$AD$99,BP$84)/1000,1)&lt;0,"−"&amp;FIXED(-ROUND(INDEX($D$99:$AD$99,BP$84)/1000,1),1),"±0")),""))</f>
        <v>0</v>
      </c>
    </row>
    <row r="130" spans="1:68">
      <c r="A130" s="11" t="s">
        <v>787</v>
      </c>
      <c r="B130" s="11" t="s">
        <v>788</v>
      </c>
      <c r="C130" s="67" t="s">
        <v>601</v>
      </c>
      <c r="D130" s="69">
        <f>IFERROR(D98/D51,NA())</f>
        <v>0</v>
      </c>
      <c r="E130" s="69">
        <f>IFERROR(E98/E51,NA())</f>
        <v>0</v>
      </c>
      <c r="F130" s="69">
        <f>IFERROR(F98/F51,NA())</f>
        <v>0</v>
      </c>
      <c r="G130" s="69">
        <f>IFERROR(G98/G51,NA())</f>
        <v>0</v>
      </c>
      <c r="H130" s="69">
        <f>IFERROR(H98/H51,NA())</f>
        <v>0</v>
      </c>
      <c r="I130" s="69">
        <f>IFERROR(I98/I51,NA())</f>
        <v>0</v>
      </c>
      <c r="J130" s="69">
        <f>IFERROR(J98/J51,NA())</f>
        <v>0</v>
      </c>
      <c r="K130" s="69">
        <f>IFERROR(K98/K51,NA())</f>
        <v>0</v>
      </c>
      <c r="L130" s="69">
        <f>IFERROR(L98/L51,NA())</f>
        <v>0</v>
      </c>
      <c r="M130" s="69">
        <f>IFERROR(M98/M51,NA())</f>
        <v>0</v>
      </c>
      <c r="N130" s="69">
        <f>IFERROR(N98/N51,NA())</f>
        <v>0</v>
      </c>
      <c r="O130" s="69">
        <f>IFERROR(O98/O51,NA())</f>
        <v>0</v>
      </c>
      <c r="P130" s="69">
        <f>IFERROR(P98/P51,NA())</f>
        <v>0</v>
      </c>
      <c r="Q130" s="69">
        <f>IFERROR(Q98/Q51,NA())</f>
        <v>0</v>
      </c>
      <c r="R130" s="69">
        <f>IFERROR(R98/R51,NA())</f>
        <v>0</v>
      </c>
      <c r="S130" s="69">
        <f>IFERROR(S98/S51,NA())</f>
        <v>0</v>
      </c>
      <c r="T130" s="69">
        <f>IFERROR(T98/T51,NA())</f>
        <v>0</v>
      </c>
      <c r="U130" s="69">
        <f>IFERROR(U98/U51,NA())</f>
        <v>0</v>
      </c>
      <c r="V130" s="69">
        <f>IFERROR(V98/V51,NA())</f>
        <v>0</v>
      </c>
      <c r="W130" s="69">
        <f>IFERROR(W98/W51,NA())</f>
        <v>0</v>
      </c>
      <c r="X130" s="69">
        <f>IFERROR(X98/X51,NA())</f>
        <v>0</v>
      </c>
      <c r="Y130" s="69">
        <f>IFERROR(Y98/Y51,NA())</f>
        <v>0</v>
      </c>
      <c r="Z130" s="69">
        <f>IFERROR(Z98/Z51,NA())</f>
        <v>0</v>
      </c>
      <c r="AA130" s="69">
        <f>IFERROR(AA98/AA51,NA())</f>
        <v>0</v>
      </c>
      <c r="AB130" s="69">
        <f>IFERROR(AB98/AB51,NA())</f>
        <v>0</v>
      </c>
      <c r="AC130" s="69">
        <f>IFERROR(AC98/AC51,NA())</f>
        <v>0</v>
      </c>
      <c r="AD130" s="69">
        <f>IFERROR(AD98/AD51,NA())</f>
        <v>0</v>
      </c>
    </row>
    <row r="131" spans="1:68">
      <c r="A131" s="11" t="s">
        <v>789</v>
      </c>
      <c r="B131" s="11" t="s">
        <v>790</v>
      </c>
      <c r="C131" s="67" t="s">
        <v>601</v>
      </c>
      <c r="D131" s="69">
        <f>IF(ISNUMBER(D7),D7/1000,NA())</f>
        <v>0</v>
      </c>
      <c r="E131" s="69">
        <f>IF(ISNUMBER(E7),E7/1000,NA())</f>
        <v>0</v>
      </c>
      <c r="F131" s="69">
        <f>IF(ISNUMBER(F7),F7/1000,NA())</f>
        <v>0</v>
      </c>
      <c r="G131" s="69">
        <f>IF(ISNUMBER(G7),G7/1000,NA())</f>
        <v>0</v>
      </c>
      <c r="H131" s="69">
        <f>IF(ISNUMBER(H7),H7/1000,NA())</f>
        <v>0</v>
      </c>
      <c r="I131" s="69">
        <f>IF(ISNUMBER(I7),I7/1000,NA())</f>
        <v>0</v>
      </c>
      <c r="J131" s="69">
        <f>IF(ISNUMBER(J7),J7/1000,NA())</f>
        <v>0</v>
      </c>
      <c r="K131" s="69">
        <f>IF(ISNUMBER(K7),K7/1000,NA())</f>
        <v>0</v>
      </c>
      <c r="L131" s="69">
        <f>IF(ISNUMBER(L7),L7/1000,NA())</f>
        <v>0</v>
      </c>
      <c r="M131" s="69">
        <f>IF(ISNUMBER(M7),M7/1000,NA())</f>
        <v>0</v>
      </c>
      <c r="N131" s="69">
        <f>IF(ISNUMBER(N7),N7/1000,NA())</f>
        <v>0</v>
      </c>
      <c r="O131" s="69">
        <f>IF(ISNUMBER(O7),O7/1000,NA())</f>
        <v>0</v>
      </c>
      <c r="P131" s="69">
        <f>IF(ISNUMBER(P7),P7/1000,NA())</f>
        <v>0</v>
      </c>
      <c r="Q131" s="69">
        <f>IF(ISNUMBER(Q7),Q7/1000,NA())</f>
        <v>0</v>
      </c>
      <c r="R131" s="69">
        <f>IF(ISNUMBER(R7),R7/1000,NA())</f>
        <v>0</v>
      </c>
      <c r="S131" s="69">
        <f>IF(ISNUMBER(S7),S7/1000,NA())</f>
        <v>0</v>
      </c>
      <c r="T131" s="69">
        <f>IF(ISNUMBER(T7),T7/1000,NA())</f>
        <v>0</v>
      </c>
      <c r="U131" s="69">
        <f>IF(ISNUMBER(U7),U7/1000,NA())</f>
        <v>0</v>
      </c>
      <c r="V131" s="69">
        <f>IF(ISNUMBER(V7),V7/1000,NA())</f>
        <v>0</v>
      </c>
      <c r="W131" s="69">
        <f>IF(ISNUMBER(W7),W7/1000,NA())</f>
        <v>0</v>
      </c>
      <c r="X131" s="69">
        <f>IF(ISNUMBER(X7),X7/1000,NA())</f>
        <v>0</v>
      </c>
      <c r="Y131" s="69">
        <f>IF(ISNUMBER(Y7),Y7/1000,NA())</f>
        <v>0</v>
      </c>
      <c r="Z131" s="69">
        <f>IF(ISNUMBER(Z7),Z7/1000,NA())</f>
        <v>0</v>
      </c>
      <c r="AA131" s="69">
        <f>IF(ISNUMBER(AA7),AA7/1000,NA())</f>
        <v>0</v>
      </c>
      <c r="AB131" s="69">
        <f>IF(ISNUMBER(AB7),AB7/1000,NA())</f>
        <v>0</v>
      </c>
      <c r="AC131" s="69">
        <f>IF(ISNUMBER(AC7),AC7/1000,NA())</f>
        <v>0</v>
      </c>
      <c r="AD131" s="69">
        <f>IF(ISNUMBER(AD7),AD7/1000,NA())</f>
        <v>0</v>
      </c>
    </row>
    <row r="132" spans="1:68">
      <c r="A132" s="11" t="s">
        <v>791</v>
      </c>
      <c r="B132" s="11" t="s">
        <v>792</v>
      </c>
      <c r="C132" s="67" t="s">
        <v>601</v>
      </c>
      <c r="D132" s="69">
        <f>IF(ISNUMBER(D16),D16/1000,NA())</f>
        <v>0</v>
      </c>
      <c r="E132" s="69">
        <f>IF(ISNUMBER(E16),E16/1000,NA())</f>
        <v>0</v>
      </c>
      <c r="F132" s="69">
        <f>IF(ISNUMBER(F16),F16/1000,NA())</f>
        <v>0</v>
      </c>
      <c r="G132" s="69">
        <f>IF(ISNUMBER(G16),G16/1000,NA())</f>
        <v>0</v>
      </c>
      <c r="H132" s="69">
        <f>IF(ISNUMBER(H16),H16/1000,NA())</f>
        <v>0</v>
      </c>
      <c r="I132" s="69">
        <f>IF(ISNUMBER(I16),I16/1000,NA())</f>
        <v>0</v>
      </c>
      <c r="J132" s="69">
        <f>IF(ISNUMBER(J16),J16/1000,NA())</f>
        <v>0</v>
      </c>
      <c r="K132" s="69">
        <f>IF(ISNUMBER(K16),K16/1000,NA())</f>
        <v>0</v>
      </c>
      <c r="L132" s="69">
        <f>IF(ISNUMBER(L16),L16/1000,NA())</f>
        <v>0</v>
      </c>
      <c r="M132" s="69">
        <f>IF(ISNUMBER(M16),M16/1000,NA())</f>
        <v>0</v>
      </c>
      <c r="N132" s="69">
        <f>IF(ISNUMBER(N16),N16/1000,NA())</f>
        <v>0</v>
      </c>
      <c r="O132" s="69">
        <f>IF(ISNUMBER(O16),O16/1000,NA())</f>
        <v>0</v>
      </c>
      <c r="P132" s="69">
        <f>IF(ISNUMBER(P16),P16/1000,NA())</f>
        <v>0</v>
      </c>
      <c r="Q132" s="69">
        <f>IF(ISNUMBER(Q16),Q16/1000,NA())</f>
        <v>0</v>
      </c>
      <c r="R132" s="69">
        <f>IF(ISNUMBER(R16),R16/1000,NA())</f>
        <v>0</v>
      </c>
      <c r="S132" s="69">
        <f>IF(ISNUMBER(S16),S16/1000,NA())</f>
        <v>0</v>
      </c>
      <c r="T132" s="69">
        <f>IF(ISNUMBER(T16),T16/1000,NA())</f>
        <v>0</v>
      </c>
      <c r="U132" s="69">
        <f>IF(ISNUMBER(U16),U16/1000,NA())</f>
        <v>0</v>
      </c>
      <c r="V132" s="69">
        <f>IF(ISNUMBER(V16),V16/1000,NA())</f>
        <v>0</v>
      </c>
      <c r="W132" s="69">
        <f>IF(ISNUMBER(W16),W16/1000,NA())</f>
        <v>0</v>
      </c>
      <c r="X132" s="69">
        <f>IF(ISNUMBER(X16),X16/1000,NA())</f>
        <v>0</v>
      </c>
      <c r="Y132" s="69">
        <f>IF(ISNUMBER(Y16),Y16/1000,NA())</f>
        <v>0</v>
      </c>
      <c r="Z132" s="69">
        <f>IF(ISNUMBER(Z16),Z16/1000,NA())</f>
        <v>0</v>
      </c>
      <c r="AA132" s="69">
        <f>IF(ISNUMBER(AA16),AA16/1000,NA())</f>
        <v>0</v>
      </c>
      <c r="AB132" s="69">
        <f>IF(ISNUMBER(AB16),AB16/1000,NA())</f>
        <v>0</v>
      </c>
      <c r="AC132" s="69">
        <f>IF(ISNUMBER(AC16),AC16/1000,NA())</f>
        <v>0</v>
      </c>
      <c r="AD132" s="69">
        <f>IF(ISNUMBER(AD16),AD16/1000,NA())</f>
        <v>0</v>
      </c>
    </row>
    <row r="133" spans="1:68">
      <c r="A133" s="11" t="s">
        <v>793</v>
      </c>
      <c r="B133" s="11" t="s">
        <v>794</v>
      </c>
      <c r="C133" s="67" t="s">
        <v>601</v>
      </c>
      <c r="D133" s="68">
        <f>IF(ISNUMBER(D17),1,NA())</f>
        <v>0</v>
      </c>
      <c r="E133" s="68">
        <f>IF(ISNUMBER(E17),1,NA())</f>
        <v>0</v>
      </c>
      <c r="F133" s="68">
        <f>IF(ISNUMBER(F17),1,NA())</f>
        <v>0</v>
      </c>
      <c r="G133" s="68">
        <f>IF(ISNUMBER(G17),1,NA())</f>
        <v>0</v>
      </c>
      <c r="H133" s="68">
        <f>IF(ISNUMBER(H17),1,NA())</f>
        <v>0</v>
      </c>
      <c r="I133" s="68">
        <f>IF(ISNUMBER(I17),1,NA())</f>
        <v>0</v>
      </c>
      <c r="J133" s="68">
        <f>IF(ISNUMBER(J17),1,NA())</f>
        <v>0</v>
      </c>
      <c r="K133" s="68">
        <f>IF(ISNUMBER(K17),1,NA())</f>
        <v>0</v>
      </c>
      <c r="L133" s="68">
        <f>IF(ISNUMBER(L17),1,NA())</f>
        <v>0</v>
      </c>
      <c r="M133" s="68">
        <f>IF(ISNUMBER(M17),1,NA())</f>
        <v>0</v>
      </c>
      <c r="N133" s="68">
        <f>IF(ISNUMBER(N17),1,NA())</f>
        <v>0</v>
      </c>
      <c r="O133" s="68">
        <f>IF(ISNUMBER(O17),1,NA())</f>
        <v>0</v>
      </c>
      <c r="P133" s="68">
        <f>IF(ISNUMBER(P17),1,NA())</f>
        <v>0</v>
      </c>
      <c r="Q133" s="68">
        <f>IF(ISNUMBER(Q17),1,NA())</f>
        <v>0</v>
      </c>
      <c r="R133" s="68">
        <f>IF(ISNUMBER(R17),1,NA())</f>
        <v>0</v>
      </c>
      <c r="S133" s="68">
        <f>IF(ISNUMBER(S17),1,NA())</f>
        <v>0</v>
      </c>
      <c r="T133" s="68">
        <f>IF(ISNUMBER(T17),1,NA())</f>
        <v>0</v>
      </c>
      <c r="U133" s="68">
        <f>IF(ISNUMBER(U17),1,NA())</f>
        <v>0</v>
      </c>
      <c r="V133" s="68">
        <f>IF(ISNUMBER(V17),1,NA())</f>
        <v>0</v>
      </c>
      <c r="W133" s="68">
        <f>IF(ISNUMBER(W17),1,NA())</f>
        <v>0</v>
      </c>
      <c r="X133" s="68">
        <f>IF(ISNUMBER(X17),1,NA())</f>
        <v>0</v>
      </c>
      <c r="Y133" s="68">
        <f>IF(ISNUMBER(Y17),1,NA())</f>
        <v>0</v>
      </c>
      <c r="Z133" s="68">
        <f>IF(ISNUMBER(Z17),1,NA())</f>
        <v>0</v>
      </c>
      <c r="AA133" s="68">
        <f>IF(ISNUMBER(AA17),1,NA())</f>
        <v>0</v>
      </c>
      <c r="AB133" s="68">
        <f>IF(ISNUMBER(AB17),1,NA())</f>
        <v>0</v>
      </c>
      <c r="AC133" s="68">
        <f>IF(ISNUMBER(AC17),1,NA())</f>
        <v>0</v>
      </c>
      <c r="AD133" s="68">
        <f>IF(ISNUMBER(AD17),1,NA())</f>
        <v>0</v>
      </c>
    </row>
    <row r="134" spans="1:68">
      <c r="A134" s="11" t="s">
        <v>795</v>
      </c>
      <c r="B134" s="11" t="s">
        <v>796</v>
      </c>
      <c r="C134" s="67" t="s">
        <v>601</v>
      </c>
      <c r="D134" s="11">
        <f>IF(ISNUMBER(D17),FIXED(D17,0),"")</f>
        <v>0</v>
      </c>
      <c r="E134" s="11">
        <f>IF(ISNUMBER(E17),FIXED(E17,0),"")</f>
        <v>0</v>
      </c>
      <c r="F134" s="11">
        <f>IF(ISNUMBER(F17),FIXED(F17,0),"")</f>
        <v>0</v>
      </c>
      <c r="G134" s="11">
        <f>IF(ISNUMBER(G17),FIXED(G17,0),"")</f>
        <v>0</v>
      </c>
      <c r="H134" s="11">
        <f>IF(ISNUMBER(H17),FIXED(H17,0),"")</f>
        <v>0</v>
      </c>
      <c r="I134" s="11">
        <f>IF(ISNUMBER(I17),FIXED(I17,0),"")</f>
        <v>0</v>
      </c>
      <c r="J134" s="11">
        <f>IF(ISNUMBER(J17),FIXED(J17,0),"")</f>
        <v>0</v>
      </c>
      <c r="K134" s="11">
        <f>IF(ISNUMBER(K17),FIXED(K17,0),"")</f>
        <v>0</v>
      </c>
      <c r="L134" s="11">
        <f>IF(ISNUMBER(L17),FIXED(L17,0),"")</f>
        <v>0</v>
      </c>
      <c r="M134" s="11">
        <f>IF(ISNUMBER(M17),FIXED(M17,0),"")</f>
        <v>0</v>
      </c>
      <c r="N134" s="11">
        <f>IF(ISNUMBER(N17),FIXED(N17,0),"")</f>
        <v>0</v>
      </c>
      <c r="O134" s="11">
        <f>IF(ISNUMBER(O17),FIXED(O17,0),"")</f>
        <v>0</v>
      </c>
      <c r="P134" s="11">
        <f>IF(ISNUMBER(P17),FIXED(P17,0),"")</f>
        <v>0</v>
      </c>
      <c r="Q134" s="11">
        <f>IF(ISNUMBER(Q17),FIXED(Q17,0),"")</f>
        <v>0</v>
      </c>
      <c r="R134" s="11">
        <f>IF(ISNUMBER(R17),FIXED(R17,0),"")</f>
        <v>0</v>
      </c>
      <c r="S134" s="11">
        <f>IF(ISNUMBER(S17),FIXED(S17,0),"")</f>
        <v>0</v>
      </c>
      <c r="T134" s="11">
        <f>IF(ISNUMBER(T17),FIXED(T17,0),"")</f>
        <v>0</v>
      </c>
      <c r="U134" s="11">
        <f>IF(ISNUMBER(U17),FIXED(U17,0),"")</f>
        <v>0</v>
      </c>
      <c r="V134" s="11">
        <f>IF(ISNUMBER(V17),FIXED(V17,0),"")</f>
        <v>0</v>
      </c>
      <c r="W134" s="11">
        <f>IF(ISNUMBER(W17),FIXED(W17,0),"")</f>
        <v>0</v>
      </c>
      <c r="X134" s="11">
        <f>IF(ISNUMBER(X17),FIXED(X17,0),"")</f>
        <v>0</v>
      </c>
      <c r="Y134" s="11">
        <f>IF(ISNUMBER(Y17),FIXED(Y17,0),"")</f>
        <v>0</v>
      </c>
      <c r="Z134" s="11">
        <f>IF(ISNUMBER(Z17),FIXED(Z17,0),"")</f>
        <v>0</v>
      </c>
      <c r="AA134" s="11">
        <f>IF(ISNUMBER(AA17),FIXED(AA17,0),"")</f>
        <v>0</v>
      </c>
      <c r="AB134" s="11">
        <f>IF(ISNUMBER(AB17),FIXED(AB17,0),"")</f>
        <v>0</v>
      </c>
      <c r="AC134" s="11">
        <f>IF(ISNUMBER(AC17),FIXED(AC17,0),"")</f>
        <v>0</v>
      </c>
      <c r="AD134" s="11">
        <f>IF(ISNUMBER(AD17),FIXED(AD17,0),"")</f>
        <v>0</v>
      </c>
    </row>
    <row r="135" spans="1:68">
      <c r="A135" s="11" t="s">
        <v>797</v>
      </c>
      <c r="B135" s="11" t="s">
        <v>798</v>
      </c>
      <c r="C135" s="67" t="s">
        <v>601</v>
      </c>
      <c r="D135" s="68">
        <f>IF(ISNUMBER(D18),1,NA())</f>
        <v>0</v>
      </c>
      <c r="E135" s="68">
        <f>IF(ISNUMBER(E18),1,NA())</f>
        <v>0</v>
      </c>
      <c r="F135" s="68">
        <f>IF(ISNUMBER(F18),1,NA())</f>
        <v>0</v>
      </c>
      <c r="G135" s="68">
        <f>IF(ISNUMBER(G18),1,NA())</f>
        <v>0</v>
      </c>
      <c r="H135" s="68">
        <f>IF(ISNUMBER(H18),1,NA())</f>
        <v>0</v>
      </c>
      <c r="I135" s="68">
        <f>IF(ISNUMBER(I18),1,NA())</f>
        <v>0</v>
      </c>
      <c r="J135" s="68">
        <f>IF(ISNUMBER(J18),1,NA())</f>
        <v>0</v>
      </c>
      <c r="K135" s="68">
        <f>IF(ISNUMBER(K18),1,NA())</f>
        <v>0</v>
      </c>
      <c r="L135" s="68">
        <f>IF(ISNUMBER(L18),1,NA())</f>
        <v>0</v>
      </c>
      <c r="M135" s="68">
        <f>IF(ISNUMBER(M18),1,NA())</f>
        <v>0</v>
      </c>
      <c r="N135" s="68">
        <f>IF(ISNUMBER(N18),1,NA())</f>
        <v>0</v>
      </c>
      <c r="O135" s="68">
        <f>IF(ISNUMBER(O18),1,NA())</f>
        <v>0</v>
      </c>
      <c r="P135" s="68">
        <f>IF(ISNUMBER(P18),1,NA())</f>
        <v>0</v>
      </c>
      <c r="Q135" s="68">
        <f>IF(ISNUMBER(Q18),1,NA())</f>
        <v>0</v>
      </c>
      <c r="R135" s="68">
        <f>IF(ISNUMBER(R18),1,NA())</f>
        <v>0</v>
      </c>
      <c r="S135" s="68">
        <f>IF(ISNUMBER(S18),1,NA())</f>
        <v>0</v>
      </c>
      <c r="T135" s="68">
        <f>IF(ISNUMBER(T18),1,NA())</f>
        <v>0</v>
      </c>
      <c r="U135" s="68">
        <f>IF(ISNUMBER(U18),1,NA())</f>
        <v>0</v>
      </c>
      <c r="V135" s="68">
        <f>IF(ISNUMBER(V18),1,NA())</f>
        <v>0</v>
      </c>
      <c r="W135" s="68">
        <f>IF(ISNUMBER(W18),1,NA())</f>
        <v>0</v>
      </c>
      <c r="X135" s="68">
        <f>IF(ISNUMBER(X18),1,NA())</f>
        <v>0</v>
      </c>
      <c r="Y135" s="68">
        <f>IF(ISNUMBER(Y18),1,NA())</f>
        <v>0</v>
      </c>
      <c r="Z135" s="68">
        <f>IF(ISNUMBER(Z18),1,NA())</f>
        <v>0</v>
      </c>
      <c r="AA135" s="68">
        <f>IF(ISNUMBER(AA18),1,NA())</f>
        <v>0</v>
      </c>
      <c r="AB135" s="68">
        <f>IF(ISNUMBER(AB18),1,NA())</f>
        <v>0</v>
      </c>
      <c r="AC135" s="68">
        <f>IF(ISNUMBER(AC18),1,NA())</f>
        <v>0</v>
      </c>
      <c r="AD135" s="68">
        <f>IF(ISNUMBER(AD18),1,NA())</f>
        <v>0</v>
      </c>
    </row>
    <row r="136" spans="1:68">
      <c r="A136" s="11" t="s">
        <v>799</v>
      </c>
      <c r="B136" s="11" t="s">
        <v>800</v>
      </c>
      <c r="C136" s="67" t="s">
        <v>601</v>
      </c>
      <c r="D136" s="11">
        <f>IF(ISNUMBER(D18),FIXED(D18,0),"")</f>
        <v>0</v>
      </c>
      <c r="E136" s="11">
        <f>IF(ISNUMBER(E18),FIXED(E18,0),"")</f>
        <v>0</v>
      </c>
      <c r="F136" s="11">
        <f>IF(ISNUMBER(F18),FIXED(F18,0),"")</f>
        <v>0</v>
      </c>
      <c r="G136" s="11">
        <f>IF(ISNUMBER(G18),FIXED(G18,0),"")</f>
        <v>0</v>
      </c>
      <c r="H136" s="11">
        <f>IF(ISNUMBER(H18),FIXED(H18,0),"")</f>
        <v>0</v>
      </c>
      <c r="I136" s="11">
        <f>IF(ISNUMBER(I18),FIXED(I18,0),"")</f>
        <v>0</v>
      </c>
      <c r="J136" s="11">
        <f>IF(ISNUMBER(J18),FIXED(J18,0),"")</f>
        <v>0</v>
      </c>
      <c r="K136" s="11">
        <f>IF(ISNUMBER(K18),FIXED(K18,0),"")</f>
        <v>0</v>
      </c>
      <c r="L136" s="11">
        <f>IF(ISNUMBER(L18),FIXED(L18,0),"")</f>
        <v>0</v>
      </c>
      <c r="M136" s="11">
        <f>IF(ISNUMBER(M18),FIXED(M18,0),"")</f>
        <v>0</v>
      </c>
      <c r="N136" s="11">
        <f>IF(ISNUMBER(N18),FIXED(N18,0),"")</f>
        <v>0</v>
      </c>
      <c r="O136" s="11">
        <f>IF(ISNUMBER(O18),FIXED(O18,0),"")</f>
        <v>0</v>
      </c>
      <c r="P136" s="11">
        <f>IF(ISNUMBER(P18),FIXED(P18,0),"")</f>
        <v>0</v>
      </c>
      <c r="Q136" s="11">
        <f>IF(ISNUMBER(Q18),FIXED(Q18,0),"")</f>
        <v>0</v>
      </c>
      <c r="R136" s="11">
        <f>IF(ISNUMBER(R18),FIXED(R18,0),"")</f>
        <v>0</v>
      </c>
      <c r="S136" s="11">
        <f>IF(ISNUMBER(S18),FIXED(S18,0),"")</f>
        <v>0</v>
      </c>
      <c r="T136" s="11">
        <f>IF(ISNUMBER(T18),FIXED(T18,0),"")</f>
        <v>0</v>
      </c>
      <c r="U136" s="11">
        <f>IF(ISNUMBER(U18),FIXED(U18,0),"")</f>
        <v>0</v>
      </c>
      <c r="V136" s="11">
        <f>IF(ISNUMBER(V18),FIXED(V18,0),"")</f>
        <v>0</v>
      </c>
      <c r="W136" s="11">
        <f>IF(ISNUMBER(W18),FIXED(W18,0),"")</f>
        <v>0</v>
      </c>
      <c r="X136" s="11">
        <f>IF(ISNUMBER(X18),FIXED(X18,0),"")</f>
        <v>0</v>
      </c>
      <c r="Y136" s="11">
        <f>IF(ISNUMBER(Y18),FIXED(Y18,0),"")</f>
        <v>0</v>
      </c>
      <c r="Z136" s="11">
        <f>IF(ISNUMBER(Z18),FIXED(Z18,0),"")</f>
        <v>0</v>
      </c>
      <c r="AA136" s="11">
        <f>IF(ISNUMBER(AA18),FIXED(AA18,0),"")</f>
        <v>0</v>
      </c>
      <c r="AB136" s="11">
        <f>IF(ISNUMBER(AB18),FIXED(AB18,0),"")</f>
        <v>0</v>
      </c>
      <c r="AC136" s="11">
        <f>IF(ISNUMBER(AC18),FIXED(AC18,0),"")</f>
        <v>0</v>
      </c>
      <c r="AD136" s="11">
        <f>IF(ISNUMBER(AD18),FIXED(AD18,0),"")</f>
        <v>0</v>
      </c>
    </row>
    <row r="137" spans="1:68">
      <c r="A137" s="11" t="s">
        <v>801</v>
      </c>
      <c r="B137" s="11" t="s">
        <v>802</v>
      </c>
      <c r="C137" s="67" t="s">
        <v>601</v>
      </c>
      <c r="D137" s="68">
        <f>IF(ISNUMBER(D19),1,NA())</f>
        <v>0</v>
      </c>
      <c r="E137" s="68">
        <f>IF(ISNUMBER(E19),1,NA())</f>
        <v>0</v>
      </c>
      <c r="F137" s="68">
        <f>IF(ISNUMBER(F19),1,NA())</f>
        <v>0</v>
      </c>
      <c r="G137" s="68">
        <f>IF(ISNUMBER(G19),1,NA())</f>
        <v>0</v>
      </c>
      <c r="H137" s="68">
        <f>IF(ISNUMBER(H19),1,NA())</f>
        <v>0</v>
      </c>
      <c r="I137" s="68">
        <f>IF(ISNUMBER(I19),1,NA())</f>
        <v>0</v>
      </c>
      <c r="J137" s="68">
        <f>IF(ISNUMBER(J19),1,NA())</f>
        <v>0</v>
      </c>
      <c r="K137" s="68">
        <f>IF(ISNUMBER(K19),1,NA())</f>
        <v>0</v>
      </c>
      <c r="L137" s="68">
        <f>IF(ISNUMBER(L19),1,NA())</f>
        <v>0</v>
      </c>
      <c r="M137" s="68">
        <f>IF(ISNUMBER(M19),1,NA())</f>
        <v>0</v>
      </c>
      <c r="N137" s="68">
        <f>IF(ISNUMBER(N19),1,NA())</f>
        <v>0</v>
      </c>
      <c r="O137" s="68">
        <f>IF(ISNUMBER(O19),1,NA())</f>
        <v>0</v>
      </c>
      <c r="P137" s="68">
        <f>IF(ISNUMBER(P19),1,NA())</f>
        <v>0</v>
      </c>
      <c r="Q137" s="68">
        <f>IF(ISNUMBER(Q19),1,NA())</f>
        <v>0</v>
      </c>
      <c r="R137" s="68">
        <f>IF(ISNUMBER(R19),1,NA())</f>
        <v>0</v>
      </c>
      <c r="S137" s="68">
        <f>IF(ISNUMBER(S19),1,NA())</f>
        <v>0</v>
      </c>
      <c r="T137" s="68">
        <f>IF(ISNUMBER(T19),1,NA())</f>
        <v>0</v>
      </c>
      <c r="U137" s="68">
        <f>IF(ISNUMBER(U19),1,NA())</f>
        <v>0</v>
      </c>
      <c r="V137" s="68">
        <f>IF(ISNUMBER(V19),1,NA())</f>
        <v>0</v>
      </c>
      <c r="W137" s="68">
        <f>IF(ISNUMBER(W19),1,NA())</f>
        <v>0</v>
      </c>
      <c r="X137" s="68">
        <f>IF(ISNUMBER(X19),1,NA())</f>
        <v>0</v>
      </c>
      <c r="Y137" s="68">
        <f>IF(ISNUMBER(Y19),1,NA())</f>
        <v>0</v>
      </c>
      <c r="Z137" s="68">
        <f>IF(ISNUMBER(Z19),1,NA())</f>
        <v>0</v>
      </c>
      <c r="AA137" s="68">
        <f>IF(ISNUMBER(AA19),1,NA())</f>
        <v>0</v>
      </c>
      <c r="AB137" s="68">
        <f>IF(ISNUMBER(AB19),1,NA())</f>
        <v>0</v>
      </c>
      <c r="AC137" s="68">
        <f>IF(ISNUMBER(AC19),1,NA())</f>
        <v>0</v>
      </c>
      <c r="AD137" s="68">
        <f>IF(ISNUMBER(AD19),1,NA())</f>
        <v>0</v>
      </c>
    </row>
    <row r="138" spans="1:68">
      <c r="A138" s="11" t="s">
        <v>803</v>
      </c>
      <c r="B138" s="11" t="s">
        <v>804</v>
      </c>
      <c r="C138" s="67" t="s">
        <v>601</v>
      </c>
      <c r="D138" s="11">
        <f>IF(ISNUMBER(D19),FIXED(D19,0),"")</f>
        <v>0</v>
      </c>
      <c r="E138" s="11">
        <f>IF(ISNUMBER(E19),FIXED(E19,0),"")</f>
        <v>0</v>
      </c>
      <c r="F138" s="11">
        <f>IF(ISNUMBER(F19),FIXED(F19,0),"")</f>
        <v>0</v>
      </c>
      <c r="G138" s="11">
        <f>IF(ISNUMBER(G19),FIXED(G19,0),"")</f>
        <v>0</v>
      </c>
      <c r="H138" s="11">
        <f>IF(ISNUMBER(H19),FIXED(H19,0),"")</f>
        <v>0</v>
      </c>
      <c r="I138" s="11">
        <f>IF(ISNUMBER(I19),FIXED(I19,0),"")</f>
        <v>0</v>
      </c>
      <c r="J138" s="11">
        <f>IF(ISNUMBER(J19),FIXED(J19,0),"")</f>
        <v>0</v>
      </c>
      <c r="K138" s="11">
        <f>IF(ISNUMBER(K19),FIXED(K19,0),"")</f>
        <v>0</v>
      </c>
      <c r="L138" s="11">
        <f>IF(ISNUMBER(L19),FIXED(L19,0),"")</f>
        <v>0</v>
      </c>
      <c r="M138" s="11">
        <f>IF(ISNUMBER(M19),FIXED(M19,0),"")</f>
        <v>0</v>
      </c>
      <c r="N138" s="11">
        <f>IF(ISNUMBER(N19),FIXED(N19,0),"")</f>
        <v>0</v>
      </c>
      <c r="O138" s="11">
        <f>IF(ISNUMBER(O19),FIXED(O19,0),"")</f>
        <v>0</v>
      </c>
      <c r="P138" s="11">
        <f>IF(ISNUMBER(P19),FIXED(P19,0),"")</f>
        <v>0</v>
      </c>
      <c r="Q138" s="11">
        <f>IF(ISNUMBER(Q19),FIXED(Q19,0),"")</f>
        <v>0</v>
      </c>
      <c r="R138" s="11">
        <f>IF(ISNUMBER(R19),FIXED(R19,0),"")</f>
        <v>0</v>
      </c>
      <c r="S138" s="11">
        <f>IF(ISNUMBER(S19),FIXED(S19,0),"")</f>
        <v>0</v>
      </c>
      <c r="T138" s="11">
        <f>IF(ISNUMBER(T19),FIXED(T19,0),"")</f>
        <v>0</v>
      </c>
      <c r="U138" s="11">
        <f>IF(ISNUMBER(U19),FIXED(U19,0),"")</f>
        <v>0</v>
      </c>
      <c r="V138" s="11">
        <f>IF(ISNUMBER(V19),FIXED(V19,0),"")</f>
        <v>0</v>
      </c>
      <c r="W138" s="11">
        <f>IF(ISNUMBER(W19),FIXED(W19,0),"")</f>
        <v>0</v>
      </c>
      <c r="X138" s="11">
        <f>IF(ISNUMBER(X19),FIXED(X19,0),"")</f>
        <v>0</v>
      </c>
      <c r="Y138" s="11">
        <f>IF(ISNUMBER(Y19),FIXED(Y19,0),"")</f>
        <v>0</v>
      </c>
      <c r="Z138" s="11">
        <f>IF(ISNUMBER(Z19),FIXED(Z19,0),"")</f>
        <v>0</v>
      </c>
      <c r="AA138" s="11">
        <f>IF(ISNUMBER(AA19),FIXED(AA19,0),"")</f>
        <v>0</v>
      </c>
      <c r="AB138" s="11">
        <f>IF(ISNUMBER(AB19),FIXED(AB19,0),"")</f>
        <v>0</v>
      </c>
      <c r="AC138" s="11">
        <f>IF(ISNUMBER(AC19),FIXED(AC19,0),"")</f>
        <v>0</v>
      </c>
      <c r="AD138" s="11">
        <f>IF(ISNUMBER(AD19),FIXED(AD19,0),"")</f>
        <v>0</v>
      </c>
    </row>
    <row r="139" spans="1:68">
      <c r="A139" s="11" t="s">
        <v>805</v>
      </c>
      <c r="B139" s="11" t="s">
        <v>806</v>
      </c>
      <c r="C139" s="67" t="s">
        <v>601</v>
      </c>
      <c r="D139" s="68">
        <f>IF(COUNT(D21,D22,D23)=0,NA(),SUM(D21,D22,D23))</f>
        <v>0</v>
      </c>
      <c r="E139" s="68">
        <f>IF(COUNT(E21,E22,E23)=0,NA(),SUM(E21,E22,E23))</f>
        <v>0</v>
      </c>
      <c r="F139" s="68">
        <f>IF(COUNT(F21,F22,F23)=0,NA(),SUM(F21,F22,F23))</f>
        <v>0</v>
      </c>
      <c r="G139" s="68">
        <f>IF(COUNT(G21,G22,G23)=0,NA(),SUM(G21,G22,G23))</f>
        <v>0</v>
      </c>
      <c r="H139" s="68">
        <f>IF(COUNT(H21,H22,H23)=0,NA(),SUM(H21,H22,H23))</f>
        <v>0</v>
      </c>
      <c r="I139" s="68">
        <f>IF(COUNT(I21,I22,I23)=0,NA(),SUM(I21,I22,I23))</f>
        <v>0</v>
      </c>
      <c r="J139" s="68">
        <f>IF(COUNT(J21,J22,J23)=0,NA(),SUM(J21,J22,J23))</f>
        <v>0</v>
      </c>
      <c r="K139" s="68">
        <f>IF(COUNT(K21,K22,K23)=0,NA(),SUM(K21,K22,K23))</f>
        <v>0</v>
      </c>
      <c r="L139" s="68">
        <f>IF(COUNT(L21,L22,L23)=0,NA(),SUM(L21,L22,L23))</f>
        <v>0</v>
      </c>
      <c r="M139" s="68">
        <f>IF(COUNT(M21,M22,M23)=0,NA(),SUM(M21,M22,M23))</f>
        <v>0</v>
      </c>
      <c r="N139" s="68">
        <f>IF(COUNT(N21,N22,N23)=0,NA(),SUM(N21,N22,N23))</f>
        <v>0</v>
      </c>
      <c r="O139" s="68">
        <f>IF(COUNT(O21,O22,O23)=0,NA(),SUM(O21,O22,O23))</f>
        <v>0</v>
      </c>
      <c r="P139" s="68">
        <f>IF(COUNT(P21,P22,P23)=0,NA(),SUM(P21,P22,P23))</f>
        <v>0</v>
      </c>
      <c r="Q139" s="68">
        <f>IF(COUNT(Q21,Q22,Q23)=0,NA(),SUM(Q21,Q22,Q23))</f>
        <v>0</v>
      </c>
      <c r="R139" s="68">
        <f>IF(COUNT(R21,R22,R23)=0,NA(),SUM(R21,R22,R23))</f>
        <v>0</v>
      </c>
      <c r="S139" s="68">
        <f>IF(COUNT(S21,S22,S23)=0,NA(),SUM(S21,S22,S23))</f>
        <v>0</v>
      </c>
      <c r="T139" s="68">
        <f>IF(COUNT(T21,T22,T23)=0,NA(),SUM(T21,T22,T23))</f>
        <v>0</v>
      </c>
      <c r="U139" s="68">
        <f>IF(COUNT(U21,U22,U23)=0,NA(),SUM(U21,U22,U23))</f>
        <v>0</v>
      </c>
      <c r="V139" s="68">
        <f>IF(COUNT(V21,V22,V23)=0,NA(),SUM(V21,V22,V23))</f>
        <v>0</v>
      </c>
      <c r="W139" s="68">
        <f>IF(COUNT(W21,W22,W23)=0,NA(),SUM(W21,W22,W23))</f>
        <v>0</v>
      </c>
      <c r="X139" s="68">
        <f>IF(COUNT(X21,X22,X23)=0,NA(),SUM(X21,X22,X23))</f>
        <v>0</v>
      </c>
      <c r="Y139" s="68">
        <f>IF(COUNT(Y21,Y22,Y23)=0,NA(),SUM(Y21,Y22,Y23))</f>
        <v>0</v>
      </c>
      <c r="Z139" s="68">
        <f>IF(COUNT(Z21,Z22,Z23)=0,NA(),SUM(Z21,Z22,Z23))</f>
        <v>0</v>
      </c>
      <c r="AA139" s="68">
        <f>IF(COUNT(AA21,AA22,AA23)=0,NA(),SUM(AA21,AA22,AA23))</f>
        <v>0</v>
      </c>
      <c r="AB139" s="68">
        <f>IF(COUNT(AB21,AB22,AB23)=0,NA(),SUM(AB21,AB22,AB23))</f>
        <v>0</v>
      </c>
      <c r="AC139" s="68">
        <f>IF(COUNT(AC21,AC22,AC23)=0,NA(),SUM(AC21,AC22,AC23))</f>
        <v>0</v>
      </c>
      <c r="AD139" s="68">
        <f>IF(COUNT(AD21,AD22,AD23)=0,NA(),SUM(AD21,AD22,AD23))</f>
        <v>0</v>
      </c>
    </row>
    <row r="140" spans="1:68">
      <c r="A140" s="11" t="s">
        <v>807</v>
      </c>
      <c r="B140" s="11" t="s">
        <v>808</v>
      </c>
      <c r="C140" s="67" t="s">
        <v>601</v>
      </c>
      <c r="D140" s="11">
        <f>IF(ISNUMBER(D139),FIXED(D139,0),"")</f>
        <v>0</v>
      </c>
      <c r="E140" s="11">
        <f>IF(ISNUMBER(E139),FIXED(E139,0),"")</f>
        <v>0</v>
      </c>
      <c r="F140" s="11">
        <f>IF(ISNUMBER(F139),FIXED(F139,0),"")</f>
        <v>0</v>
      </c>
      <c r="G140" s="11">
        <f>IF(ISNUMBER(G139),FIXED(G139,0),"")</f>
        <v>0</v>
      </c>
      <c r="H140" s="11">
        <f>IF(ISNUMBER(H139),FIXED(H139,0),"")</f>
        <v>0</v>
      </c>
      <c r="I140" s="11">
        <f>IF(ISNUMBER(I139),FIXED(I139,0),"")</f>
        <v>0</v>
      </c>
      <c r="J140" s="11">
        <f>IF(ISNUMBER(J139),FIXED(J139,0),"")</f>
        <v>0</v>
      </c>
      <c r="K140" s="11">
        <f>IF(ISNUMBER(K139),FIXED(K139,0),"")</f>
        <v>0</v>
      </c>
      <c r="L140" s="11">
        <f>IF(ISNUMBER(L139),FIXED(L139,0),"")</f>
        <v>0</v>
      </c>
      <c r="M140" s="11">
        <f>IF(ISNUMBER(M139),FIXED(M139,0),"")</f>
        <v>0</v>
      </c>
      <c r="N140" s="11">
        <f>IF(ISNUMBER(N139),FIXED(N139,0),"")</f>
        <v>0</v>
      </c>
      <c r="O140" s="11">
        <f>IF(ISNUMBER(O139),FIXED(O139,0),"")</f>
        <v>0</v>
      </c>
      <c r="P140" s="11">
        <f>IF(ISNUMBER(P139),FIXED(P139,0),"")</f>
        <v>0</v>
      </c>
      <c r="Q140" s="11">
        <f>IF(ISNUMBER(Q139),FIXED(Q139,0),"")</f>
        <v>0</v>
      </c>
      <c r="R140" s="11">
        <f>IF(ISNUMBER(R139),FIXED(R139,0),"")</f>
        <v>0</v>
      </c>
      <c r="S140" s="11">
        <f>IF(ISNUMBER(S139),FIXED(S139,0),"")</f>
        <v>0</v>
      </c>
      <c r="T140" s="11">
        <f>IF(ISNUMBER(T139),FIXED(T139,0),"")</f>
        <v>0</v>
      </c>
      <c r="U140" s="11">
        <f>IF(ISNUMBER(U139),FIXED(U139,0),"")</f>
        <v>0</v>
      </c>
      <c r="V140" s="11">
        <f>IF(ISNUMBER(V139),FIXED(V139,0),"")</f>
        <v>0</v>
      </c>
      <c r="W140" s="11">
        <f>IF(ISNUMBER(W139),FIXED(W139,0),"")</f>
        <v>0</v>
      </c>
      <c r="X140" s="11">
        <f>IF(ISNUMBER(X139),FIXED(X139,0),"")</f>
        <v>0</v>
      </c>
      <c r="Y140" s="11">
        <f>IF(ISNUMBER(Y139),FIXED(Y139,0),"")</f>
        <v>0</v>
      </c>
      <c r="Z140" s="11">
        <f>IF(ISNUMBER(Z139),FIXED(Z139,0),"")</f>
        <v>0</v>
      </c>
      <c r="AA140" s="11">
        <f>IF(ISNUMBER(AA139),FIXED(AA139,0),"")</f>
        <v>0</v>
      </c>
      <c r="AB140" s="11">
        <f>IF(ISNUMBER(AB139),FIXED(AB139,0),"")</f>
        <v>0</v>
      </c>
      <c r="AC140" s="11">
        <f>IF(ISNUMBER(AC139),FIXED(AC139,0),"")</f>
        <v>0</v>
      </c>
      <c r="AD140" s="11">
        <f>IF(ISNUMBER(AD139),FIXED(AD139,0),"")</f>
        <v>0</v>
      </c>
    </row>
    <row r="141" spans="1:68">
      <c r="A141" s="11" t="s">
        <v>809</v>
      </c>
      <c r="B141" s="11" t="s">
        <v>810</v>
      </c>
      <c r="C141" s="67" t="s">
        <v>601</v>
      </c>
      <c r="D141" s="68">
        <f>IF(ISNUMBER(D139),D139+0.08*MAX(1,_xlfn.AGGREGATE(4,6,$D$139:$AD$139)),NA())</f>
        <v>0</v>
      </c>
      <c r="E141" s="68">
        <f>IF(ISNUMBER(E139),E139+0.08*MAX(1,_xlfn.AGGREGATE(4,6,$D$139:$AD$139)),NA())</f>
        <v>0</v>
      </c>
      <c r="F141" s="68">
        <f>IF(ISNUMBER(F139),F139+0.08*MAX(1,_xlfn.AGGREGATE(4,6,$D$139:$AD$139)),NA())</f>
        <v>0</v>
      </c>
      <c r="G141" s="68">
        <f>IF(ISNUMBER(G139),G139+0.08*MAX(1,_xlfn.AGGREGATE(4,6,$D$139:$AD$139)),NA())</f>
        <v>0</v>
      </c>
      <c r="H141" s="68">
        <f>IF(ISNUMBER(H139),H139+0.08*MAX(1,_xlfn.AGGREGATE(4,6,$D$139:$AD$139)),NA())</f>
        <v>0</v>
      </c>
      <c r="I141" s="68">
        <f>IF(ISNUMBER(I139),I139+0.08*MAX(1,_xlfn.AGGREGATE(4,6,$D$139:$AD$139)),NA())</f>
        <v>0</v>
      </c>
      <c r="J141" s="68">
        <f>IF(ISNUMBER(J139),J139+0.08*MAX(1,_xlfn.AGGREGATE(4,6,$D$139:$AD$139)),NA())</f>
        <v>0</v>
      </c>
      <c r="K141" s="68">
        <f>IF(ISNUMBER(K139),K139+0.08*MAX(1,_xlfn.AGGREGATE(4,6,$D$139:$AD$139)),NA())</f>
        <v>0</v>
      </c>
      <c r="L141" s="68">
        <f>IF(ISNUMBER(L139),L139+0.08*MAX(1,_xlfn.AGGREGATE(4,6,$D$139:$AD$139)),NA())</f>
        <v>0</v>
      </c>
      <c r="M141" s="68">
        <f>IF(ISNUMBER(M139),M139+0.08*MAX(1,_xlfn.AGGREGATE(4,6,$D$139:$AD$139)),NA())</f>
        <v>0</v>
      </c>
      <c r="N141" s="68">
        <f>IF(ISNUMBER(N139),N139+0.08*MAX(1,_xlfn.AGGREGATE(4,6,$D$139:$AD$139)),NA())</f>
        <v>0</v>
      </c>
      <c r="O141" s="68">
        <f>IF(ISNUMBER(O139),O139+0.08*MAX(1,_xlfn.AGGREGATE(4,6,$D$139:$AD$139)),NA())</f>
        <v>0</v>
      </c>
      <c r="P141" s="68">
        <f>IF(ISNUMBER(P139),P139+0.08*MAX(1,_xlfn.AGGREGATE(4,6,$D$139:$AD$139)),NA())</f>
        <v>0</v>
      </c>
      <c r="Q141" s="68">
        <f>IF(ISNUMBER(Q139),Q139+0.08*MAX(1,_xlfn.AGGREGATE(4,6,$D$139:$AD$139)),NA())</f>
        <v>0</v>
      </c>
      <c r="R141" s="68">
        <f>IF(ISNUMBER(R139),R139+0.08*MAX(1,_xlfn.AGGREGATE(4,6,$D$139:$AD$139)),NA())</f>
        <v>0</v>
      </c>
      <c r="S141" s="68">
        <f>IF(ISNUMBER(S139),S139+0.08*MAX(1,_xlfn.AGGREGATE(4,6,$D$139:$AD$139)),NA())</f>
        <v>0</v>
      </c>
      <c r="T141" s="68">
        <f>IF(ISNUMBER(T139),T139+0.08*MAX(1,_xlfn.AGGREGATE(4,6,$D$139:$AD$139)),NA())</f>
        <v>0</v>
      </c>
      <c r="U141" s="68">
        <f>IF(ISNUMBER(U139),U139+0.08*MAX(1,_xlfn.AGGREGATE(4,6,$D$139:$AD$139)),NA())</f>
        <v>0</v>
      </c>
      <c r="V141" s="68">
        <f>IF(ISNUMBER(V139),V139+0.08*MAX(1,_xlfn.AGGREGATE(4,6,$D$139:$AD$139)),NA())</f>
        <v>0</v>
      </c>
      <c r="W141" s="68">
        <f>IF(ISNUMBER(W139),W139+0.08*MAX(1,_xlfn.AGGREGATE(4,6,$D$139:$AD$139)),NA())</f>
        <v>0</v>
      </c>
      <c r="X141" s="68">
        <f>IF(ISNUMBER(X139),X139+0.08*MAX(1,_xlfn.AGGREGATE(4,6,$D$139:$AD$139)),NA())</f>
        <v>0</v>
      </c>
      <c r="Y141" s="68">
        <f>IF(ISNUMBER(Y139),Y139+0.08*MAX(1,_xlfn.AGGREGATE(4,6,$D$139:$AD$139)),NA())</f>
        <v>0</v>
      </c>
      <c r="Z141" s="68">
        <f>IF(ISNUMBER(Z139),Z139+0.08*MAX(1,_xlfn.AGGREGATE(4,6,$D$139:$AD$139)),NA())</f>
        <v>0</v>
      </c>
      <c r="AA141" s="68">
        <f>IF(ISNUMBER(AA139),AA139+0.08*MAX(1,_xlfn.AGGREGATE(4,6,$D$139:$AD$139)),NA())</f>
        <v>0</v>
      </c>
      <c r="AB141" s="68">
        <f>IF(ISNUMBER(AB139),AB139+0.08*MAX(1,_xlfn.AGGREGATE(4,6,$D$139:$AD$139)),NA())</f>
        <v>0</v>
      </c>
      <c r="AC141" s="68">
        <f>IF(ISNUMBER(AC139),AC139+0.08*MAX(1,_xlfn.AGGREGATE(4,6,$D$139:$AD$139)),NA())</f>
        <v>0</v>
      </c>
      <c r="AD141" s="68">
        <f>IF(ISNUMBER(AD139),AD139+0.08*MAX(1,_xlfn.AGGREGATE(4,6,$D$139:$AD$139)),NA())</f>
        <v>0</v>
      </c>
    </row>
    <row r="142" spans="1:68">
      <c r="A142" s="11" t="s">
        <v>811</v>
      </c>
      <c r="B142" s="11" t="s">
        <v>812</v>
      </c>
      <c r="C142" s="67" t="s">
        <v>601</v>
      </c>
      <c r="D142" s="68">
        <f>IF(COUNT(D27,D28,D29)=0,NA(),SUM(D27,D28,D29))</f>
        <v>0</v>
      </c>
      <c r="E142" s="68">
        <f>IF(COUNT(E27,E28,E29)=0,NA(),SUM(E27,E28,E29))</f>
        <v>0</v>
      </c>
      <c r="F142" s="68">
        <f>IF(COUNT(F27,F28,F29)=0,NA(),SUM(F27,F28,F29))</f>
        <v>0</v>
      </c>
      <c r="G142" s="68">
        <f>IF(COUNT(G27,G28,G29)=0,NA(),SUM(G27,G28,G29))</f>
        <v>0</v>
      </c>
      <c r="H142" s="68">
        <f>IF(COUNT(H27,H28,H29)=0,NA(),SUM(H27,H28,H29))</f>
        <v>0</v>
      </c>
      <c r="I142" s="68">
        <f>IF(COUNT(I27,I28,I29)=0,NA(),SUM(I27,I28,I29))</f>
        <v>0</v>
      </c>
      <c r="J142" s="68">
        <f>IF(COUNT(J27,J28,J29)=0,NA(),SUM(J27,J28,J29))</f>
        <v>0</v>
      </c>
      <c r="K142" s="68">
        <f>IF(COUNT(K27,K28,K29)=0,NA(),SUM(K27,K28,K29))</f>
        <v>0</v>
      </c>
      <c r="L142" s="68">
        <f>IF(COUNT(L27,L28,L29)=0,NA(),SUM(L27,L28,L29))</f>
        <v>0</v>
      </c>
      <c r="M142" s="68">
        <f>IF(COUNT(M27,M28,M29)=0,NA(),SUM(M27,M28,M29))</f>
        <v>0</v>
      </c>
      <c r="N142" s="68">
        <f>IF(COUNT(N27,N28,N29)=0,NA(),SUM(N27,N28,N29))</f>
        <v>0</v>
      </c>
      <c r="O142" s="68">
        <f>IF(COUNT(O27,O28,O29)=0,NA(),SUM(O27,O28,O29))</f>
        <v>0</v>
      </c>
      <c r="P142" s="68">
        <f>IF(COUNT(P27,P28,P29)=0,NA(),SUM(P27,P28,P29))</f>
        <v>0</v>
      </c>
      <c r="Q142" s="68">
        <f>IF(COUNT(Q27,Q28,Q29)=0,NA(),SUM(Q27,Q28,Q29))</f>
        <v>0</v>
      </c>
      <c r="R142" s="68">
        <f>IF(COUNT(R27,R28,R29)=0,NA(),SUM(R27,R28,R29))</f>
        <v>0</v>
      </c>
      <c r="S142" s="68">
        <f>IF(COUNT(S27,S28,S29)=0,NA(),SUM(S27,S28,S29))</f>
        <v>0</v>
      </c>
      <c r="T142" s="68">
        <f>IF(COUNT(T27,T28,T29)=0,NA(),SUM(T27,T28,T29))</f>
        <v>0</v>
      </c>
      <c r="U142" s="68">
        <f>IF(COUNT(U27,U28,U29)=0,NA(),SUM(U27,U28,U29))</f>
        <v>0</v>
      </c>
      <c r="V142" s="68">
        <f>IF(COUNT(V27,V28,V29)=0,NA(),SUM(V27,V28,V29))</f>
        <v>0</v>
      </c>
      <c r="W142" s="68">
        <f>IF(COUNT(W27,W28,W29)=0,NA(),SUM(W27,W28,W29))</f>
        <v>0</v>
      </c>
      <c r="X142" s="68">
        <f>IF(COUNT(X27,X28,X29)=0,NA(),SUM(X27,X28,X29))</f>
        <v>0</v>
      </c>
      <c r="Y142" s="68">
        <f>IF(COUNT(Y27,Y28,Y29)=0,NA(),SUM(Y27,Y28,Y29))</f>
        <v>0</v>
      </c>
      <c r="Z142" s="68">
        <f>IF(COUNT(Z27,Z28,Z29)=0,NA(),SUM(Z27,Z28,Z29))</f>
        <v>0</v>
      </c>
      <c r="AA142" s="68">
        <f>IF(COUNT(AA27,AA28,AA29)=0,NA(),SUM(AA27,AA28,AA29))</f>
        <v>0</v>
      </c>
      <c r="AB142" s="68">
        <f>IF(COUNT(AB27,AB28,AB29)=0,NA(),SUM(AB27,AB28,AB29))</f>
        <v>0</v>
      </c>
      <c r="AC142" s="68">
        <f>IF(COUNT(AC27,AC28,AC29)=0,NA(),SUM(AC27,AC28,AC29))</f>
        <v>0</v>
      </c>
      <c r="AD142" s="68">
        <f>IF(COUNT(AD27,AD28,AD29)=0,NA(),SUM(AD27,AD28,AD29))</f>
        <v>0</v>
      </c>
    </row>
    <row r="143" spans="1:68">
      <c r="A143" s="11" t="s">
        <v>813</v>
      </c>
      <c r="B143" s="11" t="s">
        <v>814</v>
      </c>
      <c r="C143" s="67" t="s">
        <v>601</v>
      </c>
      <c r="D143" s="11">
        <f>IF(ISNUMBER(D142),FIXED(D142,0),"")</f>
        <v>0</v>
      </c>
      <c r="E143" s="11">
        <f>IF(ISNUMBER(E142),FIXED(E142,0),"")</f>
        <v>0</v>
      </c>
      <c r="F143" s="11">
        <f>IF(ISNUMBER(F142),FIXED(F142,0),"")</f>
        <v>0</v>
      </c>
      <c r="G143" s="11">
        <f>IF(ISNUMBER(G142),FIXED(G142,0),"")</f>
        <v>0</v>
      </c>
      <c r="H143" s="11">
        <f>IF(ISNUMBER(H142),FIXED(H142,0),"")</f>
        <v>0</v>
      </c>
      <c r="I143" s="11">
        <f>IF(ISNUMBER(I142),FIXED(I142,0),"")</f>
        <v>0</v>
      </c>
      <c r="J143" s="11">
        <f>IF(ISNUMBER(J142),FIXED(J142,0),"")</f>
        <v>0</v>
      </c>
      <c r="K143" s="11">
        <f>IF(ISNUMBER(K142),FIXED(K142,0),"")</f>
        <v>0</v>
      </c>
      <c r="L143" s="11">
        <f>IF(ISNUMBER(L142),FIXED(L142,0),"")</f>
        <v>0</v>
      </c>
      <c r="M143" s="11">
        <f>IF(ISNUMBER(M142),FIXED(M142,0),"")</f>
        <v>0</v>
      </c>
      <c r="N143" s="11">
        <f>IF(ISNUMBER(N142),FIXED(N142,0),"")</f>
        <v>0</v>
      </c>
      <c r="O143" s="11">
        <f>IF(ISNUMBER(O142),FIXED(O142,0),"")</f>
        <v>0</v>
      </c>
      <c r="P143" s="11">
        <f>IF(ISNUMBER(P142),FIXED(P142,0),"")</f>
        <v>0</v>
      </c>
      <c r="Q143" s="11">
        <f>IF(ISNUMBER(Q142),FIXED(Q142,0),"")</f>
        <v>0</v>
      </c>
      <c r="R143" s="11">
        <f>IF(ISNUMBER(R142),FIXED(R142,0),"")</f>
        <v>0</v>
      </c>
      <c r="S143" s="11">
        <f>IF(ISNUMBER(S142),FIXED(S142,0),"")</f>
        <v>0</v>
      </c>
      <c r="T143" s="11">
        <f>IF(ISNUMBER(T142),FIXED(T142,0),"")</f>
        <v>0</v>
      </c>
      <c r="U143" s="11">
        <f>IF(ISNUMBER(U142),FIXED(U142,0),"")</f>
        <v>0</v>
      </c>
      <c r="V143" s="11">
        <f>IF(ISNUMBER(V142),FIXED(V142,0),"")</f>
        <v>0</v>
      </c>
      <c r="W143" s="11">
        <f>IF(ISNUMBER(W142),FIXED(W142,0),"")</f>
        <v>0</v>
      </c>
      <c r="X143" s="11">
        <f>IF(ISNUMBER(X142),FIXED(X142,0),"")</f>
        <v>0</v>
      </c>
      <c r="Y143" s="11">
        <f>IF(ISNUMBER(Y142),FIXED(Y142,0),"")</f>
        <v>0</v>
      </c>
      <c r="Z143" s="11">
        <f>IF(ISNUMBER(Z142),FIXED(Z142,0),"")</f>
        <v>0</v>
      </c>
      <c r="AA143" s="11">
        <f>IF(ISNUMBER(AA142),FIXED(AA142,0),"")</f>
        <v>0</v>
      </c>
      <c r="AB143" s="11">
        <f>IF(ISNUMBER(AB142),FIXED(AB142,0),"")</f>
        <v>0</v>
      </c>
      <c r="AC143" s="11">
        <f>IF(ISNUMBER(AC142),FIXED(AC142,0),"")</f>
        <v>0</v>
      </c>
      <c r="AD143" s="11">
        <f>IF(ISNUMBER(AD142),FIXED(AD142,0),"")</f>
        <v>0</v>
      </c>
    </row>
    <row r="144" spans="1:68">
      <c r="A144" s="11" t="s">
        <v>815</v>
      </c>
      <c r="B144" s="11" t="s">
        <v>816</v>
      </c>
      <c r="C144" s="67" t="s">
        <v>601</v>
      </c>
      <c r="D144" s="68">
        <f>IF(ISNUMBER(D142),D142+0.08*MAX(1,_xlfn.AGGREGATE(4,6,$D$142:$AD$142)),NA())</f>
        <v>0</v>
      </c>
      <c r="E144" s="68">
        <f>IF(ISNUMBER(E142),E142+0.08*MAX(1,_xlfn.AGGREGATE(4,6,$D$142:$AD$142)),NA())</f>
        <v>0</v>
      </c>
      <c r="F144" s="68">
        <f>IF(ISNUMBER(F142),F142+0.08*MAX(1,_xlfn.AGGREGATE(4,6,$D$142:$AD$142)),NA())</f>
        <v>0</v>
      </c>
      <c r="G144" s="68">
        <f>IF(ISNUMBER(G142),G142+0.08*MAX(1,_xlfn.AGGREGATE(4,6,$D$142:$AD$142)),NA())</f>
        <v>0</v>
      </c>
      <c r="H144" s="68">
        <f>IF(ISNUMBER(H142),H142+0.08*MAX(1,_xlfn.AGGREGATE(4,6,$D$142:$AD$142)),NA())</f>
        <v>0</v>
      </c>
      <c r="I144" s="68">
        <f>IF(ISNUMBER(I142),I142+0.08*MAX(1,_xlfn.AGGREGATE(4,6,$D$142:$AD$142)),NA())</f>
        <v>0</v>
      </c>
      <c r="J144" s="68">
        <f>IF(ISNUMBER(J142),J142+0.08*MAX(1,_xlfn.AGGREGATE(4,6,$D$142:$AD$142)),NA())</f>
        <v>0</v>
      </c>
      <c r="K144" s="68">
        <f>IF(ISNUMBER(K142),K142+0.08*MAX(1,_xlfn.AGGREGATE(4,6,$D$142:$AD$142)),NA())</f>
        <v>0</v>
      </c>
      <c r="L144" s="68">
        <f>IF(ISNUMBER(L142),L142+0.08*MAX(1,_xlfn.AGGREGATE(4,6,$D$142:$AD$142)),NA())</f>
        <v>0</v>
      </c>
      <c r="M144" s="68">
        <f>IF(ISNUMBER(M142),M142+0.08*MAX(1,_xlfn.AGGREGATE(4,6,$D$142:$AD$142)),NA())</f>
        <v>0</v>
      </c>
      <c r="N144" s="68">
        <f>IF(ISNUMBER(N142),N142+0.08*MAX(1,_xlfn.AGGREGATE(4,6,$D$142:$AD$142)),NA())</f>
        <v>0</v>
      </c>
      <c r="O144" s="68">
        <f>IF(ISNUMBER(O142),O142+0.08*MAX(1,_xlfn.AGGREGATE(4,6,$D$142:$AD$142)),NA())</f>
        <v>0</v>
      </c>
      <c r="P144" s="68">
        <f>IF(ISNUMBER(P142),P142+0.08*MAX(1,_xlfn.AGGREGATE(4,6,$D$142:$AD$142)),NA())</f>
        <v>0</v>
      </c>
      <c r="Q144" s="68">
        <f>IF(ISNUMBER(Q142),Q142+0.08*MAX(1,_xlfn.AGGREGATE(4,6,$D$142:$AD$142)),NA())</f>
        <v>0</v>
      </c>
      <c r="R144" s="68">
        <f>IF(ISNUMBER(R142),R142+0.08*MAX(1,_xlfn.AGGREGATE(4,6,$D$142:$AD$142)),NA())</f>
        <v>0</v>
      </c>
      <c r="S144" s="68">
        <f>IF(ISNUMBER(S142),S142+0.08*MAX(1,_xlfn.AGGREGATE(4,6,$D$142:$AD$142)),NA())</f>
        <v>0</v>
      </c>
      <c r="T144" s="68">
        <f>IF(ISNUMBER(T142),T142+0.08*MAX(1,_xlfn.AGGREGATE(4,6,$D$142:$AD$142)),NA())</f>
        <v>0</v>
      </c>
      <c r="U144" s="68">
        <f>IF(ISNUMBER(U142),U142+0.08*MAX(1,_xlfn.AGGREGATE(4,6,$D$142:$AD$142)),NA())</f>
        <v>0</v>
      </c>
      <c r="V144" s="68">
        <f>IF(ISNUMBER(V142),V142+0.08*MAX(1,_xlfn.AGGREGATE(4,6,$D$142:$AD$142)),NA())</f>
        <v>0</v>
      </c>
      <c r="W144" s="68">
        <f>IF(ISNUMBER(W142),W142+0.08*MAX(1,_xlfn.AGGREGATE(4,6,$D$142:$AD$142)),NA())</f>
        <v>0</v>
      </c>
      <c r="X144" s="68">
        <f>IF(ISNUMBER(X142),X142+0.08*MAX(1,_xlfn.AGGREGATE(4,6,$D$142:$AD$142)),NA())</f>
        <v>0</v>
      </c>
      <c r="Y144" s="68">
        <f>IF(ISNUMBER(Y142),Y142+0.08*MAX(1,_xlfn.AGGREGATE(4,6,$D$142:$AD$142)),NA())</f>
        <v>0</v>
      </c>
      <c r="Z144" s="68">
        <f>IF(ISNUMBER(Z142),Z142+0.08*MAX(1,_xlfn.AGGREGATE(4,6,$D$142:$AD$142)),NA())</f>
        <v>0</v>
      </c>
      <c r="AA144" s="68">
        <f>IF(ISNUMBER(AA142),AA142+0.08*MAX(1,_xlfn.AGGREGATE(4,6,$D$142:$AD$142)),NA())</f>
        <v>0</v>
      </c>
      <c r="AB144" s="68">
        <f>IF(ISNUMBER(AB142),AB142+0.08*MAX(1,_xlfn.AGGREGATE(4,6,$D$142:$AD$142)),NA())</f>
        <v>0</v>
      </c>
      <c r="AC144" s="68">
        <f>IF(ISNUMBER(AC142),AC142+0.08*MAX(1,_xlfn.AGGREGATE(4,6,$D$142:$AD$142)),NA())</f>
        <v>0</v>
      </c>
      <c r="AD144" s="68">
        <f>IF(ISNUMBER(AD142),AD142+0.08*MAX(1,_xlfn.AGGREGATE(4,6,$D$142:$AD$142)),NA())</f>
        <v>0</v>
      </c>
    </row>
    <row r="145" spans="1:41">
      <c r="A145" s="11" t="s">
        <v>817</v>
      </c>
      <c r="B145" s="11" t="s">
        <v>818</v>
      </c>
      <c r="C145" s="67" t="s">
        <v>601</v>
      </c>
      <c r="D145" s="68">
        <f>SLA_PV</f>
        <v>0</v>
      </c>
      <c r="E145" s="68">
        <f>SLA_PV</f>
        <v>0</v>
      </c>
      <c r="F145" s="68">
        <f>SLA_PV</f>
        <v>0</v>
      </c>
      <c r="G145" s="68">
        <f>SLA_PV</f>
        <v>0</v>
      </c>
      <c r="H145" s="68">
        <f>SLA_PV</f>
        <v>0</v>
      </c>
      <c r="I145" s="68">
        <f>SLA_PV</f>
        <v>0</v>
      </c>
      <c r="J145" s="68">
        <f>SLA_PV</f>
        <v>0</v>
      </c>
      <c r="K145" s="68">
        <f>SLA_PV</f>
        <v>0</v>
      </c>
      <c r="L145" s="68">
        <f>SLA_PV</f>
        <v>0</v>
      </c>
      <c r="M145" s="68">
        <f>SLA_PV</f>
        <v>0</v>
      </c>
      <c r="N145" s="68">
        <f>SLA_PV</f>
        <v>0</v>
      </c>
      <c r="O145" s="68">
        <f>SLA_PV</f>
        <v>0</v>
      </c>
      <c r="P145" s="68">
        <f>SLA_PV</f>
        <v>0</v>
      </c>
      <c r="Q145" s="68">
        <f>SLA_PV</f>
        <v>0</v>
      </c>
      <c r="R145" s="68">
        <f>SLA_PV</f>
        <v>0</v>
      </c>
      <c r="S145" s="68">
        <f>SLA_PV</f>
        <v>0</v>
      </c>
      <c r="T145" s="68">
        <f>SLA_PV</f>
        <v>0</v>
      </c>
      <c r="U145" s="68">
        <f>SLA_PV</f>
        <v>0</v>
      </c>
      <c r="V145" s="68">
        <f>SLA_PV</f>
        <v>0</v>
      </c>
      <c r="W145" s="68">
        <f>SLA_PV</f>
        <v>0</v>
      </c>
      <c r="X145" s="68">
        <f>SLA_PV</f>
        <v>0</v>
      </c>
      <c r="Y145" s="68">
        <f>SLA_PV</f>
        <v>0</v>
      </c>
      <c r="Z145" s="68">
        <f>SLA_PV</f>
        <v>0</v>
      </c>
      <c r="AA145" s="68">
        <f>SLA_PV</f>
        <v>0</v>
      </c>
      <c r="AB145" s="68">
        <f>SLA_PV</f>
        <v>0</v>
      </c>
      <c r="AC145" s="68">
        <f>SLA_PV</f>
        <v>0</v>
      </c>
      <c r="AD145" s="68">
        <f>SLA_PV</f>
        <v>0</v>
      </c>
    </row>
    <row r="146" spans="1:41">
      <c r="A146" s="11" t="s">
        <v>486</v>
      </c>
      <c r="B146" s="11" t="s">
        <v>819</v>
      </c>
      <c r="C146" s="67" t="s">
        <v>820</v>
      </c>
      <c r="AF146" s="68">
        <f>IFERROR(IF(ISNUMBER(INDEX(Rohdaten_3!$A$3:$AM$3,MATCH(AF$4,Rohdaten_3!$A$1:$AM$1,0))),INDEX(Rohdaten_3!$A$3:$AM$3,MATCH(AF$4,Rohdaten_3!$A$1:$AM$1,0)),NA()),NA())</f>
        <v>0</v>
      </c>
      <c r="AG146" s="68">
        <f>IFERROR(IF(ISNUMBER(INDEX(Rohdaten_3!$A$3:$AM$3,MATCH(AG$4,Rohdaten_3!$A$1:$AM$1,0))),INDEX(Rohdaten_3!$A$3:$AM$3,MATCH(AG$4,Rohdaten_3!$A$1:$AM$1,0)),NA()),NA())</f>
        <v>0</v>
      </c>
      <c r="AH146" s="68">
        <f>IFERROR(IF(ISNUMBER(INDEX(Rohdaten_3!$A$3:$AM$3,MATCH(AH$4,Rohdaten_3!$A$1:$AM$1,0))),INDEX(Rohdaten_3!$A$3:$AM$3,MATCH(AH$4,Rohdaten_3!$A$1:$AM$1,0)),NA()),NA())</f>
        <v>0</v>
      </c>
      <c r="AI146" s="68">
        <f>IFERROR(IF(ISNUMBER(INDEX(Rohdaten_3!$A$3:$AM$3,MATCH(AI$4,Rohdaten_3!$A$1:$AM$1,0))),INDEX(Rohdaten_3!$A$3:$AM$3,MATCH(AI$4,Rohdaten_3!$A$1:$AM$1,0)),NA()),NA())</f>
        <v>0</v>
      </c>
      <c r="AJ146" s="68">
        <f>IFERROR(IF(ISNUMBER(INDEX(Rohdaten_3!$A$3:$AM$3,MATCH(AJ$4,Rohdaten_3!$A$1:$AM$1,0))),INDEX(Rohdaten_3!$A$3:$AM$3,MATCH(AJ$4,Rohdaten_3!$A$1:$AM$1,0)),NA()),NA())</f>
        <v>0</v>
      </c>
      <c r="AK146" s="68">
        <f>IFERROR(IF(ISNUMBER(INDEX(Rohdaten_3!$A$3:$AM$3,MATCH(AK$4,Rohdaten_3!$A$1:$AM$1,0))),INDEX(Rohdaten_3!$A$3:$AM$3,MATCH(AK$4,Rohdaten_3!$A$1:$AM$1,0)),NA()),NA())</f>
        <v>0</v>
      </c>
      <c r="AL146" s="68">
        <f>IFERROR(IF(ISNUMBER(INDEX(Rohdaten_3!$A$3:$AM$3,MATCH(AL$4,Rohdaten_3!$A$1:$AM$1,0))),INDEX(Rohdaten_3!$A$3:$AM$3,MATCH(AL$4,Rohdaten_3!$A$1:$AM$1,0)),NA()),NA())</f>
        <v>0</v>
      </c>
      <c r="AM146" s="68">
        <f>IFERROR(IF(ISNUMBER(INDEX(Rohdaten_3!$A$3:$AM$3,MATCH(AM$4,Rohdaten_3!$A$1:$AM$1,0))),INDEX(Rohdaten_3!$A$3:$AM$3,MATCH(AM$4,Rohdaten_3!$A$1:$AM$1,0)),NA()),NA())</f>
        <v>0</v>
      </c>
      <c r="AN146" s="68">
        <f>IFERROR(IF(ISNUMBER(INDEX(Rohdaten_3!$A$3:$AM$3,MATCH(AN$4,Rohdaten_3!$A$1:$AM$1,0))),INDEX(Rohdaten_3!$A$3:$AM$3,MATCH(AN$4,Rohdaten_3!$A$1:$AM$1,0)),NA()),NA())</f>
        <v>0</v>
      </c>
      <c r="AO146" s="68">
        <f>IFERROR(IF(ISNUMBER(INDEX(Rohdaten_3!$A$3:$AM$3,MATCH(AO$4,Rohdaten_3!$A$1:$AM$1,0))),INDEX(Rohdaten_3!$A$3:$AM$3,MATCH(AO$4,Rohdaten_3!$A$1:$AM$1,0)),NA()),NA())</f>
        <v>0</v>
      </c>
    </row>
    <row r="147" spans="1:41">
      <c r="A147" s="11" t="s">
        <v>821</v>
      </c>
      <c r="B147" s="11" t="s">
        <v>822</v>
      </c>
      <c r="C147" s="67" t="s">
        <v>823</v>
      </c>
      <c r="AF147" s="68">
        <f>IFERROR(IF(ISNUMBER(INDEX(Rohdaten_3!$A$4:$AM$4,MATCH(AF$4,Rohdaten_3!$A$1:$AM$1,0))),INDEX(Rohdaten_3!$A$4:$AM$4,MATCH(AF$4,Rohdaten_3!$A$1:$AM$1,0)),NA()),NA())</f>
        <v>0</v>
      </c>
      <c r="AG147" s="68">
        <f>IFERROR(IF(ISNUMBER(INDEX(Rohdaten_3!$A$4:$AM$4,MATCH(AG$4,Rohdaten_3!$A$1:$AM$1,0))),INDEX(Rohdaten_3!$A$4:$AM$4,MATCH(AG$4,Rohdaten_3!$A$1:$AM$1,0)),NA()),NA())</f>
        <v>0</v>
      </c>
      <c r="AH147" s="68">
        <f>IFERROR(IF(ISNUMBER(INDEX(Rohdaten_3!$A$4:$AM$4,MATCH(AH$4,Rohdaten_3!$A$1:$AM$1,0))),INDEX(Rohdaten_3!$A$4:$AM$4,MATCH(AH$4,Rohdaten_3!$A$1:$AM$1,0)),NA()),NA())</f>
        <v>0</v>
      </c>
      <c r="AI147" s="68">
        <f>IFERROR(IF(ISNUMBER(INDEX(Rohdaten_3!$A$4:$AM$4,MATCH(AI$4,Rohdaten_3!$A$1:$AM$1,0))),INDEX(Rohdaten_3!$A$4:$AM$4,MATCH(AI$4,Rohdaten_3!$A$1:$AM$1,0)),NA()),NA())</f>
        <v>0</v>
      </c>
      <c r="AJ147" s="68">
        <f>IFERROR(IF(ISNUMBER(INDEX(Rohdaten_3!$A$4:$AM$4,MATCH(AJ$4,Rohdaten_3!$A$1:$AM$1,0))),INDEX(Rohdaten_3!$A$4:$AM$4,MATCH(AJ$4,Rohdaten_3!$A$1:$AM$1,0)),NA()),NA())</f>
        <v>0</v>
      </c>
      <c r="AK147" s="68">
        <f>IFERROR(IF(ISNUMBER(INDEX(Rohdaten_3!$A$4:$AM$4,MATCH(AK$4,Rohdaten_3!$A$1:$AM$1,0))),INDEX(Rohdaten_3!$A$4:$AM$4,MATCH(AK$4,Rohdaten_3!$A$1:$AM$1,0)),NA()),NA())</f>
        <v>0</v>
      </c>
      <c r="AL147" s="68">
        <f>IFERROR(IF(ISNUMBER(INDEX(Rohdaten_3!$A$4:$AM$4,MATCH(AL$4,Rohdaten_3!$A$1:$AM$1,0))),INDEX(Rohdaten_3!$A$4:$AM$4,MATCH(AL$4,Rohdaten_3!$A$1:$AM$1,0)),NA()),NA())</f>
        <v>0</v>
      </c>
      <c r="AM147" s="68">
        <f>IFERROR(IF(ISNUMBER(INDEX(Rohdaten_3!$A$4:$AM$4,MATCH(AM$4,Rohdaten_3!$A$1:$AM$1,0))),INDEX(Rohdaten_3!$A$4:$AM$4,MATCH(AM$4,Rohdaten_3!$A$1:$AM$1,0)),NA()),NA())</f>
        <v>0</v>
      </c>
      <c r="AN147" s="68">
        <f>IFERROR(IF(ISNUMBER(INDEX(Rohdaten_3!$A$4:$AM$4,MATCH(AN$4,Rohdaten_3!$A$1:$AM$1,0))),INDEX(Rohdaten_3!$A$4:$AM$4,MATCH(AN$4,Rohdaten_3!$A$1:$AM$1,0)),NA()),NA())</f>
        <v>0</v>
      </c>
      <c r="AO147" s="68">
        <f>IFERROR(IF(ISNUMBER(INDEX(Rohdaten_3!$A$4:$AM$4,MATCH(AO$4,Rohdaten_3!$A$1:$AM$1,0))),INDEX(Rohdaten_3!$A$4:$AM$4,MATCH(AO$4,Rohdaten_3!$A$1:$AM$1,0)),NA()),NA())</f>
        <v>0</v>
      </c>
    </row>
    <row r="148" spans="1:41">
      <c r="A148" s="11" t="s">
        <v>491</v>
      </c>
      <c r="B148" s="11" t="s">
        <v>824</v>
      </c>
      <c r="C148" s="67" t="s">
        <v>825</v>
      </c>
      <c r="AF148" s="68">
        <f>IFERROR(IF(ISNUMBER(INDEX(Rohdaten_3!$A$5:$AM$5,MATCH(AF$4,Rohdaten_3!$A$1:$AM$1,0))),INDEX(Rohdaten_3!$A$5:$AM$5,MATCH(AF$4,Rohdaten_3!$A$1:$AM$1,0)),NA()),NA())</f>
        <v>0</v>
      </c>
      <c r="AG148" s="68">
        <f>IFERROR(IF(ISNUMBER(INDEX(Rohdaten_3!$A$5:$AM$5,MATCH(AG$4,Rohdaten_3!$A$1:$AM$1,0))),INDEX(Rohdaten_3!$A$5:$AM$5,MATCH(AG$4,Rohdaten_3!$A$1:$AM$1,0)),NA()),NA())</f>
        <v>0</v>
      </c>
      <c r="AH148" s="68">
        <f>IFERROR(IF(ISNUMBER(INDEX(Rohdaten_3!$A$5:$AM$5,MATCH(AH$4,Rohdaten_3!$A$1:$AM$1,0))),INDEX(Rohdaten_3!$A$5:$AM$5,MATCH(AH$4,Rohdaten_3!$A$1:$AM$1,0)),NA()),NA())</f>
        <v>0</v>
      </c>
      <c r="AI148" s="68">
        <f>IFERROR(IF(ISNUMBER(INDEX(Rohdaten_3!$A$5:$AM$5,MATCH(AI$4,Rohdaten_3!$A$1:$AM$1,0))),INDEX(Rohdaten_3!$A$5:$AM$5,MATCH(AI$4,Rohdaten_3!$A$1:$AM$1,0)),NA()),NA())</f>
        <v>0</v>
      </c>
      <c r="AJ148" s="68">
        <f>IFERROR(IF(ISNUMBER(INDEX(Rohdaten_3!$A$5:$AM$5,MATCH(AJ$4,Rohdaten_3!$A$1:$AM$1,0))),INDEX(Rohdaten_3!$A$5:$AM$5,MATCH(AJ$4,Rohdaten_3!$A$1:$AM$1,0)),NA()),NA())</f>
        <v>0</v>
      </c>
      <c r="AK148" s="68">
        <f>IFERROR(IF(ISNUMBER(INDEX(Rohdaten_3!$A$5:$AM$5,MATCH(AK$4,Rohdaten_3!$A$1:$AM$1,0))),INDEX(Rohdaten_3!$A$5:$AM$5,MATCH(AK$4,Rohdaten_3!$A$1:$AM$1,0)),NA()),NA())</f>
        <v>0</v>
      </c>
      <c r="AL148" s="68">
        <f>IFERROR(IF(ISNUMBER(INDEX(Rohdaten_3!$A$5:$AM$5,MATCH(AL$4,Rohdaten_3!$A$1:$AM$1,0))),INDEX(Rohdaten_3!$A$5:$AM$5,MATCH(AL$4,Rohdaten_3!$A$1:$AM$1,0)),NA()),NA())</f>
        <v>0</v>
      </c>
      <c r="AM148" s="68">
        <f>IFERROR(IF(ISNUMBER(INDEX(Rohdaten_3!$A$5:$AM$5,MATCH(AM$4,Rohdaten_3!$A$1:$AM$1,0))),INDEX(Rohdaten_3!$A$5:$AM$5,MATCH(AM$4,Rohdaten_3!$A$1:$AM$1,0)),NA()),NA())</f>
        <v>0</v>
      </c>
      <c r="AN148" s="68">
        <f>IFERROR(IF(ISNUMBER(INDEX(Rohdaten_3!$A$5:$AM$5,MATCH(AN$4,Rohdaten_3!$A$1:$AM$1,0))),INDEX(Rohdaten_3!$A$5:$AM$5,MATCH(AN$4,Rohdaten_3!$A$1:$AM$1,0)),NA()),NA())</f>
        <v>0</v>
      </c>
      <c r="AO148" s="68">
        <f>IFERROR(IF(ISNUMBER(INDEX(Rohdaten_3!$A$5:$AM$5,MATCH(AO$4,Rohdaten_3!$A$1:$AM$1,0))),INDEX(Rohdaten_3!$A$5:$AM$5,MATCH(AO$4,Rohdaten_3!$A$1:$AM$1,0)),NA()),NA())</f>
        <v>0</v>
      </c>
    </row>
    <row r="149" spans="1:41">
      <c r="A149" s="11" t="s">
        <v>826</v>
      </c>
      <c r="B149" s="11" t="s">
        <v>827</v>
      </c>
      <c r="C149" s="67" t="s">
        <v>601</v>
      </c>
      <c r="AF149" s="11">
        <f>IF(ISNUMBER(AF148),FIXED(AF148*100,0)&amp;" %","")</f>
        <v>0</v>
      </c>
      <c r="AG149" s="11">
        <f>IF(ISNUMBER(AG148),FIXED(AG148*100,0)&amp;" %","")</f>
        <v>0</v>
      </c>
      <c r="AH149" s="11">
        <f>IF(ISNUMBER(AH148),FIXED(AH148*100,0)&amp;" %","")</f>
        <v>0</v>
      </c>
      <c r="AI149" s="11">
        <f>IF(ISNUMBER(AI148),FIXED(AI148*100,0)&amp;" %","")</f>
        <v>0</v>
      </c>
      <c r="AJ149" s="11">
        <f>IF(ISNUMBER(AJ148),FIXED(AJ148*100,0)&amp;" %","")</f>
        <v>0</v>
      </c>
      <c r="AK149" s="11">
        <f>IF(ISNUMBER(AK148),FIXED(AK148*100,0)&amp;" %","")</f>
        <v>0</v>
      </c>
      <c r="AL149" s="11">
        <f>IF(ISNUMBER(AL148),FIXED(AL148*100,0)&amp;" %","")</f>
        <v>0</v>
      </c>
      <c r="AM149" s="11">
        <f>IF(ISNUMBER(AM148),FIXED(AM148*100,0)&amp;" %","")</f>
        <v>0</v>
      </c>
      <c r="AN149" s="11">
        <f>IF(ISNUMBER(AN148),FIXED(AN148*100,0)&amp;" %","")</f>
        <v>0</v>
      </c>
      <c r="AO149" s="11">
        <f>IF(ISNUMBER(AO148),FIXED(AO148*100,0)&amp;" %","")</f>
        <v>0</v>
      </c>
    </row>
    <row r="150" spans="1:41">
      <c r="A150" s="11" t="s">
        <v>482</v>
      </c>
      <c r="B150" s="11" t="s">
        <v>828</v>
      </c>
      <c r="C150" s="67" t="s">
        <v>829</v>
      </c>
      <c r="AF150" s="68">
        <f>IFERROR(IF(ISNUMBER(INDEX(Rohdaten_2!$A$4:$AQ$4,MATCH(AF$4,Rohdaten_2!$A$1:$AQ$1,0))),INDEX(Rohdaten_2!$A$4:$AQ$4,MATCH(AF$4,Rohdaten_2!$A$1:$AQ$1,0)),NA()),NA())</f>
        <v>0</v>
      </c>
      <c r="AG150" s="68">
        <f>IFERROR(IF(ISNUMBER(INDEX(Rohdaten_2!$A$4:$AQ$4,MATCH(AG$4,Rohdaten_2!$A$1:$AQ$1,0))),INDEX(Rohdaten_2!$A$4:$AQ$4,MATCH(AG$4,Rohdaten_2!$A$1:$AQ$1,0)),NA()),NA())</f>
        <v>0</v>
      </c>
      <c r="AH150" s="68">
        <f>IFERROR(IF(ISNUMBER(INDEX(Rohdaten_2!$A$4:$AQ$4,MATCH(AH$4,Rohdaten_2!$A$1:$AQ$1,0))),INDEX(Rohdaten_2!$A$4:$AQ$4,MATCH(AH$4,Rohdaten_2!$A$1:$AQ$1,0)),NA()),NA())</f>
        <v>0</v>
      </c>
      <c r="AI150" s="68">
        <f>IFERROR(IF(ISNUMBER(INDEX(Rohdaten_2!$A$4:$AQ$4,MATCH(AI$4,Rohdaten_2!$A$1:$AQ$1,0))),INDEX(Rohdaten_2!$A$4:$AQ$4,MATCH(AI$4,Rohdaten_2!$A$1:$AQ$1,0)),NA()),NA())</f>
        <v>0</v>
      </c>
      <c r="AJ150" s="68">
        <f>IFERROR(IF(ISNUMBER(INDEX(Rohdaten_2!$A$4:$AQ$4,MATCH(AJ$4,Rohdaten_2!$A$1:$AQ$1,0))),INDEX(Rohdaten_2!$A$4:$AQ$4,MATCH(AJ$4,Rohdaten_2!$A$1:$AQ$1,0)),NA()),NA())</f>
        <v>0</v>
      </c>
      <c r="AK150" s="68">
        <f>IFERROR(IF(ISNUMBER(INDEX(Rohdaten_2!$A$4:$AQ$4,MATCH(AK$4,Rohdaten_2!$A$1:$AQ$1,0))),INDEX(Rohdaten_2!$A$4:$AQ$4,MATCH(AK$4,Rohdaten_2!$A$1:$AQ$1,0)),NA()),NA())</f>
        <v>0</v>
      </c>
      <c r="AL150" s="68">
        <f>IFERROR(IF(ISNUMBER(INDEX(Rohdaten_2!$A$4:$AQ$4,MATCH(AL$4,Rohdaten_2!$A$1:$AQ$1,0))),INDEX(Rohdaten_2!$A$4:$AQ$4,MATCH(AL$4,Rohdaten_2!$A$1:$AQ$1,0)),NA()),NA())</f>
        <v>0</v>
      </c>
      <c r="AM150" s="68">
        <f>IFERROR(IF(ISNUMBER(INDEX(Rohdaten_2!$A$4:$AQ$4,MATCH(AM$4,Rohdaten_2!$A$1:$AQ$1,0))),INDEX(Rohdaten_2!$A$4:$AQ$4,MATCH(AM$4,Rohdaten_2!$A$1:$AQ$1,0)),NA()),NA())</f>
        <v>0</v>
      </c>
      <c r="AN150" s="68">
        <f>IFERROR(IF(ISNUMBER(INDEX(Rohdaten_2!$A$4:$AQ$4,MATCH(AN$4,Rohdaten_2!$A$1:$AQ$1,0))),INDEX(Rohdaten_2!$A$4:$AQ$4,MATCH(AN$4,Rohdaten_2!$A$1:$AQ$1,0)),NA()),NA())</f>
        <v>0</v>
      </c>
      <c r="AO150" s="68">
        <f>IFERROR(IF(ISNUMBER(INDEX(Rohdaten_2!$A$4:$AQ$4,MATCH(AO$4,Rohdaten_2!$A$1:$AQ$1,0))),INDEX(Rohdaten_2!$A$4:$AQ$4,MATCH(AO$4,Rohdaten_2!$A$1:$AQ$1,0)),NA()),NA())</f>
        <v>0</v>
      </c>
    </row>
    <row r="151" spans="1:41">
      <c r="A151" s="11" t="s">
        <v>484</v>
      </c>
      <c r="B151" s="11" t="s">
        <v>830</v>
      </c>
      <c r="C151" s="67" t="s">
        <v>831</v>
      </c>
      <c r="AF151" s="68">
        <f>IFERROR(IF(ISNUMBER(INDEX(Rohdaten_2!$A$5:$AQ$5,MATCH(AF$4,Rohdaten_2!$A$1:$AQ$1,0))),INDEX(Rohdaten_2!$A$5:$AQ$5,MATCH(AF$4,Rohdaten_2!$A$1:$AQ$1,0)),NA()),NA())</f>
        <v>0</v>
      </c>
      <c r="AG151" s="68">
        <f>IFERROR(IF(ISNUMBER(INDEX(Rohdaten_2!$A$5:$AQ$5,MATCH(AG$4,Rohdaten_2!$A$1:$AQ$1,0))),INDEX(Rohdaten_2!$A$5:$AQ$5,MATCH(AG$4,Rohdaten_2!$A$1:$AQ$1,0)),NA()),NA())</f>
        <v>0</v>
      </c>
      <c r="AH151" s="68">
        <f>IFERROR(IF(ISNUMBER(INDEX(Rohdaten_2!$A$5:$AQ$5,MATCH(AH$4,Rohdaten_2!$A$1:$AQ$1,0))),INDEX(Rohdaten_2!$A$5:$AQ$5,MATCH(AH$4,Rohdaten_2!$A$1:$AQ$1,0)),NA()),NA())</f>
        <v>0</v>
      </c>
      <c r="AI151" s="68">
        <f>IFERROR(IF(ISNUMBER(INDEX(Rohdaten_2!$A$5:$AQ$5,MATCH(AI$4,Rohdaten_2!$A$1:$AQ$1,0))),INDEX(Rohdaten_2!$A$5:$AQ$5,MATCH(AI$4,Rohdaten_2!$A$1:$AQ$1,0)),NA()),NA())</f>
        <v>0</v>
      </c>
      <c r="AJ151" s="68">
        <f>IFERROR(IF(ISNUMBER(INDEX(Rohdaten_2!$A$5:$AQ$5,MATCH(AJ$4,Rohdaten_2!$A$1:$AQ$1,0))),INDEX(Rohdaten_2!$A$5:$AQ$5,MATCH(AJ$4,Rohdaten_2!$A$1:$AQ$1,0)),NA()),NA())</f>
        <v>0</v>
      </c>
      <c r="AK151" s="68">
        <f>IFERROR(IF(ISNUMBER(INDEX(Rohdaten_2!$A$5:$AQ$5,MATCH(AK$4,Rohdaten_2!$A$1:$AQ$1,0))),INDEX(Rohdaten_2!$A$5:$AQ$5,MATCH(AK$4,Rohdaten_2!$A$1:$AQ$1,0)),NA()),NA())</f>
        <v>0</v>
      </c>
      <c r="AL151" s="68">
        <f>IFERROR(IF(ISNUMBER(INDEX(Rohdaten_2!$A$5:$AQ$5,MATCH(AL$4,Rohdaten_2!$A$1:$AQ$1,0))),INDEX(Rohdaten_2!$A$5:$AQ$5,MATCH(AL$4,Rohdaten_2!$A$1:$AQ$1,0)),NA()),NA())</f>
        <v>0</v>
      </c>
      <c r="AM151" s="68">
        <f>IFERROR(IF(ISNUMBER(INDEX(Rohdaten_2!$A$5:$AQ$5,MATCH(AM$4,Rohdaten_2!$A$1:$AQ$1,0))),INDEX(Rohdaten_2!$A$5:$AQ$5,MATCH(AM$4,Rohdaten_2!$A$1:$AQ$1,0)),NA()),NA())</f>
        <v>0</v>
      </c>
      <c r="AN151" s="68">
        <f>IFERROR(IF(ISNUMBER(INDEX(Rohdaten_2!$A$5:$AQ$5,MATCH(AN$4,Rohdaten_2!$A$1:$AQ$1,0))),INDEX(Rohdaten_2!$A$5:$AQ$5,MATCH(AN$4,Rohdaten_2!$A$1:$AQ$1,0)),NA()),NA())</f>
        <v>0</v>
      </c>
      <c r="AO151" s="68">
        <f>IFERROR(IF(ISNUMBER(INDEX(Rohdaten_2!$A$5:$AQ$5,MATCH(AO$4,Rohdaten_2!$A$1:$AQ$1,0))),INDEX(Rohdaten_2!$A$5:$AQ$5,MATCH(AO$4,Rohdaten_2!$A$1:$AQ$1,0)),NA()),NA())</f>
        <v>0</v>
      </c>
    </row>
    <row r="152" spans="1:41">
      <c r="A152" s="11" t="s">
        <v>832</v>
      </c>
      <c r="B152" s="11" t="s">
        <v>833</v>
      </c>
      <c r="C152" s="67" t="s">
        <v>601</v>
      </c>
      <c r="AF152" s="68">
        <f>IF(ISNUMBER(AF150),ROUND(AF150,0),NA())</f>
        <v>0</v>
      </c>
      <c r="AG152" s="68">
        <f>IF(ISNUMBER(AG150),ROUND(AG150,0),NA())</f>
        <v>0</v>
      </c>
      <c r="AH152" s="68">
        <f>IF(ISNUMBER(AH150),ROUND(AH150,0),NA())</f>
        <v>0</v>
      </c>
      <c r="AI152" s="68">
        <f>IF(ISNUMBER(AI150),ROUND(AI150,0),NA())</f>
        <v>0</v>
      </c>
      <c r="AJ152" s="68">
        <f>IF(ISNUMBER(AJ150),ROUND(AJ150,0),NA())</f>
        <v>0</v>
      </c>
      <c r="AK152" s="68">
        <f>IF(ISNUMBER(AK150),ROUND(AK150,0),NA())</f>
        <v>0</v>
      </c>
      <c r="AL152" s="68">
        <f>IF(ISNUMBER(AL150),ROUND(AL150,0),NA())</f>
        <v>0</v>
      </c>
      <c r="AM152" s="68">
        <f>IF(ISNUMBER(AM150),ROUND(AM150,0),NA())</f>
        <v>0</v>
      </c>
      <c r="AN152" s="68">
        <f>IF(ISNUMBER(AN150),ROUND(AN150,0),NA())</f>
        <v>0</v>
      </c>
      <c r="AO152" s="68">
        <f>IF(ISNUMBER(AO150),ROUND(AO150,0),NA())</f>
        <v>0</v>
      </c>
    </row>
    <row r="153" spans="1:41">
      <c r="A153" s="11" t="s">
        <v>834</v>
      </c>
      <c r="B153" s="11" t="s">
        <v>835</v>
      </c>
      <c r="C153" s="67" t="s">
        <v>601</v>
      </c>
      <c r="AF153" s="68">
        <f>IF(ISNUMBER(AF151),ROUND(AF151,0),NA())</f>
        <v>0</v>
      </c>
      <c r="AG153" s="68">
        <f>IF(ISNUMBER(AG151),ROUND(AG151,0),NA())</f>
        <v>0</v>
      </c>
      <c r="AH153" s="68">
        <f>IF(ISNUMBER(AH151),ROUND(AH151,0),NA())</f>
        <v>0</v>
      </c>
      <c r="AI153" s="68">
        <f>IF(ISNUMBER(AI151),ROUND(AI151,0),NA())</f>
        <v>0</v>
      </c>
      <c r="AJ153" s="68">
        <f>IF(ISNUMBER(AJ151),ROUND(AJ151,0),NA())</f>
        <v>0</v>
      </c>
      <c r="AK153" s="68">
        <f>IF(ISNUMBER(AK151),ROUND(AK151,0),NA())</f>
        <v>0</v>
      </c>
      <c r="AL153" s="68">
        <f>IF(ISNUMBER(AL151),ROUND(AL151,0),NA())</f>
        <v>0</v>
      </c>
      <c r="AM153" s="68">
        <f>IF(ISNUMBER(AM151),ROUND(AM151,0),NA())</f>
        <v>0</v>
      </c>
      <c r="AN153" s="68">
        <f>IF(ISNUMBER(AN151),ROUND(AN151,0),NA())</f>
        <v>0</v>
      </c>
      <c r="AO153" s="68">
        <f>IF(ISNUMBER(AO151),ROUND(AO151,0),NA())</f>
        <v>0</v>
      </c>
    </row>
    <row r="154" spans="1:41">
      <c r="A154" s="11" t="s">
        <v>1001</v>
      </c>
      <c r="B154" s="11" t="s">
        <v>1002</v>
      </c>
      <c r="C154" s="67" t="s">
        <v>598</v>
      </c>
      <c r="D154" s="68">
        <v>10</v>
      </c>
    </row>
    <row r="155" spans="1:41">
      <c r="A155" s="11" t="s">
        <v>1003</v>
      </c>
      <c r="B155" s="11" t="s">
        <v>1004</v>
      </c>
      <c r="C155" s="67" t="s">
        <v>601</v>
      </c>
      <c r="D155" s="68">
        <f>IF(ISNUMBER(D10),D10/MAX(1,_xlfn.AGGREGATE(4,6,INDEX($D$10:$AD$10,28-$D$154):$AD$10),_xlfn.AGGREGATE(4,6,INDEX($D$11:$AD$11,28-$D$154):$AD$11)),NA())</f>
        <v>0</v>
      </c>
      <c r="E155" s="68">
        <f>IF(ISNUMBER(E10),E10/MAX(1,_xlfn.AGGREGATE(4,6,INDEX($D$10:$AD$10,28-$D$154):$AD$10),_xlfn.AGGREGATE(4,6,INDEX($D$11:$AD$11,28-$D$154):$AD$11)),NA())</f>
        <v>0</v>
      </c>
      <c r="F155" s="68">
        <f>IF(ISNUMBER(F10),F10/MAX(1,_xlfn.AGGREGATE(4,6,INDEX($D$10:$AD$10,28-$D$154):$AD$10),_xlfn.AGGREGATE(4,6,INDEX($D$11:$AD$11,28-$D$154):$AD$11)),NA())</f>
        <v>0</v>
      </c>
      <c r="G155" s="68">
        <f>IF(ISNUMBER(G10),G10/MAX(1,_xlfn.AGGREGATE(4,6,INDEX($D$10:$AD$10,28-$D$154):$AD$10),_xlfn.AGGREGATE(4,6,INDEX($D$11:$AD$11,28-$D$154):$AD$11)),NA())</f>
        <v>0</v>
      </c>
      <c r="H155" s="68">
        <f>IF(ISNUMBER(H10),H10/MAX(1,_xlfn.AGGREGATE(4,6,INDEX($D$10:$AD$10,28-$D$154):$AD$10),_xlfn.AGGREGATE(4,6,INDEX($D$11:$AD$11,28-$D$154):$AD$11)),NA())</f>
        <v>0</v>
      </c>
      <c r="I155" s="68">
        <f>IF(ISNUMBER(I10),I10/MAX(1,_xlfn.AGGREGATE(4,6,INDEX($D$10:$AD$10,28-$D$154):$AD$10),_xlfn.AGGREGATE(4,6,INDEX($D$11:$AD$11,28-$D$154):$AD$11)),NA())</f>
        <v>0</v>
      </c>
      <c r="J155" s="68">
        <f>IF(ISNUMBER(J10),J10/MAX(1,_xlfn.AGGREGATE(4,6,INDEX($D$10:$AD$10,28-$D$154):$AD$10),_xlfn.AGGREGATE(4,6,INDEX($D$11:$AD$11,28-$D$154):$AD$11)),NA())</f>
        <v>0</v>
      </c>
      <c r="K155" s="68">
        <f>IF(ISNUMBER(K10),K10/MAX(1,_xlfn.AGGREGATE(4,6,INDEX($D$10:$AD$10,28-$D$154):$AD$10),_xlfn.AGGREGATE(4,6,INDEX($D$11:$AD$11,28-$D$154):$AD$11)),NA())</f>
        <v>0</v>
      </c>
      <c r="L155" s="68">
        <f>IF(ISNUMBER(L10),L10/MAX(1,_xlfn.AGGREGATE(4,6,INDEX($D$10:$AD$10,28-$D$154):$AD$10),_xlfn.AGGREGATE(4,6,INDEX($D$11:$AD$11,28-$D$154):$AD$11)),NA())</f>
        <v>0</v>
      </c>
      <c r="M155" s="68">
        <f>IF(ISNUMBER(M10),M10/MAX(1,_xlfn.AGGREGATE(4,6,INDEX($D$10:$AD$10,28-$D$154):$AD$10),_xlfn.AGGREGATE(4,6,INDEX($D$11:$AD$11,28-$D$154):$AD$11)),NA())</f>
        <v>0</v>
      </c>
      <c r="N155" s="68">
        <f>IF(ISNUMBER(N10),N10/MAX(1,_xlfn.AGGREGATE(4,6,INDEX($D$10:$AD$10,28-$D$154):$AD$10),_xlfn.AGGREGATE(4,6,INDEX($D$11:$AD$11,28-$D$154):$AD$11)),NA())</f>
        <v>0</v>
      </c>
      <c r="O155" s="68">
        <f>IF(ISNUMBER(O10),O10/MAX(1,_xlfn.AGGREGATE(4,6,INDEX($D$10:$AD$10,28-$D$154):$AD$10),_xlfn.AGGREGATE(4,6,INDEX($D$11:$AD$11,28-$D$154):$AD$11)),NA())</f>
        <v>0</v>
      </c>
      <c r="P155" s="68">
        <f>IF(ISNUMBER(P10),P10/MAX(1,_xlfn.AGGREGATE(4,6,INDEX($D$10:$AD$10,28-$D$154):$AD$10),_xlfn.AGGREGATE(4,6,INDEX($D$11:$AD$11,28-$D$154):$AD$11)),NA())</f>
        <v>0</v>
      </c>
      <c r="Q155" s="68">
        <f>IF(ISNUMBER(Q10),Q10/MAX(1,_xlfn.AGGREGATE(4,6,INDEX($D$10:$AD$10,28-$D$154):$AD$10),_xlfn.AGGREGATE(4,6,INDEX($D$11:$AD$11,28-$D$154):$AD$11)),NA())</f>
        <v>0</v>
      </c>
      <c r="R155" s="68">
        <f>IF(ISNUMBER(R10),R10/MAX(1,_xlfn.AGGREGATE(4,6,INDEX($D$10:$AD$10,28-$D$154):$AD$10),_xlfn.AGGREGATE(4,6,INDEX($D$11:$AD$11,28-$D$154):$AD$11)),NA())</f>
        <v>0</v>
      </c>
      <c r="S155" s="68">
        <f>IF(ISNUMBER(S10),S10/MAX(1,_xlfn.AGGREGATE(4,6,INDEX($D$10:$AD$10,28-$D$154):$AD$10),_xlfn.AGGREGATE(4,6,INDEX($D$11:$AD$11,28-$D$154):$AD$11)),NA())</f>
        <v>0</v>
      </c>
      <c r="T155" s="68">
        <f>IF(ISNUMBER(T10),T10/MAX(1,_xlfn.AGGREGATE(4,6,INDEX($D$10:$AD$10,28-$D$154):$AD$10),_xlfn.AGGREGATE(4,6,INDEX($D$11:$AD$11,28-$D$154):$AD$11)),NA())</f>
        <v>0</v>
      </c>
      <c r="U155" s="68">
        <f>IF(ISNUMBER(U10),U10/MAX(1,_xlfn.AGGREGATE(4,6,INDEX($D$10:$AD$10,28-$D$154):$AD$10),_xlfn.AGGREGATE(4,6,INDEX($D$11:$AD$11,28-$D$154):$AD$11)),NA())</f>
        <v>0</v>
      </c>
      <c r="V155" s="68">
        <f>IF(ISNUMBER(V10),V10/MAX(1,_xlfn.AGGREGATE(4,6,INDEX($D$10:$AD$10,28-$D$154):$AD$10),_xlfn.AGGREGATE(4,6,INDEX($D$11:$AD$11,28-$D$154):$AD$11)),NA())</f>
        <v>0</v>
      </c>
      <c r="W155" s="68">
        <f>IF(ISNUMBER(W10),W10/MAX(1,_xlfn.AGGREGATE(4,6,INDEX($D$10:$AD$10,28-$D$154):$AD$10),_xlfn.AGGREGATE(4,6,INDEX($D$11:$AD$11,28-$D$154):$AD$11)),NA())</f>
        <v>0</v>
      </c>
      <c r="X155" s="68">
        <f>IF(ISNUMBER(X10),X10/MAX(1,_xlfn.AGGREGATE(4,6,INDEX($D$10:$AD$10,28-$D$154):$AD$10),_xlfn.AGGREGATE(4,6,INDEX($D$11:$AD$11,28-$D$154):$AD$11)),NA())</f>
        <v>0</v>
      </c>
      <c r="Y155" s="68">
        <f>IF(ISNUMBER(Y10),Y10/MAX(1,_xlfn.AGGREGATE(4,6,INDEX($D$10:$AD$10,28-$D$154):$AD$10),_xlfn.AGGREGATE(4,6,INDEX($D$11:$AD$11,28-$D$154):$AD$11)),NA())</f>
        <v>0</v>
      </c>
      <c r="Z155" s="68">
        <f>IF(ISNUMBER(Z10),Z10/MAX(1,_xlfn.AGGREGATE(4,6,INDEX($D$10:$AD$10,28-$D$154):$AD$10),_xlfn.AGGREGATE(4,6,INDEX($D$11:$AD$11,28-$D$154):$AD$11)),NA())</f>
        <v>0</v>
      </c>
      <c r="AA155" s="68">
        <f>IF(ISNUMBER(AA10),AA10/MAX(1,_xlfn.AGGREGATE(4,6,INDEX($D$10:$AD$10,28-$D$154):$AD$10),_xlfn.AGGREGATE(4,6,INDEX($D$11:$AD$11,28-$D$154):$AD$11)),NA())</f>
        <v>0</v>
      </c>
      <c r="AB155" s="68">
        <f>IF(ISNUMBER(AB10),AB10/MAX(1,_xlfn.AGGREGATE(4,6,INDEX($D$10:$AD$10,28-$D$154):$AD$10),_xlfn.AGGREGATE(4,6,INDEX($D$11:$AD$11,28-$D$154):$AD$11)),NA())</f>
        <v>0</v>
      </c>
      <c r="AC155" s="68">
        <f>IF(ISNUMBER(AC10),AC10/MAX(1,_xlfn.AGGREGATE(4,6,INDEX($D$10:$AD$10,28-$D$154):$AD$10),_xlfn.AGGREGATE(4,6,INDEX($D$11:$AD$11,28-$D$154):$AD$11)),NA())</f>
        <v>0</v>
      </c>
      <c r="AD155" s="68">
        <f>IF(ISNUMBER(AD10),AD10/MAX(1,_xlfn.AGGREGATE(4,6,INDEX($D$10:$AD$10,28-$D$154):$AD$10),_xlfn.AGGREGATE(4,6,INDEX($D$11:$AD$11,28-$D$154):$AD$11)),NA())</f>
        <v>0</v>
      </c>
    </row>
    <row r="156" spans="1:41">
      <c r="A156" s="11" t="s">
        <v>1005</v>
      </c>
      <c r="B156" s="11" t="s">
        <v>1006</v>
      </c>
      <c r="C156" s="67" t="s">
        <v>601</v>
      </c>
      <c r="D156" s="11">
        <f>IF(ISNUMBER(D10),FIXED(D10,0),"")</f>
        <v>0</v>
      </c>
      <c r="E156" s="11">
        <f>IF(ISNUMBER(E10),FIXED(E10,0),"")</f>
        <v>0</v>
      </c>
      <c r="F156" s="11">
        <f>IF(ISNUMBER(F10),FIXED(F10,0),"")</f>
        <v>0</v>
      </c>
      <c r="G156" s="11">
        <f>IF(ISNUMBER(G10),FIXED(G10,0),"")</f>
        <v>0</v>
      </c>
      <c r="H156" s="11">
        <f>IF(ISNUMBER(H10),FIXED(H10,0),"")</f>
        <v>0</v>
      </c>
      <c r="I156" s="11">
        <f>IF(ISNUMBER(I10),FIXED(I10,0),"")</f>
        <v>0</v>
      </c>
      <c r="J156" s="11">
        <f>IF(ISNUMBER(J10),FIXED(J10,0),"")</f>
        <v>0</v>
      </c>
      <c r="K156" s="11">
        <f>IF(ISNUMBER(K10),FIXED(K10,0),"")</f>
        <v>0</v>
      </c>
      <c r="L156" s="11">
        <f>IF(ISNUMBER(L10),FIXED(L10,0),"")</f>
        <v>0</v>
      </c>
      <c r="M156" s="11">
        <f>IF(ISNUMBER(M10),FIXED(M10,0),"")</f>
        <v>0</v>
      </c>
      <c r="N156" s="11">
        <f>IF(ISNUMBER(N10),FIXED(N10,0),"")</f>
        <v>0</v>
      </c>
      <c r="O156" s="11">
        <f>IF(ISNUMBER(O10),FIXED(O10,0),"")</f>
        <v>0</v>
      </c>
      <c r="P156" s="11">
        <f>IF(ISNUMBER(P10),FIXED(P10,0),"")</f>
        <v>0</v>
      </c>
      <c r="Q156" s="11">
        <f>IF(ISNUMBER(Q10),FIXED(Q10,0),"")</f>
        <v>0</v>
      </c>
      <c r="R156" s="11">
        <f>IF(ISNUMBER(R10),FIXED(R10,0),"")</f>
        <v>0</v>
      </c>
      <c r="S156" s="11">
        <f>IF(ISNUMBER(S10),FIXED(S10,0),"")</f>
        <v>0</v>
      </c>
      <c r="T156" s="11">
        <f>IF(ISNUMBER(T10),FIXED(T10,0),"")</f>
        <v>0</v>
      </c>
      <c r="U156" s="11">
        <f>IF(ISNUMBER(U10),FIXED(U10,0),"")</f>
        <v>0</v>
      </c>
      <c r="V156" s="11">
        <f>IF(ISNUMBER(V10),FIXED(V10,0),"")</f>
        <v>0</v>
      </c>
      <c r="W156" s="11">
        <f>IF(ISNUMBER(W10),FIXED(W10,0),"")</f>
        <v>0</v>
      </c>
      <c r="X156" s="11">
        <f>IF(ISNUMBER(X10),FIXED(X10,0),"")</f>
        <v>0</v>
      </c>
      <c r="Y156" s="11">
        <f>IF(ISNUMBER(Y10),FIXED(Y10,0),"")</f>
        <v>0</v>
      </c>
      <c r="Z156" s="11">
        <f>IF(ISNUMBER(Z10),FIXED(Z10,0),"")</f>
        <v>0</v>
      </c>
      <c r="AA156" s="11">
        <f>IF(ISNUMBER(AA10),FIXED(AA10,0),"")</f>
        <v>0</v>
      </c>
      <c r="AB156" s="11">
        <f>IF(ISNUMBER(AB10),FIXED(AB10,0),"")</f>
        <v>0</v>
      </c>
      <c r="AC156" s="11">
        <f>IF(ISNUMBER(AC10),FIXED(AC10,0),"")</f>
        <v>0</v>
      </c>
      <c r="AD156" s="11">
        <f>IF(ISNUMBER(AD10),FIXED(AD10,0),"")</f>
        <v>0</v>
      </c>
    </row>
    <row r="157" spans="1:41">
      <c r="A157" s="11" t="s">
        <v>1007</v>
      </c>
      <c r="B157" s="11" t="s">
        <v>1008</v>
      </c>
      <c r="C157" s="67" t="s">
        <v>601</v>
      </c>
      <c r="D157" s="68">
        <f>IF(ISNUMBER(D11),D11/MAX(1,_xlfn.AGGREGATE(4,6,INDEX($D$10:$AD$10,28-$D$154):$AD$10),_xlfn.AGGREGATE(4,6,INDEX($D$11:$AD$11,28-$D$154):$AD$11)),NA())</f>
        <v>0</v>
      </c>
      <c r="E157" s="68">
        <f>IF(ISNUMBER(E11),E11/MAX(1,_xlfn.AGGREGATE(4,6,INDEX($D$10:$AD$10,28-$D$154):$AD$10),_xlfn.AGGREGATE(4,6,INDEX($D$11:$AD$11,28-$D$154):$AD$11)),NA())</f>
        <v>0</v>
      </c>
      <c r="F157" s="68">
        <f>IF(ISNUMBER(F11),F11/MAX(1,_xlfn.AGGREGATE(4,6,INDEX($D$10:$AD$10,28-$D$154):$AD$10),_xlfn.AGGREGATE(4,6,INDEX($D$11:$AD$11,28-$D$154):$AD$11)),NA())</f>
        <v>0</v>
      </c>
      <c r="G157" s="68">
        <f>IF(ISNUMBER(G11),G11/MAX(1,_xlfn.AGGREGATE(4,6,INDEX($D$10:$AD$10,28-$D$154):$AD$10),_xlfn.AGGREGATE(4,6,INDEX($D$11:$AD$11,28-$D$154):$AD$11)),NA())</f>
        <v>0</v>
      </c>
      <c r="H157" s="68">
        <f>IF(ISNUMBER(H11),H11/MAX(1,_xlfn.AGGREGATE(4,6,INDEX($D$10:$AD$10,28-$D$154):$AD$10),_xlfn.AGGREGATE(4,6,INDEX($D$11:$AD$11,28-$D$154):$AD$11)),NA())</f>
        <v>0</v>
      </c>
      <c r="I157" s="68">
        <f>IF(ISNUMBER(I11),I11/MAX(1,_xlfn.AGGREGATE(4,6,INDEX($D$10:$AD$10,28-$D$154):$AD$10),_xlfn.AGGREGATE(4,6,INDEX($D$11:$AD$11,28-$D$154):$AD$11)),NA())</f>
        <v>0</v>
      </c>
      <c r="J157" s="68">
        <f>IF(ISNUMBER(J11),J11/MAX(1,_xlfn.AGGREGATE(4,6,INDEX($D$10:$AD$10,28-$D$154):$AD$10),_xlfn.AGGREGATE(4,6,INDEX($D$11:$AD$11,28-$D$154):$AD$11)),NA())</f>
        <v>0</v>
      </c>
      <c r="K157" s="68">
        <f>IF(ISNUMBER(K11),K11/MAX(1,_xlfn.AGGREGATE(4,6,INDEX($D$10:$AD$10,28-$D$154):$AD$10),_xlfn.AGGREGATE(4,6,INDEX($D$11:$AD$11,28-$D$154):$AD$11)),NA())</f>
        <v>0</v>
      </c>
      <c r="L157" s="68">
        <f>IF(ISNUMBER(L11),L11/MAX(1,_xlfn.AGGREGATE(4,6,INDEX($D$10:$AD$10,28-$D$154):$AD$10),_xlfn.AGGREGATE(4,6,INDEX($D$11:$AD$11,28-$D$154):$AD$11)),NA())</f>
        <v>0</v>
      </c>
      <c r="M157" s="68">
        <f>IF(ISNUMBER(M11),M11/MAX(1,_xlfn.AGGREGATE(4,6,INDEX($D$10:$AD$10,28-$D$154):$AD$10),_xlfn.AGGREGATE(4,6,INDEX($D$11:$AD$11,28-$D$154):$AD$11)),NA())</f>
        <v>0</v>
      </c>
      <c r="N157" s="68">
        <f>IF(ISNUMBER(N11),N11/MAX(1,_xlfn.AGGREGATE(4,6,INDEX($D$10:$AD$10,28-$D$154):$AD$10),_xlfn.AGGREGATE(4,6,INDEX($D$11:$AD$11,28-$D$154):$AD$11)),NA())</f>
        <v>0</v>
      </c>
      <c r="O157" s="68">
        <f>IF(ISNUMBER(O11),O11/MAX(1,_xlfn.AGGREGATE(4,6,INDEX($D$10:$AD$10,28-$D$154):$AD$10),_xlfn.AGGREGATE(4,6,INDEX($D$11:$AD$11,28-$D$154):$AD$11)),NA())</f>
        <v>0</v>
      </c>
      <c r="P157" s="68">
        <f>IF(ISNUMBER(P11),P11/MAX(1,_xlfn.AGGREGATE(4,6,INDEX($D$10:$AD$10,28-$D$154):$AD$10),_xlfn.AGGREGATE(4,6,INDEX($D$11:$AD$11,28-$D$154):$AD$11)),NA())</f>
        <v>0</v>
      </c>
      <c r="Q157" s="68">
        <f>IF(ISNUMBER(Q11),Q11/MAX(1,_xlfn.AGGREGATE(4,6,INDEX($D$10:$AD$10,28-$D$154):$AD$10),_xlfn.AGGREGATE(4,6,INDEX($D$11:$AD$11,28-$D$154):$AD$11)),NA())</f>
        <v>0</v>
      </c>
      <c r="R157" s="68">
        <f>IF(ISNUMBER(R11),R11/MAX(1,_xlfn.AGGREGATE(4,6,INDEX($D$10:$AD$10,28-$D$154):$AD$10),_xlfn.AGGREGATE(4,6,INDEX($D$11:$AD$11,28-$D$154):$AD$11)),NA())</f>
        <v>0</v>
      </c>
      <c r="S157" s="68">
        <f>IF(ISNUMBER(S11),S11/MAX(1,_xlfn.AGGREGATE(4,6,INDEX($D$10:$AD$10,28-$D$154):$AD$10),_xlfn.AGGREGATE(4,6,INDEX($D$11:$AD$11,28-$D$154):$AD$11)),NA())</f>
        <v>0</v>
      </c>
      <c r="T157" s="68">
        <f>IF(ISNUMBER(T11),T11/MAX(1,_xlfn.AGGREGATE(4,6,INDEX($D$10:$AD$10,28-$D$154):$AD$10),_xlfn.AGGREGATE(4,6,INDEX($D$11:$AD$11,28-$D$154):$AD$11)),NA())</f>
        <v>0</v>
      </c>
      <c r="U157" s="68">
        <f>IF(ISNUMBER(U11),U11/MAX(1,_xlfn.AGGREGATE(4,6,INDEX($D$10:$AD$10,28-$D$154):$AD$10),_xlfn.AGGREGATE(4,6,INDEX($D$11:$AD$11,28-$D$154):$AD$11)),NA())</f>
        <v>0</v>
      </c>
      <c r="V157" s="68">
        <f>IF(ISNUMBER(V11),V11/MAX(1,_xlfn.AGGREGATE(4,6,INDEX($D$10:$AD$10,28-$D$154):$AD$10),_xlfn.AGGREGATE(4,6,INDEX($D$11:$AD$11,28-$D$154):$AD$11)),NA())</f>
        <v>0</v>
      </c>
      <c r="W157" s="68">
        <f>IF(ISNUMBER(W11),W11/MAX(1,_xlfn.AGGREGATE(4,6,INDEX($D$10:$AD$10,28-$D$154):$AD$10),_xlfn.AGGREGATE(4,6,INDEX($D$11:$AD$11,28-$D$154):$AD$11)),NA())</f>
        <v>0</v>
      </c>
      <c r="X157" s="68">
        <f>IF(ISNUMBER(X11),X11/MAX(1,_xlfn.AGGREGATE(4,6,INDEX($D$10:$AD$10,28-$D$154):$AD$10),_xlfn.AGGREGATE(4,6,INDEX($D$11:$AD$11,28-$D$154):$AD$11)),NA())</f>
        <v>0</v>
      </c>
      <c r="Y157" s="68">
        <f>IF(ISNUMBER(Y11),Y11/MAX(1,_xlfn.AGGREGATE(4,6,INDEX($D$10:$AD$10,28-$D$154):$AD$10),_xlfn.AGGREGATE(4,6,INDEX($D$11:$AD$11,28-$D$154):$AD$11)),NA())</f>
        <v>0</v>
      </c>
      <c r="Z157" s="68">
        <f>IF(ISNUMBER(Z11),Z11/MAX(1,_xlfn.AGGREGATE(4,6,INDEX($D$10:$AD$10,28-$D$154):$AD$10),_xlfn.AGGREGATE(4,6,INDEX($D$11:$AD$11,28-$D$154):$AD$11)),NA())</f>
        <v>0</v>
      </c>
      <c r="AA157" s="68">
        <f>IF(ISNUMBER(AA11),AA11/MAX(1,_xlfn.AGGREGATE(4,6,INDEX($D$10:$AD$10,28-$D$154):$AD$10),_xlfn.AGGREGATE(4,6,INDEX($D$11:$AD$11,28-$D$154):$AD$11)),NA())</f>
        <v>0</v>
      </c>
      <c r="AB157" s="68">
        <f>IF(ISNUMBER(AB11),AB11/MAX(1,_xlfn.AGGREGATE(4,6,INDEX($D$10:$AD$10,28-$D$154):$AD$10),_xlfn.AGGREGATE(4,6,INDEX($D$11:$AD$11,28-$D$154):$AD$11)),NA())</f>
        <v>0</v>
      </c>
      <c r="AC157" s="68">
        <f>IF(ISNUMBER(AC11),AC11/MAX(1,_xlfn.AGGREGATE(4,6,INDEX($D$10:$AD$10,28-$D$154):$AD$10),_xlfn.AGGREGATE(4,6,INDEX($D$11:$AD$11,28-$D$154):$AD$11)),NA())</f>
        <v>0</v>
      </c>
      <c r="AD157" s="68">
        <f>IF(ISNUMBER(AD11),AD11/MAX(1,_xlfn.AGGREGATE(4,6,INDEX($D$10:$AD$10,28-$D$154):$AD$10),_xlfn.AGGREGATE(4,6,INDEX($D$11:$AD$11,28-$D$154):$AD$11)),NA())</f>
        <v>0</v>
      </c>
    </row>
    <row r="158" spans="1:41">
      <c r="A158" s="11" t="s">
        <v>1009</v>
      </c>
      <c r="B158" s="11" t="s">
        <v>1010</v>
      </c>
      <c r="C158" s="67" t="s">
        <v>601</v>
      </c>
      <c r="D158" s="11">
        <f>IF(ISNUMBER(D11),FIXED(D11,0),"")</f>
        <v>0</v>
      </c>
      <c r="E158" s="11">
        <f>IF(ISNUMBER(E11),FIXED(E11,0),"")</f>
        <v>0</v>
      </c>
      <c r="F158" s="11">
        <f>IF(ISNUMBER(F11),FIXED(F11,0),"")</f>
        <v>0</v>
      </c>
      <c r="G158" s="11">
        <f>IF(ISNUMBER(G11),FIXED(G11,0),"")</f>
        <v>0</v>
      </c>
      <c r="H158" s="11">
        <f>IF(ISNUMBER(H11),FIXED(H11,0),"")</f>
        <v>0</v>
      </c>
      <c r="I158" s="11">
        <f>IF(ISNUMBER(I11),FIXED(I11,0),"")</f>
        <v>0</v>
      </c>
      <c r="J158" s="11">
        <f>IF(ISNUMBER(J11),FIXED(J11,0),"")</f>
        <v>0</v>
      </c>
      <c r="K158" s="11">
        <f>IF(ISNUMBER(K11),FIXED(K11,0),"")</f>
        <v>0</v>
      </c>
      <c r="L158" s="11">
        <f>IF(ISNUMBER(L11),FIXED(L11,0),"")</f>
        <v>0</v>
      </c>
      <c r="M158" s="11">
        <f>IF(ISNUMBER(M11),FIXED(M11,0),"")</f>
        <v>0</v>
      </c>
      <c r="N158" s="11">
        <f>IF(ISNUMBER(N11),FIXED(N11,0),"")</f>
        <v>0</v>
      </c>
      <c r="O158" s="11">
        <f>IF(ISNUMBER(O11),FIXED(O11,0),"")</f>
        <v>0</v>
      </c>
      <c r="P158" s="11">
        <f>IF(ISNUMBER(P11),FIXED(P11,0),"")</f>
        <v>0</v>
      </c>
      <c r="Q158" s="11">
        <f>IF(ISNUMBER(Q11),FIXED(Q11,0),"")</f>
        <v>0</v>
      </c>
      <c r="R158" s="11">
        <f>IF(ISNUMBER(R11),FIXED(R11,0),"")</f>
        <v>0</v>
      </c>
      <c r="S158" s="11">
        <f>IF(ISNUMBER(S11),FIXED(S11,0),"")</f>
        <v>0</v>
      </c>
      <c r="T158" s="11">
        <f>IF(ISNUMBER(T11),FIXED(T11,0),"")</f>
        <v>0</v>
      </c>
      <c r="U158" s="11">
        <f>IF(ISNUMBER(U11),FIXED(U11,0),"")</f>
        <v>0</v>
      </c>
      <c r="V158" s="11">
        <f>IF(ISNUMBER(V11),FIXED(V11,0),"")</f>
        <v>0</v>
      </c>
      <c r="W158" s="11">
        <f>IF(ISNUMBER(W11),FIXED(W11,0),"")</f>
        <v>0</v>
      </c>
      <c r="X158" s="11">
        <f>IF(ISNUMBER(X11),FIXED(X11,0),"")</f>
        <v>0</v>
      </c>
      <c r="Y158" s="11">
        <f>IF(ISNUMBER(Y11),FIXED(Y11,0),"")</f>
        <v>0</v>
      </c>
      <c r="Z158" s="11">
        <f>IF(ISNUMBER(Z11),FIXED(Z11,0),"")</f>
        <v>0</v>
      </c>
      <c r="AA158" s="11">
        <f>IF(ISNUMBER(AA11),FIXED(AA11,0),"")</f>
        <v>0</v>
      </c>
      <c r="AB158" s="11">
        <f>IF(ISNUMBER(AB11),FIXED(AB11,0),"")</f>
        <v>0</v>
      </c>
      <c r="AC158" s="11">
        <f>IF(ISNUMBER(AC11),FIXED(AC11,0),"")</f>
        <v>0</v>
      </c>
      <c r="AD158" s="11">
        <f>IF(ISNUMBER(AD11),FIXED(AD11,0),"")</f>
        <v>0</v>
      </c>
    </row>
    <row r="159" spans="1:41">
      <c r="A159" s="11" t="s">
        <v>1011</v>
      </c>
      <c r="B159" s="11" t="s">
        <v>1012</v>
      </c>
      <c r="C159" s="67" t="s">
        <v>601</v>
      </c>
      <c r="D159" s="68">
        <f>IF(ISNUMBER(D10),IF(AND(D155&gt;=IFERROR(D157,-9),D155-IFERROR(D157,-9)&lt;0.28322),D157+0.28322,D155),NA())</f>
        <v>0</v>
      </c>
      <c r="E159" s="68">
        <f>IF(ISNUMBER(E10),IF(AND(E155&gt;=IFERROR(E157,-9),E155-IFERROR(E157,-9)&lt;0.28322),E157+0.28322,E155),NA())</f>
        <v>0</v>
      </c>
      <c r="F159" s="68">
        <f>IF(ISNUMBER(F10),IF(AND(F155&gt;=IFERROR(F157,-9),F155-IFERROR(F157,-9)&lt;0.28322),F157+0.28322,F155),NA())</f>
        <v>0</v>
      </c>
      <c r="G159" s="68">
        <f>IF(ISNUMBER(G10),IF(AND(G155&gt;=IFERROR(G157,-9),G155-IFERROR(G157,-9)&lt;0.28322),G157+0.28322,G155),NA())</f>
        <v>0</v>
      </c>
      <c r="H159" s="68">
        <f>IF(ISNUMBER(H10),IF(AND(H155&gt;=IFERROR(H157,-9),H155-IFERROR(H157,-9)&lt;0.28322),H157+0.28322,H155),NA())</f>
        <v>0</v>
      </c>
      <c r="I159" s="68">
        <f>IF(ISNUMBER(I10),IF(AND(I155&gt;=IFERROR(I157,-9),I155-IFERROR(I157,-9)&lt;0.28322),I157+0.28322,I155),NA())</f>
        <v>0</v>
      </c>
      <c r="J159" s="68">
        <f>IF(ISNUMBER(J10),IF(AND(J155&gt;=IFERROR(J157,-9),J155-IFERROR(J157,-9)&lt;0.28322),J157+0.28322,J155),NA())</f>
        <v>0</v>
      </c>
      <c r="K159" s="68">
        <f>IF(ISNUMBER(K10),IF(AND(K155&gt;=IFERROR(K157,-9),K155-IFERROR(K157,-9)&lt;0.28322),K157+0.28322,K155),NA())</f>
        <v>0</v>
      </c>
      <c r="L159" s="68">
        <f>IF(ISNUMBER(L10),IF(AND(L155&gt;=IFERROR(L157,-9),L155-IFERROR(L157,-9)&lt;0.28322),L157+0.28322,L155),NA())</f>
        <v>0</v>
      </c>
      <c r="M159" s="68">
        <f>IF(ISNUMBER(M10),IF(AND(M155&gt;=IFERROR(M157,-9),M155-IFERROR(M157,-9)&lt;0.28322),M157+0.28322,M155),NA())</f>
        <v>0</v>
      </c>
      <c r="N159" s="68">
        <f>IF(ISNUMBER(N10),IF(AND(N155&gt;=IFERROR(N157,-9),N155-IFERROR(N157,-9)&lt;0.28322),N157+0.28322,N155),NA())</f>
        <v>0</v>
      </c>
      <c r="O159" s="68">
        <f>IF(ISNUMBER(O10),IF(AND(O155&gt;=IFERROR(O157,-9),O155-IFERROR(O157,-9)&lt;0.28322),O157+0.28322,O155),NA())</f>
        <v>0</v>
      </c>
      <c r="P159" s="68">
        <f>IF(ISNUMBER(P10),IF(AND(P155&gt;=IFERROR(P157,-9),P155-IFERROR(P157,-9)&lt;0.28322),P157+0.28322,P155),NA())</f>
        <v>0</v>
      </c>
      <c r="Q159" s="68">
        <f>IF(ISNUMBER(Q10),IF(AND(Q155&gt;=IFERROR(Q157,-9),Q155-IFERROR(Q157,-9)&lt;0.28322),Q157+0.28322,Q155),NA())</f>
        <v>0</v>
      </c>
      <c r="R159" s="68">
        <f>IF(ISNUMBER(R10),IF(AND(R155&gt;=IFERROR(R157,-9),R155-IFERROR(R157,-9)&lt;0.28322),R157+0.28322,R155),NA())</f>
        <v>0</v>
      </c>
      <c r="S159" s="68">
        <f>IF(ISNUMBER(S10),IF(AND(S155&gt;=IFERROR(S157,-9),S155-IFERROR(S157,-9)&lt;0.28322),S157+0.28322,S155),NA())</f>
        <v>0</v>
      </c>
      <c r="T159" s="68">
        <f>IF(ISNUMBER(T10),IF(AND(T155&gt;=IFERROR(T157,-9),T155-IFERROR(T157,-9)&lt;0.28322),T157+0.28322,T155),NA())</f>
        <v>0</v>
      </c>
      <c r="U159" s="68">
        <f>IF(ISNUMBER(U10),IF(AND(U155&gt;=IFERROR(U157,-9),U155-IFERROR(U157,-9)&lt;0.28322),U157+0.28322,U155),NA())</f>
        <v>0</v>
      </c>
      <c r="V159" s="68">
        <f>IF(ISNUMBER(V10),IF(AND(V155&gt;=IFERROR(V157,-9),V155-IFERROR(V157,-9)&lt;0.28322),V157+0.28322,V155),NA())</f>
        <v>0</v>
      </c>
      <c r="W159" s="68">
        <f>IF(ISNUMBER(W10),IF(AND(W155&gt;=IFERROR(W157,-9),W155-IFERROR(W157,-9)&lt;0.28322),W157+0.28322,W155),NA())</f>
        <v>0</v>
      </c>
      <c r="X159" s="68">
        <f>IF(ISNUMBER(X10),IF(AND(X155&gt;=IFERROR(X157,-9),X155-IFERROR(X157,-9)&lt;0.28322),X157+0.28322,X155),NA())</f>
        <v>0</v>
      </c>
      <c r="Y159" s="68">
        <f>IF(ISNUMBER(Y10),IF(AND(Y155&gt;=IFERROR(Y157,-9),Y155-IFERROR(Y157,-9)&lt;0.28322),Y157+0.28322,Y155),NA())</f>
        <v>0</v>
      </c>
      <c r="Z159" s="68">
        <f>IF(ISNUMBER(Z10),IF(AND(Z155&gt;=IFERROR(Z157,-9),Z155-IFERROR(Z157,-9)&lt;0.28322),Z157+0.28322,Z155),NA())</f>
        <v>0</v>
      </c>
      <c r="AA159" s="68">
        <f>IF(ISNUMBER(AA10),IF(AND(AA155&gt;=IFERROR(AA157,-9),AA155-IFERROR(AA157,-9)&lt;0.28322),AA157+0.28322,AA155),NA())</f>
        <v>0</v>
      </c>
      <c r="AB159" s="68">
        <f>IF(ISNUMBER(AB10),IF(AND(AB155&gt;=IFERROR(AB157,-9),AB155-IFERROR(AB157,-9)&lt;0.28322),AB157+0.28322,AB155),NA())</f>
        <v>0</v>
      </c>
      <c r="AC159" s="68">
        <f>IF(ISNUMBER(AC10),IF(AND(AC155&gt;=IFERROR(AC157,-9),AC155-IFERROR(AC157,-9)&lt;0.28322),AC157+0.28322,AC155),NA())</f>
        <v>0</v>
      </c>
      <c r="AD159" s="68">
        <f>IF(ISNUMBER(AD10),IF(AND(AD155&gt;=IFERROR(AD157,-9),AD155-IFERROR(AD157,-9)&lt;0.28322),AD157+0.28322,AD155),NA())</f>
        <v>0</v>
      </c>
    </row>
    <row r="160" spans="1:41">
      <c r="A160" s="11" t="s">
        <v>1013</v>
      </c>
      <c r="B160" s="11" t="s">
        <v>1014</v>
      </c>
      <c r="C160" s="67" t="s">
        <v>601</v>
      </c>
      <c r="D160" s="68">
        <f>IF(ISNUMBER(D11),IF(AND(D157&gt;IFERROR(D155,-9),D157-IFERROR(D155,-9)&lt;0.28322),D155+0.28322,D157),NA())</f>
        <v>0</v>
      </c>
      <c r="E160" s="68">
        <f>IF(ISNUMBER(E11),IF(AND(E157&gt;IFERROR(E155,-9),E157-IFERROR(E155,-9)&lt;0.28322),E155+0.28322,E157),NA())</f>
        <v>0</v>
      </c>
      <c r="F160" s="68">
        <f>IF(ISNUMBER(F11),IF(AND(F157&gt;IFERROR(F155,-9),F157-IFERROR(F155,-9)&lt;0.28322),F155+0.28322,F157),NA())</f>
        <v>0</v>
      </c>
      <c r="G160" s="68">
        <f>IF(ISNUMBER(G11),IF(AND(G157&gt;IFERROR(G155,-9),G157-IFERROR(G155,-9)&lt;0.28322),G155+0.28322,G157),NA())</f>
        <v>0</v>
      </c>
      <c r="H160" s="68">
        <f>IF(ISNUMBER(H11),IF(AND(H157&gt;IFERROR(H155,-9),H157-IFERROR(H155,-9)&lt;0.28322),H155+0.28322,H157),NA())</f>
        <v>0</v>
      </c>
      <c r="I160" s="68">
        <f>IF(ISNUMBER(I11),IF(AND(I157&gt;IFERROR(I155,-9),I157-IFERROR(I155,-9)&lt;0.28322),I155+0.28322,I157),NA())</f>
        <v>0</v>
      </c>
      <c r="J160" s="68">
        <f>IF(ISNUMBER(J11),IF(AND(J157&gt;IFERROR(J155,-9),J157-IFERROR(J155,-9)&lt;0.28322),J155+0.28322,J157),NA())</f>
        <v>0</v>
      </c>
      <c r="K160" s="68">
        <f>IF(ISNUMBER(K11),IF(AND(K157&gt;IFERROR(K155,-9),K157-IFERROR(K155,-9)&lt;0.28322),K155+0.28322,K157),NA())</f>
        <v>0</v>
      </c>
      <c r="L160" s="68">
        <f>IF(ISNUMBER(L11),IF(AND(L157&gt;IFERROR(L155,-9),L157-IFERROR(L155,-9)&lt;0.28322),L155+0.28322,L157),NA())</f>
        <v>0</v>
      </c>
      <c r="M160" s="68">
        <f>IF(ISNUMBER(M11),IF(AND(M157&gt;IFERROR(M155,-9),M157-IFERROR(M155,-9)&lt;0.28322),M155+0.28322,M157),NA())</f>
        <v>0</v>
      </c>
      <c r="N160" s="68">
        <f>IF(ISNUMBER(N11),IF(AND(N157&gt;IFERROR(N155,-9),N157-IFERROR(N155,-9)&lt;0.28322),N155+0.28322,N157),NA())</f>
        <v>0</v>
      </c>
      <c r="O160" s="68">
        <f>IF(ISNUMBER(O11),IF(AND(O157&gt;IFERROR(O155,-9),O157-IFERROR(O155,-9)&lt;0.28322),O155+0.28322,O157),NA())</f>
        <v>0</v>
      </c>
      <c r="P160" s="68">
        <f>IF(ISNUMBER(P11),IF(AND(P157&gt;IFERROR(P155,-9),P157-IFERROR(P155,-9)&lt;0.28322),P155+0.28322,P157),NA())</f>
        <v>0</v>
      </c>
      <c r="Q160" s="68">
        <f>IF(ISNUMBER(Q11),IF(AND(Q157&gt;IFERROR(Q155,-9),Q157-IFERROR(Q155,-9)&lt;0.28322),Q155+0.28322,Q157),NA())</f>
        <v>0</v>
      </c>
      <c r="R160" s="68">
        <f>IF(ISNUMBER(R11),IF(AND(R157&gt;IFERROR(R155,-9),R157-IFERROR(R155,-9)&lt;0.28322),R155+0.28322,R157),NA())</f>
        <v>0</v>
      </c>
      <c r="S160" s="68">
        <f>IF(ISNUMBER(S11),IF(AND(S157&gt;IFERROR(S155,-9),S157-IFERROR(S155,-9)&lt;0.28322),S155+0.28322,S157),NA())</f>
        <v>0</v>
      </c>
      <c r="T160" s="68">
        <f>IF(ISNUMBER(T11),IF(AND(T157&gt;IFERROR(T155,-9),T157-IFERROR(T155,-9)&lt;0.28322),T155+0.28322,T157),NA())</f>
        <v>0</v>
      </c>
      <c r="U160" s="68">
        <f>IF(ISNUMBER(U11),IF(AND(U157&gt;IFERROR(U155,-9),U157-IFERROR(U155,-9)&lt;0.28322),U155+0.28322,U157),NA())</f>
        <v>0</v>
      </c>
      <c r="V160" s="68">
        <f>IF(ISNUMBER(V11),IF(AND(V157&gt;IFERROR(V155,-9),V157-IFERROR(V155,-9)&lt;0.28322),V155+0.28322,V157),NA())</f>
        <v>0</v>
      </c>
      <c r="W160" s="68">
        <f>IF(ISNUMBER(W11),IF(AND(W157&gt;IFERROR(W155,-9),W157-IFERROR(W155,-9)&lt;0.28322),W155+0.28322,W157),NA())</f>
        <v>0</v>
      </c>
      <c r="X160" s="68">
        <f>IF(ISNUMBER(X11),IF(AND(X157&gt;IFERROR(X155,-9),X157-IFERROR(X155,-9)&lt;0.28322),X155+0.28322,X157),NA())</f>
        <v>0</v>
      </c>
      <c r="Y160" s="68">
        <f>IF(ISNUMBER(Y11),IF(AND(Y157&gt;IFERROR(Y155,-9),Y157-IFERROR(Y155,-9)&lt;0.28322),Y155+0.28322,Y157),NA())</f>
        <v>0</v>
      </c>
      <c r="Z160" s="68">
        <f>IF(ISNUMBER(Z11),IF(AND(Z157&gt;IFERROR(Z155,-9),Z157-IFERROR(Z155,-9)&lt;0.28322),Z155+0.28322,Z157),NA())</f>
        <v>0</v>
      </c>
      <c r="AA160" s="68">
        <f>IF(ISNUMBER(AA11),IF(AND(AA157&gt;IFERROR(AA155,-9),AA157-IFERROR(AA155,-9)&lt;0.28322),AA155+0.28322,AA157),NA())</f>
        <v>0</v>
      </c>
      <c r="AB160" s="68">
        <f>IF(ISNUMBER(AB11),IF(AND(AB157&gt;IFERROR(AB155,-9),AB157-IFERROR(AB155,-9)&lt;0.28322),AB155+0.28322,AB157),NA())</f>
        <v>0</v>
      </c>
      <c r="AC160" s="68">
        <f>IF(ISNUMBER(AC11),IF(AND(AC157&gt;IFERROR(AC155,-9),AC157-IFERROR(AC155,-9)&lt;0.28322),AC155+0.28322,AC157),NA())</f>
        <v>0</v>
      </c>
      <c r="AD160" s="68">
        <f>IF(ISNUMBER(AD11),IF(AND(AD157&gt;IFERROR(AD155,-9),AD157-IFERROR(AD155,-9)&lt;0.28322),AD155+0.28322,AD157),NA())</f>
        <v>0</v>
      </c>
    </row>
    <row r="161" spans="1:30">
      <c r="A161" s="11" t="s">
        <v>1015</v>
      </c>
      <c r="B161" s="11" t="s">
        <v>1016</v>
      </c>
      <c r="C161" s="67" t="s">
        <v>598</v>
      </c>
      <c r="D161" s="68">
        <v>1</v>
      </c>
    </row>
    <row r="162" spans="1:30">
      <c r="A162" s="11" t="s">
        <v>1017</v>
      </c>
      <c r="B162" s="11" t="s">
        <v>1018</v>
      </c>
      <c r="C162" s="67" t="s">
        <v>601</v>
      </c>
      <c r="D162" s="68">
        <f>IF(AND($D$161=1,ISNUMBER(D10),ISNUMBER(D11)),IF((D10-D11)&gt;0,0.5,NA()),NA())</f>
        <v>0</v>
      </c>
      <c r="E162" s="68">
        <f>IF(AND($D$161=1,ISNUMBER(E10),ISNUMBER(E11)),IF((E10-E11)&gt;0,0.5,NA()),NA())</f>
        <v>0</v>
      </c>
      <c r="F162" s="68">
        <f>IF(AND($D$161=1,ISNUMBER(F10),ISNUMBER(F11)),IF((F10-F11)&gt;0,0.5,NA()),NA())</f>
        <v>0</v>
      </c>
      <c r="G162" s="68">
        <f>IF(AND($D$161=1,ISNUMBER(G10),ISNUMBER(G11)),IF((G10-G11)&gt;0,0.5,NA()),NA())</f>
        <v>0</v>
      </c>
      <c r="H162" s="68">
        <f>IF(AND($D$161=1,ISNUMBER(H10),ISNUMBER(H11)),IF((H10-H11)&gt;0,0.5,NA()),NA())</f>
        <v>0</v>
      </c>
      <c r="I162" s="68">
        <f>IF(AND($D$161=1,ISNUMBER(I10),ISNUMBER(I11)),IF((I10-I11)&gt;0,0.5,NA()),NA())</f>
        <v>0</v>
      </c>
      <c r="J162" s="68">
        <f>IF(AND($D$161=1,ISNUMBER(J10),ISNUMBER(J11)),IF((J10-J11)&gt;0,0.5,NA()),NA())</f>
        <v>0</v>
      </c>
      <c r="K162" s="68">
        <f>IF(AND($D$161=1,ISNUMBER(K10),ISNUMBER(K11)),IF((K10-K11)&gt;0,0.5,NA()),NA())</f>
        <v>0</v>
      </c>
      <c r="L162" s="68">
        <f>IF(AND($D$161=1,ISNUMBER(L10),ISNUMBER(L11)),IF((L10-L11)&gt;0,0.5,NA()),NA())</f>
        <v>0</v>
      </c>
      <c r="M162" s="68">
        <f>IF(AND($D$161=1,ISNUMBER(M10),ISNUMBER(M11)),IF((M10-M11)&gt;0,0.5,NA()),NA())</f>
        <v>0</v>
      </c>
      <c r="N162" s="68">
        <f>IF(AND($D$161=1,ISNUMBER(N10),ISNUMBER(N11)),IF((N10-N11)&gt;0,0.5,NA()),NA())</f>
        <v>0</v>
      </c>
      <c r="O162" s="68">
        <f>IF(AND($D$161=1,ISNUMBER(O10),ISNUMBER(O11)),IF((O10-O11)&gt;0,0.5,NA()),NA())</f>
        <v>0</v>
      </c>
      <c r="P162" s="68">
        <f>IF(AND($D$161=1,ISNUMBER(P10),ISNUMBER(P11)),IF((P10-P11)&gt;0,0.5,NA()),NA())</f>
        <v>0</v>
      </c>
      <c r="Q162" s="68">
        <f>IF(AND($D$161=1,ISNUMBER(Q10),ISNUMBER(Q11)),IF((Q10-Q11)&gt;0,0.5,NA()),NA())</f>
        <v>0</v>
      </c>
      <c r="R162" s="68">
        <f>IF(AND($D$161=1,ISNUMBER(R10),ISNUMBER(R11)),IF((R10-R11)&gt;0,0.5,NA()),NA())</f>
        <v>0</v>
      </c>
      <c r="S162" s="68">
        <f>IF(AND($D$161=1,ISNUMBER(S10),ISNUMBER(S11)),IF((S10-S11)&gt;0,0.5,NA()),NA())</f>
        <v>0</v>
      </c>
      <c r="T162" s="68">
        <f>IF(AND($D$161=1,ISNUMBER(T10),ISNUMBER(T11)),IF((T10-T11)&gt;0,0.5,NA()),NA())</f>
        <v>0</v>
      </c>
      <c r="U162" s="68">
        <f>IF(AND($D$161=1,ISNUMBER(U10),ISNUMBER(U11)),IF((U10-U11)&gt;0,0.5,NA()),NA())</f>
        <v>0</v>
      </c>
      <c r="V162" s="68">
        <f>IF(AND($D$161=1,ISNUMBER(V10),ISNUMBER(V11)),IF((V10-V11)&gt;0,0.5,NA()),NA())</f>
        <v>0</v>
      </c>
      <c r="W162" s="68">
        <f>IF(AND($D$161=1,ISNUMBER(W10),ISNUMBER(W11)),IF((W10-W11)&gt;0,0.5,NA()),NA())</f>
        <v>0</v>
      </c>
      <c r="X162" s="68">
        <f>IF(AND($D$161=1,ISNUMBER(X10),ISNUMBER(X11)),IF((X10-X11)&gt;0,0.5,NA()),NA())</f>
        <v>0</v>
      </c>
      <c r="Y162" s="68">
        <f>IF(AND($D$161=1,ISNUMBER(Y10),ISNUMBER(Y11)),IF((Y10-Y11)&gt;0,0.5,NA()),NA())</f>
        <v>0</v>
      </c>
      <c r="Z162" s="68">
        <f>IF(AND($D$161=1,ISNUMBER(Z10),ISNUMBER(Z11)),IF((Z10-Z11)&gt;0,0.5,NA()),NA())</f>
        <v>0</v>
      </c>
      <c r="AA162" s="68">
        <f>IF(AND($D$161=1,ISNUMBER(AA10),ISNUMBER(AA11)),IF((AA10-AA11)&gt;0,0.5,NA()),NA())</f>
        <v>0</v>
      </c>
      <c r="AB162" s="68">
        <f>IF(AND($D$161=1,ISNUMBER(AB10),ISNUMBER(AB11)),IF((AB10-AB11)&gt;0,0.5,NA()),NA())</f>
        <v>0</v>
      </c>
      <c r="AC162" s="68">
        <f>IF(AND($D$161=1,ISNUMBER(AC10),ISNUMBER(AC11)),IF((AC10-AC11)&gt;0,0.5,NA()),NA())</f>
        <v>0</v>
      </c>
      <c r="AD162" s="68">
        <f>IF(AND($D$161=1,ISNUMBER(AD10),ISNUMBER(AD11)),IF((AD10-AD11)&gt;0,0.5,NA()),NA())</f>
        <v>0</v>
      </c>
    </row>
    <row r="163" spans="1:30">
      <c r="A163" s="11" t="s">
        <v>1019</v>
      </c>
      <c r="B163" s="11" t="s">
        <v>1020</v>
      </c>
      <c r="C163" s="67" t="s">
        <v>601</v>
      </c>
      <c r="D163" s="68">
        <f>IF(AND($D$161=1,ISNUMBER(D10),ISNUMBER(D11)),IF((D10-D11)&lt;0,0.5,NA()),NA())</f>
        <v>0</v>
      </c>
      <c r="E163" s="68">
        <f>IF(AND($D$161=1,ISNUMBER(E10),ISNUMBER(E11)),IF((E10-E11)&lt;0,0.5,NA()),NA())</f>
        <v>0</v>
      </c>
      <c r="F163" s="68">
        <f>IF(AND($D$161=1,ISNUMBER(F10),ISNUMBER(F11)),IF((F10-F11)&lt;0,0.5,NA()),NA())</f>
        <v>0</v>
      </c>
      <c r="G163" s="68">
        <f>IF(AND($D$161=1,ISNUMBER(G10),ISNUMBER(G11)),IF((G10-G11)&lt;0,0.5,NA()),NA())</f>
        <v>0</v>
      </c>
      <c r="H163" s="68">
        <f>IF(AND($D$161=1,ISNUMBER(H10),ISNUMBER(H11)),IF((H10-H11)&lt;0,0.5,NA()),NA())</f>
        <v>0</v>
      </c>
      <c r="I163" s="68">
        <f>IF(AND($D$161=1,ISNUMBER(I10),ISNUMBER(I11)),IF((I10-I11)&lt;0,0.5,NA()),NA())</f>
        <v>0</v>
      </c>
      <c r="J163" s="68">
        <f>IF(AND($D$161=1,ISNUMBER(J10),ISNUMBER(J11)),IF((J10-J11)&lt;0,0.5,NA()),NA())</f>
        <v>0</v>
      </c>
      <c r="K163" s="68">
        <f>IF(AND($D$161=1,ISNUMBER(K10),ISNUMBER(K11)),IF((K10-K11)&lt;0,0.5,NA()),NA())</f>
        <v>0</v>
      </c>
      <c r="L163" s="68">
        <f>IF(AND($D$161=1,ISNUMBER(L10),ISNUMBER(L11)),IF((L10-L11)&lt;0,0.5,NA()),NA())</f>
        <v>0</v>
      </c>
      <c r="M163" s="68">
        <f>IF(AND($D$161=1,ISNUMBER(M10),ISNUMBER(M11)),IF((M10-M11)&lt;0,0.5,NA()),NA())</f>
        <v>0</v>
      </c>
      <c r="N163" s="68">
        <f>IF(AND($D$161=1,ISNUMBER(N10),ISNUMBER(N11)),IF((N10-N11)&lt;0,0.5,NA()),NA())</f>
        <v>0</v>
      </c>
      <c r="O163" s="68">
        <f>IF(AND($D$161=1,ISNUMBER(O10),ISNUMBER(O11)),IF((O10-O11)&lt;0,0.5,NA()),NA())</f>
        <v>0</v>
      </c>
      <c r="P163" s="68">
        <f>IF(AND($D$161=1,ISNUMBER(P10),ISNUMBER(P11)),IF((P10-P11)&lt;0,0.5,NA()),NA())</f>
        <v>0</v>
      </c>
      <c r="Q163" s="68">
        <f>IF(AND($D$161=1,ISNUMBER(Q10),ISNUMBER(Q11)),IF((Q10-Q11)&lt;0,0.5,NA()),NA())</f>
        <v>0</v>
      </c>
      <c r="R163" s="68">
        <f>IF(AND($D$161=1,ISNUMBER(R10),ISNUMBER(R11)),IF((R10-R11)&lt;0,0.5,NA()),NA())</f>
        <v>0</v>
      </c>
      <c r="S163" s="68">
        <f>IF(AND($D$161=1,ISNUMBER(S10),ISNUMBER(S11)),IF((S10-S11)&lt;0,0.5,NA()),NA())</f>
        <v>0</v>
      </c>
      <c r="T163" s="68">
        <f>IF(AND($D$161=1,ISNUMBER(T10),ISNUMBER(T11)),IF((T10-T11)&lt;0,0.5,NA()),NA())</f>
        <v>0</v>
      </c>
      <c r="U163" s="68">
        <f>IF(AND($D$161=1,ISNUMBER(U10),ISNUMBER(U11)),IF((U10-U11)&lt;0,0.5,NA()),NA())</f>
        <v>0</v>
      </c>
      <c r="V163" s="68">
        <f>IF(AND($D$161=1,ISNUMBER(V10),ISNUMBER(V11)),IF((V10-V11)&lt;0,0.5,NA()),NA())</f>
        <v>0</v>
      </c>
      <c r="W163" s="68">
        <f>IF(AND($D$161=1,ISNUMBER(W10),ISNUMBER(W11)),IF((W10-W11)&lt;0,0.5,NA()),NA())</f>
        <v>0</v>
      </c>
      <c r="X163" s="68">
        <f>IF(AND($D$161=1,ISNUMBER(X10),ISNUMBER(X11)),IF((X10-X11)&lt;0,0.5,NA()),NA())</f>
        <v>0</v>
      </c>
      <c r="Y163" s="68">
        <f>IF(AND($D$161=1,ISNUMBER(Y10),ISNUMBER(Y11)),IF((Y10-Y11)&lt;0,0.5,NA()),NA())</f>
        <v>0</v>
      </c>
      <c r="Z163" s="68">
        <f>IF(AND($D$161=1,ISNUMBER(Z10),ISNUMBER(Z11)),IF((Z10-Z11)&lt;0,0.5,NA()),NA())</f>
        <v>0</v>
      </c>
      <c r="AA163" s="68">
        <f>IF(AND($D$161=1,ISNUMBER(AA10),ISNUMBER(AA11)),IF((AA10-AA11)&lt;0,0.5,NA()),NA())</f>
        <v>0</v>
      </c>
      <c r="AB163" s="68">
        <f>IF(AND($D$161=1,ISNUMBER(AB10),ISNUMBER(AB11)),IF((AB10-AB11)&lt;0,0.5,NA()),NA())</f>
        <v>0</v>
      </c>
      <c r="AC163" s="68">
        <f>IF(AND($D$161=1,ISNUMBER(AC10),ISNUMBER(AC11)),IF((AC10-AC11)&lt;0,0.5,NA()),NA())</f>
        <v>0</v>
      </c>
      <c r="AD163" s="68">
        <f>IF(AND($D$161=1,ISNUMBER(AD10),ISNUMBER(AD11)),IF((AD10-AD11)&lt;0,0.5,NA()),NA())</f>
        <v>0</v>
      </c>
    </row>
    <row r="164" spans="1:30">
      <c r="A164" s="11" t="s">
        <v>1021</v>
      </c>
      <c r="B164" s="11" t="s">
        <v>1022</v>
      </c>
      <c r="C164" s="67" t="s">
        <v>601</v>
      </c>
      <c r="D164" s="68">
        <f>IF(AND($D$161=1,ISNUMBER(D10),ISNUMBER(D11)),IF((D10-D11)=0,0.5,NA()),NA())</f>
        <v>0</v>
      </c>
      <c r="E164" s="68">
        <f>IF(AND($D$161=1,ISNUMBER(E10),ISNUMBER(E11)),IF((E10-E11)=0,0.5,NA()),NA())</f>
        <v>0</v>
      </c>
      <c r="F164" s="68">
        <f>IF(AND($D$161=1,ISNUMBER(F10),ISNUMBER(F11)),IF((F10-F11)=0,0.5,NA()),NA())</f>
        <v>0</v>
      </c>
      <c r="G164" s="68">
        <f>IF(AND($D$161=1,ISNUMBER(G10),ISNUMBER(G11)),IF((G10-G11)=0,0.5,NA()),NA())</f>
        <v>0</v>
      </c>
      <c r="H164" s="68">
        <f>IF(AND($D$161=1,ISNUMBER(H10),ISNUMBER(H11)),IF((H10-H11)=0,0.5,NA()),NA())</f>
        <v>0</v>
      </c>
      <c r="I164" s="68">
        <f>IF(AND($D$161=1,ISNUMBER(I10),ISNUMBER(I11)),IF((I10-I11)=0,0.5,NA()),NA())</f>
        <v>0</v>
      </c>
      <c r="J164" s="68">
        <f>IF(AND($D$161=1,ISNUMBER(J10),ISNUMBER(J11)),IF((J10-J11)=0,0.5,NA()),NA())</f>
        <v>0</v>
      </c>
      <c r="K164" s="68">
        <f>IF(AND($D$161=1,ISNUMBER(K10),ISNUMBER(K11)),IF((K10-K11)=0,0.5,NA()),NA())</f>
        <v>0</v>
      </c>
      <c r="L164" s="68">
        <f>IF(AND($D$161=1,ISNUMBER(L10),ISNUMBER(L11)),IF((L10-L11)=0,0.5,NA()),NA())</f>
        <v>0</v>
      </c>
      <c r="M164" s="68">
        <f>IF(AND($D$161=1,ISNUMBER(M10),ISNUMBER(M11)),IF((M10-M11)=0,0.5,NA()),NA())</f>
        <v>0</v>
      </c>
      <c r="N164" s="68">
        <f>IF(AND($D$161=1,ISNUMBER(N10),ISNUMBER(N11)),IF((N10-N11)=0,0.5,NA()),NA())</f>
        <v>0</v>
      </c>
      <c r="O164" s="68">
        <f>IF(AND($D$161=1,ISNUMBER(O10),ISNUMBER(O11)),IF((O10-O11)=0,0.5,NA()),NA())</f>
        <v>0</v>
      </c>
      <c r="P164" s="68">
        <f>IF(AND($D$161=1,ISNUMBER(P10),ISNUMBER(P11)),IF((P10-P11)=0,0.5,NA()),NA())</f>
        <v>0</v>
      </c>
      <c r="Q164" s="68">
        <f>IF(AND($D$161=1,ISNUMBER(Q10),ISNUMBER(Q11)),IF((Q10-Q11)=0,0.5,NA()),NA())</f>
        <v>0</v>
      </c>
      <c r="R164" s="68">
        <f>IF(AND($D$161=1,ISNUMBER(R10),ISNUMBER(R11)),IF((R10-R11)=0,0.5,NA()),NA())</f>
        <v>0</v>
      </c>
      <c r="S164" s="68">
        <f>IF(AND($D$161=1,ISNUMBER(S10),ISNUMBER(S11)),IF((S10-S11)=0,0.5,NA()),NA())</f>
        <v>0</v>
      </c>
      <c r="T164" s="68">
        <f>IF(AND($D$161=1,ISNUMBER(T10),ISNUMBER(T11)),IF((T10-T11)=0,0.5,NA()),NA())</f>
        <v>0</v>
      </c>
      <c r="U164" s="68">
        <f>IF(AND($D$161=1,ISNUMBER(U10),ISNUMBER(U11)),IF((U10-U11)=0,0.5,NA()),NA())</f>
        <v>0</v>
      </c>
      <c r="V164" s="68">
        <f>IF(AND($D$161=1,ISNUMBER(V10),ISNUMBER(V11)),IF((V10-V11)=0,0.5,NA()),NA())</f>
        <v>0</v>
      </c>
      <c r="W164" s="68">
        <f>IF(AND($D$161=1,ISNUMBER(W10),ISNUMBER(W11)),IF((W10-W11)=0,0.5,NA()),NA())</f>
        <v>0</v>
      </c>
      <c r="X164" s="68">
        <f>IF(AND($D$161=1,ISNUMBER(X10),ISNUMBER(X11)),IF((X10-X11)=0,0.5,NA()),NA())</f>
        <v>0</v>
      </c>
      <c r="Y164" s="68">
        <f>IF(AND($D$161=1,ISNUMBER(Y10),ISNUMBER(Y11)),IF((Y10-Y11)=0,0.5,NA()),NA())</f>
        <v>0</v>
      </c>
      <c r="Z164" s="68">
        <f>IF(AND($D$161=1,ISNUMBER(Z10),ISNUMBER(Z11)),IF((Z10-Z11)=0,0.5,NA()),NA())</f>
        <v>0</v>
      </c>
      <c r="AA164" s="68">
        <f>IF(AND($D$161=1,ISNUMBER(AA10),ISNUMBER(AA11)),IF((AA10-AA11)=0,0.5,NA()),NA())</f>
        <v>0</v>
      </c>
      <c r="AB164" s="68">
        <f>IF(AND($D$161=1,ISNUMBER(AB10),ISNUMBER(AB11)),IF((AB10-AB11)=0,0.5,NA()),NA())</f>
        <v>0</v>
      </c>
      <c r="AC164" s="68">
        <f>IF(AND($D$161=1,ISNUMBER(AC10),ISNUMBER(AC11)),IF((AC10-AC11)=0,0.5,NA()),NA())</f>
        <v>0</v>
      </c>
      <c r="AD164" s="68">
        <f>IF(AND($D$161=1,ISNUMBER(AD10),ISNUMBER(AD11)),IF((AD10-AD11)=0,0.5,NA()),NA())</f>
        <v>0</v>
      </c>
    </row>
    <row r="165" spans="1:30">
      <c r="A165" s="11" t="s">
        <v>1023</v>
      </c>
      <c r="B165" s="11" t="s">
        <v>1024</v>
      </c>
      <c r="C165" s="67" t="s">
        <v>601</v>
      </c>
      <c r="D165" s="11">
        <f>IF(AND(ISNUMBER(D10),ISNUMBER(D11)),IF((D10-D11)&gt;0,"+"&amp;FIXED((D10-D11),0),IF((D10-D11)&lt;0,"−"&amp;FIXED(-(D10-D11),0),"±0")),"")</f>
        <v>0</v>
      </c>
      <c r="E165" s="11">
        <f>IF(AND(ISNUMBER(E10),ISNUMBER(E11)),IF((E10-E11)&gt;0,"+"&amp;FIXED((E10-E11),0),IF((E10-E11)&lt;0,"−"&amp;FIXED(-(E10-E11),0),"±0")),"")</f>
        <v>0</v>
      </c>
      <c r="F165" s="11">
        <f>IF(AND(ISNUMBER(F10),ISNUMBER(F11)),IF((F10-F11)&gt;0,"+"&amp;FIXED((F10-F11),0),IF((F10-F11)&lt;0,"−"&amp;FIXED(-(F10-F11),0),"±0")),"")</f>
        <v>0</v>
      </c>
      <c r="G165" s="11">
        <f>IF(AND(ISNUMBER(G10),ISNUMBER(G11)),IF((G10-G11)&gt;0,"+"&amp;FIXED((G10-G11),0),IF((G10-G11)&lt;0,"−"&amp;FIXED(-(G10-G11),0),"±0")),"")</f>
        <v>0</v>
      </c>
      <c r="H165" s="11">
        <f>IF(AND(ISNUMBER(H10),ISNUMBER(H11)),IF((H10-H11)&gt;0,"+"&amp;FIXED((H10-H11),0),IF((H10-H11)&lt;0,"−"&amp;FIXED(-(H10-H11),0),"±0")),"")</f>
        <v>0</v>
      </c>
      <c r="I165" s="11">
        <f>IF(AND(ISNUMBER(I10),ISNUMBER(I11)),IF((I10-I11)&gt;0,"+"&amp;FIXED((I10-I11),0),IF((I10-I11)&lt;0,"−"&amp;FIXED(-(I10-I11),0),"±0")),"")</f>
        <v>0</v>
      </c>
      <c r="J165" s="11">
        <f>IF(AND(ISNUMBER(J10),ISNUMBER(J11)),IF((J10-J11)&gt;0,"+"&amp;FIXED((J10-J11),0),IF((J10-J11)&lt;0,"−"&amp;FIXED(-(J10-J11),0),"±0")),"")</f>
        <v>0</v>
      </c>
      <c r="K165" s="11">
        <f>IF(AND(ISNUMBER(K10),ISNUMBER(K11)),IF((K10-K11)&gt;0,"+"&amp;FIXED((K10-K11),0),IF((K10-K11)&lt;0,"−"&amp;FIXED(-(K10-K11),0),"±0")),"")</f>
        <v>0</v>
      </c>
      <c r="L165" s="11">
        <f>IF(AND(ISNUMBER(L10),ISNUMBER(L11)),IF((L10-L11)&gt;0,"+"&amp;FIXED((L10-L11),0),IF((L10-L11)&lt;0,"−"&amp;FIXED(-(L10-L11),0),"±0")),"")</f>
        <v>0</v>
      </c>
      <c r="M165" s="11">
        <f>IF(AND(ISNUMBER(M10),ISNUMBER(M11)),IF((M10-M11)&gt;0,"+"&amp;FIXED((M10-M11),0),IF((M10-M11)&lt;0,"−"&amp;FIXED(-(M10-M11),0),"±0")),"")</f>
        <v>0</v>
      </c>
      <c r="N165" s="11">
        <f>IF(AND(ISNUMBER(N10),ISNUMBER(N11)),IF((N10-N11)&gt;0,"+"&amp;FIXED((N10-N11),0),IF((N10-N11)&lt;0,"−"&amp;FIXED(-(N10-N11),0),"±0")),"")</f>
        <v>0</v>
      </c>
      <c r="O165" s="11">
        <f>IF(AND(ISNUMBER(O10),ISNUMBER(O11)),IF((O10-O11)&gt;0,"+"&amp;FIXED((O10-O11),0),IF((O10-O11)&lt;0,"−"&amp;FIXED(-(O10-O11),0),"±0")),"")</f>
        <v>0</v>
      </c>
      <c r="P165" s="11">
        <f>IF(AND(ISNUMBER(P10),ISNUMBER(P11)),IF((P10-P11)&gt;0,"+"&amp;FIXED((P10-P11),0),IF((P10-P11)&lt;0,"−"&amp;FIXED(-(P10-P11),0),"±0")),"")</f>
        <v>0</v>
      </c>
      <c r="Q165" s="11">
        <f>IF(AND(ISNUMBER(Q10),ISNUMBER(Q11)),IF((Q10-Q11)&gt;0,"+"&amp;FIXED((Q10-Q11),0),IF((Q10-Q11)&lt;0,"−"&amp;FIXED(-(Q10-Q11),0),"±0")),"")</f>
        <v>0</v>
      </c>
      <c r="R165" s="11">
        <f>IF(AND(ISNUMBER(R10),ISNUMBER(R11)),IF((R10-R11)&gt;0,"+"&amp;FIXED((R10-R11),0),IF((R10-R11)&lt;0,"−"&amp;FIXED(-(R10-R11),0),"±0")),"")</f>
        <v>0</v>
      </c>
      <c r="S165" s="11">
        <f>IF(AND(ISNUMBER(S10),ISNUMBER(S11)),IF((S10-S11)&gt;0,"+"&amp;FIXED((S10-S11),0),IF((S10-S11)&lt;0,"−"&amp;FIXED(-(S10-S11),0),"±0")),"")</f>
        <v>0</v>
      </c>
      <c r="T165" s="11">
        <f>IF(AND(ISNUMBER(T10),ISNUMBER(T11)),IF((T10-T11)&gt;0,"+"&amp;FIXED((T10-T11),0),IF((T10-T11)&lt;0,"−"&amp;FIXED(-(T10-T11),0),"±0")),"")</f>
        <v>0</v>
      </c>
      <c r="U165" s="11">
        <f>IF(AND(ISNUMBER(U10),ISNUMBER(U11)),IF((U10-U11)&gt;0,"+"&amp;FIXED((U10-U11),0),IF((U10-U11)&lt;0,"−"&amp;FIXED(-(U10-U11),0),"±0")),"")</f>
        <v>0</v>
      </c>
      <c r="V165" s="11">
        <f>IF(AND(ISNUMBER(V10),ISNUMBER(V11)),IF((V10-V11)&gt;0,"+"&amp;FIXED((V10-V11),0),IF((V10-V11)&lt;0,"−"&amp;FIXED(-(V10-V11),0),"±0")),"")</f>
        <v>0</v>
      </c>
      <c r="W165" s="11">
        <f>IF(AND(ISNUMBER(W10),ISNUMBER(W11)),IF((W10-W11)&gt;0,"+"&amp;FIXED((W10-W11),0),IF((W10-W11)&lt;0,"−"&amp;FIXED(-(W10-W11),0),"±0")),"")</f>
        <v>0</v>
      </c>
      <c r="X165" s="11">
        <f>IF(AND(ISNUMBER(X10),ISNUMBER(X11)),IF((X10-X11)&gt;0,"+"&amp;FIXED((X10-X11),0),IF((X10-X11)&lt;0,"−"&amp;FIXED(-(X10-X11),0),"±0")),"")</f>
        <v>0</v>
      </c>
      <c r="Y165" s="11">
        <f>IF(AND(ISNUMBER(Y10),ISNUMBER(Y11)),IF((Y10-Y11)&gt;0,"+"&amp;FIXED((Y10-Y11),0),IF((Y10-Y11)&lt;0,"−"&amp;FIXED(-(Y10-Y11),0),"±0")),"")</f>
        <v>0</v>
      </c>
      <c r="Z165" s="11">
        <f>IF(AND(ISNUMBER(Z10),ISNUMBER(Z11)),IF((Z10-Z11)&gt;0,"+"&amp;FIXED((Z10-Z11),0),IF((Z10-Z11)&lt;0,"−"&amp;FIXED(-(Z10-Z11),0),"±0")),"")</f>
        <v>0</v>
      </c>
      <c r="AA165" s="11">
        <f>IF(AND(ISNUMBER(AA10),ISNUMBER(AA11)),IF((AA10-AA11)&gt;0,"+"&amp;FIXED((AA10-AA11),0),IF((AA10-AA11)&lt;0,"−"&amp;FIXED(-(AA10-AA11),0),"±0")),"")</f>
        <v>0</v>
      </c>
      <c r="AB165" s="11">
        <f>IF(AND(ISNUMBER(AB10),ISNUMBER(AB11)),IF((AB10-AB11)&gt;0,"+"&amp;FIXED((AB10-AB11),0),IF((AB10-AB11)&lt;0,"−"&amp;FIXED(-(AB10-AB11),0),"±0")),"")</f>
        <v>0</v>
      </c>
      <c r="AC165" s="11">
        <f>IF(AND(ISNUMBER(AC10),ISNUMBER(AC11)),IF((AC10-AC11)&gt;0,"+"&amp;FIXED((AC10-AC11),0),IF((AC10-AC11)&lt;0,"−"&amp;FIXED(-(AC10-AC11),0),"±0")),"")</f>
        <v>0</v>
      </c>
      <c r="AD165" s="11">
        <f>IF(AND(ISNUMBER(AD10),ISNUMBER(AD11)),IF((AD10-AD11)&gt;0,"+"&amp;FIXED((AD10-AD11),0),IF((AD10-AD11)&lt;0,"−"&amp;FIXED(-(AD10-AD11),0),"±0")),"")</f>
        <v>0</v>
      </c>
    </row>
    <row r="166" spans="1:30">
      <c r="A166" s="11" t="s">
        <v>1025</v>
      </c>
      <c r="B166" s="11" t="s">
        <v>1026</v>
      </c>
      <c r="C166" s="67" t="s">
        <v>598</v>
      </c>
      <c r="D166" s="68">
        <v>10</v>
      </c>
    </row>
    <row r="167" spans="1:30">
      <c r="A167" s="11" t="s">
        <v>1027</v>
      </c>
      <c r="B167" s="11" t="s">
        <v>1028</v>
      </c>
      <c r="C167" s="67" t="s">
        <v>601</v>
      </c>
      <c r="D167" s="68">
        <f>IF(ISNUMBER(D24),D24/MAX(1,_xlfn.AGGREGATE(4,6,INDEX($D$24:$AD$24,28-$D$166):$AD$24),_xlfn.AGGREGATE(4,6,INDEX($D$25:$AD$25,28-$D$166):$AD$25)),NA())</f>
        <v>0</v>
      </c>
      <c r="E167" s="68">
        <f>IF(ISNUMBER(E24),E24/MAX(1,_xlfn.AGGREGATE(4,6,INDEX($D$24:$AD$24,28-$D$166):$AD$24),_xlfn.AGGREGATE(4,6,INDEX($D$25:$AD$25,28-$D$166):$AD$25)),NA())</f>
        <v>0</v>
      </c>
      <c r="F167" s="68">
        <f>IF(ISNUMBER(F24),F24/MAX(1,_xlfn.AGGREGATE(4,6,INDEX($D$24:$AD$24,28-$D$166):$AD$24),_xlfn.AGGREGATE(4,6,INDEX($D$25:$AD$25,28-$D$166):$AD$25)),NA())</f>
        <v>0</v>
      </c>
      <c r="G167" s="68">
        <f>IF(ISNUMBER(G24),G24/MAX(1,_xlfn.AGGREGATE(4,6,INDEX($D$24:$AD$24,28-$D$166):$AD$24),_xlfn.AGGREGATE(4,6,INDEX($D$25:$AD$25,28-$D$166):$AD$25)),NA())</f>
        <v>0</v>
      </c>
      <c r="H167" s="68">
        <f>IF(ISNUMBER(H24),H24/MAX(1,_xlfn.AGGREGATE(4,6,INDEX($D$24:$AD$24,28-$D$166):$AD$24),_xlfn.AGGREGATE(4,6,INDEX($D$25:$AD$25,28-$D$166):$AD$25)),NA())</f>
        <v>0</v>
      </c>
      <c r="I167" s="68">
        <f>IF(ISNUMBER(I24),I24/MAX(1,_xlfn.AGGREGATE(4,6,INDEX($D$24:$AD$24,28-$D$166):$AD$24),_xlfn.AGGREGATE(4,6,INDEX($D$25:$AD$25,28-$D$166):$AD$25)),NA())</f>
        <v>0</v>
      </c>
      <c r="J167" s="68">
        <f>IF(ISNUMBER(J24),J24/MAX(1,_xlfn.AGGREGATE(4,6,INDEX($D$24:$AD$24,28-$D$166):$AD$24),_xlfn.AGGREGATE(4,6,INDEX($D$25:$AD$25,28-$D$166):$AD$25)),NA())</f>
        <v>0</v>
      </c>
      <c r="K167" s="68">
        <f>IF(ISNUMBER(K24),K24/MAX(1,_xlfn.AGGREGATE(4,6,INDEX($D$24:$AD$24,28-$D$166):$AD$24),_xlfn.AGGREGATE(4,6,INDEX($D$25:$AD$25,28-$D$166):$AD$25)),NA())</f>
        <v>0</v>
      </c>
      <c r="L167" s="68">
        <f>IF(ISNUMBER(L24),L24/MAX(1,_xlfn.AGGREGATE(4,6,INDEX($D$24:$AD$24,28-$D$166):$AD$24),_xlfn.AGGREGATE(4,6,INDEX($D$25:$AD$25,28-$D$166):$AD$25)),NA())</f>
        <v>0</v>
      </c>
      <c r="M167" s="68">
        <f>IF(ISNUMBER(M24),M24/MAX(1,_xlfn.AGGREGATE(4,6,INDEX($D$24:$AD$24,28-$D$166):$AD$24),_xlfn.AGGREGATE(4,6,INDEX($D$25:$AD$25,28-$D$166):$AD$25)),NA())</f>
        <v>0</v>
      </c>
      <c r="N167" s="68">
        <f>IF(ISNUMBER(N24),N24/MAX(1,_xlfn.AGGREGATE(4,6,INDEX($D$24:$AD$24,28-$D$166):$AD$24),_xlfn.AGGREGATE(4,6,INDEX($D$25:$AD$25,28-$D$166):$AD$25)),NA())</f>
        <v>0</v>
      </c>
      <c r="O167" s="68">
        <f>IF(ISNUMBER(O24),O24/MAX(1,_xlfn.AGGREGATE(4,6,INDEX($D$24:$AD$24,28-$D$166):$AD$24),_xlfn.AGGREGATE(4,6,INDEX($D$25:$AD$25,28-$D$166):$AD$25)),NA())</f>
        <v>0</v>
      </c>
      <c r="P167" s="68">
        <f>IF(ISNUMBER(P24),P24/MAX(1,_xlfn.AGGREGATE(4,6,INDEX($D$24:$AD$24,28-$D$166):$AD$24),_xlfn.AGGREGATE(4,6,INDEX($D$25:$AD$25,28-$D$166):$AD$25)),NA())</f>
        <v>0</v>
      </c>
      <c r="Q167" s="68">
        <f>IF(ISNUMBER(Q24),Q24/MAX(1,_xlfn.AGGREGATE(4,6,INDEX($D$24:$AD$24,28-$D$166):$AD$24),_xlfn.AGGREGATE(4,6,INDEX($D$25:$AD$25,28-$D$166):$AD$25)),NA())</f>
        <v>0</v>
      </c>
      <c r="R167" s="68">
        <f>IF(ISNUMBER(R24),R24/MAX(1,_xlfn.AGGREGATE(4,6,INDEX($D$24:$AD$24,28-$D$166):$AD$24),_xlfn.AGGREGATE(4,6,INDEX($D$25:$AD$25,28-$D$166):$AD$25)),NA())</f>
        <v>0</v>
      </c>
      <c r="S167" s="68">
        <f>IF(ISNUMBER(S24),S24/MAX(1,_xlfn.AGGREGATE(4,6,INDEX($D$24:$AD$24,28-$D$166):$AD$24),_xlfn.AGGREGATE(4,6,INDEX($D$25:$AD$25,28-$D$166):$AD$25)),NA())</f>
        <v>0</v>
      </c>
      <c r="T167" s="68">
        <f>IF(ISNUMBER(T24),T24/MAX(1,_xlfn.AGGREGATE(4,6,INDEX($D$24:$AD$24,28-$D$166):$AD$24),_xlfn.AGGREGATE(4,6,INDEX($D$25:$AD$25,28-$D$166):$AD$25)),NA())</f>
        <v>0</v>
      </c>
      <c r="U167" s="68">
        <f>IF(ISNUMBER(U24),U24/MAX(1,_xlfn.AGGREGATE(4,6,INDEX($D$24:$AD$24,28-$D$166):$AD$24),_xlfn.AGGREGATE(4,6,INDEX($D$25:$AD$25,28-$D$166):$AD$25)),NA())</f>
        <v>0</v>
      </c>
      <c r="V167" s="68">
        <f>IF(ISNUMBER(V24),V24/MAX(1,_xlfn.AGGREGATE(4,6,INDEX($D$24:$AD$24,28-$D$166):$AD$24),_xlfn.AGGREGATE(4,6,INDEX($D$25:$AD$25,28-$D$166):$AD$25)),NA())</f>
        <v>0</v>
      </c>
      <c r="W167" s="68">
        <f>IF(ISNUMBER(W24),W24/MAX(1,_xlfn.AGGREGATE(4,6,INDEX($D$24:$AD$24,28-$D$166):$AD$24),_xlfn.AGGREGATE(4,6,INDEX($D$25:$AD$25,28-$D$166):$AD$25)),NA())</f>
        <v>0</v>
      </c>
      <c r="X167" s="68">
        <f>IF(ISNUMBER(X24),X24/MAX(1,_xlfn.AGGREGATE(4,6,INDEX($D$24:$AD$24,28-$D$166):$AD$24),_xlfn.AGGREGATE(4,6,INDEX($D$25:$AD$25,28-$D$166):$AD$25)),NA())</f>
        <v>0</v>
      </c>
      <c r="Y167" s="68">
        <f>IF(ISNUMBER(Y24),Y24/MAX(1,_xlfn.AGGREGATE(4,6,INDEX($D$24:$AD$24,28-$D$166):$AD$24),_xlfn.AGGREGATE(4,6,INDEX($D$25:$AD$25,28-$D$166):$AD$25)),NA())</f>
        <v>0</v>
      </c>
      <c r="Z167" s="68">
        <f>IF(ISNUMBER(Z24),Z24/MAX(1,_xlfn.AGGREGATE(4,6,INDEX($D$24:$AD$24,28-$D$166):$AD$24),_xlfn.AGGREGATE(4,6,INDEX($D$25:$AD$25,28-$D$166):$AD$25)),NA())</f>
        <v>0</v>
      </c>
      <c r="AA167" s="68">
        <f>IF(ISNUMBER(AA24),AA24/MAX(1,_xlfn.AGGREGATE(4,6,INDEX($D$24:$AD$24,28-$D$166):$AD$24),_xlfn.AGGREGATE(4,6,INDEX($D$25:$AD$25,28-$D$166):$AD$25)),NA())</f>
        <v>0</v>
      </c>
      <c r="AB167" s="68">
        <f>IF(ISNUMBER(AB24),AB24/MAX(1,_xlfn.AGGREGATE(4,6,INDEX($D$24:$AD$24,28-$D$166):$AD$24),_xlfn.AGGREGATE(4,6,INDEX($D$25:$AD$25,28-$D$166):$AD$25)),NA())</f>
        <v>0</v>
      </c>
      <c r="AC167" s="68">
        <f>IF(ISNUMBER(AC24),AC24/MAX(1,_xlfn.AGGREGATE(4,6,INDEX($D$24:$AD$24,28-$D$166):$AD$24),_xlfn.AGGREGATE(4,6,INDEX($D$25:$AD$25,28-$D$166):$AD$25)),NA())</f>
        <v>0</v>
      </c>
      <c r="AD167" s="68">
        <f>IF(ISNUMBER(AD24),AD24/MAX(1,_xlfn.AGGREGATE(4,6,INDEX($D$24:$AD$24,28-$D$166):$AD$24),_xlfn.AGGREGATE(4,6,INDEX($D$25:$AD$25,28-$D$166):$AD$25)),NA())</f>
        <v>0</v>
      </c>
    </row>
    <row r="168" spans="1:30">
      <c r="A168" s="11" t="s">
        <v>1029</v>
      </c>
      <c r="B168" s="11" t="s">
        <v>1030</v>
      </c>
      <c r="C168" s="67" t="s">
        <v>601</v>
      </c>
      <c r="D168" s="11">
        <f>IF(ISNUMBER(D24),FIXED(D24,0),"")</f>
        <v>0</v>
      </c>
      <c r="E168" s="11">
        <f>IF(ISNUMBER(E24),FIXED(E24,0),"")</f>
        <v>0</v>
      </c>
      <c r="F168" s="11">
        <f>IF(ISNUMBER(F24),FIXED(F24,0),"")</f>
        <v>0</v>
      </c>
      <c r="G168" s="11">
        <f>IF(ISNUMBER(G24),FIXED(G24,0),"")</f>
        <v>0</v>
      </c>
      <c r="H168" s="11">
        <f>IF(ISNUMBER(H24),FIXED(H24,0),"")</f>
        <v>0</v>
      </c>
      <c r="I168" s="11">
        <f>IF(ISNUMBER(I24),FIXED(I24,0),"")</f>
        <v>0</v>
      </c>
      <c r="J168" s="11">
        <f>IF(ISNUMBER(J24),FIXED(J24,0),"")</f>
        <v>0</v>
      </c>
      <c r="K168" s="11">
        <f>IF(ISNUMBER(K24),FIXED(K24,0),"")</f>
        <v>0</v>
      </c>
      <c r="L168" s="11">
        <f>IF(ISNUMBER(L24),FIXED(L24,0),"")</f>
        <v>0</v>
      </c>
      <c r="M168" s="11">
        <f>IF(ISNUMBER(M24),FIXED(M24,0),"")</f>
        <v>0</v>
      </c>
      <c r="N168" s="11">
        <f>IF(ISNUMBER(N24),FIXED(N24,0),"")</f>
        <v>0</v>
      </c>
      <c r="O168" s="11">
        <f>IF(ISNUMBER(O24),FIXED(O24,0),"")</f>
        <v>0</v>
      </c>
      <c r="P168" s="11">
        <f>IF(ISNUMBER(P24),FIXED(P24,0),"")</f>
        <v>0</v>
      </c>
      <c r="Q168" s="11">
        <f>IF(ISNUMBER(Q24),FIXED(Q24,0),"")</f>
        <v>0</v>
      </c>
      <c r="R168" s="11">
        <f>IF(ISNUMBER(R24),FIXED(R24,0),"")</f>
        <v>0</v>
      </c>
      <c r="S168" s="11">
        <f>IF(ISNUMBER(S24),FIXED(S24,0),"")</f>
        <v>0</v>
      </c>
      <c r="T168" s="11">
        <f>IF(ISNUMBER(T24),FIXED(T24,0),"")</f>
        <v>0</v>
      </c>
      <c r="U168" s="11">
        <f>IF(ISNUMBER(U24),FIXED(U24,0),"")</f>
        <v>0</v>
      </c>
      <c r="V168" s="11">
        <f>IF(ISNUMBER(V24),FIXED(V24,0),"")</f>
        <v>0</v>
      </c>
      <c r="W168" s="11">
        <f>IF(ISNUMBER(W24),FIXED(W24,0),"")</f>
        <v>0</v>
      </c>
      <c r="X168" s="11">
        <f>IF(ISNUMBER(X24),FIXED(X24,0),"")</f>
        <v>0</v>
      </c>
      <c r="Y168" s="11">
        <f>IF(ISNUMBER(Y24),FIXED(Y24,0),"")</f>
        <v>0</v>
      </c>
      <c r="Z168" s="11">
        <f>IF(ISNUMBER(Z24),FIXED(Z24,0),"")</f>
        <v>0</v>
      </c>
      <c r="AA168" s="11">
        <f>IF(ISNUMBER(AA24),FIXED(AA24,0),"")</f>
        <v>0</v>
      </c>
      <c r="AB168" s="11">
        <f>IF(ISNUMBER(AB24),FIXED(AB24,0),"")</f>
        <v>0</v>
      </c>
      <c r="AC168" s="11">
        <f>IF(ISNUMBER(AC24),FIXED(AC24,0),"")</f>
        <v>0</v>
      </c>
      <c r="AD168" s="11">
        <f>IF(ISNUMBER(AD24),FIXED(AD24,0),"")</f>
        <v>0</v>
      </c>
    </row>
    <row r="169" spans="1:30">
      <c r="A169" s="11" t="s">
        <v>1031</v>
      </c>
      <c r="B169" s="11" t="s">
        <v>1032</v>
      </c>
      <c r="C169" s="67" t="s">
        <v>601</v>
      </c>
      <c r="D169" s="68">
        <f>IF(ISNUMBER(D25),D25/MAX(1,_xlfn.AGGREGATE(4,6,INDEX($D$24:$AD$24,28-$D$166):$AD$24),_xlfn.AGGREGATE(4,6,INDEX($D$25:$AD$25,28-$D$166):$AD$25)),NA())</f>
        <v>0</v>
      </c>
      <c r="E169" s="68">
        <f>IF(ISNUMBER(E25),E25/MAX(1,_xlfn.AGGREGATE(4,6,INDEX($D$24:$AD$24,28-$D$166):$AD$24),_xlfn.AGGREGATE(4,6,INDEX($D$25:$AD$25,28-$D$166):$AD$25)),NA())</f>
        <v>0</v>
      </c>
      <c r="F169" s="68">
        <f>IF(ISNUMBER(F25),F25/MAX(1,_xlfn.AGGREGATE(4,6,INDEX($D$24:$AD$24,28-$D$166):$AD$24),_xlfn.AGGREGATE(4,6,INDEX($D$25:$AD$25,28-$D$166):$AD$25)),NA())</f>
        <v>0</v>
      </c>
      <c r="G169" s="68">
        <f>IF(ISNUMBER(G25),G25/MAX(1,_xlfn.AGGREGATE(4,6,INDEX($D$24:$AD$24,28-$D$166):$AD$24),_xlfn.AGGREGATE(4,6,INDEX($D$25:$AD$25,28-$D$166):$AD$25)),NA())</f>
        <v>0</v>
      </c>
      <c r="H169" s="68">
        <f>IF(ISNUMBER(H25),H25/MAX(1,_xlfn.AGGREGATE(4,6,INDEX($D$24:$AD$24,28-$D$166):$AD$24),_xlfn.AGGREGATE(4,6,INDEX($D$25:$AD$25,28-$D$166):$AD$25)),NA())</f>
        <v>0</v>
      </c>
      <c r="I169" s="68">
        <f>IF(ISNUMBER(I25),I25/MAX(1,_xlfn.AGGREGATE(4,6,INDEX($D$24:$AD$24,28-$D$166):$AD$24),_xlfn.AGGREGATE(4,6,INDEX($D$25:$AD$25,28-$D$166):$AD$25)),NA())</f>
        <v>0</v>
      </c>
      <c r="J169" s="68">
        <f>IF(ISNUMBER(J25),J25/MAX(1,_xlfn.AGGREGATE(4,6,INDEX($D$24:$AD$24,28-$D$166):$AD$24),_xlfn.AGGREGATE(4,6,INDEX($D$25:$AD$25,28-$D$166):$AD$25)),NA())</f>
        <v>0</v>
      </c>
      <c r="K169" s="68">
        <f>IF(ISNUMBER(K25),K25/MAX(1,_xlfn.AGGREGATE(4,6,INDEX($D$24:$AD$24,28-$D$166):$AD$24),_xlfn.AGGREGATE(4,6,INDEX($D$25:$AD$25,28-$D$166):$AD$25)),NA())</f>
        <v>0</v>
      </c>
      <c r="L169" s="68">
        <f>IF(ISNUMBER(L25),L25/MAX(1,_xlfn.AGGREGATE(4,6,INDEX($D$24:$AD$24,28-$D$166):$AD$24),_xlfn.AGGREGATE(4,6,INDEX($D$25:$AD$25,28-$D$166):$AD$25)),NA())</f>
        <v>0</v>
      </c>
      <c r="M169" s="68">
        <f>IF(ISNUMBER(M25),M25/MAX(1,_xlfn.AGGREGATE(4,6,INDEX($D$24:$AD$24,28-$D$166):$AD$24),_xlfn.AGGREGATE(4,6,INDEX($D$25:$AD$25,28-$D$166):$AD$25)),NA())</f>
        <v>0</v>
      </c>
      <c r="N169" s="68">
        <f>IF(ISNUMBER(N25),N25/MAX(1,_xlfn.AGGREGATE(4,6,INDEX($D$24:$AD$24,28-$D$166):$AD$24),_xlfn.AGGREGATE(4,6,INDEX($D$25:$AD$25,28-$D$166):$AD$25)),NA())</f>
        <v>0</v>
      </c>
      <c r="O169" s="68">
        <f>IF(ISNUMBER(O25),O25/MAX(1,_xlfn.AGGREGATE(4,6,INDEX($D$24:$AD$24,28-$D$166):$AD$24),_xlfn.AGGREGATE(4,6,INDEX($D$25:$AD$25,28-$D$166):$AD$25)),NA())</f>
        <v>0</v>
      </c>
      <c r="P169" s="68">
        <f>IF(ISNUMBER(P25),P25/MAX(1,_xlfn.AGGREGATE(4,6,INDEX($D$24:$AD$24,28-$D$166):$AD$24),_xlfn.AGGREGATE(4,6,INDEX($D$25:$AD$25,28-$D$166):$AD$25)),NA())</f>
        <v>0</v>
      </c>
      <c r="Q169" s="68">
        <f>IF(ISNUMBER(Q25),Q25/MAX(1,_xlfn.AGGREGATE(4,6,INDEX($D$24:$AD$24,28-$D$166):$AD$24),_xlfn.AGGREGATE(4,6,INDEX($D$25:$AD$25,28-$D$166):$AD$25)),NA())</f>
        <v>0</v>
      </c>
      <c r="R169" s="68">
        <f>IF(ISNUMBER(R25),R25/MAX(1,_xlfn.AGGREGATE(4,6,INDEX($D$24:$AD$24,28-$D$166):$AD$24),_xlfn.AGGREGATE(4,6,INDEX($D$25:$AD$25,28-$D$166):$AD$25)),NA())</f>
        <v>0</v>
      </c>
      <c r="S169" s="68">
        <f>IF(ISNUMBER(S25),S25/MAX(1,_xlfn.AGGREGATE(4,6,INDEX($D$24:$AD$24,28-$D$166):$AD$24),_xlfn.AGGREGATE(4,6,INDEX($D$25:$AD$25,28-$D$166):$AD$25)),NA())</f>
        <v>0</v>
      </c>
      <c r="T169" s="68">
        <f>IF(ISNUMBER(T25),T25/MAX(1,_xlfn.AGGREGATE(4,6,INDEX($D$24:$AD$24,28-$D$166):$AD$24),_xlfn.AGGREGATE(4,6,INDEX($D$25:$AD$25,28-$D$166):$AD$25)),NA())</f>
        <v>0</v>
      </c>
      <c r="U169" s="68">
        <f>IF(ISNUMBER(U25),U25/MAX(1,_xlfn.AGGREGATE(4,6,INDEX($D$24:$AD$24,28-$D$166):$AD$24),_xlfn.AGGREGATE(4,6,INDEX($D$25:$AD$25,28-$D$166):$AD$25)),NA())</f>
        <v>0</v>
      </c>
      <c r="V169" s="68">
        <f>IF(ISNUMBER(V25),V25/MAX(1,_xlfn.AGGREGATE(4,6,INDEX($D$24:$AD$24,28-$D$166):$AD$24),_xlfn.AGGREGATE(4,6,INDEX($D$25:$AD$25,28-$D$166):$AD$25)),NA())</f>
        <v>0</v>
      </c>
      <c r="W169" s="68">
        <f>IF(ISNUMBER(W25),W25/MAX(1,_xlfn.AGGREGATE(4,6,INDEX($D$24:$AD$24,28-$D$166):$AD$24),_xlfn.AGGREGATE(4,6,INDEX($D$25:$AD$25,28-$D$166):$AD$25)),NA())</f>
        <v>0</v>
      </c>
      <c r="X169" s="68">
        <f>IF(ISNUMBER(X25),X25/MAX(1,_xlfn.AGGREGATE(4,6,INDEX($D$24:$AD$24,28-$D$166):$AD$24),_xlfn.AGGREGATE(4,6,INDEX($D$25:$AD$25,28-$D$166):$AD$25)),NA())</f>
        <v>0</v>
      </c>
      <c r="Y169" s="68">
        <f>IF(ISNUMBER(Y25),Y25/MAX(1,_xlfn.AGGREGATE(4,6,INDEX($D$24:$AD$24,28-$D$166):$AD$24),_xlfn.AGGREGATE(4,6,INDEX($D$25:$AD$25,28-$D$166):$AD$25)),NA())</f>
        <v>0</v>
      </c>
      <c r="Z169" s="68">
        <f>IF(ISNUMBER(Z25),Z25/MAX(1,_xlfn.AGGREGATE(4,6,INDEX($D$24:$AD$24,28-$D$166):$AD$24),_xlfn.AGGREGATE(4,6,INDEX($D$25:$AD$25,28-$D$166):$AD$25)),NA())</f>
        <v>0</v>
      </c>
      <c r="AA169" s="68">
        <f>IF(ISNUMBER(AA25),AA25/MAX(1,_xlfn.AGGREGATE(4,6,INDEX($D$24:$AD$24,28-$D$166):$AD$24),_xlfn.AGGREGATE(4,6,INDEX($D$25:$AD$25,28-$D$166):$AD$25)),NA())</f>
        <v>0</v>
      </c>
      <c r="AB169" s="68">
        <f>IF(ISNUMBER(AB25),AB25/MAX(1,_xlfn.AGGREGATE(4,6,INDEX($D$24:$AD$24,28-$D$166):$AD$24),_xlfn.AGGREGATE(4,6,INDEX($D$25:$AD$25,28-$D$166):$AD$25)),NA())</f>
        <v>0</v>
      </c>
      <c r="AC169" s="68">
        <f>IF(ISNUMBER(AC25),AC25/MAX(1,_xlfn.AGGREGATE(4,6,INDEX($D$24:$AD$24,28-$D$166):$AD$24),_xlfn.AGGREGATE(4,6,INDEX($D$25:$AD$25,28-$D$166):$AD$25)),NA())</f>
        <v>0</v>
      </c>
      <c r="AD169" s="68">
        <f>IF(ISNUMBER(AD25),AD25/MAX(1,_xlfn.AGGREGATE(4,6,INDEX($D$24:$AD$24,28-$D$166):$AD$24),_xlfn.AGGREGATE(4,6,INDEX($D$25:$AD$25,28-$D$166):$AD$25)),NA())</f>
        <v>0</v>
      </c>
    </row>
    <row r="170" spans="1:30">
      <c r="A170" s="11" t="s">
        <v>1033</v>
      </c>
      <c r="B170" s="11" t="s">
        <v>1034</v>
      </c>
      <c r="C170" s="67" t="s">
        <v>601</v>
      </c>
      <c r="D170" s="11">
        <f>IF(ISNUMBER(D25),FIXED(D25,0),"")</f>
        <v>0</v>
      </c>
      <c r="E170" s="11">
        <f>IF(ISNUMBER(E25),FIXED(E25,0),"")</f>
        <v>0</v>
      </c>
      <c r="F170" s="11">
        <f>IF(ISNUMBER(F25),FIXED(F25,0),"")</f>
        <v>0</v>
      </c>
      <c r="G170" s="11">
        <f>IF(ISNUMBER(G25),FIXED(G25,0),"")</f>
        <v>0</v>
      </c>
      <c r="H170" s="11">
        <f>IF(ISNUMBER(H25),FIXED(H25,0),"")</f>
        <v>0</v>
      </c>
      <c r="I170" s="11">
        <f>IF(ISNUMBER(I25),FIXED(I25,0),"")</f>
        <v>0</v>
      </c>
      <c r="J170" s="11">
        <f>IF(ISNUMBER(J25),FIXED(J25,0),"")</f>
        <v>0</v>
      </c>
      <c r="K170" s="11">
        <f>IF(ISNUMBER(K25),FIXED(K25,0),"")</f>
        <v>0</v>
      </c>
      <c r="L170" s="11">
        <f>IF(ISNUMBER(L25),FIXED(L25,0),"")</f>
        <v>0</v>
      </c>
      <c r="M170" s="11">
        <f>IF(ISNUMBER(M25),FIXED(M25,0),"")</f>
        <v>0</v>
      </c>
      <c r="N170" s="11">
        <f>IF(ISNUMBER(N25),FIXED(N25,0),"")</f>
        <v>0</v>
      </c>
      <c r="O170" s="11">
        <f>IF(ISNUMBER(O25),FIXED(O25,0),"")</f>
        <v>0</v>
      </c>
      <c r="P170" s="11">
        <f>IF(ISNUMBER(P25),FIXED(P25,0),"")</f>
        <v>0</v>
      </c>
      <c r="Q170" s="11">
        <f>IF(ISNUMBER(Q25),FIXED(Q25,0),"")</f>
        <v>0</v>
      </c>
      <c r="R170" s="11">
        <f>IF(ISNUMBER(R25),FIXED(R25,0),"")</f>
        <v>0</v>
      </c>
      <c r="S170" s="11">
        <f>IF(ISNUMBER(S25),FIXED(S25,0),"")</f>
        <v>0</v>
      </c>
      <c r="T170" s="11">
        <f>IF(ISNUMBER(T25),FIXED(T25,0),"")</f>
        <v>0</v>
      </c>
      <c r="U170" s="11">
        <f>IF(ISNUMBER(U25),FIXED(U25,0),"")</f>
        <v>0</v>
      </c>
      <c r="V170" s="11">
        <f>IF(ISNUMBER(V25),FIXED(V25,0),"")</f>
        <v>0</v>
      </c>
      <c r="W170" s="11">
        <f>IF(ISNUMBER(W25),FIXED(W25,0),"")</f>
        <v>0</v>
      </c>
      <c r="X170" s="11">
        <f>IF(ISNUMBER(X25),FIXED(X25,0),"")</f>
        <v>0</v>
      </c>
      <c r="Y170" s="11">
        <f>IF(ISNUMBER(Y25),FIXED(Y25,0),"")</f>
        <v>0</v>
      </c>
      <c r="Z170" s="11">
        <f>IF(ISNUMBER(Z25),FIXED(Z25,0),"")</f>
        <v>0</v>
      </c>
      <c r="AA170" s="11">
        <f>IF(ISNUMBER(AA25),FIXED(AA25,0),"")</f>
        <v>0</v>
      </c>
      <c r="AB170" s="11">
        <f>IF(ISNUMBER(AB25),FIXED(AB25,0),"")</f>
        <v>0</v>
      </c>
      <c r="AC170" s="11">
        <f>IF(ISNUMBER(AC25),FIXED(AC25,0),"")</f>
        <v>0</v>
      </c>
      <c r="AD170" s="11">
        <f>IF(ISNUMBER(AD25),FIXED(AD25,0),"")</f>
        <v>0</v>
      </c>
    </row>
    <row r="171" spans="1:30">
      <c r="A171" s="11" t="s">
        <v>1035</v>
      </c>
      <c r="B171" s="11" t="s">
        <v>1036</v>
      </c>
      <c r="C171" s="67" t="s">
        <v>601</v>
      </c>
      <c r="D171" s="68">
        <f>IF(ISNUMBER(D24),IF(AND(D167&gt;=IFERROR(D169,-9),D167-IFERROR(D169,-9)&lt;0.28509),D169+0.28509,D167),NA())</f>
        <v>0</v>
      </c>
      <c r="E171" s="68">
        <f>IF(ISNUMBER(E24),IF(AND(E167&gt;=IFERROR(E169,-9),E167-IFERROR(E169,-9)&lt;0.28509),E169+0.28509,E167),NA())</f>
        <v>0</v>
      </c>
      <c r="F171" s="68">
        <f>IF(ISNUMBER(F24),IF(AND(F167&gt;=IFERROR(F169,-9),F167-IFERROR(F169,-9)&lt;0.28509),F169+0.28509,F167),NA())</f>
        <v>0</v>
      </c>
      <c r="G171" s="68">
        <f>IF(ISNUMBER(G24),IF(AND(G167&gt;=IFERROR(G169,-9),G167-IFERROR(G169,-9)&lt;0.28509),G169+0.28509,G167),NA())</f>
        <v>0</v>
      </c>
      <c r="H171" s="68">
        <f>IF(ISNUMBER(H24),IF(AND(H167&gt;=IFERROR(H169,-9),H167-IFERROR(H169,-9)&lt;0.28509),H169+0.28509,H167),NA())</f>
        <v>0</v>
      </c>
      <c r="I171" s="68">
        <f>IF(ISNUMBER(I24),IF(AND(I167&gt;=IFERROR(I169,-9),I167-IFERROR(I169,-9)&lt;0.28509),I169+0.28509,I167),NA())</f>
        <v>0</v>
      </c>
      <c r="J171" s="68">
        <f>IF(ISNUMBER(J24),IF(AND(J167&gt;=IFERROR(J169,-9),J167-IFERROR(J169,-9)&lt;0.28509),J169+0.28509,J167),NA())</f>
        <v>0</v>
      </c>
      <c r="K171" s="68">
        <f>IF(ISNUMBER(K24),IF(AND(K167&gt;=IFERROR(K169,-9),K167-IFERROR(K169,-9)&lt;0.28509),K169+0.28509,K167),NA())</f>
        <v>0</v>
      </c>
      <c r="L171" s="68">
        <f>IF(ISNUMBER(L24),IF(AND(L167&gt;=IFERROR(L169,-9),L167-IFERROR(L169,-9)&lt;0.28509),L169+0.28509,L167),NA())</f>
        <v>0</v>
      </c>
      <c r="M171" s="68">
        <f>IF(ISNUMBER(M24),IF(AND(M167&gt;=IFERROR(M169,-9),M167-IFERROR(M169,-9)&lt;0.28509),M169+0.28509,M167),NA())</f>
        <v>0</v>
      </c>
      <c r="N171" s="68">
        <f>IF(ISNUMBER(N24),IF(AND(N167&gt;=IFERROR(N169,-9),N167-IFERROR(N169,-9)&lt;0.28509),N169+0.28509,N167),NA())</f>
        <v>0</v>
      </c>
      <c r="O171" s="68">
        <f>IF(ISNUMBER(O24),IF(AND(O167&gt;=IFERROR(O169,-9),O167-IFERROR(O169,-9)&lt;0.28509),O169+0.28509,O167),NA())</f>
        <v>0</v>
      </c>
      <c r="P171" s="68">
        <f>IF(ISNUMBER(P24),IF(AND(P167&gt;=IFERROR(P169,-9),P167-IFERROR(P169,-9)&lt;0.28509),P169+0.28509,P167),NA())</f>
        <v>0</v>
      </c>
      <c r="Q171" s="68">
        <f>IF(ISNUMBER(Q24),IF(AND(Q167&gt;=IFERROR(Q169,-9),Q167-IFERROR(Q169,-9)&lt;0.28509),Q169+0.28509,Q167),NA())</f>
        <v>0</v>
      </c>
      <c r="R171" s="68">
        <f>IF(ISNUMBER(R24),IF(AND(R167&gt;=IFERROR(R169,-9),R167-IFERROR(R169,-9)&lt;0.28509),R169+0.28509,R167),NA())</f>
        <v>0</v>
      </c>
      <c r="S171" s="68">
        <f>IF(ISNUMBER(S24),IF(AND(S167&gt;=IFERROR(S169,-9),S167-IFERROR(S169,-9)&lt;0.28509),S169+0.28509,S167),NA())</f>
        <v>0</v>
      </c>
      <c r="T171" s="68">
        <f>IF(ISNUMBER(T24),IF(AND(T167&gt;=IFERROR(T169,-9),T167-IFERROR(T169,-9)&lt;0.28509),T169+0.28509,T167),NA())</f>
        <v>0</v>
      </c>
      <c r="U171" s="68">
        <f>IF(ISNUMBER(U24),IF(AND(U167&gt;=IFERROR(U169,-9),U167-IFERROR(U169,-9)&lt;0.28509),U169+0.28509,U167),NA())</f>
        <v>0</v>
      </c>
      <c r="V171" s="68">
        <f>IF(ISNUMBER(V24),IF(AND(V167&gt;=IFERROR(V169,-9),V167-IFERROR(V169,-9)&lt;0.28509),V169+0.28509,V167),NA())</f>
        <v>0</v>
      </c>
      <c r="W171" s="68">
        <f>IF(ISNUMBER(W24),IF(AND(W167&gt;=IFERROR(W169,-9),W167-IFERROR(W169,-9)&lt;0.28509),W169+0.28509,W167),NA())</f>
        <v>0</v>
      </c>
      <c r="X171" s="68">
        <f>IF(ISNUMBER(X24),IF(AND(X167&gt;=IFERROR(X169,-9),X167-IFERROR(X169,-9)&lt;0.28509),X169+0.28509,X167),NA())</f>
        <v>0</v>
      </c>
      <c r="Y171" s="68">
        <f>IF(ISNUMBER(Y24),IF(AND(Y167&gt;=IFERROR(Y169,-9),Y167-IFERROR(Y169,-9)&lt;0.28509),Y169+0.28509,Y167),NA())</f>
        <v>0</v>
      </c>
      <c r="Z171" s="68">
        <f>IF(ISNUMBER(Z24),IF(AND(Z167&gt;=IFERROR(Z169,-9),Z167-IFERROR(Z169,-9)&lt;0.28509),Z169+0.28509,Z167),NA())</f>
        <v>0</v>
      </c>
      <c r="AA171" s="68">
        <f>IF(ISNUMBER(AA24),IF(AND(AA167&gt;=IFERROR(AA169,-9),AA167-IFERROR(AA169,-9)&lt;0.28509),AA169+0.28509,AA167),NA())</f>
        <v>0</v>
      </c>
      <c r="AB171" s="68">
        <f>IF(ISNUMBER(AB24),IF(AND(AB167&gt;=IFERROR(AB169,-9),AB167-IFERROR(AB169,-9)&lt;0.28509),AB169+0.28509,AB167),NA())</f>
        <v>0</v>
      </c>
      <c r="AC171" s="68">
        <f>IF(ISNUMBER(AC24),IF(AND(AC167&gt;=IFERROR(AC169,-9),AC167-IFERROR(AC169,-9)&lt;0.28509),AC169+0.28509,AC167),NA())</f>
        <v>0</v>
      </c>
      <c r="AD171" s="68">
        <f>IF(ISNUMBER(AD24),IF(AND(AD167&gt;=IFERROR(AD169,-9),AD167-IFERROR(AD169,-9)&lt;0.28509),AD169+0.28509,AD167),NA())</f>
        <v>0</v>
      </c>
    </row>
    <row r="172" spans="1:30">
      <c r="A172" s="11" t="s">
        <v>1037</v>
      </c>
      <c r="B172" s="11" t="s">
        <v>1038</v>
      </c>
      <c r="C172" s="67" t="s">
        <v>601</v>
      </c>
      <c r="D172" s="68">
        <f>IF(ISNUMBER(D25),IF(AND(D169&gt;IFERROR(D167,-9),D169-IFERROR(D167,-9)&lt;0.28509),D167+0.28509,D169),NA())</f>
        <v>0</v>
      </c>
      <c r="E172" s="68">
        <f>IF(ISNUMBER(E25),IF(AND(E169&gt;IFERROR(E167,-9),E169-IFERROR(E167,-9)&lt;0.28509),E167+0.28509,E169),NA())</f>
        <v>0</v>
      </c>
      <c r="F172" s="68">
        <f>IF(ISNUMBER(F25),IF(AND(F169&gt;IFERROR(F167,-9),F169-IFERROR(F167,-9)&lt;0.28509),F167+0.28509,F169),NA())</f>
        <v>0</v>
      </c>
      <c r="G172" s="68">
        <f>IF(ISNUMBER(G25),IF(AND(G169&gt;IFERROR(G167,-9),G169-IFERROR(G167,-9)&lt;0.28509),G167+0.28509,G169),NA())</f>
        <v>0</v>
      </c>
      <c r="H172" s="68">
        <f>IF(ISNUMBER(H25),IF(AND(H169&gt;IFERROR(H167,-9),H169-IFERROR(H167,-9)&lt;0.28509),H167+0.28509,H169),NA())</f>
        <v>0</v>
      </c>
      <c r="I172" s="68">
        <f>IF(ISNUMBER(I25),IF(AND(I169&gt;IFERROR(I167,-9),I169-IFERROR(I167,-9)&lt;0.28509),I167+0.28509,I169),NA())</f>
        <v>0</v>
      </c>
      <c r="J172" s="68">
        <f>IF(ISNUMBER(J25),IF(AND(J169&gt;IFERROR(J167,-9),J169-IFERROR(J167,-9)&lt;0.28509),J167+0.28509,J169),NA())</f>
        <v>0</v>
      </c>
      <c r="K172" s="68">
        <f>IF(ISNUMBER(K25),IF(AND(K169&gt;IFERROR(K167,-9),K169-IFERROR(K167,-9)&lt;0.28509),K167+0.28509,K169),NA())</f>
        <v>0</v>
      </c>
      <c r="L172" s="68">
        <f>IF(ISNUMBER(L25),IF(AND(L169&gt;IFERROR(L167,-9),L169-IFERROR(L167,-9)&lt;0.28509),L167+0.28509,L169),NA())</f>
        <v>0</v>
      </c>
      <c r="M172" s="68">
        <f>IF(ISNUMBER(M25),IF(AND(M169&gt;IFERROR(M167,-9),M169-IFERROR(M167,-9)&lt;0.28509),M167+0.28509,M169),NA())</f>
        <v>0</v>
      </c>
      <c r="N172" s="68">
        <f>IF(ISNUMBER(N25),IF(AND(N169&gt;IFERROR(N167,-9),N169-IFERROR(N167,-9)&lt;0.28509),N167+0.28509,N169),NA())</f>
        <v>0</v>
      </c>
      <c r="O172" s="68">
        <f>IF(ISNUMBER(O25),IF(AND(O169&gt;IFERROR(O167,-9),O169-IFERROR(O167,-9)&lt;0.28509),O167+0.28509,O169),NA())</f>
        <v>0</v>
      </c>
      <c r="P172" s="68">
        <f>IF(ISNUMBER(P25),IF(AND(P169&gt;IFERROR(P167,-9),P169-IFERROR(P167,-9)&lt;0.28509),P167+0.28509,P169),NA())</f>
        <v>0</v>
      </c>
      <c r="Q172" s="68">
        <f>IF(ISNUMBER(Q25),IF(AND(Q169&gt;IFERROR(Q167,-9),Q169-IFERROR(Q167,-9)&lt;0.28509),Q167+0.28509,Q169),NA())</f>
        <v>0</v>
      </c>
      <c r="R172" s="68">
        <f>IF(ISNUMBER(R25),IF(AND(R169&gt;IFERROR(R167,-9),R169-IFERROR(R167,-9)&lt;0.28509),R167+0.28509,R169),NA())</f>
        <v>0</v>
      </c>
      <c r="S172" s="68">
        <f>IF(ISNUMBER(S25),IF(AND(S169&gt;IFERROR(S167,-9),S169-IFERROR(S167,-9)&lt;0.28509),S167+0.28509,S169),NA())</f>
        <v>0</v>
      </c>
      <c r="T172" s="68">
        <f>IF(ISNUMBER(T25),IF(AND(T169&gt;IFERROR(T167,-9),T169-IFERROR(T167,-9)&lt;0.28509),T167+0.28509,T169),NA())</f>
        <v>0</v>
      </c>
      <c r="U172" s="68">
        <f>IF(ISNUMBER(U25),IF(AND(U169&gt;IFERROR(U167,-9),U169-IFERROR(U167,-9)&lt;0.28509),U167+0.28509,U169),NA())</f>
        <v>0</v>
      </c>
      <c r="V172" s="68">
        <f>IF(ISNUMBER(V25),IF(AND(V169&gt;IFERROR(V167,-9),V169-IFERROR(V167,-9)&lt;0.28509),V167+0.28509,V169),NA())</f>
        <v>0</v>
      </c>
      <c r="W172" s="68">
        <f>IF(ISNUMBER(W25),IF(AND(W169&gt;IFERROR(W167,-9),W169-IFERROR(W167,-9)&lt;0.28509),W167+0.28509,W169),NA())</f>
        <v>0</v>
      </c>
      <c r="X172" s="68">
        <f>IF(ISNUMBER(X25),IF(AND(X169&gt;IFERROR(X167,-9),X169-IFERROR(X167,-9)&lt;0.28509),X167+0.28509,X169),NA())</f>
        <v>0</v>
      </c>
      <c r="Y172" s="68">
        <f>IF(ISNUMBER(Y25),IF(AND(Y169&gt;IFERROR(Y167,-9),Y169-IFERROR(Y167,-9)&lt;0.28509),Y167+0.28509,Y169),NA())</f>
        <v>0</v>
      </c>
      <c r="Z172" s="68">
        <f>IF(ISNUMBER(Z25),IF(AND(Z169&gt;IFERROR(Z167,-9),Z169-IFERROR(Z167,-9)&lt;0.28509),Z167+0.28509,Z169),NA())</f>
        <v>0</v>
      </c>
      <c r="AA172" s="68">
        <f>IF(ISNUMBER(AA25),IF(AND(AA169&gt;IFERROR(AA167,-9),AA169-IFERROR(AA167,-9)&lt;0.28509),AA167+0.28509,AA169),NA())</f>
        <v>0</v>
      </c>
      <c r="AB172" s="68">
        <f>IF(ISNUMBER(AB25),IF(AND(AB169&gt;IFERROR(AB167,-9),AB169-IFERROR(AB167,-9)&lt;0.28509),AB167+0.28509,AB169),NA())</f>
        <v>0</v>
      </c>
      <c r="AC172" s="68">
        <f>IF(ISNUMBER(AC25),IF(AND(AC169&gt;IFERROR(AC167,-9),AC169-IFERROR(AC167,-9)&lt;0.28509),AC167+0.28509,AC169),NA())</f>
        <v>0</v>
      </c>
      <c r="AD172" s="68">
        <f>IF(ISNUMBER(AD25),IF(AND(AD169&gt;IFERROR(AD167,-9),AD169-IFERROR(AD167,-9)&lt;0.28509),AD167+0.28509,AD169),NA())</f>
        <v>0</v>
      </c>
    </row>
    <row r="173" spans="1:30">
      <c r="A173" s="11" t="s">
        <v>1039</v>
      </c>
      <c r="B173" s="11" t="s">
        <v>1040</v>
      </c>
      <c r="C173" s="67" t="s">
        <v>598</v>
      </c>
      <c r="D173" s="68">
        <v>1</v>
      </c>
    </row>
    <row r="174" spans="1:30">
      <c r="A174" s="11" t="s">
        <v>1041</v>
      </c>
      <c r="B174" s="11" t="s">
        <v>1042</v>
      </c>
      <c r="C174" s="67" t="s">
        <v>601</v>
      </c>
      <c r="D174" s="68">
        <f>IF(AND($D$173=1,ISNUMBER(D24),ISNUMBER(D25)),IF((D24-D25)&gt;0,0.5,NA()),NA())</f>
        <v>0</v>
      </c>
      <c r="E174" s="68">
        <f>IF(AND($D$173=1,ISNUMBER(E24),ISNUMBER(E25)),IF((E24-E25)&gt;0,0.5,NA()),NA())</f>
        <v>0</v>
      </c>
      <c r="F174" s="68">
        <f>IF(AND($D$173=1,ISNUMBER(F24),ISNUMBER(F25)),IF((F24-F25)&gt;0,0.5,NA()),NA())</f>
        <v>0</v>
      </c>
      <c r="G174" s="68">
        <f>IF(AND($D$173=1,ISNUMBER(G24),ISNUMBER(G25)),IF((G24-G25)&gt;0,0.5,NA()),NA())</f>
        <v>0</v>
      </c>
      <c r="H174" s="68">
        <f>IF(AND($D$173=1,ISNUMBER(H24),ISNUMBER(H25)),IF((H24-H25)&gt;0,0.5,NA()),NA())</f>
        <v>0</v>
      </c>
      <c r="I174" s="68">
        <f>IF(AND($D$173=1,ISNUMBER(I24),ISNUMBER(I25)),IF((I24-I25)&gt;0,0.5,NA()),NA())</f>
        <v>0</v>
      </c>
      <c r="J174" s="68">
        <f>IF(AND($D$173=1,ISNUMBER(J24),ISNUMBER(J25)),IF((J24-J25)&gt;0,0.5,NA()),NA())</f>
        <v>0</v>
      </c>
      <c r="K174" s="68">
        <f>IF(AND($D$173=1,ISNUMBER(K24),ISNUMBER(K25)),IF((K24-K25)&gt;0,0.5,NA()),NA())</f>
        <v>0</v>
      </c>
      <c r="L174" s="68">
        <f>IF(AND($D$173=1,ISNUMBER(L24),ISNUMBER(L25)),IF((L24-L25)&gt;0,0.5,NA()),NA())</f>
        <v>0</v>
      </c>
      <c r="M174" s="68">
        <f>IF(AND($D$173=1,ISNUMBER(M24),ISNUMBER(M25)),IF((M24-M25)&gt;0,0.5,NA()),NA())</f>
        <v>0</v>
      </c>
      <c r="N174" s="68">
        <f>IF(AND($D$173=1,ISNUMBER(N24),ISNUMBER(N25)),IF((N24-N25)&gt;0,0.5,NA()),NA())</f>
        <v>0</v>
      </c>
      <c r="O174" s="68">
        <f>IF(AND($D$173=1,ISNUMBER(O24),ISNUMBER(O25)),IF((O24-O25)&gt;0,0.5,NA()),NA())</f>
        <v>0</v>
      </c>
      <c r="P174" s="68">
        <f>IF(AND($D$173=1,ISNUMBER(P24),ISNUMBER(P25)),IF((P24-P25)&gt;0,0.5,NA()),NA())</f>
        <v>0</v>
      </c>
      <c r="Q174" s="68">
        <f>IF(AND($D$173=1,ISNUMBER(Q24),ISNUMBER(Q25)),IF((Q24-Q25)&gt;0,0.5,NA()),NA())</f>
        <v>0</v>
      </c>
      <c r="R174" s="68">
        <f>IF(AND($D$173=1,ISNUMBER(R24),ISNUMBER(R25)),IF((R24-R25)&gt;0,0.5,NA()),NA())</f>
        <v>0</v>
      </c>
      <c r="S174" s="68">
        <f>IF(AND($D$173=1,ISNUMBER(S24),ISNUMBER(S25)),IF((S24-S25)&gt;0,0.5,NA()),NA())</f>
        <v>0</v>
      </c>
      <c r="T174" s="68">
        <f>IF(AND($D$173=1,ISNUMBER(T24),ISNUMBER(T25)),IF((T24-T25)&gt;0,0.5,NA()),NA())</f>
        <v>0</v>
      </c>
      <c r="U174" s="68">
        <f>IF(AND($D$173=1,ISNUMBER(U24),ISNUMBER(U25)),IF((U24-U25)&gt;0,0.5,NA()),NA())</f>
        <v>0</v>
      </c>
      <c r="V174" s="68">
        <f>IF(AND($D$173=1,ISNUMBER(V24),ISNUMBER(V25)),IF((V24-V25)&gt;0,0.5,NA()),NA())</f>
        <v>0</v>
      </c>
      <c r="W174" s="68">
        <f>IF(AND($D$173=1,ISNUMBER(W24),ISNUMBER(W25)),IF((W24-W25)&gt;0,0.5,NA()),NA())</f>
        <v>0</v>
      </c>
      <c r="X174" s="68">
        <f>IF(AND($D$173=1,ISNUMBER(X24),ISNUMBER(X25)),IF((X24-X25)&gt;0,0.5,NA()),NA())</f>
        <v>0</v>
      </c>
      <c r="Y174" s="68">
        <f>IF(AND($D$173=1,ISNUMBER(Y24),ISNUMBER(Y25)),IF((Y24-Y25)&gt;0,0.5,NA()),NA())</f>
        <v>0</v>
      </c>
      <c r="Z174" s="68">
        <f>IF(AND($D$173=1,ISNUMBER(Z24),ISNUMBER(Z25)),IF((Z24-Z25)&gt;0,0.5,NA()),NA())</f>
        <v>0</v>
      </c>
      <c r="AA174" s="68">
        <f>IF(AND($D$173=1,ISNUMBER(AA24),ISNUMBER(AA25)),IF((AA24-AA25)&gt;0,0.5,NA()),NA())</f>
        <v>0</v>
      </c>
      <c r="AB174" s="68">
        <f>IF(AND($D$173=1,ISNUMBER(AB24),ISNUMBER(AB25)),IF((AB24-AB25)&gt;0,0.5,NA()),NA())</f>
        <v>0</v>
      </c>
      <c r="AC174" s="68">
        <f>IF(AND($D$173=1,ISNUMBER(AC24),ISNUMBER(AC25)),IF((AC24-AC25)&gt;0,0.5,NA()),NA())</f>
        <v>0</v>
      </c>
      <c r="AD174" s="68">
        <f>IF(AND($D$173=1,ISNUMBER(AD24),ISNUMBER(AD25)),IF((AD24-AD25)&gt;0,0.5,NA()),NA())</f>
        <v>0</v>
      </c>
    </row>
    <row r="175" spans="1:30">
      <c r="A175" s="11" t="s">
        <v>1043</v>
      </c>
      <c r="B175" s="11" t="s">
        <v>1044</v>
      </c>
      <c r="C175" s="67" t="s">
        <v>601</v>
      </c>
      <c r="D175" s="68">
        <f>IF(AND($D$173=1,ISNUMBER(D24),ISNUMBER(D25)),IF((D24-D25)&lt;0,0.5,NA()),NA())</f>
        <v>0</v>
      </c>
      <c r="E175" s="68">
        <f>IF(AND($D$173=1,ISNUMBER(E24),ISNUMBER(E25)),IF((E24-E25)&lt;0,0.5,NA()),NA())</f>
        <v>0</v>
      </c>
      <c r="F175" s="68">
        <f>IF(AND($D$173=1,ISNUMBER(F24),ISNUMBER(F25)),IF((F24-F25)&lt;0,0.5,NA()),NA())</f>
        <v>0</v>
      </c>
      <c r="G175" s="68">
        <f>IF(AND($D$173=1,ISNUMBER(G24),ISNUMBER(G25)),IF((G24-G25)&lt;0,0.5,NA()),NA())</f>
        <v>0</v>
      </c>
      <c r="H175" s="68">
        <f>IF(AND($D$173=1,ISNUMBER(H24),ISNUMBER(H25)),IF((H24-H25)&lt;0,0.5,NA()),NA())</f>
        <v>0</v>
      </c>
      <c r="I175" s="68">
        <f>IF(AND($D$173=1,ISNUMBER(I24),ISNUMBER(I25)),IF((I24-I25)&lt;0,0.5,NA()),NA())</f>
        <v>0</v>
      </c>
      <c r="J175" s="68">
        <f>IF(AND($D$173=1,ISNUMBER(J24),ISNUMBER(J25)),IF((J24-J25)&lt;0,0.5,NA()),NA())</f>
        <v>0</v>
      </c>
      <c r="K175" s="68">
        <f>IF(AND($D$173=1,ISNUMBER(K24),ISNUMBER(K25)),IF((K24-K25)&lt;0,0.5,NA()),NA())</f>
        <v>0</v>
      </c>
      <c r="L175" s="68">
        <f>IF(AND($D$173=1,ISNUMBER(L24),ISNUMBER(L25)),IF((L24-L25)&lt;0,0.5,NA()),NA())</f>
        <v>0</v>
      </c>
      <c r="M175" s="68">
        <f>IF(AND($D$173=1,ISNUMBER(M24),ISNUMBER(M25)),IF((M24-M25)&lt;0,0.5,NA()),NA())</f>
        <v>0</v>
      </c>
      <c r="N175" s="68">
        <f>IF(AND($D$173=1,ISNUMBER(N24),ISNUMBER(N25)),IF((N24-N25)&lt;0,0.5,NA()),NA())</f>
        <v>0</v>
      </c>
      <c r="O175" s="68">
        <f>IF(AND($D$173=1,ISNUMBER(O24),ISNUMBER(O25)),IF((O24-O25)&lt;0,0.5,NA()),NA())</f>
        <v>0</v>
      </c>
      <c r="P175" s="68">
        <f>IF(AND($D$173=1,ISNUMBER(P24),ISNUMBER(P25)),IF((P24-P25)&lt;0,0.5,NA()),NA())</f>
        <v>0</v>
      </c>
      <c r="Q175" s="68">
        <f>IF(AND($D$173=1,ISNUMBER(Q24),ISNUMBER(Q25)),IF((Q24-Q25)&lt;0,0.5,NA()),NA())</f>
        <v>0</v>
      </c>
      <c r="R175" s="68">
        <f>IF(AND($D$173=1,ISNUMBER(R24),ISNUMBER(R25)),IF((R24-R25)&lt;0,0.5,NA()),NA())</f>
        <v>0</v>
      </c>
      <c r="S175" s="68">
        <f>IF(AND($D$173=1,ISNUMBER(S24),ISNUMBER(S25)),IF((S24-S25)&lt;0,0.5,NA()),NA())</f>
        <v>0</v>
      </c>
      <c r="T175" s="68">
        <f>IF(AND($D$173=1,ISNUMBER(T24),ISNUMBER(T25)),IF((T24-T25)&lt;0,0.5,NA()),NA())</f>
        <v>0</v>
      </c>
      <c r="U175" s="68">
        <f>IF(AND($D$173=1,ISNUMBER(U24),ISNUMBER(U25)),IF((U24-U25)&lt;0,0.5,NA()),NA())</f>
        <v>0</v>
      </c>
      <c r="V175" s="68">
        <f>IF(AND($D$173=1,ISNUMBER(V24),ISNUMBER(V25)),IF((V24-V25)&lt;0,0.5,NA()),NA())</f>
        <v>0</v>
      </c>
      <c r="W175" s="68">
        <f>IF(AND($D$173=1,ISNUMBER(W24),ISNUMBER(W25)),IF((W24-W25)&lt;0,0.5,NA()),NA())</f>
        <v>0</v>
      </c>
      <c r="X175" s="68">
        <f>IF(AND($D$173=1,ISNUMBER(X24),ISNUMBER(X25)),IF((X24-X25)&lt;0,0.5,NA()),NA())</f>
        <v>0</v>
      </c>
      <c r="Y175" s="68">
        <f>IF(AND($D$173=1,ISNUMBER(Y24),ISNUMBER(Y25)),IF((Y24-Y25)&lt;0,0.5,NA()),NA())</f>
        <v>0</v>
      </c>
      <c r="Z175" s="68">
        <f>IF(AND($D$173=1,ISNUMBER(Z24),ISNUMBER(Z25)),IF((Z24-Z25)&lt;0,0.5,NA()),NA())</f>
        <v>0</v>
      </c>
      <c r="AA175" s="68">
        <f>IF(AND($D$173=1,ISNUMBER(AA24),ISNUMBER(AA25)),IF((AA24-AA25)&lt;0,0.5,NA()),NA())</f>
        <v>0</v>
      </c>
      <c r="AB175" s="68">
        <f>IF(AND($D$173=1,ISNUMBER(AB24),ISNUMBER(AB25)),IF((AB24-AB25)&lt;0,0.5,NA()),NA())</f>
        <v>0</v>
      </c>
      <c r="AC175" s="68">
        <f>IF(AND($D$173=1,ISNUMBER(AC24),ISNUMBER(AC25)),IF((AC24-AC25)&lt;0,0.5,NA()),NA())</f>
        <v>0</v>
      </c>
      <c r="AD175" s="68">
        <f>IF(AND($D$173=1,ISNUMBER(AD24),ISNUMBER(AD25)),IF((AD24-AD25)&lt;0,0.5,NA()),NA())</f>
        <v>0</v>
      </c>
    </row>
    <row r="176" spans="1:30">
      <c r="A176" s="11" t="s">
        <v>1045</v>
      </c>
      <c r="B176" s="11" t="s">
        <v>1046</v>
      </c>
      <c r="C176" s="67" t="s">
        <v>601</v>
      </c>
      <c r="D176" s="68">
        <f>IF(AND($D$173=1,ISNUMBER(D24),ISNUMBER(D25)),IF((D24-D25)=0,0.5,NA()),NA())</f>
        <v>0</v>
      </c>
      <c r="E176" s="68">
        <f>IF(AND($D$173=1,ISNUMBER(E24),ISNUMBER(E25)),IF((E24-E25)=0,0.5,NA()),NA())</f>
        <v>0</v>
      </c>
      <c r="F176" s="68">
        <f>IF(AND($D$173=1,ISNUMBER(F24),ISNUMBER(F25)),IF((F24-F25)=0,0.5,NA()),NA())</f>
        <v>0</v>
      </c>
      <c r="G176" s="68">
        <f>IF(AND($D$173=1,ISNUMBER(G24),ISNUMBER(G25)),IF((G24-G25)=0,0.5,NA()),NA())</f>
        <v>0</v>
      </c>
      <c r="H176" s="68">
        <f>IF(AND($D$173=1,ISNUMBER(H24),ISNUMBER(H25)),IF((H24-H25)=0,0.5,NA()),NA())</f>
        <v>0</v>
      </c>
      <c r="I176" s="68">
        <f>IF(AND($D$173=1,ISNUMBER(I24),ISNUMBER(I25)),IF((I24-I25)=0,0.5,NA()),NA())</f>
        <v>0</v>
      </c>
      <c r="J176" s="68">
        <f>IF(AND($D$173=1,ISNUMBER(J24),ISNUMBER(J25)),IF((J24-J25)=0,0.5,NA()),NA())</f>
        <v>0</v>
      </c>
      <c r="K176" s="68">
        <f>IF(AND($D$173=1,ISNUMBER(K24),ISNUMBER(K25)),IF((K24-K25)=0,0.5,NA()),NA())</f>
        <v>0</v>
      </c>
      <c r="L176" s="68">
        <f>IF(AND($D$173=1,ISNUMBER(L24),ISNUMBER(L25)),IF((L24-L25)=0,0.5,NA()),NA())</f>
        <v>0</v>
      </c>
      <c r="M176" s="68">
        <f>IF(AND($D$173=1,ISNUMBER(M24),ISNUMBER(M25)),IF((M24-M25)=0,0.5,NA()),NA())</f>
        <v>0</v>
      </c>
      <c r="N176" s="68">
        <f>IF(AND($D$173=1,ISNUMBER(N24),ISNUMBER(N25)),IF((N24-N25)=0,0.5,NA()),NA())</f>
        <v>0</v>
      </c>
      <c r="O176" s="68">
        <f>IF(AND($D$173=1,ISNUMBER(O24),ISNUMBER(O25)),IF((O24-O25)=0,0.5,NA()),NA())</f>
        <v>0</v>
      </c>
      <c r="P176" s="68">
        <f>IF(AND($D$173=1,ISNUMBER(P24),ISNUMBER(P25)),IF((P24-P25)=0,0.5,NA()),NA())</f>
        <v>0</v>
      </c>
      <c r="Q176" s="68">
        <f>IF(AND($D$173=1,ISNUMBER(Q24),ISNUMBER(Q25)),IF((Q24-Q25)=0,0.5,NA()),NA())</f>
        <v>0</v>
      </c>
      <c r="R176" s="68">
        <f>IF(AND($D$173=1,ISNUMBER(R24),ISNUMBER(R25)),IF((R24-R25)=0,0.5,NA()),NA())</f>
        <v>0</v>
      </c>
      <c r="S176" s="68">
        <f>IF(AND($D$173=1,ISNUMBER(S24),ISNUMBER(S25)),IF((S24-S25)=0,0.5,NA()),NA())</f>
        <v>0</v>
      </c>
      <c r="T176" s="68">
        <f>IF(AND($D$173=1,ISNUMBER(T24),ISNUMBER(T25)),IF((T24-T25)=0,0.5,NA()),NA())</f>
        <v>0</v>
      </c>
      <c r="U176" s="68">
        <f>IF(AND($D$173=1,ISNUMBER(U24),ISNUMBER(U25)),IF((U24-U25)=0,0.5,NA()),NA())</f>
        <v>0</v>
      </c>
      <c r="V176" s="68">
        <f>IF(AND($D$173=1,ISNUMBER(V24),ISNUMBER(V25)),IF((V24-V25)=0,0.5,NA()),NA())</f>
        <v>0</v>
      </c>
      <c r="W176" s="68">
        <f>IF(AND($D$173=1,ISNUMBER(W24),ISNUMBER(W25)),IF((W24-W25)=0,0.5,NA()),NA())</f>
        <v>0</v>
      </c>
      <c r="X176" s="68">
        <f>IF(AND($D$173=1,ISNUMBER(X24),ISNUMBER(X25)),IF((X24-X25)=0,0.5,NA()),NA())</f>
        <v>0</v>
      </c>
      <c r="Y176" s="68">
        <f>IF(AND($D$173=1,ISNUMBER(Y24),ISNUMBER(Y25)),IF((Y24-Y25)=0,0.5,NA()),NA())</f>
        <v>0</v>
      </c>
      <c r="Z176" s="68">
        <f>IF(AND($D$173=1,ISNUMBER(Z24),ISNUMBER(Z25)),IF((Z24-Z25)=0,0.5,NA()),NA())</f>
        <v>0</v>
      </c>
      <c r="AA176" s="68">
        <f>IF(AND($D$173=1,ISNUMBER(AA24),ISNUMBER(AA25)),IF((AA24-AA25)=0,0.5,NA()),NA())</f>
        <v>0</v>
      </c>
      <c r="AB176" s="68">
        <f>IF(AND($D$173=1,ISNUMBER(AB24),ISNUMBER(AB25)),IF((AB24-AB25)=0,0.5,NA()),NA())</f>
        <v>0</v>
      </c>
      <c r="AC176" s="68">
        <f>IF(AND($D$173=1,ISNUMBER(AC24),ISNUMBER(AC25)),IF((AC24-AC25)=0,0.5,NA()),NA())</f>
        <v>0</v>
      </c>
      <c r="AD176" s="68">
        <f>IF(AND($D$173=1,ISNUMBER(AD24),ISNUMBER(AD25)),IF((AD24-AD25)=0,0.5,NA()),NA())</f>
        <v>0</v>
      </c>
    </row>
    <row r="177" spans="1:30">
      <c r="A177" s="11" t="s">
        <v>1047</v>
      </c>
      <c r="B177" s="11" t="s">
        <v>1048</v>
      </c>
      <c r="C177" s="67" t="s">
        <v>601</v>
      </c>
      <c r="D177" s="11">
        <f>IF(AND(ISNUMBER(D24),ISNUMBER(D25)),IF((D24-D25)&gt;0,"+"&amp;FIXED((D24-D25),0),IF((D24-D25)&lt;0,"−"&amp;FIXED(-(D24-D25),0),"±0")),"")</f>
        <v>0</v>
      </c>
      <c r="E177" s="11">
        <f>IF(AND(ISNUMBER(E24),ISNUMBER(E25)),IF((E24-E25)&gt;0,"+"&amp;FIXED((E24-E25),0),IF((E24-E25)&lt;0,"−"&amp;FIXED(-(E24-E25),0),"±0")),"")</f>
        <v>0</v>
      </c>
      <c r="F177" s="11">
        <f>IF(AND(ISNUMBER(F24),ISNUMBER(F25)),IF((F24-F25)&gt;0,"+"&amp;FIXED((F24-F25),0),IF((F24-F25)&lt;0,"−"&amp;FIXED(-(F24-F25),0),"±0")),"")</f>
        <v>0</v>
      </c>
      <c r="G177" s="11">
        <f>IF(AND(ISNUMBER(G24),ISNUMBER(G25)),IF((G24-G25)&gt;0,"+"&amp;FIXED((G24-G25),0),IF((G24-G25)&lt;0,"−"&amp;FIXED(-(G24-G25),0),"±0")),"")</f>
        <v>0</v>
      </c>
      <c r="H177" s="11">
        <f>IF(AND(ISNUMBER(H24),ISNUMBER(H25)),IF((H24-H25)&gt;0,"+"&amp;FIXED((H24-H25),0),IF((H24-H25)&lt;0,"−"&amp;FIXED(-(H24-H25),0),"±0")),"")</f>
        <v>0</v>
      </c>
      <c r="I177" s="11">
        <f>IF(AND(ISNUMBER(I24),ISNUMBER(I25)),IF((I24-I25)&gt;0,"+"&amp;FIXED((I24-I25),0),IF((I24-I25)&lt;0,"−"&amp;FIXED(-(I24-I25),0),"±0")),"")</f>
        <v>0</v>
      </c>
      <c r="J177" s="11">
        <f>IF(AND(ISNUMBER(J24),ISNUMBER(J25)),IF((J24-J25)&gt;0,"+"&amp;FIXED((J24-J25),0),IF((J24-J25)&lt;0,"−"&amp;FIXED(-(J24-J25),0),"±0")),"")</f>
        <v>0</v>
      </c>
      <c r="K177" s="11">
        <f>IF(AND(ISNUMBER(K24),ISNUMBER(K25)),IF((K24-K25)&gt;0,"+"&amp;FIXED((K24-K25),0),IF((K24-K25)&lt;0,"−"&amp;FIXED(-(K24-K25),0),"±0")),"")</f>
        <v>0</v>
      </c>
      <c r="L177" s="11">
        <f>IF(AND(ISNUMBER(L24),ISNUMBER(L25)),IF((L24-L25)&gt;0,"+"&amp;FIXED((L24-L25),0),IF((L24-L25)&lt;0,"−"&amp;FIXED(-(L24-L25),0),"±0")),"")</f>
        <v>0</v>
      </c>
      <c r="M177" s="11">
        <f>IF(AND(ISNUMBER(M24),ISNUMBER(M25)),IF((M24-M25)&gt;0,"+"&amp;FIXED((M24-M25),0),IF((M24-M25)&lt;0,"−"&amp;FIXED(-(M24-M25),0),"±0")),"")</f>
        <v>0</v>
      </c>
      <c r="N177" s="11">
        <f>IF(AND(ISNUMBER(N24),ISNUMBER(N25)),IF((N24-N25)&gt;0,"+"&amp;FIXED((N24-N25),0),IF((N24-N25)&lt;0,"−"&amp;FIXED(-(N24-N25),0),"±0")),"")</f>
        <v>0</v>
      </c>
      <c r="O177" s="11">
        <f>IF(AND(ISNUMBER(O24),ISNUMBER(O25)),IF((O24-O25)&gt;0,"+"&amp;FIXED((O24-O25),0),IF((O24-O25)&lt;0,"−"&amp;FIXED(-(O24-O25),0),"±0")),"")</f>
        <v>0</v>
      </c>
      <c r="P177" s="11">
        <f>IF(AND(ISNUMBER(P24),ISNUMBER(P25)),IF((P24-P25)&gt;0,"+"&amp;FIXED((P24-P25),0),IF((P24-P25)&lt;0,"−"&amp;FIXED(-(P24-P25),0),"±0")),"")</f>
        <v>0</v>
      </c>
      <c r="Q177" s="11">
        <f>IF(AND(ISNUMBER(Q24),ISNUMBER(Q25)),IF((Q24-Q25)&gt;0,"+"&amp;FIXED((Q24-Q25),0),IF((Q24-Q25)&lt;0,"−"&amp;FIXED(-(Q24-Q25),0),"±0")),"")</f>
        <v>0</v>
      </c>
      <c r="R177" s="11">
        <f>IF(AND(ISNUMBER(R24),ISNUMBER(R25)),IF((R24-R25)&gt;0,"+"&amp;FIXED((R24-R25),0),IF((R24-R25)&lt;0,"−"&amp;FIXED(-(R24-R25),0),"±0")),"")</f>
        <v>0</v>
      </c>
      <c r="S177" s="11">
        <f>IF(AND(ISNUMBER(S24),ISNUMBER(S25)),IF((S24-S25)&gt;0,"+"&amp;FIXED((S24-S25),0),IF((S24-S25)&lt;0,"−"&amp;FIXED(-(S24-S25),0),"±0")),"")</f>
        <v>0</v>
      </c>
      <c r="T177" s="11">
        <f>IF(AND(ISNUMBER(T24),ISNUMBER(T25)),IF((T24-T25)&gt;0,"+"&amp;FIXED((T24-T25),0),IF((T24-T25)&lt;0,"−"&amp;FIXED(-(T24-T25),0),"±0")),"")</f>
        <v>0</v>
      </c>
      <c r="U177" s="11">
        <f>IF(AND(ISNUMBER(U24),ISNUMBER(U25)),IF((U24-U25)&gt;0,"+"&amp;FIXED((U24-U25),0),IF((U24-U25)&lt;0,"−"&amp;FIXED(-(U24-U25),0),"±0")),"")</f>
        <v>0</v>
      </c>
      <c r="V177" s="11">
        <f>IF(AND(ISNUMBER(V24),ISNUMBER(V25)),IF((V24-V25)&gt;0,"+"&amp;FIXED((V24-V25),0),IF((V24-V25)&lt;0,"−"&amp;FIXED(-(V24-V25),0),"±0")),"")</f>
        <v>0</v>
      </c>
      <c r="W177" s="11">
        <f>IF(AND(ISNUMBER(W24),ISNUMBER(W25)),IF((W24-W25)&gt;0,"+"&amp;FIXED((W24-W25),0),IF((W24-W25)&lt;0,"−"&amp;FIXED(-(W24-W25),0),"±0")),"")</f>
        <v>0</v>
      </c>
      <c r="X177" s="11">
        <f>IF(AND(ISNUMBER(X24),ISNUMBER(X25)),IF((X24-X25)&gt;0,"+"&amp;FIXED((X24-X25),0),IF((X24-X25)&lt;0,"−"&amp;FIXED(-(X24-X25),0),"±0")),"")</f>
        <v>0</v>
      </c>
      <c r="Y177" s="11">
        <f>IF(AND(ISNUMBER(Y24),ISNUMBER(Y25)),IF((Y24-Y25)&gt;0,"+"&amp;FIXED((Y24-Y25),0),IF((Y24-Y25)&lt;0,"−"&amp;FIXED(-(Y24-Y25),0),"±0")),"")</f>
        <v>0</v>
      </c>
      <c r="Z177" s="11">
        <f>IF(AND(ISNUMBER(Z24),ISNUMBER(Z25)),IF((Z24-Z25)&gt;0,"+"&amp;FIXED((Z24-Z25),0),IF((Z24-Z25)&lt;0,"−"&amp;FIXED(-(Z24-Z25),0),"±0")),"")</f>
        <v>0</v>
      </c>
      <c r="AA177" s="11">
        <f>IF(AND(ISNUMBER(AA24),ISNUMBER(AA25)),IF((AA24-AA25)&gt;0,"+"&amp;FIXED((AA24-AA25),0),IF((AA24-AA25)&lt;0,"−"&amp;FIXED(-(AA24-AA25),0),"±0")),"")</f>
        <v>0</v>
      </c>
      <c r="AB177" s="11">
        <f>IF(AND(ISNUMBER(AB24),ISNUMBER(AB25)),IF((AB24-AB25)&gt;0,"+"&amp;FIXED((AB24-AB25),0),IF((AB24-AB25)&lt;0,"−"&amp;FIXED(-(AB24-AB25),0),"±0")),"")</f>
        <v>0</v>
      </c>
      <c r="AC177" s="11">
        <f>IF(AND(ISNUMBER(AC24),ISNUMBER(AC25)),IF((AC24-AC25)&gt;0,"+"&amp;FIXED((AC24-AC25),0),IF((AC24-AC25)&lt;0,"−"&amp;FIXED(-(AC24-AC25),0),"±0")),"")</f>
        <v>0</v>
      </c>
      <c r="AD177" s="11">
        <f>IF(AND(ISNUMBER(AD24),ISNUMBER(AD25)),IF((AD24-AD25)&gt;0,"+"&amp;FIXED((AD24-AD25),0),IF((AD24-AD25)&lt;0,"−"&amp;FIXED(-(AD24-AD25),0),"±0")),"")</f>
        <v>0</v>
      </c>
    </row>
    <row r="178" spans="1:30">
      <c r="A178" s="11" t="s">
        <v>1049</v>
      </c>
      <c r="B178" s="11" t="s">
        <v>1050</v>
      </c>
      <c r="C178" s="67" t="s">
        <v>598</v>
      </c>
      <c r="D178" s="68">
        <v>10</v>
      </c>
    </row>
    <row r="179" spans="1:30">
      <c r="A179" s="11" t="s">
        <v>1051</v>
      </c>
      <c r="B179" s="11" t="s">
        <v>1052</v>
      </c>
      <c r="C179" s="67" t="s">
        <v>601</v>
      </c>
      <c r="D179" s="68">
        <f>IF(ISNUMBER(D30),D30/MAX(1,_xlfn.AGGREGATE(4,6,INDEX($D$30:$AD$30,28-$D$178):$AD$30),_xlfn.AGGREGATE(4,6,INDEX($D$31:$AD$31,28-$D$178):$AD$31)),NA())</f>
        <v>0</v>
      </c>
      <c r="E179" s="68">
        <f>IF(ISNUMBER(E30),E30/MAX(1,_xlfn.AGGREGATE(4,6,INDEX($D$30:$AD$30,28-$D$178):$AD$30),_xlfn.AGGREGATE(4,6,INDEX($D$31:$AD$31,28-$D$178):$AD$31)),NA())</f>
        <v>0</v>
      </c>
      <c r="F179" s="68">
        <f>IF(ISNUMBER(F30),F30/MAX(1,_xlfn.AGGREGATE(4,6,INDEX($D$30:$AD$30,28-$D$178):$AD$30),_xlfn.AGGREGATE(4,6,INDEX($D$31:$AD$31,28-$D$178):$AD$31)),NA())</f>
        <v>0</v>
      </c>
      <c r="G179" s="68">
        <f>IF(ISNUMBER(G30),G30/MAX(1,_xlfn.AGGREGATE(4,6,INDEX($D$30:$AD$30,28-$D$178):$AD$30),_xlfn.AGGREGATE(4,6,INDEX($D$31:$AD$31,28-$D$178):$AD$31)),NA())</f>
        <v>0</v>
      </c>
      <c r="H179" s="68">
        <f>IF(ISNUMBER(H30),H30/MAX(1,_xlfn.AGGREGATE(4,6,INDEX($D$30:$AD$30,28-$D$178):$AD$30),_xlfn.AGGREGATE(4,6,INDEX($D$31:$AD$31,28-$D$178):$AD$31)),NA())</f>
        <v>0</v>
      </c>
      <c r="I179" s="68">
        <f>IF(ISNUMBER(I30),I30/MAX(1,_xlfn.AGGREGATE(4,6,INDEX($D$30:$AD$30,28-$D$178):$AD$30),_xlfn.AGGREGATE(4,6,INDEX($D$31:$AD$31,28-$D$178):$AD$31)),NA())</f>
        <v>0</v>
      </c>
      <c r="J179" s="68">
        <f>IF(ISNUMBER(J30),J30/MAX(1,_xlfn.AGGREGATE(4,6,INDEX($D$30:$AD$30,28-$D$178):$AD$30),_xlfn.AGGREGATE(4,6,INDEX($D$31:$AD$31,28-$D$178):$AD$31)),NA())</f>
        <v>0</v>
      </c>
      <c r="K179" s="68">
        <f>IF(ISNUMBER(K30),K30/MAX(1,_xlfn.AGGREGATE(4,6,INDEX($D$30:$AD$30,28-$D$178):$AD$30),_xlfn.AGGREGATE(4,6,INDEX($D$31:$AD$31,28-$D$178):$AD$31)),NA())</f>
        <v>0</v>
      </c>
      <c r="L179" s="68">
        <f>IF(ISNUMBER(L30),L30/MAX(1,_xlfn.AGGREGATE(4,6,INDEX($D$30:$AD$30,28-$D$178):$AD$30),_xlfn.AGGREGATE(4,6,INDEX($D$31:$AD$31,28-$D$178):$AD$31)),NA())</f>
        <v>0</v>
      </c>
      <c r="M179" s="68">
        <f>IF(ISNUMBER(M30),M30/MAX(1,_xlfn.AGGREGATE(4,6,INDEX($D$30:$AD$30,28-$D$178):$AD$30),_xlfn.AGGREGATE(4,6,INDEX($D$31:$AD$31,28-$D$178):$AD$31)),NA())</f>
        <v>0</v>
      </c>
      <c r="N179" s="68">
        <f>IF(ISNUMBER(N30),N30/MAX(1,_xlfn.AGGREGATE(4,6,INDEX($D$30:$AD$30,28-$D$178):$AD$30),_xlfn.AGGREGATE(4,6,INDEX($D$31:$AD$31,28-$D$178):$AD$31)),NA())</f>
        <v>0</v>
      </c>
      <c r="O179" s="68">
        <f>IF(ISNUMBER(O30),O30/MAX(1,_xlfn.AGGREGATE(4,6,INDEX($D$30:$AD$30,28-$D$178):$AD$30),_xlfn.AGGREGATE(4,6,INDEX($D$31:$AD$31,28-$D$178):$AD$31)),NA())</f>
        <v>0</v>
      </c>
      <c r="P179" s="68">
        <f>IF(ISNUMBER(P30),P30/MAX(1,_xlfn.AGGREGATE(4,6,INDEX($D$30:$AD$30,28-$D$178):$AD$30),_xlfn.AGGREGATE(4,6,INDEX($D$31:$AD$31,28-$D$178):$AD$31)),NA())</f>
        <v>0</v>
      </c>
      <c r="Q179" s="68">
        <f>IF(ISNUMBER(Q30),Q30/MAX(1,_xlfn.AGGREGATE(4,6,INDEX($D$30:$AD$30,28-$D$178):$AD$30),_xlfn.AGGREGATE(4,6,INDEX($D$31:$AD$31,28-$D$178):$AD$31)),NA())</f>
        <v>0</v>
      </c>
      <c r="R179" s="68">
        <f>IF(ISNUMBER(R30),R30/MAX(1,_xlfn.AGGREGATE(4,6,INDEX($D$30:$AD$30,28-$D$178):$AD$30),_xlfn.AGGREGATE(4,6,INDEX($D$31:$AD$31,28-$D$178):$AD$31)),NA())</f>
        <v>0</v>
      </c>
      <c r="S179" s="68">
        <f>IF(ISNUMBER(S30),S30/MAX(1,_xlfn.AGGREGATE(4,6,INDEX($D$30:$AD$30,28-$D$178):$AD$30),_xlfn.AGGREGATE(4,6,INDEX($D$31:$AD$31,28-$D$178):$AD$31)),NA())</f>
        <v>0</v>
      </c>
      <c r="T179" s="68">
        <f>IF(ISNUMBER(T30),T30/MAX(1,_xlfn.AGGREGATE(4,6,INDEX($D$30:$AD$30,28-$D$178):$AD$30),_xlfn.AGGREGATE(4,6,INDEX($D$31:$AD$31,28-$D$178):$AD$31)),NA())</f>
        <v>0</v>
      </c>
      <c r="U179" s="68">
        <f>IF(ISNUMBER(U30),U30/MAX(1,_xlfn.AGGREGATE(4,6,INDEX($D$30:$AD$30,28-$D$178):$AD$30),_xlfn.AGGREGATE(4,6,INDEX($D$31:$AD$31,28-$D$178):$AD$31)),NA())</f>
        <v>0</v>
      </c>
      <c r="V179" s="68">
        <f>IF(ISNUMBER(V30),V30/MAX(1,_xlfn.AGGREGATE(4,6,INDEX($D$30:$AD$30,28-$D$178):$AD$30),_xlfn.AGGREGATE(4,6,INDEX($D$31:$AD$31,28-$D$178):$AD$31)),NA())</f>
        <v>0</v>
      </c>
      <c r="W179" s="68">
        <f>IF(ISNUMBER(W30),W30/MAX(1,_xlfn.AGGREGATE(4,6,INDEX($D$30:$AD$30,28-$D$178):$AD$30),_xlfn.AGGREGATE(4,6,INDEX($D$31:$AD$31,28-$D$178):$AD$31)),NA())</f>
        <v>0</v>
      </c>
      <c r="X179" s="68">
        <f>IF(ISNUMBER(X30),X30/MAX(1,_xlfn.AGGREGATE(4,6,INDEX($D$30:$AD$30,28-$D$178):$AD$30),_xlfn.AGGREGATE(4,6,INDEX($D$31:$AD$31,28-$D$178):$AD$31)),NA())</f>
        <v>0</v>
      </c>
      <c r="Y179" s="68">
        <f>IF(ISNUMBER(Y30),Y30/MAX(1,_xlfn.AGGREGATE(4,6,INDEX($D$30:$AD$30,28-$D$178):$AD$30),_xlfn.AGGREGATE(4,6,INDEX($D$31:$AD$31,28-$D$178):$AD$31)),NA())</f>
        <v>0</v>
      </c>
      <c r="Z179" s="68">
        <f>IF(ISNUMBER(Z30),Z30/MAX(1,_xlfn.AGGREGATE(4,6,INDEX($D$30:$AD$30,28-$D$178):$AD$30),_xlfn.AGGREGATE(4,6,INDEX($D$31:$AD$31,28-$D$178):$AD$31)),NA())</f>
        <v>0</v>
      </c>
      <c r="AA179" s="68">
        <f>IF(ISNUMBER(AA30),AA30/MAX(1,_xlfn.AGGREGATE(4,6,INDEX($D$30:$AD$30,28-$D$178):$AD$30),_xlfn.AGGREGATE(4,6,INDEX($D$31:$AD$31,28-$D$178):$AD$31)),NA())</f>
        <v>0</v>
      </c>
      <c r="AB179" s="68">
        <f>IF(ISNUMBER(AB30),AB30/MAX(1,_xlfn.AGGREGATE(4,6,INDEX($D$30:$AD$30,28-$D$178):$AD$30),_xlfn.AGGREGATE(4,6,INDEX($D$31:$AD$31,28-$D$178):$AD$31)),NA())</f>
        <v>0</v>
      </c>
      <c r="AC179" s="68">
        <f>IF(ISNUMBER(AC30),AC30/MAX(1,_xlfn.AGGREGATE(4,6,INDEX($D$30:$AD$30,28-$D$178):$AD$30),_xlfn.AGGREGATE(4,6,INDEX($D$31:$AD$31,28-$D$178):$AD$31)),NA())</f>
        <v>0</v>
      </c>
      <c r="AD179" s="68">
        <f>IF(ISNUMBER(AD30),AD30/MAX(1,_xlfn.AGGREGATE(4,6,INDEX($D$30:$AD$30,28-$D$178):$AD$30),_xlfn.AGGREGATE(4,6,INDEX($D$31:$AD$31,28-$D$178):$AD$31)),NA())</f>
        <v>0</v>
      </c>
    </row>
    <row r="180" spans="1:30">
      <c r="A180" s="11" t="s">
        <v>1053</v>
      </c>
      <c r="B180" s="11" t="s">
        <v>1054</v>
      </c>
      <c r="C180" s="67" t="s">
        <v>601</v>
      </c>
      <c r="D180" s="11">
        <f>IF(ISNUMBER(D30),FIXED(D30,0),"")</f>
        <v>0</v>
      </c>
      <c r="E180" s="11">
        <f>IF(ISNUMBER(E30),FIXED(E30,0),"")</f>
        <v>0</v>
      </c>
      <c r="F180" s="11">
        <f>IF(ISNUMBER(F30),FIXED(F30,0),"")</f>
        <v>0</v>
      </c>
      <c r="G180" s="11">
        <f>IF(ISNUMBER(G30),FIXED(G30,0),"")</f>
        <v>0</v>
      </c>
      <c r="H180" s="11">
        <f>IF(ISNUMBER(H30),FIXED(H30,0),"")</f>
        <v>0</v>
      </c>
      <c r="I180" s="11">
        <f>IF(ISNUMBER(I30),FIXED(I30,0),"")</f>
        <v>0</v>
      </c>
      <c r="J180" s="11">
        <f>IF(ISNUMBER(J30),FIXED(J30,0),"")</f>
        <v>0</v>
      </c>
      <c r="K180" s="11">
        <f>IF(ISNUMBER(K30),FIXED(K30,0),"")</f>
        <v>0</v>
      </c>
      <c r="L180" s="11">
        <f>IF(ISNUMBER(L30),FIXED(L30,0),"")</f>
        <v>0</v>
      </c>
      <c r="M180" s="11">
        <f>IF(ISNUMBER(M30),FIXED(M30,0),"")</f>
        <v>0</v>
      </c>
      <c r="N180" s="11">
        <f>IF(ISNUMBER(N30),FIXED(N30,0),"")</f>
        <v>0</v>
      </c>
      <c r="O180" s="11">
        <f>IF(ISNUMBER(O30),FIXED(O30,0),"")</f>
        <v>0</v>
      </c>
      <c r="P180" s="11">
        <f>IF(ISNUMBER(P30),FIXED(P30,0),"")</f>
        <v>0</v>
      </c>
      <c r="Q180" s="11">
        <f>IF(ISNUMBER(Q30),FIXED(Q30,0),"")</f>
        <v>0</v>
      </c>
      <c r="R180" s="11">
        <f>IF(ISNUMBER(R30),FIXED(R30,0),"")</f>
        <v>0</v>
      </c>
      <c r="S180" s="11">
        <f>IF(ISNUMBER(S30),FIXED(S30,0),"")</f>
        <v>0</v>
      </c>
      <c r="T180" s="11">
        <f>IF(ISNUMBER(T30),FIXED(T30,0),"")</f>
        <v>0</v>
      </c>
      <c r="U180" s="11">
        <f>IF(ISNUMBER(U30),FIXED(U30,0),"")</f>
        <v>0</v>
      </c>
      <c r="V180" s="11">
        <f>IF(ISNUMBER(V30),FIXED(V30,0),"")</f>
        <v>0</v>
      </c>
      <c r="W180" s="11">
        <f>IF(ISNUMBER(W30),FIXED(W30,0),"")</f>
        <v>0</v>
      </c>
      <c r="X180" s="11">
        <f>IF(ISNUMBER(X30),FIXED(X30,0),"")</f>
        <v>0</v>
      </c>
      <c r="Y180" s="11">
        <f>IF(ISNUMBER(Y30),FIXED(Y30,0),"")</f>
        <v>0</v>
      </c>
      <c r="Z180" s="11">
        <f>IF(ISNUMBER(Z30),FIXED(Z30,0),"")</f>
        <v>0</v>
      </c>
      <c r="AA180" s="11">
        <f>IF(ISNUMBER(AA30),FIXED(AA30,0),"")</f>
        <v>0</v>
      </c>
      <c r="AB180" s="11">
        <f>IF(ISNUMBER(AB30),FIXED(AB30,0),"")</f>
        <v>0</v>
      </c>
      <c r="AC180" s="11">
        <f>IF(ISNUMBER(AC30),FIXED(AC30,0),"")</f>
        <v>0</v>
      </c>
      <c r="AD180" s="11">
        <f>IF(ISNUMBER(AD30),FIXED(AD30,0),"")</f>
        <v>0</v>
      </c>
    </row>
    <row r="181" spans="1:30">
      <c r="A181" s="11" t="s">
        <v>1055</v>
      </c>
      <c r="B181" s="11" t="s">
        <v>1056</v>
      </c>
      <c r="C181" s="67" t="s">
        <v>601</v>
      </c>
      <c r="D181" s="68">
        <f>IF(ISNUMBER(D31),D31/MAX(1,_xlfn.AGGREGATE(4,6,INDEX($D$30:$AD$30,28-$D$178):$AD$30),_xlfn.AGGREGATE(4,6,INDEX($D$31:$AD$31,28-$D$178):$AD$31)),NA())</f>
        <v>0</v>
      </c>
      <c r="E181" s="68">
        <f>IF(ISNUMBER(E31),E31/MAX(1,_xlfn.AGGREGATE(4,6,INDEX($D$30:$AD$30,28-$D$178):$AD$30),_xlfn.AGGREGATE(4,6,INDEX($D$31:$AD$31,28-$D$178):$AD$31)),NA())</f>
        <v>0</v>
      </c>
      <c r="F181" s="68">
        <f>IF(ISNUMBER(F31),F31/MAX(1,_xlfn.AGGREGATE(4,6,INDEX($D$30:$AD$30,28-$D$178):$AD$30),_xlfn.AGGREGATE(4,6,INDEX($D$31:$AD$31,28-$D$178):$AD$31)),NA())</f>
        <v>0</v>
      </c>
      <c r="G181" s="68">
        <f>IF(ISNUMBER(G31),G31/MAX(1,_xlfn.AGGREGATE(4,6,INDEX($D$30:$AD$30,28-$D$178):$AD$30),_xlfn.AGGREGATE(4,6,INDEX($D$31:$AD$31,28-$D$178):$AD$31)),NA())</f>
        <v>0</v>
      </c>
      <c r="H181" s="68">
        <f>IF(ISNUMBER(H31),H31/MAX(1,_xlfn.AGGREGATE(4,6,INDEX($D$30:$AD$30,28-$D$178):$AD$30),_xlfn.AGGREGATE(4,6,INDEX($D$31:$AD$31,28-$D$178):$AD$31)),NA())</f>
        <v>0</v>
      </c>
      <c r="I181" s="68">
        <f>IF(ISNUMBER(I31),I31/MAX(1,_xlfn.AGGREGATE(4,6,INDEX($D$30:$AD$30,28-$D$178):$AD$30),_xlfn.AGGREGATE(4,6,INDEX($D$31:$AD$31,28-$D$178):$AD$31)),NA())</f>
        <v>0</v>
      </c>
      <c r="J181" s="68">
        <f>IF(ISNUMBER(J31),J31/MAX(1,_xlfn.AGGREGATE(4,6,INDEX($D$30:$AD$30,28-$D$178):$AD$30),_xlfn.AGGREGATE(4,6,INDEX($D$31:$AD$31,28-$D$178):$AD$31)),NA())</f>
        <v>0</v>
      </c>
      <c r="K181" s="68">
        <f>IF(ISNUMBER(K31),K31/MAX(1,_xlfn.AGGREGATE(4,6,INDEX($D$30:$AD$30,28-$D$178):$AD$30),_xlfn.AGGREGATE(4,6,INDEX($D$31:$AD$31,28-$D$178):$AD$31)),NA())</f>
        <v>0</v>
      </c>
      <c r="L181" s="68">
        <f>IF(ISNUMBER(L31),L31/MAX(1,_xlfn.AGGREGATE(4,6,INDEX($D$30:$AD$30,28-$D$178):$AD$30),_xlfn.AGGREGATE(4,6,INDEX($D$31:$AD$31,28-$D$178):$AD$31)),NA())</f>
        <v>0</v>
      </c>
      <c r="M181" s="68">
        <f>IF(ISNUMBER(M31),M31/MAX(1,_xlfn.AGGREGATE(4,6,INDEX($D$30:$AD$30,28-$D$178):$AD$30),_xlfn.AGGREGATE(4,6,INDEX($D$31:$AD$31,28-$D$178):$AD$31)),NA())</f>
        <v>0</v>
      </c>
      <c r="N181" s="68">
        <f>IF(ISNUMBER(N31),N31/MAX(1,_xlfn.AGGREGATE(4,6,INDEX($D$30:$AD$30,28-$D$178):$AD$30),_xlfn.AGGREGATE(4,6,INDEX($D$31:$AD$31,28-$D$178):$AD$31)),NA())</f>
        <v>0</v>
      </c>
      <c r="O181" s="68">
        <f>IF(ISNUMBER(O31),O31/MAX(1,_xlfn.AGGREGATE(4,6,INDEX($D$30:$AD$30,28-$D$178):$AD$30),_xlfn.AGGREGATE(4,6,INDEX($D$31:$AD$31,28-$D$178):$AD$31)),NA())</f>
        <v>0</v>
      </c>
      <c r="P181" s="68">
        <f>IF(ISNUMBER(P31),P31/MAX(1,_xlfn.AGGREGATE(4,6,INDEX($D$30:$AD$30,28-$D$178):$AD$30),_xlfn.AGGREGATE(4,6,INDEX($D$31:$AD$31,28-$D$178):$AD$31)),NA())</f>
        <v>0</v>
      </c>
      <c r="Q181" s="68">
        <f>IF(ISNUMBER(Q31),Q31/MAX(1,_xlfn.AGGREGATE(4,6,INDEX($D$30:$AD$30,28-$D$178):$AD$30),_xlfn.AGGREGATE(4,6,INDEX($D$31:$AD$31,28-$D$178):$AD$31)),NA())</f>
        <v>0</v>
      </c>
      <c r="R181" s="68">
        <f>IF(ISNUMBER(R31),R31/MAX(1,_xlfn.AGGREGATE(4,6,INDEX($D$30:$AD$30,28-$D$178):$AD$30),_xlfn.AGGREGATE(4,6,INDEX($D$31:$AD$31,28-$D$178):$AD$31)),NA())</f>
        <v>0</v>
      </c>
      <c r="S181" s="68">
        <f>IF(ISNUMBER(S31),S31/MAX(1,_xlfn.AGGREGATE(4,6,INDEX($D$30:$AD$30,28-$D$178):$AD$30),_xlfn.AGGREGATE(4,6,INDEX($D$31:$AD$31,28-$D$178):$AD$31)),NA())</f>
        <v>0</v>
      </c>
      <c r="T181" s="68">
        <f>IF(ISNUMBER(T31),T31/MAX(1,_xlfn.AGGREGATE(4,6,INDEX($D$30:$AD$30,28-$D$178):$AD$30),_xlfn.AGGREGATE(4,6,INDEX($D$31:$AD$31,28-$D$178):$AD$31)),NA())</f>
        <v>0</v>
      </c>
      <c r="U181" s="68">
        <f>IF(ISNUMBER(U31),U31/MAX(1,_xlfn.AGGREGATE(4,6,INDEX($D$30:$AD$30,28-$D$178):$AD$30),_xlfn.AGGREGATE(4,6,INDEX($D$31:$AD$31,28-$D$178):$AD$31)),NA())</f>
        <v>0</v>
      </c>
      <c r="V181" s="68">
        <f>IF(ISNUMBER(V31),V31/MAX(1,_xlfn.AGGREGATE(4,6,INDEX($D$30:$AD$30,28-$D$178):$AD$30),_xlfn.AGGREGATE(4,6,INDEX($D$31:$AD$31,28-$D$178):$AD$31)),NA())</f>
        <v>0</v>
      </c>
      <c r="W181" s="68">
        <f>IF(ISNUMBER(W31),W31/MAX(1,_xlfn.AGGREGATE(4,6,INDEX($D$30:$AD$30,28-$D$178):$AD$30),_xlfn.AGGREGATE(4,6,INDEX($D$31:$AD$31,28-$D$178):$AD$31)),NA())</f>
        <v>0</v>
      </c>
      <c r="X181" s="68">
        <f>IF(ISNUMBER(X31),X31/MAX(1,_xlfn.AGGREGATE(4,6,INDEX($D$30:$AD$30,28-$D$178):$AD$30),_xlfn.AGGREGATE(4,6,INDEX($D$31:$AD$31,28-$D$178):$AD$31)),NA())</f>
        <v>0</v>
      </c>
      <c r="Y181" s="68">
        <f>IF(ISNUMBER(Y31),Y31/MAX(1,_xlfn.AGGREGATE(4,6,INDEX($D$30:$AD$30,28-$D$178):$AD$30),_xlfn.AGGREGATE(4,6,INDEX($D$31:$AD$31,28-$D$178):$AD$31)),NA())</f>
        <v>0</v>
      </c>
      <c r="Z181" s="68">
        <f>IF(ISNUMBER(Z31),Z31/MAX(1,_xlfn.AGGREGATE(4,6,INDEX($D$30:$AD$30,28-$D$178):$AD$30),_xlfn.AGGREGATE(4,6,INDEX($D$31:$AD$31,28-$D$178):$AD$31)),NA())</f>
        <v>0</v>
      </c>
      <c r="AA181" s="68">
        <f>IF(ISNUMBER(AA31),AA31/MAX(1,_xlfn.AGGREGATE(4,6,INDEX($D$30:$AD$30,28-$D$178):$AD$30),_xlfn.AGGREGATE(4,6,INDEX($D$31:$AD$31,28-$D$178):$AD$31)),NA())</f>
        <v>0</v>
      </c>
      <c r="AB181" s="68">
        <f>IF(ISNUMBER(AB31),AB31/MAX(1,_xlfn.AGGREGATE(4,6,INDEX($D$30:$AD$30,28-$D$178):$AD$30),_xlfn.AGGREGATE(4,6,INDEX($D$31:$AD$31,28-$D$178):$AD$31)),NA())</f>
        <v>0</v>
      </c>
      <c r="AC181" s="68">
        <f>IF(ISNUMBER(AC31),AC31/MAX(1,_xlfn.AGGREGATE(4,6,INDEX($D$30:$AD$30,28-$D$178):$AD$30),_xlfn.AGGREGATE(4,6,INDEX($D$31:$AD$31,28-$D$178):$AD$31)),NA())</f>
        <v>0</v>
      </c>
      <c r="AD181" s="68">
        <f>IF(ISNUMBER(AD31),AD31/MAX(1,_xlfn.AGGREGATE(4,6,INDEX($D$30:$AD$30,28-$D$178):$AD$30),_xlfn.AGGREGATE(4,6,INDEX($D$31:$AD$31,28-$D$178):$AD$31)),NA())</f>
        <v>0</v>
      </c>
    </row>
    <row r="182" spans="1:30">
      <c r="A182" s="11" t="s">
        <v>1057</v>
      </c>
      <c r="B182" s="11" t="s">
        <v>1058</v>
      </c>
      <c r="C182" s="67" t="s">
        <v>601</v>
      </c>
      <c r="D182" s="11">
        <f>IF(ISNUMBER(D31),FIXED(D31,0),"")</f>
        <v>0</v>
      </c>
      <c r="E182" s="11">
        <f>IF(ISNUMBER(E31),FIXED(E31,0),"")</f>
        <v>0</v>
      </c>
      <c r="F182" s="11">
        <f>IF(ISNUMBER(F31),FIXED(F31,0),"")</f>
        <v>0</v>
      </c>
      <c r="G182" s="11">
        <f>IF(ISNUMBER(G31),FIXED(G31,0),"")</f>
        <v>0</v>
      </c>
      <c r="H182" s="11">
        <f>IF(ISNUMBER(H31),FIXED(H31,0),"")</f>
        <v>0</v>
      </c>
      <c r="I182" s="11">
        <f>IF(ISNUMBER(I31),FIXED(I31,0),"")</f>
        <v>0</v>
      </c>
      <c r="J182" s="11">
        <f>IF(ISNUMBER(J31),FIXED(J31,0),"")</f>
        <v>0</v>
      </c>
      <c r="K182" s="11">
        <f>IF(ISNUMBER(K31),FIXED(K31,0),"")</f>
        <v>0</v>
      </c>
      <c r="L182" s="11">
        <f>IF(ISNUMBER(L31),FIXED(L31,0),"")</f>
        <v>0</v>
      </c>
      <c r="M182" s="11">
        <f>IF(ISNUMBER(M31),FIXED(M31,0),"")</f>
        <v>0</v>
      </c>
      <c r="N182" s="11">
        <f>IF(ISNUMBER(N31),FIXED(N31,0),"")</f>
        <v>0</v>
      </c>
      <c r="O182" s="11">
        <f>IF(ISNUMBER(O31),FIXED(O31,0),"")</f>
        <v>0</v>
      </c>
      <c r="P182" s="11">
        <f>IF(ISNUMBER(P31),FIXED(P31,0),"")</f>
        <v>0</v>
      </c>
      <c r="Q182" s="11">
        <f>IF(ISNUMBER(Q31),FIXED(Q31,0),"")</f>
        <v>0</v>
      </c>
      <c r="R182" s="11">
        <f>IF(ISNUMBER(R31),FIXED(R31,0),"")</f>
        <v>0</v>
      </c>
      <c r="S182" s="11">
        <f>IF(ISNUMBER(S31),FIXED(S31,0),"")</f>
        <v>0</v>
      </c>
      <c r="T182" s="11">
        <f>IF(ISNUMBER(T31),FIXED(T31,0),"")</f>
        <v>0</v>
      </c>
      <c r="U182" s="11">
        <f>IF(ISNUMBER(U31),FIXED(U31,0),"")</f>
        <v>0</v>
      </c>
      <c r="V182" s="11">
        <f>IF(ISNUMBER(V31),FIXED(V31,0),"")</f>
        <v>0</v>
      </c>
      <c r="W182" s="11">
        <f>IF(ISNUMBER(W31),FIXED(W31,0),"")</f>
        <v>0</v>
      </c>
      <c r="X182" s="11">
        <f>IF(ISNUMBER(X31),FIXED(X31,0),"")</f>
        <v>0</v>
      </c>
      <c r="Y182" s="11">
        <f>IF(ISNUMBER(Y31),FIXED(Y31,0),"")</f>
        <v>0</v>
      </c>
      <c r="Z182" s="11">
        <f>IF(ISNUMBER(Z31),FIXED(Z31,0),"")</f>
        <v>0</v>
      </c>
      <c r="AA182" s="11">
        <f>IF(ISNUMBER(AA31),FIXED(AA31,0),"")</f>
        <v>0</v>
      </c>
      <c r="AB182" s="11">
        <f>IF(ISNUMBER(AB31),FIXED(AB31,0),"")</f>
        <v>0</v>
      </c>
      <c r="AC182" s="11">
        <f>IF(ISNUMBER(AC31),FIXED(AC31,0),"")</f>
        <v>0</v>
      </c>
      <c r="AD182" s="11">
        <f>IF(ISNUMBER(AD31),FIXED(AD31,0),"")</f>
        <v>0</v>
      </c>
    </row>
    <row r="183" spans="1:30">
      <c r="A183" s="11" t="s">
        <v>1059</v>
      </c>
      <c r="B183" s="11" t="s">
        <v>1060</v>
      </c>
      <c r="C183" s="67" t="s">
        <v>601</v>
      </c>
      <c r="D183" s="68">
        <f>IF(ISNUMBER(D30),IF(AND(D179&gt;=IFERROR(D181,-9),D179-IFERROR(D181,-9)&lt;0.28509),D181+0.28509,D179),NA())</f>
        <v>0</v>
      </c>
      <c r="E183" s="68">
        <f>IF(ISNUMBER(E30),IF(AND(E179&gt;=IFERROR(E181,-9),E179-IFERROR(E181,-9)&lt;0.28509),E181+0.28509,E179),NA())</f>
        <v>0</v>
      </c>
      <c r="F183" s="68">
        <f>IF(ISNUMBER(F30),IF(AND(F179&gt;=IFERROR(F181,-9),F179-IFERROR(F181,-9)&lt;0.28509),F181+0.28509,F179),NA())</f>
        <v>0</v>
      </c>
      <c r="G183" s="68">
        <f>IF(ISNUMBER(G30),IF(AND(G179&gt;=IFERROR(G181,-9),G179-IFERROR(G181,-9)&lt;0.28509),G181+0.28509,G179),NA())</f>
        <v>0</v>
      </c>
      <c r="H183" s="68">
        <f>IF(ISNUMBER(H30),IF(AND(H179&gt;=IFERROR(H181,-9),H179-IFERROR(H181,-9)&lt;0.28509),H181+0.28509,H179),NA())</f>
        <v>0</v>
      </c>
      <c r="I183" s="68">
        <f>IF(ISNUMBER(I30),IF(AND(I179&gt;=IFERROR(I181,-9),I179-IFERROR(I181,-9)&lt;0.28509),I181+0.28509,I179),NA())</f>
        <v>0</v>
      </c>
      <c r="J183" s="68">
        <f>IF(ISNUMBER(J30),IF(AND(J179&gt;=IFERROR(J181,-9),J179-IFERROR(J181,-9)&lt;0.28509),J181+0.28509,J179),NA())</f>
        <v>0</v>
      </c>
      <c r="K183" s="68">
        <f>IF(ISNUMBER(K30),IF(AND(K179&gt;=IFERROR(K181,-9),K179-IFERROR(K181,-9)&lt;0.28509),K181+0.28509,K179),NA())</f>
        <v>0</v>
      </c>
      <c r="L183" s="68">
        <f>IF(ISNUMBER(L30),IF(AND(L179&gt;=IFERROR(L181,-9),L179-IFERROR(L181,-9)&lt;0.28509),L181+0.28509,L179),NA())</f>
        <v>0</v>
      </c>
      <c r="M183" s="68">
        <f>IF(ISNUMBER(M30),IF(AND(M179&gt;=IFERROR(M181,-9),M179-IFERROR(M181,-9)&lt;0.28509),M181+0.28509,M179),NA())</f>
        <v>0</v>
      </c>
      <c r="N183" s="68">
        <f>IF(ISNUMBER(N30),IF(AND(N179&gt;=IFERROR(N181,-9),N179-IFERROR(N181,-9)&lt;0.28509),N181+0.28509,N179),NA())</f>
        <v>0</v>
      </c>
      <c r="O183" s="68">
        <f>IF(ISNUMBER(O30),IF(AND(O179&gt;=IFERROR(O181,-9),O179-IFERROR(O181,-9)&lt;0.28509),O181+0.28509,O179),NA())</f>
        <v>0</v>
      </c>
      <c r="P183" s="68">
        <f>IF(ISNUMBER(P30),IF(AND(P179&gt;=IFERROR(P181,-9),P179-IFERROR(P181,-9)&lt;0.28509),P181+0.28509,P179),NA())</f>
        <v>0</v>
      </c>
      <c r="Q183" s="68">
        <f>IF(ISNUMBER(Q30),IF(AND(Q179&gt;=IFERROR(Q181,-9),Q179-IFERROR(Q181,-9)&lt;0.28509),Q181+0.28509,Q179),NA())</f>
        <v>0</v>
      </c>
      <c r="R183" s="68">
        <f>IF(ISNUMBER(R30),IF(AND(R179&gt;=IFERROR(R181,-9),R179-IFERROR(R181,-9)&lt;0.28509),R181+0.28509,R179),NA())</f>
        <v>0</v>
      </c>
      <c r="S183" s="68">
        <f>IF(ISNUMBER(S30),IF(AND(S179&gt;=IFERROR(S181,-9),S179-IFERROR(S181,-9)&lt;0.28509),S181+0.28509,S179),NA())</f>
        <v>0</v>
      </c>
      <c r="T183" s="68">
        <f>IF(ISNUMBER(T30),IF(AND(T179&gt;=IFERROR(T181,-9),T179-IFERROR(T181,-9)&lt;0.28509),T181+0.28509,T179),NA())</f>
        <v>0</v>
      </c>
      <c r="U183" s="68">
        <f>IF(ISNUMBER(U30),IF(AND(U179&gt;=IFERROR(U181,-9),U179-IFERROR(U181,-9)&lt;0.28509),U181+0.28509,U179),NA())</f>
        <v>0</v>
      </c>
      <c r="V183" s="68">
        <f>IF(ISNUMBER(V30),IF(AND(V179&gt;=IFERROR(V181,-9),V179-IFERROR(V181,-9)&lt;0.28509),V181+0.28509,V179),NA())</f>
        <v>0</v>
      </c>
      <c r="W183" s="68">
        <f>IF(ISNUMBER(W30),IF(AND(W179&gt;=IFERROR(W181,-9),W179-IFERROR(W181,-9)&lt;0.28509),W181+0.28509,W179),NA())</f>
        <v>0</v>
      </c>
      <c r="X183" s="68">
        <f>IF(ISNUMBER(X30),IF(AND(X179&gt;=IFERROR(X181,-9),X179-IFERROR(X181,-9)&lt;0.28509),X181+0.28509,X179),NA())</f>
        <v>0</v>
      </c>
      <c r="Y183" s="68">
        <f>IF(ISNUMBER(Y30),IF(AND(Y179&gt;=IFERROR(Y181,-9),Y179-IFERROR(Y181,-9)&lt;0.28509),Y181+0.28509,Y179),NA())</f>
        <v>0</v>
      </c>
      <c r="Z183" s="68">
        <f>IF(ISNUMBER(Z30),IF(AND(Z179&gt;=IFERROR(Z181,-9),Z179-IFERROR(Z181,-9)&lt;0.28509),Z181+0.28509,Z179),NA())</f>
        <v>0</v>
      </c>
      <c r="AA183" s="68">
        <f>IF(ISNUMBER(AA30),IF(AND(AA179&gt;=IFERROR(AA181,-9),AA179-IFERROR(AA181,-9)&lt;0.28509),AA181+0.28509,AA179),NA())</f>
        <v>0</v>
      </c>
      <c r="AB183" s="68">
        <f>IF(ISNUMBER(AB30),IF(AND(AB179&gt;=IFERROR(AB181,-9),AB179-IFERROR(AB181,-9)&lt;0.28509),AB181+0.28509,AB179),NA())</f>
        <v>0</v>
      </c>
      <c r="AC183" s="68">
        <f>IF(ISNUMBER(AC30),IF(AND(AC179&gt;=IFERROR(AC181,-9),AC179-IFERROR(AC181,-9)&lt;0.28509),AC181+0.28509,AC179),NA())</f>
        <v>0</v>
      </c>
      <c r="AD183" s="68">
        <f>IF(ISNUMBER(AD30),IF(AND(AD179&gt;=IFERROR(AD181,-9),AD179-IFERROR(AD181,-9)&lt;0.28509),AD181+0.28509,AD179),NA())</f>
        <v>0</v>
      </c>
    </row>
    <row r="184" spans="1:30">
      <c r="A184" s="11" t="s">
        <v>1061</v>
      </c>
      <c r="B184" s="11" t="s">
        <v>1062</v>
      </c>
      <c r="C184" s="67" t="s">
        <v>601</v>
      </c>
      <c r="D184" s="68">
        <f>IF(ISNUMBER(D31),IF(AND(D181&gt;IFERROR(D179,-9),D181-IFERROR(D179,-9)&lt;0.28509),D179+0.28509,D181),NA())</f>
        <v>0</v>
      </c>
      <c r="E184" s="68">
        <f>IF(ISNUMBER(E31),IF(AND(E181&gt;IFERROR(E179,-9),E181-IFERROR(E179,-9)&lt;0.28509),E179+0.28509,E181),NA())</f>
        <v>0</v>
      </c>
      <c r="F184" s="68">
        <f>IF(ISNUMBER(F31),IF(AND(F181&gt;IFERROR(F179,-9),F181-IFERROR(F179,-9)&lt;0.28509),F179+0.28509,F181),NA())</f>
        <v>0</v>
      </c>
      <c r="G184" s="68">
        <f>IF(ISNUMBER(G31),IF(AND(G181&gt;IFERROR(G179,-9),G181-IFERROR(G179,-9)&lt;0.28509),G179+0.28509,G181),NA())</f>
        <v>0</v>
      </c>
      <c r="H184" s="68">
        <f>IF(ISNUMBER(H31),IF(AND(H181&gt;IFERROR(H179,-9),H181-IFERROR(H179,-9)&lt;0.28509),H179+0.28509,H181),NA())</f>
        <v>0</v>
      </c>
      <c r="I184" s="68">
        <f>IF(ISNUMBER(I31),IF(AND(I181&gt;IFERROR(I179,-9),I181-IFERROR(I179,-9)&lt;0.28509),I179+0.28509,I181),NA())</f>
        <v>0</v>
      </c>
      <c r="J184" s="68">
        <f>IF(ISNUMBER(J31),IF(AND(J181&gt;IFERROR(J179,-9),J181-IFERROR(J179,-9)&lt;0.28509),J179+0.28509,J181),NA())</f>
        <v>0</v>
      </c>
      <c r="K184" s="68">
        <f>IF(ISNUMBER(K31),IF(AND(K181&gt;IFERROR(K179,-9),K181-IFERROR(K179,-9)&lt;0.28509),K179+0.28509,K181),NA())</f>
        <v>0</v>
      </c>
      <c r="L184" s="68">
        <f>IF(ISNUMBER(L31),IF(AND(L181&gt;IFERROR(L179,-9),L181-IFERROR(L179,-9)&lt;0.28509),L179+0.28509,L181),NA())</f>
        <v>0</v>
      </c>
      <c r="M184" s="68">
        <f>IF(ISNUMBER(M31),IF(AND(M181&gt;IFERROR(M179,-9),M181-IFERROR(M179,-9)&lt;0.28509),M179+0.28509,M181),NA())</f>
        <v>0</v>
      </c>
      <c r="N184" s="68">
        <f>IF(ISNUMBER(N31),IF(AND(N181&gt;IFERROR(N179,-9),N181-IFERROR(N179,-9)&lt;0.28509),N179+0.28509,N181),NA())</f>
        <v>0</v>
      </c>
      <c r="O184" s="68">
        <f>IF(ISNUMBER(O31),IF(AND(O181&gt;IFERROR(O179,-9),O181-IFERROR(O179,-9)&lt;0.28509),O179+0.28509,O181),NA())</f>
        <v>0</v>
      </c>
      <c r="P184" s="68">
        <f>IF(ISNUMBER(P31),IF(AND(P181&gt;IFERROR(P179,-9),P181-IFERROR(P179,-9)&lt;0.28509),P179+0.28509,P181),NA())</f>
        <v>0</v>
      </c>
      <c r="Q184" s="68">
        <f>IF(ISNUMBER(Q31),IF(AND(Q181&gt;IFERROR(Q179,-9),Q181-IFERROR(Q179,-9)&lt;0.28509),Q179+0.28509,Q181),NA())</f>
        <v>0</v>
      </c>
      <c r="R184" s="68">
        <f>IF(ISNUMBER(R31),IF(AND(R181&gt;IFERROR(R179,-9),R181-IFERROR(R179,-9)&lt;0.28509),R179+0.28509,R181),NA())</f>
        <v>0</v>
      </c>
      <c r="S184" s="68">
        <f>IF(ISNUMBER(S31),IF(AND(S181&gt;IFERROR(S179,-9),S181-IFERROR(S179,-9)&lt;0.28509),S179+0.28509,S181),NA())</f>
        <v>0</v>
      </c>
      <c r="T184" s="68">
        <f>IF(ISNUMBER(T31),IF(AND(T181&gt;IFERROR(T179,-9),T181-IFERROR(T179,-9)&lt;0.28509),T179+0.28509,T181),NA())</f>
        <v>0</v>
      </c>
      <c r="U184" s="68">
        <f>IF(ISNUMBER(U31),IF(AND(U181&gt;IFERROR(U179,-9),U181-IFERROR(U179,-9)&lt;0.28509),U179+0.28509,U181),NA())</f>
        <v>0</v>
      </c>
      <c r="V184" s="68">
        <f>IF(ISNUMBER(V31),IF(AND(V181&gt;IFERROR(V179,-9),V181-IFERROR(V179,-9)&lt;0.28509),V179+0.28509,V181),NA())</f>
        <v>0</v>
      </c>
      <c r="W184" s="68">
        <f>IF(ISNUMBER(W31),IF(AND(W181&gt;IFERROR(W179,-9),W181-IFERROR(W179,-9)&lt;0.28509),W179+0.28509,W181),NA())</f>
        <v>0</v>
      </c>
      <c r="X184" s="68">
        <f>IF(ISNUMBER(X31),IF(AND(X181&gt;IFERROR(X179,-9),X181-IFERROR(X179,-9)&lt;0.28509),X179+0.28509,X181),NA())</f>
        <v>0</v>
      </c>
      <c r="Y184" s="68">
        <f>IF(ISNUMBER(Y31),IF(AND(Y181&gt;IFERROR(Y179,-9),Y181-IFERROR(Y179,-9)&lt;0.28509),Y179+0.28509,Y181),NA())</f>
        <v>0</v>
      </c>
      <c r="Z184" s="68">
        <f>IF(ISNUMBER(Z31),IF(AND(Z181&gt;IFERROR(Z179,-9),Z181-IFERROR(Z179,-9)&lt;0.28509),Z179+0.28509,Z181),NA())</f>
        <v>0</v>
      </c>
      <c r="AA184" s="68">
        <f>IF(ISNUMBER(AA31),IF(AND(AA181&gt;IFERROR(AA179,-9),AA181-IFERROR(AA179,-9)&lt;0.28509),AA179+0.28509,AA181),NA())</f>
        <v>0</v>
      </c>
      <c r="AB184" s="68">
        <f>IF(ISNUMBER(AB31),IF(AND(AB181&gt;IFERROR(AB179,-9),AB181-IFERROR(AB179,-9)&lt;0.28509),AB179+0.28509,AB181),NA())</f>
        <v>0</v>
      </c>
      <c r="AC184" s="68">
        <f>IF(ISNUMBER(AC31),IF(AND(AC181&gt;IFERROR(AC179,-9),AC181-IFERROR(AC179,-9)&lt;0.28509),AC179+0.28509,AC181),NA())</f>
        <v>0</v>
      </c>
      <c r="AD184" s="68">
        <f>IF(ISNUMBER(AD31),IF(AND(AD181&gt;IFERROR(AD179,-9),AD181-IFERROR(AD179,-9)&lt;0.28509),AD179+0.28509,AD181),NA())</f>
        <v>0</v>
      </c>
    </row>
    <row r="185" spans="1:30">
      <c r="A185" s="11" t="s">
        <v>1063</v>
      </c>
      <c r="B185" s="11" t="s">
        <v>1064</v>
      </c>
      <c r="C185" s="67" t="s">
        <v>598</v>
      </c>
      <c r="D185" s="68">
        <v>1</v>
      </c>
    </row>
    <row r="186" spans="1:30">
      <c r="A186" s="11" t="s">
        <v>1065</v>
      </c>
      <c r="B186" s="11" t="s">
        <v>1066</v>
      </c>
      <c r="C186" s="67" t="s">
        <v>601</v>
      </c>
      <c r="D186" s="68">
        <f>IF(AND($D$185=1,ISNUMBER(D30),ISNUMBER(D31)),IF((D30-D31)&gt;0,0.5,NA()),NA())</f>
        <v>0</v>
      </c>
      <c r="E186" s="68">
        <f>IF(AND($D$185=1,ISNUMBER(E30),ISNUMBER(E31)),IF((E30-E31)&gt;0,0.5,NA()),NA())</f>
        <v>0</v>
      </c>
      <c r="F186" s="68">
        <f>IF(AND($D$185=1,ISNUMBER(F30),ISNUMBER(F31)),IF((F30-F31)&gt;0,0.5,NA()),NA())</f>
        <v>0</v>
      </c>
      <c r="G186" s="68">
        <f>IF(AND($D$185=1,ISNUMBER(G30),ISNUMBER(G31)),IF((G30-G31)&gt;0,0.5,NA()),NA())</f>
        <v>0</v>
      </c>
      <c r="H186" s="68">
        <f>IF(AND($D$185=1,ISNUMBER(H30),ISNUMBER(H31)),IF((H30-H31)&gt;0,0.5,NA()),NA())</f>
        <v>0</v>
      </c>
      <c r="I186" s="68">
        <f>IF(AND($D$185=1,ISNUMBER(I30),ISNUMBER(I31)),IF((I30-I31)&gt;0,0.5,NA()),NA())</f>
        <v>0</v>
      </c>
      <c r="J186" s="68">
        <f>IF(AND($D$185=1,ISNUMBER(J30),ISNUMBER(J31)),IF((J30-J31)&gt;0,0.5,NA()),NA())</f>
        <v>0</v>
      </c>
      <c r="K186" s="68">
        <f>IF(AND($D$185=1,ISNUMBER(K30),ISNUMBER(K31)),IF((K30-K31)&gt;0,0.5,NA()),NA())</f>
        <v>0</v>
      </c>
      <c r="L186" s="68">
        <f>IF(AND($D$185=1,ISNUMBER(L30),ISNUMBER(L31)),IF((L30-L31)&gt;0,0.5,NA()),NA())</f>
        <v>0</v>
      </c>
      <c r="M186" s="68">
        <f>IF(AND($D$185=1,ISNUMBER(M30),ISNUMBER(M31)),IF((M30-M31)&gt;0,0.5,NA()),NA())</f>
        <v>0</v>
      </c>
      <c r="N186" s="68">
        <f>IF(AND($D$185=1,ISNUMBER(N30),ISNUMBER(N31)),IF((N30-N31)&gt;0,0.5,NA()),NA())</f>
        <v>0</v>
      </c>
      <c r="O186" s="68">
        <f>IF(AND($D$185=1,ISNUMBER(O30),ISNUMBER(O31)),IF((O30-O31)&gt;0,0.5,NA()),NA())</f>
        <v>0</v>
      </c>
      <c r="P186" s="68">
        <f>IF(AND($D$185=1,ISNUMBER(P30),ISNUMBER(P31)),IF((P30-P31)&gt;0,0.5,NA()),NA())</f>
        <v>0</v>
      </c>
      <c r="Q186" s="68">
        <f>IF(AND($D$185=1,ISNUMBER(Q30),ISNUMBER(Q31)),IF((Q30-Q31)&gt;0,0.5,NA()),NA())</f>
        <v>0</v>
      </c>
      <c r="R186" s="68">
        <f>IF(AND($D$185=1,ISNUMBER(R30),ISNUMBER(R31)),IF((R30-R31)&gt;0,0.5,NA()),NA())</f>
        <v>0</v>
      </c>
      <c r="S186" s="68">
        <f>IF(AND($D$185=1,ISNUMBER(S30),ISNUMBER(S31)),IF((S30-S31)&gt;0,0.5,NA()),NA())</f>
        <v>0</v>
      </c>
      <c r="T186" s="68">
        <f>IF(AND($D$185=1,ISNUMBER(T30),ISNUMBER(T31)),IF((T30-T31)&gt;0,0.5,NA()),NA())</f>
        <v>0</v>
      </c>
      <c r="U186" s="68">
        <f>IF(AND($D$185=1,ISNUMBER(U30),ISNUMBER(U31)),IF((U30-U31)&gt;0,0.5,NA()),NA())</f>
        <v>0</v>
      </c>
      <c r="V186" s="68">
        <f>IF(AND($D$185=1,ISNUMBER(V30),ISNUMBER(V31)),IF((V30-V31)&gt;0,0.5,NA()),NA())</f>
        <v>0</v>
      </c>
      <c r="W186" s="68">
        <f>IF(AND($D$185=1,ISNUMBER(W30),ISNUMBER(W31)),IF((W30-W31)&gt;0,0.5,NA()),NA())</f>
        <v>0</v>
      </c>
      <c r="X186" s="68">
        <f>IF(AND($D$185=1,ISNUMBER(X30),ISNUMBER(X31)),IF((X30-X31)&gt;0,0.5,NA()),NA())</f>
        <v>0</v>
      </c>
      <c r="Y186" s="68">
        <f>IF(AND($D$185=1,ISNUMBER(Y30),ISNUMBER(Y31)),IF((Y30-Y31)&gt;0,0.5,NA()),NA())</f>
        <v>0</v>
      </c>
      <c r="Z186" s="68">
        <f>IF(AND($D$185=1,ISNUMBER(Z30),ISNUMBER(Z31)),IF((Z30-Z31)&gt;0,0.5,NA()),NA())</f>
        <v>0</v>
      </c>
      <c r="AA186" s="68">
        <f>IF(AND($D$185=1,ISNUMBER(AA30),ISNUMBER(AA31)),IF((AA30-AA31)&gt;0,0.5,NA()),NA())</f>
        <v>0</v>
      </c>
      <c r="AB186" s="68">
        <f>IF(AND($D$185=1,ISNUMBER(AB30),ISNUMBER(AB31)),IF((AB30-AB31)&gt;0,0.5,NA()),NA())</f>
        <v>0</v>
      </c>
      <c r="AC186" s="68">
        <f>IF(AND($D$185=1,ISNUMBER(AC30),ISNUMBER(AC31)),IF((AC30-AC31)&gt;0,0.5,NA()),NA())</f>
        <v>0</v>
      </c>
      <c r="AD186" s="68">
        <f>IF(AND($D$185=1,ISNUMBER(AD30),ISNUMBER(AD31)),IF((AD30-AD31)&gt;0,0.5,NA()),NA())</f>
        <v>0</v>
      </c>
    </row>
    <row r="187" spans="1:30">
      <c r="A187" s="11" t="s">
        <v>1067</v>
      </c>
      <c r="B187" s="11" t="s">
        <v>1068</v>
      </c>
      <c r="C187" s="67" t="s">
        <v>601</v>
      </c>
      <c r="D187" s="68">
        <f>IF(AND($D$185=1,ISNUMBER(D30),ISNUMBER(D31)),IF((D30-D31)&lt;0,0.5,NA()),NA())</f>
        <v>0</v>
      </c>
      <c r="E187" s="68">
        <f>IF(AND($D$185=1,ISNUMBER(E30),ISNUMBER(E31)),IF((E30-E31)&lt;0,0.5,NA()),NA())</f>
        <v>0</v>
      </c>
      <c r="F187" s="68">
        <f>IF(AND($D$185=1,ISNUMBER(F30),ISNUMBER(F31)),IF((F30-F31)&lt;0,0.5,NA()),NA())</f>
        <v>0</v>
      </c>
      <c r="G187" s="68">
        <f>IF(AND($D$185=1,ISNUMBER(G30),ISNUMBER(G31)),IF((G30-G31)&lt;0,0.5,NA()),NA())</f>
        <v>0</v>
      </c>
      <c r="H187" s="68">
        <f>IF(AND($D$185=1,ISNUMBER(H30),ISNUMBER(H31)),IF((H30-H31)&lt;0,0.5,NA()),NA())</f>
        <v>0</v>
      </c>
      <c r="I187" s="68">
        <f>IF(AND($D$185=1,ISNUMBER(I30),ISNUMBER(I31)),IF((I30-I31)&lt;0,0.5,NA()),NA())</f>
        <v>0</v>
      </c>
      <c r="J187" s="68">
        <f>IF(AND($D$185=1,ISNUMBER(J30),ISNUMBER(J31)),IF((J30-J31)&lt;0,0.5,NA()),NA())</f>
        <v>0</v>
      </c>
      <c r="K187" s="68">
        <f>IF(AND($D$185=1,ISNUMBER(K30),ISNUMBER(K31)),IF((K30-K31)&lt;0,0.5,NA()),NA())</f>
        <v>0</v>
      </c>
      <c r="L187" s="68">
        <f>IF(AND($D$185=1,ISNUMBER(L30),ISNUMBER(L31)),IF((L30-L31)&lt;0,0.5,NA()),NA())</f>
        <v>0</v>
      </c>
      <c r="M187" s="68">
        <f>IF(AND($D$185=1,ISNUMBER(M30),ISNUMBER(M31)),IF((M30-M31)&lt;0,0.5,NA()),NA())</f>
        <v>0</v>
      </c>
      <c r="N187" s="68">
        <f>IF(AND($D$185=1,ISNUMBER(N30),ISNUMBER(N31)),IF((N30-N31)&lt;0,0.5,NA()),NA())</f>
        <v>0</v>
      </c>
      <c r="O187" s="68">
        <f>IF(AND($D$185=1,ISNUMBER(O30),ISNUMBER(O31)),IF((O30-O31)&lt;0,0.5,NA()),NA())</f>
        <v>0</v>
      </c>
      <c r="P187" s="68">
        <f>IF(AND($D$185=1,ISNUMBER(P30),ISNUMBER(P31)),IF((P30-P31)&lt;0,0.5,NA()),NA())</f>
        <v>0</v>
      </c>
      <c r="Q187" s="68">
        <f>IF(AND($D$185=1,ISNUMBER(Q30),ISNUMBER(Q31)),IF((Q30-Q31)&lt;0,0.5,NA()),NA())</f>
        <v>0</v>
      </c>
      <c r="R187" s="68">
        <f>IF(AND($D$185=1,ISNUMBER(R30),ISNUMBER(R31)),IF((R30-R31)&lt;0,0.5,NA()),NA())</f>
        <v>0</v>
      </c>
      <c r="S187" s="68">
        <f>IF(AND($D$185=1,ISNUMBER(S30),ISNUMBER(S31)),IF((S30-S31)&lt;0,0.5,NA()),NA())</f>
        <v>0</v>
      </c>
      <c r="T187" s="68">
        <f>IF(AND($D$185=1,ISNUMBER(T30),ISNUMBER(T31)),IF((T30-T31)&lt;0,0.5,NA()),NA())</f>
        <v>0</v>
      </c>
      <c r="U187" s="68">
        <f>IF(AND($D$185=1,ISNUMBER(U30),ISNUMBER(U31)),IF((U30-U31)&lt;0,0.5,NA()),NA())</f>
        <v>0</v>
      </c>
      <c r="V187" s="68">
        <f>IF(AND($D$185=1,ISNUMBER(V30),ISNUMBER(V31)),IF((V30-V31)&lt;0,0.5,NA()),NA())</f>
        <v>0</v>
      </c>
      <c r="W187" s="68">
        <f>IF(AND($D$185=1,ISNUMBER(W30),ISNUMBER(W31)),IF((W30-W31)&lt;0,0.5,NA()),NA())</f>
        <v>0</v>
      </c>
      <c r="X187" s="68">
        <f>IF(AND($D$185=1,ISNUMBER(X30),ISNUMBER(X31)),IF((X30-X31)&lt;0,0.5,NA()),NA())</f>
        <v>0</v>
      </c>
      <c r="Y187" s="68">
        <f>IF(AND($D$185=1,ISNUMBER(Y30),ISNUMBER(Y31)),IF((Y30-Y31)&lt;0,0.5,NA()),NA())</f>
        <v>0</v>
      </c>
      <c r="Z187" s="68">
        <f>IF(AND($D$185=1,ISNUMBER(Z30),ISNUMBER(Z31)),IF((Z30-Z31)&lt;0,0.5,NA()),NA())</f>
        <v>0</v>
      </c>
      <c r="AA187" s="68">
        <f>IF(AND($D$185=1,ISNUMBER(AA30),ISNUMBER(AA31)),IF((AA30-AA31)&lt;0,0.5,NA()),NA())</f>
        <v>0</v>
      </c>
      <c r="AB187" s="68">
        <f>IF(AND($D$185=1,ISNUMBER(AB30),ISNUMBER(AB31)),IF((AB30-AB31)&lt;0,0.5,NA()),NA())</f>
        <v>0</v>
      </c>
      <c r="AC187" s="68">
        <f>IF(AND($D$185=1,ISNUMBER(AC30),ISNUMBER(AC31)),IF((AC30-AC31)&lt;0,0.5,NA()),NA())</f>
        <v>0</v>
      </c>
      <c r="AD187" s="68">
        <f>IF(AND($D$185=1,ISNUMBER(AD30),ISNUMBER(AD31)),IF((AD30-AD31)&lt;0,0.5,NA()),NA())</f>
        <v>0</v>
      </c>
    </row>
    <row r="188" spans="1:30">
      <c r="A188" s="11" t="s">
        <v>1069</v>
      </c>
      <c r="B188" s="11" t="s">
        <v>1070</v>
      </c>
      <c r="C188" s="67" t="s">
        <v>601</v>
      </c>
      <c r="D188" s="68">
        <f>IF(AND($D$185=1,ISNUMBER(D30),ISNUMBER(D31)),IF((D30-D31)=0,0.5,NA()),NA())</f>
        <v>0</v>
      </c>
      <c r="E188" s="68">
        <f>IF(AND($D$185=1,ISNUMBER(E30),ISNUMBER(E31)),IF((E30-E31)=0,0.5,NA()),NA())</f>
        <v>0</v>
      </c>
      <c r="F188" s="68">
        <f>IF(AND($D$185=1,ISNUMBER(F30),ISNUMBER(F31)),IF((F30-F31)=0,0.5,NA()),NA())</f>
        <v>0</v>
      </c>
      <c r="G188" s="68">
        <f>IF(AND($D$185=1,ISNUMBER(G30),ISNUMBER(G31)),IF((G30-G31)=0,0.5,NA()),NA())</f>
        <v>0</v>
      </c>
      <c r="H188" s="68">
        <f>IF(AND($D$185=1,ISNUMBER(H30),ISNUMBER(H31)),IF((H30-H31)=0,0.5,NA()),NA())</f>
        <v>0</v>
      </c>
      <c r="I188" s="68">
        <f>IF(AND($D$185=1,ISNUMBER(I30),ISNUMBER(I31)),IF((I30-I31)=0,0.5,NA()),NA())</f>
        <v>0</v>
      </c>
      <c r="J188" s="68">
        <f>IF(AND($D$185=1,ISNUMBER(J30),ISNUMBER(J31)),IF((J30-J31)=0,0.5,NA()),NA())</f>
        <v>0</v>
      </c>
      <c r="K188" s="68">
        <f>IF(AND($D$185=1,ISNUMBER(K30),ISNUMBER(K31)),IF((K30-K31)=0,0.5,NA()),NA())</f>
        <v>0</v>
      </c>
      <c r="L188" s="68">
        <f>IF(AND($D$185=1,ISNUMBER(L30),ISNUMBER(L31)),IF((L30-L31)=0,0.5,NA()),NA())</f>
        <v>0</v>
      </c>
      <c r="M188" s="68">
        <f>IF(AND($D$185=1,ISNUMBER(M30),ISNUMBER(M31)),IF((M30-M31)=0,0.5,NA()),NA())</f>
        <v>0</v>
      </c>
      <c r="N188" s="68">
        <f>IF(AND($D$185=1,ISNUMBER(N30),ISNUMBER(N31)),IF((N30-N31)=0,0.5,NA()),NA())</f>
        <v>0</v>
      </c>
      <c r="O188" s="68">
        <f>IF(AND($D$185=1,ISNUMBER(O30),ISNUMBER(O31)),IF((O30-O31)=0,0.5,NA()),NA())</f>
        <v>0</v>
      </c>
      <c r="P188" s="68">
        <f>IF(AND($D$185=1,ISNUMBER(P30),ISNUMBER(P31)),IF((P30-P31)=0,0.5,NA()),NA())</f>
        <v>0</v>
      </c>
      <c r="Q188" s="68">
        <f>IF(AND($D$185=1,ISNUMBER(Q30),ISNUMBER(Q31)),IF((Q30-Q31)=0,0.5,NA()),NA())</f>
        <v>0</v>
      </c>
      <c r="R188" s="68">
        <f>IF(AND($D$185=1,ISNUMBER(R30),ISNUMBER(R31)),IF((R30-R31)=0,0.5,NA()),NA())</f>
        <v>0</v>
      </c>
      <c r="S188" s="68">
        <f>IF(AND($D$185=1,ISNUMBER(S30),ISNUMBER(S31)),IF((S30-S31)=0,0.5,NA()),NA())</f>
        <v>0</v>
      </c>
      <c r="T188" s="68">
        <f>IF(AND($D$185=1,ISNUMBER(T30),ISNUMBER(T31)),IF((T30-T31)=0,0.5,NA()),NA())</f>
        <v>0</v>
      </c>
      <c r="U188" s="68">
        <f>IF(AND($D$185=1,ISNUMBER(U30),ISNUMBER(U31)),IF((U30-U31)=0,0.5,NA()),NA())</f>
        <v>0</v>
      </c>
      <c r="V188" s="68">
        <f>IF(AND($D$185=1,ISNUMBER(V30),ISNUMBER(V31)),IF((V30-V31)=0,0.5,NA()),NA())</f>
        <v>0</v>
      </c>
      <c r="W188" s="68">
        <f>IF(AND($D$185=1,ISNUMBER(W30),ISNUMBER(W31)),IF((W30-W31)=0,0.5,NA()),NA())</f>
        <v>0</v>
      </c>
      <c r="X188" s="68">
        <f>IF(AND($D$185=1,ISNUMBER(X30),ISNUMBER(X31)),IF((X30-X31)=0,0.5,NA()),NA())</f>
        <v>0</v>
      </c>
      <c r="Y188" s="68">
        <f>IF(AND($D$185=1,ISNUMBER(Y30),ISNUMBER(Y31)),IF((Y30-Y31)=0,0.5,NA()),NA())</f>
        <v>0</v>
      </c>
      <c r="Z188" s="68">
        <f>IF(AND($D$185=1,ISNUMBER(Z30),ISNUMBER(Z31)),IF((Z30-Z31)=0,0.5,NA()),NA())</f>
        <v>0</v>
      </c>
      <c r="AA188" s="68">
        <f>IF(AND($D$185=1,ISNUMBER(AA30),ISNUMBER(AA31)),IF((AA30-AA31)=0,0.5,NA()),NA())</f>
        <v>0</v>
      </c>
      <c r="AB188" s="68">
        <f>IF(AND($D$185=1,ISNUMBER(AB30),ISNUMBER(AB31)),IF((AB30-AB31)=0,0.5,NA()),NA())</f>
        <v>0</v>
      </c>
      <c r="AC188" s="68">
        <f>IF(AND($D$185=1,ISNUMBER(AC30),ISNUMBER(AC31)),IF((AC30-AC31)=0,0.5,NA()),NA())</f>
        <v>0</v>
      </c>
      <c r="AD188" s="68">
        <f>IF(AND($D$185=1,ISNUMBER(AD30),ISNUMBER(AD31)),IF((AD30-AD31)=0,0.5,NA()),NA())</f>
        <v>0</v>
      </c>
    </row>
    <row r="189" spans="1:30">
      <c r="A189" s="11" t="s">
        <v>1071</v>
      </c>
      <c r="B189" s="11" t="s">
        <v>1072</v>
      </c>
      <c r="C189" s="67" t="s">
        <v>601</v>
      </c>
      <c r="D189" s="11">
        <f>IF(AND(ISNUMBER(D30),ISNUMBER(D31)),IF((D30-D31)&gt;0,"+"&amp;FIXED((D30-D31),0),IF((D30-D31)&lt;0,"−"&amp;FIXED(-(D30-D31),0),"±0")),"")</f>
        <v>0</v>
      </c>
      <c r="E189" s="11">
        <f>IF(AND(ISNUMBER(E30),ISNUMBER(E31)),IF((E30-E31)&gt;0,"+"&amp;FIXED((E30-E31),0),IF((E30-E31)&lt;0,"−"&amp;FIXED(-(E30-E31),0),"±0")),"")</f>
        <v>0</v>
      </c>
      <c r="F189" s="11">
        <f>IF(AND(ISNUMBER(F30),ISNUMBER(F31)),IF((F30-F31)&gt;0,"+"&amp;FIXED((F30-F31),0),IF((F30-F31)&lt;0,"−"&amp;FIXED(-(F30-F31),0),"±0")),"")</f>
        <v>0</v>
      </c>
      <c r="G189" s="11">
        <f>IF(AND(ISNUMBER(G30),ISNUMBER(G31)),IF((G30-G31)&gt;0,"+"&amp;FIXED((G30-G31),0),IF((G30-G31)&lt;0,"−"&amp;FIXED(-(G30-G31),0),"±0")),"")</f>
        <v>0</v>
      </c>
      <c r="H189" s="11">
        <f>IF(AND(ISNUMBER(H30),ISNUMBER(H31)),IF((H30-H31)&gt;0,"+"&amp;FIXED((H30-H31),0),IF((H30-H31)&lt;0,"−"&amp;FIXED(-(H30-H31),0),"±0")),"")</f>
        <v>0</v>
      </c>
      <c r="I189" s="11">
        <f>IF(AND(ISNUMBER(I30),ISNUMBER(I31)),IF((I30-I31)&gt;0,"+"&amp;FIXED((I30-I31),0),IF((I30-I31)&lt;0,"−"&amp;FIXED(-(I30-I31),0),"±0")),"")</f>
        <v>0</v>
      </c>
      <c r="J189" s="11">
        <f>IF(AND(ISNUMBER(J30),ISNUMBER(J31)),IF((J30-J31)&gt;0,"+"&amp;FIXED((J30-J31),0),IF((J30-J31)&lt;0,"−"&amp;FIXED(-(J30-J31),0),"±0")),"")</f>
        <v>0</v>
      </c>
      <c r="K189" s="11">
        <f>IF(AND(ISNUMBER(K30),ISNUMBER(K31)),IF((K30-K31)&gt;0,"+"&amp;FIXED((K30-K31),0),IF((K30-K31)&lt;0,"−"&amp;FIXED(-(K30-K31),0),"±0")),"")</f>
        <v>0</v>
      </c>
      <c r="L189" s="11">
        <f>IF(AND(ISNUMBER(L30),ISNUMBER(L31)),IF((L30-L31)&gt;0,"+"&amp;FIXED((L30-L31),0),IF((L30-L31)&lt;0,"−"&amp;FIXED(-(L30-L31),0),"±0")),"")</f>
        <v>0</v>
      </c>
      <c r="M189" s="11">
        <f>IF(AND(ISNUMBER(M30),ISNUMBER(M31)),IF((M30-M31)&gt;0,"+"&amp;FIXED((M30-M31),0),IF((M30-M31)&lt;0,"−"&amp;FIXED(-(M30-M31),0),"±0")),"")</f>
        <v>0</v>
      </c>
      <c r="N189" s="11">
        <f>IF(AND(ISNUMBER(N30),ISNUMBER(N31)),IF((N30-N31)&gt;0,"+"&amp;FIXED((N30-N31),0),IF((N30-N31)&lt;0,"−"&amp;FIXED(-(N30-N31),0),"±0")),"")</f>
        <v>0</v>
      </c>
      <c r="O189" s="11">
        <f>IF(AND(ISNUMBER(O30),ISNUMBER(O31)),IF((O30-O31)&gt;0,"+"&amp;FIXED((O30-O31),0),IF((O30-O31)&lt;0,"−"&amp;FIXED(-(O30-O31),0),"±0")),"")</f>
        <v>0</v>
      </c>
      <c r="P189" s="11">
        <f>IF(AND(ISNUMBER(P30),ISNUMBER(P31)),IF((P30-P31)&gt;0,"+"&amp;FIXED((P30-P31),0),IF((P30-P31)&lt;0,"−"&amp;FIXED(-(P30-P31),0),"±0")),"")</f>
        <v>0</v>
      </c>
      <c r="Q189" s="11">
        <f>IF(AND(ISNUMBER(Q30),ISNUMBER(Q31)),IF((Q30-Q31)&gt;0,"+"&amp;FIXED((Q30-Q31),0),IF((Q30-Q31)&lt;0,"−"&amp;FIXED(-(Q30-Q31),0),"±0")),"")</f>
        <v>0</v>
      </c>
      <c r="R189" s="11">
        <f>IF(AND(ISNUMBER(R30),ISNUMBER(R31)),IF((R30-R31)&gt;0,"+"&amp;FIXED((R30-R31),0),IF((R30-R31)&lt;0,"−"&amp;FIXED(-(R30-R31),0),"±0")),"")</f>
        <v>0</v>
      </c>
      <c r="S189" s="11">
        <f>IF(AND(ISNUMBER(S30),ISNUMBER(S31)),IF((S30-S31)&gt;0,"+"&amp;FIXED((S30-S31),0),IF((S30-S31)&lt;0,"−"&amp;FIXED(-(S30-S31),0),"±0")),"")</f>
        <v>0</v>
      </c>
      <c r="T189" s="11">
        <f>IF(AND(ISNUMBER(T30),ISNUMBER(T31)),IF((T30-T31)&gt;0,"+"&amp;FIXED((T30-T31),0),IF((T30-T31)&lt;0,"−"&amp;FIXED(-(T30-T31),0),"±0")),"")</f>
        <v>0</v>
      </c>
      <c r="U189" s="11">
        <f>IF(AND(ISNUMBER(U30),ISNUMBER(U31)),IF((U30-U31)&gt;0,"+"&amp;FIXED((U30-U31),0),IF((U30-U31)&lt;0,"−"&amp;FIXED(-(U30-U31),0),"±0")),"")</f>
        <v>0</v>
      </c>
      <c r="V189" s="11">
        <f>IF(AND(ISNUMBER(V30),ISNUMBER(V31)),IF((V30-V31)&gt;0,"+"&amp;FIXED((V30-V31),0),IF((V30-V31)&lt;0,"−"&amp;FIXED(-(V30-V31),0),"±0")),"")</f>
        <v>0</v>
      </c>
      <c r="W189" s="11">
        <f>IF(AND(ISNUMBER(W30),ISNUMBER(W31)),IF((W30-W31)&gt;0,"+"&amp;FIXED((W30-W31),0),IF((W30-W31)&lt;0,"−"&amp;FIXED(-(W30-W31),0),"±0")),"")</f>
        <v>0</v>
      </c>
      <c r="X189" s="11">
        <f>IF(AND(ISNUMBER(X30),ISNUMBER(X31)),IF((X30-X31)&gt;0,"+"&amp;FIXED((X30-X31),0),IF((X30-X31)&lt;0,"−"&amp;FIXED(-(X30-X31),0),"±0")),"")</f>
        <v>0</v>
      </c>
      <c r="Y189" s="11">
        <f>IF(AND(ISNUMBER(Y30),ISNUMBER(Y31)),IF((Y30-Y31)&gt;0,"+"&amp;FIXED((Y30-Y31),0),IF((Y30-Y31)&lt;0,"−"&amp;FIXED(-(Y30-Y31),0),"±0")),"")</f>
        <v>0</v>
      </c>
      <c r="Z189" s="11">
        <f>IF(AND(ISNUMBER(Z30),ISNUMBER(Z31)),IF((Z30-Z31)&gt;0,"+"&amp;FIXED((Z30-Z31),0),IF((Z30-Z31)&lt;0,"−"&amp;FIXED(-(Z30-Z31),0),"±0")),"")</f>
        <v>0</v>
      </c>
      <c r="AA189" s="11">
        <f>IF(AND(ISNUMBER(AA30),ISNUMBER(AA31)),IF((AA30-AA31)&gt;0,"+"&amp;FIXED((AA30-AA31),0),IF((AA30-AA31)&lt;0,"−"&amp;FIXED(-(AA30-AA31),0),"±0")),"")</f>
        <v>0</v>
      </c>
      <c r="AB189" s="11">
        <f>IF(AND(ISNUMBER(AB30),ISNUMBER(AB31)),IF((AB30-AB31)&gt;0,"+"&amp;FIXED((AB30-AB31),0),IF((AB30-AB31)&lt;0,"−"&amp;FIXED(-(AB30-AB31),0),"±0")),"")</f>
        <v>0</v>
      </c>
      <c r="AC189" s="11">
        <f>IF(AND(ISNUMBER(AC30),ISNUMBER(AC31)),IF((AC30-AC31)&gt;0,"+"&amp;FIXED((AC30-AC31),0),IF((AC30-AC31)&lt;0,"−"&amp;FIXED(-(AC30-AC31),0),"±0")),"")</f>
        <v>0</v>
      </c>
      <c r="AD189" s="11">
        <f>IF(AND(ISNUMBER(AD30),ISNUMBER(AD31)),IF((AD30-AD31)&gt;0,"+"&amp;FIXED((AD30-AD31),0),IF((AD30-AD31)&lt;0,"−"&amp;FIXED(-(AD30-AD31),0),"±0")),"")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912</v>
      </c>
      <c r="J1" s="6"/>
      <c r="L1" s="11">
        <v>2027</v>
      </c>
      <c r="M1" s="6" t="s">
        <v>912</v>
      </c>
    </row>
    <row r="2" spans="1:18">
      <c r="A2" s="6" t="s">
        <v>913</v>
      </c>
      <c r="B2" s="6" t="s">
        <v>914</v>
      </c>
      <c r="C2" s="6" t="s">
        <v>915</v>
      </c>
      <c r="D2" s="6" t="s">
        <v>916</v>
      </c>
      <c r="E2" s="6" t="s">
        <v>917</v>
      </c>
      <c r="F2" s="6" t="s">
        <v>918</v>
      </c>
      <c r="G2" s="6" t="s">
        <v>919</v>
      </c>
      <c r="H2" s="6" t="s">
        <v>920</v>
      </c>
      <c r="I2" s="6" t="s">
        <v>921</v>
      </c>
      <c r="J2" s="6" t="s">
        <v>922</v>
      </c>
      <c r="L2" s="6" t="s">
        <v>916</v>
      </c>
      <c r="M2" s="6" t="s">
        <v>917</v>
      </c>
      <c r="N2" s="6" t="s">
        <v>918</v>
      </c>
      <c r="O2" s="6" t="s">
        <v>919</v>
      </c>
      <c r="P2" s="6" t="s">
        <v>920</v>
      </c>
      <c r="Q2" s="6" t="s">
        <v>921</v>
      </c>
      <c r="R2" s="6" t="s">
        <v>922</v>
      </c>
    </row>
    <row r="3" spans="1:18">
      <c r="A3" s="11" t="s">
        <v>923</v>
      </c>
      <c r="B3" s="11" t="s">
        <v>924</v>
      </c>
      <c r="C3" s="11" t="s">
        <v>925</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926</v>
      </c>
      <c r="B4" s="11" t="s">
        <v>927</v>
      </c>
      <c r="C4" s="11" t="s">
        <v>925</v>
      </c>
      <c r="D4" s="70">
        <v>46028</v>
      </c>
      <c r="G4" s="70">
        <v>46028</v>
      </c>
      <c r="J4" s="70">
        <v>46028</v>
      </c>
      <c r="L4" s="70">
        <v>46393</v>
      </c>
      <c r="O4" s="70">
        <v>46393</v>
      </c>
      <c r="R4" s="70">
        <v>46393</v>
      </c>
    </row>
    <row r="5" spans="1:18">
      <c r="A5" s="11" t="s">
        <v>928</v>
      </c>
      <c r="B5" s="11" t="s">
        <v>929</v>
      </c>
      <c r="C5" s="11" t="s">
        <v>925</v>
      </c>
      <c r="D5" s="70">
        <v>46089</v>
      </c>
      <c r="I5" s="70">
        <v>46089</v>
      </c>
      <c r="L5" s="70">
        <v>46454</v>
      </c>
      <c r="Q5" s="70">
        <v>46454</v>
      </c>
    </row>
    <row r="6" spans="1:18">
      <c r="A6" s="11" t="s">
        <v>930</v>
      </c>
      <c r="B6" s="11" t="s">
        <v>931</v>
      </c>
      <c r="C6" s="11" t="s">
        <v>925</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932</v>
      </c>
      <c r="B7" s="11" t="s">
        <v>933</v>
      </c>
      <c r="C7" s="11" t="s">
        <v>925</v>
      </c>
      <c r="D7" s="70">
        <v>46242</v>
      </c>
      <c r="L7" s="70">
        <v>46607</v>
      </c>
    </row>
    <row r="8" spans="1:18">
      <c r="A8" s="11" t="s">
        <v>934</v>
      </c>
      <c r="B8" s="11" t="s">
        <v>935</v>
      </c>
      <c r="C8" s="11" t="s">
        <v>925</v>
      </c>
      <c r="D8" s="70">
        <v>46249</v>
      </c>
      <c r="G8" s="70">
        <v>46249</v>
      </c>
      <c r="L8" s="70">
        <v>46614</v>
      </c>
      <c r="O8" s="70">
        <v>46614</v>
      </c>
    </row>
    <row r="9" spans="1:18">
      <c r="A9" s="11" t="s">
        <v>936</v>
      </c>
      <c r="B9" s="11" t="s">
        <v>937</v>
      </c>
      <c r="C9" s="11" t="s">
        <v>925</v>
      </c>
      <c r="D9" s="70">
        <v>46285</v>
      </c>
      <c r="L9" s="70">
        <v>46650</v>
      </c>
    </row>
    <row r="10" spans="1:18">
      <c r="A10" s="11" t="s">
        <v>938</v>
      </c>
      <c r="B10" s="11" t="s">
        <v>939</v>
      </c>
      <c r="C10" s="11" t="s">
        <v>925</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940</v>
      </c>
      <c r="B11" s="11" t="s">
        <v>941</v>
      </c>
      <c r="C11" s="11" t="s">
        <v>925</v>
      </c>
      <c r="D11" s="70">
        <v>46326</v>
      </c>
      <c r="H11" s="70">
        <v>46326</v>
      </c>
      <c r="L11" s="70">
        <v>46691</v>
      </c>
      <c r="P11" s="70">
        <v>46691</v>
      </c>
    </row>
    <row r="12" spans="1:18">
      <c r="A12" s="11" t="s">
        <v>942</v>
      </c>
      <c r="B12" s="11" t="s">
        <v>943</v>
      </c>
      <c r="C12" s="11" t="s">
        <v>925</v>
      </c>
      <c r="D12" s="70">
        <v>46327</v>
      </c>
      <c r="E12" s="70">
        <v>46327</v>
      </c>
      <c r="F12" s="70">
        <v>46327</v>
      </c>
      <c r="G12" s="70">
        <v>46327</v>
      </c>
      <c r="J12" s="70">
        <v>46327</v>
      </c>
      <c r="L12" s="70">
        <v>46692</v>
      </c>
      <c r="M12" s="70">
        <v>46692</v>
      </c>
      <c r="N12" s="70">
        <v>46692</v>
      </c>
      <c r="O12" s="70">
        <v>46692</v>
      </c>
      <c r="R12" s="70">
        <v>46692</v>
      </c>
    </row>
    <row r="13" spans="1:18">
      <c r="A13" s="11" t="s">
        <v>944</v>
      </c>
      <c r="B13" s="11" t="s">
        <v>945</v>
      </c>
      <c r="C13" s="11" t="s">
        <v>925</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946</v>
      </c>
      <c r="B14" s="11" t="s">
        <v>947</v>
      </c>
      <c r="C14" s="11" t="s">
        <v>925</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948</v>
      </c>
      <c r="B15" s="11" t="s">
        <v>949</v>
      </c>
      <c r="C15" s="11" t="s">
        <v>925</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950</v>
      </c>
      <c r="B16" s="11" t="s">
        <v>951</v>
      </c>
      <c r="C16" s="11" t="s">
        <v>925</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952</v>
      </c>
      <c r="B17" s="11" t="s">
        <v>953</v>
      </c>
      <c r="C17" s="11" t="s">
        <v>954</v>
      </c>
      <c r="D17" s="70">
        <v>46344</v>
      </c>
      <c r="L17" s="70">
        <v>46708</v>
      </c>
    </row>
    <row r="18" spans="1:18">
      <c r="A18" s="11" t="s">
        <v>955</v>
      </c>
      <c r="B18" s="11" t="s">
        <v>956</v>
      </c>
      <c r="C18" s="11" t="s">
        <v>957</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958</v>
      </c>
      <c r="B19" s="11" t="s">
        <v>959</v>
      </c>
      <c r="C19" s="11" t="s">
        <v>960</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961</v>
      </c>
      <c r="B20" s="11" t="s">
        <v>962</v>
      </c>
      <c r="C20" s="11" t="s">
        <v>963</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964</v>
      </c>
      <c r="B21" s="11" t="s">
        <v>965</v>
      </c>
      <c r="C21" s="11" t="s">
        <v>966</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967</v>
      </c>
      <c r="B22" s="11" t="s">
        <v>968</v>
      </c>
      <c r="C22" s="11" t="s">
        <v>969</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970</v>
      </c>
      <c r="B23" s="11" t="s">
        <v>971</v>
      </c>
      <c r="C23" s="11" t="s">
        <v>972</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973</v>
      </c>
      <c r="B24" s="11" t="s">
        <v>974</v>
      </c>
      <c r="C24" s="11" t="s">
        <v>975</v>
      </c>
      <c r="D24" s="70">
        <v>46177</v>
      </c>
      <c r="E24" s="70">
        <v>46177</v>
      </c>
      <c r="F24" s="70">
        <v>46177</v>
      </c>
      <c r="G24" s="70">
        <v>46177</v>
      </c>
      <c r="J24" s="70">
        <v>46177</v>
      </c>
      <c r="L24" s="70">
        <v>46534</v>
      </c>
      <c r="M24" s="70">
        <v>46541</v>
      </c>
      <c r="N24" s="70">
        <v>46541</v>
      </c>
      <c r="O24" s="70">
        <v>46541</v>
      </c>
      <c r="R24" s="70">
        <v>46541</v>
      </c>
    </row>
    <row r="25" spans="1:18">
      <c r="A25" s="11" t="s">
        <v>976</v>
      </c>
      <c r="B25" s="11" t="s">
        <v>977</v>
      </c>
      <c r="C25" s="11" t="s">
        <v>978</v>
      </c>
      <c r="D25" s="70">
        <v>46069</v>
      </c>
      <c r="E25" s="70">
        <v>46069</v>
      </c>
      <c r="F25" s="70">
        <v>46069</v>
      </c>
      <c r="L25" s="70">
        <v>46426</v>
      </c>
      <c r="M25" s="70">
        <v>46433</v>
      </c>
      <c r="N25" s="70">
        <v>46433</v>
      </c>
    </row>
    <row r="26" spans="1:18">
      <c r="A26" s="11" t="s">
        <v>979</v>
      </c>
      <c r="B26" s="11" t="s">
        <v>980</v>
      </c>
      <c r="C26" s="11" t="s">
        <v>981</v>
      </c>
      <c r="D26" s="70">
        <v>46070</v>
      </c>
      <c r="G26" s="70">
        <v>46070</v>
      </c>
      <c r="L26" s="70">
        <v>46427</v>
      </c>
      <c r="O26" s="70">
        <v>46427</v>
      </c>
    </row>
    <row r="27" spans="1:18">
      <c r="A27" s="11" t="s">
        <v>982</v>
      </c>
      <c r="B27" s="11"/>
      <c r="C27" s="11" t="s">
        <v>983</v>
      </c>
      <c r="D27" s="70">
        <v>45785</v>
      </c>
    </row>
    <row r="28" spans="1:18">
      <c r="A28" s="11" t="s">
        <v>923</v>
      </c>
      <c r="B28" s="11" t="s">
        <v>984</v>
      </c>
      <c r="C28" s="11" t="s">
        <v>925</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926</v>
      </c>
      <c r="B29" s="11" t="s">
        <v>985</v>
      </c>
      <c r="C29" s="11" t="s">
        <v>925</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2026-10-08T09:39:51Z</dcterms:created>
  <dcterms:modified xsi:type="dcterms:W3CDTF">2026-10-08T09:39:51Z</dcterms:modified>
</cp:coreProperties>
</file>