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<sst xmlns="http://schemas.openxmlformats.org/spreadsheetml/2006/main" count="2923" uniqueCount="806">
  <si>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</si>
  <si>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</si>
  <si>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</si>
  <si>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</si>
  <si>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</si>
  <si>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</si>
  <si>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</si>
  <si>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</si>
  <si>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</si>
  <si>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</si>
  <si>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</si>
  <si>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</si>
  <si>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</si>
  <si>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</si>
  <si>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</si>
  <si>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</si>
  <si>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</si>
  <si>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</si>
  <si>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</si>
  <si>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</si>
  <si>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</si>
  <si>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</si>
  <si>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</si>
  <si>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</si>
  <si>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</si>
  <si>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</si>
  <si>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</si>
  <si>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</si>
  <si>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</si>
  <si>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</si>
  <si>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</si>
  <si>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</si>
  <si>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</si>
  <si>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</si>
  <si>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</si>
  <si>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</si>
  <si>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</si>
  <si>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</si>
  <si>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</si>
  <si>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</si>
  <si>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</si>
  <si>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</si>
  <si>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</si>
  <si>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</si>
  <si>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</si>
  <si>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</si>
  <si>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</si>
  <si>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</si>
  <si>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</si>
  <si>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</si>
  <si>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</si>
  <si>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</si>
  <si>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</si>
  <si>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</si>
  <si>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</si>
  <si>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</si>
  <si>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</si>
  <si>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</si>
  <si>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</si>
  <si>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</si>
  <si>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</si>
  <si>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</si>
  <si>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</si>
  <si>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</si>
  <si>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</si>
  <si>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</si>
  <si>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</si>
  <si>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</si>
  <si>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</si>
  <si>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</si>
  <si>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</si>
  <si>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</si>
  <si>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</si>
  <si>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</si>
  <si>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</si>
  <si>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</si>
  <si>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</si>
  <si>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</si>
  <si>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</si>
  <si>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</si>
  <si>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</si>
  <si>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</si>
  <si>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</si>
  <si>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</si>
  <si>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</si>
  <si>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</si>
  <si>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</si>
  <si>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</si>
  <si>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</si>
  <si>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</si>
  <si>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</si>
  <si>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</si>
  <si>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</si>
  <si>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</si>
  <si>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</si>
  <si>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</si>
  <si>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</si>
  <si>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</si>
  <si>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</si>
  <si>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</si>
  <si>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</si>
  <si>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</si>
  <si>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</si>
  <si>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</si>
  <si>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</si>
  <si>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</si>
  <si>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</si>
  <si>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</si>
  <si>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</si>
  <si>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</si>
  <si>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</si>
  <si>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</si>
  <si>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</si>
  <si>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</si>
  <si>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</si>
  <si>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</si>
  <si>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</si>
  <si>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</si>
  <si>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</si>
  <si>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</si>
  <si>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</si>
  <si>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</si>
  <si>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</si>
  <si>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</si>
  <si>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</si>
  <si>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</si>
  <si>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</si>
  <si>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</si>
  <si>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</si>
  <si>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</si>
  <si>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</si>
  <si>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</si>
  <si>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</si>
  <si>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</si>
  <si>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</si>
  <si>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</si>
  <si>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</si>
  <si>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</si>
  <si>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</si>
  <si>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</si>
  <si>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</si>
  <si>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</si>
  <si>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</si>
  <si>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</si>
  <si>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</si>
  <si>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</si>
  <si>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</si>
  <si>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</si>
  <si>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</si>
  <si>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</si>
  <si>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</si>
  <si>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</si>
  <si>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</si>
  <si>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</si>
  <si>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</si>
  <si>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</si>
  <si>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</si>
  <si>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</si>
  <si>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</si>
  <si>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</si>
  <si>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</si>
  <si>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</si>
  <si>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</si>
  <si>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</si>
  <si>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</si>
  <si>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</si>
  <si>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</si>
  <si>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</si>
  <si>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</si>
  <si>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</si>
  <si>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</si>
  <si>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</si>
  <si>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</si>
  <si>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</si>
  <si>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</si>
  <si>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</si>
  <si>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</si>
  <si>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</si>
  <si>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</si>
  <si>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</si>
  <si>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</si>
  <si>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</si>
  <si>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</si>
  <si>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</si>
  <si>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</si>
  <si>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</si>
  <si>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</si>
  <si>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</si>
  <si>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</si>
  <si>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</si>
  <si>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</si>
  <si>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</si>
  <si>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</si>
  <si>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</si>
  <si>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</si>
  <si>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</si>
  <si>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</si>
  <si>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</si>
  <si>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</si>
  <si>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</si>
  <si>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</si>
  <si>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</si>
  <si>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</si>
  <si>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</si>
  <si>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</si>
  <si>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</si>
  <si>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</si>
  <si>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</si>
  <si>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</si>
  <si>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</si>
  <si>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</si>
  <si>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</si>
  <si>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</si>
  <si>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</si>
  <si>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</si>
  <si>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</si>
  <si>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</si>
  <si>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</si>
  <si>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</si>
  <si>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</si>
  <si>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</si>
  <si>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</si>
  <si>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</si>
  <si>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</si>
  <si>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</si>
  <si>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</si>
  <si>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</si>
  <si>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</si>
  <si>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</si>
  <si>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</si>
  <si>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</si>
  <si>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</si>
  <si>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</si>
  <si>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</si>
  <si>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</si>
  <si>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</si>
  <si>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</si>
  <si>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</si>
  <si>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</si>
  <si>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</si>
  <si>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</si>
  <si>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</si>
  <si>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</si>
  <si>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</si>
  <si>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</si>
  <si>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</si>
  <si>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</si>
  <si>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</si>
  <si>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</si>
  <si>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</si>
  <si>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</si>
  <si>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</si>
  <si>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</si>
  <si>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</si>
  <si>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</si>
  <si>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</si>
  <si>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</si>
  <si>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</si>
  <si>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</si>
  <si>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</si>
  <si>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</si>
  <si>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</si>
  <si>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</si>
  <si>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</si>
  <si>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</si>
  <si>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</si>
  <si>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</si>
  <si>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</si>
  <si>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</si>
  <si>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</si>
  <si>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</si>
  <si>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</si>
  <si>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</si>
  <si>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</si>
  <si>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</si>
  <si>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</si>
  <si>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</si>
  <si>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</si>
  <si>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</si>
  <si>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</si>
  <si>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</si>
  <si>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</si>
  <si>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</si>
  <si>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</si>
  <si>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</si>
  <si>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</si>
  <si>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</si>
  <si>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</si>
  <si>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</si>
  <si>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</si>
  <si>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</si>
  <si>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</si>
  <si>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</si>
  <si>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</si>
  <si>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</si>
  <si>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</si>
  <si>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</si>
  <si>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</si>
  <si>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</si>
  <si>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</si>
  <si>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</si>
  <si>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</si>
  <si>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</si>
  <si>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</si>
  <si>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</si>
  <si>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</si>
  <si>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</si>
  <si>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</si>
  <si>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</si>
  <si>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</si>
  <si>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</si>
  <si>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</si>
  <si>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</si>
  <si>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</si>
  <si>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</si>
  <si>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</si>
  <si>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</si>
  <si>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</si>
  <si>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</si>
  <si>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</si>
  <si>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</si>
  <si>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</si>
  <si>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</si>
  <si>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</si>
  <si>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</si>
  <si>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</si>
  <si>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BÜ-Reporting-Datei (Knopf „BÜ-Reporting verknüpfen“)</t>
  </si>
  <si>
    <t>ORDNER</t>
  </si>
  <si>
    <t>Ordner dieser Datei (nur nötig bei OneDrive/SharePoint)</t>
  </si>
  <si>
    <t>Vorlage: Ordner „Vorlage“ neben der Datei, ERGO_Vorlage.pptx · Ablage: Ordner „Praesentationen“</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</si>
  <si>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</si>
  <si>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</si>
  <si>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</si>
  <si>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</si>
  <si>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</si>
  <si>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</si>
  <si>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</si>
  <si>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</si>
  <si>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</si>
  <si>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</si>
  <si>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</si>
  <si>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</si>
  <si>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</si>
  <si>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</si>
  <si>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</si>
  <si>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</si>
  <si>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</si>
  <si>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</si>
  <si>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</si>
  <si>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</si>
  <si>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</si>
  <si>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</si>
  <si>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</si>
  <si>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</si>
  <si>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</si>
  <si>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</si>
  <si>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</si>
  <si>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</si>
  <si>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</si>
  <si>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</si>
  <si>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</si>
  <si>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</si>
  <si>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</si>
  <si>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</si>
  <si>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</si>
  <si>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</si>
  <si>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</si>
  <si>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</si>
  <si>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</si>
  <si>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</si>
  <si>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</si>
  <si>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</si>
  <si>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</si>
  <si>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</si>
  <si>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</si>
  <si>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</si>
  <si>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</si>
  <si>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</si>
  <si>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</si>
  <si>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</si>
  <si>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</si>
  <si>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</si>
  <si>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</si>
  <si>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</si>
  <si>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</si>
  <si>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</si>
  <si>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</si>
  <si>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</si>
  <si>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</si>
  <si>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</si>
  <si>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</si>
  <si>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</si>
  <si>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</si>
  <si>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</si>
  <si>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</si>
  <si>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</si>
  <si>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</si>
  <si>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</si>
  <si>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</si>
  <si>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</si>
  <si>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</si>
  <si>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</si>
  <si>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</si>
  <si>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</si>
  <si>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</si>
  <si>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</si>
  <si>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</si>
  <si>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</si>
  <si>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</si>
  <si>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</si>
  <si>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</si>
  <si>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</si>
  <si>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</si>
  <si>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</si>
  <si>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</si>
  <si>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</si>
  <si>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</si>
  <si>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</si>
  <si>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</si>
  <si>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</si>
  <si>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</si>
  <si>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</si>
  <si>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</si>
  <si>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</si>
  <si>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</si>
  <si>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</si>
  <si>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</si>
  <si>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</si>
  <si>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</si>
  <si>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</si>
  <si>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</si>
  <si>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</si>
  <si>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</si>
  <si>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</si>
  <si>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</si>
  <si>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</si>
  <si>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</si>
  <si>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</si>
  <si>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</si>
  <si>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</si>
  <si>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</si>
  <si>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</si>
  <si>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</si>
  <si>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</si>
  <si>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</si>
  <si>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</si>
  <si>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</si>
  <si>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</si>
  <si>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</si>
  <si>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</si>
  <si>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</si>
  <si>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</si>
  <si>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</si>
  <si>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</si>
  <si>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</si>
  <si>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</si>
  <si>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</si>
  <si>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</si>
  <si>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</si>
  <si>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</si>
  <si>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</si>
  <si>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</si>
  <si>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</si>
  <si>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</si>
  <si>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</si>
  <si>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</si>
  <si>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</si>
  <si>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</si>
  <si>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</si>
  <si>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</si>
  <si>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</si>
  <si>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</si>
  <si>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</si>
  <si>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</si>
  <si>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</si>
  <si>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</si>
  <si>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</si>
  <si>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</si>
  <si>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</si>
  <si>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</si>
  <si>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</si>
  <si>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</si>
  <si>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</si>
  <si>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</si>
  <si>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</si>
  <si>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</si>
  <si>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</si>
  <si>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</si>
  <si>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</si>
  <si>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</si>
  <si>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</si>
  <si>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</si>
  <si>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</si>
  <si>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</si>
  <si>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</si>
  <si>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</si>
  <si>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</si>
  <si>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</si>
  <si>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</si>
  <si>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</si>
  <si>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</si>
  <si>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</si>
  <si>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</si>
  <si>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</si>
  <si>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</si>
  <si>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</si>
  <si>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</si>
  <si>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</si>
  <si>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</si>
  <si>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</si>
  <si>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</si>
  <si>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</si>
  <si>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</si>
  <si>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</si>
  <si>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</si>
  <si>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</si>
  <si>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</si>
  <si>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</si>
  <si>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</si>
  <si>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</si>
  <si>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</si>
  <si>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</si>
  <si>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</si>
  <si>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</si>
  <si>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</si>
  <si>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</si>
  <si>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</si>
  <si>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</si>
  <si>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</si>
  <si>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</si>
  <si>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</si>
  <si>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</si>
  <si>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</si>
  <si>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</si>
  <si>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</si>
  <si>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</si>
  <si>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</si>
  <si>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</si>
  <si>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</si>
  <si>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</si>
  <si>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</si>
  <si>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</si>
  <si>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</si>
  <si>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</si>
  <si>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</si>
  <si>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</si>
  <si>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</si>
  <si>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BÜ Verbund Rückstand</t>
  </si>
  <si>
    <t>Rohdaten Z. 67</t>
  </si>
  <si>
    <t>BÜ Verbund Eingänge Gesundheit</t>
  </si>
  <si>
    <t>Rohdaten Z. 72</t>
  </si>
  <si>
    <t>BÜ Verbund Abgänge Gesundheit</t>
  </si>
  <si>
    <t>Rohdaten Z. 76</t>
  </si>
  <si>
    <t>7VJ_neg</t>
  </si>
  <si>
    <t>BÜ Verbund Abgänge Gesundheit (negativ, Diagramm)</t>
  </si>
  <si>
    <t>berechnet</t>
  </si>
  <si>
    <t>BÜ Verbund Eingänge Komposit</t>
  </si>
  <si>
    <t>Rohdaten Z. 73</t>
  </si>
  <si>
    <t>BÜ Verbund Abgänge Komposit</t>
  </si>
  <si>
    <t>Rohdaten Z. 77</t>
  </si>
  <si>
    <t>7VK_neg</t>
  </si>
  <si>
    <t>BÜ Verbund Abgänge Komposit (negativ, Diagramm)</t>
  </si>
  <si>
    <t>BÜ Verbund Eingänge Leben</t>
  </si>
  <si>
    <t>Rohdaten Z. 74</t>
  </si>
  <si>
    <t>BÜ Verbund Abgänge Leben</t>
  </si>
  <si>
    <t>Rohdaten Z. 78</t>
  </si>
  <si>
    <t>7VL_neg</t>
  </si>
  <si>
    <t>BÜ Verbund Abgänge Leben (negativ, Diagramm)</t>
  </si>
  <si>
    <t>7V_ein</t>
  </si>
  <si>
    <t>BÜ Verbund Eingänge Summe</t>
  </si>
  <si>
    <t>7V_aus</t>
  </si>
  <si>
    <t>BÜ Verbund Abgänge Summe (negativ)</t>
  </si>
  <si>
    <t>7V_ein_t</t>
  </si>
  <si>
    <t>BÜ Verbund Eingänge Beschriftung</t>
  </si>
  <si>
    <t>7V_aus_t</t>
  </si>
  <si>
    <t>BÜ Verbund Abgänge Beschriftung</t>
  </si>
  <si>
    <t>BÜ OPAG Rückstand</t>
  </si>
  <si>
    <t>Rohdaten Z. 79</t>
  </si>
  <si>
    <t>BÜ OPAG Eingänge Gesundheit</t>
  </si>
  <si>
    <t>Rohdaten Z. 84</t>
  </si>
  <si>
    <t>BÜ OPAG Abgänge Gesundheit</t>
  </si>
  <si>
    <t>Rohdaten Z. 88</t>
  </si>
  <si>
    <t>7OJ_neg</t>
  </si>
  <si>
    <t>BÜ OPAG Abgänge Gesundheit (negativ, Diagramm)</t>
  </si>
  <si>
    <t>BÜ OPAG Eingänge Komposit</t>
  </si>
  <si>
    <t>Rohdaten Z. 85</t>
  </si>
  <si>
    <t>BÜ OPAG Abgänge Komposit</t>
  </si>
  <si>
    <t>Rohdaten Z. 89</t>
  </si>
  <si>
    <t>7OK_neg</t>
  </si>
  <si>
    <t>BÜ OPAG Abgänge Komposit (negativ, Diagramm)</t>
  </si>
  <si>
    <t>BÜ OPAG Eingänge Leben</t>
  </si>
  <si>
    <t>Rohdaten Z. 86</t>
  </si>
  <si>
    <t>BÜ OPAG Abgänge Leben</t>
  </si>
  <si>
    <t>Rohdaten Z. 90</t>
  </si>
  <si>
    <t>7OL_neg</t>
  </si>
  <si>
    <t>BÜ OPAG Abgänge Leben (negativ, Diagramm)</t>
  </si>
  <si>
    <t>7O_ein</t>
  </si>
  <si>
    <t>BÜ OPAG Eingänge Summe</t>
  </si>
  <si>
    <t>7O_aus</t>
  </si>
  <si>
    <t>BÜ OPAG Abgänge Summe (negativ)</t>
  </si>
  <si>
    <t>7O_ein_t</t>
  </si>
  <si>
    <t>BÜ OPAG Eingänge Beschriftung</t>
  </si>
  <si>
    <t>7O_aus_t</t>
  </si>
  <si>
    <t>BÜ OPAG Abgänge Beschriftung</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</si>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</sst>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Aptos"/>
      <family val="2"/>
    </font>
    <font>
      <b/>
      <sz val="24"/>
      <color rgb="FFBF1528"/>
      <name val="Aptos"/>
      <family val="2"/>
    </font>
    <font>
      <sz val="10.5"/>
      <color rgb="FF6B6B6B"/>
      <name val="Aptos"/>
      <family val="2"/>
    </font>
    <font>
      <b/>
      <sz val="8"/>
      <color rgb="FF0B6F7D"/>
      <name val="Aptos"/>
      <family val="2"/>
    </font>
    <font>
      <b/>
      <sz val="10.5"/>
      <color theme="1"/>
      <name val="Aptos"/>
      <family val="2"/>
    </font>
    <font>
      <b/>
      <sz val="11"/>
      <color rgb="FF0B6F7D"/>
      <name val="Aptos"/>
      <family val="2"/>
    </font>
    <font>
      <b/>
      <sz val="9"/>
      <color rgb="FFFFFFFF"/>
      <name val="Aptos"/>
      <family val="2"/>
    </font>
    <font>
      <i/>
      <sz val="9"/>
      <color rgb="FF6B6B6B"/>
      <name val="Aptos"/>
      <family val="2"/>
    </font>
    <font>
      <sz val="9.5"/>
      <color theme="1"/>
      <name val="Aptos"/>
      <family val="2"/>
    </font>
    <font>
      <b/>
      <sz val="9"/>
      <color theme="1"/>
      <name val="Aptos"/>
      <family val="2"/>
    </font>
    <font>
      <b/>
      <sz val="9"/>
      <color rgb="FFBF1528"/>
      <name val="Aptos"/>
      <family val="2"/>
    </font>
    <font>
      <b/>
      <sz val="20"/>
      <color rgb="FFBF1528"/>
      <name val="Aptos"/>
      <family val="2"/>
    </font>
    <font>
      <b/>
      <sz val="9"/>
      <color rgb="FF1A1A1A"/>
      <name val="Aptos"/>
      <family val="2"/>
    </font>
    <font>
      <sz val="9"/>
      <color rgb="FF1A1A1A"/>
      <name val="Aptos"/>
      <family val="2"/>
    </font>
    <font>
      <sz val="9"/>
      <color theme="1"/>
      <name val="Aptos"/>
      <family val="2"/>
    </font>
    <font>
      <b/>
      <sz val="9"/>
      <color rgb="FF6B6B6B"/>
      <name val="Aptos"/>
      <family val="2"/>
    </font>
    <font>
      <sz val="7"/>
      <color rgb="FF9AA3AD"/>
      <name val="Aptos"/>
      <family val="2"/>
    </font>
    <font>
      <sz val="9"/>
      <color rgb="FF4A4A4A"/>
      <name val="Aptos"/>
      <family val="2"/>
    </font>
    <font>
      <sz val="8"/>
      <color rgb="FF6B6B6B"/>
      <name val="Aptos"/>
      <family val="2"/>
    </font>
    <font>
      <sz val="7.5"/>
      <color rgb="FF6B6B6B"/>
      <name val="Aptos"/>
      <family val="2"/>
    </font>
    <font>
      <sz val="9"/>
      <color rgb="FF1A1A1A"/>
      <name val="Aptos"/>
      <family val="2"/>
    </font>
    <font>
      <sz val="8"/>
      <color rgb="FF4A4A4A"/>
      <name val="Aptos"/>
      <family val="2"/>
    </font>
    <font>
      <b/>
      <sz val="10.5"/>
      <color rgb="FF0B6F7D"/>
      <name val="Aptos"/>
      <family val="2"/>
    </font>
    <font>
      <b/>
      <sz val="9.5"/>
      <color rgb="FF1A1A1A"/>
      <name val="Aptos"/>
      <family val="2"/>
    </font>
    <font>
      <sz val="8.5"/>
      <color rgb="FF9AA3AD"/>
      <name val="Aptos"/>
      <family val="2"/>
    </font>
    <font>
      <sz val="9"/>
      <color rgb="FF6B6B6B"/>
      <name val="Apto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Rückstand</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Dashboard_Daten!$D$36:$M$36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a:noFill/>
          </a:ln>
        </c:spPr>
        <c:crossAx val="50010002"/>
        <c:crosses val="autoZero"/>
        <c:auto val="1"/>
        <c:lblAlgn val="ctr"/>
        <c:lblOffset val="100"/>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stacked"/>
        <c:ser>
          <c:idx val="0"/>
          <c:order val="0"/>
          <c:tx>
            <c:v>Eingänge 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Dashboard_Daten!$D$37:$M$37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Eingänge 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Dashboard_Daten!$D$40:$M$40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Eingänge 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Dashboard_Daten!$D$43:$M$43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Abgänge Gesundheit</c:v>
          </c:tx>
          <c:spPr>
            <a:solidFill>
              <a:srgbClr val="E3A6C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Dashboard_Daten!$D$39:$M$39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Abgänge Komposit</c:v>
          </c:tx>
          <c:spPr>
            <a:solidFill>
              <a:srgbClr val="9FD6DE"/>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Dashboard_Daten!$D$42:$M$42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Abgänge Leben</c:v>
          </c:tx>
          <c:spPr>
            <a:solidFill>
              <a:srgbClr val="AEB8D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Dashboard_Daten!$D$45:$M$45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20001"/>
        <c:axId val="50020002"/>
      </c:barChart>
      <c:lineChart>
        <c:grouping val="standard"/>
        <c:ser>
          <c:idx val="6"/>
          <c:order val="6"/>
          <c:tx>
            <c:v>7V_ein</c:v>
          </c:tx>
          <c:spPr>
            <a:ln>
              <a:noFill/>
            </a:ln>
          </c:spPr>
          <c:marker>
            <c:symbol val="none"/>
          </c:marker>
          <c:dLbls>
            <c:dLbl>
              <c:idx val="0"/>
              <c:layout/>
              <c:tx>
                <c:strRef>
                  <c:f>Dashboard_Daten!$D$48</c:f>
                  <c:strCache>
                    <c:ptCount val="1"/>
                    <c:pt idx="0">
                      <c:v>0</c:v>
                    </c:pt>
                  </c:strCache>
                </c:strRef>
              </c:tx>
              <c:dLblPos val="t"/>
              <c:showVal val="1"/>
            </c:dLbl>
            <c:dLbl>
              <c:idx val="1"/>
              <c:layout/>
              <c:tx>
                <c:strRef>
                  <c:f>Dashboard_Daten!$E$48</c:f>
                  <c:strCache>
                    <c:ptCount val="1"/>
                    <c:pt idx="0">
                      <c:v>0</c:v>
                    </c:pt>
                  </c:strCache>
                </c:strRef>
              </c:tx>
              <c:dLblPos val="t"/>
              <c:showVal val="1"/>
            </c:dLbl>
            <c:dLbl>
              <c:idx val="2"/>
              <c:layout/>
              <c:tx>
                <c:strRef>
                  <c:f>Dashboard_Daten!$F$48</c:f>
                  <c:strCache>
                    <c:ptCount val="1"/>
                    <c:pt idx="0">
                      <c:v>0</c:v>
                    </c:pt>
                  </c:strCache>
                </c:strRef>
              </c:tx>
              <c:dLblPos val="t"/>
              <c:showVal val="1"/>
            </c:dLbl>
            <c:dLbl>
              <c:idx val="3"/>
              <c:layout/>
              <c:tx>
                <c:strRef>
                  <c:f>Dashboard_Daten!$G$48</c:f>
                  <c:strCache>
                    <c:ptCount val="1"/>
                    <c:pt idx="0">
                      <c:v>0</c:v>
                    </c:pt>
                  </c:strCache>
                </c:strRef>
              </c:tx>
              <c:dLblPos val="t"/>
              <c:showVal val="1"/>
            </c:dLbl>
            <c:dLbl>
              <c:idx val="4"/>
              <c:layout/>
              <c:tx>
                <c:strRef>
                  <c:f>Dashboard_Daten!$H$48</c:f>
                  <c:strCache>
                    <c:ptCount val="1"/>
                    <c:pt idx="0">
                      <c:v>0</c:v>
                    </c:pt>
                  </c:strCache>
                </c:strRef>
              </c:tx>
              <c:dLblPos val="t"/>
              <c:showVal val="1"/>
            </c:dLbl>
            <c:dLbl>
              <c:idx val="5"/>
              <c:layout/>
              <c:tx>
                <c:strRef>
                  <c:f>Dashboard_Daten!$I$48</c:f>
                  <c:strCache>
                    <c:ptCount val="1"/>
                    <c:pt idx="0">
                      <c:v>0</c:v>
                    </c:pt>
                  </c:strCache>
                </c:strRef>
              </c:tx>
              <c:dLblPos val="t"/>
              <c:showVal val="1"/>
            </c:dLbl>
            <c:dLbl>
              <c:idx val="6"/>
              <c:layout/>
              <c:tx>
                <c:strRef>
                  <c:f>Dashboard_Daten!$J$48</c:f>
                  <c:strCache>
                    <c:ptCount val="1"/>
                    <c:pt idx="0">
                      <c:v>0</c:v>
                    </c:pt>
                  </c:strCache>
                </c:strRef>
              </c:tx>
              <c:dLblPos val="t"/>
              <c:showVal val="1"/>
            </c:dLbl>
            <c:dLbl>
              <c:idx val="7"/>
              <c:layout/>
              <c:tx>
                <c:strRef>
                  <c:f>Dashboard_Daten!$K$48</c:f>
                  <c:strCache>
                    <c:ptCount val="1"/>
                    <c:pt idx="0">
                      <c:v>0</c:v>
                    </c:pt>
                  </c:strCache>
                </c:strRef>
              </c:tx>
              <c:dLblPos val="t"/>
              <c:showVal val="1"/>
            </c:dLbl>
            <c:dLbl>
              <c:idx val="8"/>
              <c:layout/>
              <c:tx>
                <c:strRef>
                  <c:f>Dashboard_Daten!$L$48</c:f>
                  <c:strCache>
                    <c:ptCount val="1"/>
                    <c:pt idx="0">
                      <c:v>0</c:v>
                    </c:pt>
                  </c:strCache>
                </c:strRef>
              </c:tx>
              <c:dLblPos val="t"/>
              <c:showVal val="1"/>
            </c:dLbl>
            <c:dLbl>
              <c:idx val="9"/>
              <c:layout/>
              <c:tx>
                <c:strRef>
                  <c:f>Dashboard_Daten!$M$48</c:f>
                  <c:strCache>
                    <c:ptCount val="1"/>
                    <c:pt idx="0">
                      <c:v>0</c:v>
                    </c:pt>
                  </c:strCache>
                </c:strRef>
              </c:tx>
              <c:dLblPos val="t"/>
              <c:showVal val="1"/>
            </c:dLbl>
            <c:txPr>
              <a:bodyPr/>
              <a:lstStyle/>
              <a:p>
                <a:pPr>
                  <a:defRPr sz="600" baseline="0">
                    <a:solidFill>
                      <a:srgbClr val="4A4A4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Dashboard_Daten!$D$46:$M$46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7V_aus</c:v>
          </c:tx>
          <c:spPr>
            <a:ln>
              <a:noFill/>
            </a:ln>
          </c:spPr>
          <c:marker>
            <c:symbol val="none"/>
          </c:marker>
          <c:dLbls>
            <c:dLbl>
              <c:idx val="0"/>
              <c:layout/>
              <c:tx>
                <c:strRef>
                  <c:f>Dashboard_Daten!$D$49</c:f>
                  <c:strCache>
                    <c:ptCount val="1"/>
                    <c:pt idx="0">
                      <c:v>0</c:v>
                    </c:pt>
                  </c:strCache>
                </c:strRef>
              </c:tx>
              <c:dLblPos val="b"/>
              <c:showVal val="1"/>
            </c:dLbl>
            <c:dLbl>
              <c:idx val="1"/>
              <c:layout/>
              <c:tx>
                <c:strRef>
                  <c:f>Dashboard_Daten!$E$49</c:f>
                  <c:strCache>
                    <c:ptCount val="1"/>
                    <c:pt idx="0">
                      <c:v>0</c:v>
                    </c:pt>
                  </c:strCache>
                </c:strRef>
              </c:tx>
              <c:dLblPos val="b"/>
              <c:showVal val="1"/>
            </c:dLbl>
            <c:dLbl>
              <c:idx val="2"/>
              <c:layout/>
              <c:tx>
                <c:strRef>
                  <c:f>Dashboard_Daten!$F$49</c:f>
                  <c:strCache>
                    <c:ptCount val="1"/>
                    <c:pt idx="0">
                      <c:v>0</c:v>
                    </c:pt>
                  </c:strCache>
                </c:strRef>
              </c:tx>
              <c:dLblPos val="b"/>
              <c:showVal val="1"/>
            </c:dLbl>
            <c:dLbl>
              <c:idx val="3"/>
              <c:layout/>
              <c:tx>
                <c:strRef>
                  <c:f>Dashboard_Daten!$G$49</c:f>
                  <c:strCache>
                    <c:ptCount val="1"/>
                    <c:pt idx="0">
                      <c:v>0</c:v>
                    </c:pt>
                  </c:strCache>
                </c:strRef>
              </c:tx>
              <c:dLblPos val="b"/>
              <c:showVal val="1"/>
            </c:dLbl>
            <c:dLbl>
              <c:idx val="4"/>
              <c:layout/>
              <c:tx>
                <c:strRef>
                  <c:f>Dashboard_Daten!$H$49</c:f>
                  <c:strCache>
                    <c:ptCount val="1"/>
                    <c:pt idx="0">
                      <c:v>0</c:v>
                    </c:pt>
                  </c:strCache>
                </c:strRef>
              </c:tx>
              <c:dLblPos val="b"/>
              <c:showVal val="1"/>
            </c:dLbl>
            <c:dLbl>
              <c:idx val="5"/>
              <c:layout/>
              <c:tx>
                <c:strRef>
                  <c:f>Dashboard_Daten!$I$49</c:f>
                  <c:strCache>
                    <c:ptCount val="1"/>
                    <c:pt idx="0">
                      <c:v>0</c:v>
                    </c:pt>
                  </c:strCache>
                </c:strRef>
              </c:tx>
              <c:dLblPos val="b"/>
              <c:showVal val="1"/>
            </c:dLbl>
            <c:dLbl>
              <c:idx val="6"/>
              <c:layout/>
              <c:tx>
                <c:strRef>
                  <c:f>Dashboard_Daten!$J$49</c:f>
                  <c:strCache>
                    <c:ptCount val="1"/>
                    <c:pt idx="0">
                      <c:v>0</c:v>
                    </c:pt>
                  </c:strCache>
                </c:strRef>
              </c:tx>
              <c:dLblPos val="b"/>
              <c:showVal val="1"/>
            </c:dLbl>
            <c:dLbl>
              <c:idx val="7"/>
              <c:layout/>
              <c:tx>
                <c:strRef>
                  <c:f>Dashboard_Daten!$K$49</c:f>
                  <c:strCache>
                    <c:ptCount val="1"/>
                    <c:pt idx="0">
                      <c:v>0</c:v>
                    </c:pt>
                  </c:strCache>
                </c:strRef>
              </c:tx>
              <c:dLblPos val="b"/>
              <c:showVal val="1"/>
            </c:dLbl>
            <c:dLbl>
              <c:idx val="8"/>
              <c:layout/>
              <c:tx>
                <c:strRef>
                  <c:f>Dashboard_Daten!$L$49</c:f>
                  <c:strCache>
                    <c:ptCount val="1"/>
                    <c:pt idx="0">
                      <c:v>0</c:v>
                    </c:pt>
                  </c:strCache>
                </c:strRef>
              </c:tx>
              <c:dLblPos val="b"/>
              <c:showVal val="1"/>
            </c:dLbl>
            <c:dLbl>
              <c:idx val="9"/>
              <c:layout/>
              <c:tx>
                <c:strRef>
                  <c:f>Dashboard_Daten!$M$49</c:f>
                  <c:strCache>
                    <c:ptCount val="1"/>
                    <c:pt idx="0">
                      <c:v>0</c:v>
                    </c:pt>
                  </c:strCache>
                </c:strRef>
              </c:tx>
              <c:dLblPos val="b"/>
              <c:showVal val="1"/>
            </c:dLbl>
            <c:txPr>
              <a:bodyPr/>
              <a:lstStyle/>
              <a:p>
                <a:pPr>
                  <a:defRPr sz="600" baseline="0">
                    <a:solidFill>
                      <a:srgbClr val="4A4A4A"/>
                    </a:solidFill>
                    <a:latin typeface="Arial"/>
                  </a:defRPr>
                </a:pPr>
                <a:endParaRPr lang="en-US"/>
              </a:p>
            </c:txPr>
            <c:dLblPos val="b"/>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Dashboard_Daten!$D$47:$M$47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20001"/>
        <c:axId val="50020002"/>
      </c:line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20002"/>
        <c:crosses val="autoZero"/>
        <c:auto val="1"/>
        <c:lblAlgn val="ctr"/>
        <c:lblOffset val="100"/>
        <c:tickLblSkip val="1"/>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Rückstand</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Dashboard_Daten!$D$50:$M$50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stacked"/>
        <c:ser>
          <c:idx val="0"/>
          <c:order val="0"/>
          <c:tx>
            <c:v>Eingänge 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Dashboard_Daten!$D$51:$M$51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Eingänge 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Dashboard_Daten!$D$54:$M$54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Eingänge 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Dashboard_Daten!$D$57:$M$57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Abgänge Gesundheit</c:v>
          </c:tx>
          <c:spPr>
            <a:solidFill>
              <a:srgbClr val="E3A6C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Dashboard_Daten!$D$53:$M$53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Abgänge Komposit</c:v>
          </c:tx>
          <c:spPr>
            <a:solidFill>
              <a:srgbClr val="9FD6DE"/>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Dashboard_Daten!$D$56:$M$56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Abgänge Leben</c:v>
          </c:tx>
          <c:spPr>
            <a:solidFill>
              <a:srgbClr val="AEB8D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Dashboard_Daten!$D$59:$M$59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6"/>
          <c:order val="6"/>
          <c:tx>
            <c:v>7O_ein</c:v>
          </c:tx>
          <c:spPr>
            <a:ln>
              <a:noFill/>
            </a:ln>
          </c:spPr>
          <c:marker>
            <c:symbol val="none"/>
          </c:marker>
          <c:dLbls>
            <c:dLbl>
              <c:idx val="0"/>
              <c:layout/>
              <c:tx>
                <c:strRef>
                  <c:f>Dashboard_Daten!$D$62</c:f>
                  <c:strCache>
                    <c:ptCount val="1"/>
                    <c:pt idx="0">
                      <c:v>0</c:v>
                    </c:pt>
                  </c:strCache>
                </c:strRef>
              </c:tx>
              <c:dLblPos val="t"/>
              <c:showVal val="1"/>
            </c:dLbl>
            <c:dLbl>
              <c:idx val="1"/>
              <c:layout/>
              <c:tx>
                <c:strRef>
                  <c:f>Dashboard_Daten!$E$62</c:f>
                  <c:strCache>
                    <c:ptCount val="1"/>
                    <c:pt idx="0">
                      <c:v>0</c:v>
                    </c:pt>
                  </c:strCache>
                </c:strRef>
              </c:tx>
              <c:dLblPos val="t"/>
              <c:showVal val="1"/>
            </c:dLbl>
            <c:dLbl>
              <c:idx val="2"/>
              <c:layout/>
              <c:tx>
                <c:strRef>
                  <c:f>Dashboard_Daten!$F$62</c:f>
                  <c:strCache>
                    <c:ptCount val="1"/>
                    <c:pt idx="0">
                      <c:v>0</c:v>
                    </c:pt>
                  </c:strCache>
                </c:strRef>
              </c:tx>
              <c:dLblPos val="t"/>
              <c:showVal val="1"/>
            </c:dLbl>
            <c:dLbl>
              <c:idx val="3"/>
              <c:layout/>
              <c:tx>
                <c:strRef>
                  <c:f>Dashboard_Daten!$G$62</c:f>
                  <c:strCache>
                    <c:ptCount val="1"/>
                    <c:pt idx="0">
                      <c:v>0</c:v>
                    </c:pt>
                  </c:strCache>
                </c:strRef>
              </c:tx>
              <c:dLblPos val="t"/>
              <c:showVal val="1"/>
            </c:dLbl>
            <c:dLbl>
              <c:idx val="4"/>
              <c:layout/>
              <c:tx>
                <c:strRef>
                  <c:f>Dashboard_Daten!$H$62</c:f>
                  <c:strCache>
                    <c:ptCount val="1"/>
                    <c:pt idx="0">
                      <c:v>0</c:v>
                    </c:pt>
                  </c:strCache>
                </c:strRef>
              </c:tx>
              <c:dLblPos val="t"/>
              <c:showVal val="1"/>
            </c:dLbl>
            <c:dLbl>
              <c:idx val="5"/>
              <c:layout/>
              <c:tx>
                <c:strRef>
                  <c:f>Dashboard_Daten!$I$62</c:f>
                  <c:strCache>
                    <c:ptCount val="1"/>
                    <c:pt idx="0">
                      <c:v>0</c:v>
                    </c:pt>
                  </c:strCache>
                </c:strRef>
              </c:tx>
              <c:dLblPos val="t"/>
              <c:showVal val="1"/>
            </c:dLbl>
            <c:dLbl>
              <c:idx val="6"/>
              <c:layout/>
              <c:tx>
                <c:strRef>
                  <c:f>Dashboard_Daten!$J$62</c:f>
                  <c:strCache>
                    <c:ptCount val="1"/>
                    <c:pt idx="0">
                      <c:v>0</c:v>
                    </c:pt>
                  </c:strCache>
                </c:strRef>
              </c:tx>
              <c:dLblPos val="t"/>
              <c:showVal val="1"/>
            </c:dLbl>
            <c:dLbl>
              <c:idx val="7"/>
              <c:layout/>
              <c:tx>
                <c:strRef>
                  <c:f>Dashboard_Daten!$K$62</c:f>
                  <c:strCache>
                    <c:ptCount val="1"/>
                    <c:pt idx="0">
                      <c:v>0</c:v>
                    </c:pt>
                  </c:strCache>
                </c:strRef>
              </c:tx>
              <c:dLblPos val="t"/>
              <c:showVal val="1"/>
            </c:dLbl>
            <c:dLbl>
              <c:idx val="8"/>
              <c:layout/>
              <c:tx>
                <c:strRef>
                  <c:f>Dashboard_Daten!$L$62</c:f>
                  <c:strCache>
                    <c:ptCount val="1"/>
                    <c:pt idx="0">
                      <c:v>0</c:v>
                    </c:pt>
                  </c:strCache>
                </c:strRef>
              </c:tx>
              <c:dLblPos val="t"/>
              <c:showVal val="1"/>
            </c:dLbl>
            <c:dLbl>
              <c:idx val="9"/>
              <c:layout/>
              <c:tx>
                <c:strRef>
                  <c:f>Dashboard_Daten!$M$62</c:f>
                  <c:strCache>
                    <c:ptCount val="1"/>
                    <c:pt idx="0">
                      <c:v>0</c:v>
                    </c:pt>
                  </c:strCache>
                </c:strRef>
              </c:tx>
              <c:dLblPos val="t"/>
              <c:showVal val="1"/>
            </c:dLbl>
            <c:txPr>
              <a:bodyPr/>
              <a:lstStyle/>
              <a:p>
                <a:pPr>
                  <a:defRPr sz="600" baseline="0">
                    <a:solidFill>
                      <a:srgbClr val="4A4A4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Dashboard_Daten!$D$60:$M$60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7O_aus</c:v>
          </c:tx>
          <c:spPr>
            <a:ln>
              <a:noFill/>
            </a:ln>
          </c:spPr>
          <c:marker>
            <c:symbol val="none"/>
          </c:marker>
          <c:dLbls>
            <c:dLbl>
              <c:idx val="0"/>
              <c:layout/>
              <c:tx>
                <c:strRef>
                  <c:f>Dashboard_Daten!$D$63</c:f>
                  <c:strCache>
                    <c:ptCount val="1"/>
                    <c:pt idx="0">
                      <c:v>0</c:v>
                    </c:pt>
                  </c:strCache>
                </c:strRef>
              </c:tx>
              <c:dLblPos val="b"/>
              <c:showVal val="1"/>
            </c:dLbl>
            <c:dLbl>
              <c:idx val="1"/>
              <c:layout/>
              <c:tx>
                <c:strRef>
                  <c:f>Dashboard_Daten!$E$63</c:f>
                  <c:strCache>
                    <c:ptCount val="1"/>
                    <c:pt idx="0">
                      <c:v>0</c:v>
                    </c:pt>
                  </c:strCache>
                </c:strRef>
              </c:tx>
              <c:dLblPos val="b"/>
              <c:showVal val="1"/>
            </c:dLbl>
            <c:dLbl>
              <c:idx val="2"/>
              <c:layout/>
              <c:tx>
                <c:strRef>
                  <c:f>Dashboard_Daten!$F$63</c:f>
                  <c:strCache>
                    <c:ptCount val="1"/>
                    <c:pt idx="0">
                      <c:v>0</c:v>
                    </c:pt>
                  </c:strCache>
                </c:strRef>
              </c:tx>
              <c:dLblPos val="b"/>
              <c:showVal val="1"/>
            </c:dLbl>
            <c:dLbl>
              <c:idx val="3"/>
              <c:layout/>
              <c:tx>
                <c:strRef>
                  <c:f>Dashboard_Daten!$G$63</c:f>
                  <c:strCache>
                    <c:ptCount val="1"/>
                    <c:pt idx="0">
                      <c:v>0</c:v>
                    </c:pt>
                  </c:strCache>
                </c:strRef>
              </c:tx>
              <c:dLblPos val="b"/>
              <c:showVal val="1"/>
            </c:dLbl>
            <c:dLbl>
              <c:idx val="4"/>
              <c:layout/>
              <c:tx>
                <c:strRef>
                  <c:f>Dashboard_Daten!$H$63</c:f>
                  <c:strCache>
                    <c:ptCount val="1"/>
                    <c:pt idx="0">
                      <c:v>0</c:v>
                    </c:pt>
                  </c:strCache>
                </c:strRef>
              </c:tx>
              <c:dLblPos val="b"/>
              <c:showVal val="1"/>
            </c:dLbl>
            <c:dLbl>
              <c:idx val="5"/>
              <c:layout/>
              <c:tx>
                <c:strRef>
                  <c:f>Dashboard_Daten!$I$63</c:f>
                  <c:strCache>
                    <c:ptCount val="1"/>
                    <c:pt idx="0">
                      <c:v>0</c:v>
                    </c:pt>
                  </c:strCache>
                </c:strRef>
              </c:tx>
              <c:dLblPos val="b"/>
              <c:showVal val="1"/>
            </c:dLbl>
            <c:dLbl>
              <c:idx val="6"/>
              <c:layout/>
              <c:tx>
                <c:strRef>
                  <c:f>Dashboard_Daten!$J$63</c:f>
                  <c:strCache>
                    <c:ptCount val="1"/>
                    <c:pt idx="0">
                      <c:v>0</c:v>
                    </c:pt>
                  </c:strCache>
                </c:strRef>
              </c:tx>
              <c:dLblPos val="b"/>
              <c:showVal val="1"/>
            </c:dLbl>
            <c:dLbl>
              <c:idx val="7"/>
              <c:layout/>
              <c:tx>
                <c:strRef>
                  <c:f>Dashboard_Daten!$K$63</c:f>
                  <c:strCache>
                    <c:ptCount val="1"/>
                    <c:pt idx="0">
                      <c:v>0</c:v>
                    </c:pt>
                  </c:strCache>
                </c:strRef>
              </c:tx>
              <c:dLblPos val="b"/>
              <c:showVal val="1"/>
            </c:dLbl>
            <c:dLbl>
              <c:idx val="8"/>
              <c:layout/>
              <c:tx>
                <c:strRef>
                  <c:f>Dashboard_Daten!$L$63</c:f>
                  <c:strCache>
                    <c:ptCount val="1"/>
                    <c:pt idx="0">
                      <c:v>0</c:v>
                    </c:pt>
                  </c:strCache>
                </c:strRef>
              </c:tx>
              <c:dLblPos val="b"/>
              <c:showVal val="1"/>
            </c:dLbl>
            <c:dLbl>
              <c:idx val="9"/>
              <c:layout/>
              <c:tx>
                <c:strRef>
                  <c:f>Dashboard_Daten!$M$63</c:f>
                  <c:strCache>
                    <c:ptCount val="1"/>
                    <c:pt idx="0">
                      <c:v>0</c:v>
                    </c:pt>
                  </c:strCache>
                </c:strRef>
              </c:tx>
              <c:dLblPos val="b"/>
              <c:showVal val="1"/>
            </c:dLbl>
            <c:txPr>
              <a:bodyPr/>
              <a:lstStyle/>
              <a:p>
                <a:pPr>
                  <a:defRPr sz="600" baseline="0">
                    <a:solidFill>
                      <a:srgbClr val="4A4A4A"/>
                    </a:solidFill>
                    <a:latin typeface="Arial"/>
                  </a:defRPr>
                </a:pPr>
                <a:endParaRPr lang="en-US"/>
              </a:p>
            </c:txPr>
            <c:dLblPos val="b"/>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Dashboard_Daten!$D$61:$M$61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40002"/>
        <c:crosses val="autoZero"/>
        <c:auto val="1"/>
        <c:lblAlgn val="ctr"/>
        <c:lblOffset val="100"/>
        <c:tickLblSkip val="1"/>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Arial"/>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Dashboard_Daten!$S$74:$X$74</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Dashboard_Daten!$S$77</c:f>
                  <c:strCache>
                    <c:ptCount val="1"/>
                    <c:pt idx="0">
                      <c:v>0</c:v>
                    </c:pt>
                  </c:strCache>
                </c:strRef>
              </c:tx>
              <c:dLblPos val="t"/>
              <c:showVal val="1"/>
            </c:dLbl>
            <c:dLbl>
              <c:idx val="1"/>
              <c:layout/>
              <c:tx>
                <c:strRef>
                  <c:f>Dashboard_Daten!$T$77</c:f>
                  <c:strCache>
                    <c:ptCount val="1"/>
                    <c:pt idx="0">
                      <c:v>0</c:v>
                    </c:pt>
                  </c:strCache>
                </c:strRef>
              </c:tx>
              <c:dLblPos val="t"/>
              <c:showVal val="1"/>
            </c:dLbl>
            <c:dLbl>
              <c:idx val="2"/>
              <c:layout/>
              <c:tx>
                <c:strRef>
                  <c:f>Dashboard_Daten!$U$77</c:f>
                  <c:strCache>
                    <c:ptCount val="1"/>
                    <c:pt idx="0">
                      <c:v>0</c:v>
                    </c:pt>
                  </c:strCache>
                </c:strRef>
              </c:tx>
              <c:dLblPos val="t"/>
              <c:showVal val="1"/>
            </c:dLbl>
            <c:dLbl>
              <c:idx val="3"/>
              <c:layout/>
              <c:tx>
                <c:strRef>
                  <c:f>Dashboard_Daten!$V$77</c:f>
                  <c:strCache>
                    <c:ptCount val="1"/>
                    <c:pt idx="0">
                      <c:v>0</c:v>
                    </c:pt>
                  </c:strCache>
                </c:strRef>
              </c:tx>
              <c:dLblPos val="t"/>
              <c:showVal val="1"/>
            </c:dLbl>
            <c:dLbl>
              <c:idx val="4"/>
              <c:layout/>
              <c:tx>
                <c:strRef>
                  <c:f>Dashboard_Daten!$W$77</c:f>
                  <c:strCache>
                    <c:ptCount val="1"/>
                    <c:pt idx="0">
                      <c:v>0</c:v>
                    </c:pt>
                  </c:strCache>
                </c:strRef>
              </c:tx>
              <c:dLblPos val="t"/>
              <c:showVal val="1"/>
            </c:dLbl>
            <c:dLbl>
              <c:idx val="5"/>
              <c:layout/>
              <c:tx>
                <c:strRef>
                  <c:f>Dashboard_Daten!$X$77</c:f>
                  <c:strCache>
                    <c:ptCount val="1"/>
                    <c:pt idx="0">
                      <c:v>0</c:v>
                    </c:pt>
                  </c:strCache>
                </c:strRef>
              </c:tx>
              <c:dLblPos val="t"/>
              <c:showVal val="1"/>
            </c:dLbl>
            <c:txPr>
              <a:bodyPr/>
              <a:lstStyle/>
              <a:p>
                <a:pPr>
                  <a:defRPr sz="650" b="1" baseline="0">
                    <a:solidFill>
                      <a:srgbClr val="009284"/>
                    </a:solidFill>
                    <a:latin typeface="Arial"/>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Dashboard_Daten!$S$74:$X$74</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Dashboard_Daten!$D$72:$M$72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Dashboard_Daten!$D$73</c:f>
                  <c:strCache>
                    <c:ptCount val="1"/>
                    <c:pt idx="0">
                      <c:v>0</c:v>
                    </c:pt>
                  </c:strCache>
                </c:strRef>
              </c:tx>
              <c:showVal val="1"/>
            </c:dLbl>
            <c:dLbl>
              <c:idx val="1"/>
              <c:layout/>
              <c:tx>
                <c:strRef>
                  <c:f>Dashboard_Daten!$E$73</c:f>
                  <c:strCache>
                    <c:ptCount val="1"/>
                    <c:pt idx="0">
                      <c:v>0</c:v>
                    </c:pt>
                  </c:strCache>
                </c:strRef>
              </c:tx>
              <c:showVal val="1"/>
            </c:dLbl>
            <c:dLbl>
              <c:idx val="2"/>
              <c:layout/>
              <c:tx>
                <c:strRef>
                  <c:f>Dashboard_Daten!$F$73</c:f>
                  <c:strCache>
                    <c:ptCount val="1"/>
                    <c:pt idx="0">
                      <c:v>0</c:v>
                    </c:pt>
                  </c:strCache>
                </c:strRef>
              </c:tx>
              <c:showVal val="1"/>
            </c:dLbl>
            <c:dLbl>
              <c:idx val="3"/>
              <c:layout/>
              <c:tx>
                <c:strRef>
                  <c:f>Dashboard_Daten!$G$73</c:f>
                  <c:strCache>
                    <c:ptCount val="1"/>
                    <c:pt idx="0">
                      <c:v>0</c:v>
                    </c:pt>
                  </c:strCache>
                </c:strRef>
              </c:tx>
              <c:showVal val="1"/>
            </c:dLbl>
            <c:dLbl>
              <c:idx val="4"/>
              <c:layout/>
              <c:tx>
                <c:strRef>
                  <c:f>Dashboard_Daten!$H$73</c:f>
                  <c:strCache>
                    <c:ptCount val="1"/>
                    <c:pt idx="0">
                      <c:v>0</c:v>
                    </c:pt>
                  </c:strCache>
                </c:strRef>
              </c:tx>
              <c:showVal val="1"/>
            </c:dLbl>
            <c:dLbl>
              <c:idx val="5"/>
              <c:layout/>
              <c:tx>
                <c:strRef>
                  <c:f>Dashboard_Daten!$I$73</c:f>
                  <c:strCache>
                    <c:ptCount val="1"/>
                    <c:pt idx="0">
                      <c:v>0</c:v>
                    </c:pt>
                  </c:strCache>
                </c:strRef>
              </c:tx>
              <c:showVal val="1"/>
            </c:dLbl>
            <c:dLbl>
              <c:idx val="6"/>
              <c:layout/>
              <c:tx>
                <c:strRef>
                  <c:f>Dashboard_Daten!$J$73</c:f>
                  <c:strCache>
                    <c:ptCount val="1"/>
                    <c:pt idx="0">
                      <c:v>0</c:v>
                    </c:pt>
                  </c:strCache>
                </c:strRef>
              </c:tx>
              <c:showVal val="1"/>
            </c:dLbl>
            <c:dLbl>
              <c:idx val="7"/>
              <c:layout/>
              <c:tx>
                <c:strRef>
                  <c:f>Dashboard_Daten!$K$73</c:f>
                  <c:strCache>
                    <c:ptCount val="1"/>
                    <c:pt idx="0">
                      <c:v>0</c:v>
                    </c:pt>
                  </c:strCache>
                </c:strRef>
              </c:tx>
              <c:showVal val="1"/>
            </c:dLbl>
            <c:dLbl>
              <c:idx val="8"/>
              <c:layout/>
              <c:tx>
                <c:strRef>
                  <c:f>Dashboard_Daten!$L$73</c:f>
                  <c:strCache>
                    <c:ptCount val="1"/>
                    <c:pt idx="0">
                      <c:v>0</c:v>
                    </c:pt>
                  </c:strCache>
                </c:strRef>
              </c:tx>
              <c:showVal val="1"/>
            </c:dLbl>
            <c:dLbl>
              <c:idx val="9"/>
              <c:layout/>
              <c:tx>
                <c:strRef>
                  <c:f>Dashboard_Daten!$M$73</c:f>
                  <c:strCache>
                    <c:ptCount val="1"/>
                    <c:pt idx="0">
                      <c:v>0</c:v>
                    </c:pt>
                  </c:strCache>
                </c:strRef>
              </c:tx>
              <c:showVal val="1"/>
            </c:dLbl>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Dashboard_Daten!$D$72:$M$72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Dashboard_Daten!$D$64:$M$64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Dashboard_Daten!$D$65:$M$65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Dashboard_Daten!$D$67</c:f>
                  <c:strCache>
                    <c:ptCount val="1"/>
                    <c:pt idx="0">
                      <c:v>0</c:v>
                    </c:pt>
                  </c:strCache>
                </c:strRef>
              </c:tx>
              <c:dLblPos val="t"/>
              <c:showVal val="1"/>
            </c:dLbl>
            <c:dLbl>
              <c:idx val="1"/>
              <c:layout/>
              <c:tx>
                <c:strRef>
                  <c:f>Dashboard_Daten!$E$67</c:f>
                  <c:strCache>
                    <c:ptCount val="1"/>
                    <c:pt idx="0">
                      <c:v>0</c:v>
                    </c:pt>
                  </c:strCache>
                </c:strRef>
              </c:tx>
              <c:dLblPos val="t"/>
              <c:showVal val="1"/>
            </c:dLbl>
            <c:dLbl>
              <c:idx val="2"/>
              <c:layout/>
              <c:tx>
                <c:strRef>
                  <c:f>Dashboard_Daten!$F$67</c:f>
                  <c:strCache>
                    <c:ptCount val="1"/>
                    <c:pt idx="0">
                      <c:v>0</c:v>
                    </c:pt>
                  </c:strCache>
                </c:strRef>
              </c:tx>
              <c:dLblPos val="t"/>
              <c:showVal val="1"/>
            </c:dLbl>
            <c:dLbl>
              <c:idx val="3"/>
              <c:layout/>
              <c:tx>
                <c:strRef>
                  <c:f>Dashboard_Daten!$G$67</c:f>
                  <c:strCache>
                    <c:ptCount val="1"/>
                    <c:pt idx="0">
                      <c:v>0</c:v>
                    </c:pt>
                  </c:strCache>
                </c:strRef>
              </c:tx>
              <c:dLblPos val="t"/>
              <c:showVal val="1"/>
            </c:dLbl>
            <c:dLbl>
              <c:idx val="4"/>
              <c:layout/>
              <c:tx>
                <c:strRef>
                  <c:f>Dashboard_Daten!$H$67</c:f>
                  <c:strCache>
                    <c:ptCount val="1"/>
                    <c:pt idx="0">
                      <c:v>0</c:v>
                    </c:pt>
                  </c:strCache>
                </c:strRef>
              </c:tx>
              <c:dLblPos val="t"/>
              <c:showVal val="1"/>
            </c:dLbl>
            <c:dLbl>
              <c:idx val="5"/>
              <c:layout/>
              <c:tx>
                <c:strRef>
                  <c:f>Dashboard_Daten!$I$67</c:f>
                  <c:strCache>
                    <c:ptCount val="1"/>
                    <c:pt idx="0">
                      <c:v>0</c:v>
                    </c:pt>
                  </c:strCache>
                </c:strRef>
              </c:tx>
              <c:dLblPos val="t"/>
              <c:showVal val="1"/>
            </c:dLbl>
            <c:dLbl>
              <c:idx val="6"/>
              <c:layout/>
              <c:tx>
                <c:strRef>
                  <c:f>Dashboard_Daten!$J$67</c:f>
                  <c:strCache>
                    <c:ptCount val="1"/>
                    <c:pt idx="0">
                      <c:v>0</c:v>
                    </c:pt>
                  </c:strCache>
                </c:strRef>
              </c:tx>
              <c:dLblPos val="t"/>
              <c:showVal val="1"/>
            </c:dLbl>
            <c:dLbl>
              <c:idx val="7"/>
              <c:layout/>
              <c:tx>
                <c:strRef>
                  <c:f>Dashboard_Daten!$K$67</c:f>
                  <c:strCache>
                    <c:ptCount val="1"/>
                    <c:pt idx="0">
                      <c:v>0</c:v>
                    </c:pt>
                  </c:strCache>
                </c:strRef>
              </c:tx>
              <c:dLblPos val="t"/>
              <c:showVal val="1"/>
            </c:dLbl>
            <c:dLbl>
              <c:idx val="8"/>
              <c:layout/>
              <c:tx>
                <c:strRef>
                  <c:f>Dashboard_Daten!$L$67</c:f>
                  <c:strCache>
                    <c:ptCount val="1"/>
                    <c:pt idx="0">
                      <c:v>0</c:v>
                    </c:pt>
                  </c:strCache>
                </c:strRef>
              </c:tx>
              <c:dLblPos val="t"/>
              <c:showVal val="1"/>
            </c:dLbl>
            <c:dLbl>
              <c:idx val="9"/>
              <c:layout/>
              <c:tx>
                <c:strRef>
                  <c:f>Dashboard_Daten!$M$67</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Dashboard_Daten!$D$66:$M$66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Dashboard_Daten!$D$69</c:f>
                  <c:strCache>
                    <c:ptCount val="1"/>
                    <c:pt idx="0">
                      <c:v>0</c:v>
                    </c:pt>
                  </c:strCache>
                </c:strRef>
              </c:tx>
              <c:dLblPos val="t"/>
              <c:showVal val="1"/>
            </c:dLbl>
            <c:dLbl>
              <c:idx val="1"/>
              <c:layout/>
              <c:tx>
                <c:strRef>
                  <c:f>Dashboard_Daten!$E$69</c:f>
                  <c:strCache>
                    <c:ptCount val="1"/>
                    <c:pt idx="0">
                      <c:v>0</c:v>
                    </c:pt>
                  </c:strCache>
                </c:strRef>
              </c:tx>
              <c:dLblPos val="t"/>
              <c:showVal val="1"/>
            </c:dLbl>
            <c:dLbl>
              <c:idx val="2"/>
              <c:layout/>
              <c:tx>
                <c:strRef>
                  <c:f>Dashboard_Daten!$F$69</c:f>
                  <c:strCache>
                    <c:ptCount val="1"/>
                    <c:pt idx="0">
                      <c:v>0</c:v>
                    </c:pt>
                  </c:strCache>
                </c:strRef>
              </c:tx>
              <c:dLblPos val="t"/>
              <c:showVal val="1"/>
            </c:dLbl>
            <c:dLbl>
              <c:idx val="3"/>
              <c:layout/>
              <c:tx>
                <c:strRef>
                  <c:f>Dashboard_Daten!$G$69</c:f>
                  <c:strCache>
                    <c:ptCount val="1"/>
                    <c:pt idx="0">
                      <c:v>0</c:v>
                    </c:pt>
                  </c:strCache>
                </c:strRef>
              </c:tx>
              <c:dLblPos val="t"/>
              <c:showVal val="1"/>
            </c:dLbl>
            <c:dLbl>
              <c:idx val="4"/>
              <c:layout/>
              <c:tx>
                <c:strRef>
                  <c:f>Dashboard_Daten!$H$69</c:f>
                  <c:strCache>
                    <c:ptCount val="1"/>
                    <c:pt idx="0">
                      <c:v>0</c:v>
                    </c:pt>
                  </c:strCache>
                </c:strRef>
              </c:tx>
              <c:dLblPos val="t"/>
              <c:showVal val="1"/>
            </c:dLbl>
            <c:dLbl>
              <c:idx val="5"/>
              <c:layout/>
              <c:tx>
                <c:strRef>
                  <c:f>Dashboard_Daten!$I$69</c:f>
                  <c:strCache>
                    <c:ptCount val="1"/>
                    <c:pt idx="0">
                      <c:v>0</c:v>
                    </c:pt>
                  </c:strCache>
                </c:strRef>
              </c:tx>
              <c:dLblPos val="t"/>
              <c:showVal val="1"/>
            </c:dLbl>
            <c:dLbl>
              <c:idx val="6"/>
              <c:layout/>
              <c:tx>
                <c:strRef>
                  <c:f>Dashboard_Daten!$J$69</c:f>
                  <c:strCache>
                    <c:ptCount val="1"/>
                    <c:pt idx="0">
                      <c:v>0</c:v>
                    </c:pt>
                  </c:strCache>
                </c:strRef>
              </c:tx>
              <c:dLblPos val="t"/>
              <c:showVal val="1"/>
            </c:dLbl>
            <c:dLbl>
              <c:idx val="7"/>
              <c:layout/>
              <c:tx>
                <c:strRef>
                  <c:f>Dashboard_Daten!$K$69</c:f>
                  <c:strCache>
                    <c:ptCount val="1"/>
                    <c:pt idx="0">
                      <c:v>0</c:v>
                    </c:pt>
                  </c:strCache>
                </c:strRef>
              </c:tx>
              <c:dLblPos val="t"/>
              <c:showVal val="1"/>
            </c:dLbl>
            <c:dLbl>
              <c:idx val="8"/>
              <c:layout/>
              <c:tx>
                <c:strRef>
                  <c:f>Dashboard_Daten!$L$69</c:f>
                  <c:strCache>
                    <c:ptCount val="1"/>
                    <c:pt idx="0">
                      <c:v>0</c:v>
                    </c:pt>
                  </c:strCache>
                </c:strRef>
              </c:tx>
              <c:dLblPos val="t"/>
              <c:showVal val="1"/>
            </c:dLbl>
            <c:dLbl>
              <c:idx val="9"/>
              <c:layout/>
              <c:tx>
                <c:strRef>
                  <c:f>Dashboard_Daten!$M$69</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Dashboard_Daten!$D$68:$M$68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Dashboard_Daten!$D$71</c:f>
                  <c:strCache>
                    <c:ptCount val="1"/>
                    <c:pt idx="0">
                      <c:v>0</c:v>
                    </c:pt>
                  </c:strCache>
                </c:strRef>
              </c:tx>
              <c:dLblPos val="t"/>
              <c:showVal val="1"/>
            </c:dLbl>
            <c:dLbl>
              <c:idx val="1"/>
              <c:layout/>
              <c:tx>
                <c:strRef>
                  <c:f>Dashboard_Daten!$E$71</c:f>
                  <c:strCache>
                    <c:ptCount val="1"/>
                    <c:pt idx="0">
                      <c:v>0</c:v>
                    </c:pt>
                  </c:strCache>
                </c:strRef>
              </c:tx>
              <c:dLblPos val="t"/>
              <c:showVal val="1"/>
            </c:dLbl>
            <c:dLbl>
              <c:idx val="2"/>
              <c:layout/>
              <c:tx>
                <c:strRef>
                  <c:f>Dashboard_Daten!$F$71</c:f>
                  <c:strCache>
                    <c:ptCount val="1"/>
                    <c:pt idx="0">
                      <c:v>0</c:v>
                    </c:pt>
                  </c:strCache>
                </c:strRef>
              </c:tx>
              <c:dLblPos val="t"/>
              <c:showVal val="1"/>
            </c:dLbl>
            <c:dLbl>
              <c:idx val="3"/>
              <c:layout/>
              <c:tx>
                <c:strRef>
                  <c:f>Dashboard_Daten!$G$71</c:f>
                  <c:strCache>
                    <c:ptCount val="1"/>
                    <c:pt idx="0">
                      <c:v>0</c:v>
                    </c:pt>
                  </c:strCache>
                </c:strRef>
              </c:tx>
              <c:dLblPos val="t"/>
              <c:showVal val="1"/>
            </c:dLbl>
            <c:dLbl>
              <c:idx val="4"/>
              <c:layout/>
              <c:tx>
                <c:strRef>
                  <c:f>Dashboard_Daten!$H$71</c:f>
                  <c:strCache>
                    <c:ptCount val="1"/>
                    <c:pt idx="0">
                      <c:v>0</c:v>
                    </c:pt>
                  </c:strCache>
                </c:strRef>
              </c:tx>
              <c:dLblPos val="t"/>
              <c:showVal val="1"/>
            </c:dLbl>
            <c:dLbl>
              <c:idx val="5"/>
              <c:layout/>
              <c:tx>
                <c:strRef>
                  <c:f>Dashboard_Daten!$I$71</c:f>
                  <c:strCache>
                    <c:ptCount val="1"/>
                    <c:pt idx="0">
                      <c:v>0</c:v>
                    </c:pt>
                  </c:strCache>
                </c:strRef>
              </c:tx>
              <c:dLblPos val="t"/>
              <c:showVal val="1"/>
            </c:dLbl>
            <c:dLbl>
              <c:idx val="6"/>
              <c:layout/>
              <c:tx>
                <c:strRef>
                  <c:f>Dashboard_Daten!$J$71</c:f>
                  <c:strCache>
                    <c:ptCount val="1"/>
                    <c:pt idx="0">
                      <c:v>0</c:v>
                    </c:pt>
                  </c:strCache>
                </c:strRef>
              </c:tx>
              <c:dLblPos val="t"/>
              <c:showVal val="1"/>
            </c:dLbl>
            <c:dLbl>
              <c:idx val="7"/>
              <c:layout/>
              <c:tx>
                <c:strRef>
                  <c:f>Dashboard_Daten!$K$71</c:f>
                  <c:strCache>
                    <c:ptCount val="1"/>
                    <c:pt idx="0">
                      <c:v>0</c:v>
                    </c:pt>
                  </c:strCache>
                </c:strRef>
              </c:tx>
              <c:dLblPos val="t"/>
              <c:showVal val="1"/>
            </c:dLbl>
            <c:dLbl>
              <c:idx val="8"/>
              <c:layout/>
              <c:tx>
                <c:strRef>
                  <c:f>Dashboard_Daten!$L$71</c:f>
                  <c:strCache>
                    <c:ptCount val="1"/>
                    <c:pt idx="0">
                      <c:v>0</c:v>
                    </c:pt>
                  </c:strCache>
                </c:strRef>
              </c:tx>
              <c:dLblPos val="t"/>
              <c:showVal val="1"/>
            </c:dLbl>
            <c:dLbl>
              <c:idx val="9"/>
              <c:layout/>
              <c:tx>
                <c:strRef>
                  <c:f>Dashboard_Daten!$M$71</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Dashboard_Daten!$D$70:$M$70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Dashboard_Daten!$S$80:$X$80</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Dashboard_Daten!$S$81:$X$81</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Aptos"/>
              <a:cs typeface="Apto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Aptos"/>
              <a:cs typeface="Apto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Arial"/>
              <a:cs typeface="Arial"/>
            </a:rPr>
            <a:t>Dashboard HR Sales</a:t>
          </a:fld>
          <a:endParaRPr lang="en-US" sz="3600" b="1">
            <a:solidFill>
              <a:srgbClr val="BF1528"/>
            </a:solidFill>
            <a:latin typeface="Arial"/>
            <a:cs typeface="Arial"/>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Arial"/>
              <a:cs typeface="Arial"/>
            </a:rPr>
            <a:t>Kennzahlen zur Stabilisierungsphase</a:t>
          </a:fld>
          <a:endParaRPr lang="en-US" sz="1800">
            <a:solidFill>
              <a:srgbClr val="BF1528"/>
            </a:solidFill>
            <a:latin typeface="Arial"/>
            <a:cs typeface="Arial"/>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Arial"/>
              <a:cs typeface="Arial"/>
            </a:rPr>
            <a:t>Stand: 02.10.2026</a:t>
          </a:fld>
          <a:endParaRPr lang="en-US" sz="1200">
            <a:solidFill>
              <a:srgbClr val="4A4A4A"/>
            </a:solidFill>
            <a:latin typeface="Arial"/>
            <a:cs typeface="Arial"/>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Arial"/>
              <a:cs typeface="Arial"/>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44</xdr:row>
      <xdr:rowOff>47625</xdr:rowOff>
    </xdr:to>
    <xdr:sp macro="" textlink="">
      <xdr:nvSpPr>
        <xdr:cNvPr id="15" name="DEKO_Panel"/>
        <xdr:cNvSpPr txBox="1"/>
      </xdr:nvSpPr>
      <xdr:spPr>
        <a:xfrm>
          <a:off x="8963025" y="685800"/>
          <a:ext cx="3457575" cy="7743825"/>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76200</xdr:colOff>
      <xdr:row>11</xdr:row>
      <xdr:rowOff>171450</xdr:rowOff>
    </xdr:to>
    <xdr:sp macro="" textlink="">
      <xdr:nvSpPr>
        <xdr:cNvPr id="23" name="K1_Kopf"/>
        <xdr:cNvSpPr txBox="1"/>
      </xdr:nvSpPr>
      <xdr:spPr>
        <a:xfrm>
          <a:off x="733425"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76200</xdr:colOff>
      <xdr:row>22</xdr:row>
      <xdr:rowOff>171450</xdr:rowOff>
    </xdr:to>
    <xdr:sp macro="" textlink="">
      <xdr:nvSpPr>
        <xdr:cNvPr id="26" name="K1_Grund"/>
        <xdr:cNvSpPr txBox="1"/>
      </xdr:nvSpPr>
      <xdr:spPr>
        <a:xfrm>
          <a:off x="733425"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10</xdr:row>
      <xdr:rowOff>104775</xdr:rowOff>
    </xdr:from>
    <xdr:to>
      <xdr:col>9</xdr:col>
      <xdr:colOff>180975</xdr:colOff>
      <xdr:row>11</xdr:row>
      <xdr:rowOff>171450</xdr:rowOff>
    </xdr:to>
    <xdr:sp macro="" textlink="">
      <xdr:nvSpPr>
        <xdr:cNvPr id="36" name="K2_Kopf"/>
        <xdr:cNvSpPr txBox="1"/>
      </xdr:nvSpPr>
      <xdr:spPr>
        <a:xfrm>
          <a:off x="3467100"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11</xdr:row>
      <xdr:rowOff>161925</xdr:rowOff>
    </xdr:from>
    <xdr:to>
      <xdr:col>9</xdr:col>
      <xdr:colOff>180975</xdr:colOff>
      <xdr:row>22</xdr:row>
      <xdr:rowOff>171450</xdr:rowOff>
    </xdr:to>
    <xdr:sp macro="" textlink="">
      <xdr:nvSpPr>
        <xdr:cNvPr id="39" name="K2_Grund"/>
        <xdr:cNvSpPr txBox="1"/>
      </xdr:nvSpPr>
      <xdr:spPr>
        <a:xfrm>
          <a:off x="346710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10</xdr:row>
      <xdr:rowOff>104775</xdr:rowOff>
    </xdr:from>
    <xdr:to>
      <xdr:col>13</xdr:col>
      <xdr:colOff>276225</xdr:colOff>
      <xdr:row>11</xdr:row>
      <xdr:rowOff>171450</xdr:rowOff>
    </xdr:to>
    <xdr:sp macro="" textlink="">
      <xdr:nvSpPr>
        <xdr:cNvPr id="49" name="K3_Kopf"/>
        <xdr:cNvSpPr txBox="1"/>
      </xdr:nvSpPr>
      <xdr:spPr>
        <a:xfrm>
          <a:off x="6191250"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11</xdr:row>
      <xdr:rowOff>161925</xdr:rowOff>
    </xdr:from>
    <xdr:to>
      <xdr:col>13</xdr:col>
      <xdr:colOff>276225</xdr:colOff>
      <xdr:row>22</xdr:row>
      <xdr:rowOff>171450</xdr:rowOff>
    </xdr:to>
    <xdr:sp macro="" textlink="">
      <xdr:nvSpPr>
        <xdr:cNvPr id="52" name="K3_Grund"/>
        <xdr:cNvSpPr txBox="1"/>
      </xdr:nvSpPr>
      <xdr:spPr>
        <a:xfrm>
          <a:off x="619125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4</xdr:col>
      <xdr:colOff>47625</xdr:colOff>
      <xdr:row>24</xdr:row>
      <xdr:rowOff>152400</xdr:rowOff>
    </xdr:to>
    <xdr:sp macro="" textlink="">
      <xdr:nvSpPr>
        <xdr:cNvPr id="58" name="K4_Kopf"/>
        <xdr:cNvSpPr txBox="1"/>
      </xdr:nvSpPr>
      <xdr:spPr>
        <a:xfrm>
          <a:off x="73342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4</xdr:col>
      <xdr:colOff>47625</xdr:colOff>
      <xdr:row>35</xdr:row>
      <xdr:rowOff>161925</xdr:rowOff>
    </xdr:to>
    <xdr:sp macro="" textlink="">
      <xdr:nvSpPr>
        <xdr:cNvPr id="61" name="K4_Grund"/>
        <xdr:cNvSpPr txBox="1"/>
      </xdr:nvSpPr>
      <xdr:spPr>
        <a:xfrm>
          <a:off x="73342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152400</xdr:colOff>
      <xdr:row>23</xdr:row>
      <xdr:rowOff>85725</xdr:rowOff>
    </xdr:from>
    <xdr:to>
      <xdr:col>7</xdr:col>
      <xdr:colOff>123825</xdr:colOff>
      <xdr:row>24</xdr:row>
      <xdr:rowOff>152400</xdr:rowOff>
    </xdr:to>
    <xdr:sp macro="" textlink="">
      <xdr:nvSpPr>
        <xdr:cNvPr id="72" name="K5_Kopf"/>
        <xdr:cNvSpPr txBox="1"/>
      </xdr:nvSpPr>
      <xdr:spPr>
        <a:xfrm>
          <a:off x="2781300"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152400</xdr:colOff>
      <xdr:row>24</xdr:row>
      <xdr:rowOff>152400</xdr:rowOff>
    </xdr:from>
    <xdr:to>
      <xdr:col>7</xdr:col>
      <xdr:colOff>123825</xdr:colOff>
      <xdr:row>35</xdr:row>
      <xdr:rowOff>161925</xdr:rowOff>
    </xdr:to>
    <xdr:sp macro="" textlink="">
      <xdr:nvSpPr>
        <xdr:cNvPr id="75" name="K5_Grund"/>
        <xdr:cNvSpPr txBox="1"/>
      </xdr:nvSpPr>
      <xdr:spPr>
        <a:xfrm>
          <a:off x="2781300"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23</xdr:row>
      <xdr:rowOff>85725</xdr:rowOff>
    </xdr:from>
    <xdr:to>
      <xdr:col>10</xdr:col>
      <xdr:colOff>200025</xdr:colOff>
      <xdr:row>24</xdr:row>
      <xdr:rowOff>152400</xdr:rowOff>
    </xdr:to>
    <xdr:sp macro="" textlink="">
      <xdr:nvSpPr>
        <xdr:cNvPr id="82" name="K6_Kopf"/>
        <xdr:cNvSpPr txBox="1"/>
      </xdr:nvSpPr>
      <xdr:spPr>
        <a:xfrm>
          <a:off x="482917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24</xdr:row>
      <xdr:rowOff>152400</xdr:rowOff>
    </xdr:from>
    <xdr:to>
      <xdr:col>10</xdr:col>
      <xdr:colOff>200025</xdr:colOff>
      <xdr:row>35</xdr:row>
      <xdr:rowOff>161925</xdr:rowOff>
    </xdr:to>
    <xdr:sp macro="" textlink="">
      <xdr:nvSpPr>
        <xdr:cNvPr id="85" name="K6_Grund"/>
        <xdr:cNvSpPr txBox="1"/>
      </xdr:nvSpPr>
      <xdr:spPr>
        <a:xfrm>
          <a:off x="482917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295275</xdr:colOff>
      <xdr:row>23</xdr:row>
      <xdr:rowOff>85725</xdr:rowOff>
    </xdr:from>
    <xdr:to>
      <xdr:col>13</xdr:col>
      <xdr:colOff>266700</xdr:colOff>
      <xdr:row>24</xdr:row>
      <xdr:rowOff>152400</xdr:rowOff>
    </xdr:to>
    <xdr:sp macro="" textlink="">
      <xdr:nvSpPr>
        <xdr:cNvPr id="88" name="K7_Kopf"/>
        <xdr:cNvSpPr txBox="1"/>
      </xdr:nvSpPr>
      <xdr:spPr>
        <a:xfrm>
          <a:off x="686752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295275</xdr:colOff>
      <xdr:row>24</xdr:row>
      <xdr:rowOff>152400</xdr:rowOff>
    </xdr:from>
    <xdr:to>
      <xdr:col>13</xdr:col>
      <xdr:colOff>266700</xdr:colOff>
      <xdr:row>35</xdr:row>
      <xdr:rowOff>161925</xdr:rowOff>
    </xdr:to>
    <xdr:sp macro="" textlink="">
      <xdr:nvSpPr>
        <xdr:cNvPr id="91" name="K7_Grund"/>
        <xdr:cNvSpPr txBox="1"/>
      </xdr:nvSpPr>
      <xdr:spPr>
        <a:xfrm>
          <a:off x="686752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14</xdr:row>
      <xdr:rowOff>9525</xdr:rowOff>
    </xdr:from>
    <xdr:to>
      <xdr:col>5</xdr:col>
      <xdr:colOff>47625</xdr:colOff>
      <xdr:row>17</xdr:row>
      <xdr:rowOff>66675</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17</xdr:row>
      <xdr:rowOff>76200</xdr:rowOff>
    </xdr:from>
    <xdr:to>
      <xdr:col>5</xdr:col>
      <xdr:colOff>47625</xdr:colOff>
      <xdr:row>22</xdr:row>
      <xdr:rowOff>152400</xdr:rowOff>
    </xdr:to>
    <xdr:graphicFrame macro="">
      <xdr:nvGraphicFramePr>
        <xdr:cNvPr id="4" name="K1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200025</xdr:colOff>
      <xdr:row>14</xdr:row>
      <xdr:rowOff>9525</xdr:rowOff>
    </xdr:from>
    <xdr:to>
      <xdr:col>9</xdr:col>
      <xdr:colOff>142875</xdr:colOff>
      <xdr:row>17</xdr:row>
      <xdr:rowOff>66675</xdr:rowOff>
    </xdr:to>
    <xdr:graphicFrame macro="">
      <xdr:nvGraphicFramePr>
        <xdr:cNvPr id="5"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200025</xdr:colOff>
      <xdr:row>17</xdr:row>
      <xdr:rowOff>76200</xdr:rowOff>
    </xdr:from>
    <xdr:to>
      <xdr:col>9</xdr:col>
      <xdr:colOff>142875</xdr:colOff>
      <xdr:row>22</xdr:row>
      <xdr:rowOff>152400</xdr:rowOff>
    </xdr:to>
    <xdr:graphicFrame macro="">
      <xdr:nvGraphicFramePr>
        <xdr:cNvPr id="6" name="K2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295275</xdr:colOff>
      <xdr:row>13</xdr:row>
      <xdr:rowOff>85725</xdr:rowOff>
    </xdr:from>
    <xdr:to>
      <xdr:col>13</xdr:col>
      <xdr:colOff>238125</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295275</xdr:colOff>
      <xdr:row>17</xdr:row>
      <xdr:rowOff>123825</xdr:rowOff>
    </xdr:from>
    <xdr:to>
      <xdr:col>13</xdr:col>
      <xdr:colOff>238125</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28575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28575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180975</xdr:colOff>
      <xdr:row>26</xdr:row>
      <xdr:rowOff>76200</xdr:rowOff>
    </xdr:from>
    <xdr:to>
      <xdr:col>7</xdr:col>
      <xdr:colOff>104775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247650</xdr:colOff>
      <xdr:row>25</xdr:row>
      <xdr:rowOff>152400</xdr:rowOff>
    </xdr:from>
    <xdr:to>
      <xdr:col>10</xdr:col>
      <xdr:colOff>171450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323850</xdr:colOff>
      <xdr:row>25</xdr:row>
      <xdr:rowOff>152400</xdr:rowOff>
    </xdr:from>
    <xdr:to>
      <xdr:col>13</xdr:col>
      <xdr:colOff>247650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Serviceparameter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5</xdr:col>
      <xdr:colOff>19050</xdr:colOff>
      <xdr:row>11</xdr:row>
      <xdr:rowOff>171450</xdr:rowOff>
    </xdr:to>
    <xdr:sp macro="" textlink="">
      <xdr:nvSpPr>
        <xdr:cNvPr id="24" name="K1_Titel"/>
        <xdr:cNvSpPr txBox="1"/>
      </xdr:nvSpPr>
      <xdr:spPr>
        <a:xfrm>
          <a:off x="10572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7"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561975</xdr:colOff>
      <xdr:row>12</xdr:row>
      <xdr:rowOff>133350</xdr:rowOff>
    </xdr:to>
    <xdr:sp macro="" textlink="">
      <xdr:nvSpPr>
        <xdr:cNvPr id="28" name="K1_Leg0"/>
        <xdr:cNvSpPr txBox="1"/>
      </xdr:nvSpPr>
      <xdr:spPr>
        <a:xfrm>
          <a:off x="981075" y="23145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Rückstand (Vorgänge)</a:t>
          </a:r>
        </a:p>
      </xdr:txBody>
    </xdr:sp>
    <xdr:clientData/>
  </xdr:twoCellAnchor>
  <xdr:twoCellAnchor editAs="absolute">
    <xdr:from>
      <xdr:col>2</xdr:col>
      <xdr:colOff>647700</xdr:colOff>
      <xdr:row>12</xdr:row>
      <xdr:rowOff>47625</xdr:rowOff>
    </xdr:from>
    <xdr:to>
      <xdr:col>3</xdr:col>
      <xdr:colOff>57150</xdr:colOff>
      <xdr:row>12</xdr:row>
      <xdr:rowOff>114300</xdr:rowOff>
    </xdr:to>
    <xdr:sp macro="" textlink="">
      <xdr:nvSpPr>
        <xdr:cNvPr id="29" name="K1_Leg1S"/>
        <xdr:cNvSpPr txBox="1"/>
      </xdr:nvSpPr>
      <xdr:spPr>
        <a:xfrm>
          <a:off x="1962150"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95250</xdr:colOff>
      <xdr:row>12</xdr:row>
      <xdr:rowOff>28575</xdr:rowOff>
    </xdr:from>
    <xdr:to>
      <xdr:col>3</xdr:col>
      <xdr:colOff>590550</xdr:colOff>
      <xdr:row>12</xdr:row>
      <xdr:rowOff>133350</xdr:rowOff>
    </xdr:to>
    <xdr:sp macro="" textlink="">
      <xdr:nvSpPr>
        <xdr:cNvPr id="30" name="K1_Leg1"/>
        <xdr:cNvSpPr txBox="1"/>
      </xdr:nvSpPr>
      <xdr:spPr>
        <a:xfrm>
          <a:off x="2066925"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4</xdr:col>
      <xdr:colOff>28575</xdr:colOff>
      <xdr:row>12</xdr:row>
      <xdr:rowOff>47625</xdr:rowOff>
    </xdr:from>
    <xdr:to>
      <xdr:col>4</xdr:col>
      <xdr:colOff>95250</xdr:colOff>
      <xdr:row>12</xdr:row>
      <xdr:rowOff>114300</xdr:rowOff>
    </xdr:to>
    <xdr:sp macro="" textlink="">
      <xdr:nvSpPr>
        <xdr:cNvPr id="31" name="K1_Leg2S"/>
        <xdr:cNvSpPr txBox="1"/>
      </xdr:nvSpPr>
      <xdr:spPr>
        <a:xfrm>
          <a:off x="265747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123825</xdr:colOff>
      <xdr:row>12</xdr:row>
      <xdr:rowOff>28575</xdr:rowOff>
    </xdr:from>
    <xdr:to>
      <xdr:col>4</xdr:col>
      <xdr:colOff>542925</xdr:colOff>
      <xdr:row>12</xdr:row>
      <xdr:rowOff>133350</xdr:rowOff>
    </xdr:to>
    <xdr:sp macro="" textlink="">
      <xdr:nvSpPr>
        <xdr:cNvPr id="32" name="K1_Leg2"/>
        <xdr:cNvSpPr txBox="1"/>
      </xdr:nvSpPr>
      <xdr:spPr>
        <a:xfrm>
          <a:off x="2752725"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1</xdr:col>
      <xdr:colOff>152400</xdr:colOff>
      <xdr:row>12</xdr:row>
      <xdr:rowOff>161925</xdr:rowOff>
    </xdr:from>
    <xdr:to>
      <xdr:col>1</xdr:col>
      <xdr:colOff>219075</xdr:colOff>
      <xdr:row>13</xdr:row>
      <xdr:rowOff>38100</xdr:rowOff>
    </xdr:to>
    <xdr:sp macro="" textlink="">
      <xdr:nvSpPr>
        <xdr:cNvPr id="33" name="K1_Leg3S"/>
        <xdr:cNvSpPr txBox="1"/>
      </xdr:nvSpPr>
      <xdr:spPr>
        <a:xfrm>
          <a:off x="809625" y="24479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142875</xdr:rowOff>
    </xdr:from>
    <xdr:to>
      <xdr:col>1</xdr:col>
      <xdr:colOff>561975</xdr:colOff>
      <xdr:row>13</xdr:row>
      <xdr:rowOff>57150</xdr:rowOff>
    </xdr:to>
    <xdr:sp macro="" textlink="">
      <xdr:nvSpPr>
        <xdr:cNvPr id="34" name="K1_Leg3"/>
        <xdr:cNvSpPr txBox="1"/>
      </xdr:nvSpPr>
      <xdr:spPr>
        <a:xfrm>
          <a:off x="914400" y="24288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1</xdr:col>
      <xdr:colOff>152400</xdr:colOff>
      <xdr:row>13</xdr:row>
      <xdr:rowOff>66675</xdr:rowOff>
    </xdr:from>
    <xdr:to>
      <xdr:col>4</xdr:col>
      <xdr:colOff>152400</xdr:colOff>
      <xdr:row>13</xdr:row>
      <xdr:rowOff>171450</xdr:rowOff>
    </xdr:to>
    <xdr:sp macro="" textlink="">
      <xdr:nvSpPr>
        <xdr:cNvPr id="35" name="K1_Leg4"/>
        <xdr:cNvSpPr txBox="1"/>
      </xdr:nvSpPr>
      <xdr:spPr>
        <a:xfrm>
          <a:off x="809625" y="2543175"/>
          <a:ext cx="1971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Säulen: Eingänge oben, Abgänge unten (heller Ton)</a:t>
          </a:r>
        </a:p>
      </xdr:txBody>
    </xdr:sp>
    <xdr:clientData/>
  </xdr:twoCellAnchor>
  <xdr:twoCellAnchor editAs="absolute">
    <xdr:from>
      <xdr:col>5</xdr:col>
      <xdr:colOff>495300</xdr:colOff>
      <xdr:row>10</xdr:row>
      <xdr:rowOff>104775</xdr:rowOff>
    </xdr:from>
    <xdr:to>
      <xdr:col>9</xdr:col>
      <xdr:colOff>114300</xdr:colOff>
      <xdr:row>11</xdr:row>
      <xdr:rowOff>171450</xdr:rowOff>
    </xdr:to>
    <xdr:sp macro="" textlink="">
      <xdr:nvSpPr>
        <xdr:cNvPr id="37" name="K2_Titel"/>
        <xdr:cNvSpPr txBox="1"/>
      </xdr:nvSpPr>
      <xdr:spPr>
        <a:xfrm>
          <a:off x="378142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OPAG</a:t>
          </a:r>
        </a:p>
      </xdr:txBody>
    </xdr:sp>
    <xdr:clientData/>
  </xdr:twoCellAnchor>
  <xdr:twoCellAnchor editAs="absolute">
    <xdr:from>
      <xdr:col>5</xdr:col>
      <xdr:colOff>257175</xdr:colOff>
      <xdr:row>10</xdr:row>
      <xdr:rowOff>142875</xdr:rowOff>
    </xdr:from>
    <xdr:to>
      <xdr:col>5</xdr:col>
      <xdr:colOff>419100</xdr:colOff>
      <xdr:row>11</xdr:row>
      <xdr:rowOff>114300</xdr:rowOff>
    </xdr:to>
    <xdr:sp macro="" textlink="">
      <xdr:nvSpPr>
        <xdr:cNvPr id="38" name="K2_Nr"/>
        <xdr:cNvSpPr txBox="1"/>
      </xdr:nvSpPr>
      <xdr:spPr>
        <a:xfrm>
          <a:off x="3543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2</a:t>
          </a:r>
        </a:p>
      </xdr:txBody>
    </xdr:sp>
    <xdr:clientData/>
  </xdr:twoCellAnchor>
  <xdr:twoCellAnchor editAs="absolute">
    <xdr:from>
      <xdr:col>5</xdr:col>
      <xdr:colOff>257175</xdr:colOff>
      <xdr:row>12</xdr:row>
      <xdr:rowOff>66675</xdr:rowOff>
    </xdr:from>
    <xdr:to>
      <xdr:col>5</xdr:col>
      <xdr:colOff>381000</xdr:colOff>
      <xdr:row>12</xdr:row>
      <xdr:rowOff>85725</xdr:rowOff>
    </xdr:to>
    <xdr:sp macro="" textlink="">
      <xdr:nvSpPr>
        <xdr:cNvPr id="40" name="K2_Leg0S"/>
        <xdr:cNvSpPr txBox="1"/>
      </xdr:nvSpPr>
      <xdr:spPr>
        <a:xfrm>
          <a:off x="3543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419100</xdr:colOff>
      <xdr:row>12</xdr:row>
      <xdr:rowOff>28575</xdr:rowOff>
    </xdr:from>
    <xdr:to>
      <xdr:col>7</xdr:col>
      <xdr:colOff>95250</xdr:colOff>
      <xdr:row>12</xdr:row>
      <xdr:rowOff>133350</xdr:rowOff>
    </xdr:to>
    <xdr:sp macro="" textlink="">
      <xdr:nvSpPr>
        <xdr:cNvPr id="41" name="K2_Leg0"/>
        <xdr:cNvSpPr txBox="1"/>
      </xdr:nvSpPr>
      <xdr:spPr>
        <a:xfrm>
          <a:off x="3705225" y="2314575"/>
          <a:ext cx="990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Rückstand (Arbeitsgüter)</a:t>
          </a:r>
        </a:p>
      </xdr:txBody>
    </xdr:sp>
    <xdr:clientData/>
  </xdr:twoCellAnchor>
  <xdr:twoCellAnchor editAs="absolute">
    <xdr:from>
      <xdr:col>7</xdr:col>
      <xdr:colOff>180975</xdr:colOff>
      <xdr:row>12</xdr:row>
      <xdr:rowOff>47625</xdr:rowOff>
    </xdr:from>
    <xdr:to>
      <xdr:col>7</xdr:col>
      <xdr:colOff>247650</xdr:colOff>
      <xdr:row>12</xdr:row>
      <xdr:rowOff>114300</xdr:rowOff>
    </xdr:to>
    <xdr:sp macro="" textlink="">
      <xdr:nvSpPr>
        <xdr:cNvPr id="42" name="K2_Leg1S"/>
        <xdr:cNvSpPr txBox="1"/>
      </xdr:nvSpPr>
      <xdr:spPr>
        <a:xfrm>
          <a:off x="4781550"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285750</xdr:colOff>
      <xdr:row>12</xdr:row>
      <xdr:rowOff>28575</xdr:rowOff>
    </xdr:from>
    <xdr:to>
      <xdr:col>8</xdr:col>
      <xdr:colOff>123825</xdr:colOff>
      <xdr:row>12</xdr:row>
      <xdr:rowOff>133350</xdr:rowOff>
    </xdr:to>
    <xdr:sp macro="" textlink="">
      <xdr:nvSpPr>
        <xdr:cNvPr id="43" name="K2_Leg1"/>
        <xdr:cNvSpPr txBox="1"/>
      </xdr:nvSpPr>
      <xdr:spPr>
        <a:xfrm>
          <a:off x="4886325"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8</xdr:col>
      <xdr:colOff>209550</xdr:colOff>
      <xdr:row>12</xdr:row>
      <xdr:rowOff>47625</xdr:rowOff>
    </xdr:from>
    <xdr:to>
      <xdr:col>8</xdr:col>
      <xdr:colOff>276225</xdr:colOff>
      <xdr:row>12</xdr:row>
      <xdr:rowOff>114300</xdr:rowOff>
    </xdr:to>
    <xdr:sp macro="" textlink="">
      <xdr:nvSpPr>
        <xdr:cNvPr id="44" name="K2_Leg2S"/>
        <xdr:cNvSpPr txBox="1"/>
      </xdr:nvSpPr>
      <xdr:spPr>
        <a:xfrm>
          <a:off x="5467350"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8</xdr:col>
      <xdr:colOff>314325</xdr:colOff>
      <xdr:row>12</xdr:row>
      <xdr:rowOff>28575</xdr:rowOff>
    </xdr:from>
    <xdr:to>
      <xdr:col>9</xdr:col>
      <xdr:colOff>76200</xdr:colOff>
      <xdr:row>12</xdr:row>
      <xdr:rowOff>133350</xdr:rowOff>
    </xdr:to>
    <xdr:sp macro="" textlink="">
      <xdr:nvSpPr>
        <xdr:cNvPr id="45" name="K2_Leg2"/>
        <xdr:cNvSpPr txBox="1"/>
      </xdr:nvSpPr>
      <xdr:spPr>
        <a:xfrm>
          <a:off x="5572125"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5</xdr:col>
      <xdr:colOff>257175</xdr:colOff>
      <xdr:row>12</xdr:row>
      <xdr:rowOff>161925</xdr:rowOff>
    </xdr:from>
    <xdr:to>
      <xdr:col>5</xdr:col>
      <xdr:colOff>323850</xdr:colOff>
      <xdr:row>13</xdr:row>
      <xdr:rowOff>38100</xdr:rowOff>
    </xdr:to>
    <xdr:sp macro="" textlink="">
      <xdr:nvSpPr>
        <xdr:cNvPr id="46" name="K2_Leg3S"/>
        <xdr:cNvSpPr txBox="1"/>
      </xdr:nvSpPr>
      <xdr:spPr>
        <a:xfrm>
          <a:off x="3543300" y="24479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12</xdr:row>
      <xdr:rowOff>142875</xdr:rowOff>
    </xdr:from>
    <xdr:to>
      <xdr:col>6</xdr:col>
      <xdr:colOff>0</xdr:colOff>
      <xdr:row>13</xdr:row>
      <xdr:rowOff>57150</xdr:rowOff>
    </xdr:to>
    <xdr:sp macro="" textlink="">
      <xdr:nvSpPr>
        <xdr:cNvPr id="47" name="K2_Leg3"/>
        <xdr:cNvSpPr txBox="1"/>
      </xdr:nvSpPr>
      <xdr:spPr>
        <a:xfrm>
          <a:off x="3638550" y="24288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5</xdr:col>
      <xdr:colOff>257175</xdr:colOff>
      <xdr:row>13</xdr:row>
      <xdr:rowOff>66675</xdr:rowOff>
    </xdr:from>
    <xdr:to>
      <xdr:col>8</xdr:col>
      <xdr:colOff>257175</xdr:colOff>
      <xdr:row>13</xdr:row>
      <xdr:rowOff>171450</xdr:rowOff>
    </xdr:to>
    <xdr:sp macro="" textlink="">
      <xdr:nvSpPr>
        <xdr:cNvPr id="48" name="K2_Leg4"/>
        <xdr:cNvSpPr txBox="1"/>
      </xdr:nvSpPr>
      <xdr:spPr>
        <a:xfrm>
          <a:off x="3543300" y="2543175"/>
          <a:ext cx="1971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Säulen: Eingänge oben, Abgänge unten (heller Ton)</a:t>
          </a:r>
        </a:p>
      </xdr:txBody>
    </xdr:sp>
    <xdr:clientData/>
  </xdr:twoCellAnchor>
  <xdr:twoCellAnchor editAs="absolute">
    <xdr:from>
      <xdr:col>9</xdr:col>
      <xdr:colOff>590550</xdr:colOff>
      <xdr:row>10</xdr:row>
      <xdr:rowOff>104775</xdr:rowOff>
    </xdr:from>
    <xdr:to>
      <xdr:col>13</xdr:col>
      <xdr:colOff>209550</xdr:colOff>
      <xdr:row>11</xdr:row>
      <xdr:rowOff>171450</xdr:rowOff>
    </xdr:to>
    <xdr:sp macro="" textlink="">
      <xdr:nvSpPr>
        <xdr:cNvPr id="50" name="K3_Titel"/>
        <xdr:cNvSpPr txBox="1"/>
      </xdr:nvSpPr>
      <xdr:spPr>
        <a:xfrm>
          <a:off x="65055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Neueinstellungen</a:t>
          </a:r>
        </a:p>
      </xdr:txBody>
    </xdr:sp>
    <xdr:clientData/>
  </xdr:twoCellAnchor>
  <xdr:twoCellAnchor editAs="absolute">
    <xdr:from>
      <xdr:col>9</xdr:col>
      <xdr:colOff>352425</xdr:colOff>
      <xdr:row>10</xdr:row>
      <xdr:rowOff>142875</xdr:rowOff>
    </xdr:from>
    <xdr:to>
      <xdr:col>9</xdr:col>
      <xdr:colOff>514350</xdr:colOff>
      <xdr:row>11</xdr:row>
      <xdr:rowOff>114300</xdr:rowOff>
    </xdr:to>
    <xdr:sp macro="" textlink="">
      <xdr:nvSpPr>
        <xdr:cNvPr id="51" name="K3_Nr"/>
        <xdr:cNvSpPr txBox="1"/>
      </xdr:nvSpPr>
      <xdr:spPr>
        <a:xfrm>
          <a:off x="626745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3</a:t>
          </a:r>
        </a:p>
      </xdr:txBody>
    </xdr:sp>
    <xdr:clientData/>
  </xdr:twoCellAnchor>
  <xdr:twoCellAnchor editAs="absolute">
    <xdr:from>
      <xdr:col>9</xdr:col>
      <xdr:colOff>352425</xdr:colOff>
      <xdr:row>12</xdr:row>
      <xdr:rowOff>66675</xdr:rowOff>
    </xdr:from>
    <xdr:to>
      <xdr:col>9</xdr:col>
      <xdr:colOff>476250</xdr:colOff>
      <xdr:row>12</xdr:row>
      <xdr:rowOff>85725</xdr:rowOff>
    </xdr:to>
    <xdr:sp macro="" textlink="">
      <xdr:nvSpPr>
        <xdr:cNvPr id="53" name="K3_Leg0S"/>
        <xdr:cNvSpPr txBox="1"/>
      </xdr:nvSpPr>
      <xdr:spPr>
        <a:xfrm>
          <a:off x="626745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514350</xdr:colOff>
      <xdr:row>12</xdr:row>
      <xdr:rowOff>28575</xdr:rowOff>
    </xdr:from>
    <xdr:to>
      <xdr:col>10</xdr:col>
      <xdr:colOff>457200</xdr:colOff>
      <xdr:row>12</xdr:row>
      <xdr:rowOff>133350</xdr:rowOff>
    </xdr:to>
    <xdr:sp macro="" textlink="">
      <xdr:nvSpPr>
        <xdr:cNvPr id="54" name="K3_Leg0"/>
        <xdr:cNvSpPr txBox="1"/>
      </xdr:nvSpPr>
      <xdr:spPr>
        <a:xfrm>
          <a:off x="6429375"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Eingang in HS</a:t>
          </a:r>
        </a:p>
      </xdr:txBody>
    </xdr:sp>
    <xdr:clientData/>
  </xdr:twoCellAnchor>
  <xdr:twoCellAnchor editAs="absolute">
    <xdr:from>
      <xdr:col>10</xdr:col>
      <xdr:colOff>552450</xdr:colOff>
      <xdr:row>12</xdr:row>
      <xdr:rowOff>47625</xdr:rowOff>
    </xdr:from>
    <xdr:to>
      <xdr:col>10</xdr:col>
      <xdr:colOff>619125</xdr:colOff>
      <xdr:row>12</xdr:row>
      <xdr:rowOff>114300</xdr:rowOff>
    </xdr:to>
    <xdr:sp macro="" textlink="">
      <xdr:nvSpPr>
        <xdr:cNvPr id="55" name="K3_Leg1S"/>
        <xdr:cNvSpPr txBox="1"/>
      </xdr:nvSpPr>
      <xdr:spPr>
        <a:xfrm>
          <a:off x="7124700"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11</xdr:col>
      <xdr:colOff>0</xdr:colOff>
      <xdr:row>12</xdr:row>
      <xdr:rowOff>28575</xdr:rowOff>
    </xdr:from>
    <xdr:to>
      <xdr:col>12</xdr:col>
      <xdr:colOff>323850</xdr:colOff>
      <xdr:row>12</xdr:row>
      <xdr:rowOff>133350</xdr:rowOff>
    </xdr:to>
    <xdr:sp macro="" textlink="">
      <xdr:nvSpPr>
        <xdr:cNvPr id="56" name="K3_Leg1"/>
        <xdr:cNvSpPr txBox="1"/>
      </xdr:nvSpPr>
      <xdr:spPr>
        <a:xfrm>
          <a:off x="722947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Verpflichtungen je Monat</a:t>
          </a:r>
        </a:p>
      </xdr:txBody>
    </xdr:sp>
    <xdr:clientData/>
  </xdr:twoCellAnchor>
  <xdr:twoCellAnchor editAs="absolute">
    <xdr:from>
      <xdr:col>9</xdr:col>
      <xdr:colOff>352425</xdr:colOff>
      <xdr:row>12</xdr:row>
      <xdr:rowOff>142875</xdr:rowOff>
    </xdr:from>
    <xdr:to>
      <xdr:col>12</xdr:col>
      <xdr:colOff>476250</xdr:colOff>
      <xdr:row>13</xdr:row>
      <xdr:rowOff>57150</xdr:rowOff>
    </xdr:to>
    <xdr:sp macro="" textlink="">
      <xdr:nvSpPr>
        <xdr:cNvPr id="57" name="K3_Leg2"/>
        <xdr:cNvSpPr txBox="1"/>
      </xdr:nvSpPr>
      <xdr:spPr>
        <a:xfrm>
          <a:off x="626745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Prozent über der Säule = Erledigungsquote fristgerecht</a:t>
          </a:r>
        </a:p>
      </xdr:txBody>
    </xdr:sp>
    <xdr:clientData/>
  </xdr:twoCellAnchor>
  <xdr:twoCellAnchor editAs="absolute">
    <xdr:from>
      <xdr:col>1</xdr:col>
      <xdr:colOff>400050</xdr:colOff>
      <xdr:row>23</xdr:row>
      <xdr:rowOff>85725</xdr:rowOff>
    </xdr:from>
    <xdr:to>
      <xdr:col>3</xdr:col>
      <xdr:colOff>647700</xdr:colOff>
      <xdr:row>24</xdr:row>
      <xdr:rowOff>152400</xdr:rowOff>
    </xdr:to>
    <xdr:sp macro="" textlink="">
      <xdr:nvSpPr>
        <xdr:cNvPr id="59" name="K4_Titel"/>
        <xdr:cNvSpPr txBox="1"/>
      </xdr:nvSpPr>
      <xdr:spPr>
        <a:xfrm>
          <a:off x="105727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60"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62" name="K4_Leg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63" name="K4_Leg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64" name="K4_Leg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65" name="K4_Leg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66" name="K4_Leg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67" name="K4_Leg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68" name="K4_Leg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69" name="K4_Leg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70" name="K4_Leg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71" name="K4_Leg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4</xdr:col>
      <xdr:colOff>466725</xdr:colOff>
      <xdr:row>23</xdr:row>
      <xdr:rowOff>85725</xdr:rowOff>
    </xdr:from>
    <xdr:to>
      <xdr:col>7</xdr:col>
      <xdr:colOff>57150</xdr:colOff>
      <xdr:row>24</xdr:row>
      <xdr:rowOff>152400</xdr:rowOff>
    </xdr:to>
    <xdr:sp macro="" textlink="">
      <xdr:nvSpPr>
        <xdr:cNvPr id="73" name="K5_Titel"/>
        <xdr:cNvSpPr txBox="1"/>
      </xdr:nvSpPr>
      <xdr:spPr>
        <a:xfrm>
          <a:off x="309562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Makler</a:t>
          </a:r>
        </a:p>
      </xdr:txBody>
    </xdr:sp>
    <xdr:clientData/>
  </xdr:twoCellAnchor>
  <xdr:twoCellAnchor editAs="absolute">
    <xdr:from>
      <xdr:col>4</xdr:col>
      <xdr:colOff>228600</xdr:colOff>
      <xdr:row>23</xdr:row>
      <xdr:rowOff>133350</xdr:rowOff>
    </xdr:from>
    <xdr:to>
      <xdr:col>4</xdr:col>
      <xdr:colOff>390525</xdr:colOff>
      <xdr:row>24</xdr:row>
      <xdr:rowOff>104775</xdr:rowOff>
    </xdr:to>
    <xdr:sp macro="" textlink="">
      <xdr:nvSpPr>
        <xdr:cNvPr id="74" name="K5_Nr"/>
        <xdr:cNvSpPr txBox="1"/>
      </xdr:nvSpPr>
      <xdr:spPr>
        <a:xfrm>
          <a:off x="28575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5</a:t>
          </a:r>
        </a:p>
      </xdr:txBody>
    </xdr:sp>
    <xdr:clientData/>
  </xdr:twoCellAnchor>
  <xdr:twoCellAnchor editAs="absolute">
    <xdr:from>
      <xdr:col>4</xdr:col>
      <xdr:colOff>228600</xdr:colOff>
      <xdr:row>25</xdr:row>
      <xdr:rowOff>57150</xdr:rowOff>
    </xdr:from>
    <xdr:to>
      <xdr:col>4</xdr:col>
      <xdr:colOff>352425</xdr:colOff>
      <xdr:row>25</xdr:row>
      <xdr:rowOff>76200</xdr:rowOff>
    </xdr:to>
    <xdr:sp macro="" textlink="">
      <xdr:nvSpPr>
        <xdr:cNvPr id="76" name="K5_Leg0S"/>
        <xdr:cNvSpPr txBox="1"/>
      </xdr:nvSpPr>
      <xdr:spPr>
        <a:xfrm>
          <a:off x="285750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390525</xdr:colOff>
      <xdr:row>25</xdr:row>
      <xdr:rowOff>9525</xdr:rowOff>
    </xdr:from>
    <xdr:to>
      <xdr:col>5</xdr:col>
      <xdr:colOff>571500</xdr:colOff>
      <xdr:row>25</xdr:row>
      <xdr:rowOff>114300</xdr:rowOff>
    </xdr:to>
    <xdr:sp macro="" textlink="">
      <xdr:nvSpPr>
        <xdr:cNvPr id="77" name="K5_Leg0"/>
        <xdr:cNvSpPr txBox="1"/>
      </xdr:nvSpPr>
      <xdr:spPr>
        <a:xfrm>
          <a:off x="301942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HS</a:t>
          </a:r>
        </a:p>
      </xdr:txBody>
    </xdr:sp>
    <xdr:clientData/>
  </xdr:twoCellAnchor>
  <xdr:twoCellAnchor editAs="absolute">
    <xdr:from>
      <xdr:col>4</xdr:col>
      <xdr:colOff>228600</xdr:colOff>
      <xdr:row>25</xdr:row>
      <xdr:rowOff>171450</xdr:rowOff>
    </xdr:from>
    <xdr:to>
      <xdr:col>4</xdr:col>
      <xdr:colOff>266700</xdr:colOff>
      <xdr:row>26</xdr:row>
      <xdr:rowOff>0</xdr:rowOff>
    </xdr:to>
    <xdr:sp macro="" textlink="">
      <xdr:nvSpPr>
        <xdr:cNvPr id="78" name="K5_Leg1S0"/>
        <xdr:cNvSpPr txBox="1"/>
      </xdr:nvSpPr>
      <xdr:spPr>
        <a:xfrm>
          <a:off x="28575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276225</xdr:colOff>
      <xdr:row>25</xdr:row>
      <xdr:rowOff>171450</xdr:rowOff>
    </xdr:from>
    <xdr:to>
      <xdr:col>4</xdr:col>
      <xdr:colOff>314325</xdr:colOff>
      <xdr:row>26</xdr:row>
      <xdr:rowOff>0</xdr:rowOff>
    </xdr:to>
    <xdr:sp macro="" textlink="">
      <xdr:nvSpPr>
        <xdr:cNvPr id="79" name="K5_Leg1S1"/>
        <xdr:cNvSpPr txBox="1"/>
      </xdr:nvSpPr>
      <xdr:spPr>
        <a:xfrm>
          <a:off x="290512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323850</xdr:colOff>
      <xdr:row>25</xdr:row>
      <xdr:rowOff>171450</xdr:rowOff>
    </xdr:from>
    <xdr:to>
      <xdr:col>4</xdr:col>
      <xdr:colOff>361950</xdr:colOff>
      <xdr:row>26</xdr:row>
      <xdr:rowOff>0</xdr:rowOff>
    </xdr:to>
    <xdr:sp macro="" textlink="">
      <xdr:nvSpPr>
        <xdr:cNvPr id="80" name="K5_Leg1S2"/>
        <xdr:cNvSpPr txBox="1"/>
      </xdr:nvSpPr>
      <xdr:spPr>
        <a:xfrm>
          <a:off x="29527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390525</xdr:colOff>
      <xdr:row>25</xdr:row>
      <xdr:rowOff>123825</xdr:rowOff>
    </xdr:from>
    <xdr:to>
      <xdr:col>6</xdr:col>
      <xdr:colOff>38100</xdr:colOff>
      <xdr:row>26</xdr:row>
      <xdr:rowOff>38100</xdr:rowOff>
    </xdr:to>
    <xdr:sp macro="" textlink="">
      <xdr:nvSpPr>
        <xdr:cNvPr id="81" name="K5_Leg1"/>
        <xdr:cNvSpPr txBox="1"/>
      </xdr:nvSpPr>
      <xdr:spPr>
        <a:xfrm>
          <a:off x="301942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 Vorgänge)</a:t>
          </a:r>
        </a:p>
      </xdr:txBody>
    </xdr:sp>
    <xdr:clientData/>
  </xdr:twoCellAnchor>
  <xdr:twoCellAnchor editAs="absolute">
    <xdr:from>
      <xdr:col>7</xdr:col>
      <xdr:colOff>542925</xdr:colOff>
      <xdr:row>23</xdr:row>
      <xdr:rowOff>85725</xdr:rowOff>
    </xdr:from>
    <xdr:to>
      <xdr:col>10</xdr:col>
      <xdr:colOff>133350</xdr:colOff>
      <xdr:row>24</xdr:row>
      <xdr:rowOff>152400</xdr:rowOff>
    </xdr:to>
    <xdr:sp macro="" textlink="">
      <xdr:nvSpPr>
        <xdr:cNvPr id="83" name="K6_Titel"/>
        <xdr:cNvSpPr txBox="1"/>
      </xdr:nvSpPr>
      <xdr:spPr>
        <a:xfrm>
          <a:off x="5143500"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Buchauszug</a:t>
          </a:r>
        </a:p>
      </xdr:txBody>
    </xdr:sp>
    <xdr:clientData/>
  </xdr:twoCellAnchor>
  <xdr:twoCellAnchor editAs="absolute">
    <xdr:from>
      <xdr:col>7</xdr:col>
      <xdr:colOff>304800</xdr:colOff>
      <xdr:row>23</xdr:row>
      <xdr:rowOff>133350</xdr:rowOff>
    </xdr:from>
    <xdr:to>
      <xdr:col>7</xdr:col>
      <xdr:colOff>466725</xdr:colOff>
      <xdr:row>24</xdr:row>
      <xdr:rowOff>104775</xdr:rowOff>
    </xdr:to>
    <xdr:sp macro="" textlink="">
      <xdr:nvSpPr>
        <xdr:cNvPr id="84" name="K6_Nr"/>
        <xdr:cNvSpPr txBox="1"/>
      </xdr:nvSpPr>
      <xdr:spPr>
        <a:xfrm>
          <a:off x="49053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6</a:t>
          </a:r>
        </a:p>
      </xdr:txBody>
    </xdr:sp>
    <xdr:clientData/>
  </xdr:twoCellAnchor>
  <xdr:twoCellAnchor editAs="absolute">
    <xdr:from>
      <xdr:col>7</xdr:col>
      <xdr:colOff>304800</xdr:colOff>
      <xdr:row>25</xdr:row>
      <xdr:rowOff>57150</xdr:rowOff>
    </xdr:from>
    <xdr:to>
      <xdr:col>7</xdr:col>
      <xdr:colOff>428625</xdr:colOff>
      <xdr:row>25</xdr:row>
      <xdr:rowOff>76200</xdr:rowOff>
    </xdr:to>
    <xdr:sp macro="" textlink="">
      <xdr:nvSpPr>
        <xdr:cNvPr id="86" name="K6_Leg0S"/>
        <xdr:cNvSpPr txBox="1"/>
      </xdr:nvSpPr>
      <xdr:spPr>
        <a:xfrm>
          <a:off x="49053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25</xdr:row>
      <xdr:rowOff>9525</xdr:rowOff>
    </xdr:from>
    <xdr:to>
      <xdr:col>8</xdr:col>
      <xdr:colOff>504825</xdr:colOff>
      <xdr:row>25</xdr:row>
      <xdr:rowOff>114300</xdr:rowOff>
    </xdr:to>
    <xdr:sp macro="" textlink="">
      <xdr:nvSpPr>
        <xdr:cNvPr id="87" name="K6_Leg0"/>
        <xdr:cNvSpPr txBox="1"/>
      </xdr:nvSpPr>
      <xdr:spPr>
        <a:xfrm>
          <a:off x="50673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10</xdr:col>
      <xdr:colOff>619125</xdr:colOff>
      <xdr:row>23</xdr:row>
      <xdr:rowOff>85725</xdr:rowOff>
    </xdr:from>
    <xdr:to>
      <xdr:col>13</xdr:col>
      <xdr:colOff>209550</xdr:colOff>
      <xdr:row>24</xdr:row>
      <xdr:rowOff>152400</xdr:rowOff>
    </xdr:to>
    <xdr:sp macro="" textlink="">
      <xdr:nvSpPr>
        <xdr:cNvPr id="89" name="K7_Titel"/>
        <xdr:cNvSpPr txBox="1"/>
      </xdr:nvSpPr>
      <xdr:spPr>
        <a:xfrm>
          <a:off x="719137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Ausgleichsanspruch</a:t>
          </a:r>
        </a:p>
      </xdr:txBody>
    </xdr:sp>
    <xdr:clientData/>
  </xdr:twoCellAnchor>
  <xdr:twoCellAnchor editAs="absolute">
    <xdr:from>
      <xdr:col>10</xdr:col>
      <xdr:colOff>371475</xdr:colOff>
      <xdr:row>23</xdr:row>
      <xdr:rowOff>133350</xdr:rowOff>
    </xdr:from>
    <xdr:to>
      <xdr:col>10</xdr:col>
      <xdr:colOff>533400</xdr:colOff>
      <xdr:row>24</xdr:row>
      <xdr:rowOff>104775</xdr:rowOff>
    </xdr:to>
    <xdr:sp macro="" textlink="">
      <xdr:nvSpPr>
        <xdr:cNvPr id="90" name="K7_Nr"/>
        <xdr:cNvSpPr txBox="1"/>
      </xdr:nvSpPr>
      <xdr:spPr>
        <a:xfrm>
          <a:off x="6943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7</a:t>
          </a:r>
        </a:p>
      </xdr:txBody>
    </xdr:sp>
    <xdr:clientData/>
  </xdr:twoCellAnchor>
  <xdr:twoCellAnchor editAs="absolute">
    <xdr:from>
      <xdr:col>10</xdr:col>
      <xdr:colOff>371475</xdr:colOff>
      <xdr:row>25</xdr:row>
      <xdr:rowOff>57150</xdr:rowOff>
    </xdr:from>
    <xdr:to>
      <xdr:col>10</xdr:col>
      <xdr:colOff>495300</xdr:colOff>
      <xdr:row>25</xdr:row>
      <xdr:rowOff>76200</xdr:rowOff>
    </xdr:to>
    <xdr:sp macro="" textlink="">
      <xdr:nvSpPr>
        <xdr:cNvPr id="92" name="K7_Leg0S"/>
        <xdr:cNvSpPr txBox="1"/>
      </xdr:nvSpPr>
      <xdr:spPr>
        <a:xfrm>
          <a:off x="69437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542925</xdr:colOff>
      <xdr:row>25</xdr:row>
      <xdr:rowOff>9525</xdr:rowOff>
    </xdr:from>
    <xdr:to>
      <xdr:col>11</xdr:col>
      <xdr:colOff>581025</xdr:colOff>
      <xdr:row>25</xdr:row>
      <xdr:rowOff>114300</xdr:rowOff>
    </xdr:to>
    <xdr:sp macro="" textlink="">
      <xdr:nvSpPr>
        <xdr:cNvPr id="93" name="K7_Leg0"/>
        <xdr:cNvSpPr txBox="1"/>
      </xdr:nvSpPr>
      <xdr:spPr>
        <a:xfrm>
          <a:off x="71151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9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9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9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9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00" b="1">
              <a:solidFill>
                <a:srgbClr val="1A1A1A"/>
              </a:solidFill>
              <a:latin typeface="Arial"/>
              <a:cs typeface="Arial"/>
            </a:rPr>
            <a:t>Bestandsübertragung Makler</a:t>
          </a:r>
        </a:p>
      </xdr:txBody>
    </xdr:sp>
    <xdr:clientData/>
  </xdr:twoCellAnchor>
  <xdr:twoCellAnchor editAs="absolute">
    <xdr:from>
      <xdr:col>14</xdr:col>
      <xdr:colOff>247650</xdr:colOff>
      <xdr:row>12</xdr:row>
      <xdr:rowOff>85725</xdr:rowOff>
    </xdr:from>
    <xdr:to>
      <xdr:col>18</xdr:col>
      <xdr:colOff>390525</xdr:colOff>
      <xdr:row>21</xdr:row>
      <xdr:rowOff>95250</xdr:rowOff>
    </xdr:to>
    <xdr:sp macro="" textlink="">
      <xdr:nvSpPr>
        <xdr:cNvPr id="98" name="KOM_0_Text"/>
        <xdr:cNvSpPr txBox="1"/>
      </xdr:nvSpPr>
      <xdr:spPr>
        <a:xfrm>
          <a:off x="9448800" y="2371725"/>
          <a:ext cx="2771775" cy="172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650">
              <a:solidFill>
                <a:srgbClr val="4A4A4A"/>
              </a:solidFill>
              <a:latin typeface="Arial"/>
              <a:cs typeface="Arial"/>
            </a:rPr>
            <a:t>Mit -0,7 T im Vergleich zur Vorwoche sind die offenen Makler BÜ Vorgänge leicht gestiegen. Die Gründe für die weiterhin hohe Anzahl von offnen Vorgängen sind im Wesentlichen folgende:</a:t>
          </a:r>
        </a:p>
        <a:p>
          <a:pPr marL="228600" indent="-101600">
            <a:spcAft>
              <a:spcPts val="100"/>
            </a:spcAft>
            <a:buFont typeface="Arial"/>
            <a:buChar char="–"/>
          </a:pPr>
          <a:r>
            <a:rPr lang="de-DE" sz="650">
              <a:solidFill>
                <a:srgbClr val="4A4A4A"/>
              </a:solidFill>
              <a:latin typeface="Arial"/>
              <a:cs typeface="Arial"/>
            </a:rPr>
            <a:t>reduzierte Bearbeitungskapazitäten (insg. 4 MAK) durch parallele Projektarbeit (Makler meets KI, Buchauszug) und 3 AU-Fälle</a:t>
          </a:r>
        </a:p>
        <a:p>
          <a:pPr marL="228600" indent="-101600">
            <a:spcAft>
              <a:spcPts val="100"/>
            </a:spcAft>
            <a:buFont typeface="Arial"/>
            <a:buChar char="–"/>
          </a:pPr>
          <a:r>
            <a:rPr lang="de-DE" sz="650">
              <a:solidFill>
                <a:srgbClr val="4A4A4A"/>
              </a:solidFill>
              <a:latin typeface="Arial"/>
              <a:cs typeface="Arial"/>
            </a:rPr>
            <a:t>erhöhter Eingang von Erinnerungsmails, die offenen Vorgänge in Summe erhöhen</a:t>
          </a:r>
        </a:p>
        <a:p>
          <a:pPr marL="228600" indent="-101600">
            <a:spcAft>
              <a:spcPts val="100"/>
            </a:spcAft>
            <a:buFont typeface="Arial"/>
            <a:buChar char="–"/>
          </a:pPr>
          <a:r>
            <a:rPr lang="de-DE" sz="650">
              <a:solidFill>
                <a:srgbClr val="4A4A4A"/>
              </a:solidFill>
              <a:latin typeface="Arial"/>
              <a:cs typeface="Arial"/>
            </a:rPr>
            <a:t>technischer Fehler bei der Erfassung von KV Makler BÜ, führt zur Nachbuchung von 900 offen Positionen</a:t>
          </a:r>
        </a:p>
        <a:p>
          <a:pPr marL="228600" indent="-101600">
            <a:spcAft>
              <a:spcPts val="100"/>
            </a:spcAft>
            <a:buFont typeface="Arial"/>
            <a:buChar char="–"/>
          </a:pPr>
          <a:r>
            <a:rPr lang="de-DE" sz="650">
              <a:solidFill>
                <a:srgbClr val="4A4A4A"/>
              </a:solidFill>
              <a:latin typeface="Arial"/>
              <a:cs typeface="Arial"/>
            </a:rPr>
            <a:t>weitere technische Effekte führen ebenfalls zu einer doppelten Zählung im Emaileingang</a:t>
          </a:r>
        </a:p>
        <a:p>
          <a:pPr marL="101600" indent="-101600">
            <a:spcAft>
              <a:spcPts val="100"/>
            </a:spcAft>
            <a:buFont typeface="Arial"/>
            <a:buChar char="•"/>
          </a:pPr>
          <a:r>
            <a:rPr lang="de-DE" sz="650">
              <a:solidFill>
                <a:srgbClr val="4A4A4A"/>
              </a:solidFill>
              <a:latin typeface="Arial"/>
              <a:cs typeface="Arial"/>
            </a:rPr>
            <a:t>Im Ergebnis führte dieser technische Fehler dazu, dass das ausgewiesene Bruttoarbeitsgut ~ 2000 Vorgänge höher liegt als der eigentliche Netto-Rückstand</a:t>
          </a:r>
        </a:p>
        <a:p>
          <a:pPr marL="101600" indent="-101600">
            <a:spcAft>
              <a:spcPts val="100"/>
            </a:spcAft>
            <a:buFont typeface="Arial"/>
            <a:buChar char="•"/>
          </a:pPr>
          <a:r>
            <a:rPr lang="de-DE" sz="650">
              <a:solidFill>
                <a:srgbClr val="4A4A4A"/>
              </a:solidFill>
              <a:latin typeface="Arial"/>
              <a:cs typeface="Arial"/>
            </a:rPr>
            <a:t>Zu- und Abgänge aus Komposit / Leben konnten aus technischen Gründen in dieser Woche erneut nicht ausgewertet werden.</a:t>
          </a:r>
        </a:p>
      </xdr:txBody>
    </xdr:sp>
    <xdr:clientData/>
  </xdr:twoCellAnchor>
  <xdr:twoCellAnchor editAs="absolute">
    <xdr:from>
      <xdr:col>13</xdr:col>
      <xdr:colOff>571500</xdr:colOff>
      <xdr:row>21</xdr:row>
      <xdr:rowOff>161925</xdr:rowOff>
    </xdr:from>
    <xdr:to>
      <xdr:col>14</xdr:col>
      <xdr:colOff>190500</xdr:colOff>
      <xdr:row>22</xdr:row>
      <xdr:rowOff>133350</xdr:rowOff>
    </xdr:to>
    <xdr:sp macro="" textlink="">
      <xdr:nvSpPr>
        <xdr:cNvPr id="99" name="KOM_1_Nr"/>
        <xdr:cNvSpPr txBox="1"/>
      </xdr:nvSpPr>
      <xdr:spPr>
        <a:xfrm>
          <a:off x="9115425" y="41624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21</xdr:row>
      <xdr:rowOff>161925</xdr:rowOff>
    </xdr:from>
    <xdr:to>
      <xdr:col>18</xdr:col>
      <xdr:colOff>390525</xdr:colOff>
      <xdr:row>22</xdr:row>
      <xdr:rowOff>133350</xdr:rowOff>
    </xdr:to>
    <xdr:sp macro="" textlink="">
      <xdr:nvSpPr>
        <xdr:cNvPr id="100" name="KOM_1_Ueb"/>
        <xdr:cNvSpPr txBox="1"/>
      </xdr:nvSpPr>
      <xdr:spPr>
        <a:xfrm>
          <a:off x="9448800" y="41624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00" b="1">
              <a:solidFill>
                <a:srgbClr val="1A1A1A"/>
              </a:solidFill>
              <a:latin typeface="Arial"/>
              <a:cs typeface="Arial"/>
            </a:rPr>
            <a:t>Neueinstellungen</a:t>
          </a:r>
        </a:p>
      </xdr:txBody>
    </xdr:sp>
    <xdr:clientData/>
  </xdr:twoCellAnchor>
  <xdr:twoCellAnchor editAs="absolute">
    <xdr:from>
      <xdr:col>14</xdr:col>
      <xdr:colOff>247650</xdr:colOff>
      <xdr:row>22</xdr:row>
      <xdr:rowOff>142875</xdr:rowOff>
    </xdr:from>
    <xdr:to>
      <xdr:col>18</xdr:col>
      <xdr:colOff>390525</xdr:colOff>
      <xdr:row>28</xdr:row>
      <xdr:rowOff>66675</xdr:rowOff>
    </xdr:to>
    <xdr:sp macro="" textlink="">
      <xdr:nvSpPr>
        <xdr:cNvPr id="101" name="KOM_1_Text"/>
        <xdr:cNvSpPr txBox="1"/>
      </xdr:nvSpPr>
      <xdr:spPr>
        <a:xfrm>
          <a:off x="9448800" y="4333875"/>
          <a:ext cx="2771775"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650">
              <a:solidFill>
                <a:srgbClr val="4A4A4A"/>
              </a:solidFill>
              <a:latin typeface="Arial"/>
              <a:cs typeface="Arial"/>
            </a:rPr>
            <a:t>Dargestellt werden reine Neueinstellungen aber auch Wechsel Vorgänge, wie z. B. Azubiübernahmen oder VP wird Untervertreter.</a:t>
          </a:r>
        </a:p>
        <a:p>
          <a:pPr marL="101600" indent="-101600">
            <a:spcAft>
              <a:spcPts val="100"/>
            </a:spcAft>
            <a:buFont typeface="Arial"/>
            <a:buChar char="•"/>
          </a:pPr>
          <a:r>
            <a:rPr lang="de-DE" sz="650">
              <a:solidFill>
                <a:srgbClr val="4A4A4A"/>
              </a:solidFill>
              <a:latin typeface="Arial"/>
              <a:cs typeface="Arial"/>
            </a:rPr>
            <a:t>Die fristgerechte Umsetzung erfolgt, sofern alle notwendigen Unterlagen rechtzeitig und vollständig vorlagen. Für die abschließende Bearbeitung fehlt dann lediglich der vom VP unterzeichnete Vertrag.</a:t>
          </a:r>
        </a:p>
        <a:p>
          <a:pPr marL="101600" indent="-101600">
            <a:spcAft>
              <a:spcPts val="100"/>
            </a:spcAft>
            <a:buFont typeface="Arial"/>
            <a:buChar char="•"/>
          </a:pPr>
          <a:r>
            <a:rPr lang="de-DE" sz="650">
              <a:solidFill>
                <a:srgbClr val="4A4A4A"/>
              </a:solidFill>
              <a:latin typeface="Arial"/>
              <a:cs typeface="Arial"/>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28</xdr:row>
      <xdr:rowOff>133350</xdr:rowOff>
    </xdr:from>
    <xdr:to>
      <xdr:col>14</xdr:col>
      <xdr:colOff>190500</xdr:colOff>
      <xdr:row>29</xdr:row>
      <xdr:rowOff>104775</xdr:rowOff>
    </xdr:to>
    <xdr:sp macro="" textlink="">
      <xdr:nvSpPr>
        <xdr:cNvPr id="102" name="KOM_2_Nr"/>
        <xdr:cNvSpPr txBox="1"/>
      </xdr:nvSpPr>
      <xdr:spPr>
        <a:xfrm>
          <a:off x="9115425" y="54673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4/5</a:t>
          </a:r>
        </a:p>
      </xdr:txBody>
    </xdr:sp>
    <xdr:clientData/>
  </xdr:twoCellAnchor>
  <xdr:twoCellAnchor editAs="absolute">
    <xdr:from>
      <xdr:col>14</xdr:col>
      <xdr:colOff>247650</xdr:colOff>
      <xdr:row>28</xdr:row>
      <xdr:rowOff>133350</xdr:rowOff>
    </xdr:from>
    <xdr:to>
      <xdr:col>18</xdr:col>
      <xdr:colOff>390525</xdr:colOff>
      <xdr:row>29</xdr:row>
      <xdr:rowOff>104775</xdr:rowOff>
    </xdr:to>
    <xdr:sp macro="" textlink="">
      <xdr:nvSpPr>
        <xdr:cNvPr id="103" name="KOM_2_Ueb"/>
        <xdr:cNvSpPr txBox="1"/>
      </xdr:nvSpPr>
      <xdr:spPr>
        <a:xfrm>
          <a:off x="9448800" y="54673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00" b="1">
              <a:solidFill>
                <a:srgbClr val="1A1A1A"/>
              </a:solidFill>
              <a:latin typeface="Arial"/>
              <a:cs typeface="Arial"/>
            </a:rPr>
            <a:t>Provisionsreklamation AO und Makler</a:t>
          </a:r>
        </a:p>
      </xdr:txBody>
    </xdr:sp>
    <xdr:clientData/>
  </xdr:twoCellAnchor>
  <xdr:twoCellAnchor editAs="absolute">
    <xdr:from>
      <xdr:col>14</xdr:col>
      <xdr:colOff>247650</xdr:colOff>
      <xdr:row>29</xdr:row>
      <xdr:rowOff>104775</xdr:rowOff>
    </xdr:from>
    <xdr:to>
      <xdr:col>18</xdr:col>
      <xdr:colOff>390525</xdr:colOff>
      <xdr:row>30</xdr:row>
      <xdr:rowOff>57150</xdr:rowOff>
    </xdr:to>
    <xdr:sp macro="" textlink="">
      <xdr:nvSpPr>
        <xdr:cNvPr id="104" name="KOM_2_Text"/>
        <xdr:cNvSpPr txBox="1"/>
      </xdr:nvSpPr>
      <xdr:spPr>
        <a:xfrm>
          <a:off x="9448800" y="562927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650">
              <a:solidFill>
                <a:srgbClr val="4A4A4A"/>
              </a:solidFill>
              <a:latin typeface="Arial"/>
              <a:cs typeface="Arial"/>
            </a:rPr>
            <a:t>Der angestrebte Service-Level wird nach wie vor deutlich erfüllt.</a:t>
          </a:r>
        </a:p>
      </xdr:txBody>
    </xdr:sp>
    <xdr:clientData/>
  </xdr:twoCellAnchor>
  <xdr:twoCellAnchor editAs="absolute">
    <xdr:from>
      <xdr:col>13</xdr:col>
      <xdr:colOff>571500</xdr:colOff>
      <xdr:row>30</xdr:row>
      <xdr:rowOff>114300</xdr:rowOff>
    </xdr:from>
    <xdr:to>
      <xdr:col>14</xdr:col>
      <xdr:colOff>190500</xdr:colOff>
      <xdr:row>31</xdr:row>
      <xdr:rowOff>85725</xdr:rowOff>
    </xdr:to>
    <xdr:sp macro="" textlink="">
      <xdr:nvSpPr>
        <xdr:cNvPr id="105" name="KOM_3_Nr"/>
        <xdr:cNvSpPr txBox="1"/>
      </xdr:nvSpPr>
      <xdr:spPr>
        <a:xfrm>
          <a:off x="9115425" y="58293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6</a:t>
          </a:r>
        </a:p>
      </xdr:txBody>
    </xdr:sp>
    <xdr:clientData/>
  </xdr:twoCellAnchor>
  <xdr:twoCellAnchor editAs="absolute">
    <xdr:from>
      <xdr:col>14</xdr:col>
      <xdr:colOff>247650</xdr:colOff>
      <xdr:row>30</xdr:row>
      <xdr:rowOff>114300</xdr:rowOff>
    </xdr:from>
    <xdr:to>
      <xdr:col>18</xdr:col>
      <xdr:colOff>390525</xdr:colOff>
      <xdr:row>31</xdr:row>
      <xdr:rowOff>85725</xdr:rowOff>
    </xdr:to>
    <xdr:sp macro="" textlink="">
      <xdr:nvSpPr>
        <xdr:cNvPr id="106" name="KOM_3_Ueb"/>
        <xdr:cNvSpPr txBox="1"/>
      </xdr:nvSpPr>
      <xdr:spPr>
        <a:xfrm>
          <a:off x="9448800" y="5829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00" b="1">
              <a:solidFill>
                <a:srgbClr val="1A1A1A"/>
              </a:solidFill>
              <a:latin typeface="Arial"/>
              <a:cs typeface="Arial"/>
            </a:rPr>
            <a:t>Buchauszug</a:t>
          </a:r>
        </a:p>
      </xdr:txBody>
    </xdr:sp>
    <xdr:clientData/>
  </xdr:twoCellAnchor>
  <xdr:twoCellAnchor editAs="absolute">
    <xdr:from>
      <xdr:col>14</xdr:col>
      <xdr:colOff>247650</xdr:colOff>
      <xdr:row>31</xdr:row>
      <xdr:rowOff>85725</xdr:rowOff>
    </xdr:from>
    <xdr:to>
      <xdr:col>18</xdr:col>
      <xdr:colOff>390525</xdr:colOff>
      <xdr:row>37</xdr:row>
      <xdr:rowOff>0</xdr:rowOff>
    </xdr:to>
    <xdr:sp macro="" textlink="">
      <xdr:nvSpPr>
        <xdr:cNvPr id="107" name="KOM_3_Text"/>
        <xdr:cNvSpPr txBox="1"/>
      </xdr:nvSpPr>
      <xdr:spPr>
        <a:xfrm>
          <a:off x="9448800" y="5991225"/>
          <a:ext cx="2771775" cy="1057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650">
              <a:solidFill>
                <a:srgbClr val="4A4A4A"/>
              </a:solidFill>
              <a:latin typeface="Arial"/>
              <a:cs typeface="Arial"/>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spcAft>
              <a:spcPts val="100"/>
            </a:spcAft>
            <a:buFont typeface="Arial"/>
            <a:buChar char="•"/>
          </a:pPr>
          <a:r>
            <a:rPr lang="de-DE" sz="650">
              <a:solidFill>
                <a:srgbClr val="4A4A4A"/>
              </a:solidFill>
              <a:latin typeface="Arial"/>
              <a:cs typeface="Arial"/>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37</xdr:row>
      <xdr:rowOff>66675</xdr:rowOff>
    </xdr:from>
    <xdr:to>
      <xdr:col>14</xdr:col>
      <xdr:colOff>190500</xdr:colOff>
      <xdr:row>38</xdr:row>
      <xdr:rowOff>38100</xdr:rowOff>
    </xdr:to>
    <xdr:sp macro="" textlink="">
      <xdr:nvSpPr>
        <xdr:cNvPr id="108" name="KOM_4_Nr"/>
        <xdr:cNvSpPr txBox="1"/>
      </xdr:nvSpPr>
      <xdr:spPr>
        <a:xfrm>
          <a:off x="9115425" y="7115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7</a:t>
          </a:r>
        </a:p>
      </xdr:txBody>
    </xdr:sp>
    <xdr:clientData/>
  </xdr:twoCellAnchor>
  <xdr:twoCellAnchor editAs="absolute">
    <xdr:from>
      <xdr:col>14</xdr:col>
      <xdr:colOff>247650</xdr:colOff>
      <xdr:row>37</xdr:row>
      <xdr:rowOff>66675</xdr:rowOff>
    </xdr:from>
    <xdr:to>
      <xdr:col>18</xdr:col>
      <xdr:colOff>390525</xdr:colOff>
      <xdr:row>38</xdr:row>
      <xdr:rowOff>38100</xdr:rowOff>
    </xdr:to>
    <xdr:sp macro="" textlink="">
      <xdr:nvSpPr>
        <xdr:cNvPr id="109" name="KOM_4_Ueb"/>
        <xdr:cNvSpPr txBox="1"/>
      </xdr:nvSpPr>
      <xdr:spPr>
        <a:xfrm>
          <a:off x="9448800" y="7115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00" b="1">
              <a:solidFill>
                <a:srgbClr val="1A1A1A"/>
              </a:solidFill>
              <a:latin typeface="Arial"/>
              <a:cs typeface="Arial"/>
            </a:rPr>
            <a:t>Ausgleichsanspruch</a:t>
          </a:r>
        </a:p>
      </xdr:txBody>
    </xdr:sp>
    <xdr:clientData/>
  </xdr:twoCellAnchor>
  <xdr:twoCellAnchor editAs="absolute">
    <xdr:from>
      <xdr:col>14</xdr:col>
      <xdr:colOff>247650</xdr:colOff>
      <xdr:row>38</xdr:row>
      <xdr:rowOff>47625</xdr:rowOff>
    </xdr:from>
    <xdr:to>
      <xdr:col>18</xdr:col>
      <xdr:colOff>390525</xdr:colOff>
      <xdr:row>40</xdr:row>
      <xdr:rowOff>104775</xdr:rowOff>
    </xdr:to>
    <xdr:sp macro="" textlink="">
      <xdr:nvSpPr>
        <xdr:cNvPr id="110" name="KOM_4_Text"/>
        <xdr:cNvSpPr txBox="1"/>
      </xdr:nvSpPr>
      <xdr:spPr>
        <a:xfrm>
          <a:off x="9448800" y="7286625"/>
          <a:ext cx="277177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650">
              <a:solidFill>
                <a:srgbClr val="4A4A4A"/>
              </a:solidFill>
              <a:latin typeface="Arial"/>
              <a:cs typeface="Arial"/>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44</xdr:row>
      <xdr:rowOff>47625</xdr:rowOff>
    </xdr:to>
    <xdr:sp macro="" textlink="">
      <xdr:nvSpPr>
        <xdr:cNvPr id="13" name="DEKO_Panel"/>
        <xdr:cNvSpPr txBox="1"/>
      </xdr:nvSpPr>
      <xdr:spPr>
        <a:xfrm>
          <a:off x="8963025" y="685800"/>
          <a:ext cx="3457575" cy="7743825"/>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76200</xdr:colOff>
      <xdr:row>11</xdr:row>
      <xdr:rowOff>171450</xdr:rowOff>
    </xdr:to>
    <xdr:sp macro="" textlink="">
      <xdr:nvSpPr>
        <xdr:cNvPr id="21" name="K1_Kopf"/>
        <xdr:cNvSpPr txBox="1"/>
      </xdr:nvSpPr>
      <xdr:spPr>
        <a:xfrm>
          <a:off x="733425"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76200</xdr:colOff>
      <xdr:row>22</xdr:row>
      <xdr:rowOff>171450</xdr:rowOff>
    </xdr:to>
    <xdr:sp macro="" textlink="">
      <xdr:nvSpPr>
        <xdr:cNvPr id="24" name="K1_Grund"/>
        <xdr:cNvSpPr txBox="1"/>
      </xdr:nvSpPr>
      <xdr:spPr>
        <a:xfrm>
          <a:off x="733425"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10</xdr:row>
      <xdr:rowOff>104775</xdr:rowOff>
    </xdr:from>
    <xdr:to>
      <xdr:col>9</xdr:col>
      <xdr:colOff>180975</xdr:colOff>
      <xdr:row>11</xdr:row>
      <xdr:rowOff>171450</xdr:rowOff>
    </xdr:to>
    <xdr:sp macro="" textlink="">
      <xdr:nvSpPr>
        <xdr:cNvPr id="27" name="K2_Kopf"/>
        <xdr:cNvSpPr txBox="1"/>
      </xdr:nvSpPr>
      <xdr:spPr>
        <a:xfrm>
          <a:off x="3467100"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11</xdr:row>
      <xdr:rowOff>161925</xdr:rowOff>
    </xdr:from>
    <xdr:to>
      <xdr:col>9</xdr:col>
      <xdr:colOff>180975</xdr:colOff>
      <xdr:row>22</xdr:row>
      <xdr:rowOff>171450</xdr:rowOff>
    </xdr:to>
    <xdr:sp macro="" textlink="">
      <xdr:nvSpPr>
        <xdr:cNvPr id="30" name="K2_Grund"/>
        <xdr:cNvSpPr txBox="1"/>
      </xdr:nvSpPr>
      <xdr:spPr>
        <a:xfrm>
          <a:off x="346710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10</xdr:row>
      <xdr:rowOff>104775</xdr:rowOff>
    </xdr:from>
    <xdr:to>
      <xdr:col>13</xdr:col>
      <xdr:colOff>276225</xdr:colOff>
      <xdr:row>11</xdr:row>
      <xdr:rowOff>171450</xdr:rowOff>
    </xdr:to>
    <xdr:sp macro="" textlink="">
      <xdr:nvSpPr>
        <xdr:cNvPr id="37" name="K3_Kopf"/>
        <xdr:cNvSpPr txBox="1"/>
      </xdr:nvSpPr>
      <xdr:spPr>
        <a:xfrm>
          <a:off x="6191250"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11</xdr:row>
      <xdr:rowOff>161925</xdr:rowOff>
    </xdr:from>
    <xdr:to>
      <xdr:col>13</xdr:col>
      <xdr:colOff>276225</xdr:colOff>
      <xdr:row>22</xdr:row>
      <xdr:rowOff>171450</xdr:rowOff>
    </xdr:to>
    <xdr:sp macro="" textlink="">
      <xdr:nvSpPr>
        <xdr:cNvPr id="40" name="K3_Grund"/>
        <xdr:cNvSpPr txBox="1"/>
      </xdr:nvSpPr>
      <xdr:spPr>
        <a:xfrm>
          <a:off x="619125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5</xdr:col>
      <xdr:colOff>76200</xdr:colOff>
      <xdr:row>24</xdr:row>
      <xdr:rowOff>152400</xdr:rowOff>
    </xdr:to>
    <xdr:sp macro="" textlink="">
      <xdr:nvSpPr>
        <xdr:cNvPr id="43" name="K4_Kopf"/>
        <xdr:cNvSpPr txBox="1"/>
      </xdr:nvSpPr>
      <xdr:spPr>
        <a:xfrm>
          <a:off x="733425" y="446722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5</xdr:col>
      <xdr:colOff>76200</xdr:colOff>
      <xdr:row>35</xdr:row>
      <xdr:rowOff>161925</xdr:rowOff>
    </xdr:to>
    <xdr:sp macro="" textlink="">
      <xdr:nvSpPr>
        <xdr:cNvPr id="46" name="K4_Grund"/>
        <xdr:cNvSpPr txBox="1"/>
      </xdr:nvSpPr>
      <xdr:spPr>
        <a:xfrm>
          <a:off x="733425"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23</xdr:row>
      <xdr:rowOff>85725</xdr:rowOff>
    </xdr:from>
    <xdr:to>
      <xdr:col>9</xdr:col>
      <xdr:colOff>180975</xdr:colOff>
      <xdr:row>24</xdr:row>
      <xdr:rowOff>152400</xdr:rowOff>
    </xdr:to>
    <xdr:sp macro="" textlink="">
      <xdr:nvSpPr>
        <xdr:cNvPr id="57" name="K5_Kopf"/>
        <xdr:cNvSpPr txBox="1"/>
      </xdr:nvSpPr>
      <xdr:spPr>
        <a:xfrm>
          <a:off x="3467100" y="446722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24</xdr:row>
      <xdr:rowOff>152400</xdr:rowOff>
    </xdr:from>
    <xdr:to>
      <xdr:col>9</xdr:col>
      <xdr:colOff>180975</xdr:colOff>
      <xdr:row>35</xdr:row>
      <xdr:rowOff>161925</xdr:rowOff>
    </xdr:to>
    <xdr:sp macro="" textlink="">
      <xdr:nvSpPr>
        <xdr:cNvPr id="60" name="K5_Grund"/>
        <xdr:cNvSpPr txBox="1"/>
      </xdr:nvSpPr>
      <xdr:spPr>
        <a:xfrm>
          <a:off x="3467100"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23</xdr:row>
      <xdr:rowOff>85725</xdr:rowOff>
    </xdr:from>
    <xdr:to>
      <xdr:col>13</xdr:col>
      <xdr:colOff>276225</xdr:colOff>
      <xdr:row>24</xdr:row>
      <xdr:rowOff>152400</xdr:rowOff>
    </xdr:to>
    <xdr:sp macro="" textlink="">
      <xdr:nvSpPr>
        <xdr:cNvPr id="71" name="K6_Kopf"/>
        <xdr:cNvSpPr txBox="1"/>
      </xdr:nvSpPr>
      <xdr:spPr>
        <a:xfrm>
          <a:off x="6191250" y="4467225"/>
          <a:ext cx="2628900"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24</xdr:row>
      <xdr:rowOff>152400</xdr:rowOff>
    </xdr:from>
    <xdr:to>
      <xdr:col>13</xdr:col>
      <xdr:colOff>276225</xdr:colOff>
      <xdr:row>35</xdr:row>
      <xdr:rowOff>161925</xdr:rowOff>
    </xdr:to>
    <xdr:sp macro="" textlink="">
      <xdr:nvSpPr>
        <xdr:cNvPr id="74" name="K6_Grund"/>
        <xdr:cNvSpPr txBox="1"/>
      </xdr:nvSpPr>
      <xdr:spPr>
        <a:xfrm>
          <a:off x="6191250"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47625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200025</xdr:colOff>
      <xdr:row>13</xdr:row>
      <xdr:rowOff>85725</xdr:rowOff>
    </xdr:from>
    <xdr:to>
      <xdr:col>9</xdr:col>
      <xdr:colOff>142875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200025</xdr:colOff>
      <xdr:row>17</xdr:row>
      <xdr:rowOff>76200</xdr:rowOff>
    </xdr:from>
    <xdr:to>
      <xdr:col>9</xdr:col>
      <xdr:colOff>142875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295275</xdr:colOff>
      <xdr:row>12</xdr:row>
      <xdr:rowOff>161925</xdr:rowOff>
    </xdr:from>
    <xdr:to>
      <xdr:col>13</xdr:col>
      <xdr:colOff>238125</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47625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47625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200025</xdr:colOff>
      <xdr:row>26</xdr:row>
      <xdr:rowOff>76200</xdr:rowOff>
    </xdr:from>
    <xdr:to>
      <xdr:col>9</xdr:col>
      <xdr:colOff>142875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200025</xdr:colOff>
      <xdr:row>31</xdr:row>
      <xdr:rowOff>152400</xdr:rowOff>
    </xdr:from>
    <xdr:to>
      <xdr:col>9</xdr:col>
      <xdr:colOff>142875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295275</xdr:colOff>
      <xdr:row>25</xdr:row>
      <xdr:rowOff>152400</xdr:rowOff>
    </xdr:from>
    <xdr:to>
      <xdr:col>13</xdr:col>
      <xdr:colOff>238125</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ext. Faktoren &amp; HS-Ressourcen</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5</xdr:col>
      <xdr:colOff>19050</xdr:colOff>
      <xdr:row>11</xdr:row>
      <xdr:rowOff>171450</xdr:rowOff>
    </xdr:to>
    <xdr:sp macro="" textlink="">
      <xdr:nvSpPr>
        <xdr:cNvPr id="22" name="K1_Titel"/>
        <xdr:cNvSpPr txBox="1"/>
      </xdr:nvSpPr>
      <xdr:spPr>
        <a:xfrm>
          <a:off x="10572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(in Tausend)</a:t>
          </a:r>
        </a:p>
      </xdr:txBody>
    </xdr:sp>
    <xdr:clientData/>
  </xdr:twoCellAnchor>
  <xdr:twoCellAnchor editAs="absolute">
    <xdr:from>
      <xdr:col>5</xdr:col>
      <xdr:colOff>495300</xdr:colOff>
      <xdr:row>10</xdr:row>
      <xdr:rowOff>104775</xdr:rowOff>
    </xdr:from>
    <xdr:to>
      <xdr:col>9</xdr:col>
      <xdr:colOff>114300</xdr:colOff>
      <xdr:row>11</xdr:row>
      <xdr:rowOff>171450</xdr:rowOff>
    </xdr:to>
    <xdr:sp macro="" textlink="">
      <xdr:nvSpPr>
        <xdr:cNvPr id="28" name="K2_Titel"/>
        <xdr:cNvSpPr txBox="1"/>
      </xdr:nvSpPr>
      <xdr:spPr>
        <a:xfrm>
          <a:off x="378142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Watchlist</a:t>
          </a:r>
        </a:p>
      </xdr:txBody>
    </xdr:sp>
    <xdr:clientData/>
  </xdr:twoCellAnchor>
  <xdr:twoCellAnchor editAs="absolute">
    <xdr:from>
      <xdr:col>5</xdr:col>
      <xdr:colOff>257175</xdr:colOff>
      <xdr:row>10</xdr:row>
      <xdr:rowOff>142875</xdr:rowOff>
    </xdr:from>
    <xdr:to>
      <xdr:col>5</xdr:col>
      <xdr:colOff>419100</xdr:colOff>
      <xdr:row>11</xdr:row>
      <xdr:rowOff>114300</xdr:rowOff>
    </xdr:to>
    <xdr:sp macro="" textlink="">
      <xdr:nvSpPr>
        <xdr:cNvPr id="29" name="K2_Nr"/>
        <xdr:cNvSpPr txBox="1"/>
      </xdr:nvSpPr>
      <xdr:spPr>
        <a:xfrm>
          <a:off x="3543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2</a:t>
          </a:r>
        </a:p>
      </xdr:txBody>
    </xdr:sp>
    <xdr:clientData/>
  </xdr:twoCellAnchor>
  <xdr:twoCellAnchor editAs="absolute">
    <xdr:from>
      <xdr:col>5</xdr:col>
      <xdr:colOff>257175</xdr:colOff>
      <xdr:row>12</xdr:row>
      <xdr:rowOff>66675</xdr:rowOff>
    </xdr:from>
    <xdr:to>
      <xdr:col>5</xdr:col>
      <xdr:colOff>381000</xdr:colOff>
      <xdr:row>12</xdr:row>
      <xdr:rowOff>85725</xdr:rowOff>
    </xdr:to>
    <xdr:sp macro="" textlink="">
      <xdr:nvSpPr>
        <xdr:cNvPr id="31" name="K2_Leg0S"/>
        <xdr:cNvSpPr txBox="1"/>
      </xdr:nvSpPr>
      <xdr:spPr>
        <a:xfrm>
          <a:off x="3543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419100</xdr:colOff>
      <xdr:row>12</xdr:row>
      <xdr:rowOff>28575</xdr:rowOff>
    </xdr:from>
    <xdr:to>
      <xdr:col>7</xdr:col>
      <xdr:colOff>333375</xdr:colOff>
      <xdr:row>12</xdr:row>
      <xdr:rowOff>133350</xdr:rowOff>
    </xdr:to>
    <xdr:sp macro="" textlink="">
      <xdr:nvSpPr>
        <xdr:cNvPr id="32" name="K2_Leg0"/>
        <xdr:cNvSpPr txBox="1"/>
      </xdr:nvSpPr>
      <xdr:spPr>
        <a:xfrm>
          <a:off x="3705225"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Überwachte VNRs (in Tausend)</a:t>
          </a:r>
        </a:p>
      </xdr:txBody>
    </xdr:sp>
    <xdr:clientData/>
  </xdr:twoCellAnchor>
  <xdr:twoCellAnchor editAs="absolute">
    <xdr:from>
      <xdr:col>7</xdr:col>
      <xdr:colOff>419100</xdr:colOff>
      <xdr:row>12</xdr:row>
      <xdr:rowOff>47625</xdr:rowOff>
    </xdr:from>
    <xdr:to>
      <xdr:col>7</xdr:col>
      <xdr:colOff>485775</xdr:colOff>
      <xdr:row>12</xdr:row>
      <xdr:rowOff>114300</xdr:rowOff>
    </xdr:to>
    <xdr:sp macro="" textlink="">
      <xdr:nvSpPr>
        <xdr:cNvPr id="33" name="K2_Leg1S"/>
        <xdr:cNvSpPr txBox="1"/>
      </xdr:nvSpPr>
      <xdr:spPr>
        <a:xfrm>
          <a:off x="501967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523875</xdr:colOff>
      <xdr:row>12</xdr:row>
      <xdr:rowOff>28575</xdr:rowOff>
    </xdr:from>
    <xdr:to>
      <xdr:col>9</xdr:col>
      <xdr:colOff>104775</xdr:colOff>
      <xdr:row>12</xdr:row>
      <xdr:rowOff>133350</xdr:rowOff>
    </xdr:to>
    <xdr:sp macro="" textlink="">
      <xdr:nvSpPr>
        <xdr:cNvPr id="34" name="K2_Leg1"/>
        <xdr:cNvSpPr txBox="1"/>
      </xdr:nvSpPr>
      <xdr:spPr>
        <a:xfrm>
          <a:off x="5124450" y="23145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Treffer: In Bearbeitung</a:t>
          </a:r>
        </a:p>
      </xdr:txBody>
    </xdr:sp>
    <xdr:clientData/>
  </xdr:twoCellAnchor>
  <xdr:twoCellAnchor editAs="absolute">
    <xdr:from>
      <xdr:col>5</xdr:col>
      <xdr:colOff>257175</xdr:colOff>
      <xdr:row>12</xdr:row>
      <xdr:rowOff>161925</xdr:rowOff>
    </xdr:from>
    <xdr:to>
      <xdr:col>5</xdr:col>
      <xdr:colOff>323850</xdr:colOff>
      <xdr:row>13</xdr:row>
      <xdr:rowOff>38100</xdr:rowOff>
    </xdr:to>
    <xdr:sp macro="" textlink="">
      <xdr:nvSpPr>
        <xdr:cNvPr id="35" name="K2_Leg2S"/>
        <xdr:cNvSpPr txBox="1"/>
      </xdr:nvSpPr>
      <xdr:spPr>
        <a:xfrm>
          <a:off x="3543300"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12</xdr:row>
      <xdr:rowOff>142875</xdr:rowOff>
    </xdr:from>
    <xdr:to>
      <xdr:col>6</xdr:col>
      <xdr:colOff>47625</xdr:colOff>
      <xdr:row>13</xdr:row>
      <xdr:rowOff>57150</xdr:rowOff>
    </xdr:to>
    <xdr:sp macro="" textlink="">
      <xdr:nvSpPr>
        <xdr:cNvPr id="36" name="K2_Leg2"/>
        <xdr:cNvSpPr txBox="1"/>
      </xdr:nvSpPr>
      <xdr:spPr>
        <a:xfrm>
          <a:off x="36385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Erledigt</a:t>
          </a:r>
        </a:p>
      </xdr:txBody>
    </xdr:sp>
    <xdr:clientData/>
  </xdr:twoCellAnchor>
  <xdr:twoCellAnchor editAs="absolute">
    <xdr:from>
      <xdr:col>9</xdr:col>
      <xdr:colOff>590550</xdr:colOff>
      <xdr:row>10</xdr:row>
      <xdr:rowOff>104775</xdr:rowOff>
    </xdr:from>
    <xdr:to>
      <xdr:col>13</xdr:col>
      <xdr:colOff>209550</xdr:colOff>
      <xdr:row>11</xdr:row>
      <xdr:rowOff>171450</xdr:rowOff>
    </xdr:to>
    <xdr:sp macro="" textlink="">
      <xdr:nvSpPr>
        <xdr:cNvPr id="38" name="K3_Titel"/>
        <xdr:cNvSpPr txBox="1"/>
      </xdr:nvSpPr>
      <xdr:spPr>
        <a:xfrm>
          <a:off x="65055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Technische Arbeitsanweisungen</a:t>
          </a:r>
        </a:p>
      </xdr:txBody>
    </xdr:sp>
    <xdr:clientData/>
  </xdr:twoCellAnchor>
  <xdr:twoCellAnchor editAs="absolute">
    <xdr:from>
      <xdr:col>9</xdr:col>
      <xdr:colOff>352425</xdr:colOff>
      <xdr:row>10</xdr:row>
      <xdr:rowOff>142875</xdr:rowOff>
    </xdr:from>
    <xdr:to>
      <xdr:col>9</xdr:col>
      <xdr:colOff>514350</xdr:colOff>
      <xdr:row>11</xdr:row>
      <xdr:rowOff>114300</xdr:rowOff>
    </xdr:to>
    <xdr:sp macro="" textlink="">
      <xdr:nvSpPr>
        <xdr:cNvPr id="39" name="K3_Nr"/>
        <xdr:cNvSpPr txBox="1"/>
      </xdr:nvSpPr>
      <xdr:spPr>
        <a:xfrm>
          <a:off x="626745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3</a:t>
          </a:r>
        </a:p>
      </xdr:txBody>
    </xdr:sp>
    <xdr:clientData/>
  </xdr:twoCellAnchor>
  <xdr:twoCellAnchor editAs="absolute">
    <xdr:from>
      <xdr:col>9</xdr:col>
      <xdr:colOff>352425</xdr:colOff>
      <xdr:row>12</xdr:row>
      <xdr:rowOff>66675</xdr:rowOff>
    </xdr:from>
    <xdr:to>
      <xdr:col>9</xdr:col>
      <xdr:colOff>476250</xdr:colOff>
      <xdr:row>12</xdr:row>
      <xdr:rowOff>85725</xdr:rowOff>
    </xdr:to>
    <xdr:sp macro="" textlink="">
      <xdr:nvSpPr>
        <xdr:cNvPr id="41" name="K3_Leg0S"/>
        <xdr:cNvSpPr txBox="1"/>
      </xdr:nvSpPr>
      <xdr:spPr>
        <a:xfrm>
          <a:off x="626745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514350</xdr:colOff>
      <xdr:row>12</xdr:row>
      <xdr:rowOff>28575</xdr:rowOff>
    </xdr:from>
    <xdr:to>
      <xdr:col>11</xdr:col>
      <xdr:colOff>533400</xdr:colOff>
      <xdr:row>12</xdr:row>
      <xdr:rowOff>133350</xdr:rowOff>
    </xdr:to>
    <xdr:sp macro="" textlink="">
      <xdr:nvSpPr>
        <xdr:cNvPr id="42" name="K3_Leg0"/>
        <xdr:cNvSpPr txBox="1"/>
      </xdr:nvSpPr>
      <xdr:spPr>
        <a:xfrm>
          <a:off x="6429375"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techn. Arbeitsanweisungen</a:t>
          </a:r>
        </a:p>
      </xdr:txBody>
    </xdr:sp>
    <xdr:clientData/>
  </xdr:twoCellAnchor>
  <xdr:twoCellAnchor editAs="absolute">
    <xdr:from>
      <xdr:col>1</xdr:col>
      <xdr:colOff>400050</xdr:colOff>
      <xdr:row>23</xdr:row>
      <xdr:rowOff>85725</xdr:rowOff>
    </xdr:from>
    <xdr:to>
      <xdr:col>5</xdr:col>
      <xdr:colOff>19050</xdr:colOff>
      <xdr:row>24</xdr:row>
      <xdr:rowOff>152400</xdr:rowOff>
    </xdr:to>
    <xdr:sp macro="" textlink="">
      <xdr:nvSpPr>
        <xdr:cNvPr id="44" name="K4_Titel"/>
        <xdr:cNvSpPr txBox="1"/>
      </xdr:nvSpPr>
      <xdr:spPr>
        <a:xfrm>
          <a:off x="105727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5</xdr:col>
      <xdr:colOff>495300</xdr:colOff>
      <xdr:row>23</xdr:row>
      <xdr:rowOff>85725</xdr:rowOff>
    </xdr:from>
    <xdr:to>
      <xdr:col>9</xdr:col>
      <xdr:colOff>114300</xdr:colOff>
      <xdr:row>24</xdr:row>
      <xdr:rowOff>152400</xdr:rowOff>
    </xdr:to>
    <xdr:sp macro="" textlink="">
      <xdr:nvSpPr>
        <xdr:cNvPr id="58" name="K5_Titel"/>
        <xdr:cNvSpPr txBox="1"/>
      </xdr:nvSpPr>
      <xdr:spPr>
        <a:xfrm>
          <a:off x="378142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Defects im operativen Betrieb</a:t>
          </a:r>
        </a:p>
      </xdr:txBody>
    </xdr:sp>
    <xdr:clientData/>
  </xdr:twoCellAnchor>
  <xdr:twoCellAnchor editAs="absolute">
    <xdr:from>
      <xdr:col>5</xdr:col>
      <xdr:colOff>257175</xdr:colOff>
      <xdr:row>23</xdr:row>
      <xdr:rowOff>133350</xdr:rowOff>
    </xdr:from>
    <xdr:to>
      <xdr:col>5</xdr:col>
      <xdr:colOff>419100</xdr:colOff>
      <xdr:row>24</xdr:row>
      <xdr:rowOff>104775</xdr:rowOff>
    </xdr:to>
    <xdr:sp macro="" textlink="">
      <xdr:nvSpPr>
        <xdr:cNvPr id="59" name="K5_Nr"/>
        <xdr:cNvSpPr txBox="1"/>
      </xdr:nvSpPr>
      <xdr:spPr>
        <a:xfrm>
          <a:off x="3543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5</a:t>
          </a:r>
        </a:p>
      </xdr:txBody>
    </xdr:sp>
    <xdr:clientData/>
  </xdr:twoCellAnchor>
  <xdr:twoCellAnchor editAs="absolute">
    <xdr:from>
      <xdr:col>5</xdr:col>
      <xdr:colOff>257175</xdr:colOff>
      <xdr:row>25</xdr:row>
      <xdr:rowOff>28575</xdr:rowOff>
    </xdr:from>
    <xdr:to>
      <xdr:col>5</xdr:col>
      <xdr:colOff>323850</xdr:colOff>
      <xdr:row>25</xdr:row>
      <xdr:rowOff>95250</xdr:rowOff>
    </xdr:to>
    <xdr:sp macro="" textlink="">
      <xdr:nvSpPr>
        <xdr:cNvPr id="61" name="K5_Leg0S"/>
        <xdr:cNvSpPr txBox="1"/>
      </xdr:nvSpPr>
      <xdr:spPr>
        <a:xfrm>
          <a:off x="3543300"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25</xdr:row>
      <xdr:rowOff>9525</xdr:rowOff>
    </xdr:from>
    <xdr:to>
      <xdr:col>6</xdr:col>
      <xdr:colOff>76200</xdr:colOff>
      <xdr:row>25</xdr:row>
      <xdr:rowOff>114300</xdr:rowOff>
    </xdr:to>
    <xdr:sp macro="" textlink="">
      <xdr:nvSpPr>
        <xdr:cNvPr id="62" name="K5_Leg0"/>
        <xdr:cNvSpPr txBox="1"/>
      </xdr:nvSpPr>
      <xdr:spPr>
        <a:xfrm>
          <a:off x="363855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6</xdr:col>
      <xdr:colOff>171450</xdr:colOff>
      <xdr:row>25</xdr:row>
      <xdr:rowOff>28575</xdr:rowOff>
    </xdr:from>
    <xdr:to>
      <xdr:col>6</xdr:col>
      <xdr:colOff>238125</xdr:colOff>
      <xdr:row>25</xdr:row>
      <xdr:rowOff>95250</xdr:rowOff>
    </xdr:to>
    <xdr:sp macro="" textlink="">
      <xdr:nvSpPr>
        <xdr:cNvPr id="63" name="K5_Leg1S"/>
        <xdr:cNvSpPr txBox="1"/>
      </xdr:nvSpPr>
      <xdr:spPr>
        <a:xfrm>
          <a:off x="4114800"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266700</xdr:colOff>
      <xdr:row>25</xdr:row>
      <xdr:rowOff>9525</xdr:rowOff>
    </xdr:from>
    <xdr:to>
      <xdr:col>6</xdr:col>
      <xdr:colOff>552450</xdr:colOff>
      <xdr:row>25</xdr:row>
      <xdr:rowOff>114300</xdr:rowOff>
    </xdr:to>
    <xdr:sp macro="" textlink="">
      <xdr:nvSpPr>
        <xdr:cNvPr id="64" name="K5_Leg1"/>
        <xdr:cNvSpPr txBox="1"/>
      </xdr:nvSpPr>
      <xdr:spPr>
        <a:xfrm>
          <a:off x="42100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6</xdr:col>
      <xdr:colOff>647700</xdr:colOff>
      <xdr:row>25</xdr:row>
      <xdr:rowOff>28575</xdr:rowOff>
    </xdr:from>
    <xdr:to>
      <xdr:col>7</xdr:col>
      <xdr:colOff>57150</xdr:colOff>
      <xdr:row>25</xdr:row>
      <xdr:rowOff>95250</xdr:rowOff>
    </xdr:to>
    <xdr:sp macro="" textlink="">
      <xdr:nvSpPr>
        <xdr:cNvPr id="65" name="K5_Leg2S"/>
        <xdr:cNvSpPr txBox="1"/>
      </xdr:nvSpPr>
      <xdr:spPr>
        <a:xfrm>
          <a:off x="459105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85725</xdr:colOff>
      <xdr:row>25</xdr:row>
      <xdr:rowOff>9525</xdr:rowOff>
    </xdr:from>
    <xdr:to>
      <xdr:col>7</xdr:col>
      <xdr:colOff>371475</xdr:colOff>
      <xdr:row>25</xdr:row>
      <xdr:rowOff>114300</xdr:rowOff>
    </xdr:to>
    <xdr:sp macro="" textlink="">
      <xdr:nvSpPr>
        <xdr:cNvPr id="66" name="K5_Leg2"/>
        <xdr:cNvSpPr txBox="1"/>
      </xdr:nvSpPr>
      <xdr:spPr>
        <a:xfrm>
          <a:off x="46863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5</xdr:col>
      <xdr:colOff>257175</xdr:colOff>
      <xdr:row>25</xdr:row>
      <xdr:rowOff>142875</xdr:rowOff>
    </xdr:from>
    <xdr:to>
      <xdr:col>5</xdr:col>
      <xdr:colOff>323850</xdr:colOff>
      <xdr:row>26</xdr:row>
      <xdr:rowOff>19050</xdr:rowOff>
    </xdr:to>
    <xdr:sp macro="" textlink="">
      <xdr:nvSpPr>
        <xdr:cNvPr id="67" name="K5_Leg3S"/>
        <xdr:cNvSpPr txBox="1"/>
      </xdr:nvSpPr>
      <xdr:spPr>
        <a:xfrm>
          <a:off x="3543300"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25</xdr:row>
      <xdr:rowOff>123825</xdr:rowOff>
    </xdr:from>
    <xdr:to>
      <xdr:col>7</xdr:col>
      <xdr:colOff>85725</xdr:colOff>
      <xdr:row>26</xdr:row>
      <xdr:rowOff>38100</xdr:rowOff>
    </xdr:to>
    <xdr:sp macro="" textlink="">
      <xdr:nvSpPr>
        <xdr:cNvPr id="68" name="K5_Leg3"/>
        <xdr:cNvSpPr txBox="1"/>
      </xdr:nvSpPr>
      <xdr:spPr>
        <a:xfrm>
          <a:off x="363855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7</xdr:col>
      <xdr:colOff>180975</xdr:colOff>
      <xdr:row>25</xdr:row>
      <xdr:rowOff>142875</xdr:rowOff>
    </xdr:from>
    <xdr:to>
      <xdr:col>7</xdr:col>
      <xdr:colOff>247650</xdr:colOff>
      <xdr:row>26</xdr:row>
      <xdr:rowOff>19050</xdr:rowOff>
    </xdr:to>
    <xdr:sp macro="" textlink="">
      <xdr:nvSpPr>
        <xdr:cNvPr id="69" name="K5_Leg4S"/>
        <xdr:cNvSpPr txBox="1"/>
      </xdr:nvSpPr>
      <xdr:spPr>
        <a:xfrm>
          <a:off x="4781550"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276225</xdr:colOff>
      <xdr:row>25</xdr:row>
      <xdr:rowOff>123825</xdr:rowOff>
    </xdr:from>
    <xdr:to>
      <xdr:col>9</xdr:col>
      <xdr:colOff>19050</xdr:colOff>
      <xdr:row>26</xdr:row>
      <xdr:rowOff>38100</xdr:rowOff>
    </xdr:to>
    <xdr:sp macro="" textlink="">
      <xdr:nvSpPr>
        <xdr:cNvPr id="70" name="K5_Leg4"/>
        <xdr:cNvSpPr txBox="1"/>
      </xdr:nvSpPr>
      <xdr:spPr>
        <a:xfrm>
          <a:off x="487680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9</xdr:col>
      <xdr:colOff>590550</xdr:colOff>
      <xdr:row>23</xdr:row>
      <xdr:rowOff>85725</xdr:rowOff>
    </xdr:from>
    <xdr:to>
      <xdr:col>13</xdr:col>
      <xdr:colOff>209550</xdr:colOff>
      <xdr:row>24</xdr:row>
      <xdr:rowOff>152400</xdr:rowOff>
    </xdr:to>
    <xdr:sp macro="" textlink="">
      <xdr:nvSpPr>
        <xdr:cNvPr id="72" name="K6_Titel"/>
        <xdr:cNvSpPr txBox="1"/>
      </xdr:nvSpPr>
      <xdr:spPr>
        <a:xfrm>
          <a:off x="650557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Mitarbeiter-Kapazitäten  · gerundet</a:t>
          </a:r>
        </a:p>
      </xdr:txBody>
    </xdr:sp>
    <xdr:clientData/>
  </xdr:twoCellAnchor>
  <xdr:twoCellAnchor editAs="absolute">
    <xdr:from>
      <xdr:col>9</xdr:col>
      <xdr:colOff>352425</xdr:colOff>
      <xdr:row>23</xdr:row>
      <xdr:rowOff>133350</xdr:rowOff>
    </xdr:from>
    <xdr:to>
      <xdr:col>9</xdr:col>
      <xdr:colOff>514350</xdr:colOff>
      <xdr:row>24</xdr:row>
      <xdr:rowOff>104775</xdr:rowOff>
    </xdr:to>
    <xdr:sp macro="" textlink="">
      <xdr:nvSpPr>
        <xdr:cNvPr id="73" name="K6_Nr"/>
        <xdr:cNvSpPr txBox="1"/>
      </xdr:nvSpPr>
      <xdr:spPr>
        <a:xfrm>
          <a:off x="6267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6</a:t>
          </a:r>
        </a:p>
      </xdr:txBody>
    </xdr:sp>
    <xdr:clientData/>
  </xdr:twoCellAnchor>
  <xdr:twoCellAnchor editAs="absolute">
    <xdr:from>
      <xdr:col>9</xdr:col>
      <xdr:colOff>352425</xdr:colOff>
      <xdr:row>25</xdr:row>
      <xdr:rowOff>28575</xdr:rowOff>
    </xdr:from>
    <xdr:to>
      <xdr:col>9</xdr:col>
      <xdr:colOff>419100</xdr:colOff>
      <xdr:row>25</xdr:row>
      <xdr:rowOff>95250</xdr:rowOff>
    </xdr:to>
    <xdr:sp macro="" textlink="">
      <xdr:nvSpPr>
        <xdr:cNvPr id="75" name="K6_Leg0S"/>
        <xdr:cNvSpPr txBox="1"/>
      </xdr:nvSpPr>
      <xdr:spPr>
        <a:xfrm>
          <a:off x="626745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447675</xdr:colOff>
      <xdr:row>25</xdr:row>
      <xdr:rowOff>9525</xdr:rowOff>
    </xdr:from>
    <xdr:to>
      <xdr:col>10</xdr:col>
      <xdr:colOff>276225</xdr:colOff>
      <xdr:row>25</xdr:row>
      <xdr:rowOff>114300</xdr:rowOff>
    </xdr:to>
    <xdr:sp macro="" textlink="">
      <xdr:nvSpPr>
        <xdr:cNvPr id="76" name="K6_Leg0"/>
        <xdr:cNvSpPr txBox="1"/>
      </xdr:nvSpPr>
      <xdr:spPr>
        <a:xfrm>
          <a:off x="6362700"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SOLL MAK</a:t>
          </a:r>
        </a:p>
      </xdr:txBody>
    </xdr:sp>
    <xdr:clientData/>
  </xdr:twoCellAnchor>
  <xdr:twoCellAnchor editAs="absolute">
    <xdr:from>
      <xdr:col>10</xdr:col>
      <xdr:colOff>371475</xdr:colOff>
      <xdr:row>25</xdr:row>
      <xdr:rowOff>28575</xdr:rowOff>
    </xdr:from>
    <xdr:to>
      <xdr:col>10</xdr:col>
      <xdr:colOff>438150</xdr:colOff>
      <xdr:row>25</xdr:row>
      <xdr:rowOff>95250</xdr:rowOff>
    </xdr:to>
    <xdr:sp macro="" textlink="">
      <xdr:nvSpPr>
        <xdr:cNvPr id="77" name="K6_Leg1S"/>
        <xdr:cNvSpPr txBox="1"/>
      </xdr:nvSpPr>
      <xdr:spPr>
        <a:xfrm>
          <a:off x="6943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466725</xdr:colOff>
      <xdr:row>25</xdr:row>
      <xdr:rowOff>9525</xdr:rowOff>
    </xdr:from>
    <xdr:to>
      <xdr:col>11</xdr:col>
      <xdr:colOff>323850</xdr:colOff>
      <xdr:row>25</xdr:row>
      <xdr:rowOff>114300</xdr:rowOff>
    </xdr:to>
    <xdr:sp macro="" textlink="">
      <xdr:nvSpPr>
        <xdr:cNvPr id="78" name="K6_Leg1"/>
        <xdr:cNvSpPr txBox="1"/>
      </xdr:nvSpPr>
      <xdr:spPr>
        <a:xfrm>
          <a:off x="7038975"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152400</xdr:rowOff>
    </xdr:to>
    <xdr:sp macro="" textlink="">
      <xdr:nvSpPr>
        <xdr:cNvPr id="83" name="KOM_0_Text"/>
        <xdr:cNvSpPr txBox="1"/>
      </xdr:nvSpPr>
      <xdr:spPr>
        <a:xfrm>
          <a:off x="9448800" y="2371725"/>
          <a:ext cx="2771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Vorwoche ist die Anzahl der Schweben erneut leicht gesunken.</a:t>
          </a:r>
        </a:p>
      </xdr:txBody>
    </xdr:sp>
    <xdr:clientData/>
  </xdr:twoCellAnchor>
  <xdr:twoCellAnchor editAs="absolute">
    <xdr:from>
      <xdr:col>13</xdr:col>
      <xdr:colOff>571500</xdr:colOff>
      <xdr:row>14</xdr:row>
      <xdr:rowOff>28575</xdr:rowOff>
    </xdr:from>
    <xdr:to>
      <xdr:col>14</xdr:col>
      <xdr:colOff>190500</xdr:colOff>
      <xdr:row>15</xdr:row>
      <xdr:rowOff>0</xdr:rowOff>
    </xdr:to>
    <xdr:sp macro="" textlink="">
      <xdr:nvSpPr>
        <xdr:cNvPr id="84" name="KOM_1_Nr"/>
        <xdr:cNvSpPr txBox="1"/>
      </xdr:nvSpPr>
      <xdr:spPr>
        <a:xfrm>
          <a:off x="9115425" y="26955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2</a:t>
          </a:r>
        </a:p>
      </xdr:txBody>
    </xdr:sp>
    <xdr:clientData/>
  </xdr:twoCellAnchor>
  <xdr:twoCellAnchor editAs="absolute">
    <xdr:from>
      <xdr:col>14</xdr:col>
      <xdr:colOff>247650</xdr:colOff>
      <xdr:row>14</xdr:row>
      <xdr:rowOff>28575</xdr:rowOff>
    </xdr:from>
    <xdr:to>
      <xdr:col>18</xdr:col>
      <xdr:colOff>390525</xdr:colOff>
      <xdr:row>15</xdr:row>
      <xdr:rowOff>0</xdr:rowOff>
    </xdr:to>
    <xdr:sp macro="" textlink="">
      <xdr:nvSpPr>
        <xdr:cNvPr id="85" name="KOM_1_Ueb"/>
        <xdr:cNvSpPr txBox="1"/>
      </xdr:nvSpPr>
      <xdr:spPr>
        <a:xfrm>
          <a:off x="9448800" y="2695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Watchlist</a:t>
          </a:r>
        </a:p>
      </xdr:txBody>
    </xdr:sp>
    <xdr:clientData/>
  </xdr:twoCellAnchor>
  <xdr:twoCellAnchor editAs="absolute">
    <xdr:from>
      <xdr:col>14</xdr:col>
      <xdr:colOff>247650</xdr:colOff>
      <xdr:row>15</xdr:row>
      <xdr:rowOff>0</xdr:rowOff>
    </xdr:from>
    <xdr:to>
      <xdr:col>18</xdr:col>
      <xdr:colOff>390525</xdr:colOff>
      <xdr:row>16</xdr:row>
      <xdr:rowOff>66675</xdr:rowOff>
    </xdr:to>
    <xdr:sp macro="" textlink="">
      <xdr:nvSpPr>
        <xdr:cNvPr id="86" name="KOM_1_Text"/>
        <xdr:cNvSpPr txBox="1"/>
      </xdr:nvSpPr>
      <xdr:spPr>
        <a:xfrm>
          <a:off x="9448800" y="2857500"/>
          <a:ext cx="2771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Die Anzahl der überwachten Versicherungsnummern wird langsam aber stetig reduziert.</a:t>
          </a:r>
        </a:p>
      </xdr:txBody>
    </xdr:sp>
    <xdr:clientData/>
  </xdr:twoCellAnchor>
  <xdr:twoCellAnchor editAs="absolute">
    <xdr:from>
      <xdr:col>13</xdr:col>
      <xdr:colOff>571500</xdr:colOff>
      <xdr:row>16</xdr:row>
      <xdr:rowOff>133350</xdr:rowOff>
    </xdr:from>
    <xdr:to>
      <xdr:col>14</xdr:col>
      <xdr:colOff>190500</xdr:colOff>
      <xdr:row>17</xdr:row>
      <xdr:rowOff>104775</xdr:rowOff>
    </xdr:to>
    <xdr:sp macro="" textlink="">
      <xdr:nvSpPr>
        <xdr:cNvPr id="87" name="KOM_2_Nr"/>
        <xdr:cNvSpPr txBox="1"/>
      </xdr:nvSpPr>
      <xdr:spPr>
        <a:xfrm>
          <a:off x="9115425" y="31813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16</xdr:row>
      <xdr:rowOff>133350</xdr:rowOff>
    </xdr:from>
    <xdr:to>
      <xdr:col>18</xdr:col>
      <xdr:colOff>390525</xdr:colOff>
      <xdr:row>17</xdr:row>
      <xdr:rowOff>104775</xdr:rowOff>
    </xdr:to>
    <xdr:sp macro="" textlink="">
      <xdr:nvSpPr>
        <xdr:cNvPr id="88" name="KOM_2_Ueb"/>
        <xdr:cNvSpPr txBox="1"/>
      </xdr:nvSpPr>
      <xdr:spPr>
        <a:xfrm>
          <a:off x="9448800" y="31813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Techn. Arbeitsanweisung</a:t>
          </a:r>
        </a:p>
      </xdr:txBody>
    </xdr:sp>
    <xdr:clientData/>
  </xdr:twoCellAnchor>
  <xdr:twoCellAnchor editAs="absolute">
    <xdr:from>
      <xdr:col>14</xdr:col>
      <xdr:colOff>247650</xdr:colOff>
      <xdr:row>17</xdr:row>
      <xdr:rowOff>104775</xdr:rowOff>
    </xdr:from>
    <xdr:to>
      <xdr:col>18</xdr:col>
      <xdr:colOff>390525</xdr:colOff>
      <xdr:row>18</xdr:row>
      <xdr:rowOff>57150</xdr:rowOff>
    </xdr:to>
    <xdr:sp macro="" textlink="">
      <xdr:nvSpPr>
        <xdr:cNvPr id="89" name="KOM_2_Text"/>
        <xdr:cNvSpPr txBox="1"/>
      </xdr:nvSpPr>
      <xdr:spPr>
        <a:xfrm>
          <a:off x="9448800" y="334327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Geplant ist der Rückstandsabbau bis Q4 2026.</a:t>
          </a:r>
        </a:p>
      </xdr:txBody>
    </xdr:sp>
    <xdr:clientData/>
  </xdr:twoCellAnchor>
  <xdr:twoCellAnchor editAs="absolute">
    <xdr:from>
      <xdr:col>13</xdr:col>
      <xdr:colOff>571500</xdr:colOff>
      <xdr:row>18</xdr:row>
      <xdr:rowOff>123825</xdr:rowOff>
    </xdr:from>
    <xdr:to>
      <xdr:col>14</xdr:col>
      <xdr:colOff>190500</xdr:colOff>
      <xdr:row>19</xdr:row>
      <xdr:rowOff>95250</xdr:rowOff>
    </xdr:to>
    <xdr:sp macro="" textlink="">
      <xdr:nvSpPr>
        <xdr:cNvPr id="90" name="KOM_3_Nr"/>
        <xdr:cNvSpPr txBox="1"/>
      </xdr:nvSpPr>
      <xdr:spPr>
        <a:xfrm>
          <a:off x="9115425" y="3552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a:t>
          </a:r>
        </a:p>
      </xdr:txBody>
    </xdr:sp>
    <xdr:clientData/>
  </xdr:twoCellAnchor>
  <xdr:twoCellAnchor editAs="absolute">
    <xdr:from>
      <xdr:col>14</xdr:col>
      <xdr:colOff>247650</xdr:colOff>
      <xdr:row>18</xdr:row>
      <xdr:rowOff>123825</xdr:rowOff>
    </xdr:from>
    <xdr:to>
      <xdr:col>18</xdr:col>
      <xdr:colOff>390525</xdr:colOff>
      <xdr:row>19</xdr:row>
      <xdr:rowOff>95250</xdr:rowOff>
    </xdr:to>
    <xdr:sp macro="" textlink="">
      <xdr:nvSpPr>
        <xdr:cNvPr id="91" name="KOM_3_Ueb"/>
        <xdr:cNvSpPr txBox="1"/>
      </xdr:nvSpPr>
      <xdr:spPr>
        <a:xfrm>
          <a:off x="9448800" y="3552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 Fixing (CPE)</a:t>
          </a:r>
        </a:p>
      </xdr:txBody>
    </xdr:sp>
    <xdr:clientData/>
  </xdr:twoCellAnchor>
  <xdr:twoCellAnchor editAs="absolute">
    <xdr:from>
      <xdr:col>14</xdr:col>
      <xdr:colOff>247650</xdr:colOff>
      <xdr:row>19</xdr:row>
      <xdr:rowOff>95250</xdr:rowOff>
    </xdr:from>
    <xdr:to>
      <xdr:col>18</xdr:col>
      <xdr:colOff>390525</xdr:colOff>
      <xdr:row>20</xdr:row>
      <xdr:rowOff>47625</xdr:rowOff>
    </xdr:to>
    <xdr:sp macro="" textlink="">
      <xdr:nvSpPr>
        <xdr:cNvPr id="92" name="KOM_3_Text"/>
        <xdr:cNvSpPr txBox="1"/>
      </xdr:nvSpPr>
      <xdr:spPr>
        <a:xfrm>
          <a:off x="9448800" y="3714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Woche gibt es keine Veränderungen.</a:t>
          </a:r>
        </a:p>
      </xdr:txBody>
    </xdr:sp>
    <xdr:clientData/>
  </xdr:twoCellAnchor>
  <xdr:twoCellAnchor editAs="absolute">
    <xdr:from>
      <xdr:col>13</xdr:col>
      <xdr:colOff>571500</xdr:colOff>
      <xdr:row>20</xdr:row>
      <xdr:rowOff>114300</xdr:rowOff>
    </xdr:from>
    <xdr:to>
      <xdr:col>14</xdr:col>
      <xdr:colOff>190500</xdr:colOff>
      <xdr:row>21</xdr:row>
      <xdr:rowOff>85725</xdr:rowOff>
    </xdr:to>
    <xdr:sp macro="" textlink="">
      <xdr:nvSpPr>
        <xdr:cNvPr id="93" name="KOM_4_Nr"/>
        <xdr:cNvSpPr txBox="1"/>
      </xdr:nvSpPr>
      <xdr:spPr>
        <a:xfrm>
          <a:off x="9115425" y="3924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5</a:t>
          </a:r>
        </a:p>
      </xdr:txBody>
    </xdr:sp>
    <xdr:clientData/>
  </xdr:twoCellAnchor>
  <xdr:twoCellAnchor editAs="absolute">
    <xdr:from>
      <xdr:col>14</xdr:col>
      <xdr:colOff>247650</xdr:colOff>
      <xdr:row>20</xdr:row>
      <xdr:rowOff>114300</xdr:rowOff>
    </xdr:from>
    <xdr:to>
      <xdr:col>18</xdr:col>
      <xdr:colOff>390525</xdr:colOff>
      <xdr:row>21</xdr:row>
      <xdr:rowOff>85725</xdr:rowOff>
    </xdr:to>
    <xdr:sp macro="" textlink="">
      <xdr:nvSpPr>
        <xdr:cNvPr id="94" name="KOM_4_Ueb"/>
        <xdr:cNvSpPr txBox="1"/>
      </xdr:nvSpPr>
      <xdr:spPr>
        <a:xfrm>
          <a:off x="9448800" y="3924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Defects im operativen Betrieb</a:t>
          </a:r>
        </a:p>
      </xdr:txBody>
    </xdr:sp>
    <xdr:clientData/>
  </xdr:twoCellAnchor>
  <xdr:twoCellAnchor editAs="absolute">
    <xdr:from>
      <xdr:col>14</xdr:col>
      <xdr:colOff>247650</xdr:colOff>
      <xdr:row>21</xdr:row>
      <xdr:rowOff>95250</xdr:rowOff>
    </xdr:from>
    <xdr:to>
      <xdr:col>18</xdr:col>
      <xdr:colOff>390525</xdr:colOff>
      <xdr:row>24</xdr:row>
      <xdr:rowOff>133350</xdr:rowOff>
    </xdr:to>
    <xdr:sp macro="" textlink="">
      <xdr:nvSpPr>
        <xdr:cNvPr id="95" name="KOM_4_Text"/>
        <xdr:cNvSpPr txBox="1"/>
      </xdr:nvSpPr>
      <xdr:spPr>
        <a:xfrm>
          <a:off x="9448800" y="4095750"/>
          <a:ext cx="2771775"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Vorwoche ist die Anzahl Defects gleich geblieben.</a:t>
          </a:r>
        </a:p>
        <a:p>
          <a:pPr marL="101600" indent="-101600">
            <a:spcAft>
              <a:spcPts val="100"/>
            </a:spcAft>
            <a:buFont typeface="Arial"/>
            <a:buChar char="•"/>
          </a:pPr>
          <a:r>
            <a:rPr lang="de-DE" sz="700">
              <a:solidFill>
                <a:srgbClr val="4A4A4A"/>
              </a:solidFill>
              <a:latin typeface="Arial"/>
              <a:cs typeface="Arial"/>
            </a:rPr>
            <a:t>Der INC5754365 "Falsche Anzeige im Bew.Korr.Faktor (Beleg) " wurde neu eingestuft von Sev 3 auf Sev 2.</a:t>
          </a:r>
        </a:p>
        <a:p>
          <a:pPr marL="101600" indent="-101600">
            <a:spcAft>
              <a:spcPts val="100"/>
            </a:spcAft>
            <a:buFont typeface="Arial"/>
            <a:buChar char="•"/>
          </a:pPr>
          <a:r>
            <a:rPr lang="de-DE" sz="700">
              <a:solidFill>
                <a:srgbClr val="4A4A4A"/>
              </a:solidFill>
              <a:latin typeface="Arial"/>
              <a:cs typeface="Arial"/>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44</xdr:row>
      <xdr:rowOff>47625</xdr:rowOff>
    </xdr:to>
    <xdr:sp macro="" textlink="">
      <xdr:nvSpPr>
        <xdr:cNvPr id="8" name="DEKO_Panel"/>
        <xdr:cNvSpPr txBox="1"/>
      </xdr:nvSpPr>
      <xdr:spPr>
        <a:xfrm>
          <a:off x="8963025" y="685800"/>
          <a:ext cx="3457575" cy="7743825"/>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7</xdr:col>
      <xdr:colOff>123825</xdr:colOff>
      <xdr:row>11</xdr:row>
      <xdr:rowOff>171450</xdr:rowOff>
    </xdr:to>
    <xdr:sp macro="" textlink="">
      <xdr:nvSpPr>
        <xdr:cNvPr id="16" name="K1_Kopf"/>
        <xdr:cNvSpPr txBox="1"/>
      </xdr:nvSpPr>
      <xdr:spPr>
        <a:xfrm>
          <a:off x="733425" y="200977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7</xdr:col>
      <xdr:colOff>123825</xdr:colOff>
      <xdr:row>22</xdr:row>
      <xdr:rowOff>171450</xdr:rowOff>
    </xdr:to>
    <xdr:sp macro="" textlink="">
      <xdr:nvSpPr>
        <xdr:cNvPr id="19" name="K1_Grund"/>
        <xdr:cNvSpPr txBox="1"/>
      </xdr:nvSpPr>
      <xdr:spPr>
        <a:xfrm>
          <a:off x="733425" y="2257425"/>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10</xdr:row>
      <xdr:rowOff>104775</xdr:rowOff>
    </xdr:from>
    <xdr:to>
      <xdr:col>13</xdr:col>
      <xdr:colOff>276225</xdr:colOff>
      <xdr:row>11</xdr:row>
      <xdr:rowOff>171450</xdr:rowOff>
    </xdr:to>
    <xdr:sp macro="" textlink="">
      <xdr:nvSpPr>
        <xdr:cNvPr id="22" name="K2_Kopf"/>
        <xdr:cNvSpPr txBox="1"/>
      </xdr:nvSpPr>
      <xdr:spPr>
        <a:xfrm>
          <a:off x="4829175" y="200977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11</xdr:row>
      <xdr:rowOff>161925</xdr:rowOff>
    </xdr:from>
    <xdr:to>
      <xdr:col>13</xdr:col>
      <xdr:colOff>276225</xdr:colOff>
      <xdr:row>22</xdr:row>
      <xdr:rowOff>171450</xdr:rowOff>
    </xdr:to>
    <xdr:sp macro="" textlink="">
      <xdr:nvSpPr>
        <xdr:cNvPr id="25" name="K2_Grund"/>
        <xdr:cNvSpPr txBox="1"/>
      </xdr:nvSpPr>
      <xdr:spPr>
        <a:xfrm>
          <a:off x="4829175" y="2257425"/>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7</xdr:col>
      <xdr:colOff>123825</xdr:colOff>
      <xdr:row>24</xdr:row>
      <xdr:rowOff>152400</xdr:rowOff>
    </xdr:to>
    <xdr:sp macro="" textlink="">
      <xdr:nvSpPr>
        <xdr:cNvPr id="28" name="K3_Kopf"/>
        <xdr:cNvSpPr txBox="1"/>
      </xdr:nvSpPr>
      <xdr:spPr>
        <a:xfrm>
          <a:off x="733425" y="446722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7</xdr:col>
      <xdr:colOff>123825</xdr:colOff>
      <xdr:row>35</xdr:row>
      <xdr:rowOff>161925</xdr:rowOff>
    </xdr:to>
    <xdr:sp macro="" textlink="">
      <xdr:nvSpPr>
        <xdr:cNvPr id="31" name="K3_Grund"/>
        <xdr:cNvSpPr txBox="1"/>
      </xdr:nvSpPr>
      <xdr:spPr>
        <a:xfrm>
          <a:off x="733425" y="4724400"/>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23</xdr:row>
      <xdr:rowOff>85725</xdr:rowOff>
    </xdr:from>
    <xdr:to>
      <xdr:col>13</xdr:col>
      <xdr:colOff>276225</xdr:colOff>
      <xdr:row>24</xdr:row>
      <xdr:rowOff>152400</xdr:rowOff>
    </xdr:to>
    <xdr:sp macro="" textlink="">
      <xdr:nvSpPr>
        <xdr:cNvPr id="34" name="K4_Kopf"/>
        <xdr:cNvSpPr txBox="1"/>
      </xdr:nvSpPr>
      <xdr:spPr>
        <a:xfrm>
          <a:off x="4829175" y="446722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24</xdr:row>
      <xdr:rowOff>152400</xdr:rowOff>
    </xdr:from>
    <xdr:to>
      <xdr:col>13</xdr:col>
      <xdr:colOff>276225</xdr:colOff>
      <xdr:row>35</xdr:row>
      <xdr:rowOff>161925</xdr:rowOff>
    </xdr:to>
    <xdr:sp macro="" textlink="">
      <xdr:nvSpPr>
        <xdr:cNvPr id="37" name="K4_Grund"/>
        <xdr:cNvSpPr txBox="1"/>
      </xdr:nvSpPr>
      <xdr:spPr>
        <a:xfrm>
          <a:off x="4829175" y="4724400"/>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95250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247650</xdr:colOff>
      <xdr:row>12</xdr:row>
      <xdr:rowOff>161925</xdr:rowOff>
    </xdr:from>
    <xdr:to>
      <xdr:col>13</xdr:col>
      <xdr:colOff>238125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95250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247650</xdr:colOff>
      <xdr:row>25</xdr:row>
      <xdr:rowOff>152400</xdr:rowOff>
    </xdr:from>
    <xdr:to>
      <xdr:col>13</xdr:col>
      <xdr:colOff>238125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KEIN VERSAND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Interne 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7</xdr:col>
      <xdr:colOff>66675</xdr:colOff>
      <xdr:row>11</xdr:row>
      <xdr:rowOff>171450</xdr:rowOff>
    </xdr:to>
    <xdr:sp macro="" textlink="">
      <xdr:nvSpPr>
        <xdr:cNvPr id="17" name="K1_Titel"/>
        <xdr:cNvSpPr txBox="1"/>
      </xdr:nvSpPr>
      <xdr:spPr>
        <a:xfrm>
          <a:off x="1057275" y="200977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Fälle</a:t>
          </a:r>
        </a:p>
      </xdr:txBody>
    </xdr:sp>
    <xdr:clientData/>
  </xdr:twoCellAnchor>
  <xdr:twoCellAnchor editAs="absolute">
    <xdr:from>
      <xdr:col>7</xdr:col>
      <xdr:colOff>542925</xdr:colOff>
      <xdr:row>10</xdr:row>
      <xdr:rowOff>104775</xdr:rowOff>
    </xdr:from>
    <xdr:to>
      <xdr:col>13</xdr:col>
      <xdr:colOff>209550</xdr:colOff>
      <xdr:row>11</xdr:row>
      <xdr:rowOff>171450</xdr:rowOff>
    </xdr:to>
    <xdr:sp macro="" textlink="">
      <xdr:nvSpPr>
        <xdr:cNvPr id="23" name="K2_Titel"/>
        <xdr:cNvSpPr txBox="1"/>
      </xdr:nvSpPr>
      <xdr:spPr>
        <a:xfrm>
          <a:off x="5143500" y="200977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Bestandszugriffe</a:t>
          </a:r>
        </a:p>
      </xdr:txBody>
    </xdr:sp>
    <xdr:clientData/>
  </xdr:twoCellAnchor>
  <xdr:twoCellAnchor editAs="absolute">
    <xdr:from>
      <xdr:col>7</xdr:col>
      <xdr:colOff>304800</xdr:colOff>
      <xdr:row>10</xdr:row>
      <xdr:rowOff>142875</xdr:rowOff>
    </xdr:from>
    <xdr:to>
      <xdr:col>7</xdr:col>
      <xdr:colOff>466725</xdr:colOff>
      <xdr:row>11</xdr:row>
      <xdr:rowOff>114300</xdr:rowOff>
    </xdr:to>
    <xdr:sp macro="" textlink="">
      <xdr:nvSpPr>
        <xdr:cNvPr id="24" name="K2_Nr"/>
        <xdr:cNvSpPr txBox="1"/>
      </xdr:nvSpPr>
      <xdr:spPr>
        <a:xfrm>
          <a:off x="49053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2</a:t>
          </a:r>
        </a:p>
      </xdr:txBody>
    </xdr:sp>
    <xdr:clientData/>
  </xdr:twoCellAnchor>
  <xdr:twoCellAnchor editAs="absolute">
    <xdr:from>
      <xdr:col>7</xdr:col>
      <xdr:colOff>304800</xdr:colOff>
      <xdr:row>12</xdr:row>
      <xdr:rowOff>66675</xdr:rowOff>
    </xdr:from>
    <xdr:to>
      <xdr:col>7</xdr:col>
      <xdr:colOff>428625</xdr:colOff>
      <xdr:row>12</xdr:row>
      <xdr:rowOff>85725</xdr:rowOff>
    </xdr:to>
    <xdr:sp macro="" textlink="">
      <xdr:nvSpPr>
        <xdr:cNvPr id="26" name="K2_Leg0S"/>
        <xdr:cNvSpPr txBox="1"/>
      </xdr:nvSpPr>
      <xdr:spPr>
        <a:xfrm>
          <a:off x="49053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12</xdr:row>
      <xdr:rowOff>28575</xdr:rowOff>
    </xdr:from>
    <xdr:to>
      <xdr:col>8</xdr:col>
      <xdr:colOff>514350</xdr:colOff>
      <xdr:row>12</xdr:row>
      <xdr:rowOff>133350</xdr:rowOff>
    </xdr:to>
    <xdr:sp macro="" textlink="">
      <xdr:nvSpPr>
        <xdr:cNvPr id="27" name="K2_Leg0"/>
        <xdr:cNvSpPr txBox="1"/>
      </xdr:nvSpPr>
      <xdr:spPr>
        <a:xfrm>
          <a:off x="50673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1</xdr:col>
      <xdr:colOff>400050</xdr:colOff>
      <xdr:row>23</xdr:row>
      <xdr:rowOff>85725</xdr:rowOff>
    </xdr:from>
    <xdr:to>
      <xdr:col>7</xdr:col>
      <xdr:colOff>66675</xdr:colOff>
      <xdr:row>24</xdr:row>
      <xdr:rowOff>152400</xdr:rowOff>
    </xdr:to>
    <xdr:sp macro="" textlink="">
      <xdr:nvSpPr>
        <xdr:cNvPr id="29" name="K3_Titel"/>
        <xdr:cNvSpPr txBox="1"/>
      </xdr:nvSpPr>
      <xdr:spPr>
        <a:xfrm>
          <a:off x="1057275" y="446722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7</xdr:col>
      <xdr:colOff>542925</xdr:colOff>
      <xdr:row>23</xdr:row>
      <xdr:rowOff>85725</xdr:rowOff>
    </xdr:from>
    <xdr:to>
      <xdr:col>13</xdr:col>
      <xdr:colOff>209550</xdr:colOff>
      <xdr:row>24</xdr:row>
      <xdr:rowOff>152400</xdr:rowOff>
    </xdr:to>
    <xdr:sp macro="" textlink="">
      <xdr:nvSpPr>
        <xdr:cNvPr id="35" name="K4_Titel"/>
        <xdr:cNvSpPr txBox="1"/>
      </xdr:nvSpPr>
      <xdr:spPr>
        <a:xfrm>
          <a:off x="5143500" y="446722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Sonderthema: Generalquittung</a:t>
          </a:r>
        </a:p>
      </xdr:txBody>
    </xdr:sp>
    <xdr:clientData/>
  </xdr:twoCellAnchor>
  <xdr:twoCellAnchor editAs="absolute">
    <xdr:from>
      <xdr:col>7</xdr:col>
      <xdr:colOff>304800</xdr:colOff>
      <xdr:row>23</xdr:row>
      <xdr:rowOff>133350</xdr:rowOff>
    </xdr:from>
    <xdr:to>
      <xdr:col>7</xdr:col>
      <xdr:colOff>466725</xdr:colOff>
      <xdr:row>24</xdr:row>
      <xdr:rowOff>104775</xdr:rowOff>
    </xdr:to>
    <xdr:sp macro="" textlink="">
      <xdr:nvSpPr>
        <xdr:cNvPr id="36" name="K4_Nr"/>
        <xdr:cNvSpPr txBox="1"/>
      </xdr:nvSpPr>
      <xdr:spPr>
        <a:xfrm>
          <a:off x="49053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4</a:t>
          </a:r>
        </a:p>
      </xdr:txBody>
    </xdr:sp>
    <xdr:clientData/>
  </xdr:twoCellAnchor>
  <xdr:twoCellAnchor editAs="absolute">
    <xdr:from>
      <xdr:col>7</xdr:col>
      <xdr:colOff>304800</xdr:colOff>
      <xdr:row>25</xdr:row>
      <xdr:rowOff>57150</xdr:rowOff>
    </xdr:from>
    <xdr:to>
      <xdr:col>7</xdr:col>
      <xdr:colOff>428625</xdr:colOff>
      <xdr:row>25</xdr:row>
      <xdr:rowOff>76200</xdr:rowOff>
    </xdr:to>
    <xdr:sp macro="" textlink="">
      <xdr:nvSpPr>
        <xdr:cNvPr id="38" name="K4_Leg0S"/>
        <xdr:cNvSpPr txBox="1"/>
      </xdr:nvSpPr>
      <xdr:spPr>
        <a:xfrm>
          <a:off x="49053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25</xdr:row>
      <xdr:rowOff>9525</xdr:rowOff>
    </xdr:from>
    <xdr:to>
      <xdr:col>8</xdr:col>
      <xdr:colOff>504825</xdr:colOff>
      <xdr:row>25</xdr:row>
      <xdr:rowOff>114300</xdr:rowOff>
    </xdr:to>
    <xdr:sp macro="" textlink="">
      <xdr:nvSpPr>
        <xdr:cNvPr id="39" name="K4_Leg0"/>
        <xdr:cNvSpPr txBox="1"/>
      </xdr:nvSpPr>
      <xdr:spPr>
        <a:xfrm>
          <a:off x="50673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791</v>
      </c>
    </row>
    <row r="3" spans="2:10" ht="16.5" customHeight="1">
      <c r="B3" s="2">
        <f>Konfiguration!C16</f>
        <v>0</v>
      </c>
    </row>
    <row r="5" spans="2:10" ht="16.5" customHeight="1">
      <c r="B5" s="3" t="s">
        <v>320</v>
      </c>
      <c r="G5" s="3" t="s">
        <v>798</v>
      </c>
    </row>
    <row r="6" spans="2:10" ht="16.5" customHeight="1">
      <c r="B6" s="4">
        <f>Berichtstag</f>
        <v>0</v>
      </c>
      <c r="C6" s="4"/>
      <c r="D6" s="5">
        <f>"KW "&amp;_xlfn.ISOWEEKNUM(Berichtstag)</f>
        <v>0</v>
      </c>
      <c r="G6" s="6" t="s">
        <v>799</v>
      </c>
      <c r="H6" s="7" t="s">
        <v>800</v>
      </c>
      <c r="I6" s="7" t="s">
        <v>801</v>
      </c>
      <c r="J6" s="7" t="s">
        <v>802</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792</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793</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794</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795</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796</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797</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803</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674</v>
      </c>
    </row>
    <row r="2" spans="2:8">
      <c r="B2" s="2">
        <f>"Letzter und davor liegender Eintrag je Kennzahl · Berichtstag "&amp;TEXT(DAY(Berichtstag),"00")&amp;"."&amp;TEXT(MONTH(Berichtstag),"00")&amp;"."&amp;YEAR(Berichtstag)</f>
        <v>0</v>
      </c>
    </row>
    <row r="4" spans="2:8" ht="22" customHeight="1">
      <c r="B4" s="6" t="s">
        <v>2</v>
      </c>
      <c r="C4" s="6" t="s">
        <v>3</v>
      </c>
      <c r="D4" s="7" t="s">
        <v>675</v>
      </c>
      <c r="E4" s="7" t="s">
        <v>676</v>
      </c>
      <c r="F4" s="7" t="s">
        <v>677</v>
      </c>
      <c r="G4" s="7" t="s">
        <v>676</v>
      </c>
      <c r="H4" s="7" t="s">
        <v>678</v>
      </c>
    </row>
    <row r="5" spans="2:8">
      <c r="B5" s="16" t="s">
        <v>86</v>
      </c>
      <c r="C5" s="17" t="s">
        <v>415</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679</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680</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681</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682</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683</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449</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684</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685</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686</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687</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688</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689</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690</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691</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692</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693</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694</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695</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696</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697</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469</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471</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477</v>
      </c>
      <c r="C28" s="17" t="s">
        <v>698</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479</v>
      </c>
      <c r="C29" s="17" t="s">
        <v>699</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700</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701</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702</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703</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704</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705</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706</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804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381</v>
      </c>
      <c r="B1" s="6" t="s">
        <v>382</v>
      </c>
      <c r="C1" s="6" t="s">
        <v>383</v>
      </c>
      <c r="D1" s="6" t="s">
        <v>384</v>
      </c>
      <c r="E1" s="6" t="s">
        <v>385</v>
      </c>
      <c r="F1" s="6" t="s">
        <v>386</v>
      </c>
      <c r="G1" s="6" t="s">
        <v>387</v>
      </c>
      <c r="H1" s="6" t="s">
        <v>388</v>
      </c>
      <c r="I1" s="20">
        <v>45324</v>
      </c>
      <c r="J1" s="21" t="s">
        <v>389</v>
      </c>
      <c r="K1" s="20">
        <v>45330</v>
      </c>
      <c r="L1" s="21" t="s">
        <v>389</v>
      </c>
      <c r="M1" s="20">
        <v>45337</v>
      </c>
      <c r="N1" s="21" t="s">
        <v>389</v>
      </c>
      <c r="O1" s="20">
        <v>45344</v>
      </c>
      <c r="P1" s="21" t="s">
        <v>389</v>
      </c>
      <c r="Q1" s="20">
        <v>45351</v>
      </c>
      <c r="R1" s="21" t="s">
        <v>389</v>
      </c>
      <c r="S1" s="20">
        <v>45358</v>
      </c>
      <c r="T1" s="21" t="s">
        <v>389</v>
      </c>
      <c r="U1" s="20">
        <v>45365</v>
      </c>
      <c r="V1" s="21" t="s">
        <v>389</v>
      </c>
      <c r="W1" s="20">
        <v>45372</v>
      </c>
      <c r="X1" s="21" t="s">
        <v>389</v>
      </c>
      <c r="Y1" s="20">
        <v>45379</v>
      </c>
      <c r="Z1" s="21" t="s">
        <v>389</v>
      </c>
      <c r="AA1" s="20">
        <v>45386</v>
      </c>
      <c r="AB1" s="21" t="s">
        <v>389</v>
      </c>
      <c r="AC1" s="20">
        <v>45393</v>
      </c>
      <c r="AD1" s="21" t="s">
        <v>389</v>
      </c>
      <c r="AE1" s="20">
        <v>45400</v>
      </c>
      <c r="AF1" s="21" t="s">
        <v>389</v>
      </c>
      <c r="AG1" s="20">
        <v>45407</v>
      </c>
      <c r="AH1" s="21" t="s">
        <v>389</v>
      </c>
      <c r="AI1" s="20">
        <v>45414</v>
      </c>
      <c r="AJ1" s="21" t="s">
        <v>389</v>
      </c>
      <c r="AK1" s="20">
        <v>45420</v>
      </c>
      <c r="AL1" s="21" t="s">
        <v>389</v>
      </c>
      <c r="AM1" s="20">
        <v>45428</v>
      </c>
      <c r="AN1" s="21" t="s">
        <v>389</v>
      </c>
      <c r="AO1" s="20">
        <v>45435</v>
      </c>
      <c r="AP1" s="21" t="s">
        <v>389</v>
      </c>
      <c r="AQ1" s="20">
        <v>45443</v>
      </c>
      <c r="AR1" s="21" t="s">
        <v>389</v>
      </c>
      <c r="AS1" s="20">
        <v>45456</v>
      </c>
      <c r="AT1" s="21" t="s">
        <v>389</v>
      </c>
      <c r="AU1" s="20">
        <v>45463</v>
      </c>
      <c r="AV1" s="21" t="s">
        <v>389</v>
      </c>
      <c r="AW1" s="20">
        <v>45470</v>
      </c>
      <c r="AX1" s="21" t="s">
        <v>389</v>
      </c>
      <c r="AY1" s="20">
        <v>45477</v>
      </c>
      <c r="AZ1" s="21" t="s">
        <v>389</v>
      </c>
      <c r="BA1" s="20">
        <v>45484</v>
      </c>
      <c r="BB1" s="21" t="s">
        <v>389</v>
      </c>
      <c r="BC1" s="20">
        <v>45491</v>
      </c>
      <c r="BD1" s="21" t="s">
        <v>389</v>
      </c>
      <c r="BE1" s="20">
        <v>45498</v>
      </c>
      <c r="BF1" s="21" t="s">
        <v>389</v>
      </c>
      <c r="BG1" s="20">
        <v>45505</v>
      </c>
      <c r="BH1" s="21" t="s">
        <v>389</v>
      </c>
      <c r="BI1" s="20">
        <v>45512</v>
      </c>
      <c r="BJ1" s="21" t="s">
        <v>389</v>
      </c>
      <c r="BK1" s="20">
        <v>45520</v>
      </c>
      <c r="BL1" s="21" t="s">
        <v>389</v>
      </c>
      <c r="BM1" s="20">
        <v>45526</v>
      </c>
      <c r="BN1" s="21" t="s">
        <v>389</v>
      </c>
      <c r="BO1" s="20">
        <v>45533</v>
      </c>
      <c r="BP1" s="21" t="s">
        <v>389</v>
      </c>
      <c r="BQ1" s="20">
        <v>45540</v>
      </c>
      <c r="BR1" s="21" t="s">
        <v>389</v>
      </c>
      <c r="BS1" s="20">
        <v>45547</v>
      </c>
      <c r="BT1" s="21" t="s">
        <v>389</v>
      </c>
      <c r="BU1" s="20">
        <v>45554</v>
      </c>
      <c r="BV1" s="21" t="s">
        <v>389</v>
      </c>
      <c r="BW1" s="20">
        <v>45561</v>
      </c>
      <c r="BX1" s="21" t="s">
        <v>389</v>
      </c>
      <c r="BY1" s="20">
        <v>45567</v>
      </c>
      <c r="BZ1" s="21" t="s">
        <v>389</v>
      </c>
      <c r="CA1" s="20">
        <v>45575</v>
      </c>
      <c r="CB1" s="21" t="s">
        <v>389</v>
      </c>
      <c r="CC1" s="20">
        <v>45582</v>
      </c>
      <c r="CD1" s="21" t="s">
        <v>389</v>
      </c>
      <c r="CE1" s="20">
        <v>45589</v>
      </c>
      <c r="CF1" s="21" t="s">
        <v>389</v>
      </c>
      <c r="CG1" s="20">
        <v>45596</v>
      </c>
      <c r="CH1" s="21" t="s">
        <v>389</v>
      </c>
      <c r="CI1" s="20">
        <v>45603</v>
      </c>
      <c r="CJ1" s="21" t="s">
        <v>389</v>
      </c>
      <c r="CK1" s="20">
        <v>45610</v>
      </c>
      <c r="CL1" s="21" t="s">
        <v>389</v>
      </c>
      <c r="CM1" s="20">
        <v>45617</v>
      </c>
      <c r="CN1" s="21" t="s">
        <v>389</v>
      </c>
      <c r="CO1" s="20">
        <v>45624</v>
      </c>
      <c r="CP1" s="21" t="s">
        <v>389</v>
      </c>
      <c r="CQ1" s="20">
        <v>45631</v>
      </c>
      <c r="CR1" s="21" t="s">
        <v>389</v>
      </c>
      <c r="CS1" s="20">
        <v>45638</v>
      </c>
      <c r="CT1" s="21" t="s">
        <v>389</v>
      </c>
      <c r="CU1" s="20">
        <v>45645</v>
      </c>
      <c r="CV1" s="21" t="s">
        <v>389</v>
      </c>
      <c r="CW1" s="20">
        <v>45660</v>
      </c>
      <c r="CX1" s="21" t="s">
        <v>389</v>
      </c>
      <c r="CY1" s="20">
        <v>45663</v>
      </c>
      <c r="CZ1" s="21" t="s">
        <v>389</v>
      </c>
      <c r="DA1" s="20">
        <v>45674</v>
      </c>
      <c r="DB1" s="21" t="s">
        <v>389</v>
      </c>
      <c r="DC1" s="20">
        <v>45681</v>
      </c>
      <c r="DD1" s="21" t="s">
        <v>389</v>
      </c>
      <c r="DE1" s="20">
        <v>45688</v>
      </c>
      <c r="DF1" s="21" t="s">
        <v>389</v>
      </c>
      <c r="DG1" s="20">
        <v>45695</v>
      </c>
      <c r="DH1" s="21" t="s">
        <v>389</v>
      </c>
      <c r="DI1" s="20">
        <v>45702</v>
      </c>
      <c r="DJ1" s="21" t="s">
        <v>389</v>
      </c>
      <c r="DK1" s="20">
        <v>45709</v>
      </c>
      <c r="DL1" s="21" t="s">
        <v>389</v>
      </c>
      <c r="DM1" s="20">
        <v>45716</v>
      </c>
      <c r="DN1" s="21" t="s">
        <v>389</v>
      </c>
      <c r="DO1" s="20">
        <v>45723</v>
      </c>
      <c r="DP1" s="21" t="s">
        <v>389</v>
      </c>
      <c r="DQ1" s="20">
        <v>45730</v>
      </c>
      <c r="DR1" s="21" t="s">
        <v>389</v>
      </c>
      <c r="DS1" s="20">
        <v>45737</v>
      </c>
      <c r="DT1" s="21" t="s">
        <v>389</v>
      </c>
      <c r="DU1" s="20">
        <v>45744</v>
      </c>
      <c r="DV1" s="21" t="s">
        <v>389</v>
      </c>
      <c r="DW1" s="20">
        <v>45751</v>
      </c>
      <c r="DX1" s="21" t="s">
        <v>389</v>
      </c>
      <c r="DY1" s="20">
        <v>45758</v>
      </c>
      <c r="DZ1" s="21" t="s">
        <v>389</v>
      </c>
      <c r="EA1" s="20">
        <v>45764</v>
      </c>
      <c r="EB1" s="21" t="s">
        <v>389</v>
      </c>
      <c r="EC1" s="20">
        <v>45772</v>
      </c>
      <c r="ED1" s="21" t="s">
        <v>389</v>
      </c>
      <c r="EE1" s="20">
        <v>45779</v>
      </c>
      <c r="EF1" s="21" t="s">
        <v>389</v>
      </c>
      <c r="EG1" s="20">
        <v>45786</v>
      </c>
      <c r="EH1" s="21" t="s">
        <v>389</v>
      </c>
      <c r="EI1" s="20">
        <v>45793</v>
      </c>
      <c r="EJ1" s="21" t="s">
        <v>389</v>
      </c>
      <c r="EK1" s="20">
        <v>45800</v>
      </c>
      <c r="EL1" s="21" t="s">
        <v>389</v>
      </c>
      <c r="EM1" s="20">
        <v>45807</v>
      </c>
      <c r="EN1" s="21" t="s">
        <v>389</v>
      </c>
      <c r="EO1" s="20">
        <v>45814</v>
      </c>
      <c r="EP1" s="21" t="s">
        <v>389</v>
      </c>
      <c r="EQ1" s="20">
        <v>45821</v>
      </c>
      <c r="ER1" s="21" t="s">
        <v>389</v>
      </c>
      <c r="ES1" s="20">
        <v>45828</v>
      </c>
      <c r="ET1" s="21" t="s">
        <v>389</v>
      </c>
      <c r="EU1" s="20">
        <v>45835</v>
      </c>
      <c r="EV1" s="21" t="s">
        <v>389</v>
      </c>
      <c r="EW1" s="20">
        <v>45842</v>
      </c>
      <c r="EX1" s="21" t="s">
        <v>389</v>
      </c>
      <c r="EY1" s="20">
        <v>45849</v>
      </c>
      <c r="EZ1" s="21" t="s">
        <v>389</v>
      </c>
      <c r="FA1" s="20">
        <v>45856</v>
      </c>
      <c r="FB1" s="21" t="s">
        <v>389</v>
      </c>
      <c r="FC1" s="20">
        <v>45863</v>
      </c>
      <c r="FD1" s="21" t="s">
        <v>389</v>
      </c>
      <c r="FE1" s="20">
        <v>45870</v>
      </c>
      <c r="FF1" s="21" t="s">
        <v>389</v>
      </c>
      <c r="FG1" s="20">
        <v>45877</v>
      </c>
      <c r="FH1" s="21" t="s">
        <v>389</v>
      </c>
      <c r="FI1" s="20">
        <v>45884</v>
      </c>
      <c r="FJ1" s="21" t="s">
        <v>389</v>
      </c>
      <c r="FK1" s="20">
        <v>45891</v>
      </c>
      <c r="FL1" s="21" t="s">
        <v>389</v>
      </c>
      <c r="FM1" s="20">
        <v>45898</v>
      </c>
      <c r="FN1" s="21" t="s">
        <v>389</v>
      </c>
      <c r="FO1" s="20">
        <v>45905</v>
      </c>
      <c r="FP1" s="21" t="s">
        <v>389</v>
      </c>
      <c r="FQ1" s="20">
        <v>45912</v>
      </c>
      <c r="FR1" s="21" t="s">
        <v>389</v>
      </c>
      <c r="FS1" s="20">
        <v>45919</v>
      </c>
      <c r="FT1" s="21" t="s">
        <v>389</v>
      </c>
      <c r="FU1" s="20">
        <v>45926</v>
      </c>
      <c r="FV1" s="21" t="s">
        <v>389</v>
      </c>
      <c r="FW1" s="20">
        <v>45933</v>
      </c>
      <c r="FX1" s="21" t="s">
        <v>389</v>
      </c>
      <c r="FY1" s="20">
        <v>45940</v>
      </c>
      <c r="FZ1" s="21" t="s">
        <v>389</v>
      </c>
      <c r="GA1" s="20">
        <v>45947</v>
      </c>
      <c r="GB1" s="21" t="s">
        <v>389</v>
      </c>
      <c r="GC1" s="20">
        <v>45954</v>
      </c>
      <c r="GD1" s="21" t="s">
        <v>389</v>
      </c>
      <c r="GE1" s="20">
        <v>45961</v>
      </c>
      <c r="GF1" s="21" t="s">
        <v>389</v>
      </c>
      <c r="GG1" s="20">
        <v>45968</v>
      </c>
      <c r="GH1" s="21" t="s">
        <v>389</v>
      </c>
      <c r="GI1" s="20">
        <v>45975</v>
      </c>
      <c r="GJ1" s="21" t="s">
        <v>389</v>
      </c>
      <c r="GK1" s="20">
        <v>45982</v>
      </c>
      <c r="GL1" s="21" t="s">
        <v>389</v>
      </c>
      <c r="GM1" s="20">
        <v>45989</v>
      </c>
      <c r="GN1" s="21" t="s">
        <v>389</v>
      </c>
      <c r="GO1" s="20">
        <v>45996</v>
      </c>
      <c r="GP1" s="21" t="s">
        <v>389</v>
      </c>
      <c r="GQ1" s="20">
        <v>46003</v>
      </c>
      <c r="GR1" s="21" t="s">
        <v>389</v>
      </c>
      <c r="GS1" s="20">
        <v>46010</v>
      </c>
      <c r="GT1" s="21" t="s">
        <v>389</v>
      </c>
      <c r="GU1" s="20">
        <v>46017</v>
      </c>
      <c r="GV1" s="21" t="s">
        <v>389</v>
      </c>
      <c r="GW1" s="20">
        <v>46024</v>
      </c>
      <c r="GX1" s="21" t="s">
        <v>389</v>
      </c>
      <c r="GY1" s="20">
        <v>46031</v>
      </c>
      <c r="GZ1" s="21" t="s">
        <v>389</v>
      </c>
      <c r="HA1" s="20">
        <v>46038</v>
      </c>
      <c r="HB1" s="21" t="s">
        <v>389</v>
      </c>
      <c r="HC1" s="20">
        <v>46045</v>
      </c>
      <c r="HD1" s="21" t="s">
        <v>389</v>
      </c>
      <c r="HE1" s="20">
        <v>46052</v>
      </c>
      <c r="HF1" s="21" t="s">
        <v>389</v>
      </c>
      <c r="HG1" s="20">
        <v>46059</v>
      </c>
      <c r="HH1" s="21" t="s">
        <v>389</v>
      </c>
      <c r="HI1" s="20">
        <v>46066</v>
      </c>
      <c r="HJ1" s="21" t="s">
        <v>389</v>
      </c>
      <c r="HK1" s="20">
        <v>46073</v>
      </c>
      <c r="HL1" s="21" t="s">
        <v>389</v>
      </c>
      <c r="HM1" s="20">
        <v>46080</v>
      </c>
      <c r="HN1" s="21" t="s">
        <v>389</v>
      </c>
      <c r="HO1" s="20">
        <v>46087</v>
      </c>
      <c r="HP1" s="21" t="s">
        <v>389</v>
      </c>
      <c r="HQ1" s="20">
        <v>46094</v>
      </c>
      <c r="HR1" s="21" t="s">
        <v>389</v>
      </c>
      <c r="HS1" s="20">
        <v>46101</v>
      </c>
      <c r="HT1" s="21" t="s">
        <v>389</v>
      </c>
      <c r="HU1" s="20">
        <v>46108</v>
      </c>
      <c r="HV1" s="21" t="s">
        <v>389</v>
      </c>
      <c r="HW1" s="20">
        <v>46115</v>
      </c>
      <c r="HX1" s="21" t="s">
        <v>389</v>
      </c>
      <c r="HY1" s="20">
        <v>46122</v>
      </c>
      <c r="HZ1" s="21" t="s">
        <v>389</v>
      </c>
      <c r="IA1" s="20">
        <v>46129</v>
      </c>
      <c r="IB1" s="21" t="s">
        <v>389</v>
      </c>
      <c r="IC1" s="20">
        <v>46136</v>
      </c>
      <c r="ID1" s="21" t="s">
        <v>389</v>
      </c>
      <c r="IE1" s="20">
        <v>46143</v>
      </c>
      <c r="IF1" s="21" t="s">
        <v>389</v>
      </c>
      <c r="IG1" s="20">
        <v>46150</v>
      </c>
      <c r="IH1" s="21" t="s">
        <v>389</v>
      </c>
      <c r="II1" s="20">
        <v>46157</v>
      </c>
      <c r="IJ1" s="21" t="s">
        <v>389</v>
      </c>
      <c r="IK1" s="20">
        <v>46164</v>
      </c>
      <c r="IL1" s="21" t="s">
        <v>389</v>
      </c>
      <c r="IM1" s="20">
        <v>46171</v>
      </c>
      <c r="IN1" s="21" t="s">
        <v>389</v>
      </c>
      <c r="IO1" s="20">
        <v>46178</v>
      </c>
      <c r="IP1" s="21" t="s">
        <v>389</v>
      </c>
      <c r="IQ1" s="20">
        <v>46185</v>
      </c>
      <c r="IR1" s="21" t="s">
        <v>389</v>
      </c>
      <c r="IS1" s="20">
        <v>46192</v>
      </c>
      <c r="IT1" s="21" t="s">
        <v>389</v>
      </c>
      <c r="IU1" s="20">
        <v>46199</v>
      </c>
      <c r="IV1" s="21" t="s">
        <v>389</v>
      </c>
      <c r="IW1" s="20">
        <v>46206</v>
      </c>
      <c r="IX1" s="21" t="s">
        <v>389</v>
      </c>
      <c r="IY1" s="20">
        <v>46213</v>
      </c>
      <c r="IZ1" s="21" t="s">
        <v>389</v>
      </c>
      <c r="JA1" s="20">
        <v>46220</v>
      </c>
      <c r="JB1" s="21" t="s">
        <v>389</v>
      </c>
      <c r="JC1" s="20">
        <v>46227</v>
      </c>
      <c r="JD1" s="21" t="s">
        <v>389</v>
      </c>
      <c r="JE1" s="20">
        <v>46234</v>
      </c>
      <c r="JF1" s="21" t="s">
        <v>389</v>
      </c>
      <c r="JG1" s="20">
        <v>46241</v>
      </c>
      <c r="JH1" s="21" t="s">
        <v>389</v>
      </c>
      <c r="JI1" s="20">
        <v>46248</v>
      </c>
      <c r="JJ1" s="21" t="s">
        <v>389</v>
      </c>
      <c r="JK1" s="20">
        <v>46255</v>
      </c>
      <c r="JL1" s="21" t="s">
        <v>389</v>
      </c>
      <c r="JM1" s="20">
        <v>46262</v>
      </c>
      <c r="JN1" s="21" t="s">
        <v>389</v>
      </c>
      <c r="JO1" s="20">
        <v>46269</v>
      </c>
      <c r="JP1" s="21" t="s">
        <v>389</v>
      </c>
      <c r="JQ1" s="20">
        <v>46276</v>
      </c>
      <c r="JR1" s="21" t="s">
        <v>389</v>
      </c>
      <c r="JS1" s="20">
        <v>46283</v>
      </c>
      <c r="JT1" s="21" t="s">
        <v>389</v>
      </c>
      <c r="JU1" s="20">
        <v>46290</v>
      </c>
      <c r="JV1" s="21" t="s">
        <v>389</v>
      </c>
      <c r="JW1" s="20">
        <v>46297</v>
      </c>
      <c r="JX1" s="21" t="s">
        <v>389</v>
      </c>
      <c r="JY1" s="20">
        <v>46304</v>
      </c>
      <c r="JZ1" s="21" t="s">
        <v>389</v>
      </c>
      <c r="KA1" s="20">
        <v>46311</v>
      </c>
      <c r="KB1" s="21" t="s">
        <v>389</v>
      </c>
      <c r="KC1" s="20">
        <v>46318</v>
      </c>
      <c r="KD1" s="21" t="s">
        <v>389</v>
      </c>
      <c r="KE1" s="20">
        <v>46325</v>
      </c>
      <c r="KF1" s="21" t="s">
        <v>389</v>
      </c>
      <c r="KG1" s="20">
        <v>46332</v>
      </c>
      <c r="KH1" s="21" t="s">
        <v>389</v>
      </c>
      <c r="KI1" s="20">
        <v>46339</v>
      </c>
      <c r="KJ1" s="21" t="s">
        <v>389</v>
      </c>
      <c r="KK1" s="20">
        <v>46346</v>
      </c>
      <c r="KL1" s="21" t="s">
        <v>389</v>
      </c>
      <c r="KM1" s="20">
        <v>46353</v>
      </c>
      <c r="KN1" s="21" t="s">
        <v>389</v>
      </c>
      <c r="KO1" s="20">
        <v>46360</v>
      </c>
      <c r="KP1" s="21" t="s">
        <v>389</v>
      </c>
      <c r="KQ1" s="20">
        <v>46367</v>
      </c>
      <c r="KR1" s="21" t="s">
        <v>389</v>
      </c>
      <c r="KS1" s="20">
        <v>46374</v>
      </c>
      <c r="KT1" s="21" t="s">
        <v>389</v>
      </c>
      <c r="KU1" s="20">
        <v>46381</v>
      </c>
      <c r="KV1" s="21" t="s">
        <v>389</v>
      </c>
      <c r="KW1" s="20">
        <v>46388</v>
      </c>
      <c r="KX1" s="21" t="s">
        <v>389</v>
      </c>
      <c r="KY1" s="20">
        <v>46395</v>
      </c>
      <c r="KZ1" s="21" t="s">
        <v>389</v>
      </c>
      <c r="LA1" s="20">
        <v>46402</v>
      </c>
      <c r="LB1" s="21" t="s">
        <v>389</v>
      </c>
      <c r="LC1" s="20">
        <v>46409</v>
      </c>
      <c r="LD1" s="21" t="s">
        <v>389</v>
      </c>
      <c r="LE1" s="20">
        <v>46416</v>
      </c>
      <c r="LF1" s="21" t="s">
        <v>389</v>
      </c>
      <c r="LG1" s="20">
        <v>46423</v>
      </c>
      <c r="LH1" s="21" t="s">
        <v>389</v>
      </c>
      <c r="LJ1" s="6" t="s">
        <v>391</v>
      </c>
    </row>
    <row r="2" spans="1:322" ht="12" customHeight="1">
      <c r="I2" s="22">
        <f>IF(COUNT(I3:I157)&gt;0,"Y","X")</f>
        <v>0</v>
      </c>
      <c r="J2" s="22" t="s">
        <v>390</v>
      </c>
      <c r="K2" s="22">
        <f>IF(COUNT(K3:K157)&gt;0,"Y","X")</f>
        <v>0</v>
      </c>
      <c r="L2" s="22" t="s">
        <v>390</v>
      </c>
      <c r="M2" s="22">
        <f>IF(COUNT(M3:M157)&gt;0,"Y","X")</f>
        <v>0</v>
      </c>
      <c r="N2" s="22" t="s">
        <v>390</v>
      </c>
      <c r="O2" s="22">
        <f>IF(COUNT(O3:O157)&gt;0,"Y","X")</f>
        <v>0</v>
      </c>
      <c r="P2" s="22" t="s">
        <v>390</v>
      </c>
      <c r="Q2" s="22">
        <f>IF(COUNT(Q3:Q157)&gt;0,"Y","X")</f>
        <v>0</v>
      </c>
      <c r="R2" s="22" t="s">
        <v>390</v>
      </c>
      <c r="S2" s="22">
        <f>IF(COUNT(S3:S157)&gt;0,"Y","X")</f>
        <v>0</v>
      </c>
      <c r="T2" s="22" t="s">
        <v>390</v>
      </c>
      <c r="U2" s="22">
        <f>IF(COUNT(U3:U157)&gt;0,"Y","X")</f>
        <v>0</v>
      </c>
      <c r="V2" s="22" t="s">
        <v>390</v>
      </c>
      <c r="W2" s="22">
        <f>IF(COUNT(W3:W157)&gt;0,"Y","X")</f>
        <v>0</v>
      </c>
      <c r="X2" s="22" t="s">
        <v>390</v>
      </c>
      <c r="Y2" s="22">
        <f>IF(COUNT(Y3:Y157)&gt;0,"Y","X")</f>
        <v>0</v>
      </c>
      <c r="Z2" s="22" t="s">
        <v>390</v>
      </c>
      <c r="AA2" s="22">
        <f>IF(COUNT(AA3:AA157)&gt;0,"Y","X")</f>
        <v>0</v>
      </c>
      <c r="AB2" s="22" t="s">
        <v>390</v>
      </c>
      <c r="AC2" s="22">
        <f>IF(COUNT(AC3:AC157)&gt;0,"Y","X")</f>
        <v>0</v>
      </c>
      <c r="AD2" s="22" t="s">
        <v>390</v>
      </c>
      <c r="AE2" s="22">
        <f>IF(COUNT(AE3:AE157)&gt;0,"Y","X")</f>
        <v>0</v>
      </c>
      <c r="AF2" s="22" t="s">
        <v>390</v>
      </c>
      <c r="AG2" s="22">
        <f>IF(COUNT(AG3:AG157)&gt;0,"Y","X")</f>
        <v>0</v>
      </c>
      <c r="AH2" s="22" t="s">
        <v>390</v>
      </c>
      <c r="AI2" s="22">
        <f>IF(COUNT(AI3:AI157)&gt;0,"Y","X")</f>
        <v>0</v>
      </c>
      <c r="AJ2" s="22" t="s">
        <v>390</v>
      </c>
      <c r="AK2" s="22">
        <f>IF(COUNT(AK3:AK157)&gt;0,"Y","X")</f>
        <v>0</v>
      </c>
      <c r="AL2" s="22" t="s">
        <v>390</v>
      </c>
      <c r="AM2" s="22">
        <f>IF(COUNT(AM3:AM157)&gt;0,"Y","X")</f>
        <v>0</v>
      </c>
      <c r="AN2" s="22" t="s">
        <v>390</v>
      </c>
      <c r="AO2" s="22">
        <f>IF(COUNT(AO3:AO157)&gt;0,"Y","X")</f>
        <v>0</v>
      </c>
      <c r="AP2" s="22" t="s">
        <v>390</v>
      </c>
      <c r="AQ2" s="22">
        <f>IF(COUNT(AQ3:AQ157)&gt;0,"Y","X")</f>
        <v>0</v>
      </c>
      <c r="AR2" s="22" t="s">
        <v>390</v>
      </c>
      <c r="AS2" s="22">
        <f>IF(COUNT(AS3:AS157)&gt;0,"Y","X")</f>
        <v>0</v>
      </c>
      <c r="AT2" s="22" t="s">
        <v>390</v>
      </c>
      <c r="AU2" s="22">
        <f>IF(COUNT(AU3:AU157)&gt;0,"Y","X")</f>
        <v>0</v>
      </c>
      <c r="AV2" s="22" t="s">
        <v>390</v>
      </c>
      <c r="AW2" s="22">
        <f>IF(COUNT(AW3:AW157)&gt;0,"Y","X")</f>
        <v>0</v>
      </c>
      <c r="AX2" s="22" t="s">
        <v>390</v>
      </c>
      <c r="AY2" s="22">
        <f>IF(COUNT(AY3:AY157)&gt;0,"Y","X")</f>
        <v>0</v>
      </c>
      <c r="AZ2" s="22" t="s">
        <v>390</v>
      </c>
      <c r="BA2" s="22">
        <f>IF(COUNT(BA3:BA157)&gt;0,"Y","X")</f>
        <v>0</v>
      </c>
      <c r="BB2" s="22" t="s">
        <v>390</v>
      </c>
      <c r="BC2" s="22">
        <f>IF(COUNT(BC3:BC157)&gt;0,"Y","X")</f>
        <v>0</v>
      </c>
      <c r="BD2" s="22" t="s">
        <v>390</v>
      </c>
      <c r="BE2" s="22">
        <f>IF(COUNT(BE3:BE157)&gt;0,"Y","X")</f>
        <v>0</v>
      </c>
      <c r="BF2" s="22" t="s">
        <v>390</v>
      </c>
      <c r="BG2" s="22">
        <f>IF(COUNT(BG3:BG157)&gt;0,"Y","X")</f>
        <v>0</v>
      </c>
      <c r="BH2" s="22" t="s">
        <v>390</v>
      </c>
      <c r="BI2" s="22">
        <f>IF(COUNT(BI3:BI157)&gt;0,"Y","X")</f>
        <v>0</v>
      </c>
      <c r="BJ2" s="22" t="s">
        <v>390</v>
      </c>
      <c r="BK2" s="22">
        <f>IF(COUNT(BK3:BK157)&gt;0,"Y","X")</f>
        <v>0</v>
      </c>
      <c r="BL2" s="22" t="s">
        <v>390</v>
      </c>
      <c r="BM2" s="22">
        <f>IF(COUNT(BM3:BM157)&gt;0,"Y","X")</f>
        <v>0</v>
      </c>
      <c r="BN2" s="22" t="s">
        <v>390</v>
      </c>
      <c r="BO2" s="22">
        <f>IF(COUNT(BO3:BO157)&gt;0,"Y","X")</f>
        <v>0</v>
      </c>
      <c r="BP2" s="22" t="s">
        <v>390</v>
      </c>
      <c r="BQ2" s="22">
        <f>IF(COUNT(BQ3:BQ157)&gt;0,"Y","X")</f>
        <v>0</v>
      </c>
      <c r="BR2" s="22" t="s">
        <v>390</v>
      </c>
      <c r="BS2" s="22">
        <f>IF(COUNT(BS3:BS157)&gt;0,"Y","X")</f>
        <v>0</v>
      </c>
      <c r="BT2" s="22" t="s">
        <v>390</v>
      </c>
      <c r="BU2" s="22">
        <f>IF(COUNT(BU3:BU157)&gt;0,"Y","X")</f>
        <v>0</v>
      </c>
      <c r="BV2" s="22" t="s">
        <v>390</v>
      </c>
      <c r="BW2" s="22">
        <f>IF(COUNT(BW3:BW157)&gt;0,"Y","X")</f>
        <v>0</v>
      </c>
      <c r="BX2" s="22" t="s">
        <v>390</v>
      </c>
      <c r="BY2" s="22">
        <f>IF(COUNT(BY3:BY157)&gt;0,"Y","X")</f>
        <v>0</v>
      </c>
      <c r="BZ2" s="22" t="s">
        <v>390</v>
      </c>
      <c r="CA2" s="22">
        <f>IF(COUNT(CA3:CA157)&gt;0,"Y","X")</f>
        <v>0</v>
      </c>
      <c r="CB2" s="22" t="s">
        <v>390</v>
      </c>
      <c r="CC2" s="22">
        <f>IF(COUNT(CC3:CC157)&gt;0,"Y","X")</f>
        <v>0</v>
      </c>
      <c r="CD2" s="22" t="s">
        <v>390</v>
      </c>
      <c r="CE2" s="22">
        <f>IF(COUNT(CE3:CE157)&gt;0,"Y","X")</f>
        <v>0</v>
      </c>
      <c r="CF2" s="22" t="s">
        <v>390</v>
      </c>
      <c r="CG2" s="22">
        <f>IF(COUNT(CG3:CG157)&gt;0,"Y","X")</f>
        <v>0</v>
      </c>
      <c r="CH2" s="22" t="s">
        <v>390</v>
      </c>
      <c r="CI2" s="22">
        <f>IF(COUNT(CI3:CI157)&gt;0,"Y","X")</f>
        <v>0</v>
      </c>
      <c r="CJ2" s="22" t="s">
        <v>390</v>
      </c>
      <c r="CK2" s="22">
        <f>IF(COUNT(CK3:CK157)&gt;0,"Y","X")</f>
        <v>0</v>
      </c>
      <c r="CL2" s="22" t="s">
        <v>390</v>
      </c>
      <c r="CM2" s="22">
        <f>IF(COUNT(CM3:CM157)&gt;0,"Y","X")</f>
        <v>0</v>
      </c>
      <c r="CN2" s="22" t="s">
        <v>390</v>
      </c>
      <c r="CO2" s="22">
        <f>IF(COUNT(CO3:CO157)&gt;0,"Y","X")</f>
        <v>0</v>
      </c>
      <c r="CP2" s="22" t="s">
        <v>390</v>
      </c>
      <c r="CQ2" s="22">
        <f>IF(COUNT(CQ3:CQ157)&gt;0,"Y","X")</f>
        <v>0</v>
      </c>
      <c r="CR2" s="22" t="s">
        <v>390</v>
      </c>
      <c r="CS2" s="22">
        <f>IF(COUNT(CS3:CS157)&gt;0,"Y","X")</f>
        <v>0</v>
      </c>
      <c r="CT2" s="22" t="s">
        <v>390</v>
      </c>
      <c r="CU2" s="22">
        <f>IF(COUNT(CU3:CU157)&gt;0,"Y","X")</f>
        <v>0</v>
      </c>
      <c r="CV2" s="22" t="s">
        <v>390</v>
      </c>
      <c r="CW2" s="22">
        <f>IF(COUNT(CW3:CW157)&gt;0,"Y","X")</f>
        <v>0</v>
      </c>
      <c r="CX2" s="22" t="s">
        <v>390</v>
      </c>
      <c r="CY2" s="22">
        <f>IF(COUNT(CY3:CY157)&gt;0,"Y","X")</f>
        <v>0</v>
      </c>
      <c r="CZ2" s="22" t="s">
        <v>390</v>
      </c>
      <c r="DA2" s="22">
        <f>IF(COUNT(DA3:DA157)&gt;0,"Y","X")</f>
        <v>0</v>
      </c>
      <c r="DB2" s="22" t="s">
        <v>390</v>
      </c>
      <c r="DC2" s="22">
        <f>IF(COUNT(DC3:DC157)&gt;0,"Y","X")</f>
        <v>0</v>
      </c>
      <c r="DD2" s="22" t="s">
        <v>390</v>
      </c>
      <c r="DE2" s="22">
        <f>IF(COUNT(DE3:DE157)&gt;0,"Y","X")</f>
        <v>0</v>
      </c>
      <c r="DF2" s="22" t="s">
        <v>390</v>
      </c>
      <c r="DG2" s="22">
        <f>IF(COUNT(DG3:DG157)&gt;0,"Y","X")</f>
        <v>0</v>
      </c>
      <c r="DH2" s="22" t="s">
        <v>390</v>
      </c>
      <c r="DI2" s="22">
        <f>IF(COUNT(DI3:DI157)&gt;0,"Y","X")</f>
        <v>0</v>
      </c>
      <c r="DJ2" s="22" t="s">
        <v>390</v>
      </c>
      <c r="DK2" s="22">
        <f>IF(COUNT(DK3:DK157)&gt;0,"Y","X")</f>
        <v>0</v>
      </c>
      <c r="DL2" s="22" t="s">
        <v>390</v>
      </c>
      <c r="DM2" s="22">
        <f>IF(COUNT(DM3:DM157)&gt;0,"Y","X")</f>
        <v>0</v>
      </c>
      <c r="DN2" s="22" t="s">
        <v>390</v>
      </c>
      <c r="DO2" s="22">
        <f>IF(COUNT(DO3:DO157)&gt;0,"Y","X")</f>
        <v>0</v>
      </c>
      <c r="DP2" s="22" t="s">
        <v>390</v>
      </c>
      <c r="DQ2" s="22">
        <f>IF(COUNT(DQ3:DQ157)&gt;0,"Y","X")</f>
        <v>0</v>
      </c>
      <c r="DR2" s="22" t="s">
        <v>390</v>
      </c>
      <c r="DS2" s="22">
        <f>IF(COUNT(DS3:DS157)&gt;0,"Y","X")</f>
        <v>0</v>
      </c>
      <c r="DT2" s="22" t="s">
        <v>390</v>
      </c>
      <c r="DU2" s="22">
        <f>IF(COUNT(DU3:DU157)&gt;0,"Y","X")</f>
        <v>0</v>
      </c>
      <c r="DV2" s="22" t="s">
        <v>390</v>
      </c>
      <c r="DW2" s="22">
        <f>IF(COUNT(DW3:DW157)&gt;0,"Y","X")</f>
        <v>0</v>
      </c>
      <c r="DX2" s="22" t="s">
        <v>390</v>
      </c>
      <c r="DY2" s="22">
        <f>IF(COUNT(DY3:DY157)&gt;0,"Y","X")</f>
        <v>0</v>
      </c>
      <c r="DZ2" s="22" t="s">
        <v>390</v>
      </c>
      <c r="EA2" s="22">
        <f>IF(COUNT(EA3:EA157)&gt;0,"Y","X")</f>
        <v>0</v>
      </c>
      <c r="EB2" s="22" t="s">
        <v>390</v>
      </c>
      <c r="EC2" s="22">
        <f>IF(COUNT(EC3:EC157)&gt;0,"Y","X")</f>
        <v>0</v>
      </c>
      <c r="ED2" s="22" t="s">
        <v>390</v>
      </c>
      <c r="EE2" s="22">
        <f>IF(COUNT(EE3:EE157)&gt;0,"Y","X")</f>
        <v>0</v>
      </c>
      <c r="EF2" s="22" t="s">
        <v>390</v>
      </c>
      <c r="EG2" s="22">
        <f>IF(COUNT(EG3:EG157)&gt;0,"Y","X")</f>
        <v>0</v>
      </c>
      <c r="EH2" s="22" t="s">
        <v>390</v>
      </c>
      <c r="EI2" s="22">
        <f>IF(COUNT(EI3:EI157)&gt;0,"Y","X")</f>
        <v>0</v>
      </c>
      <c r="EJ2" s="22" t="s">
        <v>390</v>
      </c>
      <c r="EK2" s="22">
        <f>IF(COUNT(EK3:EK157)&gt;0,"Y","X")</f>
        <v>0</v>
      </c>
      <c r="EL2" s="22" t="s">
        <v>390</v>
      </c>
      <c r="EM2" s="22">
        <f>IF(COUNT(EM3:EM157)&gt;0,"Y","X")</f>
        <v>0</v>
      </c>
      <c r="EN2" s="22" t="s">
        <v>390</v>
      </c>
      <c r="EO2" s="22">
        <f>IF(COUNT(EO3:EO157)&gt;0,"Y","X")</f>
        <v>0</v>
      </c>
      <c r="EP2" s="22" t="s">
        <v>390</v>
      </c>
      <c r="EQ2" s="22">
        <f>IF(COUNT(EQ3:EQ157)&gt;0,"Y","X")</f>
        <v>0</v>
      </c>
      <c r="ER2" s="22" t="s">
        <v>390</v>
      </c>
      <c r="ES2" s="22">
        <f>IF(COUNT(ES3:ES157)&gt;0,"Y","X")</f>
        <v>0</v>
      </c>
      <c r="ET2" s="22" t="s">
        <v>390</v>
      </c>
      <c r="EU2" s="22">
        <f>IF(COUNT(EU3:EU157)&gt;0,"Y","X")</f>
        <v>0</v>
      </c>
      <c r="EV2" s="22" t="s">
        <v>390</v>
      </c>
      <c r="EW2" s="22">
        <f>IF(COUNT(EW3:EW157)&gt;0,"Y","X")</f>
        <v>0</v>
      </c>
      <c r="EX2" s="22" t="s">
        <v>390</v>
      </c>
      <c r="EY2" s="22">
        <f>IF(COUNT(EY3:EY157)&gt;0,"Y","X")</f>
        <v>0</v>
      </c>
      <c r="EZ2" s="22" t="s">
        <v>390</v>
      </c>
      <c r="FA2" s="22">
        <f>IF(COUNT(FA3:FA157)&gt;0,"Y","X")</f>
        <v>0</v>
      </c>
      <c r="FB2" s="22" t="s">
        <v>390</v>
      </c>
      <c r="FC2" s="22">
        <f>IF(COUNT(FC3:FC157)&gt;0,"Y","X")</f>
        <v>0</v>
      </c>
      <c r="FD2" s="22" t="s">
        <v>390</v>
      </c>
      <c r="FE2" s="22">
        <f>IF(COUNT(FE3:FE157)&gt;0,"Y","X")</f>
        <v>0</v>
      </c>
      <c r="FF2" s="22" t="s">
        <v>390</v>
      </c>
      <c r="FG2" s="22">
        <f>IF(COUNT(FG3:FG157)&gt;0,"Y","X")</f>
        <v>0</v>
      </c>
      <c r="FH2" s="22" t="s">
        <v>390</v>
      </c>
      <c r="FI2" s="22">
        <f>IF(COUNT(FI3:FI157)&gt;0,"Y","X")</f>
        <v>0</v>
      </c>
      <c r="FJ2" s="22" t="s">
        <v>390</v>
      </c>
      <c r="FK2" s="22">
        <f>IF(COUNT(FK3:FK157)&gt;0,"Y","X")</f>
        <v>0</v>
      </c>
      <c r="FL2" s="22" t="s">
        <v>390</v>
      </c>
      <c r="FM2" s="22">
        <f>IF(COUNT(FM3:FM157)&gt;0,"Y","X")</f>
        <v>0</v>
      </c>
      <c r="FN2" s="22" t="s">
        <v>390</v>
      </c>
      <c r="FO2" s="22">
        <f>IF(COUNT(FO3:FO157)&gt;0,"Y","X")</f>
        <v>0</v>
      </c>
      <c r="FP2" s="22" t="s">
        <v>390</v>
      </c>
      <c r="FQ2" s="22">
        <f>IF(COUNT(FQ3:FQ157)&gt;0,"Y","X")</f>
        <v>0</v>
      </c>
      <c r="FR2" s="22" t="s">
        <v>390</v>
      </c>
      <c r="FS2" s="22">
        <f>IF(COUNT(FS3:FS157)&gt;0,"Y","X")</f>
        <v>0</v>
      </c>
      <c r="FT2" s="22" t="s">
        <v>390</v>
      </c>
      <c r="FU2" s="22">
        <f>IF(COUNT(FU3:FU157)&gt;0,"Y","X")</f>
        <v>0</v>
      </c>
      <c r="FV2" s="22" t="s">
        <v>390</v>
      </c>
      <c r="FW2" s="22">
        <f>IF(COUNT(FW3:FW157)&gt;0,"Y","X")</f>
        <v>0</v>
      </c>
      <c r="FX2" s="22" t="s">
        <v>390</v>
      </c>
      <c r="FY2" s="22">
        <f>IF(COUNT(FY3:FY157)&gt;0,"Y","X")</f>
        <v>0</v>
      </c>
      <c r="FZ2" s="22" t="s">
        <v>390</v>
      </c>
      <c r="GA2" s="22">
        <f>IF(COUNT(GA3:GA157)&gt;0,"Y","X")</f>
        <v>0</v>
      </c>
      <c r="GB2" s="22" t="s">
        <v>390</v>
      </c>
      <c r="GC2" s="22">
        <f>IF(COUNT(GC3:GC157)&gt;0,"Y","X")</f>
        <v>0</v>
      </c>
      <c r="GD2" s="22" t="s">
        <v>390</v>
      </c>
      <c r="GE2" s="22">
        <f>IF(COUNT(GE3:GE157)&gt;0,"Y","X")</f>
        <v>0</v>
      </c>
      <c r="GF2" s="22" t="s">
        <v>390</v>
      </c>
      <c r="GG2" s="22">
        <f>IF(COUNT(GG3:GG157)&gt;0,"Y","X")</f>
        <v>0</v>
      </c>
      <c r="GH2" s="22" t="s">
        <v>390</v>
      </c>
      <c r="GI2" s="22">
        <f>IF(COUNT(GI3:GI157)&gt;0,"Y","X")</f>
        <v>0</v>
      </c>
      <c r="GJ2" s="22" t="s">
        <v>390</v>
      </c>
      <c r="GK2" s="22">
        <f>IF(COUNT(GK3:GK157)&gt;0,"Y","X")</f>
        <v>0</v>
      </c>
      <c r="GL2" s="22" t="s">
        <v>390</v>
      </c>
      <c r="GM2" s="22">
        <f>IF(COUNT(GM3:GM157)&gt;0,"Y","X")</f>
        <v>0</v>
      </c>
      <c r="GN2" s="22" t="s">
        <v>390</v>
      </c>
      <c r="GO2" s="22">
        <f>IF(COUNT(GO3:GO157)&gt;0,"Y","X")</f>
        <v>0</v>
      </c>
      <c r="GP2" s="22" t="s">
        <v>390</v>
      </c>
      <c r="GQ2" s="22">
        <f>IF(COUNT(GQ3:GQ157)&gt;0,"Y","X")</f>
        <v>0</v>
      </c>
      <c r="GR2" s="22" t="s">
        <v>390</v>
      </c>
      <c r="GS2" s="22">
        <f>IF(COUNT(GS3:GS157)&gt;0,"Y","X")</f>
        <v>0</v>
      </c>
      <c r="GT2" s="22" t="s">
        <v>390</v>
      </c>
      <c r="GU2" s="22">
        <f>IF(COUNT(GU3:GU157)&gt;0,"Y","X")</f>
        <v>0</v>
      </c>
      <c r="GV2" s="22" t="s">
        <v>390</v>
      </c>
      <c r="GW2" s="22">
        <f>IF(COUNT(GW3:GW157)&gt;0,"Y","X")</f>
        <v>0</v>
      </c>
      <c r="GX2" s="22" t="s">
        <v>390</v>
      </c>
      <c r="GY2" s="22">
        <f>IF(COUNT(GY3:GY157)&gt;0,"Y","X")</f>
        <v>0</v>
      </c>
      <c r="GZ2" s="22" t="s">
        <v>390</v>
      </c>
      <c r="HA2" s="22">
        <f>IF(COUNT(HA3:HA157)&gt;0,"Y","X")</f>
        <v>0</v>
      </c>
      <c r="HB2" s="22" t="s">
        <v>390</v>
      </c>
      <c r="HC2" s="22">
        <f>IF(COUNT(HC3:HC157)&gt;0,"Y","X")</f>
        <v>0</v>
      </c>
      <c r="HD2" s="22" t="s">
        <v>390</v>
      </c>
      <c r="HE2" s="22">
        <f>IF(COUNT(HE3:HE157)&gt;0,"Y","X")</f>
        <v>0</v>
      </c>
      <c r="HF2" s="22" t="s">
        <v>390</v>
      </c>
      <c r="HG2" s="22">
        <f>IF(COUNT(HG3:HG157)&gt;0,"Y","X")</f>
        <v>0</v>
      </c>
      <c r="HH2" s="22" t="s">
        <v>390</v>
      </c>
      <c r="HI2" s="22">
        <f>IF(COUNT(HI3:HI157)&gt;0,"Y","X")</f>
        <v>0</v>
      </c>
      <c r="HJ2" s="22" t="s">
        <v>390</v>
      </c>
      <c r="HK2" s="22">
        <f>IF(COUNT(HK3:HK157)&gt;0,"Y","X")</f>
        <v>0</v>
      </c>
      <c r="HL2" s="22" t="s">
        <v>390</v>
      </c>
      <c r="HM2" s="22">
        <f>IF(COUNT(HM3:HM157)&gt;0,"Y","X")</f>
        <v>0</v>
      </c>
      <c r="HN2" s="22" t="s">
        <v>390</v>
      </c>
      <c r="HO2" s="22">
        <f>IF(COUNT(HO3:HO157)&gt;0,"Y","X")</f>
        <v>0</v>
      </c>
      <c r="HP2" s="22" t="s">
        <v>390</v>
      </c>
      <c r="HQ2" s="22">
        <f>IF(COUNT(HQ3:HQ157)&gt;0,"Y","X")</f>
        <v>0</v>
      </c>
      <c r="HR2" s="22" t="s">
        <v>390</v>
      </c>
      <c r="HS2" s="22">
        <f>IF(COUNT(HS3:HS157)&gt;0,"Y","X")</f>
        <v>0</v>
      </c>
      <c r="HT2" s="22" t="s">
        <v>390</v>
      </c>
      <c r="HU2" s="22">
        <f>IF(COUNT(HU3:HU157)&gt;0,"Y","X")</f>
        <v>0</v>
      </c>
      <c r="HV2" s="22" t="s">
        <v>390</v>
      </c>
      <c r="HW2" s="22">
        <f>IF(COUNT(HW3:HW157)&gt;0,"Y","X")</f>
        <v>0</v>
      </c>
      <c r="HX2" s="22" t="s">
        <v>390</v>
      </c>
      <c r="HY2" s="22">
        <f>IF(COUNT(HY3:HY157)&gt;0,"Y","X")</f>
        <v>0</v>
      </c>
      <c r="HZ2" s="22" t="s">
        <v>390</v>
      </c>
      <c r="IA2" s="22">
        <f>IF(COUNT(IA3:IA157)&gt;0,"Y","X")</f>
        <v>0</v>
      </c>
      <c r="IB2" s="22" t="s">
        <v>390</v>
      </c>
      <c r="IC2" s="22">
        <f>IF(COUNT(IC3:IC157)&gt;0,"Y","X")</f>
        <v>0</v>
      </c>
      <c r="ID2" s="22" t="s">
        <v>390</v>
      </c>
      <c r="IE2" s="22">
        <f>IF(COUNT(IE3:IE157)&gt;0,"Y","X")</f>
        <v>0</v>
      </c>
      <c r="IF2" s="22" t="s">
        <v>390</v>
      </c>
      <c r="IG2" s="22">
        <f>IF(COUNT(IG3:IG157)&gt;0,"Y","X")</f>
        <v>0</v>
      </c>
      <c r="IH2" s="22" t="s">
        <v>390</v>
      </c>
      <c r="II2" s="22">
        <f>IF(COUNT(II3:II157)&gt;0,"Y","X")</f>
        <v>0</v>
      </c>
      <c r="IJ2" s="22" t="s">
        <v>390</v>
      </c>
      <c r="IK2" s="22">
        <f>IF(COUNT(IK3:IK157)&gt;0,"Y","X")</f>
        <v>0</v>
      </c>
      <c r="IL2" s="22" t="s">
        <v>390</v>
      </c>
      <c r="IM2" s="22">
        <f>IF(COUNT(IM3:IM157)&gt;0,"Y","X")</f>
        <v>0</v>
      </c>
      <c r="IN2" s="22" t="s">
        <v>390</v>
      </c>
      <c r="IO2" s="22">
        <f>IF(COUNT(IO3:IO157)&gt;0,"Y","X")</f>
        <v>0</v>
      </c>
      <c r="IP2" s="22" t="s">
        <v>390</v>
      </c>
      <c r="IQ2" s="22">
        <f>IF(COUNT(IQ3:IQ157)&gt;0,"Y","X")</f>
        <v>0</v>
      </c>
      <c r="IR2" s="22" t="s">
        <v>390</v>
      </c>
      <c r="IS2" s="22">
        <f>IF(COUNT(IS3:IS157)&gt;0,"Y","X")</f>
        <v>0</v>
      </c>
      <c r="IT2" s="22" t="s">
        <v>390</v>
      </c>
      <c r="IU2" s="22">
        <f>IF(COUNT(IU3:IU157)&gt;0,"Y","X")</f>
        <v>0</v>
      </c>
      <c r="IV2" s="22" t="s">
        <v>390</v>
      </c>
      <c r="IW2" s="22">
        <f>IF(COUNT(IW3:IW157)&gt;0,"Y","X")</f>
        <v>0</v>
      </c>
      <c r="IX2" s="22" t="s">
        <v>390</v>
      </c>
      <c r="IY2" s="22">
        <f>IF(COUNT(IY3:IY157)&gt;0,"Y","X")</f>
        <v>0</v>
      </c>
      <c r="IZ2" s="22" t="s">
        <v>390</v>
      </c>
      <c r="JA2" s="22">
        <f>IF(COUNT(JA3:JA157)&gt;0,"Y","X")</f>
        <v>0</v>
      </c>
      <c r="JB2" s="22" t="s">
        <v>390</v>
      </c>
      <c r="JC2" s="22">
        <f>IF(COUNT(JC3:JC157)&gt;0,"Y","X")</f>
        <v>0</v>
      </c>
      <c r="JD2" s="22" t="s">
        <v>390</v>
      </c>
      <c r="JE2" s="22">
        <f>IF(COUNT(JE3:JE157)&gt;0,"Y","X")</f>
        <v>0</v>
      </c>
      <c r="JF2" s="22" t="s">
        <v>390</v>
      </c>
      <c r="JG2" s="22">
        <f>IF(COUNT(JG3:JG157)&gt;0,"Y","X")</f>
        <v>0</v>
      </c>
      <c r="JH2" s="22" t="s">
        <v>390</v>
      </c>
      <c r="JI2" s="22">
        <f>IF(COUNT(JI3:JI157)&gt;0,"Y","X")</f>
        <v>0</v>
      </c>
      <c r="JJ2" s="22" t="s">
        <v>390</v>
      </c>
      <c r="JK2" s="22">
        <f>IF(COUNT(JK3:JK157)&gt;0,"Y","X")</f>
        <v>0</v>
      </c>
      <c r="JL2" s="22" t="s">
        <v>390</v>
      </c>
      <c r="JM2" s="22">
        <f>IF(COUNT(JM3:JM157)&gt;0,"Y","X")</f>
        <v>0</v>
      </c>
      <c r="JN2" s="22" t="s">
        <v>390</v>
      </c>
      <c r="JO2" s="22">
        <f>IF(COUNT(JO3:JO157)&gt;0,"Y","X")</f>
        <v>0</v>
      </c>
      <c r="JP2" s="22" t="s">
        <v>390</v>
      </c>
      <c r="JQ2" s="22">
        <f>IF(COUNT(JQ3:JQ157)&gt;0,"Y","X")</f>
        <v>0</v>
      </c>
      <c r="JR2" s="22" t="s">
        <v>390</v>
      </c>
      <c r="JS2" s="22">
        <f>IF(COUNT(JS3:JS157)&gt;0,"Y","X")</f>
        <v>0</v>
      </c>
      <c r="JT2" s="22" t="s">
        <v>390</v>
      </c>
      <c r="JU2" s="22">
        <f>IF(COUNT(JU3:JU157)&gt;0,"Y","X")</f>
        <v>0</v>
      </c>
      <c r="JV2" s="22" t="s">
        <v>390</v>
      </c>
      <c r="JW2" s="22">
        <f>IF(COUNT(JW3:JW157)&gt;0,"Y","X")</f>
        <v>0</v>
      </c>
      <c r="JX2" s="22" t="s">
        <v>390</v>
      </c>
      <c r="JY2" s="22">
        <f>IF(COUNT(JY3:JY157)&gt;0,"Y","X")</f>
        <v>0</v>
      </c>
      <c r="JZ2" s="22" t="s">
        <v>390</v>
      </c>
      <c r="KA2" s="22">
        <f>IF(COUNT(KA3:KA157)&gt;0,"Y","X")</f>
        <v>0</v>
      </c>
      <c r="KB2" s="22" t="s">
        <v>390</v>
      </c>
      <c r="KC2" s="22">
        <f>IF(COUNT(KC3:KC157)&gt;0,"Y","X")</f>
        <v>0</v>
      </c>
      <c r="KD2" s="22" t="s">
        <v>390</v>
      </c>
      <c r="KE2" s="22">
        <f>IF(COUNT(KE3:KE157)&gt;0,"Y","X")</f>
        <v>0</v>
      </c>
      <c r="KF2" s="22" t="s">
        <v>390</v>
      </c>
      <c r="KG2" s="22">
        <f>IF(COUNT(KG3:KG157)&gt;0,"Y","X")</f>
        <v>0</v>
      </c>
      <c r="KH2" s="22" t="s">
        <v>390</v>
      </c>
      <c r="KI2" s="22">
        <f>IF(COUNT(KI3:KI157)&gt;0,"Y","X")</f>
        <v>0</v>
      </c>
      <c r="KJ2" s="22" t="s">
        <v>390</v>
      </c>
      <c r="KK2" s="22">
        <f>IF(COUNT(KK3:KK157)&gt;0,"Y","X")</f>
        <v>0</v>
      </c>
      <c r="KL2" s="22" t="s">
        <v>390</v>
      </c>
      <c r="KM2" s="22">
        <f>IF(COUNT(KM3:KM157)&gt;0,"Y","X")</f>
        <v>0</v>
      </c>
      <c r="KN2" s="22" t="s">
        <v>390</v>
      </c>
      <c r="KO2" s="22">
        <f>IF(COUNT(KO3:KO157)&gt;0,"Y","X")</f>
        <v>0</v>
      </c>
      <c r="KP2" s="22" t="s">
        <v>390</v>
      </c>
      <c r="KQ2" s="22">
        <f>IF(COUNT(KQ3:KQ157)&gt;0,"Y","X")</f>
        <v>0</v>
      </c>
      <c r="KR2" s="22" t="s">
        <v>390</v>
      </c>
      <c r="KS2" s="22">
        <f>IF(COUNT(KS3:KS157)&gt;0,"Y","X")</f>
        <v>0</v>
      </c>
      <c r="KT2" s="22" t="s">
        <v>390</v>
      </c>
      <c r="KU2" s="22">
        <f>IF(COUNT(KU3:KU157)&gt;0,"Y","X")</f>
        <v>0</v>
      </c>
      <c r="KV2" s="22" t="s">
        <v>390</v>
      </c>
      <c r="KW2" s="22">
        <f>IF(COUNT(KW3:KW157)&gt;0,"Y","X")</f>
        <v>0</v>
      </c>
      <c r="KX2" s="22" t="s">
        <v>390</v>
      </c>
      <c r="KY2" s="22">
        <f>IF(COUNT(KY3:KY157)&gt;0,"Y","X")</f>
        <v>0</v>
      </c>
      <c r="KZ2" s="22" t="s">
        <v>390</v>
      </c>
      <c r="LA2" s="22">
        <f>IF(COUNT(LA3:LA157)&gt;0,"Y","X")</f>
        <v>0</v>
      </c>
      <c r="LB2" s="22" t="s">
        <v>390</v>
      </c>
      <c r="LC2" s="22">
        <f>IF(COUNT(LC3:LC157)&gt;0,"Y","X")</f>
        <v>0</v>
      </c>
      <c r="LD2" s="22" t="s">
        <v>390</v>
      </c>
      <c r="LE2" s="22">
        <f>IF(COUNT(LE3:LE157)&gt;0,"Y","X")</f>
        <v>0</v>
      </c>
      <c r="LF2" s="22" t="s">
        <v>390</v>
      </c>
      <c r="LG2" s="22">
        <f>IF(COUNT(LG3:LG157)&gt;0,"Y","X")</f>
        <v>0</v>
      </c>
      <c r="LH2" s="22" t="s">
        <v>390</v>
      </c>
    </row>
    <row r="3" spans="1:322">
      <c r="A3" s="23" t="s">
        <v>11</v>
      </c>
      <c r="B3" s="24" t="s">
        <v>392</v>
      </c>
      <c r="C3" s="25" t="s">
        <v>12</v>
      </c>
      <c r="D3" s="25"/>
      <c r="E3" s="26" t="s">
        <v>393</v>
      </c>
      <c r="F3" s="27"/>
      <c r="G3" s="27"/>
      <c r="H3" s="27" t="s">
        <v>394</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395</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376</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365</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375</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396</v>
      </c>
    </row>
    <row r="8" spans="1:322">
      <c r="B8" s="24"/>
      <c r="D8" s="32" t="s">
        <v>23</v>
      </c>
      <c r="E8" s="33" t="s">
        <v>371</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369</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377</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397</v>
      </c>
    </row>
    <row r="11" spans="1:322">
      <c r="A11" s="37" t="s">
        <v>29</v>
      </c>
      <c r="B11" s="24"/>
      <c r="C11" s="38" t="s">
        <v>30</v>
      </c>
      <c r="E11" s="33" t="s">
        <v>393</v>
      </c>
      <c r="F11" s="39">
        <f>MIN(F15:F21)</f>
        <v>45689.0</v>
      </c>
      <c r="H11" s="39" t="s">
        <v>394</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390</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398</v>
      </c>
    </row>
    <row r="12" spans="1:322">
      <c r="B12" s="24"/>
    </row>
    <row r="13" spans="1:322">
      <c r="B13" s="24"/>
    </row>
    <row r="14" spans="1:322">
      <c r="B14" s="24"/>
    </row>
    <row r="15" spans="1:322">
      <c r="B15" s="24"/>
      <c r="D15" s="32" t="s">
        <v>13</v>
      </c>
      <c r="E15" s="33" t="s">
        <v>395</v>
      </c>
      <c r="F15" s="39" t="s">
        <v>399</v>
      </c>
      <c r="I15" s="41" t="s">
        <v>400</v>
      </c>
      <c r="J15" s="35">
        <f>IF(AND(ISNUMBER(K15),ISNUMBER(I15)),K15-I15,"")</f>
        <v>0</v>
      </c>
      <c r="K15" s="34">
        <v>5</v>
      </c>
      <c r="L15" s="35">
        <f>IF(AND(ISNUMBER(M15),ISNUMBER(K15)),M15-K15,"")</f>
        <v>0</v>
      </c>
      <c r="M15" s="41" t="s">
        <v>400</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376</v>
      </c>
      <c r="F16" s="39">
        <v>45689</v>
      </c>
      <c r="I16" s="41" t="s">
        <v>400</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365</v>
      </c>
      <c r="I17" s="41" t="s">
        <v>400</v>
      </c>
      <c r="J17" s="35">
        <f>IF(AND(ISNUMBER(K17),ISNUMBER(I17)),K17-I17,"")</f>
        <v>0</v>
      </c>
      <c r="K17" s="41" t="s">
        <v>400</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400</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375</v>
      </c>
      <c r="I18" s="41" t="s">
        <v>400</v>
      </c>
      <c r="J18" s="35">
        <f>IF(AND(ISNUMBER(K18),ISNUMBER(I18)),K18-I18,"")</f>
        <v>0</v>
      </c>
      <c r="K18" s="41" t="s">
        <v>400</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400</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396</v>
      </c>
    </row>
    <row r="19" spans="1:322">
      <c r="B19" s="24"/>
      <c r="D19" s="32" t="s">
        <v>23</v>
      </c>
      <c r="E19" s="33" t="s">
        <v>371</v>
      </c>
      <c r="F19" s="39">
        <v>45689</v>
      </c>
      <c r="I19" s="41" t="s">
        <v>400</v>
      </c>
      <c r="J19" s="35">
        <f>IF(AND(ISNUMBER(K19),ISNUMBER(I19)),K19-I19,"")</f>
        <v>0</v>
      </c>
      <c r="K19" s="41" t="s">
        <v>400</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369</v>
      </c>
      <c r="F20" s="39">
        <v>45689</v>
      </c>
      <c r="I20" s="34">
        <v>2</v>
      </c>
      <c r="J20" s="35">
        <f>IF(AND(ISNUMBER(K20),ISNUMBER(I20)),K20-I20,"")</f>
        <v>0</v>
      </c>
      <c r="K20" s="34">
        <v>0</v>
      </c>
      <c r="L20" s="35">
        <f>IF(AND(ISNUMBER(M20),ISNUMBER(K20)),M20-K20,"")</f>
        <v>0</v>
      </c>
      <c r="M20" s="34">
        <v>0</v>
      </c>
      <c r="N20" s="35">
        <f>IF(AND(ISNUMBER(O20),ISNUMBER(M20)),O20-M20,"")</f>
        <v>0</v>
      </c>
      <c r="O20" s="41" t="s">
        <v>400</v>
      </c>
      <c r="P20" s="35">
        <f>IF(AND(ISNUMBER(Q20),ISNUMBER(O20)),Q20-O20,"")</f>
        <v>0</v>
      </c>
      <c r="Q20" s="34">
        <v>0</v>
      </c>
      <c r="R20" s="35">
        <f>IF(AND(ISNUMBER(S20),ISNUMBER(Q20)),S20-Q20,"")</f>
        <v>0</v>
      </c>
      <c r="S20" s="34">
        <v>8</v>
      </c>
      <c r="T20" s="35">
        <f>IF(AND(ISNUMBER(U20),ISNUMBER(S20)),U20-S20,"")</f>
        <v>0</v>
      </c>
      <c r="U20" s="41" t="s">
        <v>400</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377</v>
      </c>
      <c r="F21" s="39">
        <v>45689</v>
      </c>
      <c r="I21" s="41" t="s">
        <v>400</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400</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400</v>
      </c>
      <c r="AP21" s="35">
        <f>IF(AND(ISNUMBER(AQ21),ISNUMBER(AO21)),AQ21-AO21,"")</f>
        <v>0</v>
      </c>
      <c r="AQ21" s="41" t="s">
        <v>400</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397</v>
      </c>
    </row>
    <row r="23" spans="1:322">
      <c r="A23" s="23" t="s">
        <v>39</v>
      </c>
      <c r="B23" s="24" t="s">
        <v>401</v>
      </c>
      <c r="C23" s="25" t="s">
        <v>12</v>
      </c>
      <c r="D23" s="25"/>
      <c r="E23" s="26" t="s">
        <v>393</v>
      </c>
      <c r="F23" s="27"/>
      <c r="G23" s="27"/>
      <c r="H23" s="27" t="s">
        <v>394</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398</v>
      </c>
    </row>
    <row r="24" spans="1:322">
      <c r="B24" s="24"/>
      <c r="D24" s="32" t="s">
        <v>13</v>
      </c>
      <c r="E24" s="33" t="s">
        <v>395</v>
      </c>
      <c r="F24" s="39" t="s">
        <v>402</v>
      </c>
      <c r="I24" s="41" t="s">
        <v>400</v>
      </c>
      <c r="J24" s="35">
        <f>IF(AND(ISNUMBER(K24),ISNUMBER(I24)),K24-I24,"")</f>
        <v>0</v>
      </c>
      <c r="K24" s="41" t="s">
        <v>400</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400</v>
      </c>
      <c r="Z24" s="35">
        <f>IF(AND(ISNUMBER(AA24),ISNUMBER(Y24)),AA24-Y24,"")</f>
        <v>0</v>
      </c>
      <c r="AA24" s="41" t="s">
        <v>400</v>
      </c>
      <c r="AB24" s="35">
        <f>IF(AND(ISNUMBER(AC24),ISNUMBER(AA24)),AC24-AA24,"")</f>
        <v>0</v>
      </c>
      <c r="AC24" s="41" t="s">
        <v>400</v>
      </c>
      <c r="AD24" s="35">
        <f>IF(AND(ISNUMBER(AE24),ISNUMBER(AC24)),AE24-AC24,"")</f>
        <v>0</v>
      </c>
      <c r="AE24" s="41" t="s">
        <v>400</v>
      </c>
      <c r="AF24" s="35">
        <f>IF(AND(ISNUMBER(AG24),ISNUMBER(AE24)),AG24-AE24,"")</f>
        <v>0</v>
      </c>
      <c r="AG24" s="41" t="s">
        <v>400</v>
      </c>
      <c r="AH24" s="35">
        <f>IF(AND(ISNUMBER(AI24),ISNUMBER(AG24)),AI24-AG24,"")</f>
        <v>0</v>
      </c>
      <c r="AI24" s="41" t="s">
        <v>400</v>
      </c>
      <c r="AJ24" s="35">
        <f>IF(AND(ISNUMBER(AK24),ISNUMBER(AI24)),AK24-AI24,"")</f>
        <v>0</v>
      </c>
      <c r="AK24" s="34">
        <v>0</v>
      </c>
      <c r="AL24" s="35">
        <f>IF(AND(ISNUMBER(AM24),ISNUMBER(AK24)),AM24-AK24,"")</f>
        <v>0</v>
      </c>
      <c r="AM24" s="41" t="s">
        <v>400</v>
      </c>
      <c r="AN24" s="35">
        <f>IF(AND(ISNUMBER(AO24),ISNUMBER(AM24)),AO24-AM24,"")</f>
        <v>0</v>
      </c>
      <c r="AO24" s="41" t="s">
        <v>400</v>
      </c>
      <c r="AP24" s="35">
        <f>IF(AND(ISNUMBER(AQ24),ISNUMBER(AO24)),AQ24-AO24,"")</f>
        <v>0</v>
      </c>
      <c r="AQ24" s="41" t="s">
        <v>400</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376</v>
      </c>
      <c r="I25" s="41" t="s">
        <v>400</v>
      </c>
      <c r="J25" s="35">
        <f>IF(AND(ISNUMBER(K25),ISNUMBER(I25)),K25-I25,"")</f>
        <v>0</v>
      </c>
      <c r="K25" s="34">
        <v>5</v>
      </c>
      <c r="L25" s="35">
        <f>IF(AND(ISNUMBER(M25),ISNUMBER(K25)),M25-K25,"")</f>
        <v>0</v>
      </c>
      <c r="M25" s="34">
        <v>0</v>
      </c>
      <c r="N25" s="35">
        <f>IF(AND(ISNUMBER(O25),ISNUMBER(M25)),O25-M25,"")</f>
        <v>0</v>
      </c>
      <c r="O25" s="41" t="s">
        <v>400</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400</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365</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375</v>
      </c>
      <c r="I27" s="41" t="s">
        <v>400</v>
      </c>
      <c r="J27" s="35">
        <f>IF(AND(ISNUMBER(K27),ISNUMBER(I27)),K27-I27,"")</f>
        <v>0</v>
      </c>
      <c r="K27" s="41" t="s">
        <v>400</v>
      </c>
      <c r="L27" s="35">
        <f>IF(AND(ISNUMBER(M27),ISNUMBER(K27)),M27-K27,"")</f>
        <v>0</v>
      </c>
      <c r="M27" s="34">
        <v>0</v>
      </c>
      <c r="N27" s="35">
        <f>IF(AND(ISNUMBER(O27),ISNUMBER(M27)),O27-M27,"")</f>
        <v>0</v>
      </c>
      <c r="O27" s="41" t="s">
        <v>400</v>
      </c>
      <c r="P27" s="35">
        <f>IF(AND(ISNUMBER(Q27),ISNUMBER(O27)),Q27-O27,"")</f>
        <v>0</v>
      </c>
      <c r="Q27" s="41" t="s">
        <v>400</v>
      </c>
      <c r="R27" s="35">
        <f>IF(AND(ISNUMBER(S27),ISNUMBER(Q27)),S27-Q27,"")</f>
        <v>0</v>
      </c>
      <c r="S27" s="34">
        <v>12</v>
      </c>
      <c r="T27" s="35">
        <f>IF(AND(ISNUMBER(U27),ISNUMBER(S27)),U27-S27,"")</f>
        <v>0</v>
      </c>
      <c r="U27" s="41" t="s">
        <v>400</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400</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403</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404</v>
      </c>
    </row>
    <row r="28" spans="1:322">
      <c r="B28" s="24"/>
      <c r="D28" s="32" t="s">
        <v>23</v>
      </c>
      <c r="E28" s="33" t="s">
        <v>371</v>
      </c>
      <c r="I28" s="41" t="s">
        <v>400</v>
      </c>
      <c r="J28" s="35">
        <f>IF(AND(ISNUMBER(K28),ISNUMBER(I28)),K28-I28,"")</f>
        <v>0</v>
      </c>
      <c r="K28" s="41" t="s">
        <v>400</v>
      </c>
      <c r="L28" s="35">
        <f>IF(AND(ISNUMBER(M28),ISNUMBER(K28)),M28-K28,"")</f>
        <v>0</v>
      </c>
      <c r="M28" s="41" t="s">
        <v>400</v>
      </c>
      <c r="N28" s="35">
        <f>IF(AND(ISNUMBER(O28),ISNUMBER(M28)),O28-M28,"")</f>
        <v>0</v>
      </c>
      <c r="O28" s="41" t="s">
        <v>400</v>
      </c>
      <c r="P28" s="35">
        <f>IF(AND(ISNUMBER(Q28),ISNUMBER(O28)),Q28-O28,"")</f>
        <v>0</v>
      </c>
      <c r="Q28" s="41" t="s">
        <v>400</v>
      </c>
      <c r="R28" s="35">
        <f>IF(AND(ISNUMBER(S28),ISNUMBER(Q28)),S28-Q28,"")</f>
        <v>0</v>
      </c>
      <c r="S28" s="41" t="s">
        <v>400</v>
      </c>
      <c r="T28" s="35">
        <f>IF(AND(ISNUMBER(U28),ISNUMBER(S28)),U28-S28,"")</f>
        <v>0</v>
      </c>
      <c r="U28" s="41" t="s">
        <v>400</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369</v>
      </c>
      <c r="I29" s="41" t="s">
        <v>400</v>
      </c>
      <c r="J29" s="35">
        <f>IF(AND(ISNUMBER(K29),ISNUMBER(I29)),K29-I29,"")</f>
        <v>0</v>
      </c>
      <c r="K29" s="41" t="s">
        <v>400</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400</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377</v>
      </c>
      <c r="I30" s="41" t="s">
        <v>400</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400</v>
      </c>
      <c r="AP30" s="35">
        <f>IF(AND(ISNUMBER(AQ30),ISNUMBER(AO30)),AQ30-AO30,"")</f>
        <v>0</v>
      </c>
      <c r="AQ30" s="41" t="s">
        <v>400</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397</v>
      </c>
    </row>
    <row r="31" spans="1:322">
      <c r="A31" s="37" t="s">
        <v>47</v>
      </c>
      <c r="B31" s="24"/>
      <c r="C31" s="38" t="s">
        <v>30</v>
      </c>
      <c r="E31" s="33" t="s">
        <v>393</v>
      </c>
      <c r="F31" s="39">
        <f>MIN(F32:F38)</f>
        <v>45689.0</v>
      </c>
      <c r="H31" s="39" t="s">
        <v>394</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390</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398</v>
      </c>
    </row>
    <row r="32" spans="1:322">
      <c r="B32" s="24"/>
      <c r="D32" s="32" t="s">
        <v>13</v>
      </c>
      <c r="E32" s="33" t="s">
        <v>395</v>
      </c>
      <c r="F32" s="39" t="s">
        <v>405</v>
      </c>
      <c r="I32" s="41" t="s">
        <v>400</v>
      </c>
      <c r="J32" s="35">
        <f>IF(AND(ISNUMBER(K32),ISNUMBER(I32)),K32-I32,"")</f>
        <v>0</v>
      </c>
      <c r="K32" s="41" t="s">
        <v>400</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400</v>
      </c>
      <c r="Z32" s="35">
        <f>IF(AND(ISNUMBER(AA32),ISNUMBER(Y32)),AA32-Y32,"")</f>
        <v>0</v>
      </c>
      <c r="AA32" s="41" t="s">
        <v>400</v>
      </c>
      <c r="AB32" s="35">
        <f>IF(AND(ISNUMBER(AC32),ISNUMBER(AA32)),AC32-AA32,"")</f>
        <v>0</v>
      </c>
      <c r="AC32" s="41" t="s">
        <v>400</v>
      </c>
      <c r="AD32" s="35">
        <f>IF(AND(ISNUMBER(AE32),ISNUMBER(AC32)),AE32-AC32,"")</f>
        <v>0</v>
      </c>
      <c r="AE32" s="41" t="s">
        <v>400</v>
      </c>
      <c r="AF32" s="35">
        <f>IF(AND(ISNUMBER(AG32),ISNUMBER(AE32)),AG32-AE32,"")</f>
        <v>0</v>
      </c>
      <c r="AG32" s="41" t="s">
        <v>400</v>
      </c>
      <c r="AH32" s="35">
        <f>IF(AND(ISNUMBER(AI32),ISNUMBER(AG32)),AI32-AG32,"")</f>
        <v>0</v>
      </c>
      <c r="AI32" s="41" t="s">
        <v>400</v>
      </c>
      <c r="AJ32" s="35">
        <f>IF(AND(ISNUMBER(AK32),ISNUMBER(AI32)),AK32-AI32,"")</f>
        <v>0</v>
      </c>
      <c r="AK32" s="34">
        <v>0</v>
      </c>
      <c r="AL32" s="35">
        <f>IF(AND(ISNUMBER(AM32),ISNUMBER(AK32)),AM32-AK32,"")</f>
        <v>0</v>
      </c>
      <c r="AM32" s="41" t="s">
        <v>400</v>
      </c>
      <c r="AN32" s="35">
        <f>IF(AND(ISNUMBER(AO32),ISNUMBER(AM32)),AO32-AM32,"")</f>
        <v>0</v>
      </c>
      <c r="AO32" s="41" t="s">
        <v>400</v>
      </c>
      <c r="AP32" s="35">
        <f>IF(AND(ISNUMBER(AQ32),ISNUMBER(AO32)),AQ32-AO32,"")</f>
        <v>0</v>
      </c>
      <c r="AQ32" s="41" t="s">
        <v>400</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376</v>
      </c>
      <c r="F33" s="39">
        <v>45689</v>
      </c>
      <c r="I33" s="41" t="s">
        <v>400</v>
      </c>
      <c r="J33" s="35">
        <f>IF(AND(ISNUMBER(K33),ISNUMBER(I33)),K33-I33,"")</f>
        <v>0</v>
      </c>
      <c r="K33" s="34">
        <v>5</v>
      </c>
      <c r="L33" s="35">
        <f>IF(AND(ISNUMBER(M33),ISNUMBER(K33)),M33-K33,"")</f>
        <v>0</v>
      </c>
      <c r="M33" s="34">
        <v>0</v>
      </c>
      <c r="N33" s="35">
        <f>IF(AND(ISNUMBER(O33),ISNUMBER(M33)),O33-M33,"")</f>
        <v>0</v>
      </c>
      <c r="O33" s="41" t="s">
        <v>400</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400</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365</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375</v>
      </c>
      <c r="F35" s="39">
        <v>45689</v>
      </c>
      <c r="I35" s="34">
        <v>3</v>
      </c>
      <c r="J35" s="35">
        <f>IF(AND(ISNUMBER(K35),ISNUMBER(I35)),K35-I35,"")</f>
        <v>0</v>
      </c>
      <c r="K35" s="34">
        <v>2</v>
      </c>
      <c r="L35" s="35">
        <f>IF(AND(ISNUMBER(M35),ISNUMBER(K35)),M35-K35,"")</f>
        <v>0</v>
      </c>
      <c r="M35" s="34">
        <v>0</v>
      </c>
      <c r="N35" s="35">
        <f>IF(AND(ISNUMBER(O35),ISNUMBER(M35)),O35-M35,"")</f>
        <v>0</v>
      </c>
      <c r="O35" s="41" t="s">
        <v>400</v>
      </c>
      <c r="P35" s="35">
        <f>IF(AND(ISNUMBER(Q35),ISNUMBER(O35)),Q35-O35,"")</f>
        <v>0</v>
      </c>
      <c r="Q35" s="41" t="s">
        <v>400</v>
      </c>
      <c r="R35" s="35">
        <f>IF(AND(ISNUMBER(S35),ISNUMBER(Q35)),S35-Q35,"")</f>
        <v>0</v>
      </c>
      <c r="S35" s="34">
        <v>12</v>
      </c>
      <c r="T35" s="35">
        <f>IF(AND(ISNUMBER(U35),ISNUMBER(S35)),U35-S35,"")</f>
        <v>0</v>
      </c>
      <c r="U35" s="41" t="s">
        <v>400</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400</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406</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404</v>
      </c>
    </row>
    <row r="36" spans="1:322">
      <c r="B36" s="24"/>
      <c r="D36" s="32" t="s">
        <v>23</v>
      </c>
      <c r="E36" s="33" t="s">
        <v>371</v>
      </c>
      <c r="F36" s="39">
        <v>45689</v>
      </c>
      <c r="I36" s="41" t="s">
        <v>400</v>
      </c>
      <c r="J36" s="35">
        <f>IF(AND(ISNUMBER(K36),ISNUMBER(I36)),K36-I36,"")</f>
        <v>0</v>
      </c>
      <c r="K36" s="41" t="s">
        <v>400</v>
      </c>
      <c r="L36" s="35">
        <f>IF(AND(ISNUMBER(M36),ISNUMBER(K36)),M36-K36,"")</f>
        <v>0</v>
      </c>
      <c r="M36" s="41" t="s">
        <v>400</v>
      </c>
      <c r="N36" s="35">
        <f>IF(AND(ISNUMBER(O36),ISNUMBER(M36)),O36-M36,"")</f>
        <v>0</v>
      </c>
      <c r="O36" s="41" t="s">
        <v>400</v>
      </c>
      <c r="P36" s="35">
        <f>IF(AND(ISNUMBER(Q36),ISNUMBER(O36)),Q36-O36,"")</f>
        <v>0</v>
      </c>
      <c r="Q36" s="41" t="s">
        <v>400</v>
      </c>
      <c r="R36" s="35">
        <f>IF(AND(ISNUMBER(S36),ISNUMBER(Q36)),S36-Q36,"")</f>
        <v>0</v>
      </c>
      <c r="S36" s="41" t="s">
        <v>400</v>
      </c>
      <c r="T36" s="35">
        <f>IF(AND(ISNUMBER(U36),ISNUMBER(S36)),U36-S36,"")</f>
        <v>0</v>
      </c>
      <c r="U36" s="41" t="s">
        <v>400</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369</v>
      </c>
      <c r="F37" s="39">
        <v>45689</v>
      </c>
      <c r="I37" s="41" t="s">
        <v>400</v>
      </c>
      <c r="J37" s="35">
        <f>IF(AND(ISNUMBER(K37),ISNUMBER(I37)),K37-I37,"")</f>
        <v>0</v>
      </c>
      <c r="K37" s="41" t="s">
        <v>400</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400</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377</v>
      </c>
      <c r="F38" s="39">
        <v>45689</v>
      </c>
      <c r="I38" s="41" t="s">
        <v>400</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400</v>
      </c>
      <c r="AP38" s="35">
        <f>IF(AND(ISNUMBER(AQ38),ISNUMBER(AO38)),AQ38-AO38,"")</f>
        <v>0</v>
      </c>
      <c r="AQ38" s="41" t="s">
        <v>400</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397</v>
      </c>
    </row>
    <row r="39" spans="1:322">
      <c r="A39" s="23">
        <v>3</v>
      </c>
      <c r="B39" s="24" t="s">
        <v>407</v>
      </c>
      <c r="C39" s="25" t="s">
        <v>30</v>
      </c>
      <c r="D39" s="25"/>
      <c r="E39" s="26" t="s">
        <v>393</v>
      </c>
      <c r="F39" s="27"/>
      <c r="G39" s="27"/>
      <c r="H39" s="27" t="s">
        <v>408</v>
      </c>
      <c r="I39" s="28">
        <v>375</v>
      </c>
      <c r="J39" s="29">
        <f>IF(AND(ISNUMBER(K39),ISNUMBER(I39)),K39-I39,"")</f>
        <v>0</v>
      </c>
      <c r="K39" s="43" t="s">
        <v>400</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400</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400</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390</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398</v>
      </c>
    </row>
    <row r="40" spans="1:322">
      <c r="B40" s="24"/>
      <c r="D40" s="32" t="s">
        <v>13</v>
      </c>
      <c r="E40" s="33" t="s">
        <v>395</v>
      </c>
      <c r="F40" s="39" t="s">
        <v>409</v>
      </c>
      <c r="I40" s="41" t="s">
        <v>390</v>
      </c>
      <c r="J40" s="35">
        <f>IF(AND(ISNUMBER(K40),ISNUMBER(I40)),K40-I40,"")</f>
        <v>0</v>
      </c>
      <c r="K40" s="41" t="s">
        <v>390</v>
      </c>
      <c r="L40" s="35">
        <f>IF(AND(ISNUMBER(M40),ISNUMBER(K40)),M40-K40,"")</f>
        <v>0</v>
      </c>
      <c r="M40" s="41" t="s">
        <v>390</v>
      </c>
      <c r="N40" s="35">
        <f>IF(AND(ISNUMBER(O40),ISNUMBER(M40)),O40-M40,"")</f>
        <v>0</v>
      </c>
      <c r="O40" s="41" t="s">
        <v>390</v>
      </c>
      <c r="P40" s="35">
        <f>IF(AND(ISNUMBER(Q40),ISNUMBER(O40)),Q40-O40,"")</f>
        <v>0</v>
      </c>
      <c r="Q40" s="41" t="s">
        <v>390</v>
      </c>
      <c r="R40" s="35">
        <f>IF(AND(ISNUMBER(S40),ISNUMBER(Q40)),S40-Q40,"")</f>
        <v>0</v>
      </c>
      <c r="S40" s="41" t="s">
        <v>390</v>
      </c>
      <c r="T40" s="35">
        <f>IF(AND(ISNUMBER(U40),ISNUMBER(S40)),U40-S40,"")</f>
        <v>0</v>
      </c>
      <c r="U40" s="41" t="s">
        <v>390</v>
      </c>
      <c r="V40" s="35">
        <f>IF(AND(ISNUMBER(W40),ISNUMBER(U40)),W40-U40,"")</f>
        <v>0</v>
      </c>
      <c r="W40" s="41" t="s">
        <v>390</v>
      </c>
      <c r="X40" s="35">
        <f>IF(AND(ISNUMBER(Y40),ISNUMBER(W40)),Y40-W40,"")</f>
        <v>0</v>
      </c>
      <c r="Y40" s="41" t="s">
        <v>390</v>
      </c>
      <c r="Z40" s="35">
        <f>IF(AND(ISNUMBER(AA40),ISNUMBER(Y40)),AA40-Y40,"")</f>
        <v>0</v>
      </c>
      <c r="AA40" s="41" t="s">
        <v>390</v>
      </c>
      <c r="AB40" s="35">
        <f>IF(AND(ISNUMBER(AC40),ISNUMBER(AA40)),AC40-AA40,"")</f>
        <v>0</v>
      </c>
      <c r="AC40" s="41" t="s">
        <v>390</v>
      </c>
      <c r="AD40" s="35">
        <f>IF(AND(ISNUMBER(AE40),ISNUMBER(AC40)),AE40-AC40,"")</f>
        <v>0</v>
      </c>
      <c r="AE40" s="41" t="s">
        <v>390</v>
      </c>
      <c r="AF40" s="35">
        <f>IF(AND(ISNUMBER(AG40),ISNUMBER(AE40)),AG40-AE40,"")</f>
        <v>0</v>
      </c>
      <c r="AG40" s="41" t="s">
        <v>390</v>
      </c>
      <c r="AH40" s="35">
        <f>IF(AND(ISNUMBER(AI40),ISNUMBER(AG40)),AI40-AG40,"")</f>
        <v>0</v>
      </c>
      <c r="AI40" s="41" t="s">
        <v>390</v>
      </c>
      <c r="AJ40" s="35">
        <f>IF(AND(ISNUMBER(AK40),ISNUMBER(AI40)),AK40-AI40,"")</f>
        <v>0</v>
      </c>
      <c r="AK40" s="41" t="s">
        <v>390</v>
      </c>
      <c r="AL40" s="35">
        <f>IF(AND(ISNUMBER(AM40),ISNUMBER(AK40)),AM40-AK40,"")</f>
        <v>0</v>
      </c>
      <c r="AM40" s="41" t="s">
        <v>390</v>
      </c>
      <c r="AN40" s="35">
        <f>IF(AND(ISNUMBER(AO40),ISNUMBER(AM40)),AO40-AM40,"")</f>
        <v>0</v>
      </c>
      <c r="AO40" s="41" t="s">
        <v>390</v>
      </c>
      <c r="AP40" s="35">
        <f>IF(AND(ISNUMBER(AQ40),ISNUMBER(AO40)),AQ40-AO40,"")</f>
        <v>0</v>
      </c>
      <c r="AQ40" s="41" t="s">
        <v>390</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376</v>
      </c>
      <c r="I41" s="41" t="s">
        <v>390</v>
      </c>
      <c r="J41" s="35">
        <f>IF(AND(ISNUMBER(K41),ISNUMBER(I41)),K41-I41,"")</f>
        <v>0</v>
      </c>
      <c r="K41" s="41" t="s">
        <v>390</v>
      </c>
      <c r="L41" s="35">
        <f>IF(AND(ISNUMBER(M41),ISNUMBER(K41)),M41-K41,"")</f>
        <v>0</v>
      </c>
      <c r="M41" s="41" t="s">
        <v>390</v>
      </c>
      <c r="N41" s="35">
        <f>IF(AND(ISNUMBER(O41),ISNUMBER(M41)),O41-M41,"")</f>
        <v>0</v>
      </c>
      <c r="O41" s="41" t="s">
        <v>390</v>
      </c>
      <c r="P41" s="35">
        <f>IF(AND(ISNUMBER(Q41),ISNUMBER(O41)),Q41-O41,"")</f>
        <v>0</v>
      </c>
      <c r="Q41" s="41" t="s">
        <v>390</v>
      </c>
      <c r="R41" s="35">
        <f>IF(AND(ISNUMBER(S41),ISNUMBER(Q41)),S41-Q41,"")</f>
        <v>0</v>
      </c>
      <c r="S41" s="41" t="s">
        <v>390</v>
      </c>
      <c r="T41" s="35">
        <f>IF(AND(ISNUMBER(U41),ISNUMBER(S41)),U41-S41,"")</f>
        <v>0</v>
      </c>
      <c r="U41" s="41" t="s">
        <v>390</v>
      </c>
      <c r="V41" s="35">
        <f>IF(AND(ISNUMBER(W41),ISNUMBER(U41)),W41-U41,"")</f>
        <v>0</v>
      </c>
      <c r="W41" s="41" t="s">
        <v>390</v>
      </c>
      <c r="X41" s="35">
        <f>IF(AND(ISNUMBER(Y41),ISNUMBER(W41)),Y41-W41,"")</f>
        <v>0</v>
      </c>
      <c r="Y41" s="41" t="s">
        <v>390</v>
      </c>
      <c r="Z41" s="35">
        <f>IF(AND(ISNUMBER(AA41),ISNUMBER(Y41)),AA41-Y41,"")</f>
        <v>0</v>
      </c>
      <c r="AA41" s="41" t="s">
        <v>390</v>
      </c>
      <c r="AB41" s="35">
        <f>IF(AND(ISNUMBER(AC41),ISNUMBER(AA41)),AC41-AA41,"")</f>
        <v>0</v>
      </c>
      <c r="AC41" s="41" t="s">
        <v>390</v>
      </c>
      <c r="AD41" s="35">
        <f>IF(AND(ISNUMBER(AE41),ISNUMBER(AC41)),AE41-AC41,"")</f>
        <v>0</v>
      </c>
      <c r="AE41" s="41" t="s">
        <v>390</v>
      </c>
      <c r="AF41" s="35">
        <f>IF(AND(ISNUMBER(AG41),ISNUMBER(AE41)),AG41-AE41,"")</f>
        <v>0</v>
      </c>
      <c r="AG41" s="41" t="s">
        <v>390</v>
      </c>
      <c r="AH41" s="35">
        <f>IF(AND(ISNUMBER(AI41),ISNUMBER(AG41)),AI41-AG41,"")</f>
        <v>0</v>
      </c>
      <c r="AI41" s="41" t="s">
        <v>390</v>
      </c>
      <c r="AJ41" s="35">
        <f>IF(AND(ISNUMBER(AK41),ISNUMBER(AI41)),AK41-AI41,"")</f>
        <v>0</v>
      </c>
      <c r="AK41" s="41" t="s">
        <v>390</v>
      </c>
      <c r="AL41" s="35">
        <f>IF(AND(ISNUMBER(AM41),ISNUMBER(AK41)),AM41-AK41,"")</f>
        <v>0</v>
      </c>
      <c r="AM41" s="41" t="s">
        <v>390</v>
      </c>
      <c r="AN41" s="35">
        <f>IF(AND(ISNUMBER(AO41),ISNUMBER(AM41)),AO41-AM41,"")</f>
        <v>0</v>
      </c>
      <c r="AO41" s="41" t="s">
        <v>390</v>
      </c>
      <c r="AP41" s="35">
        <f>IF(AND(ISNUMBER(AQ41),ISNUMBER(AO41)),AQ41-AO41,"")</f>
        <v>0</v>
      </c>
      <c r="AQ41" s="41" t="s">
        <v>390</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365</v>
      </c>
      <c r="I42" s="41" t="s">
        <v>390</v>
      </c>
      <c r="J42" s="35">
        <f>IF(AND(ISNUMBER(K42),ISNUMBER(I42)),K42-I42,"")</f>
        <v>0</v>
      </c>
      <c r="K42" s="41" t="s">
        <v>390</v>
      </c>
      <c r="L42" s="35">
        <f>IF(AND(ISNUMBER(M42),ISNUMBER(K42)),M42-K42,"")</f>
        <v>0</v>
      </c>
      <c r="M42" s="41" t="s">
        <v>390</v>
      </c>
      <c r="N42" s="35">
        <f>IF(AND(ISNUMBER(O42),ISNUMBER(M42)),O42-M42,"")</f>
        <v>0</v>
      </c>
      <c r="O42" s="41" t="s">
        <v>390</v>
      </c>
      <c r="P42" s="35">
        <f>IF(AND(ISNUMBER(Q42),ISNUMBER(O42)),Q42-O42,"")</f>
        <v>0</v>
      </c>
      <c r="Q42" s="41" t="s">
        <v>390</v>
      </c>
      <c r="R42" s="35">
        <f>IF(AND(ISNUMBER(S42),ISNUMBER(Q42)),S42-Q42,"")</f>
        <v>0</v>
      </c>
      <c r="S42" s="41" t="s">
        <v>390</v>
      </c>
      <c r="T42" s="35">
        <f>IF(AND(ISNUMBER(U42),ISNUMBER(S42)),U42-S42,"")</f>
        <v>0</v>
      </c>
      <c r="U42" s="41" t="s">
        <v>390</v>
      </c>
      <c r="V42" s="35">
        <f>IF(AND(ISNUMBER(W42),ISNUMBER(U42)),W42-U42,"")</f>
        <v>0</v>
      </c>
      <c r="W42" s="41" t="s">
        <v>390</v>
      </c>
      <c r="X42" s="35">
        <f>IF(AND(ISNUMBER(Y42),ISNUMBER(W42)),Y42-W42,"")</f>
        <v>0</v>
      </c>
      <c r="Y42" s="41" t="s">
        <v>390</v>
      </c>
      <c r="Z42" s="35">
        <f>IF(AND(ISNUMBER(AA42),ISNUMBER(Y42)),AA42-Y42,"")</f>
        <v>0</v>
      </c>
      <c r="AA42" s="41" t="s">
        <v>390</v>
      </c>
      <c r="AB42" s="35">
        <f>IF(AND(ISNUMBER(AC42),ISNUMBER(AA42)),AC42-AA42,"")</f>
        <v>0</v>
      </c>
      <c r="AC42" s="41" t="s">
        <v>390</v>
      </c>
      <c r="AD42" s="35">
        <f>IF(AND(ISNUMBER(AE42),ISNUMBER(AC42)),AE42-AC42,"")</f>
        <v>0</v>
      </c>
      <c r="AE42" s="41" t="s">
        <v>390</v>
      </c>
      <c r="AF42" s="35">
        <f>IF(AND(ISNUMBER(AG42),ISNUMBER(AE42)),AG42-AE42,"")</f>
        <v>0</v>
      </c>
      <c r="AG42" s="41" t="s">
        <v>390</v>
      </c>
      <c r="AH42" s="35">
        <f>IF(AND(ISNUMBER(AI42),ISNUMBER(AG42)),AI42-AG42,"")</f>
        <v>0</v>
      </c>
      <c r="AI42" s="41" t="s">
        <v>390</v>
      </c>
      <c r="AJ42" s="35">
        <f>IF(AND(ISNUMBER(AK42),ISNUMBER(AI42)),AK42-AI42,"")</f>
        <v>0</v>
      </c>
      <c r="AK42" s="41" t="s">
        <v>390</v>
      </c>
      <c r="AL42" s="35">
        <f>IF(AND(ISNUMBER(AM42),ISNUMBER(AK42)),AM42-AK42,"")</f>
        <v>0</v>
      </c>
      <c r="AM42" s="41" t="s">
        <v>390</v>
      </c>
      <c r="AN42" s="35">
        <f>IF(AND(ISNUMBER(AO42),ISNUMBER(AM42)),AO42-AM42,"")</f>
        <v>0</v>
      </c>
      <c r="AO42" s="41" t="s">
        <v>390</v>
      </c>
      <c r="AP42" s="35">
        <f>IF(AND(ISNUMBER(AQ42),ISNUMBER(AO42)),AQ42-AO42,"")</f>
        <v>0</v>
      </c>
      <c r="AQ42" s="41" t="s">
        <v>390</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375</v>
      </c>
      <c r="I43" s="41" t="s">
        <v>390</v>
      </c>
      <c r="J43" s="35">
        <f>IF(AND(ISNUMBER(K43),ISNUMBER(I43)),K43-I43,"")</f>
        <v>0</v>
      </c>
      <c r="K43" s="41" t="s">
        <v>390</v>
      </c>
      <c r="L43" s="35">
        <f>IF(AND(ISNUMBER(M43),ISNUMBER(K43)),M43-K43,"")</f>
        <v>0</v>
      </c>
      <c r="M43" s="34">
        <v>2</v>
      </c>
      <c r="N43" s="35">
        <f>IF(AND(ISNUMBER(O43),ISNUMBER(M43)),O43-M43,"")</f>
        <v>0</v>
      </c>
      <c r="O43" s="41" t="s">
        <v>390</v>
      </c>
      <c r="P43" s="35">
        <f>IF(AND(ISNUMBER(Q43),ISNUMBER(O43)),Q43-O43,"")</f>
        <v>0</v>
      </c>
      <c r="Q43" s="41" t="s">
        <v>390</v>
      </c>
      <c r="R43" s="35">
        <f>IF(AND(ISNUMBER(S43),ISNUMBER(Q43)),S43-Q43,"")</f>
        <v>0</v>
      </c>
      <c r="S43" s="41" t="s">
        <v>390</v>
      </c>
      <c r="T43" s="35">
        <f>IF(AND(ISNUMBER(U43),ISNUMBER(S43)),U43-S43,"")</f>
        <v>0</v>
      </c>
      <c r="U43" s="41" t="s">
        <v>390</v>
      </c>
      <c r="V43" s="35">
        <f>IF(AND(ISNUMBER(W43),ISNUMBER(U43)),W43-U43,"")</f>
        <v>0</v>
      </c>
      <c r="W43" s="41" t="s">
        <v>390</v>
      </c>
      <c r="X43" s="35">
        <f>IF(AND(ISNUMBER(Y43),ISNUMBER(W43)),Y43-W43,"")</f>
        <v>0</v>
      </c>
      <c r="Y43" s="41" t="s">
        <v>390</v>
      </c>
      <c r="Z43" s="35">
        <f>IF(AND(ISNUMBER(AA43),ISNUMBER(Y43)),AA43-Y43,"")</f>
        <v>0</v>
      </c>
      <c r="AA43" s="41" t="s">
        <v>390</v>
      </c>
      <c r="AB43" s="35">
        <f>IF(AND(ISNUMBER(AC43),ISNUMBER(AA43)),AC43-AA43,"")</f>
        <v>0</v>
      </c>
      <c r="AC43" s="41" t="s">
        <v>390</v>
      </c>
      <c r="AD43" s="35">
        <f>IF(AND(ISNUMBER(AE43),ISNUMBER(AC43)),AE43-AC43,"")</f>
        <v>0</v>
      </c>
      <c r="AE43" s="41" t="s">
        <v>390</v>
      </c>
      <c r="AF43" s="35">
        <f>IF(AND(ISNUMBER(AG43),ISNUMBER(AE43)),AG43-AE43,"")</f>
        <v>0</v>
      </c>
      <c r="AG43" s="41" t="s">
        <v>390</v>
      </c>
      <c r="AH43" s="35">
        <f>IF(AND(ISNUMBER(AI43),ISNUMBER(AG43)),AI43-AG43,"")</f>
        <v>0</v>
      </c>
      <c r="AI43" s="41" t="s">
        <v>390</v>
      </c>
      <c r="AJ43" s="35">
        <f>IF(AND(ISNUMBER(AK43),ISNUMBER(AI43)),AK43-AI43,"")</f>
        <v>0</v>
      </c>
      <c r="AK43" s="41" t="s">
        <v>390</v>
      </c>
      <c r="AL43" s="35">
        <f>IF(AND(ISNUMBER(AM43),ISNUMBER(AK43)),AM43-AK43,"")</f>
        <v>0</v>
      </c>
      <c r="AM43" s="41" t="s">
        <v>390</v>
      </c>
      <c r="AN43" s="35">
        <f>IF(AND(ISNUMBER(AO43),ISNUMBER(AM43)),AO43-AM43,"")</f>
        <v>0</v>
      </c>
      <c r="AO43" s="41" t="s">
        <v>390</v>
      </c>
      <c r="AP43" s="35">
        <f>IF(AND(ISNUMBER(AQ43),ISNUMBER(AO43)),AQ43-AO43,"")</f>
        <v>0</v>
      </c>
      <c r="AQ43" s="41" t="s">
        <v>390</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371</v>
      </c>
      <c r="I44" s="41" t="s">
        <v>390</v>
      </c>
      <c r="J44" s="35">
        <f>IF(AND(ISNUMBER(K44),ISNUMBER(I44)),K44-I44,"")</f>
        <v>0</v>
      </c>
      <c r="K44" s="41" t="s">
        <v>390</v>
      </c>
      <c r="L44" s="35">
        <f>IF(AND(ISNUMBER(M44),ISNUMBER(K44)),M44-K44,"")</f>
        <v>0</v>
      </c>
      <c r="M44" s="41" t="s">
        <v>390</v>
      </c>
      <c r="N44" s="35">
        <f>IF(AND(ISNUMBER(O44),ISNUMBER(M44)),O44-M44,"")</f>
        <v>0</v>
      </c>
      <c r="O44" s="41" t="s">
        <v>390</v>
      </c>
      <c r="P44" s="35">
        <f>IF(AND(ISNUMBER(Q44),ISNUMBER(O44)),Q44-O44,"")</f>
        <v>0</v>
      </c>
      <c r="Q44" s="41" t="s">
        <v>390</v>
      </c>
      <c r="R44" s="35">
        <f>IF(AND(ISNUMBER(S44),ISNUMBER(Q44)),S44-Q44,"")</f>
        <v>0</v>
      </c>
      <c r="S44" s="41" t="s">
        <v>390</v>
      </c>
      <c r="T44" s="35">
        <f>IF(AND(ISNUMBER(U44),ISNUMBER(S44)),U44-S44,"")</f>
        <v>0</v>
      </c>
      <c r="U44" s="41" t="s">
        <v>390</v>
      </c>
      <c r="V44" s="35">
        <f>IF(AND(ISNUMBER(W44),ISNUMBER(U44)),W44-U44,"")</f>
        <v>0</v>
      </c>
      <c r="W44" s="41" t="s">
        <v>390</v>
      </c>
      <c r="X44" s="35">
        <f>IF(AND(ISNUMBER(Y44),ISNUMBER(W44)),Y44-W44,"")</f>
        <v>0</v>
      </c>
      <c r="Y44" s="41" t="s">
        <v>390</v>
      </c>
      <c r="Z44" s="35">
        <f>IF(AND(ISNUMBER(AA44),ISNUMBER(Y44)),AA44-Y44,"")</f>
        <v>0</v>
      </c>
      <c r="AA44" s="41" t="s">
        <v>390</v>
      </c>
      <c r="AB44" s="35">
        <f>IF(AND(ISNUMBER(AC44),ISNUMBER(AA44)),AC44-AA44,"")</f>
        <v>0</v>
      </c>
      <c r="AC44" s="34">
        <v>3</v>
      </c>
      <c r="AD44" s="35">
        <f>IF(AND(ISNUMBER(AE44),ISNUMBER(AC44)),AE44-AC44,"")</f>
        <v>0</v>
      </c>
      <c r="AE44" s="41" t="s">
        <v>390</v>
      </c>
      <c r="AF44" s="35">
        <f>IF(AND(ISNUMBER(AG44),ISNUMBER(AE44)),AG44-AE44,"")</f>
        <v>0</v>
      </c>
      <c r="AG44" s="41" t="s">
        <v>390</v>
      </c>
      <c r="AH44" s="35">
        <f>IF(AND(ISNUMBER(AI44),ISNUMBER(AG44)),AI44-AG44,"")</f>
        <v>0</v>
      </c>
      <c r="AI44" s="41" t="s">
        <v>390</v>
      </c>
      <c r="AJ44" s="35">
        <f>IF(AND(ISNUMBER(AK44),ISNUMBER(AI44)),AK44-AI44,"")</f>
        <v>0</v>
      </c>
      <c r="AK44" s="41" t="s">
        <v>390</v>
      </c>
      <c r="AL44" s="35">
        <f>IF(AND(ISNUMBER(AM44),ISNUMBER(AK44)),AM44-AK44,"")</f>
        <v>0</v>
      </c>
      <c r="AM44" s="41" t="s">
        <v>390</v>
      </c>
      <c r="AN44" s="35">
        <f>IF(AND(ISNUMBER(AO44),ISNUMBER(AM44)),AO44-AM44,"")</f>
        <v>0</v>
      </c>
      <c r="AO44" s="41" t="s">
        <v>390</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369</v>
      </c>
      <c r="I45" s="41" t="s">
        <v>390</v>
      </c>
      <c r="J45" s="35">
        <f>IF(AND(ISNUMBER(K45),ISNUMBER(I45)),K45-I45,"")</f>
        <v>0</v>
      </c>
      <c r="K45" s="41" t="s">
        <v>390</v>
      </c>
      <c r="L45" s="35">
        <f>IF(AND(ISNUMBER(M45),ISNUMBER(K45)),M45-K45,"")</f>
        <v>0</v>
      </c>
      <c r="M45" s="41" t="s">
        <v>390</v>
      </c>
      <c r="N45" s="35">
        <f>IF(AND(ISNUMBER(O45),ISNUMBER(M45)),O45-M45,"")</f>
        <v>0</v>
      </c>
      <c r="O45" s="41" t="s">
        <v>390</v>
      </c>
      <c r="P45" s="35">
        <f>IF(AND(ISNUMBER(Q45),ISNUMBER(O45)),Q45-O45,"")</f>
        <v>0</v>
      </c>
      <c r="Q45" s="41" t="s">
        <v>390</v>
      </c>
      <c r="R45" s="35">
        <f>IF(AND(ISNUMBER(S45),ISNUMBER(Q45)),S45-Q45,"")</f>
        <v>0</v>
      </c>
      <c r="S45" s="41" t="s">
        <v>390</v>
      </c>
      <c r="T45" s="35">
        <f>IF(AND(ISNUMBER(U45),ISNUMBER(S45)),U45-S45,"")</f>
        <v>0</v>
      </c>
      <c r="U45" s="41" t="s">
        <v>390</v>
      </c>
      <c r="V45" s="35">
        <f>IF(AND(ISNUMBER(W45),ISNUMBER(U45)),W45-U45,"")</f>
        <v>0</v>
      </c>
      <c r="W45" s="41" t="s">
        <v>390</v>
      </c>
      <c r="X45" s="35">
        <f>IF(AND(ISNUMBER(Y45),ISNUMBER(W45)),Y45-W45,"")</f>
        <v>0</v>
      </c>
      <c r="Y45" s="41" t="s">
        <v>390</v>
      </c>
      <c r="Z45" s="35">
        <f>IF(AND(ISNUMBER(AA45),ISNUMBER(Y45)),AA45-Y45,"")</f>
        <v>0</v>
      </c>
      <c r="AA45" s="41" t="s">
        <v>390</v>
      </c>
      <c r="AB45" s="35">
        <f>IF(AND(ISNUMBER(AC45),ISNUMBER(AA45)),AC45-AA45,"")</f>
        <v>0</v>
      </c>
      <c r="AC45" s="34">
        <v>1</v>
      </c>
      <c r="AD45" s="35">
        <f>IF(AND(ISNUMBER(AE45),ISNUMBER(AC45)),AE45-AC45,"")</f>
        <v>0</v>
      </c>
      <c r="AE45" s="41" t="s">
        <v>390</v>
      </c>
      <c r="AF45" s="35">
        <f>IF(AND(ISNUMBER(AG45),ISNUMBER(AE45)),AG45-AE45,"")</f>
        <v>0</v>
      </c>
      <c r="AG45" s="41" t="s">
        <v>390</v>
      </c>
      <c r="AH45" s="35">
        <f>IF(AND(ISNUMBER(AI45),ISNUMBER(AG45)),AI45-AG45,"")</f>
        <v>0</v>
      </c>
      <c r="AI45" s="41" t="s">
        <v>390</v>
      </c>
      <c r="AJ45" s="35">
        <f>IF(AND(ISNUMBER(AK45),ISNUMBER(AI45)),AK45-AI45,"")</f>
        <v>0</v>
      </c>
      <c r="AK45" s="41" t="s">
        <v>390</v>
      </c>
      <c r="AL45" s="35">
        <f>IF(AND(ISNUMBER(AM45),ISNUMBER(AK45)),AM45-AK45,"")</f>
        <v>0</v>
      </c>
      <c r="AM45" s="41" t="s">
        <v>390</v>
      </c>
      <c r="AN45" s="35">
        <f>IF(AND(ISNUMBER(AO45),ISNUMBER(AM45)),AO45-AM45,"")</f>
        <v>0</v>
      </c>
      <c r="AO45" s="41" t="s">
        <v>390</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377</v>
      </c>
      <c r="I46" s="41" t="s">
        <v>390</v>
      </c>
      <c r="J46" s="35">
        <f>IF(AND(ISNUMBER(K46),ISNUMBER(I46)),K46-I46,"")</f>
        <v>0</v>
      </c>
      <c r="K46" s="41" t="s">
        <v>390</v>
      </c>
      <c r="L46" s="35">
        <f>IF(AND(ISNUMBER(M46),ISNUMBER(K46)),M46-K46,"")</f>
        <v>0</v>
      </c>
      <c r="M46" s="41" t="s">
        <v>390</v>
      </c>
      <c r="N46" s="35">
        <f>IF(AND(ISNUMBER(O46),ISNUMBER(M46)),O46-M46,"")</f>
        <v>0</v>
      </c>
      <c r="O46" s="41" t="s">
        <v>390</v>
      </c>
      <c r="P46" s="35">
        <f>IF(AND(ISNUMBER(Q46),ISNUMBER(O46)),Q46-O46,"")</f>
        <v>0</v>
      </c>
      <c r="Q46" s="41" t="s">
        <v>390</v>
      </c>
      <c r="R46" s="35">
        <f>IF(AND(ISNUMBER(S46),ISNUMBER(Q46)),S46-Q46,"")</f>
        <v>0</v>
      </c>
      <c r="S46" s="41" t="s">
        <v>390</v>
      </c>
      <c r="T46" s="35">
        <f>IF(AND(ISNUMBER(U46),ISNUMBER(S46)),U46-S46,"")</f>
        <v>0</v>
      </c>
      <c r="U46" s="41" t="s">
        <v>390</v>
      </c>
      <c r="V46" s="35">
        <f>IF(AND(ISNUMBER(W46),ISNUMBER(U46)),W46-U46,"")</f>
        <v>0</v>
      </c>
      <c r="W46" s="41" t="s">
        <v>390</v>
      </c>
      <c r="X46" s="35">
        <f>IF(AND(ISNUMBER(Y46),ISNUMBER(W46)),Y46-W46,"")</f>
        <v>0</v>
      </c>
      <c r="Y46" s="41" t="s">
        <v>390</v>
      </c>
      <c r="Z46" s="35">
        <f>IF(AND(ISNUMBER(AA46),ISNUMBER(Y46)),AA46-Y46,"")</f>
        <v>0</v>
      </c>
      <c r="AA46" s="41" t="s">
        <v>390</v>
      </c>
      <c r="AB46" s="35">
        <f>IF(AND(ISNUMBER(AC46),ISNUMBER(AA46)),AC46-AA46,"")</f>
        <v>0</v>
      </c>
      <c r="AC46" s="41" t="s">
        <v>390</v>
      </c>
      <c r="AD46" s="35">
        <f>IF(AND(ISNUMBER(AE46),ISNUMBER(AC46)),AE46-AC46,"")</f>
        <v>0</v>
      </c>
      <c r="AE46" s="41" t="s">
        <v>390</v>
      </c>
      <c r="AF46" s="35">
        <f>IF(AND(ISNUMBER(AG46),ISNUMBER(AE46)),AG46-AE46,"")</f>
        <v>0</v>
      </c>
      <c r="AG46" s="41" t="s">
        <v>390</v>
      </c>
      <c r="AH46" s="35">
        <f>IF(AND(ISNUMBER(AI46),ISNUMBER(AG46)),AI46-AG46,"")</f>
        <v>0</v>
      </c>
      <c r="AI46" s="41" t="s">
        <v>390</v>
      </c>
      <c r="AJ46" s="35">
        <f>IF(AND(ISNUMBER(AK46),ISNUMBER(AI46)),AK46-AI46,"")</f>
        <v>0</v>
      </c>
      <c r="AK46" s="41" t="s">
        <v>390</v>
      </c>
      <c r="AL46" s="35">
        <f>IF(AND(ISNUMBER(AM46),ISNUMBER(AK46)),AM46-AK46,"")</f>
        <v>0</v>
      </c>
      <c r="AM46" s="41" t="s">
        <v>390</v>
      </c>
      <c r="AN46" s="35">
        <f>IF(AND(ISNUMBER(AO46),ISNUMBER(AM46)),AO46-AM46,"")</f>
        <v>0</v>
      </c>
      <c r="AO46" s="41" t="s">
        <v>390</v>
      </c>
      <c r="AP46" s="35">
        <f>IF(AND(ISNUMBER(AQ46),ISNUMBER(AO46)),AQ46-AO46,"")</f>
        <v>0</v>
      </c>
      <c r="AQ46" s="41" t="s">
        <v>390</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397</v>
      </c>
    </row>
    <row r="47" spans="1:322">
      <c r="A47" s="23" t="s">
        <v>65</v>
      </c>
      <c r="B47" s="24" t="s">
        <v>410</v>
      </c>
      <c r="C47" s="25" t="s">
        <v>12</v>
      </c>
      <c r="D47" s="25"/>
      <c r="E47" s="26" t="s">
        <v>393</v>
      </c>
      <c r="F47" s="27"/>
      <c r="G47" s="27"/>
      <c r="H47" s="27" t="s">
        <v>394</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398</v>
      </c>
    </row>
    <row r="48" spans="1:322">
      <c r="B48" s="24"/>
      <c r="D48" s="32" t="s">
        <v>13</v>
      </c>
      <c r="E48" s="33" t="s">
        <v>411</v>
      </c>
      <c r="I48" s="41" t="s">
        <v>390</v>
      </c>
      <c r="J48" s="35">
        <f>IF(AND(ISNUMBER(K48),ISNUMBER(I48)),K48-I48,"")</f>
        <v>0</v>
      </c>
      <c r="K48" s="41" t="s">
        <v>390</v>
      </c>
      <c r="L48" s="35">
        <f>IF(AND(ISNUMBER(M48),ISNUMBER(K48)),M48-K48,"")</f>
        <v>0</v>
      </c>
      <c r="M48" s="41" t="s">
        <v>390</v>
      </c>
      <c r="N48" s="35">
        <f>IF(AND(ISNUMBER(O48),ISNUMBER(M48)),O48-M48,"")</f>
        <v>0</v>
      </c>
      <c r="O48" s="41" t="s">
        <v>390</v>
      </c>
      <c r="P48" s="35">
        <f>IF(AND(ISNUMBER(Q48),ISNUMBER(O48)),Q48-O48,"")</f>
        <v>0</v>
      </c>
      <c r="Q48" s="41" t="s">
        <v>390</v>
      </c>
      <c r="R48" s="35">
        <f>IF(AND(ISNUMBER(S48),ISNUMBER(Q48)),S48-Q48,"")</f>
        <v>0</v>
      </c>
      <c r="S48" s="41" t="s">
        <v>390</v>
      </c>
      <c r="T48" s="35">
        <f>IF(AND(ISNUMBER(U48),ISNUMBER(S48)),U48-S48,"")</f>
        <v>0</v>
      </c>
      <c r="U48" s="41" t="s">
        <v>390</v>
      </c>
      <c r="V48" s="35">
        <f>IF(AND(ISNUMBER(W48),ISNUMBER(U48)),W48-U48,"")</f>
        <v>0</v>
      </c>
      <c r="W48" s="41" t="s">
        <v>390</v>
      </c>
      <c r="X48" s="35">
        <f>IF(AND(ISNUMBER(Y48),ISNUMBER(W48)),Y48-W48,"")</f>
        <v>0</v>
      </c>
      <c r="Y48" s="41" t="s">
        <v>390</v>
      </c>
      <c r="Z48" s="35">
        <f>IF(AND(ISNUMBER(AA48),ISNUMBER(Y48)),AA48-Y48,"")</f>
        <v>0</v>
      </c>
      <c r="AA48" s="41" t="s">
        <v>390</v>
      </c>
      <c r="AB48" s="35">
        <f>IF(AND(ISNUMBER(AC48),ISNUMBER(AA48)),AC48-AA48,"")</f>
        <v>0</v>
      </c>
      <c r="AC48" s="41" t="s">
        <v>390</v>
      </c>
      <c r="AD48" s="35">
        <f>IF(AND(ISNUMBER(AE48),ISNUMBER(AC48)),AE48-AC48,"")</f>
        <v>0</v>
      </c>
      <c r="AE48" s="41" t="s">
        <v>390</v>
      </c>
      <c r="AF48" s="35">
        <f>IF(AND(ISNUMBER(AG48),ISNUMBER(AE48)),AG48-AE48,"")</f>
        <v>0</v>
      </c>
      <c r="AG48" s="41" t="s">
        <v>390</v>
      </c>
      <c r="AH48" s="35">
        <f>IF(AND(ISNUMBER(AI48),ISNUMBER(AG48)),AI48-AG48,"")</f>
        <v>0</v>
      </c>
      <c r="AI48" s="41" t="s">
        <v>390</v>
      </c>
      <c r="AJ48" s="35">
        <f>IF(AND(ISNUMBER(AK48),ISNUMBER(AI48)),AK48-AI48,"")</f>
        <v>0</v>
      </c>
      <c r="AK48" s="41" t="s">
        <v>390</v>
      </c>
      <c r="AL48" s="35">
        <f>IF(AND(ISNUMBER(AM48),ISNUMBER(AK48)),AM48-AK48,"")</f>
        <v>0</v>
      </c>
      <c r="AM48" s="41" t="s">
        <v>390</v>
      </c>
      <c r="AN48" s="35">
        <f>IF(AND(ISNUMBER(AO48),ISNUMBER(AM48)),AO48-AM48,"")</f>
        <v>0</v>
      </c>
      <c r="AO48" s="41" t="s">
        <v>390</v>
      </c>
      <c r="AP48" s="35">
        <f>IF(AND(ISNUMBER(AQ48),ISNUMBER(AO48)),AQ48-AO48,"")</f>
        <v>0</v>
      </c>
      <c r="AQ48" s="41" t="s">
        <v>390</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376</v>
      </c>
      <c r="I49" s="41" t="s">
        <v>390</v>
      </c>
      <c r="J49" s="35">
        <f>IF(AND(ISNUMBER(K49),ISNUMBER(I49)),K49-I49,"")</f>
        <v>0</v>
      </c>
      <c r="K49" s="41" t="s">
        <v>390</v>
      </c>
      <c r="L49" s="35">
        <f>IF(AND(ISNUMBER(M49),ISNUMBER(K49)),M49-K49,"")</f>
        <v>0</v>
      </c>
      <c r="M49" s="41" t="s">
        <v>390</v>
      </c>
      <c r="N49" s="35">
        <f>IF(AND(ISNUMBER(O49),ISNUMBER(M49)),O49-M49,"")</f>
        <v>0</v>
      </c>
      <c r="O49" s="41" t="s">
        <v>390</v>
      </c>
      <c r="P49" s="35">
        <f>IF(AND(ISNUMBER(Q49),ISNUMBER(O49)),Q49-O49,"")</f>
        <v>0</v>
      </c>
      <c r="Q49" s="41" t="s">
        <v>390</v>
      </c>
      <c r="R49" s="35">
        <f>IF(AND(ISNUMBER(S49),ISNUMBER(Q49)),S49-Q49,"")</f>
        <v>0</v>
      </c>
      <c r="S49" s="41" t="s">
        <v>390</v>
      </c>
      <c r="T49" s="35">
        <f>IF(AND(ISNUMBER(U49),ISNUMBER(S49)),U49-S49,"")</f>
        <v>0</v>
      </c>
      <c r="U49" s="41" t="s">
        <v>390</v>
      </c>
      <c r="V49" s="35">
        <f>IF(AND(ISNUMBER(W49),ISNUMBER(U49)),W49-U49,"")</f>
        <v>0</v>
      </c>
      <c r="W49" s="41" t="s">
        <v>390</v>
      </c>
      <c r="X49" s="35">
        <f>IF(AND(ISNUMBER(Y49),ISNUMBER(W49)),Y49-W49,"")</f>
        <v>0</v>
      </c>
      <c r="Y49" s="41" t="s">
        <v>390</v>
      </c>
      <c r="Z49" s="35">
        <f>IF(AND(ISNUMBER(AA49),ISNUMBER(Y49)),AA49-Y49,"")</f>
        <v>0</v>
      </c>
      <c r="AA49" s="41" t="s">
        <v>390</v>
      </c>
      <c r="AB49" s="35">
        <f>IF(AND(ISNUMBER(AC49),ISNUMBER(AA49)),AC49-AA49,"")</f>
        <v>0</v>
      </c>
      <c r="AC49" s="41" t="s">
        <v>390</v>
      </c>
      <c r="AD49" s="35">
        <f>IF(AND(ISNUMBER(AE49),ISNUMBER(AC49)),AE49-AC49,"")</f>
        <v>0</v>
      </c>
      <c r="AE49" s="41" t="s">
        <v>390</v>
      </c>
      <c r="AF49" s="35">
        <f>IF(AND(ISNUMBER(AG49),ISNUMBER(AE49)),AG49-AE49,"")</f>
        <v>0</v>
      </c>
      <c r="AG49" s="41" t="s">
        <v>390</v>
      </c>
      <c r="AH49" s="35">
        <f>IF(AND(ISNUMBER(AI49),ISNUMBER(AG49)),AI49-AG49,"")</f>
        <v>0</v>
      </c>
      <c r="AI49" s="41" t="s">
        <v>390</v>
      </c>
      <c r="AJ49" s="35">
        <f>IF(AND(ISNUMBER(AK49),ISNUMBER(AI49)),AK49-AI49,"")</f>
        <v>0</v>
      </c>
      <c r="AK49" s="41" t="s">
        <v>390</v>
      </c>
      <c r="AL49" s="35">
        <f>IF(AND(ISNUMBER(AM49),ISNUMBER(AK49)),AM49-AK49,"")</f>
        <v>0</v>
      </c>
      <c r="AM49" s="41" t="s">
        <v>390</v>
      </c>
      <c r="AN49" s="35">
        <f>IF(AND(ISNUMBER(AO49),ISNUMBER(AM49)),AO49-AM49,"")</f>
        <v>0</v>
      </c>
      <c r="AO49" s="41" t="s">
        <v>390</v>
      </c>
      <c r="AP49" s="35">
        <f>IF(AND(ISNUMBER(AQ49),ISNUMBER(AO49)),AQ49-AO49,"")</f>
        <v>0</v>
      </c>
      <c r="AQ49" s="41" t="s">
        <v>390</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365</v>
      </c>
      <c r="I50" s="41" t="s">
        <v>390</v>
      </c>
      <c r="J50" s="35">
        <f>IF(AND(ISNUMBER(K50),ISNUMBER(I50)),K50-I50,"")</f>
        <v>0</v>
      </c>
      <c r="K50" s="41" t="s">
        <v>390</v>
      </c>
      <c r="L50" s="35">
        <f>IF(AND(ISNUMBER(M50),ISNUMBER(K50)),M50-K50,"")</f>
        <v>0</v>
      </c>
      <c r="M50" s="41" t="s">
        <v>390</v>
      </c>
      <c r="N50" s="35">
        <f>IF(AND(ISNUMBER(O50),ISNUMBER(M50)),O50-M50,"")</f>
        <v>0</v>
      </c>
      <c r="O50" s="41" t="s">
        <v>390</v>
      </c>
      <c r="P50" s="35">
        <f>IF(AND(ISNUMBER(Q50),ISNUMBER(O50)),Q50-O50,"")</f>
        <v>0</v>
      </c>
      <c r="Q50" s="41" t="s">
        <v>390</v>
      </c>
      <c r="R50" s="35">
        <f>IF(AND(ISNUMBER(S50),ISNUMBER(Q50)),S50-Q50,"")</f>
        <v>0</v>
      </c>
      <c r="S50" s="41" t="s">
        <v>390</v>
      </c>
      <c r="T50" s="35">
        <f>IF(AND(ISNUMBER(U50),ISNUMBER(S50)),U50-S50,"")</f>
        <v>0</v>
      </c>
      <c r="U50" s="41" t="s">
        <v>390</v>
      </c>
      <c r="V50" s="35">
        <f>IF(AND(ISNUMBER(W50),ISNUMBER(U50)),W50-U50,"")</f>
        <v>0</v>
      </c>
      <c r="W50" s="41" t="s">
        <v>390</v>
      </c>
      <c r="X50" s="35">
        <f>IF(AND(ISNUMBER(Y50),ISNUMBER(W50)),Y50-W50,"")</f>
        <v>0</v>
      </c>
      <c r="Y50" s="41" t="s">
        <v>390</v>
      </c>
      <c r="Z50" s="35">
        <f>IF(AND(ISNUMBER(AA50),ISNUMBER(Y50)),AA50-Y50,"")</f>
        <v>0</v>
      </c>
      <c r="AA50" s="41" t="s">
        <v>390</v>
      </c>
      <c r="AB50" s="35">
        <f>IF(AND(ISNUMBER(AC50),ISNUMBER(AA50)),AC50-AA50,"")</f>
        <v>0</v>
      </c>
      <c r="AC50" s="41" t="s">
        <v>390</v>
      </c>
      <c r="AD50" s="35">
        <f>IF(AND(ISNUMBER(AE50),ISNUMBER(AC50)),AE50-AC50,"")</f>
        <v>0</v>
      </c>
      <c r="AE50" s="41" t="s">
        <v>390</v>
      </c>
      <c r="AF50" s="35">
        <f>IF(AND(ISNUMBER(AG50),ISNUMBER(AE50)),AG50-AE50,"")</f>
        <v>0</v>
      </c>
      <c r="AG50" s="41" t="s">
        <v>390</v>
      </c>
      <c r="AH50" s="35">
        <f>IF(AND(ISNUMBER(AI50),ISNUMBER(AG50)),AI50-AG50,"")</f>
        <v>0</v>
      </c>
      <c r="AI50" s="41" t="s">
        <v>390</v>
      </c>
      <c r="AJ50" s="35">
        <f>IF(AND(ISNUMBER(AK50),ISNUMBER(AI50)),AK50-AI50,"")</f>
        <v>0</v>
      </c>
      <c r="AK50" s="41" t="s">
        <v>390</v>
      </c>
      <c r="AL50" s="35">
        <f>IF(AND(ISNUMBER(AM50),ISNUMBER(AK50)),AM50-AK50,"")</f>
        <v>0</v>
      </c>
      <c r="AM50" s="41" t="s">
        <v>390</v>
      </c>
      <c r="AN50" s="35">
        <f>IF(AND(ISNUMBER(AO50),ISNUMBER(AM50)),AO50-AM50,"")</f>
        <v>0</v>
      </c>
      <c r="AO50" s="41" t="s">
        <v>390</v>
      </c>
      <c r="AP50" s="35">
        <f>IF(AND(ISNUMBER(AQ50),ISNUMBER(AO50)),AQ50-AO50,"")</f>
        <v>0</v>
      </c>
      <c r="AQ50" s="41" t="s">
        <v>390</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375</v>
      </c>
      <c r="I51" s="41" t="s">
        <v>390</v>
      </c>
      <c r="J51" s="35">
        <f>IF(AND(ISNUMBER(K51),ISNUMBER(I51)),K51-I51,"")</f>
        <v>0</v>
      </c>
      <c r="K51" s="41" t="s">
        <v>390</v>
      </c>
      <c r="L51" s="35">
        <f>IF(AND(ISNUMBER(M51),ISNUMBER(K51)),M51-K51,"")</f>
        <v>0</v>
      </c>
      <c r="M51" s="41" t="s">
        <v>390</v>
      </c>
      <c r="N51" s="35">
        <f>IF(AND(ISNUMBER(O51),ISNUMBER(M51)),O51-M51,"")</f>
        <v>0</v>
      </c>
      <c r="O51" s="41" t="s">
        <v>390</v>
      </c>
      <c r="P51" s="35">
        <f>IF(AND(ISNUMBER(Q51),ISNUMBER(O51)),Q51-O51,"")</f>
        <v>0</v>
      </c>
      <c r="Q51" s="41" t="s">
        <v>390</v>
      </c>
      <c r="R51" s="35">
        <f>IF(AND(ISNUMBER(S51),ISNUMBER(Q51)),S51-Q51,"")</f>
        <v>0</v>
      </c>
      <c r="S51" s="41" t="s">
        <v>390</v>
      </c>
      <c r="T51" s="35">
        <f>IF(AND(ISNUMBER(U51),ISNUMBER(S51)),U51-S51,"")</f>
        <v>0</v>
      </c>
      <c r="U51" s="41" t="s">
        <v>390</v>
      </c>
      <c r="V51" s="35">
        <f>IF(AND(ISNUMBER(W51),ISNUMBER(U51)),W51-U51,"")</f>
        <v>0</v>
      </c>
      <c r="W51" s="41" t="s">
        <v>390</v>
      </c>
      <c r="X51" s="35">
        <f>IF(AND(ISNUMBER(Y51),ISNUMBER(W51)),Y51-W51,"")</f>
        <v>0</v>
      </c>
      <c r="Y51" s="41" t="s">
        <v>390</v>
      </c>
      <c r="Z51" s="35">
        <f>IF(AND(ISNUMBER(AA51),ISNUMBER(Y51)),AA51-Y51,"")</f>
        <v>0</v>
      </c>
      <c r="AA51" s="41" t="s">
        <v>390</v>
      </c>
      <c r="AB51" s="35">
        <f>IF(AND(ISNUMBER(AC51),ISNUMBER(AA51)),AC51-AA51,"")</f>
        <v>0</v>
      </c>
      <c r="AC51" s="41" t="s">
        <v>390</v>
      </c>
      <c r="AD51" s="35">
        <f>IF(AND(ISNUMBER(AE51),ISNUMBER(AC51)),AE51-AC51,"")</f>
        <v>0</v>
      </c>
      <c r="AE51" s="41" t="s">
        <v>390</v>
      </c>
      <c r="AF51" s="35">
        <f>IF(AND(ISNUMBER(AG51),ISNUMBER(AE51)),AG51-AE51,"")</f>
        <v>0</v>
      </c>
      <c r="AG51" s="41" t="s">
        <v>390</v>
      </c>
      <c r="AH51" s="35">
        <f>IF(AND(ISNUMBER(AI51),ISNUMBER(AG51)),AI51-AG51,"")</f>
        <v>0</v>
      </c>
      <c r="AI51" s="41" t="s">
        <v>390</v>
      </c>
      <c r="AJ51" s="35">
        <f>IF(AND(ISNUMBER(AK51),ISNUMBER(AI51)),AK51-AI51,"")</f>
        <v>0</v>
      </c>
      <c r="AK51" s="41" t="s">
        <v>390</v>
      </c>
      <c r="AL51" s="35">
        <f>IF(AND(ISNUMBER(AM51),ISNUMBER(AK51)),AM51-AK51,"")</f>
        <v>0</v>
      </c>
      <c r="AM51" s="41" t="s">
        <v>390</v>
      </c>
      <c r="AN51" s="35">
        <f>IF(AND(ISNUMBER(AO51),ISNUMBER(AM51)),AO51-AM51,"")</f>
        <v>0</v>
      </c>
      <c r="AO51" s="41" t="s">
        <v>390</v>
      </c>
      <c r="AP51" s="35">
        <f>IF(AND(ISNUMBER(AQ51),ISNUMBER(AO51)),AQ51-AO51,"")</f>
        <v>0</v>
      </c>
      <c r="AQ51" s="41" t="s">
        <v>390</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412</v>
      </c>
    </row>
    <row r="52" spans="1:322">
      <c r="B52" s="24"/>
      <c r="D52" s="32" t="s">
        <v>23</v>
      </c>
      <c r="E52" s="33" t="s">
        <v>371</v>
      </c>
      <c r="I52" s="41" t="s">
        <v>390</v>
      </c>
      <c r="J52" s="35">
        <f>IF(AND(ISNUMBER(K52),ISNUMBER(I52)),K52-I52,"")</f>
        <v>0</v>
      </c>
      <c r="K52" s="41" t="s">
        <v>390</v>
      </c>
      <c r="L52" s="35">
        <f>IF(AND(ISNUMBER(M52),ISNUMBER(K52)),M52-K52,"")</f>
        <v>0</v>
      </c>
      <c r="M52" s="41" t="s">
        <v>390</v>
      </c>
      <c r="N52" s="35">
        <f>IF(AND(ISNUMBER(O52),ISNUMBER(M52)),O52-M52,"")</f>
        <v>0</v>
      </c>
      <c r="O52" s="41" t="s">
        <v>390</v>
      </c>
      <c r="P52" s="35">
        <f>IF(AND(ISNUMBER(Q52),ISNUMBER(O52)),Q52-O52,"")</f>
        <v>0</v>
      </c>
      <c r="Q52" s="41" t="s">
        <v>390</v>
      </c>
      <c r="R52" s="35">
        <f>IF(AND(ISNUMBER(S52),ISNUMBER(Q52)),S52-Q52,"")</f>
        <v>0</v>
      </c>
      <c r="S52" s="41" t="s">
        <v>390</v>
      </c>
      <c r="T52" s="35">
        <f>IF(AND(ISNUMBER(U52),ISNUMBER(S52)),U52-S52,"")</f>
        <v>0</v>
      </c>
      <c r="U52" s="41" t="s">
        <v>390</v>
      </c>
      <c r="V52" s="35">
        <f>IF(AND(ISNUMBER(W52),ISNUMBER(U52)),W52-U52,"")</f>
        <v>0</v>
      </c>
      <c r="W52" s="41" t="s">
        <v>390</v>
      </c>
      <c r="X52" s="35">
        <f>IF(AND(ISNUMBER(Y52),ISNUMBER(W52)),Y52-W52,"")</f>
        <v>0</v>
      </c>
      <c r="Y52" s="41" t="s">
        <v>390</v>
      </c>
      <c r="Z52" s="35">
        <f>IF(AND(ISNUMBER(AA52),ISNUMBER(Y52)),AA52-Y52,"")</f>
        <v>0</v>
      </c>
      <c r="AA52" s="41" t="s">
        <v>390</v>
      </c>
      <c r="AB52" s="35">
        <f>IF(AND(ISNUMBER(AC52),ISNUMBER(AA52)),AC52-AA52,"")</f>
        <v>0</v>
      </c>
      <c r="AC52" s="41" t="s">
        <v>390</v>
      </c>
      <c r="AD52" s="35">
        <f>IF(AND(ISNUMBER(AE52),ISNUMBER(AC52)),AE52-AC52,"")</f>
        <v>0</v>
      </c>
      <c r="AE52" s="41" t="s">
        <v>390</v>
      </c>
      <c r="AF52" s="35">
        <f>IF(AND(ISNUMBER(AG52),ISNUMBER(AE52)),AG52-AE52,"")</f>
        <v>0</v>
      </c>
      <c r="AG52" s="41" t="s">
        <v>390</v>
      </c>
      <c r="AH52" s="35">
        <f>IF(AND(ISNUMBER(AI52),ISNUMBER(AG52)),AI52-AG52,"")</f>
        <v>0</v>
      </c>
      <c r="AI52" s="41" t="s">
        <v>390</v>
      </c>
      <c r="AJ52" s="35">
        <f>IF(AND(ISNUMBER(AK52),ISNUMBER(AI52)),AK52-AI52,"")</f>
        <v>0</v>
      </c>
      <c r="AK52" s="41" t="s">
        <v>390</v>
      </c>
      <c r="AL52" s="35">
        <f>IF(AND(ISNUMBER(AM52),ISNUMBER(AK52)),AM52-AK52,"")</f>
        <v>0</v>
      </c>
      <c r="AM52" s="41" t="s">
        <v>390</v>
      </c>
      <c r="AN52" s="35">
        <f>IF(AND(ISNUMBER(AO52),ISNUMBER(AM52)),AO52-AM52,"")</f>
        <v>0</v>
      </c>
      <c r="AO52" s="41" t="s">
        <v>390</v>
      </c>
      <c r="AP52" s="35">
        <f>IF(AND(ISNUMBER(AQ52),ISNUMBER(AO52)),AQ52-AO52,"")</f>
        <v>0</v>
      </c>
      <c r="AQ52" s="41" t="s">
        <v>390</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369</v>
      </c>
      <c r="I53" s="41" t="s">
        <v>390</v>
      </c>
      <c r="J53" s="35">
        <f>IF(AND(ISNUMBER(K53),ISNUMBER(I53)),K53-I53,"")</f>
        <v>0</v>
      </c>
      <c r="K53" s="41" t="s">
        <v>390</v>
      </c>
      <c r="L53" s="35">
        <f>IF(AND(ISNUMBER(M53),ISNUMBER(K53)),M53-K53,"")</f>
        <v>0</v>
      </c>
      <c r="M53" s="41" t="s">
        <v>390</v>
      </c>
      <c r="N53" s="35">
        <f>IF(AND(ISNUMBER(O53),ISNUMBER(M53)),O53-M53,"")</f>
        <v>0</v>
      </c>
      <c r="O53" s="41" t="s">
        <v>390</v>
      </c>
      <c r="P53" s="35">
        <f>IF(AND(ISNUMBER(Q53),ISNUMBER(O53)),Q53-O53,"")</f>
        <v>0</v>
      </c>
      <c r="Q53" s="41" t="s">
        <v>390</v>
      </c>
      <c r="R53" s="35">
        <f>IF(AND(ISNUMBER(S53),ISNUMBER(Q53)),S53-Q53,"")</f>
        <v>0</v>
      </c>
      <c r="S53" s="41" t="s">
        <v>390</v>
      </c>
      <c r="T53" s="35">
        <f>IF(AND(ISNUMBER(U53),ISNUMBER(S53)),U53-S53,"")</f>
        <v>0</v>
      </c>
      <c r="U53" s="41" t="s">
        <v>390</v>
      </c>
      <c r="V53" s="35">
        <f>IF(AND(ISNUMBER(W53),ISNUMBER(U53)),W53-U53,"")</f>
        <v>0</v>
      </c>
      <c r="W53" s="41" t="s">
        <v>390</v>
      </c>
      <c r="X53" s="35">
        <f>IF(AND(ISNUMBER(Y53),ISNUMBER(W53)),Y53-W53,"")</f>
        <v>0</v>
      </c>
      <c r="Y53" s="41" t="s">
        <v>390</v>
      </c>
      <c r="Z53" s="35">
        <f>IF(AND(ISNUMBER(AA53),ISNUMBER(Y53)),AA53-Y53,"")</f>
        <v>0</v>
      </c>
      <c r="AA53" s="41" t="s">
        <v>390</v>
      </c>
      <c r="AB53" s="35">
        <f>IF(AND(ISNUMBER(AC53),ISNUMBER(AA53)),AC53-AA53,"")</f>
        <v>0</v>
      </c>
      <c r="AC53" s="41" t="s">
        <v>390</v>
      </c>
      <c r="AD53" s="35">
        <f>IF(AND(ISNUMBER(AE53),ISNUMBER(AC53)),AE53-AC53,"")</f>
        <v>0</v>
      </c>
      <c r="AE53" s="41" t="s">
        <v>390</v>
      </c>
      <c r="AF53" s="35">
        <f>IF(AND(ISNUMBER(AG53),ISNUMBER(AE53)),AG53-AE53,"")</f>
        <v>0</v>
      </c>
      <c r="AG53" s="41" t="s">
        <v>390</v>
      </c>
      <c r="AH53" s="35">
        <f>IF(AND(ISNUMBER(AI53),ISNUMBER(AG53)),AI53-AG53,"")</f>
        <v>0</v>
      </c>
      <c r="AI53" s="41" t="s">
        <v>390</v>
      </c>
      <c r="AJ53" s="35">
        <f>IF(AND(ISNUMBER(AK53),ISNUMBER(AI53)),AK53-AI53,"")</f>
        <v>0</v>
      </c>
      <c r="AK53" s="41" t="s">
        <v>390</v>
      </c>
      <c r="AL53" s="35">
        <f>IF(AND(ISNUMBER(AM53),ISNUMBER(AK53)),AM53-AK53,"")</f>
        <v>0</v>
      </c>
      <c r="AM53" s="41" t="s">
        <v>390</v>
      </c>
      <c r="AN53" s="35">
        <f>IF(AND(ISNUMBER(AO53),ISNUMBER(AM53)),AO53-AM53,"")</f>
        <v>0</v>
      </c>
      <c r="AO53" s="41" t="s">
        <v>390</v>
      </c>
      <c r="AP53" s="35">
        <f>IF(AND(ISNUMBER(AQ53),ISNUMBER(AO53)),AQ53-AO53,"")</f>
        <v>0</v>
      </c>
      <c r="AQ53" s="41" t="s">
        <v>390</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377</v>
      </c>
      <c r="I54" s="41" t="s">
        <v>390</v>
      </c>
      <c r="J54" s="35">
        <f>IF(AND(ISNUMBER(K54),ISNUMBER(I54)),K54-I54,"")</f>
        <v>0</v>
      </c>
      <c r="K54" s="41" t="s">
        <v>390</v>
      </c>
      <c r="L54" s="35">
        <f>IF(AND(ISNUMBER(M54),ISNUMBER(K54)),M54-K54,"")</f>
        <v>0</v>
      </c>
      <c r="M54" s="41" t="s">
        <v>390</v>
      </c>
      <c r="N54" s="35">
        <f>IF(AND(ISNUMBER(O54),ISNUMBER(M54)),O54-M54,"")</f>
        <v>0</v>
      </c>
      <c r="O54" s="41" t="s">
        <v>390</v>
      </c>
      <c r="P54" s="35">
        <f>IF(AND(ISNUMBER(Q54),ISNUMBER(O54)),Q54-O54,"")</f>
        <v>0</v>
      </c>
      <c r="Q54" s="41" t="s">
        <v>390</v>
      </c>
      <c r="R54" s="35">
        <f>IF(AND(ISNUMBER(S54),ISNUMBER(Q54)),S54-Q54,"")</f>
        <v>0</v>
      </c>
      <c r="S54" s="41" t="s">
        <v>390</v>
      </c>
      <c r="T54" s="35">
        <f>IF(AND(ISNUMBER(U54),ISNUMBER(S54)),U54-S54,"")</f>
        <v>0</v>
      </c>
      <c r="U54" s="41" t="s">
        <v>390</v>
      </c>
      <c r="V54" s="35">
        <f>IF(AND(ISNUMBER(W54),ISNUMBER(U54)),W54-U54,"")</f>
        <v>0</v>
      </c>
      <c r="W54" s="41" t="s">
        <v>390</v>
      </c>
      <c r="X54" s="35">
        <f>IF(AND(ISNUMBER(Y54),ISNUMBER(W54)),Y54-W54,"")</f>
        <v>0</v>
      </c>
      <c r="Y54" s="41" t="s">
        <v>390</v>
      </c>
      <c r="Z54" s="35">
        <f>IF(AND(ISNUMBER(AA54),ISNUMBER(Y54)),AA54-Y54,"")</f>
        <v>0</v>
      </c>
      <c r="AA54" s="41" t="s">
        <v>390</v>
      </c>
      <c r="AB54" s="35">
        <f>IF(AND(ISNUMBER(AC54),ISNUMBER(AA54)),AC54-AA54,"")</f>
        <v>0</v>
      </c>
      <c r="AC54" s="41" t="s">
        <v>390</v>
      </c>
      <c r="AD54" s="35">
        <f>IF(AND(ISNUMBER(AE54),ISNUMBER(AC54)),AE54-AC54,"")</f>
        <v>0</v>
      </c>
      <c r="AE54" s="41" t="s">
        <v>390</v>
      </c>
      <c r="AF54" s="35">
        <f>IF(AND(ISNUMBER(AG54),ISNUMBER(AE54)),AG54-AE54,"")</f>
        <v>0</v>
      </c>
      <c r="AG54" s="41" t="s">
        <v>390</v>
      </c>
      <c r="AH54" s="35">
        <f>IF(AND(ISNUMBER(AI54),ISNUMBER(AG54)),AI54-AG54,"")</f>
        <v>0</v>
      </c>
      <c r="AI54" s="41" t="s">
        <v>390</v>
      </c>
      <c r="AJ54" s="35">
        <f>IF(AND(ISNUMBER(AK54),ISNUMBER(AI54)),AK54-AI54,"")</f>
        <v>0</v>
      </c>
      <c r="AK54" s="41" t="s">
        <v>390</v>
      </c>
      <c r="AL54" s="35">
        <f>IF(AND(ISNUMBER(AM54),ISNUMBER(AK54)),AM54-AK54,"")</f>
        <v>0</v>
      </c>
      <c r="AM54" s="41" t="s">
        <v>390</v>
      </c>
      <c r="AN54" s="35">
        <f>IF(AND(ISNUMBER(AO54),ISNUMBER(AM54)),AO54-AM54,"")</f>
        <v>0</v>
      </c>
      <c r="AO54" s="41" t="s">
        <v>390</v>
      </c>
      <c r="AP54" s="35">
        <f>IF(AND(ISNUMBER(AQ54),ISNUMBER(AO54)),AQ54-AO54,"")</f>
        <v>0</v>
      </c>
      <c r="AQ54" s="41" t="s">
        <v>390</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397</v>
      </c>
    </row>
    <row r="55" spans="1:322">
      <c r="A55" s="37" t="s">
        <v>73</v>
      </c>
      <c r="B55" s="24"/>
      <c r="C55" s="38" t="s">
        <v>30</v>
      </c>
      <c r="E55" s="33" t="s">
        <v>393</v>
      </c>
      <c r="F55" s="39">
        <f>MIN(F56:F62)</f>
        <v>45689.0</v>
      </c>
      <c r="H55" s="39" t="s">
        <v>394</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400</v>
      </c>
      <c r="Z55" s="35">
        <f>IF(AND(ISNUMBER(AA55),ISNUMBER(Y55)),AA55-Y55,"")</f>
        <v>0</v>
      </c>
      <c r="AA55" s="41" t="s">
        <v>400</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390</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398</v>
      </c>
    </row>
    <row r="56" spans="1:322">
      <c r="B56" s="24"/>
      <c r="D56" s="32" t="s">
        <v>13</v>
      </c>
      <c r="E56" s="33" t="s">
        <v>395</v>
      </c>
      <c r="F56" s="39" t="s">
        <v>413</v>
      </c>
      <c r="I56" s="41" t="s">
        <v>390</v>
      </c>
      <c r="J56" s="35">
        <f>IF(AND(ISNUMBER(K56),ISNUMBER(I56)),K56-I56,"")</f>
        <v>0</v>
      </c>
      <c r="K56" s="41" t="s">
        <v>390</v>
      </c>
      <c r="L56" s="35">
        <f>IF(AND(ISNUMBER(M56),ISNUMBER(K56)),M56-K56,"")</f>
        <v>0</v>
      </c>
      <c r="M56" s="41" t="s">
        <v>390</v>
      </c>
      <c r="N56" s="35">
        <f>IF(AND(ISNUMBER(O56),ISNUMBER(M56)),O56-M56,"")</f>
        <v>0</v>
      </c>
      <c r="O56" s="41" t="s">
        <v>390</v>
      </c>
      <c r="P56" s="35">
        <f>IF(AND(ISNUMBER(Q56),ISNUMBER(O56)),Q56-O56,"")</f>
        <v>0</v>
      </c>
      <c r="Q56" s="41" t="s">
        <v>390</v>
      </c>
      <c r="R56" s="35">
        <f>IF(AND(ISNUMBER(S56),ISNUMBER(Q56)),S56-Q56,"")</f>
        <v>0</v>
      </c>
      <c r="S56" s="41" t="s">
        <v>390</v>
      </c>
      <c r="T56" s="35">
        <f>IF(AND(ISNUMBER(U56),ISNUMBER(S56)),U56-S56,"")</f>
        <v>0</v>
      </c>
      <c r="U56" s="41" t="s">
        <v>390</v>
      </c>
      <c r="V56" s="35">
        <f>IF(AND(ISNUMBER(W56),ISNUMBER(U56)),W56-U56,"")</f>
        <v>0</v>
      </c>
      <c r="W56" s="41" t="s">
        <v>390</v>
      </c>
      <c r="X56" s="35">
        <f>IF(AND(ISNUMBER(Y56),ISNUMBER(W56)),Y56-W56,"")</f>
        <v>0</v>
      </c>
      <c r="Y56" s="41" t="s">
        <v>390</v>
      </c>
      <c r="Z56" s="35">
        <f>IF(AND(ISNUMBER(AA56),ISNUMBER(Y56)),AA56-Y56,"")</f>
        <v>0</v>
      </c>
      <c r="AA56" s="41" t="s">
        <v>390</v>
      </c>
      <c r="AB56" s="35">
        <f>IF(AND(ISNUMBER(AC56),ISNUMBER(AA56)),AC56-AA56,"")</f>
        <v>0</v>
      </c>
      <c r="AC56" s="41" t="s">
        <v>390</v>
      </c>
      <c r="AD56" s="35">
        <f>IF(AND(ISNUMBER(AE56),ISNUMBER(AC56)),AE56-AC56,"")</f>
        <v>0</v>
      </c>
      <c r="AE56" s="41" t="s">
        <v>390</v>
      </c>
      <c r="AF56" s="35">
        <f>IF(AND(ISNUMBER(AG56),ISNUMBER(AE56)),AG56-AE56,"")</f>
        <v>0</v>
      </c>
      <c r="AG56" s="41" t="s">
        <v>390</v>
      </c>
      <c r="AH56" s="35">
        <f>IF(AND(ISNUMBER(AI56),ISNUMBER(AG56)),AI56-AG56,"")</f>
        <v>0</v>
      </c>
      <c r="AI56" s="41" t="s">
        <v>390</v>
      </c>
      <c r="AJ56" s="35">
        <f>IF(AND(ISNUMBER(AK56),ISNUMBER(AI56)),AK56-AI56,"")</f>
        <v>0</v>
      </c>
      <c r="AK56" s="41" t="s">
        <v>390</v>
      </c>
      <c r="AL56" s="35">
        <f>IF(AND(ISNUMBER(AM56),ISNUMBER(AK56)),AM56-AK56,"")</f>
        <v>0</v>
      </c>
      <c r="AM56" s="41" t="s">
        <v>390</v>
      </c>
      <c r="AN56" s="35">
        <f>IF(AND(ISNUMBER(AO56),ISNUMBER(AM56)),AO56-AM56,"")</f>
        <v>0</v>
      </c>
      <c r="AO56" s="41" t="s">
        <v>390</v>
      </c>
      <c r="AP56" s="35">
        <f>IF(AND(ISNUMBER(AQ56),ISNUMBER(AO56)),AQ56-AO56,"")</f>
        <v>0</v>
      </c>
      <c r="AQ56" s="41" t="s">
        <v>390</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376</v>
      </c>
      <c r="F57" s="39">
        <v>45689</v>
      </c>
      <c r="I57" s="41" t="s">
        <v>390</v>
      </c>
      <c r="J57" s="35">
        <f>IF(AND(ISNUMBER(K57),ISNUMBER(I57)),K57-I57,"")</f>
        <v>0</v>
      </c>
      <c r="K57" s="41" t="s">
        <v>390</v>
      </c>
      <c r="L57" s="35">
        <f>IF(AND(ISNUMBER(M57),ISNUMBER(K57)),M57-K57,"")</f>
        <v>0</v>
      </c>
      <c r="M57" s="41" t="s">
        <v>390</v>
      </c>
      <c r="N57" s="35">
        <f>IF(AND(ISNUMBER(O57),ISNUMBER(M57)),O57-M57,"")</f>
        <v>0</v>
      </c>
      <c r="O57" s="41" t="s">
        <v>390</v>
      </c>
      <c r="P57" s="35">
        <f>IF(AND(ISNUMBER(Q57),ISNUMBER(O57)),Q57-O57,"")</f>
        <v>0</v>
      </c>
      <c r="Q57" s="41" t="s">
        <v>390</v>
      </c>
      <c r="R57" s="35">
        <f>IF(AND(ISNUMBER(S57),ISNUMBER(Q57)),S57-Q57,"")</f>
        <v>0</v>
      </c>
      <c r="S57" s="41" t="s">
        <v>390</v>
      </c>
      <c r="T57" s="35">
        <f>IF(AND(ISNUMBER(U57),ISNUMBER(S57)),U57-S57,"")</f>
        <v>0</v>
      </c>
      <c r="U57" s="41" t="s">
        <v>390</v>
      </c>
      <c r="V57" s="35">
        <f>IF(AND(ISNUMBER(W57),ISNUMBER(U57)),W57-U57,"")</f>
        <v>0</v>
      </c>
      <c r="W57" s="41" t="s">
        <v>390</v>
      </c>
      <c r="X57" s="35">
        <f>IF(AND(ISNUMBER(Y57),ISNUMBER(W57)),Y57-W57,"")</f>
        <v>0</v>
      </c>
      <c r="Y57" s="41" t="s">
        <v>390</v>
      </c>
      <c r="Z57" s="35">
        <f>IF(AND(ISNUMBER(AA57),ISNUMBER(Y57)),AA57-Y57,"")</f>
        <v>0</v>
      </c>
      <c r="AA57" s="41" t="s">
        <v>390</v>
      </c>
      <c r="AB57" s="35">
        <f>IF(AND(ISNUMBER(AC57),ISNUMBER(AA57)),AC57-AA57,"")</f>
        <v>0</v>
      </c>
      <c r="AC57" s="41" t="s">
        <v>390</v>
      </c>
      <c r="AD57" s="35">
        <f>IF(AND(ISNUMBER(AE57),ISNUMBER(AC57)),AE57-AC57,"")</f>
        <v>0</v>
      </c>
      <c r="AE57" s="41" t="s">
        <v>390</v>
      </c>
      <c r="AF57" s="35">
        <f>IF(AND(ISNUMBER(AG57),ISNUMBER(AE57)),AG57-AE57,"")</f>
        <v>0</v>
      </c>
      <c r="AG57" s="41" t="s">
        <v>390</v>
      </c>
      <c r="AH57" s="35">
        <f>IF(AND(ISNUMBER(AI57),ISNUMBER(AG57)),AI57-AG57,"")</f>
        <v>0</v>
      </c>
      <c r="AI57" s="41" t="s">
        <v>390</v>
      </c>
      <c r="AJ57" s="35">
        <f>IF(AND(ISNUMBER(AK57),ISNUMBER(AI57)),AK57-AI57,"")</f>
        <v>0</v>
      </c>
      <c r="AK57" s="41" t="s">
        <v>390</v>
      </c>
      <c r="AL57" s="35">
        <f>IF(AND(ISNUMBER(AM57),ISNUMBER(AK57)),AM57-AK57,"")</f>
        <v>0</v>
      </c>
      <c r="AM57" s="41" t="s">
        <v>390</v>
      </c>
      <c r="AN57" s="35">
        <f>IF(AND(ISNUMBER(AO57),ISNUMBER(AM57)),AO57-AM57,"")</f>
        <v>0</v>
      </c>
      <c r="AO57" s="41" t="s">
        <v>390</v>
      </c>
      <c r="AP57" s="35">
        <f>IF(AND(ISNUMBER(AQ57),ISNUMBER(AO57)),AQ57-AO57,"")</f>
        <v>0</v>
      </c>
      <c r="AQ57" s="41" t="s">
        <v>390</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365</v>
      </c>
      <c r="I58" s="41" t="s">
        <v>390</v>
      </c>
      <c r="J58" s="35">
        <f>IF(AND(ISNUMBER(K58),ISNUMBER(I58)),K58-I58,"")</f>
        <v>0</v>
      </c>
      <c r="K58" s="41" t="s">
        <v>390</v>
      </c>
      <c r="L58" s="35">
        <f>IF(AND(ISNUMBER(M58),ISNUMBER(K58)),M58-K58,"")</f>
        <v>0</v>
      </c>
      <c r="M58" s="41" t="s">
        <v>390</v>
      </c>
      <c r="N58" s="35">
        <f>IF(AND(ISNUMBER(O58),ISNUMBER(M58)),O58-M58,"")</f>
        <v>0</v>
      </c>
      <c r="O58" s="41" t="s">
        <v>390</v>
      </c>
      <c r="P58" s="35">
        <f>IF(AND(ISNUMBER(Q58),ISNUMBER(O58)),Q58-O58,"")</f>
        <v>0</v>
      </c>
      <c r="Q58" s="41" t="s">
        <v>390</v>
      </c>
      <c r="R58" s="35">
        <f>IF(AND(ISNUMBER(S58),ISNUMBER(Q58)),S58-Q58,"")</f>
        <v>0</v>
      </c>
      <c r="S58" s="41" t="s">
        <v>390</v>
      </c>
      <c r="T58" s="35">
        <f>IF(AND(ISNUMBER(U58),ISNUMBER(S58)),U58-S58,"")</f>
        <v>0</v>
      </c>
      <c r="U58" s="41" t="s">
        <v>390</v>
      </c>
      <c r="V58" s="35">
        <f>IF(AND(ISNUMBER(W58),ISNUMBER(U58)),W58-U58,"")</f>
        <v>0</v>
      </c>
      <c r="W58" s="41" t="s">
        <v>390</v>
      </c>
      <c r="X58" s="35">
        <f>IF(AND(ISNUMBER(Y58),ISNUMBER(W58)),Y58-W58,"")</f>
        <v>0</v>
      </c>
      <c r="Y58" s="41" t="s">
        <v>390</v>
      </c>
      <c r="Z58" s="35">
        <f>IF(AND(ISNUMBER(AA58),ISNUMBER(Y58)),AA58-Y58,"")</f>
        <v>0</v>
      </c>
      <c r="AA58" s="41" t="s">
        <v>390</v>
      </c>
      <c r="AB58" s="35">
        <f>IF(AND(ISNUMBER(AC58),ISNUMBER(AA58)),AC58-AA58,"")</f>
        <v>0</v>
      </c>
      <c r="AC58" s="41" t="s">
        <v>390</v>
      </c>
      <c r="AD58" s="35">
        <f>IF(AND(ISNUMBER(AE58),ISNUMBER(AC58)),AE58-AC58,"")</f>
        <v>0</v>
      </c>
      <c r="AE58" s="41" t="s">
        <v>390</v>
      </c>
      <c r="AF58" s="35">
        <f>IF(AND(ISNUMBER(AG58),ISNUMBER(AE58)),AG58-AE58,"")</f>
        <v>0</v>
      </c>
      <c r="AG58" s="41" t="s">
        <v>390</v>
      </c>
      <c r="AH58" s="35">
        <f>IF(AND(ISNUMBER(AI58),ISNUMBER(AG58)),AI58-AG58,"")</f>
        <v>0</v>
      </c>
      <c r="AI58" s="41" t="s">
        <v>390</v>
      </c>
      <c r="AJ58" s="35">
        <f>IF(AND(ISNUMBER(AK58),ISNUMBER(AI58)),AK58-AI58,"")</f>
        <v>0</v>
      </c>
      <c r="AK58" s="41" t="s">
        <v>390</v>
      </c>
      <c r="AL58" s="35">
        <f>IF(AND(ISNUMBER(AM58),ISNUMBER(AK58)),AM58-AK58,"")</f>
        <v>0</v>
      </c>
      <c r="AM58" s="41" t="s">
        <v>390</v>
      </c>
      <c r="AN58" s="35">
        <f>IF(AND(ISNUMBER(AO58),ISNUMBER(AM58)),AO58-AM58,"")</f>
        <v>0</v>
      </c>
      <c r="AO58" s="41" t="s">
        <v>390</v>
      </c>
      <c r="AP58" s="35">
        <f>IF(AND(ISNUMBER(AQ58),ISNUMBER(AO58)),AQ58-AO58,"")</f>
        <v>0</v>
      </c>
      <c r="AQ58" s="41" t="s">
        <v>390</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375</v>
      </c>
      <c r="F59" s="39">
        <v>45689</v>
      </c>
      <c r="I59" s="41" t="s">
        <v>390</v>
      </c>
      <c r="J59" s="35">
        <f>IF(AND(ISNUMBER(K59),ISNUMBER(I59)),K59-I59,"")</f>
        <v>0</v>
      </c>
      <c r="K59" s="41" t="s">
        <v>390</v>
      </c>
      <c r="L59" s="35">
        <f>IF(AND(ISNUMBER(M59),ISNUMBER(K59)),M59-K59,"")</f>
        <v>0</v>
      </c>
      <c r="M59" s="41" t="s">
        <v>390</v>
      </c>
      <c r="N59" s="35">
        <f>IF(AND(ISNUMBER(O59),ISNUMBER(M59)),O59-M59,"")</f>
        <v>0</v>
      </c>
      <c r="O59" s="41" t="s">
        <v>390</v>
      </c>
      <c r="P59" s="35">
        <f>IF(AND(ISNUMBER(Q59),ISNUMBER(O59)),Q59-O59,"")</f>
        <v>0</v>
      </c>
      <c r="Q59" s="41" t="s">
        <v>390</v>
      </c>
      <c r="R59" s="35">
        <f>IF(AND(ISNUMBER(S59),ISNUMBER(Q59)),S59-Q59,"")</f>
        <v>0</v>
      </c>
      <c r="S59" s="41" t="s">
        <v>390</v>
      </c>
      <c r="T59" s="35">
        <f>IF(AND(ISNUMBER(U59),ISNUMBER(S59)),U59-S59,"")</f>
        <v>0</v>
      </c>
      <c r="U59" s="41" t="s">
        <v>390</v>
      </c>
      <c r="V59" s="35">
        <f>IF(AND(ISNUMBER(W59),ISNUMBER(U59)),W59-U59,"")</f>
        <v>0</v>
      </c>
      <c r="W59" s="41" t="s">
        <v>390</v>
      </c>
      <c r="X59" s="35">
        <f>IF(AND(ISNUMBER(Y59),ISNUMBER(W59)),Y59-W59,"")</f>
        <v>0</v>
      </c>
      <c r="Y59" s="41" t="s">
        <v>390</v>
      </c>
      <c r="Z59" s="35">
        <f>IF(AND(ISNUMBER(AA59),ISNUMBER(Y59)),AA59-Y59,"")</f>
        <v>0</v>
      </c>
      <c r="AA59" s="41" t="s">
        <v>390</v>
      </c>
      <c r="AB59" s="35">
        <f>IF(AND(ISNUMBER(AC59),ISNUMBER(AA59)),AC59-AA59,"")</f>
        <v>0</v>
      </c>
      <c r="AC59" s="41" t="s">
        <v>390</v>
      </c>
      <c r="AD59" s="35">
        <f>IF(AND(ISNUMBER(AE59),ISNUMBER(AC59)),AE59-AC59,"")</f>
        <v>0</v>
      </c>
      <c r="AE59" s="41" t="s">
        <v>390</v>
      </c>
      <c r="AF59" s="35">
        <f>IF(AND(ISNUMBER(AG59),ISNUMBER(AE59)),AG59-AE59,"")</f>
        <v>0</v>
      </c>
      <c r="AG59" s="41" t="s">
        <v>390</v>
      </c>
      <c r="AH59" s="35">
        <f>IF(AND(ISNUMBER(AI59),ISNUMBER(AG59)),AI59-AG59,"")</f>
        <v>0</v>
      </c>
      <c r="AI59" s="41" t="s">
        <v>390</v>
      </c>
      <c r="AJ59" s="35">
        <f>IF(AND(ISNUMBER(AK59),ISNUMBER(AI59)),AK59-AI59,"")</f>
        <v>0</v>
      </c>
      <c r="AK59" s="41" t="s">
        <v>390</v>
      </c>
      <c r="AL59" s="35">
        <f>IF(AND(ISNUMBER(AM59),ISNUMBER(AK59)),AM59-AK59,"")</f>
        <v>0</v>
      </c>
      <c r="AM59" s="41" t="s">
        <v>390</v>
      </c>
      <c r="AN59" s="35">
        <f>IF(AND(ISNUMBER(AO59),ISNUMBER(AM59)),AO59-AM59,"")</f>
        <v>0</v>
      </c>
      <c r="AO59" s="41" t="s">
        <v>390</v>
      </c>
      <c r="AP59" s="35">
        <f>IF(AND(ISNUMBER(AQ59),ISNUMBER(AO59)),AQ59-AO59,"")</f>
        <v>0</v>
      </c>
      <c r="AQ59" s="41" t="s">
        <v>390</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412</v>
      </c>
    </row>
    <row r="60" spans="1:322">
      <c r="B60" s="24"/>
      <c r="D60" s="32" t="s">
        <v>23</v>
      </c>
      <c r="E60" s="33" t="s">
        <v>371</v>
      </c>
      <c r="F60" s="39">
        <v>45689</v>
      </c>
      <c r="I60" s="41" t="s">
        <v>390</v>
      </c>
      <c r="J60" s="35">
        <f>IF(AND(ISNUMBER(K60),ISNUMBER(I60)),K60-I60,"")</f>
        <v>0</v>
      </c>
      <c r="K60" s="41" t="s">
        <v>390</v>
      </c>
      <c r="L60" s="35">
        <f>IF(AND(ISNUMBER(M60),ISNUMBER(K60)),M60-K60,"")</f>
        <v>0</v>
      </c>
      <c r="M60" s="41" t="s">
        <v>390</v>
      </c>
      <c r="N60" s="35">
        <f>IF(AND(ISNUMBER(O60),ISNUMBER(M60)),O60-M60,"")</f>
        <v>0</v>
      </c>
      <c r="O60" s="41" t="s">
        <v>390</v>
      </c>
      <c r="P60" s="35">
        <f>IF(AND(ISNUMBER(Q60),ISNUMBER(O60)),Q60-O60,"")</f>
        <v>0</v>
      </c>
      <c r="Q60" s="41" t="s">
        <v>390</v>
      </c>
      <c r="R60" s="35">
        <f>IF(AND(ISNUMBER(S60),ISNUMBER(Q60)),S60-Q60,"")</f>
        <v>0</v>
      </c>
      <c r="S60" s="41" t="s">
        <v>390</v>
      </c>
      <c r="T60" s="35">
        <f>IF(AND(ISNUMBER(U60),ISNUMBER(S60)),U60-S60,"")</f>
        <v>0</v>
      </c>
      <c r="U60" s="41" t="s">
        <v>390</v>
      </c>
      <c r="V60" s="35">
        <f>IF(AND(ISNUMBER(W60),ISNUMBER(U60)),W60-U60,"")</f>
        <v>0</v>
      </c>
      <c r="W60" s="41" t="s">
        <v>390</v>
      </c>
      <c r="X60" s="35">
        <f>IF(AND(ISNUMBER(Y60),ISNUMBER(W60)),Y60-W60,"")</f>
        <v>0</v>
      </c>
      <c r="Y60" s="41" t="s">
        <v>390</v>
      </c>
      <c r="Z60" s="35">
        <f>IF(AND(ISNUMBER(AA60),ISNUMBER(Y60)),AA60-Y60,"")</f>
        <v>0</v>
      </c>
      <c r="AA60" s="41" t="s">
        <v>390</v>
      </c>
      <c r="AB60" s="35">
        <f>IF(AND(ISNUMBER(AC60),ISNUMBER(AA60)),AC60-AA60,"")</f>
        <v>0</v>
      </c>
      <c r="AC60" s="34">
        <v>4</v>
      </c>
      <c r="AD60" s="35">
        <f>IF(AND(ISNUMBER(AE60),ISNUMBER(AC60)),AE60-AC60,"")</f>
        <v>0</v>
      </c>
      <c r="AE60" s="41" t="s">
        <v>390</v>
      </c>
      <c r="AF60" s="35">
        <f>IF(AND(ISNUMBER(AG60),ISNUMBER(AE60)),AG60-AE60,"")</f>
        <v>0</v>
      </c>
      <c r="AG60" s="41" t="s">
        <v>390</v>
      </c>
      <c r="AH60" s="35">
        <f>IF(AND(ISNUMBER(AI60),ISNUMBER(AG60)),AI60-AG60,"")</f>
        <v>0</v>
      </c>
      <c r="AI60" s="41" t="s">
        <v>390</v>
      </c>
      <c r="AJ60" s="35">
        <f>IF(AND(ISNUMBER(AK60),ISNUMBER(AI60)),AK60-AI60,"")</f>
        <v>0</v>
      </c>
      <c r="AK60" s="41" t="s">
        <v>390</v>
      </c>
      <c r="AL60" s="35">
        <f>IF(AND(ISNUMBER(AM60),ISNUMBER(AK60)),AM60-AK60,"")</f>
        <v>0</v>
      </c>
      <c r="AM60" s="41" t="s">
        <v>390</v>
      </c>
      <c r="AN60" s="35">
        <f>IF(AND(ISNUMBER(AO60),ISNUMBER(AM60)),AO60-AM60,"")</f>
        <v>0</v>
      </c>
      <c r="AO60" s="41" t="s">
        <v>390</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369</v>
      </c>
      <c r="F61" s="39">
        <v>45689</v>
      </c>
      <c r="I61" s="41" t="s">
        <v>390</v>
      </c>
      <c r="J61" s="35">
        <f>IF(AND(ISNUMBER(K61),ISNUMBER(I61)),K61-I61,"")</f>
        <v>0</v>
      </c>
      <c r="K61" s="41" t="s">
        <v>390</v>
      </c>
      <c r="L61" s="35">
        <f>IF(AND(ISNUMBER(M61),ISNUMBER(K61)),M61-K61,"")</f>
        <v>0</v>
      </c>
      <c r="M61" s="41" t="s">
        <v>390</v>
      </c>
      <c r="N61" s="35">
        <f>IF(AND(ISNUMBER(O61),ISNUMBER(M61)),O61-M61,"")</f>
        <v>0</v>
      </c>
      <c r="O61" s="41" t="s">
        <v>390</v>
      </c>
      <c r="P61" s="35">
        <f>IF(AND(ISNUMBER(Q61),ISNUMBER(O61)),Q61-O61,"")</f>
        <v>0</v>
      </c>
      <c r="Q61" s="41" t="s">
        <v>390</v>
      </c>
      <c r="R61" s="35">
        <f>IF(AND(ISNUMBER(S61),ISNUMBER(Q61)),S61-Q61,"")</f>
        <v>0</v>
      </c>
      <c r="S61" s="41" t="s">
        <v>390</v>
      </c>
      <c r="T61" s="35">
        <f>IF(AND(ISNUMBER(U61),ISNUMBER(S61)),U61-S61,"")</f>
        <v>0</v>
      </c>
      <c r="U61" s="41" t="s">
        <v>390</v>
      </c>
      <c r="V61" s="35">
        <f>IF(AND(ISNUMBER(W61),ISNUMBER(U61)),W61-U61,"")</f>
        <v>0</v>
      </c>
      <c r="W61" s="41" t="s">
        <v>390</v>
      </c>
      <c r="X61" s="35">
        <f>IF(AND(ISNUMBER(Y61),ISNUMBER(W61)),Y61-W61,"")</f>
        <v>0</v>
      </c>
      <c r="Y61" s="41" t="s">
        <v>390</v>
      </c>
      <c r="Z61" s="35">
        <f>IF(AND(ISNUMBER(AA61),ISNUMBER(Y61)),AA61-Y61,"")</f>
        <v>0</v>
      </c>
      <c r="AA61" s="41" t="s">
        <v>390</v>
      </c>
      <c r="AB61" s="35">
        <f>IF(AND(ISNUMBER(AC61),ISNUMBER(AA61)),AC61-AA61,"")</f>
        <v>0</v>
      </c>
      <c r="AC61" s="34">
        <v>0</v>
      </c>
      <c r="AD61" s="35">
        <f>IF(AND(ISNUMBER(AE61),ISNUMBER(AC61)),AE61-AC61,"")</f>
        <v>0</v>
      </c>
      <c r="AE61" s="41" t="s">
        <v>390</v>
      </c>
      <c r="AF61" s="35">
        <f>IF(AND(ISNUMBER(AG61),ISNUMBER(AE61)),AG61-AE61,"")</f>
        <v>0</v>
      </c>
      <c r="AG61" s="41" t="s">
        <v>390</v>
      </c>
      <c r="AH61" s="35">
        <f>IF(AND(ISNUMBER(AI61),ISNUMBER(AG61)),AI61-AG61,"")</f>
        <v>0</v>
      </c>
      <c r="AI61" s="41" t="s">
        <v>390</v>
      </c>
      <c r="AJ61" s="35">
        <f>IF(AND(ISNUMBER(AK61),ISNUMBER(AI61)),AK61-AI61,"")</f>
        <v>0</v>
      </c>
      <c r="AK61" s="41" t="s">
        <v>390</v>
      </c>
      <c r="AL61" s="35">
        <f>IF(AND(ISNUMBER(AM61),ISNUMBER(AK61)),AM61-AK61,"")</f>
        <v>0</v>
      </c>
      <c r="AM61" s="41" t="s">
        <v>390</v>
      </c>
      <c r="AN61" s="35">
        <f>IF(AND(ISNUMBER(AO61),ISNUMBER(AM61)),AO61-AM61,"")</f>
        <v>0</v>
      </c>
      <c r="AO61" s="41" t="s">
        <v>390</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377</v>
      </c>
      <c r="F62" s="39">
        <v>45689</v>
      </c>
      <c r="I62" s="41" t="s">
        <v>390</v>
      </c>
      <c r="J62" s="35">
        <f>IF(AND(ISNUMBER(K62),ISNUMBER(I62)),K62-I62,"")</f>
        <v>0</v>
      </c>
      <c r="K62" s="41" t="s">
        <v>390</v>
      </c>
      <c r="L62" s="35">
        <f>IF(AND(ISNUMBER(M62),ISNUMBER(K62)),M62-K62,"")</f>
        <v>0</v>
      </c>
      <c r="M62" s="41" t="s">
        <v>390</v>
      </c>
      <c r="N62" s="35">
        <f>IF(AND(ISNUMBER(O62),ISNUMBER(M62)),O62-M62,"")</f>
        <v>0</v>
      </c>
      <c r="O62" s="41" t="s">
        <v>390</v>
      </c>
      <c r="P62" s="35">
        <f>IF(AND(ISNUMBER(Q62),ISNUMBER(O62)),Q62-O62,"")</f>
        <v>0</v>
      </c>
      <c r="Q62" s="41" t="s">
        <v>390</v>
      </c>
      <c r="R62" s="35">
        <f>IF(AND(ISNUMBER(S62),ISNUMBER(Q62)),S62-Q62,"")</f>
        <v>0</v>
      </c>
      <c r="S62" s="41" t="s">
        <v>390</v>
      </c>
      <c r="T62" s="35">
        <f>IF(AND(ISNUMBER(U62),ISNUMBER(S62)),U62-S62,"")</f>
        <v>0</v>
      </c>
      <c r="U62" s="41" t="s">
        <v>390</v>
      </c>
      <c r="V62" s="35">
        <f>IF(AND(ISNUMBER(W62),ISNUMBER(U62)),W62-U62,"")</f>
        <v>0</v>
      </c>
      <c r="W62" s="41" t="s">
        <v>390</v>
      </c>
      <c r="X62" s="35">
        <f>IF(AND(ISNUMBER(Y62),ISNUMBER(W62)),Y62-W62,"")</f>
        <v>0</v>
      </c>
      <c r="Y62" s="41" t="s">
        <v>390</v>
      </c>
      <c r="Z62" s="35">
        <f>IF(AND(ISNUMBER(AA62),ISNUMBER(Y62)),AA62-Y62,"")</f>
        <v>0</v>
      </c>
      <c r="AA62" s="41" t="s">
        <v>390</v>
      </c>
      <c r="AB62" s="35">
        <f>IF(AND(ISNUMBER(AC62),ISNUMBER(AA62)),AC62-AA62,"")</f>
        <v>0</v>
      </c>
      <c r="AC62" s="41" t="s">
        <v>390</v>
      </c>
      <c r="AD62" s="35">
        <f>IF(AND(ISNUMBER(AE62),ISNUMBER(AC62)),AE62-AC62,"")</f>
        <v>0</v>
      </c>
      <c r="AE62" s="41" t="s">
        <v>390</v>
      </c>
      <c r="AF62" s="35">
        <f>IF(AND(ISNUMBER(AG62),ISNUMBER(AE62)),AG62-AE62,"")</f>
        <v>0</v>
      </c>
      <c r="AG62" s="41" t="s">
        <v>390</v>
      </c>
      <c r="AH62" s="35">
        <f>IF(AND(ISNUMBER(AI62),ISNUMBER(AG62)),AI62-AG62,"")</f>
        <v>0</v>
      </c>
      <c r="AI62" s="41" t="s">
        <v>390</v>
      </c>
      <c r="AJ62" s="35">
        <f>IF(AND(ISNUMBER(AK62),ISNUMBER(AI62)),AK62-AI62,"")</f>
        <v>0</v>
      </c>
      <c r="AK62" s="41" t="s">
        <v>390</v>
      </c>
      <c r="AL62" s="35">
        <f>IF(AND(ISNUMBER(AM62),ISNUMBER(AK62)),AM62-AK62,"")</f>
        <v>0</v>
      </c>
      <c r="AM62" s="41" t="s">
        <v>390</v>
      </c>
      <c r="AN62" s="35">
        <f>IF(AND(ISNUMBER(AO62),ISNUMBER(AM62)),AO62-AM62,"")</f>
        <v>0</v>
      </c>
      <c r="AO62" s="41" t="s">
        <v>390</v>
      </c>
      <c r="AP62" s="35">
        <f>IF(AND(ISNUMBER(AQ62),ISNUMBER(AO62)),AQ62-AO62,"")</f>
        <v>0</v>
      </c>
      <c r="AQ62" s="41" t="s">
        <v>390</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397</v>
      </c>
    </row>
    <row r="63" spans="1:322">
      <c r="A63" s="23">
        <v>5</v>
      </c>
      <c r="B63" s="24" t="s">
        <v>414</v>
      </c>
      <c r="C63" s="44" t="s">
        <v>30</v>
      </c>
      <c r="D63" s="44"/>
      <c r="E63" s="26" t="s">
        <v>359</v>
      </c>
      <c r="F63" s="27"/>
      <c r="G63" s="27"/>
      <c r="H63" s="27" t="s">
        <v>408</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400</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415</v>
      </c>
      <c r="C64" s="44" t="s">
        <v>30</v>
      </c>
      <c r="D64" s="44"/>
      <c r="E64" s="26" t="s">
        <v>416</v>
      </c>
      <c r="F64" s="27"/>
      <c r="G64" s="27"/>
      <c r="H64" s="27" t="s">
        <v>417</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400</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418</v>
      </c>
    </row>
    <row r="65" spans="1:322">
      <c r="A65" s="37" t="s">
        <v>89</v>
      </c>
      <c r="B65" s="24"/>
      <c r="C65" s="32" t="s">
        <v>87</v>
      </c>
      <c r="E65" s="33" t="s">
        <v>416</v>
      </c>
      <c r="H65" s="39" t="s">
        <v>417</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400</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418</v>
      </c>
    </row>
    <row r="66" spans="1:322">
      <c r="A66" s="37" t="s">
        <v>92</v>
      </c>
      <c r="B66" s="24"/>
      <c r="C66" s="32" t="s">
        <v>90</v>
      </c>
      <c r="E66" s="33" t="s">
        <v>416</v>
      </c>
      <c r="H66" s="39" t="s">
        <v>417</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400</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418</v>
      </c>
    </row>
    <row r="67" spans="1:322">
      <c r="A67" s="23" t="s">
        <v>97</v>
      </c>
      <c r="B67" s="24" t="s">
        <v>419</v>
      </c>
      <c r="C67" s="44" t="s">
        <v>420</v>
      </c>
      <c r="D67" s="44" t="s">
        <v>421</v>
      </c>
      <c r="E67" s="26"/>
      <c r="F67" s="27"/>
      <c r="G67" s="27"/>
      <c r="H67" s="27" t="s">
        <v>394</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354</v>
      </c>
      <c r="H68" s="39" t="s">
        <v>394</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354</v>
      </c>
      <c r="H69" s="39" t="s">
        <v>394</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354</v>
      </c>
      <c r="H70" s="39" t="s">
        <v>394</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422</v>
      </c>
      <c r="D71" s="32" t="s">
        <v>421</v>
      </c>
      <c r="H71" s="39" t="s">
        <v>394</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354</v>
      </c>
      <c r="H72" s="39" t="s">
        <v>394</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354</v>
      </c>
      <c r="H73" s="39" t="s">
        <v>394</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354</v>
      </c>
      <c r="H74" s="39" t="s">
        <v>394</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423</v>
      </c>
      <c r="D75" s="32" t="s">
        <v>421</v>
      </c>
      <c r="H75" s="39" t="s">
        <v>394</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354</v>
      </c>
      <c r="H76" s="39" t="s">
        <v>394</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354</v>
      </c>
      <c r="H77" s="39" t="s">
        <v>394</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354</v>
      </c>
      <c r="H78" s="39" t="s">
        <v>394</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424</v>
      </c>
      <c r="D79" s="32" t="s">
        <v>425</v>
      </c>
      <c r="H79" s="39" t="s">
        <v>394</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354</v>
      </c>
      <c r="H80" s="39" t="s">
        <v>394</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354</v>
      </c>
      <c r="H81" s="39" t="s">
        <v>394</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354</v>
      </c>
      <c r="H82" s="39" t="s">
        <v>394</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422</v>
      </c>
      <c r="D83" s="32" t="s">
        <v>425</v>
      </c>
      <c r="H83" s="39" t="s">
        <v>394</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354</v>
      </c>
      <c r="H84" s="39" t="s">
        <v>394</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354</v>
      </c>
      <c r="H85" s="39" t="s">
        <v>394</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354</v>
      </c>
      <c r="H86" s="39" t="s">
        <v>394</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423</v>
      </c>
      <c r="D87" s="32" t="s">
        <v>425</v>
      </c>
      <c r="H87" s="39" t="s">
        <v>394</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354</v>
      </c>
      <c r="H88" s="39" t="s">
        <v>394</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354</v>
      </c>
      <c r="H89" s="39" t="s">
        <v>394</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354</v>
      </c>
      <c r="H90" s="39" t="s">
        <v>394</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419</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426</v>
      </c>
      <c r="E92" s="33" t="s">
        <v>354</v>
      </c>
      <c r="F92" s="39">
        <v>45597</v>
      </c>
      <c r="H92" s="39" t="s">
        <v>394</v>
      </c>
      <c r="I92" s="34">
        <v>8918</v>
      </c>
      <c r="J92" s="35">
        <f>IF(AND(ISNUMBER(K92),ISNUMBER(I92)),K92-I92,"")</f>
        <v>0</v>
      </c>
      <c r="K92" s="41" t="s">
        <v>400</v>
      </c>
      <c r="L92" s="35">
        <f>IF(AND(ISNUMBER(M92),ISNUMBER(K92)),M92-K92,"")</f>
        <v>0</v>
      </c>
      <c r="M92" s="41" t="s">
        <v>400</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427</v>
      </c>
    </row>
    <row r="93" spans="1:322" hidden="1">
      <c r="A93" s="37" t="s">
        <v>164</v>
      </c>
      <c r="B93" s="24"/>
      <c r="C93" s="32" t="s">
        <v>30</v>
      </c>
      <c r="D93" s="32" t="s">
        <v>162</v>
      </c>
      <c r="E93" s="33" t="s">
        <v>354</v>
      </c>
      <c r="F93" s="39">
        <v>45627</v>
      </c>
      <c r="H93" s="39" t="s">
        <v>394</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428</v>
      </c>
      <c r="AZ93" s="35">
        <f>IF(AND(ISNUMBER(BA93),ISNUMBER(AY93)),BA93-AY93,"")</f>
        <v>0</v>
      </c>
      <c r="BA93" s="41" t="s">
        <v>428</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390</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429</v>
      </c>
    </row>
    <row r="94" spans="1:322" hidden="1">
      <c r="A94" s="37" t="s">
        <v>167</v>
      </c>
      <c r="B94" s="24"/>
      <c r="C94" s="32" t="s">
        <v>30</v>
      </c>
      <c r="D94" s="32" t="s">
        <v>165</v>
      </c>
      <c r="E94" s="33" t="s">
        <v>430</v>
      </c>
      <c r="H94" s="39" t="s">
        <v>394</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422</v>
      </c>
      <c r="D95" s="38" t="s">
        <v>156</v>
      </c>
      <c r="H95" s="39" t="s">
        <v>394</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354</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431</v>
      </c>
      <c r="E97" s="33" t="s">
        <v>354</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432</v>
      </c>
      <c r="IT97" s="35">
        <f>IF(AND(ISNUMBER(IU97),ISNUMBER(IS97)),IU97-IS97,"")</f>
        <v>0</v>
      </c>
      <c r="IU97" s="34">
        <v>2535</v>
      </c>
      <c r="IV97" s="35">
        <f>IF(AND(ISNUMBER(IW97),ISNUMBER(IU97)),IW97-IU97,"")</f>
        <v>0</v>
      </c>
      <c r="IW97" s="41" t="s">
        <v>433</v>
      </c>
      <c r="IX97" s="35">
        <f>IF(AND(ISNUMBER(IY97),ISNUMBER(IW97)),IY97-IW97,"")</f>
        <v>0</v>
      </c>
      <c r="IY97" s="41" t="s">
        <v>433</v>
      </c>
      <c r="IZ97" s="35">
        <f>IF(AND(ISNUMBER(JA97),ISNUMBER(IY97)),JA97-IY97,"")</f>
        <v>0</v>
      </c>
      <c r="JA97" s="41" t="s">
        <v>433</v>
      </c>
      <c r="JB97" s="35">
        <f>IF(AND(ISNUMBER(JC97),ISNUMBER(JA97)),JC97-JA97,"")</f>
        <v>0</v>
      </c>
      <c r="JC97" s="41" t="s">
        <v>433</v>
      </c>
      <c r="JD97" s="35">
        <f>IF(AND(ISNUMBER(JE97),ISNUMBER(JC97)),JE97-JC97,"")</f>
        <v>0</v>
      </c>
      <c r="JE97" s="41" t="s">
        <v>433</v>
      </c>
      <c r="JF97" s="35">
        <f>IF(AND(ISNUMBER(JG97),ISNUMBER(JE97)),JG97-JE97,"")</f>
        <v>0</v>
      </c>
      <c r="JG97" s="41" t="s">
        <v>433</v>
      </c>
      <c r="JH97" s="35">
        <f>IF(AND(ISNUMBER(JI97),ISNUMBER(JG97)),JI97-JG97,"")</f>
        <v>0</v>
      </c>
      <c r="JI97" s="41" t="s">
        <v>433</v>
      </c>
      <c r="JJ97" s="35">
        <f>IF(AND(ISNUMBER(JK97),ISNUMBER(JI97)),JK97-JI97,"")</f>
        <v>0</v>
      </c>
      <c r="JK97" s="41" t="s">
        <v>433</v>
      </c>
      <c r="JL97" s="35">
        <f>IF(AND(ISNUMBER(JM97),ISNUMBER(JK97)),JM97-JK97,"")</f>
        <v>0</v>
      </c>
      <c r="JM97" s="41" t="s">
        <v>433</v>
      </c>
      <c r="JN97" s="35">
        <f>IF(AND(ISNUMBER(JO97),ISNUMBER(JM97)),JO97-JM97,"")</f>
        <v>0</v>
      </c>
      <c r="JO97" s="41" t="s">
        <v>433</v>
      </c>
      <c r="JP97" s="35">
        <f>IF(AND(ISNUMBER(JQ97),ISNUMBER(JO97)),JQ97-JO97,"")</f>
        <v>0</v>
      </c>
      <c r="JQ97" s="41" t="s">
        <v>433</v>
      </c>
      <c r="JR97" s="35">
        <f>IF(AND(ISNUMBER(JS97),ISNUMBER(JQ97)),JS97-JQ97,"")</f>
        <v>0</v>
      </c>
      <c r="JS97" s="41" t="s">
        <v>433</v>
      </c>
      <c r="JT97" s="35">
        <f>IF(AND(ISNUMBER(JU97),ISNUMBER(JS97)),JU97-JS97,"")</f>
        <v>0</v>
      </c>
      <c r="JU97" s="41" t="s">
        <v>433</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430</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423</v>
      </c>
      <c r="D99" s="38" t="s">
        <v>156</v>
      </c>
      <c r="H99" s="39" t="s">
        <v>394</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426</v>
      </c>
      <c r="E100" s="33" t="s">
        <v>354</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431</v>
      </c>
      <c r="E101" s="33" t="s">
        <v>354</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432</v>
      </c>
      <c r="IT101" s="35">
        <f>IF(AND(ISNUMBER(IU101),ISNUMBER(IS101)),IU101-IS101,"")</f>
        <v>0</v>
      </c>
      <c r="IU101" s="34">
        <v>2441</v>
      </c>
      <c r="IV101" s="35">
        <f>IF(AND(ISNUMBER(IW101),ISNUMBER(IU101)),IW101-IU101,"")</f>
        <v>0</v>
      </c>
      <c r="IW101" s="41" t="s">
        <v>433</v>
      </c>
      <c r="IX101" s="35">
        <f>IF(AND(ISNUMBER(IY101),ISNUMBER(IW101)),IY101-IW101,"")</f>
        <v>0</v>
      </c>
      <c r="IY101" s="41" t="s">
        <v>433</v>
      </c>
      <c r="IZ101" s="35">
        <f>IF(AND(ISNUMBER(JA101),ISNUMBER(IY101)),JA101-IY101,"")</f>
        <v>0</v>
      </c>
      <c r="JA101" s="41" t="s">
        <v>433</v>
      </c>
      <c r="JB101" s="35">
        <f>IF(AND(ISNUMBER(JC101),ISNUMBER(JA101)),JC101-JA101,"")</f>
        <v>0</v>
      </c>
      <c r="JC101" s="41" t="s">
        <v>433</v>
      </c>
      <c r="JD101" s="35">
        <f>IF(AND(ISNUMBER(JE101),ISNUMBER(JC101)),JE101-JC101,"")</f>
        <v>0</v>
      </c>
      <c r="JE101" s="41" t="s">
        <v>433</v>
      </c>
      <c r="JF101" s="35">
        <f>IF(AND(ISNUMBER(JG101),ISNUMBER(JE101)),JG101-JE101,"")</f>
        <v>0</v>
      </c>
      <c r="JG101" s="41" t="s">
        <v>433</v>
      </c>
      <c r="JH101" s="35">
        <f>IF(AND(ISNUMBER(JI101),ISNUMBER(JG101)),JI101-JG101,"")</f>
        <v>0</v>
      </c>
      <c r="JI101" s="41" t="s">
        <v>433</v>
      </c>
      <c r="JJ101" s="35">
        <f>IF(AND(ISNUMBER(JK101),ISNUMBER(JI101)),JK101-JI101,"")</f>
        <v>0</v>
      </c>
      <c r="JK101" s="41" t="s">
        <v>433</v>
      </c>
      <c r="JL101" s="35">
        <f>IF(AND(ISNUMBER(JM101),ISNUMBER(JK101)),JM101-JK101,"")</f>
        <v>0</v>
      </c>
      <c r="JM101" s="41" t="s">
        <v>433</v>
      </c>
      <c r="JN101" s="35">
        <f>IF(AND(ISNUMBER(JO101),ISNUMBER(JM101)),JO101-JM101,"")</f>
        <v>0</v>
      </c>
      <c r="JO101" s="41" t="s">
        <v>433</v>
      </c>
      <c r="JP101" s="35">
        <f>IF(AND(ISNUMBER(JQ101),ISNUMBER(JO101)),JQ101-JO101,"")</f>
        <v>0</v>
      </c>
      <c r="JQ101" s="41" t="s">
        <v>433</v>
      </c>
      <c r="JR101" s="35">
        <f>IF(AND(ISNUMBER(JS101),ISNUMBER(JQ101)),JS101-JQ101,"")</f>
        <v>0</v>
      </c>
      <c r="JS101" s="41" t="s">
        <v>433</v>
      </c>
      <c r="JT101" s="35">
        <f>IF(AND(ISNUMBER(JU101),ISNUMBER(JS101)),JU101-JS101,"")</f>
        <v>0</v>
      </c>
      <c r="JU101" s="41" t="s">
        <v>433</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430</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434</v>
      </c>
      <c r="C103" s="44" t="s">
        <v>30</v>
      </c>
      <c r="D103" s="44" t="s">
        <v>183</v>
      </c>
      <c r="E103" s="26" t="s">
        <v>435</v>
      </c>
      <c r="F103" s="27">
        <v>45388</v>
      </c>
      <c r="G103" s="27"/>
      <c r="H103" s="27" t="s">
        <v>417</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436</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417</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417</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437</v>
      </c>
      <c r="E112" s="33" t="s">
        <v>435</v>
      </c>
      <c r="F112" s="39">
        <v>45300</v>
      </c>
      <c r="H112" s="39" t="s">
        <v>417</v>
      </c>
      <c r="I112" s="41" t="s">
        <v>400</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400</v>
      </c>
      <c r="V112" s="35">
        <f>IF(AND(ISNUMBER(W112),ISNUMBER(U112)),W112-U112,"")</f>
        <v>0</v>
      </c>
      <c r="W112" s="34">
        <v>3078</v>
      </c>
      <c r="X112" s="35">
        <f>IF(AND(ISNUMBER(Y112),ISNUMBER(W112)),Y112-W112,"")</f>
        <v>0</v>
      </c>
      <c r="Y112" s="41" t="s">
        <v>400</v>
      </c>
      <c r="Z112" s="35">
        <f>IF(AND(ISNUMBER(AA112),ISNUMBER(Y112)),AA112-Y112,"")</f>
        <v>0</v>
      </c>
      <c r="AA112" s="41" t="s">
        <v>400</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400</v>
      </c>
      <c r="AP112" s="35">
        <f>IF(AND(ISNUMBER(AQ112),ISNUMBER(AO112)),AQ112-AO112,"")</f>
        <v>0</v>
      </c>
      <c r="AQ112" s="41" t="s">
        <v>400</v>
      </c>
      <c r="AR112" s="35">
        <f>IF(AND(ISNUMBER(AS112),ISNUMBER(AQ112)),AS112-AQ112,"")</f>
        <v>0</v>
      </c>
      <c r="AS112" s="41" t="s">
        <v>400</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438</v>
      </c>
    </row>
    <row r="113" spans="1:322">
      <c r="A113" s="23" t="s">
        <v>202</v>
      </c>
      <c r="B113" s="24" t="s">
        <v>439</v>
      </c>
      <c r="C113" s="44" t="s">
        <v>30</v>
      </c>
      <c r="D113" s="44"/>
      <c r="E113" s="26" t="s">
        <v>440</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441</v>
      </c>
      <c r="C114" s="44" t="s">
        <v>30</v>
      </c>
      <c r="D114" s="44"/>
      <c r="E114" s="26" t="s">
        <v>442</v>
      </c>
      <c r="F114" s="27"/>
      <c r="G114" s="27"/>
      <c r="H114" s="27" t="s">
        <v>408</v>
      </c>
      <c r="I114" s="43" t="s">
        <v>390</v>
      </c>
      <c r="J114" s="29">
        <f>IF(AND(ISNUMBER(K114),ISNUMBER(I114)),K114-I114,"")</f>
        <v>0</v>
      </c>
      <c r="K114" s="43" t="s">
        <v>390</v>
      </c>
      <c r="L114" s="29">
        <f>IF(AND(ISNUMBER(M114),ISNUMBER(K114)),M114-K114,"")</f>
        <v>0</v>
      </c>
      <c r="M114" s="43" t="s">
        <v>390</v>
      </c>
      <c r="N114" s="29">
        <f>IF(AND(ISNUMBER(O114),ISNUMBER(M114)),O114-M114,"")</f>
        <v>0</v>
      </c>
      <c r="O114" s="43" t="s">
        <v>390</v>
      </c>
      <c r="P114" s="29">
        <f>IF(AND(ISNUMBER(Q114),ISNUMBER(O114)),Q114-O114,"")</f>
        <v>0</v>
      </c>
      <c r="Q114" s="43" t="s">
        <v>390</v>
      </c>
      <c r="R114" s="29">
        <f>IF(AND(ISNUMBER(S114),ISNUMBER(Q114)),S114-Q114,"")</f>
        <v>0</v>
      </c>
      <c r="S114" s="43" t="s">
        <v>390</v>
      </c>
      <c r="T114" s="29">
        <f>IF(AND(ISNUMBER(U114),ISNUMBER(S114)),U114-S114,"")</f>
        <v>0</v>
      </c>
      <c r="U114" s="43" t="s">
        <v>390</v>
      </c>
      <c r="V114" s="29">
        <f>IF(AND(ISNUMBER(W114),ISNUMBER(U114)),W114-U114,"")</f>
        <v>0</v>
      </c>
      <c r="W114" s="43" t="s">
        <v>390</v>
      </c>
      <c r="X114" s="29">
        <f>IF(AND(ISNUMBER(Y114),ISNUMBER(W114)),Y114-W114,"")</f>
        <v>0</v>
      </c>
      <c r="Y114" s="43" t="s">
        <v>390</v>
      </c>
      <c r="Z114" s="29">
        <f>IF(AND(ISNUMBER(AA114),ISNUMBER(Y114)),AA114-Y114,"")</f>
        <v>0</v>
      </c>
      <c r="AA114" s="43" t="s">
        <v>390</v>
      </c>
      <c r="AB114" s="29">
        <f>IF(AND(ISNUMBER(AC114),ISNUMBER(AA114)),AC114-AA114,"")</f>
        <v>0</v>
      </c>
      <c r="AC114" s="28">
        <v>27</v>
      </c>
      <c r="AD114" s="29">
        <f>IF(AND(ISNUMBER(AE114),ISNUMBER(AC114)),AE114-AC114,"")</f>
        <v>0</v>
      </c>
      <c r="AE114" s="43" t="s">
        <v>390</v>
      </c>
      <c r="AF114" s="29">
        <f>IF(AND(ISNUMBER(AG114),ISNUMBER(AE114)),AG114-AE114,"")</f>
        <v>0</v>
      </c>
      <c r="AG114" s="43" t="s">
        <v>390</v>
      </c>
      <c r="AH114" s="29">
        <f>IF(AND(ISNUMBER(AI114),ISNUMBER(AG114)),AI114-AG114,"")</f>
        <v>0</v>
      </c>
      <c r="AI114" s="43" t="s">
        <v>390</v>
      </c>
      <c r="AJ114" s="29">
        <f>IF(AND(ISNUMBER(AK114),ISNUMBER(AI114)),AK114-AI114,"")</f>
        <v>0</v>
      </c>
      <c r="AK114" s="43" t="s">
        <v>390</v>
      </c>
      <c r="AL114" s="29">
        <f>IF(AND(ISNUMBER(AM114),ISNUMBER(AK114)),AM114-AK114,"")</f>
        <v>0</v>
      </c>
      <c r="AM114" s="43" t="s">
        <v>390</v>
      </c>
      <c r="AN114" s="29">
        <f>IF(AND(ISNUMBER(AO114),ISNUMBER(AM114)),AO114-AM114,"")</f>
        <v>0</v>
      </c>
      <c r="AO114" s="43" t="s">
        <v>390</v>
      </c>
      <c r="AP114" s="29">
        <f>IF(AND(ISNUMBER(AQ114),ISNUMBER(AO114)),AQ114-AO114,"")</f>
        <v>0</v>
      </c>
      <c r="AQ114" s="28">
        <v>45</v>
      </c>
      <c r="AR114" s="29">
        <f>IF(AND(ISNUMBER(AS114),ISNUMBER(AQ114)),AS114-AQ114,"")</f>
        <v>0</v>
      </c>
      <c r="AS114" s="43" t="s">
        <v>390</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443</v>
      </c>
    </row>
    <row r="115" spans="1:322">
      <c r="A115" s="23" t="s">
        <v>208</v>
      </c>
      <c r="B115" s="24" t="s">
        <v>444</v>
      </c>
      <c r="C115" s="44" t="s">
        <v>30</v>
      </c>
      <c r="D115" s="44"/>
      <c r="E115" s="26" t="s">
        <v>445</v>
      </c>
      <c r="F115" s="27"/>
      <c r="G115" s="27"/>
      <c r="H115" s="27" t="s">
        <v>446</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447</v>
      </c>
      <c r="BR115" s="29">
        <f>IF(AND(ISNUMBER(BS115),ISNUMBER(BQ115)),BS115-BQ115,"")</f>
        <v>0</v>
      </c>
      <c r="BS115" s="43" t="s">
        <v>447</v>
      </c>
      <c r="BT115" s="29">
        <f>IF(AND(ISNUMBER(BU115),ISNUMBER(BS115)),BU115-BS115,"")</f>
        <v>0</v>
      </c>
      <c r="BU115" s="43" t="s">
        <v>447</v>
      </c>
      <c r="BV115" s="29">
        <f>IF(AND(ISNUMBER(BW115),ISNUMBER(BU115)),BW115-BU115,"")</f>
        <v>0</v>
      </c>
      <c r="BW115" s="43" t="s">
        <v>447</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448</v>
      </c>
    </row>
    <row r="116" spans="1:322">
      <c r="A116" s="23" t="s">
        <v>211</v>
      </c>
      <c r="B116" s="24" t="s">
        <v>449</v>
      </c>
      <c r="C116" s="44" t="s">
        <v>30</v>
      </c>
      <c r="D116" s="44"/>
      <c r="E116" s="26" t="s">
        <v>445</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450</v>
      </c>
      <c r="C117" s="25" t="s">
        <v>30</v>
      </c>
      <c r="D117" s="25"/>
      <c r="E117" s="26" t="s">
        <v>451</v>
      </c>
      <c r="F117" s="27"/>
      <c r="G117" s="27"/>
      <c r="H117" s="27" t="s">
        <v>417</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451</v>
      </c>
      <c r="H118" s="39" t="s">
        <v>417</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451</v>
      </c>
      <c r="H119" s="39" t="s">
        <v>417</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451</v>
      </c>
      <c r="H120" s="39" t="s">
        <v>417</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451</v>
      </c>
      <c r="H121" s="39" t="s">
        <v>417</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451</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451</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451</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451</v>
      </c>
      <c r="H125" s="39" t="s">
        <v>417</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451</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451</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451</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452</v>
      </c>
      <c r="C129" s="25" t="s">
        <v>241</v>
      </c>
      <c r="D129" s="25"/>
      <c r="E129" s="26" t="s">
        <v>451</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451</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451</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451</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451</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451</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451</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451</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451</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451</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451</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451</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453</v>
      </c>
      <c r="C141" s="44" t="s">
        <v>272</v>
      </c>
      <c r="D141" s="44"/>
      <c r="E141" s="26" t="s">
        <v>454</v>
      </c>
      <c r="F141" s="27"/>
      <c r="G141" s="27"/>
      <c r="H141" s="27" t="s">
        <v>446</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455</v>
      </c>
      <c r="BR141" s="29">
        <f>IF(AND(ISNUMBER(BS141),ISNUMBER(BQ141)),BS141-BQ141,"")</f>
        <v>0</v>
      </c>
      <c r="BS141" s="43" t="s">
        <v>455</v>
      </c>
      <c r="BT141" s="29">
        <f>IF(AND(ISNUMBER(BU141),ISNUMBER(BS141)),BU141-BS141,"")</f>
        <v>0</v>
      </c>
      <c r="BU141" s="43" t="s">
        <v>455</v>
      </c>
      <c r="BV141" s="29">
        <f>IF(AND(ISNUMBER(BW141),ISNUMBER(BU141)),BW141-BU141,"")</f>
        <v>0</v>
      </c>
      <c r="BW141" s="43" t="s">
        <v>455</v>
      </c>
      <c r="BX141" s="29">
        <f>IF(AND(ISNUMBER(BY141),ISNUMBER(BW141)),BY141-BW141,"")</f>
        <v>0</v>
      </c>
      <c r="BY141" s="43" t="s">
        <v>455</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456</v>
      </c>
    </row>
    <row r="142" spans="1:322">
      <c r="A142" s="23" t="s">
        <v>278</v>
      </c>
      <c r="B142" s="24" t="s">
        <v>457</v>
      </c>
      <c r="C142" s="44" t="s">
        <v>276</v>
      </c>
      <c r="D142" s="44"/>
      <c r="E142" s="26" t="s">
        <v>458</v>
      </c>
      <c r="F142" s="27"/>
      <c r="G142" s="27"/>
      <c r="H142" s="27" t="s">
        <v>417</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457</v>
      </c>
      <c r="C143" s="44" t="s">
        <v>279</v>
      </c>
      <c r="D143" s="44"/>
      <c r="E143" s="26" t="s">
        <v>458</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457</v>
      </c>
      <c r="C144" s="44" t="s">
        <v>282</v>
      </c>
      <c r="D144" s="44"/>
      <c r="E144" s="26" t="s">
        <v>458</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457</v>
      </c>
      <c r="C145" s="44" t="s">
        <v>285</v>
      </c>
      <c r="D145" s="44"/>
      <c r="E145" s="26" t="s">
        <v>458</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459</v>
      </c>
      <c r="C146" s="44" t="s">
        <v>30</v>
      </c>
      <c r="D146" s="44"/>
      <c r="E146" s="26" t="s">
        <v>460</v>
      </c>
      <c r="F146" s="27"/>
      <c r="G146" s="27"/>
      <c r="H146" s="27" t="s">
        <v>417</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461</v>
      </c>
    </row>
    <row r="147" spans="1:322">
      <c r="A147" s="23">
        <v>15</v>
      </c>
      <c r="B147" s="24" t="s">
        <v>462</v>
      </c>
      <c r="C147" s="44" t="s">
        <v>30</v>
      </c>
      <c r="D147" s="44"/>
      <c r="E147" s="26" t="s">
        <v>373</v>
      </c>
      <c r="F147" s="27"/>
      <c r="G147" s="27" t="s">
        <v>463</v>
      </c>
      <c r="H147" s="27" t="s">
        <v>464</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465</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466</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417</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467</v>
      </c>
      <c r="C150" s="44" t="s">
        <v>297</v>
      </c>
      <c r="D150" s="44"/>
      <c r="E150" s="26" t="s">
        <v>468</v>
      </c>
      <c r="F150" s="27"/>
      <c r="G150" s="27"/>
      <c r="H150" s="27" t="s">
        <v>417</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468</v>
      </c>
      <c r="F151" s="39">
        <v>45658</v>
      </c>
      <c r="H151" s="39" t="s">
        <v>417</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468</v>
      </c>
      <c r="H152" s="39" t="s">
        <v>417</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417</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468</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468</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469</v>
      </c>
      <c r="C156" s="44" t="s">
        <v>30</v>
      </c>
      <c r="D156" s="44"/>
      <c r="E156" s="26" t="s">
        <v>470</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471</v>
      </c>
      <c r="C157" s="44" t="s">
        <v>30</v>
      </c>
      <c r="D157" s="44"/>
      <c r="E157" s="26" t="s">
        <v>472</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c r="AN1" s="45">
        <v>46388</v>
      </c>
      <c r="AO1" s="21" t="s">
        <v>389</v>
      </c>
      <c r="AP1" s="45">
        <v>46753</v>
      </c>
      <c r="AQ1" s="21" t="s">
        <v>389</v>
      </c>
    </row>
    <row r="2" spans="1:43" ht="12" customHeight="1">
      <c r="F2" s="22">
        <f>IF(COUNT(F3:F5)&gt;0,"Y","X")</f>
        <v>0</v>
      </c>
      <c r="G2" s="22" t="s">
        <v>390</v>
      </c>
      <c r="H2" s="22">
        <f>IF(COUNT(H3:H5)&gt;0,"Y","X")</f>
        <v>0</v>
      </c>
      <c r="I2" s="22" t="s">
        <v>390</v>
      </c>
      <c r="J2" s="22">
        <f>IF(COUNT(J3:J5)&gt;0,"Y","X")</f>
        <v>0</v>
      </c>
      <c r="K2" s="22" t="s">
        <v>390</v>
      </c>
      <c r="L2" s="22">
        <f>IF(COUNT(L3:L5)&gt;0,"Y","X")</f>
        <v>0</v>
      </c>
      <c r="M2" s="22" t="s">
        <v>390</v>
      </c>
      <c r="N2" s="22">
        <f>IF(COUNT(N3:N5)&gt;0,"Y","X")</f>
        <v>0</v>
      </c>
      <c r="O2" s="22" t="s">
        <v>390</v>
      </c>
      <c r="P2" s="22">
        <f>IF(COUNT(P3:P5)&gt;0,"Y","X")</f>
        <v>0</v>
      </c>
      <c r="Q2" s="22" t="s">
        <v>390</v>
      </c>
      <c r="R2" s="22">
        <f>IF(COUNT(R3:R5)&gt;0,"Y","X")</f>
        <v>0</v>
      </c>
      <c r="S2" s="22" t="s">
        <v>390</v>
      </c>
      <c r="T2" s="22">
        <f>IF(COUNT(T3:T5)&gt;0,"Y","X")</f>
        <v>0</v>
      </c>
      <c r="U2" s="22" t="s">
        <v>390</v>
      </c>
      <c r="V2" s="22">
        <f>IF(COUNT(V3:V5)&gt;0,"Y","X")</f>
        <v>0</v>
      </c>
      <c r="W2" s="22" t="s">
        <v>390</v>
      </c>
      <c r="X2" s="22">
        <f>IF(COUNT(X3:X5)&gt;0,"Y","X")</f>
        <v>0</v>
      </c>
      <c r="Y2" s="22" t="s">
        <v>390</v>
      </c>
      <c r="Z2" s="22">
        <f>IF(COUNT(Z3:Z5)&gt;0,"Y","X")</f>
        <v>0</v>
      </c>
      <c r="AA2" s="22" t="s">
        <v>390</v>
      </c>
      <c r="AB2" s="22">
        <f>IF(COUNT(AB3:AB5)&gt;0,"Y","X")</f>
        <v>0</v>
      </c>
      <c r="AC2" s="22" t="s">
        <v>390</v>
      </c>
      <c r="AD2" s="22">
        <f>IF(COUNT(AD3:AD5)&gt;0,"Y","X")</f>
        <v>0</v>
      </c>
      <c r="AE2" s="22" t="s">
        <v>390</v>
      </c>
      <c r="AF2" s="22">
        <f>IF(COUNT(AF3:AF5)&gt;0,"Y","X")</f>
        <v>0</v>
      </c>
      <c r="AG2" s="22" t="s">
        <v>390</v>
      </c>
      <c r="AH2" s="22">
        <f>IF(COUNT(AH3:AH5)&gt;0,"Y","X")</f>
        <v>0</v>
      </c>
      <c r="AI2" s="22" t="s">
        <v>390</v>
      </c>
      <c r="AJ2" s="22">
        <f>IF(COUNT(AJ3:AJ5)&gt;0,"Y","X")</f>
        <v>0</v>
      </c>
      <c r="AK2" s="22" t="s">
        <v>390</v>
      </c>
      <c r="AL2" s="22">
        <f>IF(COUNT(AL3:AL5)&gt;0,"Y","X")</f>
        <v>0</v>
      </c>
      <c r="AM2" s="22" t="s">
        <v>390</v>
      </c>
      <c r="AN2" s="22">
        <f>IF(COUNT(AN3:AN5)&gt;0,"Y","X")</f>
        <v>0</v>
      </c>
      <c r="AO2" s="22" t="s">
        <v>390</v>
      </c>
      <c r="AP2" s="22">
        <f>IF(COUNT(AP3:AP5)&gt;0,"Y","X")</f>
        <v>0</v>
      </c>
      <c r="AQ2" s="22" t="s">
        <v>390</v>
      </c>
    </row>
    <row r="3" spans="1:43">
      <c r="A3" s="23" t="s">
        <v>473</v>
      </c>
      <c r="B3" s="24" t="s">
        <v>474</v>
      </c>
      <c r="C3" s="44" t="s">
        <v>475</v>
      </c>
      <c r="D3" s="44" t="s">
        <v>476</v>
      </c>
      <c r="E3" s="26" t="s">
        <v>358</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477</v>
      </c>
      <c r="B4" s="24"/>
      <c r="C4" s="38" t="s">
        <v>478</v>
      </c>
      <c r="D4" s="38" t="s">
        <v>476</v>
      </c>
      <c r="E4" s="33" t="s">
        <v>358</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479</v>
      </c>
      <c r="B5" s="24"/>
      <c r="C5" s="38" t="s">
        <v>480</v>
      </c>
      <c r="D5" s="38" t="s">
        <v>476</v>
      </c>
      <c r="E5" s="33" t="s">
        <v>358</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row>
    <row r="2" spans="1:39" ht="12" customHeight="1">
      <c r="F2" s="22">
        <f>IF(COUNT(F3:F7)&gt;0,"Y","X")</f>
        <v>0</v>
      </c>
      <c r="G2" s="22" t="s">
        <v>390</v>
      </c>
      <c r="H2" s="22">
        <f>IF(COUNT(H3:H7)&gt;0,"Y","X")</f>
        <v>0</v>
      </c>
      <c r="I2" s="22" t="s">
        <v>390</v>
      </c>
      <c r="J2" s="22">
        <f>IF(COUNT(J3:J7)&gt;0,"Y","X")</f>
        <v>0</v>
      </c>
      <c r="K2" s="22" t="s">
        <v>390</v>
      </c>
      <c r="L2" s="22">
        <f>IF(COUNT(L3:L7)&gt;0,"Y","X")</f>
        <v>0</v>
      </c>
      <c r="M2" s="22" t="s">
        <v>390</v>
      </c>
      <c r="N2" s="22">
        <f>IF(COUNT(N3:N7)&gt;0,"Y","X")</f>
        <v>0</v>
      </c>
      <c r="O2" s="22" t="s">
        <v>390</v>
      </c>
      <c r="P2" s="22">
        <f>IF(COUNT(P3:P7)&gt;0,"Y","X")</f>
        <v>0</v>
      </c>
      <c r="Q2" s="22" t="s">
        <v>390</v>
      </c>
      <c r="R2" s="22">
        <f>IF(COUNT(R3:R7)&gt;0,"Y","X")</f>
        <v>0</v>
      </c>
      <c r="S2" s="22" t="s">
        <v>390</v>
      </c>
      <c r="T2" s="22">
        <f>IF(COUNT(T3:T7)&gt;0,"Y","X")</f>
        <v>0</v>
      </c>
      <c r="U2" s="22" t="s">
        <v>390</v>
      </c>
      <c r="V2" s="22">
        <f>IF(COUNT(V3:V7)&gt;0,"Y","X")</f>
        <v>0</v>
      </c>
      <c r="W2" s="22" t="s">
        <v>390</v>
      </c>
      <c r="X2" s="22">
        <f>IF(COUNT(X3:X7)&gt;0,"Y","X")</f>
        <v>0</v>
      </c>
      <c r="Y2" s="22" t="s">
        <v>390</v>
      </c>
      <c r="Z2" s="22">
        <f>IF(COUNT(Z3:Z7)&gt;0,"Y","X")</f>
        <v>0</v>
      </c>
      <c r="AA2" s="22" t="s">
        <v>390</v>
      </c>
      <c r="AB2" s="22">
        <f>IF(COUNT(AB3:AB7)&gt;0,"Y","X")</f>
        <v>0</v>
      </c>
      <c r="AC2" s="22" t="s">
        <v>390</v>
      </c>
      <c r="AD2" s="22">
        <f>IF(COUNT(AD3:AD7)&gt;0,"Y","X")</f>
        <v>0</v>
      </c>
      <c r="AE2" s="22" t="s">
        <v>390</v>
      </c>
      <c r="AF2" s="22">
        <f>IF(COUNT(AF3:AF7)&gt;0,"Y","X")</f>
        <v>0</v>
      </c>
      <c r="AG2" s="22" t="s">
        <v>390</v>
      </c>
      <c r="AH2" s="22">
        <f>IF(COUNT(AH3:AH7)&gt;0,"Y","X")</f>
        <v>0</v>
      </c>
      <c r="AI2" s="22" t="s">
        <v>390</v>
      </c>
      <c r="AJ2" s="22">
        <f>IF(COUNT(AJ3:AJ7)&gt;0,"Y","X")</f>
        <v>0</v>
      </c>
      <c r="AK2" s="22" t="s">
        <v>390</v>
      </c>
      <c r="AL2" s="22">
        <f>IF(COUNT(AL3:AL7)&gt;0,"Y","X")</f>
        <v>0</v>
      </c>
      <c r="AM2" s="22" t="s">
        <v>390</v>
      </c>
    </row>
    <row r="3" spans="1:39">
      <c r="A3" s="23" t="s">
        <v>481</v>
      </c>
      <c r="B3" s="24" t="s">
        <v>482</v>
      </c>
      <c r="C3" s="44" t="s">
        <v>483</v>
      </c>
      <c r="D3" s="44" t="s">
        <v>484</v>
      </c>
      <c r="E3" s="26" t="s">
        <v>468</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485</v>
      </c>
      <c r="D4" s="32" t="s">
        <v>484</v>
      </c>
      <c r="E4" s="33" t="s">
        <v>468</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486</v>
      </c>
      <c r="B5" s="24"/>
      <c r="C5" s="38" t="s">
        <v>487</v>
      </c>
      <c r="D5" s="38" t="s">
        <v>484</v>
      </c>
      <c r="E5" s="33" t="s">
        <v>468</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488</v>
      </c>
      <c r="D6" s="32" t="s">
        <v>484</v>
      </c>
      <c r="E6" s="33" t="s">
        <v>468</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489</v>
      </c>
      <c r="D7" s="32" t="s">
        <v>484</v>
      </c>
      <c r="E7" s="33" t="s">
        <v>468</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641</v>
      </c>
    </row>
    <row r="2" spans="1:6">
      <c r="A2" s="8" t="s">
        <v>642</v>
      </c>
    </row>
    <row r="4" spans="1:6" ht="28" customHeight="1">
      <c r="A4" s="6" t="s">
        <v>337</v>
      </c>
      <c r="B4" s="6" t="s">
        <v>643</v>
      </c>
      <c r="C4" s="6" t="s">
        <v>644</v>
      </c>
      <c r="D4" s="6" t="s">
        <v>645</v>
      </c>
      <c r="E4" s="6" t="s">
        <v>646</v>
      </c>
      <c r="F4" s="6" t="s">
        <v>647</v>
      </c>
    </row>
    <row r="5" spans="1:6" ht="184" customHeight="1">
      <c r="A5" s="9" t="s">
        <v>343</v>
      </c>
      <c r="B5" s="9">
        <v>1</v>
      </c>
      <c r="C5" s="47" t="s">
        <v>648</v>
      </c>
      <c r="D5" s="48" t="s">
        <v>649</v>
      </c>
      <c r="E5" s="49" t="s">
        <v>650</v>
      </c>
      <c r="F5" s="9" t="s">
        <v>651</v>
      </c>
    </row>
    <row r="6" spans="1:6" ht="19" customHeight="1">
      <c r="A6" s="9" t="s">
        <v>343</v>
      </c>
      <c r="B6" s="9">
        <v>2</v>
      </c>
      <c r="C6" s="47" t="s">
        <v>406</v>
      </c>
      <c r="D6" s="48" t="s">
        <v>652</v>
      </c>
      <c r="E6" s="49"/>
      <c r="F6" s="9" t="s">
        <v>652</v>
      </c>
    </row>
    <row r="7" spans="1:6" ht="124" customHeight="1">
      <c r="A7" s="9" t="s">
        <v>343</v>
      </c>
      <c r="B7" s="9">
        <v>3</v>
      </c>
      <c r="C7" s="47" t="s">
        <v>56</v>
      </c>
      <c r="D7" s="48" t="s">
        <v>467</v>
      </c>
      <c r="E7" s="49" t="s">
        <v>653</v>
      </c>
      <c r="F7" s="9" t="s">
        <v>467</v>
      </c>
    </row>
    <row r="8" spans="1:6" ht="19" customHeight="1">
      <c r="A8" s="9" t="s">
        <v>343</v>
      </c>
      <c r="B8" s="9">
        <v>4</v>
      </c>
      <c r="C8" s="47" t="s">
        <v>654</v>
      </c>
      <c r="D8" s="48" t="s">
        <v>655</v>
      </c>
      <c r="E8" s="49" t="s">
        <v>656</v>
      </c>
      <c r="F8" s="9" t="s">
        <v>434</v>
      </c>
    </row>
    <row r="9" spans="1:6" ht="19" customHeight="1">
      <c r="A9" s="9" t="s">
        <v>343</v>
      </c>
      <c r="B9" s="9">
        <v>5</v>
      </c>
      <c r="C9" s="47" t="s">
        <v>83</v>
      </c>
      <c r="D9" s="48" t="s">
        <v>439</v>
      </c>
      <c r="E9" s="49"/>
      <c r="F9" s="9" t="s">
        <v>439</v>
      </c>
    </row>
    <row r="10" spans="1:6" ht="94" customHeight="1">
      <c r="A10" s="9" t="s">
        <v>343</v>
      </c>
      <c r="B10" s="9">
        <v>6</v>
      </c>
      <c r="C10" s="47" t="s">
        <v>657</v>
      </c>
      <c r="D10" s="48" t="s">
        <v>469</v>
      </c>
      <c r="E10" s="49" t="s">
        <v>658</v>
      </c>
      <c r="F10" s="9" t="s">
        <v>469</v>
      </c>
    </row>
    <row r="11" spans="1:6" ht="49" customHeight="1">
      <c r="A11" s="9" t="s">
        <v>343</v>
      </c>
      <c r="B11" s="9">
        <v>7</v>
      </c>
      <c r="C11" s="47" t="s">
        <v>659</v>
      </c>
      <c r="D11" s="48" t="s">
        <v>471</v>
      </c>
      <c r="E11" s="49" t="s">
        <v>660</v>
      </c>
      <c r="F11" s="9" t="s">
        <v>471</v>
      </c>
    </row>
    <row r="12" spans="1:6" ht="19" customHeight="1">
      <c r="A12" s="9" t="s">
        <v>346</v>
      </c>
      <c r="B12" s="9">
        <v>1</v>
      </c>
      <c r="C12" s="47" t="s">
        <v>661</v>
      </c>
      <c r="D12" s="48" t="s">
        <v>415</v>
      </c>
      <c r="E12" s="49" t="s">
        <v>662</v>
      </c>
      <c r="F12" s="9" t="s">
        <v>415</v>
      </c>
    </row>
    <row r="13" spans="1:6" ht="19" customHeight="1">
      <c r="A13" s="9" t="s">
        <v>346</v>
      </c>
      <c r="B13" s="9">
        <v>2</v>
      </c>
      <c r="C13" s="47" t="s">
        <v>406</v>
      </c>
      <c r="D13" s="48" t="s">
        <v>457</v>
      </c>
      <c r="E13" s="49" t="s">
        <v>663</v>
      </c>
      <c r="F13" s="9" t="s">
        <v>457</v>
      </c>
    </row>
    <row r="14" spans="1:6" ht="19" customHeight="1">
      <c r="A14" s="9" t="s">
        <v>346</v>
      </c>
      <c r="B14" s="9">
        <v>3</v>
      </c>
      <c r="C14" s="47" t="s">
        <v>56</v>
      </c>
      <c r="D14" s="48" t="s">
        <v>664</v>
      </c>
      <c r="E14" s="49" t="s">
        <v>665</v>
      </c>
      <c r="F14" s="9" t="s">
        <v>666</v>
      </c>
    </row>
    <row r="15" spans="1:6" ht="19" customHeight="1">
      <c r="A15" s="9" t="s">
        <v>346</v>
      </c>
      <c r="B15" s="9">
        <v>4</v>
      </c>
      <c r="C15" s="47" t="s">
        <v>667</v>
      </c>
      <c r="D15" s="48" t="s">
        <v>668</v>
      </c>
      <c r="E15" s="49" t="s">
        <v>669</v>
      </c>
      <c r="F15" s="9" t="s">
        <v>668</v>
      </c>
    </row>
    <row r="16" spans="1:6" ht="64" customHeight="1">
      <c r="A16" s="9" t="s">
        <v>346</v>
      </c>
      <c r="B16" s="9">
        <v>5</v>
      </c>
      <c r="C16" s="47" t="s">
        <v>83</v>
      </c>
      <c r="D16" s="48" t="s">
        <v>670</v>
      </c>
      <c r="E16" s="49" t="s">
        <v>671</v>
      </c>
      <c r="F16" s="9" t="s">
        <v>670</v>
      </c>
    </row>
    <row r="17" spans="1:6" ht="19" customHeight="1">
      <c r="A17" s="9" t="s">
        <v>346</v>
      </c>
      <c r="B17" s="9">
        <v>6</v>
      </c>
      <c r="C17" s="47" t="s">
        <v>657</v>
      </c>
      <c r="D17" s="48" t="s">
        <v>672</v>
      </c>
      <c r="E17" s="49"/>
      <c r="F17" s="9" t="s">
        <v>672</v>
      </c>
    </row>
    <row r="18" spans="1:6" ht="19" customHeight="1">
      <c r="A18" s="9" t="s">
        <v>348</v>
      </c>
      <c r="B18" s="9">
        <v>1</v>
      </c>
      <c r="C18" s="47" t="s">
        <v>661</v>
      </c>
      <c r="D18" s="48" t="s">
        <v>407</v>
      </c>
      <c r="E18" s="49"/>
      <c r="F18" s="9" t="s">
        <v>407</v>
      </c>
    </row>
    <row r="19" spans="1:6" ht="19" customHeight="1">
      <c r="A19" s="9" t="s">
        <v>348</v>
      </c>
      <c r="B19" s="9">
        <v>2</v>
      </c>
      <c r="C19" s="47" t="s">
        <v>406</v>
      </c>
      <c r="D19" s="48" t="s">
        <v>414</v>
      </c>
      <c r="E19" s="49"/>
      <c r="F19" s="9" t="s">
        <v>414</v>
      </c>
    </row>
    <row r="20" spans="1:6" ht="19" customHeight="1">
      <c r="A20" s="9" t="s">
        <v>348</v>
      </c>
      <c r="B20" s="9">
        <v>3</v>
      </c>
      <c r="C20" s="47" t="s">
        <v>56</v>
      </c>
      <c r="D20" s="48" t="s">
        <v>441</v>
      </c>
      <c r="E20" s="49"/>
      <c r="F20" s="9" t="s">
        <v>441</v>
      </c>
    </row>
    <row r="21" spans="1:6" ht="19" customHeight="1">
      <c r="A21" s="9" t="s">
        <v>348</v>
      </c>
      <c r="B21" s="9">
        <v>4</v>
      </c>
      <c r="C21" s="47" t="s">
        <v>667</v>
      </c>
      <c r="D21" s="48" t="s">
        <v>673</v>
      </c>
      <c r="E21" s="49"/>
      <c r="F21" s="9" t="s">
        <v>673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3">
      <c r="A1" s="15" t="s">
        <v>318</v>
      </c>
    </row>
    <row r="2" spans="1:3">
      <c r="A2" s="8" t="s">
        <v>319</v>
      </c>
    </row>
    <row r="3" spans="1:3">
      <c r="B3" s="3" t="s">
        <v>320</v>
      </c>
    </row>
    <row r="4" spans="1:3">
      <c r="B4" s="11" t="s">
        <v>321</v>
      </c>
      <c r="C4" s="18">
        <f>TODAY()+MOD(5-WEEKDAY(TODAY(),2),7)</f>
        <v>0</v>
      </c>
    </row>
    <row r="5" spans="1:3">
      <c r="B5" s="11" t="s">
        <v>322</v>
      </c>
      <c r="C5" s="65"/>
    </row>
    <row r="6" spans="1:3">
      <c r="B6" s="11" t="s">
        <v>323</v>
      </c>
      <c r="C6" s="4">
        <f>IF(C5&lt;&gt;"",C5,C4)</f>
        <v>0</v>
      </c>
    </row>
    <row r="8" spans="1:3">
      <c r="B8" s="3" t="s">
        <v>324</v>
      </c>
    </row>
    <row r="9" spans="1:3">
      <c r="B9" s="11" t="s">
        <v>325</v>
      </c>
      <c r="C9" s="66">
        <v>500</v>
      </c>
    </row>
    <row r="10" spans="1:3">
      <c r="B10" s="11" t="s">
        <v>326</v>
      </c>
      <c r="C10" s="9"/>
    </row>
    <row r="11" spans="1:3">
      <c r="B11" s="3" t="s">
        <v>327</v>
      </c>
    </row>
    <row r="12" spans="1:3">
      <c r="B12" s="11" t="s">
        <v>328</v>
      </c>
      <c r="C12" s="48"/>
    </row>
    <row r="13" spans="1:3">
      <c r="B13" s="8" t="s">
        <v>329</v>
      </c>
    </row>
    <row r="14" spans="1:3">
      <c r="B14" s="3" t="s">
        <v>330</v>
      </c>
    </row>
    <row r="15" spans="1:3">
      <c r="B15" s="11" t="s">
        <v>331</v>
      </c>
      <c r="C15" s="48" t="s">
        <v>332</v>
      </c>
    </row>
    <row r="16" spans="1:3">
      <c r="B16" s="11" t="s">
        <v>333</v>
      </c>
      <c r="C16" s="48" t="s">
        <v>334</v>
      </c>
    </row>
    <row r="17" spans="2:7">
      <c r="B17" s="11" t="s">
        <v>335</v>
      </c>
      <c r="C17" s="9">
        <f>"Stand: "&amp;TEXT(DAY(Berichtstag),"00")&amp;"."&amp;TEXT(MONTH(Berichtstag),"00")&amp;"."&amp;YEAR(Berichtstag)</f>
        <v>0</v>
      </c>
    </row>
    <row r="19" spans="2:7">
      <c r="B19" s="3" t="s">
        <v>336</v>
      </c>
    </row>
    <row r="20" spans="2:7">
      <c r="B20" s="6" t="s">
        <v>337</v>
      </c>
      <c r="C20" s="6" t="s">
        <v>338</v>
      </c>
      <c r="E20" s="6" t="s">
        <v>339</v>
      </c>
      <c r="F20" s="6" t="s">
        <v>340</v>
      </c>
    </row>
    <row r="21" spans="2:7">
      <c r="B21" s="9" t="s">
        <v>341</v>
      </c>
      <c r="C21" s="9" t="s">
        <v>342</v>
      </c>
      <c r="E21" s="48"/>
      <c r="F21" s="47" t="s">
        <v>14</v>
      </c>
      <c r="G21" s="67">
        <f>E21&amp;IF(E21="","","  ·  ")&amp;"STAND "&amp;TEXT(DAY(Berichtstag),"00")&amp;"."&amp;TEXT(MONTH(Berichtstag),"00")&amp;"."&amp;YEAR(Berichtstag)</f>
        <v>0</v>
      </c>
    </row>
    <row r="22" spans="2:7">
      <c r="B22" s="9" t="s">
        <v>343</v>
      </c>
      <c r="C22" s="48" t="s">
        <v>344</v>
      </c>
      <c r="E22" s="48" t="s">
        <v>345</v>
      </c>
      <c r="F22" s="47" t="s">
        <v>14</v>
      </c>
      <c r="G22" s="67">
        <f>E22&amp;IF(E22="","","  ·  ")&amp;"STAND "&amp;TEXT(DAY(Berichtstag),"00")&amp;"."&amp;TEXT(MONTH(Berichtstag),"00")&amp;"."&amp;YEAR(Berichtstag)</f>
        <v>0</v>
      </c>
    </row>
    <row r="23" spans="2:7">
      <c r="B23" s="9" t="s">
        <v>346</v>
      </c>
      <c r="C23" s="48" t="s">
        <v>347</v>
      </c>
      <c r="E23" s="48" t="s">
        <v>345</v>
      </c>
      <c r="F23" s="47" t="s">
        <v>14</v>
      </c>
      <c r="G23" s="67">
        <f>E23&amp;IF(E23="","","  ·  ")&amp;"STAND "&amp;TEXT(DAY(Berichtstag),"00")&amp;"."&amp;TEXT(MONTH(Berichtstag),"00")&amp;"."&amp;YEAR(Berichtstag)</f>
        <v>0</v>
      </c>
    </row>
    <row r="24" spans="2:7">
      <c r="B24" s="9" t="s">
        <v>348</v>
      </c>
      <c r="C24" s="48" t="s">
        <v>349</v>
      </c>
      <c r="E24" s="48" t="s">
        <v>350</v>
      </c>
      <c r="F24" s="47" t="s">
        <v>95</v>
      </c>
      <c r="G24" s="67">
        <f>E24&amp;IF(E24="","","  ·  ")&amp;"STAND "&amp;TEXT(DAY(Berichtstag),"00")&amp;"."&amp;TEXT(MONTH(Berichtstag),"00")&amp;"."&amp;YEAR(Berichtstag)</f>
        <v>0</v>
      </c>
    </row>
    <row r="25" spans="2:7">
      <c r="B25" s="11" t="s">
        <v>351</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352</v>
      </c>
    </row>
    <row r="27" spans="2:7">
      <c r="B27" s="8" t="s">
        <v>353</v>
      </c>
    </row>
    <row r="28" spans="2:7">
      <c r="B28" s="48" t="s">
        <v>354</v>
      </c>
    </row>
    <row r="29" spans="2:7">
      <c r="B29" s="48" t="s">
        <v>355</v>
      </c>
    </row>
    <row r="30" spans="2:7">
      <c r="B30" s="48" t="s">
        <v>356</v>
      </c>
    </row>
    <row r="31" spans="2:7">
      <c r="B31" s="48" t="s">
        <v>357</v>
      </c>
    </row>
    <row r="32" spans="2:7">
      <c r="B32" s="48" t="s">
        <v>358</v>
      </c>
    </row>
    <row r="33" spans="2:2">
      <c r="B33" s="48" t="s">
        <v>359</v>
      </c>
    </row>
    <row r="34" spans="2:2">
      <c r="B34" s="48" t="s">
        <v>360</v>
      </c>
    </row>
    <row r="35" spans="2:2">
      <c r="B35" s="48" t="s">
        <v>361</v>
      </c>
    </row>
    <row r="36" spans="2:2">
      <c r="B36" s="48" t="s">
        <v>362</v>
      </c>
    </row>
    <row r="37" spans="2:2">
      <c r="B37" s="48" t="s">
        <v>363</v>
      </c>
    </row>
    <row r="38" spans="2:2">
      <c r="B38" s="48" t="s">
        <v>364</v>
      </c>
    </row>
    <row r="39" spans="2:2">
      <c r="B39" s="48" t="s">
        <v>365</v>
      </c>
    </row>
    <row r="40" spans="2:2">
      <c r="B40" s="48" t="s">
        <v>366</v>
      </c>
    </row>
    <row r="41" spans="2:2">
      <c r="B41" s="48" t="s">
        <v>367</v>
      </c>
    </row>
    <row r="42" spans="2:2">
      <c r="B42" s="48" t="s">
        <v>368</v>
      </c>
    </row>
    <row r="43" spans="2:2">
      <c r="B43" s="48" t="s">
        <v>369</v>
      </c>
    </row>
    <row r="44" spans="2:2">
      <c r="B44" s="48" t="s">
        <v>370</v>
      </c>
    </row>
    <row r="45" spans="2:2">
      <c r="B45" s="48" t="s">
        <v>371</v>
      </c>
    </row>
    <row r="46" spans="2:2">
      <c r="B46" s="48" t="s">
        <v>372</v>
      </c>
    </row>
    <row r="47" spans="2:2">
      <c r="B47" s="48" t="s">
        <v>373</v>
      </c>
    </row>
    <row r="48" spans="2:2">
      <c r="B48" s="48" t="s">
        <v>374</v>
      </c>
    </row>
    <row r="49" spans="2:3">
      <c r="B49" s="48" t="s">
        <v>375</v>
      </c>
    </row>
    <row r="50" spans="2:3">
      <c r="B50" s="48" t="s">
        <v>376</v>
      </c>
    </row>
    <row r="51" spans="2:3">
      <c r="B51" s="48" t="s">
        <v>377</v>
      </c>
    </row>
    <row r="52" spans="2:3">
      <c r="B52" s="48" t="s">
        <v>378</v>
      </c>
    </row>
    <row r="53" spans="2:3">
      <c r="B53" s="48" t="s">
        <v>379</v>
      </c>
    </row>
    <row r="54" spans="2:3">
      <c r="B54" s="48"/>
    </row>
    <row r="55" spans="2:3">
      <c r="B55" s="48"/>
    </row>
    <row r="56" spans="2:3">
      <c r="B56" s="48"/>
    </row>
    <row r="57" spans="2:3">
      <c r="B57" s="48"/>
    </row>
    <row r="59" spans="2:3">
      <c r="B59" s="11" t="s">
        <v>380</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707</v>
      </c>
    </row>
    <row r="2" spans="2:12">
      <c r="B2" s="2">
        <f>"Werte aus Rohdaten (Zeilen 7VA bis 7OL) · Berichtstag "&amp;TEXT(DAY(Berichtstag),"00")&amp;"."&amp;TEXT(MONTH(Berichtstag),"00")&amp;"."&amp;YEAR(Berichtstag)</f>
        <v>0</v>
      </c>
    </row>
    <row r="4" spans="2:12">
      <c r="B4" s="3" t="s">
        <v>708</v>
      </c>
      <c r="H4" s="3" t="s">
        <v>715</v>
      </c>
    </row>
    <row r="5" spans="2:12">
      <c r="B5" s="6" t="s">
        <v>3</v>
      </c>
      <c r="C5" s="7" t="s">
        <v>156</v>
      </c>
      <c r="D5" s="7" t="s">
        <v>709</v>
      </c>
      <c r="E5" s="7" t="s">
        <v>710</v>
      </c>
      <c r="F5" s="7" t="s">
        <v>711</v>
      </c>
      <c r="H5" s="6" t="s">
        <v>3</v>
      </c>
      <c r="I5" s="7" t="s">
        <v>156</v>
      </c>
      <c r="J5" s="7" t="s">
        <v>709</v>
      </c>
      <c r="K5" s="7" t="s">
        <v>710</v>
      </c>
      <c r="L5" s="7" t="s">
        <v>711</v>
      </c>
    </row>
    <row r="6" spans="2:12">
      <c r="B6" s="9" t="s">
        <v>712</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712</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713</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713</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714</v>
      </c>
      <c r="C10" s="19">
        <f>IFERROR(C6-IFERROR(IF(ISNUMBER(INDEX(Rohdaten!$A$67:$LJ$67,MATCH(Berichtstag-7,RD_Kopf,0))),INDEX(Rohdaten!$A$67:$LJ$67,MATCH(Berichtstag-7,RD_Kopf,0)),"–"),"–"),"–")</f>
        <v>0</v>
      </c>
      <c r="H10" s="9" t="s">
        <v>714</v>
      </c>
      <c r="I10" s="19">
        <f>IFERROR(I6-IFERROR(IF(ISNUMBER(INDEX(Rohdaten!$A$79:$LJ$79,MATCH(Berichtstag-7,RD_Kopf,0))),INDEX(Rohdaten!$A$79:$LJ$79,MATCH(Berichtstag-7,RD_Kopf,0)),"–"),"–"),"–")</f>
        <v>0</v>
      </c>
    </row>
    <row r="12" spans="2:12">
      <c r="B12" s="8" t="s">
        <v>716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X81"/>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s>
  <sheetData>
    <row r="1" spans="1:24">
      <c r="A1" s="15" t="s">
        <v>490</v>
      </c>
    </row>
    <row r="2" spans="1:24">
      <c r="A2" s="8" t="s">
        <v>491</v>
      </c>
    </row>
    <row r="3" spans="1:24">
      <c r="A3" s="6" t="s">
        <v>494</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24">
      <c r="A4" s="6" t="s">
        <v>492</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24">
      <c r="A5" s="6" t="s">
        <v>493</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24">
      <c r="A6" s="6" t="s">
        <v>495</v>
      </c>
      <c r="B6" s="6" t="s">
        <v>496</v>
      </c>
      <c r="C6" s="6" t="s">
        <v>497</v>
      </c>
      <c r="D6" s="7" t="s">
        <v>498</v>
      </c>
      <c r="E6" s="7" t="s">
        <v>499</v>
      </c>
      <c r="F6" s="7" t="s">
        <v>500</v>
      </c>
      <c r="G6" s="7" t="s">
        <v>501</v>
      </c>
      <c r="H6" s="7" t="s">
        <v>502</v>
      </c>
      <c r="I6" s="7" t="s">
        <v>503</v>
      </c>
      <c r="J6" s="7" t="s">
        <v>504</v>
      </c>
      <c r="K6" s="7" t="s">
        <v>505</v>
      </c>
      <c r="L6" s="7" t="s">
        <v>506</v>
      </c>
      <c r="M6" s="7" t="s">
        <v>507</v>
      </c>
      <c r="O6" s="7" t="s">
        <v>508</v>
      </c>
      <c r="P6" s="7" t="s">
        <v>509</v>
      </c>
      <c r="Q6" s="7" t="s">
        <v>510</v>
      </c>
      <c r="R6" s="7" t="s">
        <v>511</v>
      </c>
      <c r="S6" s="7" t="s">
        <v>512</v>
      </c>
      <c r="T6" s="7" t="s">
        <v>513</v>
      </c>
      <c r="U6" s="7" t="s">
        <v>514</v>
      </c>
      <c r="V6" s="7" t="s">
        <v>515</v>
      </c>
      <c r="W6" s="7" t="s">
        <v>516</v>
      </c>
      <c r="X6" s="7" t="s">
        <v>517</v>
      </c>
    </row>
    <row r="7" spans="1:24">
      <c r="A7" s="11" t="s">
        <v>86</v>
      </c>
      <c r="B7" s="11" t="s">
        <v>86</v>
      </c>
      <c r="C7" s="67" t="s">
        <v>518</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24">
      <c r="A8" s="11" t="s">
        <v>211</v>
      </c>
      <c r="B8" s="11" t="s">
        <v>211</v>
      </c>
      <c r="C8" s="67" t="s">
        <v>519</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24">
      <c r="A9" s="11" t="s">
        <v>188</v>
      </c>
      <c r="B9" s="11" t="s">
        <v>188</v>
      </c>
      <c r="C9" s="67" t="s">
        <v>520</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24">
      <c r="A10" s="11" t="s">
        <v>192</v>
      </c>
      <c r="B10" s="11" t="s">
        <v>192</v>
      </c>
      <c r="C10" s="67" t="s">
        <v>521</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24">
      <c r="A11" s="11" t="s">
        <v>196</v>
      </c>
      <c r="B11" s="11" t="s">
        <v>196</v>
      </c>
      <c r="C11" s="67" t="s">
        <v>522</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24">
      <c r="A12" s="11" t="s">
        <v>202</v>
      </c>
      <c r="B12" s="11" t="s">
        <v>202</v>
      </c>
      <c r="C12" s="67" t="s">
        <v>523</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24">
      <c r="A13" s="11" t="s">
        <v>314</v>
      </c>
      <c r="B13" s="11" t="s">
        <v>314</v>
      </c>
      <c r="C13" s="67" t="s">
        <v>524</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24">
      <c r="A14" s="11" t="s">
        <v>317</v>
      </c>
      <c r="B14" s="11" t="s">
        <v>317</v>
      </c>
      <c r="C14" s="67" t="s">
        <v>525</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24">
      <c r="A15" s="11" t="s">
        <v>304</v>
      </c>
      <c r="B15" s="11" t="s">
        <v>304</v>
      </c>
      <c r="C15" s="67" t="s">
        <v>526</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24">
      <c r="A16" s="11" t="s">
        <v>278</v>
      </c>
      <c r="B16" s="11" t="s">
        <v>278</v>
      </c>
      <c r="C16" s="67" t="s">
        <v>527</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528</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529</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530</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531</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532</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533</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534</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535</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536</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537</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538</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539</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540</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541</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542</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543</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13">
      <c r="A33" s="11" t="s">
        <v>83</v>
      </c>
      <c r="B33" s="11" t="s">
        <v>83</v>
      </c>
      <c r="C33" s="67" t="s">
        <v>544</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13">
      <c r="A34" s="11" t="s">
        <v>205</v>
      </c>
      <c r="B34" s="11" t="s">
        <v>205</v>
      </c>
      <c r="C34" s="67" t="s">
        <v>545</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13">
      <c r="A35" s="11" t="s">
        <v>293</v>
      </c>
      <c r="B35" s="11" t="s">
        <v>293</v>
      </c>
      <c r="C35" s="67" t="s">
        <v>546</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13">
      <c r="A36" s="11" t="s">
        <v>97</v>
      </c>
      <c r="B36" s="11" t="s">
        <v>547</v>
      </c>
      <c r="C36" s="67" t="s">
        <v>548</v>
      </c>
      <c r="D36" s="68">
        <f>IFERROR(IF(ISNUMBER(INDEX(Rohdaten!$A$67:$LJ$67,MATCH(D$4,RD_Kopf,0))),INDEX(Rohdaten!$A$67:$LJ$67,MATCH(D$4,RD_Kopf,0)),NA()),NA())</f>
        <v>0</v>
      </c>
      <c r="E36" s="68">
        <f>IFERROR(IF(ISNUMBER(INDEX(Rohdaten!$A$67:$LJ$67,MATCH(E$4,RD_Kopf,0))),INDEX(Rohdaten!$A$67:$LJ$67,MATCH(E$4,RD_Kopf,0)),NA()),NA())</f>
        <v>0</v>
      </c>
      <c r="F36" s="68">
        <f>IFERROR(IF(ISNUMBER(INDEX(Rohdaten!$A$67:$LJ$67,MATCH(F$4,RD_Kopf,0))),INDEX(Rohdaten!$A$67:$LJ$67,MATCH(F$4,RD_Kopf,0)),NA()),NA())</f>
        <v>0</v>
      </c>
      <c r="G36" s="68">
        <f>IFERROR(IF(ISNUMBER(INDEX(Rohdaten!$A$67:$LJ$67,MATCH(G$4,RD_Kopf,0))),INDEX(Rohdaten!$A$67:$LJ$67,MATCH(G$4,RD_Kopf,0)),NA()),NA())</f>
        <v>0</v>
      </c>
      <c r="H36" s="68">
        <f>IFERROR(IF(ISNUMBER(INDEX(Rohdaten!$A$67:$LJ$67,MATCH(H$4,RD_Kopf,0))),INDEX(Rohdaten!$A$67:$LJ$67,MATCH(H$4,RD_Kopf,0)),NA()),NA())</f>
        <v>0</v>
      </c>
      <c r="I36" s="68">
        <f>IFERROR(IF(ISNUMBER(INDEX(Rohdaten!$A$67:$LJ$67,MATCH(I$4,RD_Kopf,0))),INDEX(Rohdaten!$A$67:$LJ$67,MATCH(I$4,RD_Kopf,0)),NA()),NA())</f>
        <v>0</v>
      </c>
      <c r="J36" s="68">
        <f>IFERROR(IF(ISNUMBER(INDEX(Rohdaten!$A$67:$LJ$67,MATCH(J$4,RD_Kopf,0))),INDEX(Rohdaten!$A$67:$LJ$67,MATCH(J$4,RD_Kopf,0)),NA()),NA())</f>
        <v>0</v>
      </c>
      <c r="K36" s="68">
        <f>IFERROR(IF(ISNUMBER(INDEX(Rohdaten!$A$67:$LJ$67,MATCH(K$4,RD_Kopf,0))),INDEX(Rohdaten!$A$67:$LJ$67,MATCH(K$4,RD_Kopf,0)),NA()),NA())</f>
        <v>0</v>
      </c>
      <c r="L36" s="68">
        <f>IFERROR(IF(ISNUMBER(INDEX(Rohdaten!$A$67:$LJ$67,MATCH(L$4,RD_Kopf,0))),INDEX(Rohdaten!$A$67:$LJ$67,MATCH(L$4,RD_Kopf,0)),NA()),NA())</f>
        <v>0</v>
      </c>
      <c r="M36" s="68">
        <f>IFERROR(IF(ISNUMBER(INDEX(Rohdaten!$A$67:$LJ$67,MATCH(M$4,RD_Kopf,0))),INDEX(Rohdaten!$A$67:$LJ$67,MATCH(M$4,RD_Kopf,0)),NA()),NA())</f>
        <v>0</v>
      </c>
    </row>
    <row r="37" spans="1:13">
      <c r="A37" s="11" t="s">
        <v>111</v>
      </c>
      <c r="B37" s="11" t="s">
        <v>549</v>
      </c>
      <c r="C37" s="67" t="s">
        <v>550</v>
      </c>
      <c r="D37" s="68">
        <f>IFERROR(IF(ISNUMBER(INDEX(Rohdaten!$A$72:$LJ$72,MATCH(D$4,RD_Kopf,0))),INDEX(Rohdaten!$A$72:$LJ$72,MATCH(D$4,RD_Kopf,0)),NA()),NA())</f>
        <v>0</v>
      </c>
      <c r="E37" s="68">
        <f>IFERROR(IF(ISNUMBER(INDEX(Rohdaten!$A$72:$LJ$72,MATCH(E$4,RD_Kopf,0))),INDEX(Rohdaten!$A$72:$LJ$72,MATCH(E$4,RD_Kopf,0)),NA()),NA())</f>
        <v>0</v>
      </c>
      <c r="F37" s="68">
        <f>IFERROR(IF(ISNUMBER(INDEX(Rohdaten!$A$72:$LJ$72,MATCH(F$4,RD_Kopf,0))),INDEX(Rohdaten!$A$72:$LJ$72,MATCH(F$4,RD_Kopf,0)),NA()),NA())</f>
        <v>0</v>
      </c>
      <c r="G37" s="68">
        <f>IFERROR(IF(ISNUMBER(INDEX(Rohdaten!$A$72:$LJ$72,MATCH(G$4,RD_Kopf,0))),INDEX(Rohdaten!$A$72:$LJ$72,MATCH(G$4,RD_Kopf,0)),NA()),NA())</f>
        <v>0</v>
      </c>
      <c r="H37" s="68">
        <f>IFERROR(IF(ISNUMBER(INDEX(Rohdaten!$A$72:$LJ$72,MATCH(H$4,RD_Kopf,0))),INDEX(Rohdaten!$A$72:$LJ$72,MATCH(H$4,RD_Kopf,0)),NA()),NA())</f>
        <v>0</v>
      </c>
      <c r="I37" s="68">
        <f>IFERROR(IF(ISNUMBER(INDEX(Rohdaten!$A$72:$LJ$72,MATCH(I$4,RD_Kopf,0))),INDEX(Rohdaten!$A$72:$LJ$72,MATCH(I$4,RD_Kopf,0)),NA()),NA())</f>
        <v>0</v>
      </c>
      <c r="J37" s="68">
        <f>IFERROR(IF(ISNUMBER(INDEX(Rohdaten!$A$72:$LJ$72,MATCH(J$4,RD_Kopf,0))),INDEX(Rohdaten!$A$72:$LJ$72,MATCH(J$4,RD_Kopf,0)),NA()),NA())</f>
        <v>0</v>
      </c>
      <c r="K37" s="68">
        <f>IFERROR(IF(ISNUMBER(INDEX(Rohdaten!$A$72:$LJ$72,MATCH(K$4,RD_Kopf,0))),INDEX(Rohdaten!$A$72:$LJ$72,MATCH(K$4,RD_Kopf,0)),NA()),NA())</f>
        <v>0</v>
      </c>
      <c r="L37" s="68">
        <f>IFERROR(IF(ISNUMBER(INDEX(Rohdaten!$A$72:$LJ$72,MATCH(L$4,RD_Kopf,0))),INDEX(Rohdaten!$A$72:$LJ$72,MATCH(L$4,RD_Kopf,0)),NA()),NA())</f>
        <v>0</v>
      </c>
      <c r="M37" s="68">
        <f>IFERROR(IF(ISNUMBER(INDEX(Rohdaten!$A$72:$LJ$72,MATCH(M$4,RD_Kopf,0))),INDEX(Rohdaten!$A$72:$LJ$72,MATCH(M$4,RD_Kopf,0)),NA()),NA())</f>
        <v>0</v>
      </c>
    </row>
    <row r="38" spans="1:13">
      <c r="A38" s="11" t="s">
        <v>120</v>
      </c>
      <c r="B38" s="11" t="s">
        <v>551</v>
      </c>
      <c r="C38" s="67" t="s">
        <v>552</v>
      </c>
      <c r="D38" s="68">
        <f>IFERROR(IF(ISNUMBER(INDEX(Rohdaten!$A$76:$LJ$76,MATCH(D$4,RD_Kopf,0))),INDEX(Rohdaten!$A$76:$LJ$76,MATCH(D$4,RD_Kopf,0)),NA()),NA())</f>
        <v>0</v>
      </c>
      <c r="E38" s="68">
        <f>IFERROR(IF(ISNUMBER(INDEX(Rohdaten!$A$76:$LJ$76,MATCH(E$4,RD_Kopf,0))),INDEX(Rohdaten!$A$76:$LJ$76,MATCH(E$4,RD_Kopf,0)),NA()),NA())</f>
        <v>0</v>
      </c>
      <c r="F38" s="68">
        <f>IFERROR(IF(ISNUMBER(INDEX(Rohdaten!$A$76:$LJ$76,MATCH(F$4,RD_Kopf,0))),INDEX(Rohdaten!$A$76:$LJ$76,MATCH(F$4,RD_Kopf,0)),NA()),NA())</f>
        <v>0</v>
      </c>
      <c r="G38" s="68">
        <f>IFERROR(IF(ISNUMBER(INDEX(Rohdaten!$A$76:$LJ$76,MATCH(G$4,RD_Kopf,0))),INDEX(Rohdaten!$A$76:$LJ$76,MATCH(G$4,RD_Kopf,0)),NA()),NA())</f>
        <v>0</v>
      </c>
      <c r="H38" s="68">
        <f>IFERROR(IF(ISNUMBER(INDEX(Rohdaten!$A$76:$LJ$76,MATCH(H$4,RD_Kopf,0))),INDEX(Rohdaten!$A$76:$LJ$76,MATCH(H$4,RD_Kopf,0)),NA()),NA())</f>
        <v>0</v>
      </c>
      <c r="I38" s="68">
        <f>IFERROR(IF(ISNUMBER(INDEX(Rohdaten!$A$76:$LJ$76,MATCH(I$4,RD_Kopf,0))),INDEX(Rohdaten!$A$76:$LJ$76,MATCH(I$4,RD_Kopf,0)),NA()),NA())</f>
        <v>0</v>
      </c>
      <c r="J38" s="68">
        <f>IFERROR(IF(ISNUMBER(INDEX(Rohdaten!$A$76:$LJ$76,MATCH(J$4,RD_Kopf,0))),INDEX(Rohdaten!$A$76:$LJ$76,MATCH(J$4,RD_Kopf,0)),NA()),NA())</f>
        <v>0</v>
      </c>
      <c r="K38" s="68">
        <f>IFERROR(IF(ISNUMBER(INDEX(Rohdaten!$A$76:$LJ$76,MATCH(K$4,RD_Kopf,0))),INDEX(Rohdaten!$A$76:$LJ$76,MATCH(K$4,RD_Kopf,0)),NA()),NA())</f>
        <v>0</v>
      </c>
      <c r="L38" s="68">
        <f>IFERROR(IF(ISNUMBER(INDEX(Rohdaten!$A$76:$LJ$76,MATCH(L$4,RD_Kopf,0))),INDEX(Rohdaten!$A$76:$LJ$76,MATCH(L$4,RD_Kopf,0)),NA()),NA())</f>
        <v>0</v>
      </c>
      <c r="M38" s="68">
        <f>IFERROR(IF(ISNUMBER(INDEX(Rohdaten!$A$76:$LJ$76,MATCH(M$4,RD_Kopf,0))),INDEX(Rohdaten!$A$76:$LJ$76,MATCH(M$4,RD_Kopf,0)),NA()),NA())</f>
        <v>0</v>
      </c>
    </row>
    <row r="39" spans="1:13">
      <c r="A39" s="11" t="s">
        <v>553</v>
      </c>
      <c r="B39" s="11" t="s">
        <v>554</v>
      </c>
      <c r="C39" s="67" t="s">
        <v>555</v>
      </c>
      <c r="D39" s="68">
        <f>IF(ISNUMBER(D38),-D38,NA())</f>
        <v>0</v>
      </c>
      <c r="E39" s="68">
        <f>IF(ISNUMBER(E38),-E38,NA())</f>
        <v>0</v>
      </c>
      <c r="F39" s="68">
        <f>IF(ISNUMBER(F38),-F38,NA())</f>
        <v>0</v>
      </c>
      <c r="G39" s="68">
        <f>IF(ISNUMBER(G38),-G38,NA())</f>
        <v>0</v>
      </c>
      <c r="H39" s="68">
        <f>IF(ISNUMBER(H38),-H38,NA())</f>
        <v>0</v>
      </c>
      <c r="I39" s="68">
        <f>IF(ISNUMBER(I38),-I38,NA())</f>
        <v>0</v>
      </c>
      <c r="J39" s="68">
        <f>IF(ISNUMBER(J38),-J38,NA())</f>
        <v>0</v>
      </c>
      <c r="K39" s="68">
        <f>IF(ISNUMBER(K38),-K38,NA())</f>
        <v>0</v>
      </c>
      <c r="L39" s="68">
        <f>IF(ISNUMBER(L38),-L38,NA())</f>
        <v>0</v>
      </c>
      <c r="M39" s="68">
        <f>IF(ISNUMBER(M38),-M38,NA())</f>
        <v>0</v>
      </c>
    </row>
    <row r="40" spans="1:13">
      <c r="A40" s="11" t="s">
        <v>113</v>
      </c>
      <c r="B40" s="11" t="s">
        <v>556</v>
      </c>
      <c r="C40" s="67" t="s">
        <v>557</v>
      </c>
      <c r="D40" s="68">
        <f>IFERROR(IF(ISNUMBER(INDEX(Rohdaten!$A$73:$LJ$73,MATCH(D$4,RD_Kopf,0))),INDEX(Rohdaten!$A$73:$LJ$73,MATCH(D$4,RD_Kopf,0)),NA()),NA())</f>
        <v>0</v>
      </c>
      <c r="E40" s="68">
        <f>IFERROR(IF(ISNUMBER(INDEX(Rohdaten!$A$73:$LJ$73,MATCH(E$4,RD_Kopf,0))),INDEX(Rohdaten!$A$73:$LJ$73,MATCH(E$4,RD_Kopf,0)),NA()),NA())</f>
        <v>0</v>
      </c>
      <c r="F40" s="68">
        <f>IFERROR(IF(ISNUMBER(INDEX(Rohdaten!$A$73:$LJ$73,MATCH(F$4,RD_Kopf,0))),INDEX(Rohdaten!$A$73:$LJ$73,MATCH(F$4,RD_Kopf,0)),NA()),NA())</f>
        <v>0</v>
      </c>
      <c r="G40" s="68">
        <f>IFERROR(IF(ISNUMBER(INDEX(Rohdaten!$A$73:$LJ$73,MATCH(G$4,RD_Kopf,0))),INDEX(Rohdaten!$A$73:$LJ$73,MATCH(G$4,RD_Kopf,0)),NA()),NA())</f>
        <v>0</v>
      </c>
      <c r="H40" s="68">
        <f>IFERROR(IF(ISNUMBER(INDEX(Rohdaten!$A$73:$LJ$73,MATCH(H$4,RD_Kopf,0))),INDEX(Rohdaten!$A$73:$LJ$73,MATCH(H$4,RD_Kopf,0)),NA()),NA())</f>
        <v>0</v>
      </c>
      <c r="I40" s="68">
        <f>IFERROR(IF(ISNUMBER(INDEX(Rohdaten!$A$73:$LJ$73,MATCH(I$4,RD_Kopf,0))),INDEX(Rohdaten!$A$73:$LJ$73,MATCH(I$4,RD_Kopf,0)),NA()),NA())</f>
        <v>0</v>
      </c>
      <c r="J40" s="68">
        <f>IFERROR(IF(ISNUMBER(INDEX(Rohdaten!$A$73:$LJ$73,MATCH(J$4,RD_Kopf,0))),INDEX(Rohdaten!$A$73:$LJ$73,MATCH(J$4,RD_Kopf,0)),NA()),NA())</f>
        <v>0</v>
      </c>
      <c r="K40" s="68">
        <f>IFERROR(IF(ISNUMBER(INDEX(Rohdaten!$A$73:$LJ$73,MATCH(K$4,RD_Kopf,0))),INDEX(Rohdaten!$A$73:$LJ$73,MATCH(K$4,RD_Kopf,0)),NA()),NA())</f>
        <v>0</v>
      </c>
      <c r="L40" s="68">
        <f>IFERROR(IF(ISNUMBER(INDEX(Rohdaten!$A$73:$LJ$73,MATCH(L$4,RD_Kopf,0))),INDEX(Rohdaten!$A$73:$LJ$73,MATCH(L$4,RD_Kopf,0)),NA()),NA())</f>
        <v>0</v>
      </c>
      <c r="M40" s="68">
        <f>IFERROR(IF(ISNUMBER(INDEX(Rohdaten!$A$73:$LJ$73,MATCH(M$4,RD_Kopf,0))),INDEX(Rohdaten!$A$73:$LJ$73,MATCH(M$4,RD_Kopf,0)),NA()),NA())</f>
        <v>0</v>
      </c>
    </row>
    <row r="41" spans="1:13">
      <c r="A41" s="11" t="s">
        <v>122</v>
      </c>
      <c r="B41" s="11" t="s">
        <v>558</v>
      </c>
      <c r="C41" s="67" t="s">
        <v>559</v>
      </c>
      <c r="D41" s="68">
        <f>IFERROR(IF(ISNUMBER(INDEX(Rohdaten!$A$77:$LJ$77,MATCH(D$4,RD_Kopf,0))),INDEX(Rohdaten!$A$77:$LJ$77,MATCH(D$4,RD_Kopf,0)),NA()),NA())</f>
        <v>0</v>
      </c>
      <c r="E41" s="68">
        <f>IFERROR(IF(ISNUMBER(INDEX(Rohdaten!$A$77:$LJ$77,MATCH(E$4,RD_Kopf,0))),INDEX(Rohdaten!$A$77:$LJ$77,MATCH(E$4,RD_Kopf,0)),NA()),NA())</f>
        <v>0</v>
      </c>
      <c r="F41" s="68">
        <f>IFERROR(IF(ISNUMBER(INDEX(Rohdaten!$A$77:$LJ$77,MATCH(F$4,RD_Kopf,0))),INDEX(Rohdaten!$A$77:$LJ$77,MATCH(F$4,RD_Kopf,0)),NA()),NA())</f>
        <v>0</v>
      </c>
      <c r="G41" s="68">
        <f>IFERROR(IF(ISNUMBER(INDEX(Rohdaten!$A$77:$LJ$77,MATCH(G$4,RD_Kopf,0))),INDEX(Rohdaten!$A$77:$LJ$77,MATCH(G$4,RD_Kopf,0)),NA()),NA())</f>
        <v>0</v>
      </c>
      <c r="H41" s="68">
        <f>IFERROR(IF(ISNUMBER(INDEX(Rohdaten!$A$77:$LJ$77,MATCH(H$4,RD_Kopf,0))),INDEX(Rohdaten!$A$77:$LJ$77,MATCH(H$4,RD_Kopf,0)),NA()),NA())</f>
        <v>0</v>
      </c>
      <c r="I41" s="68">
        <f>IFERROR(IF(ISNUMBER(INDEX(Rohdaten!$A$77:$LJ$77,MATCH(I$4,RD_Kopf,0))),INDEX(Rohdaten!$A$77:$LJ$77,MATCH(I$4,RD_Kopf,0)),NA()),NA())</f>
        <v>0</v>
      </c>
      <c r="J41" s="68">
        <f>IFERROR(IF(ISNUMBER(INDEX(Rohdaten!$A$77:$LJ$77,MATCH(J$4,RD_Kopf,0))),INDEX(Rohdaten!$A$77:$LJ$77,MATCH(J$4,RD_Kopf,0)),NA()),NA())</f>
        <v>0</v>
      </c>
      <c r="K41" s="68">
        <f>IFERROR(IF(ISNUMBER(INDEX(Rohdaten!$A$77:$LJ$77,MATCH(K$4,RD_Kopf,0))),INDEX(Rohdaten!$A$77:$LJ$77,MATCH(K$4,RD_Kopf,0)),NA()),NA())</f>
        <v>0</v>
      </c>
      <c r="L41" s="68">
        <f>IFERROR(IF(ISNUMBER(INDEX(Rohdaten!$A$77:$LJ$77,MATCH(L$4,RD_Kopf,0))),INDEX(Rohdaten!$A$77:$LJ$77,MATCH(L$4,RD_Kopf,0)),NA()),NA())</f>
        <v>0</v>
      </c>
      <c r="M41" s="68">
        <f>IFERROR(IF(ISNUMBER(INDEX(Rohdaten!$A$77:$LJ$77,MATCH(M$4,RD_Kopf,0))),INDEX(Rohdaten!$A$77:$LJ$77,MATCH(M$4,RD_Kopf,0)),NA()),NA())</f>
        <v>0</v>
      </c>
    </row>
    <row r="42" spans="1:13">
      <c r="A42" s="11" t="s">
        <v>560</v>
      </c>
      <c r="B42" s="11" t="s">
        <v>561</v>
      </c>
      <c r="C42" s="67" t="s">
        <v>555</v>
      </c>
      <c r="D42" s="68">
        <f>IF(ISNUMBER(D41),-D41,NA())</f>
        <v>0</v>
      </c>
      <c r="E42" s="68">
        <f>IF(ISNUMBER(E41),-E41,NA())</f>
        <v>0</v>
      </c>
      <c r="F42" s="68">
        <f>IF(ISNUMBER(F41),-F41,NA())</f>
        <v>0</v>
      </c>
      <c r="G42" s="68">
        <f>IF(ISNUMBER(G41),-G41,NA())</f>
        <v>0</v>
      </c>
      <c r="H42" s="68">
        <f>IF(ISNUMBER(H41),-H41,NA())</f>
        <v>0</v>
      </c>
      <c r="I42" s="68">
        <f>IF(ISNUMBER(I41),-I41,NA())</f>
        <v>0</v>
      </c>
      <c r="J42" s="68">
        <f>IF(ISNUMBER(J41),-J41,NA())</f>
        <v>0</v>
      </c>
      <c r="K42" s="68">
        <f>IF(ISNUMBER(K41),-K41,NA())</f>
        <v>0</v>
      </c>
      <c r="L42" s="68">
        <f>IF(ISNUMBER(L41),-L41,NA())</f>
        <v>0</v>
      </c>
      <c r="M42" s="68">
        <f>IF(ISNUMBER(M41),-M41,NA())</f>
        <v>0</v>
      </c>
    </row>
    <row r="43" spans="1:13">
      <c r="A43" s="11" t="s">
        <v>115</v>
      </c>
      <c r="B43" s="11" t="s">
        <v>562</v>
      </c>
      <c r="C43" s="67" t="s">
        <v>563</v>
      </c>
      <c r="D43" s="68">
        <f>IFERROR(IF(ISNUMBER(INDEX(Rohdaten!$A$74:$LJ$74,MATCH(D$4,RD_Kopf,0))),INDEX(Rohdaten!$A$74:$LJ$74,MATCH(D$4,RD_Kopf,0)),NA()),NA())</f>
        <v>0</v>
      </c>
      <c r="E43" s="68">
        <f>IFERROR(IF(ISNUMBER(INDEX(Rohdaten!$A$74:$LJ$74,MATCH(E$4,RD_Kopf,0))),INDEX(Rohdaten!$A$74:$LJ$74,MATCH(E$4,RD_Kopf,0)),NA()),NA())</f>
        <v>0</v>
      </c>
      <c r="F43" s="68">
        <f>IFERROR(IF(ISNUMBER(INDEX(Rohdaten!$A$74:$LJ$74,MATCH(F$4,RD_Kopf,0))),INDEX(Rohdaten!$A$74:$LJ$74,MATCH(F$4,RD_Kopf,0)),NA()),NA())</f>
        <v>0</v>
      </c>
      <c r="G43" s="68">
        <f>IFERROR(IF(ISNUMBER(INDEX(Rohdaten!$A$74:$LJ$74,MATCH(G$4,RD_Kopf,0))),INDEX(Rohdaten!$A$74:$LJ$74,MATCH(G$4,RD_Kopf,0)),NA()),NA())</f>
        <v>0</v>
      </c>
      <c r="H43" s="68">
        <f>IFERROR(IF(ISNUMBER(INDEX(Rohdaten!$A$74:$LJ$74,MATCH(H$4,RD_Kopf,0))),INDEX(Rohdaten!$A$74:$LJ$74,MATCH(H$4,RD_Kopf,0)),NA()),NA())</f>
        <v>0</v>
      </c>
      <c r="I43" s="68">
        <f>IFERROR(IF(ISNUMBER(INDEX(Rohdaten!$A$74:$LJ$74,MATCH(I$4,RD_Kopf,0))),INDEX(Rohdaten!$A$74:$LJ$74,MATCH(I$4,RD_Kopf,0)),NA()),NA())</f>
        <v>0</v>
      </c>
      <c r="J43" s="68">
        <f>IFERROR(IF(ISNUMBER(INDEX(Rohdaten!$A$74:$LJ$74,MATCH(J$4,RD_Kopf,0))),INDEX(Rohdaten!$A$74:$LJ$74,MATCH(J$4,RD_Kopf,0)),NA()),NA())</f>
        <v>0</v>
      </c>
      <c r="K43" s="68">
        <f>IFERROR(IF(ISNUMBER(INDEX(Rohdaten!$A$74:$LJ$74,MATCH(K$4,RD_Kopf,0))),INDEX(Rohdaten!$A$74:$LJ$74,MATCH(K$4,RD_Kopf,0)),NA()),NA())</f>
        <v>0</v>
      </c>
      <c r="L43" s="68">
        <f>IFERROR(IF(ISNUMBER(INDEX(Rohdaten!$A$74:$LJ$74,MATCH(L$4,RD_Kopf,0))),INDEX(Rohdaten!$A$74:$LJ$74,MATCH(L$4,RD_Kopf,0)),NA()),NA())</f>
        <v>0</v>
      </c>
      <c r="M43" s="68">
        <f>IFERROR(IF(ISNUMBER(INDEX(Rohdaten!$A$74:$LJ$74,MATCH(M$4,RD_Kopf,0))),INDEX(Rohdaten!$A$74:$LJ$74,MATCH(M$4,RD_Kopf,0)),NA()),NA())</f>
        <v>0</v>
      </c>
    </row>
    <row r="44" spans="1:13">
      <c r="A44" s="11" t="s">
        <v>124</v>
      </c>
      <c r="B44" s="11" t="s">
        <v>564</v>
      </c>
      <c r="C44" s="67" t="s">
        <v>565</v>
      </c>
      <c r="D44" s="68">
        <f>IFERROR(IF(ISNUMBER(INDEX(Rohdaten!$A$78:$LJ$78,MATCH(D$4,RD_Kopf,0))),INDEX(Rohdaten!$A$78:$LJ$78,MATCH(D$4,RD_Kopf,0)),NA()),NA())</f>
        <v>0</v>
      </c>
      <c r="E44" s="68">
        <f>IFERROR(IF(ISNUMBER(INDEX(Rohdaten!$A$78:$LJ$78,MATCH(E$4,RD_Kopf,0))),INDEX(Rohdaten!$A$78:$LJ$78,MATCH(E$4,RD_Kopf,0)),NA()),NA())</f>
        <v>0</v>
      </c>
      <c r="F44" s="68">
        <f>IFERROR(IF(ISNUMBER(INDEX(Rohdaten!$A$78:$LJ$78,MATCH(F$4,RD_Kopf,0))),INDEX(Rohdaten!$A$78:$LJ$78,MATCH(F$4,RD_Kopf,0)),NA()),NA())</f>
        <v>0</v>
      </c>
      <c r="G44" s="68">
        <f>IFERROR(IF(ISNUMBER(INDEX(Rohdaten!$A$78:$LJ$78,MATCH(G$4,RD_Kopf,0))),INDEX(Rohdaten!$A$78:$LJ$78,MATCH(G$4,RD_Kopf,0)),NA()),NA())</f>
        <v>0</v>
      </c>
      <c r="H44" s="68">
        <f>IFERROR(IF(ISNUMBER(INDEX(Rohdaten!$A$78:$LJ$78,MATCH(H$4,RD_Kopf,0))),INDEX(Rohdaten!$A$78:$LJ$78,MATCH(H$4,RD_Kopf,0)),NA()),NA())</f>
        <v>0</v>
      </c>
      <c r="I44" s="68">
        <f>IFERROR(IF(ISNUMBER(INDEX(Rohdaten!$A$78:$LJ$78,MATCH(I$4,RD_Kopf,0))),INDEX(Rohdaten!$A$78:$LJ$78,MATCH(I$4,RD_Kopf,0)),NA()),NA())</f>
        <v>0</v>
      </c>
      <c r="J44" s="68">
        <f>IFERROR(IF(ISNUMBER(INDEX(Rohdaten!$A$78:$LJ$78,MATCH(J$4,RD_Kopf,0))),INDEX(Rohdaten!$A$78:$LJ$78,MATCH(J$4,RD_Kopf,0)),NA()),NA())</f>
        <v>0</v>
      </c>
      <c r="K44" s="68">
        <f>IFERROR(IF(ISNUMBER(INDEX(Rohdaten!$A$78:$LJ$78,MATCH(K$4,RD_Kopf,0))),INDEX(Rohdaten!$A$78:$LJ$78,MATCH(K$4,RD_Kopf,0)),NA()),NA())</f>
        <v>0</v>
      </c>
      <c r="L44" s="68">
        <f>IFERROR(IF(ISNUMBER(INDEX(Rohdaten!$A$78:$LJ$78,MATCH(L$4,RD_Kopf,0))),INDEX(Rohdaten!$A$78:$LJ$78,MATCH(L$4,RD_Kopf,0)),NA()),NA())</f>
        <v>0</v>
      </c>
      <c r="M44" s="68">
        <f>IFERROR(IF(ISNUMBER(INDEX(Rohdaten!$A$78:$LJ$78,MATCH(M$4,RD_Kopf,0))),INDEX(Rohdaten!$A$78:$LJ$78,MATCH(M$4,RD_Kopf,0)),NA()),NA())</f>
        <v>0</v>
      </c>
    </row>
    <row r="45" spans="1:13">
      <c r="A45" s="11" t="s">
        <v>566</v>
      </c>
      <c r="B45" s="11" t="s">
        <v>567</v>
      </c>
      <c r="C45" s="67" t="s">
        <v>555</v>
      </c>
      <c r="D45" s="68">
        <f>IF(ISNUMBER(D44),-D44,NA())</f>
        <v>0</v>
      </c>
      <c r="E45" s="68">
        <f>IF(ISNUMBER(E44),-E44,NA())</f>
        <v>0</v>
      </c>
      <c r="F45" s="68">
        <f>IF(ISNUMBER(F44),-F44,NA())</f>
        <v>0</v>
      </c>
      <c r="G45" s="68">
        <f>IF(ISNUMBER(G44),-G44,NA())</f>
        <v>0</v>
      </c>
      <c r="H45" s="68">
        <f>IF(ISNUMBER(H44),-H44,NA())</f>
        <v>0</v>
      </c>
      <c r="I45" s="68">
        <f>IF(ISNUMBER(I44),-I44,NA())</f>
        <v>0</v>
      </c>
      <c r="J45" s="68">
        <f>IF(ISNUMBER(J44),-J44,NA())</f>
        <v>0</v>
      </c>
      <c r="K45" s="68">
        <f>IF(ISNUMBER(K44),-K44,NA())</f>
        <v>0</v>
      </c>
      <c r="L45" s="68">
        <f>IF(ISNUMBER(L44),-L44,NA())</f>
        <v>0</v>
      </c>
      <c r="M45" s="68">
        <f>IF(ISNUMBER(M44),-M44,NA())</f>
        <v>0</v>
      </c>
    </row>
    <row r="46" spans="1:13">
      <c r="A46" s="11" t="s">
        <v>568</v>
      </c>
      <c r="B46" s="11" t="s">
        <v>569</v>
      </c>
      <c r="C46" s="67" t="s">
        <v>555</v>
      </c>
      <c r="D46" s="68">
        <f>IF(COUNT(D37,D40,D43)=0,NA(),SUM(D37,D40,D43))</f>
        <v>0</v>
      </c>
      <c r="E46" s="68">
        <f>IF(COUNT(E37,E40,E43)=0,NA(),SUM(E37,E40,E43))</f>
        <v>0</v>
      </c>
      <c r="F46" s="68">
        <f>IF(COUNT(F37,F40,F43)=0,NA(),SUM(F37,F40,F43))</f>
        <v>0</v>
      </c>
      <c r="G46" s="68">
        <f>IF(COUNT(G37,G40,G43)=0,NA(),SUM(G37,G40,G43))</f>
        <v>0</v>
      </c>
      <c r="H46" s="68">
        <f>IF(COUNT(H37,H40,H43)=0,NA(),SUM(H37,H40,H43))</f>
        <v>0</v>
      </c>
      <c r="I46" s="68">
        <f>IF(COUNT(I37,I40,I43)=0,NA(),SUM(I37,I40,I43))</f>
        <v>0</v>
      </c>
      <c r="J46" s="68">
        <f>IF(COUNT(J37,J40,J43)=0,NA(),SUM(J37,J40,J43))</f>
        <v>0</v>
      </c>
      <c r="K46" s="68">
        <f>IF(COUNT(K37,K40,K43)=0,NA(),SUM(K37,K40,K43))</f>
        <v>0</v>
      </c>
      <c r="L46" s="68">
        <f>IF(COUNT(L37,L40,L43)=0,NA(),SUM(L37,L40,L43))</f>
        <v>0</v>
      </c>
      <c r="M46" s="68">
        <f>IF(COUNT(M37,M40,M43)=0,NA(),SUM(M37,M40,M43))</f>
        <v>0</v>
      </c>
    </row>
    <row r="47" spans="1:13">
      <c r="A47" s="11" t="s">
        <v>570</v>
      </c>
      <c r="B47" s="11" t="s">
        <v>571</v>
      </c>
      <c r="C47" s="67" t="s">
        <v>555</v>
      </c>
      <c r="D47" s="68">
        <f>IF(COUNT(D38,D41,D44)=0,NA(),-SUM(D38,D41,D44))</f>
        <v>0</v>
      </c>
      <c r="E47" s="68">
        <f>IF(COUNT(E38,E41,E44)=0,NA(),-SUM(E38,E41,E44))</f>
        <v>0</v>
      </c>
      <c r="F47" s="68">
        <f>IF(COUNT(F38,F41,F44)=0,NA(),-SUM(F38,F41,F44))</f>
        <v>0</v>
      </c>
      <c r="G47" s="68">
        <f>IF(COUNT(G38,G41,G44)=0,NA(),-SUM(G38,G41,G44))</f>
        <v>0</v>
      </c>
      <c r="H47" s="68">
        <f>IF(COUNT(H38,H41,H44)=0,NA(),-SUM(H38,H41,H44))</f>
        <v>0</v>
      </c>
      <c r="I47" s="68">
        <f>IF(COUNT(I38,I41,I44)=0,NA(),-SUM(I38,I41,I44))</f>
        <v>0</v>
      </c>
      <c r="J47" s="68">
        <f>IF(COUNT(J38,J41,J44)=0,NA(),-SUM(J38,J41,J44))</f>
        <v>0</v>
      </c>
      <c r="K47" s="68">
        <f>IF(COUNT(K38,K41,K44)=0,NA(),-SUM(K38,K41,K44))</f>
        <v>0</v>
      </c>
      <c r="L47" s="68">
        <f>IF(COUNT(L38,L41,L44)=0,NA(),-SUM(L38,L41,L44))</f>
        <v>0</v>
      </c>
      <c r="M47" s="68">
        <f>IF(COUNT(M38,M41,M44)=0,NA(),-SUM(M38,M41,M44))</f>
        <v>0</v>
      </c>
    </row>
    <row r="48" spans="1:13">
      <c r="A48" s="11" t="s">
        <v>572</v>
      </c>
      <c r="B48" s="11" t="s">
        <v>573</v>
      </c>
      <c r="C48" s="67" t="s">
        <v>555</v>
      </c>
      <c r="D48" s="11">
        <f>IF(ISNUMBER(D46),FIXED(D46,0),"")</f>
        <v>0</v>
      </c>
      <c r="E48" s="11">
        <f>IF(ISNUMBER(E46),FIXED(E46,0),"")</f>
        <v>0</v>
      </c>
      <c r="F48" s="11">
        <f>IF(ISNUMBER(F46),FIXED(F46,0),"")</f>
        <v>0</v>
      </c>
      <c r="G48" s="11">
        <f>IF(ISNUMBER(G46),FIXED(G46,0),"")</f>
        <v>0</v>
      </c>
      <c r="H48" s="11">
        <f>IF(ISNUMBER(H46),FIXED(H46,0),"")</f>
        <v>0</v>
      </c>
      <c r="I48" s="11">
        <f>IF(ISNUMBER(I46),FIXED(I46,0),"")</f>
        <v>0</v>
      </c>
      <c r="J48" s="11">
        <f>IF(ISNUMBER(J46),FIXED(J46,0),"")</f>
        <v>0</v>
      </c>
      <c r="K48" s="11">
        <f>IF(ISNUMBER(K46),FIXED(K46,0),"")</f>
        <v>0</v>
      </c>
      <c r="L48" s="11">
        <f>IF(ISNUMBER(L46),FIXED(L46,0),"")</f>
        <v>0</v>
      </c>
      <c r="M48" s="11">
        <f>IF(ISNUMBER(M46),FIXED(M46,0),"")</f>
        <v>0</v>
      </c>
    </row>
    <row r="49" spans="1:13">
      <c r="A49" s="11" t="s">
        <v>574</v>
      </c>
      <c r="B49" s="11" t="s">
        <v>575</v>
      </c>
      <c r="C49" s="67" t="s">
        <v>555</v>
      </c>
      <c r="D49" s="11">
        <f>IF(ISNUMBER(D47),FIXED(-D47,0),"")</f>
        <v>0</v>
      </c>
      <c r="E49" s="11">
        <f>IF(ISNUMBER(E47),FIXED(-E47,0),"")</f>
        <v>0</v>
      </c>
      <c r="F49" s="11">
        <f>IF(ISNUMBER(F47),FIXED(-F47,0),"")</f>
        <v>0</v>
      </c>
      <c r="G49" s="11">
        <f>IF(ISNUMBER(G47),FIXED(-G47,0),"")</f>
        <v>0</v>
      </c>
      <c r="H49" s="11">
        <f>IF(ISNUMBER(H47),FIXED(-H47,0),"")</f>
        <v>0</v>
      </c>
      <c r="I49" s="11">
        <f>IF(ISNUMBER(I47),FIXED(-I47,0),"")</f>
        <v>0</v>
      </c>
      <c r="J49" s="11">
        <f>IF(ISNUMBER(J47),FIXED(-J47,0),"")</f>
        <v>0</v>
      </c>
      <c r="K49" s="11">
        <f>IF(ISNUMBER(K47),FIXED(-K47,0),"")</f>
        <v>0</v>
      </c>
      <c r="L49" s="11">
        <f>IF(ISNUMBER(L47),FIXED(-L47,0),"")</f>
        <v>0</v>
      </c>
      <c r="M49" s="11">
        <f>IF(ISNUMBER(M47),FIXED(-M47,0),"")</f>
        <v>0</v>
      </c>
    </row>
    <row r="50" spans="1:13">
      <c r="A50" s="11" t="s">
        <v>127</v>
      </c>
      <c r="B50" s="11" t="s">
        <v>576</v>
      </c>
      <c r="C50" s="67" t="s">
        <v>577</v>
      </c>
      <c r="D50" s="68">
        <f>IFERROR(IF(ISNUMBER(INDEX(Rohdaten!$A$79:$LJ$79,MATCH(D$4,RD_Kopf,0))),INDEX(Rohdaten!$A$79:$LJ$79,MATCH(D$4,RD_Kopf,0)),NA()),NA())</f>
        <v>0</v>
      </c>
      <c r="E50" s="68">
        <f>IFERROR(IF(ISNUMBER(INDEX(Rohdaten!$A$79:$LJ$79,MATCH(E$4,RD_Kopf,0))),INDEX(Rohdaten!$A$79:$LJ$79,MATCH(E$4,RD_Kopf,0)),NA()),NA())</f>
        <v>0</v>
      </c>
      <c r="F50" s="68">
        <f>IFERROR(IF(ISNUMBER(INDEX(Rohdaten!$A$79:$LJ$79,MATCH(F$4,RD_Kopf,0))),INDEX(Rohdaten!$A$79:$LJ$79,MATCH(F$4,RD_Kopf,0)),NA()),NA())</f>
        <v>0</v>
      </c>
      <c r="G50" s="68">
        <f>IFERROR(IF(ISNUMBER(INDEX(Rohdaten!$A$79:$LJ$79,MATCH(G$4,RD_Kopf,0))),INDEX(Rohdaten!$A$79:$LJ$79,MATCH(G$4,RD_Kopf,0)),NA()),NA())</f>
        <v>0</v>
      </c>
      <c r="H50" s="68">
        <f>IFERROR(IF(ISNUMBER(INDEX(Rohdaten!$A$79:$LJ$79,MATCH(H$4,RD_Kopf,0))),INDEX(Rohdaten!$A$79:$LJ$79,MATCH(H$4,RD_Kopf,0)),NA()),NA())</f>
        <v>0</v>
      </c>
      <c r="I50" s="68">
        <f>IFERROR(IF(ISNUMBER(INDEX(Rohdaten!$A$79:$LJ$79,MATCH(I$4,RD_Kopf,0))),INDEX(Rohdaten!$A$79:$LJ$79,MATCH(I$4,RD_Kopf,0)),NA()),NA())</f>
        <v>0</v>
      </c>
      <c r="J50" s="68">
        <f>IFERROR(IF(ISNUMBER(INDEX(Rohdaten!$A$79:$LJ$79,MATCH(J$4,RD_Kopf,0))),INDEX(Rohdaten!$A$79:$LJ$79,MATCH(J$4,RD_Kopf,0)),NA()),NA())</f>
        <v>0</v>
      </c>
      <c r="K50" s="68">
        <f>IFERROR(IF(ISNUMBER(INDEX(Rohdaten!$A$79:$LJ$79,MATCH(K$4,RD_Kopf,0))),INDEX(Rohdaten!$A$79:$LJ$79,MATCH(K$4,RD_Kopf,0)),NA()),NA())</f>
        <v>0</v>
      </c>
      <c r="L50" s="68">
        <f>IFERROR(IF(ISNUMBER(INDEX(Rohdaten!$A$79:$LJ$79,MATCH(L$4,RD_Kopf,0))),INDEX(Rohdaten!$A$79:$LJ$79,MATCH(L$4,RD_Kopf,0)),NA()),NA())</f>
        <v>0</v>
      </c>
      <c r="M50" s="68">
        <f>IFERROR(IF(ISNUMBER(INDEX(Rohdaten!$A$79:$LJ$79,MATCH(M$4,RD_Kopf,0))),INDEX(Rohdaten!$A$79:$LJ$79,MATCH(M$4,RD_Kopf,0)),NA()),NA())</f>
        <v>0</v>
      </c>
    </row>
    <row r="51" spans="1:13">
      <c r="A51" s="11" t="s">
        <v>142</v>
      </c>
      <c r="B51" s="11" t="s">
        <v>578</v>
      </c>
      <c r="C51" s="67" t="s">
        <v>579</v>
      </c>
      <c r="D51" s="68">
        <f>IFERROR(IF(ISNUMBER(INDEX(Rohdaten!$A$84:$LJ$84,MATCH(D$4,RD_Kopf,0))),INDEX(Rohdaten!$A$84:$LJ$84,MATCH(D$4,RD_Kopf,0)),NA()),NA())</f>
        <v>0</v>
      </c>
      <c r="E51" s="68">
        <f>IFERROR(IF(ISNUMBER(INDEX(Rohdaten!$A$84:$LJ$84,MATCH(E$4,RD_Kopf,0))),INDEX(Rohdaten!$A$84:$LJ$84,MATCH(E$4,RD_Kopf,0)),NA()),NA())</f>
        <v>0</v>
      </c>
      <c r="F51" s="68">
        <f>IFERROR(IF(ISNUMBER(INDEX(Rohdaten!$A$84:$LJ$84,MATCH(F$4,RD_Kopf,0))),INDEX(Rohdaten!$A$84:$LJ$84,MATCH(F$4,RD_Kopf,0)),NA()),NA())</f>
        <v>0</v>
      </c>
      <c r="G51" s="68">
        <f>IFERROR(IF(ISNUMBER(INDEX(Rohdaten!$A$84:$LJ$84,MATCH(G$4,RD_Kopf,0))),INDEX(Rohdaten!$A$84:$LJ$84,MATCH(G$4,RD_Kopf,0)),NA()),NA())</f>
        <v>0</v>
      </c>
      <c r="H51" s="68">
        <f>IFERROR(IF(ISNUMBER(INDEX(Rohdaten!$A$84:$LJ$84,MATCH(H$4,RD_Kopf,0))),INDEX(Rohdaten!$A$84:$LJ$84,MATCH(H$4,RD_Kopf,0)),NA()),NA())</f>
        <v>0</v>
      </c>
      <c r="I51" s="68">
        <f>IFERROR(IF(ISNUMBER(INDEX(Rohdaten!$A$84:$LJ$84,MATCH(I$4,RD_Kopf,0))),INDEX(Rohdaten!$A$84:$LJ$84,MATCH(I$4,RD_Kopf,0)),NA()),NA())</f>
        <v>0</v>
      </c>
      <c r="J51" s="68">
        <f>IFERROR(IF(ISNUMBER(INDEX(Rohdaten!$A$84:$LJ$84,MATCH(J$4,RD_Kopf,0))),INDEX(Rohdaten!$A$84:$LJ$84,MATCH(J$4,RD_Kopf,0)),NA()),NA())</f>
        <v>0</v>
      </c>
      <c r="K51" s="68">
        <f>IFERROR(IF(ISNUMBER(INDEX(Rohdaten!$A$84:$LJ$84,MATCH(K$4,RD_Kopf,0))),INDEX(Rohdaten!$A$84:$LJ$84,MATCH(K$4,RD_Kopf,0)),NA()),NA())</f>
        <v>0</v>
      </c>
      <c r="L51" s="68">
        <f>IFERROR(IF(ISNUMBER(INDEX(Rohdaten!$A$84:$LJ$84,MATCH(L$4,RD_Kopf,0))),INDEX(Rohdaten!$A$84:$LJ$84,MATCH(L$4,RD_Kopf,0)),NA()),NA())</f>
        <v>0</v>
      </c>
      <c r="M51" s="68">
        <f>IFERROR(IF(ISNUMBER(INDEX(Rohdaten!$A$84:$LJ$84,MATCH(M$4,RD_Kopf,0))),INDEX(Rohdaten!$A$84:$LJ$84,MATCH(M$4,RD_Kopf,0)),NA()),NA())</f>
        <v>0</v>
      </c>
    </row>
    <row r="52" spans="1:13">
      <c r="A52" s="11" t="s">
        <v>151</v>
      </c>
      <c r="B52" s="11" t="s">
        <v>580</v>
      </c>
      <c r="C52" s="67" t="s">
        <v>581</v>
      </c>
      <c r="D52" s="68">
        <f>IFERROR(IF(ISNUMBER(INDEX(Rohdaten!$A$88:$LJ$88,MATCH(D$4,RD_Kopf,0))),INDEX(Rohdaten!$A$88:$LJ$88,MATCH(D$4,RD_Kopf,0)),NA()),NA())</f>
        <v>0</v>
      </c>
      <c r="E52" s="68">
        <f>IFERROR(IF(ISNUMBER(INDEX(Rohdaten!$A$88:$LJ$88,MATCH(E$4,RD_Kopf,0))),INDEX(Rohdaten!$A$88:$LJ$88,MATCH(E$4,RD_Kopf,0)),NA()),NA())</f>
        <v>0</v>
      </c>
      <c r="F52" s="68">
        <f>IFERROR(IF(ISNUMBER(INDEX(Rohdaten!$A$88:$LJ$88,MATCH(F$4,RD_Kopf,0))),INDEX(Rohdaten!$A$88:$LJ$88,MATCH(F$4,RD_Kopf,0)),NA()),NA())</f>
        <v>0</v>
      </c>
      <c r="G52" s="68">
        <f>IFERROR(IF(ISNUMBER(INDEX(Rohdaten!$A$88:$LJ$88,MATCH(G$4,RD_Kopf,0))),INDEX(Rohdaten!$A$88:$LJ$88,MATCH(G$4,RD_Kopf,0)),NA()),NA())</f>
        <v>0</v>
      </c>
      <c r="H52" s="68">
        <f>IFERROR(IF(ISNUMBER(INDEX(Rohdaten!$A$88:$LJ$88,MATCH(H$4,RD_Kopf,0))),INDEX(Rohdaten!$A$88:$LJ$88,MATCH(H$4,RD_Kopf,0)),NA()),NA())</f>
        <v>0</v>
      </c>
      <c r="I52" s="68">
        <f>IFERROR(IF(ISNUMBER(INDEX(Rohdaten!$A$88:$LJ$88,MATCH(I$4,RD_Kopf,0))),INDEX(Rohdaten!$A$88:$LJ$88,MATCH(I$4,RD_Kopf,0)),NA()),NA())</f>
        <v>0</v>
      </c>
      <c r="J52" s="68">
        <f>IFERROR(IF(ISNUMBER(INDEX(Rohdaten!$A$88:$LJ$88,MATCH(J$4,RD_Kopf,0))),INDEX(Rohdaten!$A$88:$LJ$88,MATCH(J$4,RD_Kopf,0)),NA()),NA())</f>
        <v>0</v>
      </c>
      <c r="K52" s="68">
        <f>IFERROR(IF(ISNUMBER(INDEX(Rohdaten!$A$88:$LJ$88,MATCH(K$4,RD_Kopf,0))),INDEX(Rohdaten!$A$88:$LJ$88,MATCH(K$4,RD_Kopf,0)),NA()),NA())</f>
        <v>0</v>
      </c>
      <c r="L52" s="68">
        <f>IFERROR(IF(ISNUMBER(INDEX(Rohdaten!$A$88:$LJ$88,MATCH(L$4,RD_Kopf,0))),INDEX(Rohdaten!$A$88:$LJ$88,MATCH(L$4,RD_Kopf,0)),NA()),NA())</f>
        <v>0</v>
      </c>
      <c r="M52" s="68">
        <f>IFERROR(IF(ISNUMBER(INDEX(Rohdaten!$A$88:$LJ$88,MATCH(M$4,RD_Kopf,0))),INDEX(Rohdaten!$A$88:$LJ$88,MATCH(M$4,RD_Kopf,0)),NA()),NA())</f>
        <v>0</v>
      </c>
    </row>
    <row r="53" spans="1:13">
      <c r="A53" s="11" t="s">
        <v>582</v>
      </c>
      <c r="B53" s="11" t="s">
        <v>583</v>
      </c>
      <c r="C53" s="67" t="s">
        <v>555</v>
      </c>
      <c r="D53" s="68">
        <f>IF(ISNUMBER(D52),-D52,NA())</f>
        <v>0</v>
      </c>
      <c r="E53" s="68">
        <f>IF(ISNUMBER(E52),-E52,NA())</f>
        <v>0</v>
      </c>
      <c r="F53" s="68">
        <f>IF(ISNUMBER(F52),-F52,NA())</f>
        <v>0</v>
      </c>
      <c r="G53" s="68">
        <f>IF(ISNUMBER(G52),-G52,NA())</f>
        <v>0</v>
      </c>
      <c r="H53" s="68">
        <f>IF(ISNUMBER(H52),-H52,NA())</f>
        <v>0</v>
      </c>
      <c r="I53" s="68">
        <f>IF(ISNUMBER(I52),-I52,NA())</f>
        <v>0</v>
      </c>
      <c r="J53" s="68">
        <f>IF(ISNUMBER(J52),-J52,NA())</f>
        <v>0</v>
      </c>
      <c r="K53" s="68">
        <f>IF(ISNUMBER(K52),-K52,NA())</f>
        <v>0</v>
      </c>
      <c r="L53" s="68">
        <f>IF(ISNUMBER(L52),-L52,NA())</f>
        <v>0</v>
      </c>
      <c r="M53" s="68">
        <f>IF(ISNUMBER(M52),-M52,NA())</f>
        <v>0</v>
      </c>
    </row>
    <row r="54" spans="1:13">
      <c r="A54" s="11" t="s">
        <v>144</v>
      </c>
      <c r="B54" s="11" t="s">
        <v>584</v>
      </c>
      <c r="C54" s="67" t="s">
        <v>585</v>
      </c>
      <c r="D54" s="68">
        <f>IFERROR(IF(ISNUMBER(INDEX(Rohdaten!$A$85:$LJ$85,MATCH(D$4,RD_Kopf,0))),INDEX(Rohdaten!$A$85:$LJ$85,MATCH(D$4,RD_Kopf,0)),NA()),NA())</f>
        <v>0</v>
      </c>
      <c r="E54" s="68">
        <f>IFERROR(IF(ISNUMBER(INDEX(Rohdaten!$A$85:$LJ$85,MATCH(E$4,RD_Kopf,0))),INDEX(Rohdaten!$A$85:$LJ$85,MATCH(E$4,RD_Kopf,0)),NA()),NA())</f>
        <v>0</v>
      </c>
      <c r="F54" s="68">
        <f>IFERROR(IF(ISNUMBER(INDEX(Rohdaten!$A$85:$LJ$85,MATCH(F$4,RD_Kopf,0))),INDEX(Rohdaten!$A$85:$LJ$85,MATCH(F$4,RD_Kopf,0)),NA()),NA())</f>
        <v>0</v>
      </c>
      <c r="G54" s="68">
        <f>IFERROR(IF(ISNUMBER(INDEX(Rohdaten!$A$85:$LJ$85,MATCH(G$4,RD_Kopf,0))),INDEX(Rohdaten!$A$85:$LJ$85,MATCH(G$4,RD_Kopf,0)),NA()),NA())</f>
        <v>0</v>
      </c>
      <c r="H54" s="68">
        <f>IFERROR(IF(ISNUMBER(INDEX(Rohdaten!$A$85:$LJ$85,MATCH(H$4,RD_Kopf,0))),INDEX(Rohdaten!$A$85:$LJ$85,MATCH(H$4,RD_Kopf,0)),NA()),NA())</f>
        <v>0</v>
      </c>
      <c r="I54" s="68">
        <f>IFERROR(IF(ISNUMBER(INDEX(Rohdaten!$A$85:$LJ$85,MATCH(I$4,RD_Kopf,0))),INDEX(Rohdaten!$A$85:$LJ$85,MATCH(I$4,RD_Kopf,0)),NA()),NA())</f>
        <v>0</v>
      </c>
      <c r="J54" s="68">
        <f>IFERROR(IF(ISNUMBER(INDEX(Rohdaten!$A$85:$LJ$85,MATCH(J$4,RD_Kopf,0))),INDEX(Rohdaten!$A$85:$LJ$85,MATCH(J$4,RD_Kopf,0)),NA()),NA())</f>
        <v>0</v>
      </c>
      <c r="K54" s="68">
        <f>IFERROR(IF(ISNUMBER(INDEX(Rohdaten!$A$85:$LJ$85,MATCH(K$4,RD_Kopf,0))),INDEX(Rohdaten!$A$85:$LJ$85,MATCH(K$4,RD_Kopf,0)),NA()),NA())</f>
        <v>0</v>
      </c>
      <c r="L54" s="68">
        <f>IFERROR(IF(ISNUMBER(INDEX(Rohdaten!$A$85:$LJ$85,MATCH(L$4,RD_Kopf,0))),INDEX(Rohdaten!$A$85:$LJ$85,MATCH(L$4,RD_Kopf,0)),NA()),NA())</f>
        <v>0</v>
      </c>
      <c r="M54" s="68">
        <f>IFERROR(IF(ISNUMBER(INDEX(Rohdaten!$A$85:$LJ$85,MATCH(M$4,RD_Kopf,0))),INDEX(Rohdaten!$A$85:$LJ$85,MATCH(M$4,RD_Kopf,0)),NA()),NA())</f>
        <v>0</v>
      </c>
    </row>
    <row r="55" spans="1:13">
      <c r="A55" s="11" t="s">
        <v>153</v>
      </c>
      <c r="B55" s="11" t="s">
        <v>586</v>
      </c>
      <c r="C55" s="67" t="s">
        <v>587</v>
      </c>
      <c r="D55" s="68">
        <f>IFERROR(IF(ISNUMBER(INDEX(Rohdaten!$A$89:$LJ$89,MATCH(D$4,RD_Kopf,0))),INDEX(Rohdaten!$A$89:$LJ$89,MATCH(D$4,RD_Kopf,0)),NA()),NA())</f>
        <v>0</v>
      </c>
      <c r="E55" s="68">
        <f>IFERROR(IF(ISNUMBER(INDEX(Rohdaten!$A$89:$LJ$89,MATCH(E$4,RD_Kopf,0))),INDEX(Rohdaten!$A$89:$LJ$89,MATCH(E$4,RD_Kopf,0)),NA()),NA())</f>
        <v>0</v>
      </c>
      <c r="F55" s="68">
        <f>IFERROR(IF(ISNUMBER(INDEX(Rohdaten!$A$89:$LJ$89,MATCH(F$4,RD_Kopf,0))),INDEX(Rohdaten!$A$89:$LJ$89,MATCH(F$4,RD_Kopf,0)),NA()),NA())</f>
        <v>0</v>
      </c>
      <c r="G55" s="68">
        <f>IFERROR(IF(ISNUMBER(INDEX(Rohdaten!$A$89:$LJ$89,MATCH(G$4,RD_Kopf,0))),INDEX(Rohdaten!$A$89:$LJ$89,MATCH(G$4,RD_Kopf,0)),NA()),NA())</f>
        <v>0</v>
      </c>
      <c r="H55" s="68">
        <f>IFERROR(IF(ISNUMBER(INDEX(Rohdaten!$A$89:$LJ$89,MATCH(H$4,RD_Kopf,0))),INDEX(Rohdaten!$A$89:$LJ$89,MATCH(H$4,RD_Kopf,0)),NA()),NA())</f>
        <v>0</v>
      </c>
      <c r="I55" s="68">
        <f>IFERROR(IF(ISNUMBER(INDEX(Rohdaten!$A$89:$LJ$89,MATCH(I$4,RD_Kopf,0))),INDEX(Rohdaten!$A$89:$LJ$89,MATCH(I$4,RD_Kopf,0)),NA()),NA())</f>
        <v>0</v>
      </c>
      <c r="J55" s="68">
        <f>IFERROR(IF(ISNUMBER(INDEX(Rohdaten!$A$89:$LJ$89,MATCH(J$4,RD_Kopf,0))),INDEX(Rohdaten!$A$89:$LJ$89,MATCH(J$4,RD_Kopf,0)),NA()),NA())</f>
        <v>0</v>
      </c>
      <c r="K55" s="68">
        <f>IFERROR(IF(ISNUMBER(INDEX(Rohdaten!$A$89:$LJ$89,MATCH(K$4,RD_Kopf,0))),INDEX(Rohdaten!$A$89:$LJ$89,MATCH(K$4,RD_Kopf,0)),NA()),NA())</f>
        <v>0</v>
      </c>
      <c r="L55" s="68">
        <f>IFERROR(IF(ISNUMBER(INDEX(Rohdaten!$A$89:$LJ$89,MATCH(L$4,RD_Kopf,0))),INDEX(Rohdaten!$A$89:$LJ$89,MATCH(L$4,RD_Kopf,0)),NA()),NA())</f>
        <v>0</v>
      </c>
      <c r="M55" s="68">
        <f>IFERROR(IF(ISNUMBER(INDEX(Rohdaten!$A$89:$LJ$89,MATCH(M$4,RD_Kopf,0))),INDEX(Rohdaten!$A$89:$LJ$89,MATCH(M$4,RD_Kopf,0)),NA()),NA())</f>
        <v>0</v>
      </c>
    </row>
    <row r="56" spans="1:13">
      <c r="A56" s="11" t="s">
        <v>588</v>
      </c>
      <c r="B56" s="11" t="s">
        <v>589</v>
      </c>
      <c r="C56" s="67" t="s">
        <v>555</v>
      </c>
      <c r="D56" s="68">
        <f>IF(ISNUMBER(D55),-D55,NA())</f>
        <v>0</v>
      </c>
      <c r="E56" s="68">
        <f>IF(ISNUMBER(E55),-E55,NA())</f>
        <v>0</v>
      </c>
      <c r="F56" s="68">
        <f>IF(ISNUMBER(F55),-F55,NA())</f>
        <v>0</v>
      </c>
      <c r="G56" s="68">
        <f>IF(ISNUMBER(G55),-G55,NA())</f>
        <v>0</v>
      </c>
      <c r="H56" s="68">
        <f>IF(ISNUMBER(H55),-H55,NA())</f>
        <v>0</v>
      </c>
      <c r="I56" s="68">
        <f>IF(ISNUMBER(I55),-I55,NA())</f>
        <v>0</v>
      </c>
      <c r="J56" s="68">
        <f>IF(ISNUMBER(J55),-J55,NA())</f>
        <v>0</v>
      </c>
      <c r="K56" s="68">
        <f>IF(ISNUMBER(K55),-K55,NA())</f>
        <v>0</v>
      </c>
      <c r="L56" s="68">
        <f>IF(ISNUMBER(L55),-L55,NA())</f>
        <v>0</v>
      </c>
      <c r="M56" s="68">
        <f>IF(ISNUMBER(M55),-M55,NA())</f>
        <v>0</v>
      </c>
    </row>
    <row r="57" spans="1:13">
      <c r="A57" s="11" t="s">
        <v>146</v>
      </c>
      <c r="B57" s="11" t="s">
        <v>590</v>
      </c>
      <c r="C57" s="67" t="s">
        <v>591</v>
      </c>
      <c r="D57" s="68">
        <f>IFERROR(IF(ISNUMBER(INDEX(Rohdaten!$A$86:$LJ$86,MATCH(D$4,RD_Kopf,0))),INDEX(Rohdaten!$A$86:$LJ$86,MATCH(D$4,RD_Kopf,0)),NA()),NA())</f>
        <v>0</v>
      </c>
      <c r="E57" s="68">
        <f>IFERROR(IF(ISNUMBER(INDEX(Rohdaten!$A$86:$LJ$86,MATCH(E$4,RD_Kopf,0))),INDEX(Rohdaten!$A$86:$LJ$86,MATCH(E$4,RD_Kopf,0)),NA()),NA())</f>
        <v>0</v>
      </c>
      <c r="F57" s="68">
        <f>IFERROR(IF(ISNUMBER(INDEX(Rohdaten!$A$86:$LJ$86,MATCH(F$4,RD_Kopf,0))),INDEX(Rohdaten!$A$86:$LJ$86,MATCH(F$4,RD_Kopf,0)),NA()),NA())</f>
        <v>0</v>
      </c>
      <c r="G57" s="68">
        <f>IFERROR(IF(ISNUMBER(INDEX(Rohdaten!$A$86:$LJ$86,MATCH(G$4,RD_Kopf,0))),INDEX(Rohdaten!$A$86:$LJ$86,MATCH(G$4,RD_Kopf,0)),NA()),NA())</f>
        <v>0</v>
      </c>
      <c r="H57" s="68">
        <f>IFERROR(IF(ISNUMBER(INDEX(Rohdaten!$A$86:$LJ$86,MATCH(H$4,RD_Kopf,0))),INDEX(Rohdaten!$A$86:$LJ$86,MATCH(H$4,RD_Kopf,0)),NA()),NA())</f>
        <v>0</v>
      </c>
      <c r="I57" s="68">
        <f>IFERROR(IF(ISNUMBER(INDEX(Rohdaten!$A$86:$LJ$86,MATCH(I$4,RD_Kopf,0))),INDEX(Rohdaten!$A$86:$LJ$86,MATCH(I$4,RD_Kopf,0)),NA()),NA())</f>
        <v>0</v>
      </c>
      <c r="J57" s="68">
        <f>IFERROR(IF(ISNUMBER(INDEX(Rohdaten!$A$86:$LJ$86,MATCH(J$4,RD_Kopf,0))),INDEX(Rohdaten!$A$86:$LJ$86,MATCH(J$4,RD_Kopf,0)),NA()),NA())</f>
        <v>0</v>
      </c>
      <c r="K57" s="68">
        <f>IFERROR(IF(ISNUMBER(INDEX(Rohdaten!$A$86:$LJ$86,MATCH(K$4,RD_Kopf,0))),INDEX(Rohdaten!$A$86:$LJ$86,MATCH(K$4,RD_Kopf,0)),NA()),NA())</f>
        <v>0</v>
      </c>
      <c r="L57" s="68">
        <f>IFERROR(IF(ISNUMBER(INDEX(Rohdaten!$A$86:$LJ$86,MATCH(L$4,RD_Kopf,0))),INDEX(Rohdaten!$A$86:$LJ$86,MATCH(L$4,RD_Kopf,0)),NA()),NA())</f>
        <v>0</v>
      </c>
      <c r="M57" s="68">
        <f>IFERROR(IF(ISNUMBER(INDEX(Rohdaten!$A$86:$LJ$86,MATCH(M$4,RD_Kopf,0))),INDEX(Rohdaten!$A$86:$LJ$86,MATCH(M$4,RD_Kopf,0)),NA()),NA())</f>
        <v>0</v>
      </c>
    </row>
    <row r="58" spans="1:13">
      <c r="A58" s="11" t="s">
        <v>155</v>
      </c>
      <c r="B58" s="11" t="s">
        <v>592</v>
      </c>
      <c r="C58" s="67" t="s">
        <v>593</v>
      </c>
      <c r="D58" s="68">
        <f>IFERROR(IF(ISNUMBER(INDEX(Rohdaten!$A$90:$LJ$90,MATCH(D$4,RD_Kopf,0))),INDEX(Rohdaten!$A$90:$LJ$90,MATCH(D$4,RD_Kopf,0)),NA()),NA())</f>
        <v>0</v>
      </c>
      <c r="E58" s="68">
        <f>IFERROR(IF(ISNUMBER(INDEX(Rohdaten!$A$90:$LJ$90,MATCH(E$4,RD_Kopf,0))),INDEX(Rohdaten!$A$90:$LJ$90,MATCH(E$4,RD_Kopf,0)),NA()),NA())</f>
        <v>0</v>
      </c>
      <c r="F58" s="68">
        <f>IFERROR(IF(ISNUMBER(INDEX(Rohdaten!$A$90:$LJ$90,MATCH(F$4,RD_Kopf,0))),INDEX(Rohdaten!$A$90:$LJ$90,MATCH(F$4,RD_Kopf,0)),NA()),NA())</f>
        <v>0</v>
      </c>
      <c r="G58" s="68">
        <f>IFERROR(IF(ISNUMBER(INDEX(Rohdaten!$A$90:$LJ$90,MATCH(G$4,RD_Kopf,0))),INDEX(Rohdaten!$A$90:$LJ$90,MATCH(G$4,RD_Kopf,0)),NA()),NA())</f>
        <v>0</v>
      </c>
      <c r="H58" s="68">
        <f>IFERROR(IF(ISNUMBER(INDEX(Rohdaten!$A$90:$LJ$90,MATCH(H$4,RD_Kopf,0))),INDEX(Rohdaten!$A$90:$LJ$90,MATCH(H$4,RD_Kopf,0)),NA()),NA())</f>
        <v>0</v>
      </c>
      <c r="I58" s="68">
        <f>IFERROR(IF(ISNUMBER(INDEX(Rohdaten!$A$90:$LJ$90,MATCH(I$4,RD_Kopf,0))),INDEX(Rohdaten!$A$90:$LJ$90,MATCH(I$4,RD_Kopf,0)),NA()),NA())</f>
        <v>0</v>
      </c>
      <c r="J58" s="68">
        <f>IFERROR(IF(ISNUMBER(INDEX(Rohdaten!$A$90:$LJ$90,MATCH(J$4,RD_Kopf,0))),INDEX(Rohdaten!$A$90:$LJ$90,MATCH(J$4,RD_Kopf,0)),NA()),NA())</f>
        <v>0</v>
      </c>
      <c r="K58" s="68">
        <f>IFERROR(IF(ISNUMBER(INDEX(Rohdaten!$A$90:$LJ$90,MATCH(K$4,RD_Kopf,0))),INDEX(Rohdaten!$A$90:$LJ$90,MATCH(K$4,RD_Kopf,0)),NA()),NA())</f>
        <v>0</v>
      </c>
      <c r="L58" s="68">
        <f>IFERROR(IF(ISNUMBER(INDEX(Rohdaten!$A$90:$LJ$90,MATCH(L$4,RD_Kopf,0))),INDEX(Rohdaten!$A$90:$LJ$90,MATCH(L$4,RD_Kopf,0)),NA()),NA())</f>
        <v>0</v>
      </c>
      <c r="M58" s="68">
        <f>IFERROR(IF(ISNUMBER(INDEX(Rohdaten!$A$90:$LJ$90,MATCH(M$4,RD_Kopf,0))),INDEX(Rohdaten!$A$90:$LJ$90,MATCH(M$4,RD_Kopf,0)),NA()),NA())</f>
        <v>0</v>
      </c>
    </row>
    <row r="59" spans="1:13">
      <c r="A59" s="11" t="s">
        <v>594</v>
      </c>
      <c r="B59" s="11" t="s">
        <v>595</v>
      </c>
      <c r="C59" s="67" t="s">
        <v>555</v>
      </c>
      <c r="D59" s="68">
        <f>IF(ISNUMBER(D58),-D58,NA())</f>
        <v>0</v>
      </c>
      <c r="E59" s="68">
        <f>IF(ISNUMBER(E58),-E58,NA())</f>
        <v>0</v>
      </c>
      <c r="F59" s="68">
        <f>IF(ISNUMBER(F58),-F58,NA())</f>
        <v>0</v>
      </c>
      <c r="G59" s="68">
        <f>IF(ISNUMBER(G58),-G58,NA())</f>
        <v>0</v>
      </c>
      <c r="H59" s="68">
        <f>IF(ISNUMBER(H58),-H58,NA())</f>
        <v>0</v>
      </c>
      <c r="I59" s="68">
        <f>IF(ISNUMBER(I58),-I58,NA())</f>
        <v>0</v>
      </c>
      <c r="J59" s="68">
        <f>IF(ISNUMBER(J58),-J58,NA())</f>
        <v>0</v>
      </c>
      <c r="K59" s="68">
        <f>IF(ISNUMBER(K58),-K58,NA())</f>
        <v>0</v>
      </c>
      <c r="L59" s="68">
        <f>IF(ISNUMBER(L58),-L58,NA())</f>
        <v>0</v>
      </c>
      <c r="M59" s="68">
        <f>IF(ISNUMBER(M58),-M58,NA())</f>
        <v>0</v>
      </c>
    </row>
    <row r="60" spans="1:13">
      <c r="A60" s="11" t="s">
        <v>596</v>
      </c>
      <c r="B60" s="11" t="s">
        <v>597</v>
      </c>
      <c r="C60" s="67" t="s">
        <v>555</v>
      </c>
      <c r="D60" s="68">
        <f>IF(COUNT(D51,D54,D57)=0,NA(),SUM(D51,D54,D57))</f>
        <v>0</v>
      </c>
      <c r="E60" s="68">
        <f>IF(COUNT(E51,E54,E57)=0,NA(),SUM(E51,E54,E57))</f>
        <v>0</v>
      </c>
      <c r="F60" s="68">
        <f>IF(COUNT(F51,F54,F57)=0,NA(),SUM(F51,F54,F57))</f>
        <v>0</v>
      </c>
      <c r="G60" s="68">
        <f>IF(COUNT(G51,G54,G57)=0,NA(),SUM(G51,G54,G57))</f>
        <v>0</v>
      </c>
      <c r="H60" s="68">
        <f>IF(COUNT(H51,H54,H57)=0,NA(),SUM(H51,H54,H57))</f>
        <v>0</v>
      </c>
      <c r="I60" s="68">
        <f>IF(COUNT(I51,I54,I57)=0,NA(),SUM(I51,I54,I57))</f>
        <v>0</v>
      </c>
      <c r="J60" s="68">
        <f>IF(COUNT(J51,J54,J57)=0,NA(),SUM(J51,J54,J57))</f>
        <v>0</v>
      </c>
      <c r="K60" s="68">
        <f>IF(COUNT(K51,K54,K57)=0,NA(),SUM(K51,K54,K57))</f>
        <v>0</v>
      </c>
      <c r="L60" s="68">
        <f>IF(COUNT(L51,L54,L57)=0,NA(),SUM(L51,L54,L57))</f>
        <v>0</v>
      </c>
      <c r="M60" s="68">
        <f>IF(COUNT(M51,M54,M57)=0,NA(),SUM(M51,M54,M57))</f>
        <v>0</v>
      </c>
    </row>
    <row r="61" spans="1:13">
      <c r="A61" s="11" t="s">
        <v>598</v>
      </c>
      <c r="B61" s="11" t="s">
        <v>599</v>
      </c>
      <c r="C61" s="67" t="s">
        <v>555</v>
      </c>
      <c r="D61" s="68">
        <f>IF(COUNT(D52,D55,D58)=0,NA(),-SUM(D52,D55,D58))</f>
        <v>0</v>
      </c>
      <c r="E61" s="68">
        <f>IF(COUNT(E52,E55,E58)=0,NA(),-SUM(E52,E55,E58))</f>
        <v>0</v>
      </c>
      <c r="F61" s="68">
        <f>IF(COUNT(F52,F55,F58)=0,NA(),-SUM(F52,F55,F58))</f>
        <v>0</v>
      </c>
      <c r="G61" s="68">
        <f>IF(COUNT(G52,G55,G58)=0,NA(),-SUM(G52,G55,G58))</f>
        <v>0</v>
      </c>
      <c r="H61" s="68">
        <f>IF(COUNT(H52,H55,H58)=0,NA(),-SUM(H52,H55,H58))</f>
        <v>0</v>
      </c>
      <c r="I61" s="68">
        <f>IF(COUNT(I52,I55,I58)=0,NA(),-SUM(I52,I55,I58))</f>
        <v>0</v>
      </c>
      <c r="J61" s="68">
        <f>IF(COUNT(J52,J55,J58)=0,NA(),-SUM(J52,J55,J58))</f>
        <v>0</v>
      </c>
      <c r="K61" s="68">
        <f>IF(COUNT(K52,K55,K58)=0,NA(),-SUM(K52,K55,K58))</f>
        <v>0</v>
      </c>
      <c r="L61" s="68">
        <f>IF(COUNT(L52,L55,L58)=0,NA(),-SUM(L52,L55,L58))</f>
        <v>0</v>
      </c>
      <c r="M61" s="68">
        <f>IF(COUNT(M52,M55,M58)=0,NA(),-SUM(M52,M55,M58))</f>
        <v>0</v>
      </c>
    </row>
    <row r="62" spans="1:13">
      <c r="A62" s="11" t="s">
        <v>600</v>
      </c>
      <c r="B62" s="11" t="s">
        <v>601</v>
      </c>
      <c r="C62" s="67" t="s">
        <v>555</v>
      </c>
      <c r="D62" s="11">
        <f>IF(ISNUMBER(D60),FIXED(D60,0),"")</f>
        <v>0</v>
      </c>
      <c r="E62" s="11">
        <f>IF(ISNUMBER(E60),FIXED(E60,0),"")</f>
        <v>0</v>
      </c>
      <c r="F62" s="11">
        <f>IF(ISNUMBER(F60),FIXED(F60,0),"")</f>
        <v>0</v>
      </c>
      <c r="G62" s="11">
        <f>IF(ISNUMBER(G60),FIXED(G60,0),"")</f>
        <v>0</v>
      </c>
      <c r="H62" s="11">
        <f>IF(ISNUMBER(H60),FIXED(H60,0),"")</f>
        <v>0</v>
      </c>
      <c r="I62" s="11">
        <f>IF(ISNUMBER(I60),FIXED(I60,0),"")</f>
        <v>0</v>
      </c>
      <c r="J62" s="11">
        <f>IF(ISNUMBER(J60),FIXED(J60,0),"")</f>
        <v>0</v>
      </c>
      <c r="K62" s="11">
        <f>IF(ISNUMBER(K60),FIXED(K60,0),"")</f>
        <v>0</v>
      </c>
      <c r="L62" s="11">
        <f>IF(ISNUMBER(L60),FIXED(L60,0),"")</f>
        <v>0</v>
      </c>
      <c r="M62" s="11">
        <f>IF(ISNUMBER(M60),FIXED(M60,0),"")</f>
        <v>0</v>
      </c>
    </row>
    <row r="63" spans="1:13">
      <c r="A63" s="11" t="s">
        <v>602</v>
      </c>
      <c r="B63" s="11" t="s">
        <v>603</v>
      </c>
      <c r="C63" s="67" t="s">
        <v>555</v>
      </c>
      <c r="D63" s="11">
        <f>IF(ISNUMBER(D61),FIXED(-D61,0),"")</f>
        <v>0</v>
      </c>
      <c r="E63" s="11">
        <f>IF(ISNUMBER(E61),FIXED(-E61,0),"")</f>
        <v>0</v>
      </c>
      <c r="F63" s="11">
        <f>IF(ISNUMBER(F61),FIXED(-F61,0),"")</f>
        <v>0</v>
      </c>
      <c r="G63" s="11">
        <f>IF(ISNUMBER(G61),FIXED(-G61,0),"")</f>
        <v>0</v>
      </c>
      <c r="H63" s="11">
        <f>IF(ISNUMBER(H61),FIXED(-H61,0),"")</f>
        <v>0</v>
      </c>
      <c r="I63" s="11">
        <f>IF(ISNUMBER(I61),FIXED(-I61,0),"")</f>
        <v>0</v>
      </c>
      <c r="J63" s="11">
        <f>IF(ISNUMBER(J61),FIXED(-J61,0),"")</f>
        <v>0</v>
      </c>
      <c r="K63" s="11">
        <f>IF(ISNUMBER(K61),FIXED(-K61,0),"")</f>
        <v>0</v>
      </c>
      <c r="L63" s="11">
        <f>IF(ISNUMBER(L61),FIXED(-L61,0),"")</f>
        <v>0</v>
      </c>
      <c r="M63" s="11">
        <f>IF(ISNUMBER(M61),FIXED(-M61,0),"")</f>
        <v>0</v>
      </c>
    </row>
    <row r="64" spans="1:13">
      <c r="A64" s="11" t="s">
        <v>604</v>
      </c>
      <c r="B64" s="11" t="s">
        <v>605</v>
      </c>
      <c r="C64" s="67" t="s">
        <v>555</v>
      </c>
      <c r="D64" s="69">
        <f>IF(ISNUMBER(D7),D7/1000,NA())</f>
        <v>0</v>
      </c>
      <c r="E64" s="69">
        <f>IF(ISNUMBER(E7),E7/1000,NA())</f>
        <v>0</v>
      </c>
      <c r="F64" s="69">
        <f>IF(ISNUMBER(F7),F7/1000,NA())</f>
        <v>0</v>
      </c>
      <c r="G64" s="69">
        <f>IF(ISNUMBER(G7),G7/1000,NA())</f>
        <v>0</v>
      </c>
      <c r="H64" s="69">
        <f>IF(ISNUMBER(H7),H7/1000,NA())</f>
        <v>0</v>
      </c>
      <c r="I64" s="69">
        <f>IF(ISNUMBER(I7),I7/1000,NA())</f>
        <v>0</v>
      </c>
      <c r="J64" s="69">
        <f>IF(ISNUMBER(J7),J7/1000,NA())</f>
        <v>0</v>
      </c>
      <c r="K64" s="69">
        <f>IF(ISNUMBER(K7),K7/1000,NA())</f>
        <v>0</v>
      </c>
      <c r="L64" s="69">
        <f>IF(ISNUMBER(L7),L7/1000,NA())</f>
        <v>0</v>
      </c>
      <c r="M64" s="69">
        <f>IF(ISNUMBER(M7),M7/1000,NA())</f>
        <v>0</v>
      </c>
    </row>
    <row r="65" spans="1:24">
      <c r="A65" s="11" t="s">
        <v>606</v>
      </c>
      <c r="B65" s="11" t="s">
        <v>607</v>
      </c>
      <c r="C65" s="67" t="s">
        <v>555</v>
      </c>
      <c r="D65" s="69">
        <f>IF(ISNUMBER(D16),D16/1000,NA())</f>
        <v>0</v>
      </c>
      <c r="E65" s="69">
        <f>IF(ISNUMBER(E16),E16/1000,NA())</f>
        <v>0</v>
      </c>
      <c r="F65" s="69">
        <f>IF(ISNUMBER(F16),F16/1000,NA())</f>
        <v>0</v>
      </c>
      <c r="G65" s="69">
        <f>IF(ISNUMBER(G16),G16/1000,NA())</f>
        <v>0</v>
      </c>
      <c r="H65" s="69">
        <f>IF(ISNUMBER(H16),H16/1000,NA())</f>
        <v>0</v>
      </c>
      <c r="I65" s="69">
        <f>IF(ISNUMBER(I16),I16/1000,NA())</f>
        <v>0</v>
      </c>
      <c r="J65" s="69">
        <f>IF(ISNUMBER(J16),J16/1000,NA())</f>
        <v>0</v>
      </c>
      <c r="K65" s="69">
        <f>IF(ISNUMBER(K16),K16/1000,NA())</f>
        <v>0</v>
      </c>
      <c r="L65" s="69">
        <f>IF(ISNUMBER(L16),L16/1000,NA())</f>
        <v>0</v>
      </c>
      <c r="M65" s="69">
        <f>IF(ISNUMBER(M16),M16/1000,NA())</f>
        <v>0</v>
      </c>
    </row>
    <row r="66" spans="1:24">
      <c r="A66" s="11" t="s">
        <v>608</v>
      </c>
      <c r="B66" s="11" t="s">
        <v>609</v>
      </c>
      <c r="C66" s="67" t="s">
        <v>555</v>
      </c>
      <c r="D66" s="68">
        <f>IF(COUNT(D18,D19)=0,NA(),SUM(D18,D19))</f>
        <v>0</v>
      </c>
      <c r="E66" s="68">
        <f>IF(COUNT(E18,E19)=0,NA(),SUM(E18,E19))</f>
        <v>0</v>
      </c>
      <c r="F66" s="68">
        <f>IF(COUNT(F18,F19)=0,NA(),SUM(F18,F19))</f>
        <v>0</v>
      </c>
      <c r="G66" s="68">
        <f>IF(COUNT(G18,G19)=0,NA(),SUM(G18,G19))</f>
        <v>0</v>
      </c>
      <c r="H66" s="68">
        <f>IF(COUNT(H18,H19)=0,NA(),SUM(H18,H19))</f>
        <v>0</v>
      </c>
      <c r="I66" s="68">
        <f>IF(COUNT(I18,I19)=0,NA(),SUM(I18,I19))</f>
        <v>0</v>
      </c>
      <c r="J66" s="68">
        <f>IF(COUNT(J18,J19)=0,NA(),SUM(J18,J19))</f>
        <v>0</v>
      </c>
      <c r="K66" s="68">
        <f>IF(COUNT(K18,K19)=0,NA(),SUM(K18,K19))</f>
        <v>0</v>
      </c>
      <c r="L66" s="68">
        <f>IF(COUNT(L18,L19)=0,NA(),SUM(L18,L19))</f>
        <v>0</v>
      </c>
      <c r="M66" s="68">
        <f>IF(COUNT(M18,M19)=0,NA(),SUM(M18,M19))</f>
        <v>0</v>
      </c>
    </row>
    <row r="67" spans="1:24">
      <c r="A67" s="11" t="s">
        <v>610</v>
      </c>
      <c r="B67" s="11" t="s">
        <v>611</v>
      </c>
      <c r="C67" s="67" t="s">
        <v>555</v>
      </c>
      <c r="D67" s="11">
        <f>IF(ISNUMBER(D17),FIXED(D17,0),IF(ISNUMBER(D66),FIXED(D66,0),""))</f>
        <v>0</v>
      </c>
      <c r="E67" s="11">
        <f>IF(ISNUMBER(E17),FIXED(E17,0),IF(ISNUMBER(E66),FIXED(E66,0),""))</f>
        <v>0</v>
      </c>
      <c r="F67" s="11">
        <f>IF(ISNUMBER(F17),FIXED(F17,0),IF(ISNUMBER(F66),FIXED(F66,0),""))</f>
        <v>0</v>
      </c>
      <c r="G67" s="11">
        <f>IF(ISNUMBER(G17),FIXED(G17,0),IF(ISNUMBER(G66),FIXED(G66,0),""))</f>
        <v>0</v>
      </c>
      <c r="H67" s="11">
        <f>IF(ISNUMBER(H17),FIXED(H17,0),IF(ISNUMBER(H66),FIXED(H66,0),""))</f>
        <v>0</v>
      </c>
      <c r="I67" s="11">
        <f>IF(ISNUMBER(I17),FIXED(I17,0),IF(ISNUMBER(I66),FIXED(I66,0),""))</f>
        <v>0</v>
      </c>
      <c r="J67" s="11">
        <f>IF(ISNUMBER(J17),FIXED(J17,0),IF(ISNUMBER(J66),FIXED(J66,0),""))</f>
        <v>0</v>
      </c>
      <c r="K67" s="11">
        <f>IF(ISNUMBER(K17),FIXED(K17,0),IF(ISNUMBER(K66),FIXED(K66,0),""))</f>
        <v>0</v>
      </c>
      <c r="L67" s="11">
        <f>IF(ISNUMBER(L17),FIXED(L17,0),IF(ISNUMBER(L66),FIXED(L66,0),""))</f>
        <v>0</v>
      </c>
      <c r="M67" s="11">
        <f>IF(ISNUMBER(M17),FIXED(M17,0),IF(ISNUMBER(M66),FIXED(M66,0),""))</f>
        <v>0</v>
      </c>
    </row>
    <row r="68" spans="1:24">
      <c r="A68" s="11" t="s">
        <v>612</v>
      </c>
      <c r="B68" s="11" t="s">
        <v>613</v>
      </c>
      <c r="C68" s="67" t="s">
        <v>555</v>
      </c>
      <c r="D68" s="68">
        <f>IF(COUNT(D21,D22,D23)=0,NA(),SUM(D21,D22,D23))</f>
        <v>0</v>
      </c>
      <c r="E68" s="68">
        <f>IF(COUNT(E21,E22,E23)=0,NA(),SUM(E21,E22,E23))</f>
        <v>0</v>
      </c>
      <c r="F68" s="68">
        <f>IF(COUNT(F21,F22,F23)=0,NA(),SUM(F21,F22,F23))</f>
        <v>0</v>
      </c>
      <c r="G68" s="68">
        <f>IF(COUNT(G21,G22,G23)=0,NA(),SUM(G21,G22,G23))</f>
        <v>0</v>
      </c>
      <c r="H68" s="68">
        <f>IF(COUNT(H21,H22,H23)=0,NA(),SUM(H21,H22,H23))</f>
        <v>0</v>
      </c>
      <c r="I68" s="68">
        <f>IF(COUNT(I21,I22,I23)=0,NA(),SUM(I21,I22,I23))</f>
        <v>0</v>
      </c>
      <c r="J68" s="68">
        <f>IF(COUNT(J21,J22,J23)=0,NA(),SUM(J21,J22,J23))</f>
        <v>0</v>
      </c>
      <c r="K68" s="68">
        <f>IF(COUNT(K21,K22,K23)=0,NA(),SUM(K21,K22,K23))</f>
        <v>0</v>
      </c>
      <c r="L68" s="68">
        <f>IF(COUNT(L21,L22,L23)=0,NA(),SUM(L21,L22,L23))</f>
        <v>0</v>
      </c>
      <c r="M68" s="68">
        <f>IF(COUNT(M21,M22,M23)=0,NA(),SUM(M21,M22,M23))</f>
        <v>0</v>
      </c>
    </row>
    <row r="69" spans="1:24">
      <c r="A69" s="11" t="s">
        <v>614</v>
      </c>
      <c r="B69" s="11" t="s">
        <v>615</v>
      </c>
      <c r="C69" s="67" t="s">
        <v>555</v>
      </c>
      <c r="D69" s="11">
        <f>IF(ISNUMBER(D68),FIXED(D68,0),"")</f>
        <v>0</v>
      </c>
      <c r="E69" s="11">
        <f>IF(ISNUMBER(E68),FIXED(E68,0),"")</f>
        <v>0</v>
      </c>
      <c r="F69" s="11">
        <f>IF(ISNUMBER(F68),FIXED(F68,0),"")</f>
        <v>0</v>
      </c>
      <c r="G69" s="11">
        <f>IF(ISNUMBER(G68),FIXED(G68,0),"")</f>
        <v>0</v>
      </c>
      <c r="H69" s="11">
        <f>IF(ISNUMBER(H68),FIXED(H68,0),"")</f>
        <v>0</v>
      </c>
      <c r="I69" s="11">
        <f>IF(ISNUMBER(I68),FIXED(I68,0),"")</f>
        <v>0</v>
      </c>
      <c r="J69" s="11">
        <f>IF(ISNUMBER(J68),FIXED(J68,0),"")</f>
        <v>0</v>
      </c>
      <c r="K69" s="11">
        <f>IF(ISNUMBER(K68),FIXED(K68,0),"")</f>
        <v>0</v>
      </c>
      <c r="L69" s="11">
        <f>IF(ISNUMBER(L68),FIXED(L68,0),"")</f>
        <v>0</v>
      </c>
      <c r="M69" s="11">
        <f>IF(ISNUMBER(M68),FIXED(M68,0),"")</f>
        <v>0</v>
      </c>
    </row>
    <row r="70" spans="1:24">
      <c r="A70" s="11" t="s">
        <v>616</v>
      </c>
      <c r="B70" s="11" t="s">
        <v>617</v>
      </c>
      <c r="C70" s="67" t="s">
        <v>555</v>
      </c>
      <c r="D70" s="68">
        <f>IF(COUNT(D27,D28,D29)=0,NA(),SUM(D27,D28,D29))</f>
        <v>0</v>
      </c>
      <c r="E70" s="68">
        <f>IF(COUNT(E27,E28,E29)=0,NA(),SUM(E27,E28,E29))</f>
        <v>0</v>
      </c>
      <c r="F70" s="68">
        <f>IF(COUNT(F27,F28,F29)=0,NA(),SUM(F27,F28,F29))</f>
        <v>0</v>
      </c>
      <c r="G70" s="68">
        <f>IF(COUNT(G27,G28,G29)=0,NA(),SUM(G27,G28,G29))</f>
        <v>0</v>
      </c>
      <c r="H70" s="68">
        <f>IF(COUNT(H27,H28,H29)=0,NA(),SUM(H27,H28,H29))</f>
        <v>0</v>
      </c>
      <c r="I70" s="68">
        <f>IF(COUNT(I27,I28,I29)=0,NA(),SUM(I27,I28,I29))</f>
        <v>0</v>
      </c>
      <c r="J70" s="68">
        <f>IF(COUNT(J27,J28,J29)=0,NA(),SUM(J27,J28,J29))</f>
        <v>0</v>
      </c>
      <c r="K70" s="68">
        <f>IF(COUNT(K27,K28,K29)=0,NA(),SUM(K27,K28,K29))</f>
        <v>0</v>
      </c>
      <c r="L70" s="68">
        <f>IF(COUNT(L27,L28,L29)=0,NA(),SUM(L27,L28,L29))</f>
        <v>0</v>
      </c>
      <c r="M70" s="68">
        <f>IF(COUNT(M27,M28,M29)=0,NA(),SUM(M27,M28,M29))</f>
        <v>0</v>
      </c>
    </row>
    <row r="71" spans="1:24">
      <c r="A71" s="11" t="s">
        <v>618</v>
      </c>
      <c r="B71" s="11" t="s">
        <v>619</v>
      </c>
      <c r="C71" s="67" t="s">
        <v>555</v>
      </c>
      <c r="D71" s="11">
        <f>IF(ISNUMBER(D70),FIXED(D70,0),"")</f>
        <v>0</v>
      </c>
      <c r="E71" s="11">
        <f>IF(ISNUMBER(E70),FIXED(E70,0),"")</f>
        <v>0</v>
      </c>
      <c r="F71" s="11">
        <f>IF(ISNUMBER(F70),FIXED(F70,0),"")</f>
        <v>0</v>
      </c>
      <c r="G71" s="11">
        <f>IF(ISNUMBER(G70),FIXED(G70,0),"")</f>
        <v>0</v>
      </c>
      <c r="H71" s="11">
        <f>IF(ISNUMBER(H70),FIXED(H70,0),"")</f>
        <v>0</v>
      </c>
      <c r="I71" s="11">
        <f>IF(ISNUMBER(I70),FIXED(I70,0),"")</f>
        <v>0</v>
      </c>
      <c r="J71" s="11">
        <f>IF(ISNUMBER(J70),FIXED(J70,0),"")</f>
        <v>0</v>
      </c>
      <c r="K71" s="11">
        <f>IF(ISNUMBER(K70),FIXED(K70,0),"")</f>
        <v>0</v>
      </c>
      <c r="L71" s="11">
        <f>IF(ISNUMBER(L70),FIXED(L70,0),"")</f>
        <v>0</v>
      </c>
      <c r="M71" s="11">
        <f>IF(ISNUMBER(M70),FIXED(M70,0),"")</f>
        <v>0</v>
      </c>
    </row>
    <row r="72" spans="1:24">
      <c r="A72" s="11" t="s">
        <v>620</v>
      </c>
      <c r="B72" s="11" t="s">
        <v>621</v>
      </c>
      <c r="C72" s="67" t="s">
        <v>555</v>
      </c>
      <c r="D72" s="68">
        <f>SLA_PV</f>
        <v>0</v>
      </c>
      <c r="E72" s="68">
        <f>SLA_PV</f>
        <v>0</v>
      </c>
      <c r="F72" s="68">
        <f>SLA_PV</f>
        <v>0</v>
      </c>
      <c r="G72" s="68">
        <f>SLA_PV</f>
        <v>0</v>
      </c>
      <c r="H72" s="68">
        <f>SLA_PV</f>
        <v>0</v>
      </c>
      <c r="I72" s="68">
        <f>SLA_PV</f>
        <v>0</v>
      </c>
      <c r="J72" s="68">
        <f>SLA_PV</f>
        <v>0</v>
      </c>
      <c r="K72" s="68">
        <f>SLA_PV</f>
        <v>0</v>
      </c>
      <c r="L72" s="68">
        <f>SLA_PV</f>
        <v>0</v>
      </c>
      <c r="M72" s="68">
        <f>SLA_PV</f>
        <v>0</v>
      </c>
    </row>
    <row r="73" spans="1:24">
      <c r="A73" s="11" t="s">
        <v>622</v>
      </c>
      <c r="B73" s="11" t="s">
        <v>623</v>
      </c>
      <c r="C73" s="67" t="s">
        <v>555</v>
      </c>
      <c r="D73" s="11">
        <f>IF(ISNUMBER(D10),IF(D10=0,"",FIXED(D10,0)),"")</f>
        <v>0</v>
      </c>
      <c r="E73" s="11">
        <f>IF(ISNUMBER(E10),IF(E10=0,"",FIXED(E10,0)),"")</f>
        <v>0</v>
      </c>
      <c r="F73" s="11">
        <f>IF(ISNUMBER(F10),IF(F10=0,"",FIXED(F10,0)),"")</f>
        <v>0</v>
      </c>
      <c r="G73" s="11">
        <f>IF(ISNUMBER(G10),IF(G10=0,"",FIXED(G10,0)),"")</f>
        <v>0</v>
      </c>
      <c r="H73" s="11">
        <f>IF(ISNUMBER(H10),IF(H10=0,"",FIXED(H10,0)),"")</f>
        <v>0</v>
      </c>
      <c r="I73" s="11">
        <f>IF(ISNUMBER(I10),IF(I10=0,"",FIXED(I10,0)),"")</f>
        <v>0</v>
      </c>
      <c r="J73" s="11">
        <f>IF(ISNUMBER(J10),IF(J10=0,"",FIXED(J10,0)),"")</f>
        <v>0</v>
      </c>
      <c r="K73" s="11">
        <f>IF(ISNUMBER(K10),IF(K10=0,"",FIXED(K10,0)),"")</f>
        <v>0</v>
      </c>
      <c r="L73" s="11">
        <f>IF(ISNUMBER(L10),IF(L10=0,"",FIXED(L10,0)),"")</f>
        <v>0</v>
      </c>
      <c r="M73" s="11">
        <f>IF(ISNUMBER(M10),IF(M10=0,"",FIXED(M10,0)),"")</f>
        <v>0</v>
      </c>
    </row>
    <row r="74" spans="1:24">
      <c r="A74" s="11" t="s">
        <v>481</v>
      </c>
      <c r="B74" s="11" t="s">
        <v>624</v>
      </c>
      <c r="C74" s="67" t="s">
        <v>625</v>
      </c>
      <c r="O74" s="68">
        <f>IFERROR(IF(ISNUMBER(INDEX(Rohdaten_3!$A$3:$AM$3,MATCH(O$4,Rohdaten_3!$A$1:$AM$1,0))),INDEX(Rohdaten_3!$A$3:$AM$3,MATCH(O$4,Rohdaten_3!$A$1:$AM$1,0)),NA()),NA())</f>
        <v>0</v>
      </c>
      <c r="P74" s="68">
        <f>IFERROR(IF(ISNUMBER(INDEX(Rohdaten_3!$A$3:$AM$3,MATCH(P$4,Rohdaten_3!$A$1:$AM$1,0))),INDEX(Rohdaten_3!$A$3:$AM$3,MATCH(P$4,Rohdaten_3!$A$1:$AM$1,0)),NA()),NA())</f>
        <v>0</v>
      </c>
      <c r="Q74" s="68">
        <f>IFERROR(IF(ISNUMBER(INDEX(Rohdaten_3!$A$3:$AM$3,MATCH(Q$4,Rohdaten_3!$A$1:$AM$1,0))),INDEX(Rohdaten_3!$A$3:$AM$3,MATCH(Q$4,Rohdaten_3!$A$1:$AM$1,0)),NA()),NA())</f>
        <v>0</v>
      </c>
      <c r="R74" s="68">
        <f>IFERROR(IF(ISNUMBER(INDEX(Rohdaten_3!$A$3:$AM$3,MATCH(R$4,Rohdaten_3!$A$1:$AM$1,0))),INDEX(Rohdaten_3!$A$3:$AM$3,MATCH(R$4,Rohdaten_3!$A$1:$AM$1,0)),NA()),NA())</f>
        <v>0</v>
      </c>
      <c r="S74" s="68">
        <f>IFERROR(IF(ISNUMBER(INDEX(Rohdaten_3!$A$3:$AM$3,MATCH(S$4,Rohdaten_3!$A$1:$AM$1,0))),INDEX(Rohdaten_3!$A$3:$AM$3,MATCH(S$4,Rohdaten_3!$A$1:$AM$1,0)),NA()),NA())</f>
        <v>0</v>
      </c>
      <c r="T74" s="68">
        <f>IFERROR(IF(ISNUMBER(INDEX(Rohdaten_3!$A$3:$AM$3,MATCH(T$4,Rohdaten_3!$A$1:$AM$1,0))),INDEX(Rohdaten_3!$A$3:$AM$3,MATCH(T$4,Rohdaten_3!$A$1:$AM$1,0)),NA()),NA())</f>
        <v>0</v>
      </c>
      <c r="U74" s="68">
        <f>IFERROR(IF(ISNUMBER(INDEX(Rohdaten_3!$A$3:$AM$3,MATCH(U$4,Rohdaten_3!$A$1:$AM$1,0))),INDEX(Rohdaten_3!$A$3:$AM$3,MATCH(U$4,Rohdaten_3!$A$1:$AM$1,0)),NA()),NA())</f>
        <v>0</v>
      </c>
      <c r="V74" s="68">
        <f>IFERROR(IF(ISNUMBER(INDEX(Rohdaten_3!$A$3:$AM$3,MATCH(V$4,Rohdaten_3!$A$1:$AM$1,0))),INDEX(Rohdaten_3!$A$3:$AM$3,MATCH(V$4,Rohdaten_3!$A$1:$AM$1,0)),NA()),NA())</f>
        <v>0</v>
      </c>
      <c r="W74" s="68">
        <f>IFERROR(IF(ISNUMBER(INDEX(Rohdaten_3!$A$3:$AM$3,MATCH(W$4,Rohdaten_3!$A$1:$AM$1,0))),INDEX(Rohdaten_3!$A$3:$AM$3,MATCH(W$4,Rohdaten_3!$A$1:$AM$1,0)),NA()),NA())</f>
        <v>0</v>
      </c>
      <c r="X74" s="68">
        <f>IFERROR(IF(ISNUMBER(INDEX(Rohdaten_3!$A$3:$AM$3,MATCH(X$4,Rohdaten_3!$A$1:$AM$1,0))),INDEX(Rohdaten_3!$A$3:$AM$3,MATCH(X$4,Rohdaten_3!$A$1:$AM$1,0)),NA()),NA())</f>
        <v>0</v>
      </c>
    </row>
    <row r="75" spans="1:24">
      <c r="A75" s="11" t="s">
        <v>626</v>
      </c>
      <c r="B75" s="11" t="s">
        <v>627</v>
      </c>
      <c r="C75" s="67" t="s">
        <v>628</v>
      </c>
      <c r="O75" s="68">
        <f>IFERROR(IF(ISNUMBER(INDEX(Rohdaten_3!$A$4:$AM$4,MATCH(O$4,Rohdaten_3!$A$1:$AM$1,0))),INDEX(Rohdaten_3!$A$4:$AM$4,MATCH(O$4,Rohdaten_3!$A$1:$AM$1,0)),NA()),NA())</f>
        <v>0</v>
      </c>
      <c r="P75" s="68">
        <f>IFERROR(IF(ISNUMBER(INDEX(Rohdaten_3!$A$4:$AM$4,MATCH(P$4,Rohdaten_3!$A$1:$AM$1,0))),INDEX(Rohdaten_3!$A$4:$AM$4,MATCH(P$4,Rohdaten_3!$A$1:$AM$1,0)),NA()),NA())</f>
        <v>0</v>
      </c>
      <c r="Q75" s="68">
        <f>IFERROR(IF(ISNUMBER(INDEX(Rohdaten_3!$A$4:$AM$4,MATCH(Q$4,Rohdaten_3!$A$1:$AM$1,0))),INDEX(Rohdaten_3!$A$4:$AM$4,MATCH(Q$4,Rohdaten_3!$A$1:$AM$1,0)),NA()),NA())</f>
        <v>0</v>
      </c>
      <c r="R75" s="68">
        <f>IFERROR(IF(ISNUMBER(INDEX(Rohdaten_3!$A$4:$AM$4,MATCH(R$4,Rohdaten_3!$A$1:$AM$1,0))),INDEX(Rohdaten_3!$A$4:$AM$4,MATCH(R$4,Rohdaten_3!$A$1:$AM$1,0)),NA()),NA())</f>
        <v>0</v>
      </c>
      <c r="S75" s="68">
        <f>IFERROR(IF(ISNUMBER(INDEX(Rohdaten_3!$A$4:$AM$4,MATCH(S$4,Rohdaten_3!$A$1:$AM$1,0))),INDEX(Rohdaten_3!$A$4:$AM$4,MATCH(S$4,Rohdaten_3!$A$1:$AM$1,0)),NA()),NA())</f>
        <v>0</v>
      </c>
      <c r="T75" s="68">
        <f>IFERROR(IF(ISNUMBER(INDEX(Rohdaten_3!$A$4:$AM$4,MATCH(T$4,Rohdaten_3!$A$1:$AM$1,0))),INDEX(Rohdaten_3!$A$4:$AM$4,MATCH(T$4,Rohdaten_3!$A$1:$AM$1,0)),NA()),NA())</f>
        <v>0</v>
      </c>
      <c r="U75" s="68">
        <f>IFERROR(IF(ISNUMBER(INDEX(Rohdaten_3!$A$4:$AM$4,MATCH(U$4,Rohdaten_3!$A$1:$AM$1,0))),INDEX(Rohdaten_3!$A$4:$AM$4,MATCH(U$4,Rohdaten_3!$A$1:$AM$1,0)),NA()),NA())</f>
        <v>0</v>
      </c>
      <c r="V75" s="68">
        <f>IFERROR(IF(ISNUMBER(INDEX(Rohdaten_3!$A$4:$AM$4,MATCH(V$4,Rohdaten_3!$A$1:$AM$1,0))),INDEX(Rohdaten_3!$A$4:$AM$4,MATCH(V$4,Rohdaten_3!$A$1:$AM$1,0)),NA()),NA())</f>
        <v>0</v>
      </c>
      <c r="W75" s="68">
        <f>IFERROR(IF(ISNUMBER(INDEX(Rohdaten_3!$A$4:$AM$4,MATCH(W$4,Rohdaten_3!$A$1:$AM$1,0))),INDEX(Rohdaten_3!$A$4:$AM$4,MATCH(W$4,Rohdaten_3!$A$1:$AM$1,0)),NA()),NA())</f>
        <v>0</v>
      </c>
      <c r="X75" s="68">
        <f>IFERROR(IF(ISNUMBER(INDEX(Rohdaten_3!$A$4:$AM$4,MATCH(X$4,Rohdaten_3!$A$1:$AM$1,0))),INDEX(Rohdaten_3!$A$4:$AM$4,MATCH(X$4,Rohdaten_3!$A$1:$AM$1,0)),NA()),NA())</f>
        <v>0</v>
      </c>
    </row>
    <row r="76" spans="1:24">
      <c r="A76" s="11" t="s">
        <v>486</v>
      </c>
      <c r="B76" s="11" t="s">
        <v>629</v>
      </c>
      <c r="C76" s="67" t="s">
        <v>630</v>
      </c>
      <c r="O76" s="68">
        <f>IFERROR(IF(ISNUMBER(INDEX(Rohdaten_3!$A$5:$AM$5,MATCH(O$4,Rohdaten_3!$A$1:$AM$1,0))),INDEX(Rohdaten_3!$A$5:$AM$5,MATCH(O$4,Rohdaten_3!$A$1:$AM$1,0)),NA()),NA())</f>
        <v>0</v>
      </c>
      <c r="P76" s="68">
        <f>IFERROR(IF(ISNUMBER(INDEX(Rohdaten_3!$A$5:$AM$5,MATCH(P$4,Rohdaten_3!$A$1:$AM$1,0))),INDEX(Rohdaten_3!$A$5:$AM$5,MATCH(P$4,Rohdaten_3!$A$1:$AM$1,0)),NA()),NA())</f>
        <v>0</v>
      </c>
      <c r="Q76" s="68">
        <f>IFERROR(IF(ISNUMBER(INDEX(Rohdaten_3!$A$5:$AM$5,MATCH(Q$4,Rohdaten_3!$A$1:$AM$1,0))),INDEX(Rohdaten_3!$A$5:$AM$5,MATCH(Q$4,Rohdaten_3!$A$1:$AM$1,0)),NA()),NA())</f>
        <v>0</v>
      </c>
      <c r="R76" s="68">
        <f>IFERROR(IF(ISNUMBER(INDEX(Rohdaten_3!$A$5:$AM$5,MATCH(R$4,Rohdaten_3!$A$1:$AM$1,0))),INDEX(Rohdaten_3!$A$5:$AM$5,MATCH(R$4,Rohdaten_3!$A$1:$AM$1,0)),NA()),NA())</f>
        <v>0</v>
      </c>
      <c r="S76" s="68">
        <f>IFERROR(IF(ISNUMBER(INDEX(Rohdaten_3!$A$5:$AM$5,MATCH(S$4,Rohdaten_3!$A$1:$AM$1,0))),INDEX(Rohdaten_3!$A$5:$AM$5,MATCH(S$4,Rohdaten_3!$A$1:$AM$1,0)),NA()),NA())</f>
        <v>0</v>
      </c>
      <c r="T76" s="68">
        <f>IFERROR(IF(ISNUMBER(INDEX(Rohdaten_3!$A$5:$AM$5,MATCH(T$4,Rohdaten_3!$A$1:$AM$1,0))),INDEX(Rohdaten_3!$A$5:$AM$5,MATCH(T$4,Rohdaten_3!$A$1:$AM$1,0)),NA()),NA())</f>
        <v>0</v>
      </c>
      <c r="U76" s="68">
        <f>IFERROR(IF(ISNUMBER(INDEX(Rohdaten_3!$A$5:$AM$5,MATCH(U$4,Rohdaten_3!$A$1:$AM$1,0))),INDEX(Rohdaten_3!$A$5:$AM$5,MATCH(U$4,Rohdaten_3!$A$1:$AM$1,0)),NA()),NA())</f>
        <v>0</v>
      </c>
      <c r="V76" s="68">
        <f>IFERROR(IF(ISNUMBER(INDEX(Rohdaten_3!$A$5:$AM$5,MATCH(V$4,Rohdaten_3!$A$1:$AM$1,0))),INDEX(Rohdaten_3!$A$5:$AM$5,MATCH(V$4,Rohdaten_3!$A$1:$AM$1,0)),NA()),NA())</f>
        <v>0</v>
      </c>
      <c r="W76" s="68">
        <f>IFERROR(IF(ISNUMBER(INDEX(Rohdaten_3!$A$5:$AM$5,MATCH(W$4,Rohdaten_3!$A$1:$AM$1,0))),INDEX(Rohdaten_3!$A$5:$AM$5,MATCH(W$4,Rohdaten_3!$A$1:$AM$1,0)),NA()),NA())</f>
        <v>0</v>
      </c>
      <c r="X76" s="68">
        <f>IFERROR(IF(ISNUMBER(INDEX(Rohdaten_3!$A$5:$AM$5,MATCH(X$4,Rohdaten_3!$A$1:$AM$1,0))),INDEX(Rohdaten_3!$A$5:$AM$5,MATCH(X$4,Rohdaten_3!$A$1:$AM$1,0)),NA()),NA())</f>
        <v>0</v>
      </c>
    </row>
    <row r="77" spans="1:24">
      <c r="A77" s="11" t="s">
        <v>631</v>
      </c>
      <c r="B77" s="11" t="s">
        <v>632</v>
      </c>
      <c r="C77" s="67" t="s">
        <v>555</v>
      </c>
      <c r="O77" s="11">
        <f>IF(ISNUMBER(O76),FIXED(O76*100,0)&amp;" %","")</f>
        <v>0</v>
      </c>
      <c r="P77" s="11">
        <f>IF(ISNUMBER(P76),FIXED(P76*100,0)&amp;" %","")</f>
        <v>0</v>
      </c>
      <c r="Q77" s="11">
        <f>IF(ISNUMBER(Q76),FIXED(Q76*100,0)&amp;" %","")</f>
        <v>0</v>
      </c>
      <c r="R77" s="11">
        <f>IF(ISNUMBER(R76),FIXED(R76*100,0)&amp;" %","")</f>
        <v>0</v>
      </c>
      <c r="S77" s="11">
        <f>IF(ISNUMBER(S76),FIXED(S76*100,0)&amp;" %","")</f>
        <v>0</v>
      </c>
      <c r="T77" s="11">
        <f>IF(ISNUMBER(T76),FIXED(T76*100,0)&amp;" %","")</f>
        <v>0</v>
      </c>
      <c r="U77" s="11">
        <f>IF(ISNUMBER(U76),FIXED(U76*100,0)&amp;" %","")</f>
        <v>0</v>
      </c>
      <c r="V77" s="11">
        <f>IF(ISNUMBER(V76),FIXED(V76*100,0)&amp;" %","")</f>
        <v>0</v>
      </c>
      <c r="W77" s="11">
        <f>IF(ISNUMBER(W76),FIXED(W76*100,0)&amp;" %","")</f>
        <v>0</v>
      </c>
      <c r="X77" s="11">
        <f>IF(ISNUMBER(X76),FIXED(X76*100,0)&amp;" %","")</f>
        <v>0</v>
      </c>
    </row>
    <row r="78" spans="1:24">
      <c r="A78" s="11" t="s">
        <v>477</v>
      </c>
      <c r="B78" s="11" t="s">
        <v>633</v>
      </c>
      <c r="C78" s="67" t="s">
        <v>634</v>
      </c>
      <c r="O78" s="68">
        <f>IFERROR(IF(ISNUMBER(INDEX(Rohdaten_2!$A$4:$AQ$4,MATCH(O$4,Rohdaten_2!$A$1:$AQ$1,0))),INDEX(Rohdaten_2!$A$4:$AQ$4,MATCH(O$4,Rohdaten_2!$A$1:$AQ$1,0)),NA()),NA())</f>
        <v>0</v>
      </c>
      <c r="P78" s="68">
        <f>IFERROR(IF(ISNUMBER(INDEX(Rohdaten_2!$A$4:$AQ$4,MATCH(P$4,Rohdaten_2!$A$1:$AQ$1,0))),INDEX(Rohdaten_2!$A$4:$AQ$4,MATCH(P$4,Rohdaten_2!$A$1:$AQ$1,0)),NA()),NA())</f>
        <v>0</v>
      </c>
      <c r="Q78" s="68">
        <f>IFERROR(IF(ISNUMBER(INDEX(Rohdaten_2!$A$4:$AQ$4,MATCH(Q$4,Rohdaten_2!$A$1:$AQ$1,0))),INDEX(Rohdaten_2!$A$4:$AQ$4,MATCH(Q$4,Rohdaten_2!$A$1:$AQ$1,0)),NA()),NA())</f>
        <v>0</v>
      </c>
      <c r="R78" s="68">
        <f>IFERROR(IF(ISNUMBER(INDEX(Rohdaten_2!$A$4:$AQ$4,MATCH(R$4,Rohdaten_2!$A$1:$AQ$1,0))),INDEX(Rohdaten_2!$A$4:$AQ$4,MATCH(R$4,Rohdaten_2!$A$1:$AQ$1,0)),NA()),NA())</f>
        <v>0</v>
      </c>
      <c r="S78" s="68">
        <f>IFERROR(IF(ISNUMBER(INDEX(Rohdaten_2!$A$4:$AQ$4,MATCH(S$4,Rohdaten_2!$A$1:$AQ$1,0))),INDEX(Rohdaten_2!$A$4:$AQ$4,MATCH(S$4,Rohdaten_2!$A$1:$AQ$1,0)),NA()),NA())</f>
        <v>0</v>
      </c>
      <c r="T78" s="68">
        <f>IFERROR(IF(ISNUMBER(INDEX(Rohdaten_2!$A$4:$AQ$4,MATCH(T$4,Rohdaten_2!$A$1:$AQ$1,0))),INDEX(Rohdaten_2!$A$4:$AQ$4,MATCH(T$4,Rohdaten_2!$A$1:$AQ$1,0)),NA()),NA())</f>
        <v>0</v>
      </c>
      <c r="U78" s="68">
        <f>IFERROR(IF(ISNUMBER(INDEX(Rohdaten_2!$A$4:$AQ$4,MATCH(U$4,Rohdaten_2!$A$1:$AQ$1,0))),INDEX(Rohdaten_2!$A$4:$AQ$4,MATCH(U$4,Rohdaten_2!$A$1:$AQ$1,0)),NA()),NA())</f>
        <v>0</v>
      </c>
      <c r="V78" s="68">
        <f>IFERROR(IF(ISNUMBER(INDEX(Rohdaten_2!$A$4:$AQ$4,MATCH(V$4,Rohdaten_2!$A$1:$AQ$1,0))),INDEX(Rohdaten_2!$A$4:$AQ$4,MATCH(V$4,Rohdaten_2!$A$1:$AQ$1,0)),NA()),NA())</f>
        <v>0</v>
      </c>
      <c r="W78" s="68">
        <f>IFERROR(IF(ISNUMBER(INDEX(Rohdaten_2!$A$4:$AQ$4,MATCH(W$4,Rohdaten_2!$A$1:$AQ$1,0))),INDEX(Rohdaten_2!$A$4:$AQ$4,MATCH(W$4,Rohdaten_2!$A$1:$AQ$1,0)),NA()),NA())</f>
        <v>0</v>
      </c>
      <c r="X78" s="68">
        <f>IFERROR(IF(ISNUMBER(INDEX(Rohdaten_2!$A$4:$AQ$4,MATCH(X$4,Rohdaten_2!$A$1:$AQ$1,0))),INDEX(Rohdaten_2!$A$4:$AQ$4,MATCH(X$4,Rohdaten_2!$A$1:$AQ$1,0)),NA()),NA())</f>
        <v>0</v>
      </c>
    </row>
    <row r="79" spans="1:24">
      <c r="A79" s="11" t="s">
        <v>479</v>
      </c>
      <c r="B79" s="11" t="s">
        <v>635</v>
      </c>
      <c r="C79" s="67" t="s">
        <v>636</v>
      </c>
      <c r="O79" s="68">
        <f>IFERROR(IF(ISNUMBER(INDEX(Rohdaten_2!$A$5:$AQ$5,MATCH(O$4,Rohdaten_2!$A$1:$AQ$1,0))),INDEX(Rohdaten_2!$A$5:$AQ$5,MATCH(O$4,Rohdaten_2!$A$1:$AQ$1,0)),NA()),NA())</f>
        <v>0</v>
      </c>
      <c r="P79" s="68">
        <f>IFERROR(IF(ISNUMBER(INDEX(Rohdaten_2!$A$5:$AQ$5,MATCH(P$4,Rohdaten_2!$A$1:$AQ$1,0))),INDEX(Rohdaten_2!$A$5:$AQ$5,MATCH(P$4,Rohdaten_2!$A$1:$AQ$1,0)),NA()),NA())</f>
        <v>0</v>
      </c>
      <c r="Q79" s="68">
        <f>IFERROR(IF(ISNUMBER(INDEX(Rohdaten_2!$A$5:$AQ$5,MATCH(Q$4,Rohdaten_2!$A$1:$AQ$1,0))),INDEX(Rohdaten_2!$A$5:$AQ$5,MATCH(Q$4,Rohdaten_2!$A$1:$AQ$1,0)),NA()),NA())</f>
        <v>0</v>
      </c>
      <c r="R79" s="68">
        <f>IFERROR(IF(ISNUMBER(INDEX(Rohdaten_2!$A$5:$AQ$5,MATCH(R$4,Rohdaten_2!$A$1:$AQ$1,0))),INDEX(Rohdaten_2!$A$5:$AQ$5,MATCH(R$4,Rohdaten_2!$A$1:$AQ$1,0)),NA()),NA())</f>
        <v>0</v>
      </c>
      <c r="S79" s="68">
        <f>IFERROR(IF(ISNUMBER(INDEX(Rohdaten_2!$A$5:$AQ$5,MATCH(S$4,Rohdaten_2!$A$1:$AQ$1,0))),INDEX(Rohdaten_2!$A$5:$AQ$5,MATCH(S$4,Rohdaten_2!$A$1:$AQ$1,0)),NA()),NA())</f>
        <v>0</v>
      </c>
      <c r="T79" s="68">
        <f>IFERROR(IF(ISNUMBER(INDEX(Rohdaten_2!$A$5:$AQ$5,MATCH(T$4,Rohdaten_2!$A$1:$AQ$1,0))),INDEX(Rohdaten_2!$A$5:$AQ$5,MATCH(T$4,Rohdaten_2!$A$1:$AQ$1,0)),NA()),NA())</f>
        <v>0</v>
      </c>
      <c r="U79" s="68">
        <f>IFERROR(IF(ISNUMBER(INDEX(Rohdaten_2!$A$5:$AQ$5,MATCH(U$4,Rohdaten_2!$A$1:$AQ$1,0))),INDEX(Rohdaten_2!$A$5:$AQ$5,MATCH(U$4,Rohdaten_2!$A$1:$AQ$1,0)),NA()),NA())</f>
        <v>0</v>
      </c>
      <c r="V79" s="68">
        <f>IFERROR(IF(ISNUMBER(INDEX(Rohdaten_2!$A$5:$AQ$5,MATCH(V$4,Rohdaten_2!$A$1:$AQ$1,0))),INDEX(Rohdaten_2!$A$5:$AQ$5,MATCH(V$4,Rohdaten_2!$A$1:$AQ$1,0)),NA()),NA())</f>
        <v>0</v>
      </c>
      <c r="W79" s="68">
        <f>IFERROR(IF(ISNUMBER(INDEX(Rohdaten_2!$A$5:$AQ$5,MATCH(W$4,Rohdaten_2!$A$1:$AQ$1,0))),INDEX(Rohdaten_2!$A$5:$AQ$5,MATCH(W$4,Rohdaten_2!$A$1:$AQ$1,0)),NA()),NA())</f>
        <v>0</v>
      </c>
      <c r="X79" s="68">
        <f>IFERROR(IF(ISNUMBER(INDEX(Rohdaten_2!$A$5:$AQ$5,MATCH(X$4,Rohdaten_2!$A$1:$AQ$1,0))),INDEX(Rohdaten_2!$A$5:$AQ$5,MATCH(X$4,Rohdaten_2!$A$1:$AQ$1,0)),NA()),NA())</f>
        <v>0</v>
      </c>
    </row>
    <row r="80" spans="1:24">
      <c r="A80" s="11" t="s">
        <v>637</v>
      </c>
      <c r="B80" s="11" t="s">
        <v>638</v>
      </c>
      <c r="C80" s="67" t="s">
        <v>555</v>
      </c>
      <c r="O80" s="68">
        <f>IF(ISNUMBER(O78),ROUND(O78,0),NA())</f>
        <v>0</v>
      </c>
      <c r="P80" s="68">
        <f>IF(ISNUMBER(P78),ROUND(P78,0),NA())</f>
        <v>0</v>
      </c>
      <c r="Q80" s="68">
        <f>IF(ISNUMBER(Q78),ROUND(Q78,0),NA())</f>
        <v>0</v>
      </c>
      <c r="R80" s="68">
        <f>IF(ISNUMBER(R78),ROUND(R78,0),NA())</f>
        <v>0</v>
      </c>
      <c r="S80" s="68">
        <f>IF(ISNUMBER(S78),ROUND(S78,0),NA())</f>
        <v>0</v>
      </c>
      <c r="T80" s="68">
        <f>IF(ISNUMBER(T78),ROUND(T78,0),NA())</f>
        <v>0</v>
      </c>
      <c r="U80" s="68">
        <f>IF(ISNUMBER(U78),ROUND(U78,0),NA())</f>
        <v>0</v>
      </c>
      <c r="V80" s="68">
        <f>IF(ISNUMBER(V78),ROUND(V78,0),NA())</f>
        <v>0</v>
      </c>
      <c r="W80" s="68">
        <f>IF(ISNUMBER(W78),ROUND(W78,0),NA())</f>
        <v>0</v>
      </c>
      <c r="X80" s="68">
        <f>IF(ISNUMBER(X78),ROUND(X78,0),NA())</f>
        <v>0</v>
      </c>
    </row>
    <row r="81" spans="1:24">
      <c r="A81" s="11" t="s">
        <v>639</v>
      </c>
      <c r="B81" s="11" t="s">
        <v>640</v>
      </c>
      <c r="C81" s="67" t="s">
        <v>555</v>
      </c>
      <c r="O81" s="68">
        <f>IF(ISNUMBER(O79),ROUND(O79,0),NA())</f>
        <v>0</v>
      </c>
      <c r="P81" s="68">
        <f>IF(ISNUMBER(P79),ROUND(P79,0),NA())</f>
        <v>0</v>
      </c>
      <c r="Q81" s="68">
        <f>IF(ISNUMBER(Q79),ROUND(Q79,0),NA())</f>
        <v>0</v>
      </c>
      <c r="R81" s="68">
        <f>IF(ISNUMBER(R79),ROUND(R79,0),NA())</f>
        <v>0</v>
      </c>
      <c r="S81" s="68">
        <f>IF(ISNUMBER(S79),ROUND(S79,0),NA())</f>
        <v>0</v>
      </c>
      <c r="T81" s="68">
        <f>IF(ISNUMBER(T79),ROUND(T79,0),NA())</f>
        <v>0</v>
      </c>
      <c r="U81" s="68">
        <f>IF(ISNUMBER(U79),ROUND(U79,0),NA())</f>
        <v>0</v>
      </c>
      <c r="V81" s="68">
        <f>IF(ISNUMBER(V79),ROUND(V79,0),NA())</f>
        <v>0</v>
      </c>
      <c r="W81" s="68">
        <f>IF(ISNUMBER(W79),ROUND(W79,0),NA())</f>
        <v>0</v>
      </c>
      <c r="X81" s="68">
        <f>IF(ISNUMBER(X79),ROUND(X79,0),NA())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717</v>
      </c>
      <c r="J1" s="6"/>
      <c r="L1" s="11">
        <v>2027</v>
      </c>
      <c r="M1" s="6" t="s">
        <v>717</v>
      </c>
    </row>
    <row r="2" spans="1:18">
      <c r="A2" s="6" t="s">
        <v>718</v>
      </c>
      <c r="B2" s="6" t="s">
        <v>719</v>
      </c>
      <c r="C2" s="6" t="s">
        <v>720</v>
      </c>
      <c r="D2" s="6" t="s">
        <v>721</v>
      </c>
      <c r="E2" s="6" t="s">
        <v>722</v>
      </c>
      <c r="F2" s="6" t="s">
        <v>723</v>
      </c>
      <c r="G2" s="6" t="s">
        <v>724</v>
      </c>
      <c r="H2" s="6" t="s">
        <v>725</v>
      </c>
      <c r="I2" s="6" t="s">
        <v>726</v>
      </c>
      <c r="J2" s="6" t="s">
        <v>727</v>
      </c>
      <c r="L2" s="6" t="s">
        <v>721</v>
      </c>
      <c r="M2" s="6" t="s">
        <v>722</v>
      </c>
      <c r="N2" s="6" t="s">
        <v>723</v>
      </c>
      <c r="O2" s="6" t="s">
        <v>724</v>
      </c>
      <c r="P2" s="6" t="s">
        <v>725</v>
      </c>
      <c r="Q2" s="6" t="s">
        <v>726</v>
      </c>
      <c r="R2" s="6" t="s">
        <v>727</v>
      </c>
    </row>
    <row r="3" spans="1:18">
      <c r="A3" s="11" t="s">
        <v>728</v>
      </c>
      <c r="B3" s="11" t="s">
        <v>729</v>
      </c>
      <c r="C3" s="11" t="s">
        <v>730</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731</v>
      </c>
      <c r="B4" s="11" t="s">
        <v>732</v>
      </c>
      <c r="C4" s="11" t="s">
        <v>730</v>
      </c>
      <c r="D4" s="70">
        <v>46028</v>
      </c>
      <c r="G4" s="70">
        <v>46028</v>
      </c>
      <c r="J4" s="70">
        <v>46028</v>
      </c>
      <c r="L4" s="70">
        <v>46393</v>
      </c>
      <c r="O4" s="70">
        <v>46393</v>
      </c>
      <c r="R4" s="70">
        <v>46393</v>
      </c>
    </row>
    <row r="5" spans="1:18">
      <c r="A5" s="11" t="s">
        <v>733</v>
      </c>
      <c r="B5" s="11" t="s">
        <v>734</v>
      </c>
      <c r="C5" s="11" t="s">
        <v>730</v>
      </c>
      <c r="D5" s="70">
        <v>46089</v>
      </c>
      <c r="I5" s="70">
        <v>46089</v>
      </c>
      <c r="L5" s="70">
        <v>46454</v>
      </c>
      <c r="Q5" s="70">
        <v>46454</v>
      </c>
    </row>
    <row r="6" spans="1:18">
      <c r="A6" s="11" t="s">
        <v>735</v>
      </c>
      <c r="B6" s="11" t="s">
        <v>736</v>
      </c>
      <c r="C6" s="11" t="s">
        <v>730</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737</v>
      </c>
      <c r="B7" s="11" t="s">
        <v>738</v>
      </c>
      <c r="C7" s="11" t="s">
        <v>730</v>
      </c>
      <c r="D7" s="70">
        <v>46242</v>
      </c>
      <c r="L7" s="70">
        <v>46607</v>
      </c>
    </row>
    <row r="8" spans="1:18">
      <c r="A8" s="11" t="s">
        <v>739</v>
      </c>
      <c r="B8" s="11" t="s">
        <v>740</v>
      </c>
      <c r="C8" s="11" t="s">
        <v>730</v>
      </c>
      <c r="D8" s="70">
        <v>46249</v>
      </c>
      <c r="G8" s="70">
        <v>46249</v>
      </c>
      <c r="L8" s="70">
        <v>46614</v>
      </c>
      <c r="O8" s="70">
        <v>46614</v>
      </c>
    </row>
    <row r="9" spans="1:18">
      <c r="A9" s="11" t="s">
        <v>741</v>
      </c>
      <c r="B9" s="11" t="s">
        <v>742</v>
      </c>
      <c r="C9" s="11" t="s">
        <v>730</v>
      </c>
      <c r="D9" s="70">
        <v>46285</v>
      </c>
      <c r="L9" s="70">
        <v>46650</v>
      </c>
    </row>
    <row r="10" spans="1:18">
      <c r="A10" s="11" t="s">
        <v>743</v>
      </c>
      <c r="B10" s="11" t="s">
        <v>744</v>
      </c>
      <c r="C10" s="11" t="s">
        <v>730</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745</v>
      </c>
      <c r="B11" s="11" t="s">
        <v>746</v>
      </c>
      <c r="C11" s="11" t="s">
        <v>730</v>
      </c>
      <c r="D11" s="70">
        <v>46326</v>
      </c>
      <c r="H11" s="70">
        <v>46326</v>
      </c>
      <c r="L11" s="70">
        <v>46691</v>
      </c>
      <c r="P11" s="70">
        <v>46691</v>
      </c>
    </row>
    <row r="12" spans="1:18">
      <c r="A12" s="11" t="s">
        <v>747</v>
      </c>
      <c r="B12" s="11" t="s">
        <v>748</v>
      </c>
      <c r="C12" s="11" t="s">
        <v>730</v>
      </c>
      <c r="D12" s="70">
        <v>46327</v>
      </c>
      <c r="E12" s="70">
        <v>46327</v>
      </c>
      <c r="F12" s="70">
        <v>46327</v>
      </c>
      <c r="G12" s="70">
        <v>46327</v>
      </c>
      <c r="J12" s="70">
        <v>46327</v>
      </c>
      <c r="L12" s="70">
        <v>46692</v>
      </c>
      <c r="M12" s="70">
        <v>46692</v>
      </c>
      <c r="N12" s="70">
        <v>46692</v>
      </c>
      <c r="O12" s="70">
        <v>46692</v>
      </c>
      <c r="R12" s="70">
        <v>46692</v>
      </c>
    </row>
    <row r="13" spans="1:18">
      <c r="A13" s="11" t="s">
        <v>749</v>
      </c>
      <c r="B13" s="11" t="s">
        <v>750</v>
      </c>
      <c r="C13" s="11" t="s">
        <v>730</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751</v>
      </c>
      <c r="B14" s="11" t="s">
        <v>752</v>
      </c>
      <c r="C14" s="11" t="s">
        <v>730</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753</v>
      </c>
      <c r="B15" s="11" t="s">
        <v>754</v>
      </c>
      <c r="C15" s="11" t="s">
        <v>730</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755</v>
      </c>
      <c r="B16" s="11" t="s">
        <v>756</v>
      </c>
      <c r="C16" s="11" t="s">
        <v>730</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757</v>
      </c>
      <c r="B17" s="11" t="s">
        <v>758</v>
      </c>
      <c r="C17" s="11" t="s">
        <v>759</v>
      </c>
      <c r="D17" s="70">
        <v>46344</v>
      </c>
      <c r="L17" s="70">
        <v>46708</v>
      </c>
    </row>
    <row r="18" spans="1:18">
      <c r="A18" s="11" t="s">
        <v>760</v>
      </c>
      <c r="B18" s="11" t="s">
        <v>761</v>
      </c>
      <c r="C18" s="11" t="s">
        <v>762</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763</v>
      </c>
      <c r="B19" s="11" t="s">
        <v>764</v>
      </c>
      <c r="C19" s="11" t="s">
        <v>765</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766</v>
      </c>
      <c r="B20" s="11" t="s">
        <v>767</v>
      </c>
      <c r="C20" s="11" t="s">
        <v>768</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769</v>
      </c>
      <c r="B21" s="11" t="s">
        <v>770</v>
      </c>
      <c r="C21" s="11" t="s">
        <v>771</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772</v>
      </c>
      <c r="B22" s="11" t="s">
        <v>773</v>
      </c>
      <c r="C22" s="11" t="s">
        <v>774</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775</v>
      </c>
      <c r="B23" s="11" t="s">
        <v>776</v>
      </c>
      <c r="C23" s="11" t="s">
        <v>777</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778</v>
      </c>
      <c r="B24" s="11" t="s">
        <v>779</v>
      </c>
      <c r="C24" s="11" t="s">
        <v>780</v>
      </c>
      <c r="D24" s="70">
        <v>46177</v>
      </c>
      <c r="E24" s="70">
        <v>46177</v>
      </c>
      <c r="F24" s="70">
        <v>46177</v>
      </c>
      <c r="G24" s="70">
        <v>46177</v>
      </c>
      <c r="J24" s="70">
        <v>46177</v>
      </c>
      <c r="L24" s="70">
        <v>46534</v>
      </c>
      <c r="M24" s="70">
        <v>46541</v>
      </c>
      <c r="N24" s="70">
        <v>46541</v>
      </c>
      <c r="O24" s="70">
        <v>46541</v>
      </c>
      <c r="R24" s="70">
        <v>46541</v>
      </c>
    </row>
    <row r="25" spans="1:18">
      <c r="A25" s="11" t="s">
        <v>781</v>
      </c>
      <c r="B25" s="11" t="s">
        <v>782</v>
      </c>
      <c r="C25" s="11" t="s">
        <v>783</v>
      </c>
      <c r="D25" s="70">
        <v>46069</v>
      </c>
      <c r="E25" s="70">
        <v>46069</v>
      </c>
      <c r="F25" s="70">
        <v>46069</v>
      </c>
      <c r="L25" s="70">
        <v>46426</v>
      </c>
      <c r="M25" s="70">
        <v>46433</v>
      </c>
      <c r="N25" s="70">
        <v>46433</v>
      </c>
    </row>
    <row r="26" spans="1:18">
      <c r="A26" s="11" t="s">
        <v>784</v>
      </c>
      <c r="B26" s="11" t="s">
        <v>785</v>
      </c>
      <c r="C26" s="11" t="s">
        <v>786</v>
      </c>
      <c r="D26" s="70">
        <v>46070</v>
      </c>
      <c r="G26" s="70">
        <v>46070</v>
      </c>
      <c r="L26" s="70">
        <v>46427</v>
      </c>
      <c r="O26" s="70">
        <v>46427</v>
      </c>
    </row>
    <row r="27" spans="1:18">
      <c r="A27" s="11" t="s">
        <v>787</v>
      </c>
      <c r="B27" s="11"/>
      <c r="C27" s="11" t="s">
        <v>788</v>
      </c>
      <c r="D27" s="70">
        <v>45785</v>
      </c>
    </row>
    <row r="28" spans="1:18">
      <c r="A28" s="11" t="s">
        <v>728</v>
      </c>
      <c r="B28" s="11" t="s">
        <v>789</v>
      </c>
      <c r="C28" s="11" t="s">
        <v>730</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731</v>
      </c>
      <c r="B29" s="11" t="s">
        <v>790</v>
      </c>
      <c r="C29" s="11" t="s">
        <v>730</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2026-10-01T12:58:38Z</dcterms:created>
  <dcterms:modified xsi:type="dcterms:W3CDTF">2026-10-01T12:58:38Z</dcterms:modified>
</cp:coreProperties>
</file>